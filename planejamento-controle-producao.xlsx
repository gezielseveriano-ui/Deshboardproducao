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demanufatura.sharepoint.com/sites/ARQUIVOS/Documentos Compartilhados/Producao/PCP/FABRICAÇÃO GERAL/CONTROLE GERAL FABRICAÇÃO - PCP/PERFOMANCE DE PRODUÇÃO/"/>
    </mc:Choice>
  </mc:AlternateContent>
  <xr:revisionPtr revIDLastSave="716" documentId="8_{FDD42E6F-94E1-48F3-8613-54A91AB43A68}" xr6:coauthVersionLast="47" xr6:coauthVersionMax="47" xr10:uidLastSave="{206352D8-97FD-4611-A3C7-24AC607802D5}"/>
  <bookViews>
    <workbookView xWindow="-120" yWindow="-120" windowWidth="24240" windowHeight="13020" tabRatio="818" activeTab="1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xlnm._FilterDatabase" localSheetId="4" hidden="1">'LISTA DE EMBARQUE'!$A$1:$O$4966</definedName>
    <definedName name="_xlnm._FilterDatabase" localSheetId="1" hidden="1">MICRO!$A$1:$AN$1</definedName>
    <definedName name="_xlnm.Print_Area" localSheetId="1">MICRO!$A$1:$AI$626</definedName>
    <definedName name="_xlnm.Print_Titles" localSheetId="1">MICRO!$1:$1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870" i="6" l="1"/>
  <c r="U763" i="1"/>
  <c r="U764" i="1"/>
  <c r="Q630" i="1"/>
  <c r="R630" i="1"/>
  <c r="S630" i="1"/>
  <c r="T630" i="1" s="1"/>
  <c r="U630" i="1"/>
  <c r="V630" i="1"/>
  <c r="W630" i="1"/>
  <c r="Q631" i="1"/>
  <c r="R631" i="1"/>
  <c r="S631" i="1"/>
  <c r="T631" i="1" s="1"/>
  <c r="U631" i="1"/>
  <c r="V631" i="1"/>
  <c r="W631" i="1"/>
  <c r="Q632" i="1"/>
  <c r="R632" i="1"/>
  <c r="S632" i="1"/>
  <c r="T632" i="1"/>
  <c r="U632" i="1"/>
  <c r="V632" i="1"/>
  <c r="W632" i="1"/>
  <c r="Q633" i="1"/>
  <c r="R633" i="1"/>
  <c r="S633" i="1"/>
  <c r="T633" i="1"/>
  <c r="U633" i="1"/>
  <c r="V633" i="1"/>
  <c r="W633" i="1"/>
  <c r="Q634" i="1"/>
  <c r="R634" i="1"/>
  <c r="S634" i="1"/>
  <c r="T634" i="1"/>
  <c r="U634" i="1"/>
  <c r="V634" i="1"/>
  <c r="W634" i="1"/>
  <c r="Q635" i="1"/>
  <c r="R635" i="1"/>
  <c r="S635" i="1"/>
  <c r="T635" i="1"/>
  <c r="U635" i="1"/>
  <c r="V635" i="1"/>
  <c r="W635" i="1"/>
  <c r="Q636" i="1"/>
  <c r="R636" i="1"/>
  <c r="S636" i="1"/>
  <c r="T636" i="1"/>
  <c r="U636" i="1"/>
  <c r="V636" i="1"/>
  <c r="W636" i="1"/>
  <c r="Q637" i="1"/>
  <c r="R637" i="1"/>
  <c r="S637" i="1"/>
  <c r="T637" i="1"/>
  <c r="U637" i="1"/>
  <c r="V637" i="1"/>
  <c r="W637" i="1"/>
  <c r="Q638" i="1"/>
  <c r="R638" i="1"/>
  <c r="S638" i="1"/>
  <c r="T638" i="1"/>
  <c r="U638" i="1"/>
  <c r="V638" i="1"/>
  <c r="W638" i="1"/>
  <c r="Q639" i="1"/>
  <c r="R639" i="1"/>
  <c r="S639" i="1"/>
  <c r="T639" i="1" s="1"/>
  <c r="U639" i="1"/>
  <c r="V639" i="1"/>
  <c r="W639" i="1"/>
  <c r="Q640" i="1"/>
  <c r="R640" i="1"/>
  <c r="S640" i="1"/>
  <c r="T640" i="1"/>
  <c r="U640" i="1"/>
  <c r="V640" i="1"/>
  <c r="W640" i="1"/>
  <c r="Q641" i="1"/>
  <c r="R641" i="1"/>
  <c r="S641" i="1"/>
  <c r="T641" i="1" s="1"/>
  <c r="U641" i="1"/>
  <c r="V641" i="1"/>
  <c r="W641" i="1"/>
  <c r="Q642" i="1"/>
  <c r="R642" i="1"/>
  <c r="S642" i="1"/>
  <c r="T642" i="1"/>
  <c r="U642" i="1"/>
  <c r="V642" i="1"/>
  <c r="W642" i="1"/>
  <c r="Q643" i="1"/>
  <c r="R643" i="1"/>
  <c r="S643" i="1"/>
  <c r="T643" i="1"/>
  <c r="U643" i="1"/>
  <c r="V643" i="1"/>
  <c r="W643" i="1"/>
  <c r="Q644" i="1"/>
  <c r="R644" i="1"/>
  <c r="S644" i="1"/>
  <c r="T644" i="1"/>
  <c r="U644" i="1"/>
  <c r="V644" i="1"/>
  <c r="W644" i="1"/>
  <c r="Q645" i="1"/>
  <c r="R645" i="1"/>
  <c r="S645" i="1"/>
  <c r="T645" i="1"/>
  <c r="U645" i="1"/>
  <c r="V645" i="1"/>
  <c r="W645" i="1"/>
  <c r="Q646" i="1"/>
  <c r="R646" i="1"/>
  <c r="S646" i="1"/>
  <c r="T646" i="1" s="1"/>
  <c r="U646" i="1"/>
  <c r="V646" i="1"/>
  <c r="W646" i="1"/>
  <c r="Q647" i="1"/>
  <c r="R647" i="1"/>
  <c r="S647" i="1"/>
  <c r="T647" i="1"/>
  <c r="U647" i="1"/>
  <c r="V647" i="1"/>
  <c r="W647" i="1"/>
  <c r="Q648" i="1"/>
  <c r="R648" i="1"/>
  <c r="S648" i="1"/>
  <c r="T648" i="1" s="1"/>
  <c r="U648" i="1"/>
  <c r="V648" i="1"/>
  <c r="W648" i="1"/>
  <c r="Q649" i="1"/>
  <c r="R649" i="1"/>
  <c r="S649" i="1"/>
  <c r="T649" i="1"/>
  <c r="U649" i="1"/>
  <c r="V649" i="1"/>
  <c r="W649" i="1"/>
  <c r="Q650" i="1"/>
  <c r="R650" i="1"/>
  <c r="S650" i="1"/>
  <c r="T650" i="1" s="1"/>
  <c r="U650" i="1"/>
  <c r="V650" i="1"/>
  <c r="W650" i="1"/>
  <c r="Q651" i="1"/>
  <c r="R651" i="1"/>
  <c r="S651" i="1"/>
  <c r="T651" i="1"/>
  <c r="U651" i="1"/>
  <c r="V651" i="1"/>
  <c r="W651" i="1"/>
  <c r="Q652" i="1"/>
  <c r="R652" i="1"/>
  <c r="S652" i="1"/>
  <c r="T652" i="1" s="1"/>
  <c r="U652" i="1"/>
  <c r="V652" i="1"/>
  <c r="W652" i="1"/>
  <c r="Q653" i="1"/>
  <c r="R653" i="1"/>
  <c r="S653" i="1"/>
  <c r="T653" i="1" s="1"/>
  <c r="U653" i="1"/>
  <c r="V653" i="1"/>
  <c r="W653" i="1"/>
  <c r="Q654" i="1"/>
  <c r="R654" i="1"/>
  <c r="S654" i="1"/>
  <c r="T654" i="1" s="1"/>
  <c r="U654" i="1"/>
  <c r="V654" i="1"/>
  <c r="W654" i="1"/>
  <c r="Q655" i="1"/>
  <c r="R655" i="1"/>
  <c r="S655" i="1"/>
  <c r="T655" i="1"/>
  <c r="U655" i="1"/>
  <c r="V655" i="1"/>
  <c r="W655" i="1"/>
  <c r="Q656" i="1"/>
  <c r="R656" i="1"/>
  <c r="S656" i="1"/>
  <c r="T656" i="1" s="1"/>
  <c r="U656" i="1"/>
  <c r="V656" i="1"/>
  <c r="W656" i="1"/>
  <c r="Q657" i="1"/>
  <c r="R657" i="1"/>
  <c r="S657" i="1"/>
  <c r="T657" i="1"/>
  <c r="U657" i="1"/>
  <c r="V657" i="1"/>
  <c r="W657" i="1"/>
  <c r="Q658" i="1"/>
  <c r="R658" i="1"/>
  <c r="S658" i="1"/>
  <c r="T658" i="1" s="1"/>
  <c r="U658" i="1"/>
  <c r="V658" i="1"/>
  <c r="W658" i="1"/>
  <c r="Q659" i="1"/>
  <c r="R659" i="1"/>
  <c r="S659" i="1"/>
  <c r="T659" i="1"/>
  <c r="U659" i="1"/>
  <c r="V659" i="1"/>
  <c r="W659" i="1"/>
  <c r="Q660" i="1"/>
  <c r="R660" i="1"/>
  <c r="S660" i="1"/>
  <c r="T660" i="1"/>
  <c r="U660" i="1"/>
  <c r="V660" i="1"/>
  <c r="W660" i="1"/>
  <c r="Q661" i="1"/>
  <c r="R661" i="1"/>
  <c r="S661" i="1"/>
  <c r="T661" i="1"/>
  <c r="U661" i="1"/>
  <c r="V661" i="1"/>
  <c r="W661" i="1"/>
  <c r="Q662" i="1"/>
  <c r="R662" i="1"/>
  <c r="S662" i="1"/>
  <c r="T662" i="1"/>
  <c r="U662" i="1"/>
  <c r="V662" i="1"/>
  <c r="W662" i="1"/>
  <c r="Q663" i="1"/>
  <c r="R663" i="1"/>
  <c r="S663" i="1"/>
  <c r="T663" i="1"/>
  <c r="U663" i="1"/>
  <c r="V663" i="1"/>
  <c r="W663" i="1"/>
  <c r="Q664" i="1"/>
  <c r="R664" i="1"/>
  <c r="S664" i="1"/>
  <c r="T664" i="1"/>
  <c r="U664" i="1"/>
  <c r="V664" i="1"/>
  <c r="W664" i="1"/>
  <c r="Q665" i="1"/>
  <c r="R665" i="1"/>
  <c r="S665" i="1"/>
  <c r="T665" i="1"/>
  <c r="U665" i="1"/>
  <c r="V665" i="1"/>
  <c r="W665" i="1"/>
  <c r="Q666" i="1"/>
  <c r="R666" i="1"/>
  <c r="S666" i="1"/>
  <c r="T666" i="1"/>
  <c r="U666" i="1"/>
  <c r="V666" i="1"/>
  <c r="W666" i="1"/>
  <c r="Q667" i="1"/>
  <c r="R667" i="1"/>
  <c r="S667" i="1"/>
  <c r="T667" i="1"/>
  <c r="U667" i="1"/>
  <c r="V667" i="1"/>
  <c r="W667" i="1"/>
  <c r="Q668" i="1"/>
  <c r="R668" i="1"/>
  <c r="S668" i="1"/>
  <c r="T668" i="1"/>
  <c r="U668" i="1"/>
  <c r="V668" i="1"/>
  <c r="W668" i="1"/>
  <c r="Q669" i="1"/>
  <c r="R669" i="1"/>
  <c r="S669" i="1"/>
  <c r="T669" i="1" s="1"/>
  <c r="U669" i="1"/>
  <c r="V669" i="1"/>
  <c r="W669" i="1"/>
  <c r="Q670" i="1"/>
  <c r="R670" i="1"/>
  <c r="S670" i="1"/>
  <c r="T670" i="1"/>
  <c r="U670" i="1"/>
  <c r="V670" i="1"/>
  <c r="W670" i="1"/>
  <c r="Q671" i="1"/>
  <c r="R671" i="1"/>
  <c r="S671" i="1"/>
  <c r="T671" i="1" s="1"/>
  <c r="U671" i="1"/>
  <c r="V671" i="1"/>
  <c r="W671" i="1"/>
  <c r="Q672" i="1"/>
  <c r="R672" i="1"/>
  <c r="S672" i="1"/>
  <c r="T672" i="1"/>
  <c r="U672" i="1"/>
  <c r="V672" i="1"/>
  <c r="W672" i="1"/>
  <c r="Q673" i="1"/>
  <c r="R673" i="1"/>
  <c r="S673" i="1"/>
  <c r="T673" i="1"/>
  <c r="U673" i="1"/>
  <c r="V673" i="1"/>
  <c r="W673" i="1"/>
  <c r="Q674" i="1"/>
  <c r="R674" i="1"/>
  <c r="S674" i="1"/>
  <c r="T674" i="1"/>
  <c r="U674" i="1"/>
  <c r="V674" i="1"/>
  <c r="W674" i="1"/>
  <c r="Q675" i="1"/>
  <c r="R675" i="1"/>
  <c r="S675" i="1"/>
  <c r="T675" i="1"/>
  <c r="U675" i="1"/>
  <c r="V675" i="1"/>
  <c r="W675" i="1"/>
  <c r="Q676" i="1"/>
  <c r="R676" i="1"/>
  <c r="S676" i="1"/>
  <c r="T676" i="1"/>
  <c r="U676" i="1"/>
  <c r="V676" i="1"/>
  <c r="W676" i="1"/>
  <c r="Q677" i="1"/>
  <c r="R677" i="1"/>
  <c r="S677" i="1"/>
  <c r="T677" i="1"/>
  <c r="U677" i="1"/>
  <c r="V677" i="1"/>
  <c r="W677" i="1"/>
  <c r="Q678" i="1"/>
  <c r="R678" i="1"/>
  <c r="S678" i="1"/>
  <c r="T678" i="1"/>
  <c r="U678" i="1"/>
  <c r="V678" i="1"/>
  <c r="W678" i="1"/>
  <c r="Q679" i="1"/>
  <c r="R679" i="1"/>
  <c r="S679" i="1"/>
  <c r="T679" i="1"/>
  <c r="U679" i="1"/>
  <c r="V679" i="1"/>
  <c r="W679" i="1"/>
  <c r="Q680" i="1"/>
  <c r="R680" i="1"/>
  <c r="S680" i="1"/>
  <c r="T680" i="1" s="1"/>
  <c r="U680" i="1"/>
  <c r="V680" i="1"/>
  <c r="W680" i="1"/>
  <c r="Q681" i="1"/>
  <c r="R681" i="1"/>
  <c r="S681" i="1"/>
  <c r="T681" i="1" s="1"/>
  <c r="U681" i="1"/>
  <c r="V681" i="1"/>
  <c r="W681" i="1"/>
  <c r="Q682" i="1"/>
  <c r="R682" i="1"/>
  <c r="S682" i="1"/>
  <c r="T682" i="1"/>
  <c r="U682" i="1"/>
  <c r="V682" i="1"/>
  <c r="W682" i="1"/>
  <c r="Q683" i="1"/>
  <c r="R683" i="1"/>
  <c r="S683" i="1"/>
  <c r="T683" i="1"/>
  <c r="U683" i="1"/>
  <c r="V683" i="1"/>
  <c r="W683" i="1"/>
  <c r="Q684" i="1"/>
  <c r="R684" i="1"/>
  <c r="S684" i="1"/>
  <c r="T684" i="1" s="1"/>
  <c r="U684" i="1"/>
  <c r="V684" i="1"/>
  <c r="W684" i="1"/>
  <c r="Q685" i="1"/>
  <c r="R685" i="1"/>
  <c r="S685" i="1"/>
  <c r="T685" i="1"/>
  <c r="U685" i="1"/>
  <c r="V685" i="1"/>
  <c r="W685" i="1"/>
  <c r="Q686" i="1"/>
  <c r="R686" i="1"/>
  <c r="S686" i="1"/>
  <c r="T686" i="1"/>
  <c r="U686" i="1"/>
  <c r="V686" i="1"/>
  <c r="W686" i="1"/>
  <c r="Q687" i="1"/>
  <c r="R687" i="1"/>
  <c r="S687" i="1"/>
  <c r="T687" i="1"/>
  <c r="U687" i="1"/>
  <c r="V687" i="1"/>
  <c r="W687" i="1"/>
  <c r="Q688" i="1"/>
  <c r="R688" i="1"/>
  <c r="S688" i="1"/>
  <c r="T688" i="1"/>
  <c r="U688" i="1"/>
  <c r="V688" i="1"/>
  <c r="W688" i="1"/>
  <c r="Q689" i="1"/>
  <c r="R689" i="1"/>
  <c r="S689" i="1"/>
  <c r="T689" i="1"/>
  <c r="U689" i="1"/>
  <c r="V689" i="1"/>
  <c r="W689" i="1"/>
  <c r="Q690" i="1"/>
  <c r="R690" i="1"/>
  <c r="S690" i="1"/>
  <c r="T690" i="1"/>
  <c r="U690" i="1"/>
  <c r="V690" i="1"/>
  <c r="W690" i="1"/>
  <c r="Q691" i="1"/>
  <c r="R691" i="1"/>
  <c r="S691" i="1"/>
  <c r="T691" i="1"/>
  <c r="U691" i="1"/>
  <c r="V691" i="1"/>
  <c r="W691" i="1"/>
  <c r="Q692" i="1"/>
  <c r="R692" i="1"/>
  <c r="S692" i="1"/>
  <c r="T692" i="1"/>
  <c r="U692" i="1"/>
  <c r="V692" i="1"/>
  <c r="W692" i="1"/>
  <c r="Q693" i="1"/>
  <c r="R693" i="1"/>
  <c r="S693" i="1"/>
  <c r="T693" i="1"/>
  <c r="U693" i="1"/>
  <c r="V693" i="1"/>
  <c r="W693" i="1"/>
  <c r="Q694" i="1"/>
  <c r="R694" i="1"/>
  <c r="S694" i="1"/>
  <c r="T694" i="1"/>
  <c r="U694" i="1"/>
  <c r="V694" i="1"/>
  <c r="W694" i="1"/>
  <c r="Q695" i="1"/>
  <c r="R695" i="1"/>
  <c r="S695" i="1"/>
  <c r="T695" i="1"/>
  <c r="U695" i="1"/>
  <c r="V695" i="1"/>
  <c r="W695" i="1"/>
  <c r="Q696" i="1"/>
  <c r="R696" i="1"/>
  <c r="S696" i="1"/>
  <c r="T696" i="1"/>
  <c r="U696" i="1"/>
  <c r="V696" i="1"/>
  <c r="W696" i="1"/>
  <c r="Q697" i="1"/>
  <c r="R697" i="1"/>
  <c r="S697" i="1"/>
  <c r="T697" i="1" s="1"/>
  <c r="U697" i="1"/>
  <c r="V697" i="1"/>
  <c r="W697" i="1"/>
  <c r="Q698" i="1"/>
  <c r="R698" i="1"/>
  <c r="S698" i="1"/>
  <c r="T698" i="1"/>
  <c r="U698" i="1"/>
  <c r="V698" i="1"/>
  <c r="W698" i="1"/>
  <c r="Q699" i="1"/>
  <c r="R699" i="1"/>
  <c r="S699" i="1"/>
  <c r="T699" i="1"/>
  <c r="U699" i="1"/>
  <c r="V699" i="1"/>
  <c r="W699" i="1"/>
  <c r="Q700" i="1"/>
  <c r="R700" i="1"/>
  <c r="S700" i="1"/>
  <c r="T700" i="1" s="1"/>
  <c r="U700" i="1"/>
  <c r="V700" i="1"/>
  <c r="W700" i="1"/>
  <c r="Q701" i="1"/>
  <c r="R701" i="1"/>
  <c r="S701" i="1"/>
  <c r="T701" i="1" s="1"/>
  <c r="U701" i="1"/>
  <c r="V701" i="1"/>
  <c r="W701" i="1"/>
  <c r="Q702" i="1"/>
  <c r="R702" i="1"/>
  <c r="S702" i="1"/>
  <c r="T702" i="1"/>
  <c r="U702" i="1"/>
  <c r="V702" i="1"/>
  <c r="W702" i="1"/>
  <c r="Q703" i="1"/>
  <c r="R703" i="1"/>
  <c r="S703" i="1"/>
  <c r="T703" i="1" s="1"/>
  <c r="U703" i="1"/>
  <c r="V703" i="1"/>
  <c r="W703" i="1"/>
  <c r="Q704" i="1"/>
  <c r="R704" i="1"/>
  <c r="S704" i="1"/>
  <c r="T704" i="1" s="1"/>
  <c r="U704" i="1"/>
  <c r="V704" i="1"/>
  <c r="W704" i="1"/>
  <c r="Q705" i="1"/>
  <c r="R705" i="1"/>
  <c r="S705" i="1"/>
  <c r="T705" i="1"/>
  <c r="U705" i="1"/>
  <c r="V705" i="1"/>
  <c r="W705" i="1"/>
  <c r="Q706" i="1"/>
  <c r="R706" i="1"/>
  <c r="S706" i="1"/>
  <c r="T706" i="1"/>
  <c r="U706" i="1"/>
  <c r="V706" i="1"/>
  <c r="W706" i="1"/>
  <c r="Q707" i="1"/>
  <c r="R707" i="1"/>
  <c r="S707" i="1"/>
  <c r="T707" i="1"/>
  <c r="U707" i="1"/>
  <c r="V707" i="1"/>
  <c r="W707" i="1"/>
  <c r="Q708" i="1"/>
  <c r="R708" i="1"/>
  <c r="S708" i="1"/>
  <c r="T708" i="1" s="1"/>
  <c r="U708" i="1"/>
  <c r="V708" i="1"/>
  <c r="W708" i="1"/>
  <c r="Q709" i="1"/>
  <c r="R709" i="1"/>
  <c r="S709" i="1"/>
  <c r="T709" i="1"/>
  <c r="U709" i="1"/>
  <c r="V709" i="1"/>
  <c r="W709" i="1"/>
  <c r="Q710" i="1"/>
  <c r="R710" i="1"/>
  <c r="S710" i="1"/>
  <c r="T710" i="1"/>
  <c r="U710" i="1"/>
  <c r="V710" i="1"/>
  <c r="W710" i="1"/>
  <c r="Q711" i="1"/>
  <c r="R711" i="1"/>
  <c r="S711" i="1"/>
  <c r="T711" i="1"/>
  <c r="U711" i="1"/>
  <c r="V711" i="1"/>
  <c r="W711" i="1"/>
  <c r="Q712" i="1"/>
  <c r="R712" i="1"/>
  <c r="S712" i="1"/>
  <c r="T712" i="1"/>
  <c r="U712" i="1"/>
  <c r="V712" i="1"/>
  <c r="W712" i="1"/>
  <c r="Q713" i="1"/>
  <c r="R713" i="1"/>
  <c r="S713" i="1"/>
  <c r="T713" i="1"/>
  <c r="U713" i="1"/>
  <c r="V713" i="1"/>
  <c r="W713" i="1"/>
  <c r="Q714" i="1"/>
  <c r="R714" i="1"/>
  <c r="S714" i="1"/>
  <c r="T714" i="1"/>
  <c r="U714" i="1"/>
  <c r="V714" i="1"/>
  <c r="W714" i="1"/>
  <c r="Q715" i="1"/>
  <c r="R715" i="1"/>
  <c r="S715" i="1"/>
  <c r="T715" i="1"/>
  <c r="U715" i="1"/>
  <c r="V715" i="1"/>
  <c r="W715" i="1"/>
  <c r="Q716" i="1"/>
  <c r="R716" i="1"/>
  <c r="S716" i="1"/>
  <c r="T716" i="1"/>
  <c r="U716" i="1"/>
  <c r="V716" i="1"/>
  <c r="W716" i="1"/>
  <c r="Q717" i="1"/>
  <c r="R717" i="1"/>
  <c r="S717" i="1"/>
  <c r="T717" i="1"/>
  <c r="U717" i="1"/>
  <c r="V717" i="1"/>
  <c r="W717" i="1"/>
  <c r="Q718" i="1"/>
  <c r="R718" i="1"/>
  <c r="S718" i="1"/>
  <c r="T718" i="1"/>
  <c r="U718" i="1"/>
  <c r="V718" i="1"/>
  <c r="W718" i="1"/>
  <c r="Q719" i="1"/>
  <c r="R719" i="1"/>
  <c r="S719" i="1"/>
  <c r="T719" i="1"/>
  <c r="U719" i="1"/>
  <c r="V719" i="1"/>
  <c r="W719" i="1"/>
  <c r="Q720" i="1"/>
  <c r="R720" i="1"/>
  <c r="S720" i="1"/>
  <c r="T720" i="1"/>
  <c r="U720" i="1"/>
  <c r="V720" i="1"/>
  <c r="W720" i="1"/>
  <c r="Q721" i="1"/>
  <c r="R721" i="1"/>
  <c r="S721" i="1"/>
  <c r="T721" i="1" s="1"/>
  <c r="U721" i="1"/>
  <c r="V721" i="1"/>
  <c r="W721" i="1"/>
  <c r="Q722" i="1"/>
  <c r="R722" i="1"/>
  <c r="S722" i="1"/>
  <c r="T722" i="1"/>
  <c r="U722" i="1"/>
  <c r="V722" i="1"/>
  <c r="W722" i="1"/>
  <c r="Q723" i="1"/>
  <c r="R723" i="1"/>
  <c r="S723" i="1"/>
  <c r="T723" i="1"/>
  <c r="U723" i="1"/>
  <c r="V723" i="1"/>
  <c r="W723" i="1"/>
  <c r="Q724" i="1"/>
  <c r="R724" i="1"/>
  <c r="S724" i="1"/>
  <c r="T724" i="1"/>
  <c r="U724" i="1"/>
  <c r="V724" i="1"/>
  <c r="W724" i="1"/>
  <c r="Q725" i="1"/>
  <c r="R725" i="1"/>
  <c r="S725" i="1"/>
  <c r="T725" i="1"/>
  <c r="U725" i="1"/>
  <c r="V725" i="1"/>
  <c r="W725" i="1"/>
  <c r="Q726" i="1"/>
  <c r="R726" i="1"/>
  <c r="S726" i="1"/>
  <c r="T726" i="1" s="1"/>
  <c r="U726" i="1"/>
  <c r="V726" i="1"/>
  <c r="W726" i="1"/>
  <c r="Q727" i="1"/>
  <c r="R727" i="1"/>
  <c r="S727" i="1"/>
  <c r="T727" i="1"/>
  <c r="U727" i="1"/>
  <c r="V727" i="1"/>
  <c r="W727" i="1"/>
  <c r="Q728" i="1"/>
  <c r="R728" i="1"/>
  <c r="S728" i="1"/>
  <c r="T728" i="1"/>
  <c r="U728" i="1"/>
  <c r="V728" i="1"/>
  <c r="W728" i="1"/>
  <c r="Q729" i="1"/>
  <c r="R729" i="1"/>
  <c r="S729" i="1"/>
  <c r="T729" i="1" s="1"/>
  <c r="U729" i="1"/>
  <c r="V729" i="1"/>
  <c r="W729" i="1"/>
  <c r="Q730" i="1"/>
  <c r="R730" i="1"/>
  <c r="S730" i="1"/>
  <c r="T730" i="1"/>
  <c r="U730" i="1"/>
  <c r="V730" i="1"/>
  <c r="W730" i="1"/>
  <c r="Q731" i="1"/>
  <c r="R731" i="1"/>
  <c r="S731" i="1"/>
  <c r="T731" i="1"/>
  <c r="U731" i="1"/>
  <c r="V731" i="1"/>
  <c r="W731" i="1"/>
  <c r="Q732" i="1"/>
  <c r="R732" i="1"/>
  <c r="S732" i="1"/>
  <c r="T732" i="1"/>
  <c r="U732" i="1"/>
  <c r="V732" i="1"/>
  <c r="W732" i="1"/>
  <c r="Q733" i="1"/>
  <c r="R733" i="1"/>
  <c r="S733" i="1"/>
  <c r="T733" i="1"/>
  <c r="U733" i="1"/>
  <c r="V733" i="1"/>
  <c r="W733" i="1"/>
  <c r="Q734" i="1"/>
  <c r="R734" i="1"/>
  <c r="S734" i="1"/>
  <c r="T734" i="1"/>
  <c r="U734" i="1"/>
  <c r="V734" i="1"/>
  <c r="W734" i="1"/>
  <c r="Q735" i="1"/>
  <c r="R735" i="1"/>
  <c r="S735" i="1"/>
  <c r="T735" i="1" s="1"/>
  <c r="U735" i="1"/>
  <c r="V735" i="1"/>
  <c r="W735" i="1"/>
  <c r="Q736" i="1"/>
  <c r="R736" i="1"/>
  <c r="S736" i="1"/>
  <c r="T736" i="1"/>
  <c r="U736" i="1"/>
  <c r="V736" i="1"/>
  <c r="W736" i="1"/>
  <c r="Q737" i="1"/>
  <c r="R737" i="1"/>
  <c r="S737" i="1"/>
  <c r="T737" i="1"/>
  <c r="U737" i="1"/>
  <c r="V737" i="1"/>
  <c r="W737" i="1"/>
  <c r="Q738" i="1"/>
  <c r="R738" i="1"/>
  <c r="S738" i="1"/>
  <c r="T738" i="1"/>
  <c r="U738" i="1"/>
  <c r="V738" i="1"/>
  <c r="W738" i="1"/>
  <c r="Q739" i="1"/>
  <c r="R739" i="1"/>
  <c r="S739" i="1"/>
  <c r="T739" i="1"/>
  <c r="U739" i="1"/>
  <c r="V739" i="1"/>
  <c r="W739" i="1"/>
  <c r="Q740" i="1"/>
  <c r="R740" i="1"/>
  <c r="S740" i="1"/>
  <c r="T740" i="1"/>
  <c r="U740" i="1"/>
  <c r="V740" i="1"/>
  <c r="W740" i="1"/>
  <c r="Q741" i="1"/>
  <c r="R741" i="1"/>
  <c r="S741" i="1"/>
  <c r="T741" i="1" s="1"/>
  <c r="U741" i="1"/>
  <c r="V741" i="1"/>
  <c r="W741" i="1"/>
  <c r="Q742" i="1"/>
  <c r="R742" i="1"/>
  <c r="S742" i="1"/>
  <c r="T742" i="1"/>
  <c r="U742" i="1"/>
  <c r="V742" i="1"/>
  <c r="W742" i="1"/>
  <c r="Q743" i="1"/>
  <c r="R743" i="1"/>
  <c r="S743" i="1"/>
  <c r="T743" i="1"/>
  <c r="U743" i="1"/>
  <c r="V743" i="1"/>
  <c r="W743" i="1"/>
  <c r="Q744" i="1"/>
  <c r="R744" i="1"/>
  <c r="S744" i="1"/>
  <c r="T744" i="1"/>
  <c r="U744" i="1"/>
  <c r="V744" i="1"/>
  <c r="W744" i="1"/>
  <c r="Q745" i="1"/>
  <c r="R745" i="1"/>
  <c r="S745" i="1"/>
  <c r="T745" i="1"/>
  <c r="U745" i="1"/>
  <c r="V745" i="1"/>
  <c r="W745" i="1"/>
  <c r="Q746" i="1"/>
  <c r="R746" i="1"/>
  <c r="S746" i="1"/>
  <c r="T746" i="1"/>
  <c r="U746" i="1"/>
  <c r="V746" i="1"/>
  <c r="W746" i="1"/>
  <c r="Q747" i="1"/>
  <c r="R747" i="1"/>
  <c r="S747" i="1"/>
  <c r="T747" i="1"/>
  <c r="U747" i="1"/>
  <c r="V747" i="1"/>
  <c r="W747" i="1"/>
  <c r="Q748" i="1"/>
  <c r="R748" i="1"/>
  <c r="S748" i="1"/>
  <c r="T748" i="1"/>
  <c r="U748" i="1"/>
  <c r="V748" i="1"/>
  <c r="W748" i="1"/>
  <c r="Q749" i="1"/>
  <c r="R749" i="1"/>
  <c r="S749" i="1"/>
  <c r="T749" i="1"/>
  <c r="U749" i="1"/>
  <c r="V749" i="1"/>
  <c r="W749" i="1"/>
  <c r="Q750" i="1"/>
  <c r="R750" i="1"/>
  <c r="S750" i="1"/>
  <c r="T750" i="1"/>
  <c r="U750" i="1"/>
  <c r="V750" i="1"/>
  <c r="W750" i="1"/>
  <c r="Q751" i="1"/>
  <c r="R751" i="1"/>
  <c r="S751" i="1"/>
  <c r="T751" i="1"/>
  <c r="U751" i="1"/>
  <c r="V751" i="1"/>
  <c r="W751" i="1"/>
  <c r="Q752" i="1"/>
  <c r="R752" i="1"/>
  <c r="S752" i="1"/>
  <c r="T752" i="1"/>
  <c r="U752" i="1"/>
  <c r="V752" i="1"/>
  <c r="W752" i="1"/>
  <c r="Q753" i="1"/>
  <c r="R753" i="1"/>
  <c r="S753" i="1"/>
  <c r="T753" i="1" s="1"/>
  <c r="U753" i="1"/>
  <c r="V753" i="1"/>
  <c r="W753" i="1"/>
  <c r="Q754" i="1"/>
  <c r="R754" i="1"/>
  <c r="S754" i="1"/>
  <c r="T754" i="1"/>
  <c r="U754" i="1"/>
  <c r="V754" i="1"/>
  <c r="W754" i="1"/>
  <c r="Q755" i="1"/>
  <c r="R755" i="1"/>
  <c r="S755" i="1"/>
  <c r="T755" i="1"/>
  <c r="U755" i="1"/>
  <c r="V755" i="1"/>
  <c r="W755" i="1"/>
  <c r="Q756" i="1"/>
  <c r="R756" i="1"/>
  <c r="S756" i="1"/>
  <c r="T756" i="1" s="1"/>
  <c r="U756" i="1"/>
  <c r="V756" i="1"/>
  <c r="W756" i="1"/>
  <c r="Q757" i="1"/>
  <c r="R757" i="1"/>
  <c r="S757" i="1"/>
  <c r="T757" i="1"/>
  <c r="U757" i="1"/>
  <c r="V757" i="1"/>
  <c r="W757" i="1"/>
  <c r="Q758" i="1"/>
  <c r="R758" i="1"/>
  <c r="S758" i="1"/>
  <c r="T758" i="1" s="1"/>
  <c r="U758" i="1"/>
  <c r="V758" i="1"/>
  <c r="W758" i="1"/>
  <c r="Q759" i="1"/>
  <c r="R759" i="1"/>
  <c r="S759" i="1"/>
  <c r="T759" i="1"/>
  <c r="U759" i="1"/>
  <c r="V759" i="1"/>
  <c r="W759" i="1"/>
  <c r="Q760" i="1"/>
  <c r="R760" i="1"/>
  <c r="S760" i="1"/>
  <c r="T760" i="1"/>
  <c r="U760" i="1"/>
  <c r="V760" i="1"/>
  <c r="W760" i="1"/>
  <c r="Q761" i="1"/>
  <c r="R761" i="1"/>
  <c r="S761" i="1"/>
  <c r="T761" i="1" s="1"/>
  <c r="U761" i="1"/>
  <c r="V761" i="1"/>
  <c r="W761" i="1"/>
  <c r="Q762" i="1"/>
  <c r="R762" i="1"/>
  <c r="S762" i="1"/>
  <c r="T762" i="1"/>
  <c r="U762" i="1"/>
  <c r="V762" i="1"/>
  <c r="W762" i="1"/>
  <c r="Q763" i="1"/>
  <c r="R763" i="1"/>
  <c r="S763" i="1"/>
  <c r="T763" i="1"/>
  <c r="V763" i="1"/>
  <c r="W763" i="1"/>
  <c r="Q764" i="1"/>
  <c r="R764" i="1"/>
  <c r="S764" i="1"/>
  <c r="T764" i="1"/>
  <c r="V764" i="1"/>
  <c r="W764" i="1"/>
  <c r="Q628" i="1"/>
  <c r="U628" i="1"/>
  <c r="V628" i="1"/>
  <c r="W628" i="1"/>
  <c r="Q629" i="1"/>
  <c r="U629" i="1"/>
  <c r="V629" i="1"/>
  <c r="W629" i="1"/>
  <c r="H628" i="1"/>
  <c r="H629" i="1"/>
  <c r="N4830" i="6"/>
  <c r="N4828" i="6"/>
  <c r="N4829" i="6"/>
  <c r="N4831" i="6"/>
  <c r="N4832" i="6"/>
  <c r="N4833" i="6"/>
  <c r="N4834" i="6"/>
  <c r="N4835" i="6"/>
  <c r="N4836" i="6"/>
  <c r="N4837" i="6"/>
  <c r="N4838" i="6"/>
  <c r="N4839" i="6"/>
  <c r="N4840" i="6"/>
  <c r="N4841" i="6"/>
  <c r="N4842" i="6"/>
  <c r="N4843" i="6"/>
  <c r="N4844" i="6"/>
  <c r="N4845" i="6"/>
  <c r="N4846" i="6"/>
  <c r="N4847" i="6"/>
  <c r="N4848" i="6"/>
  <c r="N4849" i="6"/>
  <c r="N4850" i="6"/>
  <c r="N4851" i="6"/>
  <c r="N4852" i="6"/>
  <c r="N4853" i="6"/>
  <c r="N4854" i="6"/>
  <c r="N4855" i="6"/>
  <c r="N4856" i="6"/>
  <c r="N4857" i="6"/>
  <c r="N4858" i="6"/>
  <c r="N4859" i="6"/>
  <c r="N4860" i="6"/>
  <c r="N4861" i="6"/>
  <c r="N4862" i="6"/>
  <c r="N4863" i="6"/>
  <c r="N4864" i="6"/>
  <c r="N4865" i="6"/>
  <c r="N4866" i="6"/>
  <c r="N4867" i="6"/>
  <c r="N4868" i="6"/>
  <c r="N4869" i="6"/>
  <c r="N4871" i="6"/>
  <c r="N4872" i="6"/>
  <c r="N4873" i="6"/>
  <c r="N4874" i="6"/>
  <c r="N4875" i="6"/>
  <c r="N4876" i="6"/>
  <c r="N4877" i="6"/>
  <c r="N4878" i="6"/>
  <c r="N4879" i="6"/>
  <c r="N4880" i="6"/>
  <c r="N4881" i="6"/>
  <c r="N4882" i="6"/>
  <c r="N4883" i="6"/>
  <c r="N4884" i="6"/>
  <c r="N4885" i="6"/>
  <c r="N4886" i="6"/>
  <c r="N4887" i="6"/>
  <c r="N4888" i="6"/>
  <c r="N4889" i="6"/>
  <c r="N4890" i="6"/>
  <c r="N4891" i="6"/>
  <c r="N4892" i="6"/>
  <c r="N4893" i="6"/>
  <c r="N4894" i="6"/>
  <c r="N4895" i="6"/>
  <c r="N4896" i="6"/>
  <c r="N4897" i="6"/>
  <c r="N4898" i="6"/>
  <c r="N4899" i="6"/>
  <c r="N4900" i="6"/>
  <c r="N4901" i="6"/>
  <c r="N4902" i="6"/>
  <c r="N4903" i="6"/>
  <c r="N4904" i="6"/>
  <c r="N4905" i="6"/>
  <c r="N4906" i="6"/>
  <c r="N4907" i="6"/>
  <c r="N4908" i="6"/>
  <c r="N4909" i="6"/>
  <c r="N4910" i="6"/>
  <c r="N4911" i="6"/>
  <c r="N4912" i="6"/>
  <c r="N4913" i="6"/>
  <c r="N4914" i="6"/>
  <c r="N4915" i="6"/>
  <c r="N4916" i="6"/>
  <c r="N4917" i="6"/>
  <c r="N4918" i="6"/>
  <c r="N4919" i="6"/>
  <c r="N4920" i="6"/>
  <c r="N4921" i="6"/>
  <c r="N4922" i="6"/>
  <c r="N4923" i="6"/>
  <c r="N4924" i="6"/>
  <c r="N4925" i="6"/>
  <c r="N4926" i="6"/>
  <c r="N4927" i="6"/>
  <c r="N4928" i="6"/>
  <c r="N4929" i="6"/>
  <c r="N4930" i="6"/>
  <c r="N4931" i="6"/>
  <c r="N4932" i="6"/>
  <c r="N4933" i="6"/>
  <c r="N4934" i="6"/>
  <c r="N4935" i="6"/>
  <c r="N4936" i="6"/>
  <c r="N4937" i="6"/>
  <c r="N4938" i="6"/>
  <c r="N4939" i="6"/>
  <c r="N4940" i="6"/>
  <c r="N4941" i="6"/>
  <c r="N4942" i="6"/>
  <c r="N4943" i="6"/>
  <c r="N4944" i="6"/>
  <c r="N4945" i="6"/>
  <c r="N4946" i="6"/>
  <c r="N4947" i="6"/>
  <c r="N4948" i="6"/>
  <c r="N4949" i="6"/>
  <c r="N4950" i="6"/>
  <c r="N4951" i="6"/>
  <c r="N4952" i="6"/>
  <c r="N4953" i="6"/>
  <c r="N4954" i="6"/>
  <c r="N4955" i="6"/>
  <c r="N4956" i="6"/>
  <c r="N4957" i="6"/>
  <c r="N4958" i="6"/>
  <c r="N4959" i="6"/>
  <c r="N4960" i="6"/>
  <c r="N4961" i="6"/>
  <c r="N4962" i="6"/>
  <c r="N4967" i="6"/>
  <c r="N4968" i="6"/>
  <c r="N4969" i="6"/>
  <c r="N4970" i="6"/>
  <c r="N4963" i="6"/>
  <c r="N4964" i="6"/>
  <c r="N4965" i="6"/>
  <c r="N4966" i="6"/>
  <c r="N4798" i="6"/>
  <c r="N4799" i="6"/>
  <c r="N4800" i="6"/>
  <c r="N4801" i="6"/>
  <c r="N4802" i="6"/>
  <c r="N4803" i="6"/>
  <c r="N4804" i="6"/>
  <c r="N4805" i="6"/>
  <c r="N4806" i="6"/>
  <c r="N4807" i="6"/>
  <c r="N4808" i="6"/>
  <c r="N4809" i="6"/>
  <c r="N4810" i="6"/>
  <c r="N4811" i="6"/>
  <c r="N4812" i="6"/>
  <c r="N4813" i="6"/>
  <c r="N4814" i="6"/>
  <c r="N4815" i="6"/>
  <c r="N4816" i="6"/>
  <c r="N4817" i="6"/>
  <c r="N4818" i="6"/>
  <c r="N4819" i="6"/>
  <c r="N4820" i="6"/>
  <c r="N4821" i="6"/>
  <c r="N4822" i="6"/>
  <c r="N4823" i="6"/>
  <c r="N4824" i="6"/>
  <c r="N4825" i="6"/>
  <c r="N4826" i="6"/>
  <c r="N4827" i="6"/>
  <c r="N4797" i="6"/>
  <c r="Q627" i="1"/>
  <c r="U627" i="1"/>
  <c r="V627" i="1"/>
  <c r="W627" i="1"/>
  <c r="H627" i="1"/>
  <c r="Q626" i="1"/>
  <c r="U626" i="1"/>
  <c r="V626" i="1"/>
  <c r="W626" i="1"/>
  <c r="H626" i="1"/>
  <c r="V153" i="1"/>
  <c r="U153" i="1"/>
  <c r="Q153" i="1"/>
  <c r="V152" i="1"/>
  <c r="U152" i="1"/>
  <c r="Q152" i="1"/>
  <c r="V151" i="1"/>
  <c r="U151" i="1"/>
  <c r="Q151" i="1"/>
  <c r="V150" i="1"/>
  <c r="U150" i="1"/>
  <c r="Q150" i="1"/>
  <c r="V149" i="1"/>
  <c r="U149" i="1"/>
  <c r="Q149" i="1"/>
  <c r="V148" i="1"/>
  <c r="U148" i="1"/>
  <c r="Q148" i="1"/>
  <c r="V147" i="1"/>
  <c r="U147" i="1"/>
  <c r="Q147" i="1"/>
  <c r="V146" i="1"/>
  <c r="U146" i="1"/>
  <c r="Q146" i="1"/>
  <c r="V145" i="1"/>
  <c r="U145" i="1"/>
  <c r="Q145" i="1"/>
  <c r="V144" i="1"/>
  <c r="U144" i="1"/>
  <c r="Q144" i="1"/>
  <c r="V143" i="1"/>
  <c r="U143" i="1"/>
  <c r="Q143" i="1"/>
  <c r="V142" i="1"/>
  <c r="U142" i="1"/>
  <c r="Q142" i="1"/>
  <c r="V141" i="1"/>
  <c r="U141" i="1"/>
  <c r="Q141" i="1"/>
  <c r="V140" i="1"/>
  <c r="U140" i="1"/>
  <c r="Q140" i="1"/>
  <c r="V139" i="1"/>
  <c r="U139" i="1"/>
  <c r="Q139" i="1"/>
  <c r="V138" i="1"/>
  <c r="U138" i="1"/>
  <c r="Q138" i="1"/>
  <c r="V137" i="1"/>
  <c r="U137" i="1"/>
  <c r="Q137" i="1"/>
  <c r="V136" i="1"/>
  <c r="U136" i="1"/>
  <c r="Q136" i="1"/>
  <c r="V135" i="1"/>
  <c r="U135" i="1"/>
  <c r="Q135" i="1"/>
  <c r="V134" i="1"/>
  <c r="U134" i="1"/>
  <c r="Q134" i="1"/>
  <c r="V133" i="1"/>
  <c r="U133" i="1"/>
  <c r="Q133" i="1"/>
  <c r="V132" i="1"/>
  <c r="U132" i="1"/>
  <c r="Q132" i="1"/>
  <c r="V131" i="1"/>
  <c r="U131" i="1"/>
  <c r="Q131" i="1"/>
  <c r="V130" i="1"/>
  <c r="U130" i="1"/>
  <c r="Q130" i="1"/>
  <c r="V129" i="1"/>
  <c r="U129" i="1"/>
  <c r="Q129" i="1"/>
  <c r="V128" i="1"/>
  <c r="U128" i="1"/>
  <c r="Q128" i="1"/>
  <c r="V127" i="1"/>
  <c r="U127" i="1"/>
  <c r="Q127" i="1"/>
  <c r="V126" i="1"/>
  <c r="U126" i="1"/>
  <c r="Q126" i="1"/>
  <c r="V125" i="1"/>
  <c r="U125" i="1"/>
  <c r="Q125" i="1"/>
  <c r="V124" i="1"/>
  <c r="U124" i="1"/>
  <c r="Q124" i="1"/>
  <c r="V123" i="1"/>
  <c r="U123" i="1"/>
  <c r="Q123" i="1"/>
  <c r="V122" i="1"/>
  <c r="U122" i="1"/>
  <c r="Q122" i="1"/>
  <c r="V121" i="1"/>
  <c r="U121" i="1"/>
  <c r="Q121" i="1"/>
  <c r="V120" i="1"/>
  <c r="U120" i="1"/>
  <c r="Q120" i="1"/>
  <c r="V119" i="1"/>
  <c r="U119" i="1"/>
  <c r="Q119" i="1"/>
  <c r="V118" i="1"/>
  <c r="U118" i="1"/>
  <c r="Q118" i="1"/>
  <c r="V117" i="1"/>
  <c r="U117" i="1"/>
  <c r="Q117" i="1"/>
  <c r="V116" i="1"/>
  <c r="U116" i="1"/>
  <c r="Q116" i="1"/>
  <c r="V114" i="1"/>
  <c r="U114" i="1"/>
  <c r="Q114" i="1"/>
  <c r="V113" i="1"/>
  <c r="U113" i="1"/>
  <c r="Q113" i="1"/>
  <c r="V112" i="1"/>
  <c r="U112" i="1"/>
  <c r="Q112" i="1"/>
  <c r="V111" i="1"/>
  <c r="U111" i="1"/>
  <c r="Q111" i="1"/>
  <c r="V110" i="1"/>
  <c r="U110" i="1"/>
  <c r="Q110" i="1"/>
  <c r="V109" i="1"/>
  <c r="U109" i="1"/>
  <c r="Q109" i="1"/>
  <c r="V108" i="1"/>
  <c r="U108" i="1"/>
  <c r="Q108" i="1"/>
  <c r="V107" i="1"/>
  <c r="U107" i="1"/>
  <c r="Q107" i="1"/>
  <c r="V106" i="1"/>
  <c r="U106" i="1"/>
  <c r="Q106" i="1"/>
  <c r="V105" i="1"/>
  <c r="U105" i="1"/>
  <c r="Q105" i="1"/>
  <c r="V104" i="1"/>
  <c r="U104" i="1"/>
  <c r="Q104" i="1"/>
  <c r="V103" i="1"/>
  <c r="U103" i="1"/>
  <c r="Q103" i="1"/>
  <c r="V102" i="1"/>
  <c r="U102" i="1"/>
  <c r="Q102" i="1"/>
  <c r="V101" i="1"/>
  <c r="U101" i="1"/>
  <c r="Q101" i="1"/>
  <c r="V100" i="1"/>
  <c r="U100" i="1"/>
  <c r="Q100" i="1"/>
  <c r="V99" i="1"/>
  <c r="U99" i="1"/>
  <c r="Q99" i="1"/>
  <c r="V98" i="1"/>
  <c r="U98" i="1"/>
  <c r="Q98" i="1"/>
  <c r="V97" i="1"/>
  <c r="U97" i="1"/>
  <c r="Q97" i="1"/>
  <c r="V96" i="1"/>
  <c r="U96" i="1"/>
  <c r="Q96" i="1"/>
  <c r="V95" i="1"/>
  <c r="U95" i="1"/>
  <c r="Q95" i="1"/>
  <c r="V94" i="1"/>
  <c r="U94" i="1"/>
  <c r="Q94" i="1"/>
  <c r="V93" i="1"/>
  <c r="U93" i="1"/>
  <c r="Q93" i="1"/>
  <c r="V92" i="1"/>
  <c r="U92" i="1"/>
  <c r="Q92" i="1"/>
  <c r="V91" i="1"/>
  <c r="U91" i="1"/>
  <c r="Q91" i="1"/>
  <c r="V90" i="1"/>
  <c r="U90" i="1"/>
  <c r="Q90" i="1"/>
  <c r="V89" i="1"/>
  <c r="U89" i="1"/>
  <c r="Q89" i="1"/>
  <c r="V88" i="1"/>
  <c r="U88" i="1"/>
  <c r="Q88" i="1"/>
  <c r="V87" i="1"/>
  <c r="U87" i="1"/>
  <c r="Q87" i="1"/>
  <c r="V86" i="1"/>
  <c r="U86" i="1"/>
  <c r="Q86" i="1"/>
  <c r="V85" i="1"/>
  <c r="U85" i="1"/>
  <c r="Q85" i="1"/>
  <c r="V84" i="1"/>
  <c r="U84" i="1"/>
  <c r="Q84" i="1"/>
  <c r="V83" i="1"/>
  <c r="U83" i="1"/>
  <c r="Q83" i="1"/>
  <c r="V82" i="1"/>
  <c r="U82" i="1"/>
  <c r="Q82" i="1"/>
  <c r="V81" i="1"/>
  <c r="U81" i="1"/>
  <c r="Q81" i="1"/>
  <c r="V79" i="1"/>
  <c r="U79" i="1"/>
  <c r="Q79" i="1"/>
  <c r="V78" i="1"/>
  <c r="U78" i="1"/>
  <c r="Q78" i="1"/>
  <c r="V77" i="1"/>
  <c r="U77" i="1"/>
  <c r="Q77" i="1"/>
  <c r="V76" i="1"/>
  <c r="U76" i="1"/>
  <c r="Q76" i="1"/>
  <c r="V75" i="1"/>
  <c r="U75" i="1"/>
  <c r="Q75" i="1"/>
  <c r="V74" i="1"/>
  <c r="U74" i="1"/>
  <c r="Q74" i="1"/>
  <c r="V73" i="1"/>
  <c r="U73" i="1"/>
  <c r="Q73" i="1"/>
  <c r="V72" i="1"/>
  <c r="U72" i="1"/>
  <c r="Q72" i="1"/>
  <c r="V71" i="1"/>
  <c r="U71" i="1"/>
  <c r="Q71" i="1"/>
  <c r="V70" i="1"/>
  <c r="U70" i="1"/>
  <c r="Q70" i="1"/>
  <c r="V69" i="1"/>
  <c r="U69" i="1"/>
  <c r="Q69" i="1"/>
  <c r="V68" i="1"/>
  <c r="U68" i="1"/>
  <c r="Q68" i="1"/>
  <c r="V67" i="1"/>
  <c r="U67" i="1"/>
  <c r="Q67" i="1"/>
  <c r="V66" i="1"/>
  <c r="U66" i="1"/>
  <c r="Q66" i="1"/>
  <c r="V65" i="1"/>
  <c r="U65" i="1"/>
  <c r="Q65" i="1"/>
  <c r="V64" i="1"/>
  <c r="U64" i="1"/>
  <c r="Q64" i="1"/>
  <c r="V63" i="1"/>
  <c r="U63" i="1"/>
  <c r="Q63" i="1"/>
  <c r="V62" i="1"/>
  <c r="U62" i="1"/>
  <c r="Q62" i="1"/>
  <c r="V61" i="1"/>
  <c r="U61" i="1"/>
  <c r="Q61" i="1"/>
  <c r="V60" i="1"/>
  <c r="U60" i="1"/>
  <c r="Q60" i="1"/>
  <c r="V59" i="1"/>
  <c r="U59" i="1"/>
  <c r="Q59" i="1"/>
  <c r="V58" i="1"/>
  <c r="U58" i="1"/>
  <c r="Q58" i="1"/>
  <c r="V57" i="1"/>
  <c r="U57" i="1"/>
  <c r="Q57" i="1"/>
  <c r="V56" i="1"/>
  <c r="U56" i="1"/>
  <c r="Q56" i="1"/>
  <c r="V55" i="1"/>
  <c r="U55" i="1"/>
  <c r="Q55" i="1"/>
  <c r="V54" i="1"/>
  <c r="U54" i="1"/>
  <c r="Q54" i="1"/>
  <c r="V53" i="1"/>
  <c r="U53" i="1"/>
  <c r="Q53" i="1"/>
  <c r="V52" i="1"/>
  <c r="U52" i="1"/>
  <c r="Q52" i="1"/>
  <c r="V51" i="1"/>
  <c r="U51" i="1"/>
  <c r="Q51" i="1"/>
  <c r="V50" i="1"/>
  <c r="U50" i="1"/>
  <c r="Q50" i="1"/>
  <c r="V49" i="1"/>
  <c r="U49" i="1"/>
  <c r="Q49" i="1"/>
  <c r="V48" i="1"/>
  <c r="U48" i="1"/>
  <c r="Q48" i="1"/>
  <c r="V47" i="1"/>
  <c r="U47" i="1"/>
  <c r="Q47" i="1"/>
  <c r="V46" i="1"/>
  <c r="U46" i="1"/>
  <c r="Q46" i="1"/>
  <c r="V45" i="1"/>
  <c r="U45" i="1"/>
  <c r="Q45" i="1"/>
  <c r="V44" i="1"/>
  <c r="U44" i="1"/>
  <c r="Q44" i="1"/>
  <c r="V43" i="1"/>
  <c r="U43" i="1"/>
  <c r="Q43" i="1"/>
  <c r="V42" i="1"/>
  <c r="U42" i="1"/>
  <c r="Q42" i="1"/>
  <c r="V41" i="1"/>
  <c r="U41" i="1"/>
  <c r="Q41" i="1"/>
  <c r="V40" i="1"/>
  <c r="U40" i="1"/>
  <c r="Q40" i="1"/>
  <c r="V39" i="1"/>
  <c r="U39" i="1"/>
  <c r="Q39" i="1"/>
  <c r="V38" i="1"/>
  <c r="U38" i="1"/>
  <c r="Q38" i="1"/>
  <c r="W625" i="1"/>
  <c r="V625" i="1"/>
  <c r="U625" i="1"/>
  <c r="Q625" i="1"/>
  <c r="W624" i="1"/>
  <c r="V624" i="1"/>
  <c r="U624" i="1"/>
  <c r="Q624" i="1"/>
  <c r="W623" i="1"/>
  <c r="V623" i="1"/>
  <c r="U623" i="1"/>
  <c r="Q623" i="1"/>
  <c r="W622" i="1"/>
  <c r="V622" i="1"/>
  <c r="U622" i="1"/>
  <c r="Q622" i="1"/>
  <c r="W621" i="1"/>
  <c r="V621" i="1"/>
  <c r="U621" i="1"/>
  <c r="Q621" i="1"/>
  <c r="W620" i="1"/>
  <c r="V620" i="1"/>
  <c r="U620" i="1"/>
  <c r="Q620" i="1"/>
  <c r="W619" i="1"/>
  <c r="V619" i="1"/>
  <c r="U619" i="1"/>
  <c r="Q619" i="1"/>
  <c r="W618" i="1"/>
  <c r="V618" i="1"/>
  <c r="U618" i="1"/>
  <c r="Q618" i="1"/>
  <c r="W617" i="1"/>
  <c r="V617" i="1"/>
  <c r="U617" i="1"/>
  <c r="Q617" i="1"/>
  <c r="W616" i="1"/>
  <c r="V616" i="1"/>
  <c r="U616" i="1"/>
  <c r="Q616" i="1"/>
  <c r="W615" i="1"/>
  <c r="V615" i="1"/>
  <c r="U615" i="1"/>
  <c r="Q615" i="1"/>
  <c r="W614" i="1"/>
  <c r="V614" i="1"/>
  <c r="U614" i="1"/>
  <c r="Q614" i="1"/>
  <c r="W613" i="1"/>
  <c r="V613" i="1"/>
  <c r="U613" i="1"/>
  <c r="Q613" i="1"/>
  <c r="W612" i="1"/>
  <c r="V612" i="1"/>
  <c r="U612" i="1"/>
  <c r="Q612" i="1"/>
  <c r="W611" i="1"/>
  <c r="V611" i="1"/>
  <c r="U611" i="1"/>
  <c r="Q611" i="1"/>
  <c r="W610" i="1"/>
  <c r="V610" i="1"/>
  <c r="U610" i="1"/>
  <c r="Q610" i="1"/>
  <c r="W609" i="1"/>
  <c r="V609" i="1"/>
  <c r="U609" i="1"/>
  <c r="Q609" i="1"/>
  <c r="H625" i="1"/>
  <c r="H620" i="1"/>
  <c r="H621" i="1"/>
  <c r="H622" i="1"/>
  <c r="H623" i="1"/>
  <c r="H624" i="1"/>
  <c r="X677" i="1" l="1"/>
  <c r="Z677" i="1" s="1"/>
  <c r="Y677" i="1"/>
  <c r="X676" i="1"/>
  <c r="Z676" i="1" s="1"/>
  <c r="Y676" i="1"/>
  <c r="X678" i="1"/>
  <c r="Z678" i="1" s="1"/>
  <c r="Y678" i="1"/>
  <c r="X738" i="1"/>
  <c r="Z738" i="1" s="1"/>
  <c r="Y738" i="1"/>
  <c r="X739" i="1"/>
  <c r="Z739" i="1" s="1"/>
  <c r="Y739" i="1"/>
  <c r="X740" i="1"/>
  <c r="Z740" i="1" s="1"/>
  <c r="Y740" i="1"/>
  <c r="X741" i="1"/>
  <c r="Z741" i="1" s="1"/>
  <c r="Y741" i="1"/>
  <c r="X742" i="1"/>
  <c r="Z742" i="1" s="1"/>
  <c r="Y742" i="1"/>
  <c r="X743" i="1"/>
  <c r="Z743" i="1" s="1"/>
  <c r="Y743" i="1"/>
  <c r="X744" i="1"/>
  <c r="Z744" i="1" s="1"/>
  <c r="Y744" i="1"/>
  <c r="X745" i="1"/>
  <c r="Z745" i="1" s="1"/>
  <c r="Y745" i="1"/>
  <c r="X746" i="1"/>
  <c r="Z746" i="1" s="1"/>
  <c r="Y746" i="1"/>
  <c r="X747" i="1"/>
  <c r="Z747" i="1" s="1"/>
  <c r="Y747" i="1"/>
  <c r="X748" i="1"/>
  <c r="Z748" i="1" s="1"/>
  <c r="Y748" i="1"/>
  <c r="X679" i="1"/>
  <c r="Z679" i="1" s="1"/>
  <c r="Y679" i="1"/>
  <c r="X673" i="1"/>
  <c r="Z673" i="1" s="1"/>
  <c r="Y673" i="1"/>
  <c r="X674" i="1"/>
  <c r="Z674" i="1" s="1"/>
  <c r="Y674" i="1"/>
  <c r="X675" i="1"/>
  <c r="Z675" i="1" s="1"/>
  <c r="Y675" i="1"/>
  <c r="X697" i="1"/>
  <c r="Z697" i="1" s="1"/>
  <c r="Y697" i="1"/>
  <c r="X704" i="1"/>
  <c r="Z704" i="1" s="1"/>
  <c r="Y704" i="1"/>
  <c r="X716" i="1"/>
  <c r="Z716" i="1" s="1"/>
  <c r="Y716" i="1"/>
  <c r="X717" i="1"/>
  <c r="Z717" i="1" s="1"/>
  <c r="Y717" i="1"/>
  <c r="X718" i="1"/>
  <c r="Z718" i="1" s="1"/>
  <c r="Y718" i="1"/>
  <c r="X720" i="1"/>
  <c r="Z720" i="1" s="1"/>
  <c r="Y720" i="1"/>
  <c r="X654" i="1"/>
  <c r="Z654" i="1" s="1"/>
  <c r="Y654" i="1"/>
  <c r="X695" i="1"/>
  <c r="Z695" i="1" s="1"/>
  <c r="Y695" i="1"/>
  <c r="X696" i="1"/>
  <c r="Z696" i="1" s="1"/>
  <c r="Y696" i="1"/>
  <c r="X698" i="1"/>
  <c r="Z698" i="1" s="1"/>
  <c r="Y698" i="1"/>
  <c r="X699" i="1"/>
  <c r="Z699" i="1" s="1"/>
  <c r="Y699" i="1"/>
  <c r="X700" i="1"/>
  <c r="Z700" i="1" s="1"/>
  <c r="Y700" i="1"/>
  <c r="X701" i="1"/>
  <c r="Z701" i="1" s="1"/>
  <c r="Y701" i="1"/>
  <c r="X702" i="1"/>
  <c r="Z702" i="1" s="1"/>
  <c r="Y702" i="1"/>
  <c r="X653" i="1"/>
  <c r="Z653" i="1" s="1"/>
  <c r="Y653" i="1"/>
  <c r="X680" i="1"/>
  <c r="Z680" i="1" s="1"/>
  <c r="Y680" i="1"/>
  <c r="X719" i="1"/>
  <c r="Z719" i="1" s="1"/>
  <c r="Y719" i="1"/>
  <c r="X721" i="1"/>
  <c r="Z721" i="1" s="1"/>
  <c r="Y721" i="1"/>
  <c r="X722" i="1"/>
  <c r="Z722" i="1" s="1"/>
  <c r="Y722" i="1"/>
  <c r="X723" i="1"/>
  <c r="Z723" i="1" s="1"/>
  <c r="Y723" i="1"/>
  <c r="X724" i="1"/>
  <c r="Z724" i="1" s="1"/>
  <c r="Y724" i="1"/>
  <c r="X652" i="1"/>
  <c r="Z652" i="1" s="1"/>
  <c r="Y652" i="1"/>
  <c r="X655" i="1"/>
  <c r="Z655" i="1" s="1"/>
  <c r="Y655" i="1"/>
  <c r="X703" i="1"/>
  <c r="Z703" i="1" s="1"/>
  <c r="Y703" i="1"/>
  <c r="X749" i="1"/>
  <c r="Z749" i="1" s="1"/>
  <c r="Y749" i="1"/>
  <c r="Y760" i="1"/>
  <c r="X760" i="1"/>
  <c r="Z760" i="1" s="1"/>
  <c r="Y630" i="1"/>
  <c r="X630" i="1"/>
  <c r="Z630" i="1" s="1"/>
  <c r="X631" i="1"/>
  <c r="Z631" i="1" s="1"/>
  <c r="Y631" i="1"/>
  <c r="X632" i="1"/>
  <c r="Z632" i="1" s="1"/>
  <c r="Y632" i="1"/>
  <c r="X633" i="1"/>
  <c r="Z633" i="1" s="1"/>
  <c r="Y633" i="1"/>
  <c r="X634" i="1"/>
  <c r="Z634" i="1" s="1"/>
  <c r="Y634" i="1"/>
  <c r="X635" i="1"/>
  <c r="Z635" i="1" s="1"/>
  <c r="Y635" i="1"/>
  <c r="X636" i="1"/>
  <c r="Z636" i="1" s="1"/>
  <c r="Y636" i="1"/>
  <c r="Y637" i="1"/>
  <c r="X637" i="1"/>
  <c r="Z637" i="1" s="1"/>
  <c r="Y638" i="1"/>
  <c r="X638" i="1"/>
  <c r="Z638" i="1" s="1"/>
  <c r="Y639" i="1"/>
  <c r="X639" i="1"/>
  <c r="Z639" i="1" s="1"/>
  <c r="Y640" i="1"/>
  <c r="X640" i="1"/>
  <c r="Z640" i="1" s="1"/>
  <c r="X641" i="1"/>
  <c r="Z641" i="1" s="1"/>
  <c r="Y641" i="1"/>
  <c r="Y642" i="1"/>
  <c r="X642" i="1"/>
  <c r="Z642" i="1" s="1"/>
  <c r="Y643" i="1"/>
  <c r="X643" i="1"/>
  <c r="Z643" i="1" s="1"/>
  <c r="X644" i="1"/>
  <c r="Z644" i="1" s="1"/>
  <c r="Y644" i="1"/>
  <c r="Y645" i="1"/>
  <c r="X645" i="1"/>
  <c r="Z645" i="1" s="1"/>
  <c r="X646" i="1"/>
  <c r="Z646" i="1" s="1"/>
  <c r="Y646" i="1"/>
  <c r="Y647" i="1"/>
  <c r="X647" i="1"/>
  <c r="Z647" i="1" s="1"/>
  <c r="X648" i="1"/>
  <c r="Z648" i="1" s="1"/>
  <c r="Y648" i="1"/>
  <c r="X649" i="1"/>
  <c r="Z649" i="1" s="1"/>
  <c r="Y649" i="1"/>
  <c r="X650" i="1"/>
  <c r="Z650" i="1" s="1"/>
  <c r="Y650" i="1"/>
  <c r="X651" i="1"/>
  <c r="Z651" i="1" s="1"/>
  <c r="Y651" i="1"/>
  <c r="X656" i="1"/>
  <c r="Z656" i="1" s="1"/>
  <c r="Y656" i="1"/>
  <c r="Y657" i="1"/>
  <c r="X657" i="1"/>
  <c r="Z657" i="1" s="1"/>
  <c r="X658" i="1"/>
  <c r="Z658" i="1" s="1"/>
  <c r="Y658" i="1"/>
  <c r="X659" i="1"/>
  <c r="Z659" i="1" s="1"/>
  <c r="Y659" i="1"/>
  <c r="X660" i="1"/>
  <c r="Z660" i="1" s="1"/>
  <c r="Y660" i="1"/>
  <c r="X661" i="1"/>
  <c r="Z661" i="1" s="1"/>
  <c r="Y661" i="1"/>
  <c r="X662" i="1"/>
  <c r="Z662" i="1" s="1"/>
  <c r="Y662" i="1"/>
  <c r="Y663" i="1"/>
  <c r="X663" i="1"/>
  <c r="Z663" i="1" s="1"/>
  <c r="X664" i="1"/>
  <c r="Z664" i="1" s="1"/>
  <c r="Y664" i="1"/>
  <c r="X665" i="1"/>
  <c r="Z665" i="1" s="1"/>
  <c r="Y665" i="1"/>
  <c r="Y666" i="1"/>
  <c r="X666" i="1"/>
  <c r="Z666" i="1" s="1"/>
  <c r="X667" i="1"/>
  <c r="Z667" i="1" s="1"/>
  <c r="Y667" i="1"/>
  <c r="Y668" i="1"/>
  <c r="X668" i="1"/>
  <c r="Z668" i="1" s="1"/>
  <c r="Y669" i="1"/>
  <c r="X669" i="1"/>
  <c r="Z669" i="1" s="1"/>
  <c r="X670" i="1"/>
  <c r="Z670" i="1" s="1"/>
  <c r="Y670" i="1"/>
  <c r="Y671" i="1"/>
  <c r="X671" i="1"/>
  <c r="Z671" i="1" s="1"/>
  <c r="Y672" i="1"/>
  <c r="X672" i="1"/>
  <c r="Z672" i="1" s="1"/>
  <c r="Y681" i="1"/>
  <c r="X681" i="1"/>
  <c r="Z681" i="1" s="1"/>
  <c r="X682" i="1"/>
  <c r="Z682" i="1" s="1"/>
  <c r="Y682" i="1"/>
  <c r="Y683" i="1"/>
  <c r="X683" i="1"/>
  <c r="Z683" i="1" s="1"/>
  <c r="Y684" i="1"/>
  <c r="X684" i="1"/>
  <c r="Z684" i="1" s="1"/>
  <c r="X685" i="1"/>
  <c r="Z685" i="1" s="1"/>
  <c r="Y685" i="1"/>
  <c r="X686" i="1"/>
  <c r="Z686" i="1" s="1"/>
  <c r="Y686" i="1"/>
  <c r="X687" i="1"/>
  <c r="Z687" i="1" s="1"/>
  <c r="Y687" i="1"/>
  <c r="X688" i="1"/>
  <c r="Z688" i="1" s="1"/>
  <c r="Y688" i="1"/>
  <c r="Y689" i="1"/>
  <c r="X689" i="1"/>
  <c r="Z689" i="1" s="1"/>
  <c r="X690" i="1"/>
  <c r="Z690" i="1" s="1"/>
  <c r="Y690" i="1"/>
  <c r="X691" i="1"/>
  <c r="Z691" i="1" s="1"/>
  <c r="Y691" i="1"/>
  <c r="X692" i="1"/>
  <c r="Z692" i="1" s="1"/>
  <c r="Y692" i="1"/>
  <c r="X693" i="1"/>
  <c r="Z693" i="1" s="1"/>
  <c r="Y693" i="1"/>
  <c r="X694" i="1"/>
  <c r="Z694" i="1" s="1"/>
  <c r="Y694" i="1"/>
  <c r="Y705" i="1"/>
  <c r="X705" i="1"/>
  <c r="Z705" i="1" s="1"/>
  <c r="Y706" i="1"/>
  <c r="X706" i="1"/>
  <c r="Z706" i="1" s="1"/>
  <c r="X707" i="1"/>
  <c r="Z707" i="1" s="1"/>
  <c r="Y707" i="1"/>
  <c r="Y708" i="1"/>
  <c r="X708" i="1"/>
  <c r="Z708" i="1" s="1"/>
  <c r="Y709" i="1"/>
  <c r="X709" i="1"/>
  <c r="Z709" i="1" s="1"/>
  <c r="X710" i="1"/>
  <c r="Z710" i="1" s="1"/>
  <c r="Y710" i="1"/>
  <c r="X711" i="1"/>
  <c r="Z711" i="1" s="1"/>
  <c r="Y711" i="1"/>
  <c r="X712" i="1"/>
  <c r="Z712" i="1" s="1"/>
  <c r="Y712" i="1"/>
  <c r="Y713" i="1"/>
  <c r="X713" i="1"/>
  <c r="Z713" i="1" s="1"/>
  <c r="Y714" i="1"/>
  <c r="X714" i="1"/>
  <c r="Z714" i="1" s="1"/>
  <c r="Y715" i="1"/>
  <c r="X715" i="1"/>
  <c r="Z715" i="1" s="1"/>
  <c r="Y725" i="1"/>
  <c r="X725" i="1"/>
  <c r="Z725" i="1" s="1"/>
  <c r="Y726" i="1"/>
  <c r="X726" i="1"/>
  <c r="Z726" i="1" s="1"/>
  <c r="X727" i="1"/>
  <c r="Z727" i="1" s="1"/>
  <c r="Y727" i="1"/>
  <c r="Y728" i="1"/>
  <c r="X728" i="1"/>
  <c r="Z728" i="1" s="1"/>
  <c r="X729" i="1"/>
  <c r="Z729" i="1" s="1"/>
  <c r="Y729" i="1"/>
  <c r="X730" i="1"/>
  <c r="Z730" i="1" s="1"/>
  <c r="Y730" i="1"/>
  <c r="X731" i="1"/>
  <c r="Z731" i="1" s="1"/>
  <c r="Y731" i="1"/>
  <c r="Y732" i="1"/>
  <c r="X732" i="1"/>
  <c r="Z732" i="1" s="1"/>
  <c r="X733" i="1"/>
  <c r="Z733" i="1" s="1"/>
  <c r="Y733" i="1"/>
  <c r="Y734" i="1"/>
  <c r="X734" i="1"/>
  <c r="Z734" i="1" s="1"/>
  <c r="X735" i="1"/>
  <c r="Z735" i="1" s="1"/>
  <c r="Y735" i="1"/>
  <c r="Y736" i="1"/>
  <c r="X736" i="1"/>
  <c r="Z736" i="1" s="1"/>
  <c r="X737" i="1"/>
  <c r="Z737" i="1" s="1"/>
  <c r="Y737" i="1"/>
  <c r="Y750" i="1"/>
  <c r="X750" i="1"/>
  <c r="Z750" i="1" s="1"/>
  <c r="X751" i="1"/>
  <c r="Z751" i="1" s="1"/>
  <c r="Y751" i="1"/>
  <c r="X752" i="1"/>
  <c r="Z752" i="1" s="1"/>
  <c r="Y752" i="1"/>
  <c r="Y753" i="1"/>
  <c r="X753" i="1"/>
  <c r="Z753" i="1" s="1"/>
  <c r="X754" i="1"/>
  <c r="Z754" i="1" s="1"/>
  <c r="Y754" i="1"/>
  <c r="X755" i="1"/>
  <c r="Z755" i="1" s="1"/>
  <c r="Y755" i="1"/>
  <c r="Y756" i="1"/>
  <c r="X756" i="1"/>
  <c r="Z756" i="1" s="1"/>
  <c r="X757" i="1"/>
  <c r="Z757" i="1" s="1"/>
  <c r="Y757" i="1"/>
  <c r="X758" i="1"/>
  <c r="Z758" i="1" s="1"/>
  <c r="Y758" i="1"/>
  <c r="Y759" i="1"/>
  <c r="X759" i="1"/>
  <c r="Z759" i="1" s="1"/>
  <c r="X761" i="1"/>
  <c r="Z761" i="1" s="1"/>
  <c r="Y761" i="1"/>
  <c r="X762" i="1"/>
  <c r="Z762" i="1" s="1"/>
  <c r="Y762" i="1"/>
  <c r="Y763" i="1"/>
  <c r="X763" i="1"/>
  <c r="Z763" i="1" s="1"/>
  <c r="Y764" i="1"/>
  <c r="X764" i="1"/>
  <c r="Z764" i="1" s="1"/>
  <c r="S628" i="1"/>
  <c r="T628" i="1" s="1"/>
  <c r="R628" i="1"/>
  <c r="R629" i="1"/>
  <c r="S629" i="1"/>
  <c r="T629" i="1" s="1"/>
  <c r="X628" i="1"/>
  <c r="Z628" i="1" s="1"/>
  <c r="Y628" i="1"/>
  <c r="X629" i="1"/>
  <c r="Z629" i="1" s="1"/>
  <c r="Y629" i="1"/>
  <c r="R627" i="1"/>
  <c r="S627" i="1"/>
  <c r="T627" i="1" s="1"/>
  <c r="X627" i="1"/>
  <c r="Z627" i="1" s="1"/>
  <c r="Y627" i="1"/>
  <c r="Y626" i="1"/>
  <c r="X626" i="1"/>
  <c r="Z626" i="1" s="1"/>
  <c r="R626" i="1"/>
  <c r="S626" i="1"/>
  <c r="T626" i="1" s="1"/>
  <c r="X98" i="1"/>
  <c r="Y98" i="1"/>
  <c r="S624" i="1"/>
  <c r="T624" i="1" s="1"/>
  <c r="R624" i="1"/>
  <c r="Y122" i="1"/>
  <c r="X122" i="1"/>
  <c r="Y90" i="1"/>
  <c r="X90" i="1"/>
  <c r="Y82" i="1"/>
  <c r="X82" i="1"/>
  <c r="Y67" i="1"/>
  <c r="X67" i="1"/>
  <c r="Y48" i="1"/>
  <c r="X48" i="1"/>
  <c r="Y153" i="1"/>
  <c r="X153" i="1"/>
  <c r="Y152" i="1"/>
  <c r="X152" i="1"/>
  <c r="X151" i="1"/>
  <c r="Y151" i="1"/>
  <c r="X150" i="1"/>
  <c r="Y150" i="1"/>
  <c r="X149" i="1"/>
  <c r="Y149" i="1"/>
  <c r="X148" i="1"/>
  <c r="Y148" i="1"/>
  <c r="X147" i="1"/>
  <c r="Y147" i="1"/>
  <c r="X146" i="1"/>
  <c r="Y146" i="1"/>
  <c r="Y145" i="1"/>
  <c r="X145" i="1"/>
  <c r="Y144" i="1"/>
  <c r="X144" i="1"/>
  <c r="Y143" i="1"/>
  <c r="X143" i="1"/>
  <c r="Y142" i="1"/>
  <c r="X142" i="1"/>
  <c r="X141" i="1"/>
  <c r="Y141" i="1"/>
  <c r="Y140" i="1"/>
  <c r="X140" i="1"/>
  <c r="X139" i="1"/>
  <c r="Y139" i="1"/>
  <c r="X138" i="1"/>
  <c r="Y138" i="1"/>
  <c r="Y137" i="1"/>
  <c r="X137" i="1"/>
  <c r="X136" i="1"/>
  <c r="Y136" i="1"/>
  <c r="Y135" i="1"/>
  <c r="X135" i="1"/>
  <c r="X134" i="1"/>
  <c r="Y134" i="1"/>
  <c r="Y133" i="1"/>
  <c r="X133" i="1"/>
  <c r="X132" i="1"/>
  <c r="Y132" i="1"/>
  <c r="Y131" i="1"/>
  <c r="X131" i="1"/>
  <c r="X130" i="1"/>
  <c r="Y130" i="1"/>
  <c r="X129" i="1"/>
  <c r="Y129" i="1"/>
  <c r="X128" i="1"/>
  <c r="Y128" i="1"/>
  <c r="X127" i="1"/>
  <c r="Y127" i="1"/>
  <c r="X126" i="1"/>
  <c r="Y126" i="1"/>
  <c r="Y125" i="1"/>
  <c r="X125" i="1"/>
  <c r="Y124" i="1"/>
  <c r="X124" i="1"/>
  <c r="X123" i="1"/>
  <c r="Y123" i="1"/>
  <c r="Y121" i="1"/>
  <c r="X121" i="1"/>
  <c r="X120" i="1"/>
  <c r="Y120" i="1"/>
  <c r="X119" i="1"/>
  <c r="Y119" i="1"/>
  <c r="Y118" i="1"/>
  <c r="X118" i="1"/>
  <c r="Y117" i="1"/>
  <c r="X117" i="1"/>
  <c r="X116" i="1"/>
  <c r="Y116" i="1"/>
  <c r="Y114" i="1"/>
  <c r="X114" i="1"/>
  <c r="X113" i="1"/>
  <c r="Y113" i="1"/>
  <c r="Y112" i="1"/>
  <c r="X112" i="1"/>
  <c r="Y111" i="1"/>
  <c r="X111" i="1"/>
  <c r="Y110" i="1"/>
  <c r="X110" i="1"/>
  <c r="X109" i="1"/>
  <c r="Y109" i="1"/>
  <c r="X108" i="1"/>
  <c r="Y108" i="1"/>
  <c r="Y107" i="1"/>
  <c r="X107" i="1"/>
  <c r="Y106" i="1"/>
  <c r="X106" i="1"/>
  <c r="X105" i="1"/>
  <c r="Y105" i="1"/>
  <c r="Y104" i="1"/>
  <c r="X104" i="1"/>
  <c r="Y103" i="1"/>
  <c r="X103" i="1"/>
  <c r="Y102" i="1"/>
  <c r="X102" i="1"/>
  <c r="Y101" i="1"/>
  <c r="X101" i="1"/>
  <c r="X100" i="1"/>
  <c r="Y100" i="1"/>
  <c r="Y99" i="1"/>
  <c r="X99" i="1"/>
  <c r="X97" i="1"/>
  <c r="Y97" i="1"/>
  <c r="X96" i="1"/>
  <c r="Y96" i="1"/>
  <c r="Y95" i="1"/>
  <c r="X95" i="1"/>
  <c r="Y94" i="1"/>
  <c r="X94" i="1"/>
  <c r="X93" i="1"/>
  <c r="Y93" i="1"/>
  <c r="Y92" i="1"/>
  <c r="X92" i="1"/>
  <c r="X91" i="1"/>
  <c r="Y91" i="1"/>
  <c r="Y89" i="1"/>
  <c r="X89" i="1"/>
  <c r="X88" i="1"/>
  <c r="Y88" i="1"/>
  <c r="Y87" i="1"/>
  <c r="X87" i="1"/>
  <c r="X86" i="1"/>
  <c r="Y86" i="1"/>
  <c r="X85" i="1"/>
  <c r="Y85" i="1"/>
  <c r="X84" i="1"/>
  <c r="Y84" i="1"/>
  <c r="X83" i="1"/>
  <c r="Y83" i="1"/>
  <c r="Y81" i="1"/>
  <c r="X81" i="1"/>
  <c r="X79" i="1"/>
  <c r="Y79" i="1"/>
  <c r="X78" i="1"/>
  <c r="Y78" i="1"/>
  <c r="Y77" i="1"/>
  <c r="X77" i="1"/>
  <c r="Y76" i="1"/>
  <c r="X76" i="1"/>
  <c r="X75" i="1"/>
  <c r="Y75" i="1"/>
  <c r="Y74" i="1"/>
  <c r="X74" i="1"/>
  <c r="Y73" i="1"/>
  <c r="X73" i="1"/>
  <c r="X72" i="1"/>
  <c r="Y72" i="1"/>
  <c r="Y71" i="1"/>
  <c r="X71" i="1"/>
  <c r="Y70" i="1"/>
  <c r="X70" i="1"/>
  <c r="X69" i="1"/>
  <c r="Y69" i="1"/>
  <c r="Y68" i="1"/>
  <c r="X68" i="1"/>
  <c r="X66" i="1"/>
  <c r="Y66" i="1"/>
  <c r="Y65" i="1"/>
  <c r="X65" i="1"/>
  <c r="X64" i="1"/>
  <c r="Y64" i="1"/>
  <c r="X63" i="1"/>
  <c r="Y63" i="1"/>
  <c r="Y62" i="1"/>
  <c r="X62" i="1"/>
  <c r="Y61" i="1"/>
  <c r="X61" i="1"/>
  <c r="X60" i="1"/>
  <c r="Y60" i="1"/>
  <c r="Y59" i="1"/>
  <c r="X59" i="1"/>
  <c r="X58" i="1"/>
  <c r="Y58" i="1"/>
  <c r="X57" i="1"/>
  <c r="Y57" i="1"/>
  <c r="Y56" i="1"/>
  <c r="X56" i="1"/>
  <c r="X55" i="1"/>
  <c r="Y55" i="1"/>
  <c r="X54" i="1"/>
  <c r="Y54" i="1"/>
  <c r="X53" i="1"/>
  <c r="Y53" i="1"/>
  <c r="X52" i="1"/>
  <c r="Y52" i="1"/>
  <c r="X51" i="1"/>
  <c r="Y51" i="1"/>
  <c r="X50" i="1"/>
  <c r="Y50" i="1"/>
  <c r="Y49" i="1"/>
  <c r="X49" i="1"/>
  <c r="Y47" i="1"/>
  <c r="X47" i="1"/>
  <c r="Y46" i="1"/>
  <c r="X46" i="1"/>
  <c r="Y45" i="1"/>
  <c r="X45" i="1"/>
  <c r="X44" i="1"/>
  <c r="Y44" i="1"/>
  <c r="X43" i="1"/>
  <c r="Y43" i="1"/>
  <c r="Y42" i="1"/>
  <c r="X42" i="1"/>
  <c r="Y41" i="1"/>
  <c r="X41" i="1"/>
  <c r="X40" i="1"/>
  <c r="Y40" i="1"/>
  <c r="Y39" i="1"/>
  <c r="X39" i="1"/>
  <c r="Y38" i="1"/>
  <c r="X38" i="1"/>
  <c r="Y611" i="1"/>
  <c r="X611" i="1"/>
  <c r="S625" i="1"/>
  <c r="T625" i="1" s="1"/>
  <c r="R625" i="1"/>
  <c r="S620" i="1"/>
  <c r="T620" i="1" s="1"/>
  <c r="R620" i="1"/>
  <c r="S621" i="1"/>
  <c r="T621" i="1" s="1"/>
  <c r="R621" i="1"/>
  <c r="S622" i="1"/>
  <c r="T622" i="1" s="1"/>
  <c r="R622" i="1"/>
  <c r="S623" i="1"/>
  <c r="T623" i="1" s="1"/>
  <c r="R623" i="1"/>
  <c r="X625" i="1"/>
  <c r="Z625" i="1" s="1"/>
  <c r="Y625" i="1"/>
  <c r="X624" i="1"/>
  <c r="Z624" i="1" s="1"/>
  <c r="Y624" i="1"/>
  <c r="X623" i="1"/>
  <c r="Z623" i="1" s="1"/>
  <c r="Y623" i="1"/>
  <c r="X622" i="1"/>
  <c r="Z622" i="1" s="1"/>
  <c r="Y622" i="1"/>
  <c r="X621" i="1"/>
  <c r="Z621" i="1" s="1"/>
  <c r="Y621" i="1"/>
  <c r="Y620" i="1"/>
  <c r="X620" i="1"/>
  <c r="Z620" i="1" s="1"/>
  <c r="Y619" i="1"/>
  <c r="X619" i="1"/>
  <c r="X618" i="1"/>
  <c r="Y618" i="1"/>
  <c r="Y617" i="1"/>
  <c r="X617" i="1"/>
  <c r="Y616" i="1"/>
  <c r="X616" i="1"/>
  <c r="Y615" i="1"/>
  <c r="X615" i="1"/>
  <c r="X614" i="1"/>
  <c r="Y614" i="1"/>
  <c r="X613" i="1"/>
  <c r="Y613" i="1"/>
  <c r="X612" i="1"/>
  <c r="Y612" i="1"/>
  <c r="Y610" i="1"/>
  <c r="X610" i="1"/>
  <c r="Y609" i="1"/>
  <c r="X609" i="1"/>
  <c r="H618" i="1" l="1"/>
  <c r="H614" i="1"/>
  <c r="H615" i="1"/>
  <c r="H616" i="1"/>
  <c r="H617" i="1"/>
  <c r="H619" i="1"/>
  <c r="H613" i="1"/>
  <c r="H609" i="1"/>
  <c r="H610" i="1"/>
  <c r="H611" i="1"/>
  <c r="H612" i="1"/>
  <c r="U455" i="1"/>
  <c r="U456" i="1"/>
  <c r="U457" i="1"/>
  <c r="Y457" i="1" s="1"/>
  <c r="U458" i="1"/>
  <c r="U459" i="1"/>
  <c r="U460" i="1"/>
  <c r="U461" i="1"/>
  <c r="Y461" i="1" s="1"/>
  <c r="U453" i="1"/>
  <c r="Y453" i="1" s="1"/>
  <c r="U454" i="1"/>
  <c r="X454" i="1" s="1"/>
  <c r="V461" i="1"/>
  <c r="V460" i="1"/>
  <c r="V459" i="1"/>
  <c r="V458" i="1"/>
  <c r="V457" i="1"/>
  <c r="V456" i="1"/>
  <c r="V455" i="1"/>
  <c r="V454" i="1"/>
  <c r="V453" i="1"/>
  <c r="U606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Z618" i="1" l="1"/>
  <c r="S618" i="1"/>
  <c r="T618" i="1" s="1"/>
  <c r="R618" i="1"/>
  <c r="Z614" i="1"/>
  <c r="R614" i="1"/>
  <c r="S614" i="1"/>
  <c r="T614" i="1" s="1"/>
  <c r="S615" i="1"/>
  <c r="T615" i="1" s="1"/>
  <c r="R615" i="1"/>
  <c r="Z615" i="1"/>
  <c r="S616" i="1"/>
  <c r="T616" i="1" s="1"/>
  <c r="R616" i="1"/>
  <c r="Z616" i="1"/>
  <c r="R617" i="1"/>
  <c r="Z617" i="1"/>
  <c r="S617" i="1"/>
  <c r="T617" i="1" s="1"/>
  <c r="R619" i="1"/>
  <c r="S619" i="1"/>
  <c r="T619" i="1" s="1"/>
  <c r="Z619" i="1"/>
  <c r="R613" i="1"/>
  <c r="Z613" i="1"/>
  <c r="S613" i="1"/>
  <c r="T613" i="1" s="1"/>
  <c r="S609" i="1"/>
  <c r="T609" i="1" s="1"/>
  <c r="R609" i="1"/>
  <c r="Z609" i="1"/>
  <c r="R610" i="1"/>
  <c r="S610" i="1"/>
  <c r="T610" i="1" s="1"/>
  <c r="Z610" i="1"/>
  <c r="Z611" i="1"/>
  <c r="R611" i="1"/>
  <c r="S611" i="1"/>
  <c r="T611" i="1" s="1"/>
  <c r="S612" i="1"/>
  <c r="T612" i="1" s="1"/>
  <c r="R612" i="1"/>
  <c r="Z612" i="1"/>
  <c r="Y456" i="1"/>
  <c r="X456" i="1"/>
  <c r="Y455" i="1"/>
  <c r="X455" i="1"/>
  <c r="X458" i="1"/>
  <c r="Y458" i="1"/>
  <c r="Y459" i="1"/>
  <c r="X459" i="1"/>
  <c r="X460" i="1"/>
  <c r="Y460" i="1"/>
  <c r="X457" i="1"/>
  <c r="X461" i="1"/>
  <c r="Y454" i="1"/>
  <c r="X453" i="1"/>
  <c r="H449" i="1"/>
  <c r="R449" i="1" s="1"/>
  <c r="H450" i="1"/>
  <c r="R450" i="1" s="1"/>
  <c r="H451" i="1"/>
  <c r="R451" i="1" s="1"/>
  <c r="H452" i="1"/>
  <c r="H453" i="1"/>
  <c r="H454" i="1"/>
  <c r="Z454" i="1" s="1"/>
  <c r="AI454" i="1" s="1"/>
  <c r="H455" i="1"/>
  <c r="Z455" i="1" s="1"/>
  <c r="AI455" i="1" s="1"/>
  <c r="H456" i="1"/>
  <c r="H457" i="1"/>
  <c r="H458" i="1"/>
  <c r="H459" i="1"/>
  <c r="H460" i="1"/>
  <c r="H461" i="1"/>
  <c r="Q458" i="1"/>
  <c r="Q459" i="1"/>
  <c r="Q460" i="1"/>
  <c r="Q461" i="1"/>
  <c r="Q453" i="1"/>
  <c r="Q454" i="1"/>
  <c r="Q455" i="1"/>
  <c r="Q456" i="1"/>
  <c r="Q457" i="1"/>
  <c r="H558" i="1"/>
  <c r="R558" i="1" s="1"/>
  <c r="H557" i="1"/>
  <c r="H556" i="1"/>
  <c r="S556" i="1" s="1"/>
  <c r="H555" i="1"/>
  <c r="H554" i="1"/>
  <c r="R554" i="1" s="1"/>
  <c r="H553" i="1"/>
  <c r="S553" i="1" s="1"/>
  <c r="T553" i="1" s="1"/>
  <c r="H552" i="1"/>
  <c r="H551" i="1"/>
  <c r="S551" i="1" s="1"/>
  <c r="T551" i="1" s="1"/>
  <c r="H550" i="1"/>
  <c r="S550" i="1" s="1"/>
  <c r="T550" i="1" s="1"/>
  <c r="H549" i="1"/>
  <c r="AV549" i="1" s="1"/>
  <c r="AS549" i="1" s="1"/>
  <c r="H548" i="1"/>
  <c r="AU548" i="1" s="1"/>
  <c r="H547" i="1"/>
  <c r="AV547" i="1" s="1"/>
  <c r="AS547" i="1" s="1"/>
  <c r="H546" i="1"/>
  <c r="AV546" i="1" s="1"/>
  <c r="AS546" i="1" s="1"/>
  <c r="H545" i="1"/>
  <c r="H544" i="1"/>
  <c r="R544" i="1" s="1"/>
  <c r="H543" i="1"/>
  <c r="H542" i="1"/>
  <c r="H541" i="1"/>
  <c r="S541" i="1" s="1"/>
  <c r="T541" i="1" s="1"/>
  <c r="H540" i="1"/>
  <c r="H539" i="1"/>
  <c r="R539" i="1" s="1"/>
  <c r="H538" i="1"/>
  <c r="H537" i="1"/>
  <c r="R537" i="1" s="1"/>
  <c r="H536" i="1"/>
  <c r="R536" i="1" s="1"/>
  <c r="H535" i="1"/>
  <c r="S535" i="1" s="1"/>
  <c r="H534" i="1"/>
  <c r="S534" i="1" s="1"/>
  <c r="T534" i="1" s="1"/>
  <c r="H533" i="1"/>
  <c r="H532" i="1"/>
  <c r="H531" i="1"/>
  <c r="R531" i="1" s="1"/>
  <c r="H530" i="1"/>
  <c r="H529" i="1"/>
  <c r="H528" i="1"/>
  <c r="R528" i="1" s="1"/>
  <c r="H527" i="1"/>
  <c r="H526" i="1"/>
  <c r="H525" i="1"/>
  <c r="H524" i="1"/>
  <c r="H523" i="1"/>
  <c r="R523" i="1" s="1"/>
  <c r="H522" i="1"/>
  <c r="R522" i="1" s="1"/>
  <c r="H521" i="1"/>
  <c r="AU521" i="1" s="1"/>
  <c r="H520" i="1"/>
  <c r="AU520" i="1" s="1"/>
  <c r="H519" i="1"/>
  <c r="H518" i="1"/>
  <c r="AU518" i="1" s="1"/>
  <c r="H517" i="1"/>
  <c r="AU517" i="1" s="1"/>
  <c r="H516" i="1"/>
  <c r="AU516" i="1" s="1"/>
  <c r="H515" i="1"/>
  <c r="AU515" i="1" s="1"/>
  <c r="H514" i="1"/>
  <c r="AU514" i="1" s="1"/>
  <c r="H513" i="1"/>
  <c r="AU513" i="1" s="1"/>
  <c r="H512" i="1"/>
  <c r="AU512" i="1" s="1"/>
  <c r="H511" i="1"/>
  <c r="AU511" i="1" s="1"/>
  <c r="H510" i="1"/>
  <c r="S510" i="1" s="1"/>
  <c r="T510" i="1" s="1"/>
  <c r="H509" i="1"/>
  <c r="AU509" i="1" s="1"/>
  <c r="H508" i="1"/>
  <c r="H507" i="1"/>
  <c r="H506" i="1"/>
  <c r="H505" i="1"/>
  <c r="H504" i="1"/>
  <c r="AU504" i="1" s="1"/>
  <c r="H503" i="1"/>
  <c r="AU503" i="1" s="1"/>
  <c r="H502" i="1"/>
  <c r="H501" i="1"/>
  <c r="H500" i="1"/>
  <c r="H499" i="1"/>
  <c r="R499" i="1" s="1"/>
  <c r="H498" i="1"/>
  <c r="R498" i="1" s="1"/>
  <c r="H497" i="1"/>
  <c r="R497" i="1" s="1"/>
  <c r="H496" i="1"/>
  <c r="H495" i="1"/>
  <c r="H494" i="1"/>
  <c r="H493" i="1"/>
  <c r="H492" i="1"/>
  <c r="H491" i="1"/>
  <c r="H490" i="1"/>
  <c r="H489" i="1"/>
  <c r="H488" i="1"/>
  <c r="H487" i="1"/>
  <c r="AV487" i="1" s="1"/>
  <c r="AS487" i="1" s="1"/>
  <c r="H486" i="1"/>
  <c r="AV486" i="1" s="1"/>
  <c r="AS486" i="1" s="1"/>
  <c r="H485" i="1"/>
  <c r="AV485" i="1" s="1"/>
  <c r="AS485" i="1" s="1"/>
  <c r="H484" i="1"/>
  <c r="H483" i="1"/>
  <c r="AU483" i="1" s="1"/>
  <c r="H482" i="1"/>
  <c r="AU482" i="1" s="1"/>
  <c r="H481" i="1"/>
  <c r="AU481" i="1" s="1"/>
  <c r="H480" i="1"/>
  <c r="AU480" i="1" s="1"/>
  <c r="H479" i="1"/>
  <c r="AU479" i="1" s="1"/>
  <c r="H478" i="1"/>
  <c r="AU478" i="1" s="1"/>
  <c r="H477" i="1"/>
  <c r="AU477" i="1" s="1"/>
  <c r="H476" i="1"/>
  <c r="AV476" i="1" s="1"/>
  <c r="AS476" i="1" s="1"/>
  <c r="H475" i="1"/>
  <c r="AV475" i="1" s="1"/>
  <c r="AS475" i="1" s="1"/>
  <c r="H474" i="1"/>
  <c r="AV474" i="1" s="1"/>
  <c r="AS474" i="1" s="1"/>
  <c r="H473" i="1"/>
  <c r="AU473" i="1" s="1"/>
  <c r="H472" i="1"/>
  <c r="AU472" i="1" s="1"/>
  <c r="H471" i="1"/>
  <c r="AU471" i="1" s="1"/>
  <c r="H470" i="1"/>
  <c r="AU470" i="1" s="1"/>
  <c r="H469" i="1"/>
  <c r="AU469" i="1" s="1"/>
  <c r="H468" i="1"/>
  <c r="AU468" i="1" s="1"/>
  <c r="H467" i="1"/>
  <c r="H466" i="1"/>
  <c r="AU466" i="1" s="1"/>
  <c r="H465" i="1"/>
  <c r="AU465" i="1" s="1"/>
  <c r="H464" i="1"/>
  <c r="AU464" i="1" s="1"/>
  <c r="H463" i="1"/>
  <c r="AU463" i="1" s="1"/>
  <c r="H462" i="1"/>
  <c r="AU462" i="1" s="1"/>
  <c r="AT462" i="1" s="1"/>
  <c r="H439" i="1"/>
  <c r="S439" i="1" s="1"/>
  <c r="H438" i="1"/>
  <c r="S438" i="1" s="1"/>
  <c r="H437" i="1"/>
  <c r="S437" i="1" s="1"/>
  <c r="H436" i="1"/>
  <c r="S436" i="1" s="1"/>
  <c r="H435" i="1"/>
  <c r="S435" i="1" s="1"/>
  <c r="H434" i="1"/>
  <c r="S434" i="1" s="1"/>
  <c r="H433" i="1"/>
  <c r="S433" i="1" s="1"/>
  <c r="H432" i="1"/>
  <c r="S432" i="1" s="1"/>
  <c r="H431" i="1"/>
  <c r="S431" i="1" s="1"/>
  <c r="H430" i="1"/>
  <c r="S430" i="1" s="1"/>
  <c r="H429" i="1"/>
  <c r="S429" i="1" s="1"/>
  <c r="H428" i="1"/>
  <c r="S428" i="1" s="1"/>
  <c r="H427" i="1"/>
  <c r="S427" i="1" s="1"/>
  <c r="H426" i="1"/>
  <c r="S426" i="1" s="1"/>
  <c r="H425" i="1"/>
  <c r="S425" i="1" s="1"/>
  <c r="H424" i="1"/>
  <c r="S424" i="1" s="1"/>
  <c r="H423" i="1"/>
  <c r="S423" i="1" s="1"/>
  <c r="H422" i="1"/>
  <c r="S422" i="1" s="1"/>
  <c r="H421" i="1"/>
  <c r="S421" i="1" s="1"/>
  <c r="H420" i="1"/>
  <c r="S420" i="1" s="1"/>
  <c r="H419" i="1"/>
  <c r="S419" i="1" s="1"/>
  <c r="H418" i="1"/>
  <c r="S418" i="1" s="1"/>
  <c r="H417" i="1"/>
  <c r="S417" i="1" s="1"/>
  <c r="H416" i="1"/>
  <c r="S416" i="1" s="1"/>
  <c r="H415" i="1"/>
  <c r="S415" i="1" s="1"/>
  <c r="H414" i="1"/>
  <c r="S414" i="1" s="1"/>
  <c r="H413" i="1"/>
  <c r="S413" i="1" s="1"/>
  <c r="H412" i="1"/>
  <c r="S412" i="1" s="1"/>
  <c r="H411" i="1"/>
  <c r="S411" i="1" s="1"/>
  <c r="H410" i="1"/>
  <c r="S410" i="1" s="1"/>
  <c r="H409" i="1"/>
  <c r="S409" i="1" s="1"/>
  <c r="H408" i="1"/>
  <c r="S408" i="1" s="1"/>
  <c r="H407" i="1"/>
  <c r="S407" i="1" s="1"/>
  <c r="H406" i="1"/>
  <c r="S406" i="1" s="1"/>
  <c r="H405" i="1"/>
  <c r="S405" i="1" s="1"/>
  <c r="H404" i="1"/>
  <c r="S404" i="1" s="1"/>
  <c r="H403" i="1"/>
  <c r="S403" i="1" s="1"/>
  <c r="H402" i="1"/>
  <c r="S402" i="1" s="1"/>
  <c r="H401" i="1"/>
  <c r="S401" i="1" s="1"/>
  <c r="H400" i="1"/>
  <c r="S400" i="1" s="1"/>
  <c r="H399" i="1"/>
  <c r="S399" i="1" s="1"/>
  <c r="H398" i="1"/>
  <c r="S398" i="1" s="1"/>
  <c r="H397" i="1"/>
  <c r="S397" i="1" s="1"/>
  <c r="H396" i="1"/>
  <c r="S396" i="1" s="1"/>
  <c r="H395" i="1"/>
  <c r="S395" i="1" s="1"/>
  <c r="H394" i="1"/>
  <c r="S394" i="1" s="1"/>
  <c r="H393" i="1"/>
  <c r="S393" i="1" s="1"/>
  <c r="H392" i="1"/>
  <c r="S392" i="1" s="1"/>
  <c r="H391" i="1"/>
  <c r="S391" i="1" s="1"/>
  <c r="H390" i="1"/>
  <c r="S390" i="1" s="1"/>
  <c r="H389" i="1"/>
  <c r="S389" i="1" s="1"/>
  <c r="H388" i="1"/>
  <c r="S388" i="1" s="1"/>
  <c r="H387" i="1"/>
  <c r="S387" i="1" s="1"/>
  <c r="H386" i="1"/>
  <c r="S386" i="1" s="1"/>
  <c r="H385" i="1"/>
  <c r="S385" i="1" s="1"/>
  <c r="H384" i="1"/>
  <c r="S384" i="1" s="1"/>
  <c r="H383" i="1"/>
  <c r="S383" i="1" s="1"/>
  <c r="H382" i="1"/>
  <c r="S382" i="1" s="1"/>
  <c r="H381" i="1"/>
  <c r="S381" i="1" s="1"/>
  <c r="H380" i="1"/>
  <c r="S380" i="1" s="1"/>
  <c r="H379" i="1"/>
  <c r="S379" i="1" s="1"/>
  <c r="H378" i="1"/>
  <c r="S378" i="1" s="1"/>
  <c r="H377" i="1"/>
  <c r="S377" i="1" s="1"/>
  <c r="H376" i="1"/>
  <c r="S376" i="1" s="1"/>
  <c r="H375" i="1"/>
  <c r="S375" i="1" s="1"/>
  <c r="H374" i="1"/>
  <c r="S374" i="1" s="1"/>
  <c r="H373" i="1"/>
  <c r="S373" i="1" s="1"/>
  <c r="H372" i="1"/>
  <c r="S372" i="1" s="1"/>
  <c r="H371" i="1"/>
  <c r="S371" i="1" s="1"/>
  <c r="H370" i="1"/>
  <c r="S370" i="1" s="1"/>
  <c r="H369" i="1"/>
  <c r="S369" i="1" s="1"/>
  <c r="H368" i="1"/>
  <c r="S368" i="1" s="1"/>
  <c r="H367" i="1"/>
  <c r="S367" i="1" s="1"/>
  <c r="H366" i="1"/>
  <c r="S366" i="1" s="1"/>
  <c r="H365" i="1"/>
  <c r="S365" i="1" s="1"/>
  <c r="H364" i="1"/>
  <c r="S364" i="1" s="1"/>
  <c r="H363" i="1"/>
  <c r="S363" i="1" s="1"/>
  <c r="H362" i="1"/>
  <c r="S362" i="1" s="1"/>
  <c r="H361" i="1"/>
  <c r="S361" i="1" s="1"/>
  <c r="H360" i="1"/>
  <c r="S360" i="1" s="1"/>
  <c r="H359" i="1"/>
  <c r="S359" i="1" s="1"/>
  <c r="H358" i="1"/>
  <c r="S358" i="1" s="1"/>
  <c r="H357" i="1"/>
  <c r="S357" i="1" s="1"/>
  <c r="H356" i="1"/>
  <c r="S356" i="1" s="1"/>
  <c r="H355" i="1"/>
  <c r="S355" i="1" s="1"/>
  <c r="H354" i="1"/>
  <c r="S354" i="1" s="1"/>
  <c r="H353" i="1"/>
  <c r="S353" i="1" s="1"/>
  <c r="H352" i="1"/>
  <c r="S352" i="1" s="1"/>
  <c r="H351" i="1"/>
  <c r="S351" i="1" s="1"/>
  <c r="H350" i="1"/>
  <c r="S350" i="1" s="1"/>
  <c r="H349" i="1"/>
  <c r="S349" i="1" s="1"/>
  <c r="H348" i="1"/>
  <c r="S348" i="1" s="1"/>
  <c r="H347" i="1"/>
  <c r="S347" i="1" s="1"/>
  <c r="H346" i="1"/>
  <c r="S346" i="1" s="1"/>
  <c r="H345" i="1"/>
  <c r="S345" i="1" s="1"/>
  <c r="H344" i="1"/>
  <c r="S344" i="1" s="1"/>
  <c r="H343" i="1"/>
  <c r="S343" i="1" s="1"/>
  <c r="H342" i="1"/>
  <c r="S342" i="1" s="1"/>
  <c r="H341" i="1"/>
  <c r="S341" i="1" s="1"/>
  <c r="H340" i="1"/>
  <c r="S340" i="1" s="1"/>
  <c r="H339" i="1"/>
  <c r="S339" i="1" s="1"/>
  <c r="H338" i="1"/>
  <c r="S338" i="1" s="1"/>
  <c r="H337" i="1"/>
  <c r="S337" i="1" s="1"/>
  <c r="H336" i="1"/>
  <c r="S336" i="1" s="1"/>
  <c r="H335" i="1"/>
  <c r="S335" i="1" s="1"/>
  <c r="H334" i="1"/>
  <c r="S334" i="1" s="1"/>
  <c r="H333" i="1"/>
  <c r="S333" i="1" s="1"/>
  <c r="H332" i="1"/>
  <c r="S332" i="1" s="1"/>
  <c r="H331" i="1"/>
  <c r="S331" i="1" s="1"/>
  <c r="H330" i="1"/>
  <c r="S330" i="1" s="1"/>
  <c r="H329" i="1"/>
  <c r="S329" i="1" s="1"/>
  <c r="H328" i="1"/>
  <c r="S328" i="1" s="1"/>
  <c r="H327" i="1"/>
  <c r="S327" i="1" s="1"/>
  <c r="H326" i="1"/>
  <c r="S326" i="1" s="1"/>
  <c r="H325" i="1"/>
  <c r="S325" i="1" s="1"/>
  <c r="H324" i="1"/>
  <c r="S324" i="1" s="1"/>
  <c r="H323" i="1"/>
  <c r="S323" i="1" s="1"/>
  <c r="H322" i="1"/>
  <c r="S322" i="1" s="1"/>
  <c r="H321" i="1"/>
  <c r="S321" i="1" s="1"/>
  <c r="H320" i="1"/>
  <c r="S320" i="1" s="1"/>
  <c r="H319" i="1"/>
  <c r="S319" i="1" s="1"/>
  <c r="H318" i="1"/>
  <c r="S318" i="1" s="1"/>
  <c r="H317" i="1"/>
  <c r="S317" i="1" s="1"/>
  <c r="H316" i="1"/>
  <c r="S316" i="1" s="1"/>
  <c r="H315" i="1"/>
  <c r="S315" i="1" s="1"/>
  <c r="H314" i="1"/>
  <c r="S314" i="1" s="1"/>
  <c r="H313" i="1"/>
  <c r="S313" i="1" s="1"/>
  <c r="H312" i="1"/>
  <c r="S312" i="1" s="1"/>
  <c r="H311" i="1"/>
  <c r="S311" i="1" s="1"/>
  <c r="H310" i="1"/>
  <c r="S310" i="1" s="1"/>
  <c r="H309" i="1"/>
  <c r="S309" i="1" s="1"/>
  <c r="H308" i="1"/>
  <c r="S308" i="1" s="1"/>
  <c r="H307" i="1"/>
  <c r="S307" i="1" s="1"/>
  <c r="H306" i="1"/>
  <c r="S306" i="1" s="1"/>
  <c r="H305" i="1"/>
  <c r="S305" i="1" s="1"/>
  <c r="H304" i="1"/>
  <c r="S304" i="1" s="1"/>
  <c r="H303" i="1"/>
  <c r="S303" i="1" s="1"/>
  <c r="H302" i="1"/>
  <c r="S302" i="1" s="1"/>
  <c r="H301" i="1"/>
  <c r="S301" i="1" s="1"/>
  <c r="H300" i="1"/>
  <c r="S300" i="1" s="1"/>
  <c r="H299" i="1"/>
  <c r="S299" i="1" s="1"/>
  <c r="H298" i="1"/>
  <c r="S298" i="1" s="1"/>
  <c r="H297" i="1"/>
  <c r="S297" i="1" s="1"/>
  <c r="H296" i="1"/>
  <c r="S296" i="1" s="1"/>
  <c r="H295" i="1"/>
  <c r="S295" i="1" s="1"/>
  <c r="H294" i="1"/>
  <c r="S294" i="1" s="1"/>
  <c r="H293" i="1"/>
  <c r="S293" i="1" s="1"/>
  <c r="H292" i="1"/>
  <c r="S292" i="1" s="1"/>
  <c r="H291" i="1"/>
  <c r="S291" i="1" s="1"/>
  <c r="H290" i="1"/>
  <c r="S290" i="1" s="1"/>
  <c r="H289" i="1"/>
  <c r="S289" i="1" s="1"/>
  <c r="H288" i="1"/>
  <c r="S288" i="1" s="1"/>
  <c r="H287" i="1"/>
  <c r="S287" i="1" s="1"/>
  <c r="H286" i="1"/>
  <c r="S286" i="1" s="1"/>
  <c r="H285" i="1"/>
  <c r="S285" i="1" s="1"/>
  <c r="H284" i="1"/>
  <c r="S284" i="1" s="1"/>
  <c r="H283" i="1"/>
  <c r="S283" i="1" s="1"/>
  <c r="H282" i="1"/>
  <c r="S282" i="1" s="1"/>
  <c r="H281" i="1"/>
  <c r="S281" i="1" s="1"/>
  <c r="H280" i="1"/>
  <c r="S280" i="1" s="1"/>
  <c r="H279" i="1"/>
  <c r="S279" i="1" s="1"/>
  <c r="H278" i="1"/>
  <c r="S278" i="1" s="1"/>
  <c r="H277" i="1"/>
  <c r="S277" i="1" s="1"/>
  <c r="H276" i="1"/>
  <c r="S276" i="1" s="1"/>
  <c r="H275" i="1"/>
  <c r="S275" i="1" s="1"/>
  <c r="H274" i="1"/>
  <c r="S274" i="1" s="1"/>
  <c r="H273" i="1"/>
  <c r="S273" i="1" s="1"/>
  <c r="H272" i="1"/>
  <c r="S272" i="1" s="1"/>
  <c r="H271" i="1"/>
  <c r="S271" i="1" s="1"/>
  <c r="H270" i="1"/>
  <c r="S270" i="1" s="1"/>
  <c r="H269" i="1"/>
  <c r="S269" i="1" s="1"/>
  <c r="H268" i="1"/>
  <c r="S268" i="1" s="1"/>
  <c r="H267" i="1"/>
  <c r="S267" i="1" s="1"/>
  <c r="H266" i="1"/>
  <c r="S266" i="1" s="1"/>
  <c r="H265" i="1"/>
  <c r="S265" i="1" s="1"/>
  <c r="H264" i="1"/>
  <c r="S264" i="1" s="1"/>
  <c r="H263" i="1"/>
  <c r="S263" i="1" s="1"/>
  <c r="H262" i="1"/>
  <c r="S262" i="1" s="1"/>
  <c r="H261" i="1"/>
  <c r="S261" i="1" s="1"/>
  <c r="H260" i="1"/>
  <c r="S260" i="1" s="1"/>
  <c r="H259" i="1"/>
  <c r="S259" i="1" s="1"/>
  <c r="H258" i="1"/>
  <c r="S258" i="1" s="1"/>
  <c r="H257" i="1"/>
  <c r="S257" i="1" s="1"/>
  <c r="H256" i="1"/>
  <c r="S256" i="1" s="1"/>
  <c r="H255" i="1"/>
  <c r="S255" i="1" s="1"/>
  <c r="H254" i="1"/>
  <c r="S254" i="1" s="1"/>
  <c r="H253" i="1"/>
  <c r="S253" i="1" s="1"/>
  <c r="H252" i="1"/>
  <c r="S252" i="1" s="1"/>
  <c r="H251" i="1"/>
  <c r="S251" i="1" s="1"/>
  <c r="H250" i="1"/>
  <c r="S250" i="1" s="1"/>
  <c r="H249" i="1"/>
  <c r="S249" i="1" s="1"/>
  <c r="H248" i="1"/>
  <c r="S248" i="1" s="1"/>
  <c r="H247" i="1"/>
  <c r="S247" i="1" s="1"/>
  <c r="H246" i="1"/>
  <c r="S246" i="1" s="1"/>
  <c r="H245" i="1"/>
  <c r="S245" i="1" s="1"/>
  <c r="H244" i="1"/>
  <c r="S244" i="1" s="1"/>
  <c r="H243" i="1"/>
  <c r="S243" i="1" s="1"/>
  <c r="H242" i="1"/>
  <c r="S242" i="1" s="1"/>
  <c r="H241" i="1"/>
  <c r="S241" i="1" s="1"/>
  <c r="H240" i="1"/>
  <c r="S240" i="1" s="1"/>
  <c r="H239" i="1"/>
  <c r="S239" i="1" s="1"/>
  <c r="H238" i="1"/>
  <c r="S238" i="1" s="1"/>
  <c r="H237" i="1"/>
  <c r="S237" i="1" s="1"/>
  <c r="H236" i="1"/>
  <c r="S236" i="1" s="1"/>
  <c r="H235" i="1"/>
  <c r="S235" i="1" s="1"/>
  <c r="H234" i="1"/>
  <c r="S234" i="1" s="1"/>
  <c r="H233" i="1"/>
  <c r="S233" i="1" s="1"/>
  <c r="H232" i="1"/>
  <c r="S232" i="1" s="1"/>
  <c r="H231" i="1"/>
  <c r="S231" i="1" s="1"/>
  <c r="H230" i="1"/>
  <c r="S230" i="1" s="1"/>
  <c r="H229" i="1"/>
  <c r="S229" i="1" s="1"/>
  <c r="H228" i="1"/>
  <c r="S228" i="1" s="1"/>
  <c r="H227" i="1"/>
  <c r="S227" i="1" s="1"/>
  <c r="H226" i="1"/>
  <c r="S226" i="1" s="1"/>
  <c r="H225" i="1"/>
  <c r="S225" i="1" s="1"/>
  <c r="H224" i="1"/>
  <c r="S224" i="1" s="1"/>
  <c r="H223" i="1"/>
  <c r="S223" i="1" s="1"/>
  <c r="H222" i="1"/>
  <c r="S222" i="1" s="1"/>
  <c r="H221" i="1"/>
  <c r="S221" i="1" s="1"/>
  <c r="H220" i="1"/>
  <c r="S220" i="1" s="1"/>
  <c r="H219" i="1"/>
  <c r="S219" i="1" s="1"/>
  <c r="H218" i="1"/>
  <c r="S218" i="1" s="1"/>
  <c r="H217" i="1"/>
  <c r="S217" i="1" s="1"/>
  <c r="H216" i="1"/>
  <c r="S216" i="1" s="1"/>
  <c r="H215" i="1"/>
  <c r="S215" i="1" s="1"/>
  <c r="H214" i="1"/>
  <c r="S214" i="1" s="1"/>
  <c r="H213" i="1"/>
  <c r="S213" i="1" s="1"/>
  <c r="H212" i="1"/>
  <c r="S212" i="1" s="1"/>
  <c r="H211" i="1"/>
  <c r="S211" i="1" s="1"/>
  <c r="H210" i="1"/>
  <c r="S210" i="1" s="1"/>
  <c r="H209" i="1"/>
  <c r="S209" i="1" s="1"/>
  <c r="H208" i="1"/>
  <c r="S208" i="1" s="1"/>
  <c r="H207" i="1"/>
  <c r="S207" i="1" s="1"/>
  <c r="H206" i="1"/>
  <c r="S206" i="1" s="1"/>
  <c r="H205" i="1"/>
  <c r="S205" i="1" s="1"/>
  <c r="H204" i="1"/>
  <c r="S204" i="1" s="1"/>
  <c r="H203" i="1"/>
  <c r="S203" i="1" s="1"/>
  <c r="H202" i="1"/>
  <c r="S202" i="1" s="1"/>
  <c r="H201" i="1"/>
  <c r="S201" i="1" s="1"/>
  <c r="H200" i="1"/>
  <c r="S200" i="1" s="1"/>
  <c r="H199" i="1"/>
  <c r="S199" i="1" s="1"/>
  <c r="H198" i="1"/>
  <c r="S198" i="1" s="1"/>
  <c r="H197" i="1"/>
  <c r="S197" i="1" s="1"/>
  <c r="H196" i="1"/>
  <c r="S196" i="1" s="1"/>
  <c r="H195" i="1"/>
  <c r="S195" i="1" s="1"/>
  <c r="H194" i="1"/>
  <c r="S194" i="1" s="1"/>
  <c r="H193" i="1"/>
  <c r="S193" i="1" s="1"/>
  <c r="H192" i="1"/>
  <c r="S192" i="1" s="1"/>
  <c r="H191" i="1"/>
  <c r="S191" i="1" s="1"/>
  <c r="H190" i="1"/>
  <c r="S190" i="1" s="1"/>
  <c r="H189" i="1"/>
  <c r="S189" i="1" s="1"/>
  <c r="H188" i="1"/>
  <c r="S188" i="1" s="1"/>
  <c r="H187" i="1"/>
  <c r="S187" i="1" s="1"/>
  <c r="H186" i="1"/>
  <c r="S186" i="1" s="1"/>
  <c r="H185" i="1"/>
  <c r="S185" i="1" s="1"/>
  <c r="H184" i="1"/>
  <c r="S184" i="1" s="1"/>
  <c r="H183" i="1"/>
  <c r="S183" i="1" s="1"/>
  <c r="H182" i="1"/>
  <c r="S182" i="1" s="1"/>
  <c r="H181" i="1"/>
  <c r="S181" i="1" s="1"/>
  <c r="H180" i="1"/>
  <c r="S180" i="1" s="1"/>
  <c r="H179" i="1"/>
  <c r="S179" i="1" s="1"/>
  <c r="H178" i="1"/>
  <c r="S178" i="1" s="1"/>
  <c r="H177" i="1"/>
  <c r="S177" i="1" s="1"/>
  <c r="H176" i="1"/>
  <c r="S176" i="1" s="1"/>
  <c r="H175" i="1"/>
  <c r="S175" i="1" s="1"/>
  <c r="H174" i="1"/>
  <c r="S174" i="1" s="1"/>
  <c r="H173" i="1"/>
  <c r="S173" i="1" s="1"/>
  <c r="H172" i="1"/>
  <c r="S172" i="1" s="1"/>
  <c r="H171" i="1"/>
  <c r="S171" i="1" s="1"/>
  <c r="H170" i="1"/>
  <c r="S170" i="1" s="1"/>
  <c r="H169" i="1"/>
  <c r="S169" i="1" s="1"/>
  <c r="H168" i="1"/>
  <c r="S168" i="1" s="1"/>
  <c r="H167" i="1"/>
  <c r="S167" i="1" s="1"/>
  <c r="H166" i="1"/>
  <c r="S166" i="1" s="1"/>
  <c r="H165" i="1"/>
  <c r="S165" i="1" s="1"/>
  <c r="H164" i="1"/>
  <c r="S164" i="1" s="1"/>
  <c r="H163" i="1"/>
  <c r="S163" i="1" s="1"/>
  <c r="H162" i="1"/>
  <c r="S162" i="1" s="1"/>
  <c r="H161" i="1"/>
  <c r="S161" i="1" s="1"/>
  <c r="H160" i="1"/>
  <c r="S160" i="1" s="1"/>
  <c r="H159" i="1"/>
  <c r="S159" i="1" s="1"/>
  <c r="H158" i="1"/>
  <c r="S158" i="1" s="1"/>
  <c r="H157" i="1"/>
  <c r="S157" i="1" s="1"/>
  <c r="H156" i="1"/>
  <c r="S156" i="1" s="1"/>
  <c r="H155" i="1"/>
  <c r="S155" i="1" s="1"/>
  <c r="H154" i="1"/>
  <c r="S154" i="1" s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W608" i="1"/>
  <c r="V608" i="1"/>
  <c r="Q608" i="1"/>
  <c r="Q558" i="1"/>
  <c r="H608" i="1"/>
  <c r="AK2" i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1" i="1"/>
  <c r="AO441" i="1"/>
  <c r="W441" i="1" s="1"/>
  <c r="AP441" i="1"/>
  <c r="AQ441" i="1"/>
  <c r="AR441" i="1"/>
  <c r="AU441" i="1"/>
  <c r="AK442" i="1"/>
  <c r="AO442" i="1"/>
  <c r="W442" i="1" s="1"/>
  <c r="AP442" i="1"/>
  <c r="AQ442" i="1"/>
  <c r="AR442" i="1"/>
  <c r="AU442" i="1"/>
  <c r="AT442" i="1" s="1"/>
  <c r="AV442" i="1"/>
  <c r="AS442" i="1" s="1"/>
  <c r="AK443" i="1"/>
  <c r="AO443" i="1"/>
  <c r="W443" i="1" s="1"/>
  <c r="AP443" i="1"/>
  <c r="AQ443" i="1"/>
  <c r="AR443" i="1"/>
  <c r="AU443" i="1"/>
  <c r="AT443" i="1" s="1"/>
  <c r="AV443" i="1"/>
  <c r="AS443" i="1" s="1"/>
  <c r="AK444" i="1"/>
  <c r="AO444" i="1"/>
  <c r="W444" i="1" s="1"/>
  <c r="AP444" i="1"/>
  <c r="AQ444" i="1"/>
  <c r="AR444" i="1"/>
  <c r="AU444" i="1"/>
  <c r="AT444" i="1" s="1"/>
  <c r="AV444" i="1"/>
  <c r="AS444" i="1" s="1"/>
  <c r="AK445" i="1"/>
  <c r="AO445" i="1"/>
  <c r="W445" i="1" s="1"/>
  <c r="AP445" i="1"/>
  <c r="AQ445" i="1"/>
  <c r="AR445" i="1"/>
  <c r="AU445" i="1"/>
  <c r="AT445" i="1" s="1"/>
  <c r="AV445" i="1"/>
  <c r="AS445" i="1" s="1"/>
  <c r="AK446" i="1"/>
  <c r="AO446" i="1"/>
  <c r="W446" i="1" s="1"/>
  <c r="AP446" i="1"/>
  <c r="AQ446" i="1"/>
  <c r="AR446" i="1"/>
  <c r="AU446" i="1"/>
  <c r="AT446" i="1" s="1"/>
  <c r="AV446" i="1"/>
  <c r="AS446" i="1" s="1"/>
  <c r="AK447" i="1"/>
  <c r="AO447" i="1"/>
  <c r="W447" i="1" s="1"/>
  <c r="AP447" i="1"/>
  <c r="AQ447" i="1"/>
  <c r="AR447" i="1"/>
  <c r="AU447" i="1"/>
  <c r="AT447" i="1" s="1"/>
  <c r="AV447" i="1"/>
  <c r="AS447" i="1" s="1"/>
  <c r="AK448" i="1"/>
  <c r="AO448" i="1"/>
  <c r="W448" i="1" s="1"/>
  <c r="AP448" i="1"/>
  <c r="AQ448" i="1"/>
  <c r="AR448" i="1"/>
  <c r="AU448" i="1"/>
  <c r="AT448" i="1" s="1"/>
  <c r="AV448" i="1"/>
  <c r="AS448" i="1" s="1"/>
  <c r="AK449" i="1"/>
  <c r="AO449" i="1"/>
  <c r="W449" i="1" s="1"/>
  <c r="AP449" i="1"/>
  <c r="AQ449" i="1"/>
  <c r="AR449" i="1"/>
  <c r="AU449" i="1"/>
  <c r="AT449" i="1" s="1"/>
  <c r="AV449" i="1"/>
  <c r="AS449" i="1" s="1"/>
  <c r="AK450" i="1"/>
  <c r="AO450" i="1"/>
  <c r="W450" i="1" s="1"/>
  <c r="AP450" i="1"/>
  <c r="AQ450" i="1"/>
  <c r="AR450" i="1"/>
  <c r="AU450" i="1"/>
  <c r="AT450" i="1" s="1"/>
  <c r="AV450" i="1"/>
  <c r="AS450" i="1" s="1"/>
  <c r="AK451" i="1"/>
  <c r="AO451" i="1"/>
  <c r="W451" i="1" s="1"/>
  <c r="AP451" i="1"/>
  <c r="AQ451" i="1"/>
  <c r="AR451" i="1"/>
  <c r="AU451" i="1"/>
  <c r="AT451" i="1" s="1"/>
  <c r="AV451" i="1"/>
  <c r="AS451" i="1" s="1"/>
  <c r="AK452" i="1"/>
  <c r="AO452" i="1"/>
  <c r="W452" i="1" s="1"/>
  <c r="AP452" i="1"/>
  <c r="AQ452" i="1"/>
  <c r="AR452" i="1"/>
  <c r="AU452" i="1"/>
  <c r="AT452" i="1" s="1"/>
  <c r="AV452" i="1"/>
  <c r="AS452" i="1" s="1"/>
  <c r="AK462" i="1"/>
  <c r="AO462" i="1"/>
  <c r="W462" i="1" s="1"/>
  <c r="AP462" i="1"/>
  <c r="AQ462" i="1"/>
  <c r="AR462" i="1"/>
  <c r="AK463" i="1"/>
  <c r="AO463" i="1"/>
  <c r="W463" i="1" s="1"/>
  <c r="AP463" i="1"/>
  <c r="AQ463" i="1"/>
  <c r="AR463" i="1"/>
  <c r="AK464" i="1"/>
  <c r="AO464" i="1"/>
  <c r="W464" i="1" s="1"/>
  <c r="AP464" i="1"/>
  <c r="AQ464" i="1"/>
  <c r="AR464" i="1"/>
  <c r="AK465" i="1"/>
  <c r="AO465" i="1"/>
  <c r="W465" i="1" s="1"/>
  <c r="AP465" i="1"/>
  <c r="AQ465" i="1"/>
  <c r="AR465" i="1"/>
  <c r="AK466" i="1"/>
  <c r="AO466" i="1"/>
  <c r="W466" i="1" s="1"/>
  <c r="AP466" i="1"/>
  <c r="AQ466" i="1"/>
  <c r="AR466" i="1"/>
  <c r="AK467" i="1"/>
  <c r="AO467" i="1"/>
  <c r="W467" i="1" s="1"/>
  <c r="AP467" i="1"/>
  <c r="AQ467" i="1"/>
  <c r="AR467" i="1"/>
  <c r="AK468" i="1"/>
  <c r="AO468" i="1"/>
  <c r="W468" i="1" s="1"/>
  <c r="AP468" i="1"/>
  <c r="AQ468" i="1"/>
  <c r="AR468" i="1"/>
  <c r="AK469" i="1"/>
  <c r="AO469" i="1"/>
  <c r="W469" i="1" s="1"/>
  <c r="AP469" i="1"/>
  <c r="AQ469" i="1"/>
  <c r="AR469" i="1"/>
  <c r="AK470" i="1"/>
  <c r="AO470" i="1"/>
  <c r="W470" i="1" s="1"/>
  <c r="AP470" i="1"/>
  <c r="AQ470" i="1"/>
  <c r="AR470" i="1"/>
  <c r="AK471" i="1"/>
  <c r="AO471" i="1"/>
  <c r="W471" i="1" s="1"/>
  <c r="AP471" i="1"/>
  <c r="AQ471" i="1"/>
  <c r="AR471" i="1"/>
  <c r="AK472" i="1"/>
  <c r="AO472" i="1"/>
  <c r="W472" i="1" s="1"/>
  <c r="AP472" i="1"/>
  <c r="AQ472" i="1"/>
  <c r="AR472" i="1"/>
  <c r="AK473" i="1"/>
  <c r="AO473" i="1"/>
  <c r="W473" i="1" s="1"/>
  <c r="AP473" i="1"/>
  <c r="AQ473" i="1"/>
  <c r="AR473" i="1"/>
  <c r="AK474" i="1"/>
  <c r="AO474" i="1"/>
  <c r="W474" i="1" s="1"/>
  <c r="AP474" i="1"/>
  <c r="AQ474" i="1"/>
  <c r="AR474" i="1"/>
  <c r="AK475" i="1"/>
  <c r="AO475" i="1"/>
  <c r="W475" i="1" s="1"/>
  <c r="AP475" i="1"/>
  <c r="AQ475" i="1"/>
  <c r="AR475" i="1"/>
  <c r="AK476" i="1"/>
  <c r="AO476" i="1"/>
  <c r="W476" i="1" s="1"/>
  <c r="AP476" i="1"/>
  <c r="AQ476" i="1"/>
  <c r="AR476" i="1"/>
  <c r="AK477" i="1"/>
  <c r="AO477" i="1"/>
  <c r="W477" i="1" s="1"/>
  <c r="AP477" i="1"/>
  <c r="AQ477" i="1"/>
  <c r="AR477" i="1"/>
  <c r="AK478" i="1"/>
  <c r="AO478" i="1"/>
  <c r="W478" i="1" s="1"/>
  <c r="AP478" i="1"/>
  <c r="AQ478" i="1"/>
  <c r="AR478" i="1"/>
  <c r="AK479" i="1"/>
  <c r="AO479" i="1"/>
  <c r="W479" i="1" s="1"/>
  <c r="AP479" i="1"/>
  <c r="AQ479" i="1"/>
  <c r="AR479" i="1"/>
  <c r="AK480" i="1"/>
  <c r="AO480" i="1"/>
  <c r="W480" i="1" s="1"/>
  <c r="AP480" i="1"/>
  <c r="AQ480" i="1"/>
  <c r="AR480" i="1"/>
  <c r="AK481" i="1"/>
  <c r="AO481" i="1"/>
  <c r="W481" i="1" s="1"/>
  <c r="AP481" i="1"/>
  <c r="AQ481" i="1"/>
  <c r="AR481" i="1"/>
  <c r="AK482" i="1"/>
  <c r="AO482" i="1"/>
  <c r="W482" i="1" s="1"/>
  <c r="AP482" i="1"/>
  <c r="AQ482" i="1"/>
  <c r="AR482" i="1"/>
  <c r="AK483" i="1"/>
  <c r="AO483" i="1"/>
  <c r="W483" i="1" s="1"/>
  <c r="AP483" i="1"/>
  <c r="AQ483" i="1"/>
  <c r="AR483" i="1"/>
  <c r="AK484" i="1"/>
  <c r="AO484" i="1"/>
  <c r="W484" i="1" s="1"/>
  <c r="AP484" i="1"/>
  <c r="AQ484" i="1"/>
  <c r="AR484" i="1"/>
  <c r="AK485" i="1"/>
  <c r="AO485" i="1"/>
  <c r="W485" i="1" s="1"/>
  <c r="AP485" i="1"/>
  <c r="AQ485" i="1"/>
  <c r="AR485" i="1"/>
  <c r="AK486" i="1"/>
  <c r="AO486" i="1"/>
  <c r="W486" i="1" s="1"/>
  <c r="AP486" i="1"/>
  <c r="AQ486" i="1"/>
  <c r="AR486" i="1"/>
  <c r="AK487" i="1"/>
  <c r="AO487" i="1"/>
  <c r="W487" i="1" s="1"/>
  <c r="AP487" i="1"/>
  <c r="AQ487" i="1"/>
  <c r="AR487" i="1"/>
  <c r="AK488" i="1"/>
  <c r="AO488" i="1"/>
  <c r="W488" i="1" s="1"/>
  <c r="AP488" i="1"/>
  <c r="AQ488" i="1"/>
  <c r="AR488" i="1"/>
  <c r="AK489" i="1"/>
  <c r="AO489" i="1"/>
  <c r="W489" i="1" s="1"/>
  <c r="AP489" i="1"/>
  <c r="AQ489" i="1"/>
  <c r="AR489" i="1"/>
  <c r="AK490" i="1"/>
  <c r="AO490" i="1"/>
  <c r="W490" i="1" s="1"/>
  <c r="AP490" i="1"/>
  <c r="AQ490" i="1"/>
  <c r="AR490" i="1"/>
  <c r="AK491" i="1"/>
  <c r="AO491" i="1"/>
  <c r="W491" i="1" s="1"/>
  <c r="AP491" i="1"/>
  <c r="AQ491" i="1"/>
  <c r="AR491" i="1"/>
  <c r="AK492" i="1"/>
  <c r="AO492" i="1"/>
  <c r="W492" i="1" s="1"/>
  <c r="AP492" i="1"/>
  <c r="AQ492" i="1"/>
  <c r="AR492" i="1"/>
  <c r="AK493" i="1"/>
  <c r="AO493" i="1"/>
  <c r="W493" i="1" s="1"/>
  <c r="AP493" i="1"/>
  <c r="AQ493" i="1"/>
  <c r="AR493" i="1"/>
  <c r="AK494" i="1"/>
  <c r="AO494" i="1"/>
  <c r="W494" i="1" s="1"/>
  <c r="AP494" i="1"/>
  <c r="AQ494" i="1"/>
  <c r="AR494" i="1"/>
  <c r="AK495" i="1"/>
  <c r="AO495" i="1"/>
  <c r="W495" i="1" s="1"/>
  <c r="AP495" i="1"/>
  <c r="AQ495" i="1"/>
  <c r="AR495" i="1"/>
  <c r="AK496" i="1"/>
  <c r="AO496" i="1"/>
  <c r="W496" i="1" s="1"/>
  <c r="AP496" i="1"/>
  <c r="AQ496" i="1"/>
  <c r="AR496" i="1"/>
  <c r="AK497" i="1"/>
  <c r="AO497" i="1"/>
  <c r="W497" i="1" s="1"/>
  <c r="AP497" i="1"/>
  <c r="AQ497" i="1"/>
  <c r="AR497" i="1"/>
  <c r="AK498" i="1"/>
  <c r="AO498" i="1"/>
  <c r="W498" i="1" s="1"/>
  <c r="AP498" i="1"/>
  <c r="AQ498" i="1"/>
  <c r="AR498" i="1"/>
  <c r="AK499" i="1"/>
  <c r="AO499" i="1"/>
  <c r="W499" i="1" s="1"/>
  <c r="AP499" i="1"/>
  <c r="AQ499" i="1"/>
  <c r="AR499" i="1"/>
  <c r="AK500" i="1"/>
  <c r="AO500" i="1"/>
  <c r="W500" i="1" s="1"/>
  <c r="AP500" i="1"/>
  <c r="AQ500" i="1"/>
  <c r="AR500" i="1"/>
  <c r="AK501" i="1"/>
  <c r="AO501" i="1"/>
  <c r="W501" i="1" s="1"/>
  <c r="AP501" i="1"/>
  <c r="AQ501" i="1"/>
  <c r="AR501" i="1"/>
  <c r="AK502" i="1"/>
  <c r="AO502" i="1"/>
  <c r="W502" i="1" s="1"/>
  <c r="AP502" i="1"/>
  <c r="AQ502" i="1"/>
  <c r="AR502" i="1"/>
  <c r="AK503" i="1"/>
  <c r="AO503" i="1"/>
  <c r="W503" i="1" s="1"/>
  <c r="AP503" i="1"/>
  <c r="AQ503" i="1"/>
  <c r="AR503" i="1"/>
  <c r="AK504" i="1"/>
  <c r="AO504" i="1"/>
  <c r="W504" i="1" s="1"/>
  <c r="AP504" i="1"/>
  <c r="AQ504" i="1"/>
  <c r="AR504" i="1"/>
  <c r="AK505" i="1"/>
  <c r="AO505" i="1"/>
  <c r="W505" i="1" s="1"/>
  <c r="AP505" i="1"/>
  <c r="AQ505" i="1"/>
  <c r="AR505" i="1"/>
  <c r="AK506" i="1"/>
  <c r="AO506" i="1"/>
  <c r="W506" i="1" s="1"/>
  <c r="AP506" i="1"/>
  <c r="AQ506" i="1"/>
  <c r="AR506" i="1"/>
  <c r="AK507" i="1"/>
  <c r="AO507" i="1"/>
  <c r="W507" i="1" s="1"/>
  <c r="AP507" i="1"/>
  <c r="AQ507" i="1"/>
  <c r="AR507" i="1"/>
  <c r="AK508" i="1"/>
  <c r="AO508" i="1"/>
  <c r="W508" i="1" s="1"/>
  <c r="AP508" i="1"/>
  <c r="AQ508" i="1"/>
  <c r="AR508" i="1"/>
  <c r="AK509" i="1"/>
  <c r="AO509" i="1"/>
  <c r="W509" i="1" s="1"/>
  <c r="AP509" i="1"/>
  <c r="AQ509" i="1"/>
  <c r="AR509" i="1"/>
  <c r="AK510" i="1"/>
  <c r="AO510" i="1"/>
  <c r="W510" i="1" s="1"/>
  <c r="AP510" i="1"/>
  <c r="AQ510" i="1"/>
  <c r="AR510" i="1"/>
  <c r="AK511" i="1"/>
  <c r="AO511" i="1"/>
  <c r="W511" i="1" s="1"/>
  <c r="AP511" i="1"/>
  <c r="AQ511" i="1"/>
  <c r="AR511" i="1"/>
  <c r="AK512" i="1"/>
  <c r="AO512" i="1"/>
  <c r="W512" i="1" s="1"/>
  <c r="AP512" i="1"/>
  <c r="AQ512" i="1"/>
  <c r="AR512" i="1"/>
  <c r="AK513" i="1"/>
  <c r="AO513" i="1"/>
  <c r="W513" i="1" s="1"/>
  <c r="AP513" i="1"/>
  <c r="AQ513" i="1"/>
  <c r="AR513" i="1"/>
  <c r="AK514" i="1"/>
  <c r="AO514" i="1"/>
  <c r="W514" i="1" s="1"/>
  <c r="AP514" i="1"/>
  <c r="AQ514" i="1"/>
  <c r="AR514" i="1"/>
  <c r="AK515" i="1"/>
  <c r="AO515" i="1"/>
  <c r="W515" i="1" s="1"/>
  <c r="AP515" i="1"/>
  <c r="AQ515" i="1"/>
  <c r="AR515" i="1"/>
  <c r="AK516" i="1"/>
  <c r="AO516" i="1"/>
  <c r="W516" i="1" s="1"/>
  <c r="AP516" i="1"/>
  <c r="AQ516" i="1"/>
  <c r="AR516" i="1"/>
  <c r="AK517" i="1"/>
  <c r="AO517" i="1"/>
  <c r="W517" i="1" s="1"/>
  <c r="AP517" i="1"/>
  <c r="AQ517" i="1"/>
  <c r="AR517" i="1"/>
  <c r="AK518" i="1"/>
  <c r="AO518" i="1"/>
  <c r="W518" i="1" s="1"/>
  <c r="AP518" i="1"/>
  <c r="AQ518" i="1"/>
  <c r="AR518" i="1"/>
  <c r="AK519" i="1"/>
  <c r="AO519" i="1"/>
  <c r="W519" i="1" s="1"/>
  <c r="AP519" i="1"/>
  <c r="AQ519" i="1"/>
  <c r="AR519" i="1"/>
  <c r="AK520" i="1"/>
  <c r="AO520" i="1"/>
  <c r="W520" i="1" s="1"/>
  <c r="AP520" i="1"/>
  <c r="AQ520" i="1"/>
  <c r="AR520" i="1"/>
  <c r="AK521" i="1"/>
  <c r="AO521" i="1"/>
  <c r="W521" i="1" s="1"/>
  <c r="AP521" i="1"/>
  <c r="AQ521" i="1"/>
  <c r="AR521" i="1"/>
  <c r="AK522" i="1"/>
  <c r="AO522" i="1"/>
  <c r="W522" i="1" s="1"/>
  <c r="AP522" i="1"/>
  <c r="AQ522" i="1"/>
  <c r="AR522" i="1"/>
  <c r="AK523" i="1"/>
  <c r="AO523" i="1"/>
  <c r="W523" i="1" s="1"/>
  <c r="AP523" i="1"/>
  <c r="AQ523" i="1"/>
  <c r="AR523" i="1"/>
  <c r="AK524" i="1"/>
  <c r="AO524" i="1"/>
  <c r="W524" i="1" s="1"/>
  <c r="AP524" i="1"/>
  <c r="AQ524" i="1"/>
  <c r="AR524" i="1"/>
  <c r="AK525" i="1"/>
  <c r="AO525" i="1"/>
  <c r="W525" i="1" s="1"/>
  <c r="AP525" i="1"/>
  <c r="AQ525" i="1"/>
  <c r="AR525" i="1"/>
  <c r="AK526" i="1"/>
  <c r="AO526" i="1"/>
  <c r="W526" i="1" s="1"/>
  <c r="AP526" i="1"/>
  <c r="AQ526" i="1"/>
  <c r="AR526" i="1"/>
  <c r="AK527" i="1"/>
  <c r="AO527" i="1"/>
  <c r="W527" i="1" s="1"/>
  <c r="AP527" i="1"/>
  <c r="AQ527" i="1"/>
  <c r="AR527" i="1"/>
  <c r="AK528" i="1"/>
  <c r="AO528" i="1"/>
  <c r="W528" i="1" s="1"/>
  <c r="AP528" i="1"/>
  <c r="AQ528" i="1"/>
  <c r="AR528" i="1"/>
  <c r="AK529" i="1"/>
  <c r="AO529" i="1"/>
  <c r="W529" i="1" s="1"/>
  <c r="AP529" i="1"/>
  <c r="AQ529" i="1"/>
  <c r="AR529" i="1"/>
  <c r="AK530" i="1"/>
  <c r="AO530" i="1"/>
  <c r="W530" i="1" s="1"/>
  <c r="AP530" i="1"/>
  <c r="AQ530" i="1"/>
  <c r="AR530" i="1"/>
  <c r="AK531" i="1"/>
  <c r="AO531" i="1"/>
  <c r="W531" i="1" s="1"/>
  <c r="AP531" i="1"/>
  <c r="AQ531" i="1"/>
  <c r="AR531" i="1"/>
  <c r="AK532" i="1"/>
  <c r="AO532" i="1"/>
  <c r="W532" i="1" s="1"/>
  <c r="AP532" i="1"/>
  <c r="AQ532" i="1"/>
  <c r="AR532" i="1"/>
  <c r="AK533" i="1"/>
  <c r="AO533" i="1"/>
  <c r="W533" i="1" s="1"/>
  <c r="AP533" i="1"/>
  <c r="AQ533" i="1"/>
  <c r="AR533" i="1"/>
  <c r="AK534" i="1"/>
  <c r="AO534" i="1"/>
  <c r="W534" i="1" s="1"/>
  <c r="AP534" i="1"/>
  <c r="AQ534" i="1"/>
  <c r="AR534" i="1"/>
  <c r="AK535" i="1"/>
  <c r="AO535" i="1"/>
  <c r="W535" i="1" s="1"/>
  <c r="AP535" i="1"/>
  <c r="AQ535" i="1"/>
  <c r="AR535" i="1"/>
  <c r="AK536" i="1"/>
  <c r="AO536" i="1"/>
  <c r="W536" i="1" s="1"/>
  <c r="AP536" i="1"/>
  <c r="AQ536" i="1"/>
  <c r="AR536" i="1"/>
  <c r="AK537" i="1"/>
  <c r="AO537" i="1"/>
  <c r="W537" i="1" s="1"/>
  <c r="AP537" i="1"/>
  <c r="AQ537" i="1"/>
  <c r="AR537" i="1"/>
  <c r="AK538" i="1"/>
  <c r="AO538" i="1"/>
  <c r="W538" i="1" s="1"/>
  <c r="AP538" i="1"/>
  <c r="AQ538" i="1"/>
  <c r="AR538" i="1"/>
  <c r="AK539" i="1"/>
  <c r="AO539" i="1"/>
  <c r="W539" i="1" s="1"/>
  <c r="AP539" i="1"/>
  <c r="AQ539" i="1"/>
  <c r="AR539" i="1"/>
  <c r="AK540" i="1"/>
  <c r="AO540" i="1"/>
  <c r="W540" i="1" s="1"/>
  <c r="AP540" i="1"/>
  <c r="AQ540" i="1"/>
  <c r="AR540" i="1"/>
  <c r="AK541" i="1"/>
  <c r="AO541" i="1"/>
  <c r="W541" i="1" s="1"/>
  <c r="AP541" i="1"/>
  <c r="AQ541" i="1"/>
  <c r="AR541" i="1"/>
  <c r="AK542" i="1"/>
  <c r="AO542" i="1"/>
  <c r="W542" i="1" s="1"/>
  <c r="AP542" i="1"/>
  <c r="AQ542" i="1"/>
  <c r="AR542" i="1"/>
  <c r="AK543" i="1"/>
  <c r="AO543" i="1"/>
  <c r="W543" i="1" s="1"/>
  <c r="AP543" i="1"/>
  <c r="AQ543" i="1"/>
  <c r="AR543" i="1"/>
  <c r="AK544" i="1"/>
  <c r="AO544" i="1"/>
  <c r="W544" i="1" s="1"/>
  <c r="AP544" i="1"/>
  <c r="AQ544" i="1"/>
  <c r="AR544" i="1"/>
  <c r="AK545" i="1"/>
  <c r="AO545" i="1"/>
  <c r="W545" i="1" s="1"/>
  <c r="AP545" i="1"/>
  <c r="AQ545" i="1"/>
  <c r="AR545" i="1"/>
  <c r="AK546" i="1"/>
  <c r="AO546" i="1"/>
  <c r="W546" i="1" s="1"/>
  <c r="AP546" i="1"/>
  <c r="AQ546" i="1"/>
  <c r="AR546" i="1"/>
  <c r="AK547" i="1"/>
  <c r="AO547" i="1"/>
  <c r="W547" i="1" s="1"/>
  <c r="AP547" i="1"/>
  <c r="AQ547" i="1"/>
  <c r="AR547" i="1"/>
  <c r="AK548" i="1"/>
  <c r="AO548" i="1"/>
  <c r="W548" i="1" s="1"/>
  <c r="AP548" i="1"/>
  <c r="AQ548" i="1"/>
  <c r="AR548" i="1"/>
  <c r="AK549" i="1"/>
  <c r="AO549" i="1"/>
  <c r="W549" i="1" s="1"/>
  <c r="AP549" i="1"/>
  <c r="AQ549" i="1"/>
  <c r="AR549" i="1"/>
  <c r="AK550" i="1"/>
  <c r="AO550" i="1"/>
  <c r="W550" i="1" s="1"/>
  <c r="AP550" i="1"/>
  <c r="AQ550" i="1"/>
  <c r="AR550" i="1"/>
  <c r="AK551" i="1"/>
  <c r="AO551" i="1"/>
  <c r="W551" i="1" s="1"/>
  <c r="AP551" i="1"/>
  <c r="AQ551" i="1"/>
  <c r="AR551" i="1"/>
  <c r="AK552" i="1"/>
  <c r="AO552" i="1"/>
  <c r="W552" i="1" s="1"/>
  <c r="AP552" i="1"/>
  <c r="AQ552" i="1"/>
  <c r="AR552" i="1"/>
  <c r="AK553" i="1"/>
  <c r="AO553" i="1"/>
  <c r="W553" i="1" s="1"/>
  <c r="AP553" i="1"/>
  <c r="AQ553" i="1"/>
  <c r="AR553" i="1"/>
  <c r="AK554" i="1"/>
  <c r="AO554" i="1"/>
  <c r="W554" i="1" s="1"/>
  <c r="AP554" i="1"/>
  <c r="AQ554" i="1"/>
  <c r="AR554" i="1"/>
  <c r="AK555" i="1"/>
  <c r="AO555" i="1"/>
  <c r="W555" i="1" s="1"/>
  <c r="AP555" i="1"/>
  <c r="AQ555" i="1"/>
  <c r="AR555" i="1"/>
  <c r="AK556" i="1"/>
  <c r="AO556" i="1"/>
  <c r="W556" i="1" s="1"/>
  <c r="AP556" i="1"/>
  <c r="AQ556" i="1"/>
  <c r="AR556" i="1"/>
  <c r="AK557" i="1"/>
  <c r="AO557" i="1"/>
  <c r="W557" i="1" s="1"/>
  <c r="AP557" i="1"/>
  <c r="AQ557" i="1"/>
  <c r="AR557" i="1"/>
  <c r="AK558" i="1"/>
  <c r="AO558" i="1"/>
  <c r="W558" i="1" s="1"/>
  <c r="AP558" i="1"/>
  <c r="AQ558" i="1"/>
  <c r="AR558" i="1"/>
  <c r="AK559" i="1"/>
  <c r="AO559" i="1"/>
  <c r="W559" i="1" s="1"/>
  <c r="AP559" i="1"/>
  <c r="AQ559" i="1"/>
  <c r="AR559" i="1"/>
  <c r="AU559" i="1"/>
  <c r="AT559" i="1" s="1"/>
  <c r="AV559" i="1"/>
  <c r="AS559" i="1" s="1"/>
  <c r="AK560" i="1"/>
  <c r="AO560" i="1"/>
  <c r="W560" i="1" s="1"/>
  <c r="AP560" i="1"/>
  <c r="AQ560" i="1"/>
  <c r="AR560" i="1"/>
  <c r="AU560" i="1"/>
  <c r="AT560" i="1" s="1"/>
  <c r="AV560" i="1"/>
  <c r="AS560" i="1" s="1"/>
  <c r="AK561" i="1"/>
  <c r="AO561" i="1"/>
  <c r="W561" i="1" s="1"/>
  <c r="AP561" i="1"/>
  <c r="AQ561" i="1"/>
  <c r="AR561" i="1"/>
  <c r="AU561" i="1"/>
  <c r="AT561" i="1" s="1"/>
  <c r="AV561" i="1"/>
  <c r="AS561" i="1" s="1"/>
  <c r="AK562" i="1"/>
  <c r="AO562" i="1"/>
  <c r="W562" i="1" s="1"/>
  <c r="AP562" i="1"/>
  <c r="AQ562" i="1"/>
  <c r="AR562" i="1"/>
  <c r="AU562" i="1"/>
  <c r="AT562" i="1" s="1"/>
  <c r="AV562" i="1"/>
  <c r="AS562" i="1" s="1"/>
  <c r="AK563" i="1"/>
  <c r="AO563" i="1"/>
  <c r="W563" i="1" s="1"/>
  <c r="AP563" i="1"/>
  <c r="AQ563" i="1"/>
  <c r="AR563" i="1"/>
  <c r="AU563" i="1"/>
  <c r="AT563" i="1" s="1"/>
  <c r="AV563" i="1"/>
  <c r="AS563" i="1" s="1"/>
  <c r="AK564" i="1"/>
  <c r="AO564" i="1"/>
  <c r="W564" i="1" s="1"/>
  <c r="AP564" i="1"/>
  <c r="AQ564" i="1"/>
  <c r="AR564" i="1"/>
  <c r="AU564" i="1"/>
  <c r="AT564" i="1" s="1"/>
  <c r="AV564" i="1"/>
  <c r="AS564" i="1" s="1"/>
  <c r="AK565" i="1"/>
  <c r="AO565" i="1"/>
  <c r="W565" i="1" s="1"/>
  <c r="AP565" i="1"/>
  <c r="AQ565" i="1"/>
  <c r="AR565" i="1"/>
  <c r="AU565" i="1"/>
  <c r="AT565" i="1" s="1"/>
  <c r="AV565" i="1"/>
  <c r="AS565" i="1" s="1"/>
  <c r="AK566" i="1"/>
  <c r="AO566" i="1"/>
  <c r="W566" i="1" s="1"/>
  <c r="AP566" i="1"/>
  <c r="AQ566" i="1"/>
  <c r="AR566" i="1"/>
  <c r="AU566" i="1"/>
  <c r="AT566" i="1" s="1"/>
  <c r="AV566" i="1"/>
  <c r="AS566" i="1" s="1"/>
  <c r="AK567" i="1"/>
  <c r="AO567" i="1"/>
  <c r="W567" i="1" s="1"/>
  <c r="AP567" i="1"/>
  <c r="AQ567" i="1"/>
  <c r="AR567" i="1"/>
  <c r="AU567" i="1"/>
  <c r="AT567" i="1" s="1"/>
  <c r="AV567" i="1"/>
  <c r="AS567" i="1" s="1"/>
  <c r="AK568" i="1"/>
  <c r="AO568" i="1"/>
  <c r="W568" i="1" s="1"/>
  <c r="AP568" i="1"/>
  <c r="AQ568" i="1"/>
  <c r="AR568" i="1"/>
  <c r="AU568" i="1"/>
  <c r="AT568" i="1" s="1"/>
  <c r="AV568" i="1"/>
  <c r="AS568" i="1" s="1"/>
  <c r="AK569" i="1"/>
  <c r="AO569" i="1"/>
  <c r="W569" i="1" s="1"/>
  <c r="AP569" i="1"/>
  <c r="AQ569" i="1"/>
  <c r="AR569" i="1"/>
  <c r="AU569" i="1"/>
  <c r="AT569" i="1" s="1"/>
  <c r="AV569" i="1"/>
  <c r="AS569" i="1" s="1"/>
  <c r="AK570" i="1"/>
  <c r="AO570" i="1"/>
  <c r="W570" i="1" s="1"/>
  <c r="AP570" i="1"/>
  <c r="AQ570" i="1"/>
  <c r="AR570" i="1"/>
  <c r="AU570" i="1"/>
  <c r="AT570" i="1" s="1"/>
  <c r="AV570" i="1"/>
  <c r="AS570" i="1" s="1"/>
  <c r="AK571" i="1"/>
  <c r="AO571" i="1"/>
  <c r="W571" i="1" s="1"/>
  <c r="AP571" i="1"/>
  <c r="AQ571" i="1"/>
  <c r="AR571" i="1"/>
  <c r="AU571" i="1"/>
  <c r="AT571" i="1" s="1"/>
  <c r="AV571" i="1"/>
  <c r="AS571" i="1" s="1"/>
  <c r="AK572" i="1"/>
  <c r="AO572" i="1"/>
  <c r="W572" i="1" s="1"/>
  <c r="AP572" i="1"/>
  <c r="AQ572" i="1"/>
  <c r="AR572" i="1"/>
  <c r="AU572" i="1"/>
  <c r="AT572" i="1" s="1"/>
  <c r="AV572" i="1"/>
  <c r="AS572" i="1" s="1"/>
  <c r="AK573" i="1"/>
  <c r="AO573" i="1"/>
  <c r="W573" i="1" s="1"/>
  <c r="AP573" i="1"/>
  <c r="AQ573" i="1"/>
  <c r="AR573" i="1"/>
  <c r="AU573" i="1"/>
  <c r="AT573" i="1" s="1"/>
  <c r="AV573" i="1"/>
  <c r="AS573" i="1" s="1"/>
  <c r="AK574" i="1"/>
  <c r="AO574" i="1"/>
  <c r="W574" i="1" s="1"/>
  <c r="AP574" i="1"/>
  <c r="AQ574" i="1"/>
  <c r="AR574" i="1"/>
  <c r="AU574" i="1"/>
  <c r="AT574" i="1" s="1"/>
  <c r="AV574" i="1"/>
  <c r="AS574" i="1" s="1"/>
  <c r="AK575" i="1"/>
  <c r="AO575" i="1"/>
  <c r="W575" i="1" s="1"/>
  <c r="AP575" i="1"/>
  <c r="AQ575" i="1"/>
  <c r="AR575" i="1"/>
  <c r="AU575" i="1"/>
  <c r="AT575" i="1" s="1"/>
  <c r="AV575" i="1"/>
  <c r="AS575" i="1" s="1"/>
  <c r="AK576" i="1"/>
  <c r="AO576" i="1"/>
  <c r="W576" i="1" s="1"/>
  <c r="AP576" i="1"/>
  <c r="AQ576" i="1"/>
  <c r="AR576" i="1"/>
  <c r="AU576" i="1"/>
  <c r="AT576" i="1" s="1"/>
  <c r="AV576" i="1"/>
  <c r="AS576" i="1" s="1"/>
  <c r="AK577" i="1"/>
  <c r="AO577" i="1"/>
  <c r="W577" i="1" s="1"/>
  <c r="AP577" i="1"/>
  <c r="AQ577" i="1"/>
  <c r="AR577" i="1"/>
  <c r="AU577" i="1"/>
  <c r="AT577" i="1" s="1"/>
  <c r="AV577" i="1"/>
  <c r="AS577" i="1" s="1"/>
  <c r="AK578" i="1"/>
  <c r="AO578" i="1"/>
  <c r="W578" i="1" s="1"/>
  <c r="AP578" i="1"/>
  <c r="AQ578" i="1"/>
  <c r="AR578" i="1"/>
  <c r="AU578" i="1"/>
  <c r="AT578" i="1" s="1"/>
  <c r="AV578" i="1"/>
  <c r="AS578" i="1" s="1"/>
  <c r="AK579" i="1"/>
  <c r="AO579" i="1"/>
  <c r="W579" i="1" s="1"/>
  <c r="AP579" i="1"/>
  <c r="AQ579" i="1"/>
  <c r="AR579" i="1"/>
  <c r="AU579" i="1"/>
  <c r="AT579" i="1" s="1"/>
  <c r="AV579" i="1"/>
  <c r="AS579" i="1" s="1"/>
  <c r="AK580" i="1"/>
  <c r="AO580" i="1"/>
  <c r="W580" i="1" s="1"/>
  <c r="AP580" i="1"/>
  <c r="AQ580" i="1"/>
  <c r="AR580" i="1"/>
  <c r="AU580" i="1"/>
  <c r="AT580" i="1" s="1"/>
  <c r="AV580" i="1"/>
  <c r="AS580" i="1" s="1"/>
  <c r="AK581" i="1"/>
  <c r="AO581" i="1"/>
  <c r="W581" i="1" s="1"/>
  <c r="AP581" i="1"/>
  <c r="AQ581" i="1"/>
  <c r="AR581" i="1"/>
  <c r="AU581" i="1"/>
  <c r="AT581" i="1" s="1"/>
  <c r="AV581" i="1"/>
  <c r="AS581" i="1" s="1"/>
  <c r="AK582" i="1"/>
  <c r="AO582" i="1"/>
  <c r="W582" i="1" s="1"/>
  <c r="AP582" i="1"/>
  <c r="AQ582" i="1"/>
  <c r="AR582" i="1"/>
  <c r="AU582" i="1"/>
  <c r="AT582" i="1" s="1"/>
  <c r="AV582" i="1"/>
  <c r="AS582" i="1" s="1"/>
  <c r="AK583" i="1"/>
  <c r="AO583" i="1"/>
  <c r="W583" i="1" s="1"/>
  <c r="AP583" i="1"/>
  <c r="AQ583" i="1"/>
  <c r="AR583" i="1"/>
  <c r="AU583" i="1"/>
  <c r="AT583" i="1" s="1"/>
  <c r="AV583" i="1"/>
  <c r="AS583" i="1" s="1"/>
  <c r="AK584" i="1"/>
  <c r="AO584" i="1"/>
  <c r="W584" i="1" s="1"/>
  <c r="AP584" i="1"/>
  <c r="AQ584" i="1"/>
  <c r="AR584" i="1"/>
  <c r="AU584" i="1"/>
  <c r="AT584" i="1" s="1"/>
  <c r="AV584" i="1"/>
  <c r="AS584" i="1" s="1"/>
  <c r="AK585" i="1"/>
  <c r="AO585" i="1"/>
  <c r="W585" i="1" s="1"/>
  <c r="AP585" i="1"/>
  <c r="AQ585" i="1"/>
  <c r="AR585" i="1"/>
  <c r="AU585" i="1"/>
  <c r="AT585" i="1" s="1"/>
  <c r="AV585" i="1"/>
  <c r="AS585" i="1" s="1"/>
  <c r="AK586" i="1"/>
  <c r="AO586" i="1"/>
  <c r="W586" i="1" s="1"/>
  <c r="AP586" i="1"/>
  <c r="AQ586" i="1"/>
  <c r="AR586" i="1"/>
  <c r="AU586" i="1"/>
  <c r="AT586" i="1" s="1"/>
  <c r="AV586" i="1"/>
  <c r="AS586" i="1" s="1"/>
  <c r="AK587" i="1"/>
  <c r="AO587" i="1"/>
  <c r="W587" i="1" s="1"/>
  <c r="AP587" i="1"/>
  <c r="AQ587" i="1"/>
  <c r="AR587" i="1"/>
  <c r="AU587" i="1"/>
  <c r="AT587" i="1" s="1"/>
  <c r="AV587" i="1"/>
  <c r="AS587" i="1" s="1"/>
  <c r="AK588" i="1"/>
  <c r="AO588" i="1"/>
  <c r="W588" i="1" s="1"/>
  <c r="AP588" i="1"/>
  <c r="AQ588" i="1"/>
  <c r="AR588" i="1"/>
  <c r="AU588" i="1"/>
  <c r="AT588" i="1" s="1"/>
  <c r="AV588" i="1"/>
  <c r="AS588" i="1" s="1"/>
  <c r="AK589" i="1"/>
  <c r="AO589" i="1"/>
  <c r="W589" i="1" s="1"/>
  <c r="AP589" i="1"/>
  <c r="AQ589" i="1"/>
  <c r="AR589" i="1"/>
  <c r="AU589" i="1"/>
  <c r="AT589" i="1" s="1"/>
  <c r="AV589" i="1"/>
  <c r="AS589" i="1" s="1"/>
  <c r="AK590" i="1"/>
  <c r="AO590" i="1"/>
  <c r="W590" i="1" s="1"/>
  <c r="AP590" i="1"/>
  <c r="AQ590" i="1"/>
  <c r="AR590" i="1"/>
  <c r="AU590" i="1"/>
  <c r="AT590" i="1" s="1"/>
  <c r="AV590" i="1"/>
  <c r="AS590" i="1" s="1"/>
  <c r="AK591" i="1"/>
  <c r="AO591" i="1"/>
  <c r="W591" i="1" s="1"/>
  <c r="AP591" i="1"/>
  <c r="AQ591" i="1"/>
  <c r="AR591" i="1"/>
  <c r="AU591" i="1"/>
  <c r="AT591" i="1" s="1"/>
  <c r="AV591" i="1"/>
  <c r="AS591" i="1" s="1"/>
  <c r="AK592" i="1"/>
  <c r="AO592" i="1"/>
  <c r="W592" i="1" s="1"/>
  <c r="AP592" i="1"/>
  <c r="AQ592" i="1"/>
  <c r="AR592" i="1"/>
  <c r="AU592" i="1"/>
  <c r="AT592" i="1" s="1"/>
  <c r="AV592" i="1"/>
  <c r="AS592" i="1" s="1"/>
  <c r="AK593" i="1"/>
  <c r="AO593" i="1"/>
  <c r="W593" i="1" s="1"/>
  <c r="AP593" i="1"/>
  <c r="AQ593" i="1"/>
  <c r="AR593" i="1"/>
  <c r="AU593" i="1"/>
  <c r="AT593" i="1" s="1"/>
  <c r="AV593" i="1"/>
  <c r="AS593" i="1" s="1"/>
  <c r="AK594" i="1"/>
  <c r="AO594" i="1"/>
  <c r="W594" i="1" s="1"/>
  <c r="AP594" i="1"/>
  <c r="AQ594" i="1"/>
  <c r="AR594" i="1"/>
  <c r="AU594" i="1"/>
  <c r="AT594" i="1" s="1"/>
  <c r="AV594" i="1"/>
  <c r="AS594" i="1" s="1"/>
  <c r="AK595" i="1"/>
  <c r="AO595" i="1"/>
  <c r="W595" i="1" s="1"/>
  <c r="AP595" i="1"/>
  <c r="AQ595" i="1"/>
  <c r="AR595" i="1"/>
  <c r="AU595" i="1"/>
  <c r="AT595" i="1" s="1"/>
  <c r="AV595" i="1"/>
  <c r="AS595" i="1" s="1"/>
  <c r="AK596" i="1"/>
  <c r="AO596" i="1"/>
  <c r="W596" i="1" s="1"/>
  <c r="AP596" i="1"/>
  <c r="AQ596" i="1"/>
  <c r="AR596" i="1"/>
  <c r="AU596" i="1"/>
  <c r="AT596" i="1" s="1"/>
  <c r="AV596" i="1"/>
  <c r="AS596" i="1" s="1"/>
  <c r="AK597" i="1"/>
  <c r="AO597" i="1"/>
  <c r="W597" i="1" s="1"/>
  <c r="AP597" i="1"/>
  <c r="AQ597" i="1"/>
  <c r="AR597" i="1"/>
  <c r="AU597" i="1"/>
  <c r="AT597" i="1" s="1"/>
  <c r="AV597" i="1"/>
  <c r="AS597" i="1" s="1"/>
  <c r="AK598" i="1"/>
  <c r="AO598" i="1"/>
  <c r="W598" i="1" s="1"/>
  <c r="AP598" i="1"/>
  <c r="AQ598" i="1"/>
  <c r="AR598" i="1"/>
  <c r="AU598" i="1"/>
  <c r="AT598" i="1" s="1"/>
  <c r="AV598" i="1"/>
  <c r="AS598" i="1" s="1"/>
  <c r="AK599" i="1"/>
  <c r="AO599" i="1"/>
  <c r="W599" i="1" s="1"/>
  <c r="AP599" i="1"/>
  <c r="AQ599" i="1"/>
  <c r="AR599" i="1"/>
  <c r="AU599" i="1"/>
  <c r="AT599" i="1" s="1"/>
  <c r="AV599" i="1"/>
  <c r="AS599" i="1" s="1"/>
  <c r="AK600" i="1"/>
  <c r="AO600" i="1"/>
  <c r="W600" i="1" s="1"/>
  <c r="AP600" i="1"/>
  <c r="AQ600" i="1"/>
  <c r="AR600" i="1"/>
  <c r="AU600" i="1"/>
  <c r="AT600" i="1" s="1"/>
  <c r="AV600" i="1"/>
  <c r="AS600" i="1" s="1"/>
  <c r="AK601" i="1"/>
  <c r="AO601" i="1"/>
  <c r="W601" i="1" s="1"/>
  <c r="AP601" i="1"/>
  <c r="AQ601" i="1"/>
  <c r="AR601" i="1"/>
  <c r="AU601" i="1"/>
  <c r="AT601" i="1" s="1"/>
  <c r="AV601" i="1"/>
  <c r="AS601" i="1" s="1"/>
  <c r="AK602" i="1"/>
  <c r="AO602" i="1"/>
  <c r="W602" i="1" s="1"/>
  <c r="AP602" i="1"/>
  <c r="AQ602" i="1"/>
  <c r="AR602" i="1"/>
  <c r="AU602" i="1"/>
  <c r="AT602" i="1" s="1"/>
  <c r="AV602" i="1"/>
  <c r="AS602" i="1" s="1"/>
  <c r="AK603" i="1"/>
  <c r="AO603" i="1"/>
  <c r="W603" i="1" s="1"/>
  <c r="AP603" i="1"/>
  <c r="AQ603" i="1"/>
  <c r="AR603" i="1"/>
  <c r="AU603" i="1"/>
  <c r="AT603" i="1" s="1"/>
  <c r="AV603" i="1"/>
  <c r="AS603" i="1" s="1"/>
  <c r="AK604" i="1"/>
  <c r="AO604" i="1"/>
  <c r="W604" i="1" s="1"/>
  <c r="AP604" i="1"/>
  <c r="AQ604" i="1"/>
  <c r="AR604" i="1"/>
  <c r="AU604" i="1"/>
  <c r="AT604" i="1" s="1"/>
  <c r="AV604" i="1"/>
  <c r="AS604" i="1" s="1"/>
  <c r="AK605" i="1"/>
  <c r="AO605" i="1"/>
  <c r="W605" i="1" s="1"/>
  <c r="AP605" i="1"/>
  <c r="AQ605" i="1"/>
  <c r="AR605" i="1"/>
  <c r="AU605" i="1"/>
  <c r="AT605" i="1" s="1"/>
  <c r="AV605" i="1"/>
  <c r="AS605" i="1" s="1"/>
  <c r="AK606" i="1"/>
  <c r="AO606" i="1"/>
  <c r="W606" i="1" s="1"/>
  <c r="AP606" i="1"/>
  <c r="AQ606" i="1"/>
  <c r="AR606" i="1"/>
  <c r="AU606" i="1"/>
  <c r="AT606" i="1" s="1"/>
  <c r="AV606" i="1"/>
  <c r="AS606" i="1" s="1"/>
  <c r="AK607" i="1"/>
  <c r="AO607" i="1"/>
  <c r="W607" i="1" s="1"/>
  <c r="AP607" i="1"/>
  <c r="AQ607" i="1"/>
  <c r="AR607" i="1"/>
  <c r="AU607" i="1"/>
  <c r="AT607" i="1" s="1"/>
  <c r="AV607" i="1"/>
  <c r="AS607" i="1" s="1"/>
  <c r="H441" i="1"/>
  <c r="H442" i="1"/>
  <c r="S442" i="1" s="1"/>
  <c r="H443" i="1"/>
  <c r="S443" i="1" s="1"/>
  <c r="H444" i="1"/>
  <c r="S444" i="1" s="1"/>
  <c r="H445" i="1"/>
  <c r="H446" i="1"/>
  <c r="H447" i="1"/>
  <c r="S447" i="1" s="1"/>
  <c r="H448" i="1"/>
  <c r="S559" i="1"/>
  <c r="S560" i="1"/>
  <c r="T560" i="1" s="1"/>
  <c r="S561" i="1"/>
  <c r="T561" i="1" s="1"/>
  <c r="S562" i="1"/>
  <c r="T562" i="1" s="1"/>
  <c r="S563" i="1"/>
  <c r="T563" i="1" s="1"/>
  <c r="S564" i="1"/>
  <c r="S565" i="1"/>
  <c r="T565" i="1" s="1"/>
  <c r="S566" i="1"/>
  <c r="T566" i="1" s="1"/>
  <c r="S567" i="1"/>
  <c r="S568" i="1"/>
  <c r="T568" i="1" s="1"/>
  <c r="S569" i="1"/>
  <c r="T569" i="1" s="1"/>
  <c r="S570" i="1"/>
  <c r="T570" i="1" s="1"/>
  <c r="S571" i="1"/>
  <c r="T571" i="1" s="1"/>
  <c r="S572" i="1"/>
  <c r="S573" i="1"/>
  <c r="T573" i="1" s="1"/>
  <c r="S574" i="1"/>
  <c r="T574" i="1" s="1"/>
  <c r="S575" i="1"/>
  <c r="S576" i="1"/>
  <c r="T576" i="1" s="1"/>
  <c r="S577" i="1"/>
  <c r="T577" i="1" s="1"/>
  <c r="S578" i="1"/>
  <c r="T578" i="1" s="1"/>
  <c r="S579" i="1"/>
  <c r="T579" i="1" s="1"/>
  <c r="S580" i="1"/>
  <c r="S581" i="1"/>
  <c r="T581" i="1" s="1"/>
  <c r="S582" i="1"/>
  <c r="T582" i="1" s="1"/>
  <c r="S583" i="1"/>
  <c r="S584" i="1"/>
  <c r="T584" i="1" s="1"/>
  <c r="S585" i="1"/>
  <c r="T585" i="1" s="1"/>
  <c r="S586" i="1"/>
  <c r="T586" i="1" s="1"/>
  <c r="S587" i="1"/>
  <c r="T587" i="1" s="1"/>
  <c r="S588" i="1"/>
  <c r="S589" i="1"/>
  <c r="T589" i="1" s="1"/>
  <c r="S590" i="1"/>
  <c r="T590" i="1" s="1"/>
  <c r="S591" i="1"/>
  <c r="S592" i="1"/>
  <c r="T592" i="1" s="1"/>
  <c r="S593" i="1"/>
  <c r="T593" i="1" s="1"/>
  <c r="S594" i="1"/>
  <c r="T594" i="1" s="1"/>
  <c r="S595" i="1"/>
  <c r="T595" i="1" s="1"/>
  <c r="S596" i="1"/>
  <c r="S597" i="1"/>
  <c r="T597" i="1" s="1"/>
  <c r="S598" i="1"/>
  <c r="T598" i="1" s="1"/>
  <c r="S599" i="1"/>
  <c r="S600" i="1"/>
  <c r="T600" i="1" s="1"/>
  <c r="S601" i="1"/>
  <c r="T601" i="1" s="1"/>
  <c r="S602" i="1"/>
  <c r="T602" i="1" s="1"/>
  <c r="S603" i="1"/>
  <c r="T603" i="1" s="1"/>
  <c r="S604" i="1"/>
  <c r="S605" i="1"/>
  <c r="T605" i="1" s="1"/>
  <c r="S606" i="1"/>
  <c r="T606" i="1" s="1"/>
  <c r="S607" i="1"/>
  <c r="T607" i="1" s="1"/>
  <c r="AK440" i="1"/>
  <c r="AO440" i="1"/>
  <c r="W440" i="1" s="1"/>
  <c r="AP440" i="1"/>
  <c r="AQ440" i="1"/>
  <c r="AR440" i="1"/>
  <c r="AU440" i="1"/>
  <c r="U441" i="1"/>
  <c r="X441" i="1" s="1"/>
  <c r="V441" i="1"/>
  <c r="U442" i="1"/>
  <c r="V442" i="1"/>
  <c r="U443" i="1"/>
  <c r="X443" i="1" s="1"/>
  <c r="V443" i="1"/>
  <c r="U444" i="1"/>
  <c r="X444" i="1" s="1"/>
  <c r="V444" i="1"/>
  <c r="U445" i="1"/>
  <c r="V445" i="1"/>
  <c r="U446" i="1"/>
  <c r="V446" i="1"/>
  <c r="U447" i="1"/>
  <c r="V447" i="1"/>
  <c r="U448" i="1"/>
  <c r="V448" i="1"/>
  <c r="U449" i="1"/>
  <c r="V449" i="1"/>
  <c r="U450" i="1"/>
  <c r="V450" i="1"/>
  <c r="U451" i="1"/>
  <c r="X451" i="1" s="1"/>
  <c r="V451" i="1"/>
  <c r="U452" i="1"/>
  <c r="X452" i="1" s="1"/>
  <c r="V452" i="1"/>
  <c r="V462" i="1"/>
  <c r="U463" i="1"/>
  <c r="V463" i="1"/>
  <c r="U464" i="1"/>
  <c r="V464" i="1"/>
  <c r="V465" i="1"/>
  <c r="V466" i="1"/>
  <c r="V467" i="1"/>
  <c r="U468" i="1"/>
  <c r="X468" i="1" s="1"/>
  <c r="V468" i="1"/>
  <c r="U469" i="1"/>
  <c r="X469" i="1" s="1"/>
  <c r="V469" i="1"/>
  <c r="U470" i="1"/>
  <c r="V470" i="1"/>
  <c r="U471" i="1"/>
  <c r="V471" i="1"/>
  <c r="U472" i="1"/>
  <c r="V472" i="1"/>
  <c r="U473" i="1"/>
  <c r="X473" i="1" s="1"/>
  <c r="V473" i="1"/>
  <c r="V474" i="1"/>
  <c r="V475" i="1"/>
  <c r="X476" i="1"/>
  <c r="V476" i="1"/>
  <c r="U477" i="1"/>
  <c r="X477" i="1" s="1"/>
  <c r="V477" i="1"/>
  <c r="V478" i="1"/>
  <c r="U479" i="1"/>
  <c r="V479" i="1"/>
  <c r="U480" i="1"/>
  <c r="V480" i="1"/>
  <c r="U481" i="1"/>
  <c r="V481" i="1"/>
  <c r="U482" i="1"/>
  <c r="V482" i="1"/>
  <c r="U483" i="1"/>
  <c r="V483" i="1"/>
  <c r="U484" i="1"/>
  <c r="X484" i="1" s="1"/>
  <c r="V484" i="1"/>
  <c r="X485" i="1"/>
  <c r="V485" i="1"/>
  <c r="V486" i="1"/>
  <c r="V487" i="1"/>
  <c r="V488" i="1"/>
  <c r="V489" i="1"/>
  <c r="V490" i="1"/>
  <c r="V491" i="1"/>
  <c r="X492" i="1"/>
  <c r="V492" i="1"/>
  <c r="X493" i="1"/>
  <c r="V493" i="1"/>
  <c r="V494" i="1"/>
  <c r="V495" i="1"/>
  <c r="V496" i="1"/>
  <c r="V497" i="1"/>
  <c r="V498" i="1"/>
  <c r="V499" i="1"/>
  <c r="X500" i="1"/>
  <c r="V500" i="1"/>
  <c r="X501" i="1"/>
  <c r="V501" i="1"/>
  <c r="V502" i="1"/>
  <c r="U503" i="1"/>
  <c r="V503" i="1"/>
  <c r="U504" i="1"/>
  <c r="V504" i="1"/>
  <c r="V505" i="1"/>
  <c r="V506" i="1"/>
  <c r="X507" i="1"/>
  <c r="V507" i="1"/>
  <c r="X508" i="1"/>
  <c r="V508" i="1"/>
  <c r="U509" i="1"/>
  <c r="V509" i="1"/>
  <c r="U510" i="1"/>
  <c r="V510" i="1"/>
  <c r="U511" i="1"/>
  <c r="V511" i="1"/>
  <c r="U512" i="1"/>
  <c r="V512" i="1"/>
  <c r="U513" i="1"/>
  <c r="V513" i="1"/>
  <c r="U514" i="1"/>
  <c r="V514" i="1"/>
  <c r="U515" i="1"/>
  <c r="X515" i="1" s="1"/>
  <c r="V515" i="1"/>
  <c r="U516" i="1"/>
  <c r="X516" i="1" s="1"/>
  <c r="V516" i="1"/>
  <c r="U517" i="1"/>
  <c r="V517" i="1"/>
  <c r="U518" i="1"/>
  <c r="V518" i="1"/>
  <c r="V519" i="1"/>
  <c r="U520" i="1"/>
  <c r="V520" i="1"/>
  <c r="U521" i="1"/>
  <c r="V521" i="1"/>
  <c r="V522" i="1"/>
  <c r="X523" i="1"/>
  <c r="V523" i="1"/>
  <c r="X524" i="1"/>
  <c r="V524" i="1"/>
  <c r="V525" i="1"/>
  <c r="V526" i="1"/>
  <c r="V527" i="1"/>
  <c r="V528" i="1"/>
  <c r="V529" i="1"/>
  <c r="U530" i="1"/>
  <c r="V530" i="1"/>
  <c r="X531" i="1"/>
  <c r="V531" i="1"/>
  <c r="X532" i="1"/>
  <c r="V532" i="1"/>
  <c r="V533" i="1"/>
  <c r="V534" i="1"/>
  <c r="V535" i="1"/>
  <c r="V536" i="1"/>
  <c r="V537" i="1"/>
  <c r="V538" i="1"/>
  <c r="X539" i="1"/>
  <c r="V539" i="1"/>
  <c r="X540" i="1"/>
  <c r="V540" i="1"/>
  <c r="V541" i="1"/>
  <c r="U542" i="1"/>
  <c r="V542" i="1"/>
  <c r="U543" i="1"/>
  <c r="V543" i="1"/>
  <c r="V544" i="1"/>
  <c r="V545" i="1"/>
  <c r="V546" i="1"/>
  <c r="X547" i="1"/>
  <c r="V547" i="1"/>
  <c r="U548" i="1"/>
  <c r="X548" i="1" s="1"/>
  <c r="V548" i="1"/>
  <c r="V549" i="1"/>
  <c r="V550" i="1"/>
  <c r="V551" i="1"/>
  <c r="U552" i="1"/>
  <c r="V552" i="1"/>
  <c r="V553" i="1"/>
  <c r="V554" i="1"/>
  <c r="X555" i="1"/>
  <c r="V555" i="1"/>
  <c r="X556" i="1"/>
  <c r="V556" i="1"/>
  <c r="V557" i="1"/>
  <c r="V558" i="1"/>
  <c r="U559" i="1"/>
  <c r="V559" i="1"/>
  <c r="U560" i="1"/>
  <c r="V560" i="1"/>
  <c r="U561" i="1"/>
  <c r="V561" i="1"/>
  <c r="U562" i="1"/>
  <c r="V562" i="1"/>
  <c r="U563" i="1"/>
  <c r="X563" i="1" s="1"/>
  <c r="Z563" i="1" s="1"/>
  <c r="V563" i="1"/>
  <c r="U564" i="1"/>
  <c r="X564" i="1" s="1"/>
  <c r="Z564" i="1" s="1"/>
  <c r="V564" i="1"/>
  <c r="U565" i="1"/>
  <c r="V565" i="1"/>
  <c r="U566" i="1"/>
  <c r="V566" i="1"/>
  <c r="U567" i="1"/>
  <c r="V567" i="1"/>
  <c r="U568" i="1"/>
  <c r="V568" i="1"/>
  <c r="U569" i="1"/>
  <c r="V569" i="1"/>
  <c r="U570" i="1"/>
  <c r="V570" i="1"/>
  <c r="U571" i="1"/>
  <c r="V571" i="1"/>
  <c r="U572" i="1"/>
  <c r="X572" i="1" s="1"/>
  <c r="Z572" i="1" s="1"/>
  <c r="V572" i="1"/>
  <c r="U573" i="1"/>
  <c r="V573" i="1"/>
  <c r="U574" i="1"/>
  <c r="V574" i="1"/>
  <c r="U575" i="1"/>
  <c r="V575" i="1"/>
  <c r="U576" i="1"/>
  <c r="V576" i="1"/>
  <c r="U577" i="1"/>
  <c r="X577" i="1" s="1"/>
  <c r="Z577" i="1" s="1"/>
  <c r="V577" i="1"/>
  <c r="U578" i="1"/>
  <c r="Y578" i="1" s="1"/>
  <c r="V578" i="1"/>
  <c r="U579" i="1"/>
  <c r="X579" i="1" s="1"/>
  <c r="Z579" i="1" s="1"/>
  <c r="V579" i="1"/>
  <c r="U580" i="1"/>
  <c r="V580" i="1"/>
  <c r="U581" i="1"/>
  <c r="V581" i="1"/>
  <c r="U582" i="1"/>
  <c r="V582" i="1"/>
  <c r="U583" i="1"/>
  <c r="X583" i="1" s="1"/>
  <c r="Z583" i="1" s="1"/>
  <c r="V583" i="1"/>
  <c r="U584" i="1"/>
  <c r="V584" i="1"/>
  <c r="U585" i="1"/>
  <c r="X585" i="1" s="1"/>
  <c r="Z585" i="1" s="1"/>
  <c r="V585" i="1"/>
  <c r="U586" i="1"/>
  <c r="V586" i="1"/>
  <c r="U587" i="1"/>
  <c r="V587" i="1"/>
  <c r="U588" i="1"/>
  <c r="V588" i="1"/>
  <c r="U589" i="1"/>
  <c r="X589" i="1" s="1"/>
  <c r="Z589" i="1" s="1"/>
  <c r="V589" i="1"/>
  <c r="U590" i="1"/>
  <c r="V590" i="1"/>
  <c r="U591" i="1"/>
  <c r="V591" i="1"/>
  <c r="U592" i="1"/>
  <c r="V592" i="1"/>
  <c r="U593" i="1"/>
  <c r="X593" i="1" s="1"/>
  <c r="Z593" i="1" s="1"/>
  <c r="V593" i="1"/>
  <c r="U594" i="1"/>
  <c r="Y594" i="1" s="1"/>
  <c r="V594" i="1"/>
  <c r="U595" i="1"/>
  <c r="X595" i="1" s="1"/>
  <c r="Z595" i="1" s="1"/>
  <c r="V595" i="1"/>
  <c r="U596" i="1"/>
  <c r="X596" i="1" s="1"/>
  <c r="Z596" i="1" s="1"/>
  <c r="V596" i="1"/>
  <c r="U597" i="1"/>
  <c r="X597" i="1" s="1"/>
  <c r="Z597" i="1" s="1"/>
  <c r="V597" i="1"/>
  <c r="U598" i="1"/>
  <c r="V598" i="1"/>
  <c r="U599" i="1"/>
  <c r="X599" i="1" s="1"/>
  <c r="Z599" i="1" s="1"/>
  <c r="V599" i="1"/>
  <c r="U600" i="1"/>
  <c r="V600" i="1"/>
  <c r="U601" i="1"/>
  <c r="V601" i="1"/>
  <c r="R602" i="1"/>
  <c r="U602" i="1"/>
  <c r="V602" i="1"/>
  <c r="U603" i="1"/>
  <c r="V603" i="1"/>
  <c r="U604" i="1"/>
  <c r="V604" i="1"/>
  <c r="U605" i="1"/>
  <c r="V605" i="1"/>
  <c r="V606" i="1"/>
  <c r="U607" i="1"/>
  <c r="X607" i="1" s="1"/>
  <c r="V607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H440" i="1"/>
  <c r="AV440" i="1" s="1"/>
  <c r="AS440" i="1" s="1"/>
  <c r="V440" i="1"/>
  <c r="U440" i="1"/>
  <c r="Y440" i="1" s="1"/>
  <c r="Q440" i="1"/>
  <c r="U356" i="1"/>
  <c r="V356" i="1"/>
  <c r="W356" i="1"/>
  <c r="U357" i="1"/>
  <c r="V357" i="1"/>
  <c r="W357" i="1"/>
  <c r="V358" i="1"/>
  <c r="V359" i="1"/>
  <c r="U360" i="1"/>
  <c r="V360" i="1"/>
  <c r="W360" i="1"/>
  <c r="U361" i="1"/>
  <c r="V361" i="1"/>
  <c r="W361" i="1"/>
  <c r="U362" i="1"/>
  <c r="V362" i="1"/>
  <c r="W362" i="1"/>
  <c r="U363" i="1"/>
  <c r="V363" i="1"/>
  <c r="W363" i="1"/>
  <c r="U364" i="1"/>
  <c r="V364" i="1"/>
  <c r="W364" i="1"/>
  <c r="U365" i="1"/>
  <c r="V365" i="1"/>
  <c r="W365" i="1"/>
  <c r="U366" i="1"/>
  <c r="V366" i="1"/>
  <c r="W366" i="1"/>
  <c r="U367" i="1"/>
  <c r="V367" i="1"/>
  <c r="W367" i="1"/>
  <c r="U368" i="1"/>
  <c r="V368" i="1"/>
  <c r="W368" i="1"/>
  <c r="U369" i="1"/>
  <c r="V369" i="1"/>
  <c r="W369" i="1"/>
  <c r="U370" i="1"/>
  <c r="V370" i="1"/>
  <c r="W370" i="1"/>
  <c r="U371" i="1"/>
  <c r="V371" i="1"/>
  <c r="W371" i="1"/>
  <c r="U372" i="1"/>
  <c r="V372" i="1"/>
  <c r="W372" i="1"/>
  <c r="U373" i="1"/>
  <c r="V373" i="1"/>
  <c r="W373" i="1"/>
  <c r="U374" i="1"/>
  <c r="V374" i="1"/>
  <c r="W374" i="1"/>
  <c r="U375" i="1"/>
  <c r="V375" i="1"/>
  <c r="W375" i="1"/>
  <c r="U376" i="1"/>
  <c r="V376" i="1"/>
  <c r="W376" i="1"/>
  <c r="U377" i="1"/>
  <c r="V377" i="1"/>
  <c r="W377" i="1"/>
  <c r="U378" i="1"/>
  <c r="V378" i="1"/>
  <c r="W378" i="1"/>
  <c r="U379" i="1"/>
  <c r="V379" i="1"/>
  <c r="W379" i="1"/>
  <c r="U380" i="1"/>
  <c r="V380" i="1"/>
  <c r="W380" i="1"/>
  <c r="U381" i="1"/>
  <c r="V381" i="1"/>
  <c r="W381" i="1"/>
  <c r="U382" i="1"/>
  <c r="V382" i="1"/>
  <c r="W382" i="1"/>
  <c r="U383" i="1"/>
  <c r="V383" i="1"/>
  <c r="W383" i="1"/>
  <c r="U384" i="1"/>
  <c r="V384" i="1"/>
  <c r="W384" i="1"/>
  <c r="U385" i="1"/>
  <c r="V385" i="1"/>
  <c r="W385" i="1"/>
  <c r="U386" i="1"/>
  <c r="V386" i="1"/>
  <c r="W386" i="1"/>
  <c r="U387" i="1"/>
  <c r="V387" i="1"/>
  <c r="W387" i="1"/>
  <c r="U388" i="1"/>
  <c r="V388" i="1"/>
  <c r="W388" i="1"/>
  <c r="U389" i="1"/>
  <c r="V389" i="1"/>
  <c r="W389" i="1"/>
  <c r="U390" i="1"/>
  <c r="V390" i="1"/>
  <c r="W390" i="1"/>
  <c r="U391" i="1"/>
  <c r="V391" i="1"/>
  <c r="W391" i="1"/>
  <c r="U392" i="1"/>
  <c r="V392" i="1"/>
  <c r="W392" i="1"/>
  <c r="U393" i="1"/>
  <c r="V393" i="1"/>
  <c r="W393" i="1"/>
  <c r="U394" i="1"/>
  <c r="V394" i="1"/>
  <c r="W394" i="1"/>
  <c r="U395" i="1"/>
  <c r="V395" i="1"/>
  <c r="W395" i="1"/>
  <c r="U396" i="1"/>
  <c r="V396" i="1"/>
  <c r="W396" i="1"/>
  <c r="U397" i="1"/>
  <c r="V397" i="1"/>
  <c r="W397" i="1"/>
  <c r="U398" i="1"/>
  <c r="V398" i="1"/>
  <c r="W398" i="1"/>
  <c r="U399" i="1"/>
  <c r="V399" i="1"/>
  <c r="W399" i="1"/>
  <c r="V400" i="1"/>
  <c r="V401" i="1"/>
  <c r="V402" i="1"/>
  <c r="V403" i="1"/>
  <c r="U404" i="1"/>
  <c r="V404" i="1"/>
  <c r="W404" i="1"/>
  <c r="U405" i="1"/>
  <c r="V405" i="1"/>
  <c r="W405" i="1"/>
  <c r="U406" i="1"/>
  <c r="V406" i="1"/>
  <c r="W406" i="1"/>
  <c r="U407" i="1"/>
  <c r="V407" i="1"/>
  <c r="W407" i="1"/>
  <c r="U408" i="1"/>
  <c r="V408" i="1"/>
  <c r="W408" i="1"/>
  <c r="U409" i="1"/>
  <c r="V409" i="1"/>
  <c r="W409" i="1"/>
  <c r="U410" i="1"/>
  <c r="V410" i="1"/>
  <c r="W410" i="1"/>
  <c r="U411" i="1"/>
  <c r="V411" i="1"/>
  <c r="W411" i="1"/>
  <c r="U412" i="1"/>
  <c r="V412" i="1"/>
  <c r="W412" i="1"/>
  <c r="U413" i="1"/>
  <c r="V413" i="1"/>
  <c r="W413" i="1"/>
  <c r="U414" i="1"/>
  <c r="V414" i="1"/>
  <c r="W414" i="1"/>
  <c r="U415" i="1"/>
  <c r="V415" i="1"/>
  <c r="W415" i="1"/>
  <c r="U416" i="1"/>
  <c r="V416" i="1"/>
  <c r="W416" i="1"/>
  <c r="U417" i="1"/>
  <c r="V417" i="1"/>
  <c r="W417" i="1"/>
  <c r="U418" i="1"/>
  <c r="V418" i="1"/>
  <c r="W418" i="1"/>
  <c r="U419" i="1"/>
  <c r="V419" i="1"/>
  <c r="W419" i="1"/>
  <c r="U420" i="1"/>
  <c r="V420" i="1"/>
  <c r="W420" i="1"/>
  <c r="U421" i="1"/>
  <c r="V421" i="1"/>
  <c r="W421" i="1"/>
  <c r="U422" i="1"/>
  <c r="V422" i="1"/>
  <c r="W422" i="1"/>
  <c r="U423" i="1"/>
  <c r="V423" i="1"/>
  <c r="W423" i="1"/>
  <c r="U424" i="1"/>
  <c r="V424" i="1"/>
  <c r="W424" i="1"/>
  <c r="U425" i="1"/>
  <c r="V425" i="1"/>
  <c r="W425" i="1"/>
  <c r="U426" i="1"/>
  <c r="V426" i="1"/>
  <c r="W426" i="1"/>
  <c r="U427" i="1"/>
  <c r="V427" i="1"/>
  <c r="W427" i="1"/>
  <c r="U428" i="1"/>
  <c r="V428" i="1"/>
  <c r="W428" i="1"/>
  <c r="U429" i="1"/>
  <c r="V429" i="1"/>
  <c r="W429" i="1"/>
  <c r="U430" i="1"/>
  <c r="V430" i="1"/>
  <c r="W430" i="1"/>
  <c r="U431" i="1"/>
  <c r="V431" i="1"/>
  <c r="W431" i="1"/>
  <c r="U432" i="1"/>
  <c r="V432" i="1"/>
  <c r="W432" i="1"/>
  <c r="U433" i="1"/>
  <c r="V433" i="1"/>
  <c r="W433" i="1"/>
  <c r="U434" i="1"/>
  <c r="V434" i="1"/>
  <c r="W434" i="1"/>
  <c r="U435" i="1"/>
  <c r="V435" i="1"/>
  <c r="W435" i="1"/>
  <c r="U436" i="1"/>
  <c r="V436" i="1"/>
  <c r="W436" i="1"/>
  <c r="U437" i="1"/>
  <c r="V437" i="1"/>
  <c r="W437" i="1"/>
  <c r="U438" i="1"/>
  <c r="V438" i="1"/>
  <c r="W438" i="1"/>
  <c r="U439" i="1"/>
  <c r="V439" i="1"/>
  <c r="W439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Z531" i="1" l="1"/>
  <c r="Z555" i="1"/>
  <c r="S557" i="1"/>
  <c r="T557" i="1" s="1"/>
  <c r="R557" i="1"/>
  <c r="S555" i="1"/>
  <c r="T555" i="1" s="1"/>
  <c r="R555" i="1"/>
  <c r="AU552" i="1"/>
  <c r="R552" i="1"/>
  <c r="S545" i="1"/>
  <c r="T545" i="1" s="1"/>
  <c r="R545" i="1"/>
  <c r="AU543" i="1"/>
  <c r="R543" i="1"/>
  <c r="AU542" i="1"/>
  <c r="R542" i="1"/>
  <c r="S533" i="1"/>
  <c r="T533" i="1" s="1"/>
  <c r="R533" i="1"/>
  <c r="AT441" i="1"/>
  <c r="S441" i="1"/>
  <c r="T441" i="1" s="1"/>
  <c r="AV441" i="1"/>
  <c r="AS441" i="1" s="1"/>
  <c r="AT440" i="1"/>
  <c r="Z453" i="1"/>
  <c r="AI453" i="1" s="1"/>
  <c r="AU530" i="1"/>
  <c r="AT530" i="1" s="1"/>
  <c r="R530" i="1"/>
  <c r="R534" i="1"/>
  <c r="R546" i="1"/>
  <c r="S558" i="1"/>
  <c r="T558" i="1" s="1"/>
  <c r="AU558" i="1"/>
  <c r="AT558" i="1" s="1"/>
  <c r="AU556" i="1"/>
  <c r="AT556" i="1" s="1"/>
  <c r="AV556" i="1"/>
  <c r="AS556" i="1" s="1"/>
  <c r="S554" i="1"/>
  <c r="T554" i="1" s="1"/>
  <c r="AU554" i="1"/>
  <c r="AT554" i="1" s="1"/>
  <c r="S544" i="1"/>
  <c r="T544" i="1" s="1"/>
  <c r="AU544" i="1"/>
  <c r="AT544" i="1" s="1"/>
  <c r="S519" i="1"/>
  <c r="T519" i="1" s="1"/>
  <c r="AU519" i="1"/>
  <c r="AT519" i="1" s="1"/>
  <c r="Z458" i="1"/>
  <c r="AI458" i="1" s="1"/>
  <c r="R550" i="1"/>
  <c r="Z457" i="1"/>
  <c r="AI457" i="1" s="1"/>
  <c r="AU541" i="1"/>
  <c r="AT541" i="1" s="1"/>
  <c r="Z456" i="1"/>
  <c r="AI456" i="1" s="1"/>
  <c r="R553" i="1"/>
  <c r="R541" i="1"/>
  <c r="AU553" i="1"/>
  <c r="AT553" i="1" s="1"/>
  <c r="AU555" i="1"/>
  <c r="AT555" i="1" s="1"/>
  <c r="AU550" i="1"/>
  <c r="AT550" i="1" s="1"/>
  <c r="Z539" i="1"/>
  <c r="AU551" i="1"/>
  <c r="AT551" i="1" s="1"/>
  <c r="AU549" i="1"/>
  <c r="AT549" i="1" s="1"/>
  <c r="AU547" i="1"/>
  <c r="AT547" i="1" s="1"/>
  <c r="AU476" i="1"/>
  <c r="AT476" i="1" s="1"/>
  <c r="Z547" i="1"/>
  <c r="R547" i="1"/>
  <c r="Z460" i="1"/>
  <c r="AI460" i="1" s="1"/>
  <c r="Z459" i="1"/>
  <c r="AI459" i="1" s="1"/>
  <c r="S540" i="1"/>
  <c r="T540" i="1" s="1"/>
  <c r="AU540" i="1"/>
  <c r="AT540" i="1" s="1"/>
  <c r="S508" i="1"/>
  <c r="T508" i="1" s="1"/>
  <c r="AU508" i="1"/>
  <c r="AT508" i="1" s="1"/>
  <c r="AV508" i="1"/>
  <c r="AS508" i="1" s="1"/>
  <c r="R507" i="1"/>
  <c r="AU507" i="1"/>
  <c r="AT507" i="1" s="1"/>
  <c r="R506" i="1"/>
  <c r="AU506" i="1"/>
  <c r="AT506" i="1" s="1"/>
  <c r="R505" i="1"/>
  <c r="AU505" i="1"/>
  <c r="AT505" i="1" s="1"/>
  <c r="AV467" i="1"/>
  <c r="AS467" i="1" s="1"/>
  <c r="AU467" i="1"/>
  <c r="AT467" i="1" s="1"/>
  <c r="R502" i="1"/>
  <c r="AU502" i="1"/>
  <c r="AT502" i="1" s="1"/>
  <c r="S539" i="1"/>
  <c r="T539" i="1" s="1"/>
  <c r="AU539" i="1"/>
  <c r="AT539" i="1" s="1"/>
  <c r="S538" i="1"/>
  <c r="T538" i="1" s="1"/>
  <c r="AU538" i="1"/>
  <c r="AT538" i="1" s="1"/>
  <c r="AV537" i="1"/>
  <c r="AS537" i="1" s="1"/>
  <c r="AU537" i="1"/>
  <c r="AT537" i="1" s="1"/>
  <c r="S536" i="1"/>
  <c r="T536" i="1" s="1"/>
  <c r="AU536" i="1"/>
  <c r="AT536" i="1" s="1"/>
  <c r="S532" i="1"/>
  <c r="T532" i="1" s="1"/>
  <c r="AU532" i="1"/>
  <c r="AT532" i="1" s="1"/>
  <c r="S531" i="1"/>
  <c r="T531" i="1" s="1"/>
  <c r="AU531" i="1"/>
  <c r="AT531" i="1" s="1"/>
  <c r="AV529" i="1"/>
  <c r="AS529" i="1" s="1"/>
  <c r="AU529" i="1"/>
  <c r="AT529" i="1" s="1"/>
  <c r="S528" i="1"/>
  <c r="T528" i="1" s="1"/>
  <c r="AU528" i="1"/>
  <c r="AT528" i="1" s="1"/>
  <c r="S527" i="1"/>
  <c r="T527" i="1" s="1"/>
  <c r="AU527" i="1"/>
  <c r="AT527" i="1" s="1"/>
  <c r="AV526" i="1"/>
  <c r="AS526" i="1" s="1"/>
  <c r="AU526" i="1"/>
  <c r="AT526" i="1" s="1"/>
  <c r="R525" i="1"/>
  <c r="AU525" i="1"/>
  <c r="AT525" i="1" s="1"/>
  <c r="AV524" i="1"/>
  <c r="AS524" i="1" s="1"/>
  <c r="AU524" i="1"/>
  <c r="AT524" i="1" s="1"/>
  <c r="AV501" i="1"/>
  <c r="AS501" i="1" s="1"/>
  <c r="AU501" i="1"/>
  <c r="AT501" i="1" s="1"/>
  <c r="R500" i="1"/>
  <c r="AU500" i="1"/>
  <c r="AT500" i="1" s="1"/>
  <c r="AV496" i="1"/>
  <c r="AS496" i="1" s="1"/>
  <c r="AU496" i="1"/>
  <c r="AT496" i="1" s="1"/>
  <c r="R495" i="1"/>
  <c r="AU495" i="1"/>
  <c r="AT495" i="1" s="1"/>
  <c r="R494" i="1"/>
  <c r="AU494" i="1"/>
  <c r="AT494" i="1" s="1"/>
  <c r="AV493" i="1"/>
  <c r="AS493" i="1" s="1"/>
  <c r="AU493" i="1"/>
  <c r="AT493" i="1" s="1"/>
  <c r="R492" i="1"/>
  <c r="AU492" i="1"/>
  <c r="AT492" i="1" s="1"/>
  <c r="AV491" i="1"/>
  <c r="AS491" i="1" s="1"/>
  <c r="AU491" i="1"/>
  <c r="AT491" i="1" s="1"/>
  <c r="AV490" i="1"/>
  <c r="AS490" i="1" s="1"/>
  <c r="AU490" i="1"/>
  <c r="AT490" i="1" s="1"/>
  <c r="AV489" i="1"/>
  <c r="AS489" i="1" s="1"/>
  <c r="AU489" i="1"/>
  <c r="AT489" i="1" s="1"/>
  <c r="S488" i="1"/>
  <c r="T488" i="1" s="1"/>
  <c r="AU488" i="1"/>
  <c r="AT488" i="1" s="1"/>
  <c r="AV484" i="1"/>
  <c r="AS484" i="1" s="1"/>
  <c r="AU484" i="1"/>
  <c r="AT484" i="1" s="1"/>
  <c r="R452" i="1"/>
  <c r="S452" i="1"/>
  <c r="T452" i="1" s="1"/>
  <c r="Z461" i="1"/>
  <c r="AI461" i="1" s="1"/>
  <c r="AV509" i="1"/>
  <c r="AS509" i="1" s="1"/>
  <c r="AU533" i="1"/>
  <c r="AT533" i="1" s="1"/>
  <c r="AU535" i="1"/>
  <c r="AT535" i="1" s="1"/>
  <c r="AU475" i="1"/>
  <c r="AT475" i="1" s="1"/>
  <c r="AU487" i="1"/>
  <c r="AT487" i="1" s="1"/>
  <c r="AU499" i="1"/>
  <c r="AT499" i="1" s="1"/>
  <c r="AU523" i="1"/>
  <c r="AT523" i="1" s="1"/>
  <c r="AU497" i="1"/>
  <c r="AT497" i="1" s="1"/>
  <c r="AU485" i="1"/>
  <c r="AT485" i="1" s="1"/>
  <c r="AU546" i="1"/>
  <c r="AT546" i="1" s="1"/>
  <c r="AV534" i="1"/>
  <c r="AS534" i="1" s="1"/>
  <c r="AU534" i="1"/>
  <c r="AT534" i="1" s="1"/>
  <c r="AU522" i="1"/>
  <c r="AT522" i="1" s="1"/>
  <c r="AU510" i="1"/>
  <c r="AT510" i="1" s="1"/>
  <c r="AU498" i="1"/>
  <c r="AT498" i="1" s="1"/>
  <c r="AU486" i="1"/>
  <c r="AT486" i="1" s="1"/>
  <c r="AU474" i="1"/>
  <c r="AT474" i="1" s="1"/>
  <c r="AU557" i="1"/>
  <c r="AT557" i="1" s="1"/>
  <c r="AU545" i="1"/>
  <c r="AT545" i="1" s="1"/>
  <c r="AT509" i="1"/>
  <c r="AV557" i="1"/>
  <c r="AS557" i="1" s="1"/>
  <c r="S546" i="1"/>
  <c r="T546" i="1" s="1"/>
  <c r="AV532" i="1"/>
  <c r="AS532" i="1" s="1"/>
  <c r="AV479" i="1"/>
  <c r="AS479" i="1" s="1"/>
  <c r="R503" i="1"/>
  <c r="R515" i="1"/>
  <c r="Z515" i="1"/>
  <c r="AV468" i="1"/>
  <c r="AS468" i="1" s="1"/>
  <c r="Z468" i="1"/>
  <c r="AV480" i="1"/>
  <c r="AS480" i="1" s="1"/>
  <c r="R504" i="1"/>
  <c r="S516" i="1"/>
  <c r="T516" i="1" s="1"/>
  <c r="Z516" i="1"/>
  <c r="S552" i="1"/>
  <c r="T552" i="1" s="1"/>
  <c r="S469" i="1"/>
  <c r="T469" i="1" s="1"/>
  <c r="Z469" i="1"/>
  <c r="AV481" i="1"/>
  <c r="AS481" i="1" s="1"/>
  <c r="R517" i="1"/>
  <c r="AV470" i="1"/>
  <c r="AS470" i="1" s="1"/>
  <c r="AV482" i="1"/>
  <c r="AS482" i="1" s="1"/>
  <c r="R518" i="1"/>
  <c r="S530" i="1"/>
  <c r="T530" i="1" s="1"/>
  <c r="S542" i="1"/>
  <c r="T542" i="1" s="1"/>
  <c r="AV471" i="1"/>
  <c r="AS471" i="1" s="1"/>
  <c r="AV483" i="1"/>
  <c r="AS483" i="1" s="1"/>
  <c r="S543" i="1"/>
  <c r="T543" i="1" s="1"/>
  <c r="S472" i="1"/>
  <c r="T472" i="1" s="1"/>
  <c r="Z484" i="1"/>
  <c r="Z508" i="1"/>
  <c r="R520" i="1"/>
  <c r="R608" i="1"/>
  <c r="R473" i="1"/>
  <c r="Z473" i="1"/>
  <c r="R509" i="1"/>
  <c r="R521" i="1"/>
  <c r="AV462" i="1"/>
  <c r="AS462" i="1" s="1"/>
  <c r="R510" i="1"/>
  <c r="AV463" i="1"/>
  <c r="AS463" i="1" s="1"/>
  <c r="S511" i="1"/>
  <c r="T511" i="1" s="1"/>
  <c r="AV464" i="1"/>
  <c r="AS464" i="1" s="1"/>
  <c r="R512" i="1"/>
  <c r="S548" i="1"/>
  <c r="T548" i="1" s="1"/>
  <c r="Z548" i="1"/>
  <c r="AV465" i="1"/>
  <c r="AS465" i="1" s="1"/>
  <c r="AV477" i="1"/>
  <c r="AS477" i="1" s="1"/>
  <c r="Z477" i="1"/>
  <c r="R513" i="1"/>
  <c r="AV466" i="1"/>
  <c r="AS466" i="1" s="1"/>
  <c r="AV478" i="1"/>
  <c r="AS478" i="1" s="1"/>
  <c r="R514" i="1"/>
  <c r="S460" i="1"/>
  <c r="T460" i="1" s="1"/>
  <c r="R460" i="1"/>
  <c r="S459" i="1"/>
  <c r="T459" i="1" s="1"/>
  <c r="R459" i="1"/>
  <c r="S458" i="1"/>
  <c r="T458" i="1" s="1"/>
  <c r="R458" i="1"/>
  <c r="S457" i="1"/>
  <c r="T457" i="1" s="1"/>
  <c r="R457" i="1"/>
  <c r="S456" i="1"/>
  <c r="T456" i="1" s="1"/>
  <c r="R456" i="1"/>
  <c r="S455" i="1"/>
  <c r="T455" i="1" s="1"/>
  <c r="R455" i="1"/>
  <c r="S454" i="1"/>
  <c r="T454" i="1" s="1"/>
  <c r="R454" i="1"/>
  <c r="S453" i="1"/>
  <c r="T453" i="1" s="1"/>
  <c r="R453" i="1"/>
  <c r="S461" i="1"/>
  <c r="T461" i="1" s="1"/>
  <c r="R461" i="1"/>
  <c r="R443" i="1"/>
  <c r="S515" i="1"/>
  <c r="T515" i="1" s="1"/>
  <c r="AV514" i="1"/>
  <c r="AS514" i="1" s="1"/>
  <c r="R538" i="1"/>
  <c r="AV550" i="1"/>
  <c r="AS550" i="1" s="1"/>
  <c r="R526" i="1"/>
  <c r="AV538" i="1"/>
  <c r="AS538" i="1" s="1"/>
  <c r="AV558" i="1"/>
  <c r="AS558" i="1" s="1"/>
  <c r="AV533" i="1"/>
  <c r="AS533" i="1" s="1"/>
  <c r="S509" i="1"/>
  <c r="T509" i="1" s="1"/>
  <c r="S498" i="1"/>
  <c r="T498" i="1" s="1"/>
  <c r="AV510" i="1"/>
  <c r="AS510" i="1" s="1"/>
  <c r="S522" i="1"/>
  <c r="T522" i="1" s="1"/>
  <c r="AV515" i="1"/>
  <c r="AS515" i="1" s="1"/>
  <c r="AT515" i="1"/>
  <c r="AV539" i="1"/>
  <c r="AS539" i="1" s="1"/>
  <c r="AV516" i="1"/>
  <c r="AS516" i="1" s="1"/>
  <c r="S494" i="1"/>
  <c r="T494" i="1" s="1"/>
  <c r="AT516" i="1"/>
  <c r="AV540" i="1"/>
  <c r="AS540" i="1" s="1"/>
  <c r="AV506" i="1"/>
  <c r="AS506" i="1" s="1"/>
  <c r="AV492" i="1"/>
  <c r="AS492" i="1" s="1"/>
  <c r="S492" i="1"/>
  <c r="T492" i="1" s="1"/>
  <c r="R595" i="1"/>
  <c r="R571" i="1"/>
  <c r="AT468" i="1"/>
  <c r="R603" i="1"/>
  <c r="R579" i="1"/>
  <c r="AV531" i="1"/>
  <c r="AS531" i="1" s="1"/>
  <c r="AT483" i="1"/>
  <c r="AV555" i="1"/>
  <c r="AS555" i="1" s="1"/>
  <c r="AV507" i="1"/>
  <c r="AS507" i="1" s="1"/>
  <c r="S507" i="1"/>
  <c r="T507" i="1" s="1"/>
  <c r="R586" i="1"/>
  <c r="AV494" i="1"/>
  <c r="AS494" i="1" s="1"/>
  <c r="R573" i="1"/>
  <c r="R562" i="1"/>
  <c r="AV530" i="1"/>
  <c r="AS530" i="1" s="1"/>
  <c r="AV469" i="1"/>
  <c r="AS469" i="1" s="1"/>
  <c r="S518" i="1"/>
  <c r="T518" i="1" s="1"/>
  <c r="AV518" i="1"/>
  <c r="AS518" i="1" s="1"/>
  <c r="AT469" i="1"/>
  <c r="AV554" i="1"/>
  <c r="AS554" i="1" s="1"/>
  <c r="AT518" i="1"/>
  <c r="AV542" i="1"/>
  <c r="AS542" i="1" s="1"/>
  <c r="R529" i="1"/>
  <c r="AT542" i="1"/>
  <c r="AT482" i="1"/>
  <c r="AT470" i="1"/>
  <c r="S506" i="1"/>
  <c r="T506" i="1" s="1"/>
  <c r="R563" i="1"/>
  <c r="Z607" i="1"/>
  <c r="AI607" i="1" s="1"/>
  <c r="R607" i="1"/>
  <c r="R587" i="1"/>
  <c r="AV517" i="1"/>
  <c r="AS517" i="1" s="1"/>
  <c r="S493" i="1"/>
  <c r="T493" i="1" s="1"/>
  <c r="AT517" i="1"/>
  <c r="AV541" i="1"/>
  <c r="AS541" i="1" s="1"/>
  <c r="S517" i="1"/>
  <c r="T517" i="1" s="1"/>
  <c r="AT514" i="1"/>
  <c r="R442" i="1"/>
  <c r="S502" i="1"/>
  <c r="T502" i="1" s="1"/>
  <c r="AT478" i="1"/>
  <c r="S526" i="1"/>
  <c r="T526" i="1" s="1"/>
  <c r="AV502" i="1"/>
  <c r="AS502" i="1" s="1"/>
  <c r="R596" i="1"/>
  <c r="AT466" i="1"/>
  <c r="S549" i="1"/>
  <c r="T549" i="1" s="1"/>
  <c r="S525" i="1"/>
  <c r="T525" i="1" s="1"/>
  <c r="S501" i="1"/>
  <c r="T501" i="1" s="1"/>
  <c r="AV525" i="1"/>
  <c r="AS525" i="1" s="1"/>
  <c r="AT477" i="1"/>
  <c r="S537" i="1"/>
  <c r="T537" i="1" s="1"/>
  <c r="S547" i="1"/>
  <c r="T547" i="1" s="1"/>
  <c r="S524" i="1"/>
  <c r="T524" i="1" s="1"/>
  <c r="AV500" i="1"/>
  <c r="AS500" i="1" s="1"/>
  <c r="S523" i="1"/>
  <c r="T523" i="1" s="1"/>
  <c r="S500" i="1"/>
  <c r="T500" i="1" s="1"/>
  <c r="S499" i="1"/>
  <c r="T499" i="1" s="1"/>
  <c r="AV523" i="1"/>
  <c r="AS523" i="1" s="1"/>
  <c r="R570" i="1"/>
  <c r="AV499" i="1"/>
  <c r="AS499" i="1" s="1"/>
  <c r="AV548" i="1"/>
  <c r="AS548" i="1" s="1"/>
  <c r="AT548" i="1"/>
  <c r="R594" i="1"/>
  <c r="R578" i="1"/>
  <c r="AV513" i="1"/>
  <c r="AS513" i="1" s="1"/>
  <c r="AT473" i="1"/>
  <c r="AV545" i="1"/>
  <c r="AS545" i="1" s="1"/>
  <c r="S505" i="1"/>
  <c r="T505" i="1" s="1"/>
  <c r="R585" i="1"/>
  <c r="R561" i="1"/>
  <c r="R589" i="1"/>
  <c r="AV522" i="1"/>
  <c r="AS522" i="1" s="1"/>
  <c r="AV498" i="1"/>
  <c r="AS498" i="1" s="1"/>
  <c r="S514" i="1"/>
  <c r="T514" i="1" s="1"/>
  <c r="R600" i="1"/>
  <c r="R576" i="1"/>
  <c r="AV505" i="1"/>
  <c r="AS505" i="1" s="1"/>
  <c r="AV473" i="1"/>
  <c r="AS473" i="1" s="1"/>
  <c r="S529" i="1"/>
  <c r="T529" i="1" s="1"/>
  <c r="S497" i="1"/>
  <c r="T497" i="1" s="1"/>
  <c r="AT513" i="1"/>
  <c r="AT481" i="1"/>
  <c r="AV553" i="1"/>
  <c r="AS553" i="1" s="1"/>
  <c r="AV521" i="1"/>
  <c r="AS521" i="1" s="1"/>
  <c r="S513" i="1"/>
  <c r="T513" i="1" s="1"/>
  <c r="S473" i="1"/>
  <c r="T473" i="1" s="1"/>
  <c r="AT521" i="1"/>
  <c r="AV497" i="1"/>
  <c r="AS497" i="1" s="1"/>
  <c r="S521" i="1"/>
  <c r="T521" i="1" s="1"/>
  <c r="AT465" i="1"/>
  <c r="S504" i="1"/>
  <c r="T504" i="1" s="1"/>
  <c r="R605" i="1"/>
  <c r="AT512" i="1"/>
  <c r="AV520" i="1"/>
  <c r="AS520" i="1" s="1"/>
  <c r="AV528" i="1"/>
  <c r="AS528" i="1" s="1"/>
  <c r="AT520" i="1"/>
  <c r="R565" i="1"/>
  <c r="R597" i="1"/>
  <c r="R581" i="1"/>
  <c r="S496" i="1"/>
  <c r="T496" i="1" s="1"/>
  <c r="AV536" i="1"/>
  <c r="AS536" i="1" s="1"/>
  <c r="AV472" i="1"/>
  <c r="AS472" i="1" s="1"/>
  <c r="AT464" i="1"/>
  <c r="S512" i="1"/>
  <c r="T512" i="1" s="1"/>
  <c r="AV544" i="1"/>
  <c r="AS544" i="1" s="1"/>
  <c r="AT472" i="1"/>
  <c r="S520" i="1"/>
  <c r="T520" i="1" s="1"/>
  <c r="AV552" i="1"/>
  <c r="AS552" i="1" s="1"/>
  <c r="AV488" i="1"/>
  <c r="AS488" i="1" s="1"/>
  <c r="AT480" i="1"/>
  <c r="AT552" i="1"/>
  <c r="AV504" i="1"/>
  <c r="AS504" i="1" s="1"/>
  <c r="AV512" i="1"/>
  <c r="AS512" i="1" s="1"/>
  <c r="AT504" i="1"/>
  <c r="R606" i="1"/>
  <c r="R569" i="1"/>
  <c r="R560" i="1"/>
  <c r="R593" i="1"/>
  <c r="R584" i="1"/>
  <c r="AV551" i="1"/>
  <c r="AS551" i="1" s="1"/>
  <c r="AV543" i="1"/>
  <c r="AS543" i="1" s="1"/>
  <c r="AV535" i="1"/>
  <c r="AS535" i="1" s="1"/>
  <c r="AV527" i="1"/>
  <c r="AS527" i="1" s="1"/>
  <c r="AV519" i="1"/>
  <c r="AS519" i="1" s="1"/>
  <c r="AV511" i="1"/>
  <c r="AS511" i="1" s="1"/>
  <c r="AV503" i="1"/>
  <c r="AS503" i="1" s="1"/>
  <c r="AV495" i="1"/>
  <c r="AS495" i="1" s="1"/>
  <c r="R601" i="1"/>
  <c r="R577" i="1"/>
  <c r="R568" i="1"/>
  <c r="AT543" i="1"/>
  <c r="AT511" i="1"/>
  <c r="AT503" i="1"/>
  <c r="AT479" i="1"/>
  <c r="AT471" i="1"/>
  <c r="AT463" i="1"/>
  <c r="R592" i="1"/>
  <c r="R566" i="1"/>
  <c r="R574" i="1"/>
  <c r="R582" i="1"/>
  <c r="S608" i="1"/>
  <c r="T608" i="1" s="1"/>
  <c r="R590" i="1"/>
  <c r="R598" i="1"/>
  <c r="S503" i="1"/>
  <c r="T503" i="1" s="1"/>
  <c r="S495" i="1"/>
  <c r="T495" i="1" s="1"/>
  <c r="Z476" i="1"/>
  <c r="Z492" i="1"/>
  <c r="Z500" i="1"/>
  <c r="Z507" i="1"/>
  <c r="Z523" i="1"/>
  <c r="S491" i="1"/>
  <c r="T491" i="1" s="1"/>
  <c r="R491" i="1"/>
  <c r="R490" i="1"/>
  <c r="S490" i="1"/>
  <c r="T490" i="1" s="1"/>
  <c r="S489" i="1"/>
  <c r="T489" i="1" s="1"/>
  <c r="R489" i="1"/>
  <c r="R487" i="1"/>
  <c r="S487" i="1"/>
  <c r="T487" i="1" s="1"/>
  <c r="S486" i="1"/>
  <c r="T486" i="1" s="1"/>
  <c r="R486" i="1"/>
  <c r="S485" i="1"/>
  <c r="T485" i="1" s="1"/>
  <c r="R485" i="1"/>
  <c r="S484" i="1"/>
  <c r="T484" i="1" s="1"/>
  <c r="R484" i="1"/>
  <c r="S483" i="1"/>
  <c r="T483" i="1" s="1"/>
  <c r="R483" i="1"/>
  <c r="S482" i="1"/>
  <c r="T482" i="1" s="1"/>
  <c r="R482" i="1"/>
  <c r="S481" i="1"/>
  <c r="T481" i="1" s="1"/>
  <c r="R481" i="1"/>
  <c r="S480" i="1"/>
  <c r="T480" i="1" s="1"/>
  <c r="R480" i="1"/>
  <c r="S479" i="1"/>
  <c r="T479" i="1" s="1"/>
  <c r="R479" i="1"/>
  <c r="R478" i="1"/>
  <c r="S478" i="1"/>
  <c r="T478" i="1" s="1"/>
  <c r="R477" i="1"/>
  <c r="S477" i="1"/>
  <c r="T477" i="1" s="1"/>
  <c r="R476" i="1"/>
  <c r="S476" i="1"/>
  <c r="T476" i="1" s="1"/>
  <c r="R475" i="1"/>
  <c r="S475" i="1"/>
  <c r="T475" i="1" s="1"/>
  <c r="R474" i="1"/>
  <c r="S474" i="1"/>
  <c r="T474" i="1" s="1"/>
  <c r="Y608" i="1"/>
  <c r="X608" i="1"/>
  <c r="S471" i="1"/>
  <c r="T471" i="1" s="1"/>
  <c r="R471" i="1"/>
  <c r="S470" i="1"/>
  <c r="T470" i="1" s="1"/>
  <c r="R470" i="1"/>
  <c r="S468" i="1"/>
  <c r="T468" i="1" s="1"/>
  <c r="R468" i="1"/>
  <c r="S467" i="1"/>
  <c r="T467" i="1" s="1"/>
  <c r="R467" i="1"/>
  <c r="Z451" i="1"/>
  <c r="AI451" i="1" s="1"/>
  <c r="S448" i="1"/>
  <c r="T448" i="1" s="1"/>
  <c r="R448" i="1"/>
  <c r="S449" i="1"/>
  <c r="T449" i="1" s="1"/>
  <c r="S450" i="1"/>
  <c r="T450" i="1" s="1"/>
  <c r="S451" i="1"/>
  <c r="T451" i="1" s="1"/>
  <c r="S462" i="1"/>
  <c r="T462" i="1" s="1"/>
  <c r="R462" i="1"/>
  <c r="S463" i="1"/>
  <c r="T463" i="1" s="1"/>
  <c r="R463" i="1"/>
  <c r="S464" i="1"/>
  <c r="T464" i="1" s="1"/>
  <c r="R464" i="1"/>
  <c r="S465" i="1"/>
  <c r="T465" i="1" s="1"/>
  <c r="R465" i="1"/>
  <c r="S466" i="1"/>
  <c r="T466" i="1" s="1"/>
  <c r="R466" i="1"/>
  <c r="R445" i="1"/>
  <c r="S445" i="1"/>
  <c r="T445" i="1" s="1"/>
  <c r="R446" i="1"/>
  <c r="S446" i="1"/>
  <c r="T446" i="1" s="1"/>
  <c r="X558" i="1"/>
  <c r="Z558" i="1" s="1"/>
  <c r="Y558" i="1"/>
  <c r="X559" i="1"/>
  <c r="Y559" i="1"/>
  <c r="X560" i="1"/>
  <c r="Y560" i="1"/>
  <c r="X566" i="1"/>
  <c r="Y566" i="1"/>
  <c r="Y570" i="1"/>
  <c r="X570" i="1"/>
  <c r="S440" i="1"/>
  <c r="T440" i="1" s="1"/>
  <c r="X561" i="1"/>
  <c r="Y561" i="1"/>
  <c r="Y562" i="1"/>
  <c r="X562" i="1"/>
  <c r="Y567" i="1"/>
  <c r="X567" i="1"/>
  <c r="X568" i="1"/>
  <c r="Y568" i="1"/>
  <c r="X569" i="1"/>
  <c r="Y569" i="1"/>
  <c r="X574" i="1"/>
  <c r="Y574" i="1"/>
  <c r="Y575" i="1"/>
  <c r="X575" i="1"/>
  <c r="Y576" i="1"/>
  <c r="X576" i="1"/>
  <c r="Y580" i="1"/>
  <c r="X580" i="1"/>
  <c r="X584" i="1"/>
  <c r="Y584" i="1"/>
  <c r="X465" i="1"/>
  <c r="Z465" i="1" s="1"/>
  <c r="Y465" i="1"/>
  <c r="Y467" i="1"/>
  <c r="X467" i="1"/>
  <c r="Z467" i="1" s="1"/>
  <c r="X474" i="1"/>
  <c r="Z474" i="1" s="1"/>
  <c r="Y474" i="1"/>
  <c r="X521" i="1"/>
  <c r="Y521" i="1"/>
  <c r="Y522" i="1"/>
  <c r="X522" i="1"/>
  <c r="Z522" i="1" s="1"/>
  <c r="Y526" i="1"/>
  <c r="X526" i="1"/>
  <c r="Z526" i="1" s="1"/>
  <c r="X527" i="1"/>
  <c r="Z527" i="1" s="1"/>
  <c r="Y527" i="1"/>
  <c r="Y528" i="1"/>
  <c r="X528" i="1"/>
  <c r="Z528" i="1" s="1"/>
  <c r="X529" i="1"/>
  <c r="Z529" i="1" s="1"/>
  <c r="Y529" i="1"/>
  <c r="Y530" i="1"/>
  <c r="X530" i="1"/>
  <c r="Y534" i="1"/>
  <c r="X534" i="1"/>
  <c r="Z534" i="1" s="1"/>
  <c r="X535" i="1"/>
  <c r="Z535" i="1" s="1"/>
  <c r="Y535" i="1"/>
  <c r="X536" i="1"/>
  <c r="Z536" i="1" s="1"/>
  <c r="Y536" i="1"/>
  <c r="X537" i="1"/>
  <c r="Z537" i="1" s="1"/>
  <c r="Y537" i="1"/>
  <c r="Y538" i="1"/>
  <c r="X538" i="1"/>
  <c r="Z538" i="1" s="1"/>
  <c r="X542" i="1"/>
  <c r="Y542" i="1"/>
  <c r="X543" i="1"/>
  <c r="Y543" i="1"/>
  <c r="X544" i="1"/>
  <c r="Z544" i="1" s="1"/>
  <c r="Y544" i="1"/>
  <c r="X550" i="1"/>
  <c r="Z550" i="1" s="1"/>
  <c r="Y550" i="1"/>
  <c r="Y551" i="1"/>
  <c r="X551" i="1"/>
  <c r="Z551" i="1" s="1"/>
  <c r="X552" i="1"/>
  <c r="Y552" i="1"/>
  <c r="X553" i="1"/>
  <c r="Z553" i="1" s="1"/>
  <c r="Y553" i="1"/>
  <c r="Y554" i="1"/>
  <c r="X554" i="1"/>
  <c r="Z554" i="1" s="1"/>
  <c r="X581" i="1"/>
  <c r="Y581" i="1"/>
  <c r="X582" i="1"/>
  <c r="Y582" i="1"/>
  <c r="Y588" i="1"/>
  <c r="X588" i="1"/>
  <c r="X590" i="1"/>
  <c r="Y590" i="1"/>
  <c r="X591" i="1"/>
  <c r="Y591" i="1"/>
  <c r="X592" i="1"/>
  <c r="Y592" i="1"/>
  <c r="Y598" i="1"/>
  <c r="X598" i="1"/>
  <c r="X600" i="1"/>
  <c r="Y600" i="1"/>
  <c r="Y601" i="1"/>
  <c r="X601" i="1"/>
  <c r="Y602" i="1"/>
  <c r="X602" i="1"/>
  <c r="X603" i="1"/>
  <c r="Y603" i="1"/>
  <c r="X604" i="1"/>
  <c r="Y604" i="1"/>
  <c r="Y605" i="1"/>
  <c r="X605" i="1"/>
  <c r="X606" i="1"/>
  <c r="Y606" i="1"/>
  <c r="R549" i="1"/>
  <c r="Y442" i="1"/>
  <c r="X442" i="1"/>
  <c r="Z442" i="1" s="1"/>
  <c r="AI442" i="1" s="1"/>
  <c r="X446" i="1"/>
  <c r="Z446" i="1" s="1"/>
  <c r="AI446" i="1" s="1"/>
  <c r="Y446" i="1"/>
  <c r="X447" i="1"/>
  <c r="Z447" i="1" s="1"/>
  <c r="AI447" i="1" s="1"/>
  <c r="Y447" i="1"/>
  <c r="Y448" i="1"/>
  <c r="X448" i="1"/>
  <c r="Z448" i="1" s="1"/>
  <c r="AI448" i="1" s="1"/>
  <c r="X449" i="1"/>
  <c r="Z449" i="1" s="1"/>
  <c r="AI449" i="1" s="1"/>
  <c r="Y449" i="1"/>
  <c r="Y450" i="1"/>
  <c r="X450" i="1"/>
  <c r="Z450" i="1" s="1"/>
  <c r="AI450" i="1" s="1"/>
  <c r="X463" i="1"/>
  <c r="Y463" i="1"/>
  <c r="X464" i="1"/>
  <c r="Z464" i="1" s="1"/>
  <c r="Y464" i="1"/>
  <c r="X466" i="1"/>
  <c r="Y466" i="1"/>
  <c r="X471" i="1"/>
  <c r="Z471" i="1" s="1"/>
  <c r="Y471" i="1"/>
  <c r="X472" i="1"/>
  <c r="Y472" i="1"/>
  <c r="Y475" i="1"/>
  <c r="X475" i="1"/>
  <c r="Z475" i="1" s="1"/>
  <c r="Y479" i="1"/>
  <c r="X479" i="1"/>
  <c r="Y480" i="1"/>
  <c r="X480" i="1"/>
  <c r="Z480" i="1" s="1"/>
  <c r="Y481" i="1"/>
  <c r="X481" i="1"/>
  <c r="Z481" i="1" s="1"/>
  <c r="X482" i="1"/>
  <c r="Y482" i="1"/>
  <c r="Y483" i="1"/>
  <c r="X483" i="1"/>
  <c r="Z483" i="1" s="1"/>
  <c r="X487" i="1"/>
  <c r="Z487" i="1" s="1"/>
  <c r="Y487" i="1"/>
  <c r="Y488" i="1"/>
  <c r="X488" i="1"/>
  <c r="Z488" i="1" s="1"/>
  <c r="X489" i="1"/>
  <c r="Z489" i="1" s="1"/>
  <c r="Y489" i="1"/>
  <c r="X490" i="1"/>
  <c r="Z490" i="1" s="1"/>
  <c r="Y490" i="1"/>
  <c r="Y491" i="1"/>
  <c r="X491" i="1"/>
  <c r="Z491" i="1" s="1"/>
  <c r="X495" i="1"/>
  <c r="Z495" i="1" s="1"/>
  <c r="Y495" i="1"/>
  <c r="Y496" i="1"/>
  <c r="X496" i="1"/>
  <c r="Z496" i="1" s="1"/>
  <c r="X497" i="1"/>
  <c r="Z497" i="1" s="1"/>
  <c r="Y497" i="1"/>
  <c r="X498" i="1"/>
  <c r="Z498" i="1" s="1"/>
  <c r="Y498" i="1"/>
  <c r="Y499" i="1"/>
  <c r="X499" i="1"/>
  <c r="Z499" i="1" s="1"/>
  <c r="X503" i="1"/>
  <c r="Y503" i="1"/>
  <c r="X504" i="1"/>
  <c r="Z504" i="1" s="1"/>
  <c r="Y504" i="1"/>
  <c r="X505" i="1"/>
  <c r="Z505" i="1" s="1"/>
  <c r="Y505" i="1"/>
  <c r="Y506" i="1"/>
  <c r="X506" i="1"/>
  <c r="Z506" i="1" s="1"/>
  <c r="Y510" i="1"/>
  <c r="X510" i="1"/>
  <c r="Z510" i="1" s="1"/>
  <c r="Y511" i="1"/>
  <c r="X511" i="1"/>
  <c r="Z511" i="1" s="1"/>
  <c r="X512" i="1"/>
  <c r="Y512" i="1"/>
  <c r="X513" i="1"/>
  <c r="Z513" i="1" s="1"/>
  <c r="Y513" i="1"/>
  <c r="Y514" i="1"/>
  <c r="X514" i="1"/>
  <c r="Y518" i="1"/>
  <c r="X518" i="1"/>
  <c r="X519" i="1"/>
  <c r="Z519" i="1" s="1"/>
  <c r="Y519" i="1"/>
  <c r="X520" i="1"/>
  <c r="Z520" i="1" s="1"/>
  <c r="Y520" i="1"/>
  <c r="X545" i="1"/>
  <c r="Z545" i="1" s="1"/>
  <c r="Y545" i="1"/>
  <c r="Y546" i="1"/>
  <c r="X546" i="1"/>
  <c r="Z546" i="1" s="1"/>
  <c r="S75" i="8"/>
  <c r="S69" i="8"/>
  <c r="T564" i="1"/>
  <c r="R524" i="1"/>
  <c r="T572" i="1"/>
  <c r="R564" i="1"/>
  <c r="Z556" i="1"/>
  <c r="R516" i="1"/>
  <c r="R572" i="1"/>
  <c r="T556" i="1"/>
  <c r="R508" i="1"/>
  <c r="Z501" i="1"/>
  <c r="T588" i="1"/>
  <c r="R556" i="1"/>
  <c r="Z540" i="1"/>
  <c r="R588" i="1"/>
  <c r="T580" i="1"/>
  <c r="R548" i="1"/>
  <c r="Z532" i="1"/>
  <c r="R501" i="1"/>
  <c r="Z493" i="1"/>
  <c r="R551" i="1"/>
  <c r="R527" i="1"/>
  <c r="R447" i="1"/>
  <c r="T604" i="1"/>
  <c r="R580" i="1"/>
  <c r="R540" i="1"/>
  <c r="Z485" i="1"/>
  <c r="T444" i="1"/>
  <c r="R604" i="1"/>
  <c r="T596" i="1"/>
  <c r="R532" i="1"/>
  <c r="Z524" i="1"/>
  <c r="R493" i="1"/>
  <c r="R469" i="1"/>
  <c r="Z452" i="1"/>
  <c r="AI452" i="1" s="1"/>
  <c r="R444" i="1"/>
  <c r="R599" i="1"/>
  <c r="T599" i="1"/>
  <c r="R591" i="1"/>
  <c r="T591" i="1"/>
  <c r="R583" i="1"/>
  <c r="T583" i="1"/>
  <c r="R575" i="1"/>
  <c r="T575" i="1"/>
  <c r="R567" i="1"/>
  <c r="T567" i="1"/>
  <c r="R559" i="1"/>
  <c r="T559" i="1"/>
  <c r="R535" i="1"/>
  <c r="T535" i="1"/>
  <c r="R519" i="1"/>
  <c r="R511" i="1"/>
  <c r="R496" i="1"/>
  <c r="R488" i="1"/>
  <c r="R472" i="1"/>
  <c r="T447" i="1"/>
  <c r="Z443" i="1"/>
  <c r="AI443" i="1" s="1"/>
  <c r="T443" i="1"/>
  <c r="Z444" i="1"/>
  <c r="AI444" i="1" s="1"/>
  <c r="Y441" i="1"/>
  <c r="T442" i="1"/>
  <c r="R441" i="1"/>
  <c r="Z441" i="1"/>
  <c r="AI441" i="1" s="1"/>
  <c r="X587" i="1"/>
  <c r="Y587" i="1"/>
  <c r="X565" i="1"/>
  <c r="Y565" i="1"/>
  <c r="X517" i="1"/>
  <c r="Y517" i="1"/>
  <c r="Y586" i="1"/>
  <c r="X586" i="1"/>
  <c r="Y599" i="1"/>
  <c r="Y577" i="1"/>
  <c r="X541" i="1"/>
  <c r="Z541" i="1" s="1"/>
  <c r="Y541" i="1"/>
  <c r="X478" i="1"/>
  <c r="Z478" i="1" s="1"/>
  <c r="Y478" i="1"/>
  <c r="Y597" i="1"/>
  <c r="Y579" i="1"/>
  <c r="X578" i="1"/>
  <c r="X573" i="1"/>
  <c r="Y573" i="1"/>
  <c r="X502" i="1"/>
  <c r="Z502" i="1" s="1"/>
  <c r="Y502" i="1"/>
  <c r="X462" i="1"/>
  <c r="Y462" i="1"/>
  <c r="Y596" i="1"/>
  <c r="Y593" i="1"/>
  <c r="Y583" i="1"/>
  <c r="X549" i="1"/>
  <c r="Z549" i="1" s="1"/>
  <c r="Y549" i="1"/>
  <c r="X525" i="1"/>
  <c r="Z525" i="1" s="1"/>
  <c r="Y525" i="1"/>
  <c r="Y607" i="1"/>
  <c r="Y595" i="1"/>
  <c r="X594" i="1"/>
  <c r="Y585" i="1"/>
  <c r="X571" i="1"/>
  <c r="Y571" i="1"/>
  <c r="X509" i="1"/>
  <c r="Z509" i="1" s="1"/>
  <c r="Y509" i="1"/>
  <c r="X486" i="1"/>
  <c r="Z486" i="1" s="1"/>
  <c r="Y486" i="1"/>
  <c r="X470" i="1"/>
  <c r="Z470" i="1" s="1"/>
  <c r="Y470" i="1"/>
  <c r="X445" i="1"/>
  <c r="Z445" i="1" s="1"/>
  <c r="AI445" i="1" s="1"/>
  <c r="Y445" i="1"/>
  <c r="Y589" i="1"/>
  <c r="X557" i="1"/>
  <c r="Z557" i="1" s="1"/>
  <c r="Y557" i="1"/>
  <c r="X533" i="1"/>
  <c r="Z533" i="1" s="1"/>
  <c r="Y533" i="1"/>
  <c r="X494" i="1"/>
  <c r="Z494" i="1" s="1"/>
  <c r="Y494" i="1"/>
  <c r="Y473" i="1"/>
  <c r="Y572" i="1"/>
  <c r="Y564" i="1"/>
  <c r="Y556" i="1"/>
  <c r="Y548" i="1"/>
  <c r="Y540" i="1"/>
  <c r="Y532" i="1"/>
  <c r="Y524" i="1"/>
  <c r="Y516" i="1"/>
  <c r="Y508" i="1"/>
  <c r="Y501" i="1"/>
  <c r="Y493" i="1"/>
  <c r="Y485" i="1"/>
  <c r="Y477" i="1"/>
  <c r="Y469" i="1"/>
  <c r="Y452" i="1"/>
  <c r="Y444" i="1"/>
  <c r="Y563" i="1"/>
  <c r="Y555" i="1"/>
  <c r="Y547" i="1"/>
  <c r="Y539" i="1"/>
  <c r="Y531" i="1"/>
  <c r="Y523" i="1"/>
  <c r="Y515" i="1"/>
  <c r="Y507" i="1"/>
  <c r="Y500" i="1"/>
  <c r="Y492" i="1"/>
  <c r="Y484" i="1"/>
  <c r="Y476" i="1"/>
  <c r="Y468" i="1"/>
  <c r="Y451" i="1"/>
  <c r="Y443" i="1"/>
  <c r="R440" i="1"/>
  <c r="X440" i="1"/>
  <c r="Z440" i="1" s="1"/>
  <c r="AI440" i="1" s="1"/>
  <c r="Y359" i="1"/>
  <c r="X359" i="1"/>
  <c r="Z359" i="1" s="1"/>
  <c r="AI359" i="1" s="1"/>
  <c r="X417" i="1"/>
  <c r="Z417" i="1" s="1"/>
  <c r="AI417" i="1" s="1"/>
  <c r="Y417" i="1"/>
  <c r="X418" i="1"/>
  <c r="Z418" i="1" s="1"/>
  <c r="AI418" i="1" s="1"/>
  <c r="Y418" i="1"/>
  <c r="X419" i="1"/>
  <c r="Z419" i="1" s="1"/>
  <c r="AI419" i="1" s="1"/>
  <c r="Y419" i="1"/>
  <c r="X420" i="1"/>
  <c r="Z420" i="1" s="1"/>
  <c r="AI420" i="1" s="1"/>
  <c r="Y420" i="1"/>
  <c r="X421" i="1"/>
  <c r="Z421" i="1" s="1"/>
  <c r="AI421" i="1" s="1"/>
  <c r="Y421" i="1"/>
  <c r="X422" i="1"/>
  <c r="Z422" i="1" s="1"/>
  <c r="AI422" i="1" s="1"/>
  <c r="Y422" i="1"/>
  <c r="X438" i="1"/>
  <c r="Z438" i="1" s="1"/>
  <c r="AI438" i="1" s="1"/>
  <c r="Y438" i="1"/>
  <c r="Y356" i="1"/>
  <c r="X356" i="1"/>
  <c r="Z356" i="1" s="1"/>
  <c r="AI356" i="1" s="1"/>
  <c r="X357" i="1"/>
  <c r="Z357" i="1" s="1"/>
  <c r="AI357" i="1" s="1"/>
  <c r="Y357" i="1"/>
  <c r="X358" i="1"/>
  <c r="Z358" i="1" s="1"/>
  <c r="AI358" i="1" s="1"/>
  <c r="Y358" i="1"/>
  <c r="X360" i="1"/>
  <c r="Z360" i="1" s="1"/>
  <c r="AI360" i="1" s="1"/>
  <c r="Y360" i="1"/>
  <c r="Y361" i="1"/>
  <c r="X361" i="1"/>
  <c r="Z361" i="1" s="1"/>
  <c r="AI361" i="1" s="1"/>
  <c r="Y362" i="1"/>
  <c r="X362" i="1"/>
  <c r="Z362" i="1" s="1"/>
  <c r="AI362" i="1" s="1"/>
  <c r="X363" i="1"/>
  <c r="Z363" i="1" s="1"/>
  <c r="AI363" i="1" s="1"/>
  <c r="Y363" i="1"/>
  <c r="X364" i="1"/>
  <c r="Z364" i="1" s="1"/>
  <c r="AI364" i="1" s="1"/>
  <c r="Y364" i="1"/>
  <c r="X365" i="1"/>
  <c r="Z365" i="1" s="1"/>
  <c r="AI365" i="1" s="1"/>
  <c r="Y365" i="1"/>
  <c r="Y366" i="1"/>
  <c r="X366" i="1"/>
  <c r="Z366" i="1" s="1"/>
  <c r="AI366" i="1" s="1"/>
  <c r="X367" i="1"/>
  <c r="Z367" i="1" s="1"/>
  <c r="AI367" i="1" s="1"/>
  <c r="Y367" i="1"/>
  <c r="Y368" i="1"/>
  <c r="X368" i="1"/>
  <c r="Z368" i="1" s="1"/>
  <c r="AI368" i="1" s="1"/>
  <c r="X369" i="1"/>
  <c r="Z369" i="1" s="1"/>
  <c r="AI369" i="1" s="1"/>
  <c r="Y369" i="1"/>
  <c r="Y370" i="1"/>
  <c r="X370" i="1"/>
  <c r="Z370" i="1" s="1"/>
  <c r="AI370" i="1" s="1"/>
  <c r="X371" i="1"/>
  <c r="Z371" i="1" s="1"/>
  <c r="AI371" i="1" s="1"/>
  <c r="Y371" i="1"/>
  <c r="Y372" i="1"/>
  <c r="X372" i="1"/>
  <c r="Z372" i="1" s="1"/>
  <c r="AI372" i="1" s="1"/>
  <c r="Y373" i="1"/>
  <c r="X373" i="1"/>
  <c r="Z373" i="1" s="1"/>
  <c r="AI373" i="1" s="1"/>
  <c r="X374" i="1"/>
  <c r="Z374" i="1" s="1"/>
  <c r="AI374" i="1" s="1"/>
  <c r="Y374" i="1"/>
  <c r="Y375" i="1"/>
  <c r="X375" i="1"/>
  <c r="Z375" i="1" s="1"/>
  <c r="AI375" i="1" s="1"/>
  <c r="Y376" i="1"/>
  <c r="X376" i="1"/>
  <c r="Z376" i="1" s="1"/>
  <c r="AI376" i="1" s="1"/>
  <c r="X377" i="1"/>
  <c r="Z377" i="1" s="1"/>
  <c r="AI377" i="1" s="1"/>
  <c r="Y377" i="1"/>
  <c r="Y378" i="1"/>
  <c r="X378" i="1"/>
  <c r="Z378" i="1" s="1"/>
  <c r="AI378" i="1" s="1"/>
  <c r="X379" i="1"/>
  <c r="Z379" i="1" s="1"/>
  <c r="AI379" i="1" s="1"/>
  <c r="Y379" i="1"/>
  <c r="Y380" i="1"/>
  <c r="X380" i="1"/>
  <c r="Z380" i="1" s="1"/>
  <c r="AI380" i="1" s="1"/>
  <c r="Y381" i="1"/>
  <c r="X381" i="1"/>
  <c r="Z381" i="1" s="1"/>
  <c r="AI381" i="1" s="1"/>
  <c r="Y382" i="1"/>
  <c r="X382" i="1"/>
  <c r="Z382" i="1" s="1"/>
  <c r="AI382" i="1" s="1"/>
  <c r="X383" i="1"/>
  <c r="Z383" i="1" s="1"/>
  <c r="AI383" i="1" s="1"/>
  <c r="Y383" i="1"/>
  <c r="Y384" i="1"/>
  <c r="X384" i="1"/>
  <c r="Z384" i="1" s="1"/>
  <c r="AI384" i="1" s="1"/>
  <c r="X385" i="1"/>
  <c r="Z385" i="1" s="1"/>
  <c r="AI385" i="1" s="1"/>
  <c r="Y385" i="1"/>
  <c r="X386" i="1"/>
  <c r="Z386" i="1" s="1"/>
  <c r="AI386" i="1" s="1"/>
  <c r="Y386" i="1"/>
  <c r="Y387" i="1"/>
  <c r="X387" i="1"/>
  <c r="Z387" i="1" s="1"/>
  <c r="AI387" i="1" s="1"/>
  <c r="X388" i="1"/>
  <c r="Z388" i="1" s="1"/>
  <c r="AI388" i="1" s="1"/>
  <c r="Y388" i="1"/>
  <c r="X389" i="1"/>
  <c r="Z389" i="1" s="1"/>
  <c r="AI389" i="1" s="1"/>
  <c r="Y389" i="1"/>
  <c r="Y390" i="1"/>
  <c r="X390" i="1"/>
  <c r="Z390" i="1" s="1"/>
  <c r="AI390" i="1" s="1"/>
  <c r="X391" i="1"/>
  <c r="Z391" i="1" s="1"/>
  <c r="AI391" i="1" s="1"/>
  <c r="Y391" i="1"/>
  <c r="X392" i="1"/>
  <c r="Z392" i="1" s="1"/>
  <c r="AI392" i="1" s="1"/>
  <c r="Y392" i="1"/>
  <c r="X393" i="1"/>
  <c r="Z393" i="1" s="1"/>
  <c r="AI393" i="1" s="1"/>
  <c r="Y393" i="1"/>
  <c r="X394" i="1"/>
  <c r="Z394" i="1" s="1"/>
  <c r="AI394" i="1" s="1"/>
  <c r="Y394" i="1"/>
  <c r="Y395" i="1"/>
  <c r="X395" i="1"/>
  <c r="Z395" i="1" s="1"/>
  <c r="AI395" i="1" s="1"/>
  <c r="X396" i="1"/>
  <c r="Z396" i="1" s="1"/>
  <c r="AI396" i="1" s="1"/>
  <c r="Y396" i="1"/>
  <c r="X397" i="1"/>
  <c r="Z397" i="1" s="1"/>
  <c r="AI397" i="1" s="1"/>
  <c r="Y397" i="1"/>
  <c r="Y398" i="1"/>
  <c r="X398" i="1"/>
  <c r="Z398" i="1" s="1"/>
  <c r="AI398" i="1" s="1"/>
  <c r="Y399" i="1"/>
  <c r="X399" i="1"/>
  <c r="Z399" i="1" s="1"/>
  <c r="AI399" i="1" s="1"/>
  <c r="Y400" i="1"/>
  <c r="X400" i="1"/>
  <c r="Z400" i="1" s="1"/>
  <c r="AI400" i="1" s="1"/>
  <c r="Y401" i="1"/>
  <c r="X401" i="1"/>
  <c r="Z401" i="1" s="1"/>
  <c r="AI401" i="1" s="1"/>
  <c r="Y402" i="1"/>
  <c r="X402" i="1"/>
  <c r="Z402" i="1" s="1"/>
  <c r="AI402" i="1" s="1"/>
  <c r="Y403" i="1"/>
  <c r="X403" i="1"/>
  <c r="Z403" i="1" s="1"/>
  <c r="AI403" i="1" s="1"/>
  <c r="X404" i="1"/>
  <c r="Z404" i="1" s="1"/>
  <c r="AI404" i="1" s="1"/>
  <c r="Y404" i="1"/>
  <c r="X405" i="1"/>
  <c r="Z405" i="1" s="1"/>
  <c r="AI405" i="1" s="1"/>
  <c r="Y405" i="1"/>
  <c r="Y406" i="1"/>
  <c r="X406" i="1"/>
  <c r="Z406" i="1" s="1"/>
  <c r="AI406" i="1" s="1"/>
  <c r="X407" i="1"/>
  <c r="Z407" i="1" s="1"/>
  <c r="AI407" i="1" s="1"/>
  <c r="Y407" i="1"/>
  <c r="Y408" i="1"/>
  <c r="X408" i="1"/>
  <c r="Z408" i="1" s="1"/>
  <c r="AI408" i="1" s="1"/>
  <c r="X409" i="1"/>
  <c r="Z409" i="1" s="1"/>
  <c r="AI409" i="1" s="1"/>
  <c r="Y409" i="1"/>
  <c r="Y410" i="1"/>
  <c r="X410" i="1"/>
  <c r="Z410" i="1" s="1"/>
  <c r="AI410" i="1" s="1"/>
  <c r="X411" i="1"/>
  <c r="Z411" i="1" s="1"/>
  <c r="AI411" i="1" s="1"/>
  <c r="Y411" i="1"/>
  <c r="X412" i="1"/>
  <c r="Z412" i="1" s="1"/>
  <c r="AI412" i="1" s="1"/>
  <c r="Y412" i="1"/>
  <c r="X413" i="1"/>
  <c r="Z413" i="1" s="1"/>
  <c r="AI413" i="1" s="1"/>
  <c r="Y413" i="1"/>
  <c r="Y414" i="1"/>
  <c r="X414" i="1"/>
  <c r="Z414" i="1" s="1"/>
  <c r="AI414" i="1" s="1"/>
  <c r="Y415" i="1"/>
  <c r="X415" i="1"/>
  <c r="Z415" i="1" s="1"/>
  <c r="AI415" i="1" s="1"/>
  <c r="X416" i="1"/>
  <c r="Z416" i="1" s="1"/>
  <c r="AI416" i="1" s="1"/>
  <c r="Y416" i="1"/>
  <c r="X423" i="1"/>
  <c r="Z423" i="1" s="1"/>
  <c r="AI423" i="1" s="1"/>
  <c r="Y423" i="1"/>
  <c r="X424" i="1"/>
  <c r="Z424" i="1" s="1"/>
  <c r="AI424" i="1" s="1"/>
  <c r="Y424" i="1"/>
  <c r="X425" i="1"/>
  <c r="Z425" i="1" s="1"/>
  <c r="AI425" i="1" s="1"/>
  <c r="Y425" i="1"/>
  <c r="X426" i="1"/>
  <c r="Z426" i="1" s="1"/>
  <c r="AI426" i="1" s="1"/>
  <c r="Y426" i="1"/>
  <c r="X427" i="1"/>
  <c r="Z427" i="1" s="1"/>
  <c r="AI427" i="1" s="1"/>
  <c r="Y427" i="1"/>
  <c r="Y428" i="1"/>
  <c r="X428" i="1"/>
  <c r="Z428" i="1" s="1"/>
  <c r="AI428" i="1" s="1"/>
  <c r="Y429" i="1"/>
  <c r="X429" i="1"/>
  <c r="Z429" i="1" s="1"/>
  <c r="AI429" i="1" s="1"/>
  <c r="Y430" i="1"/>
  <c r="X430" i="1"/>
  <c r="Z430" i="1" s="1"/>
  <c r="AI430" i="1" s="1"/>
  <c r="X431" i="1"/>
  <c r="Z431" i="1" s="1"/>
  <c r="AI431" i="1" s="1"/>
  <c r="Y431" i="1"/>
  <c r="Y432" i="1"/>
  <c r="X432" i="1"/>
  <c r="Z432" i="1" s="1"/>
  <c r="AI432" i="1" s="1"/>
  <c r="X433" i="1"/>
  <c r="Z433" i="1" s="1"/>
  <c r="AI433" i="1" s="1"/>
  <c r="Y433" i="1"/>
  <c r="X434" i="1"/>
  <c r="Z434" i="1" s="1"/>
  <c r="AI434" i="1" s="1"/>
  <c r="Y434" i="1"/>
  <c r="X435" i="1"/>
  <c r="Z435" i="1" s="1"/>
  <c r="AI435" i="1" s="1"/>
  <c r="Y435" i="1"/>
  <c r="Y436" i="1"/>
  <c r="X436" i="1"/>
  <c r="Z436" i="1" s="1"/>
  <c r="AI436" i="1" s="1"/>
  <c r="X437" i="1"/>
  <c r="Z437" i="1" s="1"/>
  <c r="AI437" i="1" s="1"/>
  <c r="Y437" i="1"/>
  <c r="X439" i="1"/>
  <c r="Z439" i="1" s="1"/>
  <c r="AI439" i="1" s="1"/>
  <c r="Y439" i="1"/>
  <c r="N4383" i="6"/>
  <c r="N4384" i="6"/>
  <c r="N4385" i="6"/>
  <c r="N4386" i="6"/>
  <c r="N4387" i="6"/>
  <c r="Z587" i="1" l="1"/>
  <c r="Z594" i="1"/>
  <c r="Z566" i="1"/>
  <c r="Z586" i="1"/>
  <c r="Z565" i="1"/>
  <c r="Z604" i="1"/>
  <c r="Z592" i="1"/>
  <c r="Z576" i="1"/>
  <c r="Z562" i="1"/>
  <c r="Z560" i="1"/>
  <c r="Z463" i="1"/>
  <c r="Z608" i="1"/>
  <c r="Z517" i="1"/>
  <c r="Z603" i="1"/>
  <c r="Z591" i="1"/>
  <c r="Z575" i="1"/>
  <c r="Z602" i="1"/>
  <c r="Z561" i="1"/>
  <c r="Z559" i="1"/>
  <c r="Z542" i="1"/>
  <c r="Z590" i="1"/>
  <c r="Z573" i="1"/>
  <c r="Z601" i="1"/>
  <c r="Z588" i="1"/>
  <c r="Z574" i="1"/>
  <c r="Z514" i="1"/>
  <c r="Z462" i="1"/>
  <c r="Z530" i="1"/>
  <c r="Z578" i="1"/>
  <c r="Z569" i="1"/>
  <c r="Z512" i="1"/>
  <c r="Z521" i="1"/>
  <c r="Z472" i="1"/>
  <c r="Z518" i="1"/>
  <c r="Z552" i="1"/>
  <c r="Z503" i="1"/>
  <c r="Z606" i="1"/>
  <c r="Z600" i="1"/>
  <c r="Z582" i="1"/>
  <c r="Z570" i="1"/>
  <c r="Z605" i="1"/>
  <c r="Z598" i="1"/>
  <c r="Z584" i="1"/>
  <c r="Z568" i="1"/>
  <c r="Z466" i="1"/>
  <c r="Z543" i="1"/>
  <c r="Z482" i="1"/>
  <c r="Z479" i="1"/>
  <c r="Z571" i="1"/>
  <c r="Z581" i="1"/>
  <c r="Z580" i="1"/>
  <c r="Z567" i="1"/>
  <c r="N4115" i="6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W150" i="1" s="1"/>
  <c r="AP150" i="1"/>
  <c r="AQ150" i="1"/>
  <c r="AR150" i="1"/>
  <c r="AU150" i="1"/>
  <c r="AT150" i="1" s="1"/>
  <c r="AV150" i="1"/>
  <c r="AS150" i="1" s="1"/>
  <c r="H153" i="1"/>
  <c r="R153" i="1" l="1"/>
  <c r="S153" i="1"/>
  <c r="T153" i="1" s="1"/>
  <c r="Z153" i="1"/>
  <c r="N3603" i="6"/>
  <c r="N3604" i="6"/>
  <c r="L13" i="8"/>
  <c r="H72" i="1"/>
  <c r="K3756" i="6"/>
  <c r="S72" i="1" l="1"/>
  <c r="T72" i="1" s="1"/>
  <c r="R72" i="1"/>
  <c r="Z72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354" i="1"/>
  <c r="V355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28" i="1"/>
  <c r="V29" i="1"/>
  <c r="V30" i="1"/>
  <c r="V31" i="1"/>
  <c r="V32" i="1"/>
  <c r="V33" i="1"/>
  <c r="V34" i="1"/>
  <c r="V35" i="1"/>
  <c r="V37" i="1"/>
  <c r="V80" i="1"/>
  <c r="V115" i="1"/>
  <c r="V2" i="1"/>
  <c r="V3" i="1"/>
  <c r="H128" i="1"/>
  <c r="AK128" i="1"/>
  <c r="AO128" i="1"/>
  <c r="W128" i="1" s="1"/>
  <c r="AP128" i="1"/>
  <c r="AQ128" i="1"/>
  <c r="AR128" i="1"/>
  <c r="AU128" i="1"/>
  <c r="AT128" i="1" s="1"/>
  <c r="AV128" i="1"/>
  <c r="AS128" i="1" s="1"/>
  <c r="H129" i="1"/>
  <c r="AK129" i="1"/>
  <c r="AO129" i="1"/>
  <c r="W129" i="1" s="1"/>
  <c r="AP129" i="1"/>
  <c r="AQ129" i="1"/>
  <c r="AR129" i="1"/>
  <c r="AU129" i="1"/>
  <c r="AT129" i="1" s="1"/>
  <c r="AV129" i="1"/>
  <c r="AS129" i="1" s="1"/>
  <c r="H130" i="1"/>
  <c r="AK130" i="1"/>
  <c r="AO130" i="1"/>
  <c r="W130" i="1" s="1"/>
  <c r="AP130" i="1"/>
  <c r="AQ130" i="1"/>
  <c r="AR130" i="1"/>
  <c r="AU130" i="1"/>
  <c r="AT130" i="1" s="1"/>
  <c r="AV130" i="1"/>
  <c r="AS130" i="1" s="1"/>
  <c r="H131" i="1"/>
  <c r="AK131" i="1"/>
  <c r="AO131" i="1"/>
  <c r="W131" i="1" s="1"/>
  <c r="AP131" i="1"/>
  <c r="AQ131" i="1"/>
  <c r="AR131" i="1"/>
  <c r="AU131" i="1"/>
  <c r="AT131" i="1" s="1"/>
  <c r="AV131" i="1"/>
  <c r="AS131" i="1" s="1"/>
  <c r="H132" i="1"/>
  <c r="AK132" i="1"/>
  <c r="AO132" i="1"/>
  <c r="W132" i="1" s="1"/>
  <c r="AP132" i="1"/>
  <c r="AQ132" i="1"/>
  <c r="AR132" i="1"/>
  <c r="AU132" i="1"/>
  <c r="H133" i="1"/>
  <c r="AK133" i="1"/>
  <c r="AO133" i="1"/>
  <c r="W133" i="1" s="1"/>
  <c r="AP133" i="1"/>
  <c r="AQ133" i="1"/>
  <c r="AR133" i="1"/>
  <c r="AU133" i="1"/>
  <c r="H134" i="1"/>
  <c r="AK134" i="1"/>
  <c r="AO134" i="1"/>
  <c r="W134" i="1" s="1"/>
  <c r="AP134" i="1"/>
  <c r="AQ134" i="1"/>
  <c r="AR134" i="1"/>
  <c r="H135" i="1"/>
  <c r="AK135" i="1"/>
  <c r="AO135" i="1"/>
  <c r="W135" i="1" s="1"/>
  <c r="AP135" i="1"/>
  <c r="AQ135" i="1"/>
  <c r="AR135" i="1"/>
  <c r="AU135" i="1"/>
  <c r="AT135" i="1" s="1"/>
  <c r="AV135" i="1"/>
  <c r="AS135" i="1" s="1"/>
  <c r="H136" i="1"/>
  <c r="AK136" i="1"/>
  <c r="AO136" i="1"/>
  <c r="W136" i="1" s="1"/>
  <c r="AP136" i="1"/>
  <c r="AQ136" i="1"/>
  <c r="AR136" i="1"/>
  <c r="AU136" i="1"/>
  <c r="AT136" i="1" s="1"/>
  <c r="AV136" i="1"/>
  <c r="AS136" i="1" s="1"/>
  <c r="H137" i="1"/>
  <c r="AK137" i="1"/>
  <c r="AO137" i="1"/>
  <c r="W137" i="1" s="1"/>
  <c r="AP137" i="1"/>
  <c r="AQ137" i="1"/>
  <c r="AR137" i="1"/>
  <c r="AU137" i="1"/>
  <c r="AT137" i="1" s="1"/>
  <c r="AV137" i="1"/>
  <c r="AS137" i="1" s="1"/>
  <c r="H138" i="1"/>
  <c r="AK138" i="1"/>
  <c r="AO138" i="1"/>
  <c r="W138" i="1" s="1"/>
  <c r="AP138" i="1"/>
  <c r="AQ138" i="1"/>
  <c r="AR138" i="1"/>
  <c r="AU138" i="1"/>
  <c r="AT138" i="1" s="1"/>
  <c r="AV138" i="1"/>
  <c r="AS138" i="1" s="1"/>
  <c r="H139" i="1"/>
  <c r="AK139" i="1"/>
  <c r="AO139" i="1"/>
  <c r="W139" i="1" s="1"/>
  <c r="AP139" i="1"/>
  <c r="AQ139" i="1"/>
  <c r="AR139" i="1"/>
  <c r="AU139" i="1"/>
  <c r="AT139" i="1" s="1"/>
  <c r="AV139" i="1"/>
  <c r="AS139" i="1" s="1"/>
  <c r="H140" i="1"/>
  <c r="AK140" i="1"/>
  <c r="AO140" i="1"/>
  <c r="W140" i="1" s="1"/>
  <c r="AP140" i="1"/>
  <c r="AQ140" i="1"/>
  <c r="AR140" i="1"/>
  <c r="AU140" i="1"/>
  <c r="AT140" i="1" s="1"/>
  <c r="AV140" i="1"/>
  <c r="AS140" i="1" s="1"/>
  <c r="H141" i="1"/>
  <c r="AK141" i="1"/>
  <c r="AO141" i="1"/>
  <c r="W141" i="1" s="1"/>
  <c r="AP141" i="1"/>
  <c r="AQ141" i="1"/>
  <c r="AR141" i="1"/>
  <c r="AU141" i="1"/>
  <c r="AT141" i="1" s="1"/>
  <c r="AV141" i="1"/>
  <c r="AS141" i="1" s="1"/>
  <c r="H142" i="1"/>
  <c r="AK142" i="1"/>
  <c r="AO142" i="1"/>
  <c r="W142" i="1" s="1"/>
  <c r="AP142" i="1"/>
  <c r="AQ142" i="1"/>
  <c r="AR142" i="1"/>
  <c r="AU142" i="1"/>
  <c r="AT142" i="1" s="1"/>
  <c r="AV142" i="1"/>
  <c r="AS142" i="1" s="1"/>
  <c r="H143" i="1"/>
  <c r="AK143" i="1"/>
  <c r="AO143" i="1"/>
  <c r="W143" i="1" s="1"/>
  <c r="AP143" i="1"/>
  <c r="AQ143" i="1"/>
  <c r="AR143" i="1"/>
  <c r="AU143" i="1"/>
  <c r="AT143" i="1" s="1"/>
  <c r="AV143" i="1"/>
  <c r="AS143" i="1" s="1"/>
  <c r="H144" i="1"/>
  <c r="AK144" i="1"/>
  <c r="AO144" i="1"/>
  <c r="W144" i="1" s="1"/>
  <c r="AP144" i="1"/>
  <c r="AQ144" i="1"/>
  <c r="AR144" i="1"/>
  <c r="AU144" i="1"/>
  <c r="AT144" i="1" s="1"/>
  <c r="AV144" i="1"/>
  <c r="AS144" i="1" s="1"/>
  <c r="H145" i="1"/>
  <c r="AK145" i="1"/>
  <c r="AO145" i="1"/>
  <c r="W145" i="1" s="1"/>
  <c r="AP145" i="1"/>
  <c r="AQ145" i="1"/>
  <c r="AR145" i="1"/>
  <c r="AU145" i="1"/>
  <c r="AT145" i="1" s="1"/>
  <c r="AV145" i="1"/>
  <c r="AS145" i="1" s="1"/>
  <c r="H146" i="1"/>
  <c r="AK146" i="1"/>
  <c r="AO146" i="1"/>
  <c r="W146" i="1" s="1"/>
  <c r="AP146" i="1"/>
  <c r="AQ146" i="1"/>
  <c r="AR146" i="1"/>
  <c r="AU146" i="1"/>
  <c r="AT146" i="1" s="1"/>
  <c r="AV146" i="1"/>
  <c r="AS146" i="1" s="1"/>
  <c r="H147" i="1"/>
  <c r="AK147" i="1"/>
  <c r="AO147" i="1"/>
  <c r="W147" i="1" s="1"/>
  <c r="AP147" i="1"/>
  <c r="AQ147" i="1"/>
  <c r="AR147" i="1"/>
  <c r="AU147" i="1"/>
  <c r="AT147" i="1" s="1"/>
  <c r="AV147" i="1"/>
  <c r="AS147" i="1" s="1"/>
  <c r="H148" i="1"/>
  <c r="AK148" i="1"/>
  <c r="AO148" i="1"/>
  <c r="W148" i="1" s="1"/>
  <c r="AP148" i="1"/>
  <c r="AQ148" i="1"/>
  <c r="AR148" i="1"/>
  <c r="AU148" i="1"/>
  <c r="AT148" i="1" s="1"/>
  <c r="AV148" i="1"/>
  <c r="AS148" i="1" s="1"/>
  <c r="H149" i="1"/>
  <c r="AK149" i="1"/>
  <c r="AO149" i="1"/>
  <c r="W149" i="1" s="1"/>
  <c r="AP149" i="1"/>
  <c r="AQ149" i="1"/>
  <c r="AR149" i="1"/>
  <c r="AU149" i="1"/>
  <c r="AT149" i="1" s="1"/>
  <c r="AV149" i="1"/>
  <c r="AS149" i="1" s="1"/>
  <c r="H150" i="1"/>
  <c r="H151" i="1"/>
  <c r="AK151" i="1"/>
  <c r="AO151" i="1"/>
  <c r="W151" i="1" s="1"/>
  <c r="AP151" i="1"/>
  <c r="AQ151" i="1"/>
  <c r="AR151" i="1"/>
  <c r="AU151" i="1"/>
  <c r="AT151" i="1" s="1"/>
  <c r="AV151" i="1"/>
  <c r="AS151" i="1" s="1"/>
  <c r="H152" i="1"/>
  <c r="AK152" i="1"/>
  <c r="AO152" i="1"/>
  <c r="W152" i="1" s="1"/>
  <c r="AP152" i="1"/>
  <c r="AQ152" i="1"/>
  <c r="AR152" i="1"/>
  <c r="AU152" i="1"/>
  <c r="AT152" i="1" s="1"/>
  <c r="AV152" i="1"/>
  <c r="AS152" i="1" s="1"/>
  <c r="AK153" i="1"/>
  <c r="AO153" i="1"/>
  <c r="W153" i="1" s="1"/>
  <c r="AP153" i="1"/>
  <c r="AQ153" i="1"/>
  <c r="AR153" i="1"/>
  <c r="AU153" i="1"/>
  <c r="AT153" i="1" s="1"/>
  <c r="AV153" i="1"/>
  <c r="AS153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Q80" i="1"/>
  <c r="U80" i="1"/>
  <c r="X80" i="1" s="1"/>
  <c r="Q115" i="1"/>
  <c r="U115" i="1"/>
  <c r="X115" i="1" s="1"/>
  <c r="U2" i="1"/>
  <c r="X2" i="1" s="1"/>
  <c r="U3" i="1"/>
  <c r="X3" i="1" s="1"/>
  <c r="U4" i="1"/>
  <c r="X4" i="1" s="1"/>
  <c r="U5" i="1"/>
  <c r="X5" i="1" s="1"/>
  <c r="U6" i="1"/>
  <c r="X6" i="1" s="1"/>
  <c r="U7" i="1"/>
  <c r="X7" i="1" s="1"/>
  <c r="U8" i="1"/>
  <c r="X8" i="1" s="1"/>
  <c r="U9" i="1"/>
  <c r="X9" i="1" s="1"/>
  <c r="U10" i="1"/>
  <c r="Y10" i="1" s="1"/>
  <c r="U11" i="1"/>
  <c r="X11" i="1" s="1"/>
  <c r="U12" i="1"/>
  <c r="Y12" i="1" s="1"/>
  <c r="U13" i="1"/>
  <c r="X13" i="1" s="1"/>
  <c r="U14" i="1"/>
  <c r="X14" i="1" s="1"/>
  <c r="U15" i="1"/>
  <c r="Y15" i="1" s="1"/>
  <c r="U16" i="1"/>
  <c r="X16" i="1" s="1"/>
  <c r="U17" i="1"/>
  <c r="Y17" i="1" s="1"/>
  <c r="U18" i="1"/>
  <c r="X18" i="1" s="1"/>
  <c r="U19" i="1"/>
  <c r="Y19" i="1" s="1"/>
  <c r="U20" i="1"/>
  <c r="X20" i="1" s="1"/>
  <c r="U21" i="1"/>
  <c r="X21" i="1" s="1"/>
  <c r="U22" i="1"/>
  <c r="X22" i="1" s="1"/>
  <c r="U23" i="1"/>
  <c r="Y23" i="1" s="1"/>
  <c r="U24" i="1"/>
  <c r="X24" i="1" s="1"/>
  <c r="U25" i="1"/>
  <c r="Y25" i="1" s="1"/>
  <c r="U26" i="1"/>
  <c r="X26" i="1" s="1"/>
  <c r="U27" i="1"/>
  <c r="Y27" i="1" s="1"/>
  <c r="U354" i="1"/>
  <c r="Y354" i="1" s="1"/>
  <c r="U355" i="1"/>
  <c r="X355" i="1" s="1"/>
  <c r="X154" i="1"/>
  <c r="X155" i="1"/>
  <c r="Y156" i="1"/>
  <c r="Y157" i="1"/>
  <c r="X158" i="1"/>
  <c r="X159" i="1"/>
  <c r="Y160" i="1"/>
  <c r="U161" i="1"/>
  <c r="Y161" i="1" s="1"/>
  <c r="U162" i="1"/>
  <c r="X162" i="1" s="1"/>
  <c r="Y163" i="1"/>
  <c r="Y164" i="1"/>
  <c r="X165" i="1"/>
  <c r="U166" i="1"/>
  <c r="X166" i="1" s="1"/>
  <c r="U167" i="1"/>
  <c r="X167" i="1" s="1"/>
  <c r="Y168" i="1"/>
  <c r="X169" i="1"/>
  <c r="X170" i="1"/>
  <c r="Y171" i="1"/>
  <c r="U172" i="1"/>
  <c r="Y172" i="1" s="1"/>
  <c r="U173" i="1"/>
  <c r="X173" i="1" s="1"/>
  <c r="X174" i="1"/>
  <c r="X175" i="1"/>
  <c r="Y176" i="1"/>
  <c r="Y177" i="1"/>
  <c r="U178" i="1"/>
  <c r="X178" i="1" s="1"/>
  <c r="U179" i="1"/>
  <c r="X179" i="1" s="1"/>
  <c r="U180" i="1"/>
  <c r="Y180" i="1" s="1"/>
  <c r="U181" i="1"/>
  <c r="Y181" i="1" s="1"/>
  <c r="U182" i="1"/>
  <c r="Y182" i="1" s="1"/>
  <c r="U183" i="1"/>
  <c r="X183" i="1" s="1"/>
  <c r="U184" i="1"/>
  <c r="Y184" i="1" s="1"/>
  <c r="U185" i="1"/>
  <c r="X185" i="1" s="1"/>
  <c r="U186" i="1"/>
  <c r="X186" i="1" s="1"/>
  <c r="U187" i="1"/>
  <c r="Y187" i="1" s="1"/>
  <c r="Y188" i="1"/>
  <c r="Y189" i="1"/>
  <c r="Y190" i="1"/>
  <c r="X191" i="1"/>
  <c r="Y192" i="1"/>
  <c r="X193" i="1"/>
  <c r="X194" i="1"/>
  <c r="Y195" i="1"/>
  <c r="Y196" i="1"/>
  <c r="U197" i="1"/>
  <c r="X197" i="1" s="1"/>
  <c r="X198" i="1"/>
  <c r="X199" i="1"/>
  <c r="X200" i="1"/>
  <c r="X201" i="1"/>
  <c r="X202" i="1"/>
  <c r="X203" i="1"/>
  <c r="X204" i="1"/>
  <c r="X205" i="1"/>
  <c r="U206" i="1"/>
  <c r="Y206" i="1" s="1"/>
  <c r="X207" i="1"/>
  <c r="Y208" i="1"/>
  <c r="X209" i="1"/>
  <c r="X210" i="1"/>
  <c r="Y211" i="1"/>
  <c r="Y212" i="1"/>
  <c r="Y213" i="1"/>
  <c r="Y214" i="1"/>
  <c r="Y215" i="1"/>
  <c r="X216" i="1"/>
  <c r="X217" i="1"/>
  <c r="X218" i="1"/>
  <c r="X219" i="1"/>
  <c r="Y220" i="1"/>
  <c r="Y221" i="1"/>
  <c r="X222" i="1"/>
  <c r="U223" i="1"/>
  <c r="X223" i="1" s="1"/>
  <c r="X224" i="1"/>
  <c r="X225" i="1"/>
  <c r="X226" i="1"/>
  <c r="Y227" i="1"/>
  <c r="X228" i="1"/>
  <c r="X229" i="1"/>
  <c r="X230" i="1"/>
  <c r="X231" i="1"/>
  <c r="X232" i="1"/>
  <c r="X233" i="1"/>
  <c r="X234" i="1"/>
  <c r="X235" i="1"/>
  <c r="Y236" i="1"/>
  <c r="X237" i="1"/>
  <c r="X238" i="1"/>
  <c r="X239" i="1"/>
  <c r="X240" i="1"/>
  <c r="Y241" i="1"/>
  <c r="X242" i="1"/>
  <c r="X243" i="1"/>
  <c r="X244" i="1"/>
  <c r="Y245" i="1"/>
  <c r="Y246" i="1"/>
  <c r="X247" i="1"/>
  <c r="Y248" i="1"/>
  <c r="X249" i="1"/>
  <c r="U250" i="1"/>
  <c r="X250" i="1" s="1"/>
  <c r="U251" i="1"/>
  <c r="X251" i="1" s="1"/>
  <c r="U252" i="1"/>
  <c r="Y252" i="1" s="1"/>
  <c r="U253" i="1"/>
  <c r="Y253" i="1" s="1"/>
  <c r="U254" i="1"/>
  <c r="X254" i="1" s="1"/>
  <c r="U255" i="1"/>
  <c r="X255" i="1" s="1"/>
  <c r="U256" i="1"/>
  <c r="X256" i="1" s="1"/>
  <c r="U257" i="1"/>
  <c r="X257" i="1" s="1"/>
  <c r="U258" i="1"/>
  <c r="X258" i="1" s="1"/>
  <c r="U259" i="1"/>
  <c r="X259" i="1" s="1"/>
  <c r="U260" i="1"/>
  <c r="X260" i="1" s="1"/>
  <c r="U261" i="1"/>
  <c r="X261" i="1" s="1"/>
  <c r="U262" i="1"/>
  <c r="X262" i="1" s="1"/>
  <c r="U263" i="1"/>
  <c r="X263" i="1" s="1"/>
  <c r="Y264" i="1"/>
  <c r="Y265" i="1"/>
  <c r="X266" i="1"/>
  <c r="X267" i="1"/>
  <c r="U268" i="1"/>
  <c r="Y268" i="1" s="1"/>
  <c r="X269" i="1"/>
  <c r="X270" i="1"/>
  <c r="X271" i="1"/>
  <c r="X272" i="1"/>
  <c r="Y273" i="1"/>
  <c r="X274" i="1"/>
  <c r="X275" i="1"/>
  <c r="X276" i="1"/>
  <c r="Y277" i="1"/>
  <c r="X278" i="1"/>
  <c r="X279" i="1"/>
  <c r="X280" i="1"/>
  <c r="X281" i="1"/>
  <c r="X282" i="1"/>
  <c r="X283" i="1"/>
  <c r="X284" i="1"/>
  <c r="Y285" i="1"/>
  <c r="X286" i="1"/>
  <c r="X287" i="1"/>
  <c r="Y288" i="1"/>
  <c r="Y289" i="1"/>
  <c r="X290" i="1"/>
  <c r="X291" i="1"/>
  <c r="Y292" i="1"/>
  <c r="U293" i="1"/>
  <c r="Y293" i="1" s="1"/>
  <c r="Y294" i="1"/>
  <c r="X295" i="1"/>
  <c r="X296" i="1"/>
  <c r="Y297" i="1"/>
  <c r="X298" i="1"/>
  <c r="Y299" i="1"/>
  <c r="X300" i="1"/>
  <c r="U301" i="1"/>
  <c r="X301" i="1" s="1"/>
  <c r="X302" i="1"/>
  <c r="X303" i="1"/>
  <c r="U304" i="1"/>
  <c r="X304" i="1" s="1"/>
  <c r="U305" i="1"/>
  <c r="Y305" i="1" s="1"/>
  <c r="U306" i="1"/>
  <c r="X306" i="1" s="1"/>
  <c r="U307" i="1"/>
  <c r="X307" i="1" s="1"/>
  <c r="U308" i="1"/>
  <c r="Y308" i="1" s="1"/>
  <c r="U309" i="1"/>
  <c r="X309" i="1" s="1"/>
  <c r="U310" i="1"/>
  <c r="Y310" i="1" s="1"/>
  <c r="U311" i="1"/>
  <c r="X311" i="1" s="1"/>
  <c r="U312" i="1"/>
  <c r="Y312" i="1" s="1"/>
  <c r="U313" i="1"/>
  <c r="X313" i="1" s="1"/>
  <c r="U314" i="1"/>
  <c r="X314" i="1" s="1"/>
  <c r="U315" i="1"/>
  <c r="X315" i="1" s="1"/>
  <c r="U316" i="1"/>
  <c r="X316" i="1" s="1"/>
  <c r="U317" i="1"/>
  <c r="Y317" i="1" s="1"/>
  <c r="U318" i="1"/>
  <c r="Y318" i="1" s="1"/>
  <c r="U319" i="1"/>
  <c r="X319" i="1" s="1"/>
  <c r="U320" i="1"/>
  <c r="Y320" i="1" s="1"/>
  <c r="U321" i="1"/>
  <c r="Y321" i="1" s="1"/>
  <c r="U322" i="1"/>
  <c r="X322" i="1" s="1"/>
  <c r="U323" i="1"/>
  <c r="X323" i="1" s="1"/>
  <c r="U324" i="1"/>
  <c r="Y324" i="1" s="1"/>
  <c r="U325" i="1"/>
  <c r="Y325" i="1" s="1"/>
  <c r="U326" i="1"/>
  <c r="X326" i="1" s="1"/>
  <c r="U327" i="1"/>
  <c r="X327" i="1" s="1"/>
  <c r="Y328" i="1"/>
  <c r="Y329" i="1"/>
  <c r="X330" i="1"/>
  <c r="X331" i="1"/>
  <c r="Y332" i="1"/>
  <c r="X333" i="1"/>
  <c r="Y334" i="1"/>
  <c r="X335" i="1"/>
  <c r="X336" i="1"/>
  <c r="X337" i="1"/>
  <c r="U338" i="1"/>
  <c r="X338" i="1" s="1"/>
  <c r="U339" i="1"/>
  <c r="X339" i="1" s="1"/>
  <c r="U340" i="1"/>
  <c r="Y340" i="1" s="1"/>
  <c r="U341" i="1"/>
  <c r="X341" i="1" s="1"/>
  <c r="U342" i="1"/>
  <c r="X342" i="1" s="1"/>
  <c r="U343" i="1"/>
  <c r="Y343" i="1" s="1"/>
  <c r="U344" i="1"/>
  <c r="X344" i="1" s="1"/>
  <c r="U345" i="1"/>
  <c r="X345" i="1" s="1"/>
  <c r="U346" i="1"/>
  <c r="X346" i="1" s="1"/>
  <c r="U347" i="1"/>
  <c r="X347" i="1" s="1"/>
  <c r="U348" i="1"/>
  <c r="X348" i="1" s="1"/>
  <c r="U349" i="1"/>
  <c r="Y349" i="1" s="1"/>
  <c r="U350" i="1"/>
  <c r="Y350" i="1" s="1"/>
  <c r="U351" i="1"/>
  <c r="X351" i="1" s="1"/>
  <c r="U352" i="1"/>
  <c r="Y352" i="1" s="1"/>
  <c r="U353" i="1"/>
  <c r="X353" i="1" s="1"/>
  <c r="U28" i="1"/>
  <c r="X28" i="1" s="1"/>
  <c r="U29" i="1"/>
  <c r="X29" i="1" s="1"/>
  <c r="U30" i="1"/>
  <c r="X30" i="1" s="1"/>
  <c r="U31" i="1"/>
  <c r="Y31" i="1" s="1"/>
  <c r="U32" i="1"/>
  <c r="X32" i="1" s="1"/>
  <c r="U33" i="1"/>
  <c r="X33" i="1" s="1"/>
  <c r="U34" i="1"/>
  <c r="Y34" i="1" s="1"/>
  <c r="U35" i="1"/>
  <c r="X35" i="1" s="1"/>
  <c r="Y36" i="1"/>
  <c r="U37" i="1"/>
  <c r="Y37" i="1" s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354" i="1"/>
  <c r="W355" i="1"/>
  <c r="W161" i="1"/>
  <c r="W162" i="1"/>
  <c r="W166" i="1"/>
  <c r="W167" i="1"/>
  <c r="W178" i="1"/>
  <c r="W179" i="1"/>
  <c r="W180" i="1"/>
  <c r="W181" i="1"/>
  <c r="W182" i="1"/>
  <c r="W183" i="1"/>
  <c r="W184" i="1"/>
  <c r="W185" i="1"/>
  <c r="W186" i="1"/>
  <c r="W187" i="1"/>
  <c r="W197" i="1"/>
  <c r="W206" i="1"/>
  <c r="W223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8" i="1"/>
  <c r="W293" i="1"/>
  <c r="W301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28" i="1"/>
  <c r="W29" i="1"/>
  <c r="W30" i="1"/>
  <c r="W31" i="1"/>
  <c r="W32" i="1"/>
  <c r="W33" i="1"/>
  <c r="W34" i="1"/>
  <c r="W35" i="1"/>
  <c r="R128" i="1" l="1"/>
  <c r="Z128" i="1"/>
  <c r="AI128" i="1" s="1"/>
  <c r="S128" i="1"/>
  <c r="T128" i="1" s="1"/>
  <c r="S129" i="1"/>
  <c r="T129" i="1" s="1"/>
  <c r="R129" i="1"/>
  <c r="Z129" i="1"/>
  <c r="AI129" i="1" s="1"/>
  <c r="R130" i="1"/>
  <c r="S130" i="1"/>
  <c r="T130" i="1" s="1"/>
  <c r="Z130" i="1"/>
  <c r="AI130" i="1" s="1"/>
  <c r="S131" i="1"/>
  <c r="T131" i="1" s="1"/>
  <c r="R131" i="1"/>
  <c r="Z131" i="1"/>
  <c r="AI131" i="1" s="1"/>
  <c r="AV132" i="1"/>
  <c r="AS132" i="1" s="1"/>
  <c r="S132" i="1"/>
  <c r="T132" i="1" s="1"/>
  <c r="Z132" i="1"/>
  <c r="AI132" i="1" s="1"/>
  <c r="R132" i="1"/>
  <c r="S133" i="1"/>
  <c r="T133" i="1" s="1"/>
  <c r="R133" i="1"/>
  <c r="Z133" i="1"/>
  <c r="AI133" i="1" s="1"/>
  <c r="Z134" i="1"/>
  <c r="AI134" i="1" s="1"/>
  <c r="S134" i="1"/>
  <c r="T134" i="1" s="1"/>
  <c r="R134" i="1"/>
  <c r="Z135" i="1"/>
  <c r="AI135" i="1" s="1"/>
  <c r="R135" i="1"/>
  <c r="S135" i="1"/>
  <c r="T135" i="1" s="1"/>
  <c r="S136" i="1"/>
  <c r="T136" i="1" s="1"/>
  <c r="R136" i="1"/>
  <c r="Z136" i="1"/>
  <c r="AI136" i="1" s="1"/>
  <c r="Z137" i="1"/>
  <c r="AI137" i="1" s="1"/>
  <c r="R137" i="1"/>
  <c r="S137" i="1"/>
  <c r="T137" i="1" s="1"/>
  <c r="Z138" i="1"/>
  <c r="AI138" i="1" s="1"/>
  <c r="S138" i="1"/>
  <c r="T138" i="1" s="1"/>
  <c r="R138" i="1"/>
  <c r="R139" i="1"/>
  <c r="Z139" i="1"/>
  <c r="AI139" i="1" s="1"/>
  <c r="S139" i="1"/>
  <c r="T139" i="1" s="1"/>
  <c r="S140" i="1"/>
  <c r="T140" i="1" s="1"/>
  <c r="R140" i="1"/>
  <c r="Z140" i="1"/>
  <c r="AI140" i="1" s="1"/>
  <c r="S141" i="1"/>
  <c r="T141" i="1" s="1"/>
  <c r="R141" i="1"/>
  <c r="Z141" i="1"/>
  <c r="AI141" i="1" s="1"/>
  <c r="Z142" i="1"/>
  <c r="AI142" i="1" s="1"/>
  <c r="R142" i="1"/>
  <c r="S142" i="1"/>
  <c r="T142" i="1" s="1"/>
  <c r="S143" i="1"/>
  <c r="T143" i="1" s="1"/>
  <c r="R143" i="1"/>
  <c r="Z143" i="1"/>
  <c r="AI143" i="1" s="1"/>
  <c r="Z144" i="1"/>
  <c r="AI144" i="1" s="1"/>
  <c r="R144" i="1"/>
  <c r="S144" i="1"/>
  <c r="T144" i="1" s="1"/>
  <c r="S145" i="1"/>
  <c r="T145" i="1" s="1"/>
  <c r="Z145" i="1"/>
  <c r="AI145" i="1" s="1"/>
  <c r="R145" i="1"/>
  <c r="S146" i="1"/>
  <c r="T146" i="1" s="1"/>
  <c r="R146" i="1"/>
  <c r="Z146" i="1"/>
  <c r="AI146" i="1" s="1"/>
  <c r="Z147" i="1"/>
  <c r="AI147" i="1" s="1"/>
  <c r="S147" i="1"/>
  <c r="T147" i="1" s="1"/>
  <c r="R147" i="1"/>
  <c r="Z148" i="1"/>
  <c r="AI148" i="1" s="1"/>
  <c r="R148" i="1"/>
  <c r="S148" i="1"/>
  <c r="T148" i="1" s="1"/>
  <c r="Z149" i="1"/>
  <c r="AI149" i="1" s="1"/>
  <c r="R149" i="1"/>
  <c r="S149" i="1"/>
  <c r="T149" i="1" s="1"/>
  <c r="S150" i="1"/>
  <c r="T150" i="1" s="1"/>
  <c r="R150" i="1"/>
  <c r="Z150" i="1"/>
  <c r="AI150" i="1" s="1"/>
  <c r="Z151" i="1"/>
  <c r="AI151" i="1" s="1"/>
  <c r="R151" i="1"/>
  <c r="S151" i="1"/>
  <c r="T151" i="1" s="1"/>
  <c r="S152" i="1"/>
  <c r="T152" i="1" s="1"/>
  <c r="R152" i="1"/>
  <c r="Z152" i="1"/>
  <c r="AI152" i="1" s="1"/>
  <c r="AT133" i="1"/>
  <c r="AV133" i="1"/>
  <c r="AS133" i="1" s="1"/>
  <c r="AT132" i="1"/>
  <c r="AV134" i="1"/>
  <c r="AS134" i="1" s="1"/>
  <c r="AU134" i="1"/>
  <c r="AT134" i="1" s="1"/>
  <c r="X213" i="1"/>
  <c r="Y11" i="1"/>
  <c r="X19" i="1"/>
  <c r="Y237" i="1"/>
  <c r="X329" i="1"/>
  <c r="X317" i="1"/>
  <c r="Y7" i="1"/>
  <c r="X305" i="1"/>
  <c r="Y193" i="1"/>
  <c r="X208" i="1"/>
  <c r="Y201" i="1"/>
  <c r="Y313" i="1"/>
  <c r="Y269" i="1"/>
  <c r="X15" i="1"/>
  <c r="Y225" i="1"/>
  <c r="X264" i="1"/>
  <c r="Y240" i="1"/>
  <c r="Y217" i="1"/>
  <c r="Y296" i="1"/>
  <c r="X320" i="1"/>
  <c r="Y232" i="1"/>
  <c r="Y14" i="1"/>
  <c r="X312" i="1"/>
  <c r="X192" i="1"/>
  <c r="X248" i="1"/>
  <c r="Y272" i="1"/>
  <c r="Y224" i="1"/>
  <c r="X176" i="1"/>
  <c r="Y280" i="1"/>
  <c r="X184" i="1"/>
  <c r="Y344" i="1"/>
  <c r="Y6" i="1"/>
  <c r="X288" i="1"/>
  <c r="X168" i="1"/>
  <c r="Y216" i="1"/>
  <c r="Y256" i="1"/>
  <c r="X352" i="1"/>
  <c r="X160" i="1"/>
  <c r="Y304" i="1"/>
  <c r="Y200" i="1"/>
  <c r="Y22" i="1"/>
  <c r="Y336" i="1"/>
  <c r="X182" i="1"/>
  <c r="X354" i="1"/>
  <c r="X206" i="1"/>
  <c r="Y262" i="1"/>
  <c r="Y174" i="1"/>
  <c r="X246" i="1"/>
  <c r="Y20" i="1"/>
  <c r="Y238" i="1"/>
  <c r="X34" i="1"/>
  <c r="X190" i="1"/>
  <c r="X328" i="1"/>
  <c r="Y337" i="1"/>
  <c r="Y281" i="1"/>
  <c r="Y222" i="1"/>
  <c r="Y198" i="1"/>
  <c r="Y4" i="1"/>
  <c r="X321" i="1"/>
  <c r="X297" i="1"/>
  <c r="X273" i="1"/>
  <c r="X161" i="1"/>
  <c r="X12" i="1"/>
  <c r="Y302" i="1"/>
  <c r="Y278" i="1"/>
  <c r="Y257" i="1"/>
  <c r="Y169" i="1"/>
  <c r="X318" i="1"/>
  <c r="X294" i="1"/>
  <c r="X265" i="1"/>
  <c r="X241" i="1"/>
  <c r="X177" i="1"/>
  <c r="X23" i="1"/>
  <c r="Y326" i="1"/>
  <c r="Y233" i="1"/>
  <c r="Y209" i="1"/>
  <c r="X289" i="1"/>
  <c r="Y32" i="1"/>
  <c r="Y254" i="1"/>
  <c r="Y185" i="1"/>
  <c r="Y166" i="1"/>
  <c r="Y345" i="1"/>
  <c r="Y270" i="1"/>
  <c r="Y249" i="1"/>
  <c r="Y230" i="1"/>
  <c r="X334" i="1"/>
  <c r="X214" i="1"/>
  <c r="Y342" i="1"/>
  <c r="Y286" i="1"/>
  <c r="Y158" i="1"/>
  <c r="X299" i="1"/>
  <c r="X171" i="1"/>
  <c r="Y347" i="1"/>
  <c r="Y179" i="1"/>
  <c r="Y251" i="1"/>
  <c r="X227" i="1"/>
  <c r="X25" i="1"/>
  <c r="Y323" i="1"/>
  <c r="Y275" i="1"/>
  <c r="X195" i="1"/>
  <c r="Y155" i="1"/>
  <c r="Y300" i="1"/>
  <c r="X215" i="1"/>
  <c r="Y279" i="1"/>
  <c r="X350" i="1"/>
  <c r="X310" i="1"/>
  <c r="X188" i="1"/>
  <c r="Y35" i="1"/>
  <c r="Y353" i="1"/>
  <c r="Y260" i="1"/>
  <c r="X343" i="1"/>
  <c r="X221" i="1"/>
  <c r="Y173" i="1"/>
  <c r="X253" i="1"/>
  <c r="X31" i="1"/>
  <c r="Y309" i="1"/>
  <c r="Y341" i="1"/>
  <c r="Y205" i="1"/>
  <c r="X285" i="1"/>
  <c r="X181" i="1"/>
  <c r="Y284" i="1"/>
  <c r="Y244" i="1"/>
  <c r="Y204" i="1"/>
  <c r="X340" i="1"/>
  <c r="X324" i="1"/>
  <c r="X172" i="1"/>
  <c r="X10" i="1"/>
  <c r="Y228" i="1"/>
  <c r="Y18" i="1"/>
  <c r="X268" i="1"/>
  <c r="X156" i="1"/>
  <c r="Y348" i="1"/>
  <c r="Y2" i="1"/>
  <c r="X308" i="1"/>
  <c r="X252" i="1"/>
  <c r="X236" i="1"/>
  <c r="X212" i="1"/>
  <c r="X196" i="1"/>
  <c r="X292" i="1"/>
  <c r="X220" i="1"/>
  <c r="X180" i="1"/>
  <c r="AI153" i="1"/>
  <c r="X332" i="1"/>
  <c r="Y276" i="1"/>
  <c r="Y26" i="1"/>
  <c r="X164" i="1"/>
  <c r="Y30" i="1"/>
  <c r="Y316" i="1"/>
  <c r="X187" i="1"/>
  <c r="X163" i="1"/>
  <c r="Y315" i="1"/>
  <c r="Y291" i="1"/>
  <c r="Y243" i="1"/>
  <c r="Y219" i="1"/>
  <c r="X211" i="1"/>
  <c r="X17" i="1"/>
  <c r="Y339" i="1"/>
  <c r="Y267" i="1"/>
  <c r="Y203" i="1"/>
  <c r="Y9" i="1"/>
  <c r="Y29" i="1"/>
  <c r="Y283" i="1"/>
  <c r="Y331" i="1"/>
  <c r="Y307" i="1"/>
  <c r="Y259" i="1"/>
  <c r="Y235" i="1"/>
  <c r="Y261" i="1"/>
  <c r="Y229" i="1"/>
  <c r="Y333" i="1"/>
  <c r="Y301" i="1"/>
  <c r="Y197" i="1"/>
  <c r="Y165" i="1"/>
  <c r="Y3" i="1"/>
  <c r="X349" i="1"/>
  <c r="X277" i="1"/>
  <c r="X245" i="1"/>
  <c r="X325" i="1"/>
  <c r="X293" i="1"/>
  <c r="X189" i="1"/>
  <c r="X157" i="1"/>
  <c r="X27" i="1"/>
  <c r="Y115" i="1"/>
  <c r="Y80" i="1"/>
  <c r="Y351" i="1"/>
  <c r="Y287" i="1"/>
  <c r="Y223" i="1"/>
  <c r="Y159" i="1"/>
  <c r="Y5" i="1"/>
  <c r="Y33" i="1"/>
  <c r="Y295" i="1"/>
  <c r="Y231" i="1"/>
  <c r="Y167" i="1"/>
  <c r="Y13" i="1"/>
  <c r="Y303" i="1"/>
  <c r="Y239" i="1"/>
  <c r="Y175" i="1"/>
  <c r="Y21" i="1"/>
  <c r="Y311" i="1"/>
  <c r="Y247" i="1"/>
  <c r="Y183" i="1"/>
  <c r="Y355" i="1"/>
  <c r="Y319" i="1"/>
  <c r="Y255" i="1"/>
  <c r="Y191" i="1"/>
  <c r="Y327" i="1"/>
  <c r="Y263" i="1"/>
  <c r="Y199" i="1"/>
  <c r="Y335" i="1"/>
  <c r="Y271" i="1"/>
  <c r="Y207" i="1"/>
  <c r="Y28" i="1"/>
  <c r="Y346" i="1"/>
  <c r="Y338" i="1"/>
  <c r="Y330" i="1"/>
  <c r="Y322" i="1"/>
  <c r="Y314" i="1"/>
  <c r="Y306" i="1"/>
  <c r="Y298" i="1"/>
  <c r="Y290" i="1"/>
  <c r="Y282" i="1"/>
  <c r="Y274" i="1"/>
  <c r="Y266" i="1"/>
  <c r="Y258" i="1"/>
  <c r="Y250" i="1"/>
  <c r="Y242" i="1"/>
  <c r="Y234" i="1"/>
  <c r="Y226" i="1"/>
  <c r="Y218" i="1"/>
  <c r="Y210" i="1"/>
  <c r="Y202" i="1"/>
  <c r="Y194" i="1"/>
  <c r="Y186" i="1"/>
  <c r="Y178" i="1"/>
  <c r="Y170" i="1"/>
  <c r="Y162" i="1"/>
  <c r="Y154" i="1"/>
  <c r="Y24" i="1"/>
  <c r="Y16" i="1"/>
  <c r="Y8" i="1"/>
  <c r="H68" i="1" l="1"/>
  <c r="AU68" i="1" s="1"/>
  <c r="H69" i="1"/>
  <c r="AU69" i="1" s="1"/>
  <c r="H70" i="1"/>
  <c r="N3596" i="6"/>
  <c r="AV127" i="1"/>
  <c r="AS127" i="1" s="1"/>
  <c r="AU127" i="1"/>
  <c r="AT127" i="1" s="1"/>
  <c r="AR127" i="1"/>
  <c r="AQ127" i="1"/>
  <c r="AP127" i="1"/>
  <c r="AO127" i="1"/>
  <c r="W127" i="1" s="1"/>
  <c r="AK127" i="1"/>
  <c r="H127" i="1"/>
  <c r="AV126" i="1"/>
  <c r="AS126" i="1" s="1"/>
  <c r="AU126" i="1"/>
  <c r="AT126" i="1" s="1"/>
  <c r="AR126" i="1"/>
  <c r="AQ126" i="1"/>
  <c r="AP126" i="1"/>
  <c r="AO126" i="1"/>
  <c r="W126" i="1" s="1"/>
  <c r="AK126" i="1"/>
  <c r="H126" i="1"/>
  <c r="AV125" i="1"/>
  <c r="AS125" i="1" s="1"/>
  <c r="AU125" i="1"/>
  <c r="AT125" i="1" s="1"/>
  <c r="AR125" i="1"/>
  <c r="AQ125" i="1"/>
  <c r="AP125" i="1"/>
  <c r="AO125" i="1"/>
  <c r="W125" i="1" s="1"/>
  <c r="AK125" i="1"/>
  <c r="H125" i="1"/>
  <c r="AV124" i="1"/>
  <c r="AS124" i="1" s="1"/>
  <c r="AU124" i="1"/>
  <c r="AT124" i="1" s="1"/>
  <c r="AR124" i="1"/>
  <c r="AQ124" i="1"/>
  <c r="AP124" i="1"/>
  <c r="AO124" i="1"/>
  <c r="W124" i="1" s="1"/>
  <c r="AK124" i="1"/>
  <c r="H124" i="1"/>
  <c r="AV123" i="1"/>
  <c r="AS123" i="1" s="1"/>
  <c r="AU123" i="1"/>
  <c r="AT123" i="1" s="1"/>
  <c r="AR123" i="1"/>
  <c r="AQ123" i="1"/>
  <c r="AP123" i="1"/>
  <c r="AO123" i="1"/>
  <c r="W123" i="1" s="1"/>
  <c r="AK123" i="1"/>
  <c r="H123" i="1"/>
  <c r="AV122" i="1"/>
  <c r="AS122" i="1" s="1"/>
  <c r="AU122" i="1"/>
  <c r="AT122" i="1" s="1"/>
  <c r="AR122" i="1"/>
  <c r="AQ122" i="1"/>
  <c r="AP122" i="1"/>
  <c r="AO122" i="1"/>
  <c r="W122" i="1" s="1"/>
  <c r="AK122" i="1"/>
  <c r="H122" i="1"/>
  <c r="AV121" i="1"/>
  <c r="AS121" i="1" s="1"/>
  <c r="AU121" i="1"/>
  <c r="AT121" i="1" s="1"/>
  <c r="AR121" i="1"/>
  <c r="AQ121" i="1"/>
  <c r="AP121" i="1"/>
  <c r="AO121" i="1"/>
  <c r="W121" i="1" s="1"/>
  <c r="AK121" i="1"/>
  <c r="H121" i="1"/>
  <c r="AV120" i="1"/>
  <c r="AS120" i="1" s="1"/>
  <c r="AU120" i="1"/>
  <c r="AT120" i="1" s="1"/>
  <c r="AR120" i="1"/>
  <c r="AQ120" i="1"/>
  <c r="AP120" i="1"/>
  <c r="AO120" i="1"/>
  <c r="W120" i="1" s="1"/>
  <c r="AK120" i="1"/>
  <c r="H120" i="1"/>
  <c r="AV119" i="1"/>
  <c r="AS119" i="1" s="1"/>
  <c r="AU119" i="1"/>
  <c r="AT119" i="1" s="1"/>
  <c r="AR119" i="1"/>
  <c r="AQ119" i="1"/>
  <c r="AP119" i="1"/>
  <c r="AO119" i="1"/>
  <c r="W119" i="1" s="1"/>
  <c r="AK119" i="1"/>
  <c r="H119" i="1"/>
  <c r="AV118" i="1"/>
  <c r="AS118" i="1" s="1"/>
  <c r="AU118" i="1"/>
  <c r="AT118" i="1" s="1"/>
  <c r="AR118" i="1"/>
  <c r="AQ118" i="1"/>
  <c r="AP118" i="1"/>
  <c r="AO118" i="1"/>
  <c r="W118" i="1" s="1"/>
  <c r="AK118" i="1"/>
  <c r="H118" i="1"/>
  <c r="AV117" i="1"/>
  <c r="AS117" i="1" s="1"/>
  <c r="AU117" i="1"/>
  <c r="AT117" i="1" s="1"/>
  <c r="AR117" i="1"/>
  <c r="AQ117" i="1"/>
  <c r="AP117" i="1"/>
  <c r="AO117" i="1"/>
  <c r="W117" i="1" s="1"/>
  <c r="AK117" i="1"/>
  <c r="H117" i="1"/>
  <c r="AV116" i="1"/>
  <c r="AS116" i="1" s="1"/>
  <c r="AU116" i="1"/>
  <c r="AT116" i="1" s="1"/>
  <c r="AR116" i="1"/>
  <c r="AQ116" i="1"/>
  <c r="AP116" i="1"/>
  <c r="AO116" i="1"/>
  <c r="W116" i="1" s="1"/>
  <c r="AK116" i="1"/>
  <c r="H116" i="1"/>
  <c r="AU115" i="1"/>
  <c r="AR115" i="1"/>
  <c r="AQ115" i="1"/>
  <c r="AP115" i="1"/>
  <c r="AO115" i="1"/>
  <c r="W115" i="1" s="1"/>
  <c r="AK115" i="1"/>
  <c r="H115" i="1"/>
  <c r="AR114" i="1"/>
  <c r="AQ114" i="1"/>
  <c r="AP114" i="1"/>
  <c r="AO114" i="1"/>
  <c r="W114" i="1" s="1"/>
  <c r="AK114" i="1"/>
  <c r="H114" i="1"/>
  <c r="AR113" i="1"/>
  <c r="AQ113" i="1"/>
  <c r="AP113" i="1"/>
  <c r="AO113" i="1"/>
  <c r="W113" i="1" s="1"/>
  <c r="AK113" i="1"/>
  <c r="H113" i="1"/>
  <c r="AU113" i="1" s="1"/>
  <c r="AR112" i="1"/>
  <c r="AQ112" i="1"/>
  <c r="AP112" i="1"/>
  <c r="AO112" i="1"/>
  <c r="W112" i="1" s="1"/>
  <c r="AK112" i="1"/>
  <c r="H112" i="1"/>
  <c r="AR111" i="1"/>
  <c r="AQ111" i="1"/>
  <c r="AP111" i="1"/>
  <c r="AO111" i="1"/>
  <c r="W111" i="1" s="1"/>
  <c r="AK111" i="1"/>
  <c r="H111" i="1"/>
  <c r="AU111" i="1" s="1"/>
  <c r="AR110" i="1"/>
  <c r="AQ110" i="1"/>
  <c r="AP110" i="1"/>
  <c r="AO110" i="1"/>
  <c r="W110" i="1" s="1"/>
  <c r="AK110" i="1"/>
  <c r="H110" i="1"/>
  <c r="AU110" i="1" s="1"/>
  <c r="AU109" i="1"/>
  <c r="AR109" i="1"/>
  <c r="AQ109" i="1"/>
  <c r="AP109" i="1"/>
  <c r="AO109" i="1"/>
  <c r="W109" i="1" s="1"/>
  <c r="AK109" i="1"/>
  <c r="H109" i="1"/>
  <c r="AR108" i="1"/>
  <c r="AQ108" i="1"/>
  <c r="AP108" i="1"/>
  <c r="AO108" i="1"/>
  <c r="W108" i="1" s="1"/>
  <c r="AK108" i="1"/>
  <c r="H108" i="1"/>
  <c r="AU108" i="1" s="1"/>
  <c r="AR107" i="1"/>
  <c r="AQ107" i="1"/>
  <c r="AP107" i="1"/>
  <c r="AO107" i="1"/>
  <c r="W107" i="1" s="1"/>
  <c r="AK107" i="1"/>
  <c r="H107" i="1"/>
  <c r="AU107" i="1" s="1"/>
  <c r="AR106" i="1"/>
  <c r="AQ106" i="1"/>
  <c r="AP106" i="1"/>
  <c r="AO106" i="1"/>
  <c r="W106" i="1" s="1"/>
  <c r="AK106" i="1"/>
  <c r="H106" i="1"/>
  <c r="AR105" i="1"/>
  <c r="AQ105" i="1"/>
  <c r="AP105" i="1"/>
  <c r="AO105" i="1"/>
  <c r="W105" i="1" s="1"/>
  <c r="AK105" i="1"/>
  <c r="H105" i="1"/>
  <c r="AV104" i="1"/>
  <c r="AS104" i="1" s="1"/>
  <c r="AU104" i="1"/>
  <c r="AT104" i="1" s="1"/>
  <c r="AR104" i="1"/>
  <c r="AQ104" i="1"/>
  <c r="AP104" i="1"/>
  <c r="AO104" i="1"/>
  <c r="W104" i="1" s="1"/>
  <c r="AK104" i="1"/>
  <c r="H104" i="1"/>
  <c r="AR103" i="1"/>
  <c r="AQ103" i="1"/>
  <c r="AP103" i="1"/>
  <c r="AO103" i="1"/>
  <c r="W103" i="1" s="1"/>
  <c r="AK103" i="1"/>
  <c r="H103" i="1"/>
  <c r="AR102" i="1"/>
  <c r="AQ102" i="1"/>
  <c r="AP102" i="1"/>
  <c r="AO102" i="1"/>
  <c r="W102" i="1" s="1"/>
  <c r="AK102" i="1"/>
  <c r="H102" i="1"/>
  <c r="AR101" i="1"/>
  <c r="AQ101" i="1"/>
  <c r="AP101" i="1"/>
  <c r="AO101" i="1"/>
  <c r="W101" i="1" s="1"/>
  <c r="AK101" i="1"/>
  <c r="H101" i="1"/>
  <c r="AV100" i="1"/>
  <c r="AS100" i="1" s="1"/>
  <c r="AU100" i="1"/>
  <c r="AT100" i="1" s="1"/>
  <c r="AR100" i="1"/>
  <c r="AQ100" i="1"/>
  <c r="AP100" i="1"/>
  <c r="AO100" i="1"/>
  <c r="W100" i="1" s="1"/>
  <c r="AK100" i="1"/>
  <c r="H100" i="1"/>
  <c r="AV99" i="1"/>
  <c r="AS99" i="1" s="1"/>
  <c r="AU99" i="1"/>
  <c r="AT99" i="1" s="1"/>
  <c r="AR99" i="1"/>
  <c r="AQ99" i="1"/>
  <c r="AP99" i="1"/>
  <c r="AO99" i="1"/>
  <c r="W99" i="1" s="1"/>
  <c r="AK99" i="1"/>
  <c r="H99" i="1"/>
  <c r="AU98" i="1"/>
  <c r="AR98" i="1"/>
  <c r="AQ98" i="1"/>
  <c r="AP98" i="1"/>
  <c r="AO98" i="1"/>
  <c r="W98" i="1" s="1"/>
  <c r="AK98" i="1"/>
  <c r="H98" i="1"/>
  <c r="AU97" i="1"/>
  <c r="AR97" i="1"/>
  <c r="AQ97" i="1"/>
  <c r="AP97" i="1"/>
  <c r="AO97" i="1"/>
  <c r="W97" i="1" s="1"/>
  <c r="AK97" i="1"/>
  <c r="H97" i="1"/>
  <c r="AV96" i="1"/>
  <c r="AS96" i="1" s="1"/>
  <c r="AU96" i="1"/>
  <c r="AT96" i="1" s="1"/>
  <c r="AR96" i="1"/>
  <c r="AQ96" i="1"/>
  <c r="AP96" i="1"/>
  <c r="AO96" i="1"/>
  <c r="W96" i="1" s="1"/>
  <c r="AK96" i="1"/>
  <c r="H96" i="1"/>
  <c r="AV95" i="1"/>
  <c r="AS95" i="1" s="1"/>
  <c r="AU95" i="1"/>
  <c r="AT95" i="1" s="1"/>
  <c r="AR95" i="1"/>
  <c r="AQ95" i="1"/>
  <c r="AP95" i="1"/>
  <c r="AO95" i="1"/>
  <c r="W95" i="1" s="1"/>
  <c r="AK95" i="1"/>
  <c r="H95" i="1"/>
  <c r="AU94" i="1"/>
  <c r="AR94" i="1"/>
  <c r="AQ94" i="1"/>
  <c r="AP94" i="1"/>
  <c r="AO94" i="1"/>
  <c r="W94" i="1" s="1"/>
  <c r="AK94" i="1"/>
  <c r="H94" i="1"/>
  <c r="AV93" i="1"/>
  <c r="AS93" i="1" s="1"/>
  <c r="AU93" i="1"/>
  <c r="AT93" i="1" s="1"/>
  <c r="AR93" i="1"/>
  <c r="AQ93" i="1"/>
  <c r="AP93" i="1"/>
  <c r="AO93" i="1"/>
  <c r="W93" i="1" s="1"/>
  <c r="AK93" i="1"/>
  <c r="H93" i="1"/>
  <c r="AV92" i="1"/>
  <c r="AS92" i="1" s="1"/>
  <c r="AU92" i="1"/>
  <c r="AT92" i="1" s="1"/>
  <c r="AR92" i="1"/>
  <c r="AQ92" i="1"/>
  <c r="AP92" i="1"/>
  <c r="AO92" i="1"/>
  <c r="W92" i="1" s="1"/>
  <c r="AK92" i="1"/>
  <c r="H92" i="1"/>
  <c r="AU91" i="1"/>
  <c r="AR91" i="1"/>
  <c r="AQ91" i="1"/>
  <c r="AP91" i="1"/>
  <c r="AO91" i="1"/>
  <c r="W91" i="1" s="1"/>
  <c r="AK91" i="1"/>
  <c r="H91" i="1"/>
  <c r="AU90" i="1"/>
  <c r="AR90" i="1"/>
  <c r="AQ90" i="1"/>
  <c r="AP90" i="1"/>
  <c r="AO90" i="1"/>
  <c r="W90" i="1" s="1"/>
  <c r="AK90" i="1"/>
  <c r="H90" i="1"/>
  <c r="AV89" i="1"/>
  <c r="AS89" i="1" s="1"/>
  <c r="AU89" i="1"/>
  <c r="AT89" i="1" s="1"/>
  <c r="AR89" i="1"/>
  <c r="AQ89" i="1"/>
  <c r="AP89" i="1"/>
  <c r="AO89" i="1"/>
  <c r="W89" i="1" s="1"/>
  <c r="AK89" i="1"/>
  <c r="H89" i="1"/>
  <c r="AU88" i="1"/>
  <c r="AR88" i="1"/>
  <c r="AQ88" i="1"/>
  <c r="AP88" i="1"/>
  <c r="AO88" i="1"/>
  <c r="W88" i="1" s="1"/>
  <c r="AK88" i="1"/>
  <c r="H88" i="1"/>
  <c r="AU87" i="1"/>
  <c r="AR87" i="1"/>
  <c r="AQ87" i="1"/>
  <c r="AP87" i="1"/>
  <c r="AO87" i="1"/>
  <c r="W87" i="1" s="1"/>
  <c r="AK87" i="1"/>
  <c r="H87" i="1"/>
  <c r="AV86" i="1"/>
  <c r="AS86" i="1" s="1"/>
  <c r="AU86" i="1"/>
  <c r="AT86" i="1" s="1"/>
  <c r="AR86" i="1"/>
  <c r="AQ86" i="1"/>
  <c r="AP86" i="1"/>
  <c r="AO86" i="1"/>
  <c r="W86" i="1" s="1"/>
  <c r="AK86" i="1"/>
  <c r="H86" i="1"/>
  <c r="AU85" i="1"/>
  <c r="AR85" i="1"/>
  <c r="AQ85" i="1"/>
  <c r="AP85" i="1"/>
  <c r="AO85" i="1"/>
  <c r="W85" i="1" s="1"/>
  <c r="AK85" i="1"/>
  <c r="H85" i="1"/>
  <c r="AU84" i="1"/>
  <c r="AR84" i="1"/>
  <c r="AQ84" i="1"/>
  <c r="AP84" i="1"/>
  <c r="AO84" i="1"/>
  <c r="W84" i="1" s="1"/>
  <c r="AK84" i="1"/>
  <c r="H84" i="1"/>
  <c r="AU83" i="1"/>
  <c r="AR83" i="1"/>
  <c r="AQ83" i="1"/>
  <c r="AP83" i="1"/>
  <c r="AO83" i="1"/>
  <c r="W83" i="1" s="1"/>
  <c r="AK83" i="1"/>
  <c r="H83" i="1"/>
  <c r="AU82" i="1"/>
  <c r="AR82" i="1"/>
  <c r="AQ82" i="1"/>
  <c r="AP82" i="1"/>
  <c r="AO82" i="1"/>
  <c r="W82" i="1" s="1"/>
  <c r="AK82" i="1"/>
  <c r="H82" i="1"/>
  <c r="AU81" i="1"/>
  <c r="AR81" i="1"/>
  <c r="AQ81" i="1"/>
  <c r="AP81" i="1"/>
  <c r="AO81" i="1"/>
  <c r="W81" i="1" s="1"/>
  <c r="AK81" i="1"/>
  <c r="H81" i="1"/>
  <c r="AV81" i="1" s="1"/>
  <c r="AS81" i="1" s="1"/>
  <c r="AU80" i="1"/>
  <c r="AR80" i="1"/>
  <c r="AQ80" i="1"/>
  <c r="AP80" i="1"/>
  <c r="AO80" i="1"/>
  <c r="W80" i="1" s="1"/>
  <c r="AK80" i="1"/>
  <c r="H80" i="1"/>
  <c r="AR79" i="1"/>
  <c r="AQ79" i="1"/>
  <c r="AP79" i="1"/>
  <c r="AO79" i="1"/>
  <c r="W79" i="1" s="1"/>
  <c r="AK79" i="1"/>
  <c r="H79" i="1"/>
  <c r="AR78" i="1"/>
  <c r="AQ78" i="1"/>
  <c r="AP78" i="1"/>
  <c r="AO78" i="1"/>
  <c r="W78" i="1" s="1"/>
  <c r="AK78" i="1"/>
  <c r="H78" i="1"/>
  <c r="AR77" i="1"/>
  <c r="AQ77" i="1"/>
  <c r="AP77" i="1"/>
  <c r="AO77" i="1"/>
  <c r="W77" i="1" s="1"/>
  <c r="AK77" i="1"/>
  <c r="H77" i="1"/>
  <c r="AR76" i="1"/>
  <c r="AQ76" i="1"/>
  <c r="AP76" i="1"/>
  <c r="AO76" i="1"/>
  <c r="W76" i="1" s="1"/>
  <c r="AK76" i="1"/>
  <c r="H76" i="1"/>
  <c r="AR75" i="1"/>
  <c r="AQ75" i="1"/>
  <c r="AP75" i="1"/>
  <c r="AO75" i="1"/>
  <c r="W75" i="1" s="1"/>
  <c r="AK75" i="1"/>
  <c r="H75" i="1"/>
  <c r="AR74" i="1"/>
  <c r="AQ74" i="1"/>
  <c r="AP74" i="1"/>
  <c r="AO74" i="1"/>
  <c r="W74" i="1" s="1"/>
  <c r="AK74" i="1"/>
  <c r="H74" i="1"/>
  <c r="AR73" i="1"/>
  <c r="AQ73" i="1"/>
  <c r="AP73" i="1"/>
  <c r="AO73" i="1"/>
  <c r="W73" i="1" s="1"/>
  <c r="AK73" i="1"/>
  <c r="H73" i="1"/>
  <c r="AU72" i="1"/>
  <c r="AR72" i="1"/>
  <c r="AQ72" i="1"/>
  <c r="AP72" i="1"/>
  <c r="AO72" i="1"/>
  <c r="W72" i="1" s="1"/>
  <c r="AK72" i="1"/>
  <c r="AR71" i="1"/>
  <c r="AQ71" i="1"/>
  <c r="AP71" i="1"/>
  <c r="AO71" i="1"/>
  <c r="W71" i="1" s="1"/>
  <c r="AK71" i="1"/>
  <c r="H71" i="1"/>
  <c r="AR70" i="1"/>
  <c r="AQ70" i="1"/>
  <c r="AP70" i="1"/>
  <c r="AO70" i="1"/>
  <c r="W70" i="1" s="1"/>
  <c r="AK70" i="1"/>
  <c r="AR69" i="1"/>
  <c r="AQ69" i="1"/>
  <c r="AP69" i="1"/>
  <c r="AO69" i="1"/>
  <c r="W69" i="1" s="1"/>
  <c r="AK69" i="1"/>
  <c r="AR68" i="1"/>
  <c r="AQ68" i="1"/>
  <c r="AP68" i="1"/>
  <c r="AO68" i="1"/>
  <c r="W68" i="1" s="1"/>
  <c r="AK68" i="1"/>
  <c r="AR67" i="1"/>
  <c r="AQ67" i="1"/>
  <c r="AP67" i="1"/>
  <c r="AO67" i="1"/>
  <c r="W67" i="1" s="1"/>
  <c r="AK67" i="1"/>
  <c r="H67" i="1"/>
  <c r="AR66" i="1"/>
  <c r="AQ66" i="1"/>
  <c r="AP66" i="1"/>
  <c r="AO66" i="1"/>
  <c r="W66" i="1" s="1"/>
  <c r="AK66" i="1"/>
  <c r="H66" i="1"/>
  <c r="AU66" i="1" s="1"/>
  <c r="AR65" i="1"/>
  <c r="AQ65" i="1"/>
  <c r="AP65" i="1"/>
  <c r="AO65" i="1"/>
  <c r="W65" i="1" s="1"/>
  <c r="AK65" i="1"/>
  <c r="H65" i="1"/>
  <c r="AR64" i="1"/>
  <c r="AQ64" i="1"/>
  <c r="AP64" i="1"/>
  <c r="AO64" i="1"/>
  <c r="W64" i="1" s="1"/>
  <c r="AK64" i="1"/>
  <c r="H64" i="1"/>
  <c r="AU64" i="1" s="1"/>
  <c r="AR63" i="1"/>
  <c r="AQ63" i="1"/>
  <c r="AP63" i="1"/>
  <c r="AO63" i="1"/>
  <c r="W63" i="1" s="1"/>
  <c r="AK63" i="1"/>
  <c r="H63" i="1"/>
  <c r="AU63" i="1" s="1"/>
  <c r="AR62" i="1"/>
  <c r="AQ62" i="1"/>
  <c r="AP62" i="1"/>
  <c r="AO62" i="1"/>
  <c r="W62" i="1" s="1"/>
  <c r="AK62" i="1"/>
  <c r="H62" i="1"/>
  <c r="AR61" i="1"/>
  <c r="AQ61" i="1"/>
  <c r="AP61" i="1"/>
  <c r="AO61" i="1"/>
  <c r="W61" i="1" s="1"/>
  <c r="AK61" i="1"/>
  <c r="H61" i="1"/>
  <c r="AR60" i="1"/>
  <c r="AQ60" i="1"/>
  <c r="AP60" i="1"/>
  <c r="AO60" i="1"/>
  <c r="W60" i="1" s="1"/>
  <c r="AK60" i="1"/>
  <c r="H60" i="1"/>
  <c r="AR59" i="1"/>
  <c r="AQ59" i="1"/>
  <c r="AP59" i="1"/>
  <c r="AO59" i="1"/>
  <c r="W59" i="1" s="1"/>
  <c r="AK59" i="1"/>
  <c r="H59" i="1"/>
  <c r="AR58" i="1"/>
  <c r="AQ58" i="1"/>
  <c r="AP58" i="1"/>
  <c r="AO58" i="1"/>
  <c r="W58" i="1" s="1"/>
  <c r="AK58" i="1"/>
  <c r="H58" i="1"/>
  <c r="AU58" i="1" s="1"/>
  <c r="AR57" i="1"/>
  <c r="AQ57" i="1"/>
  <c r="AP57" i="1"/>
  <c r="AO57" i="1"/>
  <c r="W57" i="1" s="1"/>
  <c r="AK57" i="1"/>
  <c r="H57" i="1"/>
  <c r="AU57" i="1" s="1"/>
  <c r="AR56" i="1"/>
  <c r="AQ56" i="1"/>
  <c r="AP56" i="1"/>
  <c r="AO56" i="1"/>
  <c r="W56" i="1" s="1"/>
  <c r="AK56" i="1"/>
  <c r="H56" i="1"/>
  <c r="AV55" i="1"/>
  <c r="AS55" i="1" s="1"/>
  <c r="AU55" i="1"/>
  <c r="AT55" i="1" s="1"/>
  <c r="AR55" i="1"/>
  <c r="AQ55" i="1"/>
  <c r="AP55" i="1"/>
  <c r="AO55" i="1"/>
  <c r="W55" i="1" s="1"/>
  <c r="AK55" i="1"/>
  <c r="H55" i="1"/>
  <c r="AV54" i="1"/>
  <c r="AU54" i="1"/>
  <c r="AT54" i="1" s="1"/>
  <c r="AR54" i="1"/>
  <c r="AQ54" i="1"/>
  <c r="AP54" i="1"/>
  <c r="AO54" i="1"/>
  <c r="W54" i="1" s="1"/>
  <c r="AK54" i="1"/>
  <c r="H54" i="1"/>
  <c r="AV53" i="1"/>
  <c r="AU53" i="1"/>
  <c r="AT53" i="1" s="1"/>
  <c r="AR53" i="1"/>
  <c r="AQ53" i="1"/>
  <c r="AP53" i="1"/>
  <c r="AO53" i="1"/>
  <c r="W53" i="1" s="1"/>
  <c r="AK53" i="1"/>
  <c r="H53" i="1"/>
  <c r="AV52" i="1"/>
  <c r="AS52" i="1" s="1"/>
  <c r="AU52" i="1"/>
  <c r="AT52" i="1" s="1"/>
  <c r="AR52" i="1"/>
  <c r="AQ52" i="1"/>
  <c r="AP52" i="1"/>
  <c r="AO52" i="1"/>
  <c r="W52" i="1" s="1"/>
  <c r="AK52" i="1"/>
  <c r="H52" i="1"/>
  <c r="AV51" i="1"/>
  <c r="AS51" i="1" s="1"/>
  <c r="AU51" i="1"/>
  <c r="AT51" i="1" s="1"/>
  <c r="AR51" i="1"/>
  <c r="AQ51" i="1"/>
  <c r="AP51" i="1"/>
  <c r="AO51" i="1"/>
  <c r="W51" i="1" s="1"/>
  <c r="AK51" i="1"/>
  <c r="H51" i="1"/>
  <c r="AU50" i="1"/>
  <c r="AR50" i="1"/>
  <c r="AQ50" i="1"/>
  <c r="AP50" i="1"/>
  <c r="AO50" i="1"/>
  <c r="W50" i="1" s="1"/>
  <c r="AK50" i="1"/>
  <c r="H50" i="1"/>
  <c r="AR49" i="1"/>
  <c r="AQ49" i="1"/>
  <c r="AP49" i="1"/>
  <c r="AO49" i="1"/>
  <c r="W49" i="1" s="1"/>
  <c r="AK49" i="1"/>
  <c r="H49" i="1"/>
  <c r="AR48" i="1"/>
  <c r="AQ48" i="1"/>
  <c r="AP48" i="1"/>
  <c r="AO48" i="1"/>
  <c r="W48" i="1" s="1"/>
  <c r="AK48" i="1"/>
  <c r="H48" i="1"/>
  <c r="AR47" i="1"/>
  <c r="AQ47" i="1"/>
  <c r="AP47" i="1"/>
  <c r="AO47" i="1"/>
  <c r="W47" i="1" s="1"/>
  <c r="AK47" i="1"/>
  <c r="H47" i="1"/>
  <c r="AR46" i="1"/>
  <c r="AQ46" i="1"/>
  <c r="AP46" i="1"/>
  <c r="AO46" i="1"/>
  <c r="W46" i="1" s="1"/>
  <c r="AK46" i="1"/>
  <c r="H46" i="1"/>
  <c r="AR45" i="1"/>
  <c r="AQ45" i="1"/>
  <c r="AP45" i="1"/>
  <c r="AO45" i="1"/>
  <c r="W45" i="1" s="1"/>
  <c r="AK45" i="1"/>
  <c r="H45" i="1"/>
  <c r="AR44" i="1"/>
  <c r="AQ44" i="1"/>
  <c r="AP44" i="1"/>
  <c r="AO44" i="1"/>
  <c r="W44" i="1" s="1"/>
  <c r="AK44" i="1"/>
  <c r="H44" i="1"/>
  <c r="AR43" i="1"/>
  <c r="AQ43" i="1"/>
  <c r="AP43" i="1"/>
  <c r="AO43" i="1"/>
  <c r="W43" i="1" s="1"/>
  <c r="AK43" i="1"/>
  <c r="H43" i="1"/>
  <c r="AR42" i="1"/>
  <c r="AQ42" i="1"/>
  <c r="AP42" i="1"/>
  <c r="AO42" i="1"/>
  <c r="W42" i="1" s="1"/>
  <c r="AK42" i="1"/>
  <c r="H42" i="1"/>
  <c r="AR41" i="1"/>
  <c r="AQ41" i="1"/>
  <c r="AP41" i="1"/>
  <c r="AO41" i="1"/>
  <c r="W41" i="1" s="1"/>
  <c r="AK41" i="1"/>
  <c r="H41" i="1"/>
  <c r="AR40" i="1"/>
  <c r="AQ40" i="1"/>
  <c r="AP40" i="1"/>
  <c r="AO40" i="1"/>
  <c r="W40" i="1" s="1"/>
  <c r="AK40" i="1"/>
  <c r="H40" i="1"/>
  <c r="AR39" i="1"/>
  <c r="AQ39" i="1"/>
  <c r="AP39" i="1"/>
  <c r="AO39" i="1"/>
  <c r="W39" i="1" s="1"/>
  <c r="AK39" i="1"/>
  <c r="H39" i="1"/>
  <c r="AR38" i="1"/>
  <c r="AQ38" i="1"/>
  <c r="AP38" i="1"/>
  <c r="AO38" i="1"/>
  <c r="W38" i="1" s="1"/>
  <c r="AK38" i="1"/>
  <c r="H38" i="1"/>
  <c r="AR37" i="1"/>
  <c r="AQ37" i="1"/>
  <c r="AP37" i="1"/>
  <c r="AO37" i="1"/>
  <c r="W37" i="1" s="1"/>
  <c r="AK37" i="1"/>
  <c r="X37" i="1"/>
  <c r="Q37" i="1"/>
  <c r="H37" i="1"/>
  <c r="AV36" i="1"/>
  <c r="AS36" i="1" s="1"/>
  <c r="AU36" i="1"/>
  <c r="AT36" i="1" s="1"/>
  <c r="AR36" i="1"/>
  <c r="AQ36" i="1"/>
  <c r="AP36" i="1"/>
  <c r="AO36" i="1"/>
  <c r="W36" i="1" s="1"/>
  <c r="AK36" i="1"/>
  <c r="X36" i="1"/>
  <c r="Q36" i="1"/>
  <c r="H36" i="1"/>
  <c r="S36" i="1" s="1"/>
  <c r="AU35" i="1"/>
  <c r="AR35" i="1"/>
  <c r="AQ35" i="1"/>
  <c r="AP35" i="1"/>
  <c r="AO35" i="1"/>
  <c r="AK35" i="1"/>
  <c r="Q35" i="1"/>
  <c r="H35" i="1"/>
  <c r="AU34" i="1"/>
  <c r="AR34" i="1"/>
  <c r="AQ34" i="1"/>
  <c r="AP34" i="1"/>
  <c r="AO34" i="1"/>
  <c r="AK34" i="1"/>
  <c r="Q34" i="1"/>
  <c r="H34" i="1"/>
  <c r="AU33" i="1"/>
  <c r="AR33" i="1"/>
  <c r="AQ33" i="1"/>
  <c r="AP33" i="1"/>
  <c r="AO33" i="1"/>
  <c r="AK33" i="1"/>
  <c r="Q33" i="1"/>
  <c r="H33" i="1"/>
  <c r="AU32" i="1"/>
  <c r="AR32" i="1"/>
  <c r="AQ32" i="1"/>
  <c r="AP32" i="1"/>
  <c r="AO32" i="1"/>
  <c r="AK32" i="1"/>
  <c r="Q32" i="1"/>
  <c r="H32" i="1"/>
  <c r="AU31" i="1"/>
  <c r="AR31" i="1"/>
  <c r="AQ31" i="1"/>
  <c r="AP31" i="1"/>
  <c r="AO31" i="1"/>
  <c r="AK31" i="1"/>
  <c r="Q31" i="1"/>
  <c r="H31" i="1"/>
  <c r="AU30" i="1"/>
  <c r="AR30" i="1"/>
  <c r="AQ30" i="1"/>
  <c r="AP30" i="1"/>
  <c r="AO30" i="1"/>
  <c r="AK30" i="1"/>
  <c r="Q30" i="1"/>
  <c r="H30" i="1"/>
  <c r="AU29" i="1"/>
  <c r="AR29" i="1"/>
  <c r="AQ29" i="1"/>
  <c r="AP29" i="1"/>
  <c r="AO29" i="1"/>
  <c r="AK29" i="1"/>
  <c r="Q29" i="1"/>
  <c r="H29" i="1"/>
  <c r="AR28" i="1"/>
  <c r="AQ28" i="1"/>
  <c r="AP28" i="1"/>
  <c r="AO28" i="1"/>
  <c r="AK28" i="1"/>
  <c r="Q28" i="1"/>
  <c r="H28" i="1"/>
  <c r="AU28" i="1" s="1"/>
  <c r="AV353" i="1"/>
  <c r="AS353" i="1" s="1"/>
  <c r="AU353" i="1"/>
  <c r="AT353" i="1" s="1"/>
  <c r="AR353" i="1"/>
  <c r="AQ353" i="1"/>
  <c r="AP353" i="1"/>
  <c r="AO353" i="1"/>
  <c r="AK353" i="1"/>
  <c r="Q353" i="1"/>
  <c r="AV352" i="1"/>
  <c r="AS352" i="1" s="1"/>
  <c r="AU352" i="1"/>
  <c r="AT352" i="1" s="1"/>
  <c r="AR352" i="1"/>
  <c r="AQ352" i="1"/>
  <c r="AP352" i="1"/>
  <c r="AO352" i="1"/>
  <c r="AK352" i="1"/>
  <c r="Q352" i="1"/>
  <c r="AV351" i="1"/>
  <c r="AS351" i="1" s="1"/>
  <c r="AU351" i="1"/>
  <c r="AT351" i="1" s="1"/>
  <c r="AR351" i="1"/>
  <c r="AQ351" i="1"/>
  <c r="AP351" i="1"/>
  <c r="AO351" i="1"/>
  <c r="AK351" i="1"/>
  <c r="Q351" i="1"/>
  <c r="AV350" i="1"/>
  <c r="AS350" i="1" s="1"/>
  <c r="AU350" i="1"/>
  <c r="AT350" i="1" s="1"/>
  <c r="AR350" i="1"/>
  <c r="AQ350" i="1"/>
  <c r="AP350" i="1"/>
  <c r="AO350" i="1"/>
  <c r="AK350" i="1"/>
  <c r="Q350" i="1"/>
  <c r="AV349" i="1"/>
  <c r="AS349" i="1" s="1"/>
  <c r="AU349" i="1"/>
  <c r="AT349" i="1" s="1"/>
  <c r="AR349" i="1"/>
  <c r="AQ349" i="1"/>
  <c r="AP349" i="1"/>
  <c r="AO349" i="1"/>
  <c r="AK349" i="1"/>
  <c r="Q349" i="1"/>
  <c r="AV348" i="1"/>
  <c r="AS348" i="1" s="1"/>
  <c r="AU348" i="1"/>
  <c r="AT348" i="1" s="1"/>
  <c r="AR348" i="1"/>
  <c r="AQ348" i="1"/>
  <c r="AP348" i="1"/>
  <c r="AO348" i="1"/>
  <c r="AK348" i="1"/>
  <c r="Q348" i="1"/>
  <c r="AV347" i="1"/>
  <c r="AS347" i="1" s="1"/>
  <c r="AU347" i="1"/>
  <c r="AT347" i="1" s="1"/>
  <c r="AR347" i="1"/>
  <c r="AQ347" i="1"/>
  <c r="AP347" i="1"/>
  <c r="AO347" i="1"/>
  <c r="AK347" i="1"/>
  <c r="Q347" i="1"/>
  <c r="AV346" i="1"/>
  <c r="AS346" i="1" s="1"/>
  <c r="AU346" i="1"/>
  <c r="AT346" i="1" s="1"/>
  <c r="AR346" i="1"/>
  <c r="AQ346" i="1"/>
  <c r="AP346" i="1"/>
  <c r="AO346" i="1"/>
  <c r="AK346" i="1"/>
  <c r="Q346" i="1"/>
  <c r="AV345" i="1"/>
  <c r="AS345" i="1" s="1"/>
  <c r="AU345" i="1"/>
  <c r="AT345" i="1" s="1"/>
  <c r="AR345" i="1"/>
  <c r="AQ345" i="1"/>
  <c r="AP345" i="1"/>
  <c r="AO345" i="1"/>
  <c r="AK345" i="1"/>
  <c r="Q345" i="1"/>
  <c r="AV344" i="1"/>
  <c r="AS344" i="1" s="1"/>
  <c r="AU344" i="1"/>
  <c r="AT344" i="1" s="1"/>
  <c r="AR344" i="1"/>
  <c r="AQ344" i="1"/>
  <c r="AP344" i="1"/>
  <c r="AO344" i="1"/>
  <c r="AK344" i="1"/>
  <c r="Q344" i="1"/>
  <c r="AV343" i="1"/>
  <c r="AS343" i="1" s="1"/>
  <c r="AU343" i="1"/>
  <c r="AT343" i="1" s="1"/>
  <c r="AR343" i="1"/>
  <c r="AQ343" i="1"/>
  <c r="AP343" i="1"/>
  <c r="AO343" i="1"/>
  <c r="AK343" i="1"/>
  <c r="Q343" i="1"/>
  <c r="AV342" i="1"/>
  <c r="AS342" i="1" s="1"/>
  <c r="AU342" i="1"/>
  <c r="AT342" i="1" s="1"/>
  <c r="AR342" i="1"/>
  <c r="AQ342" i="1"/>
  <c r="AP342" i="1"/>
  <c r="AO342" i="1"/>
  <c r="AK342" i="1"/>
  <c r="Q342" i="1"/>
  <c r="AV341" i="1"/>
  <c r="AS341" i="1" s="1"/>
  <c r="AU341" i="1"/>
  <c r="AT341" i="1" s="1"/>
  <c r="AR341" i="1"/>
  <c r="AQ341" i="1"/>
  <c r="AP341" i="1"/>
  <c r="AO341" i="1"/>
  <c r="AK341" i="1"/>
  <c r="Q341" i="1"/>
  <c r="AV340" i="1"/>
  <c r="AS340" i="1" s="1"/>
  <c r="AU340" i="1"/>
  <c r="AT340" i="1" s="1"/>
  <c r="AR340" i="1"/>
  <c r="AQ340" i="1"/>
  <c r="AP340" i="1"/>
  <c r="AO340" i="1"/>
  <c r="AK340" i="1"/>
  <c r="Q340" i="1"/>
  <c r="AV339" i="1"/>
  <c r="AS339" i="1" s="1"/>
  <c r="AU339" i="1"/>
  <c r="AT339" i="1" s="1"/>
  <c r="AR339" i="1"/>
  <c r="AQ339" i="1"/>
  <c r="AP339" i="1"/>
  <c r="AO339" i="1"/>
  <c r="AK339" i="1"/>
  <c r="Q339" i="1"/>
  <c r="AV338" i="1"/>
  <c r="AS338" i="1" s="1"/>
  <c r="AU338" i="1"/>
  <c r="AT338" i="1" s="1"/>
  <c r="AR338" i="1"/>
  <c r="AQ338" i="1"/>
  <c r="AP338" i="1"/>
  <c r="AO338" i="1"/>
  <c r="AK338" i="1"/>
  <c r="Q338" i="1"/>
  <c r="AV337" i="1"/>
  <c r="AS337" i="1" s="1"/>
  <c r="AU337" i="1"/>
  <c r="AT337" i="1" s="1"/>
  <c r="AR337" i="1"/>
  <c r="AQ337" i="1"/>
  <c r="AP337" i="1"/>
  <c r="AO337" i="1"/>
  <c r="AK337" i="1"/>
  <c r="Q337" i="1"/>
  <c r="AV336" i="1"/>
  <c r="AS336" i="1" s="1"/>
  <c r="AU336" i="1"/>
  <c r="AT336" i="1" s="1"/>
  <c r="AR336" i="1"/>
  <c r="AQ336" i="1"/>
  <c r="AP336" i="1"/>
  <c r="AO336" i="1"/>
  <c r="AK336" i="1"/>
  <c r="Q336" i="1"/>
  <c r="AV335" i="1"/>
  <c r="AS335" i="1" s="1"/>
  <c r="AU335" i="1"/>
  <c r="AT335" i="1" s="1"/>
  <c r="AR335" i="1"/>
  <c r="AQ335" i="1"/>
  <c r="AP335" i="1"/>
  <c r="AO335" i="1"/>
  <c r="AK335" i="1"/>
  <c r="Q335" i="1"/>
  <c r="AV334" i="1"/>
  <c r="AS334" i="1" s="1"/>
  <c r="AU334" i="1"/>
  <c r="AT334" i="1" s="1"/>
  <c r="AR334" i="1"/>
  <c r="AQ334" i="1"/>
  <c r="AP334" i="1"/>
  <c r="AO334" i="1"/>
  <c r="AK334" i="1"/>
  <c r="Q334" i="1"/>
  <c r="AV333" i="1"/>
  <c r="AS333" i="1" s="1"/>
  <c r="AU333" i="1"/>
  <c r="AT333" i="1" s="1"/>
  <c r="AR333" i="1"/>
  <c r="AQ333" i="1"/>
  <c r="AP333" i="1"/>
  <c r="AO333" i="1"/>
  <c r="AK333" i="1"/>
  <c r="Q333" i="1"/>
  <c r="AV332" i="1"/>
  <c r="AS332" i="1" s="1"/>
  <c r="AU332" i="1"/>
  <c r="AT332" i="1" s="1"/>
  <c r="AR332" i="1"/>
  <c r="AQ332" i="1"/>
  <c r="AP332" i="1"/>
  <c r="AO332" i="1"/>
  <c r="AK332" i="1"/>
  <c r="Q332" i="1"/>
  <c r="AV331" i="1"/>
  <c r="AS331" i="1" s="1"/>
  <c r="AU331" i="1"/>
  <c r="AT331" i="1" s="1"/>
  <c r="AR331" i="1"/>
  <c r="AQ331" i="1"/>
  <c r="AP331" i="1"/>
  <c r="AO331" i="1"/>
  <c r="AK331" i="1"/>
  <c r="Q331" i="1"/>
  <c r="AV330" i="1"/>
  <c r="AS330" i="1" s="1"/>
  <c r="AU330" i="1"/>
  <c r="AT330" i="1" s="1"/>
  <c r="AR330" i="1"/>
  <c r="AQ330" i="1"/>
  <c r="AP330" i="1"/>
  <c r="AO330" i="1"/>
  <c r="AK330" i="1"/>
  <c r="Q330" i="1"/>
  <c r="AV329" i="1"/>
  <c r="AS329" i="1" s="1"/>
  <c r="AU329" i="1"/>
  <c r="AT329" i="1" s="1"/>
  <c r="AR329" i="1"/>
  <c r="AQ329" i="1"/>
  <c r="AP329" i="1"/>
  <c r="AO329" i="1"/>
  <c r="AK329" i="1"/>
  <c r="Q329" i="1"/>
  <c r="AV328" i="1"/>
  <c r="AS328" i="1" s="1"/>
  <c r="AU328" i="1"/>
  <c r="AT328" i="1" s="1"/>
  <c r="AR328" i="1"/>
  <c r="AQ328" i="1"/>
  <c r="AP328" i="1"/>
  <c r="AO328" i="1"/>
  <c r="AK328" i="1"/>
  <c r="Q328" i="1"/>
  <c r="AV327" i="1"/>
  <c r="AS327" i="1" s="1"/>
  <c r="AU327" i="1"/>
  <c r="AT327" i="1" s="1"/>
  <c r="AR327" i="1"/>
  <c r="AQ327" i="1"/>
  <c r="AP327" i="1"/>
  <c r="AO327" i="1"/>
  <c r="AK327" i="1"/>
  <c r="Q327" i="1"/>
  <c r="AV326" i="1"/>
  <c r="AS326" i="1" s="1"/>
  <c r="AU326" i="1"/>
  <c r="AT326" i="1" s="1"/>
  <c r="AR326" i="1"/>
  <c r="AQ326" i="1"/>
  <c r="AP326" i="1"/>
  <c r="AO326" i="1"/>
  <c r="AK326" i="1"/>
  <c r="Q326" i="1"/>
  <c r="AV325" i="1"/>
  <c r="AS325" i="1" s="1"/>
  <c r="AU325" i="1"/>
  <c r="AT325" i="1" s="1"/>
  <c r="AR325" i="1"/>
  <c r="AQ325" i="1"/>
  <c r="AP325" i="1"/>
  <c r="AO325" i="1"/>
  <c r="AK325" i="1"/>
  <c r="Q325" i="1"/>
  <c r="AV324" i="1"/>
  <c r="AS324" i="1" s="1"/>
  <c r="AU324" i="1"/>
  <c r="AT324" i="1" s="1"/>
  <c r="AR324" i="1"/>
  <c r="AQ324" i="1"/>
  <c r="AP324" i="1"/>
  <c r="AO324" i="1"/>
  <c r="AK324" i="1"/>
  <c r="Q324" i="1"/>
  <c r="AV323" i="1"/>
  <c r="AS323" i="1" s="1"/>
  <c r="AU323" i="1"/>
  <c r="AT323" i="1" s="1"/>
  <c r="AR323" i="1"/>
  <c r="AQ323" i="1"/>
  <c r="AP323" i="1"/>
  <c r="AO323" i="1"/>
  <c r="AK323" i="1"/>
  <c r="Q323" i="1"/>
  <c r="AV322" i="1"/>
  <c r="AS322" i="1" s="1"/>
  <c r="AU322" i="1"/>
  <c r="AT322" i="1" s="1"/>
  <c r="AR322" i="1"/>
  <c r="AQ322" i="1"/>
  <c r="AP322" i="1"/>
  <c r="AO322" i="1"/>
  <c r="AK322" i="1"/>
  <c r="Q322" i="1"/>
  <c r="AV321" i="1"/>
  <c r="AS321" i="1" s="1"/>
  <c r="AU321" i="1"/>
  <c r="AT321" i="1" s="1"/>
  <c r="AR321" i="1"/>
  <c r="AQ321" i="1"/>
  <c r="AP321" i="1"/>
  <c r="AO321" i="1"/>
  <c r="AK321" i="1"/>
  <c r="Q321" i="1"/>
  <c r="AV320" i="1"/>
  <c r="AS320" i="1" s="1"/>
  <c r="AU320" i="1"/>
  <c r="AT320" i="1" s="1"/>
  <c r="AR320" i="1"/>
  <c r="AQ320" i="1"/>
  <c r="AP320" i="1"/>
  <c r="AO320" i="1"/>
  <c r="AK320" i="1"/>
  <c r="Q320" i="1"/>
  <c r="AV319" i="1"/>
  <c r="AS319" i="1" s="1"/>
  <c r="AU319" i="1"/>
  <c r="AT319" i="1" s="1"/>
  <c r="AR319" i="1"/>
  <c r="AQ319" i="1"/>
  <c r="AP319" i="1"/>
  <c r="AO319" i="1"/>
  <c r="AK319" i="1"/>
  <c r="Q319" i="1"/>
  <c r="AV318" i="1"/>
  <c r="AS318" i="1" s="1"/>
  <c r="AU318" i="1"/>
  <c r="AT318" i="1" s="1"/>
  <c r="AR318" i="1"/>
  <c r="AQ318" i="1"/>
  <c r="AP318" i="1"/>
  <c r="AO318" i="1"/>
  <c r="AK318" i="1"/>
  <c r="Q318" i="1"/>
  <c r="AV317" i="1"/>
  <c r="AS317" i="1" s="1"/>
  <c r="AU317" i="1"/>
  <c r="AT317" i="1" s="1"/>
  <c r="AR317" i="1"/>
  <c r="AQ317" i="1"/>
  <c r="AP317" i="1"/>
  <c r="AO317" i="1"/>
  <c r="AK317" i="1"/>
  <c r="Q317" i="1"/>
  <c r="AV316" i="1"/>
  <c r="AS316" i="1" s="1"/>
  <c r="AU316" i="1"/>
  <c r="AT316" i="1" s="1"/>
  <c r="AR316" i="1"/>
  <c r="AQ316" i="1"/>
  <c r="AP316" i="1"/>
  <c r="AO316" i="1"/>
  <c r="AK316" i="1"/>
  <c r="Q316" i="1"/>
  <c r="AV315" i="1"/>
  <c r="AS315" i="1" s="1"/>
  <c r="AU315" i="1"/>
  <c r="AT315" i="1" s="1"/>
  <c r="AR315" i="1"/>
  <c r="AQ315" i="1"/>
  <c r="AP315" i="1"/>
  <c r="AO315" i="1"/>
  <c r="AK315" i="1"/>
  <c r="Q315" i="1"/>
  <c r="AV314" i="1"/>
  <c r="AS314" i="1" s="1"/>
  <c r="AU314" i="1"/>
  <c r="AT314" i="1" s="1"/>
  <c r="AR314" i="1"/>
  <c r="AQ314" i="1"/>
  <c r="AP314" i="1"/>
  <c r="AO314" i="1"/>
  <c r="AK314" i="1"/>
  <c r="Q314" i="1"/>
  <c r="AV313" i="1"/>
  <c r="AS313" i="1" s="1"/>
  <c r="AU313" i="1"/>
  <c r="AT313" i="1" s="1"/>
  <c r="AR313" i="1"/>
  <c r="AQ313" i="1"/>
  <c r="AP313" i="1"/>
  <c r="AO313" i="1"/>
  <c r="AK313" i="1"/>
  <c r="Q313" i="1"/>
  <c r="AV312" i="1"/>
  <c r="AS312" i="1" s="1"/>
  <c r="AU312" i="1"/>
  <c r="AT312" i="1" s="1"/>
  <c r="AR312" i="1"/>
  <c r="AQ312" i="1"/>
  <c r="AP312" i="1"/>
  <c r="AO312" i="1"/>
  <c r="AK312" i="1"/>
  <c r="Q312" i="1"/>
  <c r="AV311" i="1"/>
  <c r="AS311" i="1" s="1"/>
  <c r="AU311" i="1"/>
  <c r="AT311" i="1" s="1"/>
  <c r="AR311" i="1"/>
  <c r="AQ311" i="1"/>
  <c r="AP311" i="1"/>
  <c r="AO311" i="1"/>
  <c r="AK311" i="1"/>
  <c r="Q311" i="1"/>
  <c r="AV310" i="1"/>
  <c r="AS310" i="1" s="1"/>
  <c r="AU310" i="1"/>
  <c r="AT310" i="1" s="1"/>
  <c r="AR310" i="1"/>
  <c r="AQ310" i="1"/>
  <c r="AP310" i="1"/>
  <c r="AO310" i="1"/>
  <c r="AK310" i="1"/>
  <c r="Q310" i="1"/>
  <c r="AV309" i="1"/>
  <c r="AS309" i="1" s="1"/>
  <c r="AU309" i="1"/>
  <c r="AT309" i="1" s="1"/>
  <c r="AR309" i="1"/>
  <c r="AQ309" i="1"/>
  <c r="AP309" i="1"/>
  <c r="AO309" i="1"/>
  <c r="AK309" i="1"/>
  <c r="Q309" i="1"/>
  <c r="AV308" i="1"/>
  <c r="AS308" i="1" s="1"/>
  <c r="AU308" i="1"/>
  <c r="AT308" i="1" s="1"/>
  <c r="AR308" i="1"/>
  <c r="AQ308" i="1"/>
  <c r="AP308" i="1"/>
  <c r="AO308" i="1"/>
  <c r="AK308" i="1"/>
  <c r="Q308" i="1"/>
  <c r="AV307" i="1"/>
  <c r="AS307" i="1" s="1"/>
  <c r="AU307" i="1"/>
  <c r="AT307" i="1" s="1"/>
  <c r="AR307" i="1"/>
  <c r="AQ307" i="1"/>
  <c r="AP307" i="1"/>
  <c r="AO307" i="1"/>
  <c r="AK307" i="1"/>
  <c r="Q307" i="1"/>
  <c r="AV306" i="1"/>
  <c r="AS306" i="1" s="1"/>
  <c r="AU306" i="1"/>
  <c r="AT306" i="1" s="1"/>
  <c r="AR306" i="1"/>
  <c r="AQ306" i="1"/>
  <c r="AP306" i="1"/>
  <c r="AO306" i="1"/>
  <c r="AK306" i="1"/>
  <c r="Q306" i="1"/>
  <c r="AV305" i="1"/>
  <c r="AS305" i="1" s="1"/>
  <c r="AU305" i="1"/>
  <c r="AT305" i="1" s="1"/>
  <c r="AR305" i="1"/>
  <c r="AQ305" i="1"/>
  <c r="AP305" i="1"/>
  <c r="AO305" i="1"/>
  <c r="AK305" i="1"/>
  <c r="Q305" i="1"/>
  <c r="AV304" i="1"/>
  <c r="AS304" i="1" s="1"/>
  <c r="AU304" i="1"/>
  <c r="AT304" i="1" s="1"/>
  <c r="AR304" i="1"/>
  <c r="AQ304" i="1"/>
  <c r="AP304" i="1"/>
  <c r="AO304" i="1"/>
  <c r="AK304" i="1"/>
  <c r="Q304" i="1"/>
  <c r="AV303" i="1"/>
  <c r="AS303" i="1" s="1"/>
  <c r="AU303" i="1"/>
  <c r="AT303" i="1" s="1"/>
  <c r="AR303" i="1"/>
  <c r="AQ303" i="1"/>
  <c r="AP303" i="1"/>
  <c r="AO303" i="1"/>
  <c r="AK303" i="1"/>
  <c r="Q303" i="1"/>
  <c r="AV302" i="1"/>
  <c r="AS302" i="1" s="1"/>
  <c r="AU302" i="1"/>
  <c r="AT302" i="1" s="1"/>
  <c r="AR302" i="1"/>
  <c r="AQ302" i="1"/>
  <c r="AP302" i="1"/>
  <c r="AO302" i="1"/>
  <c r="AK302" i="1"/>
  <c r="Q302" i="1"/>
  <c r="AV301" i="1"/>
  <c r="AS301" i="1" s="1"/>
  <c r="AU301" i="1"/>
  <c r="AT301" i="1" s="1"/>
  <c r="AR301" i="1"/>
  <c r="AQ301" i="1"/>
  <c r="AP301" i="1"/>
  <c r="AO301" i="1"/>
  <c r="AK301" i="1"/>
  <c r="Q301" i="1"/>
  <c r="AV300" i="1"/>
  <c r="AS300" i="1" s="1"/>
  <c r="AU300" i="1"/>
  <c r="AT300" i="1" s="1"/>
  <c r="AR300" i="1"/>
  <c r="AQ300" i="1"/>
  <c r="AP300" i="1"/>
  <c r="AO300" i="1"/>
  <c r="AK300" i="1"/>
  <c r="Q300" i="1"/>
  <c r="AU299" i="1"/>
  <c r="AR299" i="1"/>
  <c r="AQ299" i="1"/>
  <c r="AP299" i="1"/>
  <c r="AO299" i="1"/>
  <c r="AK299" i="1"/>
  <c r="Q299" i="1"/>
  <c r="AU298" i="1"/>
  <c r="AR298" i="1"/>
  <c r="AQ298" i="1"/>
  <c r="AP298" i="1"/>
  <c r="AO298" i="1"/>
  <c r="AK298" i="1"/>
  <c r="Q298" i="1"/>
  <c r="AU297" i="1"/>
  <c r="AR297" i="1"/>
  <c r="AQ297" i="1"/>
  <c r="AP297" i="1"/>
  <c r="AO297" i="1"/>
  <c r="AK297" i="1"/>
  <c r="Q297" i="1"/>
  <c r="AU296" i="1"/>
  <c r="AR296" i="1"/>
  <c r="AQ296" i="1"/>
  <c r="AP296" i="1"/>
  <c r="AO296" i="1"/>
  <c r="AK296" i="1"/>
  <c r="Q296" i="1"/>
  <c r="AU295" i="1"/>
  <c r="AR295" i="1"/>
  <c r="AQ295" i="1"/>
  <c r="AP295" i="1"/>
  <c r="AO295" i="1"/>
  <c r="AK295" i="1"/>
  <c r="Q295" i="1"/>
  <c r="AU294" i="1"/>
  <c r="AR294" i="1"/>
  <c r="AQ294" i="1"/>
  <c r="AP294" i="1"/>
  <c r="AO294" i="1"/>
  <c r="AK294" i="1"/>
  <c r="Q294" i="1"/>
  <c r="AU293" i="1"/>
  <c r="AR293" i="1"/>
  <c r="AQ293" i="1"/>
  <c r="AP293" i="1"/>
  <c r="AO293" i="1"/>
  <c r="AK293" i="1"/>
  <c r="Q293" i="1"/>
  <c r="AU292" i="1"/>
  <c r="AR292" i="1"/>
  <c r="AQ292" i="1"/>
  <c r="AP292" i="1"/>
  <c r="AO292" i="1"/>
  <c r="AK292" i="1"/>
  <c r="Q292" i="1"/>
  <c r="AU291" i="1"/>
  <c r="AR291" i="1"/>
  <c r="AQ291" i="1"/>
  <c r="AP291" i="1"/>
  <c r="AO291" i="1"/>
  <c r="AK291" i="1"/>
  <c r="Q291" i="1"/>
  <c r="AU290" i="1"/>
  <c r="AR290" i="1"/>
  <c r="AQ290" i="1"/>
  <c r="AP290" i="1"/>
  <c r="AO290" i="1"/>
  <c r="AK290" i="1"/>
  <c r="Q290" i="1"/>
  <c r="AU289" i="1"/>
  <c r="AR289" i="1"/>
  <c r="AQ289" i="1"/>
  <c r="AP289" i="1"/>
  <c r="AO289" i="1"/>
  <c r="AK289" i="1"/>
  <c r="Q289" i="1"/>
  <c r="AU288" i="1"/>
  <c r="AR288" i="1"/>
  <c r="AQ288" i="1"/>
  <c r="AP288" i="1"/>
  <c r="AO288" i="1"/>
  <c r="AK288" i="1"/>
  <c r="Q288" i="1"/>
  <c r="AU287" i="1"/>
  <c r="AR287" i="1"/>
  <c r="AQ287" i="1"/>
  <c r="AP287" i="1"/>
  <c r="AO287" i="1"/>
  <c r="AK287" i="1"/>
  <c r="Q287" i="1"/>
  <c r="AU286" i="1"/>
  <c r="AR286" i="1"/>
  <c r="AQ286" i="1"/>
  <c r="AP286" i="1"/>
  <c r="AO286" i="1"/>
  <c r="AK286" i="1"/>
  <c r="Q286" i="1"/>
  <c r="AU285" i="1"/>
  <c r="AR285" i="1"/>
  <c r="AQ285" i="1"/>
  <c r="AP285" i="1"/>
  <c r="AO285" i="1"/>
  <c r="AK285" i="1"/>
  <c r="Q285" i="1"/>
  <c r="AU284" i="1"/>
  <c r="AR284" i="1"/>
  <c r="AQ284" i="1"/>
  <c r="AP284" i="1"/>
  <c r="AO284" i="1"/>
  <c r="AK284" i="1"/>
  <c r="Q284" i="1"/>
  <c r="AU283" i="1"/>
  <c r="AR283" i="1"/>
  <c r="AQ283" i="1"/>
  <c r="AP283" i="1"/>
  <c r="AO283" i="1"/>
  <c r="AK283" i="1"/>
  <c r="Q283" i="1"/>
  <c r="AU282" i="1"/>
  <c r="AR282" i="1"/>
  <c r="AQ282" i="1"/>
  <c r="AP282" i="1"/>
  <c r="AO282" i="1"/>
  <c r="AK282" i="1"/>
  <c r="Q282" i="1"/>
  <c r="AU281" i="1"/>
  <c r="AR281" i="1"/>
  <c r="AQ281" i="1"/>
  <c r="AP281" i="1"/>
  <c r="AO281" i="1"/>
  <c r="AK281" i="1"/>
  <c r="Q281" i="1"/>
  <c r="AU280" i="1"/>
  <c r="AR280" i="1"/>
  <c r="AQ280" i="1"/>
  <c r="AP280" i="1"/>
  <c r="AO280" i="1"/>
  <c r="AK280" i="1"/>
  <c r="Q280" i="1"/>
  <c r="AU279" i="1"/>
  <c r="AR279" i="1"/>
  <c r="AQ279" i="1"/>
  <c r="AP279" i="1"/>
  <c r="AO279" i="1"/>
  <c r="AK279" i="1"/>
  <c r="Q279" i="1"/>
  <c r="AU278" i="1"/>
  <c r="AR278" i="1"/>
  <c r="AQ278" i="1"/>
  <c r="AP278" i="1"/>
  <c r="AO278" i="1"/>
  <c r="AK278" i="1"/>
  <c r="Q278" i="1"/>
  <c r="AU277" i="1"/>
  <c r="AR277" i="1"/>
  <c r="AQ277" i="1"/>
  <c r="AP277" i="1"/>
  <c r="AO277" i="1"/>
  <c r="AK277" i="1"/>
  <c r="Q277" i="1"/>
  <c r="AU276" i="1"/>
  <c r="AR276" i="1"/>
  <c r="AQ276" i="1"/>
  <c r="AP276" i="1"/>
  <c r="AO276" i="1"/>
  <c r="AK276" i="1"/>
  <c r="Q276" i="1"/>
  <c r="AU275" i="1"/>
  <c r="AR275" i="1"/>
  <c r="AQ275" i="1"/>
  <c r="AP275" i="1"/>
  <c r="AO275" i="1"/>
  <c r="AK275" i="1"/>
  <c r="Q275" i="1"/>
  <c r="AU274" i="1"/>
  <c r="AR274" i="1"/>
  <c r="AQ274" i="1"/>
  <c r="AP274" i="1"/>
  <c r="AO274" i="1"/>
  <c r="AK274" i="1"/>
  <c r="Q274" i="1"/>
  <c r="AU273" i="1"/>
  <c r="AR273" i="1"/>
  <c r="AQ273" i="1"/>
  <c r="AP273" i="1"/>
  <c r="AO273" i="1"/>
  <c r="AK273" i="1"/>
  <c r="Q273" i="1"/>
  <c r="AU272" i="1"/>
  <c r="AR272" i="1"/>
  <c r="AQ272" i="1"/>
  <c r="AP272" i="1"/>
  <c r="AO272" i="1"/>
  <c r="AK272" i="1"/>
  <c r="Q272" i="1"/>
  <c r="AU271" i="1"/>
  <c r="AR271" i="1"/>
  <c r="AQ271" i="1"/>
  <c r="AP271" i="1"/>
  <c r="AO271" i="1"/>
  <c r="AK271" i="1"/>
  <c r="Q271" i="1"/>
  <c r="AU270" i="1"/>
  <c r="AR270" i="1"/>
  <c r="AQ270" i="1"/>
  <c r="AP270" i="1"/>
  <c r="AO270" i="1"/>
  <c r="AK270" i="1"/>
  <c r="Q270" i="1"/>
  <c r="AU269" i="1"/>
  <c r="AR269" i="1"/>
  <c r="AQ269" i="1"/>
  <c r="AP269" i="1"/>
  <c r="AO269" i="1"/>
  <c r="AK269" i="1"/>
  <c r="Q269" i="1"/>
  <c r="AU268" i="1"/>
  <c r="AR268" i="1"/>
  <c r="AQ268" i="1"/>
  <c r="AP268" i="1"/>
  <c r="AO268" i="1"/>
  <c r="AK268" i="1"/>
  <c r="Q268" i="1"/>
  <c r="AU267" i="1"/>
  <c r="AR267" i="1"/>
  <c r="AQ267" i="1"/>
  <c r="AP267" i="1"/>
  <c r="AO267" i="1"/>
  <c r="AK267" i="1"/>
  <c r="Q267" i="1"/>
  <c r="AU266" i="1"/>
  <c r="AR266" i="1"/>
  <c r="AQ266" i="1"/>
  <c r="AP266" i="1"/>
  <c r="AO266" i="1"/>
  <c r="AK266" i="1"/>
  <c r="Q266" i="1"/>
  <c r="AU265" i="1"/>
  <c r="AR265" i="1"/>
  <c r="AQ265" i="1"/>
  <c r="AP265" i="1"/>
  <c r="AO265" i="1"/>
  <c r="AK265" i="1"/>
  <c r="Q265" i="1"/>
  <c r="AU264" i="1"/>
  <c r="AR264" i="1"/>
  <c r="AQ264" i="1"/>
  <c r="AP264" i="1"/>
  <c r="AO264" i="1"/>
  <c r="AK264" i="1"/>
  <c r="Q264" i="1"/>
  <c r="AU263" i="1"/>
  <c r="AR263" i="1"/>
  <c r="AQ263" i="1"/>
  <c r="AP263" i="1"/>
  <c r="AO263" i="1"/>
  <c r="AK263" i="1"/>
  <c r="Q263" i="1"/>
  <c r="AU262" i="1"/>
  <c r="AR262" i="1"/>
  <c r="AQ262" i="1"/>
  <c r="AP262" i="1"/>
  <c r="AO262" i="1"/>
  <c r="AK262" i="1"/>
  <c r="Q262" i="1"/>
  <c r="AU261" i="1"/>
  <c r="AR261" i="1"/>
  <c r="AQ261" i="1"/>
  <c r="AP261" i="1"/>
  <c r="AO261" i="1"/>
  <c r="AK261" i="1"/>
  <c r="Q261" i="1"/>
  <c r="AU260" i="1"/>
  <c r="AR260" i="1"/>
  <c r="AQ260" i="1"/>
  <c r="AP260" i="1"/>
  <c r="AO260" i="1"/>
  <c r="AK260" i="1"/>
  <c r="Q260" i="1"/>
  <c r="AU259" i="1"/>
  <c r="AR259" i="1"/>
  <c r="AQ259" i="1"/>
  <c r="AP259" i="1"/>
  <c r="AO259" i="1"/>
  <c r="AK259" i="1"/>
  <c r="Q259" i="1"/>
  <c r="AU258" i="1"/>
  <c r="AR258" i="1"/>
  <c r="AQ258" i="1"/>
  <c r="AP258" i="1"/>
  <c r="AO258" i="1"/>
  <c r="AK258" i="1"/>
  <c r="Q258" i="1"/>
  <c r="AU257" i="1"/>
  <c r="AR257" i="1"/>
  <c r="AQ257" i="1"/>
  <c r="AP257" i="1"/>
  <c r="AO257" i="1"/>
  <c r="AK257" i="1"/>
  <c r="Q257" i="1"/>
  <c r="AU256" i="1"/>
  <c r="AR256" i="1"/>
  <c r="AQ256" i="1"/>
  <c r="AP256" i="1"/>
  <c r="AO256" i="1"/>
  <c r="AK256" i="1"/>
  <c r="Q256" i="1"/>
  <c r="AU255" i="1"/>
  <c r="AR255" i="1"/>
  <c r="AQ255" i="1"/>
  <c r="AP255" i="1"/>
  <c r="AO255" i="1"/>
  <c r="AK255" i="1"/>
  <c r="Q255" i="1"/>
  <c r="AU254" i="1"/>
  <c r="AR254" i="1"/>
  <c r="AQ254" i="1"/>
  <c r="AP254" i="1"/>
  <c r="AO254" i="1"/>
  <c r="AK254" i="1"/>
  <c r="Q254" i="1"/>
  <c r="AU253" i="1"/>
  <c r="AR253" i="1"/>
  <c r="AQ253" i="1"/>
  <c r="AP253" i="1"/>
  <c r="AO253" i="1"/>
  <c r="AK253" i="1"/>
  <c r="Q253" i="1"/>
  <c r="AU252" i="1"/>
  <c r="AR252" i="1"/>
  <c r="AQ252" i="1"/>
  <c r="AP252" i="1"/>
  <c r="AO252" i="1"/>
  <c r="AK252" i="1"/>
  <c r="Q252" i="1"/>
  <c r="AU251" i="1"/>
  <c r="AR251" i="1"/>
  <c r="AQ251" i="1"/>
  <c r="AP251" i="1"/>
  <c r="AO251" i="1"/>
  <c r="AK251" i="1"/>
  <c r="Q251" i="1"/>
  <c r="AU250" i="1"/>
  <c r="AR250" i="1"/>
  <c r="AQ250" i="1"/>
  <c r="AP250" i="1"/>
  <c r="AO250" i="1"/>
  <c r="AK250" i="1"/>
  <c r="Q250" i="1"/>
  <c r="AU249" i="1"/>
  <c r="AR249" i="1"/>
  <c r="AQ249" i="1"/>
  <c r="AP249" i="1"/>
  <c r="AO249" i="1"/>
  <c r="AK249" i="1"/>
  <c r="Q249" i="1"/>
  <c r="AU248" i="1"/>
  <c r="AR248" i="1"/>
  <c r="AQ248" i="1"/>
  <c r="AP248" i="1"/>
  <c r="AO248" i="1"/>
  <c r="AK248" i="1"/>
  <c r="Q248" i="1"/>
  <c r="AU247" i="1"/>
  <c r="AR247" i="1"/>
  <c r="AQ247" i="1"/>
  <c r="AP247" i="1"/>
  <c r="AO247" i="1"/>
  <c r="AK247" i="1"/>
  <c r="Q247" i="1"/>
  <c r="AU246" i="1"/>
  <c r="AR246" i="1"/>
  <c r="AQ246" i="1"/>
  <c r="AP246" i="1"/>
  <c r="AO246" i="1"/>
  <c r="AK246" i="1"/>
  <c r="Q246" i="1"/>
  <c r="AU245" i="1"/>
  <c r="AR245" i="1"/>
  <c r="AQ245" i="1"/>
  <c r="AP245" i="1"/>
  <c r="AO245" i="1"/>
  <c r="AK245" i="1"/>
  <c r="Q245" i="1"/>
  <c r="AU244" i="1"/>
  <c r="AR244" i="1"/>
  <c r="AQ244" i="1"/>
  <c r="AP244" i="1"/>
  <c r="AO244" i="1"/>
  <c r="AK244" i="1"/>
  <c r="Q244" i="1"/>
  <c r="AU243" i="1"/>
  <c r="AR243" i="1"/>
  <c r="AQ243" i="1"/>
  <c r="AP243" i="1"/>
  <c r="AO243" i="1"/>
  <c r="AK243" i="1"/>
  <c r="Q243" i="1"/>
  <c r="AU242" i="1"/>
  <c r="AR242" i="1"/>
  <c r="AQ242" i="1"/>
  <c r="AP242" i="1"/>
  <c r="AO242" i="1"/>
  <c r="AK242" i="1"/>
  <c r="Q242" i="1"/>
  <c r="AU241" i="1"/>
  <c r="AR241" i="1"/>
  <c r="AQ241" i="1"/>
  <c r="AP241" i="1"/>
  <c r="AO241" i="1"/>
  <c r="AK241" i="1"/>
  <c r="Q241" i="1"/>
  <c r="AU240" i="1"/>
  <c r="AR240" i="1"/>
  <c r="AQ240" i="1"/>
  <c r="AP240" i="1"/>
  <c r="AO240" i="1"/>
  <c r="AK240" i="1"/>
  <c r="Q240" i="1"/>
  <c r="AU239" i="1"/>
  <c r="AR239" i="1"/>
  <c r="AQ239" i="1"/>
  <c r="AP239" i="1"/>
  <c r="AO239" i="1"/>
  <c r="AK239" i="1"/>
  <c r="Q239" i="1"/>
  <c r="AU238" i="1"/>
  <c r="AR238" i="1"/>
  <c r="AQ238" i="1"/>
  <c r="AP238" i="1"/>
  <c r="AO238" i="1"/>
  <c r="AK238" i="1"/>
  <c r="Q238" i="1"/>
  <c r="AU237" i="1"/>
  <c r="AR237" i="1"/>
  <c r="AQ237" i="1"/>
  <c r="AP237" i="1"/>
  <c r="AO237" i="1"/>
  <c r="AK237" i="1"/>
  <c r="Q237" i="1"/>
  <c r="AU236" i="1"/>
  <c r="AR236" i="1"/>
  <c r="AQ236" i="1"/>
  <c r="AP236" i="1"/>
  <c r="AO236" i="1"/>
  <c r="AK236" i="1"/>
  <c r="Q236" i="1"/>
  <c r="AU235" i="1"/>
  <c r="AR235" i="1"/>
  <c r="AQ235" i="1"/>
  <c r="AP235" i="1"/>
  <c r="AO235" i="1"/>
  <c r="AK235" i="1"/>
  <c r="Q235" i="1"/>
  <c r="AU234" i="1"/>
  <c r="AR234" i="1"/>
  <c r="AQ234" i="1"/>
  <c r="AP234" i="1"/>
  <c r="AO234" i="1"/>
  <c r="AK234" i="1"/>
  <c r="Q234" i="1"/>
  <c r="AU233" i="1"/>
  <c r="AR233" i="1"/>
  <c r="AQ233" i="1"/>
  <c r="AP233" i="1"/>
  <c r="AO233" i="1"/>
  <c r="AK233" i="1"/>
  <c r="Q233" i="1"/>
  <c r="AU232" i="1"/>
  <c r="AR232" i="1"/>
  <c r="AQ232" i="1"/>
  <c r="AP232" i="1"/>
  <c r="AO232" i="1"/>
  <c r="AK232" i="1"/>
  <c r="Q232" i="1"/>
  <c r="AU231" i="1"/>
  <c r="AR231" i="1"/>
  <c r="AQ231" i="1"/>
  <c r="AP231" i="1"/>
  <c r="AO231" i="1"/>
  <c r="AK231" i="1"/>
  <c r="Q231" i="1"/>
  <c r="AU230" i="1"/>
  <c r="AR230" i="1"/>
  <c r="AQ230" i="1"/>
  <c r="AP230" i="1"/>
  <c r="AO230" i="1"/>
  <c r="AK230" i="1"/>
  <c r="Q230" i="1"/>
  <c r="AU229" i="1"/>
  <c r="AR229" i="1"/>
  <c r="AQ229" i="1"/>
  <c r="AP229" i="1"/>
  <c r="AO229" i="1"/>
  <c r="AK229" i="1"/>
  <c r="Q229" i="1"/>
  <c r="AU228" i="1"/>
  <c r="AR228" i="1"/>
  <c r="AQ228" i="1"/>
  <c r="AP228" i="1"/>
  <c r="AO228" i="1"/>
  <c r="AK228" i="1"/>
  <c r="Q228" i="1"/>
  <c r="AU227" i="1"/>
  <c r="AR227" i="1"/>
  <c r="AQ227" i="1"/>
  <c r="AP227" i="1"/>
  <c r="AO227" i="1"/>
  <c r="AK227" i="1"/>
  <c r="Q227" i="1"/>
  <c r="AU226" i="1"/>
  <c r="AR226" i="1"/>
  <c r="AQ226" i="1"/>
  <c r="AP226" i="1"/>
  <c r="AO226" i="1"/>
  <c r="AK226" i="1"/>
  <c r="Q226" i="1"/>
  <c r="AU225" i="1"/>
  <c r="AR225" i="1"/>
  <c r="AQ225" i="1"/>
  <c r="AP225" i="1"/>
  <c r="AO225" i="1"/>
  <c r="AK225" i="1"/>
  <c r="Q225" i="1"/>
  <c r="AU224" i="1"/>
  <c r="AR224" i="1"/>
  <c r="AQ224" i="1"/>
  <c r="AP224" i="1"/>
  <c r="AO224" i="1"/>
  <c r="AK224" i="1"/>
  <c r="Q224" i="1"/>
  <c r="AU223" i="1"/>
  <c r="AR223" i="1"/>
  <c r="AQ223" i="1"/>
  <c r="AP223" i="1"/>
  <c r="AO223" i="1"/>
  <c r="AK223" i="1"/>
  <c r="Q223" i="1"/>
  <c r="AU222" i="1"/>
  <c r="AR222" i="1"/>
  <c r="AQ222" i="1"/>
  <c r="AP222" i="1"/>
  <c r="AO222" i="1"/>
  <c r="AK222" i="1"/>
  <c r="Q222" i="1"/>
  <c r="AU221" i="1"/>
  <c r="AR221" i="1"/>
  <c r="AQ221" i="1"/>
  <c r="AP221" i="1"/>
  <c r="AO221" i="1"/>
  <c r="AK221" i="1"/>
  <c r="Q221" i="1"/>
  <c r="AU220" i="1"/>
  <c r="AR220" i="1"/>
  <c r="AQ220" i="1"/>
  <c r="AP220" i="1"/>
  <c r="AO220" i="1"/>
  <c r="AK220" i="1"/>
  <c r="Q220" i="1"/>
  <c r="AU219" i="1"/>
  <c r="AR219" i="1"/>
  <c r="AQ219" i="1"/>
  <c r="AP219" i="1"/>
  <c r="AO219" i="1"/>
  <c r="AK219" i="1"/>
  <c r="Q219" i="1"/>
  <c r="AU218" i="1"/>
  <c r="AR218" i="1"/>
  <c r="AQ218" i="1"/>
  <c r="AP218" i="1"/>
  <c r="AO218" i="1"/>
  <c r="AK218" i="1"/>
  <c r="Q218" i="1"/>
  <c r="AU217" i="1"/>
  <c r="AR217" i="1"/>
  <c r="AQ217" i="1"/>
  <c r="AP217" i="1"/>
  <c r="AO217" i="1"/>
  <c r="AK217" i="1"/>
  <c r="Q217" i="1"/>
  <c r="AU216" i="1"/>
  <c r="AR216" i="1"/>
  <c r="AQ216" i="1"/>
  <c r="AP216" i="1"/>
  <c r="AO216" i="1"/>
  <c r="AK216" i="1"/>
  <c r="Q216" i="1"/>
  <c r="AU215" i="1"/>
  <c r="AR215" i="1"/>
  <c r="AQ215" i="1"/>
  <c r="AP215" i="1"/>
  <c r="AO215" i="1"/>
  <c r="AK215" i="1"/>
  <c r="Q215" i="1"/>
  <c r="AU214" i="1"/>
  <c r="AR214" i="1"/>
  <c r="AQ214" i="1"/>
  <c r="AP214" i="1"/>
  <c r="AO214" i="1"/>
  <c r="AK214" i="1"/>
  <c r="Q214" i="1"/>
  <c r="AU213" i="1"/>
  <c r="AR213" i="1"/>
  <c r="AQ213" i="1"/>
  <c r="AP213" i="1"/>
  <c r="AO213" i="1"/>
  <c r="AK213" i="1"/>
  <c r="Q213" i="1"/>
  <c r="AU212" i="1"/>
  <c r="AR212" i="1"/>
  <c r="AQ212" i="1"/>
  <c r="AP212" i="1"/>
  <c r="AO212" i="1"/>
  <c r="AK212" i="1"/>
  <c r="Q212" i="1"/>
  <c r="AU211" i="1"/>
  <c r="AR211" i="1"/>
  <c r="AQ211" i="1"/>
  <c r="AP211" i="1"/>
  <c r="AO211" i="1"/>
  <c r="AK211" i="1"/>
  <c r="Q211" i="1"/>
  <c r="AU210" i="1"/>
  <c r="AR210" i="1"/>
  <c r="AQ210" i="1"/>
  <c r="AP210" i="1"/>
  <c r="AO210" i="1"/>
  <c r="AK210" i="1"/>
  <c r="Q210" i="1"/>
  <c r="AU209" i="1"/>
  <c r="AR209" i="1"/>
  <c r="AQ209" i="1"/>
  <c r="AP209" i="1"/>
  <c r="AO209" i="1"/>
  <c r="AK209" i="1"/>
  <c r="Q209" i="1"/>
  <c r="AU208" i="1"/>
  <c r="AR208" i="1"/>
  <c r="AQ208" i="1"/>
  <c r="AP208" i="1"/>
  <c r="AO208" i="1"/>
  <c r="AK208" i="1"/>
  <c r="Q208" i="1"/>
  <c r="AU207" i="1"/>
  <c r="AR207" i="1"/>
  <c r="AQ207" i="1"/>
  <c r="AP207" i="1"/>
  <c r="AO207" i="1"/>
  <c r="AK207" i="1"/>
  <c r="Q207" i="1"/>
  <c r="AU206" i="1"/>
  <c r="AR206" i="1"/>
  <c r="AQ206" i="1"/>
  <c r="AP206" i="1"/>
  <c r="AO206" i="1"/>
  <c r="AK206" i="1"/>
  <c r="Q206" i="1"/>
  <c r="AU205" i="1"/>
  <c r="AR205" i="1"/>
  <c r="AQ205" i="1"/>
  <c r="AP205" i="1"/>
  <c r="AO205" i="1"/>
  <c r="AK205" i="1"/>
  <c r="Q205" i="1"/>
  <c r="AU204" i="1"/>
  <c r="AR204" i="1"/>
  <c r="AQ204" i="1"/>
  <c r="AP204" i="1"/>
  <c r="AO204" i="1"/>
  <c r="AK204" i="1"/>
  <c r="Q204" i="1"/>
  <c r="AU203" i="1"/>
  <c r="AR203" i="1"/>
  <c r="AQ203" i="1"/>
  <c r="AP203" i="1"/>
  <c r="AO203" i="1"/>
  <c r="AK203" i="1"/>
  <c r="Q203" i="1"/>
  <c r="AU202" i="1"/>
  <c r="AR202" i="1"/>
  <c r="AQ202" i="1"/>
  <c r="AP202" i="1"/>
  <c r="AO202" i="1"/>
  <c r="AK202" i="1"/>
  <c r="Q202" i="1"/>
  <c r="AU201" i="1"/>
  <c r="AR201" i="1"/>
  <c r="AQ201" i="1"/>
  <c r="AP201" i="1"/>
  <c r="AO201" i="1"/>
  <c r="AK201" i="1"/>
  <c r="Q201" i="1"/>
  <c r="AU200" i="1"/>
  <c r="AR200" i="1"/>
  <c r="AQ200" i="1"/>
  <c r="AP200" i="1"/>
  <c r="AO200" i="1"/>
  <c r="AK200" i="1"/>
  <c r="Q200" i="1"/>
  <c r="AU199" i="1"/>
  <c r="AR199" i="1"/>
  <c r="AQ199" i="1"/>
  <c r="AP199" i="1"/>
  <c r="AO199" i="1"/>
  <c r="AK199" i="1"/>
  <c r="Q199" i="1"/>
  <c r="AU198" i="1"/>
  <c r="AR198" i="1"/>
  <c r="AQ198" i="1"/>
  <c r="AP198" i="1"/>
  <c r="AO198" i="1"/>
  <c r="AK198" i="1"/>
  <c r="Q198" i="1"/>
  <c r="AU197" i="1"/>
  <c r="AR197" i="1"/>
  <c r="AQ197" i="1"/>
  <c r="AP197" i="1"/>
  <c r="AO197" i="1"/>
  <c r="AK197" i="1"/>
  <c r="Q197" i="1"/>
  <c r="AU196" i="1"/>
  <c r="AR196" i="1"/>
  <c r="AQ196" i="1"/>
  <c r="AP196" i="1"/>
  <c r="AO196" i="1"/>
  <c r="AK196" i="1"/>
  <c r="Q196" i="1"/>
  <c r="AU195" i="1"/>
  <c r="AR195" i="1"/>
  <c r="AQ195" i="1"/>
  <c r="AP195" i="1"/>
  <c r="AO195" i="1"/>
  <c r="AK195" i="1"/>
  <c r="Q195" i="1"/>
  <c r="AU194" i="1"/>
  <c r="AR194" i="1"/>
  <c r="AQ194" i="1"/>
  <c r="AP194" i="1"/>
  <c r="AO194" i="1"/>
  <c r="AK194" i="1"/>
  <c r="Q194" i="1"/>
  <c r="AU193" i="1"/>
  <c r="AR193" i="1"/>
  <c r="AQ193" i="1"/>
  <c r="AP193" i="1"/>
  <c r="AO193" i="1"/>
  <c r="AK193" i="1"/>
  <c r="Q193" i="1"/>
  <c r="AU192" i="1"/>
  <c r="AR192" i="1"/>
  <c r="AQ192" i="1"/>
  <c r="AP192" i="1"/>
  <c r="AO192" i="1"/>
  <c r="AK192" i="1"/>
  <c r="Q192" i="1"/>
  <c r="AU191" i="1"/>
  <c r="AR191" i="1"/>
  <c r="AQ191" i="1"/>
  <c r="AP191" i="1"/>
  <c r="AO191" i="1"/>
  <c r="AK191" i="1"/>
  <c r="Q191" i="1"/>
  <c r="AU190" i="1"/>
  <c r="AR190" i="1"/>
  <c r="AQ190" i="1"/>
  <c r="AP190" i="1"/>
  <c r="AO190" i="1"/>
  <c r="AK190" i="1"/>
  <c r="Q190" i="1"/>
  <c r="AU189" i="1"/>
  <c r="AR189" i="1"/>
  <c r="AQ189" i="1"/>
  <c r="AP189" i="1"/>
  <c r="AO189" i="1"/>
  <c r="AK189" i="1"/>
  <c r="Q189" i="1"/>
  <c r="AU188" i="1"/>
  <c r="AR188" i="1"/>
  <c r="AQ188" i="1"/>
  <c r="AP188" i="1"/>
  <c r="AO188" i="1"/>
  <c r="AK188" i="1"/>
  <c r="Q188" i="1"/>
  <c r="AU187" i="1"/>
  <c r="AR187" i="1"/>
  <c r="AQ187" i="1"/>
  <c r="AP187" i="1"/>
  <c r="AO187" i="1"/>
  <c r="AK187" i="1"/>
  <c r="Q187" i="1"/>
  <c r="AU186" i="1"/>
  <c r="AR186" i="1"/>
  <c r="AQ186" i="1"/>
  <c r="AP186" i="1"/>
  <c r="AO186" i="1"/>
  <c r="AK186" i="1"/>
  <c r="Q186" i="1"/>
  <c r="AU185" i="1"/>
  <c r="AR185" i="1"/>
  <c r="AQ185" i="1"/>
  <c r="AP185" i="1"/>
  <c r="AO185" i="1"/>
  <c r="AK185" i="1"/>
  <c r="Q185" i="1"/>
  <c r="AU184" i="1"/>
  <c r="AR184" i="1"/>
  <c r="AQ184" i="1"/>
  <c r="AP184" i="1"/>
  <c r="AO184" i="1"/>
  <c r="AK184" i="1"/>
  <c r="Q184" i="1"/>
  <c r="AU183" i="1"/>
  <c r="AR183" i="1"/>
  <c r="AQ183" i="1"/>
  <c r="AP183" i="1"/>
  <c r="AO183" i="1"/>
  <c r="AK183" i="1"/>
  <c r="Q183" i="1"/>
  <c r="AU182" i="1"/>
  <c r="AR182" i="1"/>
  <c r="AQ182" i="1"/>
  <c r="AP182" i="1"/>
  <c r="AO182" i="1"/>
  <c r="AK182" i="1"/>
  <c r="Q182" i="1"/>
  <c r="AU181" i="1"/>
  <c r="AR181" i="1"/>
  <c r="AQ181" i="1"/>
  <c r="AP181" i="1"/>
  <c r="AO181" i="1"/>
  <c r="AK181" i="1"/>
  <c r="Q181" i="1"/>
  <c r="AU180" i="1"/>
  <c r="AR180" i="1"/>
  <c r="AQ180" i="1"/>
  <c r="AP180" i="1"/>
  <c r="AO180" i="1"/>
  <c r="AK180" i="1"/>
  <c r="Q180" i="1"/>
  <c r="AU179" i="1"/>
  <c r="AR179" i="1"/>
  <c r="AQ179" i="1"/>
  <c r="AP179" i="1"/>
  <c r="AO179" i="1"/>
  <c r="AK179" i="1"/>
  <c r="Q179" i="1"/>
  <c r="AU178" i="1"/>
  <c r="AR178" i="1"/>
  <c r="AQ178" i="1"/>
  <c r="AP178" i="1"/>
  <c r="AO178" i="1"/>
  <c r="AK178" i="1"/>
  <c r="Q178" i="1"/>
  <c r="AU177" i="1"/>
  <c r="AR177" i="1"/>
  <c r="AQ177" i="1"/>
  <c r="AP177" i="1"/>
  <c r="AO177" i="1"/>
  <c r="AK177" i="1"/>
  <c r="Q177" i="1"/>
  <c r="AU176" i="1"/>
  <c r="AR176" i="1"/>
  <c r="AQ176" i="1"/>
  <c r="AP176" i="1"/>
  <c r="AO176" i="1"/>
  <c r="AK176" i="1"/>
  <c r="Q176" i="1"/>
  <c r="AU175" i="1"/>
  <c r="AR175" i="1"/>
  <c r="AQ175" i="1"/>
  <c r="AP175" i="1"/>
  <c r="AO175" i="1"/>
  <c r="AK175" i="1"/>
  <c r="Q175" i="1"/>
  <c r="AU174" i="1"/>
  <c r="AR174" i="1"/>
  <c r="AQ174" i="1"/>
  <c r="AP174" i="1"/>
  <c r="AO174" i="1"/>
  <c r="AK174" i="1"/>
  <c r="Q174" i="1"/>
  <c r="AU173" i="1"/>
  <c r="AR173" i="1"/>
  <c r="AQ173" i="1"/>
  <c r="AP173" i="1"/>
  <c r="AO173" i="1"/>
  <c r="AK173" i="1"/>
  <c r="Q173" i="1"/>
  <c r="AU172" i="1"/>
  <c r="AR172" i="1"/>
  <c r="AQ172" i="1"/>
  <c r="AP172" i="1"/>
  <c r="AO172" i="1"/>
  <c r="AK172" i="1"/>
  <c r="Q172" i="1"/>
  <c r="AV171" i="1"/>
  <c r="AS171" i="1" s="1"/>
  <c r="AU171" i="1"/>
  <c r="AT171" i="1" s="1"/>
  <c r="AR171" i="1"/>
  <c r="AQ171" i="1"/>
  <c r="AP171" i="1"/>
  <c r="AO171" i="1"/>
  <c r="AK171" i="1"/>
  <c r="Q171" i="1"/>
  <c r="AV170" i="1"/>
  <c r="AS170" i="1" s="1"/>
  <c r="AU170" i="1"/>
  <c r="AT170" i="1" s="1"/>
  <c r="AR170" i="1"/>
  <c r="AQ170" i="1"/>
  <c r="AP170" i="1"/>
  <c r="AO170" i="1"/>
  <c r="AK170" i="1"/>
  <c r="Q170" i="1"/>
  <c r="AR169" i="1"/>
  <c r="AQ169" i="1"/>
  <c r="AP169" i="1"/>
  <c r="AO169" i="1"/>
  <c r="AK169" i="1"/>
  <c r="Q169" i="1"/>
  <c r="AV168" i="1"/>
  <c r="AS168" i="1" s="1"/>
  <c r="AU168" i="1"/>
  <c r="AT168" i="1" s="1"/>
  <c r="AR168" i="1"/>
  <c r="AQ168" i="1"/>
  <c r="AP168" i="1"/>
  <c r="AO168" i="1"/>
  <c r="AK168" i="1"/>
  <c r="Q168" i="1"/>
  <c r="AV167" i="1"/>
  <c r="AS167" i="1" s="1"/>
  <c r="AU167" i="1"/>
  <c r="AT167" i="1" s="1"/>
  <c r="AR167" i="1"/>
  <c r="AQ167" i="1"/>
  <c r="AP167" i="1"/>
  <c r="AO167" i="1"/>
  <c r="AK167" i="1"/>
  <c r="Q167" i="1"/>
  <c r="AR166" i="1"/>
  <c r="AQ166" i="1"/>
  <c r="AP166" i="1"/>
  <c r="AO166" i="1"/>
  <c r="AK166" i="1"/>
  <c r="Q166" i="1"/>
  <c r="AU165" i="1"/>
  <c r="AR165" i="1"/>
  <c r="AQ165" i="1"/>
  <c r="AP165" i="1"/>
  <c r="AO165" i="1"/>
  <c r="AK165" i="1"/>
  <c r="Q165" i="1"/>
  <c r="AR164" i="1"/>
  <c r="AQ164" i="1"/>
  <c r="AP164" i="1"/>
  <c r="AO164" i="1"/>
  <c r="AK164" i="1"/>
  <c r="Q164" i="1"/>
  <c r="AU163" i="1"/>
  <c r="AR163" i="1"/>
  <c r="AQ163" i="1"/>
  <c r="AP163" i="1"/>
  <c r="AO163" i="1"/>
  <c r="AK163" i="1"/>
  <c r="Q163" i="1"/>
  <c r="AU162" i="1"/>
  <c r="AR162" i="1"/>
  <c r="AQ162" i="1"/>
  <c r="AP162" i="1"/>
  <c r="AO162" i="1"/>
  <c r="AK162" i="1"/>
  <c r="Q162" i="1"/>
  <c r="AU161" i="1"/>
  <c r="AR161" i="1"/>
  <c r="AQ161" i="1"/>
  <c r="AP161" i="1"/>
  <c r="AO161" i="1"/>
  <c r="AK161" i="1"/>
  <c r="Q161" i="1"/>
  <c r="AR160" i="1"/>
  <c r="AQ160" i="1"/>
  <c r="AP160" i="1"/>
  <c r="AO160" i="1"/>
  <c r="AK160" i="1"/>
  <c r="Q160" i="1"/>
  <c r="AU159" i="1"/>
  <c r="AR159" i="1"/>
  <c r="AQ159" i="1"/>
  <c r="AP159" i="1"/>
  <c r="AO159" i="1"/>
  <c r="AK159" i="1"/>
  <c r="Q159" i="1"/>
  <c r="AU158" i="1"/>
  <c r="AR158" i="1"/>
  <c r="AQ158" i="1"/>
  <c r="AP158" i="1"/>
  <c r="AO158" i="1"/>
  <c r="AK158" i="1"/>
  <c r="Q158" i="1"/>
  <c r="AU157" i="1"/>
  <c r="AR157" i="1"/>
  <c r="AQ157" i="1"/>
  <c r="AP157" i="1"/>
  <c r="AO157" i="1"/>
  <c r="AK157" i="1"/>
  <c r="Q157" i="1"/>
  <c r="AU156" i="1"/>
  <c r="AR156" i="1"/>
  <c r="AQ156" i="1"/>
  <c r="AP156" i="1"/>
  <c r="AO156" i="1"/>
  <c r="AK156" i="1"/>
  <c r="Q156" i="1"/>
  <c r="AR155" i="1"/>
  <c r="AQ155" i="1"/>
  <c r="AP155" i="1"/>
  <c r="AO155" i="1"/>
  <c r="AK155" i="1"/>
  <c r="Q155" i="1"/>
  <c r="Q154" i="1"/>
  <c r="AU439" i="1"/>
  <c r="AR439" i="1"/>
  <c r="AQ439" i="1"/>
  <c r="AP439" i="1"/>
  <c r="AO439" i="1"/>
  <c r="AK439" i="1"/>
  <c r="Q439" i="1"/>
  <c r="AU438" i="1"/>
  <c r="AR438" i="1"/>
  <c r="AQ438" i="1"/>
  <c r="AP438" i="1"/>
  <c r="AO438" i="1"/>
  <c r="AK438" i="1"/>
  <c r="Q438" i="1"/>
  <c r="AU437" i="1"/>
  <c r="AR437" i="1"/>
  <c r="AQ437" i="1"/>
  <c r="AP437" i="1"/>
  <c r="AO437" i="1"/>
  <c r="AK437" i="1"/>
  <c r="Q437" i="1"/>
  <c r="AU436" i="1"/>
  <c r="AR436" i="1"/>
  <c r="AQ436" i="1"/>
  <c r="AP436" i="1"/>
  <c r="AO436" i="1"/>
  <c r="AK436" i="1"/>
  <c r="Q436" i="1"/>
  <c r="AU435" i="1"/>
  <c r="AR435" i="1"/>
  <c r="AQ435" i="1"/>
  <c r="AP435" i="1"/>
  <c r="AO435" i="1"/>
  <c r="AK435" i="1"/>
  <c r="Q435" i="1"/>
  <c r="AU434" i="1"/>
  <c r="AR434" i="1"/>
  <c r="AQ434" i="1"/>
  <c r="AP434" i="1"/>
  <c r="AO434" i="1"/>
  <c r="AK434" i="1"/>
  <c r="Q434" i="1"/>
  <c r="AU433" i="1"/>
  <c r="AR433" i="1"/>
  <c r="AQ433" i="1"/>
  <c r="AP433" i="1"/>
  <c r="AO433" i="1"/>
  <c r="AK433" i="1"/>
  <c r="Q433" i="1"/>
  <c r="AU432" i="1"/>
  <c r="AR432" i="1"/>
  <c r="AQ432" i="1"/>
  <c r="AP432" i="1"/>
  <c r="AO432" i="1"/>
  <c r="AK432" i="1"/>
  <c r="Q432" i="1"/>
  <c r="AU431" i="1"/>
  <c r="AR431" i="1"/>
  <c r="AQ431" i="1"/>
  <c r="AP431" i="1"/>
  <c r="AO431" i="1"/>
  <c r="AK431" i="1"/>
  <c r="Q431" i="1"/>
  <c r="AU430" i="1"/>
  <c r="AR430" i="1"/>
  <c r="AQ430" i="1"/>
  <c r="AP430" i="1"/>
  <c r="AO430" i="1"/>
  <c r="AK430" i="1"/>
  <c r="Q430" i="1"/>
  <c r="AU429" i="1"/>
  <c r="AR429" i="1"/>
  <c r="AQ429" i="1"/>
  <c r="AP429" i="1"/>
  <c r="AO429" i="1"/>
  <c r="AK429" i="1"/>
  <c r="Q429" i="1"/>
  <c r="AU428" i="1"/>
  <c r="AR428" i="1"/>
  <c r="AQ428" i="1"/>
  <c r="AP428" i="1"/>
  <c r="AO428" i="1"/>
  <c r="AK428" i="1"/>
  <c r="Q428" i="1"/>
  <c r="AU427" i="1"/>
  <c r="AR427" i="1"/>
  <c r="AQ427" i="1"/>
  <c r="AP427" i="1"/>
  <c r="AO427" i="1"/>
  <c r="AK427" i="1"/>
  <c r="Q427" i="1"/>
  <c r="AU426" i="1"/>
  <c r="AR426" i="1"/>
  <c r="AQ426" i="1"/>
  <c r="AP426" i="1"/>
  <c r="AO426" i="1"/>
  <c r="AK426" i="1"/>
  <c r="Q426" i="1"/>
  <c r="AU425" i="1"/>
  <c r="AR425" i="1"/>
  <c r="AQ425" i="1"/>
  <c r="AP425" i="1"/>
  <c r="AO425" i="1"/>
  <c r="AK425" i="1"/>
  <c r="Q425" i="1"/>
  <c r="AU424" i="1"/>
  <c r="AR424" i="1"/>
  <c r="AQ424" i="1"/>
  <c r="AP424" i="1"/>
  <c r="AO424" i="1"/>
  <c r="AK424" i="1"/>
  <c r="Q424" i="1"/>
  <c r="AU423" i="1"/>
  <c r="AR423" i="1"/>
  <c r="AQ423" i="1"/>
  <c r="AP423" i="1"/>
  <c r="AO423" i="1"/>
  <c r="AK423" i="1"/>
  <c r="Q423" i="1"/>
  <c r="AU422" i="1"/>
  <c r="AR422" i="1"/>
  <c r="AQ422" i="1"/>
  <c r="AP422" i="1"/>
  <c r="AO422" i="1"/>
  <c r="AK422" i="1"/>
  <c r="Q422" i="1"/>
  <c r="AU421" i="1"/>
  <c r="AR421" i="1"/>
  <c r="AQ421" i="1"/>
  <c r="AP421" i="1"/>
  <c r="AO421" i="1"/>
  <c r="AK421" i="1"/>
  <c r="Q421" i="1"/>
  <c r="AU420" i="1"/>
  <c r="AR420" i="1"/>
  <c r="AQ420" i="1"/>
  <c r="AP420" i="1"/>
  <c r="AO420" i="1"/>
  <c r="AK420" i="1"/>
  <c r="Q420" i="1"/>
  <c r="AU419" i="1"/>
  <c r="AR419" i="1"/>
  <c r="AQ419" i="1"/>
  <c r="AP419" i="1"/>
  <c r="AO419" i="1"/>
  <c r="AK419" i="1"/>
  <c r="Q419" i="1"/>
  <c r="AU418" i="1"/>
  <c r="AR418" i="1"/>
  <c r="AQ418" i="1"/>
  <c r="AP418" i="1"/>
  <c r="AO418" i="1"/>
  <c r="AK418" i="1"/>
  <c r="Q418" i="1"/>
  <c r="AU417" i="1"/>
  <c r="AR417" i="1"/>
  <c r="AQ417" i="1"/>
  <c r="AP417" i="1"/>
  <c r="AO417" i="1"/>
  <c r="AK417" i="1"/>
  <c r="Q417" i="1"/>
  <c r="AU416" i="1"/>
  <c r="AR416" i="1"/>
  <c r="AQ416" i="1"/>
  <c r="AP416" i="1"/>
  <c r="AO416" i="1"/>
  <c r="AK416" i="1"/>
  <c r="Q416" i="1"/>
  <c r="AU415" i="1"/>
  <c r="AR415" i="1"/>
  <c r="AQ415" i="1"/>
  <c r="AP415" i="1"/>
  <c r="AO415" i="1"/>
  <c r="AK415" i="1"/>
  <c r="Q415" i="1"/>
  <c r="AU414" i="1"/>
  <c r="AR414" i="1"/>
  <c r="AQ414" i="1"/>
  <c r="AP414" i="1"/>
  <c r="AO414" i="1"/>
  <c r="AK414" i="1"/>
  <c r="Q414" i="1"/>
  <c r="AU413" i="1"/>
  <c r="AR413" i="1"/>
  <c r="AQ413" i="1"/>
  <c r="AP413" i="1"/>
  <c r="AO413" i="1"/>
  <c r="AK413" i="1"/>
  <c r="Q413" i="1"/>
  <c r="AU412" i="1"/>
  <c r="AR412" i="1"/>
  <c r="AQ412" i="1"/>
  <c r="AP412" i="1"/>
  <c r="AO412" i="1"/>
  <c r="AK412" i="1"/>
  <c r="Q412" i="1"/>
  <c r="AU411" i="1"/>
  <c r="AR411" i="1"/>
  <c r="AQ411" i="1"/>
  <c r="AP411" i="1"/>
  <c r="AO411" i="1"/>
  <c r="AK411" i="1"/>
  <c r="Q411" i="1"/>
  <c r="AU410" i="1"/>
  <c r="AR410" i="1"/>
  <c r="AQ410" i="1"/>
  <c r="AP410" i="1"/>
  <c r="AO410" i="1"/>
  <c r="AK410" i="1"/>
  <c r="Q410" i="1"/>
  <c r="AU409" i="1"/>
  <c r="AR409" i="1"/>
  <c r="AQ409" i="1"/>
  <c r="AP409" i="1"/>
  <c r="AO409" i="1"/>
  <c r="AK409" i="1"/>
  <c r="Q409" i="1"/>
  <c r="AU408" i="1"/>
  <c r="AR408" i="1"/>
  <c r="AQ408" i="1"/>
  <c r="AP408" i="1"/>
  <c r="AO408" i="1"/>
  <c r="AK408" i="1"/>
  <c r="Q408" i="1"/>
  <c r="AU407" i="1"/>
  <c r="AR407" i="1"/>
  <c r="AQ407" i="1"/>
  <c r="AP407" i="1"/>
  <c r="AO407" i="1"/>
  <c r="AK407" i="1"/>
  <c r="Q407" i="1"/>
  <c r="AU406" i="1"/>
  <c r="AR406" i="1"/>
  <c r="AQ406" i="1"/>
  <c r="AP406" i="1"/>
  <c r="AO406" i="1"/>
  <c r="AK406" i="1"/>
  <c r="Q406" i="1"/>
  <c r="AU405" i="1"/>
  <c r="AR405" i="1"/>
  <c r="AQ405" i="1"/>
  <c r="AP405" i="1"/>
  <c r="AO405" i="1"/>
  <c r="AK405" i="1"/>
  <c r="Q405" i="1"/>
  <c r="AU404" i="1"/>
  <c r="AR404" i="1"/>
  <c r="AQ404" i="1"/>
  <c r="AP404" i="1"/>
  <c r="AO404" i="1"/>
  <c r="AK404" i="1"/>
  <c r="Q404" i="1"/>
  <c r="AU403" i="1"/>
  <c r="AR403" i="1"/>
  <c r="AQ403" i="1"/>
  <c r="AP403" i="1"/>
  <c r="AO403" i="1"/>
  <c r="AK403" i="1"/>
  <c r="Q403" i="1"/>
  <c r="AU402" i="1"/>
  <c r="AR402" i="1"/>
  <c r="AQ402" i="1"/>
  <c r="AP402" i="1"/>
  <c r="AO402" i="1"/>
  <c r="AK402" i="1"/>
  <c r="Q402" i="1"/>
  <c r="AU401" i="1"/>
  <c r="AR401" i="1"/>
  <c r="AQ401" i="1"/>
  <c r="AP401" i="1"/>
  <c r="AO401" i="1"/>
  <c r="AK401" i="1"/>
  <c r="Q401" i="1"/>
  <c r="AU400" i="1"/>
  <c r="AR400" i="1"/>
  <c r="AQ400" i="1"/>
  <c r="AP400" i="1"/>
  <c r="AO400" i="1"/>
  <c r="AK400" i="1"/>
  <c r="Q400" i="1"/>
  <c r="AU399" i="1"/>
  <c r="AR399" i="1"/>
  <c r="AQ399" i="1"/>
  <c r="AP399" i="1"/>
  <c r="AO399" i="1"/>
  <c r="AK399" i="1"/>
  <c r="Q399" i="1"/>
  <c r="AU398" i="1"/>
  <c r="AR398" i="1"/>
  <c r="AQ398" i="1"/>
  <c r="AP398" i="1"/>
  <c r="AO398" i="1"/>
  <c r="AK398" i="1"/>
  <c r="Q398" i="1"/>
  <c r="AU397" i="1"/>
  <c r="AR397" i="1"/>
  <c r="AQ397" i="1"/>
  <c r="AP397" i="1"/>
  <c r="AO397" i="1"/>
  <c r="AK397" i="1"/>
  <c r="Q397" i="1"/>
  <c r="AU396" i="1"/>
  <c r="AR396" i="1"/>
  <c r="AQ396" i="1"/>
  <c r="AP396" i="1"/>
  <c r="AO396" i="1"/>
  <c r="AK396" i="1"/>
  <c r="Q396" i="1"/>
  <c r="AU395" i="1"/>
  <c r="AR395" i="1"/>
  <c r="AQ395" i="1"/>
  <c r="AP395" i="1"/>
  <c r="AO395" i="1"/>
  <c r="AK395" i="1"/>
  <c r="Q395" i="1"/>
  <c r="AU394" i="1"/>
  <c r="AR394" i="1"/>
  <c r="AQ394" i="1"/>
  <c r="AP394" i="1"/>
  <c r="AO394" i="1"/>
  <c r="AK394" i="1"/>
  <c r="Q394" i="1"/>
  <c r="AU393" i="1"/>
  <c r="AR393" i="1"/>
  <c r="AQ393" i="1"/>
  <c r="AP393" i="1"/>
  <c r="AO393" i="1"/>
  <c r="AK393" i="1"/>
  <c r="Q393" i="1"/>
  <c r="AU392" i="1"/>
  <c r="AR392" i="1"/>
  <c r="AQ392" i="1"/>
  <c r="AP392" i="1"/>
  <c r="AO392" i="1"/>
  <c r="AK392" i="1"/>
  <c r="Q392" i="1"/>
  <c r="AU391" i="1"/>
  <c r="AR391" i="1"/>
  <c r="AQ391" i="1"/>
  <c r="AP391" i="1"/>
  <c r="AO391" i="1"/>
  <c r="AK391" i="1"/>
  <c r="Q391" i="1"/>
  <c r="AU390" i="1"/>
  <c r="AR390" i="1"/>
  <c r="AQ390" i="1"/>
  <c r="AP390" i="1"/>
  <c r="AO390" i="1"/>
  <c r="AK390" i="1"/>
  <c r="Q390" i="1"/>
  <c r="AU389" i="1"/>
  <c r="AR389" i="1"/>
  <c r="AQ389" i="1"/>
  <c r="AP389" i="1"/>
  <c r="AO389" i="1"/>
  <c r="AK389" i="1"/>
  <c r="Q389" i="1"/>
  <c r="AU388" i="1"/>
  <c r="AR388" i="1"/>
  <c r="AQ388" i="1"/>
  <c r="AP388" i="1"/>
  <c r="AO388" i="1"/>
  <c r="AK388" i="1"/>
  <c r="Q388" i="1"/>
  <c r="AU387" i="1"/>
  <c r="AR387" i="1"/>
  <c r="AQ387" i="1"/>
  <c r="AP387" i="1"/>
  <c r="AO387" i="1"/>
  <c r="AK387" i="1"/>
  <c r="Q387" i="1"/>
  <c r="AU386" i="1"/>
  <c r="AR386" i="1"/>
  <c r="AQ386" i="1"/>
  <c r="AP386" i="1"/>
  <c r="AO386" i="1"/>
  <c r="AK386" i="1"/>
  <c r="Q386" i="1"/>
  <c r="AU385" i="1"/>
  <c r="AR385" i="1"/>
  <c r="AQ385" i="1"/>
  <c r="AP385" i="1"/>
  <c r="AO385" i="1"/>
  <c r="AK385" i="1"/>
  <c r="Q385" i="1"/>
  <c r="AU384" i="1"/>
  <c r="AR384" i="1"/>
  <c r="AQ384" i="1"/>
  <c r="AP384" i="1"/>
  <c r="AO384" i="1"/>
  <c r="AK384" i="1"/>
  <c r="Q384" i="1"/>
  <c r="AU383" i="1"/>
  <c r="AR383" i="1"/>
  <c r="AQ383" i="1"/>
  <c r="AP383" i="1"/>
  <c r="AO383" i="1"/>
  <c r="AK383" i="1"/>
  <c r="Q383" i="1"/>
  <c r="AU382" i="1"/>
  <c r="AR382" i="1"/>
  <c r="AQ382" i="1"/>
  <c r="AP382" i="1"/>
  <c r="AO382" i="1"/>
  <c r="AK382" i="1"/>
  <c r="Q382" i="1"/>
  <c r="AU381" i="1"/>
  <c r="AR381" i="1"/>
  <c r="AQ381" i="1"/>
  <c r="AP381" i="1"/>
  <c r="AO381" i="1"/>
  <c r="AK381" i="1"/>
  <c r="Q381" i="1"/>
  <c r="AU380" i="1"/>
  <c r="AR380" i="1"/>
  <c r="AQ380" i="1"/>
  <c r="AP380" i="1"/>
  <c r="AO380" i="1"/>
  <c r="AK380" i="1"/>
  <c r="Q380" i="1"/>
  <c r="AU379" i="1"/>
  <c r="AR379" i="1"/>
  <c r="AQ379" i="1"/>
  <c r="AP379" i="1"/>
  <c r="AO379" i="1"/>
  <c r="AK379" i="1"/>
  <c r="Q379" i="1"/>
  <c r="AU378" i="1"/>
  <c r="AR378" i="1"/>
  <c r="AQ378" i="1"/>
  <c r="AP378" i="1"/>
  <c r="AO378" i="1"/>
  <c r="AK378" i="1"/>
  <c r="Q378" i="1"/>
  <c r="AU377" i="1"/>
  <c r="AR377" i="1"/>
  <c r="AQ377" i="1"/>
  <c r="AP377" i="1"/>
  <c r="AO377" i="1"/>
  <c r="AK377" i="1"/>
  <c r="Q377" i="1"/>
  <c r="AU376" i="1"/>
  <c r="AR376" i="1"/>
  <c r="AQ376" i="1"/>
  <c r="AP376" i="1"/>
  <c r="AO376" i="1"/>
  <c r="AK376" i="1"/>
  <c r="Q376" i="1"/>
  <c r="AU375" i="1"/>
  <c r="AR375" i="1"/>
  <c r="AQ375" i="1"/>
  <c r="AP375" i="1"/>
  <c r="AO375" i="1"/>
  <c r="AK375" i="1"/>
  <c r="Q375" i="1"/>
  <c r="AU374" i="1"/>
  <c r="AR374" i="1"/>
  <c r="AQ374" i="1"/>
  <c r="AP374" i="1"/>
  <c r="AO374" i="1"/>
  <c r="AK374" i="1"/>
  <c r="Q374" i="1"/>
  <c r="AU373" i="1"/>
  <c r="AR373" i="1"/>
  <c r="AQ373" i="1"/>
  <c r="AP373" i="1"/>
  <c r="AO373" i="1"/>
  <c r="AK373" i="1"/>
  <c r="Q373" i="1"/>
  <c r="AU372" i="1"/>
  <c r="AR372" i="1"/>
  <c r="AQ372" i="1"/>
  <c r="AP372" i="1"/>
  <c r="AO372" i="1"/>
  <c r="AK372" i="1"/>
  <c r="Q372" i="1"/>
  <c r="AU371" i="1"/>
  <c r="AR371" i="1"/>
  <c r="AQ371" i="1"/>
  <c r="AP371" i="1"/>
  <c r="AO371" i="1"/>
  <c r="AK371" i="1"/>
  <c r="Q371" i="1"/>
  <c r="AU370" i="1"/>
  <c r="AR370" i="1"/>
  <c r="AQ370" i="1"/>
  <c r="AP370" i="1"/>
  <c r="AO370" i="1"/>
  <c r="AK370" i="1"/>
  <c r="Q370" i="1"/>
  <c r="AU369" i="1"/>
  <c r="AR369" i="1"/>
  <c r="AQ369" i="1"/>
  <c r="AP369" i="1"/>
  <c r="AO369" i="1"/>
  <c r="AK369" i="1"/>
  <c r="Q369" i="1"/>
  <c r="AU368" i="1"/>
  <c r="AR368" i="1"/>
  <c r="AQ368" i="1"/>
  <c r="AP368" i="1"/>
  <c r="AO368" i="1"/>
  <c r="AK368" i="1"/>
  <c r="Q368" i="1"/>
  <c r="AU367" i="1"/>
  <c r="AR367" i="1"/>
  <c r="AQ367" i="1"/>
  <c r="AP367" i="1"/>
  <c r="AO367" i="1"/>
  <c r="AK367" i="1"/>
  <c r="Q367" i="1"/>
  <c r="AU366" i="1"/>
  <c r="AR366" i="1"/>
  <c r="AQ366" i="1"/>
  <c r="AP366" i="1"/>
  <c r="AO366" i="1"/>
  <c r="AK366" i="1"/>
  <c r="Q366" i="1"/>
  <c r="AU365" i="1"/>
  <c r="AR365" i="1"/>
  <c r="AQ365" i="1"/>
  <c r="AP365" i="1"/>
  <c r="AO365" i="1"/>
  <c r="AK365" i="1"/>
  <c r="Q365" i="1"/>
  <c r="AU364" i="1"/>
  <c r="AR364" i="1"/>
  <c r="AQ364" i="1"/>
  <c r="AP364" i="1"/>
  <c r="AO364" i="1"/>
  <c r="AK364" i="1"/>
  <c r="Q364" i="1"/>
  <c r="AU363" i="1"/>
  <c r="AR363" i="1"/>
  <c r="AQ363" i="1"/>
  <c r="AP363" i="1"/>
  <c r="AO363" i="1"/>
  <c r="AK363" i="1"/>
  <c r="Q363" i="1"/>
  <c r="AU362" i="1"/>
  <c r="AR362" i="1"/>
  <c r="AQ362" i="1"/>
  <c r="AP362" i="1"/>
  <c r="AO362" i="1"/>
  <c r="AK362" i="1"/>
  <c r="Q362" i="1"/>
  <c r="AU361" i="1"/>
  <c r="AR361" i="1"/>
  <c r="AQ361" i="1"/>
  <c r="AP361" i="1"/>
  <c r="AO361" i="1"/>
  <c r="AK361" i="1"/>
  <c r="Q361" i="1"/>
  <c r="AU360" i="1"/>
  <c r="AR360" i="1"/>
  <c r="AQ360" i="1"/>
  <c r="AP360" i="1"/>
  <c r="AO360" i="1"/>
  <c r="AK360" i="1"/>
  <c r="Q360" i="1"/>
  <c r="AU359" i="1"/>
  <c r="AR359" i="1"/>
  <c r="AQ359" i="1"/>
  <c r="AP359" i="1"/>
  <c r="AO359" i="1"/>
  <c r="AK359" i="1"/>
  <c r="Q359" i="1"/>
  <c r="AU358" i="1"/>
  <c r="AR358" i="1"/>
  <c r="AQ358" i="1"/>
  <c r="AP358" i="1"/>
  <c r="AO358" i="1"/>
  <c r="AK358" i="1"/>
  <c r="Q358" i="1"/>
  <c r="AU357" i="1"/>
  <c r="AR357" i="1"/>
  <c r="AQ357" i="1"/>
  <c r="AP357" i="1"/>
  <c r="AO357" i="1"/>
  <c r="AK357" i="1"/>
  <c r="Q357" i="1"/>
  <c r="AU356" i="1"/>
  <c r="AR356" i="1"/>
  <c r="AQ356" i="1"/>
  <c r="AP356" i="1"/>
  <c r="AO356" i="1"/>
  <c r="AK356" i="1"/>
  <c r="Q356" i="1"/>
  <c r="AU355" i="1"/>
  <c r="AR355" i="1"/>
  <c r="AQ355" i="1"/>
  <c r="AP355" i="1"/>
  <c r="AO355" i="1"/>
  <c r="AK355" i="1"/>
  <c r="Q355" i="1"/>
  <c r="AU354" i="1"/>
  <c r="AR354" i="1"/>
  <c r="AQ354" i="1"/>
  <c r="AP354" i="1"/>
  <c r="AO354" i="1"/>
  <c r="AK354" i="1"/>
  <c r="Q354" i="1"/>
  <c r="AR27" i="1"/>
  <c r="AQ27" i="1"/>
  <c r="AP27" i="1"/>
  <c r="AO27" i="1"/>
  <c r="AK27" i="1"/>
  <c r="Q27" i="1"/>
  <c r="S27" i="1"/>
  <c r="AR26" i="1"/>
  <c r="AQ26" i="1"/>
  <c r="AP26" i="1"/>
  <c r="AO26" i="1"/>
  <c r="AK26" i="1"/>
  <c r="Q26" i="1"/>
  <c r="S26" i="1"/>
  <c r="AV25" i="1"/>
  <c r="AS25" i="1" s="1"/>
  <c r="AU25" i="1"/>
  <c r="AT25" i="1" s="1"/>
  <c r="AR25" i="1"/>
  <c r="AQ25" i="1"/>
  <c r="AP25" i="1"/>
  <c r="AO25" i="1"/>
  <c r="AK25" i="1"/>
  <c r="Q25" i="1"/>
  <c r="S25" i="1"/>
  <c r="AV24" i="1"/>
  <c r="AS24" i="1" s="1"/>
  <c r="AU24" i="1"/>
  <c r="AT24" i="1" s="1"/>
  <c r="AR24" i="1"/>
  <c r="AQ24" i="1"/>
  <c r="AP24" i="1"/>
  <c r="AO24" i="1"/>
  <c r="AK24" i="1"/>
  <c r="Q24" i="1"/>
  <c r="S24" i="1"/>
  <c r="AR23" i="1"/>
  <c r="AQ23" i="1"/>
  <c r="AP23" i="1"/>
  <c r="AO23" i="1"/>
  <c r="AK23" i="1"/>
  <c r="Q23" i="1"/>
  <c r="S23" i="1"/>
  <c r="AR22" i="1"/>
  <c r="AQ22" i="1"/>
  <c r="AP22" i="1"/>
  <c r="AO22" i="1"/>
  <c r="AK22" i="1"/>
  <c r="Q22" i="1"/>
  <c r="S22" i="1"/>
  <c r="AR21" i="1"/>
  <c r="AQ21" i="1"/>
  <c r="AP21" i="1"/>
  <c r="AO21" i="1"/>
  <c r="AK21" i="1"/>
  <c r="Q21" i="1"/>
  <c r="S21" i="1"/>
  <c r="AR20" i="1"/>
  <c r="AQ20" i="1"/>
  <c r="AP20" i="1"/>
  <c r="AO20" i="1"/>
  <c r="AK20" i="1"/>
  <c r="Q20" i="1"/>
  <c r="S20" i="1"/>
  <c r="AR19" i="1"/>
  <c r="AQ19" i="1"/>
  <c r="AP19" i="1"/>
  <c r="AO19" i="1"/>
  <c r="AK19" i="1"/>
  <c r="Q19" i="1"/>
  <c r="S19" i="1"/>
  <c r="AR18" i="1"/>
  <c r="AQ18" i="1"/>
  <c r="AP18" i="1"/>
  <c r="AO18" i="1"/>
  <c r="AK18" i="1"/>
  <c r="Q18" i="1"/>
  <c r="S18" i="1"/>
  <c r="AR17" i="1"/>
  <c r="AQ17" i="1"/>
  <c r="AP17" i="1"/>
  <c r="AO17" i="1"/>
  <c r="AK17" i="1"/>
  <c r="Q17" i="1"/>
  <c r="S17" i="1"/>
  <c r="AR16" i="1"/>
  <c r="AQ16" i="1"/>
  <c r="AP16" i="1"/>
  <c r="AO16" i="1"/>
  <c r="AK16" i="1"/>
  <c r="Q16" i="1"/>
  <c r="S16" i="1"/>
  <c r="AR15" i="1"/>
  <c r="AQ15" i="1"/>
  <c r="AP15" i="1"/>
  <c r="AO15" i="1"/>
  <c r="AK15" i="1"/>
  <c r="Q15" i="1"/>
  <c r="S15" i="1"/>
  <c r="AR14" i="1"/>
  <c r="AQ14" i="1"/>
  <c r="AP14" i="1"/>
  <c r="AO14" i="1"/>
  <c r="AK14" i="1"/>
  <c r="Q14" i="1"/>
  <c r="S14" i="1"/>
  <c r="AR13" i="1"/>
  <c r="AQ13" i="1"/>
  <c r="AP13" i="1"/>
  <c r="AO13" i="1"/>
  <c r="AK13" i="1"/>
  <c r="Q13" i="1"/>
  <c r="S13" i="1"/>
  <c r="AR12" i="1"/>
  <c r="AQ12" i="1"/>
  <c r="AP12" i="1"/>
  <c r="AO12" i="1"/>
  <c r="AK12" i="1"/>
  <c r="Q12" i="1"/>
  <c r="S12" i="1"/>
  <c r="AR11" i="1"/>
  <c r="AQ11" i="1"/>
  <c r="AP11" i="1"/>
  <c r="AO11" i="1"/>
  <c r="AK11" i="1"/>
  <c r="Q11" i="1"/>
  <c r="S11" i="1"/>
  <c r="AR10" i="1"/>
  <c r="AQ10" i="1"/>
  <c r="AP10" i="1"/>
  <c r="AO10" i="1"/>
  <c r="AK10" i="1"/>
  <c r="Q10" i="1"/>
  <c r="S10" i="1"/>
  <c r="AV9" i="1"/>
  <c r="AS9" i="1" s="1"/>
  <c r="AU9" i="1"/>
  <c r="AT9" i="1" s="1"/>
  <c r="AR9" i="1"/>
  <c r="AQ9" i="1"/>
  <c r="AP9" i="1"/>
  <c r="AO9" i="1"/>
  <c r="AK9" i="1"/>
  <c r="Q9" i="1"/>
  <c r="S9" i="1"/>
  <c r="AV8" i="1"/>
  <c r="AS8" i="1" s="1"/>
  <c r="AU8" i="1"/>
  <c r="AT8" i="1" s="1"/>
  <c r="AR8" i="1"/>
  <c r="AQ8" i="1"/>
  <c r="AP8" i="1"/>
  <c r="AO8" i="1"/>
  <c r="AK8" i="1"/>
  <c r="Q8" i="1"/>
  <c r="S8" i="1"/>
  <c r="AR7" i="1"/>
  <c r="AQ7" i="1"/>
  <c r="AP7" i="1"/>
  <c r="AO7" i="1"/>
  <c r="AK7" i="1"/>
  <c r="Q7" i="1"/>
  <c r="S7" i="1"/>
  <c r="AR6" i="1"/>
  <c r="AQ6" i="1"/>
  <c r="AP6" i="1"/>
  <c r="AO6" i="1"/>
  <c r="AK6" i="1"/>
  <c r="Q6" i="1"/>
  <c r="H6" i="1"/>
  <c r="S6" i="1" s="1"/>
  <c r="AR5" i="1"/>
  <c r="AQ5" i="1"/>
  <c r="AP5" i="1"/>
  <c r="AO5" i="1"/>
  <c r="AK5" i="1"/>
  <c r="Q5" i="1"/>
  <c r="H5" i="1"/>
  <c r="S5" i="1" s="1"/>
  <c r="AR4" i="1"/>
  <c r="AQ4" i="1"/>
  <c r="AP4" i="1"/>
  <c r="AO4" i="1"/>
  <c r="AK4" i="1"/>
  <c r="Q4" i="1"/>
  <c r="H4" i="1"/>
  <c r="S4" i="1" s="1"/>
  <c r="AR3" i="1"/>
  <c r="AQ3" i="1"/>
  <c r="AP3" i="1"/>
  <c r="AO3" i="1"/>
  <c r="AK3" i="1"/>
  <c r="Q3" i="1"/>
  <c r="H3" i="1"/>
  <c r="S3" i="1" s="1"/>
  <c r="AR2" i="1"/>
  <c r="Q2" i="1"/>
  <c r="H2" i="1"/>
  <c r="AT115" i="1" l="1"/>
  <c r="S115" i="1"/>
  <c r="T115" i="1" s="1"/>
  <c r="AV115" i="1"/>
  <c r="AS115" i="1" s="1"/>
  <c r="AT80" i="1"/>
  <c r="S80" i="1"/>
  <c r="T80" i="1" s="1"/>
  <c r="AV80" i="1"/>
  <c r="AS80" i="1" s="1"/>
  <c r="AT35" i="1"/>
  <c r="S35" i="1"/>
  <c r="T35" i="1" s="1"/>
  <c r="AV35" i="1"/>
  <c r="AS35" i="1" s="1"/>
  <c r="AT81" i="1"/>
  <c r="AS53" i="1"/>
  <c r="AS54" i="1"/>
  <c r="AU106" i="1"/>
  <c r="AT106" i="1" s="1"/>
  <c r="AV106" i="1"/>
  <c r="AS106" i="1" s="1"/>
  <c r="AU105" i="1"/>
  <c r="AT105" i="1" s="1"/>
  <c r="AV105" i="1"/>
  <c r="AS105" i="1" s="1"/>
  <c r="AU102" i="1"/>
  <c r="AT102" i="1" s="1"/>
  <c r="AV102" i="1"/>
  <c r="AS102" i="1" s="1"/>
  <c r="AU101" i="1"/>
  <c r="AT101" i="1" s="1"/>
  <c r="AV101" i="1"/>
  <c r="AS101" i="1" s="1"/>
  <c r="AV79" i="1"/>
  <c r="AS79" i="1" s="1"/>
  <c r="AU79" i="1"/>
  <c r="AT79" i="1" s="1"/>
  <c r="AU78" i="1"/>
  <c r="AT78" i="1" s="1"/>
  <c r="AV78" i="1"/>
  <c r="AS78" i="1" s="1"/>
  <c r="AU77" i="1"/>
  <c r="AT77" i="1" s="1"/>
  <c r="AV77" i="1"/>
  <c r="AS77" i="1" s="1"/>
  <c r="AU75" i="1"/>
  <c r="AT75" i="1" s="1"/>
  <c r="AV75" i="1"/>
  <c r="AS75" i="1" s="1"/>
  <c r="AV49" i="1"/>
  <c r="AS49" i="1" s="1"/>
  <c r="AU49" i="1"/>
  <c r="AT49" i="1" s="1"/>
  <c r="AV45" i="1"/>
  <c r="AS45" i="1" s="1"/>
  <c r="AU45" i="1"/>
  <c r="AT45" i="1" s="1"/>
  <c r="AU44" i="1"/>
  <c r="AT44" i="1" s="1"/>
  <c r="AV44" i="1"/>
  <c r="AS44" i="1" s="1"/>
  <c r="AV43" i="1"/>
  <c r="AS43" i="1" s="1"/>
  <c r="AU43" i="1"/>
  <c r="AT43" i="1" s="1"/>
  <c r="AV42" i="1"/>
  <c r="AS42" i="1" s="1"/>
  <c r="AU42" i="1"/>
  <c r="AT42" i="1" s="1"/>
  <c r="AV40" i="1"/>
  <c r="AS40" i="1" s="1"/>
  <c r="AU40" i="1"/>
  <c r="AT40" i="1" s="1"/>
  <c r="S37" i="1"/>
  <c r="T37" i="1" s="1"/>
  <c r="AV37" i="1"/>
  <c r="AS37" i="1" s="1"/>
  <c r="AU37" i="1"/>
  <c r="AT37" i="1" s="1"/>
  <c r="R68" i="1"/>
  <c r="S68" i="1"/>
  <c r="T68" i="1" s="1"/>
  <c r="Z68" i="1"/>
  <c r="AI68" i="1" s="1"/>
  <c r="S69" i="1"/>
  <c r="T69" i="1" s="1"/>
  <c r="R69" i="1"/>
  <c r="Z69" i="1"/>
  <c r="AI69" i="1" s="1"/>
  <c r="S70" i="1"/>
  <c r="T70" i="1" s="1"/>
  <c r="Z70" i="1"/>
  <c r="AI70" i="1" s="1"/>
  <c r="R70" i="1"/>
  <c r="S127" i="1"/>
  <c r="T127" i="1" s="1"/>
  <c r="R127" i="1"/>
  <c r="Z127" i="1"/>
  <c r="AI127" i="1" s="1"/>
  <c r="S126" i="1"/>
  <c r="T126" i="1" s="1"/>
  <c r="R126" i="1"/>
  <c r="Z126" i="1"/>
  <c r="AI126" i="1" s="1"/>
  <c r="S125" i="1"/>
  <c r="T125" i="1" s="1"/>
  <c r="Z125" i="1"/>
  <c r="AI125" i="1" s="1"/>
  <c r="R125" i="1"/>
  <c r="Z124" i="1"/>
  <c r="AI124" i="1" s="1"/>
  <c r="S124" i="1"/>
  <c r="T124" i="1" s="1"/>
  <c r="R124" i="1"/>
  <c r="S123" i="1"/>
  <c r="T123" i="1" s="1"/>
  <c r="R123" i="1"/>
  <c r="Z123" i="1"/>
  <c r="AI123" i="1" s="1"/>
  <c r="Z122" i="1"/>
  <c r="AI122" i="1" s="1"/>
  <c r="S122" i="1"/>
  <c r="T122" i="1" s="1"/>
  <c r="R122" i="1"/>
  <c r="S121" i="1"/>
  <c r="T121" i="1" s="1"/>
  <c r="R121" i="1"/>
  <c r="Z121" i="1"/>
  <c r="AI121" i="1" s="1"/>
  <c r="S120" i="1"/>
  <c r="T120" i="1" s="1"/>
  <c r="R120" i="1"/>
  <c r="Z120" i="1"/>
  <c r="AI120" i="1" s="1"/>
  <c r="R119" i="1"/>
  <c r="Z119" i="1"/>
  <c r="AI119" i="1" s="1"/>
  <c r="S119" i="1"/>
  <c r="T119" i="1" s="1"/>
  <c r="R118" i="1"/>
  <c r="S118" i="1"/>
  <c r="T118" i="1" s="1"/>
  <c r="Z118" i="1"/>
  <c r="AI118" i="1" s="1"/>
  <c r="S117" i="1"/>
  <c r="T117" i="1" s="1"/>
  <c r="R117" i="1"/>
  <c r="Z117" i="1"/>
  <c r="AI117" i="1" s="1"/>
  <c r="Z116" i="1"/>
  <c r="AI116" i="1" s="1"/>
  <c r="R116" i="1"/>
  <c r="S116" i="1"/>
  <c r="T116" i="1" s="1"/>
  <c r="R114" i="1"/>
  <c r="S114" i="1"/>
  <c r="T114" i="1" s="1"/>
  <c r="Z114" i="1"/>
  <c r="AI114" i="1" s="1"/>
  <c r="S113" i="1"/>
  <c r="T113" i="1" s="1"/>
  <c r="R113" i="1"/>
  <c r="Z113" i="1"/>
  <c r="AI113" i="1" s="1"/>
  <c r="Z112" i="1"/>
  <c r="AI112" i="1" s="1"/>
  <c r="S112" i="1"/>
  <c r="T112" i="1" s="1"/>
  <c r="R112" i="1"/>
  <c r="R111" i="1"/>
  <c r="S111" i="1"/>
  <c r="T111" i="1" s="1"/>
  <c r="Z111" i="1"/>
  <c r="AI111" i="1" s="1"/>
  <c r="Z110" i="1"/>
  <c r="AI110" i="1" s="1"/>
  <c r="R110" i="1"/>
  <c r="S110" i="1"/>
  <c r="T110" i="1" s="1"/>
  <c r="Z109" i="1"/>
  <c r="AI109" i="1" s="1"/>
  <c r="S109" i="1"/>
  <c r="T109" i="1" s="1"/>
  <c r="R109" i="1"/>
  <c r="S108" i="1"/>
  <c r="T108" i="1" s="1"/>
  <c r="R108" i="1"/>
  <c r="Z108" i="1"/>
  <c r="AI108" i="1" s="1"/>
  <c r="S107" i="1"/>
  <c r="T107" i="1" s="1"/>
  <c r="Z107" i="1"/>
  <c r="AI107" i="1" s="1"/>
  <c r="R107" i="1"/>
  <c r="Z106" i="1"/>
  <c r="AI106" i="1" s="1"/>
  <c r="S106" i="1"/>
  <c r="T106" i="1" s="1"/>
  <c r="R106" i="1"/>
  <c r="Z105" i="1"/>
  <c r="AI105" i="1" s="1"/>
  <c r="S105" i="1"/>
  <c r="T105" i="1" s="1"/>
  <c r="R105" i="1"/>
  <c r="Z104" i="1"/>
  <c r="AI104" i="1" s="1"/>
  <c r="R104" i="1"/>
  <c r="S104" i="1"/>
  <c r="T104" i="1" s="1"/>
  <c r="R103" i="1"/>
  <c r="S103" i="1"/>
  <c r="T103" i="1" s="1"/>
  <c r="Z103" i="1"/>
  <c r="AI103" i="1" s="1"/>
  <c r="Z102" i="1"/>
  <c r="AI102" i="1" s="1"/>
  <c r="R102" i="1"/>
  <c r="S102" i="1"/>
  <c r="T102" i="1" s="1"/>
  <c r="S101" i="1"/>
  <c r="T101" i="1" s="1"/>
  <c r="R101" i="1"/>
  <c r="Z101" i="1"/>
  <c r="AI101" i="1" s="1"/>
  <c r="Z100" i="1"/>
  <c r="AI100" i="1" s="1"/>
  <c r="S100" i="1"/>
  <c r="T100" i="1" s="1"/>
  <c r="R100" i="1"/>
  <c r="S99" i="1"/>
  <c r="T99" i="1" s="1"/>
  <c r="R99" i="1"/>
  <c r="Z99" i="1"/>
  <c r="AI99" i="1" s="1"/>
  <c r="Z98" i="1"/>
  <c r="AI98" i="1" s="1"/>
  <c r="S98" i="1"/>
  <c r="T98" i="1" s="1"/>
  <c r="R98" i="1"/>
  <c r="R97" i="1"/>
  <c r="S97" i="1"/>
  <c r="T97" i="1" s="1"/>
  <c r="Z97" i="1"/>
  <c r="AI97" i="1" s="1"/>
  <c r="Z96" i="1"/>
  <c r="AI96" i="1" s="1"/>
  <c r="R96" i="1"/>
  <c r="S96" i="1"/>
  <c r="T96" i="1" s="1"/>
  <c r="R95" i="1"/>
  <c r="Z95" i="1"/>
  <c r="AI95" i="1" s="1"/>
  <c r="S95" i="1"/>
  <c r="T95" i="1" s="1"/>
  <c r="AV94" i="1"/>
  <c r="AS94" i="1" s="1"/>
  <c r="Z94" i="1"/>
  <c r="AI94" i="1" s="1"/>
  <c r="R94" i="1"/>
  <c r="S94" i="1"/>
  <c r="T94" i="1" s="1"/>
  <c r="S93" i="1"/>
  <c r="T93" i="1" s="1"/>
  <c r="Z93" i="1"/>
  <c r="AI93" i="1" s="1"/>
  <c r="R93" i="1"/>
  <c r="R92" i="1"/>
  <c r="S92" i="1"/>
  <c r="T92" i="1" s="1"/>
  <c r="Z92" i="1"/>
  <c r="AI92" i="1" s="1"/>
  <c r="R91" i="1"/>
  <c r="Z91" i="1"/>
  <c r="AI91" i="1" s="1"/>
  <c r="S91" i="1"/>
  <c r="T91" i="1" s="1"/>
  <c r="R90" i="1"/>
  <c r="S90" i="1"/>
  <c r="T90" i="1" s="1"/>
  <c r="Z90" i="1"/>
  <c r="AI90" i="1" s="1"/>
  <c r="S89" i="1"/>
  <c r="T89" i="1" s="1"/>
  <c r="Z89" i="1"/>
  <c r="AI89" i="1" s="1"/>
  <c r="R89" i="1"/>
  <c r="R88" i="1"/>
  <c r="S88" i="1"/>
  <c r="T88" i="1" s="1"/>
  <c r="Z88" i="1"/>
  <c r="AI88" i="1" s="1"/>
  <c r="R87" i="1"/>
  <c r="Z87" i="1"/>
  <c r="AI87" i="1" s="1"/>
  <c r="S87" i="1"/>
  <c r="T87" i="1" s="1"/>
  <c r="Z86" i="1"/>
  <c r="AI86" i="1" s="1"/>
  <c r="R86" i="1"/>
  <c r="S86" i="1"/>
  <c r="T86" i="1" s="1"/>
  <c r="Z85" i="1"/>
  <c r="AI85" i="1" s="1"/>
  <c r="S85" i="1"/>
  <c r="T85" i="1" s="1"/>
  <c r="R85" i="1"/>
  <c r="Z84" i="1"/>
  <c r="AI84" i="1" s="1"/>
  <c r="R84" i="1"/>
  <c r="S84" i="1"/>
  <c r="T84" i="1" s="1"/>
  <c r="Z83" i="1"/>
  <c r="AI83" i="1" s="1"/>
  <c r="S83" i="1"/>
  <c r="T83" i="1" s="1"/>
  <c r="R83" i="1"/>
  <c r="R82" i="1"/>
  <c r="Z82" i="1"/>
  <c r="AI82" i="1" s="1"/>
  <c r="S82" i="1"/>
  <c r="T82" i="1" s="1"/>
  <c r="Z81" i="1"/>
  <c r="AI81" i="1" s="1"/>
  <c r="S81" i="1"/>
  <c r="T81" i="1" s="1"/>
  <c r="R81" i="1"/>
  <c r="Z79" i="1"/>
  <c r="AI79" i="1" s="1"/>
  <c r="R79" i="1"/>
  <c r="S79" i="1"/>
  <c r="T79" i="1" s="1"/>
  <c r="R78" i="1"/>
  <c r="S78" i="1"/>
  <c r="T78" i="1" s="1"/>
  <c r="Z78" i="1"/>
  <c r="AI78" i="1" s="1"/>
  <c r="R77" i="1"/>
  <c r="Z77" i="1"/>
  <c r="AI77" i="1" s="1"/>
  <c r="S77" i="1"/>
  <c r="T77" i="1" s="1"/>
  <c r="R76" i="1"/>
  <c r="Z76" i="1"/>
  <c r="AI76" i="1" s="1"/>
  <c r="S76" i="1"/>
  <c r="T76" i="1" s="1"/>
  <c r="Z75" i="1"/>
  <c r="AI75" i="1" s="1"/>
  <c r="R75" i="1"/>
  <c r="S75" i="1"/>
  <c r="T75" i="1" s="1"/>
  <c r="Z74" i="1"/>
  <c r="AI74" i="1" s="1"/>
  <c r="R74" i="1"/>
  <c r="S74" i="1"/>
  <c r="T74" i="1" s="1"/>
  <c r="Z73" i="1"/>
  <c r="AI73" i="1" s="1"/>
  <c r="R73" i="1"/>
  <c r="S73" i="1"/>
  <c r="T73" i="1" s="1"/>
  <c r="Z71" i="1"/>
  <c r="AI71" i="1" s="1"/>
  <c r="R71" i="1"/>
  <c r="S71" i="1"/>
  <c r="T71" i="1" s="1"/>
  <c r="Z67" i="1"/>
  <c r="AI67" i="1" s="1"/>
  <c r="S67" i="1"/>
  <c r="T67" i="1" s="1"/>
  <c r="R67" i="1"/>
  <c r="R66" i="1"/>
  <c r="S66" i="1"/>
  <c r="T66" i="1" s="1"/>
  <c r="Z66" i="1"/>
  <c r="AI66" i="1" s="1"/>
  <c r="S65" i="1"/>
  <c r="T65" i="1" s="1"/>
  <c r="R65" i="1"/>
  <c r="Z65" i="1"/>
  <c r="AI65" i="1" s="1"/>
  <c r="R64" i="1"/>
  <c r="S64" i="1"/>
  <c r="T64" i="1" s="1"/>
  <c r="Z64" i="1"/>
  <c r="AI64" i="1" s="1"/>
  <c r="R63" i="1"/>
  <c r="S63" i="1"/>
  <c r="T63" i="1" s="1"/>
  <c r="Z63" i="1"/>
  <c r="AI63" i="1" s="1"/>
  <c r="R62" i="1"/>
  <c r="S62" i="1"/>
  <c r="T62" i="1" s="1"/>
  <c r="Z62" i="1"/>
  <c r="AI62" i="1" s="1"/>
  <c r="R61" i="1"/>
  <c r="S61" i="1"/>
  <c r="T61" i="1" s="1"/>
  <c r="Z61" i="1"/>
  <c r="AI61" i="1" s="1"/>
  <c r="S60" i="1"/>
  <c r="T60" i="1" s="1"/>
  <c r="R60" i="1"/>
  <c r="Z60" i="1"/>
  <c r="AI60" i="1" s="1"/>
  <c r="R59" i="1"/>
  <c r="S59" i="1"/>
  <c r="T59" i="1" s="1"/>
  <c r="Z59" i="1"/>
  <c r="AI59" i="1" s="1"/>
  <c r="Z58" i="1"/>
  <c r="AI58" i="1" s="1"/>
  <c r="R58" i="1"/>
  <c r="S58" i="1"/>
  <c r="T58" i="1" s="1"/>
  <c r="Z57" i="1"/>
  <c r="AI57" i="1" s="1"/>
  <c r="R57" i="1"/>
  <c r="S57" i="1"/>
  <c r="T57" i="1" s="1"/>
  <c r="R56" i="1"/>
  <c r="Z56" i="1"/>
  <c r="AI56" i="1" s="1"/>
  <c r="S56" i="1"/>
  <c r="T56" i="1" s="1"/>
  <c r="R55" i="1"/>
  <c r="S55" i="1"/>
  <c r="T55" i="1" s="1"/>
  <c r="Z55" i="1"/>
  <c r="AI55" i="1" s="1"/>
  <c r="R54" i="1"/>
  <c r="S54" i="1"/>
  <c r="T54" i="1" s="1"/>
  <c r="Z54" i="1"/>
  <c r="AI54" i="1" s="1"/>
  <c r="S53" i="1"/>
  <c r="T53" i="1" s="1"/>
  <c r="R53" i="1"/>
  <c r="Z53" i="1"/>
  <c r="AI53" i="1" s="1"/>
  <c r="S52" i="1"/>
  <c r="T52" i="1" s="1"/>
  <c r="R52" i="1"/>
  <c r="Z52" i="1"/>
  <c r="AI52" i="1" s="1"/>
  <c r="R51" i="1"/>
  <c r="Z51" i="1"/>
  <c r="AI51" i="1" s="1"/>
  <c r="S51" i="1"/>
  <c r="T51" i="1" s="1"/>
  <c r="R50" i="1"/>
  <c r="S50" i="1"/>
  <c r="T50" i="1" s="1"/>
  <c r="Z50" i="1"/>
  <c r="AI50" i="1" s="1"/>
  <c r="R49" i="1"/>
  <c r="Z49" i="1"/>
  <c r="AI49" i="1" s="1"/>
  <c r="S49" i="1"/>
  <c r="T49" i="1" s="1"/>
  <c r="R48" i="1"/>
  <c r="S48" i="1"/>
  <c r="T48" i="1" s="1"/>
  <c r="Z48" i="1"/>
  <c r="AI48" i="1" s="1"/>
  <c r="R47" i="1"/>
  <c r="S47" i="1"/>
  <c r="T47" i="1" s="1"/>
  <c r="Z47" i="1"/>
  <c r="AI47" i="1" s="1"/>
  <c r="Z46" i="1"/>
  <c r="AI46" i="1" s="1"/>
  <c r="R46" i="1"/>
  <c r="S46" i="1"/>
  <c r="T46" i="1" s="1"/>
  <c r="Z45" i="1"/>
  <c r="AI45" i="1" s="1"/>
  <c r="R45" i="1"/>
  <c r="S45" i="1"/>
  <c r="T45" i="1" s="1"/>
  <c r="S44" i="1"/>
  <c r="T44" i="1" s="1"/>
  <c r="Z44" i="1"/>
  <c r="AI44" i="1" s="1"/>
  <c r="R44" i="1"/>
  <c r="R43" i="1"/>
  <c r="S43" i="1"/>
  <c r="T43" i="1" s="1"/>
  <c r="Z43" i="1"/>
  <c r="AI43" i="1" s="1"/>
  <c r="Z42" i="1"/>
  <c r="AI42" i="1" s="1"/>
  <c r="R42" i="1"/>
  <c r="S42" i="1"/>
  <c r="T42" i="1" s="1"/>
  <c r="Z41" i="1"/>
  <c r="AI41" i="1" s="1"/>
  <c r="R41" i="1"/>
  <c r="S41" i="1"/>
  <c r="T41" i="1" s="1"/>
  <c r="Z40" i="1"/>
  <c r="AI40" i="1" s="1"/>
  <c r="R40" i="1"/>
  <c r="S40" i="1"/>
  <c r="T40" i="1" s="1"/>
  <c r="Z39" i="1"/>
  <c r="AI39" i="1" s="1"/>
  <c r="S39" i="1"/>
  <c r="T39" i="1" s="1"/>
  <c r="R39" i="1"/>
  <c r="Z38" i="1"/>
  <c r="AI38" i="1" s="1"/>
  <c r="S38" i="1"/>
  <c r="T38" i="1" s="1"/>
  <c r="R38" i="1"/>
  <c r="AT34" i="1"/>
  <c r="AT33" i="1"/>
  <c r="AT32" i="1"/>
  <c r="AT31" i="1"/>
  <c r="AT30" i="1"/>
  <c r="S34" i="1"/>
  <c r="T34" i="1" s="1"/>
  <c r="AV34" i="1"/>
  <c r="AS34" i="1" s="1"/>
  <c r="S33" i="1"/>
  <c r="T33" i="1" s="1"/>
  <c r="AV33" i="1"/>
  <c r="AS33" i="1" s="1"/>
  <c r="S32" i="1"/>
  <c r="T32" i="1" s="1"/>
  <c r="AV32" i="1"/>
  <c r="AS32" i="1" s="1"/>
  <c r="S31" i="1"/>
  <c r="T31" i="1" s="1"/>
  <c r="AV31" i="1"/>
  <c r="AS31" i="1" s="1"/>
  <c r="S30" i="1"/>
  <c r="T30" i="1" s="1"/>
  <c r="AV30" i="1"/>
  <c r="AS30" i="1" s="1"/>
  <c r="AT69" i="1"/>
  <c r="AV88" i="1"/>
  <c r="AS88" i="1" s="1"/>
  <c r="AT85" i="1"/>
  <c r="AT50" i="1"/>
  <c r="AV64" i="1"/>
  <c r="AS64" i="1" s="1"/>
  <c r="AV50" i="1"/>
  <c r="AS50" i="1" s="1"/>
  <c r="AT66" i="1"/>
  <c r="AV66" i="1"/>
  <c r="AS66" i="1" s="1"/>
  <c r="AT83" i="1"/>
  <c r="AT88" i="1"/>
  <c r="AT82" i="1"/>
  <c r="AT87" i="1"/>
  <c r="AV87" i="1"/>
  <c r="AS87" i="1" s="1"/>
  <c r="AV83" i="1"/>
  <c r="AS83" i="1" s="1"/>
  <c r="AT84" i="1"/>
  <c r="AV84" i="1"/>
  <c r="AS84" i="1" s="1"/>
  <c r="AV90" i="1"/>
  <c r="AS90" i="1" s="1"/>
  <c r="AT63" i="1"/>
  <c r="AV82" i="1"/>
  <c r="AS82" i="1" s="1"/>
  <c r="AV85" i="1"/>
  <c r="AS85" i="1" s="1"/>
  <c r="AT98" i="1"/>
  <c r="AT109" i="1"/>
  <c r="AV98" i="1"/>
  <c r="AS98" i="1" s="1"/>
  <c r="AT111" i="1"/>
  <c r="AT91" i="1"/>
  <c r="AT94" i="1"/>
  <c r="AT97" i="1"/>
  <c r="AV111" i="1"/>
  <c r="AS111" i="1" s="1"/>
  <c r="AV91" i="1"/>
  <c r="AS91" i="1" s="1"/>
  <c r="AV97" i="1"/>
  <c r="AS97" i="1" s="1"/>
  <c r="AT90" i="1"/>
  <c r="AV110" i="1"/>
  <c r="AS110" i="1" s="1"/>
  <c r="AT108" i="1"/>
  <c r="AV108" i="1"/>
  <c r="AS108" i="1" s="1"/>
  <c r="AT58" i="1"/>
  <c r="AV58" i="1"/>
  <c r="AS58" i="1" s="1"/>
  <c r="AV107" i="1"/>
  <c r="AS107" i="1" s="1"/>
  <c r="AT113" i="1"/>
  <c r="AV113" i="1"/>
  <c r="AS113" i="1" s="1"/>
  <c r="AT57" i="1"/>
  <c r="AT107" i="1"/>
  <c r="AT110" i="1"/>
  <c r="AV57" i="1"/>
  <c r="AS57" i="1" s="1"/>
  <c r="AT64" i="1"/>
  <c r="AV63" i="1"/>
  <c r="AS63" i="1" s="1"/>
  <c r="AV69" i="1"/>
  <c r="AS69" i="1" s="1"/>
  <c r="AV109" i="1"/>
  <c r="AS109" i="1" s="1"/>
  <c r="AV68" i="1"/>
  <c r="AS68" i="1" s="1"/>
  <c r="AT68" i="1"/>
  <c r="AT29" i="1"/>
  <c r="S29" i="1"/>
  <c r="T29" i="1" s="1"/>
  <c r="AV29" i="1"/>
  <c r="AS29" i="1" s="1"/>
  <c r="AV114" i="1"/>
  <c r="AS114" i="1" s="1"/>
  <c r="AU112" i="1"/>
  <c r="AT112" i="1" s="1"/>
  <c r="AV71" i="1"/>
  <c r="AS71" i="1" s="1"/>
  <c r="AV61" i="1"/>
  <c r="AS61" i="1" s="1"/>
  <c r="AV60" i="1"/>
  <c r="AS60" i="1" s="1"/>
  <c r="AV59" i="1"/>
  <c r="AS59" i="1" s="1"/>
  <c r="AV56" i="1"/>
  <c r="AS56" i="1" s="1"/>
  <c r="AV48" i="1"/>
  <c r="AS48" i="1" s="1"/>
  <c r="AV39" i="1"/>
  <c r="AS39" i="1" s="1"/>
  <c r="AV38" i="1"/>
  <c r="AS38" i="1" s="1"/>
  <c r="AV28" i="1"/>
  <c r="AS28" i="1" s="1"/>
  <c r="S28" i="1"/>
  <c r="T28" i="1" s="1"/>
  <c r="S2" i="1"/>
  <c r="T2" i="1" s="1"/>
  <c r="AU17" i="1"/>
  <c r="AT17" i="1" s="1"/>
  <c r="AV17" i="1"/>
  <c r="AS17" i="1" s="1"/>
  <c r="AV27" i="1"/>
  <c r="AS27" i="1" s="1"/>
  <c r="AU27" i="1"/>
  <c r="AT27" i="1" s="1"/>
  <c r="AV26" i="1"/>
  <c r="AS26" i="1" s="1"/>
  <c r="AU26" i="1"/>
  <c r="AT26" i="1" s="1"/>
  <c r="AV23" i="1"/>
  <c r="AS23" i="1" s="1"/>
  <c r="AU23" i="1"/>
  <c r="AT23" i="1" s="1"/>
  <c r="AV22" i="1"/>
  <c r="AS22" i="1" s="1"/>
  <c r="AU22" i="1"/>
  <c r="AT22" i="1" s="1"/>
  <c r="AV21" i="1"/>
  <c r="AS21" i="1" s="1"/>
  <c r="AU21" i="1"/>
  <c r="AT21" i="1" s="1"/>
  <c r="AV20" i="1"/>
  <c r="AS20" i="1" s="1"/>
  <c r="AU20" i="1"/>
  <c r="AT20" i="1" s="1"/>
  <c r="AV19" i="1"/>
  <c r="AS19" i="1" s="1"/>
  <c r="AU19" i="1"/>
  <c r="AT19" i="1" s="1"/>
  <c r="AV18" i="1"/>
  <c r="AS18" i="1" s="1"/>
  <c r="AU18" i="1"/>
  <c r="AT18" i="1" s="1"/>
  <c r="AV16" i="1"/>
  <c r="AS16" i="1" s="1"/>
  <c r="AU16" i="1"/>
  <c r="AT16" i="1" s="1"/>
  <c r="Z15" i="1"/>
  <c r="AI15" i="1" s="1"/>
  <c r="AV15" i="1"/>
  <c r="AS15" i="1" s="1"/>
  <c r="AU15" i="1"/>
  <c r="AT15" i="1" s="1"/>
  <c r="AV14" i="1"/>
  <c r="AS14" i="1" s="1"/>
  <c r="AU14" i="1"/>
  <c r="AT14" i="1" s="1"/>
  <c r="AV13" i="1"/>
  <c r="AS13" i="1" s="1"/>
  <c r="AU13" i="1"/>
  <c r="AT13" i="1" s="1"/>
  <c r="AV12" i="1"/>
  <c r="AS12" i="1" s="1"/>
  <c r="AU12" i="1"/>
  <c r="AT12" i="1" s="1"/>
  <c r="AV11" i="1"/>
  <c r="AS11" i="1" s="1"/>
  <c r="AU11" i="1"/>
  <c r="AT11" i="1" s="1"/>
  <c r="AV10" i="1"/>
  <c r="AS10" i="1" s="1"/>
  <c r="AU10" i="1"/>
  <c r="AT10" i="1" s="1"/>
  <c r="AV7" i="1"/>
  <c r="AS7" i="1" s="1"/>
  <c r="AU7" i="1"/>
  <c r="AT7" i="1" s="1"/>
  <c r="AV6" i="1"/>
  <c r="AS6" i="1" s="1"/>
  <c r="AU6" i="1"/>
  <c r="AT6" i="1" s="1"/>
  <c r="AV5" i="1"/>
  <c r="AS5" i="1" s="1"/>
  <c r="AU5" i="1"/>
  <c r="AT5" i="1" s="1"/>
  <c r="AV4" i="1"/>
  <c r="AS4" i="1" s="1"/>
  <c r="AU4" i="1"/>
  <c r="AT4" i="1" s="1"/>
  <c r="AV3" i="1"/>
  <c r="AS3" i="1" s="1"/>
  <c r="AU3" i="1"/>
  <c r="AT3" i="1" s="1"/>
  <c r="AV2" i="1"/>
  <c r="AS2" i="1" s="1"/>
  <c r="AU2" i="1"/>
  <c r="AT2" i="1" s="1"/>
  <c r="AV70" i="1"/>
  <c r="AS70" i="1" s="1"/>
  <c r="AU70" i="1"/>
  <c r="AT70" i="1" s="1"/>
  <c r="AU41" i="1"/>
  <c r="AT41" i="1" s="1"/>
  <c r="AU46" i="1"/>
  <c r="AT46" i="1" s="1"/>
  <c r="AU47" i="1"/>
  <c r="AT47" i="1" s="1"/>
  <c r="AU48" i="1"/>
  <c r="AT48" i="1" s="1"/>
  <c r="AT28" i="1"/>
  <c r="AU103" i="1"/>
  <c r="AT103" i="1" s="1"/>
  <c r="AV76" i="1"/>
  <c r="AS76" i="1" s="1"/>
  <c r="AV73" i="1"/>
  <c r="AS73" i="1" s="1"/>
  <c r="AV74" i="1"/>
  <c r="AS74" i="1" s="1"/>
  <c r="AV72" i="1"/>
  <c r="AS72" i="1" s="1"/>
  <c r="AV62" i="1"/>
  <c r="AS62" i="1" s="1"/>
  <c r="AV65" i="1"/>
  <c r="AS65" i="1" s="1"/>
  <c r="AV67" i="1"/>
  <c r="AS67" i="1" s="1"/>
  <c r="AU71" i="1"/>
  <c r="AT71" i="1" s="1"/>
  <c r="AU59" i="1"/>
  <c r="AT59" i="1" s="1"/>
  <c r="AV112" i="1"/>
  <c r="AS112" i="1" s="1"/>
  <c r="AU65" i="1"/>
  <c r="AT65" i="1" s="1"/>
  <c r="AU60" i="1"/>
  <c r="AT60" i="1" s="1"/>
  <c r="AU61" i="1"/>
  <c r="AT61" i="1" s="1"/>
  <c r="AU114" i="1"/>
  <c r="AT114" i="1" s="1"/>
  <c r="AU56" i="1"/>
  <c r="AT56" i="1" s="1"/>
  <c r="AU62" i="1"/>
  <c r="AT62" i="1" s="1"/>
  <c r="AU67" i="1"/>
  <c r="AT67" i="1" s="1"/>
  <c r="AU38" i="1"/>
  <c r="AT38" i="1" s="1"/>
  <c r="AU74" i="1"/>
  <c r="AT74" i="1" s="1"/>
  <c r="AU73" i="1"/>
  <c r="AT73" i="1" s="1"/>
  <c r="AT72" i="1"/>
  <c r="Z37" i="1"/>
  <c r="AI37" i="1" s="1"/>
  <c r="T9" i="1"/>
  <c r="R9" i="1"/>
  <c r="Z9" i="1"/>
  <c r="R17" i="1"/>
  <c r="T17" i="1"/>
  <c r="Z17" i="1"/>
  <c r="AI17" i="1" s="1"/>
  <c r="T25" i="1"/>
  <c r="R25" i="1"/>
  <c r="Z25" i="1"/>
  <c r="R161" i="1"/>
  <c r="T161" i="1"/>
  <c r="Z161" i="1"/>
  <c r="AI161" i="1" s="1"/>
  <c r="R162" i="1"/>
  <c r="T162" i="1"/>
  <c r="Z162" i="1"/>
  <c r="AI162" i="1" s="1"/>
  <c r="T163" i="1"/>
  <c r="R163" i="1"/>
  <c r="Z163" i="1"/>
  <c r="AI163" i="1" s="1"/>
  <c r="AV164" i="1"/>
  <c r="AS164" i="1" s="1"/>
  <c r="R164" i="1"/>
  <c r="T164" i="1"/>
  <c r="Z164" i="1"/>
  <c r="AI164" i="1" s="1"/>
  <c r="AV169" i="1"/>
  <c r="AS169" i="1" s="1"/>
  <c r="R169" i="1"/>
  <c r="T169" i="1"/>
  <c r="Z169" i="1"/>
  <c r="AI169" i="1" s="1"/>
  <c r="R171" i="1"/>
  <c r="T171" i="1"/>
  <c r="Z171" i="1"/>
  <c r="AI171" i="1" s="1"/>
  <c r="R306" i="1"/>
  <c r="T306" i="1"/>
  <c r="Z306" i="1"/>
  <c r="AI306" i="1" s="1"/>
  <c r="R314" i="1"/>
  <c r="T314" i="1"/>
  <c r="Z314" i="1"/>
  <c r="AI314" i="1" s="1"/>
  <c r="R322" i="1"/>
  <c r="T322" i="1"/>
  <c r="Z322" i="1"/>
  <c r="AI322" i="1" s="1"/>
  <c r="R330" i="1"/>
  <c r="T330" i="1"/>
  <c r="Z330" i="1"/>
  <c r="AI330" i="1" s="1"/>
  <c r="R338" i="1"/>
  <c r="T338" i="1"/>
  <c r="Z338" i="1"/>
  <c r="AI338" i="1" s="1"/>
  <c r="T346" i="1"/>
  <c r="R346" i="1"/>
  <c r="Z346" i="1"/>
  <c r="AI346" i="1" s="1"/>
  <c r="R28" i="1"/>
  <c r="Z28" i="1"/>
  <c r="AI28" i="1" s="1"/>
  <c r="AV46" i="1"/>
  <c r="AS46" i="1" s="1"/>
  <c r="R2" i="1"/>
  <c r="Z2" i="1"/>
  <c r="AI2" i="1" s="1"/>
  <c r="R10" i="1"/>
  <c r="T10" i="1"/>
  <c r="Z10" i="1"/>
  <c r="AI10" i="1" s="1"/>
  <c r="T18" i="1"/>
  <c r="R18" i="1"/>
  <c r="Z18" i="1"/>
  <c r="AI18" i="1" s="1"/>
  <c r="R26" i="1"/>
  <c r="T26" i="1"/>
  <c r="Z26" i="1"/>
  <c r="AI26" i="1" s="1"/>
  <c r="R156" i="1"/>
  <c r="T156" i="1"/>
  <c r="Z156" i="1"/>
  <c r="AI156" i="1" s="1"/>
  <c r="R157" i="1"/>
  <c r="T157" i="1"/>
  <c r="Z157" i="1"/>
  <c r="AI157" i="1" s="1"/>
  <c r="AV158" i="1"/>
  <c r="AS158" i="1" s="1"/>
  <c r="T158" i="1"/>
  <c r="R158" i="1"/>
  <c r="Z158" i="1"/>
  <c r="AI158" i="1" s="1"/>
  <c r="R159" i="1"/>
  <c r="T159" i="1"/>
  <c r="Z159" i="1"/>
  <c r="AI159" i="1" s="1"/>
  <c r="AV160" i="1"/>
  <c r="AS160" i="1" s="1"/>
  <c r="T160" i="1"/>
  <c r="R160" i="1"/>
  <c r="Z160" i="1"/>
  <c r="AI160" i="1" s="1"/>
  <c r="AV172" i="1"/>
  <c r="AS172" i="1" s="1"/>
  <c r="T172" i="1"/>
  <c r="R172" i="1"/>
  <c r="Z172" i="1"/>
  <c r="AI172" i="1" s="1"/>
  <c r="AV173" i="1"/>
  <c r="AS173" i="1" s="1"/>
  <c r="T173" i="1"/>
  <c r="R173" i="1"/>
  <c r="Z173" i="1"/>
  <c r="AI173" i="1" s="1"/>
  <c r="R174" i="1"/>
  <c r="T174" i="1"/>
  <c r="Z174" i="1"/>
  <c r="AI174" i="1" s="1"/>
  <c r="R175" i="1"/>
  <c r="T175" i="1"/>
  <c r="Z175" i="1"/>
  <c r="AI175" i="1" s="1"/>
  <c r="T176" i="1"/>
  <c r="R176" i="1"/>
  <c r="Z176" i="1"/>
  <c r="AI176" i="1" s="1"/>
  <c r="R177" i="1"/>
  <c r="T177" i="1"/>
  <c r="Z177" i="1"/>
  <c r="AI177" i="1" s="1"/>
  <c r="R307" i="1"/>
  <c r="T307" i="1"/>
  <c r="Z307" i="1"/>
  <c r="AI307" i="1" s="1"/>
  <c r="R315" i="1"/>
  <c r="T315" i="1"/>
  <c r="Z315" i="1"/>
  <c r="AI315" i="1" s="1"/>
  <c r="R323" i="1"/>
  <c r="T323" i="1"/>
  <c r="Z323" i="1"/>
  <c r="AI323" i="1" s="1"/>
  <c r="R331" i="1"/>
  <c r="T331" i="1"/>
  <c r="Z331" i="1"/>
  <c r="AI331" i="1" s="1"/>
  <c r="R339" i="1"/>
  <c r="T339" i="1"/>
  <c r="Z339" i="1"/>
  <c r="AI339" i="1" s="1"/>
  <c r="R347" i="1"/>
  <c r="T347" i="1"/>
  <c r="Z347" i="1"/>
  <c r="AI347" i="1" s="1"/>
  <c r="R29" i="1"/>
  <c r="Z29" i="1"/>
  <c r="AI29" i="1" s="1"/>
  <c r="R3" i="1"/>
  <c r="T3" i="1"/>
  <c r="Z3" i="1"/>
  <c r="AI3" i="1" s="1"/>
  <c r="T11" i="1"/>
  <c r="R11" i="1"/>
  <c r="Z11" i="1"/>
  <c r="AI11" i="1" s="1"/>
  <c r="R19" i="1"/>
  <c r="T19" i="1"/>
  <c r="Z19" i="1"/>
  <c r="AI19" i="1" s="1"/>
  <c r="T27" i="1"/>
  <c r="R27" i="1"/>
  <c r="Z27" i="1"/>
  <c r="AI27" i="1" s="1"/>
  <c r="R155" i="1"/>
  <c r="T155" i="1"/>
  <c r="Z155" i="1"/>
  <c r="AI155" i="1" s="1"/>
  <c r="R178" i="1"/>
  <c r="T178" i="1"/>
  <c r="Z178" i="1"/>
  <c r="AI178" i="1" s="1"/>
  <c r="R179" i="1"/>
  <c r="T179" i="1"/>
  <c r="Z179" i="1"/>
  <c r="AI179" i="1" s="1"/>
  <c r="R180" i="1"/>
  <c r="T180" i="1"/>
  <c r="Z180" i="1"/>
  <c r="AI180" i="1" s="1"/>
  <c r="AV181" i="1"/>
  <c r="AS181" i="1" s="1"/>
  <c r="T181" i="1"/>
  <c r="R181" i="1"/>
  <c r="Z181" i="1"/>
  <c r="AI181" i="1" s="1"/>
  <c r="R182" i="1"/>
  <c r="T182" i="1"/>
  <c r="Z182" i="1"/>
  <c r="AI182" i="1" s="1"/>
  <c r="AV183" i="1"/>
  <c r="AS183" i="1" s="1"/>
  <c r="R183" i="1"/>
  <c r="T183" i="1"/>
  <c r="Z183" i="1"/>
  <c r="AI183" i="1" s="1"/>
  <c r="T184" i="1"/>
  <c r="R184" i="1"/>
  <c r="Z184" i="1"/>
  <c r="AI184" i="1" s="1"/>
  <c r="AV185" i="1"/>
  <c r="AS185" i="1" s="1"/>
  <c r="R185" i="1"/>
  <c r="T185" i="1"/>
  <c r="Z185" i="1"/>
  <c r="AI185" i="1" s="1"/>
  <c r="R186" i="1"/>
  <c r="T186" i="1"/>
  <c r="Z186" i="1"/>
  <c r="AI186" i="1" s="1"/>
  <c r="R187" i="1"/>
  <c r="T187" i="1"/>
  <c r="Z187" i="1"/>
  <c r="AI187" i="1" s="1"/>
  <c r="T188" i="1"/>
  <c r="R188" i="1"/>
  <c r="Z188" i="1"/>
  <c r="AI188" i="1" s="1"/>
  <c r="AV189" i="1"/>
  <c r="AS189" i="1" s="1"/>
  <c r="R189" i="1"/>
  <c r="T189" i="1"/>
  <c r="Z189" i="1"/>
  <c r="AI189" i="1" s="1"/>
  <c r="R190" i="1"/>
  <c r="T190" i="1"/>
  <c r="Z190" i="1"/>
  <c r="AI190" i="1" s="1"/>
  <c r="AV191" i="1"/>
  <c r="AS191" i="1" s="1"/>
  <c r="R191" i="1"/>
  <c r="T191" i="1"/>
  <c r="Z191" i="1"/>
  <c r="AI191" i="1" s="1"/>
  <c r="T192" i="1"/>
  <c r="R192" i="1"/>
  <c r="Z192" i="1"/>
  <c r="AI192" i="1" s="1"/>
  <c r="AV193" i="1"/>
  <c r="AS193" i="1" s="1"/>
  <c r="R193" i="1"/>
  <c r="T193" i="1"/>
  <c r="Z193" i="1"/>
  <c r="AI193" i="1" s="1"/>
  <c r="R194" i="1"/>
  <c r="T194" i="1"/>
  <c r="Z194" i="1"/>
  <c r="AI194" i="1" s="1"/>
  <c r="R195" i="1"/>
  <c r="T195" i="1"/>
  <c r="Z195" i="1"/>
  <c r="AI195" i="1" s="1"/>
  <c r="R196" i="1"/>
  <c r="T196" i="1"/>
  <c r="Z196" i="1"/>
  <c r="AI196" i="1" s="1"/>
  <c r="AV197" i="1"/>
  <c r="AS197" i="1" s="1"/>
  <c r="T197" i="1"/>
  <c r="R197" i="1"/>
  <c r="Z197" i="1"/>
  <c r="AI197" i="1" s="1"/>
  <c r="R198" i="1"/>
  <c r="T198" i="1"/>
  <c r="Z198" i="1"/>
  <c r="AI198" i="1" s="1"/>
  <c r="AV199" i="1"/>
  <c r="AS199" i="1" s="1"/>
  <c r="R199" i="1"/>
  <c r="T199" i="1"/>
  <c r="Z199" i="1"/>
  <c r="AI199" i="1" s="1"/>
  <c r="T200" i="1"/>
  <c r="R200" i="1"/>
  <c r="Z200" i="1"/>
  <c r="AI200" i="1" s="1"/>
  <c r="AV201" i="1"/>
  <c r="AS201" i="1" s="1"/>
  <c r="R201" i="1"/>
  <c r="T201" i="1"/>
  <c r="Z201" i="1"/>
  <c r="AI201" i="1" s="1"/>
  <c r="R202" i="1"/>
  <c r="T202" i="1"/>
  <c r="Z202" i="1"/>
  <c r="AI202" i="1" s="1"/>
  <c r="R203" i="1"/>
  <c r="T203" i="1"/>
  <c r="Z203" i="1"/>
  <c r="AI203" i="1" s="1"/>
  <c r="R204" i="1"/>
  <c r="T204" i="1"/>
  <c r="Z204" i="1"/>
  <c r="AI204" i="1" s="1"/>
  <c r="AV205" i="1"/>
  <c r="AS205" i="1" s="1"/>
  <c r="R205" i="1"/>
  <c r="T205" i="1"/>
  <c r="Z205" i="1"/>
  <c r="AI205" i="1" s="1"/>
  <c r="T206" i="1"/>
  <c r="R206" i="1"/>
  <c r="Z206" i="1"/>
  <c r="AI206" i="1" s="1"/>
  <c r="AV207" i="1"/>
  <c r="AS207" i="1" s="1"/>
  <c r="T207" i="1"/>
  <c r="R207" i="1"/>
  <c r="Z207" i="1"/>
  <c r="AI207" i="1" s="1"/>
  <c r="R208" i="1"/>
  <c r="T208" i="1"/>
  <c r="Z208" i="1"/>
  <c r="AI208" i="1" s="1"/>
  <c r="AV209" i="1"/>
  <c r="AS209" i="1" s="1"/>
  <c r="R209" i="1"/>
  <c r="T209" i="1"/>
  <c r="Z209" i="1"/>
  <c r="AI209" i="1" s="1"/>
  <c r="AV210" i="1"/>
  <c r="AS210" i="1" s="1"/>
  <c r="R210" i="1"/>
  <c r="T210" i="1"/>
  <c r="Z210" i="1"/>
  <c r="AI210" i="1" s="1"/>
  <c r="AV211" i="1"/>
  <c r="AS211" i="1" s="1"/>
  <c r="R211" i="1"/>
  <c r="T211" i="1"/>
  <c r="Z211" i="1"/>
  <c r="AI211" i="1" s="1"/>
  <c r="R212" i="1"/>
  <c r="T212" i="1"/>
  <c r="Z212" i="1"/>
  <c r="AI212" i="1" s="1"/>
  <c r="T213" i="1"/>
  <c r="R213" i="1"/>
  <c r="Z213" i="1"/>
  <c r="AI213" i="1" s="1"/>
  <c r="R214" i="1"/>
  <c r="T214" i="1"/>
  <c r="Z214" i="1"/>
  <c r="AI214" i="1" s="1"/>
  <c r="R215" i="1"/>
  <c r="T215" i="1"/>
  <c r="Z215" i="1"/>
  <c r="AI215" i="1" s="1"/>
  <c r="AV216" i="1"/>
  <c r="AS216" i="1" s="1"/>
  <c r="T216" i="1"/>
  <c r="R216" i="1"/>
  <c r="Z216" i="1"/>
  <c r="AI216" i="1" s="1"/>
  <c r="R217" i="1"/>
  <c r="T217" i="1"/>
  <c r="Z217" i="1"/>
  <c r="AI217" i="1" s="1"/>
  <c r="AV218" i="1"/>
  <c r="AS218" i="1" s="1"/>
  <c r="R218" i="1"/>
  <c r="T218" i="1"/>
  <c r="Z218" i="1"/>
  <c r="AI218" i="1" s="1"/>
  <c r="R219" i="1"/>
  <c r="T219" i="1"/>
  <c r="Z219" i="1"/>
  <c r="AI219" i="1" s="1"/>
  <c r="AV220" i="1"/>
  <c r="AS220" i="1" s="1"/>
  <c r="T220" i="1"/>
  <c r="R220" i="1"/>
  <c r="Z220" i="1"/>
  <c r="AI220" i="1" s="1"/>
  <c r="T221" i="1"/>
  <c r="R221" i="1"/>
  <c r="Z221" i="1"/>
  <c r="AI221" i="1" s="1"/>
  <c r="AV222" i="1"/>
  <c r="AS222" i="1" s="1"/>
  <c r="R222" i="1"/>
  <c r="T222" i="1"/>
  <c r="Z222" i="1"/>
  <c r="AI222" i="1" s="1"/>
  <c r="R223" i="1"/>
  <c r="T223" i="1"/>
  <c r="Z223" i="1"/>
  <c r="AI223" i="1" s="1"/>
  <c r="T224" i="1"/>
  <c r="R224" i="1"/>
  <c r="Z224" i="1"/>
  <c r="AI224" i="1" s="1"/>
  <c r="R225" i="1"/>
  <c r="T225" i="1"/>
  <c r="Z225" i="1"/>
  <c r="AI225" i="1" s="1"/>
  <c r="AV226" i="1"/>
  <c r="AS226" i="1" s="1"/>
  <c r="R226" i="1"/>
  <c r="T226" i="1"/>
  <c r="Z226" i="1"/>
  <c r="AI226" i="1" s="1"/>
  <c r="R227" i="1"/>
  <c r="T227" i="1"/>
  <c r="Z227" i="1"/>
  <c r="AI227" i="1" s="1"/>
  <c r="AV228" i="1"/>
  <c r="AS228" i="1" s="1"/>
  <c r="R228" i="1"/>
  <c r="T228" i="1"/>
  <c r="Z228" i="1"/>
  <c r="AI228" i="1" s="1"/>
  <c r="T229" i="1"/>
  <c r="R229" i="1"/>
  <c r="Z229" i="1"/>
  <c r="AI229" i="1" s="1"/>
  <c r="AV230" i="1"/>
  <c r="AS230" i="1" s="1"/>
  <c r="R230" i="1"/>
  <c r="T230" i="1"/>
  <c r="Z230" i="1"/>
  <c r="AI230" i="1" s="1"/>
  <c r="R231" i="1"/>
  <c r="T231" i="1"/>
  <c r="Z231" i="1"/>
  <c r="AI231" i="1" s="1"/>
  <c r="AV232" i="1"/>
  <c r="AS232" i="1" s="1"/>
  <c r="R232" i="1"/>
  <c r="T232" i="1"/>
  <c r="Z232" i="1"/>
  <c r="AI232" i="1" s="1"/>
  <c r="R233" i="1"/>
  <c r="T233" i="1"/>
  <c r="Z233" i="1"/>
  <c r="AI233" i="1" s="1"/>
  <c r="R234" i="1"/>
  <c r="T234" i="1"/>
  <c r="Z234" i="1"/>
  <c r="AI234" i="1" s="1"/>
  <c r="R235" i="1"/>
  <c r="T235" i="1"/>
  <c r="Z235" i="1"/>
  <c r="AI235" i="1" s="1"/>
  <c r="AV236" i="1"/>
  <c r="AS236" i="1" s="1"/>
  <c r="R236" i="1"/>
  <c r="T236" i="1"/>
  <c r="Z236" i="1"/>
  <c r="AI236" i="1" s="1"/>
  <c r="T237" i="1"/>
  <c r="R237" i="1"/>
  <c r="Z237" i="1"/>
  <c r="AI237" i="1" s="1"/>
  <c r="R238" i="1"/>
  <c r="T238" i="1"/>
  <c r="Z238" i="1"/>
  <c r="AI238" i="1" s="1"/>
  <c r="R239" i="1"/>
  <c r="T239" i="1"/>
  <c r="Z239" i="1"/>
  <c r="AI239" i="1" s="1"/>
  <c r="T240" i="1"/>
  <c r="R240" i="1"/>
  <c r="Z240" i="1"/>
  <c r="AI240" i="1" s="1"/>
  <c r="R241" i="1"/>
  <c r="T241" i="1"/>
  <c r="Z241" i="1"/>
  <c r="AI241" i="1" s="1"/>
  <c r="R242" i="1"/>
  <c r="T242" i="1"/>
  <c r="Z242" i="1"/>
  <c r="AI242" i="1" s="1"/>
  <c r="R243" i="1"/>
  <c r="T243" i="1"/>
  <c r="Z243" i="1"/>
  <c r="AI243" i="1" s="1"/>
  <c r="R244" i="1"/>
  <c r="T244" i="1"/>
  <c r="Z244" i="1"/>
  <c r="AI244" i="1" s="1"/>
  <c r="T245" i="1"/>
  <c r="R245" i="1"/>
  <c r="Z245" i="1"/>
  <c r="AI245" i="1" s="1"/>
  <c r="R246" i="1"/>
  <c r="T246" i="1"/>
  <c r="Z246" i="1"/>
  <c r="AI246" i="1" s="1"/>
  <c r="T247" i="1"/>
  <c r="R247" i="1"/>
  <c r="Z247" i="1"/>
  <c r="AI247" i="1" s="1"/>
  <c r="T248" i="1"/>
  <c r="R248" i="1"/>
  <c r="Z248" i="1"/>
  <c r="AI248" i="1" s="1"/>
  <c r="R249" i="1"/>
  <c r="T249" i="1"/>
  <c r="Z249" i="1"/>
  <c r="AI249" i="1" s="1"/>
  <c r="R250" i="1"/>
  <c r="T250" i="1"/>
  <c r="Z250" i="1"/>
  <c r="AI250" i="1" s="1"/>
  <c r="R251" i="1"/>
  <c r="T251" i="1"/>
  <c r="Z251" i="1"/>
  <c r="AI251" i="1" s="1"/>
  <c r="R252" i="1"/>
  <c r="T252" i="1"/>
  <c r="Z252" i="1"/>
  <c r="AI252" i="1" s="1"/>
  <c r="T253" i="1"/>
  <c r="R253" i="1"/>
  <c r="Z253" i="1"/>
  <c r="AI253" i="1" s="1"/>
  <c r="AV254" i="1"/>
  <c r="AS254" i="1" s="1"/>
  <c r="R254" i="1"/>
  <c r="T254" i="1"/>
  <c r="Z254" i="1"/>
  <c r="AI254" i="1" s="1"/>
  <c r="R255" i="1"/>
  <c r="T255" i="1"/>
  <c r="Z255" i="1"/>
  <c r="AI255" i="1" s="1"/>
  <c r="AV256" i="1"/>
  <c r="AS256" i="1" s="1"/>
  <c r="R256" i="1"/>
  <c r="T256" i="1"/>
  <c r="Z256" i="1"/>
  <c r="AI256" i="1" s="1"/>
  <c r="T257" i="1"/>
  <c r="R257" i="1"/>
  <c r="Z257" i="1"/>
  <c r="AI257" i="1" s="1"/>
  <c r="R258" i="1"/>
  <c r="T258" i="1"/>
  <c r="Z258" i="1"/>
  <c r="AI258" i="1" s="1"/>
  <c r="R259" i="1"/>
  <c r="T259" i="1"/>
  <c r="Z259" i="1"/>
  <c r="AI259" i="1" s="1"/>
  <c r="R260" i="1"/>
  <c r="T260" i="1"/>
  <c r="Z260" i="1"/>
  <c r="AI260" i="1" s="1"/>
  <c r="T261" i="1"/>
  <c r="R261" i="1"/>
  <c r="Z261" i="1"/>
  <c r="AI261" i="1" s="1"/>
  <c r="R262" i="1"/>
  <c r="T262" i="1"/>
  <c r="Z262" i="1"/>
  <c r="AI262" i="1" s="1"/>
  <c r="AV263" i="1"/>
  <c r="AS263" i="1" s="1"/>
  <c r="T263" i="1"/>
  <c r="R263" i="1"/>
  <c r="Z263" i="1"/>
  <c r="AI263" i="1" s="1"/>
  <c r="AV264" i="1"/>
  <c r="AS264" i="1" s="1"/>
  <c r="R264" i="1"/>
  <c r="T264" i="1"/>
  <c r="Z264" i="1"/>
  <c r="AI264" i="1" s="1"/>
  <c r="R265" i="1"/>
  <c r="T265" i="1"/>
  <c r="Z265" i="1"/>
  <c r="AI265" i="1" s="1"/>
  <c r="AV266" i="1"/>
  <c r="AS266" i="1" s="1"/>
  <c r="R266" i="1"/>
  <c r="T266" i="1"/>
  <c r="Z266" i="1"/>
  <c r="AI266" i="1" s="1"/>
  <c r="R267" i="1"/>
  <c r="T267" i="1"/>
  <c r="Z267" i="1"/>
  <c r="AI267" i="1" s="1"/>
  <c r="T268" i="1"/>
  <c r="R268" i="1"/>
  <c r="Z268" i="1"/>
  <c r="AI268" i="1" s="1"/>
  <c r="R269" i="1"/>
  <c r="T269" i="1"/>
  <c r="Z269" i="1"/>
  <c r="AI269" i="1" s="1"/>
  <c r="AV270" i="1"/>
  <c r="AS270" i="1" s="1"/>
  <c r="T270" i="1"/>
  <c r="R270" i="1"/>
  <c r="Z270" i="1"/>
  <c r="AI270" i="1" s="1"/>
  <c r="AV271" i="1"/>
  <c r="AS271" i="1" s="1"/>
  <c r="R271" i="1"/>
  <c r="T271" i="1"/>
  <c r="Z271" i="1"/>
  <c r="AI271" i="1" s="1"/>
  <c r="T272" i="1"/>
  <c r="R272" i="1"/>
  <c r="Z272" i="1"/>
  <c r="AI272" i="1" s="1"/>
  <c r="T273" i="1"/>
  <c r="R273" i="1"/>
  <c r="Z273" i="1"/>
  <c r="AI273" i="1" s="1"/>
  <c r="AV274" i="1"/>
  <c r="AS274" i="1" s="1"/>
  <c r="R274" i="1"/>
  <c r="T274" i="1"/>
  <c r="Z274" i="1"/>
  <c r="AI274" i="1" s="1"/>
  <c r="R275" i="1"/>
  <c r="T275" i="1"/>
  <c r="Z275" i="1"/>
  <c r="AI275" i="1" s="1"/>
  <c r="R276" i="1"/>
  <c r="T276" i="1"/>
  <c r="Z276" i="1"/>
  <c r="AI276" i="1" s="1"/>
  <c r="R277" i="1"/>
  <c r="T277" i="1"/>
  <c r="Z277" i="1"/>
  <c r="AI277" i="1" s="1"/>
  <c r="AV278" i="1"/>
  <c r="AS278" i="1" s="1"/>
  <c r="R278" i="1"/>
  <c r="T278" i="1"/>
  <c r="Z278" i="1"/>
  <c r="AI278" i="1" s="1"/>
  <c r="AV279" i="1"/>
  <c r="AS279" i="1" s="1"/>
  <c r="R279" i="1"/>
  <c r="T279" i="1"/>
  <c r="Z279" i="1"/>
  <c r="AI279" i="1" s="1"/>
  <c r="AV280" i="1"/>
  <c r="AS280" i="1" s="1"/>
  <c r="R280" i="1"/>
  <c r="T280" i="1"/>
  <c r="Z280" i="1"/>
  <c r="AI280" i="1" s="1"/>
  <c r="R281" i="1"/>
  <c r="T281" i="1"/>
  <c r="Z281" i="1"/>
  <c r="AI281" i="1" s="1"/>
  <c r="R282" i="1"/>
  <c r="T282" i="1"/>
  <c r="Z282" i="1"/>
  <c r="AI282" i="1" s="1"/>
  <c r="AV283" i="1"/>
  <c r="AS283" i="1" s="1"/>
  <c r="R283" i="1"/>
  <c r="T283" i="1"/>
  <c r="Z283" i="1"/>
  <c r="AI283" i="1" s="1"/>
  <c r="R284" i="1"/>
  <c r="T284" i="1"/>
  <c r="Z284" i="1"/>
  <c r="AI284" i="1" s="1"/>
  <c r="R285" i="1"/>
  <c r="T285" i="1"/>
  <c r="Z285" i="1"/>
  <c r="AI285" i="1" s="1"/>
  <c r="R286" i="1"/>
  <c r="T286" i="1"/>
  <c r="Z286" i="1"/>
  <c r="AI286" i="1" s="1"/>
  <c r="AV287" i="1"/>
  <c r="AS287" i="1" s="1"/>
  <c r="R287" i="1"/>
  <c r="T287" i="1"/>
  <c r="Z287" i="1"/>
  <c r="AI287" i="1" s="1"/>
  <c r="R288" i="1"/>
  <c r="T288" i="1"/>
  <c r="Z288" i="1"/>
  <c r="AI288" i="1" s="1"/>
  <c r="R289" i="1"/>
  <c r="T289" i="1"/>
  <c r="Z289" i="1"/>
  <c r="AI289" i="1" s="1"/>
  <c r="R290" i="1"/>
  <c r="T290" i="1"/>
  <c r="Z290" i="1"/>
  <c r="AI290" i="1" s="1"/>
  <c r="AV291" i="1"/>
  <c r="AS291" i="1" s="1"/>
  <c r="R291" i="1"/>
  <c r="T291" i="1"/>
  <c r="Z291" i="1"/>
  <c r="AI291" i="1" s="1"/>
  <c r="R292" i="1"/>
  <c r="T292" i="1"/>
  <c r="Z292" i="1"/>
  <c r="AI292" i="1" s="1"/>
  <c r="T293" i="1"/>
  <c r="R293" i="1"/>
  <c r="Z293" i="1"/>
  <c r="AI293" i="1" s="1"/>
  <c r="R294" i="1"/>
  <c r="T294" i="1"/>
  <c r="Z294" i="1"/>
  <c r="AI294" i="1" s="1"/>
  <c r="R295" i="1"/>
  <c r="T295" i="1"/>
  <c r="Z295" i="1"/>
  <c r="AI295" i="1" s="1"/>
  <c r="AV296" i="1"/>
  <c r="AS296" i="1" s="1"/>
  <c r="R296" i="1"/>
  <c r="T296" i="1"/>
  <c r="Z296" i="1"/>
  <c r="AI296" i="1" s="1"/>
  <c r="T297" i="1"/>
  <c r="R297" i="1"/>
  <c r="Z297" i="1"/>
  <c r="AI297" i="1" s="1"/>
  <c r="R298" i="1"/>
  <c r="T298" i="1"/>
  <c r="Z298" i="1"/>
  <c r="AI298" i="1" s="1"/>
  <c r="T299" i="1"/>
  <c r="R299" i="1"/>
  <c r="Z299" i="1"/>
  <c r="AI299" i="1" s="1"/>
  <c r="R300" i="1"/>
  <c r="T300" i="1"/>
  <c r="Z300" i="1"/>
  <c r="AI300" i="1" s="1"/>
  <c r="R308" i="1"/>
  <c r="T308" i="1"/>
  <c r="Z308" i="1"/>
  <c r="AI308" i="1" s="1"/>
  <c r="R316" i="1"/>
  <c r="T316" i="1"/>
  <c r="Z316" i="1"/>
  <c r="AI316" i="1" s="1"/>
  <c r="R324" i="1"/>
  <c r="T324" i="1"/>
  <c r="Z324" i="1"/>
  <c r="AI324" i="1" s="1"/>
  <c r="R332" i="1"/>
  <c r="T332" i="1"/>
  <c r="Z332" i="1"/>
  <c r="AI332" i="1" s="1"/>
  <c r="R340" i="1"/>
  <c r="T340" i="1"/>
  <c r="Z340" i="1"/>
  <c r="AI340" i="1" s="1"/>
  <c r="R348" i="1"/>
  <c r="T348" i="1"/>
  <c r="Z348" i="1"/>
  <c r="AI348" i="1" s="1"/>
  <c r="R30" i="1"/>
  <c r="Z30" i="1"/>
  <c r="AI30" i="1" s="1"/>
  <c r="R5" i="1"/>
  <c r="T5" i="1"/>
  <c r="Z5" i="1"/>
  <c r="AI5" i="1" s="1"/>
  <c r="R21" i="1"/>
  <c r="T21" i="1"/>
  <c r="Z21" i="1"/>
  <c r="AI21" i="1" s="1"/>
  <c r="T4" i="1"/>
  <c r="R4" i="1"/>
  <c r="Z4" i="1"/>
  <c r="AI4" i="1" s="1"/>
  <c r="T12" i="1"/>
  <c r="R12" i="1"/>
  <c r="Z12" i="1"/>
  <c r="AI12" i="1" s="1"/>
  <c r="R20" i="1"/>
  <c r="T20" i="1"/>
  <c r="Z20" i="1"/>
  <c r="AI20" i="1" s="1"/>
  <c r="R354" i="1"/>
  <c r="T354" i="1"/>
  <c r="Z354" i="1"/>
  <c r="AI354" i="1" s="1"/>
  <c r="R355" i="1"/>
  <c r="T355" i="1"/>
  <c r="Z355" i="1"/>
  <c r="AI355" i="1" s="1"/>
  <c r="R356" i="1"/>
  <c r="T356" i="1"/>
  <c r="R357" i="1"/>
  <c r="T357" i="1"/>
  <c r="R358" i="1"/>
  <c r="T358" i="1"/>
  <c r="AV359" i="1"/>
  <c r="AS359" i="1" s="1"/>
  <c r="R359" i="1"/>
  <c r="T359" i="1"/>
  <c r="R360" i="1"/>
  <c r="T360" i="1"/>
  <c r="R361" i="1"/>
  <c r="T361" i="1"/>
  <c r="T362" i="1"/>
  <c r="R362" i="1"/>
  <c r="T363" i="1"/>
  <c r="R363" i="1"/>
  <c r="R364" i="1"/>
  <c r="T364" i="1"/>
  <c r="T365" i="1"/>
  <c r="R365" i="1"/>
  <c r="AV366" i="1"/>
  <c r="AS366" i="1" s="1"/>
  <c r="R366" i="1"/>
  <c r="T366" i="1"/>
  <c r="AV367" i="1"/>
  <c r="AS367" i="1" s="1"/>
  <c r="T367" i="1"/>
  <c r="R367" i="1"/>
  <c r="R368" i="1"/>
  <c r="T368" i="1"/>
  <c r="R369" i="1"/>
  <c r="T369" i="1"/>
  <c r="R370" i="1"/>
  <c r="T370" i="1"/>
  <c r="R371" i="1"/>
  <c r="T371" i="1"/>
  <c r="R372" i="1"/>
  <c r="T372" i="1"/>
  <c r="R373" i="1"/>
  <c r="T373" i="1"/>
  <c r="R374" i="1"/>
  <c r="T374" i="1"/>
  <c r="T375" i="1"/>
  <c r="R375" i="1"/>
  <c r="R376" i="1"/>
  <c r="T376" i="1"/>
  <c r="R377" i="1"/>
  <c r="T377" i="1"/>
  <c r="R378" i="1"/>
  <c r="T378" i="1"/>
  <c r="R379" i="1"/>
  <c r="T379" i="1"/>
  <c r="T380" i="1"/>
  <c r="R380" i="1"/>
  <c r="R381" i="1"/>
  <c r="T381" i="1"/>
  <c r="R382" i="1"/>
  <c r="T382" i="1"/>
  <c r="AV383" i="1"/>
  <c r="AS383" i="1" s="1"/>
  <c r="T383" i="1"/>
  <c r="R383" i="1"/>
  <c r="AV384" i="1"/>
  <c r="AS384" i="1" s="1"/>
  <c r="R384" i="1"/>
  <c r="T384" i="1"/>
  <c r="T385" i="1"/>
  <c r="R385" i="1"/>
  <c r="R386" i="1"/>
  <c r="T386" i="1"/>
  <c r="R387" i="1"/>
  <c r="T387" i="1"/>
  <c r="R388" i="1"/>
  <c r="T388" i="1"/>
  <c r="R389" i="1"/>
  <c r="T389" i="1"/>
  <c r="AV390" i="1"/>
  <c r="AS390" i="1" s="1"/>
  <c r="R390" i="1"/>
  <c r="T390" i="1"/>
  <c r="AV391" i="1"/>
  <c r="AS391" i="1" s="1"/>
  <c r="T391" i="1"/>
  <c r="R391" i="1"/>
  <c r="AV392" i="1"/>
  <c r="AS392" i="1" s="1"/>
  <c r="T392" i="1"/>
  <c r="R392" i="1"/>
  <c r="R393" i="1"/>
  <c r="T393" i="1"/>
  <c r="R394" i="1"/>
  <c r="T394" i="1"/>
  <c r="R395" i="1"/>
  <c r="T395" i="1"/>
  <c r="R396" i="1"/>
  <c r="T396" i="1"/>
  <c r="AV397" i="1"/>
  <c r="AS397" i="1" s="1"/>
  <c r="R397" i="1"/>
  <c r="T397" i="1"/>
  <c r="T398" i="1"/>
  <c r="R398" i="1"/>
  <c r="AV399" i="1"/>
  <c r="AS399" i="1" s="1"/>
  <c r="R399" i="1"/>
  <c r="T399" i="1"/>
  <c r="T400" i="1"/>
  <c r="R400" i="1"/>
  <c r="T401" i="1"/>
  <c r="R401" i="1"/>
  <c r="T402" i="1"/>
  <c r="R402" i="1"/>
  <c r="R403" i="1"/>
  <c r="T403" i="1"/>
  <c r="R404" i="1"/>
  <c r="T404" i="1"/>
  <c r="R405" i="1"/>
  <c r="T405" i="1"/>
  <c r="R406" i="1"/>
  <c r="T406" i="1"/>
  <c r="T407" i="1"/>
  <c r="R407" i="1"/>
  <c r="AV408" i="1"/>
  <c r="AS408" i="1" s="1"/>
  <c r="R408" i="1"/>
  <c r="T408" i="1"/>
  <c r="R409" i="1"/>
  <c r="T409" i="1"/>
  <c r="R410" i="1"/>
  <c r="T410" i="1"/>
  <c r="R411" i="1"/>
  <c r="T411" i="1"/>
  <c r="AV412" i="1"/>
  <c r="AS412" i="1" s="1"/>
  <c r="R412" i="1"/>
  <c r="T412" i="1"/>
  <c r="R413" i="1"/>
  <c r="T413" i="1"/>
  <c r="T414" i="1"/>
  <c r="R414" i="1"/>
  <c r="AV415" i="1"/>
  <c r="AS415" i="1" s="1"/>
  <c r="R415" i="1"/>
  <c r="T415" i="1"/>
  <c r="AV416" i="1"/>
  <c r="AS416" i="1" s="1"/>
  <c r="T416" i="1"/>
  <c r="R416" i="1"/>
  <c r="AV417" i="1"/>
  <c r="AS417" i="1" s="1"/>
  <c r="R417" i="1"/>
  <c r="T417" i="1"/>
  <c r="R418" i="1"/>
  <c r="T418" i="1"/>
  <c r="AV419" i="1"/>
  <c r="AS419" i="1" s="1"/>
  <c r="R419" i="1"/>
  <c r="T419" i="1"/>
  <c r="T420" i="1"/>
  <c r="R420" i="1"/>
  <c r="R421" i="1"/>
  <c r="T421" i="1"/>
  <c r="R422" i="1"/>
  <c r="T422" i="1"/>
  <c r="R423" i="1"/>
  <c r="T423" i="1"/>
  <c r="AV424" i="1"/>
  <c r="AS424" i="1" s="1"/>
  <c r="R424" i="1"/>
  <c r="T424" i="1"/>
  <c r="AV425" i="1"/>
  <c r="AS425" i="1" s="1"/>
  <c r="R425" i="1"/>
  <c r="T425" i="1"/>
  <c r="T426" i="1"/>
  <c r="R426" i="1"/>
  <c r="T427" i="1"/>
  <c r="R427" i="1"/>
  <c r="AV428" i="1"/>
  <c r="AS428" i="1" s="1"/>
  <c r="R428" i="1"/>
  <c r="T428" i="1"/>
  <c r="R429" i="1"/>
  <c r="T429" i="1"/>
  <c r="T430" i="1"/>
  <c r="R430" i="1"/>
  <c r="R431" i="1"/>
  <c r="T431" i="1"/>
  <c r="AV432" i="1"/>
  <c r="AS432" i="1" s="1"/>
  <c r="R432" i="1"/>
  <c r="T432" i="1"/>
  <c r="R433" i="1"/>
  <c r="T433" i="1"/>
  <c r="AV434" i="1"/>
  <c r="AS434" i="1" s="1"/>
  <c r="R434" i="1"/>
  <c r="T434" i="1"/>
  <c r="T435" i="1"/>
  <c r="R435" i="1"/>
  <c r="AV436" i="1"/>
  <c r="AS436" i="1" s="1"/>
  <c r="R436" i="1"/>
  <c r="T436" i="1"/>
  <c r="R437" i="1"/>
  <c r="T437" i="1"/>
  <c r="T438" i="1"/>
  <c r="R438" i="1"/>
  <c r="R439" i="1"/>
  <c r="T439" i="1"/>
  <c r="R154" i="1"/>
  <c r="T154" i="1"/>
  <c r="Z154" i="1"/>
  <c r="AI154" i="1" s="1"/>
  <c r="T301" i="1"/>
  <c r="R301" i="1"/>
  <c r="Z301" i="1"/>
  <c r="AI301" i="1" s="1"/>
  <c r="T309" i="1"/>
  <c r="R309" i="1"/>
  <c r="Z309" i="1"/>
  <c r="AI309" i="1" s="1"/>
  <c r="T317" i="1"/>
  <c r="R317" i="1"/>
  <c r="Z317" i="1"/>
  <c r="AI317" i="1" s="1"/>
  <c r="R325" i="1"/>
  <c r="T325" i="1"/>
  <c r="Z325" i="1"/>
  <c r="AI325" i="1" s="1"/>
  <c r="T333" i="1"/>
  <c r="R333" i="1"/>
  <c r="Z333" i="1"/>
  <c r="AI333" i="1" s="1"/>
  <c r="R341" i="1"/>
  <c r="T341" i="1"/>
  <c r="Z341" i="1"/>
  <c r="AI341" i="1" s="1"/>
  <c r="T349" i="1"/>
  <c r="R349" i="1"/>
  <c r="Z349" i="1"/>
  <c r="AI349" i="1" s="1"/>
  <c r="R31" i="1"/>
  <c r="Z31" i="1"/>
  <c r="AI31" i="1" s="1"/>
  <c r="T302" i="1"/>
  <c r="R302" i="1"/>
  <c r="Z302" i="1"/>
  <c r="AI302" i="1" s="1"/>
  <c r="R310" i="1"/>
  <c r="T310" i="1"/>
  <c r="Z310" i="1"/>
  <c r="AI310" i="1" s="1"/>
  <c r="T318" i="1"/>
  <c r="R318" i="1"/>
  <c r="Z318" i="1"/>
  <c r="AI318" i="1" s="1"/>
  <c r="T326" i="1"/>
  <c r="R326" i="1"/>
  <c r="Z326" i="1"/>
  <c r="AI326" i="1" s="1"/>
  <c r="R334" i="1"/>
  <c r="T334" i="1"/>
  <c r="Z334" i="1"/>
  <c r="AI334" i="1" s="1"/>
  <c r="T342" i="1"/>
  <c r="R342" i="1"/>
  <c r="Z342" i="1"/>
  <c r="AI342" i="1" s="1"/>
  <c r="R350" i="1"/>
  <c r="T350" i="1"/>
  <c r="Z350" i="1"/>
  <c r="AI350" i="1" s="1"/>
  <c r="R32" i="1"/>
  <c r="Z32" i="1"/>
  <c r="AI32" i="1" s="1"/>
  <c r="AI72" i="1"/>
  <c r="R13" i="1"/>
  <c r="T13" i="1"/>
  <c r="Z13" i="1"/>
  <c r="AI13" i="1" s="1"/>
  <c r="R6" i="1"/>
  <c r="T6" i="1"/>
  <c r="Z6" i="1"/>
  <c r="AI6" i="1" s="1"/>
  <c r="R14" i="1"/>
  <c r="T14" i="1"/>
  <c r="Z14" i="1"/>
  <c r="AI14" i="1" s="1"/>
  <c r="T22" i="1"/>
  <c r="R22" i="1"/>
  <c r="Z22" i="1"/>
  <c r="AI22" i="1" s="1"/>
  <c r="T303" i="1"/>
  <c r="R303" i="1"/>
  <c r="Z303" i="1"/>
  <c r="AI303" i="1" s="1"/>
  <c r="R311" i="1"/>
  <c r="T311" i="1"/>
  <c r="Z311" i="1"/>
  <c r="AI311" i="1" s="1"/>
  <c r="R319" i="1"/>
  <c r="T319" i="1"/>
  <c r="Z319" i="1"/>
  <c r="AI319" i="1" s="1"/>
  <c r="T327" i="1"/>
  <c r="R327" i="1"/>
  <c r="Z327" i="1"/>
  <c r="AI327" i="1" s="1"/>
  <c r="R335" i="1"/>
  <c r="T335" i="1"/>
  <c r="Z335" i="1"/>
  <c r="AI335" i="1" s="1"/>
  <c r="R343" i="1"/>
  <c r="T343" i="1"/>
  <c r="Z343" i="1"/>
  <c r="AI343" i="1" s="1"/>
  <c r="R351" i="1"/>
  <c r="T351" i="1"/>
  <c r="Z351" i="1"/>
  <c r="AI351" i="1" s="1"/>
  <c r="R33" i="1"/>
  <c r="Z33" i="1"/>
  <c r="AI33" i="1" s="1"/>
  <c r="R36" i="1"/>
  <c r="T36" i="1"/>
  <c r="R80" i="1"/>
  <c r="Z80" i="1"/>
  <c r="AI80" i="1" s="1"/>
  <c r="R7" i="1"/>
  <c r="T7" i="1"/>
  <c r="Z7" i="1"/>
  <c r="AI7" i="1" s="1"/>
  <c r="T15" i="1"/>
  <c r="R15" i="1"/>
  <c r="R23" i="1"/>
  <c r="T23" i="1"/>
  <c r="Z23" i="1"/>
  <c r="AI23" i="1" s="1"/>
  <c r="T167" i="1"/>
  <c r="R167" i="1"/>
  <c r="Z167" i="1"/>
  <c r="AI167" i="1" s="1"/>
  <c r="R304" i="1"/>
  <c r="T304" i="1"/>
  <c r="Z304" i="1"/>
  <c r="AI304" i="1" s="1"/>
  <c r="R312" i="1"/>
  <c r="T312" i="1"/>
  <c r="Z312" i="1"/>
  <c r="AI312" i="1" s="1"/>
  <c r="R320" i="1"/>
  <c r="T320" i="1"/>
  <c r="Z320" i="1"/>
  <c r="AI320" i="1" s="1"/>
  <c r="R328" i="1"/>
  <c r="T328" i="1"/>
  <c r="Z328" i="1"/>
  <c r="AI328" i="1" s="1"/>
  <c r="R336" i="1"/>
  <c r="T336" i="1"/>
  <c r="Z336" i="1"/>
  <c r="AI336" i="1" s="1"/>
  <c r="R344" i="1"/>
  <c r="T344" i="1"/>
  <c r="Z344" i="1"/>
  <c r="AI344" i="1" s="1"/>
  <c r="R352" i="1"/>
  <c r="T352" i="1"/>
  <c r="Z352" i="1"/>
  <c r="AI352" i="1" s="1"/>
  <c r="R34" i="1"/>
  <c r="Z34" i="1"/>
  <c r="AI34" i="1" s="1"/>
  <c r="R8" i="1"/>
  <c r="T8" i="1"/>
  <c r="Z8" i="1"/>
  <c r="R16" i="1"/>
  <c r="T16" i="1"/>
  <c r="Z16" i="1"/>
  <c r="AI16" i="1" s="1"/>
  <c r="R24" i="1"/>
  <c r="T24" i="1"/>
  <c r="Z24" i="1"/>
  <c r="AV165" i="1"/>
  <c r="AS165" i="1" s="1"/>
  <c r="T165" i="1"/>
  <c r="R165" i="1"/>
  <c r="Z165" i="1"/>
  <c r="AI165" i="1" s="1"/>
  <c r="R166" i="1"/>
  <c r="T166" i="1"/>
  <c r="Z166" i="1"/>
  <c r="AI166" i="1" s="1"/>
  <c r="R168" i="1"/>
  <c r="T168" i="1"/>
  <c r="Z168" i="1"/>
  <c r="AI168" i="1" s="1"/>
  <c r="R170" i="1"/>
  <c r="T170" i="1"/>
  <c r="Z170" i="1"/>
  <c r="AI170" i="1" s="1"/>
  <c r="R305" i="1"/>
  <c r="T305" i="1"/>
  <c r="Z305" i="1"/>
  <c r="AI305" i="1" s="1"/>
  <c r="R313" i="1"/>
  <c r="T313" i="1"/>
  <c r="Z313" i="1"/>
  <c r="AI313" i="1" s="1"/>
  <c r="T321" i="1"/>
  <c r="R321" i="1"/>
  <c r="Z321" i="1"/>
  <c r="AI321" i="1" s="1"/>
  <c r="R329" i="1"/>
  <c r="T329" i="1"/>
  <c r="Z329" i="1"/>
  <c r="AI329" i="1" s="1"/>
  <c r="R337" i="1"/>
  <c r="T337" i="1"/>
  <c r="Z337" i="1"/>
  <c r="AI337" i="1" s="1"/>
  <c r="R345" i="1"/>
  <c r="T345" i="1"/>
  <c r="Z345" i="1"/>
  <c r="AI345" i="1" s="1"/>
  <c r="R353" i="1"/>
  <c r="T353" i="1"/>
  <c r="Z353" i="1"/>
  <c r="AI353" i="1" s="1"/>
  <c r="R35" i="1"/>
  <c r="Z35" i="1"/>
  <c r="AI35" i="1" s="1"/>
  <c r="Z36" i="1"/>
  <c r="AI36" i="1" s="1"/>
  <c r="R37" i="1"/>
  <c r="R115" i="1"/>
  <c r="Z115" i="1"/>
  <c r="AI115" i="1" s="1"/>
  <c r="AV41" i="1"/>
  <c r="AS41" i="1" s="1"/>
  <c r="AV103" i="1"/>
  <c r="AS103" i="1" s="1"/>
  <c r="AV47" i="1"/>
  <c r="AS47" i="1" s="1"/>
  <c r="AT424" i="1"/>
  <c r="AT189" i="1"/>
  <c r="AT234" i="1"/>
  <c r="AT215" i="1"/>
  <c r="AV426" i="1"/>
  <c r="AT382" i="1"/>
  <c r="AV255" i="1"/>
  <c r="AS255" i="1" s="1"/>
  <c r="AT386" i="1"/>
  <c r="AT358" i="1"/>
  <c r="AT202" i="1"/>
  <c r="AT165" i="1"/>
  <c r="AT177" i="1"/>
  <c r="AT273" i="1"/>
  <c r="AV405" i="1"/>
  <c r="AT366" i="1"/>
  <c r="AT190" i="1"/>
  <c r="AT194" i="1"/>
  <c r="AT290" i="1"/>
  <c r="AT412" i="1"/>
  <c r="AT172" i="1"/>
  <c r="AT158" i="1"/>
  <c r="AT437" i="1"/>
  <c r="AU155" i="1"/>
  <c r="AT195" i="1"/>
  <c r="AT428" i="1"/>
  <c r="AV435" i="1"/>
  <c r="AT381" i="1"/>
  <c r="AT408" i="1"/>
  <c r="AT416" i="1"/>
  <c r="AV272" i="1"/>
  <c r="AS272" i="1" s="1"/>
  <c r="AT299" i="1"/>
  <c r="AT239" i="1"/>
  <c r="AT287" i="1"/>
  <c r="AV292" i="1"/>
  <c r="AT214" i="1"/>
  <c r="AT257" i="1"/>
  <c r="AT203" i="1"/>
  <c r="AT206" i="1"/>
  <c r="AT216" i="1"/>
  <c r="AV242" i="1"/>
  <c r="AT198" i="1"/>
  <c r="AT218" i="1"/>
  <c r="AT243" i="1"/>
  <c r="AT265" i="1"/>
  <c r="AT288" i="1"/>
  <c r="AT268" i="1"/>
  <c r="AV360" i="1"/>
  <c r="AV382" i="1"/>
  <c r="AS382" i="1" s="1"/>
  <c r="AV398" i="1"/>
  <c r="AS398" i="1" s="1"/>
  <c r="AV433" i="1"/>
  <c r="AS433" i="1" s="1"/>
  <c r="AT433" i="1"/>
  <c r="AV358" i="1"/>
  <c r="AS358" i="1" s="1"/>
  <c r="AT385" i="1"/>
  <c r="AT400" i="1"/>
  <c r="AT176" i="1"/>
  <c r="AT373" i="1"/>
  <c r="AT401" i="1"/>
  <c r="AV157" i="1"/>
  <c r="AS157" i="1" s="1"/>
  <c r="AT370" i="1"/>
  <c r="AV374" i="1"/>
  <c r="AS374" i="1" s="1"/>
  <c r="AT439" i="1"/>
  <c r="AT377" i="1"/>
  <c r="AV161" i="1"/>
  <c r="AS161" i="1" s="1"/>
  <c r="AT354" i="1"/>
  <c r="AT374" i="1"/>
  <c r="AT378" i="1"/>
  <c r="AT389" i="1"/>
  <c r="AV404" i="1"/>
  <c r="AS404" i="1" s="1"/>
  <c r="AT404" i="1"/>
  <c r="AT431" i="1"/>
  <c r="AV420" i="1"/>
  <c r="AS420" i="1" s="1"/>
  <c r="AT420" i="1"/>
  <c r="AV375" i="1"/>
  <c r="AS375" i="1" s="1"/>
  <c r="AT407" i="1"/>
  <c r="AT413" i="1"/>
  <c r="AT417" i="1"/>
  <c r="AT365" i="1"/>
  <c r="AT429" i="1"/>
  <c r="AT156" i="1"/>
  <c r="AU164" i="1"/>
  <c r="AT164" i="1" s="1"/>
  <c r="AT173" i="1"/>
  <c r="AT181" i="1"/>
  <c r="AT186" i="1"/>
  <c r="AT187" i="1"/>
  <c r="AT192" i="1"/>
  <c r="AT200" i="1"/>
  <c r="AT223" i="1"/>
  <c r="AT357" i="1"/>
  <c r="AT369" i="1"/>
  <c r="AT397" i="1"/>
  <c r="AT432" i="1"/>
  <c r="AV175" i="1"/>
  <c r="AT178" i="1"/>
  <c r="AT179" i="1"/>
  <c r="AV262" i="1"/>
  <c r="AS262" i="1" s="1"/>
  <c r="AT262" i="1"/>
  <c r="AT210" i="1"/>
  <c r="AV238" i="1"/>
  <c r="AT157" i="1"/>
  <c r="AT436" i="1"/>
  <c r="AT394" i="1"/>
  <c r="AV234" i="1"/>
  <c r="AV248" i="1"/>
  <c r="AS248" i="1" s="1"/>
  <c r="AV251" i="1"/>
  <c r="AS251" i="1" s="1"/>
  <c r="AT362" i="1"/>
  <c r="AT390" i="1"/>
  <c r="AT421" i="1"/>
  <c r="AU169" i="1"/>
  <c r="AT169" i="1" s="1"/>
  <c r="AT197" i="1"/>
  <c r="AT205" i="1"/>
  <c r="AV214" i="1"/>
  <c r="AS214" i="1" s="1"/>
  <c r="AT226" i="1"/>
  <c r="AT231" i="1"/>
  <c r="AT361" i="1"/>
  <c r="AT393" i="1"/>
  <c r="AV177" i="1"/>
  <c r="AS177" i="1" s="1"/>
  <c r="AT208" i="1"/>
  <c r="AV243" i="1"/>
  <c r="AS243" i="1" s="1"/>
  <c r="AT295" i="1"/>
  <c r="AT260" i="1"/>
  <c r="AT296" i="1"/>
  <c r="AT248" i="1"/>
  <c r="AT254" i="1"/>
  <c r="AV284" i="1"/>
  <c r="AS284" i="1" s="1"/>
  <c r="AT276" i="1"/>
  <c r="AT282" i="1"/>
  <c r="AT291" i="1"/>
  <c r="AT256" i="1"/>
  <c r="AT264" i="1"/>
  <c r="AT270" i="1"/>
  <c r="AT283" i="1"/>
  <c r="AT272" i="1"/>
  <c r="AT278" i="1"/>
  <c r="AT280" i="1"/>
  <c r="AT376" i="1"/>
  <c r="AT368" i="1"/>
  <c r="AT360" i="1"/>
  <c r="AV376" i="1"/>
  <c r="AS376" i="1" s="1"/>
  <c r="AV368" i="1"/>
  <c r="AS368" i="1" s="1"/>
  <c r="AT384" i="1"/>
  <c r="AT392" i="1"/>
  <c r="AT399" i="1"/>
  <c r="AT355" i="1"/>
  <c r="AV361" i="1"/>
  <c r="AS361" i="1" s="1"/>
  <c r="AT363" i="1"/>
  <c r="AV369" i="1"/>
  <c r="AS369" i="1" s="1"/>
  <c r="AT371" i="1"/>
  <c r="AV377" i="1"/>
  <c r="AS377" i="1" s="1"/>
  <c r="AT379" i="1"/>
  <c r="AV385" i="1"/>
  <c r="AS385" i="1" s="1"/>
  <c r="AT387" i="1"/>
  <c r="AV393" i="1"/>
  <c r="AS393" i="1" s="1"/>
  <c r="AT395" i="1"/>
  <c r="AV400" i="1"/>
  <c r="AS400" i="1" s="1"/>
  <c r="AT402" i="1"/>
  <c r="AV403" i="1"/>
  <c r="AS403" i="1" s="1"/>
  <c r="AV406" i="1"/>
  <c r="AS406" i="1" s="1"/>
  <c r="AT427" i="1"/>
  <c r="AV354" i="1"/>
  <c r="AS354" i="1" s="1"/>
  <c r="AT356" i="1"/>
  <c r="AV362" i="1"/>
  <c r="AS362" i="1" s="1"/>
  <c r="AT364" i="1"/>
  <c r="AV370" i="1"/>
  <c r="AS370" i="1" s="1"/>
  <c r="AT372" i="1"/>
  <c r="AV378" i="1"/>
  <c r="AS378" i="1" s="1"/>
  <c r="AT380" i="1"/>
  <c r="AV386" i="1"/>
  <c r="AS386" i="1" s="1"/>
  <c r="AT388" i="1"/>
  <c r="AV394" i="1"/>
  <c r="AS394" i="1" s="1"/>
  <c r="AT396" i="1"/>
  <c r="AV401" i="1"/>
  <c r="AS401" i="1" s="1"/>
  <c r="AT405" i="1"/>
  <c r="AV410" i="1"/>
  <c r="AS410" i="1" s="1"/>
  <c r="AT426" i="1"/>
  <c r="AU160" i="1"/>
  <c r="AT160" i="1" s="1"/>
  <c r="AV355" i="1"/>
  <c r="AS355" i="1" s="1"/>
  <c r="AV363" i="1"/>
  <c r="AS363" i="1" s="1"/>
  <c r="AV371" i="1"/>
  <c r="AS371" i="1" s="1"/>
  <c r="AV379" i="1"/>
  <c r="AS379" i="1" s="1"/>
  <c r="AV387" i="1"/>
  <c r="AS387" i="1" s="1"/>
  <c r="AV395" i="1"/>
  <c r="AS395" i="1" s="1"/>
  <c r="AV402" i="1"/>
  <c r="AS402" i="1" s="1"/>
  <c r="AT411" i="1"/>
  <c r="AT435" i="1"/>
  <c r="AV356" i="1"/>
  <c r="AS356" i="1" s="1"/>
  <c r="AV364" i="1"/>
  <c r="AS364" i="1" s="1"/>
  <c r="AV372" i="1"/>
  <c r="AS372" i="1" s="1"/>
  <c r="AV380" i="1"/>
  <c r="AS380" i="1" s="1"/>
  <c r="AV388" i="1"/>
  <c r="AS388" i="1" s="1"/>
  <c r="AV396" i="1"/>
  <c r="AS396" i="1" s="1"/>
  <c r="AT409" i="1"/>
  <c r="AT434" i="1"/>
  <c r="AV357" i="1"/>
  <c r="AS357" i="1" s="1"/>
  <c r="AT359" i="1"/>
  <c r="AV365" i="1"/>
  <c r="AS365" i="1" s="1"/>
  <c r="AT367" i="1"/>
  <c r="AV373" i="1"/>
  <c r="AS373" i="1" s="1"/>
  <c r="AT375" i="1"/>
  <c r="AV381" i="1"/>
  <c r="AS381" i="1" s="1"/>
  <c r="AT383" i="1"/>
  <c r="AV389" i="1"/>
  <c r="AS389" i="1" s="1"/>
  <c r="AT391" i="1"/>
  <c r="AT398" i="1"/>
  <c r="AT406" i="1"/>
  <c r="AV411" i="1"/>
  <c r="AS411" i="1" s="1"/>
  <c r="AT418" i="1"/>
  <c r="AV423" i="1"/>
  <c r="AS423" i="1" s="1"/>
  <c r="AT423" i="1"/>
  <c r="AV407" i="1"/>
  <c r="AS407" i="1" s="1"/>
  <c r="AV409" i="1"/>
  <c r="AS409" i="1" s="1"/>
  <c r="AV418" i="1"/>
  <c r="AS418" i="1" s="1"/>
  <c r="AV427" i="1"/>
  <c r="AS427" i="1" s="1"/>
  <c r="AT403" i="1"/>
  <c r="AT410" i="1"/>
  <c r="AT415" i="1"/>
  <c r="AT419" i="1"/>
  <c r="AV162" i="1"/>
  <c r="AS162" i="1" s="1"/>
  <c r="AT162" i="1"/>
  <c r="AT174" i="1"/>
  <c r="AV174" i="1"/>
  <c r="AS174" i="1" s="1"/>
  <c r="AV159" i="1"/>
  <c r="AS159" i="1" s="1"/>
  <c r="AV213" i="1"/>
  <c r="AS213" i="1" s="1"/>
  <c r="AT213" i="1"/>
  <c r="AT414" i="1"/>
  <c r="AT422" i="1"/>
  <c r="AT430" i="1"/>
  <c r="AT438" i="1"/>
  <c r="AV163" i="1"/>
  <c r="AS163" i="1" s="1"/>
  <c r="AV413" i="1"/>
  <c r="AS413" i="1" s="1"/>
  <c r="AV421" i="1"/>
  <c r="AS421" i="1" s="1"/>
  <c r="AV429" i="1"/>
  <c r="AS429" i="1" s="1"/>
  <c r="AV437" i="1"/>
  <c r="AS437" i="1" s="1"/>
  <c r="AU166" i="1"/>
  <c r="AT166" i="1" s="1"/>
  <c r="AT185" i="1"/>
  <c r="AV414" i="1"/>
  <c r="AS414" i="1" s="1"/>
  <c r="AV422" i="1"/>
  <c r="AS422" i="1" s="1"/>
  <c r="AV430" i="1"/>
  <c r="AS430" i="1" s="1"/>
  <c r="AV438" i="1"/>
  <c r="AS438" i="1" s="1"/>
  <c r="AV155" i="1"/>
  <c r="AS155" i="1" s="1"/>
  <c r="AT175" i="1"/>
  <c r="AT425" i="1"/>
  <c r="AV431" i="1"/>
  <c r="AS431" i="1" s="1"/>
  <c r="AV439" i="1"/>
  <c r="AS439" i="1" s="1"/>
  <c r="AV156" i="1"/>
  <c r="AS156" i="1" s="1"/>
  <c r="AV166" i="1"/>
  <c r="AS166" i="1" s="1"/>
  <c r="AV176" i="1"/>
  <c r="AS176" i="1" s="1"/>
  <c r="AT193" i="1"/>
  <c r="AT159" i="1"/>
  <c r="AT161" i="1"/>
  <c r="AT201" i="1"/>
  <c r="AT209" i="1"/>
  <c r="AT163" i="1"/>
  <c r="AT224" i="1"/>
  <c r="AV224" i="1"/>
  <c r="AS224" i="1" s="1"/>
  <c r="AV184" i="1"/>
  <c r="AS184" i="1" s="1"/>
  <c r="AV192" i="1"/>
  <c r="AS192" i="1" s="1"/>
  <c r="AV200" i="1"/>
  <c r="AS200" i="1" s="1"/>
  <c r="AV208" i="1"/>
  <c r="AS208" i="1" s="1"/>
  <c r="AV212" i="1"/>
  <c r="AS212" i="1" s="1"/>
  <c r="AT240" i="1"/>
  <c r="AT258" i="1"/>
  <c r="AV258" i="1"/>
  <c r="AS258" i="1" s="1"/>
  <c r="AV178" i="1"/>
  <c r="AS178" i="1" s="1"/>
  <c r="AT180" i="1"/>
  <c r="AV186" i="1"/>
  <c r="AS186" i="1" s="1"/>
  <c r="AT188" i="1"/>
  <c r="AV194" i="1"/>
  <c r="AS194" i="1" s="1"/>
  <c r="AT196" i="1"/>
  <c r="AV202" i="1"/>
  <c r="AS202" i="1" s="1"/>
  <c r="AT204" i="1"/>
  <c r="AT211" i="1"/>
  <c r="AV179" i="1"/>
  <c r="AS179" i="1" s="1"/>
  <c r="AV187" i="1"/>
  <c r="AS187" i="1" s="1"/>
  <c r="AV195" i="1"/>
  <c r="AS195" i="1" s="1"/>
  <c r="AV203" i="1"/>
  <c r="AS203" i="1" s="1"/>
  <c r="AT244" i="1"/>
  <c r="AV244" i="1"/>
  <c r="AS244" i="1" s="1"/>
  <c r="AV180" i="1"/>
  <c r="AS180" i="1" s="1"/>
  <c r="AT182" i="1"/>
  <c r="AV188" i="1"/>
  <c r="AS188" i="1" s="1"/>
  <c r="AV196" i="1"/>
  <c r="AS196" i="1" s="1"/>
  <c r="AV204" i="1"/>
  <c r="AS204" i="1" s="1"/>
  <c r="AT232" i="1"/>
  <c r="AT183" i="1"/>
  <c r="AT191" i="1"/>
  <c r="AT199" i="1"/>
  <c r="AT207" i="1"/>
  <c r="AV240" i="1"/>
  <c r="AS240" i="1" s="1"/>
  <c r="AV182" i="1"/>
  <c r="AS182" i="1" s="1"/>
  <c r="AT184" i="1"/>
  <c r="AV190" i="1"/>
  <c r="AS190" i="1" s="1"/>
  <c r="AV198" i="1"/>
  <c r="AS198" i="1" s="1"/>
  <c r="AV206" i="1"/>
  <c r="AS206" i="1" s="1"/>
  <c r="AT212" i="1"/>
  <c r="AV245" i="1"/>
  <c r="AS245" i="1" s="1"/>
  <c r="AT245" i="1"/>
  <c r="AV215" i="1"/>
  <c r="AS215" i="1" s="1"/>
  <c r="AT217" i="1"/>
  <c r="AV223" i="1"/>
  <c r="AS223" i="1" s="1"/>
  <c r="AT225" i="1"/>
  <c r="AV231" i="1"/>
  <c r="AS231" i="1" s="1"/>
  <c r="AT233" i="1"/>
  <c r="AV239" i="1"/>
  <c r="AS239" i="1" s="1"/>
  <c r="AT241" i="1"/>
  <c r="AV246" i="1"/>
  <c r="AS246" i="1" s="1"/>
  <c r="AT247" i="1"/>
  <c r="AT253" i="1"/>
  <c r="AV217" i="1"/>
  <c r="AS217" i="1" s="1"/>
  <c r="AT219" i="1"/>
  <c r="AV225" i="1"/>
  <c r="AS225" i="1" s="1"/>
  <c r="AT227" i="1"/>
  <c r="AV233" i="1"/>
  <c r="AS233" i="1" s="1"/>
  <c r="AT235" i="1"/>
  <c r="AV241" i="1"/>
  <c r="AS241" i="1" s="1"/>
  <c r="AT246" i="1"/>
  <c r="AV247" i="1"/>
  <c r="AS247" i="1" s="1"/>
  <c r="AT249" i="1"/>
  <c r="AV250" i="1"/>
  <c r="AS250" i="1" s="1"/>
  <c r="AT252" i="1"/>
  <c r="AV286" i="1"/>
  <c r="AS286" i="1" s="1"/>
  <c r="AT286" i="1"/>
  <c r="AT220" i="1"/>
  <c r="AT228" i="1"/>
  <c r="AT236" i="1"/>
  <c r="AT242" i="1"/>
  <c r="AT263" i="1"/>
  <c r="AT289" i="1"/>
  <c r="AV289" i="1"/>
  <c r="AS289" i="1" s="1"/>
  <c r="AV219" i="1"/>
  <c r="AS219" i="1" s="1"/>
  <c r="AT221" i="1"/>
  <c r="AV227" i="1"/>
  <c r="AS227" i="1" s="1"/>
  <c r="AT229" i="1"/>
  <c r="AV235" i="1"/>
  <c r="AS235" i="1" s="1"/>
  <c r="AT237" i="1"/>
  <c r="AV249" i="1"/>
  <c r="AS249" i="1" s="1"/>
  <c r="AT251" i="1"/>
  <c r="AV252" i="1"/>
  <c r="AS252" i="1" s="1"/>
  <c r="AT222" i="1"/>
  <c r="AT230" i="1"/>
  <c r="AT238" i="1"/>
  <c r="AT250" i="1"/>
  <c r="AV253" i="1"/>
  <c r="AS253" i="1" s="1"/>
  <c r="AT255" i="1"/>
  <c r="AT266" i="1"/>
  <c r="AT271" i="1"/>
  <c r="AV221" i="1"/>
  <c r="AS221" i="1" s="1"/>
  <c r="AV229" i="1"/>
  <c r="AS229" i="1" s="1"/>
  <c r="AV237" i="1"/>
  <c r="AS237" i="1" s="1"/>
  <c r="AT279" i="1"/>
  <c r="AT274" i="1"/>
  <c r="AV281" i="1"/>
  <c r="AS281" i="1" s="1"/>
  <c r="AT293" i="1"/>
  <c r="AV293" i="1"/>
  <c r="AS293" i="1" s="1"/>
  <c r="AV257" i="1"/>
  <c r="AS257" i="1" s="1"/>
  <c r="AT259" i="1"/>
  <c r="AV265" i="1"/>
  <c r="AS265" i="1" s="1"/>
  <c r="AT267" i="1"/>
  <c r="AV273" i="1"/>
  <c r="AS273" i="1" s="1"/>
  <c r="AT275" i="1"/>
  <c r="AT284" i="1"/>
  <c r="AT294" i="1"/>
  <c r="AT297" i="1"/>
  <c r="AV259" i="1"/>
  <c r="AS259" i="1" s="1"/>
  <c r="AT261" i="1"/>
  <c r="AV267" i="1"/>
  <c r="AS267" i="1" s="1"/>
  <c r="AT269" i="1"/>
  <c r="AV275" i="1"/>
  <c r="AS275" i="1" s="1"/>
  <c r="AT277" i="1"/>
  <c r="AV294" i="1"/>
  <c r="AS294" i="1" s="1"/>
  <c r="AV260" i="1"/>
  <c r="AS260" i="1" s="1"/>
  <c r="AV268" i="1"/>
  <c r="AS268" i="1" s="1"/>
  <c r="AV276" i="1"/>
  <c r="AS276" i="1" s="1"/>
  <c r="AV297" i="1"/>
  <c r="AS297" i="1" s="1"/>
  <c r="AV261" i="1"/>
  <c r="AS261" i="1" s="1"/>
  <c r="AV269" i="1"/>
  <c r="AS269" i="1" s="1"/>
  <c r="AV277" i="1"/>
  <c r="AS277" i="1" s="1"/>
  <c r="AT285" i="1"/>
  <c r="AT292" i="1"/>
  <c r="AT298" i="1"/>
  <c r="AT281" i="1"/>
  <c r="AV285" i="1"/>
  <c r="AS285" i="1" s="1"/>
  <c r="AV288" i="1"/>
  <c r="AS288" i="1" s="1"/>
  <c r="AV282" i="1"/>
  <c r="AS282" i="1" s="1"/>
  <c r="AV290" i="1"/>
  <c r="AS290" i="1" s="1"/>
  <c r="AV298" i="1"/>
  <c r="AS298" i="1" s="1"/>
  <c r="AV299" i="1"/>
  <c r="AS299" i="1" s="1"/>
  <c r="AV295" i="1"/>
  <c r="AS295" i="1" s="1"/>
  <c r="AU39" i="1" l="1"/>
  <c r="AT39" i="1" s="1"/>
  <c r="AU76" i="1"/>
  <c r="AT76" i="1" s="1"/>
  <c r="AS426" i="1"/>
  <c r="AS175" i="1"/>
  <c r="AS238" i="1"/>
  <c r="AS360" i="1"/>
  <c r="AS435" i="1"/>
  <c r="AT155" i="1"/>
  <c r="AS234" i="1"/>
  <c r="AS242" i="1"/>
  <c r="AS405" i="1"/>
  <c r="AS292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L21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K20" i="8"/>
  <c r="J38" i="8"/>
  <c r="Q45" i="8"/>
  <c r="K60" i="8"/>
  <c r="Q18" i="8"/>
  <c r="O33" i="8"/>
  <c r="L44" i="8"/>
  <c r="Q56" i="8"/>
  <c r="O30" i="8"/>
  <c r="M38" i="8"/>
  <c r="R51" i="8"/>
  <c r="M24" i="8"/>
  <c r="L18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L2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K21" i="8"/>
  <c r="R33" i="8"/>
  <c r="R56" i="8"/>
  <c r="K18" i="8"/>
  <c r="R48" i="8"/>
  <c r="N32" i="8"/>
  <c r="O38" i="8"/>
  <c r="N50" i="8"/>
  <c r="S62" i="8"/>
  <c r="N21" i="8"/>
  <c r="P27" i="8"/>
  <c r="N45" i="8"/>
  <c r="P60" i="8"/>
  <c r="N18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N2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N22" i="8"/>
  <c r="N19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K22" i="8"/>
  <c r="K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L22" i="8"/>
  <c r="L19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F86" i="8"/>
  <c r="L85" i="8"/>
  <c r="L81" i="8"/>
  <c r="J85" i="8"/>
  <c r="F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M20" i="8" s="1"/>
  <c r="H357" i="7"/>
  <c r="I350" i="7"/>
  <c r="Q350" i="7"/>
  <c r="J32" i="8" s="1"/>
  <c r="T32" i="8" s="1"/>
  <c r="H359" i="7"/>
  <c r="P350" i="7"/>
  <c r="Q356" i="7"/>
  <c r="I85" i="8" s="1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M18" i="8" s="1"/>
  <c r="P353" i="7"/>
  <c r="K361" i="7"/>
  <c r="P357" i="7"/>
  <c r="K356" i="7"/>
  <c r="P355" i="7"/>
  <c r="P360" i="7"/>
  <c r="R352" i="7"/>
  <c r="I359" i="7"/>
  <c r="K359" i="7"/>
  <c r="K354" i="7"/>
  <c r="R355" i="7"/>
  <c r="R361" i="7"/>
  <c r="M21" i="8" s="1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K298" i="7"/>
  <c r="G294" i="7"/>
  <c r="G297" i="7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J21" i="8" l="1"/>
  <c r="T21" i="8" s="1"/>
  <c r="M22" i="8"/>
  <c r="M19" i="8"/>
  <c r="J18" i="8"/>
  <c r="J20" i="8"/>
  <c r="T20" i="8" s="1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H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J81" i="8" l="1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7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<sst xmlns="http://schemas.openxmlformats.org/spreadsheetml/2006/main" count="28371" uniqueCount="4832">
  <si>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</si>
  <si>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</si>
  <si>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</si>
  <si>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</si>
  <si>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</si>
  <si>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</si>
  <si>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</si>
  <si>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</si>
  <si>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</si>
  <si>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</si>
  <si>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</si>
  <si>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</si>
  <si>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</si>
  <si>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</si>
  <si>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</si>
  <si>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</si>
  <si>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</si>
  <si>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</si>
  <si>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</si>
  <si>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</si>
  <si>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</si>
  <si>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</si>
  <si>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</si>
  <si>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</si>
  <si>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</si>
  <si>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</si>
  <si>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</si>
  <si>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</si>
  <si>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</si>
  <si>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</si>
  <si>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</si>
  <si>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</si>
  <si>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</si>
  <si>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</si>
  <si>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</si>
  <si>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Colunas7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</si>
  <si>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</si>
  <si>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</si>
  <si>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</si>
  <si>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</si>
  <si>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</si>
  <si>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</si>
  <si>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</si>
  <si>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</si>
  <si>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</si>
  <si>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</si>
  <si>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</si>
  <si>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</si>
  <si>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</si>
  <si>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</si>
  <si>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</si>
  <si>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</si>
  <si>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</si>
  <si>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</si>
  <si>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</si>
  <si>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</si>
  <si>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</si>
  <si>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</si>
  <si>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</si>
  <si>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</si>
  <si>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</si>
  <si>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</si>
  <si>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</si>
  <si>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</si>
  <si>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</si>
  <si>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</si>
  <si>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</si>
  <si>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</si>
  <si>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</si>
  <si>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</si>
  <si>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</si>
  <si>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</si>
  <si>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</si>
  <si>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</si>
  <si>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</si>
  <si>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</si>
  <si>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</si>
  <si>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</si>
  <si>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</si>
  <si>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</si>
  <si>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</si>
  <si>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</si>
  <si>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</si>
  <si>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</si>
  <si>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</si>
  <si>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</si>
  <si>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</si>
  <si>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</si>
  <si>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</si>
  <si>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</si>
  <si>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</si>
  <si>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</si>
  <si>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</si>
  <si>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</si>
  <si>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</si>
  <si>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</si>
  <si>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</si>
  <si>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</si>
  <si>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</si>
  <si>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</si>
  <si>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</si>
  <si>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</si>
  <si>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</si>
  <si>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</si>
  <si>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</si>
  <si>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</si>
  <si>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</si>
  <si>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</si>
  <si>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</si>
  <si>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</si>
  <si>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</si>
  <si>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</si>
  <si>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</si>
  <si>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</si>
  <si>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</si>
  <si>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</si>
  <si>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</si>
  <si>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</si>
  <si>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</si>
  <si>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</si>
  <si>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</si>
  <si>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</si>
  <si>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</si>
  <si>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</si>
  <si>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</si>
  <si>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</si>
  <si>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</si>
  <si>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</si>
  <si>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</si>
  <si>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</si>
  <si>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</si>
  <si>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</si>
  <si>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</si>
  <si>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</si>
  <si>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</si>
  <si>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</si>
  <si>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</si>
  <si>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</si>
  <si>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</si>
  <si>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</si>
  <si>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</si>
  <si>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</si>
  <si>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</si>
  <si>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</si>
  <si>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</si>
  <si>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</si>
  <si>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</si>
  <si>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</si>
  <si>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</si>
  <si>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</si>
  <si>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</si>
  <si>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</si>
  <si>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</si>
  <si>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</si>
  <si>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</si>
  <si>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</si>
  <si>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</si>
  <si>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</si>
  <si>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</si>
  <si>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</si>
  <si>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</si>
  <si>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</si>
  <si>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</si>
  <si>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</si>
  <si>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</si>
  <si>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</si>
  <si>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</si>
  <si>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</si>
  <si>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</si>
  <si>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</si>
  <si>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</si>
  <si>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</si>
  <si>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</si>
  <si>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</si>
  <si>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</si>
  <si>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</si>
  <si>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</si>
  <si>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</si>
  <si>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</si>
  <si>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</si>
  <si>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</si>
  <si>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</si>
  <si>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</si>
  <si>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</si>
  <si>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</si>
  <si>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</si>
  <si>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</si>
  <si>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</si>
  <si>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</si>
  <si>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</si>
  <si>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</si>
  <si>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</si>
  <si>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</si>
  <si>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</si>
  <si>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</si>
  <si>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</si>
  <si>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</si>
  <si>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</si>
  <si>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</si>
  <si>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</si>
  <si>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</si>
  <si>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</si>
  <si>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</si>
  <si>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</si>
  <si>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</si>
  <si>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</si>
  <si>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</si>
  <si>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</si>
  <si>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</si>
  <si>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</si>
  <si>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</si>
  <si>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</si>
  <si>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</si>
  <si>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</si>
  <si>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</si>
  <si>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</si>
  <si>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</si>
  <si>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</si>
  <si>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</si>
  <si>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</si>
  <si>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</si>
  <si>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</si>
  <si>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</si>
  <si>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</si>
  <si>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</si>
  <si>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</si>
  <si>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</si>
  <si>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</si>
  <si>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</si>
  <si>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</si>
  <si>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</si>
  <si>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</si>
  <si>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</si>
  <si>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</si>
  <si>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</si>
  <si>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</si>
  <si>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</si>
  <si>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</si>
  <si>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</si>
  <si>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</si>
  <si>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</si>
  <si>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</si>
  <si>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</si>
  <si>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</si>
  <si>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</si>
  <si>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</si>
  <si>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</si>
  <si>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</si>
  <si>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</si>
  <si>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</si>
  <si>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</si>
  <si>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</si>
  <si>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</si>
  <si>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</si>
  <si>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</si>
  <si>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</si>
  <si>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</si>
  <si>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</si>
  <si>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</si>
  <si>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</si>
  <si>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</si>
  <si>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</si>
  <si>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</si>
  <si>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</si>
  <si>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</si>
  <si>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</si>
  <si>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</si>
  <si>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</si>
  <si>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</si>
  <si>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</si>
  <si>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</si>
  <si>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</si>
  <si>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</si>
  <si>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</si>
  <si>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</si>
  <si>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</si>
  <si>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</si>
  <si>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</si>
  <si>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</si>
  <si>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</si>
  <si>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</si>
  <si>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</si>
  <si>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</si>
  <si>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</si>
  <si>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</si>
  <si>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</si>
  <si>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</si>
  <si>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</si>
  <si>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</si>
  <si>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</si>
  <si>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</si>
  <si>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</si>
  <si>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</si>
  <si>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</si>
  <si>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</si>
  <si>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</si>
  <si>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</si>
  <si>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</si>
  <si>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</si>
  <si>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</si>
  <si>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</si>
  <si>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</si>
  <si>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</si>
  <si>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</si>
  <si>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</si>
  <si>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</si>
  <si>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</si>
  <si>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</si>
  <si>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</si>
  <si>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</si>
  <si>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</si>
  <si>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</si>
  <si>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</si>
  <si>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</si>
  <si>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</si>
  <si>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</si>
  <si>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</si>
  <si>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</si>
  <si>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</si>
  <si>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</si>
  <si>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</si>
  <si>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</si>
  <si>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</si>
  <si>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</si>
  <si>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</si>
  <si>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</si>
  <si>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</si>
  <si>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</si>
  <si>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</si>
  <si>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</si>
  <si>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</si>
  <si>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</si>
  <si>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</si>
  <si>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</si>
  <si>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</si>
  <si>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</si>
  <si>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</si>
  <si>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</si>
  <si>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</si>
  <si>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</si>
  <si>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</si>
  <si>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</si>
  <si>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</si>
  <si>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</si>
  <si>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</si>
  <si>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</si>
  <si>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</si>
  <si>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</si>
  <si>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</si>
  <si>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</si>
  <si>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</si>
  <si>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</si>
  <si>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</si>
  <si>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</si>
  <si>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</si>
  <si>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</si>
  <si>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</si>
  <si>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</si>
  <si>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</si>
  <si>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</si>
  <si>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</si>
  <si>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</si>
  <si>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</si>
  <si>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</si>
  <si>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</si>
  <si>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</si>
  <si>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</si>
  <si>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</si>
  <si>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</si>
  <si>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</si>
  <si>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</si>
  <si>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</si>
  <si>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</si>
  <si>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</si>
  <si>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</si>
  <si>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</si>
  <si>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</si>
  <si>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</si>
  <si>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</si>
  <si>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</si>
  <si>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</si>
  <si>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</si>
  <si>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</si>
  <si>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</si>
  <si>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</si>
  <si>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</si>
  <si>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</si>
  <si>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</si>
  <si>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</si>
  <si>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</si>
  <si>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</si>
  <si>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</si>
  <si>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</si>
  <si>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</si>
  <si>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</si>
  <si>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</si>
  <si>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</si>
  <si>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</si>
  <si>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</si>
  <si>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</si>
  <si>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</si>
  <si>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</si>
  <si>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</si>
  <si>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</si>
  <si>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</si>
  <si>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</si>
  <si>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</si>
  <si>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</si>
  <si>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</si>
  <si>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</si>
  <si>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</si>
  <si>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</si>
  <si>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</si>
  <si>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</si>
  <si>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</si>
  <si>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</si>
  <si>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</si>
  <si>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</si>
  <si>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</si>
  <si>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</si>
  <si>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</si>
  <si>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</si>
  <si>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</si>
  <si>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</si>
  <si>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</si>
  <si>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</si>
  <si>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</si>
  <si>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</si>
  <si>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</si>
  <si>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</si>
  <si>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</si>
  <si>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</si>
  <si>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</si>
  <si>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</si>
  <si>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</si>
  <si>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</si>
  <si>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</si>
  <si>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</si>
  <si>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</si>
  <si>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</si>
  <si>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</si>
  <si>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</si>
  <si>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</si>
  <si>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</si>
  <si>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</si>
  <si>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</si>
  <si>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</si>
  <si>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</si>
  <si>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</si>
  <si>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</si>
  <si>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</si>
  <si>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</si>
  <si>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</si>
  <si>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</si>
  <si>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</si>
  <si>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</si>
  <si>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</si>
  <si>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</si>
  <si>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</si>
  <si>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</si>
  <si>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</si>
  <si>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</si>
  <si>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</si>
  <si>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</si>
  <si>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</si>
  <si>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</si>
  <si>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</si>
  <si>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</si>
  <si>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</si>
  <si>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</si>
  <si>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</si>
  <si>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</si>
  <si>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</si>
  <si>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</si>
  <si>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</si>
  <si>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</si>
  <si>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</si>
  <si>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</si>
  <si>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</si>
  <si>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</si>
  <si>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</si>
  <si>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</si>
  <si>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</si>
  <si>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</si>
  <si>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</si>
  <si>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</si>
  <si>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</si>
  <si>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</si>
  <si>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</si>
  <si>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</si>
  <si>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</si>
  <si>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</si>
  <si>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</si>
  <si>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</si>
  <si>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</si>
  <si>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</si>
  <si>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ENTREGUE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</si>
  <si>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</si>
  <si>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</si>
  <si>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</si>
  <si>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</si>
  <si>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</si>
  <si>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</si>
  <si>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</si>
  <si>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</si>
  <si>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</si>
  <si>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</si>
  <si>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</si>
  <si>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</si>
  <si>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</si>
  <si>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</si>
  <si>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</si>
  <si>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</si>
  <si>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</si>
  <si>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</si>
  <si>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</si>
  <si>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</si>
  <si>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</si>
  <si>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</si>
  <si>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</si>
  <si>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</si>
  <si>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</si>
  <si>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</si>
  <si>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</si>
  <si>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</si>
  <si>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</si>
  <si>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</si>
  <si>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</si>
  <si>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</si>
  <si>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</si>
  <si>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</si>
  <si>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</si>
  <si>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</si>
  <si>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</si>
  <si>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</si>
  <si>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</si>
  <si>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</si>
  <si>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</si>
  <si>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</si>
  <si>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</si>
  <si>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</si>
  <si>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</si>
  <si>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</si>
  <si>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</si>
  <si>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</si>
  <si>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</si>
  <si>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</si>
  <si>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</si>
  <si>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</si>
  <si>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</si>
  <si>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</si>
  <si>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</si>
  <si>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</si>
  <si>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</si>
  <si>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</si>
  <si>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</si>
  <si>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</si>
  <si>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</si>
  <si>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</si>
  <si>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</si>
  <si>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</si>
  <si>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</si>
  <si>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</si>
  <si>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</si>
  <si>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</si>
  <si>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</si>
  <si>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</si>
  <si>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</si>
  <si>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</si>
  <si>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</si>
  <si>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</si>
  <si>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</si>
  <si>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</si>
  <si>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</si>
  <si>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</si>
  <si>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</si>
  <si>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</si>
  <si>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</si>
  <si>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</si>
  <si>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</si>
  <si>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</si>
  <si>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</si>
  <si>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</si>
  <si>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</si>
  <si>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</si>
  <si>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</si>
  <si>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</si>
  <si>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</si>
  <si>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</si>
  <si>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</si>
  <si>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</si>
  <si>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</si>
  <si>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</si>
  <si>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</si>
  <si>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</si>
  <si>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</si>
  <si>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</si>
  <si>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</si>
  <si>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</si>
  <si>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</si>
  <si>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</si>
  <si>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</si>
  <si>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</si>
  <si>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</si>
  <si>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</si>
  <si>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</si>
  <si>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</si>
  <si>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</si>
  <si>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</si>
  <si>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</si>
  <si>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</si>
  <si>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</si>
  <si>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</si>
  <si>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</si>
  <si>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</si>
  <si>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</si>
  <si>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</si>
  <si>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</si>
  <si>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</si>
  <si>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</si>
  <si>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</si>
  <si>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</si>
  <si>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</si>
  <si>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</si>
  <si>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</si>
  <si>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</si>
  <si>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</si>
  <si>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</si>
  <si>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</si>
  <si>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</si>
  <si>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</si>
  <si>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</si>
  <si>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</si>
  <si>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</si>
  <si>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</si>
  <si>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</si>
  <si>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</si>
  <si>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</si>
  <si>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</si>
  <si>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</si>
  <si>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</si>
  <si>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</si>
  <si>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</si>
  <si>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</si>
  <si>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</si>
  <si>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</si>
  <si>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</si>
  <si>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</si>
  <si>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</si>
  <si>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</si>
  <si>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</si>
  <si>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</si>
  <si>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</si>
  <si>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</si>
  <si>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</si>
  <si>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</si>
  <si>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</si>
  <si>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</si>
  <si>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</si>
  <si>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</si>
  <si>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</si>
  <si>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</si>
  <si>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</si>
  <si>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</si>
  <si>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</si>
  <si>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</si>
  <si>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</si>
  <si>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</si>
  <si>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</si>
  <si>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</si>
  <si>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</si>
  <si>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</si>
  <si>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</si>
  <si>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</si>
  <si>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</si>
  <si>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</si>
  <si>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</si>
  <si>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</si>
  <si>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</si>
  <si>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</si>
  <si>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</si>
  <si>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</si>
  <si>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</si>
  <si>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</si>
  <si>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</si>
  <si>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</si>
  <si>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</si>
  <si>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</si>
  <si>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</si>
  <si>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</si>
  <si>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</si>
  <si>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</si>
  <si>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</si>
  <si>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</si>
  <si>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</si>
  <si>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</si>
  <si>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</si>
  <si>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</si>
  <si>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</si>
  <si>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</si>
  <si>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</si>
  <si>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</si>
  <si>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</si>
  <si>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</si>
  <si>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</si>
  <si>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</si>
  <si>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</si>
  <si>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</si>
  <si>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</si>
  <si>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</si>
  <si>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</si>
  <si>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</si>
  <si>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</si>
  <si>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</si>
  <si>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</si>
  <si>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</si>
  <si>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</si>
  <si>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</si>
  <si>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</si>
  <si>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</si>
  <si>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</si>
  <si>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</si>
  <si>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</si>
  <si>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</si>
  <si>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</si>
  <si>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</si>
  <si>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</si>
  <si>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</si>
  <si>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</si>
  <si>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</si>
  <si>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</si>
  <si>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</si>
  <si>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</si>
  <si>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</si>
  <si>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</si>
  <si>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</si>
  <si>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</si>
  <si>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</si>
  <si>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</si>
  <si>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</si>
  <si>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</si>
  <si>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</si>
  <si>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</si>
  <si>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</si>
  <si>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</si>
  <si>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</si>
  <si>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</si>
  <si>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</si>
  <si>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</si>
  <si>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</si>
  <si>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</si>
  <si>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</si>
  <si>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</si>
  <si>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</si>
  <si>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</si>
  <si>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</si>
  <si>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</si>
  <si>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</si>
  <si>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</si>
  <si>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</si>
  <si>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</si>
  <si>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</si>
  <si>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</si>
  <si>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</si>
  <si>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</si>
  <si>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</si>
  <si>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</si>
  <si>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</si>
  <si>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</si>
  <si>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</si>
  <si>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</si>
  <si>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</si>
  <si>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</si>
  <si>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</si>
  <si>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</si>
  <si>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</si>
  <si>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</si>
  <si>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</si>
  <si>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</si>
  <si>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</si>
  <si>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</si>
  <si>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</si>
  <si>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</si>
  <si>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</si>
  <si>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</si>
  <si>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</si>
  <si>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</si>
  <si>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</si>
  <si>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</si>
  <si>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</si>
  <si>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</si>
  <si>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</si>
  <si>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</si>
  <si>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</si>
  <si>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</si>
  <si>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</si>
  <si>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</si>
  <si>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</si>
  <si>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</si>
  <si>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</si>
  <si>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</si>
  <si>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</si>
  <si>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</si>
  <si>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</si>
  <si>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</si>
  <si>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</si>
  <si>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</si>
  <si>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</si>
  <si>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</si>
  <si>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</si>
  <si>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</si>
  <si>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</si>
  <si>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</si>
  <si>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</si>
  <si>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</si>
  <si>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</si>
  <si>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</si>
  <si>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</si>
  <si>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</si>
  <si>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</si>
  <si>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</si>
  <si>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</si>
  <si>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</si>
  <si>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</si>
  <si>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</si>
  <si>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</si>
  <si>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</si>
  <si>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</si>
  <si>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</si>
  <si>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</si>
  <si>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</si>
  <si>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</si>
  <si>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</si>
  <si>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</si>
  <si>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</si>
  <si>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</si>
  <si>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</si>
  <si>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</si>
  <si>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</si>
  <si>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</si>
  <si>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</si>
  <si>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</si>
  <si>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</si>
  <si>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</si>
  <si>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</si>
  <si>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</si>
  <si>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</si>
  <si>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</si>
  <si>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</si>
  <si>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</si>
  <si>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</si>
  <si>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</si>
  <si>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</si>
  <si>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</si>
  <si>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</si>
  <si>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</si>
  <si>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</si>
  <si>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</si>
  <si>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</si>
  <si>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</si>
  <si>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</si>
  <si>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</si>
  <si>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</si>
  <si>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</si>
  <si>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</si>
  <si>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</si>
  <si>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</si>
  <si>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</si>
  <si>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</si>
  <si>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</si>
  <si>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</si>
  <si>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</si>
  <si>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</si>
  <si>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</si>
  <si>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</si>
  <si>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</si>
  <si>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</si>
  <si>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</si>
  <si>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</si>
  <si>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</si>
  <si>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</si>
  <si>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</si>
  <si>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</si>
  <si>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</si>
  <si>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</si>
  <si>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</si>
  <si>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</si>
  <si>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</si>
  <si>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</si>
  <si>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</si>
  <si>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</si>
  <si>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</si>
  <si>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</si>
  <si>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</si>
  <si>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</si>
  <si>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</si>
  <si>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</si>
  <si>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</si>
  <si>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</si>
  <si>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</si>
  <si>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</si>
  <si>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</si>
  <si>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</si>
  <si>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</si>
  <si>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</si>
  <si>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</si>
  <si>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</si>
  <si>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</si>
  <si>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</si>
  <si>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</si>
  <si>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</si>
  <si>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</si>
  <si>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</si>
  <si>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</si>
  <si>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</si>
  <si>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</si>
  <si>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</si>
  <si>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</si>
  <si>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</si>
  <si>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</si>
  <si>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</si>
  <si>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</si>
  <si>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</si>
  <si>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</si>
  <si>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</si>
  <si>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</si>
  <si>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</si>
  <si>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</si>
  <si>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</si>
  <si>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</si>
  <si>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</si>
  <si>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</si>
  <si>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</si>
  <si>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</si>
  <si>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</si>
  <si>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</si>
  <si>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</si>
  <si>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</si>
  <si>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</si>
  <si>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</si>
  <si>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</si>
  <si>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</si>
  <si>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</si>
  <si>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</si>
  <si>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</si>
  <si>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</si>
  <si>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</si>
  <si>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</si>
  <si>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</si>
  <si>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</si>
  <si>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</si>
  <si>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</si>
  <si>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</si>
  <si>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</si>
  <si>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</si>
  <si>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</si>
  <si>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</si>
  <si>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</si>
  <si>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</si>
  <si>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</si>
  <si>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</si>
  <si>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</si>
  <si>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</si>
  <si>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</si>
  <si>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</si>
  <si>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</si>
  <si>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</si>
  <si>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</si>
  <si>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</si>
  <si>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</si>
  <si>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</si>
  <si>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</si>
  <si>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</si>
  <si>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</si>
  <si>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</si>
  <si>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</si>
  <si>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</si>
  <si>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</si>
  <si>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</si>
  <si>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</si>
  <si>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</si>
  <si>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</si>
  <si>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</si>
  <si>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</si>
  <si>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</si>
  <si>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</si>
  <si>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</si>
  <si>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</si>
  <si>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</si>
  <si>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</si>
  <si>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</si>
  <si>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</si>
  <si>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</si>
  <si>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</si>
  <si>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</si>
  <si>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</si>
  <si>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</si>
  <si>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</si>
  <si>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</si>
  <si>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</si>
  <si>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</si>
  <si>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</si>
  <si>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</si>
  <si>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</si>
  <si>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</si>
  <si>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</si>
  <si>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</si>
  <si>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</si>
  <si>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</si>
  <si>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</si>
  <si>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</si>
  <si>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</si>
  <si>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</si>
  <si>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</si>
  <si>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</si>
  <si>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</si>
  <si>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</si>
  <si>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</si>
  <si>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</si>
  <si>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</si>
  <si>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</si>
  <si>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</si>
  <si>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</si>
  <si>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</si>
  <si>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</si>
  <si>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</si>
  <si>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</si>
  <si>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</si>
  <si>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</si>
  <si>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</si>
  <si>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</si>
  <si>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</si>
  <si>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</si>
  <si>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</si>
  <si>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</si>
  <si>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</si>
  <si>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</si>
  <si>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</si>
  <si>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</si>
  <si>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</si>
  <si>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</si>
  <si>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</si>
  <si>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</si>
  <si>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</si>
  <si>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</si>
  <si>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</si>
  <si>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</si>
  <si>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</si>
  <si>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</si>
  <si>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</si>
  <si>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</si>
  <si>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</si>
  <si>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</si>
  <si>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</si>
  <si>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</si>
  <si>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</si>
  <si>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</si>
  <si>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</si>
  <si>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</si>
  <si>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</si>
  <si>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</si>
  <si>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</si>
  <si>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</si>
  <si>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</si>
  <si>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</si>
  <si>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</si>
  <si>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</si>
  <si>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</si>
  <si>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</si>
  <si>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</si>
  <si>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</si>
  <si>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</si>
  <si>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</si>
  <si>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</si>
  <si>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</si>
  <si>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</si>
  <si>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</si>
  <si>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</si>
  <si>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</si>
  <si>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</si>
  <si>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</si>
  <si>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</si>
  <si>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</si>
  <si>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</si>
  <si>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</si>
  <si>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</si>
  <si>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</si>
  <si>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</si>
  <si>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</si>
  <si>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</si>
  <si>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</si>
  <si>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</si>
  <si>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</si>
  <si>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</si>
  <si>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</si>
  <si>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</si>
  <si>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</si>
  <si>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</si>
  <si>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</si>
  <si>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</si>
  <si>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</si>
  <si>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</si>
  <si>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</si>
  <si>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</si>
  <si>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</si>
  <si>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</si>
  <si>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</si>
  <si>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</si>
  <si>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</si>
  <si>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</si>
  <si>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</si>
  <si>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</si>
  <si>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</si>
  <si>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</si>
  <si>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</si>
  <si>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</si>
  <si>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</si>
  <si>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</si>
  <si>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</si>
  <si>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</si>
  <si>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</si>
  <si>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</si>
  <si>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</si>
  <si>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</si>
  <si>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</si>
  <si>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</si>
  <si>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</si>
  <si>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</si>
  <si>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</si>
  <si>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</si>
  <si>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</si>
  <si>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</si>
  <si>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</si>
  <si>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</si>
  <si>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</si>
  <si>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</si>
  <si>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</si>
  <si>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</si>
  <si>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</si>
  <si>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</si>
  <si>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</si>
  <si>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</si>
  <si>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</si>
  <si>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</si>
  <si>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</si>
  <si>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</si>
  <si>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</si>
  <si>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</si>
  <si>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</si>
  <si>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</si>
  <si>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</si>
  <si>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</si>
  <si>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</si>
  <si>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</si>
  <si>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</si>
  <si>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</si>
  <si>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</si>
  <si>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</si>
  <si>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</si>
  <si>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</si>
  <si>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</si>
  <si>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</si>
  <si>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</si>
  <si>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</si>
  <si>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</si>
  <si>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</si>
  <si>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</si>
  <si>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</si>
  <si>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</si>
  <si>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</si>
  <si>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</si>
  <si>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</si>
  <si>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</si>
  <si>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</si>
  <si>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</si>
  <si>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</si>
  <si>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</si>
  <si>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</si>
  <si>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</si>
  <si>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</si>
  <si>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</si>
  <si>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</si>
  <si>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</si>
  <si>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</si>
  <si>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</si>
  <si>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</si>
  <si>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</si>
  <si>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</si>
  <si>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</si>
  <si>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</si>
  <si>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</si>
  <si>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</si>
  <si>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</si>
  <si>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</si>
  <si>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</si>
  <si>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</si>
  <si>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</si>
  <si>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</si>
  <si>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</si>
  <si>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</si>
  <si>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</si>
  <si>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</si>
  <si>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</si>
  <si>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</si>
  <si>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</si>
  <si>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</si>
  <si>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</si>
  <si>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</si>
  <si>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</si>
  <si>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</si>
  <si>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</si>
  <si>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</si>
  <si>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</si>
  <si>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</si>
  <si>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</si>
  <si>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</si>
  <si>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</si>
  <si>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</si>
  <si>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</si>
  <si>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</si>
  <si>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</si>
  <si>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</si>
  <si>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</si>
  <si>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</si>
  <si>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</si>
  <si>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</si>
  <si>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</si>
  <si>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</si>
  <si>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</si>
  <si>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</si>
  <si>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</si>
  <si>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</si>
  <si>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</si>
  <si>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</si>
  <si>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</si>
  <si>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</si>
  <si>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</si>
  <si>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</si>
  <si>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</si>
  <si>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</si>
  <si>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</si>
  <si>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</si>
  <si>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</si>
  <si>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</si>
  <si>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</si>
  <si>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</si>
  <si>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</si>
  <si>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</si>
  <si>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</si>
  <si>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</si>
  <si>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</si>
  <si>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</si>
  <si>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</si>
  <si>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</si>
  <si>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</si>
  <si>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</si>
  <si>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</si>
  <si>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</si>
  <si>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</si>
  <si>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</si>
  <si>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</si>
  <si>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</si>
  <si>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</si>
  <si>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</si>
  <si>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</si>
  <si>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</si>
  <si>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</si>
  <si>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</si>
  <si>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</si>
  <si>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</si>
  <si>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</si>
  <si>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</si>
  <si>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</si>
  <si>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</si>
  <si>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</si>
  <si>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</si>
  <si>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</si>
  <si>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</si>
  <si>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</si>
  <si>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</si>
  <si>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</si>
  <si>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</si>
  <si>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</si>
  <si>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</si>
  <si>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</si>
  <si>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</si>
  <si>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</si>
  <si>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</si>
  <si>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</si>
  <si>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</si>
  <si>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</si>
  <si>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</si>
  <si>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</si>
  <si>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</si>
  <si>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</si>
  <si>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</si>
  <si>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</si>
  <si>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</si>
  <si>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</si>
  <si>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</si>
  <si>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</si>
  <si>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</si>
  <si>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</si>
  <si>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</si>
  <si>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</si>
  <si>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</si>
  <si>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</si>
  <si>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</si>
  <si>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</si>
  <si>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</si>
  <si>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</si>
  <si>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</si>
  <si>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</si>
  <si>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</si>
  <si>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</si>
  <si>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</si>
  <si>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</si>
  <si>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</si>
  <si>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</si>
  <si>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</si>
  <si>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</si>
  <si>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</si>
  <si>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</si>
  <si>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</si>
  <si>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</si>
  <si>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</si>
  <si>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</si>
  <si>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</si>
  <si>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</si>
  <si>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</si>
  <si>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</si>
  <si>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</si>
  <si>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</si>
  <si>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</si>
  <si>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</si>
  <si>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</si>
  <si>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</si>
  <si>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</si>
  <si>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</si>
  <si>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</si>
  <si>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</si>
  <si>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</si>
  <si>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</si>
  <si>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</si>
  <si>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</si>
  <si>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</si>
  <si>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</si>
  <si>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</si>
  <si>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</si>
  <si>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</si>
  <si>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</si>
  <si>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</si>
  <si>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</si>
  <si>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</si>
  <si>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</si>
  <si>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</si>
  <si>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</si>
  <si>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</si>
  <si>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</si>
  <si>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</si>
  <si>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</si>
  <si>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</si>
  <si>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</si>
  <si>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</si>
  <si>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</si>
  <si>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</si>
  <si>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</si>
  <si>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</si>
  <si>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</si>
  <si>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</si>
  <si>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</si>
  <si>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</si>
  <si>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</si>
  <si>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</si>
  <si>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</si>
  <si>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</si>
  <si>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</si>
  <si>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</si>
  <si>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</si>
  <si>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</si>
  <si>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</si>
  <si>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</si>
  <si>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</si>
  <si>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</si>
  <si>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</si>
  <si>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</si>
  <si>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</si>
  <si>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</si>
  <si>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</si>
  <si>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</si>
  <si>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</si>
  <si>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</si>
  <si>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</si>
  <si>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</si>
  <si>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</si>
  <si>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</si>
  <si>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</si>
  <si>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</si>
  <si>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</si>
  <si>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</si>
  <si>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</si>
  <si>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</si>
  <si>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</si>
  <si>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</si>
  <si>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</si>
  <si>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</si>
  <si>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</si>
  <si>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</si>
  <si>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</si>
  <si>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</si>
  <si>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</si>
  <si>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</si>
  <si>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</si>
  <si>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</si>
  <si>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</si>
  <si>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</si>
  <si>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</si>
  <si>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</si>
  <si>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</si>
  <si>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</si>
  <si>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</si>
  <si>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</si>
  <si>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</si>
  <si>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</si>
  <si>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</si>
  <si>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</si>
  <si>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</si>
  <si>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</si>
  <si>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</si>
  <si>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</si>
  <si>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</si>
  <si>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</si>
  <si>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</si>
  <si>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</si>
  <si>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</si>
  <si>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</si>
  <si>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</si>
  <si>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</si>
  <si>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</si>
  <si>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</si>
  <si>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</si>
  <si>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</si>
  <si>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</si>
  <si>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</si>
  <si>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</si>
  <si>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</si>
  <si>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</si>
  <si>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</si>
  <si>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</si>
  <si>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</si>
  <si>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</si>
  <si>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</si>
  <si>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</si>
  <si>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</si>
  <si>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</si>
  <si>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</si>
  <si>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</si>
  <si>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</si>
  <si>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</si>
  <si>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</si>
  <si>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</si>
  <si>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</si>
  <si>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</si>
  <si>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</si>
  <si>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</si>
  <si>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</si>
  <si>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</si>
  <si>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</si>
  <si>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</si>
  <si>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</si>
  <si>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</si>
  <si>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</si>
  <si>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</si>
  <si>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</si>
  <si>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</si>
  <si>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</si>
  <si>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</si>
  <si>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</si>
  <si>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</si>
  <si>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</si>
  <si>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</si>
  <si>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</si>
  <si>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</si>
  <si>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</si>
  <si>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</si>
  <si>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</si>
  <si>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</si>
  <si>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</si>
  <si>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</si>
  <si>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</si>
  <si>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</si>
  <si>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</si>
  <si>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</si>
  <si>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</si>
  <si>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</si>
  <si>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</si>
  <si>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</si>
  <si>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</si>
  <si>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</si>
  <si>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</si>
  <si>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</si>
  <si>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</si>
  <si>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</si>
  <si>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</si>
  <si>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</si>
  <si>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</si>
  <si>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</si>
  <si>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</si>
  <si>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</si>
  <si>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</si>
  <si>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</si>
  <si>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</si>
  <si>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</si>
  <si>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</si>
  <si>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</si>
  <si>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</si>
  <si>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</si>
  <si>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</si>
  <si>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</si>
  <si>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</si>
  <si>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</si>
  <si>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</si>
  <si>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</si>
  <si>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</si>
  <si>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</si>
  <si>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</si>
  <si>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</si>
  <si>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</si>
  <si>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</si>
  <si>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</si>
  <si>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</si>
  <si>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</si>
  <si>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</si>
  <si>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</si>
  <si>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</si>
  <si>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</si>
  <si>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</si>
  <si>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</si>
  <si>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</si>
  <si>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</si>
  <si>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</si>
  <si>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</si>
  <si>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</si>
  <si>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</si>
  <si>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</si>
  <si>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</si>
  <si>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</si>
  <si>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</si>
  <si>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</si>
  <si>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</si>
  <si>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</si>
  <si>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</si>
  <si>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</si>
  <si>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</si>
  <si>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</si>
  <si>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</si>
  <si>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</si>
  <si>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</si>
  <si>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</si>
  <si>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</si>
  <si>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</si>
  <si>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</si>
  <si>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</si>
  <si>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</si>
  <si>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</si>
  <si>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</si>
  <si>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</si>
  <si>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</si>
  <si>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</si>
  <si>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</si>
  <si>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</si>
  <si>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</si>
  <si>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</si>
  <si>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</si>
  <si>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</si>
  <si>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</si>
  <si>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</si>
  <si>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</si>
  <si>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</si>
  <si>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</si>
  <si>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</si>
  <si>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</si>
  <si>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</si>
  <si>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</si>
  <si>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</si>
  <si>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</si>
  <si>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</si>
  <si>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</si>
  <si>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</si>
  <si>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</si>
  <si>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</si>
  <si>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</si>
  <si>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</si>
  <si>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</si>
  <si>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</si>
  <si>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</si>
  <si>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</si>
  <si>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</si>
  <si>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</si>
  <si>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</si>
  <si>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</si>
  <si>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</si>
  <si>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</si>
  <si>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</si>
  <si>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</si>
  <si>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</si>
  <si>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</si>
  <si>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</si>
  <si>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</si>
  <si>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</si>
  <si>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</si>
  <si>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</si>
  <si>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</si>
  <si>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</si>
  <si>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</si>
  <si>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</si>
  <si>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</si>
  <si>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</si>
  <si>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</si>
  <si>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</si>
  <si>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</si>
  <si>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</si>
  <si>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</si>
  <si>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</si>
  <si>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</si>
  <si>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</si>
  <si>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</si>
  <si>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</si>
  <si>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</si>
  <si>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</si>
  <si>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</si>
  <si>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</si>
  <si>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</si>
  <si>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</si>
  <si>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</si>
  <si>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</si>
  <si>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</si>
  <si>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</si>
  <si>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</si>
  <si>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</si>
  <si>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</si>
  <si>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</si>
  <si>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</si>
  <si>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</si>
  <si>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</si>
  <si>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</si>
  <si>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</si>
  <si>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</si>
  <si>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</si>
  <si>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</si>
  <si>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</si>
  <si>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</si>
  <si>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</si>
  <si>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</si>
  <si>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</si>
  <si>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</si>
  <si>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</si>
  <si>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</si>
  <si>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</si>
  <si>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</si>
  <si>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</si>
  <si>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</si>
  <si>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</si>
  <si>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</si>
  <si>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</si>
  <si>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</si>
  <si>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</si>
  <si>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</si>
  <si>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</si>
  <si>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</si>
  <si>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</si>
  <si>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</si>
  <si>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</si>
  <si>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</si>
  <si>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</si>
  <si>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</si>
  <si>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</si>
  <si>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</si>
  <si>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</si>
  <si>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</si>
  <si>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</si>
  <si>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</si>
  <si>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</si>
  <si>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</si>
  <si>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</si>
  <si>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</si>
  <si>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</si>
  <si>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</si>
  <si>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</si>
  <si>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</si>
  <si>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</si>
  <si>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</si>
  <si>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</si>
  <si>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</si>
  <si>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</si>
  <si>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</si>
  <si>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</si>
  <si>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</si>
  <si>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</si>
  <si>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</si>
  <si>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</si>
  <si>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</si>
  <si>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</si>
  <si>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</si>
  <si>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</si>
  <si>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</si>
  <si>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</si>
  <si>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</si>
  <si>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</si>
  <si>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</si>
  <si>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</si>
  <si>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</si>
  <si>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</si>
  <si>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</si>
  <si>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</si>
  <si>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</si>
  <si>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</si>
  <si>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</si>
  <si>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</si>
  <si>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</si>
  <si>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</si>
  <si>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</si>
  <si>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</si>
  <si>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</si>
  <si>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</si>
  <si>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</si>
  <si>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</si>
  <si>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</si>
  <si>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</si>
  <si>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</si>
  <si>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</si>
  <si>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</si>
  <si>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</si>
  <si>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</si>
  <si>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</si>
  <si>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</si>
  <si>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</si>
  <si>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</si>
  <si>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</si>
  <si>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</si>
  <si>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</si>
  <si>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</si>
  <si>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</si>
  <si>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</si>
  <si>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</si>
  <si>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</si>
  <si>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</si>
  <si>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</si>
  <si>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</si>
  <si>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</si>
  <si>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</si>
  <si>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</si>
  <si>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</si>
  <si>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</si>
  <si>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</si>
  <si>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</si>
  <si>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</si>
  <si>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</si>
  <si>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</si>
  <si>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</si>
  <si>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</si>
  <si>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</si>
  <si>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</si>
  <si>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</si>
  <si>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</si>
  <si>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</si>
  <si>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</si>
  <si>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</si>
  <si>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</si>
  <si>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</si>
  <si>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</si>
  <si>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</si>
  <si>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</si>
  <si>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</si>
  <si>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</si>
  <si>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</si>
  <si>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</si>
  <si>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</si>
  <si>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</si>
  <si>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</si>
  <si>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</si>
  <si>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</si>
  <si>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</si>
  <si>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</si>
  <si>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</si>
  <si>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</si>
  <si>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</si>
  <si>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</si>
  <si>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</si>
  <si>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</si>
  <si>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</si>
  <si>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</si>
  <si>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</si>
  <si>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</si>
  <si>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</si>
  <si>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</si>
  <si>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</si>
  <si>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</si>
  <si>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</si>
  <si>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</si>
  <si>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</si>
  <si>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</si>
  <si>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</si>
  <si>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</si>
  <si>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</si>
  <si>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</si>
  <si>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</si>
  <si>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</si>
  <si>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</si>
  <si>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</si>
  <si>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</si>
  <si>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</si>
  <si>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</si>
  <si>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</si>
  <si>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</si>
  <si>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</si>
  <si>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</si>
  <si>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</si>
  <si>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</si>
  <si>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</si>
  <si>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</si>
  <si>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</si>
  <si>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</si>
  <si>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</si>
  <si>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</si>
  <si>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</si>
  <si>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</si>
  <si>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</si>
  <si>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</si>
  <si>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</si>
  <si>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</si>
  <si>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</si>
  <si>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</si>
  <si>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</si>
  <si>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</si>
  <si>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</si>
  <si>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</si>
  <si>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</si>
  <si>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</si>
  <si>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</si>
  <si>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</si>
  <si>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</si>
  <si>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</si>
  <si>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</si>
  <si>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</si>
  <si>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</si>
  <si>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</si>
  <si>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</si>
  <si>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</si>
  <si>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</si>
  <si>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</si>
  <si>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</si>
  <si>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</si>
  <si>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</si>
  <si>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</si>
  <si>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</si>
  <si>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</si>
  <si>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</si>
  <si>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</si>
  <si>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</si>
  <si>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</si>
  <si>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</si>
  <si>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</si>
  <si>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</si>
  <si>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</si>
  <si>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</si>
  <si>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</si>
  <si>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</si>
  <si>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</si>
  <si>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</si>
  <si>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</si>
  <si>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</si>
  <si>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</si>
  <si>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</si>
  <si>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</si>
  <si>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</si>
  <si>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</si>
  <si>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</si>
  <si>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</si>
  <si>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</si>
  <si>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</si>
  <si>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</si>
  <si>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</si>
  <si>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</si>
  <si>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</si>
  <si>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</si>
  <si>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</si>
  <si>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</si>
  <si>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</si>
  <si>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</si>
  <si>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</si>
  <si>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</si>
  <si>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</si>
  <si>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</si>
  <si>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</si>
  <si>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</si>
  <si>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</si>
  <si>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</si>
  <si>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</si>
  <si>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</si>
  <si>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</si>
  <si>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</si>
  <si>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</si>
  <si>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</si>
  <si>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</si>
  <si>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</si>
  <si>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</si>
  <si>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</si>
  <si>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</si>
  <si>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</si>
  <si>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</si>
  <si>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</si>
  <si>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</si>
  <si>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</si>
  <si>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</si>
  <si>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</si>
  <si>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</si>
  <si>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</si>
  <si>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</si>
  <si>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</si>
  <si>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</si>
  <si>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</si>
  <si>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</si>
  <si>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</si>
  <si>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</si>
  <si>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</si>
  <si>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</si>
  <si>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</si>
  <si>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</si>
  <si>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</si>
  <si>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</si>
  <si>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</si>
  <si>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</si>
  <si>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</si>
  <si>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</si>
  <si>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</si>
  <si>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</si>
  <si>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</si>
  <si>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</si>
  <si>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</si>
  <si>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</si>
  <si>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</si>
  <si>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</si>
  <si>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</si>
  <si>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</si>
  <si>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</si>
  <si>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</si>
  <si>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</si>
  <si>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</si>
  <si>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</si>
  <si>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</si>
  <si>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</si>
  <si>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</si>
  <si>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</si>
  <si>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</si>
  <si>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</si>
  <si>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</si>
  <si>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</si>
  <si>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</si>
  <si>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</si>
  <si>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</si>
  <si>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</si>
  <si>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</si>
  <si>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</si>
  <si>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</si>
  <si>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</si>
  <si>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</si>
  <si>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</si>
  <si>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</si>
  <si>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</si>
  <si>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</si>
  <si>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</si>
  <si>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</si>
  <si>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</si>
  <si>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</si>
  <si>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</si>
  <si>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</si>
  <si>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</si>
  <si>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</si>
  <si>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</si>
  <si>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</si>
  <si>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</si>
  <si>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</si>
  <si>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</si>
  <si>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</si>
  <si>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</si>
  <si>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</si>
  <si>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</si>
  <si>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</si>
  <si>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</si>
  <si>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</si>
  <si>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</si>
  <si>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</si>
  <si>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</si>
  <si>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</si>
  <si>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</si>
  <si>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</si>
  <si>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</si>
  <si>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</si>
  <si>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</si>
  <si>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</si>
  <si>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</si>
  <si>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</si>
  <si>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</si>
  <si>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</si>
  <si>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</si>
  <si>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</si>
  <si>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</si>
  <si>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</si>
  <si>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</si>
  <si>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</si>
  <si>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</si>
  <si>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</si>
  <si>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</si>
  <si>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</si>
  <si>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</si>
  <si>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</si>
  <si>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</si>
  <si>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</si>
  <si>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</si>
  <si>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</si>
  <si>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</si>
  <si>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</si>
  <si>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</si>
  <si>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</si>
  <si>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</si>
  <si>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</si>
  <si>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</si>
  <si>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</si>
  <si>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</si>
  <si>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</si>
  <si>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</si>
  <si>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</si>
  <si>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</si>
  <si>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</si>
  <si>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</si>
  <si>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</si>
  <si>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</si>
  <si>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</si>
  <si>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</si>
  <si>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</si>
  <si>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</si>
  <si>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</si>
  <si>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</si>
  <si>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</si>
  <si>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</si>
  <si>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</si>
  <si>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</si>
  <si>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</si>
  <si>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</si>
  <si>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</si>
  <si>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</si>
  <si>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</si>
  <si>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</si>
  <si>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</si>
  <si>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</si>
  <si>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</si>
  <si>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</si>
  <si>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</si>
  <si>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</si>
  <si>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</si>
  <si>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</si>
  <si>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</si>
  <si>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</si>
  <si>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</si>
  <si>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</si>
  <si>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</si>
  <si>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</si>
  <si>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</si>
  <si>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</si>
  <si>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</si>
  <si>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</si>
  <si>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</si>
  <si>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</si>
  <si>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</si>
  <si>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</si>
  <si>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</si>
  <si>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</si>
  <si>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</si>
  <si>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</si>
  <si>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</si>
  <si>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</si>
  <si>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</si>
  <si>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</si>
  <si>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</si>
  <si>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</si>
  <si>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</si>
  <si>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</si>
  <si>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</si>
  <si>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</si>
  <si>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</si>
  <si>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</si>
  <si>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</si>
  <si>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</si>
  <si>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</si>
  <si>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</si>
  <si>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</si>
  <si>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</si>
  <si>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</si>
  <si>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</si>
  <si>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</si>
  <si>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</si>
  <si>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</si>
  <si>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</si>
  <si>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</si>
  <si>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</si>
  <si>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</si>
  <si>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</si>
  <si>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</si>
  <si>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</si>
  <si>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</si>
  <si>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</si>
  <si>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</si>
  <si>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</si>
  <si>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</si>
  <si>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</si>
  <si>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</si>
  <si>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</si>
  <si>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</si>
  <si>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</si>
  <si>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</si>
  <si>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</si>
  <si>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</si>
  <si>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</si>
  <si>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</si>
  <si>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</si>
  <si>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</si>
  <si>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</si>
  <si>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</si>
  <si>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</si>
  <si>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</si>
  <si>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</si>
  <si>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</si>
  <si>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</si>
  <si>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</si>
  <si>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</si>
  <si>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</si>
  <si>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</si>
  <si>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</si>
  <si>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</si>
  <si>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</si>
  <si>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</si>
  <si>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</si>
  <si>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</si>
  <si>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</si>
  <si>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</si>
  <si>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</si>
  <si>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</si>
  <si>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</si>
  <si>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</si>
  <si>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</si>
  <si>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</si>
  <si>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</si>
  <si>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</si>
  <si>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</si>
  <si>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</si>
  <si>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</si>
  <si>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</si>
  <si>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</si>
  <si>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</si>
  <si>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</si>
  <si>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</si>
  <si>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</si>
  <si>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</si>
  <si>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</si>
  <si>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</si>
  <si>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</si>
  <si>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</si>
  <si>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</si>
  <si>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</si>
  <si>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</si>
  <si>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</si>
  <si>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</si>
  <si>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</si>
  <si>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</si>
  <si>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</si>
  <si>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</si>
  <si>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</si>
  <si>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</si>
  <si>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</si>
  <si>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</si>
  <si>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</si>
  <si>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</si>
  <si>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</si>
  <si>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</si>
  <si>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</si>
  <si>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</si>
  <si>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</si>
  <si>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</si>
  <si>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</si>
  <si>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</si>
  <si>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</si>
  <si>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</si>
  <si>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</si>
  <si>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</si>
  <si>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</si>
  <si>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</si>
  <si>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</si>
  <si>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</si>
  <si>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</si>
  <si>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</si>
  <si>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</si>
  <si>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</si>
  <si>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</si>
  <si>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</si>
  <si>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</si>
  <si>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</si>
  <si>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</si>
  <si>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</si>
  <si>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</si>
  <si>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</si>
  <si>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</si>
  <si>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</si>
  <si>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</si>
  <si>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</si>
  <si>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</si>
  <si>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</si>
  <si>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</si>
  <si>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</si>
  <si>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</si>
  <si>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</si>
  <si>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</si>
  <si>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</si>
  <si>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</si>
  <si>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</si>
  <si>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</si>
  <si>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</si>
  <si>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</si>
  <si>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</si>
  <si>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</si>
  <si>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</si>
  <si>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</si>
  <si>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</si>
  <si>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</si>
  <si>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</si>
  <si>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</si>
  <si>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</si>
  <si>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</si>
  <si>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</si>
  <si>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</si>
  <si>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</si>
  <si>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</si>
  <si>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</si>
  <si>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</si>
  <si>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</si>
  <si>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</si>
  <si>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</si>
  <si>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</si>
  <si>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</si>
  <si>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</si>
  <si>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</si>
  <si>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</si>
  <si>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</si>
  <si>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</si>
  <si>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</si>
  <si>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</si>
  <si>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</si>
  <si>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</si>
  <si>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</si>
  <si>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</si>
  <si>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</si>
  <si>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</si>
  <si>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</si>
  <si>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</si>
  <si>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</si>
  <si>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</si>
  <si>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</si>
  <si>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</si>
  <si>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</si>
  <si>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</si>
  <si>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</si>
  <si>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</si>
  <si>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</si>
  <si>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</si>
  <si>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</si>
  <si>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</si>
  <si>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</si>
  <si>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</si>
  <si>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</si>
  <si>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</si>
  <si>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</si>
  <si>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</si>
  <si>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</si>
  <si>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</si>
  <si>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</si>
  <si>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</si>
  <si>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</si>
  <si>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</si>
  <si>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</si>
  <si>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</si>
  <si>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</si>
  <si>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</si>
  <si>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</si>
  <si>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</si>
  <si>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</si>
  <si>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</si>
  <si>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</si>
  <si>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</si>
  <si>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</si>
  <si>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</si>
  <si>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</si>
  <si>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</si>
  <si>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</si>
  <si>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</si>
  <si>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</si>
  <si>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</si>
  <si>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</si>
  <si>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</si>
  <si>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</si>
  <si>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</si>
  <si>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</si>
  <si>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</si>
  <si>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</si>
  <si>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</si>
  <si>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</si>
  <si>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</si>
  <si>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</si>
  <si>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</si>
  <si>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</si>
  <si>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</si>
  <si>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</si>
  <si>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</si>
  <si>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</si>
  <si>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</si>
  <si>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</si>
  <si>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</si>
  <si>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</si>
  <si>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</si>
  <si>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</si>
  <si>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</si>
  <si>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</si>
  <si>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</si>
  <si>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</si>
  <si>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</si>
  <si>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</si>
  <si>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</si>
  <si>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</si>
  <si>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</si>
  <si>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</si>
  <si>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</si>
  <si>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</si>
  <si>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</si>
  <si>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</si>
  <si>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</si>
  <si>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</si>
  <si>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</si>
  <si>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</si>
  <si>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</si>
  <si>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</si>
  <si>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</si>
  <si>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</si>
  <si>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</si>
  <si>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</si>
  <si>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</si>
  <si>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</si>
  <si>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</si>
  <si>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</si>
  <si>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</si>
  <si>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</si>
  <si>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</si>
  <si>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</si>
  <si>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</si>
  <si>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</si>
  <si>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</si>
  <si>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</si>
  <si>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</si>
  <si>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</si>
  <si>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</si>
  <si>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</si>
  <si>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</si>
  <si>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</si>
  <si>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</si>
  <si>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</si>
  <si>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</si>
  <si>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</si>
  <si>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</si>
  <si>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</si>
  <si>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</si>
  <si>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</si>
  <si>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</si>
  <si>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</si>
  <si>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</si>
  <si>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</si>
  <si>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</si>
  <si>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</si>
  <si>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</si>
  <si>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</si>
  <si>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</si>
  <si>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</si>
  <si>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</si>
  <si>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</si>
  <si>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</si>
  <si>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</si>
  <si>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</si>
  <si>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</si>
  <si>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</si>
  <si>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</si>
  <si>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</si>
  <si>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</si>
  <si>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</si>
  <si>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</si>
  <si>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</si>
  <si>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</si>
  <si>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</si>
  <si>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</si>
  <si>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</si>
  <si>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</si>
  <si>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</si>
  <si>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</si>
  <si>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</si>
  <si>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</si>
  <si>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</si>
  <si>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</si>
  <si>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</si>
  <si>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</si>
  <si>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</si>
  <si>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</si>
  <si>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</si>
  <si>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</si>
  <si>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</si>
  <si>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</si>
  <si>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</si>
  <si>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</si>
  <si>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</si>
  <si>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</si>
  <si>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</si>
  <si>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</si>
  <si>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</si>
  <si>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</si>
  <si>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</si>
  <si>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</si>
  <si>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</si>
  <si>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</si>
  <si>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</si>
  <si>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</si>
  <si>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</si>
  <si>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</si>
  <si>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</si>
  <si>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</si>
  <si>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</si>
  <si>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</si>
  <si>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</si>
  <si>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</si>
  <si>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</si>
  <si>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</si>
  <si>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</si>
  <si>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</si>
  <si>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</si>
  <si>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</si>
  <si>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</si>
  <si>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</si>
  <si>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</si>
  <si>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</si>
  <si>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</si>
  <si>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</si>
  <si>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</si>
  <si>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</si>
  <si>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</si>
  <si>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</si>
  <si>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</si>
  <si>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</si>
  <si>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</si>
  <si>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</si>
  <si>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</si>
  <si>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</si>
  <si>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</si>
  <si>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</si>
  <si>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</si>
  <si>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</si>
  <si>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</si>
  <si>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</si>
  <si>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</si>
  <si>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</si>
  <si>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</si>
  <si>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</si>
  <si>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</si>
  <si>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</si>
  <si>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</si>
  <si>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</si>
  <si>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</si>
  <si>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</si>
  <si>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</si>
  <si>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</si>
  <si>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</si>
  <si>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</si>
  <si>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</si>
  <si>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</si>
  <si>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</si>
  <si>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</si>
  <si>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</si>
  <si>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</si>
  <si>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</si>
  <si>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</si>
  <si>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</si>
  <si>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</si>
  <si>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</si>
  <si>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</si>
  <si>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</si>
  <si>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</si>
  <si>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</si>
  <si>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</si>
  <si>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</si>
  <si>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</si>
  <si>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</si>
  <si>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</si>
  <si>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</si>
  <si>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</si>
  <si>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</si>
  <si>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</si>
  <si>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</si>
  <si>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</si>
  <si>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</si>
  <si>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</si>
  <si>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</si>
  <si>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</si>
  <si>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</si>
  <si>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</si>
  <si>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</si>
  <si>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</si>
  <si>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</si>
  <si>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</si>
  <si>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</si>
  <si>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</si>
  <si>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</si>
  <si>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</si>
  <si>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</si>
  <si>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</si>
  <si>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</si>
  <si>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</si>
  <si>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</si>
  <si>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</si>
  <si>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</si>
  <si>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</si>
  <si>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</si>
  <si>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</si>
  <si>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</si>
  <si>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</si>
  <si>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</si>
  <si>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</si>
  <si>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</si>
  <si>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</si>
  <si>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</si>
  <si>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</si>
  <si>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</si>
  <si>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</si>
  <si>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</si>
  <si>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</si>
  <si>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</si>
  <si>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</si>
  <si>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</si>
  <si>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</si>
  <si>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</si>
  <si>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</si>
  <si>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</si>
  <si>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</si>
  <si>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</si>
  <si>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</si>
  <si>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</si>
  <si>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</si>
  <si>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</si>
  <si>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</si>
  <si>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</si>
  <si>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</si>
  <si>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</si>
  <si>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</si>
  <si>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</si>
  <si>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</si>
  <si>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</si>
  <si>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</si>
  <si>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</si>
  <si>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</si>
  <si>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</si>
  <si>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</si>
  <si>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</si>
  <si>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</si>
  <si>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</si>
  <si>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</si>
  <si>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</si>
  <si>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</si>
  <si>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</si>
  <si>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</si>
  <si>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</si>
  <si>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</si>
  <si>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</si>
  <si>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</si>
  <si>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</si>
  <si>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</si>
  <si>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</si>
  <si>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</si>
  <si>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</si>
  <si>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</si>
  <si>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</si>
  <si>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</si>
  <si>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</si>
  <si>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</si>
  <si>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</si>
  <si>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</si>
  <si>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</si>
  <si>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</si>
  <si>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</si>
  <si>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</si>
  <si>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</si>
  <si>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</si>
  <si>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</si>
  <si>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</si>
  <si>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</si>
  <si>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</si>
  <si>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</si>
  <si>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</si>
  <si>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</si>
  <si>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</si>
  <si>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</si>
  <si>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</si>
  <si>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</si>
  <si>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</si>
  <si>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</si>
  <si>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</si>
  <si>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</si>
  <si>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</si>
  <si>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</si>
  <si>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</si>
  <si>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</si>
  <si>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</si>
  <si>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</si>
  <si>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</si>
  <si>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</si>
  <si>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</si>
  <si>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</si>
  <si>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</si>
  <si>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</si>
  <si>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</si>
  <si>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</si>
  <si>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</si>
  <si>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</si>
  <si>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</si>
  <si>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</si>
  <si>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</si>
  <si>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</si>
  <si>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</si>
  <si>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</si>
  <si>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</si>
  <si>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</si>
  <si>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</si>
  <si>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</si>
  <si>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</si>
  <si>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</si>
  <si>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</si>
  <si>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</si>
  <si>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</si>
  <si>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</si>
  <si>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</si>
  <si>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</si>
  <si>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</si>
  <si>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</si>
  <si>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</si>
  <si>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</si>
  <si>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</si>
  <si>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</si>
  <si>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</si>
  <si>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</si>
  <si>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</si>
  <si>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</si>
  <si>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</si>
  <si>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</si>
  <si>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</si>
  <si>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</si>
  <si>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</si>
  <si>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</si>
  <si>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</si>
  <si>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</si>
  <si>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</si>
  <si>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</si>
  <si>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</si>
  <si>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</si>
  <si>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</si>
  <si>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</si>
  <si>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</si>
  <si>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</si>
  <si>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</si>
  <si>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</si>
  <si>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</si>
  <si>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</si>
  <si>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</si>
  <si>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</si>
  <si>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</si>
  <si>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</si>
  <si>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</si>
  <si>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</si>
  <si>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</si>
  <si>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</si>
  <si>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</si>
  <si>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</si>
  <si>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</si>
  <si>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</si>
  <si>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</si>
  <si>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</si>
  <si>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</si>
  <si>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</si>
  <si>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</si>
  <si>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</si>
  <si>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</si>
  <si>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</si>
  <si>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</si>
  <si>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</si>
  <si>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</si>
  <si>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</si>
  <si>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</si>
  <si>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</si>
  <si>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</si>
  <si>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</si>
  <si>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</si>
  <si>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</si>
  <si>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</si>
  <si>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</si>
  <si>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</si>
  <si>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</si>
  <si>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</si>
  <si>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</si>
  <si>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</si>
  <si>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</si>
  <si>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</si>
  <si>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</si>
  <si>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</si>
  <si>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</si>
  <si>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</si>
  <si>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</si>
  <si>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</si>
  <si>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</si>
  <si>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</si>
  <si>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</si>
  <si>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</si>
  <si>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</si>
  <si>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</si>
  <si>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</si>
  <si>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</si>
  <si>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</si>
  <si>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</si>
  <si>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</si>
  <si>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</si>
  <si>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</si>
  <si>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</si>
  <si>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</si>
  <si>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</si>
  <si>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</si>
  <si>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</si>
  <si>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</si>
  <si>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</si>
  <si>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</si>
  <si>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</si>
  <si>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</si>
  <si>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</si>
  <si>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</si>
  <si>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</si>
  <si>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</si>
  <si>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</si>
  <si>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</si>
  <si>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</si>
  <si>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</si>
  <si>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</si>
  <si>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</si>
  <si>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</si>
  <si>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</si>
  <si>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</si>
  <si>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</si>
  <si>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</si>
  <si>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</si>
  <si>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</si>
  <si>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</si>
  <si>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</si>
  <si>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</si>
  <si>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</si>
  <si>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</si>
  <si>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</si>
  <si>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</si>
  <si>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</si>
  <si>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</si>
  <si>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</si>
  <si>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</si>
  <si>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</si>
  <si>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</si>
  <si>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</si>
  <si>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</si>
  <si>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</si>
  <si>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</si>
  <si>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</si>
  <si>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</si>
  <si>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</si>
  <si>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</si>
  <si>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</si>
  <si>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</si>
  <si>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</si>
  <si>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</si>
  <si>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</si>
  <si>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</si>
  <si>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</si>
  <si>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</si>
  <si>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</si>
  <si>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</si>
  <si>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</si>
  <si>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</si>
  <si>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</si>
  <si>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</si>
  <si>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</si>
  <si>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</si>
  <si>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</si>
  <si>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</si>
  <si>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</si>
  <si>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</si>
  <si>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</si>
  <si>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</si>
  <si>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</si>
  <si>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</si>
  <si>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</si>
  <si>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</si>
  <si>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</si>
  <si>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</si>
  <si>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</si>
  <si>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</si>
  <si>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</si>
  <si>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</si>
  <si>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</si>
  <si>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</si>
  <si>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</si>
  <si>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</si>
  <si>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</si>
  <si>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</si>
  <si>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</si>
  <si>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</si>
  <si>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</si>
  <si>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</si>
  <si>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</si>
  <si>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</si>
  <si>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</si>
  <si>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</si>
  <si>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</si>
  <si>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</si>
  <si>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</si>
  <si>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</si>
  <si>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</si>
  <si>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</si>
  <si>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</si>
  <si>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</si>
  <si>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</si>
  <si>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</si>
  <si>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</si>
  <si>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</si>
  <si>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</si>
  <si>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</si>
  <si>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</si>
  <si>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</si>
  <si>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</si>
  <si>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</si>
  <si>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</si>
  <si>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</si>
  <si>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</si>
  <si>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</si>
  <si>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</si>
  <si>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</si>
  <si>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</si>
  <si>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</si>
  <si>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</si>
  <si>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</si>
  <si>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</si>
  <si>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</si>
  <si>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</si>
  <si>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</si>
  <si>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</si>
  <si>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</si>
  <si>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</si>
  <si>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</si>
  <si>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</si>
  <si>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</si>
  <si>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</si>
  <si>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</si>
  <si>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</si>
  <si>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</si>
  <si>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</si>
  <si>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</si>
  <si>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</si>
  <si>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</si>
  <si>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</si>
  <si>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</si>
  <si>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</si>
  <si>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</si>
  <si>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</si>
  <si>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</si>
  <si>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</si>
  <si>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</si>
  <si>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</si>
  <si>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</si>
  <si>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</si>
  <si>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</si>
  <si>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</si>
  <si>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</si>
  <si>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</si>
  <si>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</si>
  <si>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</si>
  <si>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</si>
  <si>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</si>
  <si>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</si>
  <si>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</si>
  <si>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</si>
  <si>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</si>
  <si>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</si>
  <si>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</si>
  <si>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</si>
  <si>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</si>
  <si>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</si>
  <si>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</si>
  <si>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</si>
  <si>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</si>
  <si>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</si>
  <si>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</si>
  <si>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</si>
  <si>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</si>
  <si>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</si>
  <si>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</si>
  <si>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</si>
  <si>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</si>
  <si>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</si>
  <si>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</si>
  <si>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</si>
  <si>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</si>
  <si>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</si>
  <si>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</si>
  <si>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</si>
  <si>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</si>
  <si>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</si>
  <si>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</si>
  <si>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</si>
  <si>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</si>
  <si>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</si>
  <si>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</si>
  <si>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</si>
  <si>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</si>
  <si>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</si>
  <si>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</si>
  <si>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</si>
  <si>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</si>
  <si>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</si>
  <si>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</si>
  <si>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</si>
  <si>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</si>
  <si>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</si>
  <si>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</si>
  <si>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</si>
  <si>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</si>
  <si>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</si>
  <si>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</si>
  <si>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</si>
  <si>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</si>
  <si>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</si>
  <si>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</si>
  <si>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</si>
  <si>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</si>
  <si>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</si>
  <si>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</si>
  <si>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</si>
  <si>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</si>
  <si>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</si>
  <si>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</si>
  <si>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</si>
  <si>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</si>
  <si>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</si>
  <si>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</si>
  <si>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</si>
  <si>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</si>
  <si>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</si>
  <si>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</si>
  <si>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</si>
  <si>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</si>
  <si>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</si>
  <si>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</si>
  <si>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</si>
  <si>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</si>
  <si>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</si>
  <si>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</si>
  <si>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</si>
  <si>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</si>
  <si>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</si>
  <si>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</si>
  <si>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</si>
  <si>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</si>
  <si>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</si>
  <si>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</si>
  <si>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</si>
  <si>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</si>
  <si>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</si>
  <si>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</si>
  <si>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</si>
  <si>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</si>
  <si>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</si>
  <si>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</si>
  <si>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</si>
  <si>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</si>
  <si>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</si>
  <si>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</si>
  <si>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</si>
  <si>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</si>
  <si>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</si>
  <si>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</si>
  <si>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</si>
  <si>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</si>
  <si>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</si>
  <si>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</si>
  <si>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</si>
  <si>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</si>
  <si>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</si>
  <si>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</si>
  <si>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</si>
  <si>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</si>
  <si>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</si>
  <si>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</si>
  <si>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</si>
  <si>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</si>
  <si>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</si>
  <si>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</si>
  <si>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</si>
  <si>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</si>
  <si>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</si>
  <si>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</si>
  <si>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</si>
  <si>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</si>
  <si>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</si>
  <si>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</si>
  <si>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</si>
  <si>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</si>
  <si>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</si>
  <si>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</si>
  <si>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</si>
  <si>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</si>
  <si>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</si>
  <si>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</si>
  <si>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</si>
  <si>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</si>
  <si>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</si>
  <si>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</si>
  <si>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</si>
  <si>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</si>
  <si>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</si>
  <si>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</si>
  <si>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</si>
  <si>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</si>
  <si>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</si>
  <si>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</si>
  <si>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</si>
  <si>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</si>
  <si>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</si>
  <si>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</si>
  <si>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</si>
  <si>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</si>
  <si>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</si>
  <si>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</si>
  <si>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</si>
  <si>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</si>
  <si>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</si>
  <si>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</si>
  <si>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</si>
  <si>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</si>
  <si>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</si>
  <si>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</si>
  <si>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</si>
  <si>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</si>
  <si>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</si>
  <si>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</si>
  <si>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</si>
  <si>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</si>
  <si>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</si>
  <si>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</si>
  <si>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</si>
  <si>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</si>
  <si>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</si>
  <si>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</si>
  <si>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</si>
  <si>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</si>
  <si>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</si>
  <si>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</si>
  <si>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</si>
  <si>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</si>
  <si>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</si>
  <si>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</si>
  <si>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</si>
  <si>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</si>
  <si>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</si>
  <si>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</si>
  <si>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</si>
  <si>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</si>
  <si>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</si>
  <si>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</si>
  <si>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</si>
  <si>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</si>
  <si>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</si>
  <si>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</si>
  <si>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</si>
  <si>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</si>
  <si>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</si>
  <si>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</si>
  <si>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</si>
  <si>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</si>
  <si>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</si>
  <si>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</si>
  <si>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</si>
  <si>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</si>
  <si>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</si>
  <si>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</si>
  <si>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</si>
  <si>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</si>
  <si>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</si>
  <si>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</si>
  <si>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</si>
  <si>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</si>
  <si>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</si>
  <si>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</si>
  <si>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</si>
  <si>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</si>
  <si>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</si>
  <si>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</si>
  <si>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</si>
  <si>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</si>
  <si>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</si>
  <si>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</si>
  <si>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</si>
  <si>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</si>
  <si>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</si>
  <si>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</si>
  <si>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</si>
  <si>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</si>
  <si>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</si>
  <si>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</si>
  <si>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</si>
  <si>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</si>
  <si>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</si>
  <si>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</si>
  <si>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</si>
  <si>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</si>
  <si>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</si>
  <si>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</si>
  <si>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</si>
  <si>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</si>
  <si>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</si>
  <si>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</si>
  <si>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</si>
  <si>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</si>
  <si>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</si>
  <si>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</si>
  <si>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</si>
  <si>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</si>
  <si>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</si>
  <si>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</si>
  <si>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</si>
  <si>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</si>
  <si>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</si>
  <si>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</si>
  <si>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</si>
  <si>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</si>
  <si>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</si>
  <si>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</si>
  <si>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</si>
  <si>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</si>
  <si>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</si>
  <si>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</si>
  <si>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</si>
  <si>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</si>
  <si>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</si>
  <si>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</si>
  <si>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</si>
  <si>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</si>
  <si>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</si>
  <si>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</si>
  <si>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</si>
  <si>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</si>
  <si>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</si>
  <si>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</si>
  <si>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</si>
  <si>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</si>
  <si>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</si>
  <si>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</si>
  <si>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</si>
  <si>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</si>
  <si>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</si>
  <si>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</si>
  <si>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</si>
  <si>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</si>
  <si>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</si>
  <si>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</si>
  <si>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</si>
  <si>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</si>
  <si>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</si>
  <si>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</si>
  <si>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</si>
  <si>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</si>
  <si>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</si>
  <si>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</si>
  <si>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</si>
  <si>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</si>
  <si>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</si>
  <si>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</si>
  <si>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</si>
  <si>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</si>
  <si>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</si>
  <si>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</si>
  <si>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</si>
  <si>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</si>
  <si>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</si>
  <si>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</si>
  <si>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</si>
  <si>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</si>
  <si>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</si>
  <si>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</si>
  <si>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</si>
  <si>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</si>
  <si>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</si>
  <si>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</si>
  <si>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</si>
  <si>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</si>
  <si>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</si>
  <si>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</si>
  <si>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</si>
  <si>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</si>
  <si>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</si>
  <si>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</si>
  <si>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</si>
  <si>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</si>
  <si>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</si>
  <si>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</si>
  <si>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</si>
  <si>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</si>
  <si>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</si>
  <si>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</si>
  <si>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</si>
  <si>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</si>
  <si>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</si>
  <si>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</si>
  <si>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</si>
  <si>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</si>
  <si>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</si>
  <si>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</si>
  <si>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</si>
  <si>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</si>
  <si>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</si>
  <si>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</si>
  <si>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</si>
  <si>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</si>
  <si>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</si>
  <si>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</si>
  <si>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</si>
  <si>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</si>
  <si>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</si>
  <si>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</si>
  <si>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</si>
  <si>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</si>
  <si>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</si>
  <si>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</si>
  <si>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</si>
  <si>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</si>
  <si>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</si>
  <si>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</si>
  <si>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</si>
  <si>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</si>
  <si>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</si>
  <si>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</si>
  <si>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</si>
  <si>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</si>
  <si>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</si>
  <si>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</si>
  <si>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</si>
  <si>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</si>
  <si>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</si>
  <si>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</si>
  <si>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</si>
  <si>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</si>
  <si>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</si>
  <si>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</si>
  <si>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</si>
  <si>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</si>
  <si>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</si>
  <si>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</si>
  <si>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</si>
  <si>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</si>
  <si>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</si>
  <si>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</si>
  <si>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</si>
  <si>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</si>
  <si>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</si>
  <si>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</si>
  <si>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</si>
  <si>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</si>
  <si>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</si>
  <si>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</si>
  <si>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</si>
  <si>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</si>
  <si>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</si>
  <si>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</si>
  <si>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</si>
  <si>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</si>
  <si>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</si>
  <si>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</si>
  <si>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</si>
  <si>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</si>
  <si>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</si>
  <si>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</si>
  <si>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</si>
  <si>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</si>
  <si>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</si>
  <si>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</si>
  <si>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</si>
  <si>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</si>
  <si>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</si>
  <si>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</si>
  <si>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</si>
  <si>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</si>
  <si>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</si>
  <si>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</si>
  <si>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</si>
  <si>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</si>
  <si>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</si>
  <si>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</si>
  <si>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</si>
  <si>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</si>
  <si>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</si>
  <si>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</si>
  <si>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</si>
  <si>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</si>
  <si>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</si>
  <si>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</si>
  <si>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</si>
  <si>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</si>
  <si>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</si>
  <si>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</si>
  <si>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</si>
  <si>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</si>
  <si>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</si>
  <si>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</si>
  <si>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</si>
  <si>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</si>
  <si>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</si>
  <si>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</si>
  <si>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</si>
  <si>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</si>
  <si>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</si>
  <si>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</si>
  <si>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</si>
  <si>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</si>
  <si>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</si>
  <si>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</si>
  <si>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</si>
  <si>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</si>
  <si>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</si>
  <si>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</si>
  <si>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</si>
  <si>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</si>
  <si>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</si>
  <si>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</si>
  <si>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</si>
  <si>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</si>
  <si>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</si>
  <si>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</si>
  <si>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</si>
  <si>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</si>
  <si>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</si>
  <si>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</si>
  <si>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</si>
  <si>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</si>
  <si>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</si>
  <si>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</si>
  <si>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</si>
  <si>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</si>
  <si>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</si>
  <si>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</si>
  <si>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</si>
  <si>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</si>
  <si>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</si>
  <si>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</si>
  <si>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</si>
  <si>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</si>
  <si>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</si>
  <si>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</si>
  <si>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</si>
  <si>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</si>
  <si>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</si>
  <si>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</si>
  <si>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</si>
  <si>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</si>
  <si>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</si>
  <si>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</si>
  <si>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</si>
  <si>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</si>
  <si>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</si>
  <si>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</si>
  <si>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</si>
  <si>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</si>
  <si>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</si>
  <si>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</si>
  <si>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</si>
  <si>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</si>
  <si>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</si>
  <si>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</si>
  <si>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</si>
  <si>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</si>
  <si>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</si>
  <si>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</si>
  <si>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</si>
  <si>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</si>
  <si>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</si>
  <si>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</si>
  <si>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</si>
  <si>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</si>
  <si>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</si>
  <si>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</si>
  <si>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</si>
  <si>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</si>
  <si>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</si>
  <si>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</si>
  <si>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</si>
  <si>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</si>
  <si>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</si>
  <si>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</si>
  <si>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</si>
  <si>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</si>
  <si>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</si>
  <si>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</si>
  <si>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</si>
  <si>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</si>
  <si>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</si>
  <si>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</si>
  <si>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</si>
  <si>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</si>
  <si>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</si>
  <si>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</si>
  <si>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</si>
  <si>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</si>
  <si>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</si>
  <si>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</si>
  <si>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</si>
  <si>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</si>
  <si>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</si>
  <si>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</si>
  <si>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</si>
  <si>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</si>
  <si>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</si>
  <si>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</si>
  <si>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</si>
  <si>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</si>
  <si>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</si>
  <si>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</si>
  <si>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</si>
  <si>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</si>
  <si>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</si>
  <si>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</si>
  <si>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</si>
  <si>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</si>
  <si>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</si>
  <si>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</si>
  <si>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</si>
  <si>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</si>
  <si>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</si>
  <si>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</si>
  <si>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</si>
  <si>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</si>
  <si>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</si>
  <si>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</si>
  <si>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</si>
  <si>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</si>
  <si>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</si>
  <si>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</si>
  <si>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</si>
  <si>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</si>
  <si>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</si>
  <si>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</si>
  <si>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</si>
  <si>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</si>
  <si>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</si>
  <si>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</si>
  <si>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</si>
  <si>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</si>
  <si>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</si>
  <si>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</si>
  <si>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</si>
  <si>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</si>
  <si>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</si>
  <si>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</si>
  <si>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</si>
  <si>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</si>
  <si>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</si>
  <si>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</si>
  <si>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</si>
  <si>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</si>
  <si>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</si>
  <si>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</si>
  <si>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</si>
  <si>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</si>
  <si>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</si>
  <si>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</si>
  <si>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</si>
  <si>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</si>
  <si>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</si>
  <si>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</si>
  <si>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</si>
  <si>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</si>
  <si>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</si>
  <si>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</si>
  <si>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</si>
  <si>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</si>
  <si>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</si>
  <si>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</si>
  <si>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</si>
  <si>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</si>
  <si>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</si>
  <si>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</si>
  <si>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</si>
  <si>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</si>
  <si>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</si>
  <si>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</si>
  <si>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</si>
  <si>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</si>
  <si>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</si>
  <si>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</si>
  <si>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</si>
  <si>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</si>
  <si>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</si>
  <si>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</si>
  <si>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</si>
  <si>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</si>
  <si>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</si>
  <si>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</si>
  <si>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</si>
  <si>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</si>
  <si>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</si>
  <si>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</si>
  <si>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</si>
  <si>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</si>
  <si>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</si>
  <si>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</si>
  <si>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</si>
  <si>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</si>
  <si>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</si>
  <si>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</si>
  <si>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</si>
  <si>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</si>
  <si>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</si>
  <si>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</si>
  <si>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</si>
  <si>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</si>
  <si>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</si>
  <si>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</si>
  <si>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</si>
  <si>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</si>
  <si>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</si>
  <si>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</si>
  <si>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</si>
  <si>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</si>
  <si>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</si>
  <si>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</si>
  <si>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</si>
  <si>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</si>
  <si>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</si>
  <si>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</si>
  <si>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</si>
  <si>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</si>
  <si>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</si>
  <si>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</si>
  <si>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</si>
  <si>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</si>
  <si>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</si>
  <si>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</si>
  <si>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</si>
  <si>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</si>
  <si>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</si>
  <si>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</si>
  <si>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</si>
  <si>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</si>
  <si>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</si>
  <si>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</si>
  <si>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</si>
  <si>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</si>
  <si>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</si>
  <si>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</si>
  <si>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</si>
  <si>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</si>
  <si>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</si>
  <si>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</si>
  <si>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</si>
  <si>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</si>
  <si>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</si>
  <si>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</si>
  <si>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</si>
  <si>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</si>
  <si>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</si>
  <si>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</si>
  <si>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</si>
  <si>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</si>
  <si>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</si>
  <si>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</si>
  <si>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</si>
  <si>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</si>
  <si>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</si>
  <si>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</si>
  <si>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</si>
  <si>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</si>
  <si>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</si>
  <si>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</si>
  <si>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</si>
  <si>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</si>
  <si>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</si>
  <si>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</si>
  <si>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</si>
  <si>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</si>
  <si>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</si>
  <si>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</si>
  <si>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</si>
  <si>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</si>
  <si>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</si>
  <si>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</si>
  <si>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</si>
  <si>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</si>
  <si>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</si>
  <si>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</si>
  <si>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</si>
  <si>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</si>
  <si>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</si>
  <si>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</si>
  <si>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</si>
  <si>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</si>
  <si>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</si>
  <si>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</si>
  <si>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</si>
  <si>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</si>
  <si>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</si>
  <si>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</si>
  <si>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</si>
  <si>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</si>
  <si>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</si>
  <si>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</si>
  <si>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</si>
  <si>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</si>
  <si>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</si>
  <si>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</si>
  <si>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</si>
  <si>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</si>
  <si>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</si>
  <si>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</si>
  <si>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</si>
  <si>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</si>
  <si>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</si>
  <si>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</si>
  <si>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</si>
  <si>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</si>
  <si>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</si>
  <si>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</si>
  <si>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</si>
  <si>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</si>
  <si>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</si>
  <si>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</si>
  <si>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</si>
  <si>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</si>
  <si>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</si>
  <si>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</si>
  <si>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</si>
  <si>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</si>
  <si>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</si>
  <si>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</si>
  <si>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</si>
  <si>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</si>
  <si>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</si>
  <si>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</si>
  <si>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</si>
  <si>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</si>
  <si>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</si>
  <si>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</si>
  <si>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</si>
  <si>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</si>
  <si>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</si>
  <si>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</si>
  <si>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</si>
  <si>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</si>
  <si>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</si>
  <si>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</si>
  <si>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</si>
  <si>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</si>
  <si>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</si>
  <si>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</si>
  <si>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</si>
  <si>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</si>
  <si>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</si>
  <si>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</si>
  <si>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</si>
  <si>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</si>
  <si>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</si>
  <si>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</si>
  <si>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</si>
  <si>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</si>
  <si>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</si>
  <si>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</si>
  <si>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</si>
  <si>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</si>
  <si>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</si>
  <si>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</si>
  <si>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</si>
  <si>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</si>
  <si>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</si>
  <si>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</si>
  <si>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</si>
  <si>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</si>
  <si>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</si>
  <si>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</si>
  <si>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</si>
  <si>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</si>
  <si>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</si>
  <si>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</si>
  <si>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</si>
  <si>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</si>
  <si>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</si>
  <si>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</si>
  <si>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</si>
  <si>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</si>
  <si>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</si>
  <si>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</si>
  <si>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</si>
  <si>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</si>
  <si>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</si>
  <si>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</si>
  <si>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</si>
  <si>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</si>
  <si>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</si>
  <si>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</si>
  <si>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</si>
  <si>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</si>
  <si>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</si>
  <si>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</si>
  <si>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</si>
  <si>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</si>
  <si>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</si>
  <si>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</si>
  <si>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</si>
  <si>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</si>
  <si>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CHASSI DE RETORNO 73240-B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</si>
  <si>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</si>
  <si>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</si>
  <si>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</si>
  <si>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</si>
  <si>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</si>
  <si>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</si>
  <si>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</si>
  <si>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</si>
  <si>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</si>
  <si>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</si>
  <si>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</si>
  <si>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</si>
  <si>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</si>
  <si>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</si>
  <si>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</si>
  <si>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</si>
  <si>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</si>
  <si>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</si>
  <si>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</si>
  <si>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</si>
  <si>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</si>
  <si>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</si>
  <si>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</si>
  <si>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</si>
  <si>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</si>
  <si>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</si>
  <si>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</si>
  <si>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</si>
  <si>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</si>
  <si>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</si>
  <si>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</si>
  <si>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</si>
  <si>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</si>
  <si>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</si>
  <si>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</si>
  <si>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</si>
  <si>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</si>
  <si>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</si>
  <si>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</si>
  <si>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</si>
  <si>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</si>
  <si>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</si>
  <si>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</si>
  <si>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</si>
  <si>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</si>
  <si>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</si>
  <si>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</si>
  <si>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</si>
  <si>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</si>
  <si>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</si>
  <si>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</si>
  <si>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</si>
  <si>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</si>
  <si>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</si>
  <si>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</si>
  <si>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</si>
  <si>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</si>
  <si>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</si>
  <si>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</si>
  <si>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</si>
  <si>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</si>
  <si>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</si>
  <si>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</si>
  <si>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</si>
  <si>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</si>
  <si>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</si>
  <si>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</si>
  <si>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</si>
  <si>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</si>
  <si>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</si>
  <si>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</si>
  <si>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</si>
  <si>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</si>
  <si>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</si>
  <si>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</si>
  <si>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</si>
  <si>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</si>
  <si>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</si>
  <si>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</si>
  <si>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</si>
  <si>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</si>
  <si>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</si>
  <si>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</si>
  <si>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</si>
  <si>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</si>
  <si>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</si>
  <si>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</si>
  <si>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</si>
  <si>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</si>
  <si>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</si>
  <si>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</si>
  <si>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</si>
  <si>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</si>
  <si>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</si>
  <si>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</si>
  <si>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</si>
  <si>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</si>
  <si>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</si>
  <si>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</si>
  <si>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</si>
  <si>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</si>
  <si>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</si>
  <si>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</si>
  <si>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</si>
  <si>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</si>
  <si>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</si>
  <si>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</si>
  <si>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</si>
  <si>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</si>
  <si>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</si>
  <si>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</si>
  <si>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</si>
  <si>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</si>
  <si>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</si>
  <si>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</si>
  <si>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</si>
  <si>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</si>
  <si>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</si>
  <si>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</si>
  <si>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</si>
  <si>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</si>
  <si>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</si>
  <si>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</si>
  <si>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</si>
  <si>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</si>
  <si>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</si>
  <si>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</si>
  <si>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</si>
  <si>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</si>
  <si>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</si>
  <si>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</si>
  <si>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</si>
  <si>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</si>
  <si>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</si>
  <si>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</si>
  <si>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</si>
  <si>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</si>
  <si>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</si>
  <si>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</si>
  <si>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</si>
  <si>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</si>
  <si>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</si>
  <si>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</si>
  <si>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</si>
  <si>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</si>
  <si>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</si>
  <si>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</si>
  <si>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</si>
  <si>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</si>
  <si>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</si>
  <si>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</si>
  <si>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</si>
  <si>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</si>
  <si>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</si>
  <si>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</si>
  <si>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</si>
  <si>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</si>
  <si>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</si>
  <si>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</si>
  <si>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</si>
  <si>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</si>
  <si>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</si>
  <si>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</si>
  <si>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</si>
  <si>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</si>
  <si>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</si>
  <si>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</si>
  <si>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</si>
  <si>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</si>
  <si>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</si>
  <si>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</si>
  <si>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</si>
  <si>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</si>
  <si>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</si>
  <si>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</si>
  <si>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</si>
  <si>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</si>
  <si>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</si>
  <si>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</si>
  <si>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</si>
  <si>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</si>
  <si>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</si>
  <si>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</si>
  <si>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</si>
  <si>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</si>
  <si>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</si>
  <si>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</si>
  <si>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</si>
  <si>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</si>
  <si>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</si>
  <si>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</si>
  <si>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</si>
  <si>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</si>
  <si>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</si>
  <si>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</si>
  <si>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</si>
  <si>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</si>
  <si>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</si>
  <si>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</si>
  <si>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</si>
  <si>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</si>
  <si>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</si>
  <si>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</si>
  <si>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</si>
  <si>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</si>
  <si>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</si>
  <si>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</si>
  <si>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</si>
  <si>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</si>
  <si>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</si>
  <si>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</si>
  <si>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</si>
  <si>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</si>
  <si>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</si>
  <si>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</si>
  <si>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</si>
  <si>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</si>
  <si>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</si>
  <si>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</si>
  <si>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</si>
  <si>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</si>
  <si>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</si>
  <si>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</si>
  <si>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</si>
  <si>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</si>
  <si>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</si>
  <si>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</si>
  <si>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</si>
  <si>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</si>
  <si>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</si>
  <si>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</si>
  <si>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</si>
  <si>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</si>
  <si>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</si>
  <si>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</si>
  <si>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</si>
  <si>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</si>
  <si>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</si>
  <si>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</si>
  <si>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</si>
  <si>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</si>
  <si>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</si>
  <si>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</si>
  <si>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</si>
  <si>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</si>
  <si>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</si>
  <si>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</si>
  <si>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</si>
  <si>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</si>
  <si>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</si>
  <si>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</si>
  <si>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</si>
  <si>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</si>
  <si>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</si>
  <si>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</si>
  <si>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</si>
  <si>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</si>
  <si>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</si>
  <si>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</si>
  <si>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</si>
  <si>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</si>
  <si>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</si>
  <si>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</si>
  <si>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</si>
  <si>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</si>
  <si>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</si>
  <si>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</si>
  <si>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</si>
  <si>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</si>
  <si>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</si>
  <si>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</si>
  <si>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</si>
  <si>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</si>
  <si>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</si>
  <si>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</si>
  <si>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</si>
  <si>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</si>
  <si>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</si>
  <si>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</si>
  <si>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</si>
  <si>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</si>
  <si>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</si>
  <si>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</si>
  <si>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</si>
  <si>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</si>
  <si>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</si>
  <si>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</si>
  <si>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</si>
  <si>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</si>
  <si>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</si>
  <si>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</si>
  <si>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</si>
  <si>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</si>
  <si>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</si>
  <si>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</si>
  <si>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</si>
  <si>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</si>
  <si>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</si>
  <si>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</si>
  <si>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</si>
  <si>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</si>
  <si>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</si>
  <si>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</si>
  <si>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</si>
  <si>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</si>
  <si>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</si>
  <si>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</si>
  <si>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</si>
  <si>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</si>
  <si>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</si>
  <si>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</si>
  <si>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</si>
  <si>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</si>
  <si>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</si>
  <si>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</si>
  <si>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</si>
  <si>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</si>
  <si>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</si>
  <si>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</si>
  <si>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</si>
  <si>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</si>
  <si>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</si>
  <si>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</si>
  <si>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</si>
  <si>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</si>
  <si>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</si>
  <si>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</si>
  <si>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</si>
  <si>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</si>
  <si>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</si>
  <si>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</si>
  <si>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</si>
  <si>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</si>
  <si>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</si>
  <si>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</si>
  <si>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</si>
  <si>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</si>
  <si>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</si>
  <si>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</si>
  <si>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</si>
  <si>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</si>
  <si>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</si>
  <si>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</si>
  <si>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</si>
  <si>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</si>
  <si>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</si>
  <si>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</si>
  <si>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</si>
  <si>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</si>
  <si>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</si>
  <si>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</si>
  <si>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</si>
  <si>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</si>
  <si>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</si>
  <si>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</si>
  <si>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</si>
  <si>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</si>
  <si>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</si>
  <si>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</si>
  <si>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</si>
  <si>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</si>
  <si>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</si>
  <si>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</si>
  <si>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</si>
  <si>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</si>
  <si>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</si>
  <si>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</si>
  <si>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</si>
  <si>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</si>
  <si>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</si>
  <si>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</si>
  <si>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</si>
  <si>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</si>
  <si>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</si>
  <si>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</si>
  <si>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</si>
  <si>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</si>
  <si>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</si>
  <si>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</si>
  <si>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</si>
  <si>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</si>
  <si>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</si>
  <si>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</si>
  <si>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</si>
  <si>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</si>
  <si>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</si>
  <si>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</si>
  <si>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</si>
  <si>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</si>
  <si>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</si>
  <si>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</si>
  <si>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</si>
  <si>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</si>
  <si>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</si>
  <si>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</si>
  <si>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</si>
  <si>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</si>
  <si>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</si>
  <si>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</si>
  <si>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</si>
  <si>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</si>
  <si>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</si>
  <si>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</si>
  <si>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</si>
  <si>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</si>
  <si>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</si>
  <si>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</si>
  <si>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</si>
  <si>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</si>
  <si>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</si>
  <si>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</si>
  <si>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</si>
  <si>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</si>
  <si>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</si>
  <si>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</si>
  <si>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</si>
  <si>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</si>
  <si>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</si>
  <si>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</si>
  <si>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</si>
  <si>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</si>
  <si>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</si>
  <si>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</si>
  <si>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</si>
  <si>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</si>
  <si>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</si>
  <si>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</si>
  <si>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</si>
  <si>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</si>
  <si>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</si>
  <si>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</si>
  <si>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</si>
  <si>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</si>
  <si>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</si>
  <si>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</si>
  <si>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</si>
  <si>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</si>
  <si>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</si>
  <si>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</si>
  <si>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</si>
  <si>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</si>
  <si>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</si>
  <si>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</si>
  <si>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</si>
  <si>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</si>
  <si>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</si>
  <si>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</si>
  <si>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</si>
  <si>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</si>
  <si>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</si>
  <si>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</si>
  <si>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</si>
  <si>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</si>
  <si>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</si>
  <si>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</si>
  <si>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</si>
  <si>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</si>
  <si>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</si>
  <si>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</si>
  <si>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</si>
  <si>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</si>
  <si>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</si>
  <si>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</si>
  <si>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</si>
  <si>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</si>
  <si>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</si>
  <si>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</si>
  <si>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</si>
  <si>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</si>
  <si>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</si>
  <si>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</si>
  <si>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</si>
  <si>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</si>
  <si>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</si>
  <si>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</si>
  <si>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</si>
  <si>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</si>
  <si>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</si>
  <si>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</si>
  <si>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</si>
  <si>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</si>
  <si>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</si>
  <si>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</si>
  <si>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</si>
  <si>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</si>
  <si>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</si>
  <si>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</si>
  <si>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</si>
  <si>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</si>
  <si>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</si>
  <si>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</si>
  <si>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</si>
  <si>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</si>
  <si>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</si>
  <si>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</si>
  <si>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</si>
  <si>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</si>
  <si>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</si>
  <si>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</si>
  <si>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</si>
  <si>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</si>
  <si>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</si>
  <si>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</si>
  <si>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</si>
  <si>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</si>
  <si>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</si>
  <si>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</si>
  <si>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</si>
  <si>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</si>
  <si>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</si>
  <si>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</si>
  <si>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</si>
  <si>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</si>
  <si>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</si>
  <si>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</si>
  <si>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</si>
  <si>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</si>
  <si>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</si>
  <si>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</si>
  <si>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</si>
  <si>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</si>
  <si>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</si>
  <si>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</si>
  <si>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</si>
  <si>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</si>
  <si>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</si>
  <si>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</si>
  <si>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</si>
  <si>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</si>
  <si>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</si>
  <si>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</si>
  <si>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</si>
  <si>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</si>
  <si>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</si>
  <si>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</si>
  <si>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</si>
  <si>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</si>
  <si>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</si>
  <si>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</si>
  <si>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</si>
  <si>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</si>
  <si>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</si>
  <si>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</si>
  <si>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</si>
  <si>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</si>
  <si>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</si>
  <si>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</si>
  <si>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</si>
  <si>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</si>
  <si>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</si>
  <si>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</si>
  <si>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</si>
  <si>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</si>
  <si>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</si>
  <si>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</si>
  <si>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</si>
  <si>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</si>
  <si>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</si>
  <si>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</si>
  <si>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</si>
  <si>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</si>
  <si>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</si>
  <si>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</si>
  <si>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</si>
  <si>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</si>
  <si>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</si>
  <si>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</si>
  <si>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</si>
  <si>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</si>
  <si>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</si>
  <si>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</si>
  <si>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</si>
  <si>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</si>
  <si>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</si>
  <si>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</si>
  <si>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</si>
  <si>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</si>
  <si>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</si>
  <si>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</si>
  <si>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</si>
  <si>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</si>
  <si>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BORRACHA 73242-E</t>
  </si>
  <si>
    <t>CHAPA DE REVESTIMENTO CH. 13 X 190 X 350 73242-F</t>
  </si>
  <si>
    <t>TAMPA TRASEIRA 73242-G</t>
  </si>
  <si>
    <t>PRENSA BORRACHA 73242-H</t>
  </si>
  <si>
    <t>BORRACHA 13 X 282 812 73242-J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</si>
  <si>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</si>
  <si>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</si>
  <si>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</si>
  <si>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</si>
  <si>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</si>
  <si>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</si>
  <si>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</si>
  <si>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</si>
  <si>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</si>
  <si>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</si>
  <si>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</si>
  <si>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</si>
  <si>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</si>
  <si>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</si>
  <si>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</si>
  <si>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</si>
  <si>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</si>
  <si>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</si>
  <si>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</si>
  <si>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</si>
  <si>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</si>
  <si>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</si>
  <si>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</si>
  <si>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</si>
  <si>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</si>
  <si>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</si>
  <si>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</si>
  <si>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</si>
  <si>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</si>
  <si>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</si>
  <si>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</si>
  <si>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</si>
  <si>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</si>
  <si>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</si>
  <si>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</si>
  <si>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</si>
  <si>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</si>
  <si>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</si>
  <si>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</si>
  <si>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</si>
  <si>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</si>
  <si>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</si>
  <si>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</si>
  <si>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</si>
  <si>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</si>
  <si>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</si>
  <si>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</si>
  <si>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</si>
  <si>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</si>
  <si>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</si>
  <si>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</si>
  <si>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</si>
  <si>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</si>
  <si>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</si>
  <si>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</si>
  <si>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</si>
  <si>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</si>
  <si>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</si>
  <si>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</si>
  <si>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</si>
  <si>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</si>
  <si>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</si>
  <si>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</si>
  <si>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</si>
  <si>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</si>
  <si>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</si>
  <si>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</si>
  <si>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</si>
  <si>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</si>
  <si>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</si>
  <si>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</si>
  <si>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</si>
  <si>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</si>
  <si>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</si>
  <si>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</si>
  <si>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</si>
  <si>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</si>
  <si>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</si>
  <si>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</si>
  <si>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</si>
  <si>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</si>
  <si>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</si>
  <si>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</si>
  <si>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</si>
  <si>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</si>
  <si>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</si>
  <si>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</si>
  <si>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</si>
  <si>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</si>
  <si>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</si>
  <si>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</si>
  <si>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</si>
  <si>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</si>
  <si>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</si>
  <si>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</si>
  <si>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</si>
  <si>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</si>
  <si>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</si>
  <si>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</si>
  <si>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</si>
  <si>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</si>
  <si>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</si>
  <si>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</si>
  <si>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</si>
  <si>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</si>
  <si>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</si>
  <si>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</si>
  <si>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</si>
  <si>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</si>
  <si>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</si>
  <si>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</si>
  <si>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</si>
  <si>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</si>
  <si>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</si>
  <si>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</si>
  <si>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</si>
  <si>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</si>
  <si>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</si>
  <si>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</si>
  <si>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</si>
  <si>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</si>
  <si>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</si>
  <si>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</si>
  <si>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</si>
  <si>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</si>
  <si>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</si>
  <si>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</si>
  <si>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</si>
  <si>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</si>
  <si>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</si>
  <si>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</si>
  <si>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</si>
  <si>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</si>
  <si>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</si>
  <si>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</si>
  <si>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</si>
  <si>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</si>
  <si>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</si>
  <si>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</si>
  <si>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</si>
  <si>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</si>
  <si>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</si>
  <si>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</si>
  <si>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</si>
  <si>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</si>
  <si>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</si>
  <si>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</si>
  <si>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</si>
  <si>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</si>
  <si>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</si>
  <si>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</si>
  <si>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</si>
  <si>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</si>
  <si>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</si>
  <si>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</si>
  <si>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</si>
  <si>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</si>
  <si>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</si>
  <si>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</si>
  <si>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</si>
  <si>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</si>
  <si>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</si>
  <si>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</si>
  <si>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</si>
  <si>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</si>
  <si>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</si>
  <si>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</si>
  <si>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</si>
  <si>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</si>
  <si>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</si>
  <si>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</si>
  <si>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</si>
  <si>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</si>
  <si>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</si>
  <si>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</si>
  <si>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</si>
  <si>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</si>
  <si>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</si>
  <si>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</si>
  <si>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</si>
  <si>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</si>
  <si>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</si>
  <si>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</si>
  <si>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</si>
  <si>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</si>
  <si>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</si>
  <si>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</si>
  <si>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</si>
  <si>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</si>
  <si>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</si>
  <si>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</si>
  <si>
    <t>2-17/07/2026</t>
  </si>
  <si>
    <t>T-073245-1</t>
  </si>
  <si>
    <t>MI-D-148-ME-DF-0074</t>
  </si>
  <si>
    <t>PONTE TRELIÇADA 3 - (PONTE TRELIÇADA 1) 73243-A</t>
  </si>
  <si>
    <t>Liberado para coleta</t>
  </si>
  <si>
    <t>EM PROCESSO FINAL DE FABRICAÇÃO 
2 CARRETAS DISPONIVEIS PARA EXPEDIÇÃO 23/07 e 27/07/2026</t>
  </si>
  <si>
    <t>T-073259-1</t>
  </si>
  <si>
    <t>MI-D-148-ME-DF-0088</t>
  </si>
  <si>
    <t>PLATAFORMA - ( PLATAFORMA ) 73259-A</t>
  </si>
  <si>
    <t>T-073260-1</t>
  </si>
  <si>
    <t>MI-D-148-ME-DF-0089</t>
  </si>
  <si>
    <t>PLATAFORMA LADO ESCADA- ( PLATAFORMA LADO ESCADA ) 73260-A</t>
  </si>
  <si>
    <t>T-073261-1</t>
  </si>
  <si>
    <t>MI-D-148-ME-DF-0090</t>
  </si>
  <si>
    <t>ESCADA - (ESCADA) 73261-A</t>
  </si>
  <si>
    <t>ESCADA - (SUPORTE DA ESCADA) 73261-B</t>
  </si>
  <si>
    <t>T-073262-1</t>
  </si>
  <si>
    <t>MI-D-148-ME-DF-0091</t>
  </si>
  <si>
    <t>GUARDA CORPO DA ESCADA ( GUARDA CORPO ESCADA - DIREITA) 73262-A</t>
  </si>
  <si>
    <t>GUARDA CORPO DA ESCADA ( GUARDA CORPO ESCADA - ESQUERDA) 73262-B</t>
  </si>
  <si>
    <t>T-073263-1</t>
  </si>
  <si>
    <t>MI-D-148-ME-DF-0092</t>
  </si>
  <si>
    <t>GUARDA CORPO DA PLATAFORMA ( GUARDA CORPO) 73263-A</t>
  </si>
  <si>
    <t>GUARDA CORPO DA PLATAFORMA ( GUARDA CORPO) 73263-B</t>
  </si>
  <si>
    <t>GUARDA CORPO DA PLATAFORMA ( GUARDA CORPO) 73263-C</t>
  </si>
  <si>
    <t>GUARDA CORPO DA PLATAFORMA ( GUARDA CORPO) 73263-D</t>
  </si>
  <si>
    <t>GUARDA CORPO DA PLATAFORMA ( GUARDA CORPO) 73263-E</t>
  </si>
  <si>
    <t>DESENHO
MDE</t>
  </si>
  <si>
    <t>T-073265-1</t>
  </si>
  <si>
    <t>MI-D-148-ME-DF-0094</t>
  </si>
  <si>
    <t>CHASSI DE ESTICAMENTO (CHASSI DE ESTICAMENTO) 73265-A</t>
  </si>
  <si>
    <t>CHASSI DE ESTICAMENTO (VIGA DO ESTICAMENTO) 73265-B</t>
  </si>
  <si>
    <t>CHASSI DE ESTICAMENTO (DISPOSITIVO DE ESTICAMENTO) 73265-C</t>
  </si>
  <si>
    <t>CHASSI DE ESTICAMENTO (TIRANTE) 73265-D</t>
  </si>
  <si>
    <t>CHASSI DE ESTICAMENTO (PINO) 73265-E</t>
  </si>
  <si>
    <t>CHASSI DE ESTICAMENTO (PROTEÇÃO) 73265-F</t>
  </si>
  <si>
    <t>T-073246-1</t>
  </si>
  <si>
    <t>MI-D-148-ME-DF-0075</t>
  </si>
  <si>
    <t>PONTE TRELIÇADA 4 (PONTE TRELIÇADA 4) 73246-A</t>
  </si>
  <si>
    <t>ROLO CARGA Ø152x420 6305</t>
  </si>
  <si>
    <t>R-1-4-10956</t>
  </si>
  <si>
    <t>P897</t>
  </si>
  <si>
    <t>P-897</t>
  </si>
  <si>
    <t xml:space="preserve">EQUINOX </t>
  </si>
  <si>
    <t>ROLOS DE CARGA 30x</t>
  </si>
  <si>
    <t>DISPONIVEL PARA EXPEDIÇÃO NA SEXTA FEIRA 24/07/2026</t>
  </si>
  <si>
    <t>ROLO GUIA Ø102 X 150</t>
  </si>
  <si>
    <t>CONFORME ET "BBR-D-DF-1073-MDE-K-0011"</t>
  </si>
  <si>
    <t>ITEM 3 Eletroduto de Aço Galv. A FOGO Ø 3/4"  COM COSTURA Classe LI EB 568 - Ref. Thomeu OU SIMILAR CONFORME ET "BBR-D-DF-1073-MDE-K-0011"</t>
  </si>
  <si>
    <t>PC</t>
  </si>
  <si>
    <t>ITEM 4 Eletroduto de Aço Galv A FOGO. Ø 1 1/2" COM COSTURA  Classe LI EB 568 - Thomeu OU SIMILAR CONFORME ET "BBR-D-DF-1073-MDE-K-0011"</t>
  </si>
  <si>
    <t>ITEM 5 Eletroduto de Aço Galv. A FOGO  Ø 2" COM COSTURA Classe LI EB 568 - Ref. THOMEU OU SIMILAR CONFORME ET "BBR-D-DF-1073-MDE-K-0011"</t>
  </si>
  <si>
    <t>ITEM 12 Arruela de Acabamento Ø1.1/2" EM ALUMÍNIO FUNDIDO PARA INSTALAÇÃO EM BOX GIRATÓRIO MACHO CONFORME ET "BBR-D-DF-1073-MDE-K-0011"</t>
  </si>
  <si>
    <t>UN</t>
  </si>
  <si>
    <t>ITEM 13 Arruela de Acabamento Ø3/4" EM ALUMÍNIO FUNDIDO PARA INSTALAÇÃO EM BOX GIRATÓRIO MACHO CONFORME ET "BBR-D-DF-1073-MDE-K-0011"</t>
  </si>
  <si>
    <t>ITEM 14 Condulete c/ Furação em "LR" Ø2"EM ALUMÍNIO FUNDIDO, A PROVA DE TEMPO, UMIDADE, GASES, VAPORES E PO CONFORME ET "BBR-D-DF-1073-MDE-K-0011"</t>
  </si>
  <si>
    <t>ITEM 15 Condulete c/ Furação em "LR"  Ø 3/4" EM ALUMÍNIO FUNDIDO, A PROVA DE TEMPO, UMIDADE, GASES, VAPORES E PO CONFORME ET "BBR-D-DF-1073-MDE-K-0011"</t>
  </si>
  <si>
    <t>ITEM 16 Condulete c/  Furação LL  Ø1 1/2" EM ALUMÍNIO FUNDIDO, A PROVA DE TEMPO, UMIDADE, GASES, VAPORES E PO CONFORME ET "BBR-D-DF-1073-MDE-K-0011"</t>
  </si>
  <si>
    <t>ITEM 17 Condulete c/  Furação LL  Ø3/4"  ALUMÍNIO FUNDIDO, A PROVA DE TEMPO, UMIDADE, GASES, VAPORES E PO CONFORME ET "BBR-D-DF-1073-MDE-K-0011"</t>
  </si>
  <si>
    <t>ITEM 18 Condulete c/  Furação T  Ø1 1/2" EM ALUMÍNIO FUNDIDO, A PROVA DE TEMPO, UMIDADE, GASES, VAPORES E PO CONFORME ET "BBR-D-DF-1073-MDE-K-0011"</t>
  </si>
  <si>
    <t>ITEM 19 Condulete c/  Furação T  Ø2" EM ALUMÍNIO FUNDIDO, A PROVA DE TEMPO, UMIDADE, GASES, VAPORES E PO CONFORME ET "BBR-D-DF-1073-MDE-K-0011"</t>
  </si>
  <si>
    <t>ITEM 20 Condulete c/ Furação em C 3/4"  EM ALUMÍNIO FUNDIDO, A PROVA DE TEMPO, UMIDADE, GASES, VAPORES E PO CONFORME ET "BBR-D-DF-1073-MDE-K-0011"</t>
  </si>
  <si>
    <t>ITEM 21 Condulete c/ Furação X 1 1/2" EM ALUMÍNIO FUNDIDO, A PROVA DE TEMPO, UMIDADE, GASES, VAPORES E PO CONFORME ET "BBR-D-DF-1073-MDE-K-0011"</t>
  </si>
  <si>
    <t>ITEM 22 Condulete c/ Furação em X 2" EM ALUMÍNIO FUNDIDO, A PROVA DE TEMPO, UMIDADE, GASES, VAPORES E PO CONFORME ET "BBR-D-DF-1073-MDE-K-0011"</t>
  </si>
  <si>
    <t>ITEM 23 Prensa Cabos de Poliamida 3/4" AUTO EXTINGUÍVEL, NA COR PRETA, ANEL EM BUNA "N", CLASSE DE VEDAÇÃO IP-68 CONFORME ET "BBR-D-DF-1073-MDE-K-0011"</t>
  </si>
  <si>
    <t>ITEM 24 Bucha de Redução de 2" x 3/4" FABRICADA EM ALUMÍNIO FUNDIDO, ROSCA BSP CONFORME ET "BBR-D-DF-1073-MDE-K-0011"</t>
  </si>
  <si>
    <t>ITEM 27 Grampo "U" Ø 3/4" EM AÇO INOX EM AÇO AISI 304, FORNECIDO COM DUAS PORCAS SEXTAVADAS E DUAS ARRUELAS DE PRESSÃO. CONFORME ET "BBR-D-DF-1073-MDE-K-0011"</t>
  </si>
  <si>
    <t>ITEM 28 Grampo "U" Ø 1 1/2" EM AÇO INOX EM AÇO AISI 304, FORNECIDO COM DUAS PORCAS SEXTAVADAS E DUAS ARRUELAS DE PRESSÃO.CONFORME ET "BBR-D-DF-1073-MDE-K-0011"</t>
  </si>
  <si>
    <t>ITEM 29 Grampo "U" Ø 2" EM AÇO INOX EM AÇO AISI 304, FORNECIDO COM DUAS PORCAS SEXTAVADAS E DUAS ARRUELAS DE PRESSÃO CONFORME ET "BBR-D-DF-1073-MDE-K-0011"</t>
  </si>
  <si>
    <t>CONFORME ET "BBR-D-DF-1073-MDE-K-0010"</t>
  </si>
  <si>
    <t>ITEM 3 Eletroduto de Aço Galv. A FOGO Ø 3/4"  COM COSTURA Classe LI EB 568 - Ref. Thomeu OU SIMILAR CONFORME ET "BBR-D-DF-1073-MDE-K-0010"</t>
  </si>
  <si>
    <t>ITEM 4 Eletroduto de Aço Galv A FOGO. Ø 1 1/2" COM COSTURA  Classe LI EB 568 - Thomeu OU SIMILAR CONFORME ET "BBR-D-DF-1073-MDE-K-0010"</t>
  </si>
  <si>
    <t>ITEM 5 Eletroduto de Aço Galv. A FOGO  Ø 2" COM COSTURA Classe LI EB 568 - Ref. THOMEU OU SIMILAR CONFORME ET "BBR-D-DF-1073-MDE-K-0010"</t>
  </si>
  <si>
    <t>ITEM 12 Arruela de Acabamento Ø1.1/2" EM ALUMÍNIO FUNDIDO PARA INSTALAÇÃO EM BOX GIRATÓRIO MACHO CONFORME ET "BBR-D-DF-1073-MDE-K-0010"</t>
  </si>
  <si>
    <t>ITEM 13 Arruela de Acabamento Ø3/4" EM ALUMÍNIO FUNDIDO PARA INSTALAÇÃO EM BOX GIRATÓRIO MACHO CONFORME ET "BBR-D-DF-1073-MDE-K-0010"</t>
  </si>
  <si>
    <t>ITEM 14 Condulete c/ Furação em "LR" Ø2"EM ALUMÍNIO FUNDIDO, A PROVA DE TEMPO, UMIDADE, GASES, VAPORES E PO CONFORME ET "BBR-D-DF-1073-MDE-K-0010"</t>
  </si>
  <si>
    <t>ITEM 15 Condulete c/ Furação em "LR"  Ø 3/4" EM ALUMÍNIO FUNDIDO, A PROVA DE TEMPO, UMIDADE, GASES, VAPORES E PO CONFORME ET "BBR-D-DF-1073-MDE-K-0010"</t>
  </si>
  <si>
    <t>ITEM 16 Condulete c/  Furação LL  Ø1 1/2" EM ALUMÍNIO FUNDIDO, A PROVA DE TEMPO, UMIDADE, GASES, VAPORES E PO CONFORME ET "BBR-D-DF-1073-MDE-K-0010"</t>
  </si>
  <si>
    <t>ITEM 17 Condulete c/  Furação LL  Ø3/4"  ALUMÍNIO FUNDIDO, A PROVA DE TEMPO, UMIDADE, GASES, VAPORES E PO CONFORME ET "BBR-D-DF-1073-MDE-K-0010"</t>
  </si>
  <si>
    <t>ITEM 18 Condulete c/  Furação T  Ø1 1/2" EM ALUMÍNIO FUNDIDO, A PROVA DE TEMPO, UMIDADE, GASES, VAPORES E PO CONFORME ET "BBR-D-DF-1073-MDE-K-0010"</t>
  </si>
  <si>
    <t>ITEM 19 Condulete c/  Furação T  Ø2" EM ALUMÍNIO FUNDIDO, A PROVA DE TEMPO, UMIDADE, GASES, VAPORES E PO CONFORME ET "BBR-D-DF-1073-MDE-K-0010"</t>
  </si>
  <si>
    <t>ITEM 20 Condulete c/ Furação em C 3/4"  EM ALUMÍNIO FUNDIDO, A PROVA DE TEMPO, UMIDADE, GASES, VAPORES E PO CONFORME ET "BBR-D-DF-1073-MDE-K-0010"</t>
  </si>
  <si>
    <t>ITEM 21 Condulete c/ Furação X 1 1/2" EM ALUMÍNIO FUNDIDO, A PROVA DE TEMPO, UMIDADE, GASES, VAPORES E PO CONFORME ET "BBR-D-DF-1073-MDE-K-0010"</t>
  </si>
  <si>
    <t>ITEM 22 Condulete c/ Furação em X 2" EM ALUMÍNIO FUNDIDO, A PROVA DE TEMPO, UMIDADE, GASES, VAPORES E PO CONFORME ET "BBR-D-DF-1073-MDE-K-0010"</t>
  </si>
  <si>
    <t>ITEM 23 Prensa Cabos de Poliamida 3/4" AUTO EXTINGUÍVEL, NA COR PRETA, ANEL EM BUNA "N", CLASSE DE VEDAÇÃO IP-68 CONFORME ET "BBR-D-DF-1073-MDE-K-0010"</t>
  </si>
  <si>
    <t>ITEM 24 Bucha de Redução de 2" x 3/4" FABRICADA EM ALUMÍNIO FUNDIDO, ROSCA BSP CONFORME ET "BBR-D-DF-1073-MDE-K-0010"</t>
  </si>
  <si>
    <t>ITEM 27 Grampo "U" Ø 3/4" EM AÇO INOX EM AÇO AISI 304, FORNECIDO COM DUAS PORCAS SEXTAVADAS E DUAS ARRUELAS DE PRESSÃO. CONFORME ET "BBR-D-DF-1073-MDE-K-0010"</t>
  </si>
  <si>
    <t>ITEM 28 Grampo "U" Ø 1 1/2" EM AÇO INOX EM AÇO AISI 304, FORNECIDO COM DUAS PORCAS SEXTAVADAS E DUAS ARRUELAS DE PRESSÃO.CONFORME ET "BBR-D-DF-1073-MDE-K-0010"</t>
  </si>
  <si>
    <t>ITEM 29 Grampo "U" Ø 2" EM AÇO INOX EM AÇO AISI 304, FORNECIDO COM DUAS PORCAS SEXTAVADAS E DUAS ARRUELAS DE PRESSÃO CONFORME ET "BBR-D-DF-1073-MDE-K-0010"</t>
  </si>
  <si>
    <t>ITEM 01 Cabo  de Controle Flexivel 1X3CX1 5mm²TENSÃO DE ISOLAMENTO 0,6/1KV, ENCORDOAMENTO CLASSE 5 CONFORME ET "BBR-D-DF-1073-MDE-K-0010"</t>
  </si>
  <si>
    <t>ITEM 2 Cabo de Controle Flexível 1 x 5C x 1,5 mm² TENSÃO DE ISOLAMENTO 0,6/1KV, ENCORDOAMENTO CLASSE 5 CONFORME ET "BBR-D-DF-1073-MDE-K-0010"</t>
  </si>
  <si>
    <t>ITEM 6 Eletroduto Flexível Ø 3/4" EM ROLO, TIPO SEALTUBO, A PROVA DE TEMPO, UMIDADE, GASES, VAPORES E PO CONFORME ET "BBR-D-DF-1073-MDE-K-0010"</t>
  </si>
  <si>
    <t>ITEM 7 Conector Fêmea Giratório 3/4"   PARA INSTALAÇÃO EM ELETRODUTO FLEXÍVEL SERIE PESADA EM ALUMÍNIO FUNDIDO CONFORME ET "BBR-D-DF-1073-MDE-K-0010"</t>
  </si>
  <si>
    <t>ITEM 8 Conector Macho Giratório Ø 3/4" PARA INSTALAÇÃO EM ELETRODUTO FLEXÍVEL SERIE PESADA EM ALUMÍNIO FUNDIDO CONFORME ET "BBR-D-DF-1073-MDE-K-0010"</t>
  </si>
  <si>
    <t>ITEM 9 Eletroduto Flexível Ø 2" EM ROLO, TIPO SEALTUBO, A PROVA DE TEMPO, UMIDADE, GASES, VAPORES E PO CONFORME ET "BBR-D-DF-1073-MDE-K-0010"</t>
  </si>
  <si>
    <t>ITEM 10 Conector Fêmea Giratório 1 1/2" PARA INSTALAÇÃO EM ELETRODUTO FLEXÍVEL SERIE PESADA EM ALUMÍNIO FUNDIDO CONFORME ET "BBR-D-DF-1073-MDE-K-0010"</t>
  </si>
  <si>
    <t>ITEM 11 Conector Macho Giratório 1 1/2"  PARA INSTALAÇÃO EM ELETRODUTO FLEXÍVEL SERIE PESADA ALUMÍNIO FUNDIDO. CONFORME ET "BBR-D-DF-1073-MDE-K-0010"</t>
  </si>
  <si>
    <t>ITEM 25 Bucha de Redução de 1 1/2" x  3/4"FABRICADA EM ALUMÍNIO FUNDIDO, ROSCA BSP. CONFORME ET "BBR-D-DF-1073-MDE-K-0010"</t>
  </si>
  <si>
    <t>ITEM 26 Bucha de Redução de 2" x 1 1/2"  FABRICADA EM ALUMÍNIO FUNDIDO, ROSCA BSP. CONFORME ET "BBR-D-DF-1073-MDE-K-0010"</t>
  </si>
  <si>
    <t>ITEM 36 Alarme Sonoro PARA INDICAÇÃO DE PARTIDA DO EQUIPAMENTO CONFORME ET "BBR-D-DF-1073-MDE-K-0010"</t>
  </si>
  <si>
    <t>ITEM 01 Cabo  de Controle Flexivel 1X3CX1 5mm²TENSÃO DE ISOLAMENTO 0,6/1KV, ENCORDOAMENTO CLASSE 5 CONFORME ET "BBR-D-DF-1073-MDE-K-0011"</t>
  </si>
  <si>
    <t>ITEM 2 Cabo de Controle Flexível 1 x 5C x 1,5 mm² TENSÃO DE ISOLAMENTO 0,6/1KV, ENCORDOAMENTO CLASSE 5 CONFORME ET "BBR-D-DF-1073-MDE-K-0011"</t>
  </si>
  <si>
    <t>ITEM 6 Eletroduto Flexível Ø 3/4" EM ROLO, TIPO SEALTUBO, A PROVA DE TEMPO, UMIDADE, GASES, VAPORES E PO CONFORME ET "BBR-D-DF-1073-MDE-K-0011"</t>
  </si>
  <si>
    <t>ITEM 7 Conector Fêmea Giratório 3/4"   PARA INSTALAÇÃO EM ELETRODUTO FLEXÍVEL SERIE PESADA EM ALUMÍNIO FUNDIDO CONFORME ET "BBR-D-DF-1073-MDE-K-0011"</t>
  </si>
  <si>
    <t>ITEM 8 Conector Macho Giratório Ø 3/4" PARA INSTALAÇÃO EM ELETRODUTO FLEXÍVEL SERIE PESADA EM ALUMÍNIO FUNDIDO CONFORME ET "BBR-D-DF-1073-MDE-K-0011"</t>
  </si>
  <si>
    <t>ITEM 9 Eletroduto Flexível Ø 2" EM ROLO, TIPO SEALTUBO, A PROVA DE TEMPO, UMIDADE, GASES, VAPORES E PO CONFORME ET "BBR-D-DF-1073-MDE-K-0011"</t>
  </si>
  <si>
    <t>ITEM 10 Conector Fêmea Giratório 1 1/2" PARA INSTALAÇÃO EM ELETRODUTO FLEXÍVEL SERIE PESADA EM ALUMÍNIO FUNDIDO CONFORME ET "BBR-D-DF-1073-MDE-K-0011"</t>
  </si>
  <si>
    <t>ITEM 11 Conector Macho Giratório 1 1/2"  PARA INSTALAÇÃO EM ELETRODUTO FLEXÍVEL SERIE PESADA ALUMÍNIO FUNDIDO. CONFORME ET "BBR-D-DF-1073-MDE-K-0011"</t>
  </si>
  <si>
    <t>ITEM 25 Bucha de Redução de 1 1/2" x  3/4"FABRICADA EM ALUMÍNIO FUNDIDO, ROSCA BSP. CONFORME ET "BBR-D-DF-1073-MDE-K-0011"</t>
  </si>
  <si>
    <t>ITEM 26 Bucha de Redução de 2" x 1 1/2"  FABRICADA EM ALUMÍNIO FUNDIDO, ROSCA BSP. CONFORME ET "BBR-D-DF-1073-MDE-K-0011"</t>
  </si>
  <si>
    <t>ITEM 36 Alarme Sonoro PARA INDICAÇÃO DE PARTIDA DO EQUIPAMENTO CONFORME ET "BBR-D-DF-1073-MDE-K-0011"</t>
  </si>
  <si>
    <t>ITEM 31 CHAVE DETECTORA DE RASGO INVÓLUCRO DE METAL LEVE FUNDIDO SOB PRESSÃO, ATUADOR CONFECCIONADO EM AÇO INOXIDÁVEL, MATERIAL DE CONTATO PRATA CONFORME ET "BBR-D-DF-1073-MDE-K-0010"</t>
  </si>
  <si>
    <t>ITEM 32 Chave de Emergência REF. Z3Z 500 22YR - 186452, SCHMERSAL OU SIMILAR  CARACTERÍSTICAS: ATUAÇÃO POR CORDA  ALCANCE DE ATÉ 200M; INVÓLUCRO EM AL CONFORME ET "BBR-D-DF-1073-MDE-K-0010"</t>
  </si>
  <si>
    <t>ITEM 33 Chave de Desalinhamento REF. ZV12H 500 22/11Y, SCHMERSAL OU SIMILAR CONFORME ET "BBR-D-DF-1073-MDE-K-0010"</t>
  </si>
  <si>
    <t>ITEM 34 Sonda de Nível POR INCLINAÇÃO. REF. M 600 - 186563 SCHMERSAL OU SIMILAR. CONFORME ET "BBR-D-DF-1073-MDE-K-0010"</t>
  </si>
  <si>
    <t>ITEM 31 CHAVE DETECTORA DE RASGO INVÓLUCRO DE METAL LEVE FUNDIDO SOB PRESSÃO, ATUADOR CONFECCIONADO EM AÇO INOXIDÁVEL, MATERIAL DE CONTATO PRATA CONFORME ET "BBR-D-DF-1073-MDE-K-0011"</t>
  </si>
  <si>
    <t>ITEM 32 Chave de Emergência REF. Z3Z 500 22YR - 186452, SCHMERSAL OU SIMILAR  CARACTERÍSTICAS: ATUAÇÃO POR CORDA  ALCANCE DE ATÉ 200M; INVÓLUCRO EM AL CONFORME ET "BBR-D-DF-1073-MDE-K-0011"</t>
  </si>
  <si>
    <t>ITEM 33 Chave de Desalinhamento REF. ZV12H 500 22/11Y, SCHMERSAL OU SIMILAR CONFORME ET "BBR-D-DF-1073-MDE-K-0011"</t>
  </si>
  <si>
    <t>ITEM 34 Sonda de Nível POR INCLINAÇÃO. REF. M 600 - 186563 SCHMERSAL OU SIMILAR. CONFORME ET "BBR-D-DF-1073-MDE-K-0011"</t>
  </si>
  <si>
    <t>Acessorios P/ Z3Z Mont 40M c/mola kit acessórios p/ Z3Z mont 40M c/mola</t>
  </si>
  <si>
    <t>Plaqueta Inox 304 1X12X65 gravada</t>
  </si>
  <si>
    <t xml:space="preserve">Arruela Lisa Ø 5/8" ASTM A325 </t>
  </si>
  <si>
    <t xml:space="preserve">Parafuso Cab. Sext. Ø 5/8"UNC x 1 3/4" ASTM A325 </t>
  </si>
  <si>
    <t xml:space="preserve">CONFORME ET PED. 188 </t>
  </si>
  <si>
    <t xml:space="preserve">MOTOR CA - 90 KW DRN280M4/FI/TH </t>
  </si>
  <si>
    <t xml:space="preserve">REDUTOR CONICO X3KH150e/HU/B- RS </t>
  </si>
  <si>
    <t>Grampo Tipo 2 Ref. Selmec (Inox) - DESENHO:T-072954-1 (TAG:1073-TC-006/1073-TC-007)</t>
  </si>
  <si>
    <t>Grampo Tipo 2 Ref. Selmec (Inox) - DESENHO:T-072956-1 (TAG:1073-TC-006/1073-TC-007)</t>
  </si>
  <si>
    <t>Grampo Tipo 2 Ref. Selmec (Inox) - DESENHO:T-072959-1 (TAG:1073-TC-006/1073-TC-007)</t>
  </si>
  <si>
    <t>T-072977-1</t>
  </si>
  <si>
    <t>Grampo Tipo 2 Ref. Selmec (Inox) - DESENHO:T-072977-1 (TAG:1073-TC-006/1073-TC-007)</t>
  </si>
  <si>
    <t>Grade de Piso GS-A4-252 (MALHA 30x100) x 924 X 1230mm - DESENHO:T-072977-1 (TAG:1073-TC-006/1073-TC-007)</t>
  </si>
  <si>
    <t>Grade de Piso GS-A4-252 (MALHA 30x100) x 824 X 1519mm - DESENHO:T-072977-1 (TAG:1073-TC-006/1073-TC-007)</t>
  </si>
  <si>
    <t>Grade de Piso GS-A4-252 (MALHA 30x100) x 836 X 1621mm - DESENHO:T-072977-1 (TAG:1073-TC-006/1073-TC-007)</t>
  </si>
  <si>
    <t>Grade de Piso GS-A4-252 (MALHA 30x100) x 836 X 2115mm - DESENHO:T-072977-1 (TAG:1073-TC-006/1073-TC-007)</t>
  </si>
  <si>
    <t>Grade de Piso GS-A4-252 (MALHA 30x100) x 1426 X 1519mm - DESENHO:T-072977-1 (TAG:1073-TC-006/1073-TC-007)</t>
  </si>
  <si>
    <t>Grade de Piso GS-A4-252 (MALHA 30x100) x 1159 X 1527mm - DESENHO:T-072977-1 (TAG:1073-TC-006/1073-TC-007)</t>
  </si>
  <si>
    <t>Grade de Piso GS-A4-252 (MALHA 30x100) x 262 X 780,5 GALVANIZADO - DESENHO:T-072954-1 (TAG:1073-TC-006/1073-TC-007)</t>
  </si>
  <si>
    <t>Grade de Piso GS-A4-252 (MALHA 30x100) x 998 X 1483 GALVANIZADO - DESENHO:T-072954-1 (TAG:1073-TC-006/1073-TC-007)</t>
  </si>
  <si>
    <t>Grade de Piso GS-A4-252 (MALHA 30x100) x 900 X 1483 GALVANIZADO - DESENHO:T-072954-1 (TAG:1073-TC-006/1073-TC-007)</t>
  </si>
  <si>
    <t>Grade de Piso GS-A4-252 (MALHA 30x100) x 1000 X 1483 GALVANIZADO - DESENHO:T-072954-1 (TAG:1073-TC-006/1073-TC-007)</t>
  </si>
  <si>
    <t>Grade de Piso GS-A4-252 (MALHA 30x100) x 780,5 X 806 GALVANIZADO - DESENHO:T-072954-1 (TAG:1073-TC-006/1073-TC-007)</t>
  </si>
  <si>
    <t>Grade de Piso GS-A4-252 (MALHA 30x100) x 780,5 X 1000 GALVANIZADO - DESENHO:T-072954-1 (TAG:1073-TC-006/1073-TC-007)</t>
  </si>
  <si>
    <t>Grade de Piso GS-A4-252 (MALHA 30x100) x 973 X 1483 GALVANIZADO - DESENHO:T-072956-1 (TAG:1073-TC-006/1073-TC-007)</t>
  </si>
  <si>
    <t>Grade de Piso GS-A4-252 (MALHA 30x100) x 780,5 X 1483 GALVANIZADO - DESENHO:T-072956-1 (TAG:1073-TC-006/1073-TC-007)</t>
  </si>
  <si>
    <t>Grade de Piso GS-A4-252 (MALHA 30x100) x 1000 X 1483 GALVANIZADO - DESENHO:T-072956-1 (TAG:1073-TC-006/1073-TC-007)</t>
  </si>
  <si>
    <t>Grade de Piso GS-A4-252 (MALHA 30x100) x 780 x 795mm GALVANIZADO - DESENHO:T-072958-1 (TAG:1073-TC-006/1073-TC-007)</t>
  </si>
  <si>
    <t>Grade de Piso GS-A4-252 (MALHA 30x100) x 780 x 1000mm GALVANIZADO - DESENHO:T-072958-1 (TAG:1073-TC-006/1073-TC-007)</t>
  </si>
  <si>
    <t>Grade de Piso GS-A4-252 (MALHA 30x100) x 780 x 1000mm GALVANIZADO - DESENHO:T-072959-1 (TAG:1073-TC-006/1073-TC-007)</t>
  </si>
  <si>
    <t>Grade de Piso GS-A4-252 (MALHA 30x100) x 1000 x 1390mm GALVANIZADO - DESENHO:T-072959-1 (TAG:1073-TC-006/1073-TC-007)</t>
  </si>
  <si>
    <t>Grade de Piso GS-A4-252 (MALHA 30x100) x 1000 x 1884mm GALVANIZADO - DESENHO:T-072962-1 (TAG:1073-TC-006/1073-TC-007)</t>
  </si>
  <si>
    <t>Grade de Piso GS-A4-252 (MALHA 30x100) x 1000 x 1885mm GALVANIZADO - DESENHO:T-072962-1 (TAG:1073-TC-006/1073-TC-007)</t>
  </si>
  <si>
    <t>Grade de Piso GS-A4-252 (MALHA 30x100) x 668 x 780mm GALVANIZADO - DESENHO:T-072962-1 (TAG:1073-TC-006/1073-TC-007)</t>
  </si>
  <si>
    <t>Grade de Piso GS-A4-252 (MALHA 30x100) x 1020,5 x 1040mm GALVANIZADO - DESENHO:T-072962-1 (TAG:1073-TC-006/1073-TC-007)</t>
  </si>
  <si>
    <t>Grade de Piso GS-A4-252 (MALHA 30x100) x 820 x 1000mm GALVANIZADO - DESENHO:T-072962-1 (TAG:1073-TC-006/1073-TC-007)</t>
  </si>
  <si>
    <t>Grade de Piso GS-A4-252 (MALHA 30x100) x 920 x 1000mm GALVANIZADO - DESENHO:T-072962-1 (TAG:1073-TC-006/1073-TC-007)</t>
  </si>
  <si>
    <t>Grade de Piso GS-A4-252 (MALHA 30x100) x 747 x 780mm GALVANIZADO - DESENHO:T-072963-1 (TAG:1073-TC-006/1073-TC-007)</t>
  </si>
  <si>
    <t>Degrau - DS-25/3 - 25 x 3100 - 250 x 800mm GALVANIZADO - DESENHO:T-072963-1 (TAG:1073-TC-006/1073-TC-007)</t>
  </si>
  <si>
    <t>Grade de Piso GS-A4-252 (MALHA 30x100) x 700 x 795mm GALVANIZADO - DESENHO:T-072967-1 (TAG:1073-TC-006/1073-TC-007)</t>
  </si>
  <si>
    <t>Grade de Piso GS-A4-252 (MALHA 30x100) x 700 x 1000mm GALVANIZADO - DESENHO:T-072967-1 (TAG:1073-TC-006/1073-TC-007)</t>
  </si>
  <si>
    <t>T-072927-1</t>
  </si>
  <si>
    <t>Grade de Piso GS-A4-252 (MALHA 30x100) x 513 X 1831mm - DESENHO:T-072927-1 (TAG:1073-TC-006)</t>
  </si>
  <si>
    <t xml:space="preserve">1073-TC-006 </t>
  </si>
  <si>
    <t>Grade de Piso GS-A4-252 (MALHA 30x100)x 482 x 1831mm - DESENHO:T-072927-1 (TAG:1073-TC-006)</t>
  </si>
  <si>
    <t>Grade de Piso GS-A4-252 (MALHA 30x100) x 931 x 931mm - DESENHO:T-072927-1 (TAG:1073-TC-006)</t>
  </si>
  <si>
    <t>Grade de Piso GS-A4-252 (MALHA 30x100) x 890 x 931mm - DESENHO:T-072927-1 (TAG:1073-TC-006)</t>
  </si>
  <si>
    <t>Grade de Piso GS-A4-252 (MALHA 30x100) x 1020 x 1080mm - DESENHO:T-072927-1 (TAG:1073-TC-006)</t>
  </si>
  <si>
    <t>Grade de Piso GS-A4-252 (MALHA 30x100) x 1094 x 1269mm - DESENHO:T-072927-1 (TAG:1073-TC-006)</t>
  </si>
  <si>
    <t>Grade de Piso GS-A4-252 (MALHA 30x100) x 513 x 1831mm - DESENHO:T-072927-1 (TAG:1073-TC-007)</t>
  </si>
  <si>
    <t>Grade de Piso GS-A4-252 (MALHA 30x100) x 482 x 1831mm - DESENHO:T-072927-1 (TAG:1073-TC-007)</t>
  </si>
  <si>
    <t>Grade de Piso GS-A4-252 (MALHA 30x100) x 931 x 931mm - DESENHO:T-072927-1 (TAG:1073-TC-007)</t>
  </si>
  <si>
    <t>Grade de Piso GS-A4-252 (MALHA 30x100) x 890 x 931mm - DESENHO:T-072927-1 (TAG:1073-TC-007)</t>
  </si>
  <si>
    <t>Grade de Piso GS-A4-252 (MALHA 30x100) x 1020 x 1080mm - DESENHO:T-072927-1 (TAG:1073-TC-007)</t>
  </si>
  <si>
    <t>Grade de Piso GS-A4-252 (MALHA 30x100) x 1094 x 1269mm - DESENHO:T-072927-1 (TAG:1073-TC-007)</t>
  </si>
  <si>
    <t>Grampo Tipo 1 Ref. Selmec (Inox) - DESENHO:T-072927-1 (TAG:1073-TC-006)</t>
  </si>
  <si>
    <t>Grampo Tipo 2 Ref. Selmec (Inox) - DESENHO:T-072927-1 (TAG:1073-TC-006)</t>
  </si>
  <si>
    <t>Grampo Tipo 1 Ref. Selmec (Inox) - DESENHO:T-072927-1 (TAG:1073-TC-007)</t>
  </si>
  <si>
    <t>POS. 9 - 11</t>
  </si>
  <si>
    <t>CHAPA DE DESGASTE 5/8" X 190 X 390 HARDOX</t>
  </si>
  <si>
    <t>CONFORME ET-PED-188</t>
  </si>
  <si>
    <t xml:space="preserve">ACOPLAMENTO FLEXIVEL 42" </t>
  </si>
  <si>
    <t>1073-TC-0006</t>
  </si>
  <si>
    <t>1073-TC-0007</t>
  </si>
  <si>
    <t>CHUTE DE DESCARGA PARTE SUPERIOR 73208-A</t>
  </si>
  <si>
    <t>4417X</t>
  </si>
  <si>
    <t>4418X</t>
  </si>
  <si>
    <t>4419X</t>
  </si>
  <si>
    <t>4420X</t>
  </si>
  <si>
    <t>4421X</t>
  </si>
  <si>
    <t>4422X</t>
  </si>
  <si>
    <t>4423X</t>
  </si>
  <si>
    <t>4424X</t>
  </si>
  <si>
    <t>4425X</t>
  </si>
  <si>
    <t>4426X</t>
  </si>
  <si>
    <t>4427X</t>
  </si>
  <si>
    <t>4428X</t>
  </si>
  <si>
    <t>4429X</t>
  </si>
  <si>
    <t>4430X</t>
  </si>
  <si>
    <t>4431X</t>
  </si>
  <si>
    <t>4432X</t>
  </si>
  <si>
    <t>4433X</t>
  </si>
  <si>
    <t>4434X</t>
  </si>
  <si>
    <t>4435X</t>
  </si>
  <si>
    <t>4436X</t>
  </si>
  <si>
    <t>4437X</t>
  </si>
  <si>
    <t>4438X</t>
  </si>
  <si>
    <t>4439X</t>
  </si>
  <si>
    <t>4440X</t>
  </si>
  <si>
    <t>4441X</t>
  </si>
  <si>
    <t>4442X</t>
  </si>
  <si>
    <t>4443X</t>
  </si>
  <si>
    <t>4444X</t>
  </si>
  <si>
    <t>4445X</t>
  </si>
  <si>
    <t>4446X</t>
  </si>
  <si>
    <t>4447X</t>
  </si>
  <si>
    <t>4448X</t>
  </si>
  <si>
    <t>4449X</t>
  </si>
  <si>
    <t>4450X</t>
  </si>
  <si>
    <t>4451X</t>
  </si>
  <si>
    <t>4452X</t>
  </si>
  <si>
    <t>4453X</t>
  </si>
  <si>
    <t>4454X</t>
  </si>
  <si>
    <t>4455X</t>
  </si>
  <si>
    <t>4456X</t>
  </si>
  <si>
    <t>4457X</t>
  </si>
  <si>
    <t>4458X</t>
  </si>
  <si>
    <t>4459X</t>
  </si>
  <si>
    <t>4460X</t>
  </si>
  <si>
    <t>4461X</t>
  </si>
  <si>
    <t>4462X</t>
  </si>
  <si>
    <t>4463X</t>
  </si>
  <si>
    <t>4464X</t>
  </si>
  <si>
    <t>4465X</t>
  </si>
  <si>
    <t>4466X</t>
  </si>
  <si>
    <t>4467X</t>
  </si>
  <si>
    <t>4468X</t>
  </si>
  <si>
    <t>4469X</t>
  </si>
  <si>
    <t>4470X</t>
  </si>
  <si>
    <t>4471X</t>
  </si>
  <si>
    <t>4472X</t>
  </si>
  <si>
    <t>4473X</t>
  </si>
  <si>
    <t>4474X</t>
  </si>
  <si>
    <t>4475X</t>
  </si>
  <si>
    <t>4476X</t>
  </si>
  <si>
    <t>4477X</t>
  </si>
  <si>
    <t>4478X</t>
  </si>
  <si>
    <t>4479X</t>
  </si>
  <si>
    <t>4480X</t>
  </si>
  <si>
    <t>4481X</t>
  </si>
  <si>
    <t>4482X</t>
  </si>
  <si>
    <t>4483X</t>
  </si>
  <si>
    <t>4484X</t>
  </si>
  <si>
    <t>4485X</t>
  </si>
  <si>
    <t>4486X</t>
  </si>
  <si>
    <t>4487X</t>
  </si>
  <si>
    <t>4488X</t>
  </si>
  <si>
    <t>4489X</t>
  </si>
  <si>
    <t>4490X</t>
  </si>
  <si>
    <t>4491X</t>
  </si>
  <si>
    <t>4492X</t>
  </si>
  <si>
    <t>4493X</t>
  </si>
  <si>
    <t>4494X</t>
  </si>
  <si>
    <t>4495X</t>
  </si>
  <si>
    <t>4496X</t>
  </si>
  <si>
    <t>4497X</t>
  </si>
  <si>
    <t>4498X</t>
  </si>
  <si>
    <t>4499X</t>
  </si>
  <si>
    <t>4500X</t>
  </si>
  <si>
    <t>4501X</t>
  </si>
  <si>
    <t>4502X</t>
  </si>
  <si>
    <t>4503X</t>
  </si>
  <si>
    <t>4504X</t>
  </si>
  <si>
    <t>4505X</t>
  </si>
  <si>
    <t>4506X</t>
  </si>
  <si>
    <t>4507X</t>
  </si>
  <si>
    <t>4508X</t>
  </si>
  <si>
    <t>4509X</t>
  </si>
  <si>
    <t>4510X</t>
  </si>
  <si>
    <t>4511X</t>
  </si>
  <si>
    <t>4512X</t>
  </si>
  <si>
    <t>4513X</t>
  </si>
  <si>
    <t>4514X</t>
  </si>
  <si>
    <t>4515X</t>
  </si>
  <si>
    <t>4516X</t>
  </si>
  <si>
    <t>4517X</t>
  </si>
  <si>
    <t>4518X</t>
  </si>
  <si>
    <t>4519X</t>
  </si>
  <si>
    <t>4520X</t>
  </si>
  <si>
    <t>4521X</t>
  </si>
  <si>
    <t>4522X</t>
  </si>
  <si>
    <t>4523X</t>
  </si>
  <si>
    <t>4524X</t>
  </si>
  <si>
    <t>4525X</t>
  </si>
  <si>
    <t>4526X</t>
  </si>
  <si>
    <t>4527X</t>
  </si>
  <si>
    <t>4528X</t>
  </si>
  <si>
    <t>4529X</t>
  </si>
  <si>
    <t>4530X</t>
  </si>
  <si>
    <t>4531X</t>
  </si>
  <si>
    <t>4532X</t>
  </si>
  <si>
    <t>4533X</t>
  </si>
  <si>
    <t>4534X</t>
  </si>
  <si>
    <t>4535X</t>
  </si>
  <si>
    <t>4536X</t>
  </si>
  <si>
    <t>4537X</t>
  </si>
  <si>
    <t>4538X</t>
  </si>
  <si>
    <t>4539X</t>
  </si>
  <si>
    <t>4540X</t>
  </si>
  <si>
    <t>4541X</t>
  </si>
  <si>
    <t>4542X</t>
  </si>
  <si>
    <t>4543X</t>
  </si>
  <si>
    <t>4544X</t>
  </si>
  <si>
    <t>4545X</t>
  </si>
  <si>
    <t>4546X</t>
  </si>
  <si>
    <t>4547X</t>
  </si>
  <si>
    <t>4548X</t>
  </si>
  <si>
    <t>4549X</t>
  </si>
  <si>
    <t>4550X</t>
  </si>
  <si>
    <t>4551X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</si>
</sst>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4" formatCode="0.0"/>
    <numFmt numFmtId="165" formatCode="dd\-mmm\-yy"/>
    <numFmt numFmtId="166" formatCode="[$-F800]dddd\,\ mmmm\ dd\,\ yyyy"/>
    <numFmt numFmtId="167" formatCode="General_)"/>
    <numFmt numFmtId="168" formatCode="_(&quot;R$ &quot;* #,##0_);_(&quot;R$ &quot;* \(#,##0\);_(&quot;R$ &quot;* &quot;-&quot;_);_(@_)"/>
    <numFmt numFmtId="169" formatCode="_(&quot;R$ &quot;* #,##0.00_);_(&quot;R$ &quot;* \(#,##0.00\);_(&quot;R$ &quot;* &quot;-&quot;??_);_(@_)"/>
  </numFmts>
  <fonts count="90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scheme val="minor"/>
    </font>
    <font>
      <sz val="10"/>
      <name val="Arial"/>
    </font>
    <font>
      <sz val="12"/>
      <name val="Calibri"/>
      <scheme val="minor"/>
    </font>
    <font>
      <sz val="12"/>
      <color rgb="FF002060"/>
      <name val="Calibri"/>
      <family val="2"/>
      <scheme val="minor"/>
    </font>
  </fonts>
  <fills count="80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7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0" applyNumberFormat="0" applyAlignment="0" applyProtection="0"/>
    <xf numFmtId="0" fontId="16" fillId="20" borderId="20" applyNumberFormat="0" applyAlignment="0" applyProtection="0"/>
    <xf numFmtId="0" fontId="17" fillId="30" borderId="21" applyNumberFormat="0" applyAlignment="0" applyProtection="0"/>
    <xf numFmtId="0" fontId="18" fillId="0" borderId="22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0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8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3" applyNumberFormat="0" applyFont="0" applyAlignment="0" applyProtection="0"/>
    <xf numFmtId="0" fontId="7" fillId="16" borderId="23" applyNumberFormat="0" applyFont="0" applyAlignment="0" applyProtection="0"/>
    <xf numFmtId="0" fontId="7" fillId="16" borderId="23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4" applyNumberFormat="0" applyAlignment="0" applyProtection="0"/>
    <xf numFmtId="0" fontId="22" fillId="20" borderId="24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5" applyNumberFormat="0" applyFill="0" applyAlignment="0" applyProtection="0"/>
    <xf numFmtId="0" fontId="32" fillId="0" borderId="26" applyNumberFormat="0" applyFill="0" applyAlignment="0" applyProtection="0"/>
    <xf numFmtId="0" fontId="27" fillId="0" borderId="27" applyNumberFormat="0" applyFill="0" applyAlignment="0" applyProtection="0"/>
    <xf numFmtId="0" fontId="33" fillId="0" borderId="27" applyNumberFormat="0" applyFill="0" applyAlignment="0" applyProtection="0"/>
    <xf numFmtId="0" fontId="28" fillId="0" borderId="28" applyNumberFormat="0" applyFill="0" applyAlignment="0" applyProtection="0"/>
    <xf numFmtId="0" fontId="34" fillId="0" borderId="29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0" applyNumberFormat="0" applyFill="0" applyAlignment="0" applyProtection="0"/>
    <xf numFmtId="0" fontId="29" fillId="0" borderId="31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2" applyNumberFormat="0" applyFill="0" applyAlignment="0" applyProtection="0"/>
    <xf numFmtId="0" fontId="39" fillId="0" borderId="33" applyNumberFormat="0" applyFill="0" applyAlignment="0" applyProtection="0"/>
    <xf numFmtId="0" fontId="40" fillId="0" borderId="34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5" applyNumberFormat="0" applyAlignment="0" applyProtection="0"/>
    <xf numFmtId="0" fontId="44" fillId="40" borderId="36" applyNumberFormat="0" applyAlignment="0" applyProtection="0"/>
    <xf numFmtId="0" fontId="45" fillId="40" borderId="35" applyNumberFormat="0" applyAlignment="0" applyProtection="0"/>
    <xf numFmtId="0" fontId="46" fillId="0" borderId="37" applyNumberFormat="0" applyFill="0" applyAlignment="0" applyProtection="0"/>
    <xf numFmtId="0" fontId="47" fillId="41" borderId="38" applyNumberFormat="0" applyAlignment="0" applyProtection="0"/>
    <xf numFmtId="0" fontId="48" fillId="0" borderId="0" applyNumberFormat="0" applyFill="0" applyBorder="0" applyAlignment="0" applyProtection="0"/>
    <xf numFmtId="0" fontId="9" fillId="42" borderId="39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0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9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87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166" fontId="0" fillId="0" borderId="0" xfId="0" applyNumberFormat="1"/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165" fontId="1" fillId="0" borderId="10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14" fontId="1" fillId="0" borderId="10" xfId="0" applyNumberFormat="1" applyFont="1" applyBorder="1" applyAlignment="1" applyProtection="1">
      <alignment horizontal="center" vertical="center"/>
      <protection locked="0"/>
    </xf>
    <xf numFmtId="165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2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textRotation="90" wrapText="1"/>
    </xf>
    <xf numFmtId="0" fontId="0" fillId="0" borderId="9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165" fontId="0" fillId="0" borderId="0" xfId="0" applyNumberForma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center"/>
    </xf>
    <xf numFmtId="0" fontId="10" fillId="9" borderId="17" xfId="0" applyFont="1" applyFill="1" applyBorder="1" applyAlignment="1">
      <alignment horizontal="center" vertical="center" wrapText="1"/>
    </xf>
    <xf numFmtId="0" fontId="1" fillId="0" borderId="10" xfId="0" applyFont="1" applyBorder="1" applyAlignment="1" applyProtection="1">
      <alignment horizontal="center"/>
      <protection locked="0"/>
    </xf>
    <xf numFmtId="0" fontId="10" fillId="10" borderId="17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1" xfId="1" applyFont="1" applyFill="1" applyBorder="1" applyAlignment="1" applyProtection="1">
      <alignment horizontal="center" vertical="center"/>
      <protection locked="0"/>
    </xf>
    <xf numFmtId="0" fontId="52" fillId="4" borderId="42" xfId="1" applyFont="1" applyFill="1" applyBorder="1" applyAlignment="1" applyProtection="1">
      <alignment horizontal="center" vertical="center"/>
      <protection locked="0"/>
    </xf>
    <xf numFmtId="0" fontId="1" fillId="4" borderId="41" xfId="0" applyFont="1" applyFill="1" applyBorder="1" applyAlignment="1">
      <alignment horizontal="center" vertical="center" wrapText="1"/>
    </xf>
    <xf numFmtId="0" fontId="55" fillId="9" borderId="6" xfId="1" applyFont="1" applyFill="1" applyBorder="1" applyAlignment="1" applyProtection="1">
      <alignment vertical="center" wrapText="1"/>
      <protection locked="0"/>
    </xf>
    <xf numFmtId="0" fontId="10" fillId="9" borderId="6" xfId="1" applyFont="1" applyFill="1" applyBorder="1" applyAlignment="1">
      <alignment horizontal="center" vertical="center"/>
    </xf>
    <xf numFmtId="0" fontId="10" fillId="9" borderId="6" xfId="1" applyFont="1" applyFill="1" applyBorder="1" applyAlignment="1" applyProtection="1">
      <alignment vertical="center"/>
      <protection locked="0"/>
    </xf>
    <xf numFmtId="0" fontId="56" fillId="67" borderId="6" xfId="1" applyFont="1" applyFill="1" applyBorder="1" applyAlignment="1">
      <alignment horizontal="center" vertical="center" wrapText="1"/>
    </xf>
    <xf numFmtId="0" fontId="57" fillId="4" borderId="6" xfId="1" applyFont="1" applyFill="1" applyBorder="1" applyAlignment="1">
      <alignment horizontal="center" vertical="center" wrapText="1"/>
    </xf>
    <xf numFmtId="0" fontId="57" fillId="67" borderId="6" xfId="1" applyFont="1" applyFill="1" applyBorder="1" applyAlignment="1">
      <alignment horizontal="center" vertical="center" wrapText="1"/>
    </xf>
    <xf numFmtId="10" fontId="57" fillId="67" borderId="6" xfId="1" applyNumberFormat="1" applyFont="1" applyFill="1" applyBorder="1" applyAlignment="1">
      <alignment horizontal="center" vertical="center" wrapText="1"/>
    </xf>
    <xf numFmtId="2" fontId="57" fillId="67" borderId="6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6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5" xfId="1" applyFont="1" applyFill="1" applyBorder="1" applyAlignment="1" applyProtection="1">
      <alignment horizontal="center" vertical="center"/>
      <protection locked="0"/>
    </xf>
    <xf numFmtId="165" fontId="1" fillId="4" borderId="43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 wrapText="1"/>
      <protection locked="0"/>
    </xf>
    <xf numFmtId="0" fontId="63" fillId="70" borderId="17" xfId="0" applyFont="1" applyFill="1" applyBorder="1" applyAlignment="1" applyProtection="1">
      <alignment horizontal="center" vertical="center" wrapText="1"/>
      <protection locked="0"/>
    </xf>
    <xf numFmtId="0" fontId="64" fillId="70" borderId="17" xfId="0" applyFont="1" applyFill="1" applyBorder="1" applyAlignment="1" applyProtection="1">
      <alignment horizontal="center" vertical="center"/>
      <protection locked="0"/>
    </xf>
    <xf numFmtId="0" fontId="63" fillId="71" borderId="50" xfId="0" applyFont="1" applyFill="1" applyBorder="1" applyAlignment="1">
      <alignment horizontal="center" vertical="center"/>
    </xf>
    <xf numFmtId="0" fontId="65" fillId="4" borderId="50" xfId="0" applyFont="1" applyFill="1" applyBorder="1" applyAlignment="1">
      <alignment horizontal="center" vertical="center"/>
    </xf>
    <xf numFmtId="0" fontId="63" fillId="4" borderId="50" xfId="0" applyFont="1" applyFill="1" applyBorder="1" applyAlignment="1" applyProtection="1">
      <alignment horizontal="center" vertical="center"/>
      <protection locked="0"/>
    </xf>
    <xf numFmtId="0" fontId="66" fillId="6" borderId="51" xfId="0" applyFont="1" applyFill="1" applyBorder="1" applyAlignment="1">
      <alignment horizontal="center" vertical="center"/>
    </xf>
    <xf numFmtId="0" fontId="63" fillId="72" borderId="52" xfId="0" applyFont="1" applyFill="1" applyBorder="1" applyAlignment="1">
      <alignment horizontal="center" vertical="center"/>
    </xf>
    <xf numFmtId="0" fontId="63" fillId="73" borderId="50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48" xfId="0" applyNumberFormat="1" applyFont="1" applyFill="1" applyBorder="1" applyAlignment="1" applyProtection="1">
      <alignment horizontal="center" vertical="center"/>
      <protection locked="0"/>
    </xf>
    <xf numFmtId="0" fontId="75" fillId="67" borderId="52" xfId="0" applyFont="1" applyFill="1" applyBorder="1" applyAlignment="1">
      <alignment horizontal="center" vertical="center"/>
    </xf>
    <xf numFmtId="0" fontId="75" fillId="67" borderId="50" xfId="0" applyFont="1" applyFill="1" applyBorder="1" applyAlignment="1">
      <alignment horizontal="center" vertical="center"/>
    </xf>
    <xf numFmtId="0" fontId="72" fillId="6" borderId="51" xfId="0" applyFont="1" applyFill="1" applyBorder="1" applyAlignment="1">
      <alignment horizontal="center" vertical="center"/>
    </xf>
    <xf numFmtId="0" fontId="72" fillId="6" borderId="50" xfId="0" applyFont="1" applyFill="1" applyBorder="1" applyAlignment="1">
      <alignment horizontal="center" vertical="center"/>
    </xf>
    <xf numFmtId="0" fontId="72" fillId="75" borderId="61" xfId="0" applyFont="1" applyFill="1" applyBorder="1" applyAlignment="1">
      <alignment vertical="center"/>
    </xf>
    <xf numFmtId="4" fontId="74" fillId="4" borderId="12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0" xfId="0" applyBorder="1"/>
    <xf numFmtId="0" fontId="53" fillId="4" borderId="69" xfId="1" applyFont="1" applyFill="1" applyBorder="1" applyAlignment="1" applyProtection="1">
      <alignment horizontal="center" vertical="center"/>
      <protection locked="0"/>
    </xf>
    <xf numFmtId="165" fontId="1" fillId="4" borderId="68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69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9" fontId="0" fillId="0" borderId="6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2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4" xfId="0" applyFont="1" applyFill="1" applyBorder="1" applyAlignment="1">
      <alignment vertical="center"/>
    </xf>
    <xf numFmtId="14" fontId="68" fillId="4" borderId="48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0" xfId="0" applyFont="1" applyFill="1" applyBorder="1" applyAlignment="1">
      <alignment vertical="center"/>
    </xf>
    <xf numFmtId="3" fontId="74" fillId="4" borderId="67" xfId="0" applyNumberFormat="1" applyFont="1" applyFill="1" applyBorder="1" applyAlignment="1">
      <alignment horizontal="center" vertical="center"/>
    </xf>
    <xf numFmtId="3" fontId="74" fillId="4" borderId="50" xfId="0" applyNumberFormat="1" applyFont="1" applyFill="1" applyBorder="1" applyAlignment="1">
      <alignment horizontal="center" vertical="center"/>
    </xf>
    <xf numFmtId="0" fontId="72" fillId="0" borderId="42" xfId="0" applyFont="1" applyBorder="1"/>
    <xf numFmtId="4" fontId="80" fillId="0" borderId="41" xfId="0" applyNumberFormat="1" applyFont="1" applyBorder="1" applyAlignment="1">
      <alignment horizontal="center" vertical="center"/>
    </xf>
    <xf numFmtId="0" fontId="72" fillId="0" borderId="19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6" xfId="0" applyNumberFormat="1" applyFont="1" applyBorder="1" applyAlignment="1">
      <alignment horizontal="center" vertical="center"/>
    </xf>
    <xf numFmtId="0" fontId="72" fillId="0" borderId="7" xfId="0" applyFont="1" applyBorder="1"/>
    <xf numFmtId="0" fontId="72" fillId="0" borderId="57" xfId="0" applyFont="1" applyBorder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76" xfId="0" applyNumberFormat="1" applyFont="1" applyBorder="1" applyAlignment="1">
      <alignment horizontal="center" vertical="center"/>
    </xf>
    <xf numFmtId="4" fontId="80" fillId="0" borderId="16" xfId="0" applyNumberFormat="1" applyFont="1" applyBorder="1" applyAlignment="1">
      <alignment horizontal="center" vertical="center"/>
    </xf>
    <xf numFmtId="4" fontId="80" fillId="0" borderId="77" xfId="0" applyNumberFormat="1" applyFont="1" applyBorder="1" applyAlignment="1">
      <alignment horizontal="center" vertical="center"/>
    </xf>
    <xf numFmtId="4" fontId="82" fillId="7" borderId="56" xfId="0" applyNumberFormat="1" applyFont="1" applyFill="1" applyBorder="1" applyAlignment="1">
      <alignment horizontal="center" vertical="center"/>
    </xf>
    <xf numFmtId="4" fontId="74" fillId="4" borderId="63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0" xfId="0" applyFont="1" applyFill="1" applyBorder="1"/>
    <xf numFmtId="4" fontId="74" fillId="4" borderId="18" xfId="0" applyNumberFormat="1" applyFont="1" applyFill="1" applyBorder="1" applyAlignment="1">
      <alignment horizontal="center" vertical="center"/>
    </xf>
    <xf numFmtId="0" fontId="72" fillId="74" borderId="73" xfId="0" applyFont="1" applyFill="1" applyBorder="1"/>
    <xf numFmtId="4" fontId="74" fillId="5" borderId="5" xfId="0" applyNumberFormat="1" applyFont="1" applyFill="1" applyBorder="1" applyAlignment="1">
      <alignment horizontal="center" vertical="center"/>
    </xf>
    <xf numFmtId="4" fontId="74" fillId="5" borderId="54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5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72" fillId="77" borderId="60" xfId="0" applyFont="1" applyFill="1" applyBorder="1" applyAlignment="1">
      <alignment vertical="center"/>
    </xf>
    <xf numFmtId="4" fontId="74" fillId="77" borderId="12" xfId="0" applyNumberFormat="1" applyFont="1" applyFill="1" applyBorder="1" applyAlignment="1">
      <alignment horizontal="center" vertical="center"/>
    </xf>
    <xf numFmtId="4" fontId="74" fillId="77" borderId="66" xfId="0" applyNumberFormat="1" applyFont="1" applyFill="1" applyBorder="1" applyAlignment="1">
      <alignment horizontal="center" vertical="center"/>
    </xf>
    <xf numFmtId="4" fontId="74" fillId="77" borderId="75" xfId="0" applyNumberFormat="1" applyFont="1" applyFill="1" applyBorder="1" applyAlignment="1">
      <alignment horizontal="center" vertical="center"/>
    </xf>
    <xf numFmtId="4" fontId="80" fillId="0" borderId="71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0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textRotation="90" wrapText="1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5" borderId="5" xfId="0" applyFont="1" applyFill="1" applyBorder="1" applyAlignment="1">
      <alignment horizontal="center" vertical="center" textRotation="90" wrapText="1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2" xfId="0" applyBorder="1"/>
    <xf numFmtId="0" fontId="0" fillId="0" borderId="14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18" xfId="0" applyFont="1" applyBorder="1"/>
    <xf numFmtId="14" fontId="0" fillId="0" borderId="1" xfId="0" applyNumberFormat="1" applyBorder="1"/>
    <xf numFmtId="0" fontId="0" fillId="0" borderId="64" xfId="0" applyBorder="1"/>
    <xf numFmtId="0" fontId="86" fillId="0" borderId="5" xfId="0" applyFont="1" applyBorder="1"/>
    <xf numFmtId="0" fontId="0" fillId="0" borderId="6" xfId="0" applyBorder="1"/>
    <xf numFmtId="14" fontId="0" fillId="0" borderId="6" xfId="0" applyNumberFormat="1" applyBorder="1"/>
    <xf numFmtId="0" fontId="0" fillId="0" borderId="13" xfId="0" applyBorder="1"/>
    <xf numFmtId="0" fontId="0" fillId="0" borderId="6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13" xfId="0" applyBorder="1" applyAlignment="1">
      <alignment wrapText="1"/>
    </xf>
    <xf numFmtId="14" fontId="0" fillId="0" borderId="6" xfId="0" applyNumberFormat="1" applyBorder="1" applyAlignment="1">
      <alignment wrapText="1"/>
    </xf>
    <xf numFmtId="0" fontId="1" fillId="0" borderId="79" xfId="0" applyFont="1" applyBorder="1" applyAlignment="1" applyProtection="1">
      <alignment horizontal="center" vertical="center"/>
      <protection locked="0"/>
    </xf>
    <xf numFmtId="0" fontId="1" fillId="0" borderId="70" xfId="0" applyFont="1" applyBorder="1" applyAlignment="1" applyProtection="1">
      <alignment horizontal="center" vertical="center"/>
      <protection locked="0"/>
    </xf>
    <xf numFmtId="0" fontId="0" fillId="0" borderId="79" xfId="0" applyBorder="1" applyAlignment="1">
      <alignment horizontal="center" vertical="center"/>
    </xf>
    <xf numFmtId="0" fontId="5" fillId="0" borderId="79" xfId="0" applyFont="1" applyBorder="1" applyAlignment="1" applyProtection="1">
      <alignment horizontal="center" vertical="center"/>
      <protection locked="0"/>
    </xf>
    <xf numFmtId="0" fontId="5" fillId="0" borderId="79" xfId="0" applyFont="1" applyBorder="1" applyAlignment="1" applyProtection="1">
      <alignment horizontal="center"/>
      <protection locked="0"/>
    </xf>
    <xf numFmtId="14" fontId="5" fillId="0" borderId="79" xfId="0" applyNumberFormat="1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65" fontId="5" fillId="0" borderId="0" xfId="0" applyNumberFormat="1" applyFont="1"/>
    <xf numFmtId="164" fontId="0" fillId="0" borderId="0" xfId="0" applyNumberFormat="1" applyAlignment="1">
      <alignment horizontal="center" vertical="center"/>
    </xf>
    <xf numFmtId="0" fontId="1" fillId="79" borderId="78" xfId="0" applyFont="1" applyFill="1" applyBorder="1" applyAlignment="1">
      <alignment horizontal="center" vertical="center"/>
    </xf>
    <xf numFmtId="0" fontId="5" fillId="0" borderId="80" xfId="0" applyFont="1" applyBorder="1" applyAlignment="1" applyProtection="1">
      <alignment horizontal="center"/>
      <protection locked="0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79" xfId="0" applyBorder="1" applyAlignment="1" applyProtection="1">
      <alignment horizontal="center" vertical="center"/>
      <protection locked="0"/>
    </xf>
    <xf numFmtId="0" fontId="88" fillId="0" borderId="79" xfId="0" applyFont="1" applyBorder="1" applyAlignment="1" applyProtection="1">
      <alignment horizontal="center" vertical="center"/>
      <protection locked="0"/>
    </xf>
    <xf numFmtId="0" fontId="0" fillId="71" borderId="0" xfId="0" applyFill="1"/>
    <xf numFmtId="0" fontId="5" fillId="0" borderId="59" xfId="0" applyFont="1" applyBorder="1" applyAlignment="1" applyProtection="1">
      <alignment horizontal="center" vertical="center"/>
      <protection locked="0"/>
    </xf>
    <xf numFmtId="0" fontId="1" fillId="0" borderId="79" xfId="0" applyFont="1" applyBorder="1" applyAlignment="1">
      <alignment horizontal="center"/>
    </xf>
    <xf numFmtId="0" fontId="5" fillId="0" borderId="79" xfId="0" applyFont="1" applyBorder="1" applyProtection="1">
      <protection locked="0"/>
    </xf>
    <xf numFmtId="0" fontId="5" fillId="0" borderId="19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1" fillId="0" borderId="79" xfId="0" applyFont="1" applyBorder="1" applyAlignment="1" applyProtection="1">
      <alignment horizontal="center" vertical="center" wrapText="1"/>
      <protection locked="0"/>
    </xf>
    <xf numFmtId="0" fontId="89" fillId="0" borderId="79" xfId="0" applyFont="1" applyBorder="1" applyAlignment="1" applyProtection="1">
      <alignment horizontal="center" vertical="center" wrapText="1"/>
      <protection locked="0"/>
    </xf>
    <xf numFmtId="9" fontId="5" fillId="0" borderId="1" xfId="0" applyNumberFormat="1" applyFont="1" applyBorder="1" applyAlignment="1">
      <alignment horizontal="center" vertical="center"/>
    </xf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71" borderId="64" xfId="0" applyFill="1" applyBorder="1" applyAlignment="1">
      <alignment horizontal="center"/>
    </xf>
    <xf numFmtId="0" fontId="0" fillId="71" borderId="65" xfId="0" applyFill="1" applyBorder="1" applyAlignment="1">
      <alignment horizontal="center"/>
    </xf>
    <xf numFmtId="0" fontId="0" fillId="71" borderId="18" xfId="0" applyFill="1" applyBorder="1" applyAlignment="1">
      <alignment horizontal="center"/>
    </xf>
    <xf numFmtId="0" fontId="0" fillId="71" borderId="6" xfId="0" applyFill="1" applyBorder="1" applyAlignment="1">
      <alignment horizontal="center" vertical="center"/>
    </xf>
    <xf numFmtId="0" fontId="0" fillId="71" borderId="10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4" fontId="70" fillId="74" borderId="46" xfId="0" applyNumberFormat="1" applyFont="1" applyFill="1" applyBorder="1" applyAlignment="1">
      <alignment horizontal="center" vertical="center" wrapText="1"/>
    </xf>
    <xf numFmtId="4" fontId="70" fillId="74" borderId="55" xfId="0" applyNumberFormat="1" applyFont="1" applyFill="1" applyBorder="1" applyAlignment="1">
      <alignment horizontal="center" vertical="center" wrapText="1"/>
    </xf>
    <xf numFmtId="4" fontId="70" fillId="74" borderId="49" xfId="0" applyNumberFormat="1" applyFont="1" applyFill="1" applyBorder="1" applyAlignment="1">
      <alignment horizontal="center" vertical="center" wrapText="1"/>
    </xf>
    <xf numFmtId="0" fontId="68" fillId="4" borderId="53" xfId="0" applyFont="1" applyFill="1" applyBorder="1" applyAlignment="1" applyProtection="1">
      <alignment horizontal="center" vertical="center" wrapText="1"/>
      <protection locked="0"/>
    </xf>
    <xf numFmtId="0" fontId="68" fillId="4" borderId="54" xfId="0" applyFont="1" applyFill="1" applyBorder="1" applyAlignment="1" applyProtection="1">
      <alignment horizontal="center" vertical="center" wrapText="1"/>
      <protection locked="0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3" xfId="0" applyFont="1" applyFill="1" applyBorder="1" applyAlignment="1" applyProtection="1">
      <alignment horizontal="center" vertical="center"/>
      <protection locked="0"/>
    </xf>
    <xf numFmtId="0" fontId="72" fillId="4" borderId="54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3" xfId="0" applyFont="1" applyFill="1" applyBorder="1" applyAlignment="1" applyProtection="1">
      <alignment horizontal="center" vertical="center" wrapText="1"/>
      <protection locked="0"/>
    </xf>
    <xf numFmtId="0" fontId="72" fillId="4" borderId="54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14" fontId="72" fillId="4" borderId="53" xfId="0" applyNumberFormat="1" applyFont="1" applyFill="1" applyBorder="1" applyAlignment="1" applyProtection="1">
      <alignment horizontal="center" vertical="center"/>
      <protection locked="0"/>
    </xf>
    <xf numFmtId="14" fontId="72" fillId="4" borderId="54" xfId="0" applyNumberFormat="1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85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3" xfId="0" applyNumberFormat="1" applyFont="1" applyBorder="1" applyAlignment="1" applyProtection="1">
      <alignment horizontal="center" vertical="center" wrapText="1"/>
      <protection locked="0"/>
    </xf>
    <xf numFmtId="14" fontId="72" fillId="0" borderId="54" xfId="0" applyNumberFormat="1" applyFont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9" fontId="69" fillId="74" borderId="46" xfId="4" applyFont="1" applyFill="1" applyBorder="1" applyAlignment="1">
      <alignment horizontal="center" vertical="center"/>
    </xf>
    <xf numFmtId="9" fontId="69" fillId="74" borderId="55" xfId="4" applyFont="1" applyFill="1" applyBorder="1" applyAlignment="1">
      <alignment horizontal="center" vertical="center"/>
    </xf>
    <xf numFmtId="9" fontId="69" fillId="74" borderId="49" xfId="4" applyFont="1" applyFill="1" applyBorder="1" applyAlignment="1">
      <alignment horizontal="center" vertical="center"/>
    </xf>
    <xf numFmtId="14" fontId="72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0" borderId="53" xfId="0" applyNumberFormat="1" applyFont="1" applyBorder="1" applyAlignment="1" applyProtection="1">
      <alignment horizontal="center" vertical="center" wrapText="1"/>
      <protection locked="0"/>
    </xf>
    <xf numFmtId="14" fontId="81" fillId="0" borderId="54" xfId="0" applyNumberFormat="1" applyFont="1" applyBorder="1" applyAlignment="1" applyProtection="1">
      <alignment horizontal="center" vertical="center" wrapText="1"/>
      <protection locked="0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81" fillId="10" borderId="53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4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6" xfId="0" applyNumberFormat="1" applyFont="1" applyFill="1" applyBorder="1" applyAlignment="1" applyProtection="1">
      <alignment horizontal="center" vertical="center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0" fontId="60" fillId="4" borderId="44" xfId="0" applyFont="1" applyFill="1" applyBorder="1" applyAlignment="1" applyProtection="1">
      <alignment horizontal="center" vertical="center"/>
      <protection locked="0"/>
    </xf>
    <xf numFmtId="0" fontId="60" fillId="4" borderId="45" xfId="0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1" fillId="9" borderId="45" xfId="0" applyFont="1" applyFill="1" applyBorder="1" applyAlignment="1" applyProtection="1">
      <alignment horizontal="center" vertical="center"/>
      <protection locked="0"/>
    </xf>
    <xf numFmtId="0" fontId="61" fillId="9" borderId="46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2" fillId="9" borderId="46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14" fontId="72" fillId="7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0" fontId="72" fillId="71" borderId="53" xfId="0" applyFont="1" applyFill="1" applyBorder="1" applyAlignment="1">
      <alignment horizontal="center" vertical="center"/>
    </xf>
    <xf numFmtId="0" fontId="72" fillId="71" borderId="56" xfId="0" applyFont="1" applyFill="1" applyBorder="1" applyAlignment="1">
      <alignment horizontal="center" vertical="center"/>
    </xf>
    <xf numFmtId="0" fontId="73" fillId="8" borderId="17" xfId="0" applyFont="1" applyFill="1" applyBorder="1" applyAlignment="1">
      <alignment horizontal="center" vertical="center"/>
    </xf>
    <xf numFmtId="0" fontId="73" fillId="8" borderId="62" xfId="0" applyFont="1" applyFill="1" applyBorder="1" applyAlignment="1">
      <alignment horizontal="center" vertical="center"/>
    </xf>
    <xf numFmtId="0" fontId="73" fillId="8" borderId="52" xfId="0" applyFont="1" applyFill="1" applyBorder="1" applyAlignment="1">
      <alignment horizontal="center" vertical="center"/>
    </xf>
    <xf numFmtId="0" fontId="74" fillId="6" borderId="17" xfId="0" applyFont="1" applyFill="1" applyBorder="1" applyAlignment="1">
      <alignment horizontal="center" vertical="center"/>
    </xf>
    <xf numFmtId="0" fontId="74" fillId="6" borderId="62" xfId="0" applyFont="1" applyFill="1" applyBorder="1" applyAlignment="1">
      <alignment horizontal="center" vertical="center"/>
    </xf>
    <xf numFmtId="0" fontId="74" fillId="6" borderId="52" xfId="0" applyFont="1" applyFill="1" applyBorder="1" applyAlignment="1">
      <alignment horizontal="center" vertical="center"/>
    </xf>
  </cellXfs>
  <cellStyles count="204">
    <cellStyle name="20% - Ênfase1" xfId="127" builtinId="30" customBuiltin="1"/>
    <cellStyle name="20% - Ênfase1 2" xfId="7" xr:uid="{4F7AFBE3-4F6A-4080-B75E-9FEED2AE3CF6}"/>
    <cellStyle name="20% - Ênfase1 2 2" xfId="8" xr:uid="{102A9792-B0C2-4221-8F72-F3493CDA10FD}"/>
    <cellStyle name="20% - Ênfase2" xfId="130" builtinId="34" customBuiltin="1"/>
    <cellStyle name="20% - Ênfase2 2" xfId="9" xr:uid="{6AD8E715-2CBE-4182-8B49-C882108ED4C3}"/>
    <cellStyle name="20% - Ênfase2 2 2" xfId="10" xr:uid="{685FAD4A-3290-4392-AF95-A3C38AFFB912}"/>
    <cellStyle name="20% - Ênfase3" xfId="133" builtinId="38" customBuiltin="1"/>
    <cellStyle name="20% - Ênfase3 2" xfId="11" xr:uid="{AEEE1A0C-DEC4-4B53-9CE1-BE4B75480888}"/>
    <cellStyle name="20% - Ênfase3 2 2" xfId="12" xr:uid="{9530F3EE-82DC-4DC1-A394-BFDA2F9FA26D}"/>
    <cellStyle name="20% - Ênfase4" xfId="136" builtinId="42" customBuiltin="1"/>
    <cellStyle name="20% - Ênfase4 2" xfId="13" xr:uid="{86AF0679-3E35-4870-AE69-74B356573AD1}"/>
    <cellStyle name="20% - Ênfase4 2 2" xfId="14" xr:uid="{E62F49B1-6AE6-4986-991F-22919A47AF5A}"/>
    <cellStyle name="20% - Ênfase5" xfId="139" builtinId="46" customBuiltin="1"/>
    <cellStyle name="20% - Ênfase5 2" xfId="15" xr:uid="{BDC90461-F8F3-4E5A-8FCE-E17F8A0246DB}"/>
    <cellStyle name="20% - Ênfase6" xfId="142" builtinId="50" customBuiltin="1"/>
    <cellStyle name="20% - Ênfase6 2" xfId="16" xr:uid="{69730A4F-B049-4476-8D6D-70084FFFE4C3}"/>
    <cellStyle name="40% - Ênfase1" xfId="128" builtinId="31" customBuiltin="1"/>
    <cellStyle name="40% - Ênfase1 2" xfId="17" xr:uid="{088D21FD-F9D9-40CA-8102-700E515D41F1}"/>
    <cellStyle name="40% - Ênfase1 2 2" xfId="18" xr:uid="{75371B0A-0FE4-4078-88A6-C34854EA505C}"/>
    <cellStyle name="40% - Ênfase2" xfId="131" builtinId="35" customBuiltin="1"/>
    <cellStyle name="40% - Ênfase2 2" xfId="19" xr:uid="{0A259B0A-084C-4DEF-8E67-AB767CD2BB66}"/>
    <cellStyle name="40% - Ênfase3" xfId="134" builtinId="39" customBuiltin="1"/>
    <cellStyle name="40% - Ênfase3 2" xfId="20" xr:uid="{6183022C-D102-4A65-8630-5F6820B8F4D4}"/>
    <cellStyle name="40% - Ênfase3 2 2" xfId="21" xr:uid="{AEDD9705-D228-412D-ADB0-6FF3E437C05C}"/>
    <cellStyle name="40% - Ênfase4" xfId="137" builtinId="43" customBuiltin="1"/>
    <cellStyle name="40% - Ênfase4 2" xfId="22" xr:uid="{7EDE96D1-6EF4-44BA-B8DE-D751DD8C96E7}"/>
    <cellStyle name="40% - Ênfase4 2 2" xfId="23" xr:uid="{097CF7E0-778A-449F-9CB6-0AF7DF46D550}"/>
    <cellStyle name="40% - Ênfase5" xfId="140" builtinId="47" customBuiltin="1"/>
    <cellStyle name="40% - Ênfase5 2" xfId="24" xr:uid="{9577A163-CDEF-4C7B-9FEC-FE87363636F5}"/>
    <cellStyle name="40% - Ênfase6" xfId="143" builtinId="51" customBuiltin="1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" xfId="115" builtinId="26" customBuiltin="1"/>
    <cellStyle name="Bom 2" xfId="37" xr:uid="{1B51EC0E-3F9D-4907-9E5C-A4D4EA9C0219}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" xfId="121" builtinId="23" customBuiltin="1"/>
    <cellStyle name="Célula de Verificação 2" xfId="40" xr:uid="{018268B4-31B8-4176-9880-52DF2BD6CDC6}"/>
    <cellStyle name="Célula Vinculada" xfId="120" builtinId="24" customBuiltin="1"/>
    <cellStyle name="Célula Vinculada 2" xfId="41" xr:uid="{53AC31E5-31E4-46C8-84D6-9EC986BAC766}"/>
    <cellStyle name="Ênfase1" xfId="126" builtinId="29" customBuiltin="1"/>
    <cellStyle name="Ênfase1 2" xfId="42" xr:uid="{F2B8C620-6E19-4396-B42F-716EABB6A489}"/>
    <cellStyle name="Ênfase1 2 2" xfId="43" xr:uid="{76228FD9-C5B6-4EE8-AAC1-C93E5D821A21}"/>
    <cellStyle name="Ênfase2" xfId="129" builtinId="33" customBuiltin="1"/>
    <cellStyle name="Ênfase2 2" xfId="44" xr:uid="{78E4E68C-D666-482F-B34D-8DC0F2E517BA}"/>
    <cellStyle name="Ênfase3" xfId="132" builtinId="37" customBuiltin="1"/>
    <cellStyle name="Ênfase3 2" xfId="45" xr:uid="{E9649B90-D66B-4034-90EA-EDA82E4D84FC}"/>
    <cellStyle name="Ênfase4" xfId="135" builtinId="41" customBuiltin="1"/>
    <cellStyle name="Ênfase4 2" xfId="46" xr:uid="{9018668D-FF3F-4370-8018-580BB6491230}"/>
    <cellStyle name="Ênfase4 2 2" xfId="47" xr:uid="{33462616-9080-4C80-94D0-6CE006363F14}"/>
    <cellStyle name="Ênfase5" xfId="138" builtinId="45" customBuiltin="1"/>
    <cellStyle name="Ênfase5 2" xfId="48" xr:uid="{E71BB59F-0B5C-400E-B12C-E94BF5583430}"/>
    <cellStyle name="Ênfase6" xfId="141" builtinId="49" customBuiltin="1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o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Ruim" xfId="116" builtinId="27" customBuiltin="1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" xfId="111" builtinId="16" customBuiltin="1"/>
    <cellStyle name="Título 1 2" xfId="87" xr:uid="{823641FD-9E4E-43BB-A4D4-62EFD6746B98}"/>
    <cellStyle name="Título 1 2 2" xfId="88" xr:uid="{56FFC14A-7C48-4D3B-916C-9EF1A5D7C0F2}"/>
    <cellStyle name="Título 2" xfId="112" builtinId="17" customBuiltin="1"/>
    <cellStyle name="Título 2 2" xfId="89" xr:uid="{FF1A6187-444D-4E13-A988-63C55FE94027}"/>
    <cellStyle name="Título 2 2 2" xfId="90" xr:uid="{A8F6E562-ED86-43A8-AFDA-F2DAB8D5992B}"/>
    <cellStyle name="Título 3" xfId="113" builtinId="18" customBuiltin="1"/>
    <cellStyle name="Título 3 2" xfId="91" xr:uid="{5D8CADCD-BDF9-47F2-BFA5-8A0411A08354}"/>
    <cellStyle name="Título 3 2 2" xfId="92" xr:uid="{CDD51D0D-AA4E-494A-9251-BB32FB3829F4}"/>
    <cellStyle name="Título 4" xfId="114" builtinId="19" customBuiltin="1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124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123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24.702000000000002</c:v>
                </c:pt>
                <c:pt idx="1">
                  <c:v>0.14360000000000001</c:v>
                </c:pt>
                <c:pt idx="2">
                  <c:v>9.4238</c:v>
                </c:pt>
                <c:pt idx="3">
                  <c:v>13.021599999999999</c:v>
                </c:pt>
                <c:pt idx="4">
                  <c:v>12.644400000000001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96.935400000000001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6.5806000000000004</c:v>
                </c:pt>
                <c:pt idx="1">
                  <c:v>3.5999999999999921E-3</c:v>
                </c:pt>
                <c:pt idx="2">
                  <c:v>5.5100999999999996</c:v>
                </c:pt>
                <c:pt idx="3">
                  <c:v>9.3873999999999995</c:v>
                </c:pt>
                <c:pt idx="4">
                  <c:v>9.9344400000000022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31.416140000000002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18.121400000000001</c:v>
                </c:pt>
                <c:pt idx="1">
                  <c:v>0.14000000000000001</c:v>
                </c:pt>
                <c:pt idx="2">
                  <c:v>3.9137000000000004</c:v>
                </c:pt>
                <c:pt idx="3">
                  <c:v>3.6342000000000003</c:v>
                </c:pt>
                <c:pt idx="4">
                  <c:v>2.7099599999999997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65.519260000000003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13.876000000000001</c:v>
                </c:pt>
                <c:pt idx="1">
                  <c:v>0</c:v>
                </c:pt>
                <c:pt idx="2">
                  <c:v>3.1</c:v>
                </c:pt>
                <c:pt idx="3">
                  <c:v>11.8856</c:v>
                </c:pt>
                <c:pt idx="4">
                  <c:v>11.876800000000001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72.9084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10.426</c:v>
                </c:pt>
                <c:pt idx="1">
                  <c:v>0.14000000000000001</c:v>
                </c:pt>
                <c:pt idx="2">
                  <c:v>6.3538000000000006</c:v>
                </c:pt>
                <c:pt idx="3">
                  <c:v>1.1409999999999996</c:v>
                </c:pt>
                <c:pt idx="4">
                  <c:v>0.76799999999999979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23.658799999999999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AW764" totalsRowShown="0" headerRowDxfId="122" tableBorderDxfId="121">
  <autoFilter ref="A1:AW764" xr:uid="{00000000-000C-0000-FFFF-FFFF00000000}"/>
  <tableColumns count="49">
    <tableColumn id="1" xr3:uid="{00000000-0010-0000-0000-000001000000}" name="DESENHO_x000a_MDE" dataDxfId="120"/>
    <tableColumn id="43" xr3:uid="{56981E1B-CD3E-434D-AB02-C5F83A6F3E43}" name="DESENHO_x000a_CLIENTE" dataDxfId="119"/>
    <tableColumn id="2" xr3:uid="{00000000-0010-0000-0000-000002000000}" name="QTE" dataDxfId="118"/>
    <tableColumn id="3" xr3:uid="{00000000-0010-0000-0000-000003000000}" name="DESCRIÇÃO" dataDxfId="117"/>
    <tableColumn id="41" xr3:uid="{00000000-0010-0000-0000-000029000000}" name="COD.MDE" dataDxfId="116"/>
    <tableColumn id="40" xr3:uid="{00000000-0010-0000-0000-000028000000}" name="REMESSA" dataDxfId="115"/>
    <tableColumn id="4" xr3:uid="{00000000-0010-0000-0000-000004000000}" name="PESO UNI" dataDxfId="114"/>
    <tableColumn id="5" xr3:uid="{00000000-0010-0000-0000-000005000000}" name="PESO TOTAL" dataDxfId="113"/>
    <tableColumn id="6" xr3:uid="{00000000-0010-0000-0000-000006000000}" name="Revisão" dataDxfId="112"/>
    <tableColumn id="7" xr3:uid="{00000000-0010-0000-0000-000007000000}" name="TAG" dataDxfId="111"/>
    <tableColumn id="38" xr3:uid="{00000000-0010-0000-0000-000026000000}" name="PRODUTO" dataDxfId="110"/>
    <tableColumn id="8" xr3:uid="{00000000-0010-0000-0000-000008000000}" name="PEDIDO" dataDxfId="109"/>
    <tableColumn id="9" xr3:uid="{00000000-0010-0000-0000-000009000000}" name="Engenharia" dataDxfId="108"/>
    <tableColumn id="10" xr3:uid="{00000000-0010-0000-0000-00000A000000}" name="FORNECEDOR" dataDxfId="107"/>
    <tableColumn id="11" xr3:uid="{00000000-0010-0000-0000-00000B000000}" name="QTDE/ Fabricação" dataDxfId="106"/>
    <tableColumn id="12" xr3:uid="{00000000-0010-0000-0000-00000C000000}" name="DATA/Fabricação" dataDxfId="105"/>
    <tableColumn id="13" xr3:uid="{00000000-0010-0000-0000-00000D000000}" name="SALDO PENDENTE/Fabricação" dataDxfId="104"/>
    <tableColumn id="14" xr3:uid="{00000000-0010-0000-0000-00000E000000}" name="EVOLUÇÃO PRETO / Fabricação_x000a_(kg)" dataDxfId="103"/>
    <tableColumn id="15" xr3:uid="{00000000-0010-0000-0000-00000F000000}" name="PRONTO ACABADO kg" dataDxfId="102">
      <calculatedColumnFormula>IFERROR(H2*AG2,"")</calculatedColumnFormula>
    </tableColumn>
    <tableColumn id="16" xr3:uid="{00000000-0010-0000-0000-000010000000}" name="Pendencia  / Fabricação_x000a_EM KG" dataDxfId="101"/>
    <tableColumn id="17" xr3:uid="{00000000-0010-0000-0000-000011000000}" name="QIANTIDADE EXPEDIDA" dataDxfId="100"/>
    <tableColumn id="18" xr3:uid="{00000000-0010-0000-0000-000012000000}" name="ROMANEIO " dataDxfId="99"/>
    <tableColumn id="19" xr3:uid="{00000000-0010-0000-0000-000013000000}" name="DATA EXPEDIÇÃO" dataDxfId="98"/>
    <tableColumn id="20" xr3:uid="{00000000-0010-0000-0000-000014000000}" name="Peso Expedido" dataDxfId="97"/>
    <tableColumn id="21" xr3:uid="{00000000-0010-0000-0000-000015000000}" name="QUANTIDADE PENDENTE/Expedição" dataDxfId="96"/>
    <tableColumn id="22" xr3:uid="{00000000-0010-0000-0000-000016000000}" name="PESO PENDENTE/Expedição" dataDxfId="95"/>
    <tableColumn id="23" xr3:uid="{00000000-0010-0000-0000-000017000000}" name="MATÉRIA PRIMA" dataDxfId="94"/>
    <tableColumn id="24" xr3:uid="{00000000-0010-0000-0000-000018000000}" name="RELATORIO" dataDxfId="93"/>
    <tableColumn id="25" xr3:uid="{00000000-0010-0000-0000-000019000000}" name="PREPARAÇÃO " dataDxfId="92"/>
    <tableColumn id="26" xr3:uid="{00000000-0010-0000-0000-00001A000000}" name="CALDEIRARIA" dataDxfId="91"/>
    <tableColumn id="27" xr3:uid="{00000000-0010-0000-0000-00001B000000}" name="SOLDA" dataDxfId="90"/>
    <tableColumn id="28" xr3:uid="{00000000-0010-0000-0000-00001C000000}" name="ACABAMENTO" dataDxfId="89"/>
    <tableColumn id="29" xr3:uid="{00000000-0010-0000-0000-00001D000000}" name="PRONTO ACABADO" dataDxfId="88"/>
    <tableColumn id="30" xr3:uid="{00000000-0010-0000-0000-00001E000000}" name="EXPEDIÇÃO " dataDxfId="87"/>
    <tableColumn id="31" xr3:uid="{00000000-0010-0000-0000-00001F000000}" name="FINALIZADO " dataDxfId="86"/>
    <tableColumn id="32" xr3:uid="{00000000-0010-0000-0000-000020000000}" name="Coluna1" dataDxfId="85"/>
    <tableColumn id="33" xr3:uid="{00000000-0010-0000-0000-000021000000}" name="Coluna2" dataDxfId="84"/>
    <tableColumn id="34" xr3:uid="{00000000-0010-0000-0000-000022000000}" name="Coluna3" dataDxfId="83"/>
    <tableColumn id="35" xr3:uid="{00000000-0010-0000-0000-000023000000}" name="Coluna4" dataDxfId="82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81"/>
    <tableColumn id="42" xr3:uid="{44772FB5-94B9-4683-9D51-42A525419432}" name="Colunas7" dataDxfId="80"/>
    <tableColumn id="44" xr3:uid="{7DBCA215-A831-41EC-8668-4217050D7CEF}" name="Coluna5" dataDxfId="79"/>
    <tableColumn id="52" xr3:uid="{0F1E3E30-ACD2-41A7-9FEB-CFC4141C720F}" name="PRONTO NO PRETO" dataDxfId="78"/>
    <tableColumn id="53" xr3:uid="{7B42991E-C57D-449B-9CA4-FF51ED3B7EE1}" name="PRONTO ACABADO3" dataDxfId="77"/>
    <tableColumn id="54" xr3:uid="{B185D57F-2904-41B4-A913-414AD30553DC}" name="PESO EXPEDIDO2" dataDxfId="76"/>
    <tableColumn id="55" xr3:uid="{216FC5C0-1E81-4ACF-B1FE-D38AAA1F26E6}" name="PRONTO ACABADO2" dataDxfId="75"/>
    <tableColumn id="57" xr3:uid="{58807113-78D0-4422-B88A-8E66792B9681}" name="Coluna7" dataDxfId="74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15" totalsRowShown="0" headerRowDxfId="73" headerRowBorderDxfId="72" tableBorderDxfId="71" totalsRowBorderDxfId="70">
  <autoFilter ref="A1:F15" xr:uid="{9E04BDB3-7991-400D-A075-6EF4E207F167}"/>
  <tableColumns count="6">
    <tableColumn id="1" xr3:uid="{0986BF72-EBA9-4CAA-A22C-20021A2F0193}" name="PEDIDO" dataDxfId="69"/>
    <tableColumn id="2" xr3:uid="{1E29E510-3230-4D4A-9101-BF1603DA1959}" name="EQUIPAMENTO" dataDxfId="68"/>
    <tableColumn id="3" xr3:uid="{27EA8246-98FE-4DF0-AB4F-2563340E3A33}" name="DATA PREVISTA " dataDxfId="67"/>
    <tableColumn id="4" xr3:uid="{178705E0-20E1-4EA8-BD6A-04EDA09B960F}" name="DATA REPROGRAMADA" dataDxfId="66"/>
    <tableColumn id="5" xr3:uid="{D69E8AE6-FCF7-4D70-8443-DFF41092DBA5}" name="Observação" dataDxfId="65"/>
    <tableColumn id="6" xr3:uid="{7ED96CF2-6F65-4A02-A0B9-FFDE23E894EB}" name="CLIENTE" dataDxfId="64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63">
  <autoFilter ref="D3:R395" xr:uid="{D635AFD0-01A4-4F4C-B4BB-2C0A84AFA373}"/>
  <tableColumns count="15">
    <tableColumn id="1" xr3:uid="{71019319-E348-41C4-90A8-BD800AFA385A}" name="TAG" dataDxfId="62"/>
    <tableColumn id="2" xr3:uid="{6205B1F5-4B96-401E-A8F0-D0B582A87E91}" name="PEDIDO" dataDxfId="61">
      <calculatedColumnFormula>VLOOKUP(Tabela2[[#This Row],[TAG]],MICRO!J:L,3,0)</calculatedColumnFormula>
    </tableColumn>
    <tableColumn id="3" xr3:uid="{EBC41BBB-459B-4DB5-8152-2C7C2C7ADFAA}" name="FORNECEDOR" dataDxfId="60" dataCellStyle="Normal 2"/>
    <tableColumn id="4" xr3:uid="{EE719B42-3B82-4AC6-AB4D-66A5AF76AAFC}" name="RECEBIDO ENGENHARIA (kg)" dataDxfId="59">
      <calculatedColumnFormula>SUMIF(MICRO!AP:AP,O:O,MICRO!H:H)</calculatedColumnFormula>
    </tableColumn>
    <tableColumn id="5" xr3:uid="{F8EF71F0-2467-40E6-8596-0C50AE8B2E56}" name="EM AVANÇO NO PRETO (kg)" dataDxfId="58">
      <calculatedColumnFormula>SUMIF(MICRO!AP:AP,O:O,MICRO!R:R)</calculatedColumnFormula>
    </tableColumn>
    <tableColumn id="6" xr3:uid="{70FA8036-1726-409E-865E-BBD68DD0CF2B}" name="Pendencia  / Fabricação_x000a_EM KG _x000a_(Kg)" dataDxfId="57">
      <calculatedColumnFormula>SUMIF(MICRO!AP:AP,O:O,MICRO!T:T)</calculatedColumnFormula>
    </tableColumn>
    <tableColumn id="7" xr3:uid="{2EDBF5C8-B6A0-4234-9B37-F4D245CBE335}" name="EVOLUÇÃO %" dataDxfId="56">
      <calculatedColumnFormula>IF(G4 = 0,0,H4/G4)</calculatedColumnFormula>
    </tableColumn>
    <tableColumn id="8" xr3:uid="{981D372E-5C81-43AA-82CF-C526D0CD7BC5}" name="PESO EXPEDIDO" dataDxfId="55">
      <calculatedColumnFormula>SUMIF(MICRO!AP:AP,O:O,MICRO!X:X)</calculatedColumnFormula>
    </tableColumn>
    <tableColumn id="9" xr3:uid="{9581E1B5-4976-4A66-B050-5EDFF64499FF}" name="% EXPEDIDO" dataDxfId="54">
      <calculatedColumnFormula>IF(G4&lt;&gt;0,SUM(K4/G4*1),"0%")</calculatedColumnFormula>
    </tableColumn>
    <tableColumn id="10" xr3:uid="{5A0DEF47-FBD5-46D6-A019-DB5E3CF46E5B}" name="PESO PENDENTE4" dataDxfId="53">
      <calculatedColumnFormula>G4-K4</calculatedColumnFormula>
    </tableColumn>
    <tableColumn id="11" xr3:uid="{AD13F8E0-0652-4176-B922-E74BEC175E7A}" name="Coluna1" dataDxfId="52">
      <calculatedColumnFormula>E4&amp;F4</calculatedColumnFormula>
    </tableColumn>
    <tableColumn id="12" xr3:uid="{9AB5E2D8-1AD6-4B63-A9ED-66372E94A48F}" name="Coluna2" dataDxfId="51">
      <calculatedColumnFormula>D4&amp;E4&amp;F4</calculatedColumnFormula>
    </tableColumn>
    <tableColumn id="13" xr3:uid="{ED15B1A8-5672-4E4D-9246-3BC797332C64}" name="PRONTO NO PRETO" dataDxfId="50">
      <calculatedColumnFormula>SUMIF(MICRO!AP:AP,O4,MICRO!AS:AS)</calculatedColumnFormula>
    </tableColumn>
    <tableColumn id="14" xr3:uid="{986427E9-0E8F-46D1-987F-01DBA908B397}" name="PRONTO ACABADO" dataDxfId="49">
      <calculatedColumnFormula>SUMIF(MICRO!AP:AP,O4,MICRO!AT:AT)</calculatedColumnFormula>
    </tableColumn>
    <tableColumn id="15" xr3:uid="{4361E9F4-014E-4677-9D4A-8DBAE707BA31}" name="PESO EXPEDIDO2" dataDxfId="48">
      <calculatedColumnFormula>SUMIF(MICRO!AP:AP,O:O,MICRO!AU:AU)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K9"/>
  <sheetViews>
    <sheetView workbookViewId="0">
      <selection activeCell="D22" sqref="D22"/>
    </sheetView>
  </sheetViews>
  <sheetFormatPr defaultRowHeight="15" x14ac:dyDescent="0.25"/>
  <cols>
    <col min="1" max="1" width="27.140625" bestFit="1" customWidth="1"/>
    <col min="2" max="2" width="21.7109375" bestFit="1" customWidth="1"/>
    <col min="3" max="3" width="10.5703125" bestFit="1" customWidth="1"/>
    <col min="6" max="6" width="14.42578125" bestFit="1" customWidth="1"/>
    <col min="7" max="7" width="14.7109375" bestFit="1" customWidth="1"/>
    <col min="8" max="8" width="22" bestFit="1" customWidth="1"/>
    <col min="9" max="9" width="10" bestFit="1" customWidth="1"/>
    <col min="10" max="10" width="6" bestFit="1" customWidth="1"/>
    <col min="11" max="11" width="13.28515625" bestFit="1" customWidth="1"/>
  </cols>
  <sheetData>
    <row r="1" spans="1:11" x14ac:dyDescent="0.25">
      <c r="A1" s="226" t="s">
        <v>326</v>
      </c>
      <c r="B1" s="228" t="s">
        <v>891</v>
      </c>
      <c r="C1" s="229"/>
      <c r="D1" s="229"/>
      <c r="E1" s="229"/>
      <c r="F1" s="229"/>
      <c r="G1" s="230"/>
      <c r="H1" s="223" t="s">
        <v>331</v>
      </c>
      <c r="I1" s="224"/>
      <c r="J1" s="224"/>
      <c r="K1" s="225"/>
    </row>
    <row r="2" spans="1:11" x14ac:dyDescent="0.25">
      <c r="A2" s="227"/>
      <c r="B2" s="180" t="s">
        <v>31</v>
      </c>
      <c r="C2" s="180" t="s">
        <v>32</v>
      </c>
      <c r="D2" s="180" t="s">
        <v>22</v>
      </c>
      <c r="E2" s="180" t="s">
        <v>23</v>
      </c>
      <c r="F2" s="180" t="s">
        <v>33</v>
      </c>
      <c r="G2" s="180" t="s">
        <v>44</v>
      </c>
      <c r="H2" s="181" t="s">
        <v>327</v>
      </c>
      <c r="I2" s="181" t="s">
        <v>46</v>
      </c>
      <c r="J2" s="181" t="s">
        <v>1023</v>
      </c>
      <c r="K2" s="181" t="s">
        <v>332</v>
      </c>
    </row>
    <row r="3" spans="1:11" x14ac:dyDescent="0.25">
      <c r="A3" s="107" t="s">
        <v>3031</v>
      </c>
      <c r="B3" s="107"/>
      <c r="C3" s="107"/>
      <c r="D3" s="107"/>
      <c r="E3" s="107"/>
      <c r="F3" s="107"/>
      <c r="G3" s="107"/>
      <c r="H3" s="107"/>
      <c r="I3" s="107"/>
      <c r="J3" s="107"/>
      <c r="K3" s="182"/>
    </row>
    <row r="4" spans="1:11" x14ac:dyDescent="0.25">
      <c r="A4" s="107" t="s">
        <v>3028</v>
      </c>
      <c r="B4" s="107"/>
      <c r="C4" s="107"/>
      <c r="D4" s="107"/>
      <c r="E4" s="107"/>
      <c r="F4" s="107"/>
      <c r="G4" s="107"/>
      <c r="H4" s="107"/>
      <c r="I4" s="107"/>
      <c r="J4" s="107"/>
      <c r="K4" s="182"/>
    </row>
    <row r="5" spans="1:11" x14ac:dyDescent="0.25">
      <c r="A5" s="220"/>
      <c r="B5" s="221"/>
      <c r="C5" s="221"/>
      <c r="D5" s="221"/>
      <c r="E5" s="221"/>
      <c r="F5" s="221"/>
      <c r="G5" s="221"/>
      <c r="H5" s="221"/>
      <c r="I5" s="221"/>
      <c r="J5" s="221"/>
      <c r="K5" s="222"/>
    </row>
    <row r="6" spans="1:11" x14ac:dyDescent="0.25">
      <c r="A6" s="107" t="s">
        <v>3030</v>
      </c>
      <c r="B6" s="107"/>
      <c r="C6" s="107"/>
      <c r="D6" s="107"/>
      <c r="E6" s="107"/>
      <c r="F6" s="107"/>
      <c r="G6" s="107"/>
      <c r="H6" s="107"/>
      <c r="I6" s="107"/>
      <c r="J6" s="107"/>
      <c r="K6" s="182"/>
    </row>
    <row r="7" spans="1:11" x14ac:dyDescent="0.25">
      <c r="A7" s="107" t="s">
        <v>315</v>
      </c>
      <c r="B7" s="107"/>
      <c r="C7" s="107"/>
      <c r="D7" s="107"/>
      <c r="E7" s="107"/>
      <c r="F7" s="107"/>
      <c r="G7" s="107"/>
      <c r="H7" s="107"/>
      <c r="I7" s="107"/>
      <c r="J7" s="107"/>
      <c r="K7" s="182"/>
    </row>
    <row r="8" spans="1:11" x14ac:dyDescent="0.25">
      <c r="A8" s="107" t="s">
        <v>3029</v>
      </c>
      <c r="B8" s="107"/>
      <c r="C8" s="107"/>
      <c r="D8" s="107"/>
      <c r="E8" s="107"/>
      <c r="F8" s="107"/>
      <c r="G8" s="107"/>
      <c r="H8" s="107"/>
      <c r="I8" s="107"/>
      <c r="J8" s="107"/>
      <c r="K8" s="182"/>
    </row>
    <row r="9" spans="1:11" x14ac:dyDescent="0.25">
      <c r="A9" s="183" t="s">
        <v>333</v>
      </c>
      <c r="B9" s="183">
        <v>25</v>
      </c>
      <c r="C9" s="183">
        <v>10</v>
      </c>
      <c r="D9" s="183">
        <v>15</v>
      </c>
      <c r="E9" s="183">
        <v>8</v>
      </c>
      <c r="F9" s="183">
        <v>5</v>
      </c>
      <c r="G9" s="183">
        <v>15</v>
      </c>
      <c r="H9" s="183">
        <v>40</v>
      </c>
      <c r="I9" s="183">
        <v>0</v>
      </c>
      <c r="J9" s="183">
        <v>0</v>
      </c>
      <c r="K9" s="183">
        <v>0</v>
      </c>
    </row>
  </sheetData>
  <mergeCells count="4">
    <mergeCell ref="A5:K5"/>
    <mergeCell ref="H1:K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W764"/>
  <sheetViews>
    <sheetView showGridLines="0" tabSelected="1" topLeftCell="M1" zoomScale="70" zoomScaleNormal="70" workbookViewId="0">
      <pane ySplit="1" topLeftCell="A445" activePane="bottomLeft" state="frozen"/>
      <selection pane="bottomLeft" activeCell="W768" sqref="W768"/>
    </sheetView>
  </sheetViews>
  <sheetFormatPr defaultColWidth="9.140625" defaultRowHeight="15.75" customHeight="1" x14ac:dyDescent="0.25"/>
  <cols>
    <col min="1" max="1" width="24.42578125" style="25" customWidth="1"/>
    <col min="2" max="2" width="35" style="36" customWidth="1"/>
    <col min="3" max="3" width="19.42578125" style="25" customWidth="1"/>
    <col min="4" max="4" width="84.7109375" style="26" customWidth="1"/>
    <col min="5" max="5" width="20.140625" style="25" customWidth="1"/>
    <col min="6" max="6" width="14.5703125" style="25" customWidth="1"/>
    <col min="7" max="7" width="14.7109375" style="26" customWidth="1"/>
    <col min="8" max="8" width="16.7109375" style="35" customWidth="1"/>
    <col min="9" max="9" width="15.85546875" style="27" customWidth="1"/>
    <col min="10" max="10" width="18.7109375" style="28" customWidth="1"/>
    <col min="11" max="11" width="16.42578125" style="28" customWidth="1"/>
    <col min="12" max="12" width="11.7109375" style="28" customWidth="1"/>
    <col min="13" max="13" width="23" style="29" customWidth="1"/>
    <col min="14" max="14" width="24.42578125" style="27" customWidth="1"/>
    <col min="15" max="15" width="11.42578125" style="30" customWidth="1"/>
    <col min="16" max="16" width="13" style="31" customWidth="1"/>
    <col min="17" max="17" width="11.42578125" style="30" customWidth="1"/>
    <col min="18" max="20" width="15.28515625" style="32" customWidth="1"/>
    <col min="21" max="21" width="12.85546875" style="30" customWidth="1"/>
    <col min="22" max="22" width="10.28515625" style="30" customWidth="1"/>
    <col min="23" max="23" width="26.7109375" style="30" customWidth="1"/>
    <col min="24" max="24" width="12.42578125" style="30" customWidth="1"/>
    <col min="25" max="25" width="15.28515625" style="30" customWidth="1"/>
    <col min="26" max="26" width="11.42578125" style="32" customWidth="1"/>
    <col min="27" max="27" width="11.42578125" style="30" customWidth="1"/>
    <col min="28" max="28" width="10.140625" style="30" customWidth="1"/>
    <col min="29" max="29" width="12.85546875" style="30" bestFit="1" customWidth="1"/>
    <col min="30" max="30" width="10.28515625" style="30" bestFit="1" customWidth="1"/>
    <col min="31" max="31" width="8.28515625" style="30" customWidth="1"/>
    <col min="32" max="32" width="12.85546875" style="30" customWidth="1"/>
    <col min="33" max="33" width="12.85546875" style="30" bestFit="1" customWidth="1"/>
    <col min="34" max="34" width="14.28515625" style="30" bestFit="1" customWidth="1"/>
    <col min="35" max="35" width="8.28515625" style="30" customWidth="1"/>
    <col min="36" max="36" width="17.28515625" style="28" hidden="1" customWidth="1"/>
    <col min="37" max="39" width="17.7109375" style="28" hidden="1" customWidth="1"/>
    <col min="40" max="40" width="9.5703125" style="28" hidden="1" customWidth="1"/>
    <col min="41" max="41" width="32.5703125" style="28" hidden="1" customWidth="1"/>
    <col min="42" max="42" width="37.42578125" style="28" hidden="1" customWidth="1"/>
    <col min="43" max="43" width="31" style="28" hidden="1" customWidth="1"/>
    <col min="44" max="44" width="27.7109375" style="28" hidden="1" customWidth="1"/>
    <col min="45" max="48" width="9.140625" style="28" hidden="1" customWidth="1"/>
    <col min="49" max="49" width="21.42578125" style="28" hidden="1" customWidth="1"/>
    <col min="50" max="16384" width="9.140625" style="28"/>
  </cols>
  <sheetData>
    <row r="1" spans="1:49" s="2" customFormat="1" ht="100.5" customHeight="1" thickBot="1" x14ac:dyDescent="0.3">
      <c r="A1" s="38" t="s">
        <v>4540</v>
      </c>
      <c r="B1" s="38" t="s">
        <v>34</v>
      </c>
      <c r="C1" s="38" t="s">
        <v>0</v>
      </c>
      <c r="D1" s="38" t="s">
        <v>1</v>
      </c>
      <c r="E1" s="40" t="s">
        <v>230</v>
      </c>
      <c r="F1" s="38" t="s">
        <v>26</v>
      </c>
      <c r="G1" s="38" t="s">
        <v>3</v>
      </c>
      <c r="H1" s="38" t="s">
        <v>4</v>
      </c>
      <c r="I1" s="38" t="s">
        <v>12</v>
      </c>
      <c r="J1" s="38" t="s">
        <v>5</v>
      </c>
      <c r="K1" s="38" t="s">
        <v>47</v>
      </c>
      <c r="L1" s="38" t="s">
        <v>42</v>
      </c>
      <c r="M1" s="38" t="s">
        <v>7</v>
      </c>
      <c r="N1" s="38" t="s">
        <v>48</v>
      </c>
      <c r="O1" s="173" t="s">
        <v>49</v>
      </c>
      <c r="P1" s="4" t="s">
        <v>50</v>
      </c>
      <c r="Q1" s="4" t="s">
        <v>51</v>
      </c>
      <c r="R1" s="4" t="s">
        <v>52</v>
      </c>
      <c r="S1" s="4" t="s">
        <v>4324</v>
      </c>
      <c r="T1" s="15" t="s">
        <v>53</v>
      </c>
      <c r="U1" s="169" t="s">
        <v>8</v>
      </c>
      <c r="V1" s="170" t="s">
        <v>9</v>
      </c>
      <c r="W1" s="170" t="s">
        <v>36</v>
      </c>
      <c r="X1" s="170" t="s">
        <v>25</v>
      </c>
      <c r="Y1" s="171" t="s">
        <v>54</v>
      </c>
      <c r="Z1" s="172" t="s">
        <v>55</v>
      </c>
      <c r="AA1" s="174" t="s">
        <v>2999</v>
      </c>
      <c r="AB1" s="175" t="s">
        <v>10</v>
      </c>
      <c r="AC1" s="3" t="s">
        <v>3000</v>
      </c>
      <c r="AD1" s="3" t="s">
        <v>3001</v>
      </c>
      <c r="AE1" s="3" t="s">
        <v>3002</v>
      </c>
      <c r="AF1" s="3" t="s">
        <v>3161</v>
      </c>
      <c r="AG1" s="3" t="s">
        <v>3030</v>
      </c>
      <c r="AH1" s="3" t="s">
        <v>3003</v>
      </c>
      <c r="AI1" s="176" t="s">
        <v>3162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35</v>
      </c>
      <c r="AR1" s="2" t="s">
        <v>37</v>
      </c>
      <c r="AS1" s="119" t="s">
        <v>822</v>
      </c>
      <c r="AT1" s="119" t="s">
        <v>4325</v>
      </c>
      <c r="AU1" s="119" t="s">
        <v>1022</v>
      </c>
      <c r="AV1" s="119" t="s">
        <v>3308</v>
      </c>
      <c r="AW1" s="2" t="s">
        <v>1869</v>
      </c>
    </row>
    <row r="2" spans="1:49" ht="15.75" customHeight="1" x14ac:dyDescent="0.25">
      <c r="A2" s="6" t="s">
        <v>2272</v>
      </c>
      <c r="B2" s="21"/>
      <c r="C2" s="7">
        <v>38</v>
      </c>
      <c r="D2" s="39" t="s">
        <v>2273</v>
      </c>
      <c r="E2" s="7">
        <v>3392</v>
      </c>
      <c r="F2" s="7">
        <v>8</v>
      </c>
      <c r="G2" s="23">
        <v>15.8</v>
      </c>
      <c r="H2" s="34">
        <f>Tabela1[[#This Row],[PESO UNI]]*Tabela1[[#This Row],[QTE]]</f>
        <v>600.4</v>
      </c>
      <c r="I2" s="7">
        <v>0</v>
      </c>
      <c r="J2" s="8" t="s">
        <v>2274</v>
      </c>
      <c r="K2" s="8" t="s">
        <v>33</v>
      </c>
      <c r="L2" s="9" t="s">
        <v>2069</v>
      </c>
      <c r="M2" s="10">
        <v>46100</v>
      </c>
      <c r="N2" s="8" t="s">
        <v>38</v>
      </c>
      <c r="O2" s="12"/>
      <c r="P2" s="13"/>
      <c r="Q2" s="14">
        <f>Tabela1[[#This Row],[QTDE/ Fabricação]]-Tabela1[[#This Row],[QTE]]</f>
        <v>-38</v>
      </c>
      <c r="R2" s="18">
        <f t="shared" ref="R2:R27" si="0">IFERROR(H2*((AA2*0.25)+(AC2*0.25)+(AD2*0.225)+(AE2*0.225)+(AF2*0.05)),"")</f>
        <v>600.4</v>
      </c>
      <c r="S2" s="18">
        <f>IFERROR(H2*AG2,"")</f>
        <v>600.4</v>
      </c>
      <c r="T2" s="19">
        <f t="shared" ref="T2:T27" si="1">IFERROR(S2-H2,"")</f>
        <v>0</v>
      </c>
      <c r="U2" s="16">
        <f>IFERROR(SUMIF('LISTA DE EMBARQUE'!B:B,MICRO!E:E,'LISTA DE EMBARQUE'!G:G),"")</f>
        <v>38</v>
      </c>
      <c r="V2" s="12">
        <f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>IFERROR(Tabela1[[#This Row],[QIANTIDADE EXPEDIDA]]*Tabela1[[#This Row],[PESO UNI]],"")</f>
        <v>600.4</v>
      </c>
      <c r="Y2" s="14">
        <f t="shared" ref="Y2:Y37" si="2">U2-C2</f>
        <v>0</v>
      </c>
      <c r="Z2" s="20">
        <f>Tabela1[[#This Row],[PESO TOTAL]]-Tabela1[[#This Row],[Peso Expedido]]</f>
        <v>0</v>
      </c>
      <c r="AA2" s="17">
        <v>1</v>
      </c>
      <c r="AB2" s="33">
        <v>1</v>
      </c>
      <c r="AC2" s="33">
        <v>1</v>
      </c>
      <c r="AD2" s="33">
        <v>1</v>
      </c>
      <c r="AE2" s="33">
        <v>1</v>
      </c>
      <c r="AF2" s="33">
        <v>1</v>
      </c>
      <c r="AG2" s="33">
        <v>1</v>
      </c>
      <c r="AH2" s="33">
        <v>1</v>
      </c>
      <c r="AI2" s="33" t="str">
        <f t="shared" ref="AI2:AI27" si="3">IF(Z2&lt;=0,"ok","")</f>
        <v>ok</v>
      </c>
      <c r="AJ2" s="5"/>
      <c r="AK2" t="str">
        <f>Tabela1[[#This Row],[Coluna1]]&amp;Tabela1[[#This Row],[PEDIDO]]</f>
        <v>P-188</v>
      </c>
      <c r="AL2"/>
      <c r="AM2"/>
      <c r="AN2"/>
      <c r="AO2" t="str">
        <f t="shared" ref="AO2:AO35" si="4">A2&amp;"/"&amp;J2</f>
        <v>T-060864-1/1073-TC-006</v>
      </c>
      <c r="AP2" t="str">
        <f>Tabela1[[#This Row],[TAG]]&amp;Tabela1[[#This Row],[PEDIDO]]&amp;Tabela1[[#This Row],[PRODUTO]]</f>
        <v>1073-TC-006P-188BASES ROLETES</v>
      </c>
      <c r="AQ2" s="22" t="str">
        <f>Tabela1[[#This Row],[PRODUTO]]&amp;Tabela1[[#This Row],[TAG]]</f>
        <v>BASES ROLETES1073-TC-006</v>
      </c>
      <c r="AR2" s="24" t="str">
        <f>Tabela1[[#This Row],[PEDIDO]]&amp;Tabela1[[#This Row],[PRODUTO]]</f>
        <v>P-188BASES ROLETES</v>
      </c>
      <c r="AS2" s="37">
        <f>IF(AF2="",0,IF(ISTEXT(AF2),H2*VALUE(SUBSTITUTE(AF2,"%",""))/100,H2*AF2))-Tabela1[[#This Row],[PRONTO ACABADO2]]</f>
        <v>0</v>
      </c>
      <c r="AT2" s="37">
        <f>IF(AG2="",0,IF(ISTEXT(AG2),H2*VALUE(SUBSTITUTE(AG2,"%",""))/100,H2*AG2))-Tabela1[[#This Row],[PESO EXPEDIDO2]]</f>
        <v>0</v>
      </c>
      <c r="AU2" s="37">
        <f t="shared" ref="AU2:AU35" si="5">IF(AH2="",0,IF(ISTEXT(AH2),H2*VALUE(SUBSTITUTE(AH2,"%",""))/100,H2*AH2))</f>
        <v>600.4</v>
      </c>
      <c r="AV2" s="37">
        <f t="shared" ref="AV2:AV35" si="6">IF(AG2="",0,IF(ISTEXT(AG2),H2*VALUE(SUBSTITUTE(AG2,"%",""))/100,H2*AG2))</f>
        <v>600.4</v>
      </c>
      <c r="AW2" s="37"/>
    </row>
    <row r="3" spans="1:49" ht="15.75" customHeight="1" x14ac:dyDescent="0.25">
      <c r="A3" s="6" t="s">
        <v>2272</v>
      </c>
      <c r="B3" s="21"/>
      <c r="C3" s="7">
        <v>38</v>
      </c>
      <c r="D3" s="39" t="s">
        <v>2273</v>
      </c>
      <c r="E3" s="7">
        <v>3393</v>
      </c>
      <c r="F3" s="7">
        <v>8</v>
      </c>
      <c r="G3" s="23">
        <v>15.8</v>
      </c>
      <c r="H3" s="34">
        <f>Tabela1[[#This Row],[PESO UNI]]*Tabela1[[#This Row],[QTE]]</f>
        <v>600.4</v>
      </c>
      <c r="I3" s="7">
        <v>0</v>
      </c>
      <c r="J3" s="8" t="s">
        <v>2276</v>
      </c>
      <c r="K3" s="8" t="s">
        <v>33</v>
      </c>
      <c r="L3" s="9" t="s">
        <v>2069</v>
      </c>
      <c r="M3" s="10">
        <v>46100</v>
      </c>
      <c r="N3" s="8" t="s">
        <v>38</v>
      </c>
      <c r="O3" s="12"/>
      <c r="P3" s="13"/>
      <c r="Q3" s="14">
        <f>Tabela1[[#This Row],[QTDE/ Fabricação]]-Tabela1[[#This Row],[QTE]]</f>
        <v>-38</v>
      </c>
      <c r="R3" s="18">
        <f t="shared" si="0"/>
        <v>600.4</v>
      </c>
      <c r="S3" s="18">
        <f t="shared" ref="S3:S37" si="7">IFERROR(H3*AG3,"")</f>
        <v>600.4</v>
      </c>
      <c r="T3" s="19">
        <f t="shared" si="1"/>
        <v>0</v>
      </c>
      <c r="U3" s="16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>IFERROR(Tabela1[[#This Row],[QIANTIDADE EXPEDIDA]]*Tabela1[[#This Row],[PESO UNI]],"")</f>
        <v>600.4</v>
      </c>
      <c r="Y3" s="14">
        <f t="shared" si="2"/>
        <v>0</v>
      </c>
      <c r="Z3" s="20">
        <f>Tabela1[[#This Row],[PESO TOTAL]]-Tabela1[[#This Row],[Peso Expedido]]</f>
        <v>0</v>
      </c>
      <c r="AA3" s="17">
        <v>1</v>
      </c>
      <c r="AB3" s="33">
        <v>1</v>
      </c>
      <c r="AC3" s="33">
        <v>1</v>
      </c>
      <c r="AD3" s="33">
        <v>1</v>
      </c>
      <c r="AE3" s="33">
        <v>1</v>
      </c>
      <c r="AF3" s="33">
        <v>1</v>
      </c>
      <c r="AG3" s="33">
        <v>1</v>
      </c>
      <c r="AH3" s="33">
        <v>1</v>
      </c>
      <c r="AI3" s="33" t="str">
        <f t="shared" si="3"/>
        <v>ok</v>
      </c>
      <c r="AJ3" s="5"/>
      <c r="AK3" t="str">
        <f>Tabela1[[#This Row],[Coluna1]]&amp;Tabela1[[#This Row],[PEDIDO]]</f>
        <v>P-188</v>
      </c>
      <c r="AL3"/>
      <c r="AM3"/>
      <c r="AN3"/>
      <c r="AO3" t="str">
        <f t="shared" si="4"/>
        <v>T-060864-1/1073-TC-007</v>
      </c>
      <c r="AP3" t="str">
        <f>Tabela1[[#This Row],[TAG]]&amp;Tabela1[[#This Row],[PEDIDO]]&amp;Tabela1[[#This Row],[PRODUTO]]</f>
        <v>1073-TC-007P-188BASES ROLETES</v>
      </c>
      <c r="AQ3" s="22" t="str">
        <f>Tabela1[[#This Row],[PRODUTO]]&amp;Tabela1[[#This Row],[TAG]]</f>
        <v>BASES ROLETES1073-TC-007</v>
      </c>
      <c r="AR3" s="24" t="str">
        <f>Tabela1[[#This Row],[PEDIDO]]&amp;Tabela1[[#This Row],[PRODUTO]]</f>
        <v>P-188BASES ROLETES</v>
      </c>
      <c r="AS3" s="37">
        <f>IF(AF3="",0,IF(ISTEXT(AF3),H3*VALUE(SUBSTITUTE(AF3,"%",""))/100,H3*AF3))-Tabela1[[#This Row],[PRONTO ACABADO2]]</f>
        <v>0</v>
      </c>
      <c r="AT3" s="37">
        <f>IF(AG3="",0,IF(ISTEXT(AG3),H3*VALUE(SUBSTITUTE(AG3,"%",""))/100,H3*AG3))-Tabela1[[#This Row],[PESO EXPEDIDO2]]</f>
        <v>0</v>
      </c>
      <c r="AU3" s="37">
        <f t="shared" si="5"/>
        <v>600.4</v>
      </c>
      <c r="AV3" s="37">
        <f t="shared" si="6"/>
        <v>600.4</v>
      </c>
      <c r="AW3" s="37"/>
    </row>
    <row r="4" spans="1:49" ht="15.75" customHeight="1" x14ac:dyDescent="0.25">
      <c r="A4" s="6" t="s">
        <v>2275</v>
      </c>
      <c r="B4" s="21"/>
      <c r="C4" s="7">
        <v>1</v>
      </c>
      <c r="D4" s="39" t="s">
        <v>2278</v>
      </c>
      <c r="E4" s="7">
        <v>3394</v>
      </c>
      <c r="F4" s="7">
        <v>8</v>
      </c>
      <c r="G4" s="23">
        <v>19.2</v>
      </c>
      <c r="H4" s="34">
        <f>Tabela1[[#This Row],[PESO UNI]]*Tabela1[[#This Row],[QTE]]</f>
        <v>19.2</v>
      </c>
      <c r="I4" s="7">
        <v>0</v>
      </c>
      <c r="J4" s="8" t="s">
        <v>2274</v>
      </c>
      <c r="K4" s="8" t="s">
        <v>33</v>
      </c>
      <c r="L4" s="9" t="s">
        <v>2069</v>
      </c>
      <c r="M4" s="10">
        <v>46100</v>
      </c>
      <c r="N4" s="8" t="s">
        <v>38</v>
      </c>
      <c r="O4" s="12"/>
      <c r="P4" s="13"/>
      <c r="Q4" s="14">
        <f>Tabela1[[#This Row],[QTDE/ Fabricação]]-Tabela1[[#This Row],[QTE]]</f>
        <v>-1</v>
      </c>
      <c r="R4" s="18">
        <f t="shared" si="0"/>
        <v>19.2</v>
      </c>
      <c r="S4" s="18">
        <f t="shared" si="7"/>
        <v>19.2</v>
      </c>
      <c r="T4" s="19">
        <f t="shared" si="1"/>
        <v>0</v>
      </c>
      <c r="U4" s="16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>IFERROR(VLOOKUP(Tabela1[[#This Row],[COD.MDE]],'LISTA DE EMBARQUE'!B:M,12,0),"")</f>
        <v>46146</v>
      </c>
      <c r="X4" s="14">
        <f>IFERROR(Tabela1[[#This Row],[QIANTIDADE EXPEDIDA]]*Tabela1[[#This Row],[PESO UNI]],"")</f>
        <v>19.2</v>
      </c>
      <c r="Y4" s="14">
        <f t="shared" si="2"/>
        <v>0</v>
      </c>
      <c r="Z4" s="20">
        <f>Tabela1[[#This Row],[PESO TOTAL]]-Tabela1[[#This Row],[Peso Expedido]]</f>
        <v>0</v>
      </c>
      <c r="AA4" s="17">
        <v>1</v>
      </c>
      <c r="AB4" s="33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 t="str">
        <f t="shared" si="3"/>
        <v>ok</v>
      </c>
      <c r="AJ4" s="5"/>
      <c r="AK4" t="str">
        <f>Tabela1[[#This Row],[Coluna1]]&amp;Tabela1[[#This Row],[PEDIDO]]</f>
        <v>P-188</v>
      </c>
      <c r="AL4"/>
      <c r="AM4"/>
      <c r="AN4"/>
      <c r="AO4" t="str">
        <f t="shared" si="4"/>
        <v>T-060860-1/1073-TC-006</v>
      </c>
      <c r="AP4" t="str">
        <f>Tabela1[[#This Row],[TAG]]&amp;Tabela1[[#This Row],[PEDIDO]]&amp;Tabela1[[#This Row],[PRODUTO]]</f>
        <v>1073-TC-006P-188BASES ROLETES</v>
      </c>
      <c r="AQ4" s="22" t="str">
        <f>Tabela1[[#This Row],[PRODUTO]]&amp;Tabela1[[#This Row],[TAG]]</f>
        <v>BASES ROLETES1073-TC-006</v>
      </c>
      <c r="AR4" s="24" t="str">
        <f>Tabela1[[#This Row],[PEDIDO]]&amp;Tabela1[[#This Row],[PRODUTO]]</f>
        <v>P-188BASES ROLETES</v>
      </c>
      <c r="AS4" s="37">
        <f>IF(AF4="",0,IF(ISTEXT(AF4),H4*VALUE(SUBSTITUTE(AF4,"%",""))/100,H4*AF4))-Tabela1[[#This Row],[PRONTO ACABADO2]]</f>
        <v>0</v>
      </c>
      <c r="AT4" s="37">
        <f>IF(AG4="",0,IF(ISTEXT(AG4),H4*VALUE(SUBSTITUTE(AG4,"%",""))/100,H4*AG4))-Tabela1[[#This Row],[PESO EXPEDIDO2]]</f>
        <v>0</v>
      </c>
      <c r="AU4" s="37">
        <f t="shared" si="5"/>
        <v>19.2</v>
      </c>
      <c r="AV4" s="37">
        <f t="shared" si="6"/>
        <v>19.2</v>
      </c>
      <c r="AW4" s="37"/>
    </row>
    <row r="5" spans="1:49" ht="15.75" customHeight="1" x14ac:dyDescent="0.25">
      <c r="A5" s="6" t="s">
        <v>2275</v>
      </c>
      <c r="B5" s="21"/>
      <c r="C5" s="7">
        <v>1</v>
      </c>
      <c r="D5" s="39" t="s">
        <v>2278</v>
      </c>
      <c r="E5" s="7">
        <v>3395</v>
      </c>
      <c r="F5" s="7">
        <v>8</v>
      </c>
      <c r="G5" s="23">
        <v>19.2</v>
      </c>
      <c r="H5" s="34">
        <f>Tabela1[[#This Row],[PESO UNI]]*Tabela1[[#This Row],[QTE]]</f>
        <v>19.2</v>
      </c>
      <c r="I5" s="7">
        <v>0</v>
      </c>
      <c r="J5" s="8" t="s">
        <v>2276</v>
      </c>
      <c r="K5" s="8" t="s">
        <v>33</v>
      </c>
      <c r="L5" s="9" t="s">
        <v>2069</v>
      </c>
      <c r="M5" s="10">
        <v>46100</v>
      </c>
      <c r="N5" s="8" t="s">
        <v>38</v>
      </c>
      <c r="O5" s="12"/>
      <c r="P5" s="13"/>
      <c r="Q5" s="14">
        <f>Tabela1[[#This Row],[QTDE/ Fabricação]]-Tabela1[[#This Row],[QTE]]</f>
        <v>-1</v>
      </c>
      <c r="R5" s="18">
        <f t="shared" si="0"/>
        <v>19.2</v>
      </c>
      <c r="S5" s="18">
        <f t="shared" si="7"/>
        <v>19.2</v>
      </c>
      <c r="T5" s="19">
        <f t="shared" si="1"/>
        <v>0</v>
      </c>
      <c r="U5" s="16">
        <f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>IFERROR(Tabela1[[#This Row],[QIANTIDADE EXPEDIDA]]*Tabela1[[#This Row],[PESO UNI]],"")</f>
        <v>19.2</v>
      </c>
      <c r="Y5" s="14">
        <f t="shared" si="2"/>
        <v>0</v>
      </c>
      <c r="Z5" s="20">
        <f>Tabela1[[#This Row],[PESO TOTAL]]-Tabela1[[#This Row],[Peso Expedido]]</f>
        <v>0</v>
      </c>
      <c r="AA5" s="17">
        <v>1</v>
      </c>
      <c r="AB5" s="33">
        <v>1</v>
      </c>
      <c r="AC5" s="33">
        <v>1</v>
      </c>
      <c r="AD5" s="33">
        <v>1</v>
      </c>
      <c r="AE5" s="33">
        <v>1</v>
      </c>
      <c r="AF5" s="33">
        <v>1</v>
      </c>
      <c r="AG5" s="33">
        <v>1</v>
      </c>
      <c r="AH5" s="33">
        <v>1</v>
      </c>
      <c r="AI5" s="33" t="str">
        <f t="shared" si="3"/>
        <v>ok</v>
      </c>
      <c r="AJ5" s="5"/>
      <c r="AK5" t="str">
        <f>Tabela1[[#This Row],[Coluna1]]&amp;Tabela1[[#This Row],[PEDIDO]]</f>
        <v>P-188</v>
      </c>
      <c r="AL5"/>
      <c r="AM5"/>
      <c r="AN5"/>
      <c r="AO5" t="str">
        <f t="shared" si="4"/>
        <v>T-060860-1/1073-TC-007</v>
      </c>
      <c r="AP5" t="str">
        <f>Tabela1[[#This Row],[TAG]]&amp;Tabela1[[#This Row],[PEDIDO]]&amp;Tabela1[[#This Row],[PRODUTO]]</f>
        <v>1073-TC-007P-188BASES ROLETES</v>
      </c>
      <c r="AQ5" s="22" t="str">
        <f>Tabela1[[#This Row],[PRODUTO]]&amp;Tabela1[[#This Row],[TAG]]</f>
        <v>BASES ROLETES1073-TC-007</v>
      </c>
      <c r="AR5" s="24" t="str">
        <f>Tabela1[[#This Row],[PEDIDO]]&amp;Tabela1[[#This Row],[PRODUTO]]</f>
        <v>P-188BASES ROLETES</v>
      </c>
      <c r="AS5" s="37">
        <f>IF(AF5="",0,IF(ISTEXT(AF5),H5*VALUE(SUBSTITUTE(AF5,"%",""))/100,H5*AF5))-Tabela1[[#This Row],[PRONTO ACABADO2]]</f>
        <v>0</v>
      </c>
      <c r="AT5" s="37">
        <f>IF(AG5="",0,IF(ISTEXT(AG5),H5*VALUE(SUBSTITUTE(AG5,"%",""))/100,H5*AG5))-Tabela1[[#This Row],[PESO EXPEDIDO2]]</f>
        <v>0</v>
      </c>
      <c r="AU5" s="37">
        <f t="shared" si="5"/>
        <v>19.2</v>
      </c>
      <c r="AV5" s="37">
        <f t="shared" si="6"/>
        <v>19.2</v>
      </c>
      <c r="AW5" s="37"/>
    </row>
    <row r="6" spans="1:49" ht="15.75" customHeight="1" x14ac:dyDescent="0.25">
      <c r="A6" s="6" t="s">
        <v>2277</v>
      </c>
      <c r="B6" s="21"/>
      <c r="C6" s="7">
        <v>4</v>
      </c>
      <c r="D6" s="39" t="s">
        <v>2279</v>
      </c>
      <c r="E6" s="7">
        <v>3396</v>
      </c>
      <c r="F6" s="7">
        <v>8</v>
      </c>
      <c r="G6" s="23">
        <v>2.7</v>
      </c>
      <c r="H6" s="34">
        <f>Tabela1[[#This Row],[PESO UNI]]*Tabela1[[#This Row],[QTE]]</f>
        <v>10.8</v>
      </c>
      <c r="I6" s="7">
        <v>1</v>
      </c>
      <c r="J6" s="8" t="s">
        <v>2274</v>
      </c>
      <c r="K6" s="8" t="s">
        <v>33</v>
      </c>
      <c r="L6" s="9" t="s">
        <v>2069</v>
      </c>
      <c r="M6" s="10">
        <v>46100</v>
      </c>
      <c r="N6" s="8" t="s">
        <v>38</v>
      </c>
      <c r="O6" s="12"/>
      <c r="P6" s="13"/>
      <c r="Q6" s="14">
        <f>Tabela1[[#This Row],[QTDE/ Fabricação]]-Tabela1[[#This Row],[QTE]]</f>
        <v>-4</v>
      </c>
      <c r="R6" s="18">
        <f t="shared" si="0"/>
        <v>10.8</v>
      </c>
      <c r="S6" s="18">
        <f t="shared" si="7"/>
        <v>10.8</v>
      </c>
      <c r="T6" s="19">
        <f t="shared" si="1"/>
        <v>0</v>
      </c>
      <c r="U6" s="16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>IFERROR(Tabela1[[#This Row],[QIANTIDADE EXPEDIDA]]*Tabela1[[#This Row],[PESO UNI]],"")</f>
        <v>10.8</v>
      </c>
      <c r="Y6" s="14">
        <f t="shared" si="2"/>
        <v>0</v>
      </c>
      <c r="Z6" s="20">
        <f>Tabela1[[#This Row],[PESO TOTAL]]-Tabela1[[#This Row],[Peso Expedido]]</f>
        <v>0</v>
      </c>
      <c r="AA6" s="17">
        <v>1</v>
      </c>
      <c r="AB6" s="33">
        <v>1</v>
      </c>
      <c r="AC6" s="33">
        <v>1</v>
      </c>
      <c r="AD6" s="33">
        <v>1</v>
      </c>
      <c r="AE6" s="33">
        <v>1</v>
      </c>
      <c r="AF6" s="33">
        <v>1</v>
      </c>
      <c r="AG6" s="33">
        <v>1</v>
      </c>
      <c r="AH6" s="33">
        <v>1</v>
      </c>
      <c r="AI6" s="33" t="str">
        <f t="shared" si="3"/>
        <v>ok</v>
      </c>
      <c r="AJ6" s="5"/>
      <c r="AK6" t="str">
        <f>Tabela1[[#This Row],[Coluna1]]&amp;Tabela1[[#This Row],[PEDIDO]]</f>
        <v>P-188</v>
      </c>
      <c r="AL6"/>
      <c r="AM6"/>
      <c r="AN6"/>
      <c r="AO6" t="str">
        <f t="shared" si="4"/>
        <v>T-052878-1/1073-TC-006</v>
      </c>
      <c r="AP6" t="str">
        <f>Tabela1[[#This Row],[TAG]]&amp;Tabela1[[#This Row],[PEDIDO]]&amp;Tabela1[[#This Row],[PRODUTO]]</f>
        <v>1073-TC-006P-188BASES ROLETES</v>
      </c>
      <c r="AQ6" s="22" t="str">
        <f>Tabela1[[#This Row],[PRODUTO]]&amp;Tabela1[[#This Row],[TAG]]</f>
        <v>BASES ROLETES1073-TC-006</v>
      </c>
      <c r="AR6" s="24" t="str">
        <f>Tabela1[[#This Row],[PEDIDO]]&amp;Tabela1[[#This Row],[PRODUTO]]</f>
        <v>P-188BASES ROLETES</v>
      </c>
      <c r="AS6" s="37">
        <f>IF(AF6="",0,IF(ISTEXT(AF6),H6*VALUE(SUBSTITUTE(AF6,"%",""))/100,H6*AF6))-Tabela1[[#This Row],[PRONTO ACABADO2]]</f>
        <v>0</v>
      </c>
      <c r="AT6" s="37">
        <f>IF(AG6="",0,IF(ISTEXT(AG6),H6*VALUE(SUBSTITUTE(AG6,"%",""))/100,H6*AG6))-Tabela1[[#This Row],[PESO EXPEDIDO2]]</f>
        <v>0</v>
      </c>
      <c r="AU6" s="37">
        <f t="shared" si="5"/>
        <v>10.8</v>
      </c>
      <c r="AV6" s="37">
        <f t="shared" si="6"/>
        <v>10.8</v>
      </c>
      <c r="AW6" s="37"/>
    </row>
    <row r="7" spans="1:49" ht="15.75" customHeight="1" x14ac:dyDescent="0.25">
      <c r="A7" s="6" t="s">
        <v>2277</v>
      </c>
      <c r="B7" s="21"/>
      <c r="C7" s="7">
        <v>4</v>
      </c>
      <c r="D7" s="39" t="s">
        <v>2279</v>
      </c>
      <c r="E7" s="7">
        <v>3397</v>
      </c>
      <c r="F7" s="7">
        <v>8</v>
      </c>
      <c r="G7" s="23">
        <v>2.7</v>
      </c>
      <c r="H7" s="34">
        <f>Tabela1[[#This Row],[PESO UNI]]*Tabela1[[#This Row],[QTE]]</f>
        <v>10.8</v>
      </c>
      <c r="I7" s="7">
        <v>1</v>
      </c>
      <c r="J7" s="8" t="s">
        <v>2276</v>
      </c>
      <c r="K7" s="8" t="s">
        <v>33</v>
      </c>
      <c r="L7" s="9" t="s">
        <v>2069</v>
      </c>
      <c r="M7" s="10">
        <v>46100</v>
      </c>
      <c r="N7" s="8" t="s">
        <v>38</v>
      </c>
      <c r="O7" s="12"/>
      <c r="P7" s="13"/>
      <c r="Q7" s="14">
        <f>Tabela1[[#This Row],[QTDE/ Fabricação]]-Tabela1[[#This Row],[QTE]]</f>
        <v>-4</v>
      </c>
      <c r="R7" s="18">
        <f t="shared" si="0"/>
        <v>10.8</v>
      </c>
      <c r="S7" s="18">
        <f t="shared" si="7"/>
        <v>10.8</v>
      </c>
      <c r="T7" s="19">
        <f t="shared" si="1"/>
        <v>0</v>
      </c>
      <c r="U7" s="16">
        <f>IFERROR(SUMIF('LISTA DE EMBARQUE'!B:B,MICRO!E:E,'LISTA DE EMBARQUE'!G:G),"")</f>
        <v>4</v>
      </c>
      <c r="V7" s="12">
        <f>IFERROR(VLOOKUP(Tabela1[[#This Row],[COD.MDE]],'LISTA DE EMBARQUE'!B:L,11,0),"")</f>
        <v>1</v>
      </c>
      <c r="W7" s="13">
        <f>IFERROR(VLOOKUP(Tabela1[[#This Row],[COD.MDE]],'LISTA DE EMBARQUE'!B:M,12,0),"")</f>
        <v>46146</v>
      </c>
      <c r="X7" s="14">
        <f>IFERROR(Tabela1[[#This Row],[QIANTIDADE EXPEDIDA]]*Tabela1[[#This Row],[PESO UNI]],"")</f>
        <v>10.8</v>
      </c>
      <c r="Y7" s="14">
        <f t="shared" si="2"/>
        <v>0</v>
      </c>
      <c r="Z7" s="20">
        <f>Tabela1[[#This Row],[PESO TOTAL]]-Tabela1[[#This Row],[Peso Expedido]]</f>
        <v>0</v>
      </c>
      <c r="AA7" s="17">
        <v>1</v>
      </c>
      <c r="AB7" s="33">
        <v>1</v>
      </c>
      <c r="AC7" s="33">
        <v>1</v>
      </c>
      <c r="AD7" s="33">
        <v>1</v>
      </c>
      <c r="AE7" s="33">
        <v>1</v>
      </c>
      <c r="AF7" s="33">
        <v>1</v>
      </c>
      <c r="AG7" s="33">
        <v>1</v>
      </c>
      <c r="AH7" s="33">
        <v>1</v>
      </c>
      <c r="AI7" s="33" t="str">
        <f t="shared" si="3"/>
        <v>ok</v>
      </c>
      <c r="AJ7" s="5"/>
      <c r="AK7" t="str">
        <f>Tabela1[[#This Row],[Coluna1]]&amp;Tabela1[[#This Row],[PEDIDO]]</f>
        <v>P-188</v>
      </c>
      <c r="AL7"/>
      <c r="AM7"/>
      <c r="AN7"/>
      <c r="AO7" t="str">
        <f t="shared" si="4"/>
        <v>T-052878-1/1073-TC-007</v>
      </c>
      <c r="AP7" t="str">
        <f>Tabela1[[#This Row],[TAG]]&amp;Tabela1[[#This Row],[PEDIDO]]&amp;Tabela1[[#This Row],[PRODUTO]]</f>
        <v>1073-TC-007P-188BASES ROLETES</v>
      </c>
      <c r="AQ7" s="22" t="str">
        <f>Tabela1[[#This Row],[PRODUTO]]&amp;Tabela1[[#This Row],[TAG]]</f>
        <v>BASES ROLETES1073-TC-007</v>
      </c>
      <c r="AR7" s="24" t="str">
        <f>Tabela1[[#This Row],[PEDIDO]]&amp;Tabela1[[#This Row],[PRODUTO]]</f>
        <v>P-188BASES ROLETES</v>
      </c>
      <c r="AS7" s="37">
        <f>IF(AF7="",0,IF(ISTEXT(AF7),H7*VALUE(SUBSTITUTE(AF7,"%",""))/100,H7*AF7))-Tabela1[[#This Row],[PRONTO ACABADO2]]</f>
        <v>0</v>
      </c>
      <c r="AT7" s="37">
        <f>IF(AG7="",0,IF(ISTEXT(AG7),H7*VALUE(SUBSTITUTE(AG7,"%",""))/100,H7*AG7))-Tabela1[[#This Row],[PESO EXPEDIDO2]]</f>
        <v>0</v>
      </c>
      <c r="AU7" s="37">
        <f t="shared" si="5"/>
        <v>10.8</v>
      </c>
      <c r="AV7" s="37">
        <f t="shared" si="6"/>
        <v>10.8</v>
      </c>
      <c r="AW7" s="37"/>
    </row>
    <row r="8" spans="1:49" ht="15.75" customHeight="1" x14ac:dyDescent="0.25">
      <c r="A8" s="6" t="s">
        <v>2280</v>
      </c>
      <c r="B8" s="21"/>
      <c r="C8" s="7">
        <v>1</v>
      </c>
      <c r="D8" s="39" t="s">
        <v>2281</v>
      </c>
      <c r="E8" s="7">
        <v>3398</v>
      </c>
      <c r="F8" s="7">
        <v>8</v>
      </c>
      <c r="G8" s="23">
        <v>67</v>
      </c>
      <c r="H8" s="34">
        <f>Tabela1[[#This Row],[PESO UNI]]*Tabela1[[#This Row],[QTE]]</f>
        <v>67</v>
      </c>
      <c r="I8" s="7">
        <v>0</v>
      </c>
      <c r="J8" s="8" t="s">
        <v>2274</v>
      </c>
      <c r="K8" s="8" t="s">
        <v>33</v>
      </c>
      <c r="L8" s="9" t="s">
        <v>2069</v>
      </c>
      <c r="M8" s="10">
        <v>46100</v>
      </c>
      <c r="N8" s="8" t="s">
        <v>38</v>
      </c>
      <c r="O8" s="12"/>
      <c r="P8" s="13"/>
      <c r="Q8" s="14">
        <f>Tabela1[[#This Row],[QTDE/ Fabricação]]-Tabela1[[#This Row],[QTE]]</f>
        <v>-1</v>
      </c>
      <c r="R8" s="18">
        <f t="shared" si="0"/>
        <v>0</v>
      </c>
      <c r="S8" s="18">
        <f t="shared" si="7"/>
        <v>0</v>
      </c>
      <c r="T8" s="19">
        <f t="shared" si="1"/>
        <v>-67</v>
      </c>
      <c r="U8" s="16">
        <f>IFERROR(SUMIF('LISTA DE EMBARQUE'!B:B,MICRO!E:E,'LISTA DE EMBARQUE'!G:G),"")</f>
        <v>1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>IFERROR(Tabela1[[#This Row],[QIANTIDADE EXPEDIDA]]*Tabela1[[#This Row],[PESO UNI]],"")</f>
        <v>67</v>
      </c>
      <c r="Y8" s="14">
        <f t="shared" si="2"/>
        <v>0</v>
      </c>
      <c r="Z8" s="20">
        <f>Tabela1[[#This Row],[PESO TOTAL]]-Tabela1[[#This Row],[Peso Expedido]]</f>
        <v>0</v>
      </c>
      <c r="AA8" s="17"/>
      <c r="AB8" s="33"/>
      <c r="AC8" s="33"/>
      <c r="AD8" s="33"/>
      <c r="AE8" s="33"/>
      <c r="AF8" s="33"/>
      <c r="AG8" s="33"/>
      <c r="AH8" s="33"/>
      <c r="AI8" s="33"/>
      <c r="AJ8" s="5"/>
      <c r="AK8" t="str">
        <f>Tabela1[[#This Row],[Coluna1]]&amp;Tabela1[[#This Row],[PEDIDO]]</f>
        <v>P-188</v>
      </c>
      <c r="AL8"/>
      <c r="AM8"/>
      <c r="AN8"/>
      <c r="AO8" t="str">
        <f t="shared" si="4"/>
        <v>R-007180-1/1073-TC-006</v>
      </c>
      <c r="AP8" t="str">
        <f>Tabela1[[#This Row],[TAG]]&amp;Tabela1[[#This Row],[PEDIDO]]&amp;Tabela1[[#This Row],[PRODUTO]]</f>
        <v>1073-TC-006P-188BASES ROLETES</v>
      </c>
      <c r="AQ8" s="22" t="str">
        <f>Tabela1[[#This Row],[PRODUTO]]&amp;Tabela1[[#This Row],[TAG]]</f>
        <v>BASES ROLETES1073-TC-006</v>
      </c>
      <c r="AR8" s="24" t="str">
        <f>Tabela1[[#This Row],[PEDIDO]]&amp;Tabela1[[#This Row],[PRODUTO]]</f>
        <v>P-188BASES ROLETES</v>
      </c>
      <c r="AS8" s="37">
        <f>IF(AF8="",0,IF(ISTEXT(AF8),H8*VALUE(SUBSTITUTE(AF8,"%",""))/100,H8*AF8))-Tabela1[[#This Row],[PRONTO ACABADO2]]</f>
        <v>0</v>
      </c>
      <c r="AT8" s="37">
        <f>IF(AG8="",0,IF(ISTEXT(AG8),H8*VALUE(SUBSTITUTE(AG8,"%",""))/100,H8*AG8))-Tabela1[[#This Row],[PESO EXPEDIDO2]]</f>
        <v>0</v>
      </c>
      <c r="AU8" s="37">
        <f t="shared" si="5"/>
        <v>0</v>
      </c>
      <c r="AV8" s="37">
        <f t="shared" si="6"/>
        <v>0</v>
      </c>
      <c r="AW8" s="37"/>
    </row>
    <row r="9" spans="1:49" ht="15.75" customHeight="1" x14ac:dyDescent="0.25">
      <c r="A9" s="6" t="s">
        <v>2280</v>
      </c>
      <c r="B9" s="21"/>
      <c r="C9" s="7">
        <v>1</v>
      </c>
      <c r="D9" s="39" t="s">
        <v>2281</v>
      </c>
      <c r="E9" s="7">
        <v>3399</v>
      </c>
      <c r="F9" s="7">
        <v>8</v>
      </c>
      <c r="G9" s="23">
        <v>67</v>
      </c>
      <c r="H9" s="34">
        <f>Tabela1[[#This Row],[PESO UNI]]*Tabela1[[#This Row],[QTE]]</f>
        <v>67</v>
      </c>
      <c r="I9" s="7">
        <v>0</v>
      </c>
      <c r="J9" s="8" t="s">
        <v>2276</v>
      </c>
      <c r="K9" s="8" t="s">
        <v>33</v>
      </c>
      <c r="L9" s="9" t="s">
        <v>2069</v>
      </c>
      <c r="M9" s="10">
        <v>46100</v>
      </c>
      <c r="N9" s="8" t="s">
        <v>38</v>
      </c>
      <c r="O9" s="12"/>
      <c r="P9" s="13"/>
      <c r="Q9" s="14">
        <f>Tabela1[[#This Row],[QTDE/ Fabricação]]-Tabela1[[#This Row],[QTE]]</f>
        <v>-1</v>
      </c>
      <c r="R9" s="18">
        <f t="shared" si="0"/>
        <v>0</v>
      </c>
      <c r="S9" s="18">
        <f t="shared" si="7"/>
        <v>0</v>
      </c>
      <c r="T9" s="19">
        <f t="shared" si="1"/>
        <v>-67</v>
      </c>
      <c r="U9" s="16">
        <f>IFERROR(SUMIF('LISTA DE EMBARQUE'!B:B,MICRO!E:E,'LISTA DE EMBARQUE'!G:G),"")</f>
        <v>1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>IFERROR(Tabela1[[#This Row],[QIANTIDADE EXPEDIDA]]*Tabela1[[#This Row],[PESO UNI]],"")</f>
        <v>67</v>
      </c>
      <c r="Y9" s="14">
        <f t="shared" si="2"/>
        <v>0</v>
      </c>
      <c r="Z9" s="20">
        <f>Tabela1[[#This Row],[PESO TOTAL]]-Tabela1[[#This Row],[Peso Expedido]]</f>
        <v>0</v>
      </c>
      <c r="AA9" s="17"/>
      <c r="AB9" s="33"/>
      <c r="AC9" s="33"/>
      <c r="AD9" s="33"/>
      <c r="AE9" s="33"/>
      <c r="AF9" s="33"/>
      <c r="AG9" s="33"/>
      <c r="AH9" s="33"/>
      <c r="AI9" s="33"/>
      <c r="AJ9" s="5"/>
      <c r="AK9" t="str">
        <f>Tabela1[[#This Row],[Coluna1]]&amp;Tabela1[[#This Row],[PEDIDO]]</f>
        <v>P-188</v>
      </c>
      <c r="AL9"/>
      <c r="AM9"/>
      <c r="AN9"/>
      <c r="AO9" t="str">
        <f t="shared" si="4"/>
        <v>R-007180-1/1073-TC-007</v>
      </c>
      <c r="AP9" t="str">
        <f>Tabela1[[#This Row],[TAG]]&amp;Tabela1[[#This Row],[PEDIDO]]&amp;Tabela1[[#This Row],[PRODUTO]]</f>
        <v>1073-TC-007P-188BASES ROLETES</v>
      </c>
      <c r="AQ9" s="22" t="str">
        <f>Tabela1[[#This Row],[PRODUTO]]&amp;Tabela1[[#This Row],[TAG]]</f>
        <v>BASES ROLETES1073-TC-007</v>
      </c>
      <c r="AR9" s="24" t="str">
        <f>Tabela1[[#This Row],[PEDIDO]]&amp;Tabela1[[#This Row],[PRODUTO]]</f>
        <v>P-188BASES ROLETES</v>
      </c>
      <c r="AS9" s="37">
        <f>IF(AF9="",0,IF(ISTEXT(AF9),H9*VALUE(SUBSTITUTE(AF9,"%",""))/100,H9*AF9))-Tabela1[[#This Row],[PRONTO ACABADO2]]</f>
        <v>0</v>
      </c>
      <c r="AT9" s="37">
        <f>IF(AG9="",0,IF(ISTEXT(AG9),H9*VALUE(SUBSTITUTE(AG9,"%",""))/100,H9*AG9))-Tabela1[[#This Row],[PESO EXPEDIDO2]]</f>
        <v>0</v>
      </c>
      <c r="AU9" s="37">
        <f t="shared" si="5"/>
        <v>0</v>
      </c>
      <c r="AV9" s="37">
        <f t="shared" si="6"/>
        <v>0</v>
      </c>
      <c r="AW9" s="37"/>
    </row>
    <row r="10" spans="1:49" ht="15.75" customHeight="1" x14ac:dyDescent="0.25">
      <c r="A10" s="6" t="s">
        <v>2282</v>
      </c>
      <c r="B10" s="21"/>
      <c r="C10" s="7">
        <v>9</v>
      </c>
      <c r="D10" s="39" t="s">
        <v>2283</v>
      </c>
      <c r="E10" s="7">
        <v>3400</v>
      </c>
      <c r="F10" s="7">
        <v>8</v>
      </c>
      <c r="G10" s="23">
        <v>5.7</v>
      </c>
      <c r="H10" s="34">
        <f>Tabela1[[#This Row],[PESO UNI]]*Tabela1[[#This Row],[QTE]]</f>
        <v>51.300000000000004</v>
      </c>
      <c r="I10" s="7">
        <v>0</v>
      </c>
      <c r="J10" s="8" t="s">
        <v>2274</v>
      </c>
      <c r="K10" s="8" t="s">
        <v>33</v>
      </c>
      <c r="L10" s="9" t="s">
        <v>2069</v>
      </c>
      <c r="M10" s="10">
        <v>46100</v>
      </c>
      <c r="N10" s="8" t="s">
        <v>38</v>
      </c>
      <c r="O10" s="12"/>
      <c r="P10" s="13"/>
      <c r="Q10" s="14">
        <f>Tabela1[[#This Row],[QTDE/ Fabricação]]-Tabela1[[#This Row],[QTE]]</f>
        <v>-9</v>
      </c>
      <c r="R10" s="18">
        <f t="shared" si="0"/>
        <v>51.300000000000004</v>
      </c>
      <c r="S10" s="18">
        <f t="shared" si="7"/>
        <v>51.300000000000004</v>
      </c>
      <c r="T10" s="19">
        <f t="shared" si="1"/>
        <v>0</v>
      </c>
      <c r="U10" s="16">
        <f>IFERROR(SUMIF('LISTA DE EMBARQUE'!B:B,MICRO!E:E,'LISTA DE EMBARQUE'!G:G),"")</f>
        <v>9</v>
      </c>
      <c r="V10" s="12">
        <f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>IFERROR(Tabela1[[#This Row],[QIANTIDADE EXPEDIDA]]*Tabela1[[#This Row],[PESO UNI]],"")</f>
        <v>51.300000000000004</v>
      </c>
      <c r="Y10" s="14">
        <f t="shared" si="2"/>
        <v>0</v>
      </c>
      <c r="Z10" s="20">
        <f>Tabela1[[#This Row],[PESO TOTAL]]-Tabela1[[#This Row],[Peso Expedido]]</f>
        <v>0</v>
      </c>
      <c r="AA10" s="17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 t="str">
        <f t="shared" si="3"/>
        <v>ok</v>
      </c>
      <c r="AJ10" s="5"/>
      <c r="AK10" t="str">
        <f>Tabela1[[#This Row],[Coluna1]]&amp;Tabela1[[#This Row],[PEDIDO]]</f>
        <v>P-188</v>
      </c>
      <c r="AL10"/>
      <c r="AM10"/>
      <c r="AN10"/>
      <c r="AO10" t="str">
        <f t="shared" si="4"/>
        <v>T-007179-4/1073-TC-006</v>
      </c>
      <c r="AP10" t="str">
        <f>Tabela1[[#This Row],[TAG]]&amp;Tabela1[[#This Row],[PEDIDO]]&amp;Tabela1[[#This Row],[PRODUTO]]</f>
        <v>1073-TC-006P-188BASES ROLETES</v>
      </c>
      <c r="AQ10" s="22" t="str">
        <f>Tabela1[[#This Row],[PRODUTO]]&amp;Tabela1[[#This Row],[TAG]]</f>
        <v>BASES ROLETES1073-TC-006</v>
      </c>
      <c r="AR10" s="24" t="str">
        <f>Tabela1[[#This Row],[PEDIDO]]&amp;Tabela1[[#This Row],[PRODUTO]]</f>
        <v>P-188BASES ROLETES</v>
      </c>
      <c r="AS10" s="37">
        <f>IF(AF10="",0,IF(ISTEXT(AF10),H10*VALUE(SUBSTITUTE(AF10,"%",""))/100,H10*AF10))-Tabela1[[#This Row],[PRONTO ACABADO2]]</f>
        <v>0</v>
      </c>
      <c r="AT10" s="37">
        <f>IF(AG10="",0,IF(ISTEXT(AG10),H10*VALUE(SUBSTITUTE(AG10,"%",""))/100,H10*AG10))-Tabela1[[#This Row],[PESO EXPEDIDO2]]</f>
        <v>0</v>
      </c>
      <c r="AU10" s="37">
        <f t="shared" si="5"/>
        <v>51.300000000000004</v>
      </c>
      <c r="AV10" s="37">
        <f t="shared" si="6"/>
        <v>51.300000000000004</v>
      </c>
      <c r="AW10" s="37"/>
    </row>
    <row r="11" spans="1:49" ht="15.75" customHeight="1" x14ac:dyDescent="0.25">
      <c r="A11" s="6" t="s">
        <v>2282</v>
      </c>
      <c r="B11" s="21"/>
      <c r="C11" s="7">
        <v>9</v>
      </c>
      <c r="D11" s="39" t="s">
        <v>2283</v>
      </c>
      <c r="E11" s="7">
        <v>3401</v>
      </c>
      <c r="F11" s="7">
        <v>8</v>
      </c>
      <c r="G11" s="23">
        <v>5.7</v>
      </c>
      <c r="H11" s="34">
        <f>Tabela1[[#This Row],[PESO UNI]]*Tabela1[[#This Row],[QTE]]</f>
        <v>51.300000000000004</v>
      </c>
      <c r="I11" s="7">
        <v>0</v>
      </c>
      <c r="J11" s="8" t="s">
        <v>2276</v>
      </c>
      <c r="K11" s="8" t="s">
        <v>33</v>
      </c>
      <c r="L11" s="9" t="s">
        <v>2069</v>
      </c>
      <c r="M11" s="10">
        <v>46100</v>
      </c>
      <c r="N11" s="8" t="s">
        <v>38</v>
      </c>
      <c r="O11" s="12"/>
      <c r="P11" s="13"/>
      <c r="Q11" s="14">
        <f>Tabela1[[#This Row],[QTDE/ Fabricação]]-Tabela1[[#This Row],[QTE]]</f>
        <v>-9</v>
      </c>
      <c r="R11" s="18">
        <f t="shared" si="0"/>
        <v>51.300000000000004</v>
      </c>
      <c r="S11" s="18">
        <f t="shared" si="7"/>
        <v>51.300000000000004</v>
      </c>
      <c r="T11" s="19">
        <f t="shared" si="1"/>
        <v>0</v>
      </c>
      <c r="U11" s="16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>IFERROR(Tabela1[[#This Row],[QIANTIDADE EXPEDIDA]]*Tabela1[[#This Row],[PESO UNI]],"")</f>
        <v>51.300000000000004</v>
      </c>
      <c r="Y11" s="14">
        <f t="shared" si="2"/>
        <v>0</v>
      </c>
      <c r="Z11" s="20">
        <f>Tabela1[[#This Row],[PESO TOTAL]]-Tabela1[[#This Row],[Peso Expedido]]</f>
        <v>0</v>
      </c>
      <c r="AA11" s="17">
        <v>1</v>
      </c>
      <c r="AB11" s="33">
        <v>1</v>
      </c>
      <c r="AC11" s="33">
        <v>1</v>
      </c>
      <c r="AD11" s="33">
        <v>1</v>
      </c>
      <c r="AE11" s="33">
        <v>1</v>
      </c>
      <c r="AF11" s="33">
        <v>1</v>
      </c>
      <c r="AG11" s="33">
        <v>1</v>
      </c>
      <c r="AH11" s="33">
        <v>1</v>
      </c>
      <c r="AI11" s="33" t="str">
        <f t="shared" si="3"/>
        <v>ok</v>
      </c>
      <c r="AJ11" s="5"/>
      <c r="AK11" t="str">
        <f>Tabela1[[#This Row],[Coluna1]]&amp;Tabela1[[#This Row],[PEDIDO]]</f>
        <v>P-188</v>
      </c>
      <c r="AL11"/>
      <c r="AM11"/>
      <c r="AN11"/>
      <c r="AO11" t="str">
        <f t="shared" si="4"/>
        <v>T-007179-4/1073-TC-007</v>
      </c>
      <c r="AP11" t="str">
        <f>Tabela1[[#This Row],[TAG]]&amp;Tabela1[[#This Row],[PEDIDO]]&amp;Tabela1[[#This Row],[PRODUTO]]</f>
        <v>1073-TC-007P-188BASES ROLETES</v>
      </c>
      <c r="AQ11" s="22" t="str">
        <f>Tabela1[[#This Row],[PRODUTO]]&amp;Tabela1[[#This Row],[TAG]]</f>
        <v>BASES ROLETES1073-TC-007</v>
      </c>
      <c r="AR11" s="24" t="str">
        <f>Tabela1[[#This Row],[PEDIDO]]&amp;Tabela1[[#This Row],[PRODUTO]]</f>
        <v>P-188BASES ROLETES</v>
      </c>
      <c r="AS11" s="37">
        <f>IF(AF11="",0,IF(ISTEXT(AF11),H11*VALUE(SUBSTITUTE(AF11,"%",""))/100,H11*AF11))-Tabela1[[#This Row],[PRONTO ACABADO2]]</f>
        <v>0</v>
      </c>
      <c r="AT11" s="37">
        <f>IF(AG11="",0,IF(ISTEXT(AG11),H11*VALUE(SUBSTITUTE(AG11,"%",""))/100,H11*AG11))-Tabela1[[#This Row],[PESO EXPEDIDO2]]</f>
        <v>0</v>
      </c>
      <c r="AU11" s="37">
        <f t="shared" si="5"/>
        <v>51.300000000000004</v>
      </c>
      <c r="AV11" s="37">
        <f t="shared" si="6"/>
        <v>51.300000000000004</v>
      </c>
      <c r="AW11" s="37"/>
    </row>
    <row r="12" spans="1:49" ht="15.75" customHeight="1" x14ac:dyDescent="0.25">
      <c r="A12" s="6" t="s">
        <v>2284</v>
      </c>
      <c r="B12" s="21"/>
      <c r="C12" s="7">
        <v>11</v>
      </c>
      <c r="D12" s="39" t="s">
        <v>2285</v>
      </c>
      <c r="E12" s="7">
        <v>3402</v>
      </c>
      <c r="F12" s="7">
        <v>8</v>
      </c>
      <c r="G12" s="23">
        <v>19.100000000000001</v>
      </c>
      <c r="H12" s="34">
        <f>Tabela1[[#This Row],[PESO UNI]]*Tabela1[[#This Row],[QTE]]</f>
        <v>210.10000000000002</v>
      </c>
      <c r="I12" s="7">
        <v>1</v>
      </c>
      <c r="J12" s="8" t="s">
        <v>2274</v>
      </c>
      <c r="K12" s="8" t="s">
        <v>33</v>
      </c>
      <c r="L12" s="9" t="s">
        <v>2069</v>
      </c>
      <c r="M12" s="10">
        <v>46100</v>
      </c>
      <c r="N12" s="8" t="s">
        <v>38</v>
      </c>
      <c r="O12" s="12"/>
      <c r="P12" s="13"/>
      <c r="Q12" s="14">
        <f>Tabela1[[#This Row],[QTDE/ Fabricação]]-Tabela1[[#This Row],[QTE]]</f>
        <v>-11</v>
      </c>
      <c r="R12" s="18">
        <f t="shared" si="0"/>
        <v>210.10000000000002</v>
      </c>
      <c r="S12" s="18">
        <f t="shared" si="7"/>
        <v>210.10000000000002</v>
      </c>
      <c r="T12" s="19">
        <f t="shared" si="1"/>
        <v>0</v>
      </c>
      <c r="U12" s="16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>IFERROR(VLOOKUP(Tabela1[[#This Row],[COD.MDE]],'LISTA DE EMBARQUE'!B:M,12,0),"")</f>
        <v>46146</v>
      </c>
      <c r="X12" s="14">
        <f>IFERROR(Tabela1[[#This Row],[QIANTIDADE EXPEDIDA]]*Tabela1[[#This Row],[PESO UNI]],"")</f>
        <v>210.10000000000002</v>
      </c>
      <c r="Y12" s="14">
        <f t="shared" si="2"/>
        <v>0</v>
      </c>
      <c r="Z12" s="20">
        <f>Tabela1[[#This Row],[PESO TOTAL]]-Tabela1[[#This Row],[Peso Expedido]]</f>
        <v>0</v>
      </c>
      <c r="AA12" s="17">
        <v>1</v>
      </c>
      <c r="AB12" s="33">
        <v>1</v>
      </c>
      <c r="AC12" s="33">
        <v>1</v>
      </c>
      <c r="AD12" s="33">
        <v>1</v>
      </c>
      <c r="AE12" s="33">
        <v>1</v>
      </c>
      <c r="AF12" s="33">
        <v>1</v>
      </c>
      <c r="AG12" s="33">
        <v>1</v>
      </c>
      <c r="AH12" s="33">
        <v>1</v>
      </c>
      <c r="AI12" s="33" t="str">
        <f t="shared" si="3"/>
        <v>ok</v>
      </c>
      <c r="AJ12" s="5"/>
      <c r="AK12" t="str">
        <f>Tabela1[[#This Row],[Coluna1]]&amp;Tabela1[[#This Row],[PEDIDO]]</f>
        <v>P-188</v>
      </c>
      <c r="AL12"/>
      <c r="AM12"/>
      <c r="AN12"/>
      <c r="AO12" t="str">
        <f t="shared" si="4"/>
        <v>T-007177-1/1073-TC-006</v>
      </c>
      <c r="AP12" t="str">
        <f>Tabela1[[#This Row],[TAG]]&amp;Tabela1[[#This Row],[PEDIDO]]&amp;Tabela1[[#This Row],[PRODUTO]]</f>
        <v>1073-TC-006P-188BASES ROLETES</v>
      </c>
      <c r="AQ12" s="22" t="str">
        <f>Tabela1[[#This Row],[PRODUTO]]&amp;Tabela1[[#This Row],[TAG]]</f>
        <v>BASES ROLETES1073-TC-006</v>
      </c>
      <c r="AR12" s="24" t="str">
        <f>Tabela1[[#This Row],[PEDIDO]]&amp;Tabela1[[#This Row],[PRODUTO]]</f>
        <v>P-188BASES ROLETES</v>
      </c>
      <c r="AS12" s="37">
        <f>IF(AF12="",0,IF(ISTEXT(AF12),H12*VALUE(SUBSTITUTE(AF12,"%",""))/100,H12*AF12))-Tabela1[[#This Row],[PRONTO ACABADO2]]</f>
        <v>0</v>
      </c>
      <c r="AT12" s="37">
        <f>IF(AG12="",0,IF(ISTEXT(AG12),H12*VALUE(SUBSTITUTE(AG12,"%",""))/100,H12*AG12))-Tabela1[[#This Row],[PESO EXPEDIDO2]]</f>
        <v>0</v>
      </c>
      <c r="AU12" s="37">
        <f t="shared" si="5"/>
        <v>210.10000000000002</v>
      </c>
      <c r="AV12" s="37">
        <f t="shared" si="6"/>
        <v>210.10000000000002</v>
      </c>
      <c r="AW12" s="37"/>
    </row>
    <row r="13" spans="1:49" ht="15.75" customHeight="1" x14ac:dyDescent="0.25">
      <c r="A13" s="6" t="s">
        <v>2284</v>
      </c>
      <c r="B13" s="21"/>
      <c r="C13" s="7">
        <v>11</v>
      </c>
      <c r="D13" s="39" t="s">
        <v>2285</v>
      </c>
      <c r="E13" s="7">
        <v>3403</v>
      </c>
      <c r="F13" s="7">
        <v>8</v>
      </c>
      <c r="G13" s="23">
        <v>19.100000000000001</v>
      </c>
      <c r="H13" s="34">
        <f>Tabela1[[#This Row],[PESO UNI]]*Tabela1[[#This Row],[QTE]]</f>
        <v>210.10000000000002</v>
      </c>
      <c r="I13" s="7">
        <v>1</v>
      </c>
      <c r="J13" s="8" t="s">
        <v>2276</v>
      </c>
      <c r="K13" s="8" t="s">
        <v>33</v>
      </c>
      <c r="L13" s="9" t="s">
        <v>2069</v>
      </c>
      <c r="M13" s="10">
        <v>46100</v>
      </c>
      <c r="N13" s="8" t="s">
        <v>38</v>
      </c>
      <c r="O13" s="12"/>
      <c r="P13" s="13"/>
      <c r="Q13" s="14">
        <f>Tabela1[[#This Row],[QTDE/ Fabricação]]-Tabela1[[#This Row],[QTE]]</f>
        <v>-11</v>
      </c>
      <c r="R13" s="18">
        <f t="shared" si="0"/>
        <v>210.10000000000002</v>
      </c>
      <c r="S13" s="18">
        <f t="shared" si="7"/>
        <v>210.10000000000002</v>
      </c>
      <c r="T13" s="19">
        <f t="shared" si="1"/>
        <v>0</v>
      </c>
      <c r="U13" s="16">
        <f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>IFERROR(Tabela1[[#This Row],[QIANTIDADE EXPEDIDA]]*Tabela1[[#This Row],[PESO UNI]],"")</f>
        <v>210.10000000000002</v>
      </c>
      <c r="Y13" s="14">
        <f t="shared" si="2"/>
        <v>0</v>
      </c>
      <c r="Z13" s="20">
        <f>Tabela1[[#This Row],[PESO TOTAL]]-Tabela1[[#This Row],[Peso Expedido]]</f>
        <v>0</v>
      </c>
      <c r="AA13" s="17">
        <v>1</v>
      </c>
      <c r="AB13" s="33">
        <v>1</v>
      </c>
      <c r="AC13" s="33">
        <v>1</v>
      </c>
      <c r="AD13" s="33">
        <v>1</v>
      </c>
      <c r="AE13" s="33">
        <v>1</v>
      </c>
      <c r="AF13" s="33">
        <v>1</v>
      </c>
      <c r="AG13" s="33">
        <v>1</v>
      </c>
      <c r="AH13" s="33">
        <v>1</v>
      </c>
      <c r="AI13" s="33" t="str">
        <f t="shared" si="3"/>
        <v>ok</v>
      </c>
      <c r="AJ13" s="5"/>
      <c r="AK13" t="str">
        <f>Tabela1[[#This Row],[Coluna1]]&amp;Tabela1[[#This Row],[PEDIDO]]</f>
        <v>P-188</v>
      </c>
      <c r="AL13"/>
      <c r="AM13"/>
      <c r="AN13"/>
      <c r="AO13" t="str">
        <f t="shared" si="4"/>
        <v>T-007177-1/1073-TC-007</v>
      </c>
      <c r="AP13" t="str">
        <f>Tabela1[[#This Row],[TAG]]&amp;Tabela1[[#This Row],[PEDIDO]]&amp;Tabela1[[#This Row],[PRODUTO]]</f>
        <v>1073-TC-007P-188BASES ROLETES</v>
      </c>
      <c r="AQ13" s="22" t="str">
        <f>Tabela1[[#This Row],[PRODUTO]]&amp;Tabela1[[#This Row],[TAG]]</f>
        <v>BASES ROLETES1073-TC-007</v>
      </c>
      <c r="AR13" s="24" t="str">
        <f>Tabela1[[#This Row],[PEDIDO]]&amp;Tabela1[[#This Row],[PRODUTO]]</f>
        <v>P-188BASES ROLETES</v>
      </c>
      <c r="AS13" s="37">
        <f>IF(AF13="",0,IF(ISTEXT(AF13),H13*VALUE(SUBSTITUTE(AF13,"%",""))/100,H13*AF13))-Tabela1[[#This Row],[PRONTO ACABADO2]]</f>
        <v>0</v>
      </c>
      <c r="AT13" s="37">
        <f>IF(AG13="",0,IF(ISTEXT(AG13),H13*VALUE(SUBSTITUTE(AG13,"%",""))/100,H13*AG13))-Tabela1[[#This Row],[PESO EXPEDIDO2]]</f>
        <v>0</v>
      </c>
      <c r="AU13" s="37">
        <f t="shared" si="5"/>
        <v>210.10000000000002</v>
      </c>
      <c r="AV13" s="37">
        <f t="shared" si="6"/>
        <v>210.10000000000002</v>
      </c>
      <c r="AW13" s="37"/>
    </row>
    <row r="14" spans="1:49" ht="15.75" customHeight="1" x14ac:dyDescent="0.25">
      <c r="A14" s="6" t="s">
        <v>2286</v>
      </c>
      <c r="B14" s="21"/>
      <c r="C14" s="7">
        <v>2</v>
      </c>
      <c r="D14" s="39" t="s">
        <v>2287</v>
      </c>
      <c r="E14" s="7">
        <v>3404</v>
      </c>
      <c r="F14" s="7">
        <v>8</v>
      </c>
      <c r="G14" s="23">
        <v>23</v>
      </c>
      <c r="H14" s="34">
        <f>Tabela1[[#This Row],[PESO UNI]]*Tabela1[[#This Row],[QTE]]</f>
        <v>46</v>
      </c>
      <c r="I14" s="7">
        <v>0</v>
      </c>
      <c r="J14" s="8" t="s">
        <v>2274</v>
      </c>
      <c r="K14" s="8" t="s">
        <v>33</v>
      </c>
      <c r="L14" s="9" t="s">
        <v>2069</v>
      </c>
      <c r="M14" s="10">
        <v>46100</v>
      </c>
      <c r="N14" s="8" t="s">
        <v>38</v>
      </c>
      <c r="O14" s="12"/>
      <c r="P14" s="13"/>
      <c r="Q14" s="14">
        <f>Tabela1[[#This Row],[QTDE/ Fabricação]]-Tabela1[[#This Row],[QTE]]</f>
        <v>-2</v>
      </c>
      <c r="R14" s="18">
        <f t="shared" si="0"/>
        <v>46</v>
      </c>
      <c r="S14" s="18">
        <f t="shared" si="7"/>
        <v>46</v>
      </c>
      <c r="T14" s="19">
        <f t="shared" si="1"/>
        <v>0</v>
      </c>
      <c r="U14" s="16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>IFERROR(Tabela1[[#This Row],[QIANTIDADE EXPEDIDA]]*Tabela1[[#This Row],[PESO UNI]],"")</f>
        <v>46</v>
      </c>
      <c r="Y14" s="14">
        <f t="shared" si="2"/>
        <v>0</v>
      </c>
      <c r="Z14" s="20">
        <f>Tabela1[[#This Row],[PESO TOTAL]]-Tabela1[[#This Row],[Peso Expedido]]</f>
        <v>0</v>
      </c>
      <c r="AA14" s="17">
        <v>1</v>
      </c>
      <c r="AB14" s="33">
        <v>1</v>
      </c>
      <c r="AC14" s="33">
        <v>1</v>
      </c>
      <c r="AD14" s="33">
        <v>1</v>
      </c>
      <c r="AE14" s="33">
        <v>1</v>
      </c>
      <c r="AF14" s="33">
        <v>1</v>
      </c>
      <c r="AG14" s="33">
        <v>1</v>
      </c>
      <c r="AH14" s="33">
        <v>1</v>
      </c>
      <c r="AI14" s="33" t="str">
        <f t="shared" si="3"/>
        <v>ok</v>
      </c>
      <c r="AJ14" s="5"/>
      <c r="AK14" t="str">
        <f>Tabela1[[#This Row],[Coluna1]]&amp;Tabela1[[#This Row],[PEDIDO]]</f>
        <v>P-188</v>
      </c>
      <c r="AL14"/>
      <c r="AM14"/>
      <c r="AN14"/>
      <c r="AO14" t="str">
        <f t="shared" si="4"/>
        <v>T-007175-1/1073-TC-006</v>
      </c>
      <c r="AP14" t="str">
        <f>Tabela1[[#This Row],[TAG]]&amp;Tabela1[[#This Row],[PEDIDO]]&amp;Tabela1[[#This Row],[PRODUTO]]</f>
        <v>1073-TC-006P-188BASES ROLETES</v>
      </c>
      <c r="AQ14" s="22" t="str">
        <f>Tabela1[[#This Row],[PRODUTO]]&amp;Tabela1[[#This Row],[TAG]]</f>
        <v>BASES ROLETES1073-TC-006</v>
      </c>
      <c r="AR14" s="24" t="str">
        <f>Tabela1[[#This Row],[PEDIDO]]&amp;Tabela1[[#This Row],[PRODUTO]]</f>
        <v>P-188BASES ROLETES</v>
      </c>
      <c r="AS14" s="37">
        <f>IF(AF14="",0,IF(ISTEXT(AF14),H14*VALUE(SUBSTITUTE(AF14,"%",""))/100,H14*AF14))-Tabela1[[#This Row],[PRONTO ACABADO2]]</f>
        <v>0</v>
      </c>
      <c r="AT14" s="37">
        <f>IF(AG14="",0,IF(ISTEXT(AG14),H14*VALUE(SUBSTITUTE(AG14,"%",""))/100,H14*AG14))-Tabela1[[#This Row],[PESO EXPEDIDO2]]</f>
        <v>0</v>
      </c>
      <c r="AU14" s="37">
        <f t="shared" si="5"/>
        <v>46</v>
      </c>
      <c r="AV14" s="37">
        <f t="shared" si="6"/>
        <v>46</v>
      </c>
      <c r="AW14" s="37"/>
    </row>
    <row r="15" spans="1:49" ht="15.75" customHeight="1" x14ac:dyDescent="0.25">
      <c r="A15" s="6" t="s">
        <v>2286</v>
      </c>
      <c r="B15" s="21"/>
      <c r="C15" s="7">
        <v>2</v>
      </c>
      <c r="D15" s="39" t="s">
        <v>2287</v>
      </c>
      <c r="E15" s="7">
        <v>3405</v>
      </c>
      <c r="F15" s="7">
        <v>8</v>
      </c>
      <c r="G15" s="23">
        <v>23</v>
      </c>
      <c r="H15" s="34">
        <f>Tabela1[[#This Row],[PESO UNI]]*Tabela1[[#This Row],[QTE]]</f>
        <v>46</v>
      </c>
      <c r="I15" s="7">
        <v>0</v>
      </c>
      <c r="J15" s="8" t="s">
        <v>2276</v>
      </c>
      <c r="K15" s="8" t="s">
        <v>33</v>
      </c>
      <c r="L15" s="9" t="s">
        <v>2069</v>
      </c>
      <c r="M15" s="10">
        <v>46100</v>
      </c>
      <c r="N15" s="8" t="s">
        <v>38</v>
      </c>
      <c r="O15" s="12"/>
      <c r="P15" s="13"/>
      <c r="Q15" s="14">
        <f>Tabela1[[#This Row],[QTDE/ Fabricação]]-Tabela1[[#This Row],[QTE]]</f>
        <v>-2</v>
      </c>
      <c r="R15" s="18">
        <f t="shared" si="0"/>
        <v>46</v>
      </c>
      <c r="S15" s="18">
        <f t="shared" si="7"/>
        <v>46</v>
      </c>
      <c r="T15" s="19">
        <f t="shared" si="1"/>
        <v>0</v>
      </c>
      <c r="U15" s="16">
        <f>IFERROR(SUMIF('LISTA DE EMBARQUE'!B:B,MICRO!E:E,'LISTA DE EMBARQUE'!G:G),"")</f>
        <v>2</v>
      </c>
      <c r="V15" s="12">
        <f>IFERROR(VLOOKUP(Tabela1[[#This Row],[COD.MDE]],'LISTA DE EMBARQUE'!B:L,11,0),"")</f>
        <v>1</v>
      </c>
      <c r="W15" s="13">
        <f>IFERROR(VLOOKUP(Tabela1[[#This Row],[COD.MDE]],'LISTA DE EMBARQUE'!B:M,12,0),"")</f>
        <v>46146</v>
      </c>
      <c r="X15" s="14">
        <f>IFERROR(Tabela1[[#This Row],[QIANTIDADE EXPEDIDA]]*Tabela1[[#This Row],[PESO UNI]],"")</f>
        <v>46</v>
      </c>
      <c r="Y15" s="14">
        <f t="shared" si="2"/>
        <v>0</v>
      </c>
      <c r="Z15" s="20">
        <f>Tabela1[[#This Row],[PESO TOTAL]]-Tabela1[[#This Row],[Peso Expedido]]</f>
        <v>0</v>
      </c>
      <c r="AA15" s="17">
        <v>1</v>
      </c>
      <c r="AB15" s="33">
        <v>1</v>
      </c>
      <c r="AC15" s="33">
        <v>1</v>
      </c>
      <c r="AD15" s="33">
        <v>1</v>
      </c>
      <c r="AE15" s="33">
        <v>1</v>
      </c>
      <c r="AF15" s="33">
        <v>1</v>
      </c>
      <c r="AG15" s="33">
        <v>1</v>
      </c>
      <c r="AH15" s="33">
        <v>1</v>
      </c>
      <c r="AI15" s="33" t="str">
        <f t="shared" si="3"/>
        <v>ok</v>
      </c>
      <c r="AJ15" s="5"/>
      <c r="AK15" t="str">
        <f>Tabela1[[#This Row],[Coluna1]]&amp;Tabela1[[#This Row],[PEDIDO]]</f>
        <v>P-188</v>
      </c>
      <c r="AL15"/>
      <c r="AM15"/>
      <c r="AN15"/>
      <c r="AO15" t="str">
        <f t="shared" si="4"/>
        <v>T-007175-1/1073-TC-007</v>
      </c>
      <c r="AP15" t="str">
        <f>Tabela1[[#This Row],[TAG]]&amp;Tabela1[[#This Row],[PEDIDO]]&amp;Tabela1[[#This Row],[PRODUTO]]</f>
        <v>1073-TC-007P-188BASES ROLETES</v>
      </c>
      <c r="AQ15" s="22" t="str">
        <f>Tabela1[[#This Row],[PRODUTO]]&amp;Tabela1[[#This Row],[TAG]]</f>
        <v>BASES ROLETES1073-TC-007</v>
      </c>
      <c r="AR15" s="24" t="str">
        <f>Tabela1[[#This Row],[PEDIDO]]&amp;Tabela1[[#This Row],[PRODUTO]]</f>
        <v>P-188BASES ROLETES</v>
      </c>
      <c r="AS15" s="37">
        <f>IF(AF15="",0,IF(ISTEXT(AF15),H15*VALUE(SUBSTITUTE(AF15,"%",""))/100,H15*AF15))-Tabela1[[#This Row],[PRONTO ACABADO2]]</f>
        <v>0</v>
      </c>
      <c r="AT15" s="37">
        <f>IF(AG15="",0,IF(ISTEXT(AG15),H15*VALUE(SUBSTITUTE(AG15,"%",""))/100,H15*AG15))-Tabela1[[#This Row],[PESO EXPEDIDO2]]</f>
        <v>0</v>
      </c>
      <c r="AU15" s="37">
        <f t="shared" si="5"/>
        <v>46</v>
      </c>
      <c r="AV15" s="37">
        <f t="shared" si="6"/>
        <v>46</v>
      </c>
      <c r="AW15" s="37"/>
    </row>
    <row r="16" spans="1:49" ht="15.75" customHeight="1" x14ac:dyDescent="0.25">
      <c r="A16" s="6" t="s">
        <v>139</v>
      </c>
      <c r="B16" s="21"/>
      <c r="C16" s="7">
        <v>96</v>
      </c>
      <c r="D16" s="39" t="s">
        <v>188</v>
      </c>
      <c r="E16" s="7">
        <v>3406</v>
      </c>
      <c r="F16" s="7">
        <v>7</v>
      </c>
      <c r="G16" s="23">
        <v>7</v>
      </c>
      <c r="H16" s="34">
        <f>Tabela1[[#This Row],[PESO UNI]]*Tabela1[[#This Row],[QTE]]</f>
        <v>672</v>
      </c>
      <c r="I16" s="7">
        <v>0</v>
      </c>
      <c r="J16" s="8" t="s">
        <v>2274</v>
      </c>
      <c r="K16" s="8" t="s">
        <v>23</v>
      </c>
      <c r="L16" s="9" t="s">
        <v>2069</v>
      </c>
      <c r="M16" s="10">
        <v>46100</v>
      </c>
      <c r="N16" s="8" t="s">
        <v>38</v>
      </c>
      <c r="O16" s="12"/>
      <c r="P16" s="13"/>
      <c r="Q16" s="14">
        <f>Tabela1[[#This Row],[QTDE/ Fabricação]]-Tabela1[[#This Row],[QTE]]</f>
        <v>-96</v>
      </c>
      <c r="R16" s="18">
        <f t="shared" si="0"/>
        <v>672</v>
      </c>
      <c r="S16" s="18">
        <f t="shared" si="7"/>
        <v>672</v>
      </c>
      <c r="T16" s="19">
        <f t="shared" si="1"/>
        <v>0</v>
      </c>
      <c r="U16" s="16">
        <f>IFERROR(SUMIF('LISTA DE EMBARQUE'!B:B,MICRO!E:E,'LISTA DE EMBARQUE'!G:G),"")</f>
        <v>99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>IFERROR(Tabela1[[#This Row],[QIANTIDADE EXPEDIDA]]*Tabela1[[#This Row],[PESO UNI]],"")</f>
        <v>693</v>
      </c>
      <c r="Y16" s="14">
        <f t="shared" si="2"/>
        <v>3</v>
      </c>
      <c r="Z16" s="20">
        <f>Tabela1[[#This Row],[PESO TOTAL]]-Tabela1[[#This Row],[Peso Expedido]]</f>
        <v>-21</v>
      </c>
      <c r="AA16" s="17">
        <v>1</v>
      </c>
      <c r="AB16" s="33">
        <v>1</v>
      </c>
      <c r="AC16" s="33">
        <v>1</v>
      </c>
      <c r="AD16" s="33">
        <v>1</v>
      </c>
      <c r="AE16" s="33">
        <v>1</v>
      </c>
      <c r="AF16" s="33">
        <v>1</v>
      </c>
      <c r="AG16" s="33">
        <v>1</v>
      </c>
      <c r="AH16" s="33">
        <v>1</v>
      </c>
      <c r="AI16" s="33" t="str">
        <f t="shared" si="3"/>
        <v>ok</v>
      </c>
      <c r="AJ16" s="5"/>
      <c r="AK16" t="str">
        <f>Tabela1[[#This Row],[Coluna1]]&amp;Tabela1[[#This Row],[PEDIDO]]</f>
        <v>P-188</v>
      </c>
      <c r="AL16"/>
      <c r="AM16"/>
      <c r="AN16"/>
      <c r="AO16" t="str">
        <f t="shared" si="4"/>
        <v>R-1-4-9218/1073-TC-006</v>
      </c>
      <c r="AP16" t="str">
        <f>Tabela1[[#This Row],[TAG]]&amp;Tabela1[[#This Row],[PEDIDO]]&amp;Tabela1[[#This Row],[PRODUTO]]</f>
        <v>1073-TC-006P-188ROLOS</v>
      </c>
      <c r="AQ16" s="22" t="str">
        <f>Tabela1[[#This Row],[PRODUTO]]&amp;Tabela1[[#This Row],[TAG]]</f>
        <v>ROLOS1073-TC-006</v>
      </c>
      <c r="AR16" s="24" t="str">
        <f>Tabela1[[#This Row],[PEDIDO]]&amp;Tabela1[[#This Row],[PRODUTO]]</f>
        <v>P-188ROLOS</v>
      </c>
      <c r="AS16" s="37">
        <f>IF(AF16="",0,IF(ISTEXT(AF16),H16*VALUE(SUBSTITUTE(AF16,"%",""))/100,H16*AF16))-Tabela1[[#This Row],[PRONTO ACABADO2]]</f>
        <v>0</v>
      </c>
      <c r="AT16" s="37">
        <f>IF(AG16="",0,IF(ISTEXT(AG16),H16*VALUE(SUBSTITUTE(AG16,"%",""))/100,H16*AG16))-Tabela1[[#This Row],[PESO EXPEDIDO2]]</f>
        <v>0</v>
      </c>
      <c r="AU16" s="37">
        <f t="shared" si="5"/>
        <v>672</v>
      </c>
      <c r="AV16" s="37">
        <f t="shared" si="6"/>
        <v>672</v>
      </c>
      <c r="AW16" s="37"/>
    </row>
    <row r="17" spans="1:49" ht="15.75" customHeight="1" x14ac:dyDescent="0.25">
      <c r="A17" s="6" t="s">
        <v>139</v>
      </c>
      <c r="B17" s="21"/>
      <c r="C17" s="7">
        <v>96</v>
      </c>
      <c r="D17" s="39" t="s">
        <v>188</v>
      </c>
      <c r="E17" s="7">
        <v>3407</v>
      </c>
      <c r="F17" s="7">
        <v>7</v>
      </c>
      <c r="G17" s="23">
        <v>7</v>
      </c>
      <c r="H17" s="34">
        <f>Tabela1[[#This Row],[PESO UNI]]*Tabela1[[#This Row],[QTE]]</f>
        <v>672</v>
      </c>
      <c r="I17" s="7">
        <v>0</v>
      </c>
      <c r="J17" s="8" t="s">
        <v>2276</v>
      </c>
      <c r="K17" s="8" t="s">
        <v>23</v>
      </c>
      <c r="L17" s="9" t="s">
        <v>2069</v>
      </c>
      <c r="M17" s="10">
        <v>46100</v>
      </c>
      <c r="N17" s="8" t="s">
        <v>38</v>
      </c>
      <c r="O17" s="12"/>
      <c r="P17" s="13"/>
      <c r="Q17" s="14">
        <f>Tabela1[[#This Row],[QTDE/ Fabricação]]-Tabela1[[#This Row],[QTE]]</f>
        <v>-96</v>
      </c>
      <c r="R17" s="18">
        <f t="shared" si="0"/>
        <v>672</v>
      </c>
      <c r="S17" s="18">
        <f t="shared" si="7"/>
        <v>672</v>
      </c>
      <c r="T17" s="19">
        <f t="shared" si="1"/>
        <v>0</v>
      </c>
      <c r="U17" s="16">
        <f>IFERROR(SUMIF('LISTA DE EMBARQUE'!B:B,MICRO!E:E,'LISTA DE EMBARQUE'!G:G),"")</f>
        <v>99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>IFERROR(Tabela1[[#This Row],[QIANTIDADE EXPEDIDA]]*Tabela1[[#This Row],[PESO UNI]],"")</f>
        <v>693</v>
      </c>
      <c r="Y17" s="14">
        <f t="shared" si="2"/>
        <v>3</v>
      </c>
      <c r="Z17" s="20">
        <f>Tabela1[[#This Row],[PESO TOTAL]]-Tabela1[[#This Row],[Peso Expedido]]</f>
        <v>-21</v>
      </c>
      <c r="AA17" s="17">
        <v>1</v>
      </c>
      <c r="AB17" s="33">
        <v>1</v>
      </c>
      <c r="AC17" s="33">
        <v>1</v>
      </c>
      <c r="AD17" s="33">
        <v>1</v>
      </c>
      <c r="AE17" s="33">
        <v>1</v>
      </c>
      <c r="AF17" s="33">
        <v>1</v>
      </c>
      <c r="AG17" s="33">
        <v>1</v>
      </c>
      <c r="AH17" s="33">
        <v>1</v>
      </c>
      <c r="AI17" s="33" t="str">
        <f t="shared" si="3"/>
        <v>ok</v>
      </c>
      <c r="AJ17" s="5"/>
      <c r="AK17" t="str">
        <f>Tabela1[[#This Row],[Coluna1]]&amp;Tabela1[[#This Row],[PEDIDO]]</f>
        <v>P-188</v>
      </c>
      <c r="AL17"/>
      <c r="AM17"/>
      <c r="AN17"/>
      <c r="AO17" t="str">
        <f t="shared" si="4"/>
        <v>R-1-4-9218/1073-TC-007</v>
      </c>
      <c r="AP17" t="str">
        <f>Tabela1[[#This Row],[TAG]]&amp;Tabela1[[#This Row],[PEDIDO]]&amp;Tabela1[[#This Row],[PRODUTO]]</f>
        <v>1073-TC-007P-188ROLOS</v>
      </c>
      <c r="AQ17" s="22" t="str">
        <f>Tabela1[[#This Row],[PRODUTO]]&amp;Tabela1[[#This Row],[TAG]]</f>
        <v>ROLOS1073-TC-007</v>
      </c>
      <c r="AR17" s="24" t="str">
        <f>Tabela1[[#This Row],[PEDIDO]]&amp;Tabela1[[#This Row],[PRODUTO]]</f>
        <v>P-188ROLOS</v>
      </c>
      <c r="AS17" s="37">
        <f>IF(AF17="",0,IF(ISTEXT(AF17),H17*VALUE(SUBSTITUTE(AF17,"%",""))/100,H17*AF17))-Tabela1[[#This Row],[PRONTO ACABADO2]]</f>
        <v>0</v>
      </c>
      <c r="AT17" s="37">
        <f>IF(AG17="",0,IF(ISTEXT(AG17),H17*VALUE(SUBSTITUTE(AG17,"%",""))/100,H17*AG17))-Tabela1[[#This Row],[PESO EXPEDIDO2]]</f>
        <v>0</v>
      </c>
      <c r="AU17" s="37">
        <f t="shared" si="5"/>
        <v>672</v>
      </c>
      <c r="AV17" s="37">
        <f t="shared" si="6"/>
        <v>672</v>
      </c>
      <c r="AW17" s="37"/>
    </row>
    <row r="18" spans="1:49" ht="15.75" customHeight="1" x14ac:dyDescent="0.25">
      <c r="A18" s="6" t="s">
        <v>140</v>
      </c>
      <c r="B18" s="21"/>
      <c r="C18" s="7">
        <v>39</v>
      </c>
      <c r="D18" s="39" t="s">
        <v>1190</v>
      </c>
      <c r="E18" s="7">
        <v>3408</v>
      </c>
      <c r="F18" s="7">
        <v>7</v>
      </c>
      <c r="G18" s="23">
        <v>8.5</v>
      </c>
      <c r="H18" s="34">
        <f>Tabela1[[#This Row],[PESO UNI]]*Tabela1[[#This Row],[QTE]]</f>
        <v>331.5</v>
      </c>
      <c r="I18" s="7">
        <v>0</v>
      </c>
      <c r="J18" s="8" t="s">
        <v>2274</v>
      </c>
      <c r="K18" s="8" t="s">
        <v>23</v>
      </c>
      <c r="L18" s="9" t="s">
        <v>2069</v>
      </c>
      <c r="M18" s="10">
        <v>46100</v>
      </c>
      <c r="N18" s="8" t="s">
        <v>38</v>
      </c>
      <c r="O18" s="12"/>
      <c r="P18" s="13"/>
      <c r="Q18" s="14">
        <f>Tabela1[[#This Row],[QTDE/ Fabricação]]-Tabela1[[#This Row],[QTE]]</f>
        <v>-39</v>
      </c>
      <c r="R18" s="18">
        <f t="shared" si="0"/>
        <v>331.5</v>
      </c>
      <c r="S18" s="18">
        <f t="shared" si="7"/>
        <v>331.5</v>
      </c>
      <c r="T18" s="19">
        <f t="shared" si="1"/>
        <v>0</v>
      </c>
      <c r="U18" s="16">
        <f>IFERROR(SUMIF('LISTA DE EMBARQUE'!B:B,MICRO!E:E,'LISTA DE EMBARQUE'!G:G),"")</f>
        <v>39</v>
      </c>
      <c r="V18" s="12">
        <f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>IFERROR(Tabela1[[#This Row],[QIANTIDADE EXPEDIDA]]*Tabela1[[#This Row],[PESO UNI]],"")</f>
        <v>331.5</v>
      </c>
      <c r="Y18" s="14">
        <f t="shared" si="2"/>
        <v>0</v>
      </c>
      <c r="Z18" s="20">
        <f>Tabela1[[#This Row],[PESO TOTAL]]-Tabela1[[#This Row],[Peso Expedido]]</f>
        <v>0</v>
      </c>
      <c r="AA18" s="17">
        <v>1</v>
      </c>
      <c r="AB18" s="33">
        <v>1</v>
      </c>
      <c r="AC18" s="33">
        <v>1</v>
      </c>
      <c r="AD18" s="33">
        <v>1</v>
      </c>
      <c r="AE18" s="33">
        <v>1</v>
      </c>
      <c r="AF18" s="33">
        <v>1</v>
      </c>
      <c r="AG18" s="33">
        <v>1</v>
      </c>
      <c r="AH18" s="33">
        <v>1</v>
      </c>
      <c r="AI18" s="33" t="str">
        <f t="shared" si="3"/>
        <v>ok</v>
      </c>
      <c r="AJ18" s="5"/>
      <c r="AK18" t="str">
        <f>Tabela1[[#This Row],[Coluna1]]&amp;Tabela1[[#This Row],[PEDIDO]]</f>
        <v>P-188</v>
      </c>
      <c r="AL18"/>
      <c r="AM18"/>
      <c r="AN18"/>
      <c r="AO18" t="str">
        <f t="shared" si="4"/>
        <v>R-1-4-9211/1073-TC-006</v>
      </c>
      <c r="AP18" t="str">
        <f>Tabela1[[#This Row],[TAG]]&amp;Tabela1[[#This Row],[PEDIDO]]&amp;Tabela1[[#This Row],[PRODUTO]]</f>
        <v>1073-TC-006P-188ROLOS</v>
      </c>
      <c r="AQ18" s="22" t="str">
        <f>Tabela1[[#This Row],[PRODUTO]]&amp;Tabela1[[#This Row],[TAG]]</f>
        <v>ROLOS1073-TC-006</v>
      </c>
      <c r="AR18" s="24" t="str">
        <f>Tabela1[[#This Row],[PEDIDO]]&amp;Tabela1[[#This Row],[PRODUTO]]</f>
        <v>P-188ROLOS</v>
      </c>
      <c r="AS18" s="37">
        <f>IF(AF18="",0,IF(ISTEXT(AF18),H18*VALUE(SUBSTITUTE(AF18,"%",""))/100,H18*AF18))-Tabela1[[#This Row],[PRONTO ACABADO2]]</f>
        <v>0</v>
      </c>
      <c r="AT18" s="37">
        <f>IF(AG18="",0,IF(ISTEXT(AG18),H18*VALUE(SUBSTITUTE(AG18,"%",""))/100,H18*AG18))-Tabela1[[#This Row],[PESO EXPEDIDO2]]</f>
        <v>0</v>
      </c>
      <c r="AU18" s="37">
        <f t="shared" si="5"/>
        <v>331.5</v>
      </c>
      <c r="AV18" s="37">
        <f t="shared" si="6"/>
        <v>331.5</v>
      </c>
      <c r="AW18" s="37"/>
    </row>
    <row r="19" spans="1:49" ht="15.75" customHeight="1" x14ac:dyDescent="0.25">
      <c r="A19" s="6" t="s">
        <v>140</v>
      </c>
      <c r="B19" s="21"/>
      <c r="C19" s="7">
        <v>39</v>
      </c>
      <c r="D19" s="39" t="s">
        <v>1190</v>
      </c>
      <c r="E19" s="7">
        <v>3409</v>
      </c>
      <c r="F19" s="7">
        <v>7</v>
      </c>
      <c r="G19" s="23">
        <v>8.5</v>
      </c>
      <c r="H19" s="34">
        <f>Tabela1[[#This Row],[PESO UNI]]*Tabela1[[#This Row],[QTE]]</f>
        <v>331.5</v>
      </c>
      <c r="I19" s="7">
        <v>0</v>
      </c>
      <c r="J19" s="8" t="s">
        <v>2276</v>
      </c>
      <c r="K19" s="8" t="s">
        <v>23</v>
      </c>
      <c r="L19" s="9" t="s">
        <v>2069</v>
      </c>
      <c r="M19" s="10">
        <v>46100</v>
      </c>
      <c r="N19" s="8" t="s">
        <v>38</v>
      </c>
      <c r="O19" s="12"/>
      <c r="P19" s="13"/>
      <c r="Q19" s="14">
        <f>Tabela1[[#This Row],[QTDE/ Fabricação]]-Tabela1[[#This Row],[QTE]]</f>
        <v>-39</v>
      </c>
      <c r="R19" s="18">
        <f t="shared" si="0"/>
        <v>331.5</v>
      </c>
      <c r="S19" s="18">
        <f t="shared" si="7"/>
        <v>331.5</v>
      </c>
      <c r="T19" s="19">
        <f t="shared" si="1"/>
        <v>0</v>
      </c>
      <c r="U19" s="16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>IFERROR(Tabela1[[#This Row],[QIANTIDADE EXPEDIDA]]*Tabela1[[#This Row],[PESO UNI]],"")</f>
        <v>331.5</v>
      </c>
      <c r="Y19" s="14">
        <f t="shared" si="2"/>
        <v>0</v>
      </c>
      <c r="Z19" s="20">
        <f>Tabela1[[#This Row],[PESO TOTAL]]-Tabela1[[#This Row],[Peso Expedido]]</f>
        <v>0</v>
      </c>
      <c r="AA19" s="17">
        <v>1</v>
      </c>
      <c r="AB19" s="33">
        <v>1</v>
      </c>
      <c r="AC19" s="33">
        <v>1</v>
      </c>
      <c r="AD19" s="33">
        <v>1</v>
      </c>
      <c r="AE19" s="33">
        <v>1</v>
      </c>
      <c r="AF19" s="33">
        <v>1</v>
      </c>
      <c r="AG19" s="33">
        <v>1</v>
      </c>
      <c r="AH19" s="33">
        <v>1</v>
      </c>
      <c r="AI19" s="33" t="str">
        <f t="shared" si="3"/>
        <v>ok</v>
      </c>
      <c r="AJ19" s="5"/>
      <c r="AK19" t="str">
        <f>Tabela1[[#This Row],[Coluna1]]&amp;Tabela1[[#This Row],[PEDIDO]]</f>
        <v>P-188</v>
      </c>
      <c r="AL19"/>
      <c r="AM19"/>
      <c r="AN19"/>
      <c r="AO19" t="str">
        <f t="shared" si="4"/>
        <v>R-1-4-9211/1073-TC-007</v>
      </c>
      <c r="AP19" t="str">
        <f>Tabela1[[#This Row],[TAG]]&amp;Tabela1[[#This Row],[PEDIDO]]&amp;Tabela1[[#This Row],[PRODUTO]]</f>
        <v>1073-TC-007P-188ROLOS</v>
      </c>
      <c r="AQ19" s="22" t="str">
        <f>Tabela1[[#This Row],[PRODUTO]]&amp;Tabela1[[#This Row],[TAG]]</f>
        <v>ROLOS1073-TC-007</v>
      </c>
      <c r="AR19" s="24" t="str">
        <f>Tabela1[[#This Row],[PEDIDO]]&amp;Tabela1[[#This Row],[PRODUTO]]</f>
        <v>P-188ROLOS</v>
      </c>
      <c r="AS19" s="37">
        <f>IF(AF19="",0,IF(ISTEXT(AF19),H19*VALUE(SUBSTITUTE(AF19,"%",""))/100,H19*AF19))-Tabela1[[#This Row],[PRONTO ACABADO2]]</f>
        <v>0</v>
      </c>
      <c r="AT19" s="37">
        <f>IF(AG19="",0,IF(ISTEXT(AG19),H19*VALUE(SUBSTITUTE(AG19,"%",""))/100,H19*AG19))-Tabela1[[#This Row],[PESO EXPEDIDO2]]</f>
        <v>0</v>
      </c>
      <c r="AU19" s="37">
        <f t="shared" si="5"/>
        <v>331.5</v>
      </c>
      <c r="AV19" s="37">
        <f t="shared" si="6"/>
        <v>331.5</v>
      </c>
      <c r="AW19" s="37"/>
    </row>
    <row r="20" spans="1:49" ht="15.75" customHeight="1" x14ac:dyDescent="0.25">
      <c r="A20" s="6" t="s">
        <v>101</v>
      </c>
      <c r="B20" s="21"/>
      <c r="C20" s="7">
        <v>2</v>
      </c>
      <c r="D20" s="39" t="s">
        <v>146</v>
      </c>
      <c r="E20" s="7">
        <v>3410</v>
      </c>
      <c r="F20" s="7">
        <v>7</v>
      </c>
      <c r="G20" s="23">
        <v>1</v>
      </c>
      <c r="H20" s="34">
        <f>Tabela1[[#This Row],[PESO UNI]]*Tabela1[[#This Row],[QTE]]</f>
        <v>2</v>
      </c>
      <c r="I20" s="7">
        <v>0</v>
      </c>
      <c r="J20" s="8" t="s">
        <v>2274</v>
      </c>
      <c r="K20" s="8" t="s">
        <v>23</v>
      </c>
      <c r="L20" s="9" t="s">
        <v>2069</v>
      </c>
      <c r="M20" s="10">
        <v>46100</v>
      </c>
      <c r="N20" s="8" t="s">
        <v>38</v>
      </c>
      <c r="O20" s="12"/>
      <c r="P20" s="13"/>
      <c r="Q20" s="14">
        <f>Tabela1[[#This Row],[QTDE/ Fabricação]]-Tabela1[[#This Row],[QTE]]</f>
        <v>-2</v>
      </c>
      <c r="R20" s="18">
        <f t="shared" si="0"/>
        <v>2</v>
      </c>
      <c r="S20" s="18">
        <f t="shared" si="7"/>
        <v>2</v>
      </c>
      <c r="T20" s="19">
        <f t="shared" si="1"/>
        <v>0</v>
      </c>
      <c r="U20" s="16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>IFERROR(VLOOKUP(Tabela1[[#This Row],[COD.MDE]],'LISTA DE EMBARQUE'!B:M,12,0),"")</f>
        <v>46146</v>
      </c>
      <c r="X20" s="14">
        <f>IFERROR(Tabela1[[#This Row],[QIANTIDADE EXPEDIDA]]*Tabela1[[#This Row],[PESO UNI]],"")</f>
        <v>2</v>
      </c>
      <c r="Y20" s="14">
        <f t="shared" si="2"/>
        <v>0</v>
      </c>
      <c r="Z20" s="20">
        <f>Tabela1[[#This Row],[PESO TOTAL]]-Tabela1[[#This Row],[Peso Expedido]]</f>
        <v>0</v>
      </c>
      <c r="AA20" s="17">
        <v>1</v>
      </c>
      <c r="AB20" s="33">
        <v>1</v>
      </c>
      <c r="AC20" s="33">
        <v>1</v>
      </c>
      <c r="AD20" s="33">
        <v>1</v>
      </c>
      <c r="AE20" s="33">
        <v>1</v>
      </c>
      <c r="AF20" s="33">
        <v>1</v>
      </c>
      <c r="AG20" s="33">
        <v>1</v>
      </c>
      <c r="AH20" s="33">
        <v>1</v>
      </c>
      <c r="AI20" s="33" t="str">
        <f t="shared" si="3"/>
        <v>ok</v>
      </c>
      <c r="AJ20" s="5"/>
      <c r="AK20" t="str">
        <f>Tabela1[[#This Row],[Coluna1]]&amp;Tabela1[[#This Row],[PEDIDO]]</f>
        <v>P-188</v>
      </c>
      <c r="AL20"/>
      <c r="AM20"/>
      <c r="AN20"/>
      <c r="AO20" t="str">
        <f t="shared" si="4"/>
        <v>R-9-4-10210/1073-TC-006</v>
      </c>
      <c r="AP20" t="str">
        <f>Tabela1[[#This Row],[TAG]]&amp;Tabela1[[#This Row],[PEDIDO]]&amp;Tabela1[[#This Row],[PRODUTO]]</f>
        <v>1073-TC-006P-188ROLOS</v>
      </c>
      <c r="AQ20" s="22" t="str">
        <f>Tabela1[[#This Row],[PRODUTO]]&amp;Tabela1[[#This Row],[TAG]]</f>
        <v>ROLOS1073-TC-006</v>
      </c>
      <c r="AR20" s="24" t="str">
        <f>Tabela1[[#This Row],[PEDIDO]]&amp;Tabela1[[#This Row],[PRODUTO]]</f>
        <v>P-188ROLOS</v>
      </c>
      <c r="AS20" s="37">
        <f>IF(AF20="",0,IF(ISTEXT(AF20),H20*VALUE(SUBSTITUTE(AF20,"%",""))/100,H20*AF20))-Tabela1[[#This Row],[PRONTO ACABADO2]]</f>
        <v>0</v>
      </c>
      <c r="AT20" s="37">
        <f>IF(AG20="",0,IF(ISTEXT(AG20),H20*VALUE(SUBSTITUTE(AG20,"%",""))/100,H20*AG20))-Tabela1[[#This Row],[PESO EXPEDIDO2]]</f>
        <v>0</v>
      </c>
      <c r="AU20" s="37">
        <f t="shared" si="5"/>
        <v>2</v>
      </c>
      <c r="AV20" s="37">
        <f t="shared" si="6"/>
        <v>2</v>
      </c>
      <c r="AW20" s="37"/>
    </row>
    <row r="21" spans="1:49" ht="15.75" customHeight="1" x14ac:dyDescent="0.25">
      <c r="A21" s="6" t="s">
        <v>101</v>
      </c>
      <c r="B21" s="21"/>
      <c r="C21" s="7">
        <v>2</v>
      </c>
      <c r="D21" s="39" t="s">
        <v>146</v>
      </c>
      <c r="E21" s="7">
        <v>3411</v>
      </c>
      <c r="F21" s="7">
        <v>7</v>
      </c>
      <c r="G21" s="23">
        <v>1</v>
      </c>
      <c r="H21" s="34">
        <f>Tabela1[[#This Row],[PESO UNI]]*Tabela1[[#This Row],[QTE]]</f>
        <v>2</v>
      </c>
      <c r="I21" s="7">
        <v>0</v>
      </c>
      <c r="J21" s="8" t="s">
        <v>2276</v>
      </c>
      <c r="K21" s="8" t="s">
        <v>23</v>
      </c>
      <c r="L21" s="9" t="s">
        <v>2069</v>
      </c>
      <c r="M21" s="10">
        <v>46100</v>
      </c>
      <c r="N21" s="8" t="s">
        <v>38</v>
      </c>
      <c r="O21" s="12"/>
      <c r="P21" s="13"/>
      <c r="Q21" s="14">
        <f>Tabela1[[#This Row],[QTDE/ Fabricação]]-Tabela1[[#This Row],[QTE]]</f>
        <v>-2</v>
      </c>
      <c r="R21" s="18">
        <f t="shared" si="0"/>
        <v>2</v>
      </c>
      <c r="S21" s="18">
        <f t="shared" si="7"/>
        <v>2</v>
      </c>
      <c r="T21" s="19">
        <f t="shared" si="1"/>
        <v>0</v>
      </c>
      <c r="U21" s="16">
        <f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>IFERROR(Tabela1[[#This Row],[QIANTIDADE EXPEDIDA]]*Tabela1[[#This Row],[PESO UNI]],"")</f>
        <v>2</v>
      </c>
      <c r="Y21" s="14">
        <f t="shared" si="2"/>
        <v>0</v>
      </c>
      <c r="Z21" s="20">
        <f>Tabela1[[#This Row],[PESO TOTAL]]-Tabela1[[#This Row],[Peso Expedido]]</f>
        <v>0</v>
      </c>
      <c r="AA21" s="17">
        <v>1</v>
      </c>
      <c r="AB21" s="33">
        <v>1</v>
      </c>
      <c r="AC21" s="33">
        <v>1</v>
      </c>
      <c r="AD21" s="33">
        <v>1</v>
      </c>
      <c r="AE21" s="33">
        <v>1</v>
      </c>
      <c r="AF21" s="33">
        <v>1</v>
      </c>
      <c r="AG21" s="33">
        <v>1</v>
      </c>
      <c r="AH21" s="33">
        <v>1</v>
      </c>
      <c r="AI21" s="33" t="str">
        <f t="shared" si="3"/>
        <v>ok</v>
      </c>
      <c r="AJ21" s="5"/>
      <c r="AK21" t="str">
        <f>Tabela1[[#This Row],[Coluna1]]&amp;Tabela1[[#This Row],[PEDIDO]]</f>
        <v>P-188</v>
      </c>
      <c r="AL21"/>
      <c r="AM21"/>
      <c r="AN21"/>
      <c r="AO21" t="str">
        <f t="shared" si="4"/>
        <v>R-9-4-10210/1073-TC-007</v>
      </c>
      <c r="AP21" t="str">
        <f>Tabela1[[#This Row],[TAG]]&amp;Tabela1[[#This Row],[PEDIDO]]&amp;Tabela1[[#This Row],[PRODUTO]]</f>
        <v>1073-TC-007P-188ROLOS</v>
      </c>
      <c r="AQ21" s="22" t="str">
        <f>Tabela1[[#This Row],[PRODUTO]]&amp;Tabela1[[#This Row],[TAG]]</f>
        <v>ROLOS1073-TC-007</v>
      </c>
      <c r="AR21" s="24" t="str">
        <f>Tabela1[[#This Row],[PEDIDO]]&amp;Tabela1[[#This Row],[PRODUTO]]</f>
        <v>P-188ROLOS</v>
      </c>
      <c r="AS21" s="37">
        <f>IF(AF21="",0,IF(ISTEXT(AF21),H21*VALUE(SUBSTITUTE(AF21,"%",""))/100,H21*AF21))-Tabela1[[#This Row],[PRONTO ACABADO2]]</f>
        <v>0</v>
      </c>
      <c r="AT21" s="37">
        <f>IF(AG21="",0,IF(ISTEXT(AG21),H21*VALUE(SUBSTITUTE(AG21,"%",""))/100,H21*AG21))-Tabela1[[#This Row],[PESO EXPEDIDO2]]</f>
        <v>0</v>
      </c>
      <c r="AU21" s="37">
        <f t="shared" si="5"/>
        <v>2</v>
      </c>
      <c r="AV21" s="37">
        <f t="shared" si="6"/>
        <v>2</v>
      </c>
      <c r="AW21" s="37"/>
    </row>
    <row r="22" spans="1:49" ht="15.75" customHeight="1" x14ac:dyDescent="0.25">
      <c r="A22" s="6" t="s">
        <v>103</v>
      </c>
      <c r="B22" s="21"/>
      <c r="C22" s="7">
        <v>4</v>
      </c>
      <c r="D22" s="39" t="s">
        <v>124</v>
      </c>
      <c r="E22" s="7">
        <v>3412</v>
      </c>
      <c r="F22" s="7">
        <v>7</v>
      </c>
      <c r="G22" s="23">
        <v>2.5</v>
      </c>
      <c r="H22" s="34">
        <f>Tabela1[[#This Row],[PESO UNI]]*Tabela1[[#This Row],[QTE]]</f>
        <v>10</v>
      </c>
      <c r="I22" s="7">
        <v>0</v>
      </c>
      <c r="J22" s="8" t="s">
        <v>2274</v>
      </c>
      <c r="K22" s="8" t="s">
        <v>23</v>
      </c>
      <c r="L22" s="9" t="s">
        <v>2069</v>
      </c>
      <c r="M22" s="10">
        <v>46100</v>
      </c>
      <c r="N22" s="8" t="s">
        <v>38</v>
      </c>
      <c r="O22" s="12"/>
      <c r="P22" s="13"/>
      <c r="Q22" s="14">
        <f>Tabela1[[#This Row],[QTDE/ Fabricação]]-Tabela1[[#This Row],[QTE]]</f>
        <v>-4</v>
      </c>
      <c r="R22" s="18">
        <f t="shared" si="0"/>
        <v>10</v>
      </c>
      <c r="S22" s="18">
        <f t="shared" si="7"/>
        <v>10</v>
      </c>
      <c r="T22" s="19">
        <f t="shared" si="1"/>
        <v>0</v>
      </c>
      <c r="U22" s="16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>IFERROR(Tabela1[[#This Row],[QIANTIDADE EXPEDIDA]]*Tabela1[[#This Row],[PESO UNI]],"")</f>
        <v>10</v>
      </c>
      <c r="Y22" s="14">
        <f t="shared" si="2"/>
        <v>0</v>
      </c>
      <c r="Z22" s="20">
        <f>Tabela1[[#This Row],[PESO TOTAL]]-Tabela1[[#This Row],[Peso Expedido]]</f>
        <v>0</v>
      </c>
      <c r="AA22" s="17">
        <v>1</v>
      </c>
      <c r="AB22" s="33">
        <v>1</v>
      </c>
      <c r="AC22" s="33">
        <v>1</v>
      </c>
      <c r="AD22" s="33">
        <v>1</v>
      </c>
      <c r="AE22" s="33">
        <v>1</v>
      </c>
      <c r="AF22" s="33">
        <v>1</v>
      </c>
      <c r="AG22" s="33">
        <v>1</v>
      </c>
      <c r="AH22" s="33">
        <v>1</v>
      </c>
      <c r="AI22" s="33" t="str">
        <f t="shared" si="3"/>
        <v>ok</v>
      </c>
      <c r="AJ22" s="5"/>
      <c r="AK22" t="str">
        <f>Tabela1[[#This Row],[Coluna1]]&amp;Tabela1[[#This Row],[PEDIDO]]</f>
        <v>P-188</v>
      </c>
      <c r="AL22"/>
      <c r="AM22"/>
      <c r="AN22"/>
      <c r="AO22" t="str">
        <f t="shared" si="4"/>
        <v>R-1-4-10944/1073-TC-006</v>
      </c>
      <c r="AP22" t="str">
        <f>Tabela1[[#This Row],[TAG]]&amp;Tabela1[[#This Row],[PEDIDO]]&amp;Tabela1[[#This Row],[PRODUTO]]</f>
        <v>1073-TC-006P-188ROLOS</v>
      </c>
      <c r="AQ22" s="22" t="str">
        <f>Tabela1[[#This Row],[PRODUTO]]&amp;Tabela1[[#This Row],[TAG]]</f>
        <v>ROLOS1073-TC-006</v>
      </c>
      <c r="AR22" s="24" t="str">
        <f>Tabela1[[#This Row],[PEDIDO]]&amp;Tabela1[[#This Row],[PRODUTO]]</f>
        <v>P-188ROLOS</v>
      </c>
      <c r="AS22" s="37">
        <f>IF(AF22="",0,IF(ISTEXT(AF22),H22*VALUE(SUBSTITUTE(AF22,"%",""))/100,H22*AF22))-Tabela1[[#This Row],[PRONTO ACABADO2]]</f>
        <v>0</v>
      </c>
      <c r="AT22" s="37">
        <f>IF(AG22="",0,IF(ISTEXT(AG22),H22*VALUE(SUBSTITUTE(AG22,"%",""))/100,H22*AG22))-Tabela1[[#This Row],[PESO EXPEDIDO2]]</f>
        <v>0</v>
      </c>
      <c r="AU22" s="37">
        <f t="shared" si="5"/>
        <v>10</v>
      </c>
      <c r="AV22" s="37">
        <f t="shared" si="6"/>
        <v>10</v>
      </c>
      <c r="AW22" s="37"/>
    </row>
    <row r="23" spans="1:49" ht="15.75" customHeight="1" x14ac:dyDescent="0.25">
      <c r="A23" s="6" t="s">
        <v>103</v>
      </c>
      <c r="B23" s="21"/>
      <c r="C23" s="7">
        <v>4</v>
      </c>
      <c r="D23" s="39" t="s">
        <v>124</v>
      </c>
      <c r="E23" s="7">
        <v>3413</v>
      </c>
      <c r="F23" s="7">
        <v>7</v>
      </c>
      <c r="G23" s="23">
        <v>2.5</v>
      </c>
      <c r="H23" s="34">
        <f>Tabela1[[#This Row],[PESO UNI]]*Tabela1[[#This Row],[QTE]]</f>
        <v>10</v>
      </c>
      <c r="I23" s="7">
        <v>0</v>
      </c>
      <c r="J23" s="8" t="s">
        <v>2276</v>
      </c>
      <c r="K23" s="8" t="s">
        <v>23</v>
      </c>
      <c r="L23" s="9" t="s">
        <v>2069</v>
      </c>
      <c r="M23" s="10">
        <v>46100</v>
      </c>
      <c r="N23" s="8" t="s">
        <v>38</v>
      </c>
      <c r="O23" s="12"/>
      <c r="P23" s="13"/>
      <c r="Q23" s="14">
        <f>Tabela1[[#This Row],[QTDE/ Fabricação]]-Tabela1[[#This Row],[QTE]]</f>
        <v>-4</v>
      </c>
      <c r="R23" s="18">
        <f t="shared" si="0"/>
        <v>10</v>
      </c>
      <c r="S23" s="18">
        <f t="shared" si="7"/>
        <v>10</v>
      </c>
      <c r="T23" s="19">
        <f t="shared" si="1"/>
        <v>0</v>
      </c>
      <c r="U23" s="16">
        <f>IFERROR(SUMIF('LISTA DE EMBARQUE'!B:B,MICRO!E:E,'LISTA DE EMBARQUE'!G:G),"")</f>
        <v>4</v>
      </c>
      <c r="V23" s="12">
        <f>IFERROR(VLOOKUP(Tabela1[[#This Row],[COD.MDE]],'LISTA DE EMBARQUE'!B:L,11,0),"")</f>
        <v>1</v>
      </c>
      <c r="W23" s="13">
        <f>IFERROR(VLOOKUP(Tabela1[[#This Row],[COD.MDE]],'LISTA DE EMBARQUE'!B:M,12,0),"")</f>
        <v>46146</v>
      </c>
      <c r="X23" s="14">
        <f>IFERROR(Tabela1[[#This Row],[QIANTIDADE EXPEDIDA]]*Tabela1[[#This Row],[PESO UNI]],"")</f>
        <v>10</v>
      </c>
      <c r="Y23" s="14">
        <f t="shared" si="2"/>
        <v>0</v>
      </c>
      <c r="Z23" s="20">
        <f>Tabela1[[#This Row],[PESO TOTAL]]-Tabela1[[#This Row],[Peso Expedido]]</f>
        <v>0</v>
      </c>
      <c r="AA23" s="17">
        <v>1</v>
      </c>
      <c r="AB23" s="33">
        <v>1</v>
      </c>
      <c r="AC23" s="33">
        <v>1</v>
      </c>
      <c r="AD23" s="33">
        <v>1</v>
      </c>
      <c r="AE23" s="33">
        <v>1</v>
      </c>
      <c r="AF23" s="33">
        <v>1</v>
      </c>
      <c r="AG23" s="33">
        <v>1</v>
      </c>
      <c r="AH23" s="33">
        <v>1</v>
      </c>
      <c r="AI23" s="33" t="str">
        <f t="shared" si="3"/>
        <v>ok</v>
      </c>
      <c r="AJ23" s="5"/>
      <c r="AK23" t="str">
        <f>Tabela1[[#This Row],[Coluna1]]&amp;Tabela1[[#This Row],[PEDIDO]]</f>
        <v>P-188</v>
      </c>
      <c r="AL23"/>
      <c r="AM23"/>
      <c r="AN23"/>
      <c r="AO23" t="str">
        <f t="shared" si="4"/>
        <v>R-1-4-10944/1073-TC-007</v>
      </c>
      <c r="AP23" t="str">
        <f>Tabela1[[#This Row],[TAG]]&amp;Tabela1[[#This Row],[PEDIDO]]&amp;Tabela1[[#This Row],[PRODUTO]]</f>
        <v>1073-TC-007P-188ROLOS</v>
      </c>
      <c r="AQ23" s="22" t="str">
        <f>Tabela1[[#This Row],[PRODUTO]]&amp;Tabela1[[#This Row],[TAG]]</f>
        <v>ROLOS1073-TC-007</v>
      </c>
      <c r="AR23" s="24" t="str">
        <f>Tabela1[[#This Row],[PEDIDO]]&amp;Tabela1[[#This Row],[PRODUTO]]</f>
        <v>P-188ROLOS</v>
      </c>
      <c r="AS23" s="37">
        <f>IF(AF23="",0,IF(ISTEXT(AF23),H23*VALUE(SUBSTITUTE(AF23,"%",""))/100,H23*AF23))-Tabela1[[#This Row],[PRONTO ACABADO2]]</f>
        <v>0</v>
      </c>
      <c r="AT23" s="37">
        <f>IF(AG23="",0,IF(ISTEXT(AG23),H23*VALUE(SUBSTITUTE(AG23,"%",""))/100,H23*AG23))-Tabela1[[#This Row],[PESO EXPEDIDO2]]</f>
        <v>0</v>
      </c>
      <c r="AU23" s="37">
        <f t="shared" si="5"/>
        <v>10</v>
      </c>
      <c r="AV23" s="37">
        <f t="shared" si="6"/>
        <v>10</v>
      </c>
      <c r="AW23" s="37"/>
    </row>
    <row r="24" spans="1:49" ht="15.75" customHeight="1" x14ac:dyDescent="0.25">
      <c r="A24" s="6" t="s">
        <v>2288</v>
      </c>
      <c r="B24" s="21"/>
      <c r="C24" s="7">
        <v>14</v>
      </c>
      <c r="D24" s="39" t="s">
        <v>2289</v>
      </c>
      <c r="E24" s="7">
        <v>3414</v>
      </c>
      <c r="F24" s="7">
        <v>7</v>
      </c>
      <c r="G24" s="23">
        <v>8.5</v>
      </c>
      <c r="H24" s="34">
        <f>Tabela1[[#This Row],[PESO UNI]]*Tabela1[[#This Row],[QTE]]</f>
        <v>119</v>
      </c>
      <c r="I24" s="7">
        <v>0</v>
      </c>
      <c r="J24" s="8" t="s">
        <v>2274</v>
      </c>
      <c r="K24" s="8" t="s">
        <v>23</v>
      </c>
      <c r="L24" s="9" t="s">
        <v>2069</v>
      </c>
      <c r="M24" s="10">
        <v>46100</v>
      </c>
      <c r="N24" s="8" t="s">
        <v>38</v>
      </c>
      <c r="O24" s="12"/>
      <c r="P24" s="13"/>
      <c r="Q24" s="14">
        <f>Tabela1[[#This Row],[QTDE/ Fabricação]]-Tabela1[[#This Row],[QTE]]</f>
        <v>-14</v>
      </c>
      <c r="R24" s="18">
        <f t="shared" si="0"/>
        <v>0</v>
      </c>
      <c r="S24" s="18">
        <f t="shared" si="7"/>
        <v>0</v>
      </c>
      <c r="T24" s="19">
        <f t="shared" si="1"/>
        <v>-119</v>
      </c>
      <c r="U24" s="16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>IFERROR(Tabela1[[#This Row],[QIANTIDADE EXPEDIDA]]*Tabela1[[#This Row],[PESO UNI]],"")</f>
        <v>119</v>
      </c>
      <c r="Y24" s="14">
        <f t="shared" si="2"/>
        <v>0</v>
      </c>
      <c r="Z24" s="20">
        <f>Tabela1[[#This Row],[PESO TOTAL]]-Tabela1[[#This Row],[Peso Expedido]]</f>
        <v>0</v>
      </c>
      <c r="AA24" s="17"/>
      <c r="AB24" s="33"/>
      <c r="AC24" s="33"/>
      <c r="AD24" s="33"/>
      <c r="AE24" s="33"/>
      <c r="AF24" s="33"/>
      <c r="AG24" s="33"/>
      <c r="AH24" s="33"/>
      <c r="AI24" s="33"/>
      <c r="AJ24" s="5"/>
      <c r="AK24" t="str">
        <f>Tabela1[[#This Row],[Coluna1]]&amp;Tabela1[[#This Row],[PEDIDO]]</f>
        <v>P-188</v>
      </c>
      <c r="AL24"/>
      <c r="AM24"/>
      <c r="AN24"/>
      <c r="AO24" t="str">
        <f t="shared" si="4"/>
        <v>R-3-4-10912/1073-TC-006</v>
      </c>
      <c r="AP24" t="str">
        <f>Tabela1[[#This Row],[TAG]]&amp;Tabela1[[#This Row],[PEDIDO]]&amp;Tabela1[[#This Row],[PRODUTO]]</f>
        <v>1073-TC-006P-188ROLOS</v>
      </c>
      <c r="AQ24" s="22" t="str">
        <f>Tabela1[[#This Row],[PRODUTO]]&amp;Tabela1[[#This Row],[TAG]]</f>
        <v>ROLOS1073-TC-006</v>
      </c>
      <c r="AR24" s="24" t="str">
        <f>Tabela1[[#This Row],[PEDIDO]]&amp;Tabela1[[#This Row],[PRODUTO]]</f>
        <v>P-188ROLOS</v>
      </c>
      <c r="AS24" s="37">
        <f>IF(AF24="",0,IF(ISTEXT(AF24),H24*VALUE(SUBSTITUTE(AF24,"%",""))/100,H24*AF24))-Tabela1[[#This Row],[PRONTO ACABADO2]]</f>
        <v>0</v>
      </c>
      <c r="AT24" s="37">
        <f>IF(AG24="",0,IF(ISTEXT(AG24),H24*VALUE(SUBSTITUTE(AG24,"%",""))/100,H24*AG24))-Tabela1[[#This Row],[PESO EXPEDIDO2]]</f>
        <v>0</v>
      </c>
      <c r="AU24" s="37">
        <f t="shared" si="5"/>
        <v>0</v>
      </c>
      <c r="AV24" s="37">
        <f t="shared" si="6"/>
        <v>0</v>
      </c>
      <c r="AW24" s="37"/>
    </row>
    <row r="25" spans="1:49" ht="15.75" customHeight="1" x14ac:dyDescent="0.25">
      <c r="A25" s="6" t="s">
        <v>2288</v>
      </c>
      <c r="B25" s="21"/>
      <c r="C25" s="7">
        <v>14</v>
      </c>
      <c r="D25" s="39" t="s">
        <v>2289</v>
      </c>
      <c r="E25" s="7">
        <v>3415</v>
      </c>
      <c r="F25" s="7">
        <v>7</v>
      </c>
      <c r="G25" s="23">
        <v>8.5</v>
      </c>
      <c r="H25" s="34">
        <f>Tabela1[[#This Row],[PESO UNI]]*Tabela1[[#This Row],[QTE]]</f>
        <v>119</v>
      </c>
      <c r="I25" s="7">
        <v>0</v>
      </c>
      <c r="J25" s="8" t="s">
        <v>2276</v>
      </c>
      <c r="K25" s="8" t="s">
        <v>23</v>
      </c>
      <c r="L25" s="9" t="s">
        <v>2069</v>
      </c>
      <c r="M25" s="10">
        <v>46100</v>
      </c>
      <c r="N25" s="8" t="s">
        <v>38</v>
      </c>
      <c r="O25" s="12"/>
      <c r="P25" s="13"/>
      <c r="Q25" s="14">
        <f>Tabela1[[#This Row],[QTDE/ Fabricação]]-Tabela1[[#This Row],[QTE]]</f>
        <v>-14</v>
      </c>
      <c r="R25" s="18">
        <f t="shared" si="0"/>
        <v>0</v>
      </c>
      <c r="S25" s="18">
        <f t="shared" si="7"/>
        <v>0</v>
      </c>
      <c r="T25" s="19">
        <f t="shared" si="1"/>
        <v>-119</v>
      </c>
      <c r="U25" s="16">
        <f>IFERROR(SUMIF('LISTA DE EMBARQUE'!B:B,MICRO!E:E,'LISTA DE EMBARQUE'!G:G),"")</f>
        <v>14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>IFERROR(Tabela1[[#This Row],[QIANTIDADE EXPEDIDA]]*Tabela1[[#This Row],[PESO UNI]],"")</f>
        <v>119</v>
      </c>
      <c r="Y25" s="14">
        <f t="shared" si="2"/>
        <v>0</v>
      </c>
      <c r="Z25" s="20">
        <f>Tabela1[[#This Row],[PESO TOTAL]]-Tabela1[[#This Row],[Peso Expedido]]</f>
        <v>0</v>
      </c>
      <c r="AA25" s="17"/>
      <c r="AB25" s="33"/>
      <c r="AC25" s="33"/>
      <c r="AD25" s="33"/>
      <c r="AE25" s="33"/>
      <c r="AF25" s="33"/>
      <c r="AG25" s="33"/>
      <c r="AH25" s="33"/>
      <c r="AI25" s="33"/>
      <c r="AJ25" s="5"/>
      <c r="AK25" t="str">
        <f>Tabela1[[#This Row],[Coluna1]]&amp;Tabela1[[#This Row],[PEDIDO]]</f>
        <v>P-188</v>
      </c>
      <c r="AL25"/>
      <c r="AM25"/>
      <c r="AN25"/>
      <c r="AO25" t="str">
        <f t="shared" si="4"/>
        <v>R-3-4-10912/1073-TC-007</v>
      </c>
      <c r="AP25" t="str">
        <f>Tabela1[[#This Row],[TAG]]&amp;Tabela1[[#This Row],[PEDIDO]]&amp;Tabela1[[#This Row],[PRODUTO]]</f>
        <v>1073-TC-007P-188ROLOS</v>
      </c>
      <c r="AQ25" s="22" t="str">
        <f>Tabela1[[#This Row],[PRODUTO]]&amp;Tabela1[[#This Row],[TAG]]</f>
        <v>ROLOS1073-TC-007</v>
      </c>
      <c r="AR25" s="24" t="str">
        <f>Tabela1[[#This Row],[PEDIDO]]&amp;Tabela1[[#This Row],[PRODUTO]]</f>
        <v>P-188ROLOS</v>
      </c>
      <c r="AS25" s="37">
        <f>IF(AF25="",0,IF(ISTEXT(AF25),H25*VALUE(SUBSTITUTE(AF25,"%",""))/100,H25*AF25))-Tabela1[[#This Row],[PRONTO ACABADO2]]</f>
        <v>0</v>
      </c>
      <c r="AT25" s="37">
        <f>IF(AG25="",0,IF(ISTEXT(AG25),H25*VALUE(SUBSTITUTE(AG25,"%",""))/100,H25*AG25))-Tabela1[[#This Row],[PESO EXPEDIDO2]]</f>
        <v>0</v>
      </c>
      <c r="AU25" s="37">
        <f t="shared" si="5"/>
        <v>0</v>
      </c>
      <c r="AV25" s="37">
        <f t="shared" si="6"/>
        <v>0</v>
      </c>
      <c r="AW25" s="37"/>
    </row>
    <row r="26" spans="1:49" ht="15.75" customHeight="1" x14ac:dyDescent="0.25">
      <c r="A26" s="6" t="s">
        <v>82</v>
      </c>
      <c r="B26" s="21"/>
      <c r="C26" s="7">
        <v>10</v>
      </c>
      <c r="D26" s="39" t="s">
        <v>2290</v>
      </c>
      <c r="E26" s="7">
        <v>3416</v>
      </c>
      <c r="F26" s="7">
        <v>7</v>
      </c>
      <c r="G26" s="23">
        <v>19.8</v>
      </c>
      <c r="H26" s="34">
        <f>Tabela1[[#This Row],[PESO UNI]]*Tabela1[[#This Row],[QTE]]</f>
        <v>198</v>
      </c>
      <c r="I26" s="7">
        <v>0</v>
      </c>
      <c r="J26" s="8" t="s">
        <v>2274</v>
      </c>
      <c r="K26" s="8" t="s">
        <v>23</v>
      </c>
      <c r="L26" s="9" t="s">
        <v>2069</v>
      </c>
      <c r="M26" s="10">
        <v>46100</v>
      </c>
      <c r="N26" s="8" t="s">
        <v>38</v>
      </c>
      <c r="O26" s="12"/>
      <c r="P26" s="13"/>
      <c r="Q26" s="14">
        <f>Tabela1[[#This Row],[QTDE/ Fabricação]]-Tabela1[[#This Row],[QTE]]</f>
        <v>-10</v>
      </c>
      <c r="R26" s="18">
        <f t="shared" si="0"/>
        <v>198</v>
      </c>
      <c r="S26" s="18">
        <f t="shared" si="7"/>
        <v>198</v>
      </c>
      <c r="T26" s="19">
        <f t="shared" si="1"/>
        <v>0</v>
      </c>
      <c r="U26" s="16">
        <f>IFERROR(SUMIF('LISTA DE EMBARQUE'!B:B,MICRO!E:E,'LISTA DE EMBARQUE'!G:G),"")</f>
        <v>10</v>
      </c>
      <c r="V26" s="12">
        <f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>IFERROR(Tabela1[[#This Row],[QIANTIDADE EXPEDIDA]]*Tabela1[[#This Row],[PESO UNI]],"")</f>
        <v>198</v>
      </c>
      <c r="Y26" s="14">
        <f t="shared" si="2"/>
        <v>0</v>
      </c>
      <c r="Z26" s="20">
        <f>Tabela1[[#This Row],[PESO TOTAL]]-Tabela1[[#This Row],[Peso Expedido]]</f>
        <v>0</v>
      </c>
      <c r="AA26" s="17">
        <v>1</v>
      </c>
      <c r="AB26" s="33">
        <v>1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3" t="str">
        <f t="shared" si="3"/>
        <v>ok</v>
      </c>
      <c r="AJ26" s="5"/>
      <c r="AK26" t="str">
        <f>Tabela1[[#This Row],[Coluna1]]&amp;Tabela1[[#This Row],[PEDIDO]]</f>
        <v>P-188</v>
      </c>
      <c r="AL26"/>
      <c r="AM26"/>
      <c r="AN26"/>
      <c r="AO26" t="str">
        <f t="shared" si="4"/>
        <v>R-3-4-7843/1073-TC-006</v>
      </c>
      <c r="AP26" t="str">
        <f>Tabela1[[#This Row],[TAG]]&amp;Tabela1[[#This Row],[PEDIDO]]&amp;Tabela1[[#This Row],[PRODUTO]]</f>
        <v>1073-TC-006P-188ROLOS</v>
      </c>
      <c r="AQ26" s="22" t="str">
        <f>Tabela1[[#This Row],[PRODUTO]]&amp;Tabela1[[#This Row],[TAG]]</f>
        <v>ROLOS1073-TC-006</v>
      </c>
      <c r="AR26" s="24" t="str">
        <f>Tabela1[[#This Row],[PEDIDO]]&amp;Tabela1[[#This Row],[PRODUTO]]</f>
        <v>P-188ROLOS</v>
      </c>
      <c r="AS26" s="37">
        <f>IF(AF26="",0,IF(ISTEXT(AF26),H26*VALUE(SUBSTITUTE(AF26,"%",""))/100,H26*AF26))-Tabela1[[#This Row],[PRONTO ACABADO2]]</f>
        <v>0</v>
      </c>
      <c r="AT26" s="37">
        <f>IF(AG26="",0,IF(ISTEXT(AG26),H26*VALUE(SUBSTITUTE(AG26,"%",""))/100,H26*AG26))-Tabela1[[#This Row],[PESO EXPEDIDO2]]</f>
        <v>0</v>
      </c>
      <c r="AU26" s="37">
        <f t="shared" si="5"/>
        <v>198</v>
      </c>
      <c r="AV26" s="37">
        <f t="shared" si="6"/>
        <v>198</v>
      </c>
      <c r="AW26" s="37"/>
    </row>
    <row r="27" spans="1:49" ht="15.75" customHeight="1" x14ac:dyDescent="0.25">
      <c r="A27" s="6" t="s">
        <v>82</v>
      </c>
      <c r="B27" s="21"/>
      <c r="C27" s="7">
        <v>10</v>
      </c>
      <c r="D27" s="39" t="s">
        <v>2290</v>
      </c>
      <c r="E27" s="7">
        <v>3417</v>
      </c>
      <c r="F27" s="7">
        <v>7</v>
      </c>
      <c r="G27" s="23">
        <v>19.8</v>
      </c>
      <c r="H27" s="34">
        <f>Tabela1[[#This Row],[PESO UNI]]*Tabela1[[#This Row],[QTE]]</f>
        <v>198</v>
      </c>
      <c r="I27" s="7">
        <v>0</v>
      </c>
      <c r="J27" s="8" t="s">
        <v>2276</v>
      </c>
      <c r="K27" s="8" t="s">
        <v>23</v>
      </c>
      <c r="L27" s="9" t="s">
        <v>2069</v>
      </c>
      <c r="M27" s="10">
        <v>46100</v>
      </c>
      <c r="N27" s="8" t="s">
        <v>38</v>
      </c>
      <c r="O27" s="12"/>
      <c r="P27" s="13"/>
      <c r="Q27" s="14">
        <f>Tabela1[[#This Row],[QTDE/ Fabricação]]-Tabela1[[#This Row],[QTE]]</f>
        <v>-10</v>
      </c>
      <c r="R27" s="18">
        <f t="shared" si="0"/>
        <v>198</v>
      </c>
      <c r="S27" s="18">
        <f t="shared" si="7"/>
        <v>198</v>
      </c>
      <c r="T27" s="19">
        <f t="shared" si="1"/>
        <v>0</v>
      </c>
      <c r="U27" s="16">
        <f>IFERROR(SUMIF('LISTA DE EMBARQUE'!B:B,MICRO!E:E,'LISTA DE EMBARQUE'!G:G),"")</f>
        <v>10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>IFERROR(Tabela1[[#This Row],[QIANTIDADE EXPEDIDA]]*Tabela1[[#This Row],[PESO UNI]],"")</f>
        <v>198</v>
      </c>
      <c r="Y27" s="14">
        <f t="shared" si="2"/>
        <v>0</v>
      </c>
      <c r="Z27" s="20">
        <f>Tabela1[[#This Row],[PESO TOTAL]]-Tabela1[[#This Row],[Peso Expedido]]</f>
        <v>0</v>
      </c>
      <c r="AA27" s="17">
        <v>1</v>
      </c>
      <c r="AB27" s="33">
        <v>1</v>
      </c>
      <c r="AC27" s="33">
        <v>1</v>
      </c>
      <c r="AD27" s="33">
        <v>1</v>
      </c>
      <c r="AE27" s="33">
        <v>1</v>
      </c>
      <c r="AF27" s="33">
        <v>1</v>
      </c>
      <c r="AG27" s="33">
        <v>1</v>
      </c>
      <c r="AH27" s="33">
        <v>1</v>
      </c>
      <c r="AI27" s="33" t="str">
        <f t="shared" si="3"/>
        <v>ok</v>
      </c>
      <c r="AJ27" s="5"/>
      <c r="AK27" t="str">
        <f>Tabela1[[#This Row],[Coluna1]]&amp;Tabela1[[#This Row],[PEDIDO]]</f>
        <v>P-188</v>
      </c>
      <c r="AL27"/>
      <c r="AM27"/>
      <c r="AN27"/>
      <c r="AO27" t="str">
        <f t="shared" si="4"/>
        <v>R-3-4-7843/1073-TC-007</v>
      </c>
      <c r="AP27" t="str">
        <f>Tabela1[[#This Row],[TAG]]&amp;Tabela1[[#This Row],[PEDIDO]]&amp;Tabela1[[#This Row],[PRODUTO]]</f>
        <v>1073-TC-007P-188ROLOS</v>
      </c>
      <c r="AQ27" s="22" t="str">
        <f>Tabela1[[#This Row],[PRODUTO]]&amp;Tabela1[[#This Row],[TAG]]</f>
        <v>ROLOS1073-TC-007</v>
      </c>
      <c r="AR27" s="24" t="str">
        <f>Tabela1[[#This Row],[PEDIDO]]&amp;Tabela1[[#This Row],[PRODUTO]]</f>
        <v>P-188ROLOS</v>
      </c>
      <c r="AS27" s="37">
        <f>IF(AF27="",0,IF(ISTEXT(AF27),H27*VALUE(SUBSTITUTE(AF27,"%",""))/100,H27*AF27))-Tabela1[[#This Row],[PRONTO ACABADO2]]</f>
        <v>0</v>
      </c>
      <c r="AT27" s="37">
        <f>IF(AG27="",0,IF(ISTEXT(AG27),H27*VALUE(SUBSTITUTE(AG27,"%",""))/100,H27*AG27))-Tabela1[[#This Row],[PESO EXPEDIDO2]]</f>
        <v>0</v>
      </c>
      <c r="AU27" s="37">
        <f t="shared" si="5"/>
        <v>198</v>
      </c>
      <c r="AV27" s="37">
        <f t="shared" si="6"/>
        <v>198</v>
      </c>
      <c r="AW27" s="37"/>
    </row>
    <row r="28" spans="1:49" ht="15.75" customHeight="1" x14ac:dyDescent="0.25">
      <c r="A28" s="6" t="s">
        <v>226</v>
      </c>
      <c r="B28" s="21"/>
      <c r="C28" s="7">
        <v>10</v>
      </c>
      <c r="D28" s="39" t="s">
        <v>3010</v>
      </c>
      <c r="E28" s="7">
        <v>3720</v>
      </c>
      <c r="F28" s="7">
        <v>1</v>
      </c>
      <c r="G28" s="23">
        <v>97.6</v>
      </c>
      <c r="H28" s="34">
        <f>Tabela1[[#This Row],[PESO UNI]]*Tabela1[[#This Row],[QTE]]</f>
        <v>976</v>
      </c>
      <c r="I28" s="7">
        <v>3</v>
      </c>
      <c r="J28" s="8" t="s">
        <v>3011</v>
      </c>
      <c r="K28" s="8" t="s">
        <v>31</v>
      </c>
      <c r="L28" s="9" t="s">
        <v>2989</v>
      </c>
      <c r="M28" s="10">
        <v>46155</v>
      </c>
      <c r="N28" s="8" t="s">
        <v>38</v>
      </c>
      <c r="O28" s="12"/>
      <c r="P28" s="13"/>
      <c r="Q28" s="14">
        <f>Tabela1[[#This Row],[QTDE/ Fabricação]]-Tabela1[[#This Row],[QTE]]</f>
        <v>-10</v>
      </c>
      <c r="R28" s="18">
        <f t="shared" ref="R28:R37" si="8">IFERROR(H28*((AA28*0.25)+(AC28*0.25)+(AD28*0.225)+(AE28*0.225)+(AF28*0.05)),"")</f>
        <v>976</v>
      </c>
      <c r="S28" s="18">
        <f t="shared" si="7"/>
        <v>976</v>
      </c>
      <c r="T28" s="19">
        <f t="shared" ref="T28:T37" si="9">IFERROR(S28-H28,"")</f>
        <v>0</v>
      </c>
      <c r="U28" s="16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>IFERROR(VLOOKUP(Tabela1[[#This Row],[COD.MDE]],'LISTA DE EMBARQUE'!B:M,12,0),"")</f>
        <v>46209</v>
      </c>
      <c r="X28" s="14">
        <f>IFERROR(Tabela1[[#This Row],[QIANTIDADE EXPEDIDA]]*Tabela1[[#This Row],[PESO UNI]],"")</f>
        <v>976</v>
      </c>
      <c r="Y28" s="14">
        <f t="shared" si="2"/>
        <v>0</v>
      </c>
      <c r="Z28" s="20">
        <f>Tabela1[[#This Row],[PESO TOTAL]]-Tabela1[[#This Row],[Peso Expedido]]</f>
        <v>0</v>
      </c>
      <c r="AA28" s="17">
        <v>1</v>
      </c>
      <c r="AB28" s="33"/>
      <c r="AC28" s="33">
        <v>1</v>
      </c>
      <c r="AD28" s="33">
        <v>1</v>
      </c>
      <c r="AE28" s="33">
        <v>1</v>
      </c>
      <c r="AF28" s="33">
        <v>1</v>
      </c>
      <c r="AG28" s="33">
        <v>1</v>
      </c>
      <c r="AH28" s="33">
        <v>1</v>
      </c>
      <c r="AI28" s="33" t="str">
        <f t="shared" ref="AI28:AI91" si="10">IF(Z28&lt;=0,"ok","")</f>
        <v>ok</v>
      </c>
      <c r="AJ28" s="5"/>
      <c r="AK28" t="str">
        <f>Tabela1[[#This Row],[Coluna1]]&amp;Tabela1[[#This Row],[PEDIDO]]</f>
        <v>P-200</v>
      </c>
      <c r="AL28"/>
      <c r="AM28"/>
      <c r="AN28"/>
      <c r="AO28" t="str">
        <f t="shared" si="4"/>
        <v>A-010003-1/P200</v>
      </c>
      <c r="AP28" t="str">
        <f>Tabela1[[#This Row],[TAG]]&amp;Tabela1[[#This Row],[PEDIDO]]&amp;Tabela1[[#This Row],[PRODUTO]]</f>
        <v>P200P-200ESTRUTURA</v>
      </c>
      <c r="AQ28" s="22" t="str">
        <f>Tabela1[[#This Row],[PRODUTO]]&amp;Tabela1[[#This Row],[TAG]]</f>
        <v>ESTRUTURAP200</v>
      </c>
      <c r="AR28" s="24" t="str">
        <f>Tabela1[[#This Row],[PEDIDO]]&amp;Tabela1[[#This Row],[PRODUTO]]</f>
        <v>P-200ESTRUTURA</v>
      </c>
      <c r="AS28" s="37">
        <f>IF(AF28="",0,IF(ISTEXT(AF28),H28*VALUE(SUBSTITUTE(AF28,"%",""))/100,H28*AF28))-Tabela1[[#This Row],[PRONTO ACABADO2]]</f>
        <v>0</v>
      </c>
      <c r="AT28" s="37">
        <f>IF(AG28="",0,IF(ISTEXT(AG28),H28*VALUE(SUBSTITUTE(AG28,"%",""))/100,H28*AG28))-Tabela1[[#This Row],[PESO EXPEDIDO2]]</f>
        <v>0</v>
      </c>
      <c r="AU28" s="37">
        <f t="shared" si="5"/>
        <v>976</v>
      </c>
      <c r="AV28" s="37">
        <f t="shared" si="6"/>
        <v>976</v>
      </c>
      <c r="AW28" s="37"/>
    </row>
    <row r="29" spans="1:49" ht="15.75" customHeight="1" x14ac:dyDescent="0.25">
      <c r="A29" s="6" t="s">
        <v>1015</v>
      </c>
      <c r="B29" s="21"/>
      <c r="C29" s="7">
        <v>1</v>
      </c>
      <c r="D29" s="39" t="s">
        <v>3012</v>
      </c>
      <c r="E29" s="7">
        <v>3721</v>
      </c>
      <c r="F29" s="7">
        <v>1</v>
      </c>
      <c r="G29" s="23">
        <v>213.7</v>
      </c>
      <c r="H29" s="34">
        <f>Tabela1[[#This Row],[PESO UNI]]*Tabela1[[#This Row],[QTE]]</f>
        <v>213.7</v>
      </c>
      <c r="I29" s="7" t="s">
        <v>2</v>
      </c>
      <c r="J29" s="8" t="s">
        <v>3013</v>
      </c>
      <c r="K29" s="8" t="s">
        <v>22</v>
      </c>
      <c r="L29" s="9" t="s">
        <v>2990</v>
      </c>
      <c r="M29" s="10">
        <v>46155</v>
      </c>
      <c r="N29" s="8" t="s">
        <v>38</v>
      </c>
      <c r="O29" s="12"/>
      <c r="P29" s="13"/>
      <c r="Q29" s="14">
        <f>Tabela1[[#This Row],[QTDE/ Fabricação]]-Tabela1[[#This Row],[QTE]]</f>
        <v>-1</v>
      </c>
      <c r="R29" s="18">
        <f t="shared" si="8"/>
        <v>213.7</v>
      </c>
      <c r="S29" s="18">
        <f t="shared" si="7"/>
        <v>213.7</v>
      </c>
      <c r="T29" s="19">
        <f t="shared" si="9"/>
        <v>0</v>
      </c>
      <c r="U29" s="16">
        <f>IFERROR(SUMIF('LISTA DE EMBARQUE'!B:B,MICRO!E:E,'LISTA DE EMBARQUE'!G:G),"")</f>
        <v>0</v>
      </c>
      <c r="V29" s="12" t="str">
        <f>IFERROR(VLOOKUP(Tabela1[[#This Row],[COD.MDE]],'LISTA DE EMBARQUE'!B:L,11,0),"")</f>
        <v/>
      </c>
      <c r="W29" s="13" t="str">
        <f>IFERROR(VLOOKUP(Tabela1[[#This Row],[COD.MDE]],'LISTA DE EMBARQUE'!B:M,12,0),"")</f>
        <v/>
      </c>
      <c r="X29" s="14">
        <f>IFERROR(Tabela1[[#This Row],[QIANTIDADE EXPEDIDA]]*Tabela1[[#This Row],[PESO UNI]],"")</f>
        <v>0</v>
      </c>
      <c r="Y29" s="14">
        <f t="shared" si="2"/>
        <v>-1</v>
      </c>
      <c r="Z29" s="20">
        <f>Tabela1[[#This Row],[PESO TOTAL]]-Tabela1[[#This Row],[Peso Expedido]]</f>
        <v>213.7</v>
      </c>
      <c r="AA29" s="17">
        <v>1</v>
      </c>
      <c r="AB29" s="33"/>
      <c r="AC29" s="33">
        <v>1</v>
      </c>
      <c r="AD29" s="33">
        <v>1</v>
      </c>
      <c r="AE29" s="33">
        <v>1</v>
      </c>
      <c r="AF29" s="33">
        <v>1</v>
      </c>
      <c r="AG29" s="33">
        <v>1</v>
      </c>
      <c r="AH29" s="33"/>
      <c r="AI29" s="33" t="str">
        <f t="shared" si="10"/>
        <v/>
      </c>
      <c r="AJ29" s="5"/>
      <c r="AK29" t="str">
        <f>Tabela1[[#This Row],[Coluna1]]&amp;Tabela1[[#This Row],[PEDIDO]]</f>
        <v>P-201</v>
      </c>
      <c r="AL29"/>
      <c r="AM29"/>
      <c r="AN29"/>
      <c r="AO29" t="str">
        <f t="shared" si="4"/>
        <v>T-009362-1/P201</v>
      </c>
      <c r="AP29" t="str">
        <f>Tabela1[[#This Row],[TAG]]&amp;Tabela1[[#This Row],[PEDIDO]]&amp;Tabela1[[#This Row],[PRODUTO]]</f>
        <v>P201P-201TAMBOR</v>
      </c>
      <c r="AQ29" s="22" t="str">
        <f>Tabela1[[#This Row],[PRODUTO]]&amp;Tabela1[[#This Row],[TAG]]</f>
        <v>TAMBORP201</v>
      </c>
      <c r="AR29" s="24" t="str">
        <f>Tabela1[[#This Row],[PEDIDO]]&amp;Tabela1[[#This Row],[PRODUTO]]</f>
        <v>P-201TAMBOR</v>
      </c>
      <c r="AS29" s="37">
        <f>IF(AF29="",0,IF(ISTEXT(AF29),H29*VALUE(SUBSTITUTE(AF29,"%",""))/100,H29*AF29))-Tabela1[[#This Row],[PRONTO ACABADO2]]</f>
        <v>0</v>
      </c>
      <c r="AT29" s="37">
        <f>IF(AG29="",0,IF(ISTEXT(AG29),H29*VALUE(SUBSTITUTE(AG29,"%",""))/100,H29*AG29))-Tabela1[[#This Row],[PESO EXPEDIDO2]]</f>
        <v>213.7</v>
      </c>
      <c r="AU29" s="37">
        <f t="shared" si="5"/>
        <v>0</v>
      </c>
      <c r="AV29" s="37">
        <f t="shared" si="6"/>
        <v>213.7</v>
      </c>
      <c r="AW29" s="37"/>
    </row>
    <row r="30" spans="1:49" ht="15.75" customHeight="1" x14ac:dyDescent="0.25">
      <c r="A30" s="6" t="s">
        <v>103</v>
      </c>
      <c r="B30" s="21"/>
      <c r="C30" s="7">
        <v>4</v>
      </c>
      <c r="D30" s="39" t="s">
        <v>3014</v>
      </c>
      <c r="E30" s="7">
        <v>3722</v>
      </c>
      <c r="F30" s="7">
        <v>1</v>
      </c>
      <c r="G30" s="23">
        <v>2.5</v>
      </c>
      <c r="H30" s="34">
        <f>Tabela1[[#This Row],[PESO UNI]]*Tabela1[[#This Row],[QTE]]</f>
        <v>10</v>
      </c>
      <c r="I30" s="7">
        <v>0</v>
      </c>
      <c r="J30" s="8" t="s">
        <v>3015</v>
      </c>
      <c r="K30" s="8" t="s">
        <v>23</v>
      </c>
      <c r="L30" s="9" t="s">
        <v>3004</v>
      </c>
      <c r="M30" s="10">
        <v>46162</v>
      </c>
      <c r="N30" s="8" t="s">
        <v>38</v>
      </c>
      <c r="O30" s="12"/>
      <c r="P30" s="13"/>
      <c r="Q30" s="14">
        <f>Tabela1[[#This Row],[QTDE/ Fabricação]]-Tabela1[[#This Row],[QTE]]</f>
        <v>-4</v>
      </c>
      <c r="R30" s="18">
        <f t="shared" si="8"/>
        <v>10</v>
      </c>
      <c r="S30" s="18">
        <f t="shared" si="7"/>
        <v>10</v>
      </c>
      <c r="T30" s="19">
        <f t="shared" si="9"/>
        <v>0</v>
      </c>
      <c r="U30" s="16">
        <f>IFERROR(SUMIF('LISTA DE EMBARQUE'!B:B,MICRO!E:E,'LISTA DE EMBARQUE'!G:G),"")</f>
        <v>0</v>
      </c>
      <c r="V30" s="12" t="str">
        <f>IFERROR(VLOOKUP(Tabela1[[#This Row],[COD.MDE]],'LISTA DE EMBARQUE'!B:L,11,0),"")</f>
        <v/>
      </c>
      <c r="W30" s="13" t="str">
        <f>IFERROR(VLOOKUP(Tabela1[[#This Row],[COD.MDE]],'LISTA DE EMBARQUE'!B:M,12,0),"")</f>
        <v/>
      </c>
      <c r="X30" s="14">
        <f>IFERROR(Tabela1[[#This Row],[QIANTIDADE EXPEDIDA]]*Tabela1[[#This Row],[PESO UNI]],"")</f>
        <v>0</v>
      </c>
      <c r="Y30" s="14">
        <f t="shared" si="2"/>
        <v>-4</v>
      </c>
      <c r="Z30" s="20">
        <f>Tabela1[[#This Row],[PESO TOTAL]]-Tabela1[[#This Row],[Peso Expedido]]</f>
        <v>10</v>
      </c>
      <c r="AA30" s="17">
        <v>1</v>
      </c>
      <c r="AB30" s="17">
        <v>1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33"/>
      <c r="AI30" s="33" t="str">
        <f t="shared" si="10"/>
        <v/>
      </c>
      <c r="AJ30" s="5"/>
      <c r="AK30" t="str">
        <f>Tabela1[[#This Row],[Coluna1]]&amp;Tabela1[[#This Row],[PEDIDO]]</f>
        <v>P-202</v>
      </c>
      <c r="AL30"/>
      <c r="AM30"/>
      <c r="AN30"/>
      <c r="AO30" t="str">
        <f t="shared" si="4"/>
        <v>R-1-4-10944/P202</v>
      </c>
      <c r="AP30" t="str">
        <f>Tabela1[[#This Row],[TAG]]&amp;Tabela1[[#This Row],[PEDIDO]]&amp;Tabela1[[#This Row],[PRODUTO]]</f>
        <v>P202P-202ROLOS</v>
      </c>
      <c r="AQ30" s="22" t="str">
        <f>Tabela1[[#This Row],[PRODUTO]]&amp;Tabela1[[#This Row],[TAG]]</f>
        <v>ROLOSP202</v>
      </c>
      <c r="AR30" s="24" t="str">
        <f>Tabela1[[#This Row],[PEDIDO]]&amp;Tabela1[[#This Row],[PRODUTO]]</f>
        <v>P-202ROLOS</v>
      </c>
      <c r="AS30" s="37">
        <f>IF(AF30="",0,IF(ISTEXT(AF30),H30*VALUE(SUBSTITUTE(AF30,"%",""))/100,H30*AF30))-Tabela1[[#This Row],[PRONTO ACABADO2]]</f>
        <v>0</v>
      </c>
      <c r="AT30" s="37">
        <f>IF(AG30="",0,IF(ISTEXT(AG30),H30*VALUE(SUBSTITUTE(AG30,"%",""))/100,H30*AG30))-Tabela1[[#This Row],[PESO EXPEDIDO2]]</f>
        <v>10</v>
      </c>
      <c r="AU30" s="37">
        <f t="shared" si="5"/>
        <v>0</v>
      </c>
      <c r="AV30" s="37">
        <f t="shared" si="6"/>
        <v>10</v>
      </c>
      <c r="AW30" s="37"/>
    </row>
    <row r="31" spans="1:49" ht="15.75" customHeight="1" x14ac:dyDescent="0.25">
      <c r="A31" s="6" t="s">
        <v>170</v>
      </c>
      <c r="B31" s="21"/>
      <c r="C31" s="7">
        <v>30</v>
      </c>
      <c r="D31" s="39" t="s">
        <v>3016</v>
      </c>
      <c r="E31" s="7">
        <v>3723</v>
      </c>
      <c r="F31" s="7">
        <v>1</v>
      </c>
      <c r="G31" s="23">
        <v>16</v>
      </c>
      <c r="H31" s="34">
        <f>Tabela1[[#This Row],[PESO UNI]]*Tabela1[[#This Row],[QTE]]</f>
        <v>480</v>
      </c>
      <c r="I31" s="7">
        <v>0</v>
      </c>
      <c r="J31" s="8" t="s">
        <v>3015</v>
      </c>
      <c r="K31" s="8" t="s">
        <v>23</v>
      </c>
      <c r="L31" s="9" t="s">
        <v>3004</v>
      </c>
      <c r="M31" s="10">
        <v>46162</v>
      </c>
      <c r="N31" s="8" t="s">
        <v>38</v>
      </c>
      <c r="O31" s="12"/>
      <c r="P31" s="13"/>
      <c r="Q31" s="14">
        <f>Tabela1[[#This Row],[QTDE/ Fabricação]]-Tabela1[[#This Row],[QTE]]</f>
        <v>-30</v>
      </c>
      <c r="R31" s="18">
        <f t="shared" si="8"/>
        <v>480</v>
      </c>
      <c r="S31" s="18">
        <f t="shared" si="7"/>
        <v>480</v>
      </c>
      <c r="T31" s="19">
        <f t="shared" si="9"/>
        <v>0</v>
      </c>
      <c r="U31" s="16">
        <f>IFERROR(SUMIF('LISTA DE EMBARQUE'!B:B,MICRO!E:E,'LISTA DE EMBARQUE'!G:G),"")</f>
        <v>0</v>
      </c>
      <c r="V31" s="12" t="str">
        <f>IFERROR(VLOOKUP(Tabela1[[#This Row],[COD.MDE]],'LISTA DE EMBARQUE'!B:L,11,0),"")</f>
        <v/>
      </c>
      <c r="W31" s="13" t="str">
        <f>IFERROR(VLOOKUP(Tabela1[[#This Row],[COD.MDE]],'LISTA DE EMBARQUE'!B:M,12,0),"")</f>
        <v/>
      </c>
      <c r="X31" s="14">
        <f>IFERROR(Tabela1[[#This Row],[QIANTIDADE EXPEDIDA]]*Tabela1[[#This Row],[PESO UNI]],"")</f>
        <v>0</v>
      </c>
      <c r="Y31" s="14">
        <f t="shared" si="2"/>
        <v>-30</v>
      </c>
      <c r="Z31" s="20">
        <f>Tabela1[[#This Row],[PESO TOTAL]]-Tabela1[[#This Row],[Peso Expedido]]</f>
        <v>480</v>
      </c>
      <c r="AA31" s="17">
        <v>1</v>
      </c>
      <c r="AB31" s="17">
        <v>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33"/>
      <c r="AI31" s="33" t="str">
        <f t="shared" si="10"/>
        <v/>
      </c>
      <c r="AJ31" s="5"/>
      <c r="AK31" t="str">
        <f>Tabela1[[#This Row],[Coluna1]]&amp;Tabela1[[#This Row],[PEDIDO]]</f>
        <v>P-202</v>
      </c>
      <c r="AL31"/>
      <c r="AM31"/>
      <c r="AN31"/>
      <c r="AO31" t="str">
        <f t="shared" si="4"/>
        <v>R-1-4-11002/P202</v>
      </c>
      <c r="AP31" t="str">
        <f>Tabela1[[#This Row],[TAG]]&amp;Tabela1[[#This Row],[PEDIDO]]&amp;Tabela1[[#This Row],[PRODUTO]]</f>
        <v>P202P-202ROLOS</v>
      </c>
      <c r="AQ31" s="22" t="str">
        <f>Tabela1[[#This Row],[PRODUTO]]&amp;Tabela1[[#This Row],[TAG]]</f>
        <v>ROLOSP202</v>
      </c>
      <c r="AR31" s="24" t="str">
        <f>Tabela1[[#This Row],[PEDIDO]]&amp;Tabela1[[#This Row],[PRODUTO]]</f>
        <v>P-202ROLOS</v>
      </c>
      <c r="AS31" s="37">
        <f>IF(AF31="",0,IF(ISTEXT(AF31),H31*VALUE(SUBSTITUTE(AF31,"%",""))/100,H31*AF31))-Tabela1[[#This Row],[PRONTO ACABADO2]]</f>
        <v>0</v>
      </c>
      <c r="AT31" s="37">
        <f>IF(AG31="",0,IF(ISTEXT(AG31),H31*VALUE(SUBSTITUTE(AG31,"%",""))/100,H31*AG31))-Tabela1[[#This Row],[PESO EXPEDIDO2]]</f>
        <v>480</v>
      </c>
      <c r="AU31" s="37">
        <f t="shared" si="5"/>
        <v>0</v>
      </c>
      <c r="AV31" s="37">
        <f t="shared" si="6"/>
        <v>480</v>
      </c>
      <c r="AW31" s="37"/>
    </row>
    <row r="32" spans="1:49" ht="15.75" customHeight="1" x14ac:dyDescent="0.25">
      <c r="A32" s="6" t="s">
        <v>3195</v>
      </c>
      <c r="B32" s="21"/>
      <c r="C32" s="7">
        <v>12</v>
      </c>
      <c r="D32" s="39" t="s">
        <v>3017</v>
      </c>
      <c r="E32" s="7">
        <v>3724</v>
      </c>
      <c r="F32" s="7">
        <v>1</v>
      </c>
      <c r="G32" s="23">
        <v>16</v>
      </c>
      <c r="H32" s="34">
        <f>Tabela1[[#This Row],[PESO UNI]]*Tabela1[[#This Row],[QTE]]</f>
        <v>192</v>
      </c>
      <c r="I32" s="7">
        <v>0</v>
      </c>
      <c r="J32" s="8" t="s">
        <v>3015</v>
      </c>
      <c r="K32" s="8" t="s">
        <v>23</v>
      </c>
      <c r="L32" s="9" t="s">
        <v>3004</v>
      </c>
      <c r="M32" s="10">
        <v>46162</v>
      </c>
      <c r="N32" s="8" t="s">
        <v>38</v>
      </c>
      <c r="O32" s="12"/>
      <c r="P32" s="13"/>
      <c r="Q32" s="14">
        <f>Tabela1[[#This Row],[QTDE/ Fabricação]]-Tabela1[[#This Row],[QTE]]</f>
        <v>-12</v>
      </c>
      <c r="R32" s="18">
        <f t="shared" si="8"/>
        <v>192</v>
      </c>
      <c r="S32" s="18">
        <f t="shared" si="7"/>
        <v>192</v>
      </c>
      <c r="T32" s="19">
        <f t="shared" si="9"/>
        <v>0</v>
      </c>
      <c r="U32" s="16">
        <f>IFERROR(SUMIF('LISTA DE EMBARQUE'!B:B,MICRO!E:E,'LISTA DE EMBARQUE'!G:G),"")</f>
        <v>0</v>
      </c>
      <c r="V32" s="12" t="str">
        <f>IFERROR(VLOOKUP(Tabela1[[#This Row],[COD.MDE]],'LISTA DE EMBARQUE'!B:L,11,0),"")</f>
        <v/>
      </c>
      <c r="W32" s="13" t="str">
        <f>IFERROR(VLOOKUP(Tabela1[[#This Row],[COD.MDE]],'LISTA DE EMBARQUE'!B:M,12,0),"")</f>
        <v/>
      </c>
      <c r="X32" s="14">
        <f>IFERROR(Tabela1[[#This Row],[QIANTIDADE EXPEDIDA]]*Tabela1[[#This Row],[PESO UNI]],"")</f>
        <v>0</v>
      </c>
      <c r="Y32" s="14">
        <f t="shared" si="2"/>
        <v>-12</v>
      </c>
      <c r="Z32" s="20">
        <f>Tabela1[[#This Row],[PESO TOTAL]]-Tabela1[[#This Row],[Peso Expedido]]</f>
        <v>192</v>
      </c>
      <c r="AA32" s="17">
        <v>1</v>
      </c>
      <c r="AB32" s="17">
        <v>1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33"/>
      <c r="AI32" s="33" t="str">
        <f t="shared" si="10"/>
        <v/>
      </c>
      <c r="AJ32" s="5"/>
      <c r="AK32" t="str">
        <f>Tabela1[[#This Row],[Coluna1]]&amp;Tabela1[[#This Row],[PEDIDO]]</f>
        <v>P-202</v>
      </c>
      <c r="AL32"/>
      <c r="AM32"/>
      <c r="AN32"/>
      <c r="AO32" t="str">
        <f t="shared" si="4"/>
        <v>R-1-4-11003/P202</v>
      </c>
      <c r="AP32" t="str">
        <f>Tabela1[[#This Row],[TAG]]&amp;Tabela1[[#This Row],[PEDIDO]]&amp;Tabela1[[#This Row],[PRODUTO]]</f>
        <v>P202P-202ROLOS</v>
      </c>
      <c r="AQ32" s="22" t="str">
        <f>Tabela1[[#This Row],[PRODUTO]]&amp;Tabela1[[#This Row],[TAG]]</f>
        <v>ROLOSP202</v>
      </c>
      <c r="AR32" s="24" t="str">
        <f>Tabela1[[#This Row],[PEDIDO]]&amp;Tabela1[[#This Row],[PRODUTO]]</f>
        <v>P-202ROLOS</v>
      </c>
      <c r="AS32" s="37">
        <f>IF(AF32="",0,IF(ISTEXT(AF32),H32*VALUE(SUBSTITUTE(AF32,"%",""))/100,H32*AF32))-Tabela1[[#This Row],[PRONTO ACABADO2]]</f>
        <v>0</v>
      </c>
      <c r="AT32" s="37">
        <f>IF(AG32="",0,IF(ISTEXT(AG32),H32*VALUE(SUBSTITUTE(AG32,"%",""))/100,H32*AG32))-Tabela1[[#This Row],[PESO EXPEDIDO2]]</f>
        <v>192</v>
      </c>
      <c r="AU32" s="37">
        <f t="shared" si="5"/>
        <v>0</v>
      </c>
      <c r="AV32" s="37">
        <f t="shared" si="6"/>
        <v>192</v>
      </c>
      <c r="AW32" s="37"/>
    </row>
    <row r="33" spans="1:49" ht="15.75" customHeight="1" x14ac:dyDescent="0.25">
      <c r="A33" s="6" t="s">
        <v>171</v>
      </c>
      <c r="B33" s="21"/>
      <c r="C33" s="7">
        <v>4</v>
      </c>
      <c r="D33" s="39" t="s">
        <v>3018</v>
      </c>
      <c r="E33" s="7">
        <v>3725</v>
      </c>
      <c r="F33" s="7">
        <v>1</v>
      </c>
      <c r="G33" s="23">
        <v>41</v>
      </c>
      <c r="H33" s="34">
        <f>Tabela1[[#This Row],[PESO UNI]]*Tabela1[[#This Row],[QTE]]</f>
        <v>164</v>
      </c>
      <c r="I33" s="7">
        <v>0</v>
      </c>
      <c r="J33" s="8" t="s">
        <v>3015</v>
      </c>
      <c r="K33" s="8" t="s">
        <v>23</v>
      </c>
      <c r="L33" s="9" t="s">
        <v>3004</v>
      </c>
      <c r="M33" s="10">
        <v>46162</v>
      </c>
      <c r="N33" s="8" t="s">
        <v>38</v>
      </c>
      <c r="O33" s="12"/>
      <c r="P33" s="13"/>
      <c r="Q33" s="14">
        <f>Tabela1[[#This Row],[QTDE/ Fabricação]]-Tabela1[[#This Row],[QTE]]</f>
        <v>-4</v>
      </c>
      <c r="R33" s="18">
        <f t="shared" si="8"/>
        <v>164</v>
      </c>
      <c r="S33" s="18">
        <f t="shared" si="7"/>
        <v>164</v>
      </c>
      <c r="T33" s="19">
        <f t="shared" si="9"/>
        <v>0</v>
      </c>
      <c r="U33" s="16">
        <f>IFERROR(SUMIF('LISTA DE EMBARQUE'!B:B,MICRO!E:E,'LISTA DE EMBARQUE'!G:G),"")</f>
        <v>0</v>
      </c>
      <c r="V33" s="12" t="str">
        <f>IFERROR(VLOOKUP(Tabela1[[#This Row],[COD.MDE]],'LISTA DE EMBARQUE'!B:L,11,0),"")</f>
        <v/>
      </c>
      <c r="W33" s="13" t="str">
        <f>IFERROR(VLOOKUP(Tabela1[[#This Row],[COD.MDE]],'LISTA DE EMBARQUE'!B:M,12,0),"")</f>
        <v/>
      </c>
      <c r="X33" s="14">
        <f>IFERROR(Tabela1[[#This Row],[QIANTIDADE EXPEDIDA]]*Tabela1[[#This Row],[PESO UNI]],"")</f>
        <v>0</v>
      </c>
      <c r="Y33" s="14">
        <f t="shared" si="2"/>
        <v>-4</v>
      </c>
      <c r="Z33" s="20">
        <f>Tabela1[[#This Row],[PESO TOTAL]]-Tabela1[[#This Row],[Peso Expedido]]</f>
        <v>164</v>
      </c>
      <c r="AA33" s="17">
        <v>1</v>
      </c>
      <c r="AB33" s="17">
        <v>1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33"/>
      <c r="AI33" s="33" t="str">
        <f t="shared" si="10"/>
        <v/>
      </c>
      <c r="AJ33" s="5"/>
      <c r="AK33" t="str">
        <f>Tabela1[[#This Row],[Coluna1]]&amp;Tabela1[[#This Row],[PEDIDO]]</f>
        <v>P-202</v>
      </c>
      <c r="AL33"/>
      <c r="AM33"/>
      <c r="AN33"/>
      <c r="AO33" t="str">
        <f t="shared" si="4"/>
        <v>R-3-4-11004/P202</v>
      </c>
      <c r="AP33" t="str">
        <f>Tabela1[[#This Row],[TAG]]&amp;Tabela1[[#This Row],[PEDIDO]]&amp;Tabela1[[#This Row],[PRODUTO]]</f>
        <v>P202P-202ROLOS</v>
      </c>
      <c r="AQ33" s="22" t="str">
        <f>Tabela1[[#This Row],[PRODUTO]]&amp;Tabela1[[#This Row],[TAG]]</f>
        <v>ROLOSP202</v>
      </c>
      <c r="AR33" s="24" t="str">
        <f>Tabela1[[#This Row],[PEDIDO]]&amp;Tabela1[[#This Row],[PRODUTO]]</f>
        <v>P-202ROLOS</v>
      </c>
      <c r="AS33" s="37">
        <f>IF(AF33="",0,IF(ISTEXT(AF33),H33*VALUE(SUBSTITUTE(AF33,"%",""))/100,H33*AF33))-Tabela1[[#This Row],[PRONTO ACABADO2]]</f>
        <v>0</v>
      </c>
      <c r="AT33" s="37">
        <f>IF(AG33="",0,IF(ISTEXT(AG33),H33*VALUE(SUBSTITUTE(AG33,"%",""))/100,H33*AG33))-Tabela1[[#This Row],[PESO EXPEDIDO2]]</f>
        <v>164</v>
      </c>
      <c r="AU33" s="37">
        <f t="shared" si="5"/>
        <v>0</v>
      </c>
      <c r="AV33" s="37">
        <f t="shared" si="6"/>
        <v>164</v>
      </c>
      <c r="AW33" s="37"/>
    </row>
    <row r="34" spans="1:49" ht="15.75" customHeight="1" x14ac:dyDescent="0.25">
      <c r="A34" s="6" t="s">
        <v>84</v>
      </c>
      <c r="B34" s="21"/>
      <c r="C34" s="7">
        <v>4</v>
      </c>
      <c r="D34" s="39" t="s">
        <v>1860</v>
      </c>
      <c r="E34" s="7">
        <v>3726</v>
      </c>
      <c r="F34" s="7">
        <v>1</v>
      </c>
      <c r="G34" s="23">
        <v>1.8</v>
      </c>
      <c r="H34" s="34">
        <f>Tabela1[[#This Row],[PESO UNI]]*Tabela1[[#This Row],[QTE]]</f>
        <v>7.2</v>
      </c>
      <c r="I34" s="7">
        <v>0</v>
      </c>
      <c r="J34" s="8" t="s">
        <v>3015</v>
      </c>
      <c r="K34" s="8" t="s">
        <v>23</v>
      </c>
      <c r="L34" s="9" t="s">
        <v>3004</v>
      </c>
      <c r="M34" s="10">
        <v>46162</v>
      </c>
      <c r="N34" s="8" t="s">
        <v>38</v>
      </c>
      <c r="O34" s="12"/>
      <c r="P34" s="13"/>
      <c r="Q34" s="14">
        <f>Tabela1[[#This Row],[QTDE/ Fabricação]]-Tabela1[[#This Row],[QTE]]</f>
        <v>-4</v>
      </c>
      <c r="R34" s="18">
        <f t="shared" si="8"/>
        <v>7.2</v>
      </c>
      <c r="S34" s="18">
        <f t="shared" si="7"/>
        <v>7.2</v>
      </c>
      <c r="T34" s="19">
        <f t="shared" si="9"/>
        <v>0</v>
      </c>
      <c r="U34" s="16">
        <f>IFERROR(SUMIF('LISTA DE EMBARQUE'!B:B,MICRO!E:E,'LISTA DE EMBARQUE'!G:G),"")</f>
        <v>0</v>
      </c>
      <c r="V34" s="12" t="str">
        <f>IFERROR(VLOOKUP(Tabela1[[#This Row],[COD.MDE]],'LISTA DE EMBARQUE'!B:L,11,0),"")</f>
        <v/>
      </c>
      <c r="W34" s="13" t="str">
        <f>IFERROR(VLOOKUP(Tabela1[[#This Row],[COD.MDE]],'LISTA DE EMBARQUE'!B:M,12,0),"")</f>
        <v/>
      </c>
      <c r="X34" s="14">
        <f>IFERROR(Tabela1[[#This Row],[QIANTIDADE EXPEDIDA]]*Tabela1[[#This Row],[PESO UNI]],"")</f>
        <v>0</v>
      </c>
      <c r="Y34" s="14">
        <f t="shared" si="2"/>
        <v>-4</v>
      </c>
      <c r="Z34" s="20">
        <f>Tabela1[[#This Row],[PESO TOTAL]]-Tabela1[[#This Row],[Peso Expedido]]</f>
        <v>7.2</v>
      </c>
      <c r="AA34" s="17">
        <v>1</v>
      </c>
      <c r="AB34" s="17">
        <v>1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33"/>
      <c r="AI34" s="33" t="str">
        <f t="shared" si="10"/>
        <v/>
      </c>
      <c r="AJ34" s="5"/>
      <c r="AK34" t="str">
        <f>Tabela1[[#This Row],[Coluna1]]&amp;Tabela1[[#This Row],[PEDIDO]]</f>
        <v>P-202</v>
      </c>
      <c r="AL34"/>
      <c r="AM34"/>
      <c r="AN34"/>
      <c r="AO34" t="str">
        <f t="shared" si="4"/>
        <v>R-6-4-5470A/P202</v>
      </c>
      <c r="AP34" t="str">
        <f>Tabela1[[#This Row],[TAG]]&amp;Tabela1[[#This Row],[PEDIDO]]&amp;Tabela1[[#This Row],[PRODUTO]]</f>
        <v>P202P-202ROLOS</v>
      </c>
      <c r="AQ34" s="22" t="str">
        <f>Tabela1[[#This Row],[PRODUTO]]&amp;Tabela1[[#This Row],[TAG]]</f>
        <v>ROLOSP202</v>
      </c>
      <c r="AR34" s="24" t="str">
        <f>Tabela1[[#This Row],[PEDIDO]]&amp;Tabela1[[#This Row],[PRODUTO]]</f>
        <v>P-202ROLOS</v>
      </c>
      <c r="AS34" s="37">
        <f>IF(AF34="",0,IF(ISTEXT(AF34),H34*VALUE(SUBSTITUTE(AF34,"%",""))/100,H34*AF34))-Tabela1[[#This Row],[PRONTO ACABADO2]]</f>
        <v>0</v>
      </c>
      <c r="AT34" s="37">
        <f>IF(AG34="",0,IF(ISTEXT(AG34),H34*VALUE(SUBSTITUTE(AG34,"%",""))/100,H34*AG34))-Tabela1[[#This Row],[PESO EXPEDIDO2]]</f>
        <v>7.2</v>
      </c>
      <c r="AU34" s="37">
        <f t="shared" si="5"/>
        <v>0</v>
      </c>
      <c r="AV34" s="37">
        <f t="shared" si="6"/>
        <v>7.2</v>
      </c>
      <c r="AW34" s="37"/>
    </row>
    <row r="35" spans="1:49" ht="15.75" customHeight="1" x14ac:dyDescent="0.25">
      <c r="A35" s="6" t="s">
        <v>82</v>
      </c>
      <c r="B35" s="21"/>
      <c r="C35" s="7">
        <v>5</v>
      </c>
      <c r="D35" s="39" t="s">
        <v>3019</v>
      </c>
      <c r="E35" s="7">
        <v>3727</v>
      </c>
      <c r="F35" s="7">
        <v>1</v>
      </c>
      <c r="G35" s="23">
        <v>19.8</v>
      </c>
      <c r="H35" s="34">
        <f>Tabela1[[#This Row],[PESO UNI]]*Tabela1[[#This Row],[QTE]]</f>
        <v>99</v>
      </c>
      <c r="I35" s="7">
        <v>0</v>
      </c>
      <c r="J35" s="8" t="s">
        <v>3020</v>
      </c>
      <c r="K35" s="8" t="s">
        <v>23</v>
      </c>
      <c r="L35" s="9" t="s">
        <v>3005</v>
      </c>
      <c r="M35" s="10">
        <v>46163</v>
      </c>
      <c r="N35" s="8" t="s">
        <v>38</v>
      </c>
      <c r="O35" s="12"/>
      <c r="P35" s="13"/>
      <c r="Q35" s="14">
        <f>Tabela1[[#This Row],[QTDE/ Fabricação]]-Tabela1[[#This Row],[QTE]]</f>
        <v>-5</v>
      </c>
      <c r="R35" s="18">
        <f t="shared" si="8"/>
        <v>85.387500000000003</v>
      </c>
      <c r="S35" s="18">
        <f t="shared" si="7"/>
        <v>49.5</v>
      </c>
      <c r="T35" s="19">
        <f t="shared" si="9"/>
        <v>-49.5</v>
      </c>
      <c r="U35" s="16">
        <f>IFERROR(SUMIF('LISTA DE EMBARQUE'!B:B,MICRO!E:E,'LISTA DE EMBARQUE'!G:G),"")</f>
        <v>0</v>
      </c>
      <c r="V35" s="12" t="str">
        <f>IFERROR(VLOOKUP(Tabela1[[#This Row],[COD.MDE]],'LISTA DE EMBARQUE'!B:L,11,0),"")</f>
        <v/>
      </c>
      <c r="W35" s="13" t="str">
        <f>IFERROR(VLOOKUP(Tabela1[[#This Row],[COD.MDE]],'LISTA DE EMBARQUE'!B:M,12,0),"")</f>
        <v/>
      </c>
      <c r="X35" s="14">
        <f>IFERROR(Tabela1[[#This Row],[QIANTIDADE EXPEDIDA]]*Tabela1[[#This Row],[PESO UNI]],"")</f>
        <v>0</v>
      </c>
      <c r="Y35" s="14">
        <f t="shared" si="2"/>
        <v>-5</v>
      </c>
      <c r="Z35" s="20">
        <f>Tabela1[[#This Row],[PESO TOTAL]]-Tabela1[[#This Row],[Peso Expedido]]</f>
        <v>99</v>
      </c>
      <c r="AA35" s="17">
        <v>1</v>
      </c>
      <c r="AB35" s="33"/>
      <c r="AC35" s="33">
        <v>1</v>
      </c>
      <c r="AD35" s="33">
        <v>1</v>
      </c>
      <c r="AE35" s="33">
        <v>0.5</v>
      </c>
      <c r="AF35" s="33">
        <v>0.5</v>
      </c>
      <c r="AG35" s="33">
        <v>0.5</v>
      </c>
      <c r="AH35" s="33"/>
      <c r="AI35" s="33" t="str">
        <f t="shared" si="10"/>
        <v/>
      </c>
      <c r="AJ35" s="5"/>
      <c r="AK35" t="str">
        <f>Tabela1[[#This Row],[Coluna1]]&amp;Tabela1[[#This Row],[PEDIDO]]</f>
        <v>P-203</v>
      </c>
      <c r="AL35"/>
      <c r="AM35"/>
      <c r="AN35"/>
      <c r="AO35" t="str">
        <f t="shared" si="4"/>
        <v>R-3-4-7843/P203</v>
      </c>
      <c r="AP35" t="str">
        <f>Tabela1[[#This Row],[TAG]]&amp;Tabela1[[#This Row],[PEDIDO]]&amp;Tabela1[[#This Row],[PRODUTO]]</f>
        <v>P203P-203ROLOS</v>
      </c>
      <c r="AQ35" s="22" t="str">
        <f>Tabela1[[#This Row],[PRODUTO]]&amp;Tabela1[[#This Row],[TAG]]</f>
        <v>ROLOSP203</v>
      </c>
      <c r="AR35" s="24" t="str">
        <f>Tabela1[[#This Row],[PEDIDO]]&amp;Tabela1[[#This Row],[PRODUTO]]</f>
        <v>P-203ROLOS</v>
      </c>
      <c r="AS35" s="37">
        <f>IF(AF35="",0,IF(ISTEXT(AF35),H35*VALUE(SUBSTITUTE(AF35,"%",""))/100,H35*AF35))-Tabela1[[#This Row],[PRONTO ACABADO2]]</f>
        <v>0</v>
      </c>
      <c r="AT35" s="37">
        <f>IF(AG35="",0,IF(ISTEXT(AG35),H35*VALUE(SUBSTITUTE(AG35,"%",""))/100,H35*AG35))-Tabela1[[#This Row],[PESO EXPEDIDO2]]</f>
        <v>49.5</v>
      </c>
      <c r="AU35" s="37">
        <f t="shared" si="5"/>
        <v>0</v>
      </c>
      <c r="AV35" s="37">
        <f t="shared" si="6"/>
        <v>49.5</v>
      </c>
      <c r="AW35" s="37"/>
    </row>
    <row r="36" spans="1:49" ht="15.75" customHeight="1" x14ac:dyDescent="0.25">
      <c r="A36" s="6" t="s">
        <v>3024</v>
      </c>
      <c r="B36" s="21"/>
      <c r="C36" s="7">
        <v>1</v>
      </c>
      <c r="D36" s="39" t="s">
        <v>3025</v>
      </c>
      <c r="E36" s="7">
        <v>3732</v>
      </c>
      <c r="F36" s="7">
        <v>1</v>
      </c>
      <c r="G36" s="23">
        <v>773.1</v>
      </c>
      <c r="H36" s="34">
        <f>Tabela1[[#This Row],[PESO UNI]]*Tabela1[[#This Row],[QTE]]</f>
        <v>773.1</v>
      </c>
      <c r="I36" s="7" t="s">
        <v>2</v>
      </c>
      <c r="J36" s="8" t="s">
        <v>3026</v>
      </c>
      <c r="K36" s="8" t="s">
        <v>22</v>
      </c>
      <c r="L36" s="9" t="s">
        <v>2988</v>
      </c>
      <c r="M36" s="10">
        <v>46150</v>
      </c>
      <c r="N36" s="8" t="s">
        <v>38</v>
      </c>
      <c r="O36" s="12"/>
      <c r="P36" s="13"/>
      <c r="Q36" s="14">
        <f>Tabela1[[#This Row],[QTDE/ Fabricação]]-Tabela1[[#This Row],[QTE]]</f>
        <v>-1</v>
      </c>
      <c r="R36" s="18">
        <f t="shared" si="8"/>
        <v>773.1</v>
      </c>
      <c r="S36" s="18">
        <f t="shared" si="7"/>
        <v>773.1</v>
      </c>
      <c r="T36" s="19">
        <f t="shared" si="9"/>
        <v>0</v>
      </c>
      <c r="U36" s="16">
        <v>1</v>
      </c>
      <c r="V36" s="12">
        <v>1</v>
      </c>
      <c r="W36" s="13" t="str">
        <f>IFERROR(COUNTIF(#REF!,Tabela1[[#This Row],[Colunas5]]),"")</f>
        <v/>
      </c>
      <c r="X36" s="14">
        <f>Tabela1[[#This Row],[QIANTIDADE EXPEDIDA]]*Tabela1[[#This Row],[PESO UNI]]</f>
        <v>773.1</v>
      </c>
      <c r="Y36" s="14">
        <f t="shared" si="2"/>
        <v>0</v>
      </c>
      <c r="Z36" s="20">
        <f>Tabela1[[#This Row],[PESO TOTAL]]-Tabela1[[#This Row],[Peso Expedido]]</f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33">
        <v>1</v>
      </c>
      <c r="AI36" s="33" t="str">
        <f t="shared" si="10"/>
        <v>ok</v>
      </c>
      <c r="AJ36" s="5"/>
      <c r="AK36" t="str">
        <f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>Tabela1[[#This Row],[TAG]]&amp;Tabela1[[#This Row],[PEDIDO]]&amp;Tabela1[[#This Row],[PRODUTO]]</f>
        <v>P199P-199TAMBOR</v>
      </c>
      <c r="AQ36" s="22" t="str">
        <f>Tabela1[[#This Row],[PRODUTO]]&amp;Tabela1[[#This Row],[TAG]]</f>
        <v>TAMBORP199</v>
      </c>
      <c r="AR36" s="24" t="str">
        <f>Tabela1[[#This Row],[PEDIDO]]&amp;Tabela1[[#This Row],[PRODUTO]]</f>
        <v>P-199TAMBOR</v>
      </c>
      <c r="AS36" s="37" t="e">
        <f>IF(AF36="",0,IF(ISTEXT(AF36),#REF!*VALUE(SUBSTITUTE(AF36,"%",""))/100,#REF!*AF36))-Tabela1[[#This Row],[PRONTO ACABADO2]]</f>
        <v>#REF!</v>
      </c>
      <c r="AT36" s="37" t="e">
        <f>IF(AG36="",0,IF(ISTEXT(AG36),#REF!*VALUE(SUBSTITUTE(AG36,"%",""))/100,#REF!*AG36))-Tabela1[[#This Row],[PESO EXPEDIDO2]]</f>
        <v>#REF!</v>
      </c>
      <c r="AU36" s="37" t="e">
        <f>IF(AH36="",0,IF(ISTEXT(AH36),#REF!*VALUE(SUBSTITUTE(AH36,"%",""))/100,#REF!*AH36))</f>
        <v>#REF!</v>
      </c>
      <c r="AV36" s="37" t="e">
        <f>IF(AG36="",0,IF(ISTEXT(AG36),#REF!*VALUE(SUBSTITUTE(AG36,"%",""))/100,#REF!*AG36))</f>
        <v>#REF!</v>
      </c>
      <c r="AW36" s="37"/>
    </row>
    <row r="37" spans="1:49" ht="15.75" customHeight="1" x14ac:dyDescent="0.25">
      <c r="A37" s="6" t="s">
        <v>3032</v>
      </c>
      <c r="B37" s="21"/>
      <c r="C37" s="7">
        <v>16</v>
      </c>
      <c r="D37" s="39" t="s">
        <v>3033</v>
      </c>
      <c r="E37" s="7">
        <v>3733</v>
      </c>
      <c r="F37" s="7">
        <v>8</v>
      </c>
      <c r="G37" s="23">
        <v>9</v>
      </c>
      <c r="H37" s="34">
        <f>Tabela1[[#This Row],[PESO UNI]]*Tabela1[[#This Row],[QTE]]</f>
        <v>144</v>
      </c>
      <c r="I37" s="7">
        <v>0</v>
      </c>
      <c r="J37" s="8" t="s">
        <v>3034</v>
      </c>
      <c r="K37" s="8" t="s">
        <v>23</v>
      </c>
      <c r="L37" s="9" t="s">
        <v>2984</v>
      </c>
      <c r="M37" s="10">
        <v>46183</v>
      </c>
      <c r="N37" s="8" t="s">
        <v>38</v>
      </c>
      <c r="O37" s="12"/>
      <c r="P37" s="13"/>
      <c r="Q37" s="14">
        <f>Tabela1[[#This Row],[QTDE/ Fabricação]]-Tabela1[[#This Row],[QTE]]</f>
        <v>-16</v>
      </c>
      <c r="R37" s="18">
        <f t="shared" si="8"/>
        <v>144</v>
      </c>
      <c r="S37" s="18">
        <f t="shared" si="7"/>
        <v>144</v>
      </c>
      <c r="T37" s="19">
        <f t="shared" si="9"/>
        <v>0</v>
      </c>
      <c r="U37" s="16">
        <f>IFERROR(SUMIF('LISTA DE EMBARQUE'!B:B,MICRO!E:E,'LISTA DE EMBARQUE'!G:G),"")</f>
        <v>16</v>
      </c>
      <c r="V37" s="12">
        <f>IFERROR(VLOOKUP(Tabela1[[#This Row],[COD.MDE]],'LISTA DE EMBARQUE'!B:L,11,0),"")</f>
        <v>2</v>
      </c>
      <c r="W37" s="13" t="str">
        <f>IFERROR(COUNTIF(#REF!,Tabela1[[#This Row],[Colunas5]]),"")</f>
        <v/>
      </c>
      <c r="X37" s="14">
        <f>Tabela1[[#This Row],[QIANTIDADE EXPEDIDA]]*Tabela1[[#This Row],[PESO UNI]]</f>
        <v>144</v>
      </c>
      <c r="Y37" s="14">
        <f t="shared" si="2"/>
        <v>0</v>
      </c>
      <c r="Z37" s="20">
        <f>Tabela1[[#This Row],[PESO TOTAL]]-Tabela1[[#This Row],[Peso Expedido]]</f>
        <v>0</v>
      </c>
      <c r="AA37" s="17">
        <v>1</v>
      </c>
      <c r="AB37" s="33"/>
      <c r="AC37" s="33">
        <v>1</v>
      </c>
      <c r="AD37" s="33">
        <v>1</v>
      </c>
      <c r="AE37" s="33">
        <v>1</v>
      </c>
      <c r="AF37" s="33">
        <v>1</v>
      </c>
      <c r="AG37" s="33">
        <v>1</v>
      </c>
      <c r="AH37" s="33">
        <v>1</v>
      </c>
      <c r="AI37" s="33" t="str">
        <f t="shared" si="10"/>
        <v>ok</v>
      </c>
      <c r="AJ37" s="5"/>
      <c r="AK37" t="str">
        <f>Tabela1[[#This Row],[Coluna1]]&amp;Tabela1[[#This Row],[PEDIDO]]</f>
        <v>P-198</v>
      </c>
      <c r="AL37"/>
      <c r="AM37"/>
      <c r="AN37"/>
      <c r="AO37" t="str">
        <f t="shared" ref="AO37:AO67" si="11">A37&amp;"/"&amp;J37</f>
        <v>R-1-4-11009/05-CV-0001</v>
      </c>
      <c r="AP37" t="str">
        <f>Tabela1[[#This Row],[TAG]]&amp;Tabela1[[#This Row],[PEDIDO]]&amp;Tabela1[[#This Row],[PRODUTO]]</f>
        <v>05-CV-0001P-198ROLOS</v>
      </c>
      <c r="AQ37" s="22" t="str">
        <f>Tabela1[[#This Row],[PRODUTO]]&amp;Tabela1[[#This Row],[TAG]]</f>
        <v>ROLOS05-CV-0001</v>
      </c>
      <c r="AR37" s="24" t="str">
        <f>Tabela1[[#This Row],[PEDIDO]]&amp;Tabela1[[#This Row],[PRODUTO]]</f>
        <v>P-198ROLOS</v>
      </c>
      <c r="AS37" s="37">
        <f>IF(AF37="",0,IF(ISTEXT(AF37),H37*VALUE(SUBSTITUTE(AF37,"%",""))/100,H37*AF37))-Tabela1[[#This Row],[PRONTO ACABADO2]]</f>
        <v>0</v>
      </c>
      <c r="AT37" s="37">
        <f>IF(AG37="",0,IF(ISTEXT(AG37),H37*VALUE(SUBSTITUTE(AG37,"%",""))/100,H37*AG37))-Tabela1[[#This Row],[PESO EXPEDIDO2]]</f>
        <v>0</v>
      </c>
      <c r="AU37" s="37">
        <f t="shared" ref="AU37:AU100" si="12">IF(AH37="",0,IF(ISTEXT(AH37),H37*VALUE(SUBSTITUTE(AH37,"%",""))/100,H37*AH37))</f>
        <v>144</v>
      </c>
      <c r="AV37" s="37">
        <f t="shared" ref="AV37:AV100" si="13">IF(AG37="",0,IF(ISTEXT(AG37),H37*VALUE(SUBSTITUTE(AG37,"%",""))/100,H37*AG37))</f>
        <v>144</v>
      </c>
      <c r="AW37" s="37"/>
    </row>
    <row r="38" spans="1:49" ht="15.75" customHeight="1" x14ac:dyDescent="0.25">
      <c r="A38" s="6" t="s">
        <v>3035</v>
      </c>
      <c r="B38" s="21"/>
      <c r="C38" s="7">
        <v>78</v>
      </c>
      <c r="D38" s="39" t="s">
        <v>3036</v>
      </c>
      <c r="E38" s="7">
        <v>3734</v>
      </c>
      <c r="F38" s="7">
        <v>8</v>
      </c>
      <c r="G38" s="23">
        <v>9.5</v>
      </c>
      <c r="H38" s="34">
        <f>Tabela1[[#This Row],[PESO UNI]]*Tabela1[[#This Row],[QTE]]</f>
        <v>741</v>
      </c>
      <c r="I38" s="7">
        <v>0</v>
      </c>
      <c r="J38" s="8" t="s">
        <v>3034</v>
      </c>
      <c r="K38" s="8" t="s">
        <v>23</v>
      </c>
      <c r="L38" s="9" t="s">
        <v>2984</v>
      </c>
      <c r="M38" s="10"/>
      <c r="N38" s="8" t="s">
        <v>38</v>
      </c>
      <c r="O38" s="12"/>
      <c r="P38" s="13"/>
      <c r="Q38" s="14">
        <f>Tabela1[[#This Row],[QTDE/ Fabricação]]-Tabela1[[#This Row],[QTE]]</f>
        <v>-78</v>
      </c>
      <c r="R38" s="18">
        <f t="shared" ref="R38:R79" si="14">IFERROR(H38*((AA38*0.25)+(AC38*0.25)+(AD38*0.225)+(AE38*0.225)+(AF38*0.05)),"")</f>
        <v>741</v>
      </c>
      <c r="S38" s="18">
        <f t="shared" ref="S38:S79" si="15">IFERROR(H38*AG38,"")</f>
        <v>741</v>
      </c>
      <c r="T38" s="19">
        <f t="shared" ref="T38:T79" si="16">IFERROR(S38-H38,"")</f>
        <v>0</v>
      </c>
      <c r="U38" s="16">
        <f>IFERROR(SUMIF('LISTA DE EMBARQUE'!B:B,MICRO!E:E,'LISTA DE EMBARQUE'!G:G),"")</f>
        <v>78</v>
      </c>
      <c r="V38" s="12">
        <f>IFERROR(VLOOKUP(Tabela1[[#This Row],[COD.MDE]],'LISTA DE EMBARQUE'!B:L,11,0),"")</f>
        <v>1</v>
      </c>
      <c r="W38" s="13" t="str">
        <f>IFERROR(COUNTIF(#REF!,Tabela1[[#This Row],[Colunas5]]),"")</f>
        <v/>
      </c>
      <c r="X38" s="14">
        <f>Tabela1[[#This Row],[QIANTIDADE EXPEDIDA]]*Tabela1[[#This Row],[PESO UNI]]</f>
        <v>741</v>
      </c>
      <c r="Y38" s="14">
        <f t="shared" ref="Y38:Y79" si="17">U38-C38</f>
        <v>0</v>
      </c>
      <c r="Z38" s="20">
        <f>Tabela1[[#This Row],[PESO TOTAL]]-Tabela1[[#This Row],[Peso Expedido]]</f>
        <v>0</v>
      </c>
      <c r="AA38" s="17">
        <v>1</v>
      </c>
      <c r="AB38" s="33"/>
      <c r="AC38" s="33">
        <v>1</v>
      </c>
      <c r="AD38" s="33">
        <v>1</v>
      </c>
      <c r="AE38" s="33">
        <v>1</v>
      </c>
      <c r="AF38" s="33">
        <v>1</v>
      </c>
      <c r="AG38" s="33">
        <v>1</v>
      </c>
      <c r="AH38" s="33">
        <v>1</v>
      </c>
      <c r="AI38" s="33" t="str">
        <f t="shared" si="10"/>
        <v>ok</v>
      </c>
      <c r="AJ38" s="5"/>
      <c r="AK38" t="str">
        <f>Tabela1[[#This Row],[Coluna1]]&amp;Tabela1[[#This Row],[PEDIDO]]</f>
        <v>P-198</v>
      </c>
      <c r="AL38"/>
      <c r="AM38"/>
      <c r="AN38"/>
      <c r="AO38" t="str">
        <f t="shared" si="11"/>
        <v>R-1-4-8850A/05-CV-0001</v>
      </c>
      <c r="AP38" t="str">
        <f>Tabela1[[#This Row],[TAG]]&amp;Tabela1[[#This Row],[PEDIDO]]&amp;Tabela1[[#This Row],[PRODUTO]]</f>
        <v>05-CV-0001P-198ROLOS</v>
      </c>
      <c r="AQ38" s="22" t="str">
        <f>Tabela1[[#This Row],[PRODUTO]]&amp;Tabela1[[#This Row],[TAG]]</f>
        <v>ROLOS05-CV-0001</v>
      </c>
      <c r="AR38" s="24" t="str">
        <f>Tabela1[[#This Row],[PEDIDO]]&amp;Tabela1[[#This Row],[PRODUTO]]</f>
        <v>P-198ROLOS</v>
      </c>
      <c r="AS38" s="37">
        <f>IF(AF38="",0,IF(ISTEXT(AF38),H38*VALUE(SUBSTITUTE(AF38,"%",""))/100,H38*AF38))-Tabela1[[#This Row],[PRONTO ACABADO2]]</f>
        <v>0</v>
      </c>
      <c r="AT38" s="37">
        <f>IF(AG38="",0,IF(ISTEXT(AG38),H38*VALUE(SUBSTITUTE(AG38,"%",""))/100,H38*AG38))-Tabela1[[#This Row],[PESO EXPEDIDO2]]</f>
        <v>0</v>
      </c>
      <c r="AU38" s="37">
        <f t="shared" si="12"/>
        <v>741</v>
      </c>
      <c r="AV38" s="37">
        <f t="shared" si="13"/>
        <v>741</v>
      </c>
      <c r="AW38" s="37"/>
    </row>
    <row r="39" spans="1:49" ht="15.75" customHeight="1" x14ac:dyDescent="0.25">
      <c r="A39" s="6" t="s">
        <v>3037</v>
      </c>
      <c r="B39" s="21"/>
      <c r="C39" s="7">
        <v>45</v>
      </c>
      <c r="D39" s="39" t="s">
        <v>3038</v>
      </c>
      <c r="E39" s="7">
        <v>3735</v>
      </c>
      <c r="F39" s="7">
        <v>8</v>
      </c>
      <c r="G39" s="23">
        <v>9</v>
      </c>
      <c r="H39" s="34">
        <f>Tabela1[[#This Row],[PESO UNI]]*Tabela1[[#This Row],[QTE]]</f>
        <v>405</v>
      </c>
      <c r="I39" s="7">
        <v>0</v>
      </c>
      <c r="J39" s="8" t="s">
        <v>3034</v>
      </c>
      <c r="K39" s="8" t="s">
        <v>23</v>
      </c>
      <c r="L39" s="9" t="s">
        <v>2984</v>
      </c>
      <c r="M39" s="10"/>
      <c r="N39" s="8" t="s">
        <v>38</v>
      </c>
      <c r="O39" s="12"/>
      <c r="P39" s="13"/>
      <c r="Q39" s="14">
        <f>Tabela1[[#This Row],[QTDE/ Fabricação]]-Tabela1[[#This Row],[QTE]]</f>
        <v>-45</v>
      </c>
      <c r="R39" s="18">
        <f t="shared" si="14"/>
        <v>405</v>
      </c>
      <c r="S39" s="18">
        <f t="shared" si="15"/>
        <v>405</v>
      </c>
      <c r="T39" s="19">
        <f t="shared" si="16"/>
        <v>0</v>
      </c>
      <c r="U39" s="16">
        <f>IFERROR(SUMIF('LISTA DE EMBARQUE'!B:B,MICRO!E:E,'LISTA DE EMBARQUE'!G:G),"")</f>
        <v>45</v>
      </c>
      <c r="V39" s="12">
        <f>IFERROR(VLOOKUP(Tabela1[[#This Row],[COD.MDE]],'LISTA DE EMBARQUE'!B:L,11,0),"")</f>
        <v>1</v>
      </c>
      <c r="W39" s="13" t="str">
        <f>IFERROR(COUNTIF(#REF!,Tabela1[[#This Row],[Colunas5]]),"")</f>
        <v/>
      </c>
      <c r="X39" s="14">
        <f>Tabela1[[#This Row],[QIANTIDADE EXPEDIDA]]*Tabela1[[#This Row],[PESO UNI]]</f>
        <v>405</v>
      </c>
      <c r="Y39" s="14">
        <f t="shared" si="17"/>
        <v>0</v>
      </c>
      <c r="Z39" s="20">
        <f>Tabela1[[#This Row],[PESO TOTAL]]-Tabela1[[#This Row],[Peso Expedido]]</f>
        <v>0</v>
      </c>
      <c r="AA39" s="17">
        <v>1</v>
      </c>
      <c r="AB39" s="33"/>
      <c r="AC39" s="33">
        <v>1</v>
      </c>
      <c r="AD39" s="33">
        <v>1</v>
      </c>
      <c r="AE39" s="33">
        <v>1</v>
      </c>
      <c r="AF39" s="33">
        <v>1</v>
      </c>
      <c r="AG39" s="33">
        <v>1</v>
      </c>
      <c r="AH39" s="33">
        <v>1</v>
      </c>
      <c r="AI39" s="33" t="str">
        <f t="shared" si="10"/>
        <v>ok</v>
      </c>
      <c r="AJ39" s="5"/>
      <c r="AK39" t="str">
        <f>Tabela1[[#This Row],[Coluna1]]&amp;Tabela1[[#This Row],[PEDIDO]]</f>
        <v>P-198</v>
      </c>
      <c r="AL39"/>
      <c r="AM39"/>
      <c r="AN39"/>
      <c r="AO39" t="str">
        <f t="shared" si="11"/>
        <v>R-1-4-8709/05-CV-0001</v>
      </c>
      <c r="AP39" t="str">
        <f>Tabela1[[#This Row],[TAG]]&amp;Tabela1[[#This Row],[PEDIDO]]&amp;Tabela1[[#This Row],[PRODUTO]]</f>
        <v>05-CV-0001P-198ROLOS</v>
      </c>
      <c r="AQ39" s="22" t="str">
        <f>Tabela1[[#This Row],[PRODUTO]]&amp;Tabela1[[#This Row],[TAG]]</f>
        <v>ROLOS05-CV-0001</v>
      </c>
      <c r="AR39" s="24" t="str">
        <f>Tabela1[[#This Row],[PEDIDO]]&amp;Tabela1[[#This Row],[PRODUTO]]</f>
        <v>P-198ROLOS</v>
      </c>
      <c r="AS39" s="37">
        <f>IF(AF39="",0,IF(ISTEXT(AF39),H39*VALUE(SUBSTITUTE(AF39,"%",""))/100,H39*AF39))-Tabela1[[#This Row],[PRONTO ACABADO2]]</f>
        <v>0</v>
      </c>
      <c r="AT39" s="37">
        <f>IF(AG39="",0,IF(ISTEXT(AG39),H39*VALUE(SUBSTITUTE(AG39,"%",""))/100,H39*AG39))-Tabela1[[#This Row],[PESO EXPEDIDO2]]</f>
        <v>0</v>
      </c>
      <c r="AU39" s="37">
        <f t="shared" si="12"/>
        <v>405</v>
      </c>
      <c r="AV39" s="37">
        <f t="shared" si="13"/>
        <v>405</v>
      </c>
      <c r="AW39" s="37"/>
    </row>
    <row r="40" spans="1:49" ht="15.75" customHeight="1" x14ac:dyDescent="0.25">
      <c r="A40" s="6" t="s">
        <v>3039</v>
      </c>
      <c r="B40" s="21"/>
      <c r="C40" s="7">
        <v>4</v>
      </c>
      <c r="D40" s="39" t="s">
        <v>3040</v>
      </c>
      <c r="E40" s="7">
        <v>3736</v>
      </c>
      <c r="F40" s="7">
        <v>8</v>
      </c>
      <c r="G40" s="23">
        <v>2.7</v>
      </c>
      <c r="H40" s="34">
        <f>Tabela1[[#This Row],[PESO UNI]]*Tabela1[[#This Row],[QTE]]</f>
        <v>10.8</v>
      </c>
      <c r="I40" s="7">
        <v>0</v>
      </c>
      <c r="J40" s="8" t="s">
        <v>3034</v>
      </c>
      <c r="K40" s="8" t="s">
        <v>23</v>
      </c>
      <c r="L40" s="9" t="s">
        <v>2984</v>
      </c>
      <c r="M40" s="10"/>
      <c r="N40" s="8" t="s">
        <v>38</v>
      </c>
      <c r="O40" s="12"/>
      <c r="P40" s="13"/>
      <c r="Q40" s="14">
        <f>Tabela1[[#This Row],[QTDE/ Fabricação]]-Tabela1[[#This Row],[QTE]]</f>
        <v>-4</v>
      </c>
      <c r="R40" s="18">
        <f t="shared" si="14"/>
        <v>10.8</v>
      </c>
      <c r="S40" s="18">
        <f t="shared" si="15"/>
        <v>10.8</v>
      </c>
      <c r="T40" s="19">
        <f t="shared" si="16"/>
        <v>0</v>
      </c>
      <c r="U40" s="16">
        <f>IFERROR(SUMIF('LISTA DE EMBARQUE'!B:B,MICRO!E:E,'LISTA DE EMBARQUE'!G:G),"")</f>
        <v>4</v>
      </c>
      <c r="V40" s="12">
        <f>IFERROR(VLOOKUP(Tabela1[[#This Row],[COD.MDE]],'LISTA DE EMBARQUE'!B:L,11,0),"")</f>
        <v>2</v>
      </c>
      <c r="W40" s="13" t="str">
        <f>IFERROR(COUNTIF(#REF!,Tabela1[[#This Row],[Colunas5]]),"")</f>
        <v/>
      </c>
      <c r="X40" s="14">
        <f>Tabela1[[#This Row],[QIANTIDADE EXPEDIDA]]*Tabela1[[#This Row],[PESO UNI]]</f>
        <v>10.8</v>
      </c>
      <c r="Y40" s="14">
        <f t="shared" si="17"/>
        <v>0</v>
      </c>
      <c r="Z40" s="20">
        <f>Tabela1[[#This Row],[PESO TOTAL]]-Tabela1[[#This Row],[Peso Expedido]]</f>
        <v>0</v>
      </c>
      <c r="AA40" s="17">
        <v>1</v>
      </c>
      <c r="AB40" s="33"/>
      <c r="AC40" s="33">
        <v>1</v>
      </c>
      <c r="AD40" s="33">
        <v>1</v>
      </c>
      <c r="AE40" s="33">
        <v>1</v>
      </c>
      <c r="AF40" s="33">
        <v>1</v>
      </c>
      <c r="AG40" s="33">
        <v>1</v>
      </c>
      <c r="AH40" s="33">
        <v>1</v>
      </c>
      <c r="AI40" s="33" t="str">
        <f t="shared" si="10"/>
        <v>ok</v>
      </c>
      <c r="AJ40" s="5"/>
      <c r="AK40" t="str">
        <f>Tabela1[[#This Row],[Coluna1]]&amp;Tabela1[[#This Row],[PEDIDO]]</f>
        <v>P-198</v>
      </c>
      <c r="AL40"/>
      <c r="AM40"/>
      <c r="AN40"/>
      <c r="AO40" t="str">
        <f t="shared" si="11"/>
        <v>T-054922-4/05-CV-0001</v>
      </c>
      <c r="AP40" t="str">
        <f>Tabela1[[#This Row],[TAG]]&amp;Tabela1[[#This Row],[PEDIDO]]&amp;Tabela1[[#This Row],[PRODUTO]]</f>
        <v>05-CV-0001P-198ROLOS</v>
      </c>
      <c r="AQ40" s="22" t="str">
        <f>Tabela1[[#This Row],[PRODUTO]]&amp;Tabela1[[#This Row],[TAG]]</f>
        <v>ROLOS05-CV-0001</v>
      </c>
      <c r="AR40" s="24" t="str">
        <f>Tabela1[[#This Row],[PEDIDO]]&amp;Tabela1[[#This Row],[PRODUTO]]</f>
        <v>P-198ROLOS</v>
      </c>
      <c r="AS40" s="37">
        <f>IF(AF40="",0,IF(ISTEXT(AF40),H40*VALUE(SUBSTITUTE(AF40,"%",""))/100,H40*AF40))-Tabela1[[#This Row],[PRONTO ACABADO2]]</f>
        <v>0</v>
      </c>
      <c r="AT40" s="37">
        <f>IF(AG40="",0,IF(ISTEXT(AG40),H40*VALUE(SUBSTITUTE(AG40,"%",""))/100,H40*AG40))-Tabela1[[#This Row],[PESO EXPEDIDO2]]</f>
        <v>0</v>
      </c>
      <c r="AU40" s="37">
        <f t="shared" si="12"/>
        <v>10.8</v>
      </c>
      <c r="AV40" s="37">
        <f t="shared" si="13"/>
        <v>10.8</v>
      </c>
      <c r="AW40" s="37"/>
    </row>
    <row r="41" spans="1:49" ht="15.75" customHeight="1" x14ac:dyDescent="0.25">
      <c r="A41" s="6" t="s">
        <v>3041</v>
      </c>
      <c r="B41" s="21"/>
      <c r="C41" s="7">
        <v>10</v>
      </c>
      <c r="D41" s="39" t="s">
        <v>3042</v>
      </c>
      <c r="E41" s="7">
        <v>3737</v>
      </c>
      <c r="F41" s="7">
        <v>8</v>
      </c>
      <c r="G41" s="23">
        <v>16</v>
      </c>
      <c r="H41" s="34">
        <f>Tabela1[[#This Row],[PESO UNI]]*Tabela1[[#This Row],[QTE]]</f>
        <v>160</v>
      </c>
      <c r="I41" s="7">
        <v>0</v>
      </c>
      <c r="J41" s="8" t="s">
        <v>3034</v>
      </c>
      <c r="K41" s="8" t="s">
        <v>23</v>
      </c>
      <c r="L41" s="9" t="s">
        <v>2984</v>
      </c>
      <c r="M41" s="10"/>
      <c r="N41" s="8" t="s">
        <v>38</v>
      </c>
      <c r="O41" s="12"/>
      <c r="P41" s="13"/>
      <c r="Q41" s="14">
        <f>Tabela1[[#This Row],[QTDE/ Fabricação]]-Tabela1[[#This Row],[QTE]]</f>
        <v>-10</v>
      </c>
      <c r="R41" s="18">
        <f t="shared" si="14"/>
        <v>160</v>
      </c>
      <c r="S41" s="18">
        <f t="shared" si="15"/>
        <v>160</v>
      </c>
      <c r="T41" s="19">
        <f t="shared" si="16"/>
        <v>0</v>
      </c>
      <c r="U41" s="16">
        <f>IFERROR(SUMIF('LISTA DE EMBARQUE'!B:B,MICRO!E:E,'LISTA DE EMBARQUE'!G:G),"")</f>
        <v>10</v>
      </c>
      <c r="V41" s="12">
        <f>IFERROR(VLOOKUP(Tabela1[[#This Row],[COD.MDE]],'LISTA DE EMBARQUE'!B:L,11,0),"")</f>
        <v>1</v>
      </c>
      <c r="W41" s="13" t="str">
        <f>IFERROR(COUNTIF(#REF!,Tabela1[[#This Row],[Colunas5]]),"")</f>
        <v/>
      </c>
      <c r="X41" s="14">
        <f>Tabela1[[#This Row],[QIANTIDADE EXPEDIDA]]*Tabela1[[#This Row],[PESO UNI]]</f>
        <v>160</v>
      </c>
      <c r="Y41" s="14">
        <f t="shared" si="17"/>
        <v>0</v>
      </c>
      <c r="Z41" s="20">
        <f>Tabela1[[#This Row],[PESO TOTAL]]-Tabela1[[#This Row],[Peso Expedido]]</f>
        <v>0</v>
      </c>
      <c r="AA41" s="17">
        <v>1</v>
      </c>
      <c r="AB41" s="33"/>
      <c r="AC41" s="33">
        <v>1</v>
      </c>
      <c r="AD41" s="33">
        <v>1</v>
      </c>
      <c r="AE41" s="33">
        <v>1</v>
      </c>
      <c r="AF41" s="33">
        <v>1</v>
      </c>
      <c r="AG41" s="33">
        <v>1</v>
      </c>
      <c r="AH41" s="33">
        <v>1</v>
      </c>
      <c r="AI41" s="33" t="str">
        <f t="shared" si="10"/>
        <v>ok</v>
      </c>
      <c r="AJ41" s="5"/>
      <c r="AK41" t="str">
        <f>Tabela1[[#This Row],[Coluna1]]&amp;Tabela1[[#This Row],[PEDIDO]]</f>
        <v>P-198</v>
      </c>
      <c r="AL41"/>
      <c r="AM41"/>
      <c r="AN41"/>
      <c r="AO41" t="str">
        <f t="shared" si="11"/>
        <v>R-3-4-11010/05-CV-0001</v>
      </c>
      <c r="AP41" t="str">
        <f>Tabela1[[#This Row],[TAG]]&amp;Tabela1[[#This Row],[PEDIDO]]&amp;Tabela1[[#This Row],[PRODUTO]]</f>
        <v>05-CV-0001P-198ROLOS</v>
      </c>
      <c r="AQ41" s="22" t="str">
        <f>Tabela1[[#This Row],[PRODUTO]]&amp;Tabela1[[#This Row],[TAG]]</f>
        <v>ROLOS05-CV-0001</v>
      </c>
      <c r="AR41" s="24" t="str">
        <f>Tabela1[[#This Row],[PEDIDO]]&amp;Tabela1[[#This Row],[PRODUTO]]</f>
        <v>P-198ROLOS</v>
      </c>
      <c r="AS41" s="37">
        <f>IF(AF41="",0,IF(ISTEXT(AF41),H41*VALUE(SUBSTITUTE(AF41,"%",""))/100,H41*AF41))-Tabela1[[#This Row],[PRONTO ACABADO2]]</f>
        <v>0</v>
      </c>
      <c r="AT41" s="37">
        <f>IF(AG41="",0,IF(ISTEXT(AG41),H41*VALUE(SUBSTITUTE(AG41,"%",""))/100,H41*AG41))-Tabela1[[#This Row],[PESO EXPEDIDO2]]</f>
        <v>0</v>
      </c>
      <c r="AU41" s="37">
        <f t="shared" si="12"/>
        <v>160</v>
      </c>
      <c r="AV41" s="37">
        <f t="shared" si="13"/>
        <v>160</v>
      </c>
      <c r="AW41" s="37"/>
    </row>
    <row r="42" spans="1:49" ht="15.75" customHeight="1" x14ac:dyDescent="0.25">
      <c r="A42" s="6" t="s">
        <v>3043</v>
      </c>
      <c r="B42" s="21"/>
      <c r="C42" s="7">
        <v>4</v>
      </c>
      <c r="D42" s="39" t="s">
        <v>3044</v>
      </c>
      <c r="E42" s="7">
        <v>3738</v>
      </c>
      <c r="F42" s="7">
        <v>8</v>
      </c>
      <c r="G42" s="23">
        <v>3.2</v>
      </c>
      <c r="H42" s="34">
        <f>Tabela1[[#This Row],[PESO UNI]]*Tabela1[[#This Row],[QTE]]</f>
        <v>12.8</v>
      </c>
      <c r="I42" s="7">
        <v>0</v>
      </c>
      <c r="J42" s="8" t="s">
        <v>3034</v>
      </c>
      <c r="K42" s="8" t="s">
        <v>23</v>
      </c>
      <c r="L42" s="9" t="s">
        <v>2984</v>
      </c>
      <c r="M42" s="10"/>
      <c r="N42" s="8" t="s">
        <v>38</v>
      </c>
      <c r="O42" s="12"/>
      <c r="P42" s="13"/>
      <c r="Q42" s="14">
        <f>Tabela1[[#This Row],[QTDE/ Fabricação]]-Tabela1[[#This Row],[QTE]]</f>
        <v>-4</v>
      </c>
      <c r="R42" s="18">
        <f t="shared" si="14"/>
        <v>12.8</v>
      </c>
      <c r="S42" s="18">
        <f t="shared" si="15"/>
        <v>12.8</v>
      </c>
      <c r="T42" s="19">
        <f t="shared" si="16"/>
        <v>0</v>
      </c>
      <c r="U42" s="16">
        <f>IFERROR(SUMIF('LISTA DE EMBARQUE'!B:B,MICRO!E:E,'LISTA DE EMBARQUE'!G:G),"")</f>
        <v>4</v>
      </c>
      <c r="V42" s="12">
        <f>IFERROR(VLOOKUP(Tabela1[[#This Row],[COD.MDE]],'LISTA DE EMBARQUE'!B:L,11,0),"")</f>
        <v>2</v>
      </c>
      <c r="W42" s="13" t="str">
        <f>IFERROR(COUNTIF(#REF!,Tabela1[[#This Row],[Colunas5]]),"")</f>
        <v/>
      </c>
      <c r="X42" s="14">
        <f>Tabela1[[#This Row],[QIANTIDADE EXPEDIDA]]*Tabela1[[#This Row],[PESO UNI]]</f>
        <v>12.8</v>
      </c>
      <c r="Y42" s="14">
        <f t="shared" si="17"/>
        <v>0</v>
      </c>
      <c r="Z42" s="20">
        <f>Tabela1[[#This Row],[PESO TOTAL]]-Tabela1[[#This Row],[Peso Expedido]]</f>
        <v>0</v>
      </c>
      <c r="AA42" s="17">
        <v>1</v>
      </c>
      <c r="AB42" s="33"/>
      <c r="AC42" s="33">
        <v>1</v>
      </c>
      <c r="AD42" s="33">
        <v>1</v>
      </c>
      <c r="AE42" s="33">
        <v>1</v>
      </c>
      <c r="AF42" s="33">
        <v>1</v>
      </c>
      <c r="AG42" s="33">
        <v>1</v>
      </c>
      <c r="AH42" s="33">
        <v>1</v>
      </c>
      <c r="AI42" s="33" t="str">
        <f t="shared" si="10"/>
        <v>ok</v>
      </c>
      <c r="AJ42" s="5"/>
      <c r="AK42" t="str">
        <f>Tabela1[[#This Row],[Coluna1]]&amp;Tabela1[[#This Row],[PEDIDO]]</f>
        <v>P-198</v>
      </c>
      <c r="AL42"/>
      <c r="AM42"/>
      <c r="AN42"/>
      <c r="AO42" t="str">
        <f t="shared" si="11"/>
        <v>T-054921-4/05-CV-0001</v>
      </c>
      <c r="AP42" t="str">
        <f>Tabela1[[#This Row],[TAG]]&amp;Tabela1[[#This Row],[PEDIDO]]&amp;Tabela1[[#This Row],[PRODUTO]]</f>
        <v>05-CV-0001P-198ROLOS</v>
      </c>
      <c r="AQ42" s="22" t="str">
        <f>Tabela1[[#This Row],[PRODUTO]]&amp;Tabela1[[#This Row],[TAG]]</f>
        <v>ROLOS05-CV-0001</v>
      </c>
      <c r="AR42" s="24" t="str">
        <f>Tabela1[[#This Row],[PEDIDO]]&amp;Tabela1[[#This Row],[PRODUTO]]</f>
        <v>P-198ROLOS</v>
      </c>
      <c r="AS42" s="37">
        <f>IF(AF42="",0,IF(ISTEXT(AF42),H42*VALUE(SUBSTITUTE(AF42,"%",""))/100,H42*AF42))-Tabela1[[#This Row],[PRONTO ACABADO2]]</f>
        <v>0</v>
      </c>
      <c r="AT42" s="37">
        <f>IF(AG42="",0,IF(ISTEXT(AG42),H42*VALUE(SUBSTITUTE(AG42,"%",""))/100,H42*AG42))-Tabela1[[#This Row],[PESO EXPEDIDO2]]</f>
        <v>0</v>
      </c>
      <c r="AU42" s="37">
        <f t="shared" si="12"/>
        <v>12.8</v>
      </c>
      <c r="AV42" s="37">
        <f t="shared" si="13"/>
        <v>12.8</v>
      </c>
      <c r="AW42" s="37"/>
    </row>
    <row r="43" spans="1:49" ht="15.75" customHeight="1" x14ac:dyDescent="0.25">
      <c r="A43" s="6" t="s">
        <v>3039</v>
      </c>
      <c r="B43" s="21"/>
      <c r="C43" s="7">
        <v>4</v>
      </c>
      <c r="D43" s="39" t="s">
        <v>3040</v>
      </c>
      <c r="E43" s="7">
        <v>3739</v>
      </c>
      <c r="F43" s="7">
        <v>11</v>
      </c>
      <c r="G43" s="23">
        <v>2.7</v>
      </c>
      <c r="H43" s="34">
        <f>Tabela1[[#This Row],[PESO UNI]]*Tabela1[[#This Row],[QTE]]</f>
        <v>10.8</v>
      </c>
      <c r="I43" s="7">
        <v>0</v>
      </c>
      <c r="J43" s="8" t="s">
        <v>3045</v>
      </c>
      <c r="K43" s="8" t="s">
        <v>23</v>
      </c>
      <c r="L43" s="9" t="s">
        <v>2984</v>
      </c>
      <c r="M43" s="10"/>
      <c r="N43" s="8" t="s">
        <v>38</v>
      </c>
      <c r="O43" s="12"/>
      <c r="P43" s="13"/>
      <c r="Q43" s="14">
        <f>Tabela1[[#This Row],[QTDE/ Fabricação]]-Tabela1[[#This Row],[QTE]]</f>
        <v>-4</v>
      </c>
      <c r="R43" s="18">
        <f t="shared" si="14"/>
        <v>10.8</v>
      </c>
      <c r="S43" s="18">
        <f t="shared" si="15"/>
        <v>10.8</v>
      </c>
      <c r="T43" s="19">
        <f t="shared" si="16"/>
        <v>0</v>
      </c>
      <c r="U43" s="16">
        <f>IFERROR(SUMIF('LISTA DE EMBARQUE'!B:B,MICRO!E:E,'LISTA DE EMBARQUE'!G:G),"")</f>
        <v>4</v>
      </c>
      <c r="V43" s="12">
        <f>IFERROR(VLOOKUP(Tabela1[[#This Row],[COD.MDE]],'LISTA DE EMBARQUE'!B:L,11,0),"")</f>
        <v>2</v>
      </c>
      <c r="W43" s="13" t="str">
        <f>IFERROR(COUNTIF(#REF!,Tabela1[[#This Row],[Colunas5]]),"")</f>
        <v/>
      </c>
      <c r="X43" s="14">
        <f>Tabela1[[#This Row],[QIANTIDADE EXPEDIDA]]*Tabela1[[#This Row],[PESO UNI]]</f>
        <v>10.8</v>
      </c>
      <c r="Y43" s="14">
        <f t="shared" si="17"/>
        <v>0</v>
      </c>
      <c r="Z43" s="20">
        <f>Tabela1[[#This Row],[PESO TOTAL]]-Tabela1[[#This Row],[Peso Expedido]]</f>
        <v>0</v>
      </c>
      <c r="AA43" s="17">
        <v>1</v>
      </c>
      <c r="AB43" s="33"/>
      <c r="AC43" s="33">
        <v>1</v>
      </c>
      <c r="AD43" s="33">
        <v>1</v>
      </c>
      <c r="AE43" s="33">
        <v>1</v>
      </c>
      <c r="AF43" s="33">
        <v>1</v>
      </c>
      <c r="AG43" s="33">
        <v>1</v>
      </c>
      <c r="AH43" s="33">
        <v>1</v>
      </c>
      <c r="AI43" s="33" t="str">
        <f t="shared" si="10"/>
        <v>ok</v>
      </c>
      <c r="AJ43" s="5"/>
      <c r="AK43" t="str">
        <f>Tabela1[[#This Row],[Coluna1]]&amp;Tabela1[[#This Row],[PEDIDO]]</f>
        <v>P-198</v>
      </c>
      <c r="AL43"/>
      <c r="AM43"/>
      <c r="AN43"/>
      <c r="AO43" t="str">
        <f t="shared" si="11"/>
        <v>T-054922-4/14-CV-0001</v>
      </c>
      <c r="AP43" t="str">
        <f>Tabela1[[#This Row],[TAG]]&amp;Tabela1[[#This Row],[PEDIDO]]&amp;Tabela1[[#This Row],[PRODUTO]]</f>
        <v>14-CV-0001P-198ROLOS</v>
      </c>
      <c r="AQ43" s="22" t="str">
        <f>Tabela1[[#This Row],[PRODUTO]]&amp;Tabela1[[#This Row],[TAG]]</f>
        <v>ROLOS14-CV-0001</v>
      </c>
      <c r="AR43" s="24" t="str">
        <f>Tabela1[[#This Row],[PEDIDO]]&amp;Tabela1[[#This Row],[PRODUTO]]</f>
        <v>P-198ROLOS</v>
      </c>
      <c r="AS43" s="37">
        <f>IF(AF43="",0,IF(ISTEXT(AF43),H43*VALUE(SUBSTITUTE(AF43,"%",""))/100,H43*AF43))-Tabela1[[#This Row],[PRONTO ACABADO2]]</f>
        <v>0</v>
      </c>
      <c r="AT43" s="37">
        <f>IF(AG43="",0,IF(ISTEXT(AG43),H43*VALUE(SUBSTITUTE(AG43,"%",""))/100,H43*AG43))-Tabela1[[#This Row],[PESO EXPEDIDO2]]</f>
        <v>0</v>
      </c>
      <c r="AU43" s="37">
        <f t="shared" si="12"/>
        <v>10.8</v>
      </c>
      <c r="AV43" s="37">
        <f t="shared" si="13"/>
        <v>10.8</v>
      </c>
      <c r="AW43" s="37"/>
    </row>
    <row r="44" spans="1:49" ht="15.75" customHeight="1" x14ac:dyDescent="0.25">
      <c r="A44" s="6" t="s">
        <v>3043</v>
      </c>
      <c r="B44" s="21"/>
      <c r="C44" s="7">
        <v>4</v>
      </c>
      <c r="D44" s="39" t="s">
        <v>3044</v>
      </c>
      <c r="E44" s="7">
        <v>3740</v>
      </c>
      <c r="F44" s="7">
        <v>11</v>
      </c>
      <c r="G44" s="23">
        <v>3.2</v>
      </c>
      <c r="H44" s="34">
        <f>Tabela1[[#This Row],[PESO UNI]]*Tabela1[[#This Row],[QTE]]</f>
        <v>12.8</v>
      </c>
      <c r="I44" s="7">
        <v>0</v>
      </c>
      <c r="J44" s="8" t="s">
        <v>3045</v>
      </c>
      <c r="K44" s="8" t="s">
        <v>23</v>
      </c>
      <c r="L44" s="9" t="s">
        <v>2984</v>
      </c>
      <c r="M44" s="10"/>
      <c r="N44" s="8" t="s">
        <v>38</v>
      </c>
      <c r="O44" s="12"/>
      <c r="P44" s="13"/>
      <c r="Q44" s="14">
        <f>Tabela1[[#This Row],[QTDE/ Fabricação]]-Tabela1[[#This Row],[QTE]]</f>
        <v>-4</v>
      </c>
      <c r="R44" s="18">
        <f t="shared" si="14"/>
        <v>12.8</v>
      </c>
      <c r="S44" s="18">
        <f t="shared" si="15"/>
        <v>12.8</v>
      </c>
      <c r="T44" s="19">
        <f t="shared" si="16"/>
        <v>0</v>
      </c>
      <c r="U44" s="16">
        <f>IFERROR(SUMIF('LISTA DE EMBARQUE'!B:B,MICRO!E:E,'LISTA DE EMBARQUE'!G:G),"")</f>
        <v>4</v>
      </c>
      <c r="V44" s="12">
        <f>IFERROR(VLOOKUP(Tabela1[[#This Row],[COD.MDE]],'LISTA DE EMBARQUE'!B:L,11,0),"")</f>
        <v>2</v>
      </c>
      <c r="W44" s="13" t="str">
        <f>IFERROR(COUNTIF(#REF!,Tabela1[[#This Row],[Colunas5]]),"")</f>
        <v/>
      </c>
      <c r="X44" s="14">
        <f>Tabela1[[#This Row],[QIANTIDADE EXPEDIDA]]*Tabela1[[#This Row],[PESO UNI]]</f>
        <v>12.8</v>
      </c>
      <c r="Y44" s="14">
        <f t="shared" si="17"/>
        <v>0</v>
      </c>
      <c r="Z44" s="20">
        <f>Tabela1[[#This Row],[PESO TOTAL]]-Tabela1[[#This Row],[Peso Expedido]]</f>
        <v>0</v>
      </c>
      <c r="AA44" s="17">
        <v>1</v>
      </c>
      <c r="AB44" s="33"/>
      <c r="AC44" s="33">
        <v>1</v>
      </c>
      <c r="AD44" s="33">
        <v>1</v>
      </c>
      <c r="AE44" s="33">
        <v>1</v>
      </c>
      <c r="AF44" s="33">
        <v>1</v>
      </c>
      <c r="AG44" s="33">
        <v>1</v>
      </c>
      <c r="AH44" s="33">
        <v>1</v>
      </c>
      <c r="AI44" s="33" t="str">
        <f t="shared" si="10"/>
        <v>ok</v>
      </c>
      <c r="AJ44" s="5"/>
      <c r="AK44" t="str">
        <f>Tabela1[[#This Row],[Coluna1]]&amp;Tabela1[[#This Row],[PEDIDO]]</f>
        <v>P-198</v>
      </c>
      <c r="AL44"/>
      <c r="AM44"/>
      <c r="AN44"/>
      <c r="AO44" t="str">
        <f t="shared" si="11"/>
        <v>T-054921-4/14-CV-0001</v>
      </c>
      <c r="AP44" t="str">
        <f>Tabela1[[#This Row],[TAG]]&amp;Tabela1[[#This Row],[PEDIDO]]&amp;Tabela1[[#This Row],[PRODUTO]]</f>
        <v>14-CV-0001P-198ROLOS</v>
      </c>
      <c r="AQ44" s="22" t="str">
        <f>Tabela1[[#This Row],[PRODUTO]]&amp;Tabela1[[#This Row],[TAG]]</f>
        <v>ROLOS14-CV-0001</v>
      </c>
      <c r="AR44" s="24" t="str">
        <f>Tabela1[[#This Row],[PEDIDO]]&amp;Tabela1[[#This Row],[PRODUTO]]</f>
        <v>P-198ROLOS</v>
      </c>
      <c r="AS44" s="37">
        <f>IF(AF44="",0,IF(ISTEXT(AF44),H44*VALUE(SUBSTITUTE(AF44,"%",""))/100,H44*AF44))-Tabela1[[#This Row],[PRONTO ACABADO2]]</f>
        <v>0</v>
      </c>
      <c r="AT44" s="37">
        <f>IF(AG44="",0,IF(ISTEXT(AG44),H44*VALUE(SUBSTITUTE(AG44,"%",""))/100,H44*AG44))-Tabela1[[#This Row],[PESO EXPEDIDO2]]</f>
        <v>0</v>
      </c>
      <c r="AU44" s="37">
        <f t="shared" si="12"/>
        <v>12.8</v>
      </c>
      <c r="AV44" s="37">
        <f t="shared" si="13"/>
        <v>12.8</v>
      </c>
      <c r="AW44" s="37"/>
    </row>
    <row r="45" spans="1:49" ht="15.75" customHeight="1" x14ac:dyDescent="0.25">
      <c r="A45" s="6" t="s">
        <v>3046</v>
      </c>
      <c r="B45" s="21"/>
      <c r="C45" s="7">
        <v>32</v>
      </c>
      <c r="D45" s="39" t="s">
        <v>3047</v>
      </c>
      <c r="E45" s="7">
        <v>3741</v>
      </c>
      <c r="F45" s="7">
        <v>11</v>
      </c>
      <c r="G45" s="23">
        <v>18</v>
      </c>
      <c r="H45" s="34">
        <f>Tabela1[[#This Row],[PESO UNI]]*Tabela1[[#This Row],[QTE]]</f>
        <v>576</v>
      </c>
      <c r="I45" s="7">
        <v>0</v>
      </c>
      <c r="J45" s="8" t="s">
        <v>3045</v>
      </c>
      <c r="K45" s="8" t="s">
        <v>23</v>
      </c>
      <c r="L45" s="9" t="s">
        <v>2984</v>
      </c>
      <c r="M45" s="10"/>
      <c r="N45" s="8" t="s">
        <v>38</v>
      </c>
      <c r="O45" s="12"/>
      <c r="P45" s="13"/>
      <c r="Q45" s="14">
        <f>Tabela1[[#This Row],[QTDE/ Fabricação]]-Tabela1[[#This Row],[QTE]]</f>
        <v>-32</v>
      </c>
      <c r="R45" s="18">
        <f t="shared" si="14"/>
        <v>576</v>
      </c>
      <c r="S45" s="18">
        <f t="shared" si="15"/>
        <v>576</v>
      </c>
      <c r="T45" s="19">
        <f t="shared" si="16"/>
        <v>0</v>
      </c>
      <c r="U45" s="16">
        <f>IFERROR(SUMIF('LISTA DE EMBARQUE'!B:B,MICRO!E:E,'LISTA DE EMBARQUE'!G:G),"")</f>
        <v>32</v>
      </c>
      <c r="V45" s="12">
        <f>IFERROR(VLOOKUP(Tabela1[[#This Row],[COD.MDE]],'LISTA DE EMBARQUE'!B:L,11,0),"")</f>
        <v>2</v>
      </c>
      <c r="W45" s="13" t="str">
        <f>IFERROR(COUNTIF(#REF!,Tabela1[[#This Row],[Colunas5]]),"")</f>
        <v/>
      </c>
      <c r="X45" s="14">
        <f>Tabela1[[#This Row],[QIANTIDADE EXPEDIDA]]*Tabela1[[#This Row],[PESO UNI]]</f>
        <v>576</v>
      </c>
      <c r="Y45" s="14">
        <f t="shared" si="17"/>
        <v>0</v>
      </c>
      <c r="Z45" s="20">
        <f>Tabela1[[#This Row],[PESO TOTAL]]-Tabela1[[#This Row],[Peso Expedido]]</f>
        <v>0</v>
      </c>
      <c r="AA45" s="17">
        <v>1</v>
      </c>
      <c r="AB45" s="33"/>
      <c r="AC45" s="33">
        <v>1</v>
      </c>
      <c r="AD45" s="33">
        <v>1</v>
      </c>
      <c r="AE45" s="33">
        <v>1</v>
      </c>
      <c r="AF45" s="33">
        <v>1</v>
      </c>
      <c r="AG45" s="33">
        <v>1</v>
      </c>
      <c r="AH45" s="33">
        <v>1</v>
      </c>
      <c r="AI45" s="33" t="str">
        <f t="shared" si="10"/>
        <v>ok</v>
      </c>
      <c r="AJ45" s="5"/>
      <c r="AK45" t="str">
        <f>Tabela1[[#This Row],[Coluna1]]&amp;Tabela1[[#This Row],[PEDIDO]]</f>
        <v>P-198</v>
      </c>
      <c r="AL45"/>
      <c r="AM45"/>
      <c r="AN45"/>
      <c r="AO45" t="str">
        <f t="shared" si="11"/>
        <v>R-3-4-11011/14-CV-0001</v>
      </c>
      <c r="AP45" t="str">
        <f>Tabela1[[#This Row],[TAG]]&amp;Tabela1[[#This Row],[PEDIDO]]&amp;Tabela1[[#This Row],[PRODUTO]]</f>
        <v>14-CV-0001P-198ROLOS</v>
      </c>
      <c r="AQ45" s="22" t="str">
        <f>Tabela1[[#This Row],[PRODUTO]]&amp;Tabela1[[#This Row],[TAG]]</f>
        <v>ROLOS14-CV-0001</v>
      </c>
      <c r="AR45" s="24" t="str">
        <f>Tabela1[[#This Row],[PEDIDO]]&amp;Tabela1[[#This Row],[PRODUTO]]</f>
        <v>P-198ROLOS</v>
      </c>
      <c r="AS45" s="37">
        <f>IF(AF45="",0,IF(ISTEXT(AF45),H45*VALUE(SUBSTITUTE(AF45,"%",""))/100,H45*AF45))-Tabela1[[#This Row],[PRONTO ACABADO2]]</f>
        <v>0</v>
      </c>
      <c r="AT45" s="37">
        <f>IF(AG45="",0,IF(ISTEXT(AG45),H45*VALUE(SUBSTITUTE(AG45,"%",""))/100,H45*AG45))-Tabela1[[#This Row],[PESO EXPEDIDO2]]</f>
        <v>0</v>
      </c>
      <c r="AU45" s="37">
        <f t="shared" si="12"/>
        <v>576</v>
      </c>
      <c r="AV45" s="37">
        <f t="shared" si="13"/>
        <v>576</v>
      </c>
      <c r="AW45" s="37"/>
    </row>
    <row r="46" spans="1:49" ht="15.75" customHeight="1" x14ac:dyDescent="0.25">
      <c r="A46" s="6" t="s">
        <v>3048</v>
      </c>
      <c r="B46" s="21"/>
      <c r="C46" s="7">
        <v>6</v>
      </c>
      <c r="D46" s="39" t="s">
        <v>3049</v>
      </c>
      <c r="E46" s="7">
        <v>3742</v>
      </c>
      <c r="F46" s="7">
        <v>11</v>
      </c>
      <c r="G46" s="23">
        <v>16</v>
      </c>
      <c r="H46" s="34">
        <f>Tabela1[[#This Row],[PESO UNI]]*Tabela1[[#This Row],[QTE]]</f>
        <v>96</v>
      </c>
      <c r="I46" s="7">
        <v>0</v>
      </c>
      <c r="J46" s="8" t="s">
        <v>3045</v>
      </c>
      <c r="K46" s="8" t="s">
        <v>23</v>
      </c>
      <c r="L46" s="9" t="s">
        <v>2984</v>
      </c>
      <c r="M46" s="10"/>
      <c r="N46" s="8" t="s">
        <v>38</v>
      </c>
      <c r="O46" s="12"/>
      <c r="P46" s="13"/>
      <c r="Q46" s="14">
        <f>Tabela1[[#This Row],[QTDE/ Fabricação]]-Tabela1[[#This Row],[QTE]]</f>
        <v>-6</v>
      </c>
      <c r="R46" s="18">
        <f t="shared" si="14"/>
        <v>96</v>
      </c>
      <c r="S46" s="18">
        <f t="shared" si="15"/>
        <v>96</v>
      </c>
      <c r="T46" s="19">
        <f t="shared" si="16"/>
        <v>0</v>
      </c>
      <c r="U46" s="16">
        <f>IFERROR(SUMIF('LISTA DE EMBARQUE'!B:B,MICRO!E:E,'LISTA DE EMBARQUE'!G:G),"")</f>
        <v>6</v>
      </c>
      <c r="V46" s="12">
        <f>IFERROR(VLOOKUP(Tabela1[[#This Row],[COD.MDE]],'LISTA DE EMBARQUE'!B:L,11,0),"")</f>
        <v>1</v>
      </c>
      <c r="W46" s="13" t="str">
        <f>IFERROR(COUNTIF(#REF!,Tabela1[[#This Row],[Colunas5]]),"")</f>
        <v/>
      </c>
      <c r="X46" s="14">
        <f>Tabela1[[#This Row],[QIANTIDADE EXPEDIDA]]*Tabela1[[#This Row],[PESO UNI]]</f>
        <v>96</v>
      </c>
      <c r="Y46" s="14">
        <f t="shared" si="17"/>
        <v>0</v>
      </c>
      <c r="Z46" s="20">
        <f>Tabela1[[#This Row],[PESO TOTAL]]-Tabela1[[#This Row],[Peso Expedido]]</f>
        <v>0</v>
      </c>
      <c r="AA46" s="17">
        <v>1</v>
      </c>
      <c r="AB46" s="33"/>
      <c r="AC46" s="33">
        <v>1</v>
      </c>
      <c r="AD46" s="33">
        <v>1</v>
      </c>
      <c r="AE46" s="33">
        <v>1</v>
      </c>
      <c r="AF46" s="33">
        <v>1</v>
      </c>
      <c r="AG46" s="33">
        <v>1</v>
      </c>
      <c r="AH46" s="33">
        <v>1</v>
      </c>
      <c r="AI46" s="33" t="str">
        <f t="shared" si="10"/>
        <v>ok</v>
      </c>
      <c r="AJ46" s="5"/>
      <c r="AK46" t="str">
        <f>Tabela1[[#This Row],[Coluna1]]&amp;Tabela1[[#This Row],[PEDIDO]]</f>
        <v>P-198</v>
      </c>
      <c r="AL46"/>
      <c r="AM46"/>
      <c r="AN46"/>
      <c r="AO46" t="str">
        <f t="shared" si="11"/>
        <v>R-1-4-11012/14-CV-0001</v>
      </c>
      <c r="AP46" t="str">
        <f>Tabela1[[#This Row],[TAG]]&amp;Tabela1[[#This Row],[PEDIDO]]&amp;Tabela1[[#This Row],[PRODUTO]]</f>
        <v>14-CV-0001P-198ROLOS</v>
      </c>
      <c r="AQ46" s="22" t="str">
        <f>Tabela1[[#This Row],[PRODUTO]]&amp;Tabela1[[#This Row],[TAG]]</f>
        <v>ROLOS14-CV-0001</v>
      </c>
      <c r="AR46" s="24" t="str">
        <f>Tabela1[[#This Row],[PEDIDO]]&amp;Tabela1[[#This Row],[PRODUTO]]</f>
        <v>P-198ROLOS</v>
      </c>
      <c r="AS46" s="37">
        <f>IF(AF46="",0,IF(ISTEXT(AF46),H46*VALUE(SUBSTITUTE(AF46,"%",""))/100,H46*AF46))-Tabela1[[#This Row],[PRONTO ACABADO2]]</f>
        <v>0</v>
      </c>
      <c r="AT46" s="37">
        <f>IF(AG46="",0,IF(ISTEXT(AG46),H46*VALUE(SUBSTITUTE(AG46,"%",""))/100,H46*AG46))-Tabela1[[#This Row],[PESO EXPEDIDO2]]</f>
        <v>0</v>
      </c>
      <c r="AU46" s="37">
        <f t="shared" si="12"/>
        <v>96</v>
      </c>
      <c r="AV46" s="37">
        <f t="shared" si="13"/>
        <v>96</v>
      </c>
      <c r="AW46" s="37"/>
    </row>
    <row r="47" spans="1:49" ht="15.75" customHeight="1" x14ac:dyDescent="0.25">
      <c r="A47" s="6" t="s">
        <v>3050</v>
      </c>
      <c r="B47" s="21"/>
      <c r="C47" s="7">
        <v>21</v>
      </c>
      <c r="D47" s="39" t="s">
        <v>3051</v>
      </c>
      <c r="E47" s="7">
        <v>3743</v>
      </c>
      <c r="F47" s="7">
        <v>11</v>
      </c>
      <c r="G47" s="23">
        <v>17</v>
      </c>
      <c r="H47" s="34">
        <f>Tabela1[[#This Row],[PESO UNI]]*Tabela1[[#This Row],[QTE]]</f>
        <v>357</v>
      </c>
      <c r="I47" s="7">
        <v>0</v>
      </c>
      <c r="J47" s="8" t="s">
        <v>3045</v>
      </c>
      <c r="K47" s="8" t="s">
        <v>23</v>
      </c>
      <c r="L47" s="9" t="s">
        <v>2984</v>
      </c>
      <c r="M47" s="10"/>
      <c r="N47" s="8" t="s">
        <v>38</v>
      </c>
      <c r="O47" s="12"/>
      <c r="P47" s="13"/>
      <c r="Q47" s="14">
        <f>Tabela1[[#This Row],[QTDE/ Fabricação]]-Tabela1[[#This Row],[QTE]]</f>
        <v>-21</v>
      </c>
      <c r="R47" s="18">
        <f t="shared" si="14"/>
        <v>357</v>
      </c>
      <c r="S47" s="18">
        <f t="shared" si="15"/>
        <v>357</v>
      </c>
      <c r="T47" s="19">
        <f t="shared" si="16"/>
        <v>0</v>
      </c>
      <c r="U47" s="16">
        <f>IFERROR(SUMIF('LISTA DE EMBARQUE'!B:B,MICRO!E:E,'LISTA DE EMBARQUE'!G:G),"")</f>
        <v>21</v>
      </c>
      <c r="V47" s="12">
        <f>IFERROR(VLOOKUP(Tabela1[[#This Row],[COD.MDE]],'LISTA DE EMBARQUE'!B:L,11,0),"")</f>
        <v>1</v>
      </c>
      <c r="W47" s="13" t="str">
        <f>IFERROR(COUNTIF(#REF!,Tabela1[[#This Row],[Colunas5]]),"")</f>
        <v/>
      </c>
      <c r="X47" s="14">
        <f>Tabela1[[#This Row],[QIANTIDADE EXPEDIDA]]*Tabela1[[#This Row],[PESO UNI]]</f>
        <v>357</v>
      </c>
      <c r="Y47" s="14">
        <f t="shared" si="17"/>
        <v>0</v>
      </c>
      <c r="Z47" s="20">
        <f>Tabela1[[#This Row],[PESO TOTAL]]-Tabela1[[#This Row],[Peso Expedido]]</f>
        <v>0</v>
      </c>
      <c r="AA47" s="17">
        <v>1</v>
      </c>
      <c r="AB47" s="33"/>
      <c r="AC47" s="33">
        <v>1</v>
      </c>
      <c r="AD47" s="33">
        <v>1</v>
      </c>
      <c r="AE47" s="33">
        <v>1</v>
      </c>
      <c r="AF47" s="33">
        <v>1</v>
      </c>
      <c r="AG47" s="33">
        <v>1</v>
      </c>
      <c r="AH47" s="33">
        <v>1</v>
      </c>
      <c r="AI47" s="33" t="str">
        <f t="shared" si="10"/>
        <v>ok</v>
      </c>
      <c r="AJ47" s="5"/>
      <c r="AK47" t="str">
        <f>Tabela1[[#This Row],[Coluna1]]&amp;Tabela1[[#This Row],[PEDIDO]]</f>
        <v>P-198</v>
      </c>
      <c r="AL47"/>
      <c r="AM47"/>
      <c r="AN47"/>
      <c r="AO47" t="str">
        <f t="shared" si="11"/>
        <v>R-1-4-8742A/14-CV-0001</v>
      </c>
      <c r="AP47" t="str">
        <f>Tabela1[[#This Row],[TAG]]&amp;Tabela1[[#This Row],[PEDIDO]]&amp;Tabela1[[#This Row],[PRODUTO]]</f>
        <v>14-CV-0001P-198ROLOS</v>
      </c>
      <c r="AQ47" s="22" t="str">
        <f>Tabela1[[#This Row],[PRODUTO]]&amp;Tabela1[[#This Row],[TAG]]</f>
        <v>ROLOS14-CV-0001</v>
      </c>
      <c r="AR47" s="24" t="str">
        <f>Tabela1[[#This Row],[PEDIDO]]&amp;Tabela1[[#This Row],[PRODUTO]]</f>
        <v>P-198ROLOS</v>
      </c>
      <c r="AS47" s="37">
        <f>IF(AF47="",0,IF(ISTEXT(AF47),H47*VALUE(SUBSTITUTE(AF47,"%",""))/100,H47*AF47))-Tabela1[[#This Row],[PRONTO ACABADO2]]</f>
        <v>0</v>
      </c>
      <c r="AT47" s="37">
        <f>IF(AG47="",0,IF(ISTEXT(AG47),H47*VALUE(SUBSTITUTE(AG47,"%",""))/100,H47*AG47))-Tabela1[[#This Row],[PESO EXPEDIDO2]]</f>
        <v>0</v>
      </c>
      <c r="AU47" s="37">
        <f t="shared" si="12"/>
        <v>357</v>
      </c>
      <c r="AV47" s="37">
        <f t="shared" si="13"/>
        <v>357</v>
      </c>
      <c r="AW47" s="37"/>
    </row>
    <row r="48" spans="1:49" ht="15.75" customHeight="1" x14ac:dyDescent="0.25">
      <c r="A48" s="6" t="s">
        <v>122</v>
      </c>
      <c r="B48" s="21"/>
      <c r="C48" s="7">
        <v>24</v>
      </c>
      <c r="D48" s="39" t="s">
        <v>3052</v>
      </c>
      <c r="E48" s="7">
        <v>3744</v>
      </c>
      <c r="F48" s="7">
        <v>11</v>
      </c>
      <c r="G48" s="23">
        <v>16</v>
      </c>
      <c r="H48" s="34">
        <f>Tabela1[[#This Row],[PESO UNI]]*Tabela1[[#This Row],[QTE]]</f>
        <v>384</v>
      </c>
      <c r="I48" s="7">
        <v>0</v>
      </c>
      <c r="J48" s="8" t="s">
        <v>3045</v>
      </c>
      <c r="K48" s="8" t="s">
        <v>23</v>
      </c>
      <c r="L48" s="9" t="s">
        <v>2984</v>
      </c>
      <c r="M48" s="10"/>
      <c r="N48" s="8" t="s">
        <v>38</v>
      </c>
      <c r="O48" s="12"/>
      <c r="P48" s="13"/>
      <c r="Q48" s="14">
        <f>Tabela1[[#This Row],[QTDE/ Fabricação]]-Tabela1[[#This Row],[QTE]]</f>
        <v>-24</v>
      </c>
      <c r="R48" s="18">
        <f t="shared" si="14"/>
        <v>384</v>
      </c>
      <c r="S48" s="18">
        <f t="shared" si="15"/>
        <v>384</v>
      </c>
      <c r="T48" s="19">
        <f t="shared" si="16"/>
        <v>0</v>
      </c>
      <c r="U48" s="16">
        <f>IFERROR(SUMIF('LISTA DE EMBARQUE'!B:B,MICRO!E:E,'LISTA DE EMBARQUE'!G:G),"")</f>
        <v>24</v>
      </c>
      <c r="V48" s="12">
        <f>IFERROR(VLOOKUP(Tabela1[[#This Row],[COD.MDE]],'LISTA DE EMBARQUE'!B:L,11,0),"")</f>
        <v>1</v>
      </c>
      <c r="W48" s="13" t="str">
        <f>IFERROR(COUNTIF(#REF!,Tabela1[[#This Row],[Colunas5]]),"")</f>
        <v/>
      </c>
      <c r="X48" s="14">
        <f>Tabela1[[#This Row],[QIANTIDADE EXPEDIDA]]*Tabela1[[#This Row],[PESO UNI]]</f>
        <v>384</v>
      </c>
      <c r="Y48" s="14">
        <f t="shared" si="17"/>
        <v>0</v>
      </c>
      <c r="Z48" s="20">
        <f>Tabela1[[#This Row],[PESO TOTAL]]-Tabela1[[#This Row],[Peso Expedido]]</f>
        <v>0</v>
      </c>
      <c r="AA48" s="17">
        <v>1</v>
      </c>
      <c r="AB48" s="33"/>
      <c r="AC48" s="33">
        <v>1</v>
      </c>
      <c r="AD48" s="33">
        <v>1</v>
      </c>
      <c r="AE48" s="33">
        <v>1</v>
      </c>
      <c r="AF48" s="33">
        <v>1</v>
      </c>
      <c r="AG48" s="33">
        <v>1</v>
      </c>
      <c r="AH48" s="33">
        <v>1</v>
      </c>
      <c r="AI48" s="33" t="str">
        <f t="shared" si="10"/>
        <v>ok</v>
      </c>
      <c r="AJ48" s="5"/>
      <c r="AK48" t="str">
        <f>Tabela1[[#This Row],[Coluna1]]&amp;Tabela1[[#This Row],[PEDIDO]]</f>
        <v>P-198</v>
      </c>
      <c r="AL48"/>
      <c r="AM48"/>
      <c r="AN48"/>
      <c r="AO48" t="str">
        <f t="shared" si="11"/>
        <v>R-1-4-8465/14-CV-0001</v>
      </c>
      <c r="AP48" t="str">
        <f>Tabela1[[#This Row],[TAG]]&amp;Tabela1[[#This Row],[PEDIDO]]&amp;Tabela1[[#This Row],[PRODUTO]]</f>
        <v>14-CV-0001P-198ROLOS</v>
      </c>
      <c r="AQ48" s="22" t="str">
        <f>Tabela1[[#This Row],[PRODUTO]]&amp;Tabela1[[#This Row],[TAG]]</f>
        <v>ROLOS14-CV-0001</v>
      </c>
      <c r="AR48" s="24" t="str">
        <f>Tabela1[[#This Row],[PEDIDO]]&amp;Tabela1[[#This Row],[PRODUTO]]</f>
        <v>P-198ROLOS</v>
      </c>
      <c r="AS48" s="37">
        <f>IF(AF48="",0,IF(ISTEXT(AF48),H48*VALUE(SUBSTITUTE(AF48,"%",""))/100,H48*AF48))-Tabela1[[#This Row],[PRONTO ACABADO2]]</f>
        <v>0</v>
      </c>
      <c r="AT48" s="37">
        <f>IF(AG48="",0,IF(ISTEXT(AG48),H48*VALUE(SUBSTITUTE(AG48,"%",""))/100,H48*AG48))-Tabela1[[#This Row],[PESO EXPEDIDO2]]</f>
        <v>0</v>
      </c>
      <c r="AU48" s="37">
        <f t="shared" si="12"/>
        <v>384</v>
      </c>
      <c r="AV48" s="37">
        <f t="shared" si="13"/>
        <v>384</v>
      </c>
      <c r="AW48" s="37"/>
    </row>
    <row r="49" spans="1:49" ht="15.75" customHeight="1" x14ac:dyDescent="0.25">
      <c r="A49" s="6" t="s">
        <v>3053</v>
      </c>
      <c r="B49" s="21"/>
      <c r="C49" s="7">
        <v>132</v>
      </c>
      <c r="D49" s="39" t="s">
        <v>3054</v>
      </c>
      <c r="E49" s="7">
        <v>3745</v>
      </c>
      <c r="F49" s="7">
        <v>11</v>
      </c>
      <c r="G49" s="23">
        <v>16</v>
      </c>
      <c r="H49" s="34">
        <f>Tabela1[[#This Row],[PESO UNI]]*Tabela1[[#This Row],[QTE]]</f>
        <v>2112</v>
      </c>
      <c r="I49" s="7">
        <v>0</v>
      </c>
      <c r="J49" s="8" t="s">
        <v>3045</v>
      </c>
      <c r="K49" s="8" t="s">
        <v>23</v>
      </c>
      <c r="L49" s="9" t="s">
        <v>2984</v>
      </c>
      <c r="M49" s="10"/>
      <c r="N49" s="8" t="s">
        <v>38</v>
      </c>
      <c r="O49" s="12"/>
      <c r="P49" s="13"/>
      <c r="Q49" s="14">
        <f>Tabela1[[#This Row],[QTDE/ Fabricação]]-Tabela1[[#This Row],[QTE]]</f>
        <v>-132</v>
      </c>
      <c r="R49" s="18">
        <f t="shared" si="14"/>
        <v>2112</v>
      </c>
      <c r="S49" s="18">
        <f t="shared" si="15"/>
        <v>2112</v>
      </c>
      <c r="T49" s="19">
        <f t="shared" si="16"/>
        <v>0</v>
      </c>
      <c r="U49" s="16">
        <f>IFERROR(SUMIF('LISTA DE EMBARQUE'!B:B,MICRO!E:E,'LISTA DE EMBARQUE'!G:G),"")</f>
        <v>132</v>
      </c>
      <c r="V49" s="12">
        <f>IFERROR(VLOOKUP(Tabela1[[#This Row],[COD.MDE]],'LISTA DE EMBARQUE'!B:L,11,0),"")</f>
        <v>2</v>
      </c>
      <c r="W49" s="13" t="str">
        <f>IFERROR(COUNTIF(#REF!,Tabela1[[#This Row],[Colunas5]]),"")</f>
        <v/>
      </c>
      <c r="X49" s="14">
        <f>Tabela1[[#This Row],[QIANTIDADE EXPEDIDA]]*Tabela1[[#This Row],[PESO UNI]]</f>
        <v>2112</v>
      </c>
      <c r="Y49" s="14">
        <f t="shared" si="17"/>
        <v>0</v>
      </c>
      <c r="Z49" s="20">
        <f>Tabela1[[#This Row],[PESO TOTAL]]-Tabela1[[#This Row],[Peso Expedido]]</f>
        <v>0</v>
      </c>
      <c r="AA49" s="17">
        <v>1</v>
      </c>
      <c r="AB49" s="33"/>
      <c r="AC49" s="33">
        <v>1</v>
      </c>
      <c r="AD49" s="33">
        <v>1</v>
      </c>
      <c r="AE49" s="33">
        <v>1</v>
      </c>
      <c r="AF49" s="33">
        <v>1</v>
      </c>
      <c r="AG49" s="33">
        <v>1</v>
      </c>
      <c r="AH49" s="33">
        <v>1</v>
      </c>
      <c r="AI49" s="33" t="str">
        <f t="shared" si="10"/>
        <v>ok</v>
      </c>
      <c r="AJ49" s="5"/>
      <c r="AK49" t="str">
        <f>Tabela1[[#This Row],[Coluna1]]&amp;Tabela1[[#This Row],[PEDIDO]]</f>
        <v>P-198</v>
      </c>
      <c r="AL49"/>
      <c r="AM49"/>
      <c r="AN49"/>
      <c r="AO49" t="str">
        <f t="shared" si="11"/>
        <v>R-1-4-8430A/14-CV-0001</v>
      </c>
      <c r="AP49" t="str">
        <f>Tabela1[[#This Row],[TAG]]&amp;Tabela1[[#This Row],[PEDIDO]]&amp;Tabela1[[#This Row],[PRODUTO]]</f>
        <v>14-CV-0001P-198ROLOS</v>
      </c>
      <c r="AQ49" s="22" t="str">
        <f>Tabela1[[#This Row],[PRODUTO]]&amp;Tabela1[[#This Row],[TAG]]</f>
        <v>ROLOS14-CV-0001</v>
      </c>
      <c r="AR49" s="24" t="str">
        <f>Tabela1[[#This Row],[PEDIDO]]&amp;Tabela1[[#This Row],[PRODUTO]]</f>
        <v>P-198ROLOS</v>
      </c>
      <c r="AS49" s="37">
        <f>IF(AF49="",0,IF(ISTEXT(AF49),H49*VALUE(SUBSTITUTE(AF49,"%",""))/100,H49*AF49))-Tabela1[[#This Row],[PRONTO ACABADO2]]</f>
        <v>0</v>
      </c>
      <c r="AT49" s="37">
        <f>IF(AG49="",0,IF(ISTEXT(AG49),H49*VALUE(SUBSTITUTE(AG49,"%",""))/100,H49*AG49))-Tabela1[[#This Row],[PESO EXPEDIDO2]]</f>
        <v>0</v>
      </c>
      <c r="AU49" s="37">
        <f t="shared" si="12"/>
        <v>2112</v>
      </c>
      <c r="AV49" s="37">
        <f t="shared" si="13"/>
        <v>2112</v>
      </c>
      <c r="AW49" s="37"/>
    </row>
    <row r="50" spans="1:49" ht="15.75" customHeight="1" x14ac:dyDescent="0.25">
      <c r="A50" s="6" t="s">
        <v>3055</v>
      </c>
      <c r="B50" s="21"/>
      <c r="C50" s="7">
        <v>2</v>
      </c>
      <c r="D50" s="39" t="s">
        <v>3056</v>
      </c>
      <c r="E50" s="7">
        <v>3746</v>
      </c>
      <c r="F50" s="7">
        <v>15</v>
      </c>
      <c r="G50" s="23">
        <v>34.200000000000003</v>
      </c>
      <c r="H50" s="34">
        <f>Tabela1[[#This Row],[PESO UNI]]*Tabela1[[#This Row],[QTE]]</f>
        <v>68.400000000000006</v>
      </c>
      <c r="I50" s="7" t="s">
        <v>4418</v>
      </c>
      <c r="J50" s="8" t="s">
        <v>3034</v>
      </c>
      <c r="K50" s="8" t="s">
        <v>31</v>
      </c>
      <c r="L50" s="9" t="s">
        <v>2984</v>
      </c>
      <c r="M50" s="10"/>
      <c r="N50" s="8" t="s">
        <v>38</v>
      </c>
      <c r="O50" s="12"/>
      <c r="P50" s="13"/>
      <c r="Q50" s="14">
        <f>Tabela1[[#This Row],[QTDE/ Fabricação]]-Tabela1[[#This Row],[QTE]]</f>
        <v>-2</v>
      </c>
      <c r="R50" s="18">
        <f t="shared" si="14"/>
        <v>68.400000000000006</v>
      </c>
      <c r="S50" s="18">
        <f t="shared" si="15"/>
        <v>68.400000000000006</v>
      </c>
      <c r="T50" s="19">
        <f t="shared" si="16"/>
        <v>0</v>
      </c>
      <c r="U50" s="16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>IFERROR(COUNTIF(#REF!,Tabela1[[#This Row],[Colunas5]]),"")</f>
        <v/>
      </c>
      <c r="X50" s="14">
        <f>Tabela1[[#This Row],[QIANTIDADE EXPEDIDA]]*Tabela1[[#This Row],[PESO UNI]]</f>
        <v>0</v>
      </c>
      <c r="Y50" s="14">
        <f t="shared" si="17"/>
        <v>-2</v>
      </c>
      <c r="Z50" s="20">
        <f>Tabela1[[#This Row],[PESO TOTAL]]-Tabela1[[#This Row],[Peso Expedido]]</f>
        <v>68.400000000000006</v>
      </c>
      <c r="AA50" s="17">
        <v>1</v>
      </c>
      <c r="AB50" s="33"/>
      <c r="AC50" s="33">
        <v>1</v>
      </c>
      <c r="AD50" s="33">
        <v>1</v>
      </c>
      <c r="AE50" s="33">
        <v>1</v>
      </c>
      <c r="AF50" s="33">
        <v>1</v>
      </c>
      <c r="AG50" s="33">
        <v>1</v>
      </c>
      <c r="AH50" s="33"/>
      <c r="AI50" s="33" t="str">
        <f t="shared" si="10"/>
        <v/>
      </c>
      <c r="AJ50" s="5"/>
      <c r="AK50" t="str">
        <f>Tabela1[[#This Row],[Coluna1]]&amp;Tabela1[[#This Row],[PEDIDO]]</f>
        <v>P-198</v>
      </c>
      <c r="AL50"/>
      <c r="AM50"/>
      <c r="AN50"/>
      <c r="AO50" t="str">
        <f t="shared" si="11"/>
        <v>T-073197-1/05-CV-0001</v>
      </c>
      <c r="AP50" t="str">
        <f>Tabela1[[#This Row],[TAG]]&amp;Tabela1[[#This Row],[PEDIDO]]&amp;Tabela1[[#This Row],[PRODUTO]]</f>
        <v>05-CV-0001P-198ESTRUTURA</v>
      </c>
      <c r="AQ50" s="22" t="str">
        <f>Tabela1[[#This Row],[PRODUTO]]&amp;Tabela1[[#This Row],[TAG]]</f>
        <v>ESTRUTURA05-CV-0001</v>
      </c>
      <c r="AR50" s="24" t="str">
        <f>Tabela1[[#This Row],[PEDIDO]]&amp;Tabela1[[#This Row],[PRODUTO]]</f>
        <v>P-198ESTRUTURA</v>
      </c>
      <c r="AS50" s="37">
        <f>IF(AF50="",0,IF(ISTEXT(AF50),H50*VALUE(SUBSTITUTE(AF50,"%",""))/100,H50*AF50))-Tabela1[[#This Row],[PRONTO ACABADO2]]</f>
        <v>0</v>
      </c>
      <c r="AT50" s="37">
        <f>IF(AG50="",0,IF(ISTEXT(AG50),H50*VALUE(SUBSTITUTE(AG50,"%",""))/100,H50*AG50))-Tabela1[[#This Row],[PESO EXPEDIDO2]]</f>
        <v>68.400000000000006</v>
      </c>
      <c r="AU50" s="37">
        <f t="shared" si="12"/>
        <v>0</v>
      </c>
      <c r="AV50" s="37">
        <f t="shared" si="13"/>
        <v>68.400000000000006</v>
      </c>
      <c r="AW50" s="37"/>
    </row>
    <row r="51" spans="1:49" ht="15.75" customHeight="1" x14ac:dyDescent="0.25">
      <c r="A51" s="6" t="s">
        <v>3055</v>
      </c>
      <c r="B51" s="21"/>
      <c r="C51" s="7">
        <v>2</v>
      </c>
      <c r="D51" s="39" t="s">
        <v>3057</v>
      </c>
      <c r="E51" s="7">
        <v>3747</v>
      </c>
      <c r="F51" s="7">
        <v>15</v>
      </c>
      <c r="G51" s="23">
        <v>18.600000000000001</v>
      </c>
      <c r="H51" s="34">
        <f>Tabela1[[#This Row],[PESO UNI]]*Tabela1[[#This Row],[QTE]]</f>
        <v>37.200000000000003</v>
      </c>
      <c r="I51" s="7" t="s">
        <v>4418</v>
      </c>
      <c r="J51" s="8" t="s">
        <v>3034</v>
      </c>
      <c r="K51" s="8" t="s">
        <v>31</v>
      </c>
      <c r="L51" s="9" t="s">
        <v>2984</v>
      </c>
      <c r="M51" s="10"/>
      <c r="N51" s="8" t="s">
        <v>38</v>
      </c>
      <c r="O51" s="12"/>
      <c r="P51" s="13"/>
      <c r="Q51" s="14">
        <f>Tabela1[[#This Row],[QTDE/ Fabricação]]-Tabela1[[#This Row],[QTE]]</f>
        <v>-2</v>
      </c>
      <c r="R51" s="18">
        <f t="shared" si="14"/>
        <v>16.740000000000002</v>
      </c>
      <c r="S51" s="18">
        <f t="shared" si="15"/>
        <v>0</v>
      </c>
      <c r="T51" s="19">
        <f t="shared" si="16"/>
        <v>-37.200000000000003</v>
      </c>
      <c r="U51" s="16">
        <f>IFERROR(SUMIF('LISTA DE EMBARQUE'!B:B,MICRO!E:E,'LISTA DE EMBARQUE'!G:G),"")</f>
        <v>0</v>
      </c>
      <c r="V51" s="12" t="str">
        <f>IFERROR(VLOOKUP(Tabela1[[#This Row],[COD.MDE]],'LISTA DE EMBARQUE'!B:L,11,0),"")</f>
        <v/>
      </c>
      <c r="W51" s="13" t="str">
        <f>IFERROR(COUNTIF(#REF!,Tabela1[[#This Row],[Colunas5]]),"")</f>
        <v/>
      </c>
      <c r="X51" s="14">
        <f>Tabela1[[#This Row],[QIANTIDADE EXPEDIDA]]*Tabela1[[#This Row],[PESO UNI]]</f>
        <v>0</v>
      </c>
      <c r="Y51" s="14">
        <f t="shared" si="17"/>
        <v>-2</v>
      </c>
      <c r="Z51" s="20">
        <f>Tabela1[[#This Row],[PESO TOTAL]]-Tabela1[[#This Row],[Peso Expedido]]</f>
        <v>37.200000000000003</v>
      </c>
      <c r="AA51" s="17">
        <v>0.9</v>
      </c>
      <c r="AB51" s="33"/>
      <c r="AC51" s="33">
        <v>0.9</v>
      </c>
      <c r="AD51" s="33"/>
      <c r="AE51" s="33"/>
      <c r="AF51" s="33"/>
      <c r="AG51" s="33"/>
      <c r="AH51" s="33"/>
      <c r="AI51" s="33" t="str">
        <f t="shared" si="10"/>
        <v/>
      </c>
      <c r="AJ51" s="5"/>
      <c r="AK51" t="str">
        <f>Tabela1[[#This Row],[Coluna1]]&amp;Tabela1[[#This Row],[PEDIDO]]</f>
        <v>P-198</v>
      </c>
      <c r="AL51"/>
      <c r="AM51"/>
      <c r="AN51"/>
      <c r="AO51" t="str">
        <f t="shared" si="11"/>
        <v>T-073197-1/05-CV-0001</v>
      </c>
      <c r="AP51" t="str">
        <f>Tabela1[[#This Row],[TAG]]&amp;Tabela1[[#This Row],[PEDIDO]]&amp;Tabela1[[#This Row],[PRODUTO]]</f>
        <v>05-CV-0001P-198ESTRUTURA</v>
      </c>
      <c r="AQ51" s="22" t="str">
        <f>Tabela1[[#This Row],[PRODUTO]]&amp;Tabela1[[#This Row],[TAG]]</f>
        <v>ESTRUTURA05-CV-0001</v>
      </c>
      <c r="AR51" s="24" t="str">
        <f>Tabela1[[#This Row],[PEDIDO]]&amp;Tabela1[[#This Row],[PRODUTO]]</f>
        <v>P-198ESTRUTURA</v>
      </c>
      <c r="AS51" s="37">
        <f>IF(AF51="",0,IF(ISTEXT(AF51),H51*VALUE(SUBSTITUTE(AF51,"%",""))/100,H51*AF51))-Tabela1[[#This Row],[PRONTO ACABADO2]]</f>
        <v>0</v>
      </c>
      <c r="AT51" s="37">
        <f>IF(AG51="",0,IF(ISTEXT(AG51),H51*VALUE(SUBSTITUTE(AG51,"%",""))/100,H51*AG51))-Tabela1[[#This Row],[PESO EXPEDIDO2]]</f>
        <v>0</v>
      </c>
      <c r="AU51" s="37">
        <f t="shared" si="12"/>
        <v>0</v>
      </c>
      <c r="AV51" s="37">
        <f t="shared" si="13"/>
        <v>0</v>
      </c>
      <c r="AW51" s="37"/>
    </row>
    <row r="52" spans="1:49" ht="15.75" customHeight="1" x14ac:dyDescent="0.25">
      <c r="A52" s="6" t="s">
        <v>3055</v>
      </c>
      <c r="B52" s="21"/>
      <c r="C52" s="7">
        <v>2</v>
      </c>
      <c r="D52" s="39" t="s">
        <v>3058</v>
      </c>
      <c r="E52" s="7">
        <v>3748</v>
      </c>
      <c r="F52" s="7">
        <v>15</v>
      </c>
      <c r="G52" s="23">
        <v>1</v>
      </c>
      <c r="H52" s="34">
        <f>Tabela1[[#This Row],[PESO UNI]]*Tabela1[[#This Row],[QTE]]</f>
        <v>2</v>
      </c>
      <c r="I52" s="7" t="s">
        <v>4418</v>
      </c>
      <c r="J52" s="8" t="s">
        <v>3034</v>
      </c>
      <c r="K52" s="8" t="s">
        <v>31</v>
      </c>
      <c r="L52" s="9" t="s">
        <v>2984</v>
      </c>
      <c r="M52" s="10"/>
      <c r="N52" s="8" t="s">
        <v>38</v>
      </c>
      <c r="O52" s="12"/>
      <c r="P52" s="13"/>
      <c r="Q52" s="14">
        <f>Tabela1[[#This Row],[QTDE/ Fabricação]]-Tabela1[[#This Row],[QTE]]</f>
        <v>-2</v>
      </c>
      <c r="R52" s="18">
        <f t="shared" si="14"/>
        <v>0.9</v>
      </c>
      <c r="S52" s="18">
        <f t="shared" si="15"/>
        <v>0</v>
      </c>
      <c r="T52" s="19">
        <f t="shared" si="16"/>
        <v>-2</v>
      </c>
      <c r="U52" s="16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>IFERROR(COUNTIF(#REF!,Tabela1[[#This Row],[Colunas5]]),"")</f>
        <v/>
      </c>
      <c r="X52" s="14">
        <f>Tabela1[[#This Row],[QIANTIDADE EXPEDIDA]]*Tabela1[[#This Row],[PESO UNI]]</f>
        <v>0</v>
      </c>
      <c r="Y52" s="14">
        <f t="shared" si="17"/>
        <v>-2</v>
      </c>
      <c r="Z52" s="20">
        <f>Tabela1[[#This Row],[PESO TOTAL]]-Tabela1[[#This Row],[Peso Expedido]]</f>
        <v>2</v>
      </c>
      <c r="AA52" s="17">
        <v>0.9</v>
      </c>
      <c r="AB52" s="33"/>
      <c r="AC52" s="33">
        <v>0.9</v>
      </c>
      <c r="AD52" s="33"/>
      <c r="AE52" s="33"/>
      <c r="AF52" s="33"/>
      <c r="AG52" s="33"/>
      <c r="AH52" s="33"/>
      <c r="AI52" s="33" t="str">
        <f t="shared" si="10"/>
        <v/>
      </c>
      <c r="AJ52" s="5"/>
      <c r="AK52" t="str">
        <f>Tabela1[[#This Row],[Coluna1]]&amp;Tabela1[[#This Row],[PEDIDO]]</f>
        <v>P-198</v>
      </c>
      <c r="AL52"/>
      <c r="AM52"/>
      <c r="AN52"/>
      <c r="AO52" t="str">
        <f t="shared" si="11"/>
        <v>T-073197-1/05-CV-0001</v>
      </c>
      <c r="AP52" t="str">
        <f>Tabela1[[#This Row],[TAG]]&amp;Tabela1[[#This Row],[PEDIDO]]&amp;Tabela1[[#This Row],[PRODUTO]]</f>
        <v>05-CV-0001P-198ESTRUTURA</v>
      </c>
      <c r="AQ52" s="22" t="str">
        <f>Tabela1[[#This Row],[PRODUTO]]&amp;Tabela1[[#This Row],[TAG]]</f>
        <v>ESTRUTURA05-CV-0001</v>
      </c>
      <c r="AR52" s="24" t="str">
        <f>Tabela1[[#This Row],[PEDIDO]]&amp;Tabela1[[#This Row],[PRODUTO]]</f>
        <v>P-198ESTRUTURA</v>
      </c>
      <c r="AS52" s="37">
        <f>IF(AF52="",0,IF(ISTEXT(AF52),H52*VALUE(SUBSTITUTE(AF52,"%",""))/100,H52*AF52))-Tabela1[[#This Row],[PRONTO ACABADO2]]</f>
        <v>0</v>
      </c>
      <c r="AT52" s="37">
        <f>IF(AG52="",0,IF(ISTEXT(AG52),H52*VALUE(SUBSTITUTE(AG52,"%",""))/100,H52*AG52))-Tabela1[[#This Row],[PESO EXPEDIDO2]]</f>
        <v>0</v>
      </c>
      <c r="AU52" s="37">
        <f t="shared" si="12"/>
        <v>0</v>
      </c>
      <c r="AV52" s="37">
        <f t="shared" si="13"/>
        <v>0</v>
      </c>
      <c r="AW52" s="37"/>
    </row>
    <row r="53" spans="1:49" ht="15.75" customHeight="1" x14ac:dyDescent="0.25">
      <c r="A53" s="6" t="s">
        <v>3059</v>
      </c>
      <c r="B53" s="21"/>
      <c r="C53" s="7">
        <v>4</v>
      </c>
      <c r="D53" s="39" t="s">
        <v>3060</v>
      </c>
      <c r="E53" s="7">
        <v>3749</v>
      </c>
      <c r="F53" s="7">
        <v>15</v>
      </c>
      <c r="G53" s="23">
        <v>7.2</v>
      </c>
      <c r="H53" s="34">
        <f>Tabela1[[#This Row],[PESO UNI]]*Tabela1[[#This Row],[QTE]]</f>
        <v>28.8</v>
      </c>
      <c r="I53" s="7" t="s">
        <v>3289</v>
      </c>
      <c r="J53" s="8" t="s">
        <v>3034</v>
      </c>
      <c r="K53" s="8" t="s">
        <v>31</v>
      </c>
      <c r="L53" s="9" t="s">
        <v>2984</v>
      </c>
      <c r="M53" s="10"/>
      <c r="N53" s="8" t="s">
        <v>38</v>
      </c>
      <c r="O53" s="12"/>
      <c r="P53" s="13"/>
      <c r="Q53" s="14">
        <f>Tabela1[[#This Row],[QTDE/ Fabricação]]-Tabela1[[#This Row],[QTE]]</f>
        <v>-4</v>
      </c>
      <c r="R53" s="18">
        <f t="shared" si="14"/>
        <v>28.8</v>
      </c>
      <c r="S53" s="18">
        <f t="shared" si="15"/>
        <v>0</v>
      </c>
      <c r="T53" s="19">
        <f t="shared" si="16"/>
        <v>-28.8</v>
      </c>
      <c r="U53" s="16">
        <f>IFERROR(SUMIF('LISTA DE EMBARQUE'!B:B,MICRO!E:E,'LISTA DE EMBARQUE'!G:G),"")</f>
        <v>0</v>
      </c>
      <c r="V53" s="12" t="str">
        <f>IFERROR(VLOOKUP(Tabela1[[#This Row],[COD.MDE]],'LISTA DE EMBARQUE'!B:L,11,0),"")</f>
        <v/>
      </c>
      <c r="W53" s="13" t="str">
        <f>IFERROR(COUNTIF(#REF!,Tabela1[[#This Row],[Colunas5]]),"")</f>
        <v/>
      </c>
      <c r="X53" s="14">
        <f>Tabela1[[#This Row],[QIANTIDADE EXPEDIDA]]*Tabela1[[#This Row],[PESO UNI]]</f>
        <v>0</v>
      </c>
      <c r="Y53" s="14">
        <f t="shared" si="17"/>
        <v>-4</v>
      </c>
      <c r="Z53" s="20">
        <f>Tabela1[[#This Row],[PESO TOTAL]]-Tabela1[[#This Row],[Peso Expedido]]</f>
        <v>28.8</v>
      </c>
      <c r="AA53" s="17">
        <v>1</v>
      </c>
      <c r="AB53" s="33"/>
      <c r="AC53" s="33">
        <v>1</v>
      </c>
      <c r="AD53" s="33">
        <v>1</v>
      </c>
      <c r="AE53" s="33">
        <v>1</v>
      </c>
      <c r="AF53" s="33">
        <v>1</v>
      </c>
      <c r="AG53" s="33"/>
      <c r="AH53" s="33"/>
      <c r="AI53" s="33" t="str">
        <f t="shared" si="10"/>
        <v/>
      </c>
      <c r="AJ53" s="5"/>
      <c r="AK53" t="str">
        <f>Tabela1[[#This Row],[Coluna1]]&amp;Tabela1[[#This Row],[PEDIDO]]</f>
        <v>P-198</v>
      </c>
      <c r="AL53"/>
      <c r="AM53"/>
      <c r="AN53"/>
      <c r="AO53" t="str">
        <f t="shared" si="11"/>
        <v>T-073196-1/05-CV-0001</v>
      </c>
      <c r="AP53" t="str">
        <f>Tabela1[[#This Row],[TAG]]&amp;Tabela1[[#This Row],[PEDIDO]]&amp;Tabela1[[#This Row],[PRODUTO]]</f>
        <v>05-CV-0001P-198ESTRUTURA</v>
      </c>
      <c r="AQ53" s="22" t="str">
        <f>Tabela1[[#This Row],[PRODUTO]]&amp;Tabela1[[#This Row],[TAG]]</f>
        <v>ESTRUTURA05-CV-0001</v>
      </c>
      <c r="AR53" s="24" t="str">
        <f>Tabela1[[#This Row],[PEDIDO]]&amp;Tabela1[[#This Row],[PRODUTO]]</f>
        <v>P-198ESTRUTURA</v>
      </c>
      <c r="AS53" s="37">
        <f>IF(AF53="",0,IF(ISTEXT(AF53),H53*VALUE(SUBSTITUTE(AF53,"%",""))/100,H53*AF53))-Tabela1[[#This Row],[PRONTO ACABADO2]]</f>
        <v>28.8</v>
      </c>
      <c r="AT53" s="37">
        <f>IF(AG53="",0,IF(ISTEXT(AG53),H53*VALUE(SUBSTITUTE(AG53,"%",""))/100,H53*AG53))-Tabela1[[#This Row],[PESO EXPEDIDO2]]</f>
        <v>0</v>
      </c>
      <c r="AU53" s="37">
        <f t="shared" si="12"/>
        <v>0</v>
      </c>
      <c r="AV53" s="37">
        <f t="shared" si="13"/>
        <v>0</v>
      </c>
      <c r="AW53" s="37"/>
    </row>
    <row r="54" spans="1:49" ht="15.75" customHeight="1" x14ac:dyDescent="0.25">
      <c r="A54" s="6" t="s">
        <v>3059</v>
      </c>
      <c r="B54" s="21"/>
      <c r="C54" s="7">
        <v>1</v>
      </c>
      <c r="D54" s="39" t="s">
        <v>3061</v>
      </c>
      <c r="E54" s="7">
        <v>3750</v>
      </c>
      <c r="F54" s="7">
        <v>15</v>
      </c>
      <c r="G54" s="23">
        <v>520</v>
      </c>
      <c r="H54" s="34">
        <f>Tabela1[[#This Row],[PESO UNI]]*Tabela1[[#This Row],[QTE]]</f>
        <v>520</v>
      </c>
      <c r="I54" s="7" t="s">
        <v>3289</v>
      </c>
      <c r="J54" s="8" t="s">
        <v>3034</v>
      </c>
      <c r="K54" s="8" t="s">
        <v>31</v>
      </c>
      <c r="L54" s="9" t="s">
        <v>2984</v>
      </c>
      <c r="M54" s="10"/>
      <c r="N54" s="8" t="s">
        <v>38</v>
      </c>
      <c r="O54" s="12"/>
      <c r="P54" s="13"/>
      <c r="Q54" s="14">
        <f>Tabela1[[#This Row],[QTDE/ Fabricação]]-Tabela1[[#This Row],[QTE]]</f>
        <v>-1</v>
      </c>
      <c r="R54" s="18">
        <f t="shared" si="14"/>
        <v>520</v>
      </c>
      <c r="S54" s="18">
        <f t="shared" si="15"/>
        <v>0</v>
      </c>
      <c r="T54" s="19">
        <f t="shared" si="16"/>
        <v>-520</v>
      </c>
      <c r="U54" s="16">
        <f>IFERROR(SUMIF('LISTA DE EMBARQUE'!B:B,MICRO!E:E,'LISTA DE EMBARQUE'!G:G),"")</f>
        <v>0</v>
      </c>
      <c r="V54" s="12" t="str">
        <f>IFERROR(VLOOKUP(Tabela1[[#This Row],[COD.MDE]],'LISTA DE EMBARQUE'!B:L,11,0),"")</f>
        <v/>
      </c>
      <c r="W54" s="13" t="str">
        <f>IFERROR(COUNTIF(#REF!,Tabela1[[#This Row],[Colunas5]]),"")</f>
        <v/>
      </c>
      <c r="X54" s="14">
        <f>Tabela1[[#This Row],[QIANTIDADE EXPEDIDA]]*Tabela1[[#This Row],[PESO UNI]]</f>
        <v>0</v>
      </c>
      <c r="Y54" s="14">
        <f t="shared" si="17"/>
        <v>-1</v>
      </c>
      <c r="Z54" s="20">
        <f>Tabela1[[#This Row],[PESO TOTAL]]-Tabela1[[#This Row],[Peso Expedido]]</f>
        <v>520</v>
      </c>
      <c r="AA54" s="17">
        <v>1</v>
      </c>
      <c r="AB54" s="33"/>
      <c r="AC54" s="33">
        <v>1</v>
      </c>
      <c r="AD54" s="33">
        <v>1</v>
      </c>
      <c r="AE54" s="33">
        <v>1</v>
      </c>
      <c r="AF54" s="33">
        <v>1</v>
      </c>
      <c r="AG54" s="33"/>
      <c r="AH54" s="33"/>
      <c r="AI54" s="33" t="str">
        <f t="shared" si="10"/>
        <v/>
      </c>
      <c r="AJ54" s="5"/>
      <c r="AK54" t="str">
        <f>Tabela1[[#This Row],[Coluna1]]&amp;Tabela1[[#This Row],[PEDIDO]]</f>
        <v>P-198</v>
      </c>
      <c r="AL54"/>
      <c r="AM54"/>
      <c r="AN54"/>
      <c r="AO54" t="str">
        <f t="shared" si="11"/>
        <v>T-073196-1/05-CV-0001</v>
      </c>
      <c r="AP54" t="str">
        <f>Tabela1[[#This Row],[TAG]]&amp;Tabela1[[#This Row],[PEDIDO]]&amp;Tabela1[[#This Row],[PRODUTO]]</f>
        <v>05-CV-0001P-198ESTRUTURA</v>
      </c>
      <c r="AQ54" s="22" t="str">
        <f>Tabela1[[#This Row],[PRODUTO]]&amp;Tabela1[[#This Row],[TAG]]</f>
        <v>ESTRUTURA05-CV-0001</v>
      </c>
      <c r="AR54" s="24" t="str">
        <f>Tabela1[[#This Row],[PEDIDO]]&amp;Tabela1[[#This Row],[PRODUTO]]</f>
        <v>P-198ESTRUTURA</v>
      </c>
      <c r="AS54" s="37">
        <f>IF(AF54="",0,IF(ISTEXT(AF54),H54*VALUE(SUBSTITUTE(AF54,"%",""))/100,H54*AF54))-Tabela1[[#This Row],[PRONTO ACABADO2]]</f>
        <v>520</v>
      </c>
      <c r="AT54" s="37">
        <f>IF(AG54="",0,IF(ISTEXT(AG54),H54*VALUE(SUBSTITUTE(AG54,"%",""))/100,H54*AG54))-Tabela1[[#This Row],[PESO EXPEDIDO2]]</f>
        <v>0</v>
      </c>
      <c r="AU54" s="37">
        <f t="shared" si="12"/>
        <v>0</v>
      </c>
      <c r="AV54" s="37">
        <f t="shared" si="13"/>
        <v>0</v>
      </c>
      <c r="AW54" s="37"/>
    </row>
    <row r="55" spans="1:49" ht="15.75" customHeight="1" x14ac:dyDescent="0.25">
      <c r="A55" s="6" t="s">
        <v>3059</v>
      </c>
      <c r="B55" s="21"/>
      <c r="C55" s="7">
        <v>2</v>
      </c>
      <c r="D55" s="39" t="s">
        <v>3062</v>
      </c>
      <c r="E55" s="7">
        <v>3751</v>
      </c>
      <c r="F55" s="7">
        <v>15</v>
      </c>
      <c r="G55" s="23">
        <v>8.4</v>
      </c>
      <c r="H55" s="34">
        <f>Tabela1[[#This Row],[PESO UNI]]*Tabela1[[#This Row],[QTE]]</f>
        <v>16.8</v>
      </c>
      <c r="I55" s="7" t="s">
        <v>3289</v>
      </c>
      <c r="J55" s="8" t="s">
        <v>3034</v>
      </c>
      <c r="K55" s="8" t="s">
        <v>31</v>
      </c>
      <c r="L55" s="9" t="s">
        <v>2984</v>
      </c>
      <c r="M55" s="10"/>
      <c r="N55" s="8" t="s">
        <v>38</v>
      </c>
      <c r="O55" s="12"/>
      <c r="P55" s="13"/>
      <c r="Q55" s="14">
        <f>Tabela1[[#This Row],[QTDE/ Fabricação]]-Tabela1[[#This Row],[QTE]]</f>
        <v>-2</v>
      </c>
      <c r="R55" s="18">
        <f t="shared" si="14"/>
        <v>7.5600000000000005</v>
      </c>
      <c r="S55" s="18">
        <f t="shared" si="15"/>
        <v>0</v>
      </c>
      <c r="T55" s="19">
        <f t="shared" si="16"/>
        <v>-16.8</v>
      </c>
      <c r="U55" s="16">
        <f>IFERROR(SUMIF('LISTA DE EMBARQUE'!B:B,MICRO!E:E,'LISTA DE EMBARQUE'!G:G),"")</f>
        <v>0</v>
      </c>
      <c r="V55" s="12" t="str">
        <f>IFERROR(VLOOKUP(Tabela1[[#This Row],[COD.MDE]],'LISTA DE EMBARQUE'!B:L,11,0),"")</f>
        <v/>
      </c>
      <c r="W55" s="13" t="str">
        <f>IFERROR(COUNTIF(#REF!,Tabela1[[#This Row],[Colunas5]]),"")</f>
        <v/>
      </c>
      <c r="X55" s="14">
        <f>Tabela1[[#This Row],[QIANTIDADE EXPEDIDA]]*Tabela1[[#This Row],[PESO UNI]]</f>
        <v>0</v>
      </c>
      <c r="Y55" s="14">
        <f t="shared" si="17"/>
        <v>-2</v>
      </c>
      <c r="Z55" s="20">
        <f>Tabela1[[#This Row],[PESO TOTAL]]-Tabela1[[#This Row],[Peso Expedido]]</f>
        <v>16.8</v>
      </c>
      <c r="AA55" s="17">
        <v>0.9</v>
      </c>
      <c r="AB55" s="33"/>
      <c r="AC55" s="33">
        <v>0.9</v>
      </c>
      <c r="AD55" s="33"/>
      <c r="AE55" s="33"/>
      <c r="AF55" s="33"/>
      <c r="AG55" s="33"/>
      <c r="AH55" s="33"/>
      <c r="AI55" s="33" t="str">
        <f t="shared" si="10"/>
        <v/>
      </c>
      <c r="AJ55" s="5"/>
      <c r="AK55" t="str">
        <f>Tabela1[[#This Row],[Coluna1]]&amp;Tabela1[[#This Row],[PEDIDO]]</f>
        <v>P-198</v>
      </c>
      <c r="AL55"/>
      <c r="AM55"/>
      <c r="AN55"/>
      <c r="AO55" t="str">
        <f t="shared" si="11"/>
        <v>T-073196-1/05-CV-0001</v>
      </c>
      <c r="AP55" t="str">
        <f>Tabela1[[#This Row],[TAG]]&amp;Tabela1[[#This Row],[PEDIDO]]&amp;Tabela1[[#This Row],[PRODUTO]]</f>
        <v>05-CV-0001P-198ESTRUTURA</v>
      </c>
      <c r="AQ55" s="22" t="str">
        <f>Tabela1[[#This Row],[PRODUTO]]&amp;Tabela1[[#This Row],[TAG]]</f>
        <v>ESTRUTURA05-CV-0001</v>
      </c>
      <c r="AR55" s="24" t="str">
        <f>Tabela1[[#This Row],[PEDIDO]]&amp;Tabela1[[#This Row],[PRODUTO]]</f>
        <v>P-198ESTRUTURA</v>
      </c>
      <c r="AS55" s="37">
        <f>IF(AF55="",0,IF(ISTEXT(AF55),H55*VALUE(SUBSTITUTE(AF55,"%",""))/100,H55*AF55))-Tabela1[[#This Row],[PRONTO ACABADO2]]</f>
        <v>0</v>
      </c>
      <c r="AT55" s="37">
        <f>IF(AG55="",0,IF(ISTEXT(AG55),H55*VALUE(SUBSTITUTE(AG55,"%",""))/100,H55*AG55))-Tabela1[[#This Row],[PESO EXPEDIDO2]]</f>
        <v>0</v>
      </c>
      <c r="AU55" s="37">
        <f t="shared" si="12"/>
        <v>0</v>
      </c>
      <c r="AV55" s="37">
        <f t="shared" si="13"/>
        <v>0</v>
      </c>
      <c r="AW55" s="37"/>
    </row>
    <row r="56" spans="1:49" ht="15.75" customHeight="1" x14ac:dyDescent="0.25">
      <c r="A56" s="6" t="s">
        <v>3063</v>
      </c>
      <c r="B56" s="21"/>
      <c r="C56" s="7">
        <v>4</v>
      </c>
      <c r="D56" s="39" t="s">
        <v>3064</v>
      </c>
      <c r="E56" s="7">
        <v>3752</v>
      </c>
      <c r="F56" s="7">
        <v>10</v>
      </c>
      <c r="G56" s="23">
        <v>2.7</v>
      </c>
      <c r="H56" s="34">
        <f>Tabela1[[#This Row],[PESO UNI]]*Tabela1[[#This Row],[QTE]]</f>
        <v>10.8</v>
      </c>
      <c r="I56" s="7">
        <v>0</v>
      </c>
      <c r="J56" s="8" t="s">
        <v>3045</v>
      </c>
      <c r="K56" s="8" t="s">
        <v>33</v>
      </c>
      <c r="L56" s="9" t="s">
        <v>2984</v>
      </c>
      <c r="M56" s="10"/>
      <c r="N56" s="8" t="s">
        <v>38</v>
      </c>
      <c r="O56" s="12"/>
      <c r="P56" s="13"/>
      <c r="Q56" s="14">
        <f>Tabela1[[#This Row],[QTDE/ Fabricação]]-Tabela1[[#This Row],[QTE]]</f>
        <v>-4</v>
      </c>
      <c r="R56" s="18">
        <f t="shared" si="14"/>
        <v>10.8</v>
      </c>
      <c r="S56" s="18">
        <f t="shared" si="15"/>
        <v>10.8</v>
      </c>
      <c r="T56" s="19">
        <f t="shared" si="16"/>
        <v>0</v>
      </c>
      <c r="U56" s="16">
        <f>IFERROR(SUMIF('LISTA DE EMBARQUE'!B:B,MICRO!E:E,'LISTA DE EMBARQUE'!G:G),"")</f>
        <v>4</v>
      </c>
      <c r="V56" s="12">
        <f>IFERROR(VLOOKUP(Tabela1[[#This Row],[COD.MDE]],'LISTA DE EMBARQUE'!B:L,11,0),"")</f>
        <v>1</v>
      </c>
      <c r="W56" s="13" t="str">
        <f>IFERROR(COUNTIF(#REF!,Tabela1[[#This Row],[Colunas5]]),"")</f>
        <v/>
      </c>
      <c r="X56" s="14">
        <f>Tabela1[[#This Row],[QIANTIDADE EXPEDIDA]]*Tabela1[[#This Row],[PESO UNI]]</f>
        <v>10.8</v>
      </c>
      <c r="Y56" s="14">
        <f t="shared" si="17"/>
        <v>0</v>
      </c>
      <c r="Z56" s="20">
        <f>Tabela1[[#This Row],[PESO TOTAL]]-Tabela1[[#This Row],[Peso Expedido]]</f>
        <v>0</v>
      </c>
      <c r="AA56" s="17">
        <v>1</v>
      </c>
      <c r="AB56" s="33"/>
      <c r="AC56" s="33">
        <v>1</v>
      </c>
      <c r="AD56" s="33">
        <v>1</v>
      </c>
      <c r="AE56" s="33">
        <v>1</v>
      </c>
      <c r="AF56" s="33">
        <v>1</v>
      </c>
      <c r="AG56" s="33">
        <v>1</v>
      </c>
      <c r="AH56" s="33">
        <v>1</v>
      </c>
      <c r="AI56" s="33" t="str">
        <f t="shared" si="10"/>
        <v>ok</v>
      </c>
      <c r="AJ56" s="5"/>
      <c r="AK56" t="str">
        <f>Tabela1[[#This Row],[Coluna1]]&amp;Tabela1[[#This Row],[PEDIDO]]</f>
        <v>P-198</v>
      </c>
      <c r="AL56"/>
      <c r="AM56"/>
      <c r="AN56"/>
      <c r="AO56" t="str">
        <f t="shared" si="11"/>
        <v>T-054923-1/14-CV-0001</v>
      </c>
      <c r="AP56" t="str">
        <f>Tabela1[[#This Row],[TAG]]&amp;Tabela1[[#This Row],[PEDIDO]]&amp;Tabela1[[#This Row],[PRODUTO]]</f>
        <v>14-CV-0001P-198BASES ROLETES</v>
      </c>
      <c r="AQ56" s="22" t="str">
        <f>Tabela1[[#This Row],[PRODUTO]]&amp;Tabela1[[#This Row],[TAG]]</f>
        <v>BASES ROLETES14-CV-0001</v>
      </c>
      <c r="AR56" s="24" t="str">
        <f>Tabela1[[#This Row],[PEDIDO]]&amp;Tabela1[[#This Row],[PRODUTO]]</f>
        <v>P-198BASES ROLETES</v>
      </c>
      <c r="AS56" s="37">
        <f>IF(AF56="",0,IF(ISTEXT(AF56),H56*VALUE(SUBSTITUTE(AF56,"%",""))/100,H56*AF56))-Tabela1[[#This Row],[PRONTO ACABADO2]]</f>
        <v>0</v>
      </c>
      <c r="AT56" s="37">
        <f>IF(AG56="",0,IF(ISTEXT(AG56),H56*VALUE(SUBSTITUTE(AG56,"%",""))/100,H56*AG56))-Tabela1[[#This Row],[PESO EXPEDIDO2]]</f>
        <v>0</v>
      </c>
      <c r="AU56" s="37">
        <f t="shared" si="12"/>
        <v>10.8</v>
      </c>
      <c r="AV56" s="37">
        <f t="shared" si="13"/>
        <v>10.8</v>
      </c>
      <c r="AW56" s="37"/>
    </row>
    <row r="57" spans="1:49" ht="15.75" customHeight="1" x14ac:dyDescent="0.25">
      <c r="A57" s="6" t="s">
        <v>3065</v>
      </c>
      <c r="B57" s="21"/>
      <c r="C57" s="7">
        <v>1</v>
      </c>
      <c r="D57" s="39" t="s">
        <v>3066</v>
      </c>
      <c r="E57" s="7">
        <v>3753</v>
      </c>
      <c r="F57" s="7">
        <v>10</v>
      </c>
      <c r="G57" s="23">
        <v>41.9</v>
      </c>
      <c r="H57" s="34">
        <f>Tabela1[[#This Row],[PESO UNI]]*Tabela1[[#This Row],[QTE]]</f>
        <v>41.9</v>
      </c>
      <c r="I57" s="7">
        <v>1</v>
      </c>
      <c r="J57" s="8" t="s">
        <v>3045</v>
      </c>
      <c r="K57" s="8" t="s">
        <v>33</v>
      </c>
      <c r="L57" s="9" t="s">
        <v>2984</v>
      </c>
      <c r="M57" s="10"/>
      <c r="N57" s="8" t="s">
        <v>38</v>
      </c>
      <c r="O57" s="12"/>
      <c r="P57" s="13"/>
      <c r="Q57" s="14">
        <f>Tabela1[[#This Row],[QTDE/ Fabricação]]-Tabela1[[#This Row],[QTE]]</f>
        <v>-1</v>
      </c>
      <c r="R57" s="18">
        <f t="shared" si="14"/>
        <v>41.9</v>
      </c>
      <c r="S57" s="18">
        <f t="shared" si="15"/>
        <v>41.9</v>
      </c>
      <c r="T57" s="19">
        <f t="shared" si="16"/>
        <v>0</v>
      </c>
      <c r="U57" s="16">
        <f>IFERROR(SUMIF('LISTA DE EMBARQUE'!B:B,MICRO!E:E,'LISTA DE EMBARQUE'!G:G),"")</f>
        <v>1</v>
      </c>
      <c r="V57" s="12">
        <f>IFERROR(VLOOKUP(Tabela1[[#This Row],[COD.MDE]],'LISTA DE EMBARQUE'!B:L,11,0),"")</f>
        <v>2</v>
      </c>
      <c r="W57" s="13" t="str">
        <f>IFERROR(COUNTIF(#REF!,Tabela1[[#This Row],[Colunas5]]),"")</f>
        <v/>
      </c>
      <c r="X57" s="14">
        <f>Tabela1[[#This Row],[QIANTIDADE EXPEDIDA]]*Tabela1[[#This Row],[PESO UNI]]</f>
        <v>41.9</v>
      </c>
      <c r="Y57" s="14">
        <f t="shared" si="17"/>
        <v>0</v>
      </c>
      <c r="Z57" s="20">
        <f>Tabela1[[#This Row],[PESO TOTAL]]-Tabela1[[#This Row],[Peso Expedido]]</f>
        <v>0</v>
      </c>
      <c r="AA57" s="17">
        <v>1</v>
      </c>
      <c r="AB57" s="33"/>
      <c r="AC57" s="33">
        <v>1</v>
      </c>
      <c r="AD57" s="33">
        <v>1</v>
      </c>
      <c r="AE57" s="33">
        <v>1</v>
      </c>
      <c r="AF57" s="33">
        <v>1</v>
      </c>
      <c r="AG57" s="33">
        <v>1</v>
      </c>
      <c r="AH57" s="33">
        <v>1</v>
      </c>
      <c r="AI57" s="33" t="str">
        <f t="shared" si="10"/>
        <v>ok</v>
      </c>
      <c r="AJ57" s="5"/>
      <c r="AK57" t="str">
        <f>Tabela1[[#This Row],[Coluna1]]&amp;Tabela1[[#This Row],[PEDIDO]]</f>
        <v>P-198</v>
      </c>
      <c r="AL57"/>
      <c r="AM57"/>
      <c r="AN57"/>
      <c r="AO57" t="str">
        <f t="shared" si="11"/>
        <v>T-073186-1/14-CV-0001</v>
      </c>
      <c r="AP57" t="str">
        <f>Tabela1[[#This Row],[TAG]]&amp;Tabela1[[#This Row],[PEDIDO]]&amp;Tabela1[[#This Row],[PRODUTO]]</f>
        <v>14-CV-0001P-198BASES ROLETES</v>
      </c>
      <c r="AQ57" s="22" t="str">
        <f>Tabela1[[#This Row],[PRODUTO]]&amp;Tabela1[[#This Row],[TAG]]</f>
        <v>BASES ROLETES14-CV-0001</v>
      </c>
      <c r="AR57" s="24" t="str">
        <f>Tabela1[[#This Row],[PEDIDO]]&amp;Tabela1[[#This Row],[PRODUTO]]</f>
        <v>P-198BASES ROLETES</v>
      </c>
      <c r="AS57" s="37">
        <f>IF(AF57="",0,IF(ISTEXT(AF57),H57*VALUE(SUBSTITUTE(AF57,"%",""))/100,H57*AF57))-Tabela1[[#This Row],[PRONTO ACABADO2]]</f>
        <v>0</v>
      </c>
      <c r="AT57" s="37">
        <f>IF(AG57="",0,IF(ISTEXT(AG57),H57*VALUE(SUBSTITUTE(AG57,"%",""))/100,H57*AG57))-Tabela1[[#This Row],[PESO EXPEDIDO2]]</f>
        <v>0</v>
      </c>
      <c r="AU57" s="37">
        <f t="shared" si="12"/>
        <v>41.9</v>
      </c>
      <c r="AV57" s="37">
        <f t="shared" si="13"/>
        <v>41.9</v>
      </c>
      <c r="AW57" s="37"/>
    </row>
    <row r="58" spans="1:49" ht="15.75" customHeight="1" x14ac:dyDescent="0.25">
      <c r="A58" s="6" t="s">
        <v>3067</v>
      </c>
      <c r="B58" s="21"/>
      <c r="C58" s="7">
        <v>1</v>
      </c>
      <c r="D58" s="39" t="s">
        <v>3071</v>
      </c>
      <c r="E58" s="7">
        <v>3754</v>
      </c>
      <c r="F58" s="7">
        <v>10</v>
      </c>
      <c r="G58" s="23">
        <v>54</v>
      </c>
      <c r="H58" s="34">
        <f>Tabela1[[#This Row],[PESO UNI]]*Tabela1[[#This Row],[QTE]]</f>
        <v>54</v>
      </c>
      <c r="I58" s="7" t="s">
        <v>3289</v>
      </c>
      <c r="J58" s="8" t="s">
        <v>3045</v>
      </c>
      <c r="K58" s="8" t="s">
        <v>33</v>
      </c>
      <c r="L58" s="9" t="s">
        <v>2984</v>
      </c>
      <c r="M58" s="10"/>
      <c r="N58" s="8" t="s">
        <v>38</v>
      </c>
      <c r="O58" s="12"/>
      <c r="P58" s="13"/>
      <c r="Q58" s="14">
        <f>Tabela1[[#This Row],[QTDE/ Fabricação]]-Tabela1[[#This Row],[QTE]]</f>
        <v>-1</v>
      </c>
      <c r="R58" s="18">
        <f t="shared" si="14"/>
        <v>54</v>
      </c>
      <c r="S58" s="18">
        <f t="shared" si="15"/>
        <v>54</v>
      </c>
      <c r="T58" s="19">
        <f t="shared" si="16"/>
        <v>0</v>
      </c>
      <c r="U58" s="16">
        <f>IFERROR(SUMIF('LISTA DE EMBARQUE'!B:B,MICRO!E:E,'LISTA DE EMBARQUE'!G:G),"")</f>
        <v>1</v>
      </c>
      <c r="V58" s="12">
        <f>IFERROR(VLOOKUP(Tabela1[[#This Row],[COD.MDE]],'LISTA DE EMBARQUE'!B:L,11,0),"")</f>
        <v>2</v>
      </c>
      <c r="W58" s="13" t="str">
        <f>IFERROR(COUNTIF(#REF!,Tabela1[[#This Row],[Colunas5]]),"")</f>
        <v/>
      </c>
      <c r="X58" s="14">
        <f>Tabela1[[#This Row],[QIANTIDADE EXPEDIDA]]*Tabela1[[#This Row],[PESO UNI]]</f>
        <v>54</v>
      </c>
      <c r="Y58" s="14">
        <f t="shared" si="17"/>
        <v>0</v>
      </c>
      <c r="Z58" s="20">
        <f>Tabela1[[#This Row],[PESO TOTAL]]-Tabela1[[#This Row],[Peso Expedido]]</f>
        <v>0</v>
      </c>
      <c r="AA58" s="17">
        <v>1</v>
      </c>
      <c r="AB58" s="33"/>
      <c r="AC58" s="33">
        <v>1</v>
      </c>
      <c r="AD58" s="33">
        <v>1</v>
      </c>
      <c r="AE58" s="33">
        <v>1</v>
      </c>
      <c r="AF58" s="33">
        <v>1</v>
      </c>
      <c r="AG58" s="33">
        <v>1</v>
      </c>
      <c r="AH58" s="33">
        <v>1</v>
      </c>
      <c r="AI58" s="33" t="str">
        <f t="shared" si="10"/>
        <v>ok</v>
      </c>
      <c r="AJ58" s="5"/>
      <c r="AK58" t="str">
        <f>Tabela1[[#This Row],[Coluna1]]&amp;Tabela1[[#This Row],[PEDIDO]]</f>
        <v>P-198</v>
      </c>
      <c r="AL58"/>
      <c r="AM58"/>
      <c r="AN58"/>
      <c r="AO58" t="str">
        <f t="shared" si="11"/>
        <v>T-073187-1/14-CV-0001</v>
      </c>
      <c r="AP58" t="str">
        <f>Tabela1[[#This Row],[TAG]]&amp;Tabela1[[#This Row],[PEDIDO]]&amp;Tabela1[[#This Row],[PRODUTO]]</f>
        <v>14-CV-0001P-198BASES ROLETES</v>
      </c>
      <c r="AQ58" s="22" t="str">
        <f>Tabela1[[#This Row],[PRODUTO]]&amp;Tabela1[[#This Row],[TAG]]</f>
        <v>BASES ROLETES14-CV-0001</v>
      </c>
      <c r="AR58" s="24" t="str">
        <f>Tabela1[[#This Row],[PEDIDO]]&amp;Tabela1[[#This Row],[PRODUTO]]</f>
        <v>P-198BASES ROLETES</v>
      </c>
      <c r="AS58" s="37">
        <f>IF(AF58="",0,IF(ISTEXT(AF58),H58*VALUE(SUBSTITUTE(AF58,"%",""))/100,H58*AF58))-Tabela1[[#This Row],[PRONTO ACABADO2]]</f>
        <v>0</v>
      </c>
      <c r="AT58" s="37">
        <f>IF(AG58="",0,IF(ISTEXT(AG58),H58*VALUE(SUBSTITUTE(AG58,"%",""))/100,H58*AG58))-Tabela1[[#This Row],[PESO EXPEDIDO2]]</f>
        <v>0</v>
      </c>
      <c r="AU58" s="37">
        <f t="shared" si="12"/>
        <v>54</v>
      </c>
      <c r="AV58" s="37">
        <f t="shared" si="13"/>
        <v>54</v>
      </c>
      <c r="AW58" s="37"/>
    </row>
    <row r="59" spans="1:49" ht="15.75" customHeight="1" x14ac:dyDescent="0.25">
      <c r="A59" s="6" t="s">
        <v>3068</v>
      </c>
      <c r="B59" s="21"/>
      <c r="C59" s="7">
        <v>2</v>
      </c>
      <c r="D59" s="39" t="s">
        <v>3069</v>
      </c>
      <c r="E59" s="7">
        <v>3755</v>
      </c>
      <c r="F59" s="7">
        <v>10</v>
      </c>
      <c r="G59" s="23">
        <v>47.6</v>
      </c>
      <c r="H59" s="34">
        <f>Tabela1[[#This Row],[PESO UNI]]*Tabela1[[#This Row],[QTE]]</f>
        <v>95.2</v>
      </c>
      <c r="I59" s="7">
        <v>0</v>
      </c>
      <c r="J59" s="8" t="s">
        <v>3045</v>
      </c>
      <c r="K59" s="8" t="s">
        <v>33</v>
      </c>
      <c r="L59" s="9" t="s">
        <v>2984</v>
      </c>
      <c r="M59" s="10"/>
      <c r="N59" s="8" t="s">
        <v>38</v>
      </c>
      <c r="O59" s="12"/>
      <c r="P59" s="13"/>
      <c r="Q59" s="14">
        <f>Tabela1[[#This Row],[QTDE/ Fabricação]]-Tabela1[[#This Row],[QTE]]</f>
        <v>-2</v>
      </c>
      <c r="R59" s="18">
        <f t="shared" si="14"/>
        <v>95.2</v>
      </c>
      <c r="S59" s="18">
        <f t="shared" si="15"/>
        <v>95.2</v>
      </c>
      <c r="T59" s="19">
        <f t="shared" si="16"/>
        <v>0</v>
      </c>
      <c r="U59" s="16">
        <f>IFERROR(SUMIF('LISTA DE EMBARQUE'!B:B,MICRO!E:E,'LISTA DE EMBARQUE'!G:G),"")</f>
        <v>2</v>
      </c>
      <c r="V59" s="12">
        <f>IFERROR(VLOOKUP(Tabela1[[#This Row],[COD.MDE]],'LISTA DE EMBARQUE'!B:L,11,0),"")</f>
        <v>1</v>
      </c>
      <c r="W59" s="13" t="str">
        <f>IFERROR(COUNTIF(#REF!,Tabela1[[#This Row],[Colunas5]]),"")</f>
        <v/>
      </c>
      <c r="X59" s="14">
        <f>Tabela1[[#This Row],[QIANTIDADE EXPEDIDA]]*Tabela1[[#This Row],[PESO UNI]]</f>
        <v>95.2</v>
      </c>
      <c r="Y59" s="14">
        <f t="shared" si="17"/>
        <v>0</v>
      </c>
      <c r="Z59" s="20">
        <f>Tabela1[[#This Row],[PESO TOTAL]]-Tabela1[[#This Row],[Peso Expedido]]</f>
        <v>0</v>
      </c>
      <c r="AA59" s="17">
        <v>1</v>
      </c>
      <c r="AB59" s="33"/>
      <c r="AC59" s="33">
        <v>1</v>
      </c>
      <c r="AD59" s="33">
        <v>1</v>
      </c>
      <c r="AE59" s="33">
        <v>1</v>
      </c>
      <c r="AF59" s="33">
        <v>1</v>
      </c>
      <c r="AG59" s="33">
        <v>1</v>
      </c>
      <c r="AH59" s="33">
        <v>1</v>
      </c>
      <c r="AI59" s="33" t="str">
        <f t="shared" si="10"/>
        <v>ok</v>
      </c>
      <c r="AJ59" s="5"/>
      <c r="AK59" t="str">
        <f>Tabela1[[#This Row],[Coluna1]]&amp;Tabela1[[#This Row],[PEDIDO]]</f>
        <v>P-198</v>
      </c>
      <c r="AL59"/>
      <c r="AM59"/>
      <c r="AN59"/>
      <c r="AO59" t="str">
        <f t="shared" si="11"/>
        <v>T-073188-1/14-CV-0001</v>
      </c>
      <c r="AP59" t="str">
        <f>Tabela1[[#This Row],[TAG]]&amp;Tabela1[[#This Row],[PEDIDO]]&amp;Tabela1[[#This Row],[PRODUTO]]</f>
        <v>14-CV-0001P-198BASES ROLETES</v>
      </c>
      <c r="AQ59" s="22" t="str">
        <f>Tabela1[[#This Row],[PRODUTO]]&amp;Tabela1[[#This Row],[TAG]]</f>
        <v>BASES ROLETES14-CV-0001</v>
      </c>
      <c r="AR59" s="24" t="str">
        <f>Tabela1[[#This Row],[PEDIDO]]&amp;Tabela1[[#This Row],[PRODUTO]]</f>
        <v>P-198BASES ROLETES</v>
      </c>
      <c r="AS59" s="37">
        <f>IF(AF59="",0,IF(ISTEXT(AF59),H59*VALUE(SUBSTITUTE(AF59,"%",""))/100,H59*AF59))-Tabela1[[#This Row],[PRONTO ACABADO2]]</f>
        <v>0</v>
      </c>
      <c r="AT59" s="37">
        <f>IF(AG59="",0,IF(ISTEXT(AG59),H59*VALUE(SUBSTITUTE(AG59,"%",""))/100,H59*AG59))-Tabela1[[#This Row],[PESO EXPEDIDO2]]</f>
        <v>0</v>
      </c>
      <c r="AU59" s="37">
        <f t="shared" si="12"/>
        <v>95.2</v>
      </c>
      <c r="AV59" s="37">
        <f t="shared" si="13"/>
        <v>95.2</v>
      </c>
      <c r="AW59" s="37"/>
    </row>
    <row r="60" spans="1:49" ht="15.75" customHeight="1" x14ac:dyDescent="0.25">
      <c r="A60" s="6" t="s">
        <v>3070</v>
      </c>
      <c r="B60" s="21"/>
      <c r="C60" s="7">
        <v>45</v>
      </c>
      <c r="D60" s="39" t="s">
        <v>3072</v>
      </c>
      <c r="E60" s="7">
        <v>3756</v>
      </c>
      <c r="F60" s="7">
        <v>10</v>
      </c>
      <c r="G60" s="23">
        <v>47.6</v>
      </c>
      <c r="H60" s="34">
        <f>Tabela1[[#This Row],[PESO UNI]]*Tabela1[[#This Row],[QTE]]</f>
        <v>2142</v>
      </c>
      <c r="I60" s="7">
        <v>0</v>
      </c>
      <c r="J60" s="8" t="s">
        <v>3045</v>
      </c>
      <c r="K60" s="8" t="s">
        <v>33</v>
      </c>
      <c r="L60" s="9" t="s">
        <v>2984</v>
      </c>
      <c r="M60" s="10"/>
      <c r="N60" s="8" t="s">
        <v>38</v>
      </c>
      <c r="O60" s="12"/>
      <c r="P60" s="13"/>
      <c r="Q60" s="14">
        <f>Tabela1[[#This Row],[QTDE/ Fabricação]]-Tabela1[[#This Row],[QTE]]</f>
        <v>-45</v>
      </c>
      <c r="R60" s="18">
        <f t="shared" si="14"/>
        <v>2142</v>
      </c>
      <c r="S60" s="18">
        <f t="shared" si="15"/>
        <v>2142</v>
      </c>
      <c r="T60" s="19">
        <f t="shared" si="16"/>
        <v>0</v>
      </c>
      <c r="U60" s="16">
        <f>IFERROR(SUMIF('LISTA DE EMBARQUE'!B:B,MICRO!E:E,'LISTA DE EMBARQUE'!G:G),"")</f>
        <v>45</v>
      </c>
      <c r="V60" s="12">
        <f>IFERROR(VLOOKUP(Tabela1[[#This Row],[COD.MDE]],'LISTA DE EMBARQUE'!B:L,11,0),"")</f>
        <v>1</v>
      </c>
      <c r="W60" s="13" t="str">
        <f>IFERROR(COUNTIF(#REF!,Tabela1[[#This Row],[Colunas5]]),"")</f>
        <v/>
      </c>
      <c r="X60" s="14">
        <f>Tabela1[[#This Row],[QIANTIDADE EXPEDIDA]]*Tabela1[[#This Row],[PESO UNI]]</f>
        <v>2142</v>
      </c>
      <c r="Y60" s="14">
        <f t="shared" si="17"/>
        <v>0</v>
      </c>
      <c r="Z60" s="20">
        <f>Tabela1[[#This Row],[PESO TOTAL]]-Tabela1[[#This Row],[Peso Expedido]]</f>
        <v>0</v>
      </c>
      <c r="AA60" s="17">
        <v>1</v>
      </c>
      <c r="AB60" s="33"/>
      <c r="AC60" s="33">
        <v>1</v>
      </c>
      <c r="AD60" s="33">
        <v>1</v>
      </c>
      <c r="AE60" s="33">
        <v>1</v>
      </c>
      <c r="AF60" s="33">
        <v>1</v>
      </c>
      <c r="AG60" s="33">
        <v>1</v>
      </c>
      <c r="AH60" s="33">
        <v>1</v>
      </c>
      <c r="AI60" s="33" t="str">
        <f t="shared" si="10"/>
        <v>ok</v>
      </c>
      <c r="AJ60" s="5"/>
      <c r="AK60" t="str">
        <f>Tabela1[[#This Row],[Coluna1]]&amp;Tabela1[[#This Row],[PEDIDO]]</f>
        <v>P-198</v>
      </c>
      <c r="AL60"/>
      <c r="AM60"/>
      <c r="AN60"/>
      <c r="AO60" t="str">
        <f t="shared" si="11"/>
        <v>T-073189-1/14-CV-0001</v>
      </c>
      <c r="AP60" t="str">
        <f>Tabela1[[#This Row],[TAG]]&amp;Tabela1[[#This Row],[PEDIDO]]&amp;Tabela1[[#This Row],[PRODUTO]]</f>
        <v>14-CV-0001P-198BASES ROLETES</v>
      </c>
      <c r="AQ60" s="22" t="str">
        <f>Tabela1[[#This Row],[PRODUTO]]&amp;Tabela1[[#This Row],[TAG]]</f>
        <v>BASES ROLETES14-CV-0001</v>
      </c>
      <c r="AR60" s="24" t="str">
        <f>Tabela1[[#This Row],[PEDIDO]]&amp;Tabela1[[#This Row],[PRODUTO]]</f>
        <v>P-198BASES ROLETES</v>
      </c>
      <c r="AS60" s="37">
        <f>IF(AF60="",0,IF(ISTEXT(AF60),H60*VALUE(SUBSTITUTE(AF60,"%",""))/100,H60*AF60))-Tabela1[[#This Row],[PRONTO ACABADO2]]</f>
        <v>0</v>
      </c>
      <c r="AT60" s="37">
        <f>IF(AG60="",0,IF(ISTEXT(AG60),H60*VALUE(SUBSTITUTE(AG60,"%",""))/100,H60*AG60))-Tabela1[[#This Row],[PESO EXPEDIDO2]]</f>
        <v>0</v>
      </c>
      <c r="AU60" s="37">
        <f t="shared" si="12"/>
        <v>2142</v>
      </c>
      <c r="AV60" s="37">
        <f t="shared" si="13"/>
        <v>2142</v>
      </c>
      <c r="AW60" s="37"/>
    </row>
    <row r="61" spans="1:49" ht="15.75" customHeight="1" x14ac:dyDescent="0.25">
      <c r="A61" s="6" t="s">
        <v>3073</v>
      </c>
      <c r="B61" s="21"/>
      <c r="C61" s="7">
        <v>11</v>
      </c>
      <c r="D61" s="39" t="s">
        <v>3074</v>
      </c>
      <c r="E61" s="7">
        <v>3757</v>
      </c>
      <c r="F61" s="7">
        <v>10</v>
      </c>
      <c r="G61" s="23">
        <v>53.8</v>
      </c>
      <c r="H61" s="34">
        <f>Tabela1[[#This Row],[PESO UNI]]*Tabela1[[#This Row],[QTE]]</f>
        <v>591.79999999999995</v>
      </c>
      <c r="I61" s="7">
        <v>0</v>
      </c>
      <c r="J61" s="8" t="s">
        <v>3045</v>
      </c>
      <c r="K61" s="8" t="s">
        <v>33</v>
      </c>
      <c r="L61" s="9" t="s">
        <v>2984</v>
      </c>
      <c r="M61" s="10"/>
      <c r="N61" s="8" t="s">
        <v>38</v>
      </c>
      <c r="O61" s="12"/>
      <c r="P61" s="13"/>
      <c r="Q61" s="14">
        <f>Tabela1[[#This Row],[QTDE/ Fabricação]]-Tabela1[[#This Row],[QTE]]</f>
        <v>-11</v>
      </c>
      <c r="R61" s="18">
        <f t="shared" si="14"/>
        <v>591.79999999999995</v>
      </c>
      <c r="S61" s="18">
        <f t="shared" si="15"/>
        <v>591.79999999999995</v>
      </c>
      <c r="T61" s="19">
        <f t="shared" si="16"/>
        <v>0</v>
      </c>
      <c r="U61" s="16">
        <f>IFERROR(SUMIF('LISTA DE EMBARQUE'!B:B,MICRO!E:E,'LISTA DE EMBARQUE'!G:G),"")</f>
        <v>11</v>
      </c>
      <c r="V61" s="12">
        <f>IFERROR(VLOOKUP(Tabela1[[#This Row],[COD.MDE]],'LISTA DE EMBARQUE'!B:L,11,0),"")</f>
        <v>1</v>
      </c>
      <c r="W61" s="13" t="str">
        <f>IFERROR(COUNTIF(#REF!,Tabela1[[#This Row],[Colunas5]]),"")</f>
        <v/>
      </c>
      <c r="X61" s="14">
        <f>Tabela1[[#This Row],[QIANTIDADE EXPEDIDA]]*Tabela1[[#This Row],[PESO UNI]]</f>
        <v>591.79999999999995</v>
      </c>
      <c r="Y61" s="14">
        <f t="shared" si="17"/>
        <v>0</v>
      </c>
      <c r="Z61" s="20">
        <f>Tabela1[[#This Row],[PESO TOTAL]]-Tabela1[[#This Row],[Peso Expedido]]</f>
        <v>0</v>
      </c>
      <c r="AA61" s="17">
        <v>1</v>
      </c>
      <c r="AB61" s="33"/>
      <c r="AC61" s="33">
        <v>1</v>
      </c>
      <c r="AD61" s="33">
        <v>1</v>
      </c>
      <c r="AE61" s="33">
        <v>1</v>
      </c>
      <c r="AF61" s="33">
        <v>1</v>
      </c>
      <c r="AG61" s="33">
        <v>1</v>
      </c>
      <c r="AH61" s="33">
        <v>1</v>
      </c>
      <c r="AI61" s="33" t="str">
        <f t="shared" si="10"/>
        <v>ok</v>
      </c>
      <c r="AJ61" s="5"/>
      <c r="AK61" t="str">
        <f>Tabela1[[#This Row],[Coluna1]]&amp;Tabela1[[#This Row],[PEDIDO]]</f>
        <v>P-198</v>
      </c>
      <c r="AL61"/>
      <c r="AM61"/>
      <c r="AN61"/>
      <c r="AO61" t="str">
        <f t="shared" si="11"/>
        <v>T-073190-1/14-CV-0001</v>
      </c>
      <c r="AP61" t="str">
        <f>Tabela1[[#This Row],[TAG]]&amp;Tabela1[[#This Row],[PEDIDO]]&amp;Tabela1[[#This Row],[PRODUTO]]</f>
        <v>14-CV-0001P-198BASES ROLETES</v>
      </c>
      <c r="AQ61" s="22" t="str">
        <f>Tabela1[[#This Row],[PRODUTO]]&amp;Tabela1[[#This Row],[TAG]]</f>
        <v>BASES ROLETES14-CV-0001</v>
      </c>
      <c r="AR61" s="24" t="str">
        <f>Tabela1[[#This Row],[PEDIDO]]&amp;Tabela1[[#This Row],[PRODUTO]]</f>
        <v>P-198BASES ROLETES</v>
      </c>
      <c r="AS61" s="37">
        <f>IF(AF61="",0,IF(ISTEXT(AF61),H61*VALUE(SUBSTITUTE(AF61,"%",""))/100,H61*AF61))-Tabela1[[#This Row],[PRONTO ACABADO2]]</f>
        <v>0</v>
      </c>
      <c r="AT61" s="37">
        <f>IF(AG61="",0,IF(ISTEXT(AG61),H61*VALUE(SUBSTITUTE(AG61,"%",""))/100,H61*AG61))-Tabela1[[#This Row],[PESO EXPEDIDO2]]</f>
        <v>0</v>
      </c>
      <c r="AU61" s="37">
        <f t="shared" si="12"/>
        <v>591.79999999999995</v>
      </c>
      <c r="AV61" s="37">
        <f t="shared" si="13"/>
        <v>591.79999999999995</v>
      </c>
      <c r="AW61" s="37"/>
    </row>
    <row r="62" spans="1:49" ht="15.75" customHeight="1" x14ac:dyDescent="0.25">
      <c r="A62" s="6" t="s">
        <v>3075</v>
      </c>
      <c r="B62" s="21"/>
      <c r="C62" s="7">
        <v>15</v>
      </c>
      <c r="D62" s="39" t="s">
        <v>3076</v>
      </c>
      <c r="E62" s="7">
        <v>3758</v>
      </c>
      <c r="F62" s="7">
        <v>10</v>
      </c>
      <c r="G62" s="23">
        <v>26.3</v>
      </c>
      <c r="H62" s="34">
        <f>Tabela1[[#This Row],[PESO UNI]]*Tabela1[[#This Row],[QTE]]</f>
        <v>394.5</v>
      </c>
      <c r="I62" s="7">
        <v>0</v>
      </c>
      <c r="J62" s="8" t="s">
        <v>3045</v>
      </c>
      <c r="K62" s="8" t="s">
        <v>33</v>
      </c>
      <c r="L62" s="9" t="s">
        <v>2984</v>
      </c>
      <c r="M62" s="10"/>
      <c r="N62" s="8" t="s">
        <v>38</v>
      </c>
      <c r="O62" s="12"/>
      <c r="P62" s="13"/>
      <c r="Q62" s="14">
        <f>Tabela1[[#This Row],[QTDE/ Fabricação]]-Tabela1[[#This Row],[QTE]]</f>
        <v>-15</v>
      </c>
      <c r="R62" s="18">
        <f t="shared" si="14"/>
        <v>394.5</v>
      </c>
      <c r="S62" s="18">
        <f t="shared" si="15"/>
        <v>394.5</v>
      </c>
      <c r="T62" s="19">
        <f t="shared" si="16"/>
        <v>0</v>
      </c>
      <c r="U62" s="16">
        <f>IFERROR(SUMIF('LISTA DE EMBARQUE'!B:B,MICRO!E:E,'LISTA DE EMBARQUE'!G:G),"")</f>
        <v>15</v>
      </c>
      <c r="V62" s="12">
        <f>IFERROR(VLOOKUP(Tabela1[[#This Row],[COD.MDE]],'LISTA DE EMBARQUE'!B:L,11,0),"")</f>
        <v>1</v>
      </c>
      <c r="W62" s="13" t="str">
        <f>IFERROR(COUNTIF(#REF!,Tabela1[[#This Row],[Colunas5]]),"")</f>
        <v/>
      </c>
      <c r="X62" s="14">
        <f>Tabela1[[#This Row],[QIANTIDADE EXPEDIDA]]*Tabela1[[#This Row],[PESO UNI]]</f>
        <v>394.5</v>
      </c>
      <c r="Y62" s="14">
        <f t="shared" si="17"/>
        <v>0</v>
      </c>
      <c r="Z62" s="20">
        <f>Tabela1[[#This Row],[PESO TOTAL]]-Tabela1[[#This Row],[Peso Expedido]]</f>
        <v>0</v>
      </c>
      <c r="AA62" s="17">
        <v>1</v>
      </c>
      <c r="AB62" s="33"/>
      <c r="AC62" s="33">
        <v>1</v>
      </c>
      <c r="AD62" s="33">
        <v>1</v>
      </c>
      <c r="AE62" s="33">
        <v>1</v>
      </c>
      <c r="AF62" s="33">
        <v>1</v>
      </c>
      <c r="AG62" s="33">
        <v>1</v>
      </c>
      <c r="AH62" s="33">
        <v>1</v>
      </c>
      <c r="AI62" s="33" t="str">
        <f t="shared" si="10"/>
        <v>ok</v>
      </c>
      <c r="AJ62" s="5"/>
      <c r="AK62" t="str">
        <f>Tabela1[[#This Row],[Coluna1]]&amp;Tabela1[[#This Row],[PEDIDO]]</f>
        <v>P-198</v>
      </c>
      <c r="AL62"/>
      <c r="AM62"/>
      <c r="AN62"/>
      <c r="AO62" t="str">
        <f t="shared" si="11"/>
        <v>T-073191-1/14-CV-0001</v>
      </c>
      <c r="AP62" t="str">
        <f>Tabela1[[#This Row],[TAG]]&amp;Tabela1[[#This Row],[PEDIDO]]&amp;Tabela1[[#This Row],[PRODUTO]]</f>
        <v>14-CV-0001P-198BASES ROLETES</v>
      </c>
      <c r="AQ62" s="22" t="str">
        <f>Tabela1[[#This Row],[PRODUTO]]&amp;Tabela1[[#This Row],[TAG]]</f>
        <v>BASES ROLETES14-CV-0001</v>
      </c>
      <c r="AR62" s="24" t="str">
        <f>Tabela1[[#This Row],[PEDIDO]]&amp;Tabela1[[#This Row],[PRODUTO]]</f>
        <v>P-198BASES ROLETES</v>
      </c>
      <c r="AS62" s="37">
        <f>IF(AF62="",0,IF(ISTEXT(AF62),H62*VALUE(SUBSTITUTE(AF62,"%",""))/100,H62*AF62))-Tabela1[[#This Row],[PRONTO ACABADO2]]</f>
        <v>0</v>
      </c>
      <c r="AT62" s="37">
        <f>IF(AG62="",0,IF(ISTEXT(AG62),H62*VALUE(SUBSTITUTE(AG62,"%",""))/100,H62*AG62))-Tabela1[[#This Row],[PESO EXPEDIDO2]]</f>
        <v>0</v>
      </c>
      <c r="AU62" s="37">
        <f t="shared" si="12"/>
        <v>394.5</v>
      </c>
      <c r="AV62" s="37">
        <f t="shared" si="13"/>
        <v>394.5</v>
      </c>
      <c r="AW62" s="37"/>
    </row>
    <row r="63" spans="1:49" ht="15.75" customHeight="1" x14ac:dyDescent="0.25">
      <c r="A63" s="6" t="s">
        <v>3077</v>
      </c>
      <c r="B63" s="21"/>
      <c r="C63" s="7">
        <v>2</v>
      </c>
      <c r="D63" s="39" t="s">
        <v>3078</v>
      </c>
      <c r="E63" s="7">
        <v>3759</v>
      </c>
      <c r="F63" s="7">
        <v>10</v>
      </c>
      <c r="G63" s="23">
        <v>59.1</v>
      </c>
      <c r="H63" s="34">
        <f>Tabela1[[#This Row],[PESO UNI]]*Tabela1[[#This Row],[QTE]]</f>
        <v>118.2</v>
      </c>
      <c r="I63" s="7">
        <v>0</v>
      </c>
      <c r="J63" s="8" t="s">
        <v>3045</v>
      </c>
      <c r="K63" s="8" t="s">
        <v>33</v>
      </c>
      <c r="L63" s="9" t="s">
        <v>2984</v>
      </c>
      <c r="M63" s="10"/>
      <c r="N63" s="8" t="s">
        <v>38</v>
      </c>
      <c r="O63" s="12"/>
      <c r="P63" s="13"/>
      <c r="Q63" s="14">
        <f>Tabela1[[#This Row],[QTDE/ Fabricação]]-Tabela1[[#This Row],[QTE]]</f>
        <v>-2</v>
      </c>
      <c r="R63" s="18">
        <f t="shared" si="14"/>
        <v>118.2</v>
      </c>
      <c r="S63" s="18">
        <f t="shared" si="15"/>
        <v>118.2</v>
      </c>
      <c r="T63" s="19">
        <f t="shared" si="16"/>
        <v>0</v>
      </c>
      <c r="U63" s="16">
        <f>IFERROR(SUMIF('LISTA DE EMBARQUE'!B:B,MICRO!E:E,'LISTA DE EMBARQUE'!G:G),"")</f>
        <v>2</v>
      </c>
      <c r="V63" s="12">
        <f>IFERROR(VLOOKUP(Tabela1[[#This Row],[COD.MDE]],'LISTA DE EMBARQUE'!B:L,11,0),"")</f>
        <v>2</v>
      </c>
      <c r="W63" s="13" t="str">
        <f>IFERROR(COUNTIF(#REF!,Tabela1[[#This Row],[Colunas5]]),"")</f>
        <v/>
      </c>
      <c r="X63" s="14">
        <f>Tabela1[[#This Row],[QIANTIDADE EXPEDIDA]]*Tabela1[[#This Row],[PESO UNI]]</f>
        <v>118.2</v>
      </c>
      <c r="Y63" s="14">
        <f t="shared" si="17"/>
        <v>0</v>
      </c>
      <c r="Z63" s="20">
        <f>Tabela1[[#This Row],[PESO TOTAL]]-Tabela1[[#This Row],[Peso Expedido]]</f>
        <v>0</v>
      </c>
      <c r="AA63" s="17">
        <v>1</v>
      </c>
      <c r="AB63" s="33"/>
      <c r="AC63" s="33">
        <v>1</v>
      </c>
      <c r="AD63" s="33">
        <v>1</v>
      </c>
      <c r="AE63" s="33">
        <v>1</v>
      </c>
      <c r="AF63" s="33">
        <v>1</v>
      </c>
      <c r="AG63" s="33">
        <v>1</v>
      </c>
      <c r="AH63" s="33">
        <v>1</v>
      </c>
      <c r="AI63" s="33" t="str">
        <f t="shared" si="10"/>
        <v>ok</v>
      </c>
      <c r="AJ63" s="5"/>
      <c r="AK63" t="str">
        <f>Tabela1[[#This Row],[Coluna1]]&amp;Tabela1[[#This Row],[PEDIDO]]</f>
        <v>P-198</v>
      </c>
      <c r="AL63"/>
      <c r="AM63"/>
      <c r="AN63"/>
      <c r="AO63" t="str">
        <f t="shared" si="11"/>
        <v>T-073192-1/14-CV-0001</v>
      </c>
      <c r="AP63" t="str">
        <f>Tabela1[[#This Row],[TAG]]&amp;Tabela1[[#This Row],[PEDIDO]]&amp;Tabela1[[#This Row],[PRODUTO]]</f>
        <v>14-CV-0001P-198BASES ROLETES</v>
      </c>
      <c r="AQ63" s="22" t="str">
        <f>Tabela1[[#This Row],[PRODUTO]]&amp;Tabela1[[#This Row],[TAG]]</f>
        <v>BASES ROLETES14-CV-0001</v>
      </c>
      <c r="AR63" s="24" t="str">
        <f>Tabela1[[#This Row],[PEDIDO]]&amp;Tabela1[[#This Row],[PRODUTO]]</f>
        <v>P-198BASES ROLETES</v>
      </c>
      <c r="AS63" s="37">
        <f>IF(AF63="",0,IF(ISTEXT(AF63),H63*VALUE(SUBSTITUTE(AF63,"%",""))/100,H63*AF63))-Tabela1[[#This Row],[PRONTO ACABADO2]]</f>
        <v>0</v>
      </c>
      <c r="AT63" s="37">
        <f>IF(AG63="",0,IF(ISTEXT(AG63),H63*VALUE(SUBSTITUTE(AG63,"%",""))/100,H63*AG63))-Tabela1[[#This Row],[PESO EXPEDIDO2]]</f>
        <v>0</v>
      </c>
      <c r="AU63" s="37">
        <f t="shared" si="12"/>
        <v>118.2</v>
      </c>
      <c r="AV63" s="37">
        <f t="shared" si="13"/>
        <v>118.2</v>
      </c>
      <c r="AW63" s="37"/>
    </row>
    <row r="64" spans="1:49" ht="15.75" customHeight="1" x14ac:dyDescent="0.25">
      <c r="A64" s="6" t="s">
        <v>3079</v>
      </c>
      <c r="B64" s="21"/>
      <c r="C64" s="7">
        <v>1</v>
      </c>
      <c r="D64" s="39" t="s">
        <v>3080</v>
      </c>
      <c r="E64" s="7">
        <v>3760</v>
      </c>
      <c r="F64" s="7">
        <v>9</v>
      </c>
      <c r="G64" s="23">
        <v>53.8</v>
      </c>
      <c r="H64" s="34">
        <f>Tabela1[[#This Row],[PESO UNI]]*Tabela1[[#This Row],[QTE]]</f>
        <v>53.8</v>
      </c>
      <c r="I64" s="7">
        <v>0</v>
      </c>
      <c r="J64" s="8" t="s">
        <v>3034</v>
      </c>
      <c r="K64" s="8" t="s">
        <v>33</v>
      </c>
      <c r="L64" s="9" t="s">
        <v>2984</v>
      </c>
      <c r="M64" s="10"/>
      <c r="N64" s="8" t="s">
        <v>38</v>
      </c>
      <c r="O64" s="12"/>
      <c r="P64" s="13"/>
      <c r="Q64" s="14">
        <f>Tabela1[[#This Row],[QTDE/ Fabricação]]-Tabela1[[#This Row],[QTE]]</f>
        <v>-1</v>
      </c>
      <c r="R64" s="18">
        <f t="shared" si="14"/>
        <v>53.8</v>
      </c>
      <c r="S64" s="18">
        <f t="shared" si="15"/>
        <v>53.8</v>
      </c>
      <c r="T64" s="19">
        <f t="shared" si="16"/>
        <v>0</v>
      </c>
      <c r="U64" s="16">
        <f>IFERROR(SUMIF('LISTA DE EMBARQUE'!B:B,MICRO!E:E,'LISTA DE EMBARQUE'!G:G),"")</f>
        <v>1</v>
      </c>
      <c r="V64" s="12">
        <f>IFERROR(VLOOKUP(Tabela1[[#This Row],[COD.MDE]],'LISTA DE EMBARQUE'!B:L,11,0),"")</f>
        <v>2</v>
      </c>
      <c r="W64" s="13" t="str">
        <f>IFERROR(COUNTIF(#REF!,Tabela1[[#This Row],[Colunas5]]),"")</f>
        <v/>
      </c>
      <c r="X64" s="14">
        <f>Tabela1[[#This Row],[QIANTIDADE EXPEDIDA]]*Tabela1[[#This Row],[PESO UNI]]</f>
        <v>53.8</v>
      </c>
      <c r="Y64" s="14">
        <f t="shared" si="17"/>
        <v>0</v>
      </c>
      <c r="Z64" s="20">
        <f>Tabela1[[#This Row],[PESO TOTAL]]-Tabela1[[#This Row],[Peso Expedido]]</f>
        <v>0</v>
      </c>
      <c r="AA64" s="17">
        <v>1</v>
      </c>
      <c r="AB64" s="33"/>
      <c r="AC64" s="33">
        <v>1</v>
      </c>
      <c r="AD64" s="33">
        <v>1</v>
      </c>
      <c r="AE64" s="33">
        <v>1</v>
      </c>
      <c r="AF64" s="33">
        <v>1</v>
      </c>
      <c r="AG64" s="33">
        <v>1</v>
      </c>
      <c r="AH64" s="33">
        <v>1</v>
      </c>
      <c r="AI64" s="33" t="str">
        <f t="shared" si="10"/>
        <v>ok</v>
      </c>
      <c r="AJ64" s="5"/>
      <c r="AK64" t="str">
        <f>Tabela1[[#This Row],[Coluna1]]&amp;Tabela1[[#This Row],[PEDIDO]]</f>
        <v>P-198</v>
      </c>
      <c r="AL64"/>
      <c r="AM64"/>
      <c r="AN64"/>
      <c r="AO64" t="str">
        <f t="shared" si="11"/>
        <v>T-073180-1/05-CV-0001</v>
      </c>
      <c r="AP64" t="str">
        <f>Tabela1[[#This Row],[TAG]]&amp;Tabela1[[#This Row],[PEDIDO]]&amp;Tabela1[[#This Row],[PRODUTO]]</f>
        <v>05-CV-0001P-198BASES ROLETES</v>
      </c>
      <c r="AQ64" s="22" t="str">
        <f>Tabela1[[#This Row],[PRODUTO]]&amp;Tabela1[[#This Row],[TAG]]</f>
        <v>BASES ROLETES05-CV-0001</v>
      </c>
      <c r="AR64" s="24" t="str">
        <f>Tabela1[[#This Row],[PEDIDO]]&amp;Tabela1[[#This Row],[PRODUTO]]</f>
        <v>P-198BASES ROLETES</v>
      </c>
      <c r="AS64" s="37">
        <f>IF(AF64="",0,IF(ISTEXT(AF64),H64*VALUE(SUBSTITUTE(AF64,"%",""))/100,H64*AF64))-Tabela1[[#This Row],[PRONTO ACABADO2]]</f>
        <v>0</v>
      </c>
      <c r="AT64" s="37">
        <f>IF(AG64="",0,IF(ISTEXT(AG64),H64*VALUE(SUBSTITUTE(AG64,"%",""))/100,H64*AG64))-Tabela1[[#This Row],[PESO EXPEDIDO2]]</f>
        <v>0</v>
      </c>
      <c r="AU64" s="37">
        <f t="shared" si="12"/>
        <v>53.8</v>
      </c>
      <c r="AV64" s="37">
        <f t="shared" si="13"/>
        <v>53.8</v>
      </c>
      <c r="AW64" s="37"/>
    </row>
    <row r="65" spans="1:49" ht="15.75" customHeight="1" x14ac:dyDescent="0.25">
      <c r="A65" s="6" t="s">
        <v>3081</v>
      </c>
      <c r="B65" s="21"/>
      <c r="C65" s="7">
        <v>38</v>
      </c>
      <c r="D65" s="39" t="s">
        <v>3311</v>
      </c>
      <c r="E65" s="7">
        <v>3761</v>
      </c>
      <c r="F65" s="7">
        <v>9</v>
      </c>
      <c r="G65" s="23">
        <v>28</v>
      </c>
      <c r="H65" s="34">
        <f>Tabela1[[#This Row],[PESO UNI]]*Tabela1[[#This Row],[QTE]]</f>
        <v>1064</v>
      </c>
      <c r="I65" s="7">
        <v>0</v>
      </c>
      <c r="J65" s="8" t="s">
        <v>3034</v>
      </c>
      <c r="K65" s="8" t="s">
        <v>33</v>
      </c>
      <c r="L65" s="9" t="s">
        <v>2984</v>
      </c>
      <c r="M65" s="10"/>
      <c r="N65" s="8" t="s">
        <v>38</v>
      </c>
      <c r="O65" s="12"/>
      <c r="P65" s="13"/>
      <c r="Q65" s="14">
        <f>Tabela1[[#This Row],[QTDE/ Fabricação]]-Tabela1[[#This Row],[QTE]]</f>
        <v>-38</v>
      </c>
      <c r="R65" s="18">
        <f t="shared" si="14"/>
        <v>1064</v>
      </c>
      <c r="S65" s="18">
        <f t="shared" si="15"/>
        <v>1064</v>
      </c>
      <c r="T65" s="19">
        <f t="shared" si="16"/>
        <v>0</v>
      </c>
      <c r="U65" s="16">
        <f>IFERROR(SUMIF('LISTA DE EMBARQUE'!B:B,MICRO!E:E,'LISTA DE EMBARQUE'!G:G),"")</f>
        <v>38</v>
      </c>
      <c r="V65" s="12">
        <f>IFERROR(VLOOKUP(Tabela1[[#This Row],[COD.MDE]],'LISTA DE EMBARQUE'!B:L,11,0),"")</f>
        <v>1</v>
      </c>
      <c r="W65" s="13" t="str">
        <f>IFERROR(COUNTIF(#REF!,Tabela1[[#This Row],[Colunas5]]),"")</f>
        <v/>
      </c>
      <c r="X65" s="14">
        <f>Tabela1[[#This Row],[QIANTIDADE EXPEDIDA]]*Tabela1[[#This Row],[PESO UNI]]</f>
        <v>1064</v>
      </c>
      <c r="Y65" s="14">
        <f t="shared" si="17"/>
        <v>0</v>
      </c>
      <c r="Z65" s="20">
        <f>Tabela1[[#This Row],[PESO TOTAL]]-Tabela1[[#This Row],[Peso Expedido]]</f>
        <v>0</v>
      </c>
      <c r="AA65" s="17">
        <v>1</v>
      </c>
      <c r="AB65" s="33"/>
      <c r="AC65" s="33">
        <v>1</v>
      </c>
      <c r="AD65" s="33">
        <v>1</v>
      </c>
      <c r="AE65" s="33">
        <v>1</v>
      </c>
      <c r="AF65" s="33">
        <v>1</v>
      </c>
      <c r="AG65" s="33">
        <v>1</v>
      </c>
      <c r="AH65" s="33">
        <v>1</v>
      </c>
      <c r="AI65" s="33" t="str">
        <f t="shared" si="10"/>
        <v>ok</v>
      </c>
      <c r="AJ65" s="5"/>
      <c r="AK65" t="str">
        <f>Tabela1[[#This Row],[Coluna1]]&amp;Tabela1[[#This Row],[PEDIDO]]</f>
        <v>P-198</v>
      </c>
      <c r="AL65"/>
      <c r="AM65"/>
      <c r="AN65"/>
      <c r="AO65" t="str">
        <f t="shared" si="11"/>
        <v>T-073181-1/05-CV-0001</v>
      </c>
      <c r="AP65" t="str">
        <f>Tabela1[[#This Row],[TAG]]&amp;Tabela1[[#This Row],[PEDIDO]]&amp;Tabela1[[#This Row],[PRODUTO]]</f>
        <v>05-CV-0001P-198BASES ROLETES</v>
      </c>
      <c r="AQ65" s="22" t="str">
        <f>Tabela1[[#This Row],[PRODUTO]]&amp;Tabela1[[#This Row],[TAG]]</f>
        <v>BASES ROLETES05-CV-0001</v>
      </c>
      <c r="AR65" s="24" t="str">
        <f>Tabela1[[#This Row],[PEDIDO]]&amp;Tabela1[[#This Row],[PRODUTO]]</f>
        <v>P-198BASES ROLETES</v>
      </c>
      <c r="AS65" s="37">
        <f>IF(AF65="",0,IF(ISTEXT(AF65),H65*VALUE(SUBSTITUTE(AF65,"%",""))/100,H65*AF65))-Tabela1[[#This Row],[PRONTO ACABADO2]]</f>
        <v>0</v>
      </c>
      <c r="AT65" s="37">
        <f>IF(AG65="",0,IF(ISTEXT(AG65),H65*VALUE(SUBSTITUTE(AG65,"%",""))/100,H65*AG65))-Tabela1[[#This Row],[PESO EXPEDIDO2]]</f>
        <v>0</v>
      </c>
      <c r="AU65" s="37">
        <f t="shared" si="12"/>
        <v>1064</v>
      </c>
      <c r="AV65" s="37">
        <f t="shared" si="13"/>
        <v>1064</v>
      </c>
      <c r="AW65" s="37"/>
    </row>
    <row r="66" spans="1:49" ht="15.75" customHeight="1" x14ac:dyDescent="0.25">
      <c r="A66" s="6" t="s">
        <v>3083</v>
      </c>
      <c r="B66" s="21"/>
      <c r="C66" s="7">
        <v>8</v>
      </c>
      <c r="D66" s="39" t="s">
        <v>3084</v>
      </c>
      <c r="E66" s="7">
        <v>3762</v>
      </c>
      <c r="F66" s="7">
        <v>9</v>
      </c>
      <c r="G66" s="23">
        <v>28.8</v>
      </c>
      <c r="H66" s="34">
        <f>Tabela1[[#This Row],[PESO UNI]]*Tabela1[[#This Row],[QTE]]</f>
        <v>230.4</v>
      </c>
      <c r="I66" s="7">
        <v>0</v>
      </c>
      <c r="J66" s="8" t="s">
        <v>3034</v>
      </c>
      <c r="K66" s="8" t="s">
        <v>33</v>
      </c>
      <c r="L66" s="9" t="s">
        <v>2984</v>
      </c>
      <c r="M66" s="10"/>
      <c r="N66" s="8" t="s">
        <v>38</v>
      </c>
      <c r="O66" s="12"/>
      <c r="P66" s="13"/>
      <c r="Q66" s="14">
        <f>Tabela1[[#This Row],[QTDE/ Fabricação]]-Tabela1[[#This Row],[QTE]]</f>
        <v>-8</v>
      </c>
      <c r="R66" s="18">
        <f t="shared" si="14"/>
        <v>230.4</v>
      </c>
      <c r="S66" s="18">
        <f t="shared" si="15"/>
        <v>230.4</v>
      </c>
      <c r="T66" s="19">
        <f t="shared" si="16"/>
        <v>0</v>
      </c>
      <c r="U66" s="16">
        <f>IFERROR(SUMIF('LISTA DE EMBARQUE'!B:B,MICRO!E:E,'LISTA DE EMBARQUE'!G:G),"")</f>
        <v>8</v>
      </c>
      <c r="V66" s="12">
        <f>IFERROR(VLOOKUP(Tabela1[[#This Row],[COD.MDE]],'LISTA DE EMBARQUE'!B:L,11,0),"")</f>
        <v>2</v>
      </c>
      <c r="W66" s="13" t="str">
        <f>IFERROR(COUNTIF(#REF!,Tabela1[[#This Row],[Colunas5]]),"")</f>
        <v/>
      </c>
      <c r="X66" s="14">
        <f>Tabela1[[#This Row],[QIANTIDADE EXPEDIDA]]*Tabela1[[#This Row],[PESO UNI]]</f>
        <v>230.4</v>
      </c>
      <c r="Y66" s="14">
        <f t="shared" si="17"/>
        <v>0</v>
      </c>
      <c r="Z66" s="20">
        <f>Tabela1[[#This Row],[PESO TOTAL]]-Tabela1[[#This Row],[Peso Expedido]]</f>
        <v>0</v>
      </c>
      <c r="AA66" s="17">
        <v>1</v>
      </c>
      <c r="AB66" s="33"/>
      <c r="AC66" s="33">
        <v>1</v>
      </c>
      <c r="AD66" s="33">
        <v>1</v>
      </c>
      <c r="AE66" s="33">
        <v>1</v>
      </c>
      <c r="AF66" s="33">
        <v>1</v>
      </c>
      <c r="AG66" s="33">
        <v>1</v>
      </c>
      <c r="AH66" s="33">
        <v>1</v>
      </c>
      <c r="AI66" s="33" t="str">
        <f t="shared" si="10"/>
        <v>ok</v>
      </c>
      <c r="AJ66" s="5"/>
      <c r="AK66" t="str">
        <f>Tabela1[[#This Row],[Coluna1]]&amp;Tabela1[[#This Row],[PEDIDO]]</f>
        <v>P-198</v>
      </c>
      <c r="AL66"/>
      <c r="AM66"/>
      <c r="AN66"/>
      <c r="AO66" t="str">
        <f t="shared" si="11"/>
        <v>T-073182-1/05-CV-0001</v>
      </c>
      <c r="AP66" t="str">
        <f>Tabela1[[#This Row],[TAG]]&amp;Tabela1[[#This Row],[PEDIDO]]&amp;Tabela1[[#This Row],[PRODUTO]]</f>
        <v>05-CV-0001P-198BASES ROLETES</v>
      </c>
      <c r="AQ66" s="22" t="str">
        <f>Tabela1[[#This Row],[PRODUTO]]&amp;Tabela1[[#This Row],[TAG]]</f>
        <v>BASES ROLETES05-CV-0001</v>
      </c>
      <c r="AR66" s="24" t="str">
        <f>Tabela1[[#This Row],[PEDIDO]]&amp;Tabela1[[#This Row],[PRODUTO]]</f>
        <v>P-198BASES ROLETES</v>
      </c>
      <c r="AS66" s="37">
        <f>IF(AF66="",0,IF(ISTEXT(AF66),H66*VALUE(SUBSTITUTE(AF66,"%",""))/100,H66*AF66))-Tabela1[[#This Row],[PRONTO ACABADO2]]</f>
        <v>0</v>
      </c>
      <c r="AT66" s="37">
        <f>IF(AG66="",0,IF(ISTEXT(AG66),H66*VALUE(SUBSTITUTE(AG66,"%",""))/100,H66*AG66))-Tabela1[[#This Row],[PESO EXPEDIDO2]]</f>
        <v>0</v>
      </c>
      <c r="AU66" s="37">
        <f t="shared" si="12"/>
        <v>230.4</v>
      </c>
      <c r="AV66" s="37">
        <f t="shared" si="13"/>
        <v>230.4</v>
      </c>
      <c r="AW66" s="37"/>
    </row>
    <row r="67" spans="1:49" ht="15.75" customHeight="1" x14ac:dyDescent="0.25">
      <c r="A67" s="6" t="s">
        <v>3086</v>
      </c>
      <c r="B67" s="21"/>
      <c r="C67" s="7">
        <v>8</v>
      </c>
      <c r="D67" s="39" t="s">
        <v>3085</v>
      </c>
      <c r="E67" s="7">
        <v>3763</v>
      </c>
      <c r="F67" s="7">
        <v>9</v>
      </c>
      <c r="G67" s="23">
        <v>5.2</v>
      </c>
      <c r="H67" s="34">
        <f>Tabela1[[#This Row],[PESO UNI]]*Tabela1[[#This Row],[QTE]]</f>
        <v>41.6</v>
      </c>
      <c r="I67" s="7">
        <v>0</v>
      </c>
      <c r="J67" s="8" t="s">
        <v>3034</v>
      </c>
      <c r="K67" s="8" t="s">
        <v>33</v>
      </c>
      <c r="L67" s="9" t="s">
        <v>2984</v>
      </c>
      <c r="M67" s="10"/>
      <c r="N67" s="8" t="s">
        <v>38</v>
      </c>
      <c r="O67" s="12"/>
      <c r="P67" s="13"/>
      <c r="Q67" s="14">
        <f>Tabela1[[#This Row],[QTDE/ Fabricação]]-Tabela1[[#This Row],[QTE]]</f>
        <v>-8</v>
      </c>
      <c r="R67" s="18">
        <f t="shared" si="14"/>
        <v>41.6</v>
      </c>
      <c r="S67" s="18">
        <f t="shared" si="15"/>
        <v>41.6</v>
      </c>
      <c r="T67" s="19">
        <f t="shared" si="16"/>
        <v>0</v>
      </c>
      <c r="U67" s="16">
        <f>IFERROR(SUMIF('LISTA DE EMBARQUE'!B:B,MICRO!E:E,'LISTA DE EMBARQUE'!G:G),"")</f>
        <v>8</v>
      </c>
      <c r="V67" s="12">
        <f>IFERROR(VLOOKUP(Tabela1[[#This Row],[COD.MDE]],'LISTA DE EMBARQUE'!B:L,11,0),"")</f>
        <v>1</v>
      </c>
      <c r="W67" s="13" t="str">
        <f>IFERROR(COUNTIF(#REF!,Tabela1[[#This Row],[Colunas5]]),"")</f>
        <v/>
      </c>
      <c r="X67" s="14">
        <f>Tabela1[[#This Row],[QIANTIDADE EXPEDIDA]]*Tabela1[[#This Row],[PESO UNI]]</f>
        <v>41.6</v>
      </c>
      <c r="Y67" s="14">
        <f t="shared" si="17"/>
        <v>0</v>
      </c>
      <c r="Z67" s="20">
        <f>Tabela1[[#This Row],[PESO TOTAL]]-Tabela1[[#This Row],[Peso Expedido]]</f>
        <v>0</v>
      </c>
      <c r="AA67" s="17">
        <v>1</v>
      </c>
      <c r="AB67" s="33"/>
      <c r="AC67" s="33">
        <v>1</v>
      </c>
      <c r="AD67" s="33">
        <v>1</v>
      </c>
      <c r="AE67" s="33">
        <v>1</v>
      </c>
      <c r="AF67" s="33">
        <v>1</v>
      </c>
      <c r="AG67" s="33">
        <v>1</v>
      </c>
      <c r="AH67" s="33">
        <v>1</v>
      </c>
      <c r="AI67" s="33" t="str">
        <f t="shared" si="10"/>
        <v>ok</v>
      </c>
      <c r="AJ67" s="5"/>
      <c r="AK67" t="str">
        <f>Tabela1[[#This Row],[Coluna1]]&amp;Tabela1[[#This Row],[PEDIDO]]</f>
        <v>P-198</v>
      </c>
      <c r="AL67"/>
      <c r="AM67"/>
      <c r="AN67"/>
      <c r="AO67" t="str">
        <f t="shared" si="11"/>
        <v>T-073183-1/05-CV-0001</v>
      </c>
      <c r="AP67" t="str">
        <f>Tabela1[[#This Row],[TAG]]&amp;Tabela1[[#This Row],[PEDIDO]]&amp;Tabela1[[#This Row],[PRODUTO]]</f>
        <v>05-CV-0001P-198BASES ROLETES</v>
      </c>
      <c r="AQ67" s="22" t="str">
        <f>Tabela1[[#This Row],[PRODUTO]]&amp;Tabela1[[#This Row],[TAG]]</f>
        <v>BASES ROLETES05-CV-0001</v>
      </c>
      <c r="AR67" s="24" t="str">
        <f>Tabela1[[#This Row],[PEDIDO]]&amp;Tabela1[[#This Row],[PRODUTO]]</f>
        <v>P-198BASES ROLETES</v>
      </c>
      <c r="AS67" s="37">
        <f>IF(AF67="",0,IF(ISTEXT(AF67),H67*VALUE(SUBSTITUTE(AF67,"%",""))/100,H67*AF67))-Tabela1[[#This Row],[PRONTO ACABADO2]]</f>
        <v>0</v>
      </c>
      <c r="AT67" s="37">
        <f>IF(AG67="",0,IF(ISTEXT(AG67),H67*VALUE(SUBSTITUTE(AG67,"%",""))/100,H67*AG67))-Tabela1[[#This Row],[PESO EXPEDIDO2]]</f>
        <v>0</v>
      </c>
      <c r="AU67" s="37">
        <f t="shared" si="12"/>
        <v>41.6</v>
      </c>
      <c r="AV67" s="37">
        <f t="shared" si="13"/>
        <v>41.6</v>
      </c>
      <c r="AW67" s="37"/>
    </row>
    <row r="68" spans="1:49" ht="15.75" customHeight="1" x14ac:dyDescent="0.25">
      <c r="A68" s="6" t="s">
        <v>3087</v>
      </c>
      <c r="B68" s="21"/>
      <c r="C68" s="7">
        <v>2</v>
      </c>
      <c r="D68" s="39" t="s">
        <v>3088</v>
      </c>
      <c r="E68" s="7">
        <v>3764</v>
      </c>
      <c r="F68" s="7">
        <v>9</v>
      </c>
      <c r="G68" s="23">
        <v>49</v>
      </c>
      <c r="H68" s="34">
        <f>Tabela1[[#This Row],[PESO UNI]]*Tabela1[[#This Row],[QTE]]</f>
        <v>98</v>
      </c>
      <c r="I68" s="7">
        <v>0</v>
      </c>
      <c r="J68" s="8" t="s">
        <v>3034</v>
      </c>
      <c r="K68" s="8" t="s">
        <v>33</v>
      </c>
      <c r="L68" s="9" t="s">
        <v>2984</v>
      </c>
      <c r="M68" s="10"/>
      <c r="N68" s="8" t="s">
        <v>38</v>
      </c>
      <c r="O68" s="12"/>
      <c r="P68" s="13"/>
      <c r="Q68" s="14">
        <f>Tabela1[[#This Row],[QTDE/ Fabricação]]-Tabela1[[#This Row],[QTE]]</f>
        <v>-2</v>
      </c>
      <c r="R68" s="18">
        <f t="shared" si="14"/>
        <v>98</v>
      </c>
      <c r="S68" s="18">
        <f t="shared" si="15"/>
        <v>98</v>
      </c>
      <c r="T68" s="19">
        <f t="shared" si="16"/>
        <v>0</v>
      </c>
      <c r="U68" s="16">
        <f>IFERROR(SUMIF('LISTA DE EMBARQUE'!B:B,MICRO!E:E,'LISTA DE EMBARQUE'!G:G),"")</f>
        <v>2</v>
      </c>
      <c r="V68" s="12">
        <f>IFERROR(VLOOKUP(Tabela1[[#This Row],[COD.MDE]],'LISTA DE EMBARQUE'!B:L,11,0),"")</f>
        <v>2</v>
      </c>
      <c r="W68" s="13" t="str">
        <f>IFERROR(COUNTIF(#REF!,Tabela1[[#This Row],[Colunas5]]),"")</f>
        <v/>
      </c>
      <c r="X68" s="14">
        <f>Tabela1[[#This Row],[QIANTIDADE EXPEDIDA]]*Tabela1[[#This Row],[PESO UNI]]</f>
        <v>98</v>
      </c>
      <c r="Y68" s="14">
        <f t="shared" si="17"/>
        <v>0</v>
      </c>
      <c r="Z68" s="20">
        <f>Tabela1[[#This Row],[PESO TOTAL]]-Tabela1[[#This Row],[Peso Expedido]]</f>
        <v>0</v>
      </c>
      <c r="AA68" s="17">
        <v>1</v>
      </c>
      <c r="AB68" s="33"/>
      <c r="AC68" s="33">
        <v>1</v>
      </c>
      <c r="AD68" s="33">
        <v>1</v>
      </c>
      <c r="AE68" s="33">
        <v>1</v>
      </c>
      <c r="AF68" s="33">
        <v>1</v>
      </c>
      <c r="AG68" s="33">
        <v>1</v>
      </c>
      <c r="AH68" s="33">
        <v>1</v>
      </c>
      <c r="AI68" s="33" t="str">
        <f t="shared" si="10"/>
        <v>ok</v>
      </c>
      <c r="AJ68" s="5"/>
      <c r="AK68" t="str">
        <f>Tabela1[[#This Row],[Coluna1]]&amp;Tabela1[[#This Row],[PEDIDO]]</f>
        <v>P-198</v>
      </c>
      <c r="AL68"/>
      <c r="AM68"/>
      <c r="AN68"/>
      <c r="AO68" t="str">
        <f>A35&amp;"/"&amp;J35</f>
        <v>R-3-4-7843/P203</v>
      </c>
      <c r="AP68" t="str">
        <f>Tabela1[[#This Row],[TAG]]&amp;Tabela1[[#This Row],[PEDIDO]]&amp;Tabela1[[#This Row],[PRODUTO]]</f>
        <v>05-CV-0001P-198BASES ROLETES</v>
      </c>
      <c r="AQ68" s="22" t="str">
        <f>Tabela1[[#This Row],[PRODUTO]]&amp;Tabela1[[#This Row],[TAG]]</f>
        <v>BASES ROLETES05-CV-0001</v>
      </c>
      <c r="AR68" s="24" t="str">
        <f>Tabela1[[#This Row],[PEDIDO]]&amp;Tabela1[[#This Row],[PRODUTO]]</f>
        <v>P-198BASES ROLETES</v>
      </c>
      <c r="AS68" s="37">
        <f>IF(AF68="",0,IF(ISTEXT(AF68),H68*VALUE(SUBSTITUTE(AF68,"%",""))/100,H68*AF68))-Tabela1[[#This Row],[PRONTO ACABADO2]]</f>
        <v>0</v>
      </c>
      <c r="AT68" s="37">
        <f>IF(AG68="",0,IF(ISTEXT(AG68),H68*VALUE(SUBSTITUTE(AG68,"%",""))/100,H68*AG68))-Tabela1[[#This Row],[PESO EXPEDIDO2]]</f>
        <v>0</v>
      </c>
      <c r="AU68" s="37">
        <f t="shared" si="12"/>
        <v>98</v>
      </c>
      <c r="AV68" s="37">
        <f t="shared" si="13"/>
        <v>98</v>
      </c>
      <c r="AW68" s="37"/>
    </row>
    <row r="69" spans="1:49" ht="15.75" customHeight="1" x14ac:dyDescent="0.25">
      <c r="A69" s="6" t="s">
        <v>3089</v>
      </c>
      <c r="B69" s="21"/>
      <c r="C69" s="7">
        <v>2</v>
      </c>
      <c r="D69" s="39" t="s">
        <v>3090</v>
      </c>
      <c r="E69" s="7">
        <v>3765</v>
      </c>
      <c r="F69" s="7">
        <v>9</v>
      </c>
      <c r="G69" s="23">
        <v>28</v>
      </c>
      <c r="H69" s="34">
        <f>Tabela1[[#This Row],[PESO UNI]]*Tabela1[[#This Row],[QTE]]</f>
        <v>56</v>
      </c>
      <c r="I69" s="7">
        <v>0</v>
      </c>
      <c r="J69" s="8" t="s">
        <v>3034</v>
      </c>
      <c r="K69" s="8" t="s">
        <v>33</v>
      </c>
      <c r="L69" s="9" t="s">
        <v>2984</v>
      </c>
      <c r="M69" s="10"/>
      <c r="N69" s="8" t="s">
        <v>38</v>
      </c>
      <c r="O69" s="12"/>
      <c r="P69" s="13"/>
      <c r="Q69" s="14">
        <f>Tabela1[[#This Row],[QTDE/ Fabricação]]-Tabela1[[#This Row],[QTE]]</f>
        <v>-2</v>
      </c>
      <c r="R69" s="18">
        <f t="shared" si="14"/>
        <v>56</v>
      </c>
      <c r="S69" s="18">
        <f t="shared" si="15"/>
        <v>56</v>
      </c>
      <c r="T69" s="19">
        <f t="shared" si="16"/>
        <v>0</v>
      </c>
      <c r="U69" s="16">
        <f>IFERROR(SUMIF('LISTA DE EMBARQUE'!B:B,MICRO!E:E,'LISTA DE EMBARQUE'!G:G),"")</f>
        <v>2</v>
      </c>
      <c r="V69" s="12">
        <f>IFERROR(VLOOKUP(Tabela1[[#This Row],[COD.MDE]],'LISTA DE EMBARQUE'!B:L,11,0),"")</f>
        <v>2</v>
      </c>
      <c r="W69" s="13" t="str">
        <f>IFERROR(COUNTIF(#REF!,Tabela1[[#This Row],[Colunas5]]),"")</f>
        <v/>
      </c>
      <c r="X69" s="14">
        <f>Tabela1[[#This Row],[QIANTIDADE EXPEDIDA]]*Tabela1[[#This Row],[PESO UNI]]</f>
        <v>56</v>
      </c>
      <c r="Y69" s="14">
        <f t="shared" si="17"/>
        <v>0</v>
      </c>
      <c r="Z69" s="20">
        <f>Tabela1[[#This Row],[PESO TOTAL]]-Tabela1[[#This Row],[Peso Expedido]]</f>
        <v>0</v>
      </c>
      <c r="AA69" s="17">
        <v>1</v>
      </c>
      <c r="AB69" s="33"/>
      <c r="AC69" s="33">
        <v>1</v>
      </c>
      <c r="AD69" s="33">
        <v>1</v>
      </c>
      <c r="AE69" s="33">
        <v>1</v>
      </c>
      <c r="AF69" s="33">
        <v>1</v>
      </c>
      <c r="AG69" s="33">
        <v>1</v>
      </c>
      <c r="AH69" s="33">
        <v>1</v>
      </c>
      <c r="AI69" s="33" t="str">
        <f t="shared" si="10"/>
        <v>ok</v>
      </c>
      <c r="AJ69" s="5"/>
      <c r="AK69" t="str">
        <f>Tabela1[[#This Row],[Coluna1]]&amp;Tabela1[[#This Row],[PEDIDO]]</f>
        <v>P-198</v>
      </c>
      <c r="AL69"/>
      <c r="AM69"/>
      <c r="AN69"/>
      <c r="AO69" t="str">
        <f t="shared" ref="AO69:AO132" si="18">A69&amp;"/"&amp;J69</f>
        <v>T-073185-1/05-CV-0001</v>
      </c>
      <c r="AP69" t="str">
        <f>Tabela1[[#This Row],[TAG]]&amp;Tabela1[[#This Row],[PEDIDO]]&amp;Tabela1[[#This Row],[PRODUTO]]</f>
        <v>05-CV-0001P-198BASES ROLETES</v>
      </c>
      <c r="AQ69" s="22" t="str">
        <f>Tabela1[[#This Row],[PRODUTO]]&amp;Tabela1[[#This Row],[TAG]]</f>
        <v>BASES ROLETES05-CV-0001</v>
      </c>
      <c r="AR69" s="24" t="str">
        <f>Tabela1[[#This Row],[PEDIDO]]&amp;Tabela1[[#This Row],[PRODUTO]]</f>
        <v>P-198BASES ROLETES</v>
      </c>
      <c r="AS69" s="37">
        <f>IF(AF69="",0,IF(ISTEXT(AF69),H69*VALUE(SUBSTITUTE(AF69,"%",""))/100,H69*AF69))-Tabela1[[#This Row],[PRONTO ACABADO2]]</f>
        <v>0</v>
      </c>
      <c r="AT69" s="37">
        <f>IF(AG69="",0,IF(ISTEXT(AG69),H69*VALUE(SUBSTITUTE(AG69,"%",""))/100,H69*AG69))-Tabela1[[#This Row],[PESO EXPEDIDO2]]</f>
        <v>0</v>
      </c>
      <c r="AU69" s="37">
        <f t="shared" si="12"/>
        <v>56</v>
      </c>
      <c r="AV69" s="37">
        <f t="shared" si="13"/>
        <v>56</v>
      </c>
      <c r="AW69" s="37"/>
    </row>
    <row r="70" spans="1:49" ht="15.75" customHeight="1" x14ac:dyDescent="0.25">
      <c r="A70" s="6" t="s">
        <v>3063</v>
      </c>
      <c r="B70" s="21"/>
      <c r="C70" s="7">
        <v>4</v>
      </c>
      <c r="D70" s="39" t="s">
        <v>3091</v>
      </c>
      <c r="E70" s="7">
        <v>3766</v>
      </c>
      <c r="F70" s="7">
        <v>9</v>
      </c>
      <c r="G70" s="23">
        <v>2.7</v>
      </c>
      <c r="H70" s="34">
        <f>Tabela1[[#This Row],[PESO UNI]]*Tabela1[[#This Row],[QTE]]</f>
        <v>10.8</v>
      </c>
      <c r="I70" s="7">
        <v>0</v>
      </c>
      <c r="J70" s="8" t="s">
        <v>3034</v>
      </c>
      <c r="K70" s="8" t="s">
        <v>33</v>
      </c>
      <c r="L70" s="9" t="s">
        <v>2984</v>
      </c>
      <c r="M70" s="10"/>
      <c r="N70" s="8" t="s">
        <v>38</v>
      </c>
      <c r="O70" s="12"/>
      <c r="P70" s="13"/>
      <c r="Q70" s="14">
        <f>Tabela1[[#This Row],[QTDE/ Fabricação]]-Tabela1[[#This Row],[QTE]]</f>
        <v>-4</v>
      </c>
      <c r="R70" s="18">
        <f t="shared" si="14"/>
        <v>10.8</v>
      </c>
      <c r="S70" s="18">
        <f t="shared" si="15"/>
        <v>10.8</v>
      </c>
      <c r="T70" s="19">
        <f t="shared" si="16"/>
        <v>0</v>
      </c>
      <c r="U70" s="16">
        <f>IFERROR(SUMIF('LISTA DE EMBARQUE'!B:B,MICRO!E:E,'LISTA DE EMBARQUE'!G:G),"")</f>
        <v>4</v>
      </c>
      <c r="V70" s="12">
        <f>IFERROR(VLOOKUP(Tabela1[[#This Row],[COD.MDE]],'LISTA DE EMBARQUE'!B:L,11,0),"")</f>
        <v>1</v>
      </c>
      <c r="W70" s="13" t="str">
        <f>IFERROR(COUNTIF(#REF!,Tabela1[[#This Row],[Colunas5]]),"")</f>
        <v/>
      </c>
      <c r="X70" s="14">
        <f>Tabela1[[#This Row],[QIANTIDADE EXPEDIDA]]*Tabela1[[#This Row],[PESO UNI]]</f>
        <v>10.8</v>
      </c>
      <c r="Y70" s="14">
        <f t="shared" si="17"/>
        <v>0</v>
      </c>
      <c r="Z70" s="20">
        <f>Tabela1[[#This Row],[PESO TOTAL]]-Tabela1[[#This Row],[Peso Expedido]]</f>
        <v>0</v>
      </c>
      <c r="AA70" s="17">
        <v>1</v>
      </c>
      <c r="AB70" s="33"/>
      <c r="AC70" s="33">
        <v>1</v>
      </c>
      <c r="AD70" s="33">
        <v>1</v>
      </c>
      <c r="AE70" s="33">
        <v>1</v>
      </c>
      <c r="AF70" s="33">
        <v>1</v>
      </c>
      <c r="AG70" s="33">
        <v>1</v>
      </c>
      <c r="AH70" s="33">
        <v>1</v>
      </c>
      <c r="AI70" s="33" t="str">
        <f t="shared" si="10"/>
        <v>ok</v>
      </c>
      <c r="AJ70" s="5"/>
      <c r="AK70" t="str">
        <f>Tabela1[[#This Row],[Coluna1]]&amp;Tabela1[[#This Row],[PEDIDO]]</f>
        <v>P-198</v>
      </c>
      <c r="AL70"/>
      <c r="AM70"/>
      <c r="AN70"/>
      <c r="AO70" t="str">
        <f t="shared" si="18"/>
        <v>T-054923-1/05-CV-0001</v>
      </c>
      <c r="AP70" t="str">
        <f>Tabela1[[#This Row],[TAG]]&amp;Tabela1[[#This Row],[PEDIDO]]&amp;Tabela1[[#This Row],[PRODUTO]]</f>
        <v>05-CV-0001P-198BASES ROLETES</v>
      </c>
      <c r="AQ70" s="22" t="str">
        <f>Tabela1[[#This Row],[PRODUTO]]&amp;Tabela1[[#This Row],[TAG]]</f>
        <v>BASES ROLETES05-CV-0001</v>
      </c>
      <c r="AR70" s="24" t="str">
        <f>Tabela1[[#This Row],[PEDIDO]]&amp;Tabela1[[#This Row],[PRODUTO]]</f>
        <v>P-198BASES ROLETES</v>
      </c>
      <c r="AS70" s="37">
        <f>IF(AF70="",0,IF(ISTEXT(AF70),H70*VALUE(SUBSTITUTE(AF70,"%",""))/100,H70*AF70))-Tabela1[[#This Row],[PRONTO ACABADO2]]</f>
        <v>0</v>
      </c>
      <c r="AT70" s="37">
        <f>IF(AG70="",0,IF(ISTEXT(AG70),H70*VALUE(SUBSTITUTE(AG70,"%",""))/100,H70*AG70))-Tabela1[[#This Row],[PESO EXPEDIDO2]]</f>
        <v>0</v>
      </c>
      <c r="AU70" s="37">
        <f t="shared" si="12"/>
        <v>10.8</v>
      </c>
      <c r="AV70" s="37">
        <f t="shared" si="13"/>
        <v>10.8</v>
      </c>
      <c r="AW70" s="37"/>
    </row>
    <row r="71" spans="1:49" ht="15.75" customHeight="1" x14ac:dyDescent="0.25">
      <c r="A71" s="6" t="s">
        <v>3063</v>
      </c>
      <c r="B71" s="21"/>
      <c r="C71" s="7">
        <v>4</v>
      </c>
      <c r="D71" s="39" t="s">
        <v>3092</v>
      </c>
      <c r="E71" s="7">
        <v>3767</v>
      </c>
      <c r="F71" s="7">
        <v>19</v>
      </c>
      <c r="G71" s="23">
        <v>2.7</v>
      </c>
      <c r="H71" s="34">
        <f>Tabela1[[#This Row],[PESO UNI]]*Tabela1[[#This Row],[QTE]]</f>
        <v>10.8</v>
      </c>
      <c r="I71" s="7">
        <v>1</v>
      </c>
      <c r="J71" s="8" t="s">
        <v>3093</v>
      </c>
      <c r="K71" s="8" t="s">
        <v>33</v>
      </c>
      <c r="L71" s="9" t="s">
        <v>2984</v>
      </c>
      <c r="M71" s="10"/>
      <c r="N71" s="8" t="s">
        <v>38</v>
      </c>
      <c r="O71" s="12"/>
      <c r="P71" s="13"/>
      <c r="Q71" s="14">
        <f>Tabela1[[#This Row],[QTDE/ Fabricação]]-Tabela1[[#This Row],[QTE]]</f>
        <v>-4</v>
      </c>
      <c r="R71" s="18">
        <f t="shared" si="14"/>
        <v>10.8</v>
      </c>
      <c r="S71" s="18">
        <f t="shared" si="15"/>
        <v>10.8</v>
      </c>
      <c r="T71" s="19">
        <f t="shared" si="16"/>
        <v>0</v>
      </c>
      <c r="U71" s="16">
        <f>IFERROR(SUMIF('LISTA DE EMBARQUE'!B:B,MICRO!E:E,'LISTA DE EMBARQUE'!G:G),"")</f>
        <v>4</v>
      </c>
      <c r="V71" s="12">
        <f>IFERROR(VLOOKUP(Tabela1[[#This Row],[COD.MDE]],'LISTA DE EMBARQUE'!B:L,11,0),"")</f>
        <v>1</v>
      </c>
      <c r="W71" s="13" t="str">
        <f>IFERROR(COUNTIF(#REF!,Tabela1[[#This Row],[Colunas5]]),"")</f>
        <v/>
      </c>
      <c r="X71" s="14">
        <f>Tabela1[[#This Row],[QIANTIDADE EXPEDIDA]]*Tabela1[[#This Row],[PESO UNI]]</f>
        <v>10.8</v>
      </c>
      <c r="Y71" s="14">
        <f t="shared" si="17"/>
        <v>0</v>
      </c>
      <c r="Z71" s="20">
        <f>Tabela1[[#This Row],[PESO TOTAL]]-Tabela1[[#This Row],[Peso Expedido]]</f>
        <v>0</v>
      </c>
      <c r="AA71" s="17">
        <v>1</v>
      </c>
      <c r="AB71" s="33"/>
      <c r="AC71" s="33">
        <v>1</v>
      </c>
      <c r="AD71" s="33">
        <v>1</v>
      </c>
      <c r="AE71" s="33">
        <v>1</v>
      </c>
      <c r="AF71" s="33">
        <v>1</v>
      </c>
      <c r="AG71" s="33">
        <v>1</v>
      </c>
      <c r="AH71" s="33">
        <v>1</v>
      </c>
      <c r="AI71" s="33" t="str">
        <f t="shared" si="10"/>
        <v>ok</v>
      </c>
      <c r="AJ71" s="5"/>
      <c r="AK71" t="str">
        <f>Tabela1[[#This Row],[Coluna1]]&amp;Tabela1[[#This Row],[PEDIDO]]</f>
        <v>P-198</v>
      </c>
      <c r="AL71"/>
      <c r="AM71"/>
      <c r="AN71"/>
      <c r="AO71" t="str">
        <f t="shared" si="18"/>
        <v>T-054923-1/14-AC-0001</v>
      </c>
      <c r="AP71" t="str">
        <f>Tabela1[[#This Row],[TAG]]&amp;Tabela1[[#This Row],[PEDIDO]]&amp;Tabela1[[#This Row],[PRODUTO]]</f>
        <v>14-AC-0001P-198BASES ROLETES</v>
      </c>
      <c r="AQ71" s="22" t="str">
        <f>Tabela1[[#This Row],[PRODUTO]]&amp;Tabela1[[#This Row],[TAG]]</f>
        <v>BASES ROLETES14-AC-0001</v>
      </c>
      <c r="AR71" s="24" t="str">
        <f>Tabela1[[#This Row],[PEDIDO]]&amp;Tabela1[[#This Row],[PRODUTO]]</f>
        <v>P-198BASES ROLETES</v>
      </c>
      <c r="AS71" s="37">
        <f>IF(AF71="",0,IF(ISTEXT(AF71),H71*VALUE(SUBSTITUTE(AF71,"%",""))/100,H71*AF71))-Tabela1[[#This Row],[PRONTO ACABADO2]]</f>
        <v>0</v>
      </c>
      <c r="AT71" s="37">
        <f>IF(AG71="",0,IF(ISTEXT(AG71),H71*VALUE(SUBSTITUTE(AG71,"%",""))/100,H71*AG71))-Tabela1[[#This Row],[PESO EXPEDIDO2]]</f>
        <v>0</v>
      </c>
      <c r="AU71" s="37">
        <f t="shared" si="12"/>
        <v>10.8</v>
      </c>
      <c r="AV71" s="37">
        <f t="shared" si="13"/>
        <v>10.8</v>
      </c>
      <c r="AW71" s="37"/>
    </row>
    <row r="72" spans="1:49" ht="15.75" customHeight="1" x14ac:dyDescent="0.25">
      <c r="A72" s="6" t="s">
        <v>3094</v>
      </c>
      <c r="B72" s="21"/>
      <c r="C72" s="7">
        <v>36</v>
      </c>
      <c r="D72" s="39" t="s">
        <v>3095</v>
      </c>
      <c r="E72" s="7">
        <v>3768</v>
      </c>
      <c r="F72" s="7">
        <v>19</v>
      </c>
      <c r="G72" s="23">
        <v>86.2</v>
      </c>
      <c r="H72" s="34">
        <f>Tabela1[[#This Row],[PESO UNI]]*Tabela1[[#This Row],[QTE]]</f>
        <v>3103.2000000000003</v>
      </c>
      <c r="I72" s="7">
        <v>0</v>
      </c>
      <c r="J72" s="8" t="s">
        <v>3093</v>
      </c>
      <c r="K72" s="8" t="s">
        <v>33</v>
      </c>
      <c r="L72" s="9" t="s">
        <v>2984</v>
      </c>
      <c r="M72" s="10"/>
      <c r="N72" s="8" t="s">
        <v>38</v>
      </c>
      <c r="O72" s="12"/>
      <c r="P72" s="13"/>
      <c r="Q72" s="14">
        <f>Tabela1[[#This Row],[QTDE/ Fabricação]]-Tabela1[[#This Row],[QTE]]</f>
        <v>-36</v>
      </c>
      <c r="R72" s="18">
        <f t="shared" si="14"/>
        <v>3103.2000000000003</v>
      </c>
      <c r="S72" s="18">
        <f t="shared" si="15"/>
        <v>3103.2000000000003</v>
      </c>
      <c r="T72" s="19">
        <f t="shared" si="16"/>
        <v>0</v>
      </c>
      <c r="U72" s="16">
        <f>IFERROR(SUMIF('LISTA DE EMBARQUE'!B:B,MICRO!E:E,'LISTA DE EMBARQUE'!G:G),"")</f>
        <v>36</v>
      </c>
      <c r="V72" s="12">
        <f>IFERROR(VLOOKUP(Tabela1[[#This Row],[COD.MDE]],'LISTA DE EMBARQUE'!B:L,11,0),"")</f>
        <v>1</v>
      </c>
      <c r="W72" s="13" t="str">
        <f>IFERROR(COUNTIF(#REF!,Tabela1[[#This Row],[Colunas5]]),"")</f>
        <v/>
      </c>
      <c r="X72" s="14">
        <f>Tabela1[[#This Row],[QIANTIDADE EXPEDIDA]]*Tabela1[[#This Row],[PESO UNI]]</f>
        <v>3103.2000000000003</v>
      </c>
      <c r="Y72" s="14">
        <f t="shared" si="17"/>
        <v>0</v>
      </c>
      <c r="Z72" s="20">
        <f>Tabela1[[#This Row],[PESO TOTAL]]-Tabela1[[#This Row],[Peso Expedido]]</f>
        <v>0</v>
      </c>
      <c r="AA72" s="17">
        <v>1</v>
      </c>
      <c r="AB72" s="33"/>
      <c r="AC72" s="33">
        <v>1</v>
      </c>
      <c r="AD72" s="33">
        <v>1</v>
      </c>
      <c r="AE72" s="33">
        <v>1</v>
      </c>
      <c r="AF72" s="33">
        <v>1</v>
      </c>
      <c r="AG72" s="33">
        <v>1</v>
      </c>
      <c r="AH72" s="33">
        <v>1</v>
      </c>
      <c r="AI72" s="33" t="str">
        <f t="shared" si="10"/>
        <v>ok</v>
      </c>
      <c r="AJ72" s="5"/>
      <c r="AK72" t="str">
        <f>Tabela1[[#This Row],[Coluna1]]&amp;Tabela1[[#This Row],[PEDIDO]]</f>
        <v>P-198</v>
      </c>
      <c r="AL72"/>
      <c r="AM72"/>
      <c r="AN72"/>
      <c r="AO72" t="str">
        <f t="shared" si="18"/>
        <v>T-073193-1/14-AC-0001</v>
      </c>
      <c r="AP72" t="str">
        <f>Tabela1[[#This Row],[TAG]]&amp;Tabela1[[#This Row],[PEDIDO]]&amp;Tabela1[[#This Row],[PRODUTO]]</f>
        <v>14-AC-0001P-198BASES ROLETES</v>
      </c>
      <c r="AQ72" s="22" t="str">
        <f>Tabela1[[#This Row],[PRODUTO]]&amp;Tabela1[[#This Row],[TAG]]</f>
        <v>BASES ROLETES14-AC-0001</v>
      </c>
      <c r="AR72" s="24" t="str">
        <f>Tabela1[[#This Row],[PEDIDO]]&amp;Tabela1[[#This Row],[PRODUTO]]</f>
        <v>P-198BASES ROLETES</v>
      </c>
      <c r="AS72" s="37">
        <f>IF(AF72="",0,IF(ISTEXT(AF72),H72*VALUE(SUBSTITUTE(AF72,"%",""))/100,H72*AF72))-Tabela1[[#This Row],[PRONTO ACABADO2]]</f>
        <v>0</v>
      </c>
      <c r="AT72" s="37">
        <f>IF(AG72="",0,IF(ISTEXT(AG72),H72*VALUE(SUBSTITUTE(AG72,"%",""))/100,H72*AG72))-Tabela1[[#This Row],[PESO EXPEDIDO2]]</f>
        <v>0</v>
      </c>
      <c r="AU72" s="37">
        <f t="shared" si="12"/>
        <v>3103.2000000000003</v>
      </c>
      <c r="AV72" s="37">
        <f t="shared" si="13"/>
        <v>3103.2000000000003</v>
      </c>
      <c r="AW72" s="37"/>
    </row>
    <row r="73" spans="1:49" ht="15.75" customHeight="1" x14ac:dyDescent="0.25">
      <c r="A73" s="6" t="s">
        <v>3097</v>
      </c>
      <c r="B73" s="21"/>
      <c r="C73" s="7">
        <v>4</v>
      </c>
      <c r="D73" s="39" t="s">
        <v>3096</v>
      </c>
      <c r="E73" s="7">
        <v>3769</v>
      </c>
      <c r="F73" s="7">
        <v>19</v>
      </c>
      <c r="G73" s="23">
        <v>60</v>
      </c>
      <c r="H73" s="34">
        <f>Tabela1[[#This Row],[PESO UNI]]*Tabela1[[#This Row],[QTE]]</f>
        <v>240</v>
      </c>
      <c r="I73" s="7">
        <v>0</v>
      </c>
      <c r="J73" s="8" t="s">
        <v>3093</v>
      </c>
      <c r="K73" s="8" t="s">
        <v>33</v>
      </c>
      <c r="L73" s="9" t="s">
        <v>2984</v>
      </c>
      <c r="M73" s="10"/>
      <c r="N73" s="8" t="s">
        <v>38</v>
      </c>
      <c r="O73" s="12"/>
      <c r="P73" s="13"/>
      <c r="Q73" s="14">
        <f>Tabela1[[#This Row],[QTDE/ Fabricação]]-Tabela1[[#This Row],[QTE]]</f>
        <v>-4</v>
      </c>
      <c r="R73" s="18">
        <f t="shared" si="14"/>
        <v>240</v>
      </c>
      <c r="S73" s="18">
        <f t="shared" si="15"/>
        <v>240</v>
      </c>
      <c r="T73" s="19">
        <f t="shared" si="16"/>
        <v>0</v>
      </c>
      <c r="U73" s="16">
        <f>IFERROR(SUMIF('LISTA DE EMBARQUE'!B:B,MICRO!E:E,'LISTA DE EMBARQUE'!G:G),"")</f>
        <v>4</v>
      </c>
      <c r="V73" s="12">
        <f>IFERROR(VLOOKUP(Tabela1[[#This Row],[COD.MDE]],'LISTA DE EMBARQUE'!B:L,11,0),"")</f>
        <v>1</v>
      </c>
      <c r="W73" s="13" t="str">
        <f>IFERROR(COUNTIF(#REF!,Tabela1[[#This Row],[Colunas5]]),"")</f>
        <v/>
      </c>
      <c r="X73" s="14">
        <f>Tabela1[[#This Row],[QIANTIDADE EXPEDIDA]]*Tabela1[[#This Row],[PESO UNI]]</f>
        <v>240</v>
      </c>
      <c r="Y73" s="14">
        <f t="shared" si="17"/>
        <v>0</v>
      </c>
      <c r="Z73" s="20">
        <f>Tabela1[[#This Row],[PESO TOTAL]]-Tabela1[[#This Row],[Peso Expedido]]</f>
        <v>0</v>
      </c>
      <c r="AA73" s="17">
        <v>1</v>
      </c>
      <c r="AB73" s="33"/>
      <c r="AC73" s="33">
        <v>1</v>
      </c>
      <c r="AD73" s="33">
        <v>1</v>
      </c>
      <c r="AE73" s="33">
        <v>1</v>
      </c>
      <c r="AF73" s="33">
        <v>1</v>
      </c>
      <c r="AG73" s="33">
        <v>1</v>
      </c>
      <c r="AH73" s="33">
        <v>1</v>
      </c>
      <c r="AI73" s="33" t="str">
        <f t="shared" si="10"/>
        <v>ok</v>
      </c>
      <c r="AJ73" s="5"/>
      <c r="AK73" t="str">
        <f>Tabela1[[#This Row],[Coluna1]]&amp;Tabela1[[#This Row],[PEDIDO]]</f>
        <v>P-198</v>
      </c>
      <c r="AL73"/>
      <c r="AM73"/>
      <c r="AN73"/>
      <c r="AO73" t="str">
        <f t="shared" si="18"/>
        <v>T-073194-1/14-AC-0001</v>
      </c>
      <c r="AP73" t="str">
        <f>Tabela1[[#This Row],[TAG]]&amp;Tabela1[[#This Row],[PEDIDO]]&amp;Tabela1[[#This Row],[PRODUTO]]</f>
        <v>14-AC-0001P-198BASES ROLETES</v>
      </c>
      <c r="AQ73" s="22" t="str">
        <f>Tabela1[[#This Row],[PRODUTO]]&amp;Tabela1[[#This Row],[TAG]]</f>
        <v>BASES ROLETES14-AC-0001</v>
      </c>
      <c r="AR73" s="24" t="str">
        <f>Tabela1[[#This Row],[PEDIDO]]&amp;Tabela1[[#This Row],[PRODUTO]]</f>
        <v>P-198BASES ROLETES</v>
      </c>
      <c r="AS73" s="37">
        <f>IF(AF73="",0,IF(ISTEXT(AF73),H73*VALUE(SUBSTITUTE(AF73,"%",""))/100,H73*AF73))-Tabela1[[#This Row],[PRONTO ACABADO2]]</f>
        <v>0</v>
      </c>
      <c r="AT73" s="37">
        <f>IF(AG73="",0,IF(ISTEXT(AG73),H73*VALUE(SUBSTITUTE(AG73,"%",""))/100,H73*AG73))-Tabela1[[#This Row],[PESO EXPEDIDO2]]</f>
        <v>0</v>
      </c>
      <c r="AU73" s="37">
        <f t="shared" si="12"/>
        <v>240</v>
      </c>
      <c r="AV73" s="37">
        <f t="shared" si="13"/>
        <v>240</v>
      </c>
      <c r="AW73" s="37"/>
    </row>
    <row r="74" spans="1:49" ht="15.75" customHeight="1" x14ac:dyDescent="0.25">
      <c r="A74" s="6" t="s">
        <v>3098</v>
      </c>
      <c r="B74" s="21"/>
      <c r="C74" s="7">
        <v>2</v>
      </c>
      <c r="D74" s="39" t="s">
        <v>3099</v>
      </c>
      <c r="E74" s="7">
        <v>3770</v>
      </c>
      <c r="F74" s="7">
        <v>19</v>
      </c>
      <c r="G74" s="23">
        <v>28</v>
      </c>
      <c r="H74" s="34">
        <f>Tabela1[[#This Row],[PESO UNI]]*Tabela1[[#This Row],[QTE]]</f>
        <v>56</v>
      </c>
      <c r="I74" s="7">
        <v>0</v>
      </c>
      <c r="J74" s="8" t="s">
        <v>3093</v>
      </c>
      <c r="K74" s="8" t="s">
        <v>33</v>
      </c>
      <c r="L74" s="9" t="s">
        <v>2984</v>
      </c>
      <c r="M74" s="10"/>
      <c r="N74" s="8" t="s">
        <v>38</v>
      </c>
      <c r="O74" s="12"/>
      <c r="P74" s="13"/>
      <c r="Q74" s="14">
        <f>Tabela1[[#This Row],[QTDE/ Fabricação]]-Tabela1[[#This Row],[QTE]]</f>
        <v>-2</v>
      </c>
      <c r="R74" s="18">
        <f t="shared" si="14"/>
        <v>56</v>
      </c>
      <c r="S74" s="18">
        <f t="shared" si="15"/>
        <v>56</v>
      </c>
      <c r="T74" s="19">
        <f t="shared" si="16"/>
        <v>0</v>
      </c>
      <c r="U74" s="16">
        <f>IFERROR(SUMIF('LISTA DE EMBARQUE'!B:B,MICRO!E:E,'LISTA DE EMBARQUE'!G:G),"")</f>
        <v>2</v>
      </c>
      <c r="V74" s="12">
        <f>IFERROR(VLOOKUP(Tabela1[[#This Row],[COD.MDE]],'LISTA DE EMBARQUE'!B:L,11,0),"")</f>
        <v>1</v>
      </c>
      <c r="W74" s="13" t="str">
        <f>IFERROR(COUNTIF(#REF!,Tabela1[[#This Row],[Colunas5]]),"")</f>
        <v/>
      </c>
      <c r="X74" s="14">
        <f>Tabela1[[#This Row],[QIANTIDADE EXPEDIDA]]*Tabela1[[#This Row],[PESO UNI]]</f>
        <v>56</v>
      </c>
      <c r="Y74" s="14">
        <f t="shared" si="17"/>
        <v>0</v>
      </c>
      <c r="Z74" s="20">
        <f>Tabela1[[#This Row],[PESO TOTAL]]-Tabela1[[#This Row],[Peso Expedido]]</f>
        <v>0</v>
      </c>
      <c r="AA74" s="17">
        <v>1</v>
      </c>
      <c r="AB74" s="33"/>
      <c r="AC74" s="33">
        <v>1</v>
      </c>
      <c r="AD74" s="33">
        <v>1</v>
      </c>
      <c r="AE74" s="33">
        <v>1</v>
      </c>
      <c r="AF74" s="33">
        <v>1</v>
      </c>
      <c r="AG74" s="33">
        <v>1</v>
      </c>
      <c r="AH74" s="33">
        <v>1</v>
      </c>
      <c r="AI74" s="33" t="str">
        <f t="shared" si="10"/>
        <v>ok</v>
      </c>
      <c r="AJ74" s="5"/>
      <c r="AK74" t="str">
        <f>Tabela1[[#This Row],[Coluna1]]&amp;Tabela1[[#This Row],[PEDIDO]]</f>
        <v>P-198</v>
      </c>
      <c r="AL74"/>
      <c r="AM74"/>
      <c r="AN74"/>
      <c r="AO74" t="str">
        <f t="shared" si="18"/>
        <v>T-073195-1/14-AC-0001</v>
      </c>
      <c r="AP74" t="str">
        <f>Tabela1[[#This Row],[TAG]]&amp;Tabela1[[#This Row],[PEDIDO]]&amp;Tabela1[[#This Row],[PRODUTO]]</f>
        <v>14-AC-0001P-198BASES ROLETES</v>
      </c>
      <c r="AQ74" s="22" t="str">
        <f>Tabela1[[#This Row],[PRODUTO]]&amp;Tabela1[[#This Row],[TAG]]</f>
        <v>BASES ROLETES14-AC-0001</v>
      </c>
      <c r="AR74" s="24" t="str">
        <f>Tabela1[[#This Row],[PEDIDO]]&amp;Tabela1[[#This Row],[PRODUTO]]</f>
        <v>P-198BASES ROLETES</v>
      </c>
      <c r="AS74" s="37">
        <f>IF(AF74="",0,IF(ISTEXT(AF74),H74*VALUE(SUBSTITUTE(AF74,"%",""))/100,H74*AF74))-Tabela1[[#This Row],[PRONTO ACABADO2]]</f>
        <v>0</v>
      </c>
      <c r="AT74" s="37">
        <f>IF(AG74="",0,IF(ISTEXT(AG74),H74*VALUE(SUBSTITUTE(AG74,"%",""))/100,H74*AG74))-Tabela1[[#This Row],[PESO EXPEDIDO2]]</f>
        <v>0</v>
      </c>
      <c r="AU74" s="37">
        <f t="shared" si="12"/>
        <v>56</v>
      </c>
      <c r="AV74" s="37">
        <f t="shared" si="13"/>
        <v>56</v>
      </c>
      <c r="AW74" s="37"/>
    </row>
    <row r="75" spans="1:49" ht="15.75" customHeight="1" x14ac:dyDescent="0.25">
      <c r="A75" s="6" t="s">
        <v>3100</v>
      </c>
      <c r="B75" s="21"/>
      <c r="C75" s="7">
        <v>24</v>
      </c>
      <c r="D75" s="39" t="s">
        <v>3101</v>
      </c>
      <c r="E75" s="7">
        <v>3771</v>
      </c>
      <c r="F75" s="7">
        <v>18</v>
      </c>
      <c r="G75" s="23">
        <v>50</v>
      </c>
      <c r="H75" s="34">
        <f>Tabela1[[#This Row],[PESO UNI]]*Tabela1[[#This Row],[QTE]]</f>
        <v>1200</v>
      </c>
      <c r="I75" s="7">
        <v>0</v>
      </c>
      <c r="J75" s="8" t="s">
        <v>3093</v>
      </c>
      <c r="K75" s="8" t="s">
        <v>23</v>
      </c>
      <c r="L75" s="9" t="s">
        <v>2984</v>
      </c>
      <c r="M75" s="10"/>
      <c r="N75" s="8" t="s">
        <v>38</v>
      </c>
      <c r="O75" s="12"/>
      <c r="P75" s="13"/>
      <c r="Q75" s="14">
        <f>Tabela1[[#This Row],[QTDE/ Fabricação]]-Tabela1[[#This Row],[QTE]]</f>
        <v>-24</v>
      </c>
      <c r="R75" s="18">
        <f t="shared" si="14"/>
        <v>1200</v>
      </c>
      <c r="S75" s="18">
        <f t="shared" si="15"/>
        <v>1200</v>
      </c>
      <c r="T75" s="19">
        <f t="shared" si="16"/>
        <v>0</v>
      </c>
      <c r="U75" s="16">
        <f>IFERROR(SUMIF('LISTA DE EMBARQUE'!B:B,MICRO!E:E,'LISTA DE EMBARQUE'!G:G),"")</f>
        <v>24</v>
      </c>
      <c r="V75" s="12">
        <f>IFERROR(VLOOKUP(Tabela1[[#This Row],[COD.MDE]],'LISTA DE EMBARQUE'!B:L,11,0),"")</f>
        <v>2</v>
      </c>
      <c r="W75" s="13" t="str">
        <f>IFERROR(COUNTIF(#REF!,Tabela1[[#This Row],[Colunas5]]),"")</f>
        <v/>
      </c>
      <c r="X75" s="14">
        <f>Tabela1[[#This Row],[QIANTIDADE EXPEDIDA]]*Tabela1[[#This Row],[PESO UNI]]</f>
        <v>1200</v>
      </c>
      <c r="Y75" s="14">
        <f t="shared" si="17"/>
        <v>0</v>
      </c>
      <c r="Z75" s="20">
        <f>Tabela1[[#This Row],[PESO TOTAL]]-Tabela1[[#This Row],[Peso Expedido]]</f>
        <v>0</v>
      </c>
      <c r="AA75" s="17">
        <v>1</v>
      </c>
      <c r="AB75" s="33"/>
      <c r="AC75" s="33">
        <v>1</v>
      </c>
      <c r="AD75" s="33">
        <v>1</v>
      </c>
      <c r="AE75" s="33">
        <v>1</v>
      </c>
      <c r="AF75" s="33">
        <v>1</v>
      </c>
      <c r="AG75" s="33">
        <v>1</v>
      </c>
      <c r="AH75" s="33">
        <v>1</v>
      </c>
      <c r="AI75" s="33" t="str">
        <f t="shared" si="10"/>
        <v>ok</v>
      </c>
      <c r="AJ75" s="5"/>
      <c r="AK75" t="str">
        <f>Tabela1[[#This Row],[Coluna1]]&amp;Tabela1[[#This Row],[PEDIDO]]</f>
        <v>P-198</v>
      </c>
      <c r="AL75"/>
      <c r="AM75"/>
      <c r="AN75"/>
      <c r="AO75" t="str">
        <f t="shared" si="18"/>
        <v>R-1-4-11013/14-AC-0001</v>
      </c>
      <c r="AP75" t="str">
        <f>Tabela1[[#This Row],[TAG]]&amp;Tabela1[[#This Row],[PEDIDO]]&amp;Tabela1[[#This Row],[PRODUTO]]</f>
        <v>14-AC-0001P-198ROLOS</v>
      </c>
      <c r="AQ75" s="22" t="str">
        <f>Tabela1[[#This Row],[PRODUTO]]&amp;Tabela1[[#This Row],[TAG]]</f>
        <v>ROLOS14-AC-0001</v>
      </c>
      <c r="AR75" s="24" t="str">
        <f>Tabela1[[#This Row],[PEDIDO]]&amp;Tabela1[[#This Row],[PRODUTO]]</f>
        <v>P-198ROLOS</v>
      </c>
      <c r="AS75" s="37">
        <f>IF(AF75="",0,IF(ISTEXT(AF75),H75*VALUE(SUBSTITUTE(AF75,"%",""))/100,H75*AF75))-Tabela1[[#This Row],[PRONTO ACABADO2]]</f>
        <v>0</v>
      </c>
      <c r="AT75" s="37">
        <f>IF(AG75="",0,IF(ISTEXT(AG75),H75*VALUE(SUBSTITUTE(AG75,"%",""))/100,H75*AG75))-Tabela1[[#This Row],[PESO EXPEDIDO2]]</f>
        <v>0</v>
      </c>
      <c r="AU75" s="37">
        <f t="shared" si="12"/>
        <v>1200</v>
      </c>
      <c r="AV75" s="37">
        <f t="shared" si="13"/>
        <v>1200</v>
      </c>
      <c r="AW75" s="37"/>
    </row>
    <row r="76" spans="1:49" ht="15.75" customHeight="1" x14ac:dyDescent="0.25">
      <c r="A76" s="6" t="s">
        <v>3102</v>
      </c>
      <c r="B76" s="21"/>
      <c r="C76" s="7">
        <v>72</v>
      </c>
      <c r="D76" s="39" t="s">
        <v>3103</v>
      </c>
      <c r="E76" s="7">
        <v>3772</v>
      </c>
      <c r="F76" s="7">
        <v>18</v>
      </c>
      <c r="G76" s="23">
        <v>12</v>
      </c>
      <c r="H76" s="34">
        <f>Tabela1[[#This Row],[PESO UNI]]*Tabela1[[#This Row],[QTE]]</f>
        <v>864</v>
      </c>
      <c r="I76" s="7">
        <v>0</v>
      </c>
      <c r="J76" s="8" t="s">
        <v>3093</v>
      </c>
      <c r="K76" s="8" t="s">
        <v>23</v>
      </c>
      <c r="L76" s="9" t="s">
        <v>2984</v>
      </c>
      <c r="M76" s="10"/>
      <c r="N76" s="8" t="s">
        <v>38</v>
      </c>
      <c r="O76" s="12"/>
      <c r="P76" s="13"/>
      <c r="Q76" s="14">
        <f>Tabela1[[#This Row],[QTDE/ Fabricação]]-Tabela1[[#This Row],[QTE]]</f>
        <v>-72</v>
      </c>
      <c r="R76" s="18">
        <f t="shared" si="14"/>
        <v>864</v>
      </c>
      <c r="S76" s="18">
        <f t="shared" si="15"/>
        <v>864</v>
      </c>
      <c r="T76" s="19">
        <f t="shared" si="16"/>
        <v>0</v>
      </c>
      <c r="U76" s="16">
        <f>IFERROR(SUMIF('LISTA DE EMBARQUE'!B:B,MICRO!E:E,'LISTA DE EMBARQUE'!G:G),"")</f>
        <v>72</v>
      </c>
      <c r="V76" s="12">
        <f>IFERROR(VLOOKUP(Tabela1[[#This Row],[COD.MDE]],'LISTA DE EMBARQUE'!B:L,11,0),"")</f>
        <v>1</v>
      </c>
      <c r="W76" s="13" t="str">
        <f>IFERROR(COUNTIF(#REF!,Tabela1[[#This Row],[Colunas5]]),"")</f>
        <v/>
      </c>
      <c r="X76" s="14">
        <f>Tabela1[[#This Row],[QIANTIDADE EXPEDIDA]]*Tabela1[[#This Row],[PESO UNI]]</f>
        <v>864</v>
      </c>
      <c r="Y76" s="14">
        <f t="shared" si="17"/>
        <v>0</v>
      </c>
      <c r="Z76" s="20">
        <f>Tabela1[[#This Row],[PESO TOTAL]]-Tabela1[[#This Row],[Peso Expedido]]</f>
        <v>0</v>
      </c>
      <c r="AA76" s="17">
        <v>1</v>
      </c>
      <c r="AB76" s="33"/>
      <c r="AC76" s="33">
        <v>1</v>
      </c>
      <c r="AD76" s="33">
        <v>1</v>
      </c>
      <c r="AE76" s="33">
        <v>1</v>
      </c>
      <c r="AF76" s="33">
        <v>1</v>
      </c>
      <c r="AG76" s="33">
        <v>1</v>
      </c>
      <c r="AH76" s="33">
        <v>1</v>
      </c>
      <c r="AI76" s="33" t="str">
        <f t="shared" si="10"/>
        <v>ok</v>
      </c>
      <c r="AJ76" s="5"/>
      <c r="AK76" t="str">
        <f>Tabela1[[#This Row],[Coluna1]]&amp;Tabela1[[#This Row],[PEDIDO]]</f>
        <v>P-198</v>
      </c>
      <c r="AL76"/>
      <c r="AM76"/>
      <c r="AN76"/>
      <c r="AO76" t="str">
        <f t="shared" si="18"/>
        <v>R-1-4-11014/14-AC-0001</v>
      </c>
      <c r="AP76" t="str">
        <f>Tabela1[[#This Row],[TAG]]&amp;Tabela1[[#This Row],[PEDIDO]]&amp;Tabela1[[#This Row],[PRODUTO]]</f>
        <v>14-AC-0001P-198ROLOS</v>
      </c>
      <c r="AQ76" s="22" t="str">
        <f>Tabela1[[#This Row],[PRODUTO]]&amp;Tabela1[[#This Row],[TAG]]</f>
        <v>ROLOS14-AC-0001</v>
      </c>
      <c r="AR76" s="24" t="str">
        <f>Tabela1[[#This Row],[PEDIDO]]&amp;Tabela1[[#This Row],[PRODUTO]]</f>
        <v>P-198ROLOS</v>
      </c>
      <c r="AS76" s="37">
        <f>IF(AF76="",0,IF(ISTEXT(AF76),H76*VALUE(SUBSTITUTE(AF76,"%",""))/100,H76*AF76))-Tabela1[[#This Row],[PRONTO ACABADO2]]</f>
        <v>0</v>
      </c>
      <c r="AT76" s="37">
        <f>IF(AG76="",0,IF(ISTEXT(AG76),H76*VALUE(SUBSTITUTE(AG76,"%",""))/100,H76*AG76))-Tabela1[[#This Row],[PESO EXPEDIDO2]]</f>
        <v>0</v>
      </c>
      <c r="AU76" s="37">
        <f t="shared" si="12"/>
        <v>864</v>
      </c>
      <c r="AV76" s="37">
        <f t="shared" si="13"/>
        <v>864</v>
      </c>
      <c r="AW76" s="37"/>
    </row>
    <row r="77" spans="1:49" ht="15.75" customHeight="1" x14ac:dyDescent="0.25">
      <c r="A77" s="6" t="s">
        <v>3104</v>
      </c>
      <c r="B77" s="21"/>
      <c r="C77" s="7">
        <v>12</v>
      </c>
      <c r="D77" s="39" t="s">
        <v>3105</v>
      </c>
      <c r="E77" s="7">
        <v>3773</v>
      </c>
      <c r="F77" s="7">
        <v>18</v>
      </c>
      <c r="G77" s="23">
        <v>67</v>
      </c>
      <c r="H77" s="34">
        <f>Tabela1[[#This Row],[PESO UNI]]*Tabela1[[#This Row],[QTE]]</f>
        <v>804</v>
      </c>
      <c r="I77" s="7">
        <v>0</v>
      </c>
      <c r="J77" s="8" t="s">
        <v>3093</v>
      </c>
      <c r="K77" s="8" t="s">
        <v>23</v>
      </c>
      <c r="L77" s="9" t="s">
        <v>2984</v>
      </c>
      <c r="M77" s="10"/>
      <c r="N77" s="8" t="s">
        <v>38</v>
      </c>
      <c r="O77" s="12"/>
      <c r="P77" s="13"/>
      <c r="Q77" s="14">
        <f>Tabela1[[#This Row],[QTDE/ Fabricação]]-Tabela1[[#This Row],[QTE]]</f>
        <v>-12</v>
      </c>
      <c r="R77" s="18">
        <f t="shared" si="14"/>
        <v>804</v>
      </c>
      <c r="S77" s="18">
        <f t="shared" si="15"/>
        <v>804</v>
      </c>
      <c r="T77" s="19">
        <f t="shared" si="16"/>
        <v>0</v>
      </c>
      <c r="U77" s="16">
        <f>IFERROR(SUMIF('LISTA DE EMBARQUE'!B:B,MICRO!E:E,'LISTA DE EMBARQUE'!G:G),"")</f>
        <v>12</v>
      </c>
      <c r="V77" s="12">
        <f>IFERROR(VLOOKUP(Tabela1[[#This Row],[COD.MDE]],'LISTA DE EMBARQUE'!B:L,11,0),"")</f>
        <v>2</v>
      </c>
      <c r="W77" s="13" t="str">
        <f>IFERROR(COUNTIF(#REF!,Tabela1[[#This Row],[Colunas5]]),"")</f>
        <v/>
      </c>
      <c r="X77" s="14">
        <f>Tabela1[[#This Row],[QIANTIDADE EXPEDIDA]]*Tabela1[[#This Row],[PESO UNI]]</f>
        <v>804</v>
      </c>
      <c r="Y77" s="14">
        <f t="shared" si="17"/>
        <v>0</v>
      </c>
      <c r="Z77" s="20">
        <f>Tabela1[[#This Row],[PESO TOTAL]]-Tabela1[[#This Row],[Peso Expedido]]</f>
        <v>0</v>
      </c>
      <c r="AA77" s="17">
        <v>1</v>
      </c>
      <c r="AB77" s="33"/>
      <c r="AC77" s="33">
        <v>1</v>
      </c>
      <c r="AD77" s="33">
        <v>1</v>
      </c>
      <c r="AE77" s="33">
        <v>1</v>
      </c>
      <c r="AF77" s="33">
        <v>1</v>
      </c>
      <c r="AG77" s="33">
        <v>1</v>
      </c>
      <c r="AH77" s="33">
        <v>1</v>
      </c>
      <c r="AI77" s="33" t="str">
        <f t="shared" si="10"/>
        <v>ok</v>
      </c>
      <c r="AJ77" s="5"/>
      <c r="AK77" t="str">
        <f>Tabela1[[#This Row],[Coluna1]]&amp;Tabela1[[#This Row],[PEDIDO]]</f>
        <v>P-198</v>
      </c>
      <c r="AL77"/>
      <c r="AM77"/>
      <c r="AN77"/>
      <c r="AO77" t="str">
        <f t="shared" si="18"/>
        <v>R-1-4-11015/14-AC-0001</v>
      </c>
      <c r="AP77" t="str">
        <f>Tabela1[[#This Row],[TAG]]&amp;Tabela1[[#This Row],[PEDIDO]]&amp;Tabela1[[#This Row],[PRODUTO]]</f>
        <v>14-AC-0001P-198ROLOS</v>
      </c>
      <c r="AQ77" s="22" t="str">
        <f>Tabela1[[#This Row],[PRODUTO]]&amp;Tabela1[[#This Row],[TAG]]</f>
        <v>ROLOS14-AC-0001</v>
      </c>
      <c r="AR77" s="24" t="str">
        <f>Tabela1[[#This Row],[PEDIDO]]&amp;Tabela1[[#This Row],[PRODUTO]]</f>
        <v>P-198ROLOS</v>
      </c>
      <c r="AS77" s="37">
        <f>IF(AF77="",0,IF(ISTEXT(AF77),H77*VALUE(SUBSTITUTE(AF77,"%",""))/100,H77*AF77))-Tabela1[[#This Row],[PRONTO ACABADO2]]</f>
        <v>0</v>
      </c>
      <c r="AT77" s="37">
        <f>IF(AG77="",0,IF(ISTEXT(AG77),H77*VALUE(SUBSTITUTE(AG77,"%",""))/100,H77*AG77))-Tabela1[[#This Row],[PESO EXPEDIDO2]]</f>
        <v>0</v>
      </c>
      <c r="AU77" s="37">
        <f t="shared" si="12"/>
        <v>804</v>
      </c>
      <c r="AV77" s="37">
        <f t="shared" si="13"/>
        <v>804</v>
      </c>
      <c r="AW77" s="37"/>
    </row>
    <row r="78" spans="1:49" ht="15.75" customHeight="1" x14ac:dyDescent="0.25">
      <c r="A78" s="6" t="s">
        <v>3106</v>
      </c>
      <c r="B78" s="21"/>
      <c r="C78" s="7">
        <v>10</v>
      </c>
      <c r="D78" s="39" t="s">
        <v>3107</v>
      </c>
      <c r="E78" s="7">
        <v>3774</v>
      </c>
      <c r="F78" s="7">
        <v>18</v>
      </c>
      <c r="G78" s="23">
        <v>46.9</v>
      </c>
      <c r="H78" s="34">
        <f>Tabela1[[#This Row],[PESO UNI]]*Tabela1[[#This Row],[QTE]]</f>
        <v>469</v>
      </c>
      <c r="I78" s="7">
        <v>0</v>
      </c>
      <c r="J78" s="8" t="s">
        <v>3093</v>
      </c>
      <c r="K78" s="8" t="s">
        <v>23</v>
      </c>
      <c r="L78" s="9" t="s">
        <v>2984</v>
      </c>
      <c r="M78" s="10"/>
      <c r="N78" s="8" t="s">
        <v>38</v>
      </c>
      <c r="O78" s="12"/>
      <c r="P78" s="13"/>
      <c r="Q78" s="14">
        <f>Tabela1[[#This Row],[QTDE/ Fabricação]]-Tabela1[[#This Row],[QTE]]</f>
        <v>-10</v>
      </c>
      <c r="R78" s="18">
        <f t="shared" si="14"/>
        <v>469</v>
      </c>
      <c r="S78" s="18">
        <f t="shared" si="15"/>
        <v>469</v>
      </c>
      <c r="T78" s="19">
        <f t="shared" si="16"/>
        <v>0</v>
      </c>
      <c r="U78" s="16">
        <f>IFERROR(SUMIF('LISTA DE EMBARQUE'!B:B,MICRO!E:E,'LISTA DE EMBARQUE'!G:G),"")</f>
        <v>10</v>
      </c>
      <c r="V78" s="12">
        <f>IFERROR(VLOOKUP(Tabela1[[#This Row],[COD.MDE]],'LISTA DE EMBARQUE'!B:L,11,0),"")</f>
        <v>2</v>
      </c>
      <c r="W78" s="13" t="str">
        <f>IFERROR(COUNTIF(#REF!,Tabela1[[#This Row],[Colunas5]]),"")</f>
        <v/>
      </c>
      <c r="X78" s="14">
        <f>Tabela1[[#This Row],[QIANTIDADE EXPEDIDA]]*Tabela1[[#This Row],[PESO UNI]]</f>
        <v>469</v>
      </c>
      <c r="Y78" s="14">
        <f t="shared" si="17"/>
        <v>0</v>
      </c>
      <c r="Z78" s="20">
        <f>Tabela1[[#This Row],[PESO TOTAL]]-Tabela1[[#This Row],[Peso Expedido]]</f>
        <v>0</v>
      </c>
      <c r="AA78" s="17">
        <v>1</v>
      </c>
      <c r="AB78" s="33"/>
      <c r="AC78" s="33">
        <v>1</v>
      </c>
      <c r="AD78" s="33">
        <v>1</v>
      </c>
      <c r="AE78" s="33">
        <v>1</v>
      </c>
      <c r="AF78" s="33">
        <v>1</v>
      </c>
      <c r="AG78" s="33">
        <v>1</v>
      </c>
      <c r="AH78" s="33">
        <v>1</v>
      </c>
      <c r="AI78" s="33" t="str">
        <f t="shared" si="10"/>
        <v>ok</v>
      </c>
      <c r="AJ78" s="5"/>
      <c r="AK78" t="str">
        <f>Tabela1[[#This Row],[Coluna1]]&amp;Tabela1[[#This Row],[PEDIDO]]</f>
        <v>P-198</v>
      </c>
      <c r="AL78"/>
      <c r="AM78"/>
      <c r="AN78"/>
      <c r="AO78" t="str">
        <f t="shared" si="18"/>
        <v>R-3-4-11017/14-AC-0001</v>
      </c>
      <c r="AP78" t="str">
        <f>Tabela1[[#This Row],[TAG]]&amp;Tabela1[[#This Row],[PEDIDO]]&amp;Tabela1[[#This Row],[PRODUTO]]</f>
        <v>14-AC-0001P-198ROLOS</v>
      </c>
      <c r="AQ78" s="22" t="str">
        <f>Tabela1[[#This Row],[PRODUTO]]&amp;Tabela1[[#This Row],[TAG]]</f>
        <v>ROLOS14-AC-0001</v>
      </c>
      <c r="AR78" s="24" t="str">
        <f>Tabela1[[#This Row],[PEDIDO]]&amp;Tabela1[[#This Row],[PRODUTO]]</f>
        <v>P-198ROLOS</v>
      </c>
      <c r="AS78" s="37">
        <f>IF(AF78="",0,IF(ISTEXT(AF78),H78*VALUE(SUBSTITUTE(AF78,"%",""))/100,H78*AF78))-Tabela1[[#This Row],[PRONTO ACABADO2]]</f>
        <v>0</v>
      </c>
      <c r="AT78" s="37">
        <f>IF(AG78="",0,IF(ISTEXT(AG78),H78*VALUE(SUBSTITUTE(AG78,"%",""))/100,H78*AG78))-Tabela1[[#This Row],[PESO EXPEDIDO2]]</f>
        <v>0</v>
      </c>
      <c r="AU78" s="37">
        <f t="shared" si="12"/>
        <v>469</v>
      </c>
      <c r="AV78" s="37">
        <f t="shared" si="13"/>
        <v>469</v>
      </c>
      <c r="AW78" s="37"/>
    </row>
    <row r="79" spans="1:49" ht="15.75" customHeight="1" x14ac:dyDescent="0.25">
      <c r="A79" s="6" t="s">
        <v>3039</v>
      </c>
      <c r="B79" s="21"/>
      <c r="C79" s="7">
        <v>4</v>
      </c>
      <c r="D79" s="39" t="s">
        <v>3108</v>
      </c>
      <c r="E79" s="7">
        <v>3775</v>
      </c>
      <c r="F79" s="7">
        <v>18</v>
      </c>
      <c r="G79" s="23">
        <v>2.7</v>
      </c>
      <c r="H79" s="34">
        <f>Tabela1[[#This Row],[PESO UNI]]*Tabela1[[#This Row],[QTE]]</f>
        <v>10.8</v>
      </c>
      <c r="I79" s="7">
        <v>0</v>
      </c>
      <c r="J79" s="8" t="s">
        <v>3093</v>
      </c>
      <c r="K79" s="8" t="s">
        <v>23</v>
      </c>
      <c r="L79" s="9" t="s">
        <v>2984</v>
      </c>
      <c r="M79" s="10"/>
      <c r="N79" s="8" t="s">
        <v>38</v>
      </c>
      <c r="O79" s="12"/>
      <c r="P79" s="13"/>
      <c r="Q79" s="14">
        <f>Tabela1[[#This Row],[QTDE/ Fabricação]]-Tabela1[[#This Row],[QTE]]</f>
        <v>-4</v>
      </c>
      <c r="R79" s="18">
        <f t="shared" si="14"/>
        <v>10.8</v>
      </c>
      <c r="S79" s="18">
        <f t="shared" si="15"/>
        <v>10.8</v>
      </c>
      <c r="T79" s="19">
        <f t="shared" si="16"/>
        <v>0</v>
      </c>
      <c r="U79" s="16">
        <f>IFERROR(SUMIF('LISTA DE EMBARQUE'!B:B,MICRO!E:E,'LISTA DE EMBARQUE'!G:G),"")</f>
        <v>4</v>
      </c>
      <c r="V79" s="12">
        <f>IFERROR(VLOOKUP(Tabela1[[#This Row],[COD.MDE]],'LISTA DE EMBARQUE'!B:L,11,0),"")</f>
        <v>2</v>
      </c>
      <c r="W79" s="13" t="str">
        <f>IFERROR(COUNTIF(#REF!,Tabela1[[#This Row],[Colunas5]]),"")</f>
        <v/>
      </c>
      <c r="X79" s="14">
        <f>Tabela1[[#This Row],[QIANTIDADE EXPEDIDA]]*Tabela1[[#This Row],[PESO UNI]]</f>
        <v>10.8</v>
      </c>
      <c r="Y79" s="14">
        <f t="shared" si="17"/>
        <v>0</v>
      </c>
      <c r="Z79" s="20">
        <f>Tabela1[[#This Row],[PESO TOTAL]]-Tabela1[[#This Row],[Peso Expedido]]</f>
        <v>0</v>
      </c>
      <c r="AA79" s="17">
        <v>1</v>
      </c>
      <c r="AB79" s="33"/>
      <c r="AC79" s="33">
        <v>1</v>
      </c>
      <c r="AD79" s="33">
        <v>1</v>
      </c>
      <c r="AE79" s="33">
        <v>1</v>
      </c>
      <c r="AF79" s="33">
        <v>1</v>
      </c>
      <c r="AG79" s="33">
        <v>1</v>
      </c>
      <c r="AH79" s="33">
        <v>1</v>
      </c>
      <c r="AI79" s="33" t="str">
        <f t="shared" si="10"/>
        <v>ok</v>
      </c>
      <c r="AJ79" s="5"/>
      <c r="AK79" t="str">
        <f>Tabela1[[#This Row],[Coluna1]]&amp;Tabela1[[#This Row],[PEDIDO]]</f>
        <v>P-198</v>
      </c>
      <c r="AL79"/>
      <c r="AM79"/>
      <c r="AN79"/>
      <c r="AO79" t="str">
        <f t="shared" si="18"/>
        <v>T-054922-4/14-AC-0001</v>
      </c>
      <c r="AP79" t="str">
        <f>Tabela1[[#This Row],[TAG]]&amp;Tabela1[[#This Row],[PEDIDO]]&amp;Tabela1[[#This Row],[PRODUTO]]</f>
        <v>14-AC-0001P-198ROLOS</v>
      </c>
      <c r="AQ79" s="22" t="str">
        <f>Tabela1[[#This Row],[PRODUTO]]&amp;Tabela1[[#This Row],[TAG]]</f>
        <v>ROLOS14-AC-0001</v>
      </c>
      <c r="AR79" s="24" t="str">
        <f>Tabela1[[#This Row],[PEDIDO]]&amp;Tabela1[[#This Row],[PRODUTO]]</f>
        <v>P-198ROLOS</v>
      </c>
      <c r="AS79" s="37">
        <f>IF(AF79="",0,IF(ISTEXT(AF79),H79*VALUE(SUBSTITUTE(AF79,"%",""))/100,H79*AF79))-Tabela1[[#This Row],[PRONTO ACABADO2]]</f>
        <v>0</v>
      </c>
      <c r="AT79" s="37">
        <f>IF(AG79="",0,IF(ISTEXT(AG79),H79*VALUE(SUBSTITUTE(AG79,"%",""))/100,H79*AG79))-Tabela1[[#This Row],[PESO EXPEDIDO2]]</f>
        <v>0</v>
      </c>
      <c r="AU79" s="37">
        <f t="shared" si="12"/>
        <v>10.8</v>
      </c>
      <c r="AV79" s="37">
        <f t="shared" si="13"/>
        <v>10.8</v>
      </c>
      <c r="AW79" s="37"/>
    </row>
    <row r="80" spans="1:49" ht="15.75" customHeight="1" x14ac:dyDescent="0.25">
      <c r="A80" s="6" t="s">
        <v>78</v>
      </c>
      <c r="B80" s="21"/>
      <c r="C80" s="7">
        <v>30</v>
      </c>
      <c r="D80" s="39" t="s">
        <v>3109</v>
      </c>
      <c r="E80" s="7">
        <v>3777</v>
      </c>
      <c r="F80" s="7">
        <v>1</v>
      </c>
      <c r="G80" s="23">
        <v>4.0999999999999996</v>
      </c>
      <c r="H80" s="34">
        <f>Tabela1[[#This Row],[PESO UNI]]*Tabela1[[#This Row],[QTE]]</f>
        <v>122.99999999999999</v>
      </c>
      <c r="I80" s="7">
        <v>0</v>
      </c>
      <c r="J80" s="8" t="s">
        <v>3110</v>
      </c>
      <c r="K80" s="8" t="s">
        <v>23</v>
      </c>
      <c r="L80" s="9" t="s">
        <v>3111</v>
      </c>
      <c r="M80" s="10"/>
      <c r="N80" s="8" t="s">
        <v>38</v>
      </c>
      <c r="O80" s="12"/>
      <c r="P80" s="13"/>
      <c r="Q80" s="14">
        <f>Tabela1[[#This Row],[QTDE/ Fabricação]]-Tabela1[[#This Row],[QTE]]</f>
        <v>-30</v>
      </c>
      <c r="R80" s="18">
        <f t="shared" ref="R80:R114" si="19">IFERROR(H80*((AA80*0.25)+(AC80*0.25)+(AD80*0.225)+(AE80*0.225)+(AF80*0.05)),"")</f>
        <v>119.92499999999998</v>
      </c>
      <c r="S80" s="18">
        <f t="shared" ref="S80:S117" si="20">IFERROR(H80*AG80,"")</f>
        <v>61.499999999999993</v>
      </c>
      <c r="T80" s="19">
        <f t="shared" ref="T80:T114" si="21">IFERROR(S80-H80,"")</f>
        <v>-61.499999999999993</v>
      </c>
      <c r="U80" s="16">
        <f>IFERROR(SUMIF('LISTA DE EMBARQUE'!B:B,MICRO!E:E,'LISTA DE EMBARQUE'!G:G),"")</f>
        <v>0</v>
      </c>
      <c r="V80" s="12" t="str">
        <f>IFERROR(VLOOKUP(Tabela1[[#This Row],[COD.MDE]],'LISTA DE EMBARQUE'!B:L,11,0),"")</f>
        <v/>
      </c>
      <c r="W80" s="13" t="str">
        <f>IFERROR(COUNTIF(#REF!,Tabela1[[#This Row],[Colunas5]]),"")</f>
        <v/>
      </c>
      <c r="X80" s="14">
        <f>Tabela1[[#This Row],[QIANTIDADE EXPEDIDA]]*Tabela1[[#This Row],[PESO UNI]]</f>
        <v>0</v>
      </c>
      <c r="Y80" s="14">
        <f t="shared" ref="Y80:Y116" si="22">U80-C80</f>
        <v>-30</v>
      </c>
      <c r="Z80" s="20">
        <f>Tabela1[[#This Row],[PESO TOTAL]]-Tabela1[[#This Row],[Peso Expedido]]</f>
        <v>122.99999999999999</v>
      </c>
      <c r="AA80" s="17">
        <v>1</v>
      </c>
      <c r="AB80" s="33"/>
      <c r="AC80" s="33">
        <v>1</v>
      </c>
      <c r="AD80" s="33">
        <v>1</v>
      </c>
      <c r="AE80" s="33">
        <v>1</v>
      </c>
      <c r="AF80" s="33">
        <v>0.5</v>
      </c>
      <c r="AG80" s="33">
        <v>0.5</v>
      </c>
      <c r="AH80" s="33"/>
      <c r="AI80" s="33" t="str">
        <f t="shared" si="10"/>
        <v/>
      </c>
      <c r="AJ80" s="5"/>
      <c r="AK80" t="str">
        <f>Tabela1[[#This Row],[Coluna1]]&amp;Tabela1[[#This Row],[PEDIDO]]</f>
        <v>P-204</v>
      </c>
      <c r="AL80"/>
      <c r="AM80"/>
      <c r="AN80"/>
      <c r="AO80" t="str">
        <f t="shared" si="18"/>
        <v>R-1-4-9509A/P204</v>
      </c>
      <c r="AP80" t="str">
        <f>Tabela1[[#This Row],[TAG]]&amp;Tabela1[[#This Row],[PEDIDO]]&amp;Tabela1[[#This Row],[PRODUTO]]</f>
        <v>P204P-204ROLOS</v>
      </c>
      <c r="AQ80" s="22" t="str">
        <f>Tabela1[[#This Row],[PRODUTO]]&amp;Tabela1[[#This Row],[TAG]]</f>
        <v>ROLOSP204</v>
      </c>
      <c r="AR80" s="24" t="str">
        <f>Tabela1[[#This Row],[PEDIDO]]&amp;Tabela1[[#This Row],[PRODUTO]]</f>
        <v>P-204ROLOS</v>
      </c>
      <c r="AS80" s="37">
        <f>IF(AF80="",0,IF(ISTEXT(AF80),H80*VALUE(SUBSTITUTE(AF80,"%",""))/100,H80*AF80))-Tabela1[[#This Row],[PRONTO ACABADO2]]</f>
        <v>0</v>
      </c>
      <c r="AT80" s="37">
        <f>IF(AG80="",0,IF(ISTEXT(AG80),H80*VALUE(SUBSTITUTE(AG80,"%",""))/100,H80*AG80))-Tabela1[[#This Row],[PESO EXPEDIDO2]]</f>
        <v>61.499999999999993</v>
      </c>
      <c r="AU80" s="37">
        <f t="shared" si="12"/>
        <v>0</v>
      </c>
      <c r="AV80" s="37">
        <f t="shared" si="13"/>
        <v>61.499999999999993</v>
      </c>
      <c r="AW80" s="37"/>
    </row>
    <row r="81" spans="1:49" ht="15.75" customHeight="1" x14ac:dyDescent="0.25">
      <c r="A81" s="6" t="s">
        <v>3112</v>
      </c>
      <c r="B81" s="21" t="s">
        <v>3119</v>
      </c>
      <c r="C81" s="7">
        <v>18</v>
      </c>
      <c r="D81" s="39" t="s">
        <v>3113</v>
      </c>
      <c r="E81" s="7">
        <v>3778</v>
      </c>
      <c r="F81" s="7">
        <v>20</v>
      </c>
      <c r="G81" s="23">
        <v>2.5</v>
      </c>
      <c r="H81" s="34">
        <f>Tabela1[[#This Row],[PESO UNI]]*Tabela1[[#This Row],[QTE]]</f>
        <v>45</v>
      </c>
      <c r="I81" s="7" t="s">
        <v>4419</v>
      </c>
      <c r="J81" s="8" t="s">
        <v>3034</v>
      </c>
      <c r="K81" s="8" t="s">
        <v>31</v>
      </c>
      <c r="L81" s="9" t="s">
        <v>2984</v>
      </c>
      <c r="M81" s="10">
        <v>46183</v>
      </c>
      <c r="N81" s="8" t="s">
        <v>38</v>
      </c>
      <c r="O81" s="12"/>
      <c r="P81" s="13"/>
      <c r="Q81" s="14">
        <f>Tabela1[[#This Row],[QTDE/ Fabricação]]-Tabela1[[#This Row],[QTE]]</f>
        <v>-18</v>
      </c>
      <c r="R81" s="18">
        <f t="shared" si="19"/>
        <v>45</v>
      </c>
      <c r="S81" s="18">
        <f t="shared" si="20"/>
        <v>45</v>
      </c>
      <c r="T81" s="19">
        <f t="shared" si="21"/>
        <v>0</v>
      </c>
      <c r="U81" s="16">
        <f>IFERROR(SUMIF('LISTA DE EMBARQUE'!B:B,MICRO!E:E,'LISTA DE EMBARQUE'!G:G),"")</f>
        <v>0</v>
      </c>
      <c r="V81" s="12" t="str">
        <f>IFERROR(VLOOKUP(Tabela1[[#This Row],[COD.MDE]],'LISTA DE EMBARQUE'!B:L,11,0),"")</f>
        <v/>
      </c>
      <c r="W81" s="13" t="str">
        <f>IFERROR(COUNTIF(#REF!,Tabela1[[#This Row],[Colunas5]]),"")</f>
        <v/>
      </c>
      <c r="X81" s="14">
        <f>Tabela1[[#This Row],[QIANTIDADE EXPEDIDA]]*Tabela1[[#This Row],[PESO UNI]]</f>
        <v>0</v>
      </c>
      <c r="Y81" s="14">
        <f t="shared" si="22"/>
        <v>-18</v>
      </c>
      <c r="Z81" s="20">
        <f>Tabela1[[#This Row],[PESO TOTAL]]-Tabela1[[#This Row],[Peso Expedido]]</f>
        <v>45</v>
      </c>
      <c r="AA81" s="17">
        <v>1</v>
      </c>
      <c r="AB81" s="33"/>
      <c r="AC81" s="33">
        <v>1</v>
      </c>
      <c r="AD81" s="33">
        <v>1</v>
      </c>
      <c r="AE81" s="33">
        <v>1</v>
      </c>
      <c r="AF81" s="33">
        <v>1</v>
      </c>
      <c r="AG81" s="33">
        <v>1</v>
      </c>
      <c r="AH81" s="33"/>
      <c r="AI81" s="33" t="str">
        <f t="shared" si="10"/>
        <v/>
      </c>
      <c r="AJ81" s="5"/>
      <c r="AK81" t="str">
        <f>Tabela1[[#This Row],[Coluna1]]&amp;Tabela1[[#This Row],[PEDIDO]]</f>
        <v>P-198</v>
      </c>
      <c r="AL81"/>
      <c r="AM81"/>
      <c r="AN81"/>
      <c r="AO81" t="str">
        <f t="shared" si="18"/>
        <v>T-073198-1/05-CV-0001</v>
      </c>
      <c r="AP81" t="str">
        <f>Tabela1[[#This Row],[TAG]]&amp;Tabela1[[#This Row],[PEDIDO]]&amp;Tabela1[[#This Row],[PRODUTO]]</f>
        <v>05-CV-0001P-198ESTRUTURA</v>
      </c>
      <c r="AQ81" s="22" t="str">
        <f>Tabela1[[#This Row],[PRODUTO]]&amp;Tabela1[[#This Row],[TAG]]</f>
        <v>ESTRUTURA05-CV-0001</v>
      </c>
      <c r="AR81" s="24" t="str">
        <f>Tabela1[[#This Row],[PEDIDO]]&amp;Tabela1[[#This Row],[PRODUTO]]</f>
        <v>P-198ESTRUTURA</v>
      </c>
      <c r="AS81" s="37">
        <f>IF(AF81="",0,IF(ISTEXT(AF81),H81*VALUE(SUBSTITUTE(AF81,"%",""))/100,H81*AF81))-Tabela1[[#This Row],[PRONTO ACABADO2]]</f>
        <v>0</v>
      </c>
      <c r="AT81" s="37">
        <f>IF(AG81="",0,IF(ISTEXT(AG81),H81*VALUE(SUBSTITUTE(AG81,"%",""))/100,H81*AG81))-Tabela1[[#This Row],[PESO EXPEDIDO2]]</f>
        <v>45</v>
      </c>
      <c r="AU81" s="37">
        <f t="shared" si="12"/>
        <v>0</v>
      </c>
      <c r="AV81" s="37">
        <f t="shared" si="13"/>
        <v>45</v>
      </c>
      <c r="AW81" s="37"/>
    </row>
    <row r="82" spans="1:49" ht="15.75" customHeight="1" x14ac:dyDescent="0.25">
      <c r="A82" s="6" t="s">
        <v>3112</v>
      </c>
      <c r="B82" s="21" t="s">
        <v>3119</v>
      </c>
      <c r="C82" s="7">
        <v>1</v>
      </c>
      <c r="D82" s="39" t="s">
        <v>3114</v>
      </c>
      <c r="E82" s="7">
        <v>3779</v>
      </c>
      <c r="F82" s="7">
        <v>20</v>
      </c>
      <c r="G82" s="23">
        <v>396.3</v>
      </c>
      <c r="H82" s="34">
        <f>Tabela1[[#This Row],[PESO UNI]]*Tabela1[[#This Row],[QTE]]</f>
        <v>396.3</v>
      </c>
      <c r="I82" s="7" t="s">
        <v>4419</v>
      </c>
      <c r="J82" s="8" t="s">
        <v>3034</v>
      </c>
      <c r="K82" s="8" t="s">
        <v>31</v>
      </c>
      <c r="L82" s="9" t="s">
        <v>2984</v>
      </c>
      <c r="M82" s="10">
        <v>46183</v>
      </c>
      <c r="N82" s="8" t="s">
        <v>38</v>
      </c>
      <c r="O82" s="12"/>
      <c r="P82" s="13"/>
      <c r="Q82" s="14">
        <f>Tabela1[[#This Row],[QTDE/ Fabricação]]-Tabela1[[#This Row],[QTE]]</f>
        <v>-1</v>
      </c>
      <c r="R82" s="18">
        <f t="shared" si="19"/>
        <v>396.3</v>
      </c>
      <c r="S82" s="18">
        <f t="shared" si="20"/>
        <v>396.3</v>
      </c>
      <c r="T82" s="19">
        <f t="shared" si="21"/>
        <v>0</v>
      </c>
      <c r="U82" s="16">
        <f>IFERROR(SUMIF('LISTA DE EMBARQUE'!B:B,MICRO!E:E,'LISTA DE EMBARQUE'!G:G),"")</f>
        <v>0</v>
      </c>
      <c r="V82" s="12" t="str">
        <f>IFERROR(VLOOKUP(Tabela1[[#This Row],[COD.MDE]],'LISTA DE EMBARQUE'!B:L,11,0),"")</f>
        <v/>
      </c>
      <c r="W82" s="13" t="str">
        <f>IFERROR(COUNTIF(#REF!,Tabela1[[#This Row],[Colunas5]]),"")</f>
        <v/>
      </c>
      <c r="X82" s="14">
        <f>Tabela1[[#This Row],[QIANTIDADE EXPEDIDA]]*Tabela1[[#This Row],[PESO UNI]]</f>
        <v>0</v>
      </c>
      <c r="Y82" s="14">
        <f t="shared" si="22"/>
        <v>-1</v>
      </c>
      <c r="Z82" s="20">
        <f>Tabela1[[#This Row],[PESO TOTAL]]-Tabela1[[#This Row],[Peso Expedido]]</f>
        <v>396.3</v>
      </c>
      <c r="AA82" s="17">
        <v>1</v>
      </c>
      <c r="AB82" s="33"/>
      <c r="AC82" s="17">
        <v>1</v>
      </c>
      <c r="AD82" s="17">
        <v>1</v>
      </c>
      <c r="AE82" s="17">
        <v>1</v>
      </c>
      <c r="AF82" s="17">
        <v>1</v>
      </c>
      <c r="AG82" s="17">
        <v>1</v>
      </c>
      <c r="AH82" s="33"/>
      <c r="AI82" s="33" t="str">
        <f t="shared" si="10"/>
        <v/>
      </c>
      <c r="AJ82" s="5"/>
      <c r="AK82" t="str">
        <f>Tabela1[[#This Row],[Coluna1]]&amp;Tabela1[[#This Row],[PEDIDO]]</f>
        <v>P-198</v>
      </c>
      <c r="AL82"/>
      <c r="AM82"/>
      <c r="AN82"/>
      <c r="AO82" t="str">
        <f t="shared" si="18"/>
        <v>T-073198-1/05-CV-0001</v>
      </c>
      <c r="AP82" t="str">
        <f>Tabela1[[#This Row],[TAG]]&amp;Tabela1[[#This Row],[PEDIDO]]&amp;Tabela1[[#This Row],[PRODUTO]]</f>
        <v>05-CV-0001P-198ESTRUTURA</v>
      </c>
      <c r="AQ82" s="22" t="str">
        <f>Tabela1[[#This Row],[PRODUTO]]&amp;Tabela1[[#This Row],[TAG]]</f>
        <v>ESTRUTURA05-CV-0001</v>
      </c>
      <c r="AR82" s="24" t="str">
        <f>Tabela1[[#This Row],[PEDIDO]]&amp;Tabela1[[#This Row],[PRODUTO]]</f>
        <v>P-198ESTRUTURA</v>
      </c>
      <c r="AS82" s="37">
        <f>IF(AF82="",0,IF(ISTEXT(AF82),H82*VALUE(SUBSTITUTE(AF82,"%",""))/100,H82*AF82))-Tabela1[[#This Row],[PRONTO ACABADO2]]</f>
        <v>0</v>
      </c>
      <c r="AT82" s="37">
        <f>IF(AG82="",0,IF(ISTEXT(AG82),H82*VALUE(SUBSTITUTE(AG82,"%",""))/100,H82*AG82))-Tabela1[[#This Row],[PESO EXPEDIDO2]]</f>
        <v>396.3</v>
      </c>
      <c r="AU82" s="37">
        <f t="shared" si="12"/>
        <v>0</v>
      </c>
      <c r="AV82" s="37">
        <f t="shared" si="13"/>
        <v>396.3</v>
      </c>
      <c r="AW82" s="37"/>
    </row>
    <row r="83" spans="1:49" ht="15.75" customHeight="1" x14ac:dyDescent="0.25">
      <c r="A83" s="6" t="s">
        <v>3112</v>
      </c>
      <c r="B83" s="21" t="s">
        <v>3119</v>
      </c>
      <c r="C83" s="7">
        <v>1</v>
      </c>
      <c r="D83" s="39" t="s">
        <v>3115</v>
      </c>
      <c r="E83" s="7">
        <v>3780</v>
      </c>
      <c r="F83" s="7">
        <v>20</v>
      </c>
      <c r="G83" s="23">
        <v>290.60000000000002</v>
      </c>
      <c r="H83" s="34">
        <f>Tabela1[[#This Row],[PESO UNI]]*Tabela1[[#This Row],[QTE]]</f>
        <v>290.60000000000002</v>
      </c>
      <c r="I83" s="7" t="s">
        <v>4419</v>
      </c>
      <c r="J83" s="8" t="s">
        <v>3034</v>
      </c>
      <c r="K83" s="8" t="s">
        <v>31</v>
      </c>
      <c r="L83" s="9" t="s">
        <v>2984</v>
      </c>
      <c r="M83" s="10">
        <v>46183</v>
      </c>
      <c r="N83" s="8" t="s">
        <v>38</v>
      </c>
      <c r="O83" s="12"/>
      <c r="P83" s="13"/>
      <c r="Q83" s="14">
        <f>Tabela1[[#This Row],[QTDE/ Fabricação]]-Tabela1[[#This Row],[QTE]]</f>
        <v>-1</v>
      </c>
      <c r="R83" s="18">
        <f t="shared" si="19"/>
        <v>290.60000000000002</v>
      </c>
      <c r="S83" s="18">
        <f t="shared" si="20"/>
        <v>290.60000000000002</v>
      </c>
      <c r="T83" s="19">
        <f t="shared" si="21"/>
        <v>0</v>
      </c>
      <c r="U83" s="16">
        <f>IFERROR(SUMIF('LISTA DE EMBARQUE'!B:B,MICRO!E:E,'LISTA DE EMBARQUE'!G:G),"")</f>
        <v>0</v>
      </c>
      <c r="V83" s="12" t="str">
        <f>IFERROR(VLOOKUP(Tabela1[[#This Row],[COD.MDE]],'LISTA DE EMBARQUE'!B:L,11,0),"")</f>
        <v/>
      </c>
      <c r="W83" s="13" t="str">
        <f>IFERROR(COUNTIF(#REF!,Tabela1[[#This Row],[Colunas5]]),"")</f>
        <v/>
      </c>
      <c r="X83" s="14">
        <f>Tabela1[[#This Row],[QIANTIDADE EXPEDIDA]]*Tabela1[[#This Row],[PESO UNI]]</f>
        <v>0</v>
      </c>
      <c r="Y83" s="14">
        <f t="shared" si="22"/>
        <v>-1</v>
      </c>
      <c r="Z83" s="20">
        <f>Tabela1[[#This Row],[PESO TOTAL]]-Tabela1[[#This Row],[Peso Expedido]]</f>
        <v>290.60000000000002</v>
      </c>
      <c r="AA83" s="17">
        <v>1</v>
      </c>
      <c r="AB83" s="33"/>
      <c r="AC83" s="17">
        <v>1</v>
      </c>
      <c r="AD83" s="17">
        <v>1</v>
      </c>
      <c r="AE83" s="17">
        <v>1</v>
      </c>
      <c r="AF83" s="17">
        <v>1</v>
      </c>
      <c r="AG83" s="17">
        <v>1</v>
      </c>
      <c r="AH83" s="33"/>
      <c r="AI83" s="33" t="str">
        <f t="shared" si="10"/>
        <v/>
      </c>
      <c r="AJ83" s="5"/>
      <c r="AK83" t="str">
        <f>Tabela1[[#This Row],[Coluna1]]&amp;Tabela1[[#This Row],[PEDIDO]]</f>
        <v>P-198</v>
      </c>
      <c r="AL83"/>
      <c r="AM83"/>
      <c r="AN83"/>
      <c r="AO83" t="str">
        <f t="shared" si="18"/>
        <v>T-073198-1/05-CV-0001</v>
      </c>
      <c r="AP83" t="str">
        <f>Tabela1[[#This Row],[TAG]]&amp;Tabela1[[#This Row],[PEDIDO]]&amp;Tabela1[[#This Row],[PRODUTO]]</f>
        <v>05-CV-0001P-198ESTRUTURA</v>
      </c>
      <c r="AQ83" s="22" t="str">
        <f>Tabela1[[#This Row],[PRODUTO]]&amp;Tabela1[[#This Row],[TAG]]</f>
        <v>ESTRUTURA05-CV-0001</v>
      </c>
      <c r="AR83" s="24" t="str">
        <f>Tabela1[[#This Row],[PEDIDO]]&amp;Tabela1[[#This Row],[PRODUTO]]</f>
        <v>P-198ESTRUTURA</v>
      </c>
      <c r="AS83" s="37">
        <f>IF(AF83="",0,IF(ISTEXT(AF83),H83*VALUE(SUBSTITUTE(AF83,"%",""))/100,H83*AF83))-Tabela1[[#This Row],[PRONTO ACABADO2]]</f>
        <v>0</v>
      </c>
      <c r="AT83" s="37">
        <f>IF(AG83="",0,IF(ISTEXT(AG83),H83*VALUE(SUBSTITUTE(AG83,"%",""))/100,H83*AG83))-Tabela1[[#This Row],[PESO EXPEDIDO2]]</f>
        <v>290.60000000000002</v>
      </c>
      <c r="AU83" s="37">
        <f t="shared" si="12"/>
        <v>0</v>
      </c>
      <c r="AV83" s="37">
        <f t="shared" si="13"/>
        <v>290.60000000000002</v>
      </c>
      <c r="AW83" s="37"/>
    </row>
    <row r="84" spans="1:49" ht="15.75" customHeight="1" x14ac:dyDescent="0.25">
      <c r="A84" s="6" t="s">
        <v>3112</v>
      </c>
      <c r="B84" s="21" t="s">
        <v>3119</v>
      </c>
      <c r="C84" s="7">
        <v>1</v>
      </c>
      <c r="D84" s="39" t="s">
        <v>3116</v>
      </c>
      <c r="E84" s="7">
        <v>3781</v>
      </c>
      <c r="F84" s="7">
        <v>20</v>
      </c>
      <c r="G84" s="23">
        <v>290.60000000000002</v>
      </c>
      <c r="H84" s="34">
        <f>Tabela1[[#This Row],[PESO UNI]]*Tabela1[[#This Row],[QTE]]</f>
        <v>290.60000000000002</v>
      </c>
      <c r="I84" s="7" t="s">
        <v>4419</v>
      </c>
      <c r="J84" s="8" t="s">
        <v>3034</v>
      </c>
      <c r="K84" s="8" t="s">
        <v>31</v>
      </c>
      <c r="L84" s="9" t="s">
        <v>2984</v>
      </c>
      <c r="M84" s="10">
        <v>46183</v>
      </c>
      <c r="N84" s="8" t="s">
        <v>38</v>
      </c>
      <c r="O84" s="12"/>
      <c r="P84" s="13"/>
      <c r="Q84" s="14">
        <f>Tabela1[[#This Row],[QTDE/ Fabricação]]-Tabela1[[#This Row],[QTE]]</f>
        <v>-1</v>
      </c>
      <c r="R84" s="18">
        <f t="shared" si="19"/>
        <v>290.60000000000002</v>
      </c>
      <c r="S84" s="18">
        <f t="shared" si="20"/>
        <v>290.60000000000002</v>
      </c>
      <c r="T84" s="19">
        <f t="shared" si="21"/>
        <v>0</v>
      </c>
      <c r="U84" s="16">
        <f>IFERROR(SUMIF('LISTA DE EMBARQUE'!B:B,MICRO!E:E,'LISTA DE EMBARQUE'!G:G),"")</f>
        <v>0</v>
      </c>
      <c r="V84" s="12" t="str">
        <f>IFERROR(VLOOKUP(Tabela1[[#This Row],[COD.MDE]],'LISTA DE EMBARQUE'!B:L,11,0),"")</f>
        <v/>
      </c>
      <c r="W84" s="13" t="str">
        <f>IFERROR(COUNTIF(#REF!,Tabela1[[#This Row],[Colunas5]]),"")</f>
        <v/>
      </c>
      <c r="X84" s="14">
        <f>Tabela1[[#This Row],[QIANTIDADE EXPEDIDA]]*Tabela1[[#This Row],[PESO UNI]]</f>
        <v>0</v>
      </c>
      <c r="Y84" s="14">
        <f t="shared" si="22"/>
        <v>-1</v>
      </c>
      <c r="Z84" s="20">
        <f>Tabela1[[#This Row],[PESO TOTAL]]-Tabela1[[#This Row],[Peso Expedido]]</f>
        <v>290.60000000000002</v>
      </c>
      <c r="AA84" s="17">
        <v>1</v>
      </c>
      <c r="AB84" s="33"/>
      <c r="AC84" s="17">
        <v>1</v>
      </c>
      <c r="AD84" s="17">
        <v>1</v>
      </c>
      <c r="AE84" s="17">
        <v>1</v>
      </c>
      <c r="AF84" s="17">
        <v>1</v>
      </c>
      <c r="AG84" s="17">
        <v>1</v>
      </c>
      <c r="AH84" s="33"/>
      <c r="AI84" s="33" t="str">
        <f t="shared" si="10"/>
        <v/>
      </c>
      <c r="AJ84" s="5"/>
      <c r="AK84" t="str">
        <f>Tabela1[[#This Row],[Coluna1]]&amp;Tabela1[[#This Row],[PEDIDO]]</f>
        <v>P-198</v>
      </c>
      <c r="AL84"/>
      <c r="AM84"/>
      <c r="AN84"/>
      <c r="AO84" t="str">
        <f t="shared" si="18"/>
        <v>T-073198-1/05-CV-0001</v>
      </c>
      <c r="AP84" t="str">
        <f>Tabela1[[#This Row],[TAG]]&amp;Tabela1[[#This Row],[PEDIDO]]&amp;Tabela1[[#This Row],[PRODUTO]]</f>
        <v>05-CV-0001P-198ESTRUTURA</v>
      </c>
      <c r="AQ84" s="22" t="str">
        <f>Tabela1[[#This Row],[PRODUTO]]&amp;Tabela1[[#This Row],[TAG]]</f>
        <v>ESTRUTURA05-CV-0001</v>
      </c>
      <c r="AR84" s="24" t="str">
        <f>Tabela1[[#This Row],[PEDIDO]]&amp;Tabela1[[#This Row],[PRODUTO]]</f>
        <v>P-198ESTRUTURA</v>
      </c>
      <c r="AS84" s="37">
        <f>IF(AF84="",0,IF(ISTEXT(AF84),H84*VALUE(SUBSTITUTE(AF84,"%",""))/100,H84*AF84))-Tabela1[[#This Row],[PRONTO ACABADO2]]</f>
        <v>0</v>
      </c>
      <c r="AT84" s="37">
        <f>IF(AG84="",0,IF(ISTEXT(AG84),H84*VALUE(SUBSTITUTE(AG84,"%",""))/100,H84*AG84))-Tabela1[[#This Row],[PESO EXPEDIDO2]]</f>
        <v>290.60000000000002</v>
      </c>
      <c r="AU84" s="37">
        <f t="shared" si="12"/>
        <v>0</v>
      </c>
      <c r="AV84" s="37">
        <f t="shared" si="13"/>
        <v>290.60000000000002</v>
      </c>
      <c r="AW84" s="37"/>
    </row>
    <row r="85" spans="1:49" ht="15.75" customHeight="1" x14ac:dyDescent="0.25">
      <c r="A85" s="6" t="s">
        <v>3112</v>
      </c>
      <c r="B85" s="21" t="s">
        <v>3119</v>
      </c>
      <c r="C85" s="7">
        <v>1</v>
      </c>
      <c r="D85" s="39" t="s">
        <v>3117</v>
      </c>
      <c r="E85" s="7">
        <v>3782</v>
      </c>
      <c r="F85" s="7">
        <v>20</v>
      </c>
      <c r="G85" s="23">
        <v>295</v>
      </c>
      <c r="H85" s="34">
        <f>Tabela1[[#This Row],[PESO UNI]]*Tabela1[[#This Row],[QTE]]</f>
        <v>295</v>
      </c>
      <c r="I85" s="7" t="s">
        <v>4419</v>
      </c>
      <c r="J85" s="8" t="s">
        <v>3034</v>
      </c>
      <c r="K85" s="8" t="s">
        <v>31</v>
      </c>
      <c r="L85" s="9" t="s">
        <v>2984</v>
      </c>
      <c r="M85" s="10">
        <v>46183</v>
      </c>
      <c r="N85" s="8" t="s">
        <v>38</v>
      </c>
      <c r="O85" s="12"/>
      <c r="P85" s="13"/>
      <c r="Q85" s="14">
        <f>Tabela1[[#This Row],[QTDE/ Fabricação]]-Tabela1[[#This Row],[QTE]]</f>
        <v>-1</v>
      </c>
      <c r="R85" s="18">
        <f t="shared" si="19"/>
        <v>295</v>
      </c>
      <c r="S85" s="18">
        <f t="shared" si="20"/>
        <v>295</v>
      </c>
      <c r="T85" s="19">
        <f t="shared" si="21"/>
        <v>0</v>
      </c>
      <c r="U85" s="16">
        <f>IFERROR(SUMIF('LISTA DE EMBARQUE'!B:B,MICRO!E:E,'LISTA DE EMBARQUE'!G:G),"")</f>
        <v>0</v>
      </c>
      <c r="V85" s="12" t="str">
        <f>IFERROR(VLOOKUP(Tabela1[[#This Row],[COD.MDE]],'LISTA DE EMBARQUE'!B:L,11,0),"")</f>
        <v/>
      </c>
      <c r="W85" s="13" t="str">
        <f>IFERROR(COUNTIF(#REF!,Tabela1[[#This Row],[Colunas5]]),"")</f>
        <v/>
      </c>
      <c r="X85" s="14">
        <f>Tabela1[[#This Row],[QIANTIDADE EXPEDIDA]]*Tabela1[[#This Row],[PESO UNI]]</f>
        <v>0</v>
      </c>
      <c r="Y85" s="14">
        <f t="shared" si="22"/>
        <v>-1</v>
      </c>
      <c r="Z85" s="20">
        <f>Tabela1[[#This Row],[PESO TOTAL]]-Tabela1[[#This Row],[Peso Expedido]]</f>
        <v>295</v>
      </c>
      <c r="AA85" s="17">
        <v>1</v>
      </c>
      <c r="AB85" s="33"/>
      <c r="AC85" s="17">
        <v>1</v>
      </c>
      <c r="AD85" s="17">
        <v>1</v>
      </c>
      <c r="AE85" s="17">
        <v>1</v>
      </c>
      <c r="AF85" s="17">
        <v>1</v>
      </c>
      <c r="AG85" s="17">
        <v>1</v>
      </c>
      <c r="AH85" s="33"/>
      <c r="AI85" s="33" t="str">
        <f t="shared" si="10"/>
        <v/>
      </c>
      <c r="AJ85" s="5"/>
      <c r="AK85" t="str">
        <f>Tabela1[[#This Row],[Coluna1]]&amp;Tabela1[[#This Row],[PEDIDO]]</f>
        <v>P-198</v>
      </c>
      <c r="AL85"/>
      <c r="AM85"/>
      <c r="AN85"/>
      <c r="AO85" t="str">
        <f t="shared" si="18"/>
        <v>T-073198-1/05-CV-0001</v>
      </c>
      <c r="AP85" t="str">
        <f>Tabela1[[#This Row],[TAG]]&amp;Tabela1[[#This Row],[PEDIDO]]&amp;Tabela1[[#This Row],[PRODUTO]]</f>
        <v>05-CV-0001P-198ESTRUTURA</v>
      </c>
      <c r="AQ85" s="22" t="str">
        <f>Tabela1[[#This Row],[PRODUTO]]&amp;Tabela1[[#This Row],[TAG]]</f>
        <v>ESTRUTURA05-CV-0001</v>
      </c>
      <c r="AR85" s="24" t="str">
        <f>Tabela1[[#This Row],[PEDIDO]]&amp;Tabela1[[#This Row],[PRODUTO]]</f>
        <v>P-198ESTRUTURA</v>
      </c>
      <c r="AS85" s="37">
        <f>IF(AF85="",0,IF(ISTEXT(AF85),H85*VALUE(SUBSTITUTE(AF85,"%",""))/100,H85*AF85))-Tabela1[[#This Row],[PRONTO ACABADO2]]</f>
        <v>0</v>
      </c>
      <c r="AT85" s="37">
        <f>IF(AG85="",0,IF(ISTEXT(AG85),H85*VALUE(SUBSTITUTE(AG85,"%",""))/100,H85*AG85))-Tabela1[[#This Row],[PESO EXPEDIDO2]]</f>
        <v>295</v>
      </c>
      <c r="AU85" s="37">
        <f t="shared" si="12"/>
        <v>0</v>
      </c>
      <c r="AV85" s="37">
        <f t="shared" si="13"/>
        <v>295</v>
      </c>
      <c r="AW85" s="37"/>
    </row>
    <row r="86" spans="1:49" ht="15.75" customHeight="1" x14ac:dyDescent="0.25">
      <c r="A86" s="6" t="s">
        <v>3112</v>
      </c>
      <c r="B86" s="21" t="s">
        <v>3119</v>
      </c>
      <c r="C86" s="7">
        <v>6</v>
      </c>
      <c r="D86" s="39" t="s">
        <v>3118</v>
      </c>
      <c r="E86" s="7">
        <v>3783</v>
      </c>
      <c r="F86" s="7">
        <v>20</v>
      </c>
      <c r="G86" s="23">
        <v>24</v>
      </c>
      <c r="H86" s="34">
        <f>Tabela1[[#This Row],[PESO UNI]]*Tabela1[[#This Row],[QTE]]</f>
        <v>144</v>
      </c>
      <c r="I86" s="7" t="s">
        <v>4419</v>
      </c>
      <c r="J86" s="8" t="s">
        <v>3034</v>
      </c>
      <c r="K86" s="8" t="s">
        <v>31</v>
      </c>
      <c r="L86" s="9" t="s">
        <v>2984</v>
      </c>
      <c r="M86" s="10">
        <v>46183</v>
      </c>
      <c r="N86" s="8" t="s">
        <v>38</v>
      </c>
      <c r="O86" s="12"/>
      <c r="P86" s="13"/>
      <c r="Q86" s="14">
        <f>Tabela1[[#This Row],[QTDE/ Fabricação]]-Tabela1[[#This Row],[QTE]]</f>
        <v>-6</v>
      </c>
      <c r="R86" s="18">
        <f t="shared" si="19"/>
        <v>72</v>
      </c>
      <c r="S86" s="18">
        <f t="shared" si="20"/>
        <v>0</v>
      </c>
      <c r="T86" s="19">
        <f t="shared" si="21"/>
        <v>-144</v>
      </c>
      <c r="U86" s="16">
        <f>IFERROR(SUMIF('LISTA DE EMBARQUE'!B:B,MICRO!E:E,'LISTA DE EMBARQUE'!G:G),"")</f>
        <v>0</v>
      </c>
      <c r="V86" s="12" t="str">
        <f>IFERROR(VLOOKUP(Tabela1[[#This Row],[COD.MDE]],'LISTA DE EMBARQUE'!B:L,11,0),"")</f>
        <v/>
      </c>
      <c r="W86" s="13" t="str">
        <f>IFERROR(COUNTIF(#REF!,Tabela1[[#This Row],[Colunas5]]),"")</f>
        <v/>
      </c>
      <c r="X86" s="14">
        <f>Tabela1[[#This Row],[QIANTIDADE EXPEDIDA]]*Tabela1[[#This Row],[PESO UNI]]</f>
        <v>0</v>
      </c>
      <c r="Y86" s="14">
        <f t="shared" si="22"/>
        <v>-6</v>
      </c>
      <c r="Z86" s="20">
        <f>Tabela1[[#This Row],[PESO TOTAL]]-Tabela1[[#This Row],[Peso Expedido]]</f>
        <v>144</v>
      </c>
      <c r="AA86" s="17">
        <v>1</v>
      </c>
      <c r="AB86" s="33"/>
      <c r="AC86" s="33">
        <v>1</v>
      </c>
      <c r="AD86" s="33"/>
      <c r="AE86" s="33"/>
      <c r="AF86" s="33"/>
      <c r="AG86" s="33"/>
      <c r="AH86" s="33"/>
      <c r="AI86" s="33" t="str">
        <f t="shared" si="10"/>
        <v/>
      </c>
      <c r="AJ86" s="5"/>
      <c r="AK86" t="str">
        <f>Tabela1[[#This Row],[Coluna1]]&amp;Tabela1[[#This Row],[PEDIDO]]</f>
        <v>P-198</v>
      </c>
      <c r="AL86"/>
      <c r="AM86"/>
      <c r="AN86"/>
      <c r="AO86" t="str">
        <f t="shared" si="18"/>
        <v>T-073198-1/05-CV-0001</v>
      </c>
      <c r="AP86" t="str">
        <f>Tabela1[[#This Row],[TAG]]&amp;Tabela1[[#This Row],[PEDIDO]]&amp;Tabela1[[#This Row],[PRODUTO]]</f>
        <v>05-CV-0001P-198ESTRUTURA</v>
      </c>
      <c r="AQ86" s="22" t="str">
        <f>Tabela1[[#This Row],[PRODUTO]]&amp;Tabela1[[#This Row],[TAG]]</f>
        <v>ESTRUTURA05-CV-0001</v>
      </c>
      <c r="AR86" s="24" t="str">
        <f>Tabela1[[#This Row],[PEDIDO]]&amp;Tabela1[[#This Row],[PRODUTO]]</f>
        <v>P-198ESTRUTURA</v>
      </c>
      <c r="AS86" s="37">
        <f>IF(AF86="",0,IF(ISTEXT(AF86),H86*VALUE(SUBSTITUTE(AF86,"%",""))/100,H86*AF86))-Tabela1[[#This Row],[PRONTO ACABADO2]]</f>
        <v>0</v>
      </c>
      <c r="AT86" s="37">
        <f>IF(AG86="",0,IF(ISTEXT(AG86),H86*VALUE(SUBSTITUTE(AG86,"%",""))/100,H86*AG86))-Tabela1[[#This Row],[PESO EXPEDIDO2]]</f>
        <v>0</v>
      </c>
      <c r="AU86" s="37">
        <f t="shared" si="12"/>
        <v>0</v>
      </c>
      <c r="AV86" s="37">
        <f t="shared" si="13"/>
        <v>0</v>
      </c>
      <c r="AW86" s="37"/>
    </row>
    <row r="87" spans="1:49" ht="15.75" customHeight="1" x14ac:dyDescent="0.25">
      <c r="A87" s="6" t="s">
        <v>3120</v>
      </c>
      <c r="B87" s="21" t="s">
        <v>3121</v>
      </c>
      <c r="C87" s="7">
        <v>4</v>
      </c>
      <c r="D87" s="39" t="s">
        <v>3122</v>
      </c>
      <c r="E87" s="7">
        <v>3784</v>
      </c>
      <c r="F87" s="7">
        <v>21</v>
      </c>
      <c r="G87" s="23">
        <v>7.4</v>
      </c>
      <c r="H87" s="34">
        <f>Tabela1[[#This Row],[PESO UNI]]*Tabela1[[#This Row],[QTE]]</f>
        <v>29.6</v>
      </c>
      <c r="I87" s="7" t="s">
        <v>4418</v>
      </c>
      <c r="J87" s="8" t="s">
        <v>3034</v>
      </c>
      <c r="K87" s="8" t="s">
        <v>31</v>
      </c>
      <c r="L87" s="9" t="s">
        <v>2984</v>
      </c>
      <c r="M87" s="10">
        <v>46185</v>
      </c>
      <c r="N87" s="8" t="s">
        <v>38</v>
      </c>
      <c r="O87" s="12"/>
      <c r="P87" s="13"/>
      <c r="Q87" s="14">
        <f>Tabela1[[#This Row],[QTDE/ Fabricação]]-Tabela1[[#This Row],[QTE]]</f>
        <v>-4</v>
      </c>
      <c r="R87" s="18">
        <f t="shared" si="19"/>
        <v>29.6</v>
      </c>
      <c r="S87" s="18">
        <f t="shared" si="20"/>
        <v>29.6</v>
      </c>
      <c r="T87" s="19">
        <f t="shared" si="21"/>
        <v>0</v>
      </c>
      <c r="U87" s="16">
        <f>IFERROR(SUMIF('LISTA DE EMBARQUE'!B:B,MICRO!E:E,'LISTA DE EMBARQUE'!G:G),"")</f>
        <v>0</v>
      </c>
      <c r="V87" s="12" t="str">
        <f>IFERROR(VLOOKUP(Tabela1[[#This Row],[COD.MDE]],'LISTA DE EMBARQUE'!B:L,11,0),"")</f>
        <v/>
      </c>
      <c r="W87" s="13" t="str">
        <f>IFERROR(COUNTIF(#REF!,Tabela1[[#This Row],[Colunas5]]),"")</f>
        <v/>
      </c>
      <c r="X87" s="14">
        <f>Tabela1[[#This Row],[QIANTIDADE EXPEDIDA]]*Tabela1[[#This Row],[PESO UNI]]</f>
        <v>0</v>
      </c>
      <c r="Y87" s="14">
        <f t="shared" si="22"/>
        <v>-4</v>
      </c>
      <c r="Z87" s="20">
        <f>Tabela1[[#This Row],[PESO TOTAL]]-Tabela1[[#This Row],[Peso Expedido]]</f>
        <v>29.6</v>
      </c>
      <c r="AA87" s="17">
        <v>1</v>
      </c>
      <c r="AB87" s="33"/>
      <c r="AC87" s="17">
        <v>1</v>
      </c>
      <c r="AD87" s="17">
        <v>1</v>
      </c>
      <c r="AE87" s="17">
        <v>1</v>
      </c>
      <c r="AF87" s="17">
        <v>1</v>
      </c>
      <c r="AG87" s="17">
        <v>1</v>
      </c>
      <c r="AH87" s="33"/>
      <c r="AI87" s="33" t="str">
        <f t="shared" si="10"/>
        <v/>
      </c>
      <c r="AJ87" s="5"/>
      <c r="AK87" t="str">
        <f>Tabela1[[#This Row],[Coluna1]]&amp;Tabela1[[#This Row],[PEDIDO]]</f>
        <v>P-198</v>
      </c>
      <c r="AL87"/>
      <c r="AM87"/>
      <c r="AN87"/>
      <c r="AO87" t="str">
        <f t="shared" si="18"/>
        <v>T-073199-1/05-CV-0001</v>
      </c>
      <c r="AP87" t="str">
        <f>Tabela1[[#This Row],[TAG]]&amp;Tabela1[[#This Row],[PEDIDO]]&amp;Tabela1[[#This Row],[PRODUTO]]</f>
        <v>05-CV-0001P-198ESTRUTURA</v>
      </c>
      <c r="AQ87" s="22" t="str">
        <f>Tabela1[[#This Row],[PRODUTO]]&amp;Tabela1[[#This Row],[TAG]]</f>
        <v>ESTRUTURA05-CV-0001</v>
      </c>
      <c r="AR87" s="24" t="str">
        <f>Tabela1[[#This Row],[PEDIDO]]&amp;Tabela1[[#This Row],[PRODUTO]]</f>
        <v>P-198ESTRUTURA</v>
      </c>
      <c r="AS87" s="37">
        <f>IF(AF87="",0,IF(ISTEXT(AF87),H87*VALUE(SUBSTITUTE(AF87,"%",""))/100,H87*AF87))-Tabela1[[#This Row],[PRONTO ACABADO2]]</f>
        <v>0</v>
      </c>
      <c r="AT87" s="37">
        <f>IF(AG87="",0,IF(ISTEXT(AG87),H87*VALUE(SUBSTITUTE(AG87,"%",""))/100,H87*AG87))-Tabela1[[#This Row],[PESO EXPEDIDO2]]</f>
        <v>29.6</v>
      </c>
      <c r="AU87" s="37">
        <f t="shared" si="12"/>
        <v>0</v>
      </c>
      <c r="AV87" s="37">
        <f t="shared" si="13"/>
        <v>29.6</v>
      </c>
      <c r="AW87" s="37"/>
    </row>
    <row r="88" spans="1:49" ht="15.75" customHeight="1" x14ac:dyDescent="0.25">
      <c r="A88" s="6" t="s">
        <v>3120</v>
      </c>
      <c r="B88" s="21" t="s">
        <v>3121</v>
      </c>
      <c r="C88" s="7">
        <v>1</v>
      </c>
      <c r="D88" s="39" t="s">
        <v>3123</v>
      </c>
      <c r="E88" s="7">
        <v>3785</v>
      </c>
      <c r="F88" s="7">
        <v>21</v>
      </c>
      <c r="G88" s="23">
        <v>252</v>
      </c>
      <c r="H88" s="34">
        <f>Tabela1[[#This Row],[PESO UNI]]*Tabela1[[#This Row],[QTE]]</f>
        <v>252</v>
      </c>
      <c r="I88" s="7" t="s">
        <v>4418</v>
      </c>
      <c r="J88" s="8" t="s">
        <v>3034</v>
      </c>
      <c r="K88" s="8" t="s">
        <v>31</v>
      </c>
      <c r="L88" s="9" t="s">
        <v>2984</v>
      </c>
      <c r="M88" s="10">
        <v>46185</v>
      </c>
      <c r="N88" s="8" t="s">
        <v>38</v>
      </c>
      <c r="O88" s="12"/>
      <c r="P88" s="13"/>
      <c r="Q88" s="14">
        <f>Tabela1[[#This Row],[QTDE/ Fabricação]]-Tabela1[[#This Row],[QTE]]</f>
        <v>-1</v>
      </c>
      <c r="R88" s="18">
        <f t="shared" si="19"/>
        <v>252</v>
      </c>
      <c r="S88" s="18">
        <f t="shared" si="20"/>
        <v>252</v>
      </c>
      <c r="T88" s="19">
        <f t="shared" si="21"/>
        <v>0</v>
      </c>
      <c r="U88" s="16">
        <f>IFERROR(SUMIF('LISTA DE EMBARQUE'!B:B,MICRO!E:E,'LISTA DE EMBARQUE'!G:G),"")</f>
        <v>0</v>
      </c>
      <c r="V88" s="12" t="str">
        <f>IFERROR(VLOOKUP(Tabela1[[#This Row],[COD.MDE]],'LISTA DE EMBARQUE'!B:L,11,0),"")</f>
        <v/>
      </c>
      <c r="W88" s="13" t="str">
        <f>IFERROR(COUNTIF(#REF!,Tabela1[[#This Row],[Colunas5]]),"")</f>
        <v/>
      </c>
      <c r="X88" s="14">
        <f>Tabela1[[#This Row],[QIANTIDADE EXPEDIDA]]*Tabela1[[#This Row],[PESO UNI]]</f>
        <v>0</v>
      </c>
      <c r="Y88" s="14">
        <f t="shared" si="22"/>
        <v>-1</v>
      </c>
      <c r="Z88" s="20">
        <f>Tabela1[[#This Row],[PESO TOTAL]]-Tabela1[[#This Row],[Peso Expedido]]</f>
        <v>252</v>
      </c>
      <c r="AA88" s="17">
        <v>1</v>
      </c>
      <c r="AB88" s="33"/>
      <c r="AC88" s="17">
        <v>1</v>
      </c>
      <c r="AD88" s="17">
        <v>1</v>
      </c>
      <c r="AE88" s="17">
        <v>1</v>
      </c>
      <c r="AF88" s="17">
        <v>1</v>
      </c>
      <c r="AG88" s="17">
        <v>1</v>
      </c>
      <c r="AH88" s="33"/>
      <c r="AI88" s="33" t="str">
        <f t="shared" si="10"/>
        <v/>
      </c>
      <c r="AJ88" s="5"/>
      <c r="AK88" t="str">
        <f>Tabela1[[#This Row],[Coluna1]]&amp;Tabela1[[#This Row],[PEDIDO]]</f>
        <v>P-198</v>
      </c>
      <c r="AL88"/>
      <c r="AM88"/>
      <c r="AN88"/>
      <c r="AO88" t="str">
        <f t="shared" si="18"/>
        <v>T-073199-1/05-CV-0001</v>
      </c>
      <c r="AP88" t="str">
        <f>Tabela1[[#This Row],[TAG]]&amp;Tabela1[[#This Row],[PEDIDO]]&amp;Tabela1[[#This Row],[PRODUTO]]</f>
        <v>05-CV-0001P-198ESTRUTURA</v>
      </c>
      <c r="AQ88" s="22" t="str">
        <f>Tabela1[[#This Row],[PRODUTO]]&amp;Tabela1[[#This Row],[TAG]]</f>
        <v>ESTRUTURA05-CV-0001</v>
      </c>
      <c r="AR88" s="24" t="str">
        <f>Tabela1[[#This Row],[PEDIDO]]&amp;Tabela1[[#This Row],[PRODUTO]]</f>
        <v>P-198ESTRUTURA</v>
      </c>
      <c r="AS88" s="37">
        <f>IF(AF88="",0,IF(ISTEXT(AF88),H88*VALUE(SUBSTITUTE(AF88,"%",""))/100,H88*AF88))-Tabela1[[#This Row],[PRONTO ACABADO2]]</f>
        <v>0</v>
      </c>
      <c r="AT88" s="37">
        <f>IF(AG88="",0,IF(ISTEXT(AG88),H88*VALUE(SUBSTITUTE(AG88,"%",""))/100,H88*AG88))-Tabela1[[#This Row],[PESO EXPEDIDO2]]</f>
        <v>252</v>
      </c>
      <c r="AU88" s="37">
        <f t="shared" si="12"/>
        <v>0</v>
      </c>
      <c r="AV88" s="37">
        <f t="shared" si="13"/>
        <v>252</v>
      </c>
      <c r="AW88" s="37"/>
    </row>
    <row r="89" spans="1:49" ht="15.75" customHeight="1" x14ac:dyDescent="0.25">
      <c r="A89" s="6" t="s">
        <v>3124</v>
      </c>
      <c r="B89" s="21" t="s">
        <v>3125</v>
      </c>
      <c r="C89" s="7">
        <v>2</v>
      </c>
      <c r="D89" s="39" t="s">
        <v>3126</v>
      </c>
      <c r="E89" s="7">
        <v>3786</v>
      </c>
      <c r="F89" s="7">
        <v>22</v>
      </c>
      <c r="G89" s="23">
        <v>77.3</v>
      </c>
      <c r="H89" s="34">
        <f>Tabela1[[#This Row],[PESO UNI]]*Tabela1[[#This Row],[QTE]]</f>
        <v>154.6</v>
      </c>
      <c r="I89" s="7" t="s">
        <v>4419</v>
      </c>
      <c r="J89" s="8" t="s">
        <v>3034</v>
      </c>
      <c r="K89" s="8" t="s">
        <v>31</v>
      </c>
      <c r="L89" s="9" t="s">
        <v>2984</v>
      </c>
      <c r="M89" s="10">
        <v>46185</v>
      </c>
      <c r="N89" s="8" t="s">
        <v>38</v>
      </c>
      <c r="O89" s="12"/>
      <c r="P89" s="13"/>
      <c r="Q89" s="14">
        <f>Tabela1[[#This Row],[QTDE/ Fabricação]]-Tabela1[[#This Row],[QTE]]</f>
        <v>-2</v>
      </c>
      <c r="R89" s="18">
        <f t="shared" si="19"/>
        <v>69.569999999999993</v>
      </c>
      <c r="S89" s="18">
        <f t="shared" si="20"/>
        <v>0</v>
      </c>
      <c r="T89" s="19">
        <f t="shared" si="21"/>
        <v>-154.6</v>
      </c>
      <c r="U89" s="16">
        <f>IFERROR(SUMIF('LISTA DE EMBARQUE'!B:B,MICRO!E:E,'LISTA DE EMBARQUE'!G:G),"")</f>
        <v>0</v>
      </c>
      <c r="V89" s="12" t="str">
        <f>IFERROR(VLOOKUP(Tabela1[[#This Row],[COD.MDE]],'LISTA DE EMBARQUE'!B:L,11,0),"")</f>
        <v/>
      </c>
      <c r="W89" s="13" t="str">
        <f>IFERROR(COUNTIF(#REF!,Tabela1[[#This Row],[Colunas5]]),"")</f>
        <v/>
      </c>
      <c r="X89" s="14">
        <f>Tabela1[[#This Row],[QIANTIDADE EXPEDIDA]]*Tabela1[[#This Row],[PESO UNI]]</f>
        <v>0</v>
      </c>
      <c r="Y89" s="14">
        <f t="shared" si="22"/>
        <v>-2</v>
      </c>
      <c r="Z89" s="20">
        <f>Tabela1[[#This Row],[PESO TOTAL]]-Tabela1[[#This Row],[Peso Expedido]]</f>
        <v>154.6</v>
      </c>
      <c r="AA89" s="17">
        <v>0.9</v>
      </c>
      <c r="AB89" s="33"/>
      <c r="AC89" s="33">
        <v>0.9</v>
      </c>
      <c r="AD89" s="33"/>
      <c r="AE89" s="33"/>
      <c r="AF89" s="33"/>
      <c r="AG89" s="33"/>
      <c r="AH89" s="33"/>
      <c r="AI89" s="33" t="str">
        <f t="shared" si="10"/>
        <v/>
      </c>
      <c r="AJ89" s="5"/>
      <c r="AK89" t="str">
        <f>Tabela1[[#This Row],[Coluna1]]&amp;Tabela1[[#This Row],[PEDIDO]]</f>
        <v>P-198</v>
      </c>
      <c r="AL89"/>
      <c r="AM89"/>
      <c r="AN89"/>
      <c r="AO89" t="str">
        <f t="shared" si="18"/>
        <v>T-073205-1/05-CV-0001</v>
      </c>
      <c r="AP89" t="str">
        <f>Tabela1[[#This Row],[TAG]]&amp;Tabela1[[#This Row],[PEDIDO]]&amp;Tabela1[[#This Row],[PRODUTO]]</f>
        <v>05-CV-0001P-198ESTRUTURA</v>
      </c>
      <c r="AQ89" s="22" t="str">
        <f>Tabela1[[#This Row],[PRODUTO]]&amp;Tabela1[[#This Row],[TAG]]</f>
        <v>ESTRUTURA05-CV-0001</v>
      </c>
      <c r="AR89" s="24" t="str">
        <f>Tabela1[[#This Row],[PEDIDO]]&amp;Tabela1[[#This Row],[PRODUTO]]</f>
        <v>P-198ESTRUTURA</v>
      </c>
      <c r="AS89" s="37">
        <f>IF(AF89="",0,IF(ISTEXT(AF89),H89*VALUE(SUBSTITUTE(AF89,"%",""))/100,H89*AF89))-Tabela1[[#This Row],[PRONTO ACABADO2]]</f>
        <v>0</v>
      </c>
      <c r="AT89" s="37">
        <f>IF(AG89="",0,IF(ISTEXT(AG89),H89*VALUE(SUBSTITUTE(AG89,"%",""))/100,H89*AG89))-Tabela1[[#This Row],[PESO EXPEDIDO2]]</f>
        <v>0</v>
      </c>
      <c r="AU89" s="37">
        <f t="shared" si="12"/>
        <v>0</v>
      </c>
      <c r="AV89" s="37">
        <f t="shared" si="13"/>
        <v>0</v>
      </c>
      <c r="AW89" s="37"/>
    </row>
    <row r="90" spans="1:49" ht="15.75" customHeight="1" x14ac:dyDescent="0.25">
      <c r="A90" s="6" t="s">
        <v>3127</v>
      </c>
      <c r="B90" s="21" t="s">
        <v>3128</v>
      </c>
      <c r="C90" s="7">
        <v>28</v>
      </c>
      <c r="D90" s="39" t="s">
        <v>3129</v>
      </c>
      <c r="E90" s="7">
        <v>3787</v>
      </c>
      <c r="F90" s="7">
        <v>25</v>
      </c>
      <c r="G90" s="23">
        <v>1.3</v>
      </c>
      <c r="H90" s="34">
        <f>Tabela1[[#This Row],[PESO UNI]]*Tabela1[[#This Row],[QTE]]</f>
        <v>36.4</v>
      </c>
      <c r="I90" s="7" t="s">
        <v>4417</v>
      </c>
      <c r="J90" s="8" t="s">
        <v>3034</v>
      </c>
      <c r="K90" s="8" t="s">
        <v>31</v>
      </c>
      <c r="L90" s="9" t="s">
        <v>2984</v>
      </c>
      <c r="M90" s="10">
        <v>46188</v>
      </c>
      <c r="N90" s="8" t="s">
        <v>38</v>
      </c>
      <c r="O90" s="12"/>
      <c r="P90" s="13"/>
      <c r="Q90" s="14">
        <f>Tabela1[[#This Row],[QTDE/ Fabricação]]-Tabela1[[#This Row],[QTE]]</f>
        <v>-28</v>
      </c>
      <c r="R90" s="18">
        <f t="shared" si="19"/>
        <v>36.4</v>
      </c>
      <c r="S90" s="18">
        <f t="shared" si="20"/>
        <v>36.4</v>
      </c>
      <c r="T90" s="19">
        <f t="shared" si="21"/>
        <v>0</v>
      </c>
      <c r="U90" s="16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>IFERROR(COUNTIF(#REF!,Tabela1[[#This Row],[Colunas5]]),"")</f>
        <v/>
      </c>
      <c r="X90" s="14">
        <f>Tabela1[[#This Row],[QIANTIDADE EXPEDIDA]]*Tabela1[[#This Row],[PESO UNI]]</f>
        <v>0</v>
      </c>
      <c r="Y90" s="14">
        <f t="shared" si="22"/>
        <v>-28</v>
      </c>
      <c r="Z90" s="20">
        <f>Tabela1[[#This Row],[PESO TOTAL]]-Tabela1[[#This Row],[Peso Expedido]]</f>
        <v>36.4</v>
      </c>
      <c r="AA90" s="17">
        <v>1</v>
      </c>
      <c r="AB90" s="33"/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/>
      <c r="AI90" s="33" t="str">
        <f t="shared" si="10"/>
        <v/>
      </c>
      <c r="AJ90" s="5"/>
      <c r="AK90" t="str">
        <f>Tabela1[[#This Row],[Coluna1]]&amp;Tabela1[[#This Row],[PEDIDO]]</f>
        <v>P-198</v>
      </c>
      <c r="AL90"/>
      <c r="AM90"/>
      <c r="AN90"/>
      <c r="AO90" t="str">
        <f t="shared" si="18"/>
        <v>T-073201-1/05-CV-0001</v>
      </c>
      <c r="AP90" t="str">
        <f>Tabela1[[#This Row],[TAG]]&amp;Tabela1[[#This Row],[PEDIDO]]&amp;Tabela1[[#This Row],[PRODUTO]]</f>
        <v>05-CV-0001P-198ESTRUTURA</v>
      </c>
      <c r="AQ90" s="22" t="str">
        <f>Tabela1[[#This Row],[PRODUTO]]&amp;Tabela1[[#This Row],[TAG]]</f>
        <v>ESTRUTURA05-CV-0001</v>
      </c>
      <c r="AR90" s="24" t="str">
        <f>Tabela1[[#This Row],[PEDIDO]]&amp;Tabela1[[#This Row],[PRODUTO]]</f>
        <v>P-198ESTRUTURA</v>
      </c>
      <c r="AS90" s="37">
        <f>IF(AF90="",0,IF(ISTEXT(AF90),H90*VALUE(SUBSTITUTE(AF90,"%",""))/100,H90*AF90))-Tabela1[[#This Row],[PRONTO ACABADO2]]</f>
        <v>0</v>
      </c>
      <c r="AT90" s="37">
        <f>IF(AG90="",0,IF(ISTEXT(AG90),H90*VALUE(SUBSTITUTE(AG90,"%",""))/100,H90*AG90))-Tabela1[[#This Row],[PESO EXPEDIDO2]]</f>
        <v>36.4</v>
      </c>
      <c r="AU90" s="37">
        <f t="shared" si="12"/>
        <v>0</v>
      </c>
      <c r="AV90" s="37">
        <f t="shared" si="13"/>
        <v>36.4</v>
      </c>
      <c r="AW90" s="37"/>
    </row>
    <row r="91" spans="1:49" ht="15.75" customHeight="1" x14ac:dyDescent="0.25">
      <c r="A91" s="6" t="s">
        <v>3127</v>
      </c>
      <c r="B91" s="21" t="s">
        <v>3128</v>
      </c>
      <c r="C91" s="7">
        <v>28</v>
      </c>
      <c r="D91" s="39" t="s">
        <v>3130</v>
      </c>
      <c r="E91" s="7">
        <v>3788</v>
      </c>
      <c r="F91" s="7">
        <v>25</v>
      </c>
      <c r="G91" s="23">
        <v>10.4</v>
      </c>
      <c r="H91" s="34">
        <f>Tabela1[[#This Row],[PESO UNI]]*Tabela1[[#This Row],[QTE]]</f>
        <v>291.2</v>
      </c>
      <c r="I91" s="7" t="s">
        <v>4417</v>
      </c>
      <c r="J91" s="8" t="s">
        <v>3034</v>
      </c>
      <c r="K91" s="8" t="s">
        <v>31</v>
      </c>
      <c r="L91" s="9" t="s">
        <v>2984</v>
      </c>
      <c r="M91" s="10">
        <v>46188</v>
      </c>
      <c r="N91" s="8" t="s">
        <v>38</v>
      </c>
      <c r="O91" s="12"/>
      <c r="P91" s="13"/>
      <c r="Q91" s="14">
        <f>Tabela1[[#This Row],[QTDE/ Fabricação]]-Tabela1[[#This Row],[QTE]]</f>
        <v>-28</v>
      </c>
      <c r="R91" s="18">
        <f t="shared" si="19"/>
        <v>291.2</v>
      </c>
      <c r="S91" s="18">
        <f t="shared" si="20"/>
        <v>291.2</v>
      </c>
      <c r="T91" s="19">
        <f t="shared" si="21"/>
        <v>0</v>
      </c>
      <c r="U91" s="16">
        <f>IFERROR(SUMIF('LISTA DE EMBARQUE'!B:B,MICRO!E:E,'LISTA DE EMBARQUE'!G:G),"")</f>
        <v>0</v>
      </c>
      <c r="V91" s="12" t="str">
        <f>IFERROR(VLOOKUP(Tabela1[[#This Row],[COD.MDE]],'LISTA DE EMBARQUE'!B:L,11,0),"")</f>
        <v/>
      </c>
      <c r="W91" s="13" t="str">
        <f>IFERROR(COUNTIF(#REF!,Tabela1[[#This Row],[Colunas5]]),"")</f>
        <v/>
      </c>
      <c r="X91" s="14">
        <f>Tabela1[[#This Row],[QIANTIDADE EXPEDIDA]]*Tabela1[[#This Row],[PESO UNI]]</f>
        <v>0</v>
      </c>
      <c r="Y91" s="14">
        <f t="shared" si="22"/>
        <v>-28</v>
      </c>
      <c r="Z91" s="20">
        <f>Tabela1[[#This Row],[PESO TOTAL]]-Tabela1[[#This Row],[Peso Expedido]]</f>
        <v>291.2</v>
      </c>
      <c r="AA91" s="17">
        <v>1</v>
      </c>
      <c r="AB91" s="33"/>
      <c r="AC91" s="17">
        <v>1</v>
      </c>
      <c r="AD91" s="17">
        <v>1</v>
      </c>
      <c r="AE91" s="17">
        <v>1</v>
      </c>
      <c r="AF91" s="17">
        <v>1</v>
      </c>
      <c r="AG91" s="17">
        <v>1</v>
      </c>
      <c r="AH91" s="17"/>
      <c r="AI91" s="33" t="str">
        <f t="shared" si="10"/>
        <v/>
      </c>
      <c r="AJ91" s="5"/>
      <c r="AK91" t="str">
        <f>Tabela1[[#This Row],[Coluna1]]&amp;Tabela1[[#This Row],[PEDIDO]]</f>
        <v>P-198</v>
      </c>
      <c r="AL91"/>
      <c r="AM91"/>
      <c r="AN91"/>
      <c r="AO91" t="str">
        <f t="shared" si="18"/>
        <v>T-073201-1/05-CV-0001</v>
      </c>
      <c r="AP91" t="str">
        <f>Tabela1[[#This Row],[TAG]]&amp;Tabela1[[#This Row],[PEDIDO]]&amp;Tabela1[[#This Row],[PRODUTO]]</f>
        <v>05-CV-0001P-198ESTRUTURA</v>
      </c>
      <c r="AQ91" s="22" t="str">
        <f>Tabela1[[#This Row],[PRODUTO]]&amp;Tabela1[[#This Row],[TAG]]</f>
        <v>ESTRUTURA05-CV-0001</v>
      </c>
      <c r="AR91" s="24" t="str">
        <f>Tabela1[[#This Row],[PEDIDO]]&amp;Tabela1[[#This Row],[PRODUTO]]</f>
        <v>P-198ESTRUTURA</v>
      </c>
      <c r="AS91" s="37">
        <f>IF(AF91="",0,IF(ISTEXT(AF91),H91*VALUE(SUBSTITUTE(AF91,"%",""))/100,H91*AF91))-Tabela1[[#This Row],[PRONTO ACABADO2]]</f>
        <v>0</v>
      </c>
      <c r="AT91" s="37">
        <f>IF(AG91="",0,IF(ISTEXT(AG91),H91*VALUE(SUBSTITUTE(AG91,"%",""))/100,H91*AG91))-Tabela1[[#This Row],[PESO EXPEDIDO2]]</f>
        <v>291.2</v>
      </c>
      <c r="AU91" s="37">
        <f t="shared" si="12"/>
        <v>0</v>
      </c>
      <c r="AV91" s="37">
        <f t="shared" si="13"/>
        <v>291.2</v>
      </c>
      <c r="AW91" s="37"/>
    </row>
    <row r="92" spans="1:49" ht="15.75" customHeight="1" x14ac:dyDescent="0.25">
      <c r="A92" s="6" t="s">
        <v>3127</v>
      </c>
      <c r="B92" s="21" t="s">
        <v>3128</v>
      </c>
      <c r="C92" s="7">
        <v>12</v>
      </c>
      <c r="D92" s="39" t="s">
        <v>3131</v>
      </c>
      <c r="E92" s="7">
        <v>3789</v>
      </c>
      <c r="F92" s="7">
        <v>25</v>
      </c>
      <c r="G92" s="23">
        <v>57.6</v>
      </c>
      <c r="H92" s="34">
        <f>Tabela1[[#This Row],[PESO UNI]]*Tabela1[[#This Row],[QTE]]</f>
        <v>691.2</v>
      </c>
      <c r="I92" s="7" t="s">
        <v>4417</v>
      </c>
      <c r="J92" s="8" t="s">
        <v>3034</v>
      </c>
      <c r="K92" s="8" t="s">
        <v>31</v>
      </c>
      <c r="L92" s="9" t="s">
        <v>2984</v>
      </c>
      <c r="M92" s="10">
        <v>46188</v>
      </c>
      <c r="N92" s="8" t="s">
        <v>38</v>
      </c>
      <c r="O92" s="12"/>
      <c r="P92" s="13"/>
      <c r="Q92" s="14">
        <f>Tabela1[[#This Row],[QTDE/ Fabricação]]-Tabela1[[#This Row],[QTE]]</f>
        <v>-12</v>
      </c>
      <c r="R92" s="18">
        <f t="shared" si="19"/>
        <v>345.6</v>
      </c>
      <c r="S92" s="18">
        <f t="shared" si="20"/>
        <v>0</v>
      </c>
      <c r="T92" s="19">
        <f t="shared" si="21"/>
        <v>-691.2</v>
      </c>
      <c r="U92" s="16">
        <f>IFERROR(SUMIF('LISTA DE EMBARQUE'!B:B,MICRO!E:E,'LISTA DE EMBARQUE'!G:G),"")</f>
        <v>0</v>
      </c>
      <c r="V92" s="12" t="str">
        <f>IFERROR(VLOOKUP(Tabela1[[#This Row],[COD.MDE]],'LISTA DE EMBARQUE'!B:L,11,0),"")</f>
        <v/>
      </c>
      <c r="W92" s="13" t="str">
        <f>IFERROR(COUNTIF(#REF!,Tabela1[[#This Row],[Colunas5]]),"")</f>
        <v/>
      </c>
      <c r="X92" s="14">
        <f>Tabela1[[#This Row],[QIANTIDADE EXPEDIDA]]*Tabela1[[#This Row],[PESO UNI]]</f>
        <v>0</v>
      </c>
      <c r="Y92" s="14">
        <f t="shared" si="22"/>
        <v>-12</v>
      </c>
      <c r="Z92" s="20">
        <f>Tabela1[[#This Row],[PESO TOTAL]]-Tabela1[[#This Row],[Peso Expedido]]</f>
        <v>691.2</v>
      </c>
      <c r="AA92" s="17">
        <v>1</v>
      </c>
      <c r="AB92" s="33"/>
      <c r="AC92" s="33">
        <v>1</v>
      </c>
      <c r="AD92" s="33"/>
      <c r="AE92" s="33"/>
      <c r="AF92" s="33"/>
      <c r="AG92" s="33"/>
      <c r="AH92" s="33"/>
      <c r="AI92" s="33" t="str">
        <f t="shared" ref="AI92:AI155" si="23">IF(Z92&lt;=0,"ok","")</f>
        <v/>
      </c>
      <c r="AJ92" s="5"/>
      <c r="AK92" t="str">
        <f>Tabela1[[#This Row],[Coluna1]]&amp;Tabela1[[#This Row],[PEDIDO]]</f>
        <v>P-198</v>
      </c>
      <c r="AL92"/>
      <c r="AM92"/>
      <c r="AN92"/>
      <c r="AO92" t="str">
        <f t="shared" si="18"/>
        <v>T-073201-1/05-CV-0001</v>
      </c>
      <c r="AP92" t="str">
        <f>Tabela1[[#This Row],[TAG]]&amp;Tabela1[[#This Row],[PEDIDO]]&amp;Tabela1[[#This Row],[PRODUTO]]</f>
        <v>05-CV-0001P-198ESTRUTURA</v>
      </c>
      <c r="AQ92" s="22" t="str">
        <f>Tabela1[[#This Row],[PRODUTO]]&amp;Tabela1[[#This Row],[TAG]]</f>
        <v>ESTRUTURA05-CV-0001</v>
      </c>
      <c r="AR92" s="24" t="str">
        <f>Tabela1[[#This Row],[PEDIDO]]&amp;Tabela1[[#This Row],[PRODUTO]]</f>
        <v>P-198ESTRUTURA</v>
      </c>
      <c r="AS92" s="37">
        <f>IF(AF92="",0,IF(ISTEXT(AF92),H92*VALUE(SUBSTITUTE(AF92,"%",""))/100,H92*AF92))-Tabela1[[#This Row],[PRONTO ACABADO2]]</f>
        <v>0</v>
      </c>
      <c r="AT92" s="37">
        <f>IF(AG92="",0,IF(ISTEXT(AG92),H92*VALUE(SUBSTITUTE(AG92,"%",""))/100,H92*AG92))-Tabela1[[#This Row],[PESO EXPEDIDO2]]</f>
        <v>0</v>
      </c>
      <c r="AU92" s="37">
        <f t="shared" si="12"/>
        <v>0</v>
      </c>
      <c r="AV92" s="37">
        <f t="shared" si="13"/>
        <v>0</v>
      </c>
      <c r="AW92" s="37"/>
    </row>
    <row r="93" spans="1:49" ht="15.75" customHeight="1" x14ac:dyDescent="0.25">
      <c r="A93" s="6" t="s">
        <v>3127</v>
      </c>
      <c r="B93" s="21" t="s">
        <v>3128</v>
      </c>
      <c r="C93" s="7">
        <v>2</v>
      </c>
      <c r="D93" s="39" t="s">
        <v>3132</v>
      </c>
      <c r="E93" s="7">
        <v>3790</v>
      </c>
      <c r="F93" s="7">
        <v>25</v>
      </c>
      <c r="G93" s="23">
        <v>57.6</v>
      </c>
      <c r="H93" s="34">
        <f>Tabela1[[#This Row],[PESO UNI]]*Tabela1[[#This Row],[QTE]]</f>
        <v>115.2</v>
      </c>
      <c r="I93" s="7" t="s">
        <v>4417</v>
      </c>
      <c r="J93" s="8" t="s">
        <v>3034</v>
      </c>
      <c r="K93" s="8" t="s">
        <v>31</v>
      </c>
      <c r="L93" s="9" t="s">
        <v>2984</v>
      </c>
      <c r="M93" s="10">
        <v>46188</v>
      </c>
      <c r="N93" s="8" t="s">
        <v>38</v>
      </c>
      <c r="O93" s="12"/>
      <c r="P93" s="13"/>
      <c r="Q93" s="14">
        <f>Tabela1[[#This Row],[QTDE/ Fabricação]]-Tabela1[[#This Row],[QTE]]</f>
        <v>-2</v>
      </c>
      <c r="R93" s="18">
        <f t="shared" si="19"/>
        <v>57.6</v>
      </c>
      <c r="S93" s="18">
        <f t="shared" si="20"/>
        <v>0</v>
      </c>
      <c r="T93" s="19">
        <f t="shared" si="21"/>
        <v>-115.2</v>
      </c>
      <c r="U93" s="16">
        <f>IFERROR(SUMIF('LISTA DE EMBARQUE'!B:B,MICRO!E:E,'LISTA DE EMBARQUE'!G:G),"")</f>
        <v>0</v>
      </c>
      <c r="V93" s="12" t="str">
        <f>IFERROR(VLOOKUP(Tabela1[[#This Row],[COD.MDE]],'LISTA DE EMBARQUE'!B:L,11,0),"")</f>
        <v/>
      </c>
      <c r="W93" s="13" t="str">
        <f>IFERROR(COUNTIF(#REF!,Tabela1[[#This Row],[Colunas5]]),"")</f>
        <v/>
      </c>
      <c r="X93" s="14">
        <f>Tabela1[[#This Row],[QIANTIDADE EXPEDIDA]]*Tabela1[[#This Row],[PESO UNI]]</f>
        <v>0</v>
      </c>
      <c r="Y93" s="14">
        <f t="shared" si="22"/>
        <v>-2</v>
      </c>
      <c r="Z93" s="20">
        <f>Tabela1[[#This Row],[PESO TOTAL]]-Tabela1[[#This Row],[Peso Expedido]]</f>
        <v>115.2</v>
      </c>
      <c r="AA93" s="17">
        <v>1</v>
      </c>
      <c r="AB93" s="33"/>
      <c r="AC93" s="33">
        <v>1</v>
      </c>
      <c r="AD93" s="33"/>
      <c r="AE93" s="33"/>
      <c r="AF93" s="33"/>
      <c r="AG93" s="33"/>
      <c r="AH93" s="33"/>
      <c r="AI93" s="33" t="str">
        <f t="shared" si="23"/>
        <v/>
      </c>
      <c r="AJ93" s="5"/>
      <c r="AK93" t="str">
        <f>Tabela1[[#This Row],[Coluna1]]&amp;Tabela1[[#This Row],[PEDIDO]]</f>
        <v>P-198</v>
      </c>
      <c r="AL93"/>
      <c r="AM93"/>
      <c r="AN93"/>
      <c r="AO93" t="str">
        <f t="shared" si="18"/>
        <v>T-073201-1/05-CV-0001</v>
      </c>
      <c r="AP93" t="str">
        <f>Tabela1[[#This Row],[TAG]]&amp;Tabela1[[#This Row],[PEDIDO]]&amp;Tabela1[[#This Row],[PRODUTO]]</f>
        <v>05-CV-0001P-198ESTRUTURA</v>
      </c>
      <c r="AQ93" s="22" t="str">
        <f>Tabela1[[#This Row],[PRODUTO]]&amp;Tabela1[[#This Row],[TAG]]</f>
        <v>ESTRUTURA05-CV-0001</v>
      </c>
      <c r="AR93" s="24" t="str">
        <f>Tabela1[[#This Row],[PEDIDO]]&amp;Tabela1[[#This Row],[PRODUTO]]</f>
        <v>P-198ESTRUTURA</v>
      </c>
      <c r="AS93" s="37">
        <f>IF(AF93="",0,IF(ISTEXT(AF93),H93*VALUE(SUBSTITUTE(AF93,"%",""))/100,H93*AF93))-Tabela1[[#This Row],[PRONTO ACABADO2]]</f>
        <v>0</v>
      </c>
      <c r="AT93" s="37">
        <f>IF(AG93="",0,IF(ISTEXT(AG93),H93*VALUE(SUBSTITUTE(AG93,"%",""))/100,H93*AG93))-Tabela1[[#This Row],[PESO EXPEDIDO2]]</f>
        <v>0</v>
      </c>
      <c r="AU93" s="37">
        <f t="shared" si="12"/>
        <v>0</v>
      </c>
      <c r="AV93" s="37">
        <f t="shared" si="13"/>
        <v>0</v>
      </c>
      <c r="AW93" s="37"/>
    </row>
    <row r="94" spans="1:49" ht="15.75" customHeight="1" x14ac:dyDescent="0.25">
      <c r="A94" s="6" t="s">
        <v>3127</v>
      </c>
      <c r="B94" s="21" t="s">
        <v>3128</v>
      </c>
      <c r="C94" s="7">
        <v>28</v>
      </c>
      <c r="D94" s="39" t="s">
        <v>3133</v>
      </c>
      <c r="E94" s="7">
        <v>3791</v>
      </c>
      <c r="F94" s="7">
        <v>25</v>
      </c>
      <c r="G94" s="23">
        <v>4.8</v>
      </c>
      <c r="H94" s="34">
        <f>Tabela1[[#This Row],[PESO UNI]]*Tabela1[[#This Row],[QTE]]</f>
        <v>134.4</v>
      </c>
      <c r="I94" s="7" t="s">
        <v>4417</v>
      </c>
      <c r="J94" s="8" t="s">
        <v>3034</v>
      </c>
      <c r="K94" s="8" t="s">
        <v>45</v>
      </c>
      <c r="L94" s="9" t="s">
        <v>2984</v>
      </c>
      <c r="M94" s="10">
        <v>46188</v>
      </c>
      <c r="N94" s="8" t="s">
        <v>38</v>
      </c>
      <c r="O94" s="12"/>
      <c r="P94" s="13"/>
      <c r="Q94" s="14">
        <f>Tabela1[[#This Row],[QTDE/ Fabricação]]-Tabela1[[#This Row],[QTE]]</f>
        <v>-28</v>
      </c>
      <c r="R94" s="18">
        <f t="shared" si="19"/>
        <v>134.4</v>
      </c>
      <c r="S94" s="18">
        <f t="shared" si="20"/>
        <v>134.4</v>
      </c>
      <c r="T94" s="19">
        <f t="shared" si="21"/>
        <v>0</v>
      </c>
      <c r="U94" s="16">
        <f>IFERROR(SUMIF('LISTA DE EMBARQUE'!B:B,MICRO!E:E,'LISTA DE EMBARQUE'!G:G),"")</f>
        <v>0</v>
      </c>
      <c r="V94" s="12" t="str">
        <f>IFERROR(VLOOKUP(Tabela1[[#This Row],[COD.MDE]],'LISTA DE EMBARQUE'!B:L,11,0),"")</f>
        <v/>
      </c>
      <c r="W94" s="13" t="str">
        <f>IFERROR(COUNTIF(#REF!,Tabela1[[#This Row],[Colunas5]]),"")</f>
        <v/>
      </c>
      <c r="X94" s="14">
        <f>Tabela1[[#This Row],[QIANTIDADE EXPEDIDA]]*Tabela1[[#This Row],[PESO UNI]]</f>
        <v>0</v>
      </c>
      <c r="Y94" s="14">
        <f t="shared" si="22"/>
        <v>-28</v>
      </c>
      <c r="Z94" s="20">
        <f>Tabela1[[#This Row],[PESO TOTAL]]-Tabela1[[#This Row],[Peso Expedido]]</f>
        <v>134.4</v>
      </c>
      <c r="AA94" s="17">
        <v>1</v>
      </c>
      <c r="AB94" s="33"/>
      <c r="AC94" s="17">
        <v>1</v>
      </c>
      <c r="AD94" s="17">
        <v>1</v>
      </c>
      <c r="AE94" s="17">
        <v>1</v>
      </c>
      <c r="AF94" s="17">
        <v>1</v>
      </c>
      <c r="AG94" s="17">
        <v>1</v>
      </c>
      <c r="AH94" s="17"/>
      <c r="AI94" s="33" t="str">
        <f t="shared" si="23"/>
        <v/>
      </c>
      <c r="AJ94" s="5"/>
      <c r="AK94" t="str">
        <f>Tabela1[[#This Row],[Coluna1]]&amp;Tabela1[[#This Row],[PEDIDO]]</f>
        <v>P-198</v>
      </c>
      <c r="AL94"/>
      <c r="AM94"/>
      <c r="AN94"/>
      <c r="AO94" t="str">
        <f t="shared" si="18"/>
        <v>T-073201-1/05-CV-0001</v>
      </c>
      <c r="AP94" t="str">
        <f>Tabela1[[#This Row],[TAG]]&amp;Tabela1[[#This Row],[PEDIDO]]&amp;Tabela1[[#This Row],[PRODUTO]]</f>
        <v>05-CV-0001P-198COMERCIAL</v>
      </c>
      <c r="AQ94" s="22" t="str">
        <f>Tabela1[[#This Row],[PRODUTO]]&amp;Tabela1[[#This Row],[TAG]]</f>
        <v>COMERCIAL05-CV-0001</v>
      </c>
      <c r="AR94" s="24" t="str">
        <f>Tabela1[[#This Row],[PEDIDO]]&amp;Tabela1[[#This Row],[PRODUTO]]</f>
        <v>P-198COMERCIAL</v>
      </c>
      <c r="AS94" s="37">
        <f>IF(AF94="",0,IF(ISTEXT(AF94),H94*VALUE(SUBSTITUTE(AF94,"%",""))/100,H94*AF94))-Tabela1[[#This Row],[PRONTO ACABADO2]]</f>
        <v>0</v>
      </c>
      <c r="AT94" s="37">
        <f>IF(AG94="",0,IF(ISTEXT(AG94),H94*VALUE(SUBSTITUTE(AG94,"%",""))/100,H94*AG94))-Tabela1[[#This Row],[PESO EXPEDIDO2]]</f>
        <v>134.4</v>
      </c>
      <c r="AU94" s="37">
        <f t="shared" si="12"/>
        <v>0</v>
      </c>
      <c r="AV94" s="37">
        <f t="shared" si="13"/>
        <v>134.4</v>
      </c>
      <c r="AW94" s="37"/>
    </row>
    <row r="95" spans="1:49" ht="15.75" customHeight="1" x14ac:dyDescent="0.25">
      <c r="A95" s="6" t="s">
        <v>3127</v>
      </c>
      <c r="B95" s="21" t="s">
        <v>3128</v>
      </c>
      <c r="C95" s="7">
        <v>14</v>
      </c>
      <c r="D95" s="39" t="s">
        <v>3134</v>
      </c>
      <c r="E95" s="7">
        <v>3792</v>
      </c>
      <c r="F95" s="7">
        <v>25</v>
      </c>
      <c r="G95" s="23">
        <v>6.7</v>
      </c>
      <c r="H95" s="34">
        <f>Tabela1[[#This Row],[PESO UNI]]*Tabela1[[#This Row],[QTE]]</f>
        <v>93.8</v>
      </c>
      <c r="I95" s="7" t="s">
        <v>4417</v>
      </c>
      <c r="J95" s="8" t="s">
        <v>3034</v>
      </c>
      <c r="K95" s="8" t="s">
        <v>31</v>
      </c>
      <c r="L95" s="9" t="s">
        <v>2984</v>
      </c>
      <c r="M95" s="10">
        <v>46188</v>
      </c>
      <c r="N95" s="8" t="s">
        <v>38</v>
      </c>
      <c r="O95" s="12"/>
      <c r="P95" s="13"/>
      <c r="Q95" s="14">
        <f>Tabela1[[#This Row],[QTDE/ Fabricação]]-Tabela1[[#This Row],[QTE]]</f>
        <v>-14</v>
      </c>
      <c r="R95" s="18">
        <f t="shared" si="19"/>
        <v>42.21</v>
      </c>
      <c r="S95" s="18">
        <f t="shared" si="20"/>
        <v>0</v>
      </c>
      <c r="T95" s="19">
        <f t="shared" si="21"/>
        <v>-93.8</v>
      </c>
      <c r="U95" s="16">
        <f>IFERROR(SUMIF('LISTA DE EMBARQUE'!B:B,MICRO!E:E,'LISTA DE EMBARQUE'!G:G),"")</f>
        <v>0</v>
      </c>
      <c r="V95" s="12" t="str">
        <f>IFERROR(VLOOKUP(Tabela1[[#This Row],[COD.MDE]],'LISTA DE EMBARQUE'!B:L,11,0),"")</f>
        <v/>
      </c>
      <c r="W95" s="13" t="str">
        <f>IFERROR(COUNTIF(#REF!,Tabela1[[#This Row],[Colunas5]]),"")</f>
        <v/>
      </c>
      <c r="X95" s="14">
        <f>Tabela1[[#This Row],[QIANTIDADE EXPEDIDA]]*Tabela1[[#This Row],[PESO UNI]]</f>
        <v>0</v>
      </c>
      <c r="Y95" s="14">
        <f t="shared" si="22"/>
        <v>-14</v>
      </c>
      <c r="Z95" s="20">
        <f>Tabela1[[#This Row],[PESO TOTAL]]-Tabela1[[#This Row],[Peso Expedido]]</f>
        <v>93.8</v>
      </c>
      <c r="AA95" s="17">
        <v>0.9</v>
      </c>
      <c r="AB95" s="33"/>
      <c r="AC95" s="33">
        <v>0.9</v>
      </c>
      <c r="AD95" s="33"/>
      <c r="AE95" s="33"/>
      <c r="AF95" s="33"/>
      <c r="AG95" s="33"/>
      <c r="AH95" s="33"/>
      <c r="AI95" s="33" t="str">
        <f t="shared" si="23"/>
        <v/>
      </c>
      <c r="AJ95" s="5"/>
      <c r="AK95" t="str">
        <f>Tabela1[[#This Row],[Coluna1]]&amp;Tabela1[[#This Row],[PEDIDO]]</f>
        <v>P-198</v>
      </c>
      <c r="AL95"/>
      <c r="AM95"/>
      <c r="AN95"/>
      <c r="AO95" t="str">
        <f t="shared" si="18"/>
        <v>T-073201-1/05-CV-0001</v>
      </c>
      <c r="AP95" t="str">
        <f>Tabela1[[#This Row],[TAG]]&amp;Tabela1[[#This Row],[PEDIDO]]&amp;Tabela1[[#This Row],[PRODUTO]]</f>
        <v>05-CV-0001P-198ESTRUTURA</v>
      </c>
      <c r="AQ95" s="22" t="str">
        <f>Tabela1[[#This Row],[PRODUTO]]&amp;Tabela1[[#This Row],[TAG]]</f>
        <v>ESTRUTURA05-CV-0001</v>
      </c>
      <c r="AR95" s="24" t="str">
        <f>Tabela1[[#This Row],[PEDIDO]]&amp;Tabela1[[#This Row],[PRODUTO]]</f>
        <v>P-198ESTRUTURA</v>
      </c>
      <c r="AS95" s="37">
        <f>IF(AF95="",0,IF(ISTEXT(AF95),H95*VALUE(SUBSTITUTE(AF95,"%",""))/100,H95*AF95))-Tabela1[[#This Row],[PRONTO ACABADO2]]</f>
        <v>0</v>
      </c>
      <c r="AT95" s="37">
        <f>IF(AG95="",0,IF(ISTEXT(AG95),H95*VALUE(SUBSTITUTE(AG95,"%",""))/100,H95*AG95))-Tabela1[[#This Row],[PESO EXPEDIDO2]]</f>
        <v>0</v>
      </c>
      <c r="AU95" s="37">
        <f t="shared" si="12"/>
        <v>0</v>
      </c>
      <c r="AV95" s="37">
        <f t="shared" si="13"/>
        <v>0</v>
      </c>
      <c r="AW95" s="37"/>
    </row>
    <row r="96" spans="1:49" ht="15.75" customHeight="1" x14ac:dyDescent="0.25">
      <c r="A96" s="6" t="s">
        <v>3127</v>
      </c>
      <c r="B96" s="21" t="s">
        <v>3128</v>
      </c>
      <c r="C96" s="7">
        <v>84</v>
      </c>
      <c r="D96" s="39" t="s">
        <v>3135</v>
      </c>
      <c r="E96" s="7">
        <v>3793</v>
      </c>
      <c r="F96" s="7">
        <v>25</v>
      </c>
      <c r="G96" s="23">
        <v>0.9</v>
      </c>
      <c r="H96" s="34">
        <f>Tabela1[[#This Row],[PESO UNI]]*Tabela1[[#This Row],[QTE]]</f>
        <v>75.600000000000009</v>
      </c>
      <c r="I96" s="7" t="s">
        <v>4417</v>
      </c>
      <c r="J96" s="8" t="s">
        <v>3034</v>
      </c>
      <c r="K96" s="8" t="s">
        <v>31</v>
      </c>
      <c r="L96" s="9" t="s">
        <v>2984</v>
      </c>
      <c r="M96" s="10">
        <v>46188</v>
      </c>
      <c r="N96" s="8" t="s">
        <v>38</v>
      </c>
      <c r="O96" s="12"/>
      <c r="P96" s="13"/>
      <c r="Q96" s="14">
        <f>Tabela1[[#This Row],[QTDE/ Fabricação]]-Tabela1[[#This Row],[QTE]]</f>
        <v>-84</v>
      </c>
      <c r="R96" s="18">
        <f t="shared" si="19"/>
        <v>34.020000000000003</v>
      </c>
      <c r="S96" s="18">
        <f t="shared" si="20"/>
        <v>0</v>
      </c>
      <c r="T96" s="19">
        <f t="shared" si="21"/>
        <v>-75.600000000000009</v>
      </c>
      <c r="U96" s="16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>IFERROR(COUNTIF(#REF!,Tabela1[[#This Row],[Colunas5]]),"")</f>
        <v/>
      </c>
      <c r="X96" s="14">
        <f>Tabela1[[#This Row],[QIANTIDADE EXPEDIDA]]*Tabela1[[#This Row],[PESO UNI]]</f>
        <v>0</v>
      </c>
      <c r="Y96" s="14">
        <f t="shared" si="22"/>
        <v>-84</v>
      </c>
      <c r="Z96" s="20">
        <f>Tabela1[[#This Row],[PESO TOTAL]]-Tabela1[[#This Row],[Peso Expedido]]</f>
        <v>75.600000000000009</v>
      </c>
      <c r="AA96" s="17">
        <v>0.9</v>
      </c>
      <c r="AB96" s="33"/>
      <c r="AC96" s="33">
        <v>0.9</v>
      </c>
      <c r="AD96" s="33"/>
      <c r="AE96" s="33"/>
      <c r="AF96" s="33"/>
      <c r="AG96" s="33"/>
      <c r="AH96" s="33"/>
      <c r="AI96" s="33" t="str">
        <f t="shared" si="23"/>
        <v/>
      </c>
      <c r="AJ96" s="5"/>
      <c r="AK96" t="str">
        <f>Tabela1[[#This Row],[Coluna1]]&amp;Tabela1[[#This Row],[PEDIDO]]</f>
        <v>P-198</v>
      </c>
      <c r="AL96"/>
      <c r="AM96"/>
      <c r="AN96"/>
      <c r="AO96" t="str">
        <f t="shared" si="18"/>
        <v>T-073201-1/05-CV-0001</v>
      </c>
      <c r="AP96" t="str">
        <f>Tabela1[[#This Row],[TAG]]&amp;Tabela1[[#This Row],[PEDIDO]]&amp;Tabela1[[#This Row],[PRODUTO]]</f>
        <v>05-CV-0001P-198ESTRUTURA</v>
      </c>
      <c r="AQ96" s="22" t="str">
        <f>Tabela1[[#This Row],[PRODUTO]]&amp;Tabela1[[#This Row],[TAG]]</f>
        <v>ESTRUTURA05-CV-0001</v>
      </c>
      <c r="AR96" s="24" t="str">
        <f>Tabela1[[#This Row],[PEDIDO]]&amp;Tabela1[[#This Row],[PRODUTO]]</f>
        <v>P-198ESTRUTURA</v>
      </c>
      <c r="AS96" s="37">
        <f>IF(AF96="",0,IF(ISTEXT(AF96),H96*VALUE(SUBSTITUTE(AF96,"%",""))/100,H96*AF96))-Tabela1[[#This Row],[PRONTO ACABADO2]]</f>
        <v>0</v>
      </c>
      <c r="AT96" s="37">
        <f>IF(AG96="",0,IF(ISTEXT(AG96),H96*VALUE(SUBSTITUTE(AG96,"%",""))/100,H96*AG96))-Tabela1[[#This Row],[PESO EXPEDIDO2]]</f>
        <v>0</v>
      </c>
      <c r="AU96" s="37">
        <f t="shared" si="12"/>
        <v>0</v>
      </c>
      <c r="AV96" s="37">
        <f t="shared" si="13"/>
        <v>0</v>
      </c>
      <c r="AW96" s="37"/>
    </row>
    <row r="97" spans="1:49" ht="15.75" customHeight="1" x14ac:dyDescent="0.25">
      <c r="A97" s="6" t="s">
        <v>3127</v>
      </c>
      <c r="B97" s="21" t="s">
        <v>3128</v>
      </c>
      <c r="C97" s="7">
        <v>1</v>
      </c>
      <c r="D97" s="39" t="s">
        <v>3136</v>
      </c>
      <c r="E97" s="7">
        <v>3794</v>
      </c>
      <c r="F97" s="7">
        <v>25</v>
      </c>
      <c r="G97" s="23">
        <v>26.3</v>
      </c>
      <c r="H97" s="34">
        <f>Tabela1[[#This Row],[PESO UNI]]*Tabela1[[#This Row],[QTE]]</f>
        <v>26.3</v>
      </c>
      <c r="I97" s="7" t="s">
        <v>4417</v>
      </c>
      <c r="J97" s="8" t="s">
        <v>3034</v>
      </c>
      <c r="K97" s="8" t="s">
        <v>31</v>
      </c>
      <c r="L97" s="9" t="s">
        <v>2984</v>
      </c>
      <c r="M97" s="10">
        <v>46188</v>
      </c>
      <c r="N97" s="8" t="s">
        <v>38</v>
      </c>
      <c r="O97" s="12"/>
      <c r="P97" s="13"/>
      <c r="Q97" s="14">
        <f>Tabela1[[#This Row],[QTDE/ Fabricação]]-Tabela1[[#This Row],[QTE]]</f>
        <v>-1</v>
      </c>
      <c r="R97" s="18">
        <f t="shared" si="19"/>
        <v>26.3</v>
      </c>
      <c r="S97" s="18">
        <f t="shared" si="20"/>
        <v>26.3</v>
      </c>
      <c r="T97" s="19">
        <f t="shared" si="21"/>
        <v>0</v>
      </c>
      <c r="U97" s="16">
        <f>IFERROR(SUMIF('LISTA DE EMBARQUE'!B:B,MICRO!E:E,'LISTA DE EMBARQUE'!G:G),"")</f>
        <v>0</v>
      </c>
      <c r="V97" s="12" t="str">
        <f>IFERROR(VLOOKUP(Tabela1[[#This Row],[COD.MDE]],'LISTA DE EMBARQUE'!B:L,11,0),"")</f>
        <v/>
      </c>
      <c r="W97" s="13" t="str">
        <f>IFERROR(COUNTIF(#REF!,Tabela1[[#This Row],[Colunas5]]),"")</f>
        <v/>
      </c>
      <c r="X97" s="14">
        <f>Tabela1[[#This Row],[QIANTIDADE EXPEDIDA]]*Tabela1[[#This Row],[PESO UNI]]</f>
        <v>0</v>
      </c>
      <c r="Y97" s="14">
        <f t="shared" si="22"/>
        <v>-1</v>
      </c>
      <c r="Z97" s="20">
        <f>Tabela1[[#This Row],[PESO TOTAL]]-Tabela1[[#This Row],[Peso Expedido]]</f>
        <v>26.3</v>
      </c>
      <c r="AA97" s="17">
        <v>1</v>
      </c>
      <c r="AB97" s="33"/>
      <c r="AC97" s="17">
        <v>1</v>
      </c>
      <c r="AD97" s="17">
        <v>1</v>
      </c>
      <c r="AE97" s="17">
        <v>1</v>
      </c>
      <c r="AF97" s="17">
        <v>1</v>
      </c>
      <c r="AG97" s="17">
        <v>1</v>
      </c>
      <c r="AH97" s="17"/>
      <c r="AI97" s="33" t="str">
        <f t="shared" si="23"/>
        <v/>
      </c>
      <c r="AJ97" s="5"/>
      <c r="AK97" t="str">
        <f>Tabela1[[#This Row],[Coluna1]]&amp;Tabela1[[#This Row],[PEDIDO]]</f>
        <v>P-198</v>
      </c>
      <c r="AL97"/>
      <c r="AM97"/>
      <c r="AN97"/>
      <c r="AO97" t="str">
        <f t="shared" si="18"/>
        <v>T-073201-1/05-CV-0001</v>
      </c>
      <c r="AP97" t="str">
        <f>Tabela1[[#This Row],[TAG]]&amp;Tabela1[[#This Row],[PEDIDO]]&amp;Tabela1[[#This Row],[PRODUTO]]</f>
        <v>05-CV-0001P-198ESTRUTURA</v>
      </c>
      <c r="AQ97" s="22" t="str">
        <f>Tabela1[[#This Row],[PRODUTO]]&amp;Tabela1[[#This Row],[TAG]]</f>
        <v>ESTRUTURA05-CV-0001</v>
      </c>
      <c r="AR97" s="24" t="str">
        <f>Tabela1[[#This Row],[PEDIDO]]&amp;Tabela1[[#This Row],[PRODUTO]]</f>
        <v>P-198ESTRUTURA</v>
      </c>
      <c r="AS97" s="37">
        <f>IF(AF97="",0,IF(ISTEXT(AF97),H97*VALUE(SUBSTITUTE(AF97,"%",""))/100,H97*AF97))-Tabela1[[#This Row],[PRONTO ACABADO2]]</f>
        <v>0</v>
      </c>
      <c r="AT97" s="37">
        <f>IF(AG97="",0,IF(ISTEXT(AG97),H97*VALUE(SUBSTITUTE(AG97,"%",""))/100,H97*AG97))-Tabela1[[#This Row],[PESO EXPEDIDO2]]</f>
        <v>26.3</v>
      </c>
      <c r="AU97" s="37">
        <f t="shared" si="12"/>
        <v>0</v>
      </c>
      <c r="AV97" s="37">
        <f t="shared" si="13"/>
        <v>26.3</v>
      </c>
      <c r="AW97" s="37"/>
    </row>
    <row r="98" spans="1:49" ht="15.75" customHeight="1" x14ac:dyDescent="0.25">
      <c r="A98" s="6" t="s">
        <v>3127</v>
      </c>
      <c r="B98" s="21" t="s">
        <v>3128</v>
      </c>
      <c r="C98" s="7">
        <v>1</v>
      </c>
      <c r="D98" s="39" t="s">
        <v>3137</v>
      </c>
      <c r="E98" s="7">
        <v>3795</v>
      </c>
      <c r="F98" s="7">
        <v>25</v>
      </c>
      <c r="G98" s="23">
        <v>2.4</v>
      </c>
      <c r="H98" s="34">
        <f>Tabela1[[#This Row],[PESO UNI]]*Tabela1[[#This Row],[QTE]]</f>
        <v>2.4</v>
      </c>
      <c r="I98" s="7" t="s">
        <v>4417</v>
      </c>
      <c r="J98" s="8" t="s">
        <v>3034</v>
      </c>
      <c r="K98" s="8" t="s">
        <v>45</v>
      </c>
      <c r="L98" s="9" t="s">
        <v>2984</v>
      </c>
      <c r="M98" s="10">
        <v>46188</v>
      </c>
      <c r="N98" s="8" t="s">
        <v>38</v>
      </c>
      <c r="O98" s="12"/>
      <c r="P98" s="13"/>
      <c r="Q98" s="14">
        <f>Tabela1[[#This Row],[QTDE/ Fabricação]]-Tabela1[[#This Row],[QTE]]</f>
        <v>-1</v>
      </c>
      <c r="R98" s="18">
        <f t="shared" si="19"/>
        <v>2.4</v>
      </c>
      <c r="S98" s="18">
        <f t="shared" si="20"/>
        <v>2.4</v>
      </c>
      <c r="T98" s="19">
        <f t="shared" si="21"/>
        <v>0</v>
      </c>
      <c r="U98" s="16">
        <f>IFERROR(SUMIF('LISTA DE EMBARQUE'!B:B,MICRO!E:E,'LISTA DE EMBARQUE'!G:G),"")</f>
        <v>0</v>
      </c>
      <c r="V98" s="12" t="str">
        <f>IFERROR(VLOOKUP(Tabela1[[#This Row],[COD.MDE]],'LISTA DE EMBARQUE'!B:L,11,0),"")</f>
        <v/>
      </c>
      <c r="W98" s="13" t="str">
        <f>IFERROR(COUNTIF(#REF!,Tabela1[[#This Row],[Colunas5]]),"")</f>
        <v/>
      </c>
      <c r="X98" s="14">
        <f>Tabela1[[#This Row],[QIANTIDADE EXPEDIDA]]*Tabela1[[#This Row],[PESO UNI]]</f>
        <v>0</v>
      </c>
      <c r="Y98" s="14">
        <f t="shared" si="22"/>
        <v>-1</v>
      </c>
      <c r="Z98" s="20">
        <f>Tabela1[[#This Row],[PESO TOTAL]]-Tabela1[[#This Row],[Peso Expedido]]</f>
        <v>2.4</v>
      </c>
      <c r="AA98" s="17">
        <v>1</v>
      </c>
      <c r="AB98" s="33"/>
      <c r="AC98" s="17">
        <v>1</v>
      </c>
      <c r="AD98" s="17">
        <v>1</v>
      </c>
      <c r="AE98" s="17">
        <v>1</v>
      </c>
      <c r="AF98" s="17">
        <v>1</v>
      </c>
      <c r="AG98" s="17">
        <v>1</v>
      </c>
      <c r="AH98" s="17"/>
      <c r="AI98" s="33" t="str">
        <f t="shared" si="23"/>
        <v/>
      </c>
      <c r="AJ98" s="5"/>
      <c r="AK98" t="str">
        <f>Tabela1[[#This Row],[Coluna1]]&amp;Tabela1[[#This Row],[PEDIDO]]</f>
        <v>P-198</v>
      </c>
      <c r="AL98"/>
      <c r="AM98"/>
      <c r="AN98"/>
      <c r="AO98" t="str">
        <f t="shared" si="18"/>
        <v>T-073201-1/05-CV-0001</v>
      </c>
      <c r="AP98" t="str">
        <f>Tabela1[[#This Row],[TAG]]&amp;Tabela1[[#This Row],[PEDIDO]]&amp;Tabela1[[#This Row],[PRODUTO]]</f>
        <v>05-CV-0001P-198COMERCIAL</v>
      </c>
      <c r="AQ98" s="22" t="str">
        <f>Tabela1[[#This Row],[PRODUTO]]&amp;Tabela1[[#This Row],[TAG]]</f>
        <v>COMERCIAL05-CV-0001</v>
      </c>
      <c r="AR98" s="24" t="str">
        <f>Tabela1[[#This Row],[PEDIDO]]&amp;Tabela1[[#This Row],[PRODUTO]]</f>
        <v>P-198COMERCIAL</v>
      </c>
      <c r="AS98" s="37">
        <f>IF(AF98="",0,IF(ISTEXT(AF98),H98*VALUE(SUBSTITUTE(AF98,"%",""))/100,H98*AF98))-Tabela1[[#This Row],[PRONTO ACABADO2]]</f>
        <v>0</v>
      </c>
      <c r="AT98" s="37">
        <f>IF(AG98="",0,IF(ISTEXT(AG98),H98*VALUE(SUBSTITUTE(AG98,"%",""))/100,H98*AG98))-Tabela1[[#This Row],[PESO EXPEDIDO2]]</f>
        <v>2.4</v>
      </c>
      <c r="AU98" s="37">
        <f t="shared" si="12"/>
        <v>0</v>
      </c>
      <c r="AV98" s="37">
        <f t="shared" si="13"/>
        <v>2.4</v>
      </c>
      <c r="AW98" s="37"/>
    </row>
    <row r="99" spans="1:49" ht="15.75" customHeight="1" x14ac:dyDescent="0.25">
      <c r="A99" s="6" t="s">
        <v>3127</v>
      </c>
      <c r="B99" s="21" t="s">
        <v>3128</v>
      </c>
      <c r="C99" s="7">
        <v>1</v>
      </c>
      <c r="D99" s="39" t="s">
        <v>3138</v>
      </c>
      <c r="E99" s="7">
        <v>3796</v>
      </c>
      <c r="F99" s="7">
        <v>25</v>
      </c>
      <c r="G99" s="23">
        <v>2.2000000000000002</v>
      </c>
      <c r="H99" s="34">
        <f>Tabela1[[#This Row],[PESO UNI]]*Tabela1[[#This Row],[QTE]]</f>
        <v>2.2000000000000002</v>
      </c>
      <c r="I99" s="7" t="s">
        <v>4417</v>
      </c>
      <c r="J99" s="8" t="s">
        <v>3034</v>
      </c>
      <c r="K99" s="8" t="s">
        <v>31</v>
      </c>
      <c r="L99" s="9" t="s">
        <v>2984</v>
      </c>
      <c r="M99" s="10">
        <v>46188</v>
      </c>
      <c r="N99" s="8" t="s">
        <v>38</v>
      </c>
      <c r="O99" s="12"/>
      <c r="P99" s="13"/>
      <c r="Q99" s="14">
        <f>Tabela1[[#This Row],[QTDE/ Fabricação]]-Tabela1[[#This Row],[QTE]]</f>
        <v>-1</v>
      </c>
      <c r="R99" s="18">
        <f t="shared" si="19"/>
        <v>0.9900000000000001</v>
      </c>
      <c r="S99" s="18">
        <f t="shared" si="20"/>
        <v>0</v>
      </c>
      <c r="T99" s="19">
        <f t="shared" si="21"/>
        <v>-2.2000000000000002</v>
      </c>
      <c r="U99" s="16">
        <f>IFERROR(SUMIF('LISTA DE EMBARQUE'!B:B,MICRO!E:E,'LISTA DE EMBARQUE'!G:G),"")</f>
        <v>0</v>
      </c>
      <c r="V99" s="12" t="str">
        <f>IFERROR(VLOOKUP(Tabela1[[#This Row],[COD.MDE]],'LISTA DE EMBARQUE'!B:L,11,0),"")</f>
        <v/>
      </c>
      <c r="W99" s="13" t="str">
        <f>IFERROR(COUNTIF(#REF!,Tabela1[[#This Row],[Colunas5]]),"")</f>
        <v/>
      </c>
      <c r="X99" s="14">
        <f>Tabela1[[#This Row],[QIANTIDADE EXPEDIDA]]*Tabela1[[#This Row],[PESO UNI]]</f>
        <v>0</v>
      </c>
      <c r="Y99" s="14">
        <f t="shared" si="22"/>
        <v>-1</v>
      </c>
      <c r="Z99" s="20">
        <f>Tabela1[[#This Row],[PESO TOTAL]]-Tabela1[[#This Row],[Peso Expedido]]</f>
        <v>2.2000000000000002</v>
      </c>
      <c r="AA99" s="17">
        <v>0.9</v>
      </c>
      <c r="AB99" s="33"/>
      <c r="AC99" s="33">
        <v>0.9</v>
      </c>
      <c r="AD99" s="33"/>
      <c r="AE99" s="33"/>
      <c r="AF99" s="33"/>
      <c r="AG99" s="33"/>
      <c r="AH99" s="33"/>
      <c r="AI99" s="33" t="str">
        <f t="shared" si="23"/>
        <v/>
      </c>
      <c r="AJ99" s="5"/>
      <c r="AK99" t="str">
        <f>Tabela1[[#This Row],[Coluna1]]&amp;Tabela1[[#This Row],[PEDIDO]]</f>
        <v>P-198</v>
      </c>
      <c r="AL99"/>
      <c r="AM99"/>
      <c r="AN99"/>
      <c r="AO99" t="str">
        <f t="shared" si="18"/>
        <v>T-073201-1/05-CV-0001</v>
      </c>
      <c r="AP99" t="str">
        <f>Tabela1[[#This Row],[TAG]]&amp;Tabela1[[#This Row],[PEDIDO]]&amp;Tabela1[[#This Row],[PRODUTO]]</f>
        <v>05-CV-0001P-198ESTRUTURA</v>
      </c>
      <c r="AQ99" s="22" t="str">
        <f>Tabela1[[#This Row],[PRODUTO]]&amp;Tabela1[[#This Row],[TAG]]</f>
        <v>ESTRUTURA05-CV-0001</v>
      </c>
      <c r="AR99" s="24" t="str">
        <f>Tabela1[[#This Row],[PEDIDO]]&amp;Tabela1[[#This Row],[PRODUTO]]</f>
        <v>P-198ESTRUTURA</v>
      </c>
      <c r="AS99" s="37">
        <f>IF(AF99="",0,IF(ISTEXT(AF99),H99*VALUE(SUBSTITUTE(AF99,"%",""))/100,H99*AF99))-Tabela1[[#This Row],[PRONTO ACABADO2]]</f>
        <v>0</v>
      </c>
      <c r="AT99" s="37">
        <f>IF(AG99="",0,IF(ISTEXT(AG99),H99*VALUE(SUBSTITUTE(AG99,"%",""))/100,H99*AG99))-Tabela1[[#This Row],[PESO EXPEDIDO2]]</f>
        <v>0</v>
      </c>
      <c r="AU99" s="37">
        <f t="shared" si="12"/>
        <v>0</v>
      </c>
      <c r="AV99" s="37">
        <f t="shared" si="13"/>
        <v>0</v>
      </c>
      <c r="AW99" s="37"/>
    </row>
    <row r="100" spans="1:49" ht="15.75" customHeight="1" x14ac:dyDescent="0.25">
      <c r="A100" s="6" t="s">
        <v>3127</v>
      </c>
      <c r="B100" s="21" t="s">
        <v>3128</v>
      </c>
      <c r="C100" s="7">
        <v>2</v>
      </c>
      <c r="D100" s="39" t="s">
        <v>3139</v>
      </c>
      <c r="E100" s="7">
        <v>3797</v>
      </c>
      <c r="F100" s="7">
        <v>25</v>
      </c>
      <c r="G100" s="23">
        <v>1.2</v>
      </c>
      <c r="H100" s="34">
        <f>Tabela1[[#This Row],[PESO UNI]]*Tabela1[[#This Row],[QTE]]</f>
        <v>2.4</v>
      </c>
      <c r="I100" s="7" t="s">
        <v>4417</v>
      </c>
      <c r="J100" s="8" t="s">
        <v>3034</v>
      </c>
      <c r="K100" s="8" t="s">
        <v>31</v>
      </c>
      <c r="L100" s="9" t="s">
        <v>2984</v>
      </c>
      <c r="M100" s="10">
        <v>46188</v>
      </c>
      <c r="N100" s="8" t="s">
        <v>38</v>
      </c>
      <c r="O100" s="12"/>
      <c r="P100" s="13"/>
      <c r="Q100" s="14">
        <f>Tabela1[[#This Row],[QTDE/ Fabricação]]-Tabela1[[#This Row],[QTE]]</f>
        <v>-2</v>
      </c>
      <c r="R100" s="18">
        <f t="shared" si="19"/>
        <v>1.08</v>
      </c>
      <c r="S100" s="18">
        <f t="shared" si="20"/>
        <v>0</v>
      </c>
      <c r="T100" s="19">
        <f t="shared" si="21"/>
        <v>-2.4</v>
      </c>
      <c r="U100" s="16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>IFERROR(COUNTIF(#REF!,Tabela1[[#This Row],[Colunas5]]),"")</f>
        <v/>
      </c>
      <c r="X100" s="14">
        <f>Tabela1[[#This Row],[QIANTIDADE EXPEDIDA]]*Tabela1[[#This Row],[PESO UNI]]</f>
        <v>0</v>
      </c>
      <c r="Y100" s="14">
        <f t="shared" si="22"/>
        <v>-2</v>
      </c>
      <c r="Z100" s="20">
        <f>Tabela1[[#This Row],[PESO TOTAL]]-Tabela1[[#This Row],[Peso Expedido]]</f>
        <v>2.4</v>
      </c>
      <c r="AA100" s="17">
        <v>0.9</v>
      </c>
      <c r="AB100" s="33"/>
      <c r="AC100" s="33">
        <v>0.9</v>
      </c>
      <c r="AD100" s="33"/>
      <c r="AE100" s="33"/>
      <c r="AF100" s="33"/>
      <c r="AG100" s="33"/>
      <c r="AH100" s="33"/>
      <c r="AI100" s="33" t="str">
        <f t="shared" si="23"/>
        <v/>
      </c>
      <c r="AJ100" s="5"/>
      <c r="AK100" t="str">
        <f>Tabela1[[#This Row],[Coluna1]]&amp;Tabela1[[#This Row],[PEDIDO]]</f>
        <v>P-198</v>
      </c>
      <c r="AL100"/>
      <c r="AM100"/>
      <c r="AN100"/>
      <c r="AO100" t="str">
        <f t="shared" si="18"/>
        <v>T-073201-1/05-CV-0001</v>
      </c>
      <c r="AP100" t="str">
        <f>Tabela1[[#This Row],[TAG]]&amp;Tabela1[[#This Row],[PEDIDO]]&amp;Tabela1[[#This Row],[PRODUTO]]</f>
        <v>05-CV-0001P-198ESTRUTURA</v>
      </c>
      <c r="AQ100" s="22" t="str">
        <f>Tabela1[[#This Row],[PRODUTO]]&amp;Tabela1[[#This Row],[TAG]]</f>
        <v>ESTRUTURA05-CV-0001</v>
      </c>
      <c r="AR100" s="24" t="str">
        <f>Tabela1[[#This Row],[PEDIDO]]&amp;Tabela1[[#This Row],[PRODUTO]]</f>
        <v>P-198ESTRUTURA</v>
      </c>
      <c r="AS100" s="37">
        <f>IF(AF100="",0,IF(ISTEXT(AF100),H100*VALUE(SUBSTITUTE(AF100,"%",""))/100,H100*AF100))-Tabela1[[#This Row],[PRONTO ACABADO2]]</f>
        <v>0</v>
      </c>
      <c r="AT100" s="37">
        <f>IF(AG100="",0,IF(ISTEXT(AG100),H100*VALUE(SUBSTITUTE(AG100,"%",""))/100,H100*AG100))-Tabela1[[#This Row],[PESO EXPEDIDO2]]</f>
        <v>0</v>
      </c>
      <c r="AU100" s="37">
        <f t="shared" si="12"/>
        <v>0</v>
      </c>
      <c r="AV100" s="37">
        <f t="shared" si="13"/>
        <v>0</v>
      </c>
      <c r="AW100" s="37"/>
    </row>
    <row r="101" spans="1:49" ht="15.75" customHeight="1" x14ac:dyDescent="0.25">
      <c r="A101" s="6" t="s">
        <v>3039</v>
      </c>
      <c r="B101" s="21"/>
      <c r="C101" s="7">
        <v>4</v>
      </c>
      <c r="D101" s="39" t="s">
        <v>3040</v>
      </c>
      <c r="E101" s="7">
        <v>3798</v>
      </c>
      <c r="F101" s="7">
        <v>24</v>
      </c>
      <c r="G101" s="23">
        <v>2.7</v>
      </c>
      <c r="H101" s="34">
        <f>Tabela1[[#This Row],[PESO UNI]]*Tabela1[[#This Row],[QTE]]</f>
        <v>10.8</v>
      </c>
      <c r="I101" s="7">
        <v>0</v>
      </c>
      <c r="J101" s="8" t="s">
        <v>3140</v>
      </c>
      <c r="K101" s="8" t="s">
        <v>23</v>
      </c>
      <c r="L101" s="9" t="s">
        <v>2984</v>
      </c>
      <c r="M101" s="10">
        <v>46188</v>
      </c>
      <c r="N101" s="8" t="s">
        <v>38</v>
      </c>
      <c r="O101" s="12"/>
      <c r="P101" s="13"/>
      <c r="Q101" s="14">
        <f>Tabela1[[#This Row],[QTDE/ Fabricação]]-Tabela1[[#This Row],[QTE]]</f>
        <v>-4</v>
      </c>
      <c r="R101" s="18">
        <f t="shared" si="19"/>
        <v>10.8</v>
      </c>
      <c r="S101" s="18">
        <f t="shared" si="20"/>
        <v>10.8</v>
      </c>
      <c r="T101" s="19">
        <f t="shared" si="21"/>
        <v>0</v>
      </c>
      <c r="U101" s="16">
        <f>IFERROR(SUMIF('LISTA DE EMBARQUE'!B:B,MICRO!E:E,'LISTA DE EMBARQUE'!G:G),"")</f>
        <v>4</v>
      </c>
      <c r="V101" s="12">
        <f>IFERROR(VLOOKUP(Tabela1[[#This Row],[COD.MDE]],'LISTA DE EMBARQUE'!B:L,11,0),"")</f>
        <v>2</v>
      </c>
      <c r="W101" s="13" t="str">
        <f>IFERROR(COUNTIF(#REF!,Tabela1[[#This Row],[Colunas5]]),"")</f>
        <v/>
      </c>
      <c r="X101" s="14">
        <f>Tabela1[[#This Row],[QIANTIDADE EXPEDIDA]]*Tabela1[[#This Row],[PESO UNI]]</f>
        <v>10.8</v>
      </c>
      <c r="Y101" s="14">
        <f t="shared" si="22"/>
        <v>0</v>
      </c>
      <c r="Z101" s="20">
        <f>Tabela1[[#This Row],[PESO TOTAL]]-Tabela1[[#This Row],[Peso Expedido]]</f>
        <v>0</v>
      </c>
      <c r="AA101" s="17">
        <v>1</v>
      </c>
      <c r="AB101" s="33"/>
      <c r="AC101" s="33">
        <v>1</v>
      </c>
      <c r="AD101" s="33">
        <v>1</v>
      </c>
      <c r="AE101" s="33">
        <v>1</v>
      </c>
      <c r="AF101" s="33">
        <v>1</v>
      </c>
      <c r="AG101" s="33">
        <v>1</v>
      </c>
      <c r="AH101" s="33">
        <v>1</v>
      </c>
      <c r="AI101" s="33" t="str">
        <f t="shared" si="23"/>
        <v>ok</v>
      </c>
      <c r="AJ101" s="5"/>
      <c r="AK101" t="str">
        <f>Tabela1[[#This Row],[Coluna1]]&amp;Tabela1[[#This Row],[PEDIDO]]</f>
        <v>P-198</v>
      </c>
      <c r="AL101"/>
      <c r="AM101"/>
      <c r="AN101"/>
      <c r="AO101" t="str">
        <f t="shared" si="18"/>
        <v>T-054922-4/14-CV-0005</v>
      </c>
      <c r="AP101" t="str">
        <f>Tabela1[[#This Row],[TAG]]&amp;Tabela1[[#This Row],[PEDIDO]]&amp;Tabela1[[#This Row],[PRODUTO]]</f>
        <v>14-CV-0005P-198ROLOS</v>
      </c>
      <c r="AQ101" s="22" t="str">
        <f>Tabela1[[#This Row],[PRODUTO]]&amp;Tabela1[[#This Row],[TAG]]</f>
        <v>ROLOS14-CV-0005</v>
      </c>
      <c r="AR101" s="24" t="str">
        <f>Tabela1[[#This Row],[PEDIDO]]&amp;Tabela1[[#This Row],[PRODUTO]]</f>
        <v>P-198ROLOS</v>
      </c>
      <c r="AS101" s="37">
        <f>IF(AF101="",0,IF(ISTEXT(AF101),H101*VALUE(SUBSTITUTE(AF101,"%",""))/100,H101*AF101))-Tabela1[[#This Row],[PRONTO ACABADO2]]</f>
        <v>0</v>
      </c>
      <c r="AT101" s="37">
        <f>IF(AG101="",0,IF(ISTEXT(AG101),H101*VALUE(SUBSTITUTE(AG101,"%",""))/100,H101*AG101))-Tabela1[[#This Row],[PESO EXPEDIDO2]]</f>
        <v>0</v>
      </c>
      <c r="AU101" s="37">
        <f t="shared" ref="AU101:AU164" si="24">IF(AH101="",0,IF(ISTEXT(AH101),H101*VALUE(SUBSTITUTE(AH101,"%",""))/100,H101*AH101))</f>
        <v>10.8</v>
      </c>
      <c r="AV101" s="37">
        <f t="shared" ref="AV101:AV164" si="25">IF(AG101="",0,IF(ISTEXT(AG101),H101*VALUE(SUBSTITUTE(AG101,"%",""))/100,H101*AG101))</f>
        <v>10.8</v>
      </c>
      <c r="AW101" s="37"/>
    </row>
    <row r="102" spans="1:49" ht="15.75" customHeight="1" x14ac:dyDescent="0.25">
      <c r="A102" s="6" t="s">
        <v>3043</v>
      </c>
      <c r="B102" s="21"/>
      <c r="C102" s="7">
        <v>4</v>
      </c>
      <c r="D102" s="39" t="s">
        <v>3141</v>
      </c>
      <c r="E102" s="7">
        <v>3799</v>
      </c>
      <c r="F102" s="7">
        <v>24</v>
      </c>
      <c r="G102" s="23">
        <v>3.2</v>
      </c>
      <c r="H102" s="34">
        <f>Tabela1[[#This Row],[PESO UNI]]*Tabela1[[#This Row],[QTE]]</f>
        <v>12.8</v>
      </c>
      <c r="I102" s="7">
        <v>0</v>
      </c>
      <c r="J102" s="8" t="s">
        <v>3140</v>
      </c>
      <c r="K102" s="8" t="s">
        <v>23</v>
      </c>
      <c r="L102" s="9" t="s">
        <v>2984</v>
      </c>
      <c r="M102" s="10">
        <v>46188</v>
      </c>
      <c r="N102" s="8" t="s">
        <v>38</v>
      </c>
      <c r="O102" s="12"/>
      <c r="P102" s="13"/>
      <c r="Q102" s="14">
        <f>Tabela1[[#This Row],[QTDE/ Fabricação]]-Tabela1[[#This Row],[QTE]]</f>
        <v>-4</v>
      </c>
      <c r="R102" s="18">
        <f t="shared" si="19"/>
        <v>12.8</v>
      </c>
      <c r="S102" s="18">
        <f t="shared" si="20"/>
        <v>12.8</v>
      </c>
      <c r="T102" s="19">
        <f t="shared" si="21"/>
        <v>0</v>
      </c>
      <c r="U102" s="16">
        <f>IFERROR(SUMIF('LISTA DE EMBARQUE'!B:B,MICRO!E:E,'LISTA DE EMBARQUE'!G:G),"")</f>
        <v>4</v>
      </c>
      <c r="V102" s="12">
        <f>IFERROR(VLOOKUP(Tabela1[[#This Row],[COD.MDE]],'LISTA DE EMBARQUE'!B:L,11,0),"")</f>
        <v>2</v>
      </c>
      <c r="W102" s="13" t="str">
        <f>IFERROR(COUNTIF(#REF!,Tabela1[[#This Row],[Colunas5]]),"")</f>
        <v/>
      </c>
      <c r="X102" s="14">
        <f>Tabela1[[#This Row],[QIANTIDADE EXPEDIDA]]*Tabela1[[#This Row],[PESO UNI]]</f>
        <v>12.8</v>
      </c>
      <c r="Y102" s="14">
        <f t="shared" si="22"/>
        <v>0</v>
      </c>
      <c r="Z102" s="20">
        <f>Tabela1[[#This Row],[PESO TOTAL]]-Tabela1[[#This Row],[Peso Expedido]]</f>
        <v>0</v>
      </c>
      <c r="AA102" s="17">
        <v>1</v>
      </c>
      <c r="AB102" s="33"/>
      <c r="AC102" s="33">
        <v>1</v>
      </c>
      <c r="AD102" s="33">
        <v>1</v>
      </c>
      <c r="AE102" s="33">
        <v>1</v>
      </c>
      <c r="AF102" s="33">
        <v>1</v>
      </c>
      <c r="AG102" s="33">
        <v>1</v>
      </c>
      <c r="AH102" s="33">
        <v>1</v>
      </c>
      <c r="AI102" s="33" t="str">
        <f t="shared" si="23"/>
        <v>ok</v>
      </c>
      <c r="AJ102" s="5"/>
      <c r="AK102" t="str">
        <f>Tabela1[[#This Row],[Coluna1]]&amp;Tabela1[[#This Row],[PEDIDO]]</f>
        <v>P-198</v>
      </c>
      <c r="AL102"/>
      <c r="AM102"/>
      <c r="AN102"/>
      <c r="AO102" t="str">
        <f t="shared" si="18"/>
        <v>T-054921-4/14-CV-0005</v>
      </c>
      <c r="AP102" t="str">
        <f>Tabela1[[#This Row],[TAG]]&amp;Tabela1[[#This Row],[PEDIDO]]&amp;Tabela1[[#This Row],[PRODUTO]]</f>
        <v>14-CV-0005P-198ROLOS</v>
      </c>
      <c r="AQ102" s="22" t="str">
        <f>Tabela1[[#This Row],[PRODUTO]]&amp;Tabela1[[#This Row],[TAG]]</f>
        <v>ROLOS14-CV-0005</v>
      </c>
      <c r="AR102" s="24" t="str">
        <f>Tabela1[[#This Row],[PEDIDO]]&amp;Tabela1[[#This Row],[PRODUTO]]</f>
        <v>P-198ROLOS</v>
      </c>
      <c r="AS102" s="37">
        <f>IF(AF102="",0,IF(ISTEXT(AF102),H102*VALUE(SUBSTITUTE(AF102,"%",""))/100,H102*AF102))-Tabela1[[#This Row],[PRONTO ACABADO2]]</f>
        <v>0</v>
      </c>
      <c r="AT102" s="37">
        <f>IF(AG102="",0,IF(ISTEXT(AG102),H102*VALUE(SUBSTITUTE(AG102,"%",""))/100,H102*AG102))-Tabela1[[#This Row],[PESO EXPEDIDO2]]</f>
        <v>0</v>
      </c>
      <c r="AU102" s="37">
        <f t="shared" si="24"/>
        <v>12.8</v>
      </c>
      <c r="AV102" s="37">
        <f t="shared" si="25"/>
        <v>12.8</v>
      </c>
      <c r="AW102" s="37"/>
    </row>
    <row r="103" spans="1:49" ht="15.75" customHeight="1" x14ac:dyDescent="0.25">
      <c r="A103" s="6" t="s">
        <v>3142</v>
      </c>
      <c r="B103" s="21"/>
      <c r="C103" s="7">
        <v>6</v>
      </c>
      <c r="D103" s="39" t="s">
        <v>3143</v>
      </c>
      <c r="E103" s="7">
        <v>3800</v>
      </c>
      <c r="F103" s="7">
        <v>24</v>
      </c>
      <c r="G103" s="23">
        <v>54</v>
      </c>
      <c r="H103" s="34">
        <f>Tabela1[[#This Row],[PESO UNI]]*Tabela1[[#This Row],[QTE]]</f>
        <v>324</v>
      </c>
      <c r="I103" s="7">
        <v>0</v>
      </c>
      <c r="J103" s="8" t="s">
        <v>3140</v>
      </c>
      <c r="K103" s="8" t="s">
        <v>23</v>
      </c>
      <c r="L103" s="9" t="s">
        <v>2984</v>
      </c>
      <c r="M103" s="10">
        <v>46188</v>
      </c>
      <c r="N103" s="8" t="s">
        <v>38</v>
      </c>
      <c r="O103" s="12"/>
      <c r="P103" s="13"/>
      <c r="Q103" s="14">
        <f>Tabela1[[#This Row],[QTDE/ Fabricação]]-Tabela1[[#This Row],[QTE]]</f>
        <v>-6</v>
      </c>
      <c r="R103" s="18">
        <f t="shared" si="19"/>
        <v>324</v>
      </c>
      <c r="S103" s="18">
        <f t="shared" si="20"/>
        <v>324</v>
      </c>
      <c r="T103" s="19">
        <f t="shared" si="21"/>
        <v>0</v>
      </c>
      <c r="U103" s="16">
        <f>IFERROR(SUMIF('LISTA DE EMBARQUE'!B:B,MICRO!E:E,'LISTA DE EMBARQUE'!G:G),"")</f>
        <v>6</v>
      </c>
      <c r="V103" s="12">
        <f>IFERROR(VLOOKUP(Tabela1[[#This Row],[COD.MDE]],'LISTA DE EMBARQUE'!B:L,11,0),"")</f>
        <v>1</v>
      </c>
      <c r="W103" s="13" t="str">
        <f>IFERROR(COUNTIF(#REF!,Tabela1[[#This Row],[Colunas5]]),"")</f>
        <v/>
      </c>
      <c r="X103" s="14">
        <f>Tabela1[[#This Row],[QIANTIDADE EXPEDIDA]]*Tabela1[[#This Row],[PESO UNI]]</f>
        <v>324</v>
      </c>
      <c r="Y103" s="14">
        <f t="shared" si="22"/>
        <v>0</v>
      </c>
      <c r="Z103" s="20">
        <f>Tabela1[[#This Row],[PESO TOTAL]]-Tabela1[[#This Row],[Peso Expedido]]</f>
        <v>0</v>
      </c>
      <c r="AA103" s="17">
        <v>1</v>
      </c>
      <c r="AB103" s="33"/>
      <c r="AC103" s="33">
        <v>1</v>
      </c>
      <c r="AD103" s="33">
        <v>1</v>
      </c>
      <c r="AE103" s="33">
        <v>1</v>
      </c>
      <c r="AF103" s="33">
        <v>1</v>
      </c>
      <c r="AG103" s="33">
        <v>1</v>
      </c>
      <c r="AH103" s="33">
        <v>1</v>
      </c>
      <c r="AI103" s="33" t="str">
        <f t="shared" si="23"/>
        <v>ok</v>
      </c>
      <c r="AJ103" s="5"/>
      <c r="AK103" t="str">
        <f>Tabela1[[#This Row],[Coluna1]]&amp;Tabela1[[#This Row],[PEDIDO]]</f>
        <v>P-198</v>
      </c>
      <c r="AL103"/>
      <c r="AM103"/>
      <c r="AN103"/>
      <c r="AO103" t="str">
        <f t="shared" si="18"/>
        <v>R-3-4-10556/14-CV-0005</v>
      </c>
      <c r="AP103" t="str">
        <f>Tabela1[[#This Row],[TAG]]&amp;Tabela1[[#This Row],[PEDIDO]]&amp;Tabela1[[#This Row],[PRODUTO]]</f>
        <v>14-CV-0005P-198ROLOS</v>
      </c>
      <c r="AQ103" s="22" t="str">
        <f>Tabela1[[#This Row],[PRODUTO]]&amp;Tabela1[[#This Row],[TAG]]</f>
        <v>ROLOS14-CV-0005</v>
      </c>
      <c r="AR103" s="24" t="str">
        <f>Tabela1[[#This Row],[PEDIDO]]&amp;Tabela1[[#This Row],[PRODUTO]]</f>
        <v>P-198ROLOS</v>
      </c>
      <c r="AS103" s="37">
        <f>IF(AF103="",0,IF(ISTEXT(AF103),H103*VALUE(SUBSTITUTE(AF103,"%",""))/100,H103*AF103))-Tabela1[[#This Row],[PRONTO ACABADO2]]</f>
        <v>0</v>
      </c>
      <c r="AT103" s="37">
        <f>IF(AG103="",0,IF(ISTEXT(AG103),H103*VALUE(SUBSTITUTE(AG103,"%",""))/100,H103*AG103))-Tabela1[[#This Row],[PESO EXPEDIDO2]]</f>
        <v>0</v>
      </c>
      <c r="AU103" s="37">
        <f t="shared" si="24"/>
        <v>324</v>
      </c>
      <c r="AV103" s="37">
        <f t="shared" si="25"/>
        <v>324</v>
      </c>
      <c r="AW103" s="37"/>
    </row>
    <row r="104" spans="1:49" ht="15.75" customHeight="1" x14ac:dyDescent="0.25">
      <c r="A104" s="6" t="s">
        <v>3144</v>
      </c>
      <c r="B104" s="21"/>
      <c r="C104" s="7">
        <v>14</v>
      </c>
      <c r="D104" s="39" t="s">
        <v>660</v>
      </c>
      <c r="E104" s="7">
        <v>3801</v>
      </c>
      <c r="F104" s="7">
        <v>24</v>
      </c>
      <c r="G104" s="23">
        <v>4.7</v>
      </c>
      <c r="H104" s="34">
        <f>Tabela1[[#This Row],[PESO UNI]]*Tabela1[[#This Row],[QTE]]</f>
        <v>65.8</v>
      </c>
      <c r="I104" s="7">
        <v>0</v>
      </c>
      <c r="J104" s="8" t="s">
        <v>3140</v>
      </c>
      <c r="K104" s="8" t="s">
        <v>23</v>
      </c>
      <c r="L104" s="9" t="s">
        <v>2984</v>
      </c>
      <c r="M104" s="10">
        <v>46188</v>
      </c>
      <c r="N104" s="8" t="s">
        <v>38</v>
      </c>
      <c r="O104" s="12"/>
      <c r="P104" s="13"/>
      <c r="Q104" s="14">
        <f>Tabela1[[#This Row],[QTDE/ Fabricação]]-Tabela1[[#This Row],[QTE]]</f>
        <v>-14</v>
      </c>
      <c r="R104" s="18">
        <f t="shared" si="19"/>
        <v>11.514999999999999</v>
      </c>
      <c r="S104" s="18">
        <f t="shared" si="20"/>
        <v>0</v>
      </c>
      <c r="T104" s="19">
        <f t="shared" si="21"/>
        <v>-65.8</v>
      </c>
      <c r="U104" s="16">
        <f>IFERROR(SUMIF('LISTA DE EMBARQUE'!B:B,MICRO!E:E,'LISTA DE EMBARQUE'!G:G),"")</f>
        <v>0</v>
      </c>
      <c r="V104" s="12" t="str">
        <f>IFERROR(VLOOKUP(Tabela1[[#This Row],[COD.MDE]],'LISTA DE EMBARQUE'!B:L,11,0),"")</f>
        <v/>
      </c>
      <c r="W104" s="13" t="str">
        <f>IFERROR(COUNTIF(#REF!,Tabela1[[#This Row],[Colunas5]]),"")</f>
        <v/>
      </c>
      <c r="X104" s="14">
        <f>Tabela1[[#This Row],[QIANTIDADE EXPEDIDA]]*Tabela1[[#This Row],[PESO UNI]]</f>
        <v>0</v>
      </c>
      <c r="Y104" s="14">
        <f t="shared" si="22"/>
        <v>-14</v>
      </c>
      <c r="Z104" s="20">
        <f>Tabela1[[#This Row],[PESO TOTAL]]-Tabela1[[#This Row],[Peso Expedido]]</f>
        <v>65.8</v>
      </c>
      <c r="AA104" s="17">
        <v>0.3</v>
      </c>
      <c r="AB104" s="33"/>
      <c r="AC104" s="33">
        <v>0.4</v>
      </c>
      <c r="AD104" s="33"/>
      <c r="AE104" s="33"/>
      <c r="AF104" s="33"/>
      <c r="AG104" s="33"/>
      <c r="AH104" s="33"/>
      <c r="AI104" s="33" t="str">
        <f t="shared" si="23"/>
        <v/>
      </c>
      <c r="AJ104" s="5"/>
      <c r="AK104" t="str">
        <f>Tabela1[[#This Row],[Coluna1]]&amp;Tabela1[[#This Row],[PEDIDO]]</f>
        <v>P-198</v>
      </c>
      <c r="AL104"/>
      <c r="AM104"/>
      <c r="AN104"/>
      <c r="AO104" t="str">
        <f t="shared" si="18"/>
        <v>R-1-4-9144/14-CV-0005</v>
      </c>
      <c r="AP104" t="str">
        <f>Tabela1[[#This Row],[TAG]]&amp;Tabela1[[#This Row],[PEDIDO]]&amp;Tabela1[[#This Row],[PRODUTO]]</f>
        <v>14-CV-0005P-198ROLOS</v>
      </c>
      <c r="AQ104" s="22" t="str">
        <f>Tabela1[[#This Row],[PRODUTO]]&amp;Tabela1[[#This Row],[TAG]]</f>
        <v>ROLOS14-CV-0005</v>
      </c>
      <c r="AR104" s="24" t="str">
        <f>Tabela1[[#This Row],[PEDIDO]]&amp;Tabela1[[#This Row],[PRODUTO]]</f>
        <v>P-198ROLOS</v>
      </c>
      <c r="AS104" s="37">
        <f>IF(AF104="",0,IF(ISTEXT(AF104),H104*VALUE(SUBSTITUTE(AF104,"%",""))/100,H104*AF104))-Tabela1[[#This Row],[PRONTO ACABADO2]]</f>
        <v>0</v>
      </c>
      <c r="AT104" s="37">
        <f>IF(AG104="",0,IF(ISTEXT(AG104),H104*VALUE(SUBSTITUTE(AG104,"%",""))/100,H104*AG104))-Tabela1[[#This Row],[PESO EXPEDIDO2]]</f>
        <v>0</v>
      </c>
      <c r="AU104" s="37">
        <f t="shared" si="24"/>
        <v>0</v>
      </c>
      <c r="AV104" s="37">
        <f t="shared" si="25"/>
        <v>0</v>
      </c>
      <c r="AW104" s="37"/>
    </row>
    <row r="105" spans="1:49" ht="15.75" customHeight="1" x14ac:dyDescent="0.25">
      <c r="A105" s="6" t="s">
        <v>144</v>
      </c>
      <c r="B105" s="21"/>
      <c r="C105" s="7">
        <v>42</v>
      </c>
      <c r="D105" s="39" t="s">
        <v>205</v>
      </c>
      <c r="E105" s="7">
        <v>3802</v>
      </c>
      <c r="F105" s="7">
        <v>24</v>
      </c>
      <c r="G105" s="23">
        <v>9</v>
      </c>
      <c r="H105" s="34">
        <f>Tabela1[[#This Row],[PESO UNI]]*Tabela1[[#This Row],[QTE]]</f>
        <v>378</v>
      </c>
      <c r="I105" s="7">
        <v>0</v>
      </c>
      <c r="J105" s="8" t="s">
        <v>3140</v>
      </c>
      <c r="K105" s="8" t="s">
        <v>23</v>
      </c>
      <c r="L105" s="9" t="s">
        <v>2984</v>
      </c>
      <c r="M105" s="10">
        <v>46188</v>
      </c>
      <c r="N105" s="8" t="s">
        <v>38</v>
      </c>
      <c r="O105" s="12"/>
      <c r="P105" s="13"/>
      <c r="Q105" s="14">
        <f>Tabela1[[#This Row],[QTDE/ Fabricação]]-Tabela1[[#This Row],[QTE]]</f>
        <v>-42</v>
      </c>
      <c r="R105" s="18">
        <f t="shared" si="19"/>
        <v>378</v>
      </c>
      <c r="S105" s="18">
        <f t="shared" si="20"/>
        <v>378</v>
      </c>
      <c r="T105" s="19">
        <f t="shared" si="21"/>
        <v>0</v>
      </c>
      <c r="U105" s="16">
        <f>IFERROR(SUMIF('LISTA DE EMBARQUE'!B:B,MICRO!E:E,'LISTA DE EMBARQUE'!G:G),"")</f>
        <v>42</v>
      </c>
      <c r="V105" s="12">
        <f>IFERROR(VLOOKUP(Tabela1[[#This Row],[COD.MDE]],'LISTA DE EMBARQUE'!B:L,11,0),"")</f>
        <v>2</v>
      </c>
      <c r="W105" s="13" t="str">
        <f>IFERROR(COUNTIF(#REF!,Tabela1[[#This Row],[Colunas5]]),"")</f>
        <v/>
      </c>
      <c r="X105" s="14">
        <f>Tabela1[[#This Row],[QIANTIDADE EXPEDIDA]]*Tabela1[[#This Row],[PESO UNI]]</f>
        <v>378</v>
      </c>
      <c r="Y105" s="14">
        <f t="shared" si="22"/>
        <v>0</v>
      </c>
      <c r="Z105" s="20">
        <f>Tabela1[[#This Row],[PESO TOTAL]]-Tabela1[[#This Row],[Peso Expedido]]</f>
        <v>0</v>
      </c>
      <c r="AA105" s="17">
        <v>1</v>
      </c>
      <c r="AB105" s="33"/>
      <c r="AC105" s="33">
        <v>1</v>
      </c>
      <c r="AD105" s="33">
        <v>1</v>
      </c>
      <c r="AE105" s="33">
        <v>1</v>
      </c>
      <c r="AF105" s="33">
        <v>1</v>
      </c>
      <c r="AG105" s="33">
        <v>1</v>
      </c>
      <c r="AH105" s="33">
        <v>1</v>
      </c>
      <c r="AI105" s="33" t="str">
        <f t="shared" si="23"/>
        <v>ok</v>
      </c>
      <c r="AJ105" s="5"/>
      <c r="AK105" t="str">
        <f>Tabela1[[#This Row],[Coluna1]]&amp;Tabela1[[#This Row],[PEDIDO]]</f>
        <v>P-198</v>
      </c>
      <c r="AL105"/>
      <c r="AM105"/>
      <c r="AN105"/>
      <c r="AO105" t="str">
        <f t="shared" si="18"/>
        <v>R-1-4-8844/14-CV-0005</v>
      </c>
      <c r="AP105" t="str">
        <f>Tabela1[[#This Row],[TAG]]&amp;Tabela1[[#This Row],[PEDIDO]]&amp;Tabela1[[#This Row],[PRODUTO]]</f>
        <v>14-CV-0005P-198ROLOS</v>
      </c>
      <c r="AQ105" s="22" t="str">
        <f>Tabela1[[#This Row],[PRODUTO]]&amp;Tabela1[[#This Row],[TAG]]</f>
        <v>ROLOS14-CV-0005</v>
      </c>
      <c r="AR105" s="24" t="str">
        <f>Tabela1[[#This Row],[PEDIDO]]&amp;Tabela1[[#This Row],[PRODUTO]]</f>
        <v>P-198ROLOS</v>
      </c>
      <c r="AS105" s="37">
        <f>IF(AF105="",0,IF(ISTEXT(AF105),H105*VALUE(SUBSTITUTE(AF105,"%",""))/100,H105*AF105))-Tabela1[[#This Row],[PRONTO ACABADO2]]</f>
        <v>0</v>
      </c>
      <c r="AT105" s="37">
        <f>IF(AG105="",0,IF(ISTEXT(AG105),H105*VALUE(SUBSTITUTE(AG105,"%",""))/100,H105*AG105))-Tabela1[[#This Row],[PESO EXPEDIDO2]]</f>
        <v>0</v>
      </c>
      <c r="AU105" s="37">
        <f t="shared" si="24"/>
        <v>378</v>
      </c>
      <c r="AV105" s="37">
        <f t="shared" si="25"/>
        <v>378</v>
      </c>
      <c r="AW105" s="37"/>
    </row>
    <row r="106" spans="1:49" ht="15.75" customHeight="1" x14ac:dyDescent="0.25">
      <c r="A106" s="6" t="s">
        <v>414</v>
      </c>
      <c r="B106" s="21"/>
      <c r="C106" s="7">
        <v>24</v>
      </c>
      <c r="D106" s="39" t="s">
        <v>3145</v>
      </c>
      <c r="E106" s="7">
        <v>3803</v>
      </c>
      <c r="F106" s="7">
        <v>24</v>
      </c>
      <c r="G106" s="23">
        <v>5</v>
      </c>
      <c r="H106" s="34">
        <f>Tabela1[[#This Row],[PESO UNI]]*Tabela1[[#This Row],[QTE]]</f>
        <v>120</v>
      </c>
      <c r="I106" s="7">
        <v>0</v>
      </c>
      <c r="J106" s="8" t="s">
        <v>3140</v>
      </c>
      <c r="K106" s="8" t="s">
        <v>23</v>
      </c>
      <c r="L106" s="9" t="s">
        <v>2984</v>
      </c>
      <c r="M106" s="10">
        <v>46188</v>
      </c>
      <c r="N106" s="8" t="s">
        <v>38</v>
      </c>
      <c r="O106" s="12"/>
      <c r="P106" s="13"/>
      <c r="Q106" s="14">
        <f>Tabela1[[#This Row],[QTDE/ Fabricação]]-Tabela1[[#This Row],[QTE]]</f>
        <v>-24</v>
      </c>
      <c r="R106" s="18">
        <f t="shared" si="19"/>
        <v>120</v>
      </c>
      <c r="S106" s="18">
        <f t="shared" si="20"/>
        <v>120</v>
      </c>
      <c r="T106" s="19">
        <f t="shared" si="21"/>
        <v>0</v>
      </c>
      <c r="U106" s="16">
        <f>IFERROR(SUMIF('LISTA DE EMBARQUE'!B:B,MICRO!E:E,'LISTA DE EMBARQUE'!G:G),"")</f>
        <v>24</v>
      </c>
      <c r="V106" s="12">
        <f>IFERROR(VLOOKUP(Tabela1[[#This Row],[COD.MDE]],'LISTA DE EMBARQUE'!B:L,11,0),"")</f>
        <v>2</v>
      </c>
      <c r="W106" s="13" t="str">
        <f>IFERROR(COUNTIF(#REF!,Tabela1[[#This Row],[Colunas5]]),"")</f>
        <v/>
      </c>
      <c r="X106" s="14">
        <f>Tabela1[[#This Row],[QIANTIDADE EXPEDIDA]]*Tabela1[[#This Row],[PESO UNI]]</f>
        <v>120</v>
      </c>
      <c r="Y106" s="14">
        <f t="shared" si="22"/>
        <v>0</v>
      </c>
      <c r="Z106" s="20">
        <f>Tabela1[[#This Row],[PESO TOTAL]]-Tabela1[[#This Row],[Peso Expedido]]</f>
        <v>0</v>
      </c>
      <c r="AA106" s="17">
        <v>1</v>
      </c>
      <c r="AB106" s="33"/>
      <c r="AC106" s="33">
        <v>1</v>
      </c>
      <c r="AD106" s="33">
        <v>1</v>
      </c>
      <c r="AE106" s="33">
        <v>1</v>
      </c>
      <c r="AF106" s="33">
        <v>1</v>
      </c>
      <c r="AG106" s="33">
        <v>1</v>
      </c>
      <c r="AH106" s="33">
        <v>1</v>
      </c>
      <c r="AI106" s="33" t="str">
        <f t="shared" si="23"/>
        <v>ok</v>
      </c>
      <c r="AJ106" s="5"/>
      <c r="AK106" t="str">
        <f>Tabela1[[#This Row],[Coluna1]]&amp;Tabela1[[#This Row],[PEDIDO]]</f>
        <v>P-198</v>
      </c>
      <c r="AL106"/>
      <c r="AM106"/>
      <c r="AN106"/>
      <c r="AO106" t="str">
        <f t="shared" si="18"/>
        <v>R-1-4-8696B/14-CV-0005</v>
      </c>
      <c r="AP106" t="str">
        <f>Tabela1[[#This Row],[TAG]]&amp;Tabela1[[#This Row],[PEDIDO]]&amp;Tabela1[[#This Row],[PRODUTO]]</f>
        <v>14-CV-0005P-198ROLOS</v>
      </c>
      <c r="AQ106" s="22" t="str">
        <f>Tabela1[[#This Row],[PRODUTO]]&amp;Tabela1[[#This Row],[TAG]]</f>
        <v>ROLOS14-CV-0005</v>
      </c>
      <c r="AR106" s="24" t="str">
        <f>Tabela1[[#This Row],[PEDIDO]]&amp;Tabela1[[#This Row],[PRODUTO]]</f>
        <v>P-198ROLOS</v>
      </c>
      <c r="AS106" s="37">
        <f>IF(AF106="",0,IF(ISTEXT(AF106),H106*VALUE(SUBSTITUTE(AF106,"%",""))/100,H106*AF106))-Tabela1[[#This Row],[PRONTO ACABADO2]]</f>
        <v>0</v>
      </c>
      <c r="AT106" s="37">
        <f>IF(AG106="",0,IF(ISTEXT(AG106),H106*VALUE(SUBSTITUTE(AG106,"%",""))/100,H106*AG106))-Tabela1[[#This Row],[PESO EXPEDIDO2]]</f>
        <v>0</v>
      </c>
      <c r="AU106" s="37">
        <f t="shared" si="24"/>
        <v>120</v>
      </c>
      <c r="AV106" s="37">
        <f t="shared" si="25"/>
        <v>120</v>
      </c>
      <c r="AW106" s="37"/>
    </row>
    <row r="107" spans="1:49" ht="15.75" customHeight="1" x14ac:dyDescent="0.25">
      <c r="A107" s="6" t="s">
        <v>3146</v>
      </c>
      <c r="B107" s="21"/>
      <c r="C107" s="7">
        <v>1</v>
      </c>
      <c r="D107" s="39" t="s">
        <v>3147</v>
      </c>
      <c r="E107" s="7">
        <v>3804</v>
      </c>
      <c r="F107" s="7">
        <v>23</v>
      </c>
      <c r="G107" s="23">
        <v>18.5</v>
      </c>
      <c r="H107" s="34">
        <f>Tabela1[[#This Row],[PESO UNI]]*Tabela1[[#This Row],[QTE]]</f>
        <v>18.5</v>
      </c>
      <c r="I107" s="7">
        <v>0</v>
      </c>
      <c r="J107" s="8" t="s">
        <v>3140</v>
      </c>
      <c r="K107" s="8" t="s">
        <v>33</v>
      </c>
      <c r="L107" s="9" t="s">
        <v>2984</v>
      </c>
      <c r="M107" s="10">
        <v>46188</v>
      </c>
      <c r="N107" s="8" t="s">
        <v>38</v>
      </c>
      <c r="O107" s="12"/>
      <c r="P107" s="13"/>
      <c r="Q107" s="14">
        <f>Tabela1[[#This Row],[QTDE/ Fabricação]]-Tabela1[[#This Row],[QTE]]</f>
        <v>-1</v>
      </c>
      <c r="R107" s="18">
        <f t="shared" si="19"/>
        <v>18.5</v>
      </c>
      <c r="S107" s="18">
        <f t="shared" si="20"/>
        <v>18.5</v>
      </c>
      <c r="T107" s="19">
        <f t="shared" si="21"/>
        <v>0</v>
      </c>
      <c r="U107" s="16">
        <f>IFERROR(SUMIF('LISTA DE EMBARQUE'!B:B,MICRO!E:E,'LISTA DE EMBARQUE'!G:G),"")</f>
        <v>1</v>
      </c>
      <c r="V107" s="12">
        <f>IFERROR(VLOOKUP(Tabela1[[#This Row],[COD.MDE]],'LISTA DE EMBARQUE'!B:L,11,0),"")</f>
        <v>2</v>
      </c>
      <c r="W107" s="13" t="str">
        <f>IFERROR(COUNTIF(#REF!,Tabela1[[#This Row],[Colunas5]]),"")</f>
        <v/>
      </c>
      <c r="X107" s="14">
        <f>Tabela1[[#This Row],[QIANTIDADE EXPEDIDA]]*Tabela1[[#This Row],[PESO UNI]]</f>
        <v>18.5</v>
      </c>
      <c r="Y107" s="14">
        <f t="shared" si="22"/>
        <v>0</v>
      </c>
      <c r="Z107" s="20">
        <f>Tabela1[[#This Row],[PESO TOTAL]]-Tabela1[[#This Row],[Peso Expedido]]</f>
        <v>0</v>
      </c>
      <c r="AA107" s="17">
        <v>1</v>
      </c>
      <c r="AB107" s="33"/>
      <c r="AC107" s="33">
        <v>1</v>
      </c>
      <c r="AD107" s="33">
        <v>1</v>
      </c>
      <c r="AE107" s="33">
        <v>1</v>
      </c>
      <c r="AF107" s="33">
        <v>1</v>
      </c>
      <c r="AG107" s="33">
        <v>1</v>
      </c>
      <c r="AH107" s="33">
        <v>1</v>
      </c>
      <c r="AI107" s="33" t="str">
        <f t="shared" si="23"/>
        <v>ok</v>
      </c>
      <c r="AJ107" s="5"/>
      <c r="AK107" t="str">
        <f>Tabela1[[#This Row],[Coluna1]]&amp;Tabela1[[#This Row],[PEDIDO]]</f>
        <v>P-198</v>
      </c>
      <c r="AL107"/>
      <c r="AM107"/>
      <c r="AN107"/>
      <c r="AO107" t="str">
        <f t="shared" si="18"/>
        <v>T-073284-1/14-CV-0005</v>
      </c>
      <c r="AP107" t="str">
        <f>Tabela1[[#This Row],[TAG]]&amp;Tabela1[[#This Row],[PEDIDO]]&amp;Tabela1[[#This Row],[PRODUTO]]</f>
        <v>14-CV-0005P-198BASES ROLETES</v>
      </c>
      <c r="AQ107" s="22" t="str">
        <f>Tabela1[[#This Row],[PRODUTO]]&amp;Tabela1[[#This Row],[TAG]]</f>
        <v>BASES ROLETES14-CV-0005</v>
      </c>
      <c r="AR107" s="24" t="str">
        <f>Tabela1[[#This Row],[PEDIDO]]&amp;Tabela1[[#This Row],[PRODUTO]]</f>
        <v>P-198BASES ROLETES</v>
      </c>
      <c r="AS107" s="37">
        <f>IF(AF107="",0,IF(ISTEXT(AF107),H107*VALUE(SUBSTITUTE(AF107,"%",""))/100,H107*AF107))-Tabela1[[#This Row],[PRONTO ACABADO2]]</f>
        <v>0</v>
      </c>
      <c r="AT107" s="37">
        <f>IF(AG107="",0,IF(ISTEXT(AG107),H107*VALUE(SUBSTITUTE(AG107,"%",""))/100,H107*AG107))-Tabela1[[#This Row],[PESO EXPEDIDO2]]</f>
        <v>0</v>
      </c>
      <c r="AU107" s="37">
        <f t="shared" si="24"/>
        <v>18.5</v>
      </c>
      <c r="AV107" s="37">
        <f t="shared" si="25"/>
        <v>18.5</v>
      </c>
      <c r="AW107" s="37"/>
    </row>
    <row r="108" spans="1:49" ht="15.75" customHeight="1" x14ac:dyDescent="0.25">
      <c r="A108" s="6" t="s">
        <v>3148</v>
      </c>
      <c r="B108" s="21"/>
      <c r="C108" s="7">
        <v>1</v>
      </c>
      <c r="D108" s="39" t="s">
        <v>3149</v>
      </c>
      <c r="E108" s="7">
        <v>3805</v>
      </c>
      <c r="F108" s="7">
        <v>23</v>
      </c>
      <c r="G108" s="23">
        <v>31.2</v>
      </c>
      <c r="H108" s="34">
        <f>Tabela1[[#This Row],[PESO UNI]]*Tabela1[[#This Row],[QTE]]</f>
        <v>31.2</v>
      </c>
      <c r="I108" s="7">
        <v>0</v>
      </c>
      <c r="J108" s="8" t="s">
        <v>3140</v>
      </c>
      <c r="K108" s="8" t="s">
        <v>33</v>
      </c>
      <c r="L108" s="9" t="s">
        <v>2984</v>
      </c>
      <c r="M108" s="10">
        <v>46188</v>
      </c>
      <c r="N108" s="8" t="s">
        <v>38</v>
      </c>
      <c r="O108" s="12"/>
      <c r="P108" s="13"/>
      <c r="Q108" s="14">
        <f>Tabela1[[#This Row],[QTDE/ Fabricação]]-Tabela1[[#This Row],[QTE]]</f>
        <v>-1</v>
      </c>
      <c r="R108" s="18">
        <f t="shared" si="19"/>
        <v>31.2</v>
      </c>
      <c r="S108" s="18">
        <f t="shared" si="20"/>
        <v>31.2</v>
      </c>
      <c r="T108" s="19">
        <f t="shared" si="21"/>
        <v>0</v>
      </c>
      <c r="U108" s="16">
        <f>IFERROR(SUMIF('LISTA DE EMBARQUE'!B:B,MICRO!E:E,'LISTA DE EMBARQUE'!G:G),"")</f>
        <v>1</v>
      </c>
      <c r="V108" s="12">
        <f>IFERROR(VLOOKUP(Tabela1[[#This Row],[COD.MDE]],'LISTA DE EMBARQUE'!B:L,11,0),"")</f>
        <v>2</v>
      </c>
      <c r="W108" s="13" t="str">
        <f>IFERROR(COUNTIF(#REF!,Tabela1[[#This Row],[Colunas5]]),"")</f>
        <v/>
      </c>
      <c r="X108" s="14">
        <f>Tabela1[[#This Row],[QIANTIDADE EXPEDIDA]]*Tabela1[[#This Row],[PESO UNI]]</f>
        <v>31.2</v>
      </c>
      <c r="Y108" s="14">
        <f t="shared" si="22"/>
        <v>0</v>
      </c>
      <c r="Z108" s="20">
        <f>Tabela1[[#This Row],[PESO TOTAL]]-Tabela1[[#This Row],[Peso Expedido]]</f>
        <v>0</v>
      </c>
      <c r="AA108" s="17">
        <v>1</v>
      </c>
      <c r="AB108" s="33"/>
      <c r="AC108" s="33">
        <v>1</v>
      </c>
      <c r="AD108" s="33">
        <v>1</v>
      </c>
      <c r="AE108" s="33">
        <v>1</v>
      </c>
      <c r="AF108" s="33">
        <v>1</v>
      </c>
      <c r="AG108" s="33">
        <v>1</v>
      </c>
      <c r="AH108" s="33">
        <v>1</v>
      </c>
      <c r="AI108" s="33" t="str">
        <f t="shared" si="23"/>
        <v>ok</v>
      </c>
      <c r="AJ108" s="5"/>
      <c r="AK108" t="str">
        <f>Tabela1[[#This Row],[Coluna1]]&amp;Tabela1[[#This Row],[PEDIDO]]</f>
        <v>P-198</v>
      </c>
      <c r="AL108"/>
      <c r="AM108"/>
      <c r="AN108"/>
      <c r="AO108" t="str">
        <f t="shared" si="18"/>
        <v>T-073283-1/14-CV-0005</v>
      </c>
      <c r="AP108" t="str">
        <f>Tabela1[[#This Row],[TAG]]&amp;Tabela1[[#This Row],[PEDIDO]]&amp;Tabela1[[#This Row],[PRODUTO]]</f>
        <v>14-CV-0005P-198BASES ROLETES</v>
      </c>
      <c r="AQ108" s="22" t="str">
        <f>Tabela1[[#This Row],[PRODUTO]]&amp;Tabela1[[#This Row],[TAG]]</f>
        <v>BASES ROLETES14-CV-0005</v>
      </c>
      <c r="AR108" s="24" t="str">
        <f>Tabela1[[#This Row],[PEDIDO]]&amp;Tabela1[[#This Row],[PRODUTO]]</f>
        <v>P-198BASES ROLETES</v>
      </c>
      <c r="AS108" s="37">
        <f>IF(AF108="",0,IF(ISTEXT(AF108),H108*VALUE(SUBSTITUTE(AF108,"%",""))/100,H108*AF108))-Tabela1[[#This Row],[PRONTO ACABADO2]]</f>
        <v>0</v>
      </c>
      <c r="AT108" s="37">
        <f>IF(AG108="",0,IF(ISTEXT(AG108),H108*VALUE(SUBSTITUTE(AG108,"%",""))/100,H108*AG108))-Tabela1[[#This Row],[PESO EXPEDIDO2]]</f>
        <v>0</v>
      </c>
      <c r="AU108" s="37">
        <f t="shared" si="24"/>
        <v>31.2</v>
      </c>
      <c r="AV108" s="37">
        <f t="shared" si="25"/>
        <v>31.2</v>
      </c>
      <c r="AW108" s="37"/>
    </row>
    <row r="109" spans="1:49" ht="15.75" customHeight="1" x14ac:dyDescent="0.25">
      <c r="A109" s="6" t="s">
        <v>3150</v>
      </c>
      <c r="B109" s="21"/>
      <c r="C109" s="7">
        <v>5</v>
      </c>
      <c r="D109" s="39" t="s">
        <v>3151</v>
      </c>
      <c r="E109" s="7">
        <v>3806</v>
      </c>
      <c r="F109" s="7">
        <v>23</v>
      </c>
      <c r="G109" s="23">
        <v>6</v>
      </c>
      <c r="H109" s="34">
        <f>Tabela1[[#This Row],[PESO UNI]]*Tabela1[[#This Row],[QTE]]</f>
        <v>30</v>
      </c>
      <c r="I109" s="7">
        <v>0</v>
      </c>
      <c r="J109" s="8" t="s">
        <v>3140</v>
      </c>
      <c r="K109" s="8" t="s">
        <v>33</v>
      </c>
      <c r="L109" s="9" t="s">
        <v>2984</v>
      </c>
      <c r="M109" s="10">
        <v>46188</v>
      </c>
      <c r="N109" s="8" t="s">
        <v>38</v>
      </c>
      <c r="O109" s="12"/>
      <c r="P109" s="13"/>
      <c r="Q109" s="14">
        <f>Tabela1[[#This Row],[QTDE/ Fabricação]]-Tabela1[[#This Row],[QTE]]</f>
        <v>-5</v>
      </c>
      <c r="R109" s="18">
        <f t="shared" si="19"/>
        <v>30</v>
      </c>
      <c r="S109" s="18">
        <f t="shared" si="20"/>
        <v>30</v>
      </c>
      <c r="T109" s="19">
        <f t="shared" si="21"/>
        <v>0</v>
      </c>
      <c r="U109" s="16">
        <f>IFERROR(SUMIF('LISTA DE EMBARQUE'!B:B,MICRO!E:E,'LISTA DE EMBARQUE'!G:G),"")</f>
        <v>0</v>
      </c>
      <c r="V109" s="12" t="str">
        <f>IFERROR(VLOOKUP(Tabela1[[#This Row],[COD.MDE]],'LISTA DE EMBARQUE'!B:L,11,0),"")</f>
        <v/>
      </c>
      <c r="W109" s="13" t="str">
        <f>IFERROR(COUNTIF(#REF!,Tabela1[[#This Row],[Colunas5]]),"")</f>
        <v/>
      </c>
      <c r="X109" s="14">
        <f>Tabela1[[#This Row],[QIANTIDADE EXPEDIDA]]*Tabela1[[#This Row],[PESO UNI]]</f>
        <v>0</v>
      </c>
      <c r="Y109" s="14">
        <f t="shared" si="22"/>
        <v>-5</v>
      </c>
      <c r="Z109" s="20">
        <f>Tabela1[[#This Row],[PESO TOTAL]]-Tabela1[[#This Row],[Peso Expedido]]</f>
        <v>30</v>
      </c>
      <c r="AA109" s="17">
        <v>1</v>
      </c>
      <c r="AB109" s="33"/>
      <c r="AC109" s="33">
        <v>1</v>
      </c>
      <c r="AD109" s="33">
        <v>1</v>
      </c>
      <c r="AE109" s="33">
        <v>1</v>
      </c>
      <c r="AF109" s="33">
        <v>1</v>
      </c>
      <c r="AG109" s="33">
        <v>1</v>
      </c>
      <c r="AH109" s="33"/>
      <c r="AI109" s="33" t="str">
        <f t="shared" si="23"/>
        <v/>
      </c>
      <c r="AJ109" s="5"/>
      <c r="AK109" t="str">
        <f>Tabela1[[#This Row],[Coluna1]]&amp;Tabela1[[#This Row],[PEDIDO]]</f>
        <v>P-198</v>
      </c>
      <c r="AL109"/>
      <c r="AM109"/>
      <c r="AN109"/>
      <c r="AO109" t="str">
        <f t="shared" si="18"/>
        <v>T-073282-1/14-CV-0005</v>
      </c>
      <c r="AP109" t="str">
        <f>Tabela1[[#This Row],[TAG]]&amp;Tabela1[[#This Row],[PEDIDO]]&amp;Tabela1[[#This Row],[PRODUTO]]</f>
        <v>14-CV-0005P-198BASES ROLETES</v>
      </c>
      <c r="AQ109" s="22" t="str">
        <f>Tabela1[[#This Row],[PRODUTO]]&amp;Tabela1[[#This Row],[TAG]]</f>
        <v>BASES ROLETES14-CV-0005</v>
      </c>
      <c r="AR109" s="24" t="str">
        <f>Tabela1[[#This Row],[PEDIDO]]&amp;Tabela1[[#This Row],[PRODUTO]]</f>
        <v>P-198BASES ROLETES</v>
      </c>
      <c r="AS109" s="37">
        <f>IF(AF109="",0,IF(ISTEXT(AF109),H109*VALUE(SUBSTITUTE(AF109,"%",""))/100,H109*AF109))-Tabela1[[#This Row],[PRONTO ACABADO2]]</f>
        <v>0</v>
      </c>
      <c r="AT109" s="37">
        <f>IF(AG109="",0,IF(ISTEXT(AG109),H109*VALUE(SUBSTITUTE(AG109,"%",""))/100,H109*AG109))-Tabela1[[#This Row],[PESO EXPEDIDO2]]</f>
        <v>30</v>
      </c>
      <c r="AU109" s="37">
        <f t="shared" si="24"/>
        <v>0</v>
      </c>
      <c r="AV109" s="37">
        <f t="shared" si="25"/>
        <v>30</v>
      </c>
      <c r="AW109" s="37"/>
    </row>
    <row r="110" spans="1:49" ht="15.75" customHeight="1" x14ac:dyDescent="0.25">
      <c r="A110" s="6" t="s">
        <v>3152</v>
      </c>
      <c r="B110" s="21"/>
      <c r="C110" s="7">
        <v>2</v>
      </c>
      <c r="D110" s="39" t="s">
        <v>3153</v>
      </c>
      <c r="E110" s="7">
        <v>3807</v>
      </c>
      <c r="F110" s="7">
        <v>23</v>
      </c>
      <c r="G110" s="23">
        <v>51.6</v>
      </c>
      <c r="H110" s="34">
        <f>Tabela1[[#This Row],[PESO UNI]]*Tabela1[[#This Row],[QTE]]</f>
        <v>103.2</v>
      </c>
      <c r="I110" s="7">
        <v>0</v>
      </c>
      <c r="J110" s="8" t="s">
        <v>3140</v>
      </c>
      <c r="K110" s="8" t="s">
        <v>33</v>
      </c>
      <c r="L110" s="9" t="s">
        <v>2984</v>
      </c>
      <c r="M110" s="10">
        <v>46188</v>
      </c>
      <c r="N110" s="8" t="s">
        <v>38</v>
      </c>
      <c r="O110" s="12"/>
      <c r="P110" s="13"/>
      <c r="Q110" s="14">
        <f>Tabela1[[#This Row],[QTDE/ Fabricação]]-Tabela1[[#This Row],[QTE]]</f>
        <v>-2</v>
      </c>
      <c r="R110" s="18">
        <f t="shared" si="19"/>
        <v>103.2</v>
      </c>
      <c r="S110" s="18">
        <f t="shared" si="20"/>
        <v>103.2</v>
      </c>
      <c r="T110" s="19">
        <f t="shared" si="21"/>
        <v>0</v>
      </c>
      <c r="U110" s="16">
        <f>IFERROR(SUMIF('LISTA DE EMBARQUE'!B:B,MICRO!E:E,'LISTA DE EMBARQUE'!G:G),"")</f>
        <v>2</v>
      </c>
      <c r="V110" s="12">
        <f>IFERROR(VLOOKUP(Tabela1[[#This Row],[COD.MDE]],'LISTA DE EMBARQUE'!B:L,11,0),"")</f>
        <v>2</v>
      </c>
      <c r="W110" s="13" t="str">
        <f>IFERROR(COUNTIF(#REF!,Tabela1[[#This Row],[Colunas5]]),"")</f>
        <v/>
      </c>
      <c r="X110" s="14">
        <f>Tabela1[[#This Row],[QIANTIDADE EXPEDIDA]]*Tabela1[[#This Row],[PESO UNI]]</f>
        <v>103.2</v>
      </c>
      <c r="Y110" s="14">
        <f t="shared" si="22"/>
        <v>0</v>
      </c>
      <c r="Z110" s="20">
        <f>Tabela1[[#This Row],[PESO TOTAL]]-Tabela1[[#This Row],[Peso Expedido]]</f>
        <v>0</v>
      </c>
      <c r="AA110" s="17">
        <v>1</v>
      </c>
      <c r="AB110" s="33"/>
      <c r="AC110" s="33">
        <v>1</v>
      </c>
      <c r="AD110" s="33">
        <v>1</v>
      </c>
      <c r="AE110" s="33">
        <v>1</v>
      </c>
      <c r="AF110" s="33">
        <v>1</v>
      </c>
      <c r="AG110" s="33">
        <v>1</v>
      </c>
      <c r="AH110" s="33">
        <v>1</v>
      </c>
      <c r="AI110" s="33" t="str">
        <f t="shared" si="23"/>
        <v>ok</v>
      </c>
      <c r="AJ110" s="5"/>
      <c r="AK110" t="str">
        <f>Tabela1[[#This Row],[Coluna1]]&amp;Tabela1[[#This Row],[PEDIDO]]</f>
        <v>P-198</v>
      </c>
      <c r="AL110"/>
      <c r="AM110"/>
      <c r="AN110"/>
      <c r="AO110" t="str">
        <f t="shared" si="18"/>
        <v>T-073281-1/14-CV-0005</v>
      </c>
      <c r="AP110" t="str">
        <f>Tabela1[[#This Row],[TAG]]&amp;Tabela1[[#This Row],[PEDIDO]]&amp;Tabela1[[#This Row],[PRODUTO]]</f>
        <v>14-CV-0005P-198BASES ROLETES</v>
      </c>
      <c r="AQ110" s="22" t="str">
        <f>Tabela1[[#This Row],[PRODUTO]]&amp;Tabela1[[#This Row],[TAG]]</f>
        <v>BASES ROLETES14-CV-0005</v>
      </c>
      <c r="AR110" s="24" t="str">
        <f>Tabela1[[#This Row],[PEDIDO]]&amp;Tabela1[[#This Row],[PRODUTO]]</f>
        <v>P-198BASES ROLETES</v>
      </c>
      <c r="AS110" s="37">
        <f>IF(AF110="",0,IF(ISTEXT(AF110),H110*VALUE(SUBSTITUTE(AF110,"%",""))/100,H110*AF110))-Tabela1[[#This Row],[PRONTO ACABADO2]]</f>
        <v>0</v>
      </c>
      <c r="AT110" s="37">
        <f>IF(AG110="",0,IF(ISTEXT(AG110),H110*VALUE(SUBSTITUTE(AG110,"%",""))/100,H110*AG110))-Tabela1[[#This Row],[PESO EXPEDIDO2]]</f>
        <v>0</v>
      </c>
      <c r="AU110" s="37">
        <f t="shared" si="24"/>
        <v>103.2</v>
      </c>
      <c r="AV110" s="37">
        <f t="shared" si="25"/>
        <v>103.2</v>
      </c>
      <c r="AW110" s="37"/>
    </row>
    <row r="111" spans="1:49" ht="15.75" customHeight="1" x14ac:dyDescent="0.25">
      <c r="A111" s="6" t="s">
        <v>3154</v>
      </c>
      <c r="B111" s="21"/>
      <c r="C111" s="7">
        <v>11</v>
      </c>
      <c r="D111" s="39" t="s">
        <v>3155</v>
      </c>
      <c r="E111" s="7">
        <v>3808</v>
      </c>
      <c r="F111" s="7">
        <v>23</v>
      </c>
      <c r="G111" s="23">
        <v>28.1</v>
      </c>
      <c r="H111" s="34">
        <f>Tabela1[[#This Row],[PESO UNI]]*Tabela1[[#This Row],[QTE]]</f>
        <v>309.10000000000002</v>
      </c>
      <c r="I111" s="7">
        <v>0</v>
      </c>
      <c r="J111" s="8" t="s">
        <v>3140</v>
      </c>
      <c r="K111" s="8" t="s">
        <v>33</v>
      </c>
      <c r="L111" s="9" t="s">
        <v>2984</v>
      </c>
      <c r="M111" s="10">
        <v>46188</v>
      </c>
      <c r="N111" s="8" t="s">
        <v>38</v>
      </c>
      <c r="O111" s="12"/>
      <c r="P111" s="13"/>
      <c r="Q111" s="14">
        <f>Tabela1[[#This Row],[QTDE/ Fabricação]]-Tabela1[[#This Row],[QTE]]</f>
        <v>-11</v>
      </c>
      <c r="R111" s="18">
        <f t="shared" si="19"/>
        <v>309.10000000000002</v>
      </c>
      <c r="S111" s="18">
        <f t="shared" si="20"/>
        <v>309.10000000000002</v>
      </c>
      <c r="T111" s="19">
        <f t="shared" si="21"/>
        <v>0</v>
      </c>
      <c r="U111" s="16">
        <f>IFERROR(SUMIF('LISTA DE EMBARQUE'!B:B,MICRO!E:E,'LISTA DE EMBARQUE'!G:G),"")</f>
        <v>11</v>
      </c>
      <c r="V111" s="12">
        <f>IFERROR(VLOOKUP(Tabela1[[#This Row],[COD.MDE]],'LISTA DE EMBARQUE'!B:L,11,0),"")</f>
        <v>2</v>
      </c>
      <c r="W111" s="13" t="str">
        <f>IFERROR(COUNTIF(#REF!,Tabela1[[#This Row],[Colunas5]]),"")</f>
        <v/>
      </c>
      <c r="X111" s="14">
        <f>Tabela1[[#This Row],[QIANTIDADE EXPEDIDA]]*Tabela1[[#This Row],[PESO UNI]]</f>
        <v>309.10000000000002</v>
      </c>
      <c r="Y111" s="14">
        <f t="shared" si="22"/>
        <v>0</v>
      </c>
      <c r="Z111" s="20">
        <f>Tabela1[[#This Row],[PESO TOTAL]]-Tabela1[[#This Row],[Peso Expedido]]</f>
        <v>0</v>
      </c>
      <c r="AA111" s="17">
        <v>1</v>
      </c>
      <c r="AB111" s="33"/>
      <c r="AC111" s="33">
        <v>1</v>
      </c>
      <c r="AD111" s="33">
        <v>1</v>
      </c>
      <c r="AE111" s="33">
        <v>1</v>
      </c>
      <c r="AF111" s="33">
        <v>1</v>
      </c>
      <c r="AG111" s="33">
        <v>1</v>
      </c>
      <c r="AH111" s="33">
        <v>1</v>
      </c>
      <c r="AI111" s="33" t="str">
        <f t="shared" si="23"/>
        <v>ok</v>
      </c>
      <c r="AJ111" s="5"/>
      <c r="AK111" t="str">
        <f>Tabela1[[#This Row],[Coluna1]]&amp;Tabela1[[#This Row],[PEDIDO]]</f>
        <v>P-198</v>
      </c>
      <c r="AL111"/>
      <c r="AM111"/>
      <c r="AN111"/>
      <c r="AO111" t="str">
        <f t="shared" si="18"/>
        <v>T-073280-1/14-CV-0005</v>
      </c>
      <c r="AP111" t="str">
        <f>Tabela1[[#This Row],[TAG]]&amp;Tabela1[[#This Row],[PEDIDO]]&amp;Tabela1[[#This Row],[PRODUTO]]</f>
        <v>14-CV-0005P-198BASES ROLETES</v>
      </c>
      <c r="AQ111" s="22" t="str">
        <f>Tabela1[[#This Row],[PRODUTO]]&amp;Tabela1[[#This Row],[TAG]]</f>
        <v>BASES ROLETES14-CV-0005</v>
      </c>
      <c r="AR111" s="24" t="str">
        <f>Tabela1[[#This Row],[PEDIDO]]&amp;Tabela1[[#This Row],[PRODUTO]]</f>
        <v>P-198BASES ROLETES</v>
      </c>
      <c r="AS111" s="37">
        <f>IF(AF111="",0,IF(ISTEXT(AF111),H111*VALUE(SUBSTITUTE(AF111,"%",""))/100,H111*AF111))-Tabela1[[#This Row],[PRONTO ACABADO2]]</f>
        <v>0</v>
      </c>
      <c r="AT111" s="37">
        <f>IF(AG111="",0,IF(ISTEXT(AG111),H111*VALUE(SUBSTITUTE(AG111,"%",""))/100,H111*AG111))-Tabela1[[#This Row],[PESO EXPEDIDO2]]</f>
        <v>0</v>
      </c>
      <c r="AU111" s="37">
        <f t="shared" si="24"/>
        <v>309.10000000000002</v>
      </c>
      <c r="AV111" s="37">
        <f t="shared" si="25"/>
        <v>309.10000000000002</v>
      </c>
      <c r="AW111" s="37"/>
    </row>
    <row r="112" spans="1:49" ht="15.75" customHeight="1" x14ac:dyDescent="0.25">
      <c r="A112" s="6" t="s">
        <v>3156</v>
      </c>
      <c r="B112" s="21"/>
      <c r="C112" s="7">
        <v>14</v>
      </c>
      <c r="D112" s="39" t="s">
        <v>3159</v>
      </c>
      <c r="E112" s="7">
        <v>3809</v>
      </c>
      <c r="F112" s="7">
        <v>23</v>
      </c>
      <c r="G112" s="23">
        <v>28</v>
      </c>
      <c r="H112" s="34">
        <f>Tabela1[[#This Row],[PESO UNI]]*Tabela1[[#This Row],[QTE]]</f>
        <v>392</v>
      </c>
      <c r="I112" s="7">
        <v>0</v>
      </c>
      <c r="J112" s="8" t="s">
        <v>3140</v>
      </c>
      <c r="K112" s="8" t="s">
        <v>33</v>
      </c>
      <c r="L112" s="9" t="s">
        <v>2984</v>
      </c>
      <c r="M112" s="10">
        <v>46188</v>
      </c>
      <c r="N112" s="8" t="s">
        <v>38</v>
      </c>
      <c r="O112" s="12"/>
      <c r="P112" s="13"/>
      <c r="Q112" s="14">
        <f>Tabela1[[#This Row],[QTDE/ Fabricação]]-Tabela1[[#This Row],[QTE]]</f>
        <v>-14</v>
      </c>
      <c r="R112" s="18">
        <f t="shared" si="19"/>
        <v>392</v>
      </c>
      <c r="S112" s="18">
        <f t="shared" si="20"/>
        <v>392</v>
      </c>
      <c r="T112" s="19">
        <f t="shared" si="21"/>
        <v>0</v>
      </c>
      <c r="U112" s="16">
        <f>IFERROR(SUMIF('LISTA DE EMBARQUE'!B:B,MICRO!E:E,'LISTA DE EMBARQUE'!G:G),"")</f>
        <v>14</v>
      </c>
      <c r="V112" s="12">
        <f>IFERROR(VLOOKUP(Tabela1[[#This Row],[COD.MDE]],'LISTA DE EMBARQUE'!B:L,11,0),"")</f>
        <v>1</v>
      </c>
      <c r="W112" s="13" t="str">
        <f>IFERROR(COUNTIF(#REF!,Tabela1[[#This Row],[Colunas5]]),"")</f>
        <v/>
      </c>
      <c r="X112" s="14">
        <f>Tabela1[[#This Row],[QIANTIDADE EXPEDIDA]]*Tabela1[[#This Row],[PESO UNI]]</f>
        <v>392</v>
      </c>
      <c r="Y112" s="14">
        <f t="shared" si="22"/>
        <v>0</v>
      </c>
      <c r="Z112" s="20">
        <f>Tabela1[[#This Row],[PESO TOTAL]]-Tabela1[[#This Row],[Peso Expedido]]</f>
        <v>0</v>
      </c>
      <c r="AA112" s="17">
        <v>1</v>
      </c>
      <c r="AB112" s="33"/>
      <c r="AC112" s="33">
        <v>1</v>
      </c>
      <c r="AD112" s="33">
        <v>1</v>
      </c>
      <c r="AE112" s="33">
        <v>1</v>
      </c>
      <c r="AF112" s="33">
        <v>1</v>
      </c>
      <c r="AG112" s="33">
        <v>1</v>
      </c>
      <c r="AH112" s="33">
        <v>1</v>
      </c>
      <c r="AI112" s="33" t="str">
        <f t="shared" si="23"/>
        <v>ok</v>
      </c>
      <c r="AJ112" s="5"/>
      <c r="AK112" t="str">
        <f>Tabela1[[#This Row],[Coluna1]]&amp;Tabela1[[#This Row],[PEDIDO]]</f>
        <v>P-198</v>
      </c>
      <c r="AL112"/>
      <c r="AM112"/>
      <c r="AN112"/>
      <c r="AO112" t="str">
        <f t="shared" si="18"/>
        <v>T-073279-1/14-CV-0005</v>
      </c>
      <c r="AP112" t="str">
        <f>Tabela1[[#This Row],[TAG]]&amp;Tabela1[[#This Row],[PEDIDO]]&amp;Tabela1[[#This Row],[PRODUTO]]</f>
        <v>14-CV-0005P-198BASES ROLETES</v>
      </c>
      <c r="AQ112" s="22" t="str">
        <f>Tabela1[[#This Row],[PRODUTO]]&amp;Tabela1[[#This Row],[TAG]]</f>
        <v>BASES ROLETES14-CV-0005</v>
      </c>
      <c r="AR112" s="24" t="str">
        <f>Tabela1[[#This Row],[PEDIDO]]&amp;Tabela1[[#This Row],[PRODUTO]]</f>
        <v>P-198BASES ROLETES</v>
      </c>
      <c r="AS112" s="37">
        <f>IF(AF112="",0,IF(ISTEXT(AF112),H112*VALUE(SUBSTITUTE(AF112,"%",""))/100,H112*AF112))-Tabela1[[#This Row],[PRONTO ACABADO2]]</f>
        <v>0</v>
      </c>
      <c r="AT112" s="37">
        <f>IF(AG112="",0,IF(ISTEXT(AG112),H112*VALUE(SUBSTITUTE(AG112,"%",""))/100,H112*AG112))-Tabela1[[#This Row],[PESO EXPEDIDO2]]</f>
        <v>0</v>
      </c>
      <c r="AU112" s="37">
        <f t="shared" si="24"/>
        <v>392</v>
      </c>
      <c r="AV112" s="37">
        <f t="shared" si="25"/>
        <v>392</v>
      </c>
      <c r="AW112" s="37"/>
    </row>
    <row r="113" spans="1:49" ht="15.75" customHeight="1" x14ac:dyDescent="0.25">
      <c r="A113" s="6" t="s">
        <v>3157</v>
      </c>
      <c r="B113" s="21"/>
      <c r="C113" s="7">
        <v>1</v>
      </c>
      <c r="D113" s="39" t="s">
        <v>3158</v>
      </c>
      <c r="E113" s="7">
        <v>3810</v>
      </c>
      <c r="F113" s="7">
        <v>23</v>
      </c>
      <c r="G113" s="37">
        <v>41.8</v>
      </c>
      <c r="H113" s="34">
        <f>Tabela1[[#This Row],[PESO UNI]]*Tabela1[[#This Row],[QTE]]</f>
        <v>41.8</v>
      </c>
      <c r="I113" s="7">
        <v>0</v>
      </c>
      <c r="J113" s="8" t="s">
        <v>3140</v>
      </c>
      <c r="K113" s="8" t="s">
        <v>33</v>
      </c>
      <c r="L113" s="9" t="s">
        <v>2984</v>
      </c>
      <c r="M113" s="10">
        <v>46188</v>
      </c>
      <c r="N113" s="8" t="s">
        <v>38</v>
      </c>
      <c r="O113" s="12"/>
      <c r="P113" s="13"/>
      <c r="Q113" s="14">
        <f>Tabela1[[#This Row],[QTDE/ Fabricação]]-Tabela1[[#This Row],[QTE]]</f>
        <v>-1</v>
      </c>
      <c r="R113" s="18">
        <f t="shared" si="19"/>
        <v>41.8</v>
      </c>
      <c r="S113" s="18">
        <f t="shared" si="20"/>
        <v>41.8</v>
      </c>
      <c r="T113" s="19">
        <f t="shared" si="21"/>
        <v>0</v>
      </c>
      <c r="U113" s="16">
        <f>IFERROR(SUMIF('LISTA DE EMBARQUE'!B:B,MICRO!E:E,'LISTA DE EMBARQUE'!G:G),"")</f>
        <v>1</v>
      </c>
      <c r="V113" s="12">
        <f>IFERROR(VLOOKUP(Tabela1[[#This Row],[COD.MDE]],'LISTA DE EMBARQUE'!B:L,11,0),"")</f>
        <v>2</v>
      </c>
      <c r="W113" s="13" t="str">
        <f>IFERROR(COUNTIF(#REF!,Tabela1[[#This Row],[Colunas5]]),"")</f>
        <v/>
      </c>
      <c r="X113" s="14">
        <f>Tabela1[[#This Row],[QIANTIDADE EXPEDIDA]]*Tabela1[[#This Row],[PESO UNI]]</f>
        <v>41.8</v>
      </c>
      <c r="Y113" s="14">
        <f t="shared" si="22"/>
        <v>0</v>
      </c>
      <c r="Z113" s="20">
        <f>Tabela1[[#This Row],[PESO TOTAL]]-Tabela1[[#This Row],[Peso Expedido]]</f>
        <v>0</v>
      </c>
      <c r="AA113" s="17">
        <v>1</v>
      </c>
      <c r="AB113" s="33"/>
      <c r="AC113" s="33">
        <v>1</v>
      </c>
      <c r="AD113" s="33">
        <v>1</v>
      </c>
      <c r="AE113" s="33">
        <v>1</v>
      </c>
      <c r="AF113" s="33">
        <v>1</v>
      </c>
      <c r="AG113" s="33">
        <v>1</v>
      </c>
      <c r="AH113" s="33">
        <v>1</v>
      </c>
      <c r="AI113" s="33" t="str">
        <f t="shared" si="23"/>
        <v>ok</v>
      </c>
      <c r="AJ113" s="5"/>
      <c r="AK113" t="str">
        <f>Tabela1[[#This Row],[Coluna1]]&amp;Tabela1[[#This Row],[PEDIDO]]</f>
        <v>P-198</v>
      </c>
      <c r="AL113"/>
      <c r="AM113"/>
      <c r="AN113"/>
      <c r="AO113" t="str">
        <f t="shared" si="18"/>
        <v>T-073278-1/14-CV-0005</v>
      </c>
      <c r="AP113" t="str">
        <f>Tabela1[[#This Row],[TAG]]&amp;Tabela1[[#This Row],[PEDIDO]]&amp;Tabela1[[#This Row],[PRODUTO]]</f>
        <v>14-CV-0005P-198BASES ROLETES</v>
      </c>
      <c r="AQ113" s="22" t="str">
        <f>Tabela1[[#This Row],[PRODUTO]]&amp;Tabela1[[#This Row],[TAG]]</f>
        <v>BASES ROLETES14-CV-0005</v>
      </c>
      <c r="AR113" s="24" t="str">
        <f>Tabela1[[#This Row],[PEDIDO]]&amp;Tabela1[[#This Row],[PRODUTO]]</f>
        <v>P-198BASES ROLETES</v>
      </c>
      <c r="AS113" s="37">
        <f>IF(AF113="",0,IF(ISTEXT(AF113),H113*VALUE(SUBSTITUTE(AF113,"%",""))/100,H113*AF113))-Tabela1[[#This Row],[PRONTO ACABADO2]]</f>
        <v>0</v>
      </c>
      <c r="AT113" s="37">
        <f>IF(AG113="",0,IF(ISTEXT(AG113),H113*VALUE(SUBSTITUTE(AG113,"%",""))/100,H113*AG113))-Tabela1[[#This Row],[PESO EXPEDIDO2]]</f>
        <v>0</v>
      </c>
      <c r="AU113" s="37">
        <f t="shared" si="24"/>
        <v>41.8</v>
      </c>
      <c r="AV113" s="37">
        <f t="shared" si="25"/>
        <v>41.8</v>
      </c>
      <c r="AW113" s="37"/>
    </row>
    <row r="114" spans="1:49" ht="15.75" customHeight="1" x14ac:dyDescent="0.25">
      <c r="A114" s="6" t="s">
        <v>3063</v>
      </c>
      <c r="B114" s="21"/>
      <c r="C114" s="7">
        <v>4</v>
      </c>
      <c r="D114" s="39" t="s">
        <v>3160</v>
      </c>
      <c r="E114" s="7">
        <v>3811</v>
      </c>
      <c r="F114" s="7">
        <v>23</v>
      </c>
      <c r="G114" s="23">
        <v>2.7</v>
      </c>
      <c r="H114" s="34">
        <f>Tabela1[[#This Row],[PESO UNI]]*Tabela1[[#This Row],[QTE]]</f>
        <v>10.8</v>
      </c>
      <c r="I114" s="7">
        <v>0</v>
      </c>
      <c r="J114" s="8" t="s">
        <v>3140</v>
      </c>
      <c r="K114" s="8" t="s">
        <v>33</v>
      </c>
      <c r="L114" s="9" t="s">
        <v>2984</v>
      </c>
      <c r="M114" s="10">
        <v>46188</v>
      </c>
      <c r="N114" s="8" t="s">
        <v>38</v>
      </c>
      <c r="O114" s="12"/>
      <c r="P114" s="13"/>
      <c r="Q114" s="14">
        <f>Tabela1[[#This Row],[QTDE/ Fabricação]]-Tabela1[[#This Row],[QTE]]</f>
        <v>-4</v>
      </c>
      <c r="R114" s="18">
        <f t="shared" si="19"/>
        <v>10.8</v>
      </c>
      <c r="S114" s="18">
        <f t="shared" si="20"/>
        <v>10.8</v>
      </c>
      <c r="T114" s="19">
        <f t="shared" si="21"/>
        <v>0</v>
      </c>
      <c r="U114" s="16">
        <f>IFERROR(SUMIF('LISTA DE EMBARQUE'!B:B,MICRO!E:E,'LISTA DE EMBARQUE'!G:G),"")</f>
        <v>4</v>
      </c>
      <c r="V114" s="12">
        <f>IFERROR(VLOOKUP(Tabela1[[#This Row],[COD.MDE]],'LISTA DE EMBARQUE'!B:L,11,0),"")</f>
        <v>1</v>
      </c>
      <c r="W114" s="13" t="str">
        <f>IFERROR(COUNTIF(#REF!,Tabela1[[#This Row],[Colunas5]]),"")</f>
        <v/>
      </c>
      <c r="X114" s="14">
        <f>Tabela1[[#This Row],[QIANTIDADE EXPEDIDA]]*Tabela1[[#This Row],[PESO UNI]]</f>
        <v>10.8</v>
      </c>
      <c r="Y114" s="14">
        <f t="shared" si="22"/>
        <v>0</v>
      </c>
      <c r="Z114" s="20">
        <f>Tabela1[[#This Row],[PESO TOTAL]]-Tabela1[[#This Row],[Peso Expedido]]</f>
        <v>0</v>
      </c>
      <c r="AA114" s="17">
        <v>1</v>
      </c>
      <c r="AB114" s="33"/>
      <c r="AC114" s="33">
        <v>1</v>
      </c>
      <c r="AD114" s="33">
        <v>1</v>
      </c>
      <c r="AE114" s="33">
        <v>1</v>
      </c>
      <c r="AF114" s="33">
        <v>1</v>
      </c>
      <c r="AG114" s="33">
        <v>1</v>
      </c>
      <c r="AH114" s="33">
        <v>1</v>
      </c>
      <c r="AI114" s="33" t="str">
        <f t="shared" si="23"/>
        <v>ok</v>
      </c>
      <c r="AJ114" s="5"/>
      <c r="AK114" t="str">
        <f>Tabela1[[#This Row],[Coluna1]]&amp;Tabela1[[#This Row],[PEDIDO]]</f>
        <v>P-198</v>
      </c>
      <c r="AL114"/>
      <c r="AM114"/>
      <c r="AN114"/>
      <c r="AO114" t="str">
        <f t="shared" si="18"/>
        <v>T-054923-1/14-CV-0005</v>
      </c>
      <c r="AP114" t="str">
        <f>Tabela1[[#This Row],[TAG]]&amp;Tabela1[[#This Row],[PEDIDO]]&amp;Tabela1[[#This Row],[PRODUTO]]</f>
        <v>14-CV-0005P-198BASES ROLETES</v>
      </c>
      <c r="AQ114" s="22" t="str">
        <f>Tabela1[[#This Row],[PRODUTO]]&amp;Tabela1[[#This Row],[TAG]]</f>
        <v>BASES ROLETES14-CV-0005</v>
      </c>
      <c r="AR114" s="24" t="str">
        <f>Tabela1[[#This Row],[PEDIDO]]&amp;Tabela1[[#This Row],[PRODUTO]]</f>
        <v>P-198BASES ROLETES</v>
      </c>
      <c r="AS114" s="37">
        <f>IF(AF114="",0,IF(ISTEXT(AF114),H114*VALUE(SUBSTITUTE(AF114,"%",""))/100,H114*AF114))-Tabela1[[#This Row],[PRONTO ACABADO2]]</f>
        <v>0</v>
      </c>
      <c r="AT114" s="37">
        <f>IF(AG114="",0,IF(ISTEXT(AG114),H114*VALUE(SUBSTITUTE(AG114,"%",""))/100,H114*AG114))-Tabela1[[#This Row],[PESO EXPEDIDO2]]</f>
        <v>0</v>
      </c>
      <c r="AU114" s="37">
        <f t="shared" si="24"/>
        <v>10.8</v>
      </c>
      <c r="AV114" s="37">
        <f t="shared" si="25"/>
        <v>10.8</v>
      </c>
      <c r="AW114" s="37"/>
    </row>
    <row r="115" spans="1:49" ht="15.75" customHeight="1" x14ac:dyDescent="0.25">
      <c r="A115" s="6" t="s">
        <v>149</v>
      </c>
      <c r="B115" s="21"/>
      <c r="C115" s="7">
        <v>3</v>
      </c>
      <c r="D115" s="39" t="s">
        <v>3171</v>
      </c>
      <c r="E115" s="7">
        <v>3812</v>
      </c>
      <c r="F115" s="7">
        <v>1</v>
      </c>
      <c r="G115" s="37">
        <v>32.4</v>
      </c>
      <c r="H115" s="34">
        <f>Tabela1[[#This Row],[PESO UNI]]*Tabela1[[#This Row],[QTE]]</f>
        <v>97.199999999999989</v>
      </c>
      <c r="I115" s="7">
        <v>0</v>
      </c>
      <c r="J115" s="8" t="s">
        <v>3168</v>
      </c>
      <c r="K115" s="8" t="s">
        <v>33</v>
      </c>
      <c r="L115" s="9" t="s">
        <v>3163</v>
      </c>
      <c r="M115" s="10">
        <v>46192</v>
      </c>
      <c r="N115" s="8" t="s">
        <v>38</v>
      </c>
      <c r="O115" s="12"/>
      <c r="P115" s="13"/>
      <c r="Q115" s="14">
        <f>Tabela1[[#This Row],[QTDE/ Fabricação]]-Tabela1[[#This Row],[QTE]]</f>
        <v>-3</v>
      </c>
      <c r="R115" s="18">
        <f t="shared" ref="R115:R148" si="26">IFERROR(H115*((AA115*0.25)+(AC115*0.25)+(AD115*0.225)+(AE115*0.225)+(AF115*0.05)),"")</f>
        <v>78.48899999999999</v>
      </c>
      <c r="S115" s="18">
        <f t="shared" si="20"/>
        <v>29.159999999999997</v>
      </c>
      <c r="T115" s="19">
        <f t="shared" ref="T115:T148" si="27">IFERROR(S115-H115,"")</f>
        <v>-68.039999999999992</v>
      </c>
      <c r="U115" s="16">
        <f>IFERROR(SUMIF('LISTA DE EMBARQUE'!B:B,MICRO!E:E,'LISTA DE EMBARQUE'!G:G),"")</f>
        <v>0</v>
      </c>
      <c r="V115" s="12" t="str">
        <f>IFERROR(VLOOKUP(Tabela1[[#This Row],[COD.MDE]],'LISTA DE EMBARQUE'!B:L,11,0),"")</f>
        <v/>
      </c>
      <c r="W115" s="13" t="str">
        <f>IFERROR(COUNTIF(#REF!,Tabela1[[#This Row],[Colunas5]]),"")</f>
        <v/>
      </c>
      <c r="X115" s="14">
        <f>Tabela1[[#This Row],[QIANTIDADE EXPEDIDA]]*Tabela1[[#This Row],[PESO UNI]]</f>
        <v>0</v>
      </c>
      <c r="Y115" s="14">
        <f t="shared" si="22"/>
        <v>-3</v>
      </c>
      <c r="Z115" s="20">
        <f>Tabela1[[#This Row],[PESO TOTAL]]-Tabela1[[#This Row],[Peso Expedido]]</f>
        <v>97.199999999999989</v>
      </c>
      <c r="AA115" s="17">
        <v>1</v>
      </c>
      <c r="AB115" s="33"/>
      <c r="AC115" s="33">
        <v>1</v>
      </c>
      <c r="AD115" s="33">
        <v>1</v>
      </c>
      <c r="AE115" s="33">
        <v>0.3</v>
      </c>
      <c r="AF115" s="33">
        <v>0.3</v>
      </c>
      <c r="AG115" s="33">
        <v>0.3</v>
      </c>
      <c r="AH115" s="33"/>
      <c r="AI115" s="33" t="str">
        <f t="shared" si="23"/>
        <v/>
      </c>
      <c r="AJ115" s="5"/>
      <c r="AK115" t="str">
        <f>Tabela1[[#This Row],[Coluna1]]&amp;Tabela1[[#This Row],[PEDIDO]]</f>
        <v>P-205</v>
      </c>
      <c r="AL115"/>
      <c r="AM115"/>
      <c r="AN115"/>
      <c r="AO115" t="str">
        <f t="shared" si="18"/>
        <v>T-008064-1/P205</v>
      </c>
      <c r="AP115" t="str">
        <f>Tabela1[[#This Row],[TAG]]&amp;Tabela1[[#This Row],[PEDIDO]]&amp;Tabela1[[#This Row],[PRODUTO]]</f>
        <v>P205P-205BASES ROLETES</v>
      </c>
      <c r="AQ115" s="22" t="str">
        <f>Tabela1[[#This Row],[PRODUTO]]&amp;Tabela1[[#This Row],[TAG]]</f>
        <v>BASES ROLETESP205</v>
      </c>
      <c r="AR115" s="24" t="str">
        <f>Tabela1[[#This Row],[PEDIDO]]&amp;Tabela1[[#This Row],[PRODUTO]]</f>
        <v>P-205BASES ROLETES</v>
      </c>
      <c r="AS115" s="37">
        <f>IF(AF115="",0,IF(ISTEXT(AF115),H115*VALUE(SUBSTITUTE(AF115,"%",""))/100,H115*AF115))-Tabela1[[#This Row],[PRONTO ACABADO2]]</f>
        <v>0</v>
      </c>
      <c r="AT115" s="37">
        <f>IF(AG115="",0,IF(ISTEXT(AG115),H115*VALUE(SUBSTITUTE(AG115,"%",""))/100,H115*AG115))-Tabela1[[#This Row],[PESO EXPEDIDO2]]</f>
        <v>29.159999999999997</v>
      </c>
      <c r="AU115" s="37">
        <f t="shared" si="24"/>
        <v>0</v>
      </c>
      <c r="AV115" s="37">
        <f t="shared" si="25"/>
        <v>29.159999999999997</v>
      </c>
      <c r="AW115" s="37"/>
    </row>
    <row r="116" spans="1:49" ht="15.75" customHeight="1" x14ac:dyDescent="0.25">
      <c r="A116" s="6" t="s">
        <v>3172</v>
      </c>
      <c r="B116" s="21" t="s">
        <v>3179</v>
      </c>
      <c r="C116" s="7">
        <v>1</v>
      </c>
      <c r="D116" s="39" t="s">
        <v>3173</v>
      </c>
      <c r="E116" s="7">
        <v>3813</v>
      </c>
      <c r="F116" s="7">
        <v>26</v>
      </c>
      <c r="G116" s="37">
        <v>20.9</v>
      </c>
      <c r="H116" s="34">
        <f>Tabela1[[#This Row],[PESO UNI]]*Tabela1[[#This Row],[QTE]]</f>
        <v>20.9</v>
      </c>
      <c r="I116" s="7">
        <v>0</v>
      </c>
      <c r="J116" s="8" t="s">
        <v>3034</v>
      </c>
      <c r="K116" s="8" t="s">
        <v>31</v>
      </c>
      <c r="L116" s="9" t="s">
        <v>2984</v>
      </c>
      <c r="M116" s="10">
        <v>46189</v>
      </c>
      <c r="N116" s="8" t="s">
        <v>38</v>
      </c>
      <c r="O116" s="12"/>
      <c r="P116" s="13"/>
      <c r="Q116" s="14">
        <f>Tabela1[[#This Row],[QTDE/ Fabricação]]-Tabela1[[#This Row],[QTE]]</f>
        <v>-1</v>
      </c>
      <c r="R116" s="18">
        <f t="shared" si="26"/>
        <v>0</v>
      </c>
      <c r="S116" s="18">
        <f t="shared" si="20"/>
        <v>0</v>
      </c>
      <c r="T116" s="19">
        <f t="shared" si="27"/>
        <v>-20.9</v>
      </c>
      <c r="U116" s="16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>IFERROR(COUNTIF(#REF!,Tabela1[[#This Row],[Colunas5]]),"")</f>
        <v/>
      </c>
      <c r="X116" s="14">
        <f>Tabela1[[#This Row],[QIANTIDADE EXPEDIDA]]*Tabela1[[#This Row],[PESO UNI]]</f>
        <v>0</v>
      </c>
      <c r="Y116" s="14">
        <f t="shared" si="22"/>
        <v>-1</v>
      </c>
      <c r="Z116" s="20">
        <f>Tabela1[[#This Row],[PESO TOTAL]]-Tabela1[[#This Row],[Peso Expedido]]</f>
        <v>20.9</v>
      </c>
      <c r="AA116" s="17"/>
      <c r="AB116" s="33"/>
      <c r="AC116" s="33"/>
      <c r="AD116" s="33"/>
      <c r="AE116" s="33"/>
      <c r="AF116" s="33"/>
      <c r="AG116" s="33"/>
      <c r="AH116" s="33"/>
      <c r="AI116" s="33" t="str">
        <f t="shared" si="23"/>
        <v/>
      </c>
      <c r="AJ116" s="5"/>
      <c r="AK116" t="str">
        <f>Tabela1[[#This Row],[Coluna1]]&amp;Tabela1[[#This Row],[PEDIDO]]</f>
        <v>P-198</v>
      </c>
      <c r="AL116"/>
      <c r="AM116"/>
      <c r="AN116"/>
      <c r="AO116" t="str">
        <f t="shared" si="18"/>
        <v>T-073202-1/05-CV-0001</v>
      </c>
      <c r="AP116" t="str">
        <f>Tabela1[[#This Row],[TAG]]&amp;Tabela1[[#This Row],[PEDIDO]]&amp;Tabela1[[#This Row],[PRODUTO]]</f>
        <v>05-CV-0001P-198ESTRUTURA</v>
      </c>
      <c r="AQ116" s="22" t="str">
        <f>Tabela1[[#This Row],[PRODUTO]]&amp;Tabela1[[#This Row],[TAG]]</f>
        <v>ESTRUTURA05-CV-0001</v>
      </c>
      <c r="AR116" s="24" t="str">
        <f>Tabela1[[#This Row],[PEDIDO]]&amp;Tabela1[[#This Row],[PRODUTO]]</f>
        <v>P-198ESTRUTURA</v>
      </c>
      <c r="AS116" s="37">
        <f>IF(AF116="",0,IF(ISTEXT(AF116),H116*VALUE(SUBSTITUTE(AF116,"%",""))/100,H116*AF116))-Tabela1[[#This Row],[PRONTO ACABADO2]]</f>
        <v>0</v>
      </c>
      <c r="AT116" s="37">
        <f>IF(AG116="",0,IF(ISTEXT(AG116),H116*VALUE(SUBSTITUTE(AG116,"%",""))/100,H116*AG116))-Tabela1[[#This Row],[PESO EXPEDIDO2]]</f>
        <v>0</v>
      </c>
      <c r="AU116" s="37">
        <f t="shared" si="24"/>
        <v>0</v>
      </c>
      <c r="AV116" s="37">
        <f t="shared" si="25"/>
        <v>0</v>
      </c>
      <c r="AW116" s="37"/>
    </row>
    <row r="117" spans="1:49" ht="15.75" customHeight="1" x14ac:dyDescent="0.25">
      <c r="A117" s="6" t="s">
        <v>3172</v>
      </c>
      <c r="B117" s="21" t="s">
        <v>3179</v>
      </c>
      <c r="C117" s="7">
        <v>4</v>
      </c>
      <c r="D117" s="39" t="s">
        <v>3174</v>
      </c>
      <c r="E117" s="7">
        <v>3814</v>
      </c>
      <c r="F117" s="7">
        <v>26</v>
      </c>
      <c r="G117" s="37">
        <v>42.9</v>
      </c>
      <c r="H117" s="34">
        <f>Tabela1[[#This Row],[PESO UNI]]*Tabela1[[#This Row],[QTE]]</f>
        <v>171.6</v>
      </c>
      <c r="I117" s="7">
        <v>0</v>
      </c>
      <c r="J117" s="8" t="s">
        <v>3034</v>
      </c>
      <c r="K117" s="8" t="s">
        <v>31</v>
      </c>
      <c r="L117" s="9" t="s">
        <v>2984</v>
      </c>
      <c r="M117" s="10">
        <v>46189</v>
      </c>
      <c r="N117" s="8" t="s">
        <v>38</v>
      </c>
      <c r="O117" s="12"/>
      <c r="P117" s="13"/>
      <c r="Q117" s="14">
        <f>Tabela1[[#This Row],[QTDE/ Fabricação]]-Tabela1[[#This Row],[QTE]]</f>
        <v>-4</v>
      </c>
      <c r="R117" s="18">
        <f t="shared" si="26"/>
        <v>0</v>
      </c>
      <c r="S117" s="18">
        <f t="shared" si="20"/>
        <v>0</v>
      </c>
      <c r="T117" s="19">
        <f t="shared" si="27"/>
        <v>-171.6</v>
      </c>
      <c r="U117" s="16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>IFERROR(COUNTIF(#REF!,Tabela1[[#This Row],[Colunas5]]),"")</f>
        <v/>
      </c>
      <c r="X117" s="14">
        <f>Tabela1[[#This Row],[QIANTIDADE EXPEDIDA]]*Tabela1[[#This Row],[PESO UNI]]</f>
        <v>0</v>
      </c>
      <c r="Y117" s="14">
        <f t="shared" ref="Y117:Y153" si="28">U117-C117</f>
        <v>-4</v>
      </c>
      <c r="Z117" s="20">
        <f>Tabela1[[#This Row],[PESO TOTAL]]-Tabela1[[#This Row],[Peso Expedido]]</f>
        <v>171.6</v>
      </c>
      <c r="AA117" s="17"/>
      <c r="AB117" s="33"/>
      <c r="AC117" s="33"/>
      <c r="AD117" s="33"/>
      <c r="AE117" s="33"/>
      <c r="AF117" s="33"/>
      <c r="AG117" s="33"/>
      <c r="AH117" s="33"/>
      <c r="AI117" s="33" t="str">
        <f t="shared" si="23"/>
        <v/>
      </c>
      <c r="AJ117" s="5"/>
      <c r="AK117" t="str">
        <f>Tabela1[[#This Row],[Coluna1]]&amp;Tabela1[[#This Row],[PEDIDO]]</f>
        <v>P-198</v>
      </c>
      <c r="AL117"/>
      <c r="AM117"/>
      <c r="AN117"/>
      <c r="AO117" t="str">
        <f t="shared" si="18"/>
        <v>T-073202-1/05-CV-0001</v>
      </c>
      <c r="AP117" t="str">
        <f>Tabela1[[#This Row],[TAG]]&amp;Tabela1[[#This Row],[PEDIDO]]&amp;Tabela1[[#This Row],[PRODUTO]]</f>
        <v>05-CV-0001P-198ESTRUTURA</v>
      </c>
      <c r="AQ117" s="22" t="str">
        <f>Tabela1[[#This Row],[PRODUTO]]&amp;Tabela1[[#This Row],[TAG]]</f>
        <v>ESTRUTURA05-CV-0001</v>
      </c>
      <c r="AR117" s="24" t="str">
        <f>Tabela1[[#This Row],[PEDIDO]]&amp;Tabela1[[#This Row],[PRODUTO]]</f>
        <v>P-198ESTRUTURA</v>
      </c>
      <c r="AS117" s="37">
        <f>IF(AF117="",0,IF(ISTEXT(AF117),H117*VALUE(SUBSTITUTE(AF117,"%",""))/100,H117*AF117))-Tabela1[[#This Row],[PRONTO ACABADO2]]</f>
        <v>0</v>
      </c>
      <c r="AT117" s="37">
        <f>IF(AG117="",0,IF(ISTEXT(AG117),H117*VALUE(SUBSTITUTE(AG117,"%",""))/100,H117*AG117))-Tabela1[[#This Row],[PESO EXPEDIDO2]]</f>
        <v>0</v>
      </c>
      <c r="AU117" s="37">
        <f t="shared" si="24"/>
        <v>0</v>
      </c>
      <c r="AV117" s="37">
        <f t="shared" si="25"/>
        <v>0</v>
      </c>
      <c r="AW117" s="37"/>
    </row>
    <row r="118" spans="1:49" ht="15.75" customHeight="1" x14ac:dyDescent="0.25">
      <c r="A118" s="6" t="s">
        <v>3172</v>
      </c>
      <c r="B118" s="21" t="s">
        <v>3179</v>
      </c>
      <c r="C118" s="7">
        <v>1</v>
      </c>
      <c r="D118" s="39" t="s">
        <v>3175</v>
      </c>
      <c r="E118" s="7">
        <v>3815</v>
      </c>
      <c r="F118" s="7">
        <v>26</v>
      </c>
      <c r="G118" s="37">
        <v>44</v>
      </c>
      <c r="H118" s="34">
        <f>Tabela1[[#This Row],[PESO UNI]]*Tabela1[[#This Row],[QTE]]</f>
        <v>44</v>
      </c>
      <c r="I118" s="7">
        <v>0</v>
      </c>
      <c r="J118" s="8" t="s">
        <v>3034</v>
      </c>
      <c r="K118" s="8" t="s">
        <v>31</v>
      </c>
      <c r="L118" s="9" t="s">
        <v>2984</v>
      </c>
      <c r="M118" s="10">
        <v>46189</v>
      </c>
      <c r="N118" s="8" t="s">
        <v>38</v>
      </c>
      <c r="O118" s="12"/>
      <c r="P118" s="13"/>
      <c r="Q118" s="14">
        <f>Tabela1[[#This Row],[QTDE/ Fabricação]]-Tabela1[[#This Row],[QTE]]</f>
        <v>-1</v>
      </c>
      <c r="R118" s="18">
        <f t="shared" si="26"/>
        <v>0</v>
      </c>
      <c r="S118" s="18">
        <f t="shared" ref="S118:S153" si="29">IFERROR(H118*AG118,"")</f>
        <v>0</v>
      </c>
      <c r="T118" s="19">
        <f t="shared" si="27"/>
        <v>-44</v>
      </c>
      <c r="U118" s="16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>IFERROR(COUNTIF(#REF!,Tabela1[[#This Row],[Colunas5]]),"")</f>
        <v/>
      </c>
      <c r="X118" s="14">
        <f>Tabela1[[#This Row],[QIANTIDADE EXPEDIDA]]*Tabela1[[#This Row],[PESO UNI]]</f>
        <v>0</v>
      </c>
      <c r="Y118" s="14">
        <f t="shared" si="28"/>
        <v>-1</v>
      </c>
      <c r="Z118" s="20">
        <f>Tabela1[[#This Row],[PESO TOTAL]]-Tabela1[[#This Row],[Peso Expedido]]</f>
        <v>44</v>
      </c>
      <c r="AA118" s="17"/>
      <c r="AB118" s="33"/>
      <c r="AC118" s="33"/>
      <c r="AD118" s="33"/>
      <c r="AE118" s="33"/>
      <c r="AF118" s="33"/>
      <c r="AG118" s="33"/>
      <c r="AH118" s="33"/>
      <c r="AI118" s="33" t="str">
        <f t="shared" si="23"/>
        <v/>
      </c>
      <c r="AJ118" s="5"/>
      <c r="AK118" t="str">
        <f>Tabela1[[#This Row],[Coluna1]]&amp;Tabela1[[#This Row],[PEDIDO]]</f>
        <v>P-198</v>
      </c>
      <c r="AL118"/>
      <c r="AM118"/>
      <c r="AN118"/>
      <c r="AO118" t="str">
        <f t="shared" si="18"/>
        <v>T-073202-1/05-CV-0001</v>
      </c>
      <c r="AP118" t="str">
        <f>Tabela1[[#This Row],[TAG]]&amp;Tabela1[[#This Row],[PEDIDO]]&amp;Tabela1[[#This Row],[PRODUTO]]</f>
        <v>05-CV-0001P-198ESTRUTURA</v>
      </c>
      <c r="AQ118" s="22" t="str">
        <f>Tabela1[[#This Row],[PRODUTO]]&amp;Tabela1[[#This Row],[TAG]]</f>
        <v>ESTRUTURA05-CV-0001</v>
      </c>
      <c r="AR118" s="24" t="str">
        <f>Tabela1[[#This Row],[PEDIDO]]&amp;Tabela1[[#This Row],[PRODUTO]]</f>
        <v>P-198ESTRUTURA</v>
      </c>
      <c r="AS118" s="37">
        <f>IF(AF118="",0,IF(ISTEXT(AF118),H118*VALUE(SUBSTITUTE(AF118,"%",""))/100,H118*AF118))-Tabela1[[#This Row],[PRONTO ACABADO2]]</f>
        <v>0</v>
      </c>
      <c r="AT118" s="37">
        <f>IF(AG118="",0,IF(ISTEXT(AG118),H118*VALUE(SUBSTITUTE(AG118,"%",""))/100,H118*AG118))-Tabela1[[#This Row],[PESO EXPEDIDO2]]</f>
        <v>0</v>
      </c>
      <c r="AU118" s="37">
        <f t="shared" si="24"/>
        <v>0</v>
      </c>
      <c r="AV118" s="37">
        <f t="shared" si="25"/>
        <v>0</v>
      </c>
      <c r="AW118" s="37"/>
    </row>
    <row r="119" spans="1:49" ht="15.75" customHeight="1" x14ac:dyDescent="0.25">
      <c r="A119" s="6" t="s">
        <v>3172</v>
      </c>
      <c r="B119" s="21" t="s">
        <v>3179</v>
      </c>
      <c r="C119" s="7">
        <v>1</v>
      </c>
      <c r="D119" s="39" t="s">
        <v>3176</v>
      </c>
      <c r="E119" s="7">
        <v>3816</v>
      </c>
      <c r="F119" s="7">
        <v>26</v>
      </c>
      <c r="G119" s="37">
        <v>42.9</v>
      </c>
      <c r="H119" s="34">
        <f>Tabela1[[#This Row],[PESO UNI]]*Tabela1[[#This Row],[QTE]]</f>
        <v>42.9</v>
      </c>
      <c r="I119" s="7">
        <v>0</v>
      </c>
      <c r="J119" s="8" t="s">
        <v>3034</v>
      </c>
      <c r="K119" s="8" t="s">
        <v>31</v>
      </c>
      <c r="L119" s="9" t="s">
        <v>2984</v>
      </c>
      <c r="M119" s="10">
        <v>46189</v>
      </c>
      <c r="N119" s="8" t="s">
        <v>38</v>
      </c>
      <c r="O119" s="12"/>
      <c r="P119" s="13"/>
      <c r="Q119" s="14">
        <f>Tabela1[[#This Row],[QTDE/ Fabricação]]-Tabela1[[#This Row],[QTE]]</f>
        <v>-1</v>
      </c>
      <c r="R119" s="18">
        <f t="shared" si="26"/>
        <v>0</v>
      </c>
      <c r="S119" s="18">
        <f t="shared" si="29"/>
        <v>0</v>
      </c>
      <c r="T119" s="19">
        <f t="shared" si="27"/>
        <v>-42.9</v>
      </c>
      <c r="U119" s="16">
        <f>IFERROR(SUMIF('LISTA DE EMBARQUE'!B:B,MICRO!E:E,'LISTA DE EMBARQUE'!G:G),"")</f>
        <v>0</v>
      </c>
      <c r="V119" s="12" t="str">
        <f>IFERROR(VLOOKUP(Tabela1[[#This Row],[COD.MDE]],'LISTA DE EMBARQUE'!B:L,11,0),"")</f>
        <v/>
      </c>
      <c r="W119" s="13" t="str">
        <f>IFERROR(COUNTIF(#REF!,Tabela1[[#This Row],[Colunas5]]),"")</f>
        <v/>
      </c>
      <c r="X119" s="14">
        <f>Tabela1[[#This Row],[QIANTIDADE EXPEDIDA]]*Tabela1[[#This Row],[PESO UNI]]</f>
        <v>0</v>
      </c>
      <c r="Y119" s="14">
        <f t="shared" si="28"/>
        <v>-1</v>
      </c>
      <c r="Z119" s="20">
        <f>Tabela1[[#This Row],[PESO TOTAL]]-Tabela1[[#This Row],[Peso Expedido]]</f>
        <v>42.9</v>
      </c>
      <c r="AA119" s="17"/>
      <c r="AB119" s="33"/>
      <c r="AC119" s="33"/>
      <c r="AD119" s="33"/>
      <c r="AE119" s="33"/>
      <c r="AF119" s="33"/>
      <c r="AG119" s="33"/>
      <c r="AH119" s="33"/>
      <c r="AI119" s="33" t="str">
        <f t="shared" si="23"/>
        <v/>
      </c>
      <c r="AJ119" s="5"/>
      <c r="AK119" t="str">
        <f>Tabela1[[#This Row],[Coluna1]]&amp;Tabela1[[#This Row],[PEDIDO]]</f>
        <v>P-198</v>
      </c>
      <c r="AL119"/>
      <c r="AM119"/>
      <c r="AN119"/>
      <c r="AO119" t="str">
        <f t="shared" si="18"/>
        <v>T-073202-1/05-CV-0001</v>
      </c>
      <c r="AP119" t="str">
        <f>Tabela1[[#This Row],[TAG]]&amp;Tabela1[[#This Row],[PEDIDO]]&amp;Tabela1[[#This Row],[PRODUTO]]</f>
        <v>05-CV-0001P-198ESTRUTURA</v>
      </c>
      <c r="AQ119" s="22" t="str">
        <f>Tabela1[[#This Row],[PRODUTO]]&amp;Tabela1[[#This Row],[TAG]]</f>
        <v>ESTRUTURA05-CV-0001</v>
      </c>
      <c r="AR119" s="24" t="str">
        <f>Tabela1[[#This Row],[PEDIDO]]&amp;Tabela1[[#This Row],[PRODUTO]]</f>
        <v>P-198ESTRUTURA</v>
      </c>
      <c r="AS119" s="37">
        <f>IF(AF119="",0,IF(ISTEXT(AF119),H119*VALUE(SUBSTITUTE(AF119,"%",""))/100,H119*AF119))-Tabela1[[#This Row],[PRONTO ACABADO2]]</f>
        <v>0</v>
      </c>
      <c r="AT119" s="37">
        <f>IF(AG119="",0,IF(ISTEXT(AG119),H119*VALUE(SUBSTITUTE(AG119,"%",""))/100,H119*AG119))-Tabela1[[#This Row],[PESO EXPEDIDO2]]</f>
        <v>0</v>
      </c>
      <c r="AU119" s="37">
        <f t="shared" si="24"/>
        <v>0</v>
      </c>
      <c r="AV119" s="37">
        <f t="shared" si="25"/>
        <v>0</v>
      </c>
      <c r="AW119" s="37"/>
    </row>
    <row r="120" spans="1:49" ht="15.75" customHeight="1" x14ac:dyDescent="0.25">
      <c r="A120" s="6" t="s">
        <v>3172</v>
      </c>
      <c r="B120" s="21" t="s">
        <v>3179</v>
      </c>
      <c r="C120" s="7">
        <v>1</v>
      </c>
      <c r="D120" s="39" t="s">
        <v>3177</v>
      </c>
      <c r="E120" s="7">
        <v>3817</v>
      </c>
      <c r="F120" s="7">
        <v>26</v>
      </c>
      <c r="G120" s="37">
        <v>41.9</v>
      </c>
      <c r="H120" s="34">
        <f>Tabela1[[#This Row],[PESO UNI]]*Tabela1[[#This Row],[QTE]]</f>
        <v>41.9</v>
      </c>
      <c r="I120" s="7">
        <v>0</v>
      </c>
      <c r="J120" s="8" t="s">
        <v>3034</v>
      </c>
      <c r="K120" s="8" t="s">
        <v>31</v>
      </c>
      <c r="L120" s="9" t="s">
        <v>2984</v>
      </c>
      <c r="M120" s="10">
        <v>46189</v>
      </c>
      <c r="N120" s="8" t="s">
        <v>38</v>
      </c>
      <c r="O120" s="12"/>
      <c r="P120" s="13"/>
      <c r="Q120" s="14">
        <f>Tabela1[[#This Row],[QTDE/ Fabricação]]-Tabela1[[#This Row],[QTE]]</f>
        <v>-1</v>
      </c>
      <c r="R120" s="18">
        <f t="shared" si="26"/>
        <v>0</v>
      </c>
      <c r="S120" s="18">
        <f t="shared" si="29"/>
        <v>0</v>
      </c>
      <c r="T120" s="19">
        <f t="shared" si="27"/>
        <v>-41.9</v>
      </c>
      <c r="U120" s="16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>IFERROR(COUNTIF(#REF!,Tabela1[[#This Row],[Colunas5]]),"")</f>
        <v/>
      </c>
      <c r="X120" s="14">
        <f>Tabela1[[#This Row],[QIANTIDADE EXPEDIDA]]*Tabela1[[#This Row],[PESO UNI]]</f>
        <v>0</v>
      </c>
      <c r="Y120" s="14">
        <f t="shared" si="28"/>
        <v>-1</v>
      </c>
      <c r="Z120" s="20">
        <f>Tabela1[[#This Row],[PESO TOTAL]]-Tabela1[[#This Row],[Peso Expedido]]</f>
        <v>41.9</v>
      </c>
      <c r="AA120" s="17"/>
      <c r="AB120" s="33"/>
      <c r="AC120" s="33"/>
      <c r="AD120" s="33"/>
      <c r="AE120" s="33"/>
      <c r="AF120" s="33"/>
      <c r="AG120" s="33"/>
      <c r="AH120" s="33"/>
      <c r="AI120" s="33" t="str">
        <f t="shared" si="23"/>
        <v/>
      </c>
      <c r="AJ120" s="5"/>
      <c r="AK120" t="str">
        <f>Tabela1[[#This Row],[Coluna1]]&amp;Tabela1[[#This Row],[PEDIDO]]</f>
        <v>P-198</v>
      </c>
      <c r="AL120"/>
      <c r="AM120"/>
      <c r="AN120"/>
      <c r="AO120" t="str">
        <f t="shared" si="18"/>
        <v>T-073202-1/05-CV-0001</v>
      </c>
      <c r="AP120" t="str">
        <f>Tabela1[[#This Row],[TAG]]&amp;Tabela1[[#This Row],[PEDIDO]]&amp;Tabela1[[#This Row],[PRODUTO]]</f>
        <v>05-CV-0001P-198ESTRUTURA</v>
      </c>
      <c r="AQ120" s="22" t="str">
        <f>Tabela1[[#This Row],[PRODUTO]]&amp;Tabela1[[#This Row],[TAG]]</f>
        <v>ESTRUTURA05-CV-0001</v>
      </c>
      <c r="AR120" s="24" t="str">
        <f>Tabela1[[#This Row],[PEDIDO]]&amp;Tabela1[[#This Row],[PRODUTO]]</f>
        <v>P-198ESTRUTURA</v>
      </c>
      <c r="AS120" s="37">
        <f>IF(AF120="",0,IF(ISTEXT(AF120),H120*VALUE(SUBSTITUTE(AF120,"%",""))/100,H120*AF120))-Tabela1[[#This Row],[PRONTO ACABADO2]]</f>
        <v>0</v>
      </c>
      <c r="AT120" s="37">
        <f>IF(AG120="",0,IF(ISTEXT(AG120),H120*VALUE(SUBSTITUTE(AG120,"%",""))/100,H120*AG120))-Tabela1[[#This Row],[PESO EXPEDIDO2]]</f>
        <v>0</v>
      </c>
      <c r="AU120" s="37">
        <f t="shared" si="24"/>
        <v>0</v>
      </c>
      <c r="AV120" s="37">
        <f t="shared" si="25"/>
        <v>0</v>
      </c>
      <c r="AW120" s="37"/>
    </row>
    <row r="121" spans="1:49" ht="15.75" customHeight="1" x14ac:dyDescent="0.25">
      <c r="A121" s="6" t="s">
        <v>3172</v>
      </c>
      <c r="B121" s="21" t="s">
        <v>3179</v>
      </c>
      <c r="C121" s="7">
        <v>1</v>
      </c>
      <c r="D121" s="39" t="s">
        <v>3178</v>
      </c>
      <c r="E121" s="7">
        <v>3818</v>
      </c>
      <c r="F121" s="7">
        <v>26</v>
      </c>
      <c r="G121" s="37">
        <v>40.200000000000003</v>
      </c>
      <c r="H121" s="34">
        <f>Tabela1[[#This Row],[PESO UNI]]*Tabela1[[#This Row],[QTE]]</f>
        <v>40.200000000000003</v>
      </c>
      <c r="I121" s="7">
        <v>0</v>
      </c>
      <c r="J121" s="8" t="s">
        <v>3034</v>
      </c>
      <c r="K121" s="8" t="s">
        <v>31</v>
      </c>
      <c r="L121" s="9" t="s">
        <v>2984</v>
      </c>
      <c r="M121" s="10">
        <v>46189</v>
      </c>
      <c r="N121" s="8" t="s">
        <v>38</v>
      </c>
      <c r="O121" s="12"/>
      <c r="P121" s="13"/>
      <c r="Q121" s="14">
        <f>Tabela1[[#This Row],[QTDE/ Fabricação]]-Tabela1[[#This Row],[QTE]]</f>
        <v>-1</v>
      </c>
      <c r="R121" s="18">
        <f t="shared" si="26"/>
        <v>0</v>
      </c>
      <c r="S121" s="18">
        <f t="shared" si="29"/>
        <v>0</v>
      </c>
      <c r="T121" s="19">
        <f t="shared" si="27"/>
        <v>-40.200000000000003</v>
      </c>
      <c r="U121" s="16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>IFERROR(COUNTIF(#REF!,Tabela1[[#This Row],[Colunas5]]),"")</f>
        <v/>
      </c>
      <c r="X121" s="14">
        <f>Tabela1[[#This Row],[QIANTIDADE EXPEDIDA]]*Tabela1[[#This Row],[PESO UNI]]</f>
        <v>0</v>
      </c>
      <c r="Y121" s="14">
        <f t="shared" si="28"/>
        <v>-1</v>
      </c>
      <c r="Z121" s="20">
        <f>Tabela1[[#This Row],[PESO TOTAL]]-Tabela1[[#This Row],[Peso Expedido]]</f>
        <v>40.200000000000003</v>
      </c>
      <c r="AA121" s="17"/>
      <c r="AB121" s="33"/>
      <c r="AC121" s="33"/>
      <c r="AD121" s="33"/>
      <c r="AE121" s="33"/>
      <c r="AF121" s="33"/>
      <c r="AG121" s="33"/>
      <c r="AH121" s="33"/>
      <c r="AI121" s="33" t="str">
        <f t="shared" si="23"/>
        <v/>
      </c>
      <c r="AJ121" s="5"/>
      <c r="AK121" t="str">
        <f>Tabela1[[#This Row],[Coluna1]]&amp;Tabela1[[#This Row],[PEDIDO]]</f>
        <v>P-198</v>
      </c>
      <c r="AL121"/>
      <c r="AM121"/>
      <c r="AN121"/>
      <c r="AO121" t="str">
        <f t="shared" si="18"/>
        <v>T-073202-1/05-CV-0001</v>
      </c>
      <c r="AP121" t="str">
        <f>Tabela1[[#This Row],[TAG]]&amp;Tabela1[[#This Row],[PEDIDO]]&amp;Tabela1[[#This Row],[PRODUTO]]</f>
        <v>05-CV-0001P-198ESTRUTURA</v>
      </c>
      <c r="AQ121" s="22" t="str">
        <f>Tabela1[[#This Row],[PRODUTO]]&amp;Tabela1[[#This Row],[TAG]]</f>
        <v>ESTRUTURA05-CV-0001</v>
      </c>
      <c r="AR121" s="24" t="str">
        <f>Tabela1[[#This Row],[PEDIDO]]&amp;Tabela1[[#This Row],[PRODUTO]]</f>
        <v>P-198ESTRUTURA</v>
      </c>
      <c r="AS121" s="37">
        <f>IF(AF121="",0,IF(ISTEXT(AF121),H121*VALUE(SUBSTITUTE(AF121,"%",""))/100,H121*AF121))-Tabela1[[#This Row],[PRONTO ACABADO2]]</f>
        <v>0</v>
      </c>
      <c r="AT121" s="37">
        <f>IF(AG121="",0,IF(ISTEXT(AG121),H121*VALUE(SUBSTITUTE(AG121,"%",""))/100,H121*AG121))-Tabela1[[#This Row],[PESO EXPEDIDO2]]</f>
        <v>0</v>
      </c>
      <c r="AU121" s="37">
        <f t="shared" si="24"/>
        <v>0</v>
      </c>
      <c r="AV121" s="37">
        <f t="shared" si="25"/>
        <v>0</v>
      </c>
      <c r="AW121" s="37"/>
    </row>
    <row r="122" spans="1:49" ht="15.75" customHeight="1" x14ac:dyDescent="0.25">
      <c r="A122" s="6" t="s">
        <v>3180</v>
      </c>
      <c r="B122" s="21"/>
      <c r="C122" s="7">
        <v>1</v>
      </c>
      <c r="D122" s="39" t="s">
        <v>3181</v>
      </c>
      <c r="E122" s="7">
        <v>3819</v>
      </c>
      <c r="F122" s="7">
        <v>27</v>
      </c>
      <c r="G122" s="37">
        <v>244.4</v>
      </c>
      <c r="H122" s="34">
        <f>Tabela1[[#This Row],[PESO UNI]]*Tabela1[[#This Row],[QTE]]</f>
        <v>244.4</v>
      </c>
      <c r="I122" s="7">
        <v>0</v>
      </c>
      <c r="J122" s="8" t="s">
        <v>3140</v>
      </c>
      <c r="K122" s="8" t="s">
        <v>22</v>
      </c>
      <c r="L122" s="9" t="s">
        <v>2984</v>
      </c>
      <c r="M122" s="10">
        <v>46195</v>
      </c>
      <c r="N122" s="8" t="s">
        <v>38</v>
      </c>
      <c r="O122" s="12"/>
      <c r="P122" s="13"/>
      <c r="Q122" s="14">
        <f>Tabela1[[#This Row],[QTDE/ Fabricação]]-Tabela1[[#This Row],[QTE]]</f>
        <v>-1</v>
      </c>
      <c r="R122" s="18">
        <f t="shared" si="26"/>
        <v>0</v>
      </c>
      <c r="S122" s="18">
        <f t="shared" si="29"/>
        <v>0</v>
      </c>
      <c r="T122" s="19">
        <f t="shared" si="27"/>
        <v>-244.4</v>
      </c>
      <c r="U122" s="16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>IFERROR(COUNTIF(#REF!,Tabela1[[#This Row],[Colunas5]]),"")</f>
        <v/>
      </c>
      <c r="X122" s="14">
        <f>Tabela1[[#This Row],[QIANTIDADE EXPEDIDA]]*Tabela1[[#This Row],[PESO UNI]]</f>
        <v>0</v>
      </c>
      <c r="Y122" s="14">
        <f t="shared" si="28"/>
        <v>-1</v>
      </c>
      <c r="Z122" s="20">
        <f>Tabela1[[#This Row],[PESO TOTAL]]-Tabela1[[#This Row],[Peso Expedido]]</f>
        <v>244.4</v>
      </c>
      <c r="AA122" s="17"/>
      <c r="AB122" s="33"/>
      <c r="AC122" s="33"/>
      <c r="AD122" s="33"/>
      <c r="AE122" s="33"/>
      <c r="AF122" s="33"/>
      <c r="AG122" s="33"/>
      <c r="AH122" s="33"/>
      <c r="AI122" s="33" t="str">
        <f t="shared" si="23"/>
        <v/>
      </c>
      <c r="AJ122" s="5"/>
      <c r="AK122" t="str">
        <f>Tabela1[[#This Row],[Coluna1]]&amp;Tabela1[[#This Row],[PEDIDO]]</f>
        <v>P-198</v>
      </c>
      <c r="AL122"/>
      <c r="AM122"/>
      <c r="AN122"/>
      <c r="AO122" t="str">
        <f t="shared" si="18"/>
        <v>T-073537-1/14-CV-0005</v>
      </c>
      <c r="AP122" t="str">
        <f>Tabela1[[#This Row],[TAG]]&amp;Tabela1[[#This Row],[PEDIDO]]&amp;Tabela1[[#This Row],[PRODUTO]]</f>
        <v>14-CV-0005P-198TAMBOR</v>
      </c>
      <c r="AQ122" s="22" t="str">
        <f>Tabela1[[#This Row],[PRODUTO]]&amp;Tabela1[[#This Row],[TAG]]</f>
        <v>TAMBOR14-CV-0005</v>
      </c>
      <c r="AR122" s="24" t="str">
        <f>Tabela1[[#This Row],[PEDIDO]]&amp;Tabela1[[#This Row],[PRODUTO]]</f>
        <v>P-198TAMBOR</v>
      </c>
      <c r="AS122" s="37">
        <f>IF(AF122="",0,IF(ISTEXT(AF122),H122*VALUE(SUBSTITUTE(AF122,"%",""))/100,H122*AF122))-Tabela1[[#This Row],[PRONTO ACABADO2]]</f>
        <v>0</v>
      </c>
      <c r="AT122" s="37">
        <f>IF(AG122="",0,IF(ISTEXT(AG122),H122*VALUE(SUBSTITUTE(AG122,"%",""))/100,H122*AG122))-Tabela1[[#This Row],[PESO EXPEDIDO2]]</f>
        <v>0</v>
      </c>
      <c r="AU122" s="37">
        <f t="shared" si="24"/>
        <v>0</v>
      </c>
      <c r="AV122" s="37">
        <f t="shared" si="25"/>
        <v>0</v>
      </c>
      <c r="AW122" s="37"/>
    </row>
    <row r="123" spans="1:49" ht="15.75" customHeight="1" x14ac:dyDescent="0.25">
      <c r="A123" s="6" t="s">
        <v>3182</v>
      </c>
      <c r="B123" s="21"/>
      <c r="C123" s="7">
        <v>1</v>
      </c>
      <c r="D123" s="39" t="s">
        <v>3183</v>
      </c>
      <c r="E123" s="7">
        <v>3820</v>
      </c>
      <c r="F123" s="7">
        <v>27</v>
      </c>
      <c r="G123" s="37">
        <v>1007.1</v>
      </c>
      <c r="H123" s="34">
        <f>Tabela1[[#This Row],[PESO UNI]]*Tabela1[[#This Row],[QTE]]</f>
        <v>1007.1</v>
      </c>
      <c r="I123" s="7">
        <v>0</v>
      </c>
      <c r="J123" s="8" t="s">
        <v>3034</v>
      </c>
      <c r="K123" s="8" t="s">
        <v>22</v>
      </c>
      <c r="L123" s="9" t="s">
        <v>2984</v>
      </c>
      <c r="M123" s="10">
        <v>46195</v>
      </c>
      <c r="N123" s="8" t="s">
        <v>38</v>
      </c>
      <c r="O123" s="12"/>
      <c r="P123" s="13"/>
      <c r="Q123" s="14">
        <f>Tabela1[[#This Row],[QTDE/ Fabricação]]-Tabela1[[#This Row],[QTE]]</f>
        <v>-1</v>
      </c>
      <c r="R123" s="18">
        <f t="shared" si="26"/>
        <v>0</v>
      </c>
      <c r="S123" s="18">
        <f t="shared" si="29"/>
        <v>0</v>
      </c>
      <c r="T123" s="19">
        <f t="shared" si="27"/>
        <v>-1007.1</v>
      </c>
      <c r="U123" s="16">
        <f>IFERROR(SUMIF('LISTA DE EMBARQUE'!B:B,MICRO!E:E,'LISTA DE EMBARQUE'!G:G),"")</f>
        <v>0</v>
      </c>
      <c r="V123" s="12" t="str">
        <f>IFERROR(VLOOKUP(Tabela1[[#This Row],[COD.MDE]],'LISTA DE EMBARQUE'!B:L,11,0),"")</f>
        <v/>
      </c>
      <c r="W123" s="13" t="str">
        <f>IFERROR(COUNTIF(#REF!,Tabela1[[#This Row],[Colunas5]]),"")</f>
        <v/>
      </c>
      <c r="X123" s="14">
        <f>Tabela1[[#This Row],[QIANTIDADE EXPEDIDA]]*Tabela1[[#This Row],[PESO UNI]]</f>
        <v>0</v>
      </c>
      <c r="Y123" s="14">
        <f t="shared" si="28"/>
        <v>-1</v>
      </c>
      <c r="Z123" s="20">
        <f>Tabela1[[#This Row],[PESO TOTAL]]-Tabela1[[#This Row],[Peso Expedido]]</f>
        <v>1007.1</v>
      </c>
      <c r="AA123" s="17"/>
      <c r="AB123" s="33"/>
      <c r="AC123" s="33"/>
      <c r="AD123" s="33"/>
      <c r="AE123" s="33"/>
      <c r="AF123" s="33"/>
      <c r="AG123" s="33"/>
      <c r="AH123" s="33"/>
      <c r="AI123" s="33" t="str">
        <f t="shared" si="23"/>
        <v/>
      </c>
      <c r="AJ123" s="5"/>
      <c r="AK123" t="str">
        <f>Tabela1[[#This Row],[Coluna1]]&amp;Tabela1[[#This Row],[PEDIDO]]</f>
        <v>P-198</v>
      </c>
      <c r="AL123"/>
      <c r="AM123"/>
      <c r="AN123"/>
      <c r="AO123" t="str">
        <f t="shared" si="18"/>
        <v>T-073536-1/05-CV-0001</v>
      </c>
      <c r="AP123" t="str">
        <f>Tabela1[[#This Row],[TAG]]&amp;Tabela1[[#This Row],[PEDIDO]]&amp;Tabela1[[#This Row],[PRODUTO]]</f>
        <v>05-CV-0001P-198TAMBOR</v>
      </c>
      <c r="AQ123" s="22" t="str">
        <f>Tabela1[[#This Row],[PRODUTO]]&amp;Tabela1[[#This Row],[TAG]]</f>
        <v>TAMBOR05-CV-0001</v>
      </c>
      <c r="AR123" s="24" t="str">
        <f>Tabela1[[#This Row],[PEDIDO]]&amp;Tabela1[[#This Row],[PRODUTO]]</f>
        <v>P-198TAMBOR</v>
      </c>
      <c r="AS123" s="37">
        <f>IF(AF123="",0,IF(ISTEXT(AF123),H123*VALUE(SUBSTITUTE(AF123,"%",""))/100,H123*AF123))-Tabela1[[#This Row],[PRONTO ACABADO2]]</f>
        <v>0</v>
      </c>
      <c r="AT123" s="37">
        <f>IF(AG123="",0,IF(ISTEXT(AG123),H123*VALUE(SUBSTITUTE(AG123,"%",""))/100,H123*AG123))-Tabela1[[#This Row],[PESO EXPEDIDO2]]</f>
        <v>0</v>
      </c>
      <c r="AU123" s="37">
        <f t="shared" si="24"/>
        <v>0</v>
      </c>
      <c r="AV123" s="37">
        <f t="shared" si="25"/>
        <v>0</v>
      </c>
      <c r="AW123" s="37"/>
    </row>
    <row r="124" spans="1:49" ht="15.75" customHeight="1" x14ac:dyDescent="0.25">
      <c r="A124" s="6" t="s">
        <v>3184</v>
      </c>
      <c r="B124" s="21"/>
      <c r="C124" s="7">
        <v>1</v>
      </c>
      <c r="D124" s="39" t="s">
        <v>3185</v>
      </c>
      <c r="E124" s="7">
        <v>3821</v>
      </c>
      <c r="F124" s="7">
        <v>27</v>
      </c>
      <c r="G124" s="37">
        <v>916.4</v>
      </c>
      <c r="H124" s="34">
        <f>Tabela1[[#This Row],[PESO UNI]]*Tabela1[[#This Row],[QTE]]</f>
        <v>916.4</v>
      </c>
      <c r="I124" s="7">
        <v>0</v>
      </c>
      <c r="J124" s="8" t="s">
        <v>3045</v>
      </c>
      <c r="K124" s="8" t="s">
        <v>22</v>
      </c>
      <c r="L124" s="9" t="s">
        <v>2984</v>
      </c>
      <c r="M124" s="10">
        <v>46195</v>
      </c>
      <c r="N124" s="8" t="s">
        <v>38</v>
      </c>
      <c r="O124" s="12"/>
      <c r="P124" s="13"/>
      <c r="Q124" s="14">
        <f>Tabela1[[#This Row],[QTDE/ Fabricação]]-Tabela1[[#This Row],[QTE]]</f>
        <v>-1</v>
      </c>
      <c r="R124" s="18">
        <f t="shared" si="26"/>
        <v>0</v>
      </c>
      <c r="S124" s="18">
        <f t="shared" si="29"/>
        <v>0</v>
      </c>
      <c r="T124" s="19">
        <f t="shared" si="27"/>
        <v>-916.4</v>
      </c>
      <c r="U124" s="16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>IFERROR(COUNTIF(#REF!,Tabela1[[#This Row],[Colunas5]]),"")</f>
        <v/>
      </c>
      <c r="X124" s="14">
        <f>Tabela1[[#This Row],[QIANTIDADE EXPEDIDA]]*Tabela1[[#This Row],[PESO UNI]]</f>
        <v>0</v>
      </c>
      <c r="Y124" s="14">
        <f t="shared" si="28"/>
        <v>-1</v>
      </c>
      <c r="Z124" s="20">
        <f>Tabela1[[#This Row],[PESO TOTAL]]-Tabela1[[#This Row],[Peso Expedido]]</f>
        <v>916.4</v>
      </c>
      <c r="AA124" s="17"/>
      <c r="AB124" s="33"/>
      <c r="AC124" s="33"/>
      <c r="AD124" s="33"/>
      <c r="AE124" s="33"/>
      <c r="AF124" s="33"/>
      <c r="AG124" s="33"/>
      <c r="AH124" s="33"/>
      <c r="AI124" s="33" t="str">
        <f t="shared" si="23"/>
        <v/>
      </c>
      <c r="AJ124" s="5"/>
      <c r="AK124" t="str">
        <f>Tabela1[[#This Row],[Coluna1]]&amp;Tabela1[[#This Row],[PEDIDO]]</f>
        <v>P-198</v>
      </c>
      <c r="AL124"/>
      <c r="AM124"/>
      <c r="AN124"/>
      <c r="AO124" t="str">
        <f t="shared" si="18"/>
        <v>T-073535-1/14-CV-0001</v>
      </c>
      <c r="AP124" t="str">
        <f>Tabela1[[#This Row],[TAG]]&amp;Tabela1[[#This Row],[PEDIDO]]&amp;Tabela1[[#This Row],[PRODUTO]]</f>
        <v>14-CV-0001P-198TAMBOR</v>
      </c>
      <c r="AQ124" s="22" t="str">
        <f>Tabela1[[#This Row],[PRODUTO]]&amp;Tabela1[[#This Row],[TAG]]</f>
        <v>TAMBOR14-CV-0001</v>
      </c>
      <c r="AR124" s="24" t="str">
        <f>Tabela1[[#This Row],[PEDIDO]]&amp;Tabela1[[#This Row],[PRODUTO]]</f>
        <v>P-198TAMBOR</v>
      </c>
      <c r="AS124" s="37">
        <f>IF(AF124="",0,IF(ISTEXT(AF124),H124*VALUE(SUBSTITUTE(AF124,"%",""))/100,H124*AF124))-Tabela1[[#This Row],[PRONTO ACABADO2]]</f>
        <v>0</v>
      </c>
      <c r="AT124" s="37">
        <f>IF(AG124="",0,IF(ISTEXT(AG124),H124*VALUE(SUBSTITUTE(AG124,"%",""))/100,H124*AG124))-Tabela1[[#This Row],[PESO EXPEDIDO2]]</f>
        <v>0</v>
      </c>
      <c r="AU124" s="37">
        <f t="shared" si="24"/>
        <v>0</v>
      </c>
      <c r="AV124" s="37">
        <f t="shared" si="25"/>
        <v>0</v>
      </c>
      <c r="AW124" s="37"/>
    </row>
    <row r="125" spans="1:49" ht="15.75" customHeight="1" x14ac:dyDescent="0.25">
      <c r="A125" s="6" t="s">
        <v>3186</v>
      </c>
      <c r="B125" s="21"/>
      <c r="C125" s="7">
        <v>1</v>
      </c>
      <c r="D125" s="39" t="s">
        <v>3187</v>
      </c>
      <c r="E125" s="7">
        <v>3822</v>
      </c>
      <c r="F125" s="7">
        <v>27</v>
      </c>
      <c r="G125" s="37">
        <v>227.4</v>
      </c>
      <c r="H125" s="34">
        <f>Tabela1[[#This Row],[PESO UNI]]*Tabela1[[#This Row],[QTE]]</f>
        <v>227.4</v>
      </c>
      <c r="I125" s="7">
        <v>0</v>
      </c>
      <c r="J125" s="8" t="s">
        <v>3140</v>
      </c>
      <c r="K125" s="8" t="s">
        <v>22</v>
      </c>
      <c r="L125" s="9" t="s">
        <v>2984</v>
      </c>
      <c r="M125" s="10">
        <v>46195</v>
      </c>
      <c r="N125" s="8" t="s">
        <v>38</v>
      </c>
      <c r="O125" s="12"/>
      <c r="P125" s="13"/>
      <c r="Q125" s="14">
        <f>Tabela1[[#This Row],[QTDE/ Fabricação]]-Tabela1[[#This Row],[QTE]]</f>
        <v>-1</v>
      </c>
      <c r="R125" s="18">
        <f t="shared" si="26"/>
        <v>0</v>
      </c>
      <c r="S125" s="18">
        <f t="shared" si="29"/>
        <v>0</v>
      </c>
      <c r="T125" s="19">
        <f t="shared" si="27"/>
        <v>-227.4</v>
      </c>
      <c r="U125" s="16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>IFERROR(COUNTIF(#REF!,Tabela1[[#This Row],[Colunas5]]),"")</f>
        <v/>
      </c>
      <c r="X125" s="14">
        <f>Tabela1[[#This Row],[QIANTIDADE EXPEDIDA]]*Tabela1[[#This Row],[PESO UNI]]</f>
        <v>0</v>
      </c>
      <c r="Y125" s="14">
        <f t="shared" si="28"/>
        <v>-1</v>
      </c>
      <c r="Z125" s="20">
        <f>Tabela1[[#This Row],[PESO TOTAL]]-Tabela1[[#This Row],[Peso Expedido]]</f>
        <v>227.4</v>
      </c>
      <c r="AA125" s="17"/>
      <c r="AB125" s="33"/>
      <c r="AC125" s="33"/>
      <c r="AD125" s="33"/>
      <c r="AE125" s="33"/>
      <c r="AF125" s="33"/>
      <c r="AG125" s="33"/>
      <c r="AH125" s="33"/>
      <c r="AI125" s="33" t="str">
        <f t="shared" si="23"/>
        <v/>
      </c>
      <c r="AJ125" s="5"/>
      <c r="AK125" t="str">
        <f>Tabela1[[#This Row],[Coluna1]]&amp;Tabela1[[#This Row],[PEDIDO]]</f>
        <v>P-198</v>
      </c>
      <c r="AL125"/>
      <c r="AM125"/>
      <c r="AN125"/>
      <c r="AO125" t="str">
        <f t="shared" si="18"/>
        <v>T-073533-1/14-CV-0005</v>
      </c>
      <c r="AP125" t="str">
        <f>Tabela1[[#This Row],[TAG]]&amp;Tabela1[[#This Row],[PEDIDO]]&amp;Tabela1[[#This Row],[PRODUTO]]</f>
        <v>14-CV-0005P-198TAMBOR</v>
      </c>
      <c r="AQ125" s="22" t="str">
        <f>Tabela1[[#This Row],[PRODUTO]]&amp;Tabela1[[#This Row],[TAG]]</f>
        <v>TAMBOR14-CV-0005</v>
      </c>
      <c r="AR125" s="24" t="str">
        <f>Tabela1[[#This Row],[PEDIDO]]&amp;Tabela1[[#This Row],[PRODUTO]]</f>
        <v>P-198TAMBOR</v>
      </c>
      <c r="AS125" s="37">
        <f>IF(AF125="",0,IF(ISTEXT(AF125),H125*VALUE(SUBSTITUTE(AF125,"%",""))/100,H125*AF125))-Tabela1[[#This Row],[PRONTO ACABADO2]]</f>
        <v>0</v>
      </c>
      <c r="AT125" s="37">
        <f>IF(AG125="",0,IF(ISTEXT(AG125),H125*VALUE(SUBSTITUTE(AG125,"%",""))/100,H125*AG125))-Tabela1[[#This Row],[PESO EXPEDIDO2]]</f>
        <v>0</v>
      </c>
      <c r="AU125" s="37">
        <f t="shared" si="24"/>
        <v>0</v>
      </c>
      <c r="AV125" s="37">
        <f t="shared" si="25"/>
        <v>0</v>
      </c>
      <c r="AW125" s="37"/>
    </row>
    <row r="126" spans="1:49" ht="15.75" customHeight="1" x14ac:dyDescent="0.25">
      <c r="A126" s="6" t="s">
        <v>3188</v>
      </c>
      <c r="B126" s="21"/>
      <c r="C126" s="7">
        <v>1</v>
      </c>
      <c r="D126" s="39" t="s">
        <v>3189</v>
      </c>
      <c r="E126" s="7">
        <v>3823</v>
      </c>
      <c r="F126" s="7">
        <v>27</v>
      </c>
      <c r="G126" s="37">
        <v>702</v>
      </c>
      <c r="H126" s="34">
        <f>Tabela1[[#This Row],[PESO UNI]]*Tabela1[[#This Row],[QTE]]</f>
        <v>702</v>
      </c>
      <c r="I126" s="7">
        <v>0</v>
      </c>
      <c r="J126" s="8" t="s">
        <v>3034</v>
      </c>
      <c r="K126" s="8" t="s">
        <v>22</v>
      </c>
      <c r="L126" s="9" t="s">
        <v>2984</v>
      </c>
      <c r="M126" s="10">
        <v>46195</v>
      </c>
      <c r="N126" s="8" t="s">
        <v>38</v>
      </c>
      <c r="O126" s="12"/>
      <c r="P126" s="13"/>
      <c r="Q126" s="14">
        <f>Tabela1[[#This Row],[QTDE/ Fabricação]]-Tabela1[[#This Row],[QTE]]</f>
        <v>-1</v>
      </c>
      <c r="R126" s="18">
        <f t="shared" si="26"/>
        <v>0</v>
      </c>
      <c r="S126" s="18">
        <f t="shared" si="29"/>
        <v>0</v>
      </c>
      <c r="T126" s="19">
        <f t="shared" si="27"/>
        <v>-702</v>
      </c>
      <c r="U126" s="16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>IFERROR(COUNTIF(#REF!,Tabela1[[#This Row],[Colunas5]]),"")</f>
        <v/>
      </c>
      <c r="X126" s="14">
        <f>Tabela1[[#This Row],[QIANTIDADE EXPEDIDA]]*Tabela1[[#This Row],[PESO UNI]]</f>
        <v>0</v>
      </c>
      <c r="Y126" s="14">
        <f t="shared" si="28"/>
        <v>-1</v>
      </c>
      <c r="Z126" s="20">
        <f>Tabela1[[#This Row],[PESO TOTAL]]-Tabela1[[#This Row],[Peso Expedido]]</f>
        <v>702</v>
      </c>
      <c r="AA126" s="17"/>
      <c r="AB126" s="33"/>
      <c r="AC126" s="33"/>
      <c r="AD126" s="33"/>
      <c r="AE126" s="33"/>
      <c r="AF126" s="33"/>
      <c r="AG126" s="33"/>
      <c r="AH126" s="33"/>
      <c r="AI126" s="33" t="str">
        <f t="shared" si="23"/>
        <v/>
      </c>
      <c r="AJ126" s="5"/>
      <c r="AK126" t="str">
        <f>Tabela1[[#This Row],[Coluna1]]&amp;Tabela1[[#This Row],[PEDIDO]]</f>
        <v>P-198</v>
      </c>
      <c r="AL126"/>
      <c r="AM126"/>
      <c r="AN126"/>
      <c r="AO126" t="str">
        <f t="shared" si="18"/>
        <v>T-073532-1/05-CV-0001</v>
      </c>
      <c r="AP126" t="str">
        <f>Tabela1[[#This Row],[TAG]]&amp;Tabela1[[#This Row],[PEDIDO]]&amp;Tabela1[[#This Row],[PRODUTO]]</f>
        <v>05-CV-0001P-198TAMBOR</v>
      </c>
      <c r="AQ126" s="22" t="str">
        <f>Tabela1[[#This Row],[PRODUTO]]&amp;Tabela1[[#This Row],[TAG]]</f>
        <v>TAMBOR05-CV-0001</v>
      </c>
      <c r="AR126" s="24" t="str">
        <f>Tabela1[[#This Row],[PEDIDO]]&amp;Tabela1[[#This Row],[PRODUTO]]</f>
        <v>P-198TAMBOR</v>
      </c>
      <c r="AS126" s="37">
        <f>IF(AF126="",0,IF(ISTEXT(AF126),H126*VALUE(SUBSTITUTE(AF126,"%",""))/100,H126*AF126))-Tabela1[[#This Row],[PRONTO ACABADO2]]</f>
        <v>0</v>
      </c>
      <c r="AT126" s="37">
        <f>IF(AG126="",0,IF(ISTEXT(AG126),H126*VALUE(SUBSTITUTE(AG126,"%",""))/100,H126*AG126))-Tabela1[[#This Row],[PESO EXPEDIDO2]]</f>
        <v>0</v>
      </c>
      <c r="AU126" s="37">
        <f t="shared" si="24"/>
        <v>0</v>
      </c>
      <c r="AV126" s="37">
        <f t="shared" si="25"/>
        <v>0</v>
      </c>
      <c r="AW126" s="37"/>
    </row>
    <row r="127" spans="1:49" ht="15.75" customHeight="1" x14ac:dyDescent="0.25">
      <c r="A127" s="6" t="s">
        <v>3190</v>
      </c>
      <c r="B127" s="21"/>
      <c r="C127" s="7">
        <v>4</v>
      </c>
      <c r="D127" s="39" t="s">
        <v>3191</v>
      </c>
      <c r="E127" s="7">
        <v>3824</v>
      </c>
      <c r="F127" s="7">
        <v>27</v>
      </c>
      <c r="G127" s="37">
        <v>603.20000000000005</v>
      </c>
      <c r="H127" s="34">
        <f>Tabela1[[#This Row],[PESO UNI]]*Tabela1[[#This Row],[QTE]]</f>
        <v>2412.8000000000002</v>
      </c>
      <c r="I127" s="7">
        <v>0</v>
      </c>
      <c r="J127" s="8" t="s">
        <v>3045</v>
      </c>
      <c r="K127" s="8" t="s">
        <v>22</v>
      </c>
      <c r="L127" s="9" t="s">
        <v>2984</v>
      </c>
      <c r="M127" s="10">
        <v>46195</v>
      </c>
      <c r="N127" s="8" t="s">
        <v>38</v>
      </c>
      <c r="O127" s="12"/>
      <c r="P127" s="13"/>
      <c r="Q127" s="14">
        <f>Tabela1[[#This Row],[QTDE/ Fabricação]]-Tabela1[[#This Row],[QTE]]</f>
        <v>-4</v>
      </c>
      <c r="R127" s="18">
        <f t="shared" si="26"/>
        <v>0</v>
      </c>
      <c r="S127" s="18">
        <f t="shared" si="29"/>
        <v>0</v>
      </c>
      <c r="T127" s="19">
        <f t="shared" si="27"/>
        <v>-2412.8000000000002</v>
      </c>
      <c r="U127" s="16">
        <f>IFERROR(SUMIF('LISTA DE EMBARQUE'!B:B,MICRO!E:E,'LISTA DE EMBARQUE'!G:G),"")</f>
        <v>0</v>
      </c>
      <c r="V127" s="12" t="str">
        <f>IFERROR(VLOOKUP(Tabela1[[#This Row],[COD.MDE]],'LISTA DE EMBARQUE'!B:L,11,0),"")</f>
        <v/>
      </c>
      <c r="W127" s="13" t="str">
        <f>IFERROR(COUNTIF(#REF!,Tabela1[[#This Row],[Colunas5]]),"")</f>
        <v/>
      </c>
      <c r="X127" s="14">
        <f>Tabela1[[#This Row],[QIANTIDADE EXPEDIDA]]*Tabela1[[#This Row],[PESO UNI]]</f>
        <v>0</v>
      </c>
      <c r="Y127" s="14">
        <f t="shared" si="28"/>
        <v>-4</v>
      </c>
      <c r="Z127" s="20">
        <f>Tabela1[[#This Row],[PESO TOTAL]]-Tabela1[[#This Row],[Peso Expedido]]</f>
        <v>2412.8000000000002</v>
      </c>
      <c r="AA127" s="17"/>
      <c r="AB127" s="33"/>
      <c r="AC127" s="33"/>
      <c r="AD127" s="33"/>
      <c r="AE127" s="33"/>
      <c r="AF127" s="33"/>
      <c r="AG127" s="33"/>
      <c r="AH127" s="33"/>
      <c r="AI127" s="33" t="str">
        <f t="shared" si="23"/>
        <v/>
      </c>
      <c r="AJ127" s="5"/>
      <c r="AK127" t="str">
        <f>Tabela1[[#This Row],[Coluna1]]&amp;Tabela1[[#This Row],[PEDIDO]]</f>
        <v>P-198</v>
      </c>
      <c r="AL127"/>
      <c r="AM127"/>
      <c r="AN127"/>
      <c r="AO127" t="str">
        <f t="shared" si="18"/>
        <v>T-073531-1/14-CV-0001</v>
      </c>
      <c r="AP127" t="str">
        <f>Tabela1[[#This Row],[TAG]]&amp;Tabela1[[#This Row],[PEDIDO]]&amp;Tabela1[[#This Row],[PRODUTO]]</f>
        <v>14-CV-0001P-198TAMBOR</v>
      </c>
      <c r="AQ127" s="22" t="str">
        <f>Tabela1[[#This Row],[PRODUTO]]&amp;Tabela1[[#This Row],[TAG]]</f>
        <v>TAMBOR14-CV-0001</v>
      </c>
      <c r="AR127" s="24" t="str">
        <f>Tabela1[[#This Row],[PEDIDO]]&amp;Tabela1[[#This Row],[PRODUTO]]</f>
        <v>P-198TAMBOR</v>
      </c>
      <c r="AS127" s="37">
        <f>IF(AF127="",0,IF(ISTEXT(AF127),H127*VALUE(SUBSTITUTE(AF127,"%",""))/100,H127*AF127))-Tabela1[[#This Row],[PRONTO ACABADO2]]</f>
        <v>0</v>
      </c>
      <c r="AT127" s="37">
        <f>IF(AG127="",0,IF(ISTEXT(AG127),H127*VALUE(SUBSTITUTE(AG127,"%",""))/100,H127*AG127))-Tabela1[[#This Row],[PESO EXPEDIDO2]]</f>
        <v>0</v>
      </c>
      <c r="AU127" s="37">
        <f t="shared" si="24"/>
        <v>0</v>
      </c>
      <c r="AV127" s="37">
        <f t="shared" si="25"/>
        <v>0</v>
      </c>
      <c r="AW127" s="37"/>
    </row>
    <row r="128" spans="1:49" ht="15.75" customHeight="1" x14ac:dyDescent="0.25">
      <c r="A128" s="6" t="s">
        <v>3296</v>
      </c>
      <c r="B128" s="21" t="s">
        <v>3297</v>
      </c>
      <c r="C128" s="7">
        <v>1</v>
      </c>
      <c r="D128" s="39" t="s">
        <v>3298</v>
      </c>
      <c r="E128" s="7">
        <v>3825</v>
      </c>
      <c r="F128" s="7">
        <v>28</v>
      </c>
      <c r="G128" s="23">
        <v>33</v>
      </c>
      <c r="H128" s="34">
        <f>Tabela1[[#This Row],[PESO UNI]]*Tabela1[[#This Row],[QTE]]</f>
        <v>33</v>
      </c>
      <c r="I128" s="7" t="s">
        <v>4416</v>
      </c>
      <c r="J128" s="8" t="s">
        <v>3034</v>
      </c>
      <c r="K128" s="8" t="s">
        <v>31</v>
      </c>
      <c r="L128" s="9" t="s">
        <v>2984</v>
      </c>
      <c r="M128" s="10">
        <v>46202</v>
      </c>
      <c r="N128" s="8" t="s">
        <v>38</v>
      </c>
      <c r="O128" s="12"/>
      <c r="P128" s="13"/>
      <c r="Q128" s="14">
        <f>Tabela1[[#This Row],[QTDE/ Fabricação]]-Tabela1[[#This Row],[QTE]]</f>
        <v>-1</v>
      </c>
      <c r="R128" s="18">
        <f t="shared" si="26"/>
        <v>16.5</v>
      </c>
      <c r="S128" s="18">
        <f t="shared" si="29"/>
        <v>0</v>
      </c>
      <c r="T128" s="19">
        <f t="shared" si="27"/>
        <v>-33</v>
      </c>
      <c r="U128" s="16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>IFERROR(COUNTIF(#REF!,Tabela1[[#This Row],[Colunas5]]),"")</f>
        <v/>
      </c>
      <c r="X128" s="14">
        <f>Tabela1[[#This Row],[QIANTIDADE EXPEDIDA]]*Tabela1[[#This Row],[PESO UNI]]</f>
        <v>0</v>
      </c>
      <c r="Y128" s="14">
        <f t="shared" si="28"/>
        <v>-1</v>
      </c>
      <c r="Z128" s="20">
        <f>Tabela1[[#This Row],[PESO TOTAL]]-Tabela1[[#This Row],[Peso Expedido]]</f>
        <v>33</v>
      </c>
      <c r="AA128" s="17">
        <v>1</v>
      </c>
      <c r="AB128" s="33"/>
      <c r="AC128" s="33">
        <v>1</v>
      </c>
      <c r="AD128" s="33"/>
      <c r="AE128" s="33"/>
      <c r="AF128" s="33"/>
      <c r="AG128" s="33"/>
      <c r="AH128" s="33"/>
      <c r="AI128" s="33" t="str">
        <f t="shared" si="23"/>
        <v/>
      </c>
      <c r="AJ128" s="5"/>
      <c r="AK128" t="str">
        <f>Tabela1[[#This Row],[Coluna1]]&amp;Tabela1[[#This Row],[PEDIDO]]</f>
        <v>P-198</v>
      </c>
      <c r="AL128"/>
      <c r="AM128"/>
      <c r="AN128"/>
      <c r="AO128" t="str">
        <f t="shared" si="18"/>
        <v>T-073209-1/05-CV-0001</v>
      </c>
      <c r="AP128" t="str">
        <f>Tabela1[[#This Row],[TAG]]&amp;Tabela1[[#This Row],[PEDIDO]]&amp;Tabela1[[#This Row],[PRODUTO]]</f>
        <v>05-CV-0001P-198ESTRUTURA</v>
      </c>
      <c r="AQ128" s="22" t="str">
        <f>Tabela1[[#This Row],[PRODUTO]]&amp;Tabela1[[#This Row],[TAG]]</f>
        <v>ESTRUTURA05-CV-0001</v>
      </c>
      <c r="AR128" s="24" t="str">
        <f>Tabela1[[#This Row],[PEDIDO]]&amp;Tabela1[[#This Row],[PRODUTO]]</f>
        <v>P-198ESTRUTURA</v>
      </c>
      <c r="AS128" s="37">
        <f>IF(AF128="",0,IF(ISTEXT(AF128),H128*VALUE(SUBSTITUTE(AF128,"%",""))/100,H128*AF128))-Tabela1[[#This Row],[PRONTO ACABADO2]]</f>
        <v>0</v>
      </c>
      <c r="AT128" s="37">
        <f>IF(AG128="",0,IF(ISTEXT(AG128),H128*VALUE(SUBSTITUTE(AG128,"%",""))/100,H128*AG128))-Tabela1[[#This Row],[PESO EXPEDIDO2]]</f>
        <v>0</v>
      </c>
      <c r="AU128" s="37">
        <f t="shared" si="24"/>
        <v>0</v>
      </c>
      <c r="AV128" s="37">
        <f t="shared" si="25"/>
        <v>0</v>
      </c>
      <c r="AW128" s="37"/>
    </row>
    <row r="129" spans="1:49" ht="15.75" customHeight="1" x14ac:dyDescent="0.25">
      <c r="A129" s="6" t="s">
        <v>3299</v>
      </c>
      <c r="B129" s="21" t="s">
        <v>3300</v>
      </c>
      <c r="C129" s="7">
        <v>1</v>
      </c>
      <c r="D129" s="39" t="s">
        <v>4696</v>
      </c>
      <c r="E129" s="7">
        <v>3826</v>
      </c>
      <c r="F129" s="7">
        <v>28</v>
      </c>
      <c r="G129" s="23">
        <v>448.3</v>
      </c>
      <c r="H129" s="34">
        <f>Tabela1[[#This Row],[PESO UNI]]*Tabela1[[#This Row],[QTE]]</f>
        <v>448.3</v>
      </c>
      <c r="I129" s="7" t="s">
        <v>4302</v>
      </c>
      <c r="J129" s="8" t="s">
        <v>3034</v>
      </c>
      <c r="K129" s="8" t="s">
        <v>31</v>
      </c>
      <c r="L129" s="9" t="s">
        <v>2984</v>
      </c>
      <c r="M129" s="10">
        <v>46202</v>
      </c>
      <c r="N129" s="8" t="s">
        <v>38</v>
      </c>
      <c r="O129" s="12"/>
      <c r="P129" s="13"/>
      <c r="Q129" s="14">
        <f>Tabela1[[#This Row],[QTDE/ Fabricação]]-Tabela1[[#This Row],[QTE]]</f>
        <v>-1</v>
      </c>
      <c r="R129" s="18">
        <f t="shared" si="26"/>
        <v>325.01749999999998</v>
      </c>
      <c r="S129" s="18">
        <f t="shared" si="29"/>
        <v>0</v>
      </c>
      <c r="T129" s="19">
        <f t="shared" si="27"/>
        <v>-448.3</v>
      </c>
      <c r="U129" s="16">
        <f>IFERROR(SUMIF('LISTA DE EMBARQUE'!B:B,MICRO!E:E,'LISTA DE EMBARQUE'!G:G),"")</f>
        <v>0</v>
      </c>
      <c r="V129" s="12" t="str">
        <f>IFERROR(VLOOKUP(Tabela1[[#This Row],[COD.MDE]],'LISTA DE EMBARQUE'!B:L,11,0),"")</f>
        <v/>
      </c>
      <c r="W129" s="13" t="str">
        <f>IFERROR(COUNTIF(#REF!,Tabela1[[#This Row],[Colunas5]]),"")</f>
        <v/>
      </c>
      <c r="X129" s="14">
        <f>Tabela1[[#This Row],[QIANTIDADE EXPEDIDA]]*Tabela1[[#This Row],[PESO UNI]]</f>
        <v>0</v>
      </c>
      <c r="Y129" s="14">
        <f t="shared" si="28"/>
        <v>-1</v>
      </c>
      <c r="Z129" s="20">
        <f>Tabela1[[#This Row],[PESO TOTAL]]-Tabela1[[#This Row],[Peso Expedido]]</f>
        <v>448.3</v>
      </c>
      <c r="AA129" s="17">
        <v>1</v>
      </c>
      <c r="AB129" s="33"/>
      <c r="AC129" s="33">
        <v>1</v>
      </c>
      <c r="AD129" s="33">
        <v>1</v>
      </c>
      <c r="AE129" s="33"/>
      <c r="AF129" s="33"/>
      <c r="AG129" s="33"/>
      <c r="AH129" s="33"/>
      <c r="AI129" s="33" t="str">
        <f t="shared" si="23"/>
        <v/>
      </c>
      <c r="AJ129" s="5"/>
      <c r="AK129" t="str">
        <f>Tabela1[[#This Row],[Coluna1]]&amp;Tabela1[[#This Row],[PEDIDO]]</f>
        <v>P-198</v>
      </c>
      <c r="AL129"/>
      <c r="AM129"/>
      <c r="AN129"/>
      <c r="AO129" t="str">
        <f t="shared" si="18"/>
        <v>T-073208-1/05-CV-0001</v>
      </c>
      <c r="AP129" t="str">
        <f>Tabela1[[#This Row],[TAG]]&amp;Tabela1[[#This Row],[PEDIDO]]&amp;Tabela1[[#This Row],[PRODUTO]]</f>
        <v>05-CV-0001P-198ESTRUTURA</v>
      </c>
      <c r="AQ129" s="22" t="str">
        <f>Tabela1[[#This Row],[PRODUTO]]&amp;Tabela1[[#This Row],[TAG]]</f>
        <v>ESTRUTURA05-CV-0001</v>
      </c>
      <c r="AR129" s="24" t="str">
        <f>Tabela1[[#This Row],[PEDIDO]]&amp;Tabela1[[#This Row],[PRODUTO]]</f>
        <v>P-198ESTRUTURA</v>
      </c>
      <c r="AS129" s="37">
        <f>IF(AF129="",0,IF(ISTEXT(AF129),H129*VALUE(SUBSTITUTE(AF129,"%",""))/100,H129*AF129))-Tabela1[[#This Row],[PRONTO ACABADO2]]</f>
        <v>0</v>
      </c>
      <c r="AT129" s="37">
        <f>IF(AG129="",0,IF(ISTEXT(AG129),H129*VALUE(SUBSTITUTE(AG129,"%",""))/100,H129*AG129))-Tabela1[[#This Row],[PESO EXPEDIDO2]]</f>
        <v>0</v>
      </c>
      <c r="AU129" s="37">
        <f t="shared" si="24"/>
        <v>0</v>
      </c>
      <c r="AV129" s="37">
        <f t="shared" si="25"/>
        <v>0</v>
      </c>
      <c r="AW129" s="37"/>
    </row>
    <row r="130" spans="1:49" ht="15.75" customHeight="1" x14ac:dyDescent="0.25">
      <c r="A130" s="6" t="s">
        <v>3301</v>
      </c>
      <c r="B130" s="21" t="s">
        <v>3302</v>
      </c>
      <c r="C130" s="7">
        <v>3</v>
      </c>
      <c r="D130" s="39" t="s">
        <v>3303</v>
      </c>
      <c r="E130" s="7">
        <v>3827</v>
      </c>
      <c r="F130" s="7">
        <v>28</v>
      </c>
      <c r="G130" s="23">
        <v>22.2</v>
      </c>
      <c r="H130" s="34">
        <f>Tabela1[[#This Row],[PESO UNI]]*Tabela1[[#This Row],[QTE]]</f>
        <v>66.599999999999994</v>
      </c>
      <c r="I130" s="7" t="s">
        <v>4302</v>
      </c>
      <c r="J130" s="8" t="s">
        <v>3034</v>
      </c>
      <c r="K130" s="8" t="s">
        <v>31</v>
      </c>
      <c r="L130" s="9" t="s">
        <v>2984</v>
      </c>
      <c r="M130" s="10">
        <v>46202</v>
      </c>
      <c r="N130" s="8" t="s">
        <v>38</v>
      </c>
      <c r="O130" s="12"/>
      <c r="P130" s="13"/>
      <c r="Q130" s="14">
        <f>Tabela1[[#This Row],[QTDE/ Fabricação]]-Tabela1[[#This Row],[QTE]]</f>
        <v>-3</v>
      </c>
      <c r="R130" s="18">
        <f t="shared" si="26"/>
        <v>48.284999999999997</v>
      </c>
      <c r="S130" s="18">
        <f t="shared" si="29"/>
        <v>0</v>
      </c>
      <c r="T130" s="19">
        <f t="shared" si="27"/>
        <v>-66.599999999999994</v>
      </c>
      <c r="U130" s="16">
        <f>IFERROR(SUMIF('LISTA DE EMBARQUE'!B:B,MICRO!E:E,'LISTA DE EMBARQUE'!G:G),"")</f>
        <v>0</v>
      </c>
      <c r="V130" s="12" t="str">
        <f>IFERROR(VLOOKUP(Tabela1[[#This Row],[COD.MDE]],'LISTA DE EMBARQUE'!B:L,11,0),"")</f>
        <v/>
      </c>
      <c r="W130" s="13" t="str">
        <f>IFERROR(COUNTIF(#REF!,Tabela1[[#This Row],[Colunas5]]),"")</f>
        <v/>
      </c>
      <c r="X130" s="14">
        <f>Tabela1[[#This Row],[QIANTIDADE EXPEDIDA]]*Tabela1[[#This Row],[PESO UNI]]</f>
        <v>0</v>
      </c>
      <c r="Y130" s="14">
        <f t="shared" si="28"/>
        <v>-3</v>
      </c>
      <c r="Z130" s="20">
        <f>Tabela1[[#This Row],[PESO TOTAL]]-Tabela1[[#This Row],[Peso Expedido]]</f>
        <v>66.599999999999994</v>
      </c>
      <c r="AA130" s="17">
        <v>1</v>
      </c>
      <c r="AB130" s="33"/>
      <c r="AC130" s="33">
        <v>1</v>
      </c>
      <c r="AD130" s="33">
        <v>1</v>
      </c>
      <c r="AE130" s="33"/>
      <c r="AF130" s="33"/>
      <c r="AG130" s="33"/>
      <c r="AH130" s="33"/>
      <c r="AI130" s="33" t="str">
        <f t="shared" si="23"/>
        <v/>
      </c>
      <c r="AJ130" s="5"/>
      <c r="AK130" t="str">
        <f>Tabela1[[#This Row],[Coluna1]]&amp;Tabela1[[#This Row],[PEDIDO]]</f>
        <v>P-198</v>
      </c>
      <c r="AL130"/>
      <c r="AM130"/>
      <c r="AN130"/>
      <c r="AO130" t="str">
        <f t="shared" si="18"/>
        <v>T-073207-1/05-CV-0001</v>
      </c>
      <c r="AP130" t="str">
        <f>Tabela1[[#This Row],[TAG]]&amp;Tabela1[[#This Row],[PEDIDO]]&amp;Tabela1[[#This Row],[PRODUTO]]</f>
        <v>05-CV-0001P-198ESTRUTURA</v>
      </c>
      <c r="AQ130" s="22" t="str">
        <f>Tabela1[[#This Row],[PRODUTO]]&amp;Tabela1[[#This Row],[TAG]]</f>
        <v>ESTRUTURA05-CV-0001</v>
      </c>
      <c r="AR130" s="24" t="str">
        <f>Tabela1[[#This Row],[PEDIDO]]&amp;Tabela1[[#This Row],[PRODUTO]]</f>
        <v>P-198ESTRUTURA</v>
      </c>
      <c r="AS130" s="37">
        <f>IF(AF130="",0,IF(ISTEXT(AF130),H130*VALUE(SUBSTITUTE(AF130,"%",""))/100,H130*AF130))-Tabela1[[#This Row],[PRONTO ACABADO2]]</f>
        <v>0</v>
      </c>
      <c r="AT130" s="37">
        <f>IF(AG130="",0,IF(ISTEXT(AG130),H130*VALUE(SUBSTITUTE(AG130,"%",""))/100,H130*AG130))-Tabela1[[#This Row],[PESO EXPEDIDO2]]</f>
        <v>0</v>
      </c>
      <c r="AU130" s="37">
        <f t="shared" si="24"/>
        <v>0</v>
      </c>
      <c r="AV130" s="37">
        <f t="shared" si="25"/>
        <v>0</v>
      </c>
      <c r="AW130" s="37"/>
    </row>
    <row r="131" spans="1:49" ht="15.75" customHeight="1" x14ac:dyDescent="0.25">
      <c r="A131" s="6" t="s">
        <v>3301</v>
      </c>
      <c r="B131" s="21" t="s">
        <v>3302</v>
      </c>
      <c r="C131" s="7">
        <v>1</v>
      </c>
      <c r="D131" s="39" t="s">
        <v>3304</v>
      </c>
      <c r="E131" s="7">
        <v>3828</v>
      </c>
      <c r="F131" s="7">
        <v>28</v>
      </c>
      <c r="G131" s="23">
        <v>467.8</v>
      </c>
      <c r="H131" s="34">
        <f>Tabela1[[#This Row],[PESO UNI]]*Tabela1[[#This Row],[QTE]]</f>
        <v>467.8</v>
      </c>
      <c r="I131" s="7" t="s">
        <v>4302</v>
      </c>
      <c r="J131" s="8" t="s">
        <v>3034</v>
      </c>
      <c r="K131" s="8" t="s">
        <v>31</v>
      </c>
      <c r="L131" s="9" t="s">
        <v>2984</v>
      </c>
      <c r="M131" s="10">
        <v>46202</v>
      </c>
      <c r="N131" s="8" t="s">
        <v>38</v>
      </c>
      <c r="O131" s="12"/>
      <c r="P131" s="13"/>
      <c r="Q131" s="14">
        <f>Tabela1[[#This Row],[QTDE/ Fabricação]]-Tabela1[[#This Row],[QTE]]</f>
        <v>-1</v>
      </c>
      <c r="R131" s="18">
        <f t="shared" si="26"/>
        <v>339.15499999999997</v>
      </c>
      <c r="S131" s="18">
        <f t="shared" si="29"/>
        <v>0</v>
      </c>
      <c r="T131" s="19">
        <f t="shared" si="27"/>
        <v>-467.8</v>
      </c>
      <c r="U131" s="16">
        <f>IFERROR(SUMIF('LISTA DE EMBARQUE'!B:B,MICRO!E:E,'LISTA DE EMBARQUE'!G:G),"")</f>
        <v>0</v>
      </c>
      <c r="V131" s="12" t="str">
        <f>IFERROR(VLOOKUP(Tabela1[[#This Row],[COD.MDE]],'LISTA DE EMBARQUE'!B:L,11,0),"")</f>
        <v/>
      </c>
      <c r="W131" s="13" t="str">
        <f>IFERROR(COUNTIF(#REF!,Tabela1[[#This Row],[Colunas5]]),"")</f>
        <v/>
      </c>
      <c r="X131" s="14">
        <f>Tabela1[[#This Row],[QIANTIDADE EXPEDIDA]]*Tabela1[[#This Row],[PESO UNI]]</f>
        <v>0</v>
      </c>
      <c r="Y131" s="14">
        <f t="shared" si="28"/>
        <v>-1</v>
      </c>
      <c r="Z131" s="20">
        <f>Tabela1[[#This Row],[PESO TOTAL]]-Tabela1[[#This Row],[Peso Expedido]]</f>
        <v>467.8</v>
      </c>
      <c r="AA131" s="17">
        <v>1</v>
      </c>
      <c r="AB131" s="33"/>
      <c r="AC131" s="33">
        <v>1</v>
      </c>
      <c r="AD131" s="33">
        <v>1</v>
      </c>
      <c r="AE131" s="33"/>
      <c r="AF131" s="33"/>
      <c r="AG131" s="33"/>
      <c r="AH131" s="33"/>
      <c r="AI131" s="33" t="str">
        <f t="shared" si="23"/>
        <v/>
      </c>
      <c r="AJ131" s="5"/>
      <c r="AK131" t="str">
        <f>Tabela1[[#This Row],[Coluna1]]&amp;Tabela1[[#This Row],[PEDIDO]]</f>
        <v>P-198</v>
      </c>
      <c r="AL131"/>
      <c r="AM131"/>
      <c r="AN131"/>
      <c r="AO131" t="str">
        <f t="shared" si="18"/>
        <v>T-073207-1/05-CV-0001</v>
      </c>
      <c r="AP131" t="str">
        <f>Tabela1[[#This Row],[TAG]]&amp;Tabela1[[#This Row],[PEDIDO]]&amp;Tabela1[[#This Row],[PRODUTO]]</f>
        <v>05-CV-0001P-198ESTRUTURA</v>
      </c>
      <c r="AQ131" s="22" t="str">
        <f>Tabela1[[#This Row],[PRODUTO]]&amp;Tabela1[[#This Row],[TAG]]</f>
        <v>ESTRUTURA05-CV-0001</v>
      </c>
      <c r="AR131" s="24" t="str">
        <f>Tabela1[[#This Row],[PEDIDO]]&amp;Tabela1[[#This Row],[PRODUTO]]</f>
        <v>P-198ESTRUTURA</v>
      </c>
      <c r="AS131" s="37">
        <f>IF(AF131="",0,IF(ISTEXT(AF131),H131*VALUE(SUBSTITUTE(AF131,"%",""))/100,H131*AF131))-Tabela1[[#This Row],[PRONTO ACABADO2]]</f>
        <v>0</v>
      </c>
      <c r="AT131" s="37">
        <f>IF(AG131="",0,IF(ISTEXT(AG131),H131*VALUE(SUBSTITUTE(AG131,"%",""))/100,H131*AG131))-Tabela1[[#This Row],[PESO EXPEDIDO2]]</f>
        <v>0</v>
      </c>
      <c r="AU131" s="37">
        <f t="shared" si="24"/>
        <v>0</v>
      </c>
      <c r="AV131" s="37">
        <f t="shared" si="25"/>
        <v>0</v>
      </c>
      <c r="AW131" s="37"/>
    </row>
    <row r="132" spans="1:49" ht="15.75" customHeight="1" x14ac:dyDescent="0.25">
      <c r="A132" s="6" t="s">
        <v>3094</v>
      </c>
      <c r="B132" s="21"/>
      <c r="C132" s="7">
        <v>72</v>
      </c>
      <c r="D132" s="39" t="s">
        <v>3309</v>
      </c>
      <c r="E132" s="7">
        <v>3829</v>
      </c>
      <c r="F132" s="7">
        <v>19</v>
      </c>
      <c r="G132" s="23">
        <v>4.4000000000000004</v>
      </c>
      <c r="H132" s="34">
        <f>Tabela1[[#This Row],[PESO UNI]]*Tabela1[[#This Row],[QTE]]</f>
        <v>316.8</v>
      </c>
      <c r="I132" s="7">
        <v>0</v>
      </c>
      <c r="J132" s="8" t="s">
        <v>3093</v>
      </c>
      <c r="K132" s="8" t="s">
        <v>33</v>
      </c>
      <c r="L132" s="9" t="s">
        <v>2984</v>
      </c>
      <c r="M132" s="10">
        <v>46176</v>
      </c>
      <c r="N132" s="8" t="s">
        <v>38</v>
      </c>
      <c r="O132" s="12"/>
      <c r="P132" s="13"/>
      <c r="Q132" s="14">
        <f>Tabela1[[#This Row],[QTDE/ Fabricação]]-Tabela1[[#This Row],[QTE]]</f>
        <v>-72</v>
      </c>
      <c r="R132" s="18">
        <f t="shared" si="26"/>
        <v>158.4</v>
      </c>
      <c r="S132" s="18">
        <f t="shared" si="29"/>
        <v>316.8</v>
      </c>
      <c r="T132" s="19">
        <f t="shared" si="27"/>
        <v>0</v>
      </c>
      <c r="U132" s="16">
        <f>IFERROR(SUMIF('LISTA DE EMBARQUE'!B:B,MICRO!E:E,'LISTA DE EMBARQUE'!G:G),"")</f>
        <v>0</v>
      </c>
      <c r="V132" s="12" t="str">
        <f>IFERROR(VLOOKUP(Tabela1[[#This Row],[COD.MDE]],'LISTA DE EMBARQUE'!B:L,11,0),"")</f>
        <v/>
      </c>
      <c r="W132" s="13" t="str">
        <f>IFERROR(COUNTIF(#REF!,Tabela1[[#This Row],[Colunas5]]),"")</f>
        <v/>
      </c>
      <c r="X132" s="14">
        <f>Tabela1[[#This Row],[QIANTIDADE EXPEDIDA]]*Tabela1[[#This Row],[PESO UNI]]</f>
        <v>0</v>
      </c>
      <c r="Y132" s="14">
        <f t="shared" si="28"/>
        <v>-72</v>
      </c>
      <c r="Z132" s="20">
        <f>Tabela1[[#This Row],[PESO TOTAL]]-Tabela1[[#This Row],[Peso Expedido]]</f>
        <v>316.8</v>
      </c>
      <c r="AA132" s="17"/>
      <c r="AB132" s="33"/>
      <c r="AC132" s="33"/>
      <c r="AD132" s="33">
        <v>1</v>
      </c>
      <c r="AE132" s="33">
        <v>1</v>
      </c>
      <c r="AF132" s="33">
        <v>1</v>
      </c>
      <c r="AG132" s="33">
        <v>1</v>
      </c>
      <c r="AH132" s="33"/>
      <c r="AI132" s="33" t="str">
        <f t="shared" si="23"/>
        <v/>
      </c>
      <c r="AJ132" s="5"/>
      <c r="AK132" t="str">
        <f>Tabela1[[#This Row],[Coluna1]]&amp;Tabela1[[#This Row],[PEDIDO]]</f>
        <v>P-198</v>
      </c>
      <c r="AL132"/>
      <c r="AM132"/>
      <c r="AN132"/>
      <c r="AO132" t="str">
        <f t="shared" si="18"/>
        <v>T-073193-1/14-AC-0001</v>
      </c>
      <c r="AP132" t="str">
        <f>Tabela1[[#This Row],[TAG]]&amp;Tabela1[[#This Row],[PEDIDO]]&amp;Tabela1[[#This Row],[PRODUTO]]</f>
        <v>14-AC-0001P-198BASES ROLETES</v>
      </c>
      <c r="AQ132" s="22" t="str">
        <f>Tabela1[[#This Row],[PRODUTO]]&amp;Tabela1[[#This Row],[TAG]]</f>
        <v>BASES ROLETES14-AC-0001</v>
      </c>
      <c r="AR132" s="24" t="str">
        <f>Tabela1[[#This Row],[PEDIDO]]&amp;Tabela1[[#This Row],[PRODUTO]]</f>
        <v>P-198BASES ROLETES</v>
      </c>
      <c r="AS132" s="37">
        <f>IF(AF132="",0,IF(ISTEXT(AF132),H132*VALUE(SUBSTITUTE(AF132,"%",""))/100,H132*AF132))-Tabela1[[#This Row],[PRONTO ACABADO2]]</f>
        <v>0</v>
      </c>
      <c r="AT132" s="37">
        <f>IF(AG132="",0,IF(ISTEXT(AG132),H132*VALUE(SUBSTITUTE(AG132,"%",""))/100,H132*AG132))-Tabela1[[#This Row],[PESO EXPEDIDO2]]</f>
        <v>316.8</v>
      </c>
      <c r="AU132" s="37">
        <f t="shared" si="24"/>
        <v>0</v>
      </c>
      <c r="AV132" s="37">
        <f t="shared" si="25"/>
        <v>316.8</v>
      </c>
      <c r="AW132" s="37"/>
    </row>
    <row r="133" spans="1:49" ht="15.75" customHeight="1" x14ac:dyDescent="0.25">
      <c r="A133" s="6" t="s">
        <v>3094</v>
      </c>
      <c r="B133" s="21"/>
      <c r="C133" s="7">
        <v>72</v>
      </c>
      <c r="D133" s="39" t="s">
        <v>3310</v>
      </c>
      <c r="E133" s="7">
        <v>3830</v>
      </c>
      <c r="F133" s="7">
        <v>19</v>
      </c>
      <c r="G133" s="23">
        <v>4.5</v>
      </c>
      <c r="H133" s="34">
        <f>Tabela1[[#This Row],[PESO UNI]]*Tabela1[[#This Row],[QTE]]</f>
        <v>324</v>
      </c>
      <c r="I133" s="7">
        <v>0</v>
      </c>
      <c r="J133" s="8" t="s">
        <v>3093</v>
      </c>
      <c r="K133" s="8" t="s">
        <v>33</v>
      </c>
      <c r="L133" s="9" t="s">
        <v>2984</v>
      </c>
      <c r="M133" s="10">
        <v>46176</v>
      </c>
      <c r="N133" s="8" t="s">
        <v>38</v>
      </c>
      <c r="O133" s="12"/>
      <c r="P133" s="13"/>
      <c r="Q133" s="14">
        <f>Tabela1[[#This Row],[QTDE/ Fabricação]]-Tabela1[[#This Row],[QTE]]</f>
        <v>-72</v>
      </c>
      <c r="R133" s="18">
        <f t="shared" si="26"/>
        <v>162</v>
      </c>
      <c r="S133" s="18">
        <f t="shared" si="29"/>
        <v>324</v>
      </c>
      <c r="T133" s="19">
        <f t="shared" si="27"/>
        <v>0</v>
      </c>
      <c r="U133" s="16">
        <f>IFERROR(SUMIF('LISTA DE EMBARQUE'!B:B,MICRO!E:E,'LISTA DE EMBARQUE'!G:G),"")</f>
        <v>0</v>
      </c>
      <c r="V133" s="12" t="str">
        <f>IFERROR(VLOOKUP(Tabela1[[#This Row],[COD.MDE]],'LISTA DE EMBARQUE'!B:L,11,0),"")</f>
        <v/>
      </c>
      <c r="W133" s="13" t="str">
        <f>IFERROR(COUNTIF(#REF!,Tabela1[[#This Row],[Colunas5]]),"")</f>
        <v/>
      </c>
      <c r="X133" s="14">
        <f>Tabela1[[#This Row],[QIANTIDADE EXPEDIDA]]*Tabela1[[#This Row],[PESO UNI]]</f>
        <v>0</v>
      </c>
      <c r="Y133" s="14">
        <f t="shared" si="28"/>
        <v>-72</v>
      </c>
      <c r="Z133" s="20">
        <f>Tabela1[[#This Row],[PESO TOTAL]]-Tabela1[[#This Row],[Peso Expedido]]</f>
        <v>324</v>
      </c>
      <c r="AA133" s="17"/>
      <c r="AB133" s="33"/>
      <c r="AC133" s="33"/>
      <c r="AD133" s="33">
        <v>1</v>
      </c>
      <c r="AE133" s="33">
        <v>1</v>
      </c>
      <c r="AF133" s="33">
        <v>1</v>
      </c>
      <c r="AG133" s="33">
        <v>1</v>
      </c>
      <c r="AH133" s="33"/>
      <c r="AI133" s="33" t="str">
        <f t="shared" si="23"/>
        <v/>
      </c>
      <c r="AJ133" s="5"/>
      <c r="AK133" t="str">
        <f>Tabela1[[#This Row],[Coluna1]]&amp;Tabela1[[#This Row],[PEDIDO]]</f>
        <v>P-198</v>
      </c>
      <c r="AL133"/>
      <c r="AM133"/>
      <c r="AN133"/>
      <c r="AO133" t="str">
        <f t="shared" ref="AO133:AO196" si="30">A133&amp;"/"&amp;J133</f>
        <v>T-073193-1/14-AC-0001</v>
      </c>
      <c r="AP133" t="str">
        <f>Tabela1[[#This Row],[TAG]]&amp;Tabela1[[#This Row],[PEDIDO]]&amp;Tabela1[[#This Row],[PRODUTO]]</f>
        <v>14-AC-0001P-198BASES ROLETES</v>
      </c>
      <c r="AQ133" s="22" t="str">
        <f>Tabela1[[#This Row],[PRODUTO]]&amp;Tabela1[[#This Row],[TAG]]</f>
        <v>BASES ROLETES14-AC-0001</v>
      </c>
      <c r="AR133" s="24" t="str">
        <f>Tabela1[[#This Row],[PEDIDO]]&amp;Tabela1[[#This Row],[PRODUTO]]</f>
        <v>P-198BASES ROLETES</v>
      </c>
      <c r="AS133" s="37">
        <f>IF(AF133="",0,IF(ISTEXT(AF133),H133*VALUE(SUBSTITUTE(AF133,"%",""))/100,H133*AF133))-Tabela1[[#This Row],[PRONTO ACABADO2]]</f>
        <v>0</v>
      </c>
      <c r="AT133" s="37">
        <f>IF(AG133="",0,IF(ISTEXT(AG133),H133*VALUE(SUBSTITUTE(AG133,"%",""))/100,H133*AG133))-Tabela1[[#This Row],[PESO EXPEDIDO2]]</f>
        <v>324</v>
      </c>
      <c r="AU133" s="37">
        <f t="shared" si="24"/>
        <v>0</v>
      </c>
      <c r="AV133" s="37">
        <f t="shared" si="25"/>
        <v>324</v>
      </c>
      <c r="AW133" s="37"/>
    </row>
    <row r="134" spans="1:49" ht="15.75" customHeight="1" x14ac:dyDescent="0.25">
      <c r="A134" s="6" t="s">
        <v>3081</v>
      </c>
      <c r="B134" s="21"/>
      <c r="C134" s="7">
        <v>76</v>
      </c>
      <c r="D134" s="39" t="s">
        <v>3312</v>
      </c>
      <c r="E134" s="7">
        <v>3831</v>
      </c>
      <c r="F134" s="7">
        <v>9</v>
      </c>
      <c r="G134" s="23">
        <v>7.2</v>
      </c>
      <c r="H134" s="34">
        <f>Tabela1[[#This Row],[PESO UNI]]*Tabela1[[#This Row],[QTE]]</f>
        <v>547.20000000000005</v>
      </c>
      <c r="I134" s="7">
        <v>0</v>
      </c>
      <c r="J134" s="8" t="s">
        <v>3034</v>
      </c>
      <c r="K134" s="8" t="s">
        <v>33</v>
      </c>
      <c r="L134" s="9" t="s">
        <v>2984</v>
      </c>
      <c r="M134" s="10">
        <v>46170</v>
      </c>
      <c r="N134" s="8" t="s">
        <v>38</v>
      </c>
      <c r="O134" s="12"/>
      <c r="P134" s="13"/>
      <c r="Q134" s="14">
        <f>Tabela1[[#This Row],[QTDE/ Fabricação]]-Tabela1[[#This Row],[QTE]]</f>
        <v>-76</v>
      </c>
      <c r="R134" s="18">
        <f t="shared" si="26"/>
        <v>547.20000000000005</v>
      </c>
      <c r="S134" s="18">
        <f t="shared" si="29"/>
        <v>547.20000000000005</v>
      </c>
      <c r="T134" s="19">
        <f t="shared" si="27"/>
        <v>0</v>
      </c>
      <c r="U134" s="16">
        <f>IFERROR(SUMIF('LISTA DE EMBARQUE'!B:B,MICRO!E:E,'LISTA DE EMBARQUE'!G:G),"")</f>
        <v>76</v>
      </c>
      <c r="V134" s="12">
        <f>IFERROR(VLOOKUP(Tabela1[[#This Row],[COD.MDE]],'LISTA DE EMBARQUE'!B:L,11,0),"")</f>
        <v>1</v>
      </c>
      <c r="W134" s="13" t="str">
        <f>IFERROR(COUNTIF(#REF!,Tabela1[[#This Row],[Colunas5]]),"")</f>
        <v/>
      </c>
      <c r="X134" s="14">
        <f>Tabela1[[#This Row],[QIANTIDADE EXPEDIDA]]*Tabela1[[#This Row],[PESO UNI]]</f>
        <v>547.20000000000005</v>
      </c>
      <c r="Y134" s="14">
        <f t="shared" si="28"/>
        <v>0</v>
      </c>
      <c r="Z134" s="20">
        <f>Tabela1[[#This Row],[PESO TOTAL]]-Tabela1[[#This Row],[Peso Expedido]]</f>
        <v>0</v>
      </c>
      <c r="AA134" s="17">
        <v>1</v>
      </c>
      <c r="AB134" s="33"/>
      <c r="AC134" s="33">
        <v>1</v>
      </c>
      <c r="AD134" s="33">
        <v>1</v>
      </c>
      <c r="AE134" s="33">
        <v>1</v>
      </c>
      <c r="AF134" s="33">
        <v>1</v>
      </c>
      <c r="AG134" s="33">
        <v>1</v>
      </c>
      <c r="AH134" s="33">
        <v>1</v>
      </c>
      <c r="AI134" s="33" t="str">
        <f t="shared" si="23"/>
        <v>ok</v>
      </c>
      <c r="AJ134" s="5"/>
      <c r="AK134" t="str">
        <f>Tabela1[[#This Row],[Coluna1]]&amp;Tabela1[[#This Row],[PEDIDO]]</f>
        <v>P-198</v>
      </c>
      <c r="AL134"/>
      <c r="AM134"/>
      <c r="AN134"/>
      <c r="AO134" t="str">
        <f t="shared" si="30"/>
        <v>T-073181-1/05-CV-0001</v>
      </c>
      <c r="AP134" t="str">
        <f>Tabela1[[#This Row],[TAG]]&amp;Tabela1[[#This Row],[PEDIDO]]&amp;Tabela1[[#This Row],[PRODUTO]]</f>
        <v>05-CV-0001P-198BASES ROLETES</v>
      </c>
      <c r="AQ134" s="22" t="str">
        <f>Tabela1[[#This Row],[PRODUTO]]&amp;Tabela1[[#This Row],[TAG]]</f>
        <v>BASES ROLETES05-CV-0001</v>
      </c>
      <c r="AR134" s="24" t="str">
        <f>Tabela1[[#This Row],[PEDIDO]]&amp;Tabela1[[#This Row],[PRODUTO]]</f>
        <v>P-198BASES ROLETES</v>
      </c>
      <c r="AS134" s="37">
        <f>IF(AF134="",0,IF(ISTEXT(AF134),H134*VALUE(SUBSTITUTE(AF134,"%",""))/100,H134*AF134))-Tabela1[[#This Row],[PRONTO ACABADO2]]</f>
        <v>0</v>
      </c>
      <c r="AT134" s="37">
        <f>IF(AG134="",0,IF(ISTEXT(AG134),H134*VALUE(SUBSTITUTE(AG134,"%",""))/100,H134*AG134))-Tabela1[[#This Row],[PESO EXPEDIDO2]]</f>
        <v>0</v>
      </c>
      <c r="AU134" s="37">
        <f t="shared" si="24"/>
        <v>547.20000000000005</v>
      </c>
      <c r="AV134" s="37">
        <f t="shared" si="25"/>
        <v>547.20000000000005</v>
      </c>
      <c r="AW134" s="37"/>
    </row>
    <row r="135" spans="1:49" ht="15.75" customHeight="1" x14ac:dyDescent="0.25">
      <c r="A135" s="6" t="s">
        <v>3315</v>
      </c>
      <c r="B135" s="21" t="s">
        <v>3316</v>
      </c>
      <c r="C135" s="7">
        <v>38</v>
      </c>
      <c r="D135" s="39" t="s">
        <v>3317</v>
      </c>
      <c r="E135" s="7">
        <v>3832</v>
      </c>
      <c r="F135" s="7">
        <v>29</v>
      </c>
      <c r="G135" s="23">
        <v>2.6</v>
      </c>
      <c r="H135" s="34">
        <f>Tabela1[[#This Row],[PESO UNI]]*Tabela1[[#This Row],[QTE]]</f>
        <v>98.8</v>
      </c>
      <c r="I135" s="7" t="s">
        <v>4302</v>
      </c>
      <c r="J135" s="8" t="s">
        <v>3034</v>
      </c>
      <c r="K135" s="8" t="s">
        <v>31</v>
      </c>
      <c r="L135" s="9" t="s">
        <v>2984</v>
      </c>
      <c r="M135" s="10">
        <v>46206</v>
      </c>
      <c r="N135" s="8" t="s">
        <v>38</v>
      </c>
      <c r="O135" s="12"/>
      <c r="P135" s="13"/>
      <c r="Q135" s="14">
        <f>Tabela1[[#This Row],[QTDE/ Fabricação]]-Tabela1[[#This Row],[QTE]]</f>
        <v>-38</v>
      </c>
      <c r="R135" s="18">
        <f t="shared" si="26"/>
        <v>0</v>
      </c>
      <c r="S135" s="18">
        <f t="shared" si="29"/>
        <v>0</v>
      </c>
      <c r="T135" s="19">
        <f t="shared" si="27"/>
        <v>-98.8</v>
      </c>
      <c r="U135" s="16">
        <f>IFERROR(SUMIF('LISTA DE EMBARQUE'!B:B,MICRO!E:E,'LISTA DE EMBARQUE'!G:G),"")</f>
        <v>0</v>
      </c>
      <c r="V135" s="12" t="str">
        <f>IFERROR(VLOOKUP(Tabela1[[#This Row],[COD.MDE]],'LISTA DE EMBARQUE'!B:L,11,0),"")</f>
        <v/>
      </c>
      <c r="W135" s="13" t="str">
        <f>IFERROR(COUNTIF(#REF!,Tabela1[[#This Row],[Colunas5]]),"")</f>
        <v/>
      </c>
      <c r="X135" s="14">
        <f>Tabela1[[#This Row],[QIANTIDADE EXPEDIDA]]*Tabela1[[#This Row],[PESO UNI]]</f>
        <v>0</v>
      </c>
      <c r="Y135" s="14">
        <f t="shared" si="28"/>
        <v>-38</v>
      </c>
      <c r="Z135" s="20">
        <f>Tabela1[[#This Row],[PESO TOTAL]]-Tabela1[[#This Row],[Peso Expedido]]</f>
        <v>98.8</v>
      </c>
      <c r="AA135" s="17"/>
      <c r="AB135" s="33"/>
      <c r="AC135" s="33"/>
      <c r="AD135" s="33"/>
      <c r="AE135" s="33"/>
      <c r="AF135" s="33"/>
      <c r="AG135" s="33"/>
      <c r="AH135" s="33"/>
      <c r="AI135" s="33" t="str">
        <f t="shared" si="23"/>
        <v/>
      </c>
      <c r="AJ135" s="5"/>
      <c r="AK135" t="str">
        <f>Tabela1[[#This Row],[Coluna1]]&amp;Tabela1[[#This Row],[PEDIDO]]</f>
        <v>P-198</v>
      </c>
      <c r="AL135"/>
      <c r="AM135"/>
      <c r="AN135"/>
      <c r="AO135" t="str">
        <f t="shared" si="30"/>
        <v>T-073204-1/05-CV-0001</v>
      </c>
      <c r="AP135" t="str">
        <f>Tabela1[[#This Row],[TAG]]&amp;Tabela1[[#This Row],[PEDIDO]]&amp;Tabela1[[#This Row],[PRODUTO]]</f>
        <v>05-CV-0001P-198ESTRUTURA</v>
      </c>
      <c r="AQ135" s="22" t="str">
        <f>Tabela1[[#This Row],[PRODUTO]]&amp;Tabela1[[#This Row],[TAG]]</f>
        <v>ESTRUTURA05-CV-0001</v>
      </c>
      <c r="AR135" s="24" t="str">
        <f>Tabela1[[#This Row],[PEDIDO]]&amp;Tabela1[[#This Row],[PRODUTO]]</f>
        <v>P-198ESTRUTURA</v>
      </c>
      <c r="AS135" s="37">
        <f>IF(AF135="",0,IF(ISTEXT(AF135),H135*VALUE(SUBSTITUTE(AF135,"%",""))/100,H135*AF135))-Tabela1[[#This Row],[PRONTO ACABADO2]]</f>
        <v>0</v>
      </c>
      <c r="AT135" s="37">
        <f>IF(AG135="",0,IF(ISTEXT(AG135),H135*VALUE(SUBSTITUTE(AG135,"%",""))/100,H135*AG135))-Tabela1[[#This Row],[PESO EXPEDIDO2]]</f>
        <v>0</v>
      </c>
      <c r="AU135" s="37">
        <f t="shared" si="24"/>
        <v>0</v>
      </c>
      <c r="AV135" s="37">
        <f t="shared" si="25"/>
        <v>0</v>
      </c>
      <c r="AW135" s="37"/>
    </row>
    <row r="136" spans="1:49" ht="15.75" customHeight="1" x14ac:dyDescent="0.25">
      <c r="A136" s="6" t="s">
        <v>3315</v>
      </c>
      <c r="B136" s="21" t="s">
        <v>3316</v>
      </c>
      <c r="C136" s="7">
        <v>16</v>
      </c>
      <c r="D136" s="39" t="s">
        <v>3319</v>
      </c>
      <c r="E136" s="7">
        <v>3833</v>
      </c>
      <c r="F136" s="7">
        <v>29</v>
      </c>
      <c r="G136" s="23">
        <v>2.5</v>
      </c>
      <c r="H136" s="34">
        <f>Tabela1[[#This Row],[PESO UNI]]*Tabela1[[#This Row],[QTE]]</f>
        <v>40</v>
      </c>
      <c r="I136" s="7" t="s">
        <v>4302</v>
      </c>
      <c r="J136" s="8" t="s">
        <v>3034</v>
      </c>
      <c r="K136" s="8" t="s">
        <v>31</v>
      </c>
      <c r="L136" s="9" t="s">
        <v>2984</v>
      </c>
      <c r="M136" s="10">
        <v>46206</v>
      </c>
      <c r="N136" s="8" t="s">
        <v>38</v>
      </c>
      <c r="O136" s="12"/>
      <c r="P136" s="13"/>
      <c r="Q136" s="14">
        <f>Tabela1[[#This Row],[QTDE/ Fabricação]]-Tabela1[[#This Row],[QTE]]</f>
        <v>-16</v>
      </c>
      <c r="R136" s="18">
        <f t="shared" si="26"/>
        <v>0</v>
      </c>
      <c r="S136" s="18">
        <f t="shared" si="29"/>
        <v>0</v>
      </c>
      <c r="T136" s="19">
        <f t="shared" si="27"/>
        <v>-40</v>
      </c>
      <c r="U136" s="16">
        <f>IFERROR(SUMIF('LISTA DE EMBARQUE'!B:B,MICRO!E:E,'LISTA DE EMBARQUE'!G:G),"")</f>
        <v>0</v>
      </c>
      <c r="V136" s="12" t="str">
        <f>IFERROR(VLOOKUP(Tabela1[[#This Row],[COD.MDE]],'LISTA DE EMBARQUE'!B:L,11,0),"")</f>
        <v/>
      </c>
      <c r="W136" s="13" t="str">
        <f>IFERROR(COUNTIF(#REF!,Tabela1[[#This Row],[Colunas5]]),"")</f>
        <v/>
      </c>
      <c r="X136" s="14">
        <f>Tabela1[[#This Row],[QIANTIDADE EXPEDIDA]]*Tabela1[[#This Row],[PESO UNI]]</f>
        <v>0</v>
      </c>
      <c r="Y136" s="14">
        <f t="shared" si="28"/>
        <v>-16</v>
      </c>
      <c r="Z136" s="20">
        <f>Tabela1[[#This Row],[PESO TOTAL]]-Tabela1[[#This Row],[Peso Expedido]]</f>
        <v>40</v>
      </c>
      <c r="AA136" s="17"/>
      <c r="AB136" s="33"/>
      <c r="AC136" s="33"/>
      <c r="AD136" s="33"/>
      <c r="AE136" s="33"/>
      <c r="AF136" s="33"/>
      <c r="AG136" s="33"/>
      <c r="AH136" s="33"/>
      <c r="AI136" s="33" t="str">
        <f t="shared" si="23"/>
        <v/>
      </c>
      <c r="AJ136" s="5"/>
      <c r="AK136" t="str">
        <f>Tabela1[[#This Row],[Coluna1]]&amp;Tabela1[[#This Row],[PEDIDO]]</f>
        <v>P-198</v>
      </c>
      <c r="AL136"/>
      <c r="AM136"/>
      <c r="AN136"/>
      <c r="AO136" t="str">
        <f t="shared" si="30"/>
        <v>T-073204-1/05-CV-0001</v>
      </c>
      <c r="AP136" t="str">
        <f>Tabela1[[#This Row],[TAG]]&amp;Tabela1[[#This Row],[PEDIDO]]&amp;Tabela1[[#This Row],[PRODUTO]]</f>
        <v>05-CV-0001P-198ESTRUTURA</v>
      </c>
      <c r="AQ136" s="22" t="str">
        <f>Tabela1[[#This Row],[PRODUTO]]&amp;Tabela1[[#This Row],[TAG]]</f>
        <v>ESTRUTURA05-CV-0001</v>
      </c>
      <c r="AR136" s="24" t="str">
        <f>Tabela1[[#This Row],[PEDIDO]]&amp;Tabela1[[#This Row],[PRODUTO]]</f>
        <v>P-198ESTRUTURA</v>
      </c>
      <c r="AS136" s="37">
        <f>IF(AF136="",0,IF(ISTEXT(AF136),H136*VALUE(SUBSTITUTE(AF136,"%",""))/100,H136*AF136))-Tabela1[[#This Row],[PRONTO ACABADO2]]</f>
        <v>0</v>
      </c>
      <c r="AT136" s="37">
        <f>IF(AG136="",0,IF(ISTEXT(AG136),H136*VALUE(SUBSTITUTE(AG136,"%",""))/100,H136*AG136))-Tabela1[[#This Row],[PESO EXPEDIDO2]]</f>
        <v>0</v>
      </c>
      <c r="AU136" s="37">
        <f t="shared" si="24"/>
        <v>0</v>
      </c>
      <c r="AV136" s="37">
        <f t="shared" si="25"/>
        <v>0</v>
      </c>
      <c r="AW136" s="37"/>
    </row>
    <row r="137" spans="1:49" ht="15.75" customHeight="1" x14ac:dyDescent="0.25">
      <c r="A137" s="6" t="s">
        <v>3315</v>
      </c>
      <c r="B137" s="21" t="s">
        <v>3316</v>
      </c>
      <c r="C137" s="7">
        <v>54</v>
      </c>
      <c r="D137" s="39" t="s">
        <v>3318</v>
      </c>
      <c r="E137" s="7">
        <v>3834</v>
      </c>
      <c r="F137" s="7">
        <v>29</v>
      </c>
      <c r="G137" s="23">
        <v>1.1000000000000001</v>
      </c>
      <c r="H137" s="34">
        <f>Tabela1[[#This Row],[PESO UNI]]*Tabela1[[#This Row],[QTE]]</f>
        <v>59.400000000000006</v>
      </c>
      <c r="I137" s="7" t="s">
        <v>4302</v>
      </c>
      <c r="J137" s="8" t="s">
        <v>3034</v>
      </c>
      <c r="K137" s="8" t="s">
        <v>31</v>
      </c>
      <c r="L137" s="9" t="s">
        <v>2984</v>
      </c>
      <c r="M137" s="10">
        <v>46206</v>
      </c>
      <c r="N137" s="8" t="s">
        <v>38</v>
      </c>
      <c r="O137" s="12"/>
      <c r="P137" s="13"/>
      <c r="Q137" s="14">
        <f>Tabela1[[#This Row],[QTDE/ Fabricação]]-Tabela1[[#This Row],[QTE]]</f>
        <v>-54</v>
      </c>
      <c r="R137" s="18">
        <f t="shared" si="26"/>
        <v>0</v>
      </c>
      <c r="S137" s="18">
        <f t="shared" si="29"/>
        <v>0</v>
      </c>
      <c r="T137" s="19">
        <f t="shared" si="27"/>
        <v>-59.400000000000006</v>
      </c>
      <c r="U137" s="16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>IFERROR(COUNTIF(#REF!,Tabela1[[#This Row],[Colunas5]]),"")</f>
        <v/>
      </c>
      <c r="X137" s="14">
        <f>Tabela1[[#This Row],[QIANTIDADE EXPEDIDA]]*Tabela1[[#This Row],[PESO UNI]]</f>
        <v>0</v>
      </c>
      <c r="Y137" s="14">
        <f t="shared" si="28"/>
        <v>-54</v>
      </c>
      <c r="Z137" s="20">
        <f>Tabela1[[#This Row],[PESO TOTAL]]-Tabela1[[#This Row],[Peso Expedido]]</f>
        <v>59.400000000000006</v>
      </c>
      <c r="AA137" s="17"/>
      <c r="AB137" s="33"/>
      <c r="AC137" s="33"/>
      <c r="AD137" s="33"/>
      <c r="AE137" s="33"/>
      <c r="AF137" s="33"/>
      <c r="AG137" s="33"/>
      <c r="AH137" s="33"/>
      <c r="AI137" s="33" t="str">
        <f t="shared" si="23"/>
        <v/>
      </c>
      <c r="AJ137" s="5"/>
      <c r="AK137" t="str">
        <f>Tabela1[[#This Row],[Coluna1]]&amp;Tabela1[[#This Row],[PEDIDO]]</f>
        <v>P-198</v>
      </c>
      <c r="AL137"/>
      <c r="AM137"/>
      <c r="AN137"/>
      <c r="AO137" t="str">
        <f t="shared" si="30"/>
        <v>T-073204-1/05-CV-0001</v>
      </c>
      <c r="AP137" t="str">
        <f>Tabela1[[#This Row],[TAG]]&amp;Tabela1[[#This Row],[PEDIDO]]&amp;Tabela1[[#This Row],[PRODUTO]]</f>
        <v>05-CV-0001P-198ESTRUTURA</v>
      </c>
      <c r="AQ137" s="22" t="str">
        <f>Tabela1[[#This Row],[PRODUTO]]&amp;Tabela1[[#This Row],[TAG]]</f>
        <v>ESTRUTURA05-CV-0001</v>
      </c>
      <c r="AR137" s="24" t="str">
        <f>Tabela1[[#This Row],[PEDIDO]]&amp;Tabela1[[#This Row],[PRODUTO]]</f>
        <v>P-198ESTRUTURA</v>
      </c>
      <c r="AS137" s="37">
        <f>IF(AF137="",0,IF(ISTEXT(AF137),H137*VALUE(SUBSTITUTE(AF137,"%",""))/100,H137*AF137))-Tabela1[[#This Row],[PRONTO ACABADO2]]</f>
        <v>0</v>
      </c>
      <c r="AT137" s="37">
        <f>IF(AG137="",0,IF(ISTEXT(AG137),H137*VALUE(SUBSTITUTE(AG137,"%",""))/100,H137*AG137))-Tabela1[[#This Row],[PESO EXPEDIDO2]]</f>
        <v>0</v>
      </c>
      <c r="AU137" s="37">
        <f t="shared" si="24"/>
        <v>0</v>
      </c>
      <c r="AV137" s="37">
        <f t="shared" si="25"/>
        <v>0</v>
      </c>
      <c r="AW137" s="37"/>
    </row>
    <row r="138" spans="1:49" ht="15.75" customHeight="1" x14ac:dyDescent="0.25">
      <c r="A138" s="6" t="s">
        <v>3315</v>
      </c>
      <c r="B138" s="21" t="s">
        <v>3316</v>
      </c>
      <c r="C138" s="7">
        <v>54</v>
      </c>
      <c r="D138" s="39" t="s">
        <v>3320</v>
      </c>
      <c r="E138" s="7">
        <v>3835</v>
      </c>
      <c r="F138" s="7">
        <v>29</v>
      </c>
      <c r="G138" s="23">
        <v>2</v>
      </c>
      <c r="H138" s="34">
        <f>Tabela1[[#This Row],[PESO UNI]]*Tabela1[[#This Row],[QTE]]</f>
        <v>108</v>
      </c>
      <c r="I138" s="7" t="s">
        <v>4302</v>
      </c>
      <c r="J138" s="8" t="s">
        <v>3034</v>
      </c>
      <c r="K138" s="8" t="s">
        <v>31</v>
      </c>
      <c r="L138" s="9" t="s">
        <v>2984</v>
      </c>
      <c r="M138" s="10">
        <v>46206</v>
      </c>
      <c r="N138" s="8" t="s">
        <v>38</v>
      </c>
      <c r="O138" s="12"/>
      <c r="P138" s="13"/>
      <c r="Q138" s="14">
        <f>Tabela1[[#This Row],[QTDE/ Fabricação]]-Tabela1[[#This Row],[QTE]]</f>
        <v>-54</v>
      </c>
      <c r="R138" s="18">
        <f t="shared" si="26"/>
        <v>0</v>
      </c>
      <c r="S138" s="18">
        <f t="shared" si="29"/>
        <v>0</v>
      </c>
      <c r="T138" s="19">
        <f t="shared" si="27"/>
        <v>-108</v>
      </c>
      <c r="U138" s="16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>IFERROR(COUNTIF(#REF!,Tabela1[[#This Row],[Colunas5]]),"")</f>
        <v/>
      </c>
      <c r="X138" s="14">
        <f>Tabela1[[#This Row],[QIANTIDADE EXPEDIDA]]*Tabela1[[#This Row],[PESO UNI]]</f>
        <v>0</v>
      </c>
      <c r="Y138" s="14">
        <f t="shared" si="28"/>
        <v>-54</v>
      </c>
      <c r="Z138" s="20">
        <f>Tabela1[[#This Row],[PESO TOTAL]]-Tabela1[[#This Row],[Peso Expedido]]</f>
        <v>108</v>
      </c>
      <c r="AA138" s="17"/>
      <c r="AB138" s="33"/>
      <c r="AC138" s="33"/>
      <c r="AD138" s="33"/>
      <c r="AE138" s="33"/>
      <c r="AF138" s="33"/>
      <c r="AG138" s="33"/>
      <c r="AH138" s="33"/>
      <c r="AI138" s="33" t="str">
        <f t="shared" si="23"/>
        <v/>
      </c>
      <c r="AJ138" s="5"/>
      <c r="AK138" t="str">
        <f>Tabela1[[#This Row],[Coluna1]]&amp;Tabela1[[#This Row],[PEDIDO]]</f>
        <v>P-198</v>
      </c>
      <c r="AL138"/>
      <c r="AM138"/>
      <c r="AN138"/>
      <c r="AO138" t="str">
        <f t="shared" si="30"/>
        <v>T-073204-1/05-CV-0001</v>
      </c>
      <c r="AP138" t="str">
        <f>Tabela1[[#This Row],[TAG]]&amp;Tabela1[[#This Row],[PEDIDO]]&amp;Tabela1[[#This Row],[PRODUTO]]</f>
        <v>05-CV-0001P-198ESTRUTURA</v>
      </c>
      <c r="AQ138" s="22" t="str">
        <f>Tabela1[[#This Row],[PRODUTO]]&amp;Tabela1[[#This Row],[TAG]]</f>
        <v>ESTRUTURA05-CV-0001</v>
      </c>
      <c r="AR138" s="24" t="str">
        <f>Tabela1[[#This Row],[PEDIDO]]&amp;Tabela1[[#This Row],[PRODUTO]]</f>
        <v>P-198ESTRUTURA</v>
      </c>
      <c r="AS138" s="37">
        <f>IF(AF138="",0,IF(ISTEXT(AF138),H138*VALUE(SUBSTITUTE(AF138,"%",""))/100,H138*AF138))-Tabela1[[#This Row],[PRONTO ACABADO2]]</f>
        <v>0</v>
      </c>
      <c r="AT138" s="37">
        <f>IF(AG138="",0,IF(ISTEXT(AG138),H138*VALUE(SUBSTITUTE(AG138,"%",""))/100,H138*AG138))-Tabela1[[#This Row],[PESO EXPEDIDO2]]</f>
        <v>0</v>
      </c>
      <c r="AU138" s="37">
        <f t="shared" si="24"/>
        <v>0</v>
      </c>
      <c r="AV138" s="37">
        <f t="shared" si="25"/>
        <v>0</v>
      </c>
      <c r="AW138" s="37"/>
    </row>
    <row r="139" spans="1:49" ht="15.75" customHeight="1" x14ac:dyDescent="0.25">
      <c r="A139" s="6" t="s">
        <v>3315</v>
      </c>
      <c r="B139" s="21" t="s">
        <v>3316</v>
      </c>
      <c r="C139" s="7">
        <v>208</v>
      </c>
      <c r="D139" s="39" t="s">
        <v>3321</v>
      </c>
      <c r="E139" s="7">
        <v>3836</v>
      </c>
      <c r="F139" s="7">
        <v>29</v>
      </c>
      <c r="G139" s="23">
        <v>2.5</v>
      </c>
      <c r="H139" s="34">
        <f>Tabela1[[#This Row],[PESO UNI]]*Tabela1[[#This Row],[QTE]]</f>
        <v>520</v>
      </c>
      <c r="I139" s="7" t="s">
        <v>4302</v>
      </c>
      <c r="J139" s="8" t="s">
        <v>3034</v>
      </c>
      <c r="K139" s="8" t="s">
        <v>31</v>
      </c>
      <c r="L139" s="9" t="s">
        <v>2984</v>
      </c>
      <c r="M139" s="10">
        <v>46206</v>
      </c>
      <c r="N139" s="8" t="s">
        <v>38</v>
      </c>
      <c r="O139" s="12"/>
      <c r="P139" s="13"/>
      <c r="Q139" s="14">
        <f>Tabela1[[#This Row],[QTDE/ Fabricação]]-Tabela1[[#This Row],[QTE]]</f>
        <v>-208</v>
      </c>
      <c r="R139" s="18">
        <f t="shared" si="26"/>
        <v>0</v>
      </c>
      <c r="S139" s="18">
        <f t="shared" si="29"/>
        <v>0</v>
      </c>
      <c r="T139" s="19">
        <f t="shared" si="27"/>
        <v>-520</v>
      </c>
      <c r="U139" s="16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>IFERROR(COUNTIF(#REF!,Tabela1[[#This Row],[Colunas5]]),"")</f>
        <v/>
      </c>
      <c r="X139" s="14">
        <f>Tabela1[[#This Row],[QIANTIDADE EXPEDIDA]]*Tabela1[[#This Row],[PESO UNI]]</f>
        <v>0</v>
      </c>
      <c r="Y139" s="14">
        <f t="shared" si="28"/>
        <v>-208</v>
      </c>
      <c r="Z139" s="20">
        <f>Tabela1[[#This Row],[PESO TOTAL]]-Tabela1[[#This Row],[Peso Expedido]]</f>
        <v>520</v>
      </c>
      <c r="AA139" s="17"/>
      <c r="AB139" s="33"/>
      <c r="AC139" s="33"/>
      <c r="AD139" s="33"/>
      <c r="AE139" s="33"/>
      <c r="AF139" s="33"/>
      <c r="AG139" s="33"/>
      <c r="AH139" s="33"/>
      <c r="AI139" s="33" t="str">
        <f t="shared" si="23"/>
        <v/>
      </c>
      <c r="AJ139" s="5"/>
      <c r="AK139" t="str">
        <f>Tabela1[[#This Row],[Coluna1]]&amp;Tabela1[[#This Row],[PEDIDO]]</f>
        <v>P-198</v>
      </c>
      <c r="AL139"/>
      <c r="AM139"/>
      <c r="AN139"/>
      <c r="AO139" t="str">
        <f t="shared" si="30"/>
        <v>T-073204-1/05-CV-0001</v>
      </c>
      <c r="AP139" t="str">
        <f>Tabela1[[#This Row],[TAG]]&amp;Tabela1[[#This Row],[PEDIDO]]&amp;Tabela1[[#This Row],[PRODUTO]]</f>
        <v>05-CV-0001P-198ESTRUTURA</v>
      </c>
      <c r="AQ139" s="22" t="str">
        <f>Tabela1[[#This Row],[PRODUTO]]&amp;Tabela1[[#This Row],[TAG]]</f>
        <v>ESTRUTURA05-CV-0001</v>
      </c>
      <c r="AR139" s="24" t="str">
        <f>Tabela1[[#This Row],[PEDIDO]]&amp;Tabela1[[#This Row],[PRODUTO]]</f>
        <v>P-198ESTRUTURA</v>
      </c>
      <c r="AS139" s="37">
        <f>IF(AF139="",0,IF(ISTEXT(AF139),H139*VALUE(SUBSTITUTE(AF139,"%",""))/100,H139*AF139))-Tabela1[[#This Row],[PRONTO ACABADO2]]</f>
        <v>0</v>
      </c>
      <c r="AT139" s="37">
        <f>IF(AG139="",0,IF(ISTEXT(AG139),H139*VALUE(SUBSTITUTE(AG139,"%",""))/100,H139*AG139))-Tabela1[[#This Row],[PESO EXPEDIDO2]]</f>
        <v>0</v>
      </c>
      <c r="AU139" s="37">
        <f t="shared" si="24"/>
        <v>0</v>
      </c>
      <c r="AV139" s="37">
        <f t="shared" si="25"/>
        <v>0</v>
      </c>
      <c r="AW139" s="37"/>
    </row>
    <row r="140" spans="1:49" ht="15.75" customHeight="1" x14ac:dyDescent="0.25">
      <c r="A140" s="6" t="s">
        <v>3315</v>
      </c>
      <c r="B140" s="21" t="s">
        <v>3316</v>
      </c>
      <c r="C140" s="7">
        <v>2</v>
      </c>
      <c r="D140" s="39" t="s">
        <v>3322</v>
      </c>
      <c r="E140" s="7">
        <v>3837</v>
      </c>
      <c r="F140" s="7">
        <v>29</v>
      </c>
      <c r="G140" s="23">
        <v>3.3</v>
      </c>
      <c r="H140" s="34">
        <f>Tabela1[[#This Row],[PESO UNI]]*Tabela1[[#This Row],[QTE]]</f>
        <v>6.6</v>
      </c>
      <c r="I140" s="7" t="s">
        <v>4302</v>
      </c>
      <c r="J140" s="8" t="s">
        <v>3034</v>
      </c>
      <c r="K140" s="8" t="s">
        <v>31</v>
      </c>
      <c r="L140" s="9" t="s">
        <v>2984</v>
      </c>
      <c r="M140" s="10">
        <v>46206</v>
      </c>
      <c r="N140" s="8" t="s">
        <v>38</v>
      </c>
      <c r="O140" s="12"/>
      <c r="P140" s="13"/>
      <c r="Q140" s="14">
        <f>Tabela1[[#This Row],[QTDE/ Fabricação]]-Tabela1[[#This Row],[QTE]]</f>
        <v>-2</v>
      </c>
      <c r="R140" s="18">
        <f t="shared" si="26"/>
        <v>0</v>
      </c>
      <c r="S140" s="18">
        <f t="shared" si="29"/>
        <v>0</v>
      </c>
      <c r="T140" s="19">
        <f t="shared" si="27"/>
        <v>-6.6</v>
      </c>
      <c r="U140" s="16">
        <f>IFERROR(SUMIF('LISTA DE EMBARQUE'!B:B,MICRO!E:E,'LISTA DE EMBARQUE'!G:G),"")</f>
        <v>0</v>
      </c>
      <c r="V140" s="12" t="str">
        <f>IFERROR(VLOOKUP(Tabela1[[#This Row],[COD.MDE]],'LISTA DE EMBARQUE'!B:L,11,0),"")</f>
        <v/>
      </c>
      <c r="W140" s="13" t="str">
        <f>IFERROR(COUNTIF(#REF!,Tabela1[[#This Row],[Colunas5]]),"")</f>
        <v/>
      </c>
      <c r="X140" s="14">
        <f>Tabela1[[#This Row],[QIANTIDADE EXPEDIDA]]*Tabela1[[#This Row],[PESO UNI]]</f>
        <v>0</v>
      </c>
      <c r="Y140" s="14">
        <f t="shared" si="28"/>
        <v>-2</v>
      </c>
      <c r="Z140" s="20">
        <f>Tabela1[[#This Row],[PESO TOTAL]]-Tabela1[[#This Row],[Peso Expedido]]</f>
        <v>6.6</v>
      </c>
      <c r="AA140" s="17"/>
      <c r="AB140" s="33"/>
      <c r="AC140" s="33"/>
      <c r="AD140" s="33"/>
      <c r="AE140" s="33"/>
      <c r="AF140" s="33"/>
      <c r="AG140" s="33"/>
      <c r="AH140" s="33"/>
      <c r="AI140" s="33" t="str">
        <f t="shared" si="23"/>
        <v/>
      </c>
      <c r="AJ140" s="5"/>
      <c r="AK140" t="str">
        <f>Tabela1[[#This Row],[Coluna1]]&amp;Tabela1[[#This Row],[PEDIDO]]</f>
        <v>P-198</v>
      </c>
      <c r="AL140"/>
      <c r="AM140"/>
      <c r="AN140"/>
      <c r="AO140" t="str">
        <f t="shared" si="30"/>
        <v>T-073204-1/05-CV-0001</v>
      </c>
      <c r="AP140" t="str">
        <f>Tabela1[[#This Row],[TAG]]&amp;Tabela1[[#This Row],[PEDIDO]]&amp;Tabela1[[#This Row],[PRODUTO]]</f>
        <v>05-CV-0001P-198ESTRUTURA</v>
      </c>
      <c r="AQ140" s="22" t="str">
        <f>Tabela1[[#This Row],[PRODUTO]]&amp;Tabela1[[#This Row],[TAG]]</f>
        <v>ESTRUTURA05-CV-0001</v>
      </c>
      <c r="AR140" s="24" t="str">
        <f>Tabela1[[#This Row],[PEDIDO]]&amp;Tabela1[[#This Row],[PRODUTO]]</f>
        <v>P-198ESTRUTURA</v>
      </c>
      <c r="AS140" s="37">
        <f>IF(AF140="",0,IF(ISTEXT(AF140),H140*VALUE(SUBSTITUTE(AF140,"%",""))/100,H140*AF140))-Tabela1[[#This Row],[PRONTO ACABADO2]]</f>
        <v>0</v>
      </c>
      <c r="AT140" s="37">
        <f>IF(AG140="",0,IF(ISTEXT(AG140),H140*VALUE(SUBSTITUTE(AG140,"%",""))/100,H140*AG140))-Tabela1[[#This Row],[PESO EXPEDIDO2]]</f>
        <v>0</v>
      </c>
      <c r="AU140" s="37">
        <f t="shared" si="24"/>
        <v>0</v>
      </c>
      <c r="AV140" s="37">
        <f t="shared" si="25"/>
        <v>0</v>
      </c>
      <c r="AW140" s="37"/>
    </row>
    <row r="141" spans="1:49" ht="15.75" customHeight="1" x14ac:dyDescent="0.25">
      <c r="A141" s="6" t="s">
        <v>3315</v>
      </c>
      <c r="B141" s="21" t="s">
        <v>3316</v>
      </c>
      <c r="C141" s="7">
        <v>2</v>
      </c>
      <c r="D141" s="39" t="s">
        <v>3323</v>
      </c>
      <c r="E141" s="7">
        <v>3838</v>
      </c>
      <c r="F141" s="7">
        <v>29</v>
      </c>
      <c r="G141" s="23">
        <v>14.4</v>
      </c>
      <c r="H141" s="34">
        <f>Tabela1[[#This Row],[PESO UNI]]*Tabela1[[#This Row],[QTE]]</f>
        <v>28.8</v>
      </c>
      <c r="I141" s="7" t="s">
        <v>4302</v>
      </c>
      <c r="J141" s="8" t="s">
        <v>3034</v>
      </c>
      <c r="K141" s="8" t="s">
        <v>31</v>
      </c>
      <c r="L141" s="9" t="s">
        <v>2984</v>
      </c>
      <c r="M141" s="10">
        <v>46206</v>
      </c>
      <c r="N141" s="8" t="s">
        <v>38</v>
      </c>
      <c r="O141" s="12"/>
      <c r="P141" s="13"/>
      <c r="Q141" s="14">
        <f>Tabela1[[#This Row],[QTDE/ Fabricação]]-Tabela1[[#This Row],[QTE]]</f>
        <v>-2</v>
      </c>
      <c r="R141" s="18">
        <f t="shared" si="26"/>
        <v>0</v>
      </c>
      <c r="S141" s="18">
        <f t="shared" si="29"/>
        <v>0</v>
      </c>
      <c r="T141" s="19">
        <f t="shared" si="27"/>
        <v>-28.8</v>
      </c>
      <c r="U141" s="16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>IFERROR(COUNTIF(#REF!,Tabela1[[#This Row],[Colunas5]]),"")</f>
        <v/>
      </c>
      <c r="X141" s="14">
        <f>Tabela1[[#This Row],[QIANTIDADE EXPEDIDA]]*Tabela1[[#This Row],[PESO UNI]]</f>
        <v>0</v>
      </c>
      <c r="Y141" s="14">
        <f t="shared" si="28"/>
        <v>-2</v>
      </c>
      <c r="Z141" s="20">
        <f>Tabela1[[#This Row],[PESO TOTAL]]-Tabela1[[#This Row],[Peso Expedido]]</f>
        <v>28.8</v>
      </c>
      <c r="AA141" s="17"/>
      <c r="AB141" s="33"/>
      <c r="AC141" s="33"/>
      <c r="AD141" s="33"/>
      <c r="AE141" s="33"/>
      <c r="AF141" s="33"/>
      <c r="AG141" s="33"/>
      <c r="AH141" s="33"/>
      <c r="AI141" s="33" t="str">
        <f t="shared" si="23"/>
        <v/>
      </c>
      <c r="AJ141" s="5"/>
      <c r="AK141" t="str">
        <f>Tabela1[[#This Row],[Coluna1]]&amp;Tabela1[[#This Row],[PEDIDO]]</f>
        <v>P-198</v>
      </c>
      <c r="AL141"/>
      <c r="AM141"/>
      <c r="AN141"/>
      <c r="AO141" t="str">
        <f t="shared" si="30"/>
        <v>T-073204-1/05-CV-0001</v>
      </c>
      <c r="AP141" t="str">
        <f>Tabela1[[#This Row],[TAG]]&amp;Tabela1[[#This Row],[PEDIDO]]&amp;Tabela1[[#This Row],[PRODUTO]]</f>
        <v>05-CV-0001P-198ESTRUTURA</v>
      </c>
      <c r="AQ141" s="22" t="str">
        <f>Tabela1[[#This Row],[PRODUTO]]&amp;Tabela1[[#This Row],[TAG]]</f>
        <v>ESTRUTURA05-CV-0001</v>
      </c>
      <c r="AR141" s="24" t="str">
        <f>Tabela1[[#This Row],[PEDIDO]]&amp;Tabela1[[#This Row],[PRODUTO]]</f>
        <v>P-198ESTRUTURA</v>
      </c>
      <c r="AS141" s="37">
        <f>IF(AF141="",0,IF(ISTEXT(AF141),H141*VALUE(SUBSTITUTE(AF141,"%",""))/100,H141*AF141))-Tabela1[[#This Row],[PRONTO ACABADO2]]</f>
        <v>0</v>
      </c>
      <c r="AT141" s="37">
        <f>IF(AG141="",0,IF(ISTEXT(AG141),H141*VALUE(SUBSTITUTE(AG141,"%",""))/100,H141*AG141))-Tabela1[[#This Row],[PESO EXPEDIDO2]]</f>
        <v>0</v>
      </c>
      <c r="AU141" s="37">
        <f t="shared" si="24"/>
        <v>0</v>
      </c>
      <c r="AV141" s="37">
        <f t="shared" si="25"/>
        <v>0</v>
      </c>
      <c r="AW141" s="37"/>
    </row>
    <row r="142" spans="1:49" ht="15.75" customHeight="1" x14ac:dyDescent="0.25">
      <c r="A142" s="6" t="s">
        <v>3315</v>
      </c>
      <c r="B142" s="21" t="s">
        <v>3316</v>
      </c>
      <c r="C142" s="7">
        <v>14</v>
      </c>
      <c r="D142" s="39" t="s">
        <v>3324</v>
      </c>
      <c r="E142" s="7">
        <v>3839</v>
      </c>
      <c r="F142" s="7">
        <v>29</v>
      </c>
      <c r="G142" s="23">
        <v>1.9</v>
      </c>
      <c r="H142" s="34">
        <f>Tabela1[[#This Row],[PESO UNI]]*Tabela1[[#This Row],[QTE]]</f>
        <v>26.599999999999998</v>
      </c>
      <c r="I142" s="7" t="s">
        <v>4302</v>
      </c>
      <c r="J142" s="8" t="s">
        <v>3034</v>
      </c>
      <c r="K142" s="8" t="s">
        <v>31</v>
      </c>
      <c r="L142" s="9" t="s">
        <v>2984</v>
      </c>
      <c r="M142" s="10">
        <v>46206</v>
      </c>
      <c r="N142" s="8" t="s">
        <v>38</v>
      </c>
      <c r="O142" s="12"/>
      <c r="P142" s="13"/>
      <c r="Q142" s="14">
        <f>Tabela1[[#This Row],[QTDE/ Fabricação]]-Tabela1[[#This Row],[QTE]]</f>
        <v>-14</v>
      </c>
      <c r="R142" s="18">
        <f t="shared" si="26"/>
        <v>0</v>
      </c>
      <c r="S142" s="18">
        <f t="shared" si="29"/>
        <v>0</v>
      </c>
      <c r="T142" s="19">
        <f t="shared" si="27"/>
        <v>-26.599999999999998</v>
      </c>
      <c r="U142" s="16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>IFERROR(COUNTIF(#REF!,Tabela1[[#This Row],[Colunas5]]),"")</f>
        <v/>
      </c>
      <c r="X142" s="14">
        <f>Tabela1[[#This Row],[QIANTIDADE EXPEDIDA]]*Tabela1[[#This Row],[PESO UNI]]</f>
        <v>0</v>
      </c>
      <c r="Y142" s="14">
        <f t="shared" si="28"/>
        <v>-14</v>
      </c>
      <c r="Z142" s="20">
        <f>Tabela1[[#This Row],[PESO TOTAL]]-Tabela1[[#This Row],[Peso Expedido]]</f>
        <v>26.599999999999998</v>
      </c>
      <c r="AA142" s="17"/>
      <c r="AB142" s="33"/>
      <c r="AC142" s="33"/>
      <c r="AD142" s="33"/>
      <c r="AE142" s="33"/>
      <c r="AF142" s="33"/>
      <c r="AG142" s="33"/>
      <c r="AH142" s="33"/>
      <c r="AI142" s="33" t="str">
        <f t="shared" si="23"/>
        <v/>
      </c>
      <c r="AJ142" s="5"/>
      <c r="AK142" t="str">
        <f>Tabela1[[#This Row],[Coluna1]]&amp;Tabela1[[#This Row],[PEDIDO]]</f>
        <v>P-198</v>
      </c>
      <c r="AL142"/>
      <c r="AM142"/>
      <c r="AN142"/>
      <c r="AO142" t="str">
        <f t="shared" si="30"/>
        <v>T-073204-1/05-CV-0001</v>
      </c>
      <c r="AP142" t="str">
        <f>Tabela1[[#This Row],[TAG]]&amp;Tabela1[[#This Row],[PEDIDO]]&amp;Tabela1[[#This Row],[PRODUTO]]</f>
        <v>05-CV-0001P-198ESTRUTURA</v>
      </c>
      <c r="AQ142" s="22" t="str">
        <f>Tabela1[[#This Row],[PRODUTO]]&amp;Tabela1[[#This Row],[TAG]]</f>
        <v>ESTRUTURA05-CV-0001</v>
      </c>
      <c r="AR142" s="24" t="str">
        <f>Tabela1[[#This Row],[PEDIDO]]&amp;Tabela1[[#This Row],[PRODUTO]]</f>
        <v>P-198ESTRUTURA</v>
      </c>
      <c r="AS142" s="37">
        <f>IF(AF142="",0,IF(ISTEXT(AF142),H142*VALUE(SUBSTITUTE(AF142,"%",""))/100,H142*AF142))-Tabela1[[#This Row],[PRONTO ACABADO2]]</f>
        <v>0</v>
      </c>
      <c r="AT142" s="37">
        <f>IF(AG142="",0,IF(ISTEXT(AG142),H142*VALUE(SUBSTITUTE(AG142,"%",""))/100,H142*AG142))-Tabela1[[#This Row],[PESO EXPEDIDO2]]</f>
        <v>0</v>
      </c>
      <c r="AU142" s="37">
        <f t="shared" si="24"/>
        <v>0</v>
      </c>
      <c r="AV142" s="37">
        <f t="shared" si="25"/>
        <v>0</v>
      </c>
      <c r="AW142" s="37"/>
    </row>
    <row r="143" spans="1:49" ht="15.75" customHeight="1" x14ac:dyDescent="0.25">
      <c r="A143" s="6" t="s">
        <v>3315</v>
      </c>
      <c r="B143" s="21" t="s">
        <v>3316</v>
      </c>
      <c r="C143" s="7">
        <v>14</v>
      </c>
      <c r="D143" s="39" t="s">
        <v>3325</v>
      </c>
      <c r="E143" s="7">
        <v>3840</v>
      </c>
      <c r="F143" s="7">
        <v>29</v>
      </c>
      <c r="G143" s="23">
        <v>1.7</v>
      </c>
      <c r="H143" s="34">
        <f>Tabela1[[#This Row],[PESO UNI]]*Tabela1[[#This Row],[QTE]]</f>
        <v>23.8</v>
      </c>
      <c r="I143" s="7" t="s">
        <v>4302</v>
      </c>
      <c r="J143" s="8" t="s">
        <v>3034</v>
      </c>
      <c r="K143" s="8" t="s">
        <v>31</v>
      </c>
      <c r="L143" s="9" t="s">
        <v>2984</v>
      </c>
      <c r="M143" s="10">
        <v>46206</v>
      </c>
      <c r="N143" s="8" t="s">
        <v>38</v>
      </c>
      <c r="O143" s="12"/>
      <c r="P143" s="13"/>
      <c r="Q143" s="14">
        <f>Tabela1[[#This Row],[QTDE/ Fabricação]]-Tabela1[[#This Row],[QTE]]</f>
        <v>-14</v>
      </c>
      <c r="R143" s="18">
        <f t="shared" si="26"/>
        <v>0</v>
      </c>
      <c r="S143" s="18">
        <f t="shared" si="29"/>
        <v>0</v>
      </c>
      <c r="T143" s="19">
        <f t="shared" si="27"/>
        <v>-23.8</v>
      </c>
      <c r="U143" s="16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>IFERROR(COUNTIF(#REF!,Tabela1[[#This Row],[Colunas5]]),"")</f>
        <v/>
      </c>
      <c r="X143" s="14">
        <f>Tabela1[[#This Row],[QIANTIDADE EXPEDIDA]]*Tabela1[[#This Row],[PESO UNI]]</f>
        <v>0</v>
      </c>
      <c r="Y143" s="14">
        <f t="shared" si="28"/>
        <v>-14</v>
      </c>
      <c r="Z143" s="20">
        <f>Tabela1[[#This Row],[PESO TOTAL]]-Tabela1[[#This Row],[Peso Expedido]]</f>
        <v>23.8</v>
      </c>
      <c r="AA143" s="17"/>
      <c r="AB143" s="33"/>
      <c r="AC143" s="33"/>
      <c r="AD143" s="33"/>
      <c r="AE143" s="33"/>
      <c r="AF143" s="33"/>
      <c r="AG143" s="33"/>
      <c r="AH143" s="33"/>
      <c r="AI143" s="33" t="str">
        <f t="shared" si="23"/>
        <v/>
      </c>
      <c r="AJ143" s="5"/>
      <c r="AK143" t="str">
        <f>Tabela1[[#This Row],[Coluna1]]&amp;Tabela1[[#This Row],[PEDIDO]]</f>
        <v>P-198</v>
      </c>
      <c r="AL143"/>
      <c r="AM143"/>
      <c r="AN143"/>
      <c r="AO143" t="str">
        <f t="shared" si="30"/>
        <v>T-073204-1/05-CV-0001</v>
      </c>
      <c r="AP143" t="str">
        <f>Tabela1[[#This Row],[TAG]]&amp;Tabela1[[#This Row],[PEDIDO]]&amp;Tabela1[[#This Row],[PRODUTO]]</f>
        <v>05-CV-0001P-198ESTRUTURA</v>
      </c>
      <c r="AQ143" s="22" t="str">
        <f>Tabela1[[#This Row],[PRODUTO]]&amp;Tabela1[[#This Row],[TAG]]</f>
        <v>ESTRUTURA05-CV-0001</v>
      </c>
      <c r="AR143" s="24" t="str">
        <f>Tabela1[[#This Row],[PEDIDO]]&amp;Tabela1[[#This Row],[PRODUTO]]</f>
        <v>P-198ESTRUTURA</v>
      </c>
      <c r="AS143" s="37">
        <f>IF(AF143="",0,IF(ISTEXT(AF143),H143*VALUE(SUBSTITUTE(AF143,"%",""))/100,H143*AF143))-Tabela1[[#This Row],[PRONTO ACABADO2]]</f>
        <v>0</v>
      </c>
      <c r="AT143" s="37">
        <f>IF(AG143="",0,IF(ISTEXT(AG143),H143*VALUE(SUBSTITUTE(AG143,"%",""))/100,H143*AG143))-Tabela1[[#This Row],[PESO EXPEDIDO2]]</f>
        <v>0</v>
      </c>
      <c r="AU143" s="37">
        <f t="shared" si="24"/>
        <v>0</v>
      </c>
      <c r="AV143" s="37">
        <f t="shared" si="25"/>
        <v>0</v>
      </c>
      <c r="AW143" s="37"/>
    </row>
    <row r="144" spans="1:49" ht="15.75" customHeight="1" x14ac:dyDescent="0.25">
      <c r="A144" s="6" t="s">
        <v>3315</v>
      </c>
      <c r="B144" s="21" t="s">
        <v>3316</v>
      </c>
      <c r="C144" s="7">
        <v>4</v>
      </c>
      <c r="D144" s="39" t="s">
        <v>3326</v>
      </c>
      <c r="E144" s="7">
        <v>3841</v>
      </c>
      <c r="F144" s="7">
        <v>29</v>
      </c>
      <c r="G144" s="23">
        <v>14.3</v>
      </c>
      <c r="H144" s="34">
        <f>Tabela1[[#This Row],[PESO UNI]]*Tabela1[[#This Row],[QTE]]</f>
        <v>57.2</v>
      </c>
      <c r="I144" s="7" t="s">
        <v>4302</v>
      </c>
      <c r="J144" s="8" t="s">
        <v>3034</v>
      </c>
      <c r="K144" s="8" t="s">
        <v>31</v>
      </c>
      <c r="L144" s="9" t="s">
        <v>2984</v>
      </c>
      <c r="M144" s="10">
        <v>46206</v>
      </c>
      <c r="N144" s="8" t="s">
        <v>38</v>
      </c>
      <c r="O144" s="12"/>
      <c r="P144" s="13"/>
      <c r="Q144" s="14">
        <f>Tabela1[[#This Row],[QTDE/ Fabricação]]-Tabela1[[#This Row],[QTE]]</f>
        <v>-4</v>
      </c>
      <c r="R144" s="18">
        <f t="shared" si="26"/>
        <v>0</v>
      </c>
      <c r="S144" s="18">
        <f t="shared" si="29"/>
        <v>0</v>
      </c>
      <c r="T144" s="19">
        <f t="shared" si="27"/>
        <v>-57.2</v>
      </c>
      <c r="U144" s="16">
        <f>IFERROR(SUMIF('LISTA DE EMBARQUE'!B:B,MICRO!E:E,'LISTA DE EMBARQUE'!G:G),"")</f>
        <v>0</v>
      </c>
      <c r="V144" s="12" t="str">
        <f>IFERROR(VLOOKUP(Tabela1[[#This Row],[COD.MDE]],'LISTA DE EMBARQUE'!B:L,11,0),"")</f>
        <v/>
      </c>
      <c r="W144" s="13" t="str">
        <f>IFERROR(COUNTIF(#REF!,Tabela1[[#This Row],[Colunas5]]),"")</f>
        <v/>
      </c>
      <c r="X144" s="14">
        <f>Tabela1[[#This Row],[QIANTIDADE EXPEDIDA]]*Tabela1[[#This Row],[PESO UNI]]</f>
        <v>0</v>
      </c>
      <c r="Y144" s="14">
        <f t="shared" si="28"/>
        <v>-4</v>
      </c>
      <c r="Z144" s="20">
        <f>Tabela1[[#This Row],[PESO TOTAL]]-Tabela1[[#This Row],[Peso Expedido]]</f>
        <v>57.2</v>
      </c>
      <c r="AA144" s="17"/>
      <c r="AB144" s="33"/>
      <c r="AC144" s="33"/>
      <c r="AD144" s="33"/>
      <c r="AE144" s="33"/>
      <c r="AF144" s="33"/>
      <c r="AG144" s="33"/>
      <c r="AH144" s="33"/>
      <c r="AI144" s="33" t="str">
        <f t="shared" si="23"/>
        <v/>
      </c>
      <c r="AJ144" s="5"/>
      <c r="AK144" t="str">
        <f>Tabela1[[#This Row],[Coluna1]]&amp;Tabela1[[#This Row],[PEDIDO]]</f>
        <v>P-198</v>
      </c>
      <c r="AL144"/>
      <c r="AM144"/>
      <c r="AN144"/>
      <c r="AO144" t="str">
        <f t="shared" si="30"/>
        <v>T-073204-1/05-CV-0001</v>
      </c>
      <c r="AP144" t="str">
        <f>Tabela1[[#This Row],[TAG]]&amp;Tabela1[[#This Row],[PEDIDO]]&amp;Tabela1[[#This Row],[PRODUTO]]</f>
        <v>05-CV-0001P-198ESTRUTURA</v>
      </c>
      <c r="AQ144" s="22" t="str">
        <f>Tabela1[[#This Row],[PRODUTO]]&amp;Tabela1[[#This Row],[TAG]]</f>
        <v>ESTRUTURA05-CV-0001</v>
      </c>
      <c r="AR144" s="24" t="str">
        <f>Tabela1[[#This Row],[PEDIDO]]&amp;Tabela1[[#This Row],[PRODUTO]]</f>
        <v>P-198ESTRUTURA</v>
      </c>
      <c r="AS144" s="37">
        <f>IF(AF144="",0,IF(ISTEXT(AF144),H144*VALUE(SUBSTITUTE(AF144,"%",""))/100,H144*AF144))-Tabela1[[#This Row],[PRONTO ACABADO2]]</f>
        <v>0</v>
      </c>
      <c r="AT144" s="37">
        <f>IF(AG144="",0,IF(ISTEXT(AG144),H144*VALUE(SUBSTITUTE(AG144,"%",""))/100,H144*AG144))-Tabela1[[#This Row],[PESO EXPEDIDO2]]</f>
        <v>0</v>
      </c>
      <c r="AU144" s="37">
        <f t="shared" si="24"/>
        <v>0</v>
      </c>
      <c r="AV144" s="37">
        <f t="shared" si="25"/>
        <v>0</v>
      </c>
      <c r="AW144" s="37"/>
    </row>
    <row r="145" spans="1:49" ht="15.75" customHeight="1" x14ac:dyDescent="0.25">
      <c r="A145" s="6" t="s">
        <v>3315</v>
      </c>
      <c r="B145" s="21" t="s">
        <v>3316</v>
      </c>
      <c r="C145" s="7">
        <v>2</v>
      </c>
      <c r="D145" s="39" t="s">
        <v>3327</v>
      </c>
      <c r="E145" s="7">
        <v>3842</v>
      </c>
      <c r="F145" s="7">
        <v>29</v>
      </c>
      <c r="G145" s="23">
        <v>13.7</v>
      </c>
      <c r="H145" s="34">
        <f>Tabela1[[#This Row],[PESO UNI]]*Tabela1[[#This Row],[QTE]]</f>
        <v>27.4</v>
      </c>
      <c r="I145" s="7" t="s">
        <v>4302</v>
      </c>
      <c r="J145" s="8" t="s">
        <v>3034</v>
      </c>
      <c r="K145" s="8" t="s">
        <v>31</v>
      </c>
      <c r="L145" s="9" t="s">
        <v>2984</v>
      </c>
      <c r="M145" s="10">
        <v>46206</v>
      </c>
      <c r="N145" s="8" t="s">
        <v>38</v>
      </c>
      <c r="O145" s="12"/>
      <c r="P145" s="13"/>
      <c r="Q145" s="14">
        <f>Tabela1[[#This Row],[QTDE/ Fabricação]]-Tabela1[[#This Row],[QTE]]</f>
        <v>-2</v>
      </c>
      <c r="R145" s="18">
        <f t="shared" si="26"/>
        <v>0</v>
      </c>
      <c r="S145" s="18">
        <f t="shared" si="29"/>
        <v>0</v>
      </c>
      <c r="T145" s="19">
        <f t="shared" si="27"/>
        <v>-27.4</v>
      </c>
      <c r="U145" s="16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>IFERROR(COUNTIF(#REF!,Tabela1[[#This Row],[Colunas5]]),"")</f>
        <v/>
      </c>
      <c r="X145" s="14">
        <f>Tabela1[[#This Row],[QIANTIDADE EXPEDIDA]]*Tabela1[[#This Row],[PESO UNI]]</f>
        <v>0</v>
      </c>
      <c r="Y145" s="14">
        <f t="shared" si="28"/>
        <v>-2</v>
      </c>
      <c r="Z145" s="20">
        <f>Tabela1[[#This Row],[PESO TOTAL]]-Tabela1[[#This Row],[Peso Expedido]]</f>
        <v>27.4</v>
      </c>
      <c r="AA145" s="17"/>
      <c r="AB145" s="33"/>
      <c r="AC145" s="33"/>
      <c r="AD145" s="33"/>
      <c r="AE145" s="33"/>
      <c r="AF145" s="33"/>
      <c r="AG145" s="33"/>
      <c r="AH145" s="33"/>
      <c r="AI145" s="33" t="str">
        <f t="shared" si="23"/>
        <v/>
      </c>
      <c r="AJ145" s="5"/>
      <c r="AK145" t="str">
        <f>Tabela1[[#This Row],[Coluna1]]&amp;Tabela1[[#This Row],[PEDIDO]]</f>
        <v>P-198</v>
      </c>
      <c r="AL145"/>
      <c r="AM145"/>
      <c r="AN145"/>
      <c r="AO145" t="str">
        <f t="shared" si="30"/>
        <v>T-073204-1/05-CV-0001</v>
      </c>
      <c r="AP145" t="str">
        <f>Tabela1[[#This Row],[TAG]]&amp;Tabela1[[#This Row],[PEDIDO]]&amp;Tabela1[[#This Row],[PRODUTO]]</f>
        <v>05-CV-0001P-198ESTRUTURA</v>
      </c>
      <c r="AQ145" s="22" t="str">
        <f>Tabela1[[#This Row],[PRODUTO]]&amp;Tabela1[[#This Row],[TAG]]</f>
        <v>ESTRUTURA05-CV-0001</v>
      </c>
      <c r="AR145" s="24" t="str">
        <f>Tabela1[[#This Row],[PEDIDO]]&amp;Tabela1[[#This Row],[PRODUTO]]</f>
        <v>P-198ESTRUTURA</v>
      </c>
      <c r="AS145" s="37">
        <f>IF(AF145="",0,IF(ISTEXT(AF145),H145*VALUE(SUBSTITUTE(AF145,"%",""))/100,H145*AF145))-Tabela1[[#This Row],[PRONTO ACABADO2]]</f>
        <v>0</v>
      </c>
      <c r="AT145" s="37">
        <f>IF(AG145="",0,IF(ISTEXT(AG145),H145*VALUE(SUBSTITUTE(AG145,"%",""))/100,H145*AG145))-Tabela1[[#This Row],[PESO EXPEDIDO2]]</f>
        <v>0</v>
      </c>
      <c r="AU145" s="37">
        <f t="shared" si="24"/>
        <v>0</v>
      </c>
      <c r="AV145" s="37">
        <f t="shared" si="25"/>
        <v>0</v>
      </c>
      <c r="AW145" s="37"/>
    </row>
    <row r="146" spans="1:49" ht="15.75" customHeight="1" x14ac:dyDescent="0.25">
      <c r="A146" s="6" t="s">
        <v>3315</v>
      </c>
      <c r="B146" s="21" t="s">
        <v>3316</v>
      </c>
      <c r="C146" s="7">
        <v>2</v>
      </c>
      <c r="D146" s="39" t="s">
        <v>3328</v>
      </c>
      <c r="E146" s="7">
        <v>3843</v>
      </c>
      <c r="F146" s="7">
        <v>29</v>
      </c>
      <c r="G146" s="23">
        <v>1.1000000000000001</v>
      </c>
      <c r="H146" s="34">
        <f>Tabela1[[#This Row],[PESO UNI]]*Tabela1[[#This Row],[QTE]]</f>
        <v>2.2000000000000002</v>
      </c>
      <c r="I146" s="7" t="s">
        <v>4302</v>
      </c>
      <c r="J146" s="8" t="s">
        <v>3034</v>
      </c>
      <c r="K146" s="8" t="s">
        <v>31</v>
      </c>
      <c r="L146" s="9" t="s">
        <v>2984</v>
      </c>
      <c r="M146" s="10">
        <v>46206</v>
      </c>
      <c r="N146" s="8" t="s">
        <v>38</v>
      </c>
      <c r="O146" s="12"/>
      <c r="P146" s="13"/>
      <c r="Q146" s="14">
        <f>Tabela1[[#This Row],[QTDE/ Fabricação]]-Tabela1[[#This Row],[QTE]]</f>
        <v>-2</v>
      </c>
      <c r="R146" s="18">
        <f t="shared" si="26"/>
        <v>0</v>
      </c>
      <c r="S146" s="18">
        <f t="shared" si="29"/>
        <v>0</v>
      </c>
      <c r="T146" s="19">
        <f t="shared" si="27"/>
        <v>-2.2000000000000002</v>
      </c>
      <c r="U146" s="16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>IFERROR(COUNTIF(#REF!,Tabela1[[#This Row],[Colunas5]]),"")</f>
        <v/>
      </c>
      <c r="X146" s="14">
        <f>Tabela1[[#This Row],[QIANTIDADE EXPEDIDA]]*Tabela1[[#This Row],[PESO UNI]]</f>
        <v>0</v>
      </c>
      <c r="Y146" s="14">
        <f t="shared" si="28"/>
        <v>-2</v>
      </c>
      <c r="Z146" s="20">
        <f>Tabela1[[#This Row],[PESO TOTAL]]-Tabela1[[#This Row],[Peso Expedido]]</f>
        <v>2.2000000000000002</v>
      </c>
      <c r="AA146" s="17"/>
      <c r="AB146" s="33"/>
      <c r="AC146" s="33"/>
      <c r="AD146" s="33"/>
      <c r="AE146" s="33"/>
      <c r="AF146" s="33"/>
      <c r="AG146" s="33"/>
      <c r="AH146" s="33"/>
      <c r="AI146" s="33" t="str">
        <f t="shared" si="23"/>
        <v/>
      </c>
      <c r="AJ146" s="5"/>
      <c r="AK146" t="str">
        <f>Tabela1[[#This Row],[Coluna1]]&amp;Tabela1[[#This Row],[PEDIDO]]</f>
        <v>P-198</v>
      </c>
      <c r="AL146"/>
      <c r="AM146"/>
      <c r="AN146"/>
      <c r="AO146" t="str">
        <f t="shared" si="30"/>
        <v>T-073204-1/05-CV-0001</v>
      </c>
      <c r="AP146" t="str">
        <f>Tabela1[[#This Row],[TAG]]&amp;Tabela1[[#This Row],[PEDIDO]]&amp;Tabela1[[#This Row],[PRODUTO]]</f>
        <v>05-CV-0001P-198ESTRUTURA</v>
      </c>
      <c r="AQ146" s="22" t="str">
        <f>Tabela1[[#This Row],[PRODUTO]]&amp;Tabela1[[#This Row],[TAG]]</f>
        <v>ESTRUTURA05-CV-0001</v>
      </c>
      <c r="AR146" s="24" t="str">
        <f>Tabela1[[#This Row],[PEDIDO]]&amp;Tabela1[[#This Row],[PRODUTO]]</f>
        <v>P-198ESTRUTURA</v>
      </c>
      <c r="AS146" s="37">
        <f>IF(AF146="",0,IF(ISTEXT(AF146),H146*VALUE(SUBSTITUTE(AF146,"%",""))/100,H146*AF146))-Tabela1[[#This Row],[PRONTO ACABADO2]]</f>
        <v>0</v>
      </c>
      <c r="AT146" s="37">
        <f>IF(AG146="",0,IF(ISTEXT(AG146),H146*VALUE(SUBSTITUTE(AG146,"%",""))/100,H146*AG146))-Tabela1[[#This Row],[PESO EXPEDIDO2]]</f>
        <v>0</v>
      </c>
      <c r="AU146" s="37">
        <f t="shared" si="24"/>
        <v>0</v>
      </c>
      <c r="AV146" s="37">
        <f t="shared" si="25"/>
        <v>0</v>
      </c>
      <c r="AW146" s="37"/>
    </row>
    <row r="147" spans="1:49" ht="15.75" customHeight="1" x14ac:dyDescent="0.25">
      <c r="A147" s="6" t="s">
        <v>3315</v>
      </c>
      <c r="B147" s="21" t="s">
        <v>3316</v>
      </c>
      <c r="C147" s="7">
        <v>2</v>
      </c>
      <c r="D147" s="39" t="s">
        <v>3329</v>
      </c>
      <c r="E147" s="7">
        <v>3844</v>
      </c>
      <c r="F147" s="7">
        <v>29</v>
      </c>
      <c r="G147" s="23">
        <v>1.4</v>
      </c>
      <c r="H147" s="34">
        <f>Tabela1[[#This Row],[PESO UNI]]*Tabela1[[#This Row],[QTE]]</f>
        <v>2.8</v>
      </c>
      <c r="I147" s="7" t="s">
        <v>4302</v>
      </c>
      <c r="J147" s="8" t="s">
        <v>3034</v>
      </c>
      <c r="K147" s="8" t="s">
        <v>31</v>
      </c>
      <c r="L147" s="9" t="s">
        <v>2984</v>
      </c>
      <c r="M147" s="10">
        <v>46206</v>
      </c>
      <c r="N147" s="8" t="s">
        <v>38</v>
      </c>
      <c r="O147" s="12"/>
      <c r="P147" s="13"/>
      <c r="Q147" s="14">
        <f>Tabela1[[#This Row],[QTDE/ Fabricação]]-Tabela1[[#This Row],[QTE]]</f>
        <v>-2</v>
      </c>
      <c r="R147" s="18">
        <f t="shared" si="26"/>
        <v>0</v>
      </c>
      <c r="S147" s="18">
        <f t="shared" si="29"/>
        <v>0</v>
      </c>
      <c r="T147" s="19">
        <f t="shared" si="27"/>
        <v>-2.8</v>
      </c>
      <c r="U147" s="16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>IFERROR(COUNTIF(#REF!,Tabela1[[#This Row],[Colunas5]]),"")</f>
        <v/>
      </c>
      <c r="X147" s="14">
        <f>Tabela1[[#This Row],[QIANTIDADE EXPEDIDA]]*Tabela1[[#This Row],[PESO UNI]]</f>
        <v>0</v>
      </c>
      <c r="Y147" s="14">
        <f t="shared" si="28"/>
        <v>-2</v>
      </c>
      <c r="Z147" s="20">
        <f>Tabela1[[#This Row],[PESO TOTAL]]-Tabela1[[#This Row],[Peso Expedido]]</f>
        <v>2.8</v>
      </c>
      <c r="AA147" s="17"/>
      <c r="AB147" s="33"/>
      <c r="AC147" s="33"/>
      <c r="AD147" s="33"/>
      <c r="AE147" s="33"/>
      <c r="AF147" s="33"/>
      <c r="AG147" s="33"/>
      <c r="AH147" s="33"/>
      <c r="AI147" s="33" t="str">
        <f t="shared" si="23"/>
        <v/>
      </c>
      <c r="AJ147" s="5"/>
      <c r="AK147" t="str">
        <f>Tabela1[[#This Row],[Coluna1]]&amp;Tabela1[[#This Row],[PEDIDO]]</f>
        <v>P-198</v>
      </c>
      <c r="AL147"/>
      <c r="AM147"/>
      <c r="AN147"/>
      <c r="AO147" t="str">
        <f t="shared" si="30"/>
        <v>T-073204-1/05-CV-0001</v>
      </c>
      <c r="AP147" t="str">
        <f>Tabela1[[#This Row],[TAG]]&amp;Tabela1[[#This Row],[PEDIDO]]&amp;Tabela1[[#This Row],[PRODUTO]]</f>
        <v>05-CV-0001P-198ESTRUTURA</v>
      </c>
      <c r="AQ147" s="22" t="str">
        <f>Tabela1[[#This Row],[PRODUTO]]&amp;Tabela1[[#This Row],[TAG]]</f>
        <v>ESTRUTURA05-CV-0001</v>
      </c>
      <c r="AR147" s="24" t="str">
        <f>Tabela1[[#This Row],[PEDIDO]]&amp;Tabela1[[#This Row],[PRODUTO]]</f>
        <v>P-198ESTRUTURA</v>
      </c>
      <c r="AS147" s="37">
        <f>IF(AF147="",0,IF(ISTEXT(AF147),H147*VALUE(SUBSTITUTE(AF147,"%",""))/100,H147*AF147))-Tabela1[[#This Row],[PRONTO ACABADO2]]</f>
        <v>0</v>
      </c>
      <c r="AT147" s="37">
        <f>IF(AG147="",0,IF(ISTEXT(AG147),H147*VALUE(SUBSTITUTE(AG147,"%",""))/100,H147*AG147))-Tabela1[[#This Row],[PESO EXPEDIDO2]]</f>
        <v>0</v>
      </c>
      <c r="AU147" s="37">
        <f t="shared" si="24"/>
        <v>0</v>
      </c>
      <c r="AV147" s="37">
        <f t="shared" si="25"/>
        <v>0</v>
      </c>
      <c r="AW147" s="37"/>
    </row>
    <row r="148" spans="1:49" ht="15.75" customHeight="1" x14ac:dyDescent="0.25">
      <c r="A148" s="6" t="s">
        <v>3315</v>
      </c>
      <c r="B148" s="21" t="s">
        <v>3316</v>
      </c>
      <c r="C148" s="7">
        <v>2</v>
      </c>
      <c r="D148" s="39" t="s">
        <v>3330</v>
      </c>
      <c r="E148" s="7">
        <v>3845</v>
      </c>
      <c r="F148" s="7">
        <v>29</v>
      </c>
      <c r="G148" s="23">
        <v>18.2</v>
      </c>
      <c r="H148" s="34">
        <f>Tabela1[[#This Row],[PESO UNI]]*Tabela1[[#This Row],[QTE]]</f>
        <v>36.4</v>
      </c>
      <c r="I148" s="7" t="s">
        <v>4302</v>
      </c>
      <c r="J148" s="8" t="s">
        <v>3034</v>
      </c>
      <c r="K148" s="8" t="s">
        <v>31</v>
      </c>
      <c r="L148" s="9" t="s">
        <v>2984</v>
      </c>
      <c r="M148" s="10">
        <v>46206</v>
      </c>
      <c r="N148" s="8" t="s">
        <v>38</v>
      </c>
      <c r="O148" s="12"/>
      <c r="P148" s="13"/>
      <c r="Q148" s="14">
        <f>Tabela1[[#This Row],[QTDE/ Fabricação]]-Tabela1[[#This Row],[QTE]]</f>
        <v>-2</v>
      </c>
      <c r="R148" s="18">
        <f t="shared" si="26"/>
        <v>0</v>
      </c>
      <c r="S148" s="18">
        <f t="shared" si="29"/>
        <v>0</v>
      </c>
      <c r="T148" s="19">
        <f t="shared" si="27"/>
        <v>-36.4</v>
      </c>
      <c r="U148" s="16">
        <f>IFERROR(SUMIF('LISTA DE EMBARQUE'!B:B,MICRO!E:E,'LISTA DE EMBARQUE'!G:G),"")</f>
        <v>0</v>
      </c>
      <c r="V148" s="12" t="str">
        <f>IFERROR(VLOOKUP(Tabela1[[#This Row],[COD.MDE]],'LISTA DE EMBARQUE'!B:L,11,0),"")</f>
        <v/>
      </c>
      <c r="W148" s="13" t="str">
        <f>IFERROR(COUNTIF(#REF!,Tabela1[[#This Row],[Colunas5]]),"")</f>
        <v/>
      </c>
      <c r="X148" s="14">
        <f>Tabela1[[#This Row],[QIANTIDADE EXPEDIDA]]*Tabela1[[#This Row],[PESO UNI]]</f>
        <v>0</v>
      </c>
      <c r="Y148" s="14">
        <f t="shared" si="28"/>
        <v>-2</v>
      </c>
      <c r="Z148" s="20">
        <f>Tabela1[[#This Row],[PESO TOTAL]]-Tabela1[[#This Row],[Peso Expedido]]</f>
        <v>36.4</v>
      </c>
      <c r="AA148" s="17"/>
      <c r="AB148" s="33"/>
      <c r="AC148" s="33"/>
      <c r="AD148" s="33"/>
      <c r="AE148" s="33"/>
      <c r="AF148" s="33"/>
      <c r="AG148" s="33"/>
      <c r="AH148" s="33"/>
      <c r="AI148" s="33" t="str">
        <f t="shared" si="23"/>
        <v/>
      </c>
      <c r="AJ148" s="5"/>
      <c r="AK148" t="str">
        <f>Tabela1[[#This Row],[Coluna1]]&amp;Tabela1[[#This Row],[PEDIDO]]</f>
        <v>P-198</v>
      </c>
      <c r="AL148"/>
      <c r="AM148"/>
      <c r="AN148"/>
      <c r="AO148" t="str">
        <f t="shared" si="30"/>
        <v>T-073204-1/05-CV-0001</v>
      </c>
      <c r="AP148" t="str">
        <f>Tabela1[[#This Row],[TAG]]&amp;Tabela1[[#This Row],[PEDIDO]]&amp;Tabela1[[#This Row],[PRODUTO]]</f>
        <v>05-CV-0001P-198ESTRUTURA</v>
      </c>
      <c r="AQ148" s="22" t="str">
        <f>Tabela1[[#This Row],[PRODUTO]]&amp;Tabela1[[#This Row],[TAG]]</f>
        <v>ESTRUTURA05-CV-0001</v>
      </c>
      <c r="AR148" s="24" t="str">
        <f>Tabela1[[#This Row],[PEDIDO]]&amp;Tabela1[[#This Row],[PRODUTO]]</f>
        <v>P-198ESTRUTURA</v>
      </c>
      <c r="AS148" s="37">
        <f>IF(AF148="",0,IF(ISTEXT(AF148),H148*VALUE(SUBSTITUTE(AF148,"%",""))/100,H148*AF148))-Tabela1[[#This Row],[PRONTO ACABADO2]]</f>
        <v>0</v>
      </c>
      <c r="AT148" s="37">
        <f>IF(AG148="",0,IF(ISTEXT(AG148),H148*VALUE(SUBSTITUTE(AG148,"%",""))/100,H148*AG148))-Tabela1[[#This Row],[PESO EXPEDIDO2]]</f>
        <v>0</v>
      </c>
      <c r="AU148" s="37">
        <f t="shared" si="24"/>
        <v>0</v>
      </c>
      <c r="AV148" s="37">
        <f t="shared" si="25"/>
        <v>0</v>
      </c>
      <c r="AW148" s="37"/>
    </row>
    <row r="149" spans="1:49" ht="15.75" customHeight="1" x14ac:dyDescent="0.25">
      <c r="A149" s="6" t="s">
        <v>3315</v>
      </c>
      <c r="B149" s="21" t="s">
        <v>3316</v>
      </c>
      <c r="C149" s="7">
        <v>2</v>
      </c>
      <c r="D149" s="39" t="s">
        <v>3331</v>
      </c>
      <c r="E149" s="7">
        <v>3846</v>
      </c>
      <c r="F149" s="7">
        <v>29</v>
      </c>
      <c r="G149" s="23">
        <v>2</v>
      </c>
      <c r="H149" s="34">
        <f>Tabela1[[#This Row],[PESO UNI]]*Tabela1[[#This Row],[QTE]]</f>
        <v>4</v>
      </c>
      <c r="I149" s="7" t="s">
        <v>4302</v>
      </c>
      <c r="J149" s="8" t="s">
        <v>3034</v>
      </c>
      <c r="K149" s="8" t="s">
        <v>31</v>
      </c>
      <c r="L149" s="9" t="s">
        <v>2984</v>
      </c>
      <c r="M149" s="10">
        <v>46206</v>
      </c>
      <c r="N149" s="8" t="s">
        <v>38</v>
      </c>
      <c r="O149" s="12"/>
      <c r="P149" s="13"/>
      <c r="Q149" s="14">
        <f>Tabela1[[#This Row],[QTDE/ Fabricação]]-Tabela1[[#This Row],[QTE]]</f>
        <v>-2</v>
      </c>
      <c r="R149" s="18">
        <f t="shared" ref="R149:R153" si="31">IFERROR(H149*((AA149*0.25)+(AC149*0.25)+(AD149*0.225)+(AE149*0.225)+(AF149*0.05)),"")</f>
        <v>0</v>
      </c>
      <c r="S149" s="18">
        <f t="shared" si="29"/>
        <v>0</v>
      </c>
      <c r="T149" s="19">
        <f t="shared" ref="T149:T153" si="32">IFERROR(S149-H149,"")</f>
        <v>-4</v>
      </c>
      <c r="U149" s="16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>IFERROR(COUNTIF(#REF!,Tabela1[[#This Row],[Colunas5]]),"")</f>
        <v/>
      </c>
      <c r="X149" s="14">
        <f>Tabela1[[#This Row],[QIANTIDADE EXPEDIDA]]*Tabela1[[#This Row],[PESO UNI]]</f>
        <v>0</v>
      </c>
      <c r="Y149" s="14">
        <f t="shared" si="28"/>
        <v>-2</v>
      </c>
      <c r="Z149" s="20">
        <f>Tabela1[[#This Row],[PESO TOTAL]]-Tabela1[[#This Row],[Peso Expedido]]</f>
        <v>4</v>
      </c>
      <c r="AA149" s="17"/>
      <c r="AB149" s="33"/>
      <c r="AC149" s="33"/>
      <c r="AD149" s="33"/>
      <c r="AE149" s="33"/>
      <c r="AF149" s="33"/>
      <c r="AG149" s="33"/>
      <c r="AH149" s="33"/>
      <c r="AI149" s="33" t="str">
        <f t="shared" si="23"/>
        <v/>
      </c>
      <c r="AJ149" s="5"/>
      <c r="AK149" t="str">
        <f>Tabela1[[#This Row],[Coluna1]]&amp;Tabela1[[#This Row],[PEDIDO]]</f>
        <v>P-198</v>
      </c>
      <c r="AL149"/>
      <c r="AM149"/>
      <c r="AN149"/>
      <c r="AO149" t="str">
        <f t="shared" si="30"/>
        <v>T-073204-1/05-CV-0001</v>
      </c>
      <c r="AP149" t="str">
        <f>Tabela1[[#This Row],[TAG]]&amp;Tabela1[[#This Row],[PEDIDO]]&amp;Tabela1[[#This Row],[PRODUTO]]</f>
        <v>05-CV-0001P-198ESTRUTURA</v>
      </c>
      <c r="AQ149" s="22" t="str">
        <f>Tabela1[[#This Row],[PRODUTO]]&amp;Tabela1[[#This Row],[TAG]]</f>
        <v>ESTRUTURA05-CV-0001</v>
      </c>
      <c r="AR149" s="24" t="str">
        <f>Tabela1[[#This Row],[PEDIDO]]&amp;Tabela1[[#This Row],[PRODUTO]]</f>
        <v>P-198ESTRUTURA</v>
      </c>
      <c r="AS149" s="37">
        <f>IF(AF149="",0,IF(ISTEXT(AF149),H149*VALUE(SUBSTITUTE(AF149,"%",""))/100,H149*AF149))-Tabela1[[#This Row],[PRONTO ACABADO2]]</f>
        <v>0</v>
      </c>
      <c r="AT149" s="37">
        <f>IF(AG149="",0,IF(ISTEXT(AG149),H149*VALUE(SUBSTITUTE(AG149,"%",""))/100,H149*AG149))-Tabela1[[#This Row],[PESO EXPEDIDO2]]</f>
        <v>0</v>
      </c>
      <c r="AU149" s="37">
        <f t="shared" si="24"/>
        <v>0</v>
      </c>
      <c r="AV149" s="37">
        <f t="shared" si="25"/>
        <v>0</v>
      </c>
      <c r="AW149" s="37"/>
    </row>
    <row r="150" spans="1:49" ht="15.75" customHeight="1" x14ac:dyDescent="0.25">
      <c r="A150" s="6" t="s">
        <v>3315</v>
      </c>
      <c r="B150" s="21" t="s">
        <v>3316</v>
      </c>
      <c r="C150" s="7">
        <v>2</v>
      </c>
      <c r="D150" s="39" t="s">
        <v>3332</v>
      </c>
      <c r="E150" s="7">
        <v>3847</v>
      </c>
      <c r="F150" s="7">
        <v>29</v>
      </c>
      <c r="G150" s="23">
        <v>1.6</v>
      </c>
      <c r="H150" s="34">
        <f>Tabela1[[#This Row],[PESO UNI]]*Tabela1[[#This Row],[QTE]]</f>
        <v>3.2</v>
      </c>
      <c r="I150" s="7" t="s">
        <v>4302</v>
      </c>
      <c r="J150" s="8" t="s">
        <v>3034</v>
      </c>
      <c r="K150" s="8" t="s">
        <v>31</v>
      </c>
      <c r="L150" s="9" t="s">
        <v>2984</v>
      </c>
      <c r="M150" s="10">
        <v>46206</v>
      </c>
      <c r="N150" s="8" t="s">
        <v>38</v>
      </c>
      <c r="O150" s="12"/>
      <c r="P150" s="13"/>
      <c r="Q150" s="14">
        <f>Tabela1[[#This Row],[QTDE/ Fabricação]]-Tabela1[[#This Row],[QTE]]</f>
        <v>-2</v>
      </c>
      <c r="R150" s="18">
        <f t="shared" si="31"/>
        <v>0</v>
      </c>
      <c r="S150" s="18">
        <f t="shared" si="29"/>
        <v>0</v>
      </c>
      <c r="T150" s="19">
        <f t="shared" si="32"/>
        <v>-3.2</v>
      </c>
      <c r="U150" s="16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>IFERROR(COUNTIF(#REF!,Tabela1[[#This Row],[Colunas5]]),"")</f>
        <v/>
      </c>
      <c r="X150" s="14">
        <f>Tabela1[[#This Row],[QIANTIDADE EXPEDIDA]]*Tabela1[[#This Row],[PESO UNI]]</f>
        <v>0</v>
      </c>
      <c r="Y150" s="14">
        <f t="shared" si="28"/>
        <v>-2</v>
      </c>
      <c r="Z150" s="20">
        <f>Tabela1[[#This Row],[PESO TOTAL]]-Tabela1[[#This Row],[Peso Expedido]]</f>
        <v>3.2</v>
      </c>
      <c r="AA150" s="17"/>
      <c r="AB150" s="33"/>
      <c r="AC150" s="33"/>
      <c r="AD150" s="33"/>
      <c r="AE150" s="33"/>
      <c r="AF150" s="33"/>
      <c r="AG150" s="33"/>
      <c r="AH150" s="33"/>
      <c r="AI150" s="33" t="str">
        <f t="shared" si="23"/>
        <v/>
      </c>
      <c r="AJ150" s="5"/>
      <c r="AK150" t="str">
        <f>Tabela1[[#This Row],[Coluna1]]&amp;Tabela1[[#This Row],[PEDIDO]]</f>
        <v>P-198</v>
      </c>
      <c r="AL150"/>
      <c r="AM150"/>
      <c r="AN150"/>
      <c r="AO150" t="str">
        <f t="shared" si="30"/>
        <v>T-073204-1/05-CV-0001</v>
      </c>
      <c r="AP150" t="str">
        <f>Tabela1[[#This Row],[TAG]]&amp;Tabela1[[#This Row],[PEDIDO]]&amp;Tabela1[[#This Row],[PRODUTO]]</f>
        <v>05-CV-0001P-198ESTRUTURA</v>
      </c>
      <c r="AQ150" s="22" t="str">
        <f>Tabela1[[#This Row],[PRODUTO]]&amp;Tabela1[[#This Row],[TAG]]</f>
        <v>ESTRUTURA05-CV-0001</v>
      </c>
      <c r="AR150" s="24" t="str">
        <f>Tabela1[[#This Row],[PEDIDO]]&amp;Tabela1[[#This Row],[PRODUTO]]</f>
        <v>P-198ESTRUTURA</v>
      </c>
      <c r="AS150" s="37">
        <f>IF(AF150="",0,IF(ISTEXT(AF150),H150*VALUE(SUBSTITUTE(AF150,"%",""))/100,H150*AF150))-Tabela1[[#This Row],[PRONTO ACABADO2]]</f>
        <v>0</v>
      </c>
      <c r="AT150" s="37">
        <f>IF(AG150="",0,IF(ISTEXT(AG150),H150*VALUE(SUBSTITUTE(AG150,"%",""))/100,H150*AG150))-Tabela1[[#This Row],[PESO EXPEDIDO2]]</f>
        <v>0</v>
      </c>
      <c r="AU150" s="37">
        <f t="shared" si="24"/>
        <v>0</v>
      </c>
      <c r="AV150" s="37">
        <f t="shared" si="25"/>
        <v>0</v>
      </c>
      <c r="AW150" s="37"/>
    </row>
    <row r="151" spans="1:49" ht="15.75" customHeight="1" x14ac:dyDescent="0.25">
      <c r="A151" s="6" t="s">
        <v>3729</v>
      </c>
      <c r="B151" s="21" t="s">
        <v>3730</v>
      </c>
      <c r="C151" s="7">
        <v>4</v>
      </c>
      <c r="D151" s="39" t="s">
        <v>3731</v>
      </c>
      <c r="E151" s="7">
        <v>3848</v>
      </c>
      <c r="F151" s="7">
        <v>30</v>
      </c>
      <c r="G151" s="23">
        <v>60.1</v>
      </c>
      <c r="H151" s="34">
        <f>Tabela1[[#This Row],[PESO UNI]]*Tabela1[[#This Row],[QTE]]</f>
        <v>240.4</v>
      </c>
      <c r="I151" s="7" t="s">
        <v>4302</v>
      </c>
      <c r="J151" s="8" t="s">
        <v>3045</v>
      </c>
      <c r="K151" s="8" t="s">
        <v>31</v>
      </c>
      <c r="L151" s="9" t="s">
        <v>2984</v>
      </c>
      <c r="M151" s="10">
        <v>46210</v>
      </c>
      <c r="N151" s="8" t="s">
        <v>38</v>
      </c>
      <c r="O151" s="12"/>
      <c r="P151" s="13"/>
      <c r="Q151" s="14">
        <f>Tabela1[[#This Row],[QTDE/ Fabricação]]-Tabela1[[#This Row],[QTE]]</f>
        <v>-4</v>
      </c>
      <c r="R151" s="18">
        <f t="shared" si="31"/>
        <v>0</v>
      </c>
      <c r="S151" s="18">
        <f t="shared" si="29"/>
        <v>0</v>
      </c>
      <c r="T151" s="19">
        <f t="shared" si="32"/>
        <v>-240.4</v>
      </c>
      <c r="U151" s="16">
        <f>IFERROR(SUMIF('LISTA DE EMBARQUE'!B:B,MICRO!E:E,'LISTA DE EMBARQUE'!G:G),"")</f>
        <v>0</v>
      </c>
      <c r="V151" s="12" t="str">
        <f>IFERROR(VLOOKUP(Tabela1[[#This Row],[COD.MDE]],'LISTA DE EMBARQUE'!B:L,11,0),"")</f>
        <v/>
      </c>
      <c r="W151" s="13" t="str">
        <f>IFERROR(COUNTIF(#REF!,Tabela1[[#This Row],[Colunas5]]),"")</f>
        <v/>
      </c>
      <c r="X151" s="14">
        <f>Tabela1[[#This Row],[QIANTIDADE EXPEDIDA]]*Tabela1[[#This Row],[PESO UNI]]</f>
        <v>0</v>
      </c>
      <c r="Y151" s="14">
        <f t="shared" si="28"/>
        <v>-4</v>
      </c>
      <c r="Z151" s="20">
        <f>Tabela1[[#This Row],[PESO TOTAL]]-Tabela1[[#This Row],[Peso Expedido]]</f>
        <v>240.4</v>
      </c>
      <c r="AA151" s="17"/>
      <c r="AB151" s="33"/>
      <c r="AC151" s="33"/>
      <c r="AD151" s="33"/>
      <c r="AE151" s="33"/>
      <c r="AF151" s="33"/>
      <c r="AG151" s="33"/>
      <c r="AH151" s="33"/>
      <c r="AI151" s="33" t="str">
        <f t="shared" si="23"/>
        <v/>
      </c>
      <c r="AJ151" s="5"/>
      <c r="AK151" t="str">
        <f>Tabela1[[#This Row],[Coluna1]]&amp;Tabela1[[#This Row],[PEDIDO]]</f>
        <v>P-198</v>
      </c>
      <c r="AL151"/>
      <c r="AM151"/>
      <c r="AN151"/>
      <c r="AO151" t="str">
        <f t="shared" si="30"/>
        <v>T-073239-1/14-CV-0001</v>
      </c>
      <c r="AP151" t="str">
        <f>Tabela1[[#This Row],[TAG]]&amp;Tabela1[[#This Row],[PEDIDO]]&amp;Tabela1[[#This Row],[PRODUTO]]</f>
        <v>14-CV-0001P-198ESTRUTURA</v>
      </c>
      <c r="AQ151" s="22" t="str">
        <f>Tabela1[[#This Row],[PRODUTO]]&amp;Tabela1[[#This Row],[TAG]]</f>
        <v>ESTRUTURA14-CV-0001</v>
      </c>
      <c r="AR151" s="24" t="str">
        <f>Tabela1[[#This Row],[PEDIDO]]&amp;Tabela1[[#This Row],[PRODUTO]]</f>
        <v>P-198ESTRUTURA</v>
      </c>
      <c r="AS151" s="37">
        <f>IF(AF151="",0,IF(ISTEXT(AF151),H151*VALUE(SUBSTITUTE(AF151,"%",""))/100,H151*AF151))-Tabela1[[#This Row],[PRONTO ACABADO2]]</f>
        <v>0</v>
      </c>
      <c r="AT151" s="37">
        <f>IF(AG151="",0,IF(ISTEXT(AG151),H151*VALUE(SUBSTITUTE(AG151,"%",""))/100,H151*AG151))-Tabela1[[#This Row],[PESO EXPEDIDO2]]</f>
        <v>0</v>
      </c>
      <c r="AU151" s="37">
        <f t="shared" si="24"/>
        <v>0</v>
      </c>
      <c r="AV151" s="37">
        <f t="shared" si="25"/>
        <v>0</v>
      </c>
      <c r="AW151" s="37"/>
    </row>
    <row r="152" spans="1:49" ht="15.75" customHeight="1" x14ac:dyDescent="0.25">
      <c r="A152" s="6" t="s">
        <v>3732</v>
      </c>
      <c r="B152" s="21" t="s">
        <v>3733</v>
      </c>
      <c r="C152" s="7">
        <v>4</v>
      </c>
      <c r="D152" s="39" t="s">
        <v>3734</v>
      </c>
      <c r="E152" s="7">
        <v>3849</v>
      </c>
      <c r="F152" s="7">
        <v>31</v>
      </c>
      <c r="G152" s="23">
        <v>13.7</v>
      </c>
      <c r="H152" s="34">
        <f>Tabela1[[#This Row],[PESO UNI]]*Tabela1[[#This Row],[QTE]]</f>
        <v>54.8</v>
      </c>
      <c r="I152" s="7">
        <v>0</v>
      </c>
      <c r="J152" s="8" t="s">
        <v>3045</v>
      </c>
      <c r="K152" s="8" t="s">
        <v>31</v>
      </c>
      <c r="L152" s="9" t="s">
        <v>2984</v>
      </c>
      <c r="M152" s="10">
        <v>46210</v>
      </c>
      <c r="N152" s="8" t="s">
        <v>38</v>
      </c>
      <c r="O152" s="12"/>
      <c r="P152" s="13"/>
      <c r="Q152" s="14">
        <f>Tabela1[[#This Row],[QTDE/ Fabricação]]-Tabela1[[#This Row],[QTE]]</f>
        <v>-4</v>
      </c>
      <c r="R152" s="18">
        <f t="shared" si="31"/>
        <v>0</v>
      </c>
      <c r="S152" s="18">
        <f t="shared" si="29"/>
        <v>0</v>
      </c>
      <c r="T152" s="19">
        <f t="shared" si="32"/>
        <v>-54.8</v>
      </c>
      <c r="U152" s="16">
        <f>IFERROR(SUMIF('LISTA DE EMBARQUE'!B:B,MICRO!E:E,'LISTA DE EMBARQUE'!G:G),"")</f>
        <v>0</v>
      </c>
      <c r="V152" s="12" t="str">
        <f>IFERROR(VLOOKUP(Tabela1[[#This Row],[COD.MDE]],'LISTA DE EMBARQUE'!B:L,11,0),"")</f>
        <v/>
      </c>
      <c r="W152" s="13" t="str">
        <f>IFERROR(COUNTIF(#REF!,Tabela1[[#This Row],[Colunas5]]),"")</f>
        <v/>
      </c>
      <c r="X152" s="14">
        <f>Tabela1[[#This Row],[QIANTIDADE EXPEDIDA]]*Tabela1[[#This Row],[PESO UNI]]</f>
        <v>0</v>
      </c>
      <c r="Y152" s="14">
        <f t="shared" si="28"/>
        <v>-4</v>
      </c>
      <c r="Z152" s="20">
        <f>Tabela1[[#This Row],[PESO TOTAL]]-Tabela1[[#This Row],[Peso Expedido]]</f>
        <v>54.8</v>
      </c>
      <c r="AA152" s="17"/>
      <c r="AB152" s="33"/>
      <c r="AC152" s="33"/>
      <c r="AD152" s="33"/>
      <c r="AE152" s="33"/>
      <c r="AF152" s="33"/>
      <c r="AG152" s="33"/>
      <c r="AH152" s="33"/>
      <c r="AI152" s="33" t="str">
        <f t="shared" si="23"/>
        <v/>
      </c>
      <c r="AJ152" s="5"/>
      <c r="AK152" t="str">
        <f>Tabela1[[#This Row],[Coluna1]]&amp;Tabela1[[#This Row],[PEDIDO]]</f>
        <v>P-198</v>
      </c>
      <c r="AL152"/>
      <c r="AM152"/>
      <c r="AN152"/>
      <c r="AO152" t="str">
        <f t="shared" si="30"/>
        <v>T-073240-1/14-CV-0001</v>
      </c>
      <c r="AP152" t="str">
        <f>Tabela1[[#This Row],[TAG]]&amp;Tabela1[[#This Row],[PEDIDO]]&amp;Tabela1[[#This Row],[PRODUTO]]</f>
        <v>14-CV-0001P-198ESTRUTURA</v>
      </c>
      <c r="AQ152" s="22" t="str">
        <f>Tabela1[[#This Row],[PRODUTO]]&amp;Tabela1[[#This Row],[TAG]]</f>
        <v>ESTRUTURA14-CV-0001</v>
      </c>
      <c r="AR152" s="24" t="str">
        <f>Tabela1[[#This Row],[PEDIDO]]&amp;Tabela1[[#This Row],[PRODUTO]]</f>
        <v>P-198ESTRUTURA</v>
      </c>
      <c r="AS152" s="37">
        <f>IF(AF152="",0,IF(ISTEXT(AF152),H152*VALUE(SUBSTITUTE(AF152,"%",""))/100,H152*AF152))-Tabela1[[#This Row],[PRONTO ACABADO2]]</f>
        <v>0</v>
      </c>
      <c r="AT152" s="37">
        <f>IF(AG152="",0,IF(ISTEXT(AG152),H152*VALUE(SUBSTITUTE(AG152,"%",""))/100,H152*AG152))-Tabela1[[#This Row],[PESO EXPEDIDO2]]</f>
        <v>0</v>
      </c>
      <c r="AU152" s="37">
        <f t="shared" si="24"/>
        <v>0</v>
      </c>
      <c r="AV152" s="37">
        <f t="shared" si="25"/>
        <v>0</v>
      </c>
      <c r="AW152" s="37"/>
    </row>
    <row r="153" spans="1:49" ht="15.75" customHeight="1" x14ac:dyDescent="0.25">
      <c r="A153" s="6" t="s">
        <v>3732</v>
      </c>
      <c r="B153" s="21" t="s">
        <v>3733</v>
      </c>
      <c r="C153" s="7">
        <v>1</v>
      </c>
      <c r="D153" s="39" t="s">
        <v>3735</v>
      </c>
      <c r="E153" s="7">
        <v>3850</v>
      </c>
      <c r="F153" s="7">
        <v>31</v>
      </c>
      <c r="G153" s="23">
        <v>255</v>
      </c>
      <c r="H153" s="34">
        <f>Tabela1[[#This Row],[PESO UNI]]*Tabela1[[#This Row],[QTE]]</f>
        <v>255</v>
      </c>
      <c r="I153" s="7">
        <v>0</v>
      </c>
      <c r="J153" s="8" t="s">
        <v>3045</v>
      </c>
      <c r="K153" s="8" t="s">
        <v>31</v>
      </c>
      <c r="L153" s="9" t="s">
        <v>2984</v>
      </c>
      <c r="M153" s="10">
        <v>46210</v>
      </c>
      <c r="N153" s="8" t="s">
        <v>38</v>
      </c>
      <c r="O153" s="12"/>
      <c r="P153" s="13"/>
      <c r="Q153" s="14">
        <f>Tabela1[[#This Row],[QTDE/ Fabricação]]-Tabela1[[#This Row],[QTE]]</f>
        <v>-1</v>
      </c>
      <c r="R153" s="18">
        <f t="shared" si="31"/>
        <v>144.71250000000001</v>
      </c>
      <c r="S153" s="18">
        <f t="shared" si="29"/>
        <v>0</v>
      </c>
      <c r="T153" s="19">
        <f t="shared" si="32"/>
        <v>-255</v>
      </c>
      <c r="U153" s="16">
        <f>IFERROR(SUMIF('LISTA DE EMBARQUE'!B:B,MICRO!E:E,'LISTA DE EMBARQUE'!G:G),"")</f>
        <v>0</v>
      </c>
      <c r="V153" s="12" t="str">
        <f>IFERROR(VLOOKUP(Tabela1[[#This Row],[COD.MDE]],'LISTA DE EMBARQUE'!B:L,11,0),"")</f>
        <v/>
      </c>
      <c r="W153" s="13" t="str">
        <f>IFERROR(COUNTIF(#REF!,Tabela1[[#This Row],[Colunas5]]),"")</f>
        <v/>
      </c>
      <c r="X153" s="14">
        <f>Tabela1[[#This Row],[QIANTIDADE EXPEDIDA]]*Tabela1[[#This Row],[PESO UNI]]</f>
        <v>0</v>
      </c>
      <c r="Y153" s="14">
        <f t="shared" si="28"/>
        <v>-1</v>
      </c>
      <c r="Z153" s="20">
        <f>Tabela1[[#This Row],[PESO TOTAL]]-Tabela1[[#This Row],[Peso Expedido]]</f>
        <v>255</v>
      </c>
      <c r="AA153" s="17">
        <v>1</v>
      </c>
      <c r="AB153" s="33"/>
      <c r="AC153" s="33">
        <v>1</v>
      </c>
      <c r="AD153" s="33">
        <v>0.3</v>
      </c>
      <c r="AE153" s="33"/>
      <c r="AF153" s="33"/>
      <c r="AG153" s="33"/>
      <c r="AH153" s="33"/>
      <c r="AI153" s="33" t="str">
        <f t="shared" si="23"/>
        <v/>
      </c>
      <c r="AJ153" s="5"/>
      <c r="AK153" t="str">
        <f>Tabela1[[#This Row],[Coluna1]]&amp;Tabela1[[#This Row],[PEDIDO]]</f>
        <v>P-198</v>
      </c>
      <c r="AL153"/>
      <c r="AM153"/>
      <c r="AN153"/>
      <c r="AO153" t="str">
        <f t="shared" si="30"/>
        <v>T-073240-1/14-CV-0001</v>
      </c>
      <c r="AP153" t="str">
        <f>Tabela1[[#This Row],[TAG]]&amp;Tabela1[[#This Row],[PEDIDO]]&amp;Tabela1[[#This Row],[PRODUTO]]</f>
        <v>14-CV-0001P-198ESTRUTURA</v>
      </c>
      <c r="AQ153" s="22" t="str">
        <f>Tabela1[[#This Row],[PRODUTO]]&amp;Tabela1[[#This Row],[TAG]]</f>
        <v>ESTRUTURA14-CV-0001</v>
      </c>
      <c r="AR153" s="24" t="str">
        <f>Tabela1[[#This Row],[PEDIDO]]&amp;Tabela1[[#This Row],[PRODUTO]]</f>
        <v>P-198ESTRUTURA</v>
      </c>
      <c r="AS153" s="37">
        <f>IF(AF153="",0,IF(ISTEXT(AF153),H153*VALUE(SUBSTITUTE(AF153,"%",""))/100,H153*AF153))-Tabela1[[#This Row],[PRONTO ACABADO2]]</f>
        <v>0</v>
      </c>
      <c r="AT153" s="37">
        <f>IF(AG153="",0,IF(ISTEXT(AG153),H153*VALUE(SUBSTITUTE(AG153,"%",""))/100,H153*AG153))-Tabela1[[#This Row],[PESO EXPEDIDO2]]</f>
        <v>0</v>
      </c>
      <c r="AU153" s="37">
        <f t="shared" si="24"/>
        <v>0</v>
      </c>
      <c r="AV153" s="37">
        <f t="shared" si="25"/>
        <v>0</v>
      </c>
      <c r="AW153" s="37"/>
    </row>
    <row r="154" spans="1:49" ht="15.75" customHeight="1" x14ac:dyDescent="0.25">
      <c r="A154" s="6" t="s">
        <v>3758</v>
      </c>
      <c r="B154" s="21" t="s">
        <v>3759</v>
      </c>
      <c r="C154" s="7">
        <v>1</v>
      </c>
      <c r="D154" s="39" t="s">
        <v>3760</v>
      </c>
      <c r="E154" s="7">
        <v>4039</v>
      </c>
      <c r="F154" s="7" t="s">
        <v>3761</v>
      </c>
      <c r="G154" s="23">
        <v>1360</v>
      </c>
      <c r="H154" s="34">
        <f>Tabela1[[#This Row],[PESO UNI]]*Tabela1[[#This Row],[QTE]]</f>
        <v>1360</v>
      </c>
      <c r="I154" s="7">
        <v>2</v>
      </c>
      <c r="J154" s="8" t="s">
        <v>2274</v>
      </c>
      <c r="K154" s="8" t="s">
        <v>327</v>
      </c>
      <c r="L154" s="9" t="s">
        <v>2069</v>
      </c>
      <c r="M154" s="10">
        <v>46146</v>
      </c>
      <c r="N154" s="8" t="s">
        <v>327</v>
      </c>
      <c r="O154" s="12"/>
      <c r="P154" s="13"/>
      <c r="Q154" s="14">
        <f>Tabela1[[#This Row],[QTDE/ Fabricação]]-Tabela1[[#This Row],[QTE]]</f>
        <v>-1</v>
      </c>
      <c r="R154" s="18">
        <f t="shared" ref="R154:R217" si="33">IFERROR(H154*((AA154*0.25)+(AC154*0.25)+(AD154*0.225)+(AE154*0.225)+(AF154*0.05)),"")</f>
        <v>1360</v>
      </c>
      <c r="S154" s="18">
        <f t="shared" ref="S154:S181" si="34">IFERROR(H154*AG154,"")</f>
        <v>1360</v>
      </c>
      <c r="T154" s="19">
        <f t="shared" ref="T154:T217" si="35">IFERROR(S154-H154,"")</f>
        <v>0</v>
      </c>
      <c r="U154" s="207">
        <v>1</v>
      </c>
      <c r="V154" s="12">
        <f>IFERROR(VLOOKUP(Tabela1[[#This Row],[COD.MDE]],'LISTA DE EMBARQUE'!B:L,11,0),"")</f>
        <v>2</v>
      </c>
      <c r="W154" s="13"/>
      <c r="X154" s="14">
        <f>IFERROR(Tabela1[[#This Row],[QIANTIDADE EXPEDIDA]]*Tabela1[[#This Row],[PESO UNI]],"")</f>
        <v>1360</v>
      </c>
      <c r="Y154" s="14">
        <f t="shared" ref="Y154:Y180" si="36">U154-C154</f>
        <v>0</v>
      </c>
      <c r="Z154" s="20">
        <f>Tabela1[[#This Row],[PESO TOTAL]]-Tabela1[[#This Row],[Peso Expedido]]</f>
        <v>0</v>
      </c>
      <c r="AA154" s="17">
        <v>1</v>
      </c>
      <c r="AB154" s="33"/>
      <c r="AC154" s="33">
        <v>1</v>
      </c>
      <c r="AD154" s="33">
        <v>1</v>
      </c>
      <c r="AE154" s="33">
        <v>1</v>
      </c>
      <c r="AF154" s="33">
        <v>1</v>
      </c>
      <c r="AG154" s="33">
        <v>1</v>
      </c>
      <c r="AH154" s="33">
        <v>1</v>
      </c>
      <c r="AI154" s="33" t="str">
        <f t="shared" si="23"/>
        <v>ok</v>
      </c>
      <c r="AJ154" s="33" t="s">
        <v>4415</v>
      </c>
      <c r="AK154" s="33" t="s">
        <v>4415</v>
      </c>
      <c r="AL154" s="33" t="s">
        <v>4415</v>
      </c>
      <c r="AM154" s="33" t="s">
        <v>4415</v>
      </c>
      <c r="AN154" s="33" t="s">
        <v>4415</v>
      </c>
      <c r="AO154" s="33" t="s">
        <v>4415</v>
      </c>
      <c r="AP154" s="33" t="s">
        <v>4415</v>
      </c>
      <c r="AQ154" s="33" t="s">
        <v>4415</v>
      </c>
      <c r="AR154" s="33" t="s">
        <v>4415</v>
      </c>
      <c r="AS154" s="33" t="s">
        <v>4415</v>
      </c>
      <c r="AT154" s="33" t="s">
        <v>4415</v>
      </c>
      <c r="AU154" s="33" t="s">
        <v>4415</v>
      </c>
      <c r="AV154" s="33" t="s">
        <v>4415</v>
      </c>
      <c r="AW154" s="33" t="s">
        <v>4415</v>
      </c>
    </row>
    <row r="155" spans="1:49" ht="15.75" customHeight="1" x14ac:dyDescent="0.25">
      <c r="A155" s="6" t="s">
        <v>3758</v>
      </c>
      <c r="B155" s="21" t="s">
        <v>3759</v>
      </c>
      <c r="C155" s="7">
        <v>1</v>
      </c>
      <c r="D155" s="39" t="s">
        <v>3760</v>
      </c>
      <c r="E155" s="7">
        <v>4040</v>
      </c>
      <c r="F155" s="7" t="s">
        <v>3761</v>
      </c>
      <c r="G155" s="23">
        <v>1360</v>
      </c>
      <c r="H155" s="34">
        <f>Tabela1[[#This Row],[PESO UNI]]*Tabela1[[#This Row],[QTE]]</f>
        <v>1360</v>
      </c>
      <c r="I155" s="7">
        <v>2</v>
      </c>
      <c r="J155" s="8" t="s">
        <v>2276</v>
      </c>
      <c r="K155" s="8" t="s">
        <v>327</v>
      </c>
      <c r="L155" s="9" t="s">
        <v>2069</v>
      </c>
      <c r="M155" s="10">
        <v>46146</v>
      </c>
      <c r="N155" s="8" t="s">
        <v>327</v>
      </c>
      <c r="O155" s="12"/>
      <c r="P155" s="13"/>
      <c r="Q155" s="14">
        <f>Tabela1[[#This Row],[QTDE/ Fabricação]]-Tabela1[[#This Row],[QTE]]</f>
        <v>-1</v>
      </c>
      <c r="R155" s="18">
        <f t="shared" si="33"/>
        <v>1360</v>
      </c>
      <c r="S155" s="18">
        <f t="shared" si="34"/>
        <v>1360</v>
      </c>
      <c r="T155" s="19">
        <f t="shared" si="35"/>
        <v>0</v>
      </c>
      <c r="U155" s="207">
        <v>1</v>
      </c>
      <c r="V155" s="12">
        <f>IFERROR(VLOOKUP(Tabela1[[#This Row],[COD.MDE]],'LISTA DE EMBARQUE'!B:L,11,0),"")</f>
        <v>2</v>
      </c>
      <c r="W155" s="13"/>
      <c r="X155" s="14">
        <f>IFERROR(Tabela1[[#This Row],[QIANTIDADE EXPEDIDA]]*Tabela1[[#This Row],[PESO UNI]],"")</f>
        <v>1360</v>
      </c>
      <c r="Y155" s="14">
        <f t="shared" si="36"/>
        <v>0</v>
      </c>
      <c r="Z155" s="20">
        <f>Tabela1[[#This Row],[PESO TOTAL]]-Tabela1[[#This Row],[Peso Expedido]]</f>
        <v>0</v>
      </c>
      <c r="AA155" s="17">
        <v>1</v>
      </c>
      <c r="AB155" s="33"/>
      <c r="AC155" s="33">
        <v>1</v>
      </c>
      <c r="AD155" s="33">
        <v>1</v>
      </c>
      <c r="AE155" s="33">
        <v>1</v>
      </c>
      <c r="AF155" s="33">
        <v>1</v>
      </c>
      <c r="AG155" s="33">
        <v>1</v>
      </c>
      <c r="AH155" s="33">
        <v>1</v>
      </c>
      <c r="AI155" s="33" t="str">
        <f t="shared" si="23"/>
        <v>ok</v>
      </c>
      <c r="AJ155" s="5"/>
      <c r="AK155" t="str">
        <f>Tabela1[[#This Row],[Coluna1]]&amp;Tabela1[[#This Row],[PEDIDO]]</f>
        <v>P-188</v>
      </c>
      <c r="AL155"/>
      <c r="AM155"/>
      <c r="AN155"/>
      <c r="AO155" t="str">
        <f t="shared" si="30"/>
        <v>T-072951-1/1073-TC-007</v>
      </c>
      <c r="AP155" t="str">
        <f>Tabela1[[#This Row],[TAG]]&amp;Tabela1[[#This Row],[PEDIDO]]&amp;Tabela1[[#This Row],[PRODUTO]]</f>
        <v>1073-TC-007P-188RMF</v>
      </c>
      <c r="AQ155" s="22" t="str">
        <f>Tabela1[[#This Row],[PRODUTO]]&amp;Tabela1[[#This Row],[TAG]]</f>
        <v>RMF1073-TC-007</v>
      </c>
      <c r="AR155" s="24" t="str">
        <f>Tabela1[[#This Row],[PEDIDO]]&amp;Tabela1[[#This Row],[PRODUTO]]</f>
        <v>P-188RMF</v>
      </c>
      <c r="AS155" s="37">
        <f>IF(AF155="",0,IF(ISTEXT(AF155),H155*VALUE(SUBSTITUTE(AF155,"%",""))/100,H155*AF155))-Tabela1[[#This Row],[PRONTO ACABADO2]]</f>
        <v>0</v>
      </c>
      <c r="AT155" s="37">
        <f>IF(AG155="",0,IF(ISTEXT(AG155),H155*VALUE(SUBSTITUTE(AG155,"%",""))/100,H155*AG155))-Tabela1[[#This Row],[PESO EXPEDIDO2]]</f>
        <v>0</v>
      </c>
      <c r="AU155" s="37">
        <f t="shared" si="24"/>
        <v>1360</v>
      </c>
      <c r="AV155" s="37">
        <f t="shared" si="25"/>
        <v>1360</v>
      </c>
      <c r="AW155" s="37"/>
    </row>
    <row r="156" spans="1:49" ht="15.75" customHeight="1" x14ac:dyDescent="0.25">
      <c r="A156" s="6" t="s">
        <v>3762</v>
      </c>
      <c r="B156" s="21" t="s">
        <v>3763</v>
      </c>
      <c r="C156" s="7">
        <v>1</v>
      </c>
      <c r="D156" s="39" t="s">
        <v>3760</v>
      </c>
      <c r="E156" s="7">
        <v>4041</v>
      </c>
      <c r="F156" s="7" t="s">
        <v>3761</v>
      </c>
      <c r="G156" s="23">
        <v>1335.1</v>
      </c>
      <c r="H156" s="34">
        <f>Tabela1[[#This Row],[PESO UNI]]*Tabela1[[#This Row],[QTE]]</f>
        <v>1335.1</v>
      </c>
      <c r="I156" s="7">
        <v>2</v>
      </c>
      <c r="J156" s="8" t="s">
        <v>2274</v>
      </c>
      <c r="K156" s="8" t="s">
        <v>327</v>
      </c>
      <c r="L156" s="9" t="s">
        <v>2069</v>
      </c>
      <c r="M156" s="10">
        <v>46146</v>
      </c>
      <c r="N156" s="8" t="s">
        <v>327</v>
      </c>
      <c r="O156" s="12"/>
      <c r="P156" s="13"/>
      <c r="Q156" s="14">
        <f>Tabela1[[#This Row],[QTDE/ Fabricação]]-Tabela1[[#This Row],[QTE]]</f>
        <v>-1</v>
      </c>
      <c r="R156" s="18">
        <f t="shared" si="33"/>
        <v>1335.1</v>
      </c>
      <c r="S156" s="18">
        <f t="shared" si="34"/>
        <v>1335.1</v>
      </c>
      <c r="T156" s="19">
        <f t="shared" si="35"/>
        <v>0</v>
      </c>
      <c r="U156" s="207">
        <v>1</v>
      </c>
      <c r="V156" s="12" t="str">
        <f>IFERROR(VLOOKUP(Tabela1[[#This Row],[COD.MDE]],'LISTA DE EMBARQUE'!B:L,11,0),"")</f>
        <v/>
      </c>
      <c r="W156" s="13"/>
      <c r="X156" s="14">
        <f>IFERROR(Tabela1[[#This Row],[QIANTIDADE EXPEDIDA]]*Tabela1[[#This Row],[PESO UNI]],"")</f>
        <v>1335.1</v>
      </c>
      <c r="Y156" s="14">
        <f t="shared" si="36"/>
        <v>0</v>
      </c>
      <c r="Z156" s="20">
        <f>Tabela1[[#This Row],[PESO TOTAL]]-Tabela1[[#This Row],[Peso Expedido]]</f>
        <v>0</v>
      </c>
      <c r="AA156" s="17">
        <v>1</v>
      </c>
      <c r="AB156" s="33"/>
      <c r="AC156" s="33">
        <v>1</v>
      </c>
      <c r="AD156" s="33">
        <v>1</v>
      </c>
      <c r="AE156" s="33">
        <v>1</v>
      </c>
      <c r="AF156" s="33">
        <v>1</v>
      </c>
      <c r="AG156" s="33">
        <v>1</v>
      </c>
      <c r="AH156" s="33">
        <v>1</v>
      </c>
      <c r="AI156" s="33" t="str">
        <f t="shared" ref="AI156:AI219" si="37">IF(Z156&lt;=0,"ok","")</f>
        <v>ok</v>
      </c>
      <c r="AJ156" s="5"/>
      <c r="AK156" t="str">
        <f>Tabela1[[#This Row],[Coluna1]]&amp;Tabela1[[#This Row],[PEDIDO]]</f>
        <v>P-188</v>
      </c>
      <c r="AL156"/>
      <c r="AM156"/>
      <c r="AN156"/>
      <c r="AO156" t="str">
        <f t="shared" si="30"/>
        <v>T-072952-1/1073-TC-006</v>
      </c>
      <c r="AP156" t="str">
        <f>Tabela1[[#This Row],[TAG]]&amp;Tabela1[[#This Row],[PEDIDO]]&amp;Tabela1[[#This Row],[PRODUTO]]</f>
        <v>1073-TC-006P-188RMF</v>
      </c>
      <c r="AQ156" s="22" t="str">
        <f>Tabela1[[#This Row],[PRODUTO]]&amp;Tabela1[[#This Row],[TAG]]</f>
        <v>RMF1073-TC-006</v>
      </c>
      <c r="AR156" s="24" t="str">
        <f>Tabela1[[#This Row],[PEDIDO]]&amp;Tabela1[[#This Row],[PRODUTO]]</f>
        <v>P-188RMF</v>
      </c>
      <c r="AS156" s="37">
        <f>IF(AF156="",0,IF(ISTEXT(AF156),H156*VALUE(SUBSTITUTE(AF156,"%",""))/100,H156*AF156))-Tabela1[[#This Row],[PRONTO ACABADO2]]</f>
        <v>0</v>
      </c>
      <c r="AT156" s="37">
        <f>IF(AG156="",0,IF(ISTEXT(AG156),H156*VALUE(SUBSTITUTE(AG156,"%",""))/100,H156*AG156))-Tabela1[[#This Row],[PESO EXPEDIDO2]]</f>
        <v>0</v>
      </c>
      <c r="AU156" s="37">
        <f t="shared" si="24"/>
        <v>1335.1</v>
      </c>
      <c r="AV156" s="37">
        <f t="shared" si="25"/>
        <v>1335.1</v>
      </c>
      <c r="AW156" s="37"/>
    </row>
    <row r="157" spans="1:49" ht="15.75" customHeight="1" x14ac:dyDescent="0.25">
      <c r="A157" s="6" t="s">
        <v>3762</v>
      </c>
      <c r="B157" s="21" t="s">
        <v>3763</v>
      </c>
      <c r="C157" s="7">
        <v>1</v>
      </c>
      <c r="D157" s="39" t="s">
        <v>3760</v>
      </c>
      <c r="E157" s="7">
        <v>4042</v>
      </c>
      <c r="F157" s="7" t="s">
        <v>3761</v>
      </c>
      <c r="G157" s="23">
        <v>1335.1</v>
      </c>
      <c r="H157" s="34">
        <f>Tabela1[[#This Row],[PESO UNI]]*Tabela1[[#This Row],[QTE]]</f>
        <v>1335.1</v>
      </c>
      <c r="I157" s="7">
        <v>2</v>
      </c>
      <c r="J157" s="8" t="s">
        <v>2276</v>
      </c>
      <c r="K157" s="8" t="s">
        <v>327</v>
      </c>
      <c r="L157" s="9" t="s">
        <v>2069</v>
      </c>
      <c r="M157" s="10">
        <v>46146</v>
      </c>
      <c r="N157" s="8" t="s">
        <v>327</v>
      </c>
      <c r="O157" s="12"/>
      <c r="P157" s="13"/>
      <c r="Q157" s="14">
        <f>Tabela1[[#This Row],[QTDE/ Fabricação]]-Tabela1[[#This Row],[QTE]]</f>
        <v>-1</v>
      </c>
      <c r="R157" s="18">
        <f t="shared" si="33"/>
        <v>1335.1</v>
      </c>
      <c r="S157" s="18">
        <f t="shared" si="34"/>
        <v>1335.1</v>
      </c>
      <c r="T157" s="19">
        <f t="shared" si="35"/>
        <v>0</v>
      </c>
      <c r="U157" s="207">
        <v>1</v>
      </c>
      <c r="V157" s="12" t="str">
        <f>IFERROR(VLOOKUP(Tabela1[[#This Row],[COD.MDE]],'LISTA DE EMBARQUE'!B:L,11,0),"")</f>
        <v/>
      </c>
      <c r="W157" s="13"/>
      <c r="X157" s="14">
        <f>IFERROR(Tabela1[[#This Row],[QIANTIDADE EXPEDIDA]]*Tabela1[[#This Row],[PESO UNI]],"")</f>
        <v>1335.1</v>
      </c>
      <c r="Y157" s="14">
        <f t="shared" si="36"/>
        <v>0</v>
      </c>
      <c r="Z157" s="20">
        <f>Tabela1[[#This Row],[PESO TOTAL]]-Tabela1[[#This Row],[Peso Expedido]]</f>
        <v>0</v>
      </c>
      <c r="AA157" s="17">
        <v>1</v>
      </c>
      <c r="AB157" s="33"/>
      <c r="AC157" s="33">
        <v>1</v>
      </c>
      <c r="AD157" s="33">
        <v>1</v>
      </c>
      <c r="AE157" s="33">
        <v>1</v>
      </c>
      <c r="AF157" s="33">
        <v>1</v>
      </c>
      <c r="AG157" s="33">
        <v>1</v>
      </c>
      <c r="AH157" s="33">
        <v>1</v>
      </c>
      <c r="AI157" s="33" t="str">
        <f t="shared" si="37"/>
        <v>ok</v>
      </c>
      <c r="AJ157" s="5"/>
      <c r="AK157" t="str">
        <f>Tabela1[[#This Row],[Coluna1]]&amp;Tabela1[[#This Row],[PEDIDO]]</f>
        <v>P-188</v>
      </c>
      <c r="AL157"/>
      <c r="AM157"/>
      <c r="AN157"/>
      <c r="AO157" t="str">
        <f t="shared" si="30"/>
        <v>T-072952-1/1073-TC-007</v>
      </c>
      <c r="AP157" t="str">
        <f>Tabela1[[#This Row],[TAG]]&amp;Tabela1[[#This Row],[PEDIDO]]&amp;Tabela1[[#This Row],[PRODUTO]]</f>
        <v>1073-TC-007P-188RMF</v>
      </c>
      <c r="AQ157" s="22" t="str">
        <f>Tabela1[[#This Row],[PRODUTO]]&amp;Tabela1[[#This Row],[TAG]]</f>
        <v>RMF1073-TC-007</v>
      </c>
      <c r="AR157" s="24" t="str">
        <f>Tabela1[[#This Row],[PEDIDO]]&amp;Tabela1[[#This Row],[PRODUTO]]</f>
        <v>P-188RMF</v>
      </c>
      <c r="AS157" s="37">
        <f>IF(AF157="",0,IF(ISTEXT(AF157),H157*VALUE(SUBSTITUTE(AF157,"%",""))/100,H157*AF157))-Tabela1[[#This Row],[PRONTO ACABADO2]]</f>
        <v>0</v>
      </c>
      <c r="AT157" s="37">
        <f>IF(AG157="",0,IF(ISTEXT(AG157),H157*VALUE(SUBSTITUTE(AG157,"%",""))/100,H157*AG157))-Tabela1[[#This Row],[PESO EXPEDIDO2]]</f>
        <v>0</v>
      </c>
      <c r="AU157" s="37">
        <f t="shared" si="24"/>
        <v>1335.1</v>
      </c>
      <c r="AV157" s="37">
        <f t="shared" si="25"/>
        <v>1335.1</v>
      </c>
      <c r="AW157" s="37"/>
    </row>
    <row r="158" spans="1:49" ht="15.75" customHeight="1" x14ac:dyDescent="0.25">
      <c r="A158" s="6" t="s">
        <v>3764</v>
      </c>
      <c r="B158" s="21" t="s">
        <v>3765</v>
      </c>
      <c r="C158" s="7">
        <v>2</v>
      </c>
      <c r="D158" s="39" t="s">
        <v>3766</v>
      </c>
      <c r="E158" s="7">
        <v>4043</v>
      </c>
      <c r="F158" s="7" t="s">
        <v>3767</v>
      </c>
      <c r="G158" s="23">
        <v>12.6</v>
      </c>
      <c r="H158" s="34">
        <f>Tabela1[[#This Row],[PESO UNI]]*Tabela1[[#This Row],[QTE]]</f>
        <v>25.2</v>
      </c>
      <c r="I158" s="7">
        <v>1</v>
      </c>
      <c r="J158" s="8" t="s">
        <v>2274</v>
      </c>
      <c r="K158" s="8" t="s">
        <v>327</v>
      </c>
      <c r="L158" s="9" t="s">
        <v>2069</v>
      </c>
      <c r="M158" s="10">
        <v>46119</v>
      </c>
      <c r="N158" s="8" t="s">
        <v>327</v>
      </c>
      <c r="O158" s="12"/>
      <c r="P158" s="13"/>
      <c r="Q158" s="14">
        <f>Tabela1[[#This Row],[QTDE/ Fabricação]]-Tabela1[[#This Row],[QTE]]</f>
        <v>-2</v>
      </c>
      <c r="R158" s="18">
        <f t="shared" si="33"/>
        <v>25.2</v>
      </c>
      <c r="S158" s="18">
        <f t="shared" si="34"/>
        <v>25.2</v>
      </c>
      <c r="T158" s="19">
        <f t="shared" si="35"/>
        <v>0</v>
      </c>
      <c r="U158" s="207">
        <v>2</v>
      </c>
      <c r="V158" s="12" t="str">
        <f>IFERROR(VLOOKUP(Tabela1[[#This Row],[COD.MDE]],'LISTA DE EMBARQUE'!B:L,11,0),"")</f>
        <v/>
      </c>
      <c r="W158" s="13"/>
      <c r="X158" s="14">
        <f>IFERROR(Tabela1[[#This Row],[QIANTIDADE EXPEDIDA]]*Tabela1[[#This Row],[PESO UNI]],"")</f>
        <v>25.2</v>
      </c>
      <c r="Y158" s="14">
        <f t="shared" si="36"/>
        <v>0</v>
      </c>
      <c r="Z158" s="20">
        <f>Tabela1[[#This Row],[PESO TOTAL]]-Tabela1[[#This Row],[Peso Expedido]]</f>
        <v>0</v>
      </c>
      <c r="AA158" s="17">
        <v>1</v>
      </c>
      <c r="AB158" s="33"/>
      <c r="AC158" s="33">
        <v>1</v>
      </c>
      <c r="AD158" s="33">
        <v>1</v>
      </c>
      <c r="AE158" s="33">
        <v>1</v>
      </c>
      <c r="AF158" s="33">
        <v>1</v>
      </c>
      <c r="AG158" s="33">
        <v>1</v>
      </c>
      <c r="AH158" s="33">
        <v>1</v>
      </c>
      <c r="AI158" s="33" t="str">
        <f t="shared" si="37"/>
        <v>ok</v>
      </c>
      <c r="AJ158" s="5"/>
      <c r="AK158" t="str">
        <f>Tabela1[[#This Row],[Coluna1]]&amp;Tabela1[[#This Row],[PEDIDO]]</f>
        <v>P-188</v>
      </c>
      <c r="AL158"/>
      <c r="AM158"/>
      <c r="AN158"/>
      <c r="AO158" t="str">
        <f t="shared" si="30"/>
        <v>T-072974-1/1073-TC-006</v>
      </c>
      <c r="AP158" t="str">
        <f>Tabela1[[#This Row],[TAG]]&amp;Tabela1[[#This Row],[PEDIDO]]&amp;Tabela1[[#This Row],[PRODUTO]]</f>
        <v>1073-TC-006P-188RMF</v>
      </c>
      <c r="AQ158" s="22" t="str">
        <f>Tabela1[[#This Row],[PRODUTO]]&amp;Tabela1[[#This Row],[TAG]]</f>
        <v>RMF1073-TC-006</v>
      </c>
      <c r="AR158" s="24" t="str">
        <f>Tabela1[[#This Row],[PEDIDO]]&amp;Tabela1[[#This Row],[PRODUTO]]</f>
        <v>P-188RMF</v>
      </c>
      <c r="AS158" s="37">
        <f>IF(AF158="",0,IF(ISTEXT(AF158),H158*VALUE(SUBSTITUTE(AF158,"%",""))/100,H158*AF158))-Tabela1[[#This Row],[PRONTO ACABADO2]]</f>
        <v>0</v>
      </c>
      <c r="AT158" s="37">
        <f>IF(AG158="",0,IF(ISTEXT(AG158),H158*VALUE(SUBSTITUTE(AG158,"%",""))/100,H158*AG158))-Tabela1[[#This Row],[PESO EXPEDIDO2]]</f>
        <v>0</v>
      </c>
      <c r="AU158" s="37">
        <f t="shared" si="24"/>
        <v>25.2</v>
      </c>
      <c r="AV158" s="37">
        <f t="shared" si="25"/>
        <v>25.2</v>
      </c>
      <c r="AW158" s="37"/>
    </row>
    <row r="159" spans="1:49" ht="15.75" customHeight="1" x14ac:dyDescent="0.25">
      <c r="A159" s="6" t="s">
        <v>3764</v>
      </c>
      <c r="B159" s="21" t="s">
        <v>3768</v>
      </c>
      <c r="C159" s="7">
        <v>4</v>
      </c>
      <c r="D159" s="39" t="s">
        <v>3766</v>
      </c>
      <c r="E159" s="7">
        <v>4044</v>
      </c>
      <c r="F159" s="7" t="s">
        <v>3767</v>
      </c>
      <c r="G159" s="23">
        <v>12.6</v>
      </c>
      <c r="H159" s="34">
        <f>Tabela1[[#This Row],[PESO UNI]]*Tabela1[[#This Row],[QTE]]</f>
        <v>50.4</v>
      </c>
      <c r="I159" s="7">
        <v>1</v>
      </c>
      <c r="J159" s="8" t="s">
        <v>2274</v>
      </c>
      <c r="K159" s="8" t="s">
        <v>327</v>
      </c>
      <c r="L159" s="9" t="s">
        <v>2069</v>
      </c>
      <c r="M159" s="10">
        <v>46119</v>
      </c>
      <c r="N159" s="8" t="s">
        <v>327</v>
      </c>
      <c r="O159" s="12"/>
      <c r="P159" s="13"/>
      <c r="Q159" s="14">
        <f>Tabela1[[#This Row],[QTDE/ Fabricação]]-Tabela1[[#This Row],[QTE]]</f>
        <v>-4</v>
      </c>
      <c r="R159" s="18">
        <f t="shared" si="33"/>
        <v>50.4</v>
      </c>
      <c r="S159" s="18">
        <f t="shared" si="34"/>
        <v>50.4</v>
      </c>
      <c r="T159" s="19">
        <f t="shared" si="35"/>
        <v>0</v>
      </c>
      <c r="U159" s="207">
        <v>4</v>
      </c>
      <c r="V159" s="12" t="str">
        <f>IFERROR(VLOOKUP(Tabela1[[#This Row],[COD.MDE]],'LISTA DE EMBARQUE'!B:L,11,0),"")</f>
        <v/>
      </c>
      <c r="W159" s="13"/>
      <c r="X159" s="14">
        <f>IFERROR(Tabela1[[#This Row],[QIANTIDADE EXPEDIDA]]*Tabela1[[#This Row],[PESO UNI]],"")</f>
        <v>50.4</v>
      </c>
      <c r="Y159" s="14">
        <f t="shared" si="36"/>
        <v>0</v>
      </c>
      <c r="Z159" s="20">
        <f>Tabela1[[#This Row],[PESO TOTAL]]-Tabela1[[#This Row],[Peso Expedido]]</f>
        <v>0</v>
      </c>
      <c r="AA159" s="17">
        <v>1</v>
      </c>
      <c r="AB159" s="33"/>
      <c r="AC159" s="33">
        <v>1</v>
      </c>
      <c r="AD159" s="33">
        <v>1</v>
      </c>
      <c r="AE159" s="33">
        <v>1</v>
      </c>
      <c r="AF159" s="33">
        <v>1</v>
      </c>
      <c r="AG159" s="33">
        <v>1</v>
      </c>
      <c r="AH159" s="33">
        <v>1</v>
      </c>
      <c r="AI159" s="33" t="str">
        <f t="shared" si="37"/>
        <v>ok</v>
      </c>
      <c r="AJ159" s="5"/>
      <c r="AK159" t="str">
        <f>Tabela1[[#This Row],[Coluna1]]&amp;Tabela1[[#This Row],[PEDIDO]]</f>
        <v>P-188</v>
      </c>
      <c r="AL159"/>
      <c r="AM159"/>
      <c r="AN159"/>
      <c r="AO159" t="str">
        <f t="shared" si="30"/>
        <v>T-072974-1/1073-TC-006</v>
      </c>
      <c r="AP159" t="str">
        <f>Tabela1[[#This Row],[TAG]]&amp;Tabela1[[#This Row],[PEDIDO]]&amp;Tabela1[[#This Row],[PRODUTO]]</f>
        <v>1073-TC-006P-188RMF</v>
      </c>
      <c r="AQ159" s="22" t="str">
        <f>Tabela1[[#This Row],[PRODUTO]]&amp;Tabela1[[#This Row],[TAG]]</f>
        <v>RMF1073-TC-006</v>
      </c>
      <c r="AR159" s="24" t="str">
        <f>Tabela1[[#This Row],[PEDIDO]]&amp;Tabela1[[#This Row],[PRODUTO]]</f>
        <v>P-188RMF</v>
      </c>
      <c r="AS159" s="37">
        <f>IF(AF159="",0,IF(ISTEXT(AF159),H159*VALUE(SUBSTITUTE(AF159,"%",""))/100,H159*AF159))-Tabela1[[#This Row],[PRONTO ACABADO2]]</f>
        <v>0</v>
      </c>
      <c r="AT159" s="37">
        <f>IF(AG159="",0,IF(ISTEXT(AG159),H159*VALUE(SUBSTITUTE(AG159,"%",""))/100,H159*AG159))-Tabela1[[#This Row],[PESO EXPEDIDO2]]</f>
        <v>0</v>
      </c>
      <c r="AU159" s="37">
        <f t="shared" si="24"/>
        <v>50.4</v>
      </c>
      <c r="AV159" s="37">
        <f t="shared" si="25"/>
        <v>50.4</v>
      </c>
      <c r="AW159" s="37"/>
    </row>
    <row r="160" spans="1:49" ht="15.75" customHeight="1" x14ac:dyDescent="0.25">
      <c r="A160" s="6" t="s">
        <v>3764</v>
      </c>
      <c r="B160" s="21" t="s">
        <v>3769</v>
      </c>
      <c r="C160" s="7">
        <v>4</v>
      </c>
      <c r="D160" s="39" t="s">
        <v>3770</v>
      </c>
      <c r="E160" s="7">
        <v>4045</v>
      </c>
      <c r="F160" s="7" t="s">
        <v>3767</v>
      </c>
      <c r="G160" s="23">
        <v>57.1</v>
      </c>
      <c r="H160" s="34">
        <f>Tabela1[[#This Row],[PESO UNI]]*Tabela1[[#This Row],[QTE]]</f>
        <v>228.4</v>
      </c>
      <c r="I160" s="7">
        <v>1</v>
      </c>
      <c r="J160" s="8" t="s">
        <v>2274</v>
      </c>
      <c r="K160" s="8" t="s">
        <v>327</v>
      </c>
      <c r="L160" s="9" t="s">
        <v>2069</v>
      </c>
      <c r="M160" s="10">
        <v>46119</v>
      </c>
      <c r="N160" s="8" t="s">
        <v>327</v>
      </c>
      <c r="O160" s="12"/>
      <c r="P160" s="13"/>
      <c r="Q160" s="14">
        <f>Tabela1[[#This Row],[QTDE/ Fabricação]]-Tabela1[[#This Row],[QTE]]</f>
        <v>-4</v>
      </c>
      <c r="R160" s="18">
        <f t="shared" si="33"/>
        <v>228.4</v>
      </c>
      <c r="S160" s="18">
        <f t="shared" si="34"/>
        <v>228.4</v>
      </c>
      <c r="T160" s="19">
        <f t="shared" si="35"/>
        <v>0</v>
      </c>
      <c r="U160" s="207">
        <v>4</v>
      </c>
      <c r="V160" s="12" t="str">
        <f>IFERROR(VLOOKUP(Tabela1[[#This Row],[COD.MDE]],'LISTA DE EMBARQUE'!B:L,11,0),"")</f>
        <v/>
      </c>
      <c r="W160" s="13"/>
      <c r="X160" s="14">
        <f>IFERROR(Tabela1[[#This Row],[QIANTIDADE EXPEDIDA]]*Tabela1[[#This Row],[PESO UNI]],"")</f>
        <v>228.4</v>
      </c>
      <c r="Y160" s="14">
        <f t="shared" si="36"/>
        <v>0</v>
      </c>
      <c r="Z160" s="20">
        <f>Tabela1[[#This Row],[PESO TOTAL]]-Tabela1[[#This Row],[Peso Expedido]]</f>
        <v>0</v>
      </c>
      <c r="AA160" s="17">
        <v>1</v>
      </c>
      <c r="AB160" s="33"/>
      <c r="AC160" s="33">
        <v>1</v>
      </c>
      <c r="AD160" s="33">
        <v>1</v>
      </c>
      <c r="AE160" s="33">
        <v>1</v>
      </c>
      <c r="AF160" s="33">
        <v>1</v>
      </c>
      <c r="AG160" s="33">
        <v>1</v>
      </c>
      <c r="AH160" s="33">
        <v>1</v>
      </c>
      <c r="AI160" s="33" t="str">
        <f t="shared" si="37"/>
        <v>ok</v>
      </c>
      <c r="AJ160" s="5"/>
      <c r="AK160" t="str">
        <f>Tabela1[[#This Row],[Coluna1]]&amp;Tabela1[[#This Row],[PEDIDO]]</f>
        <v>P-188</v>
      </c>
      <c r="AL160"/>
      <c r="AM160"/>
      <c r="AN160"/>
      <c r="AO160" t="str">
        <f t="shared" si="30"/>
        <v>T-072974-1/1073-TC-006</v>
      </c>
      <c r="AP160" t="str">
        <f>Tabela1[[#This Row],[TAG]]&amp;Tabela1[[#This Row],[PEDIDO]]&amp;Tabela1[[#This Row],[PRODUTO]]</f>
        <v>1073-TC-006P-188RMF</v>
      </c>
      <c r="AQ160" s="22" t="str">
        <f>Tabela1[[#This Row],[PRODUTO]]&amp;Tabela1[[#This Row],[TAG]]</f>
        <v>RMF1073-TC-006</v>
      </c>
      <c r="AR160" s="24" t="str">
        <f>Tabela1[[#This Row],[PEDIDO]]&amp;Tabela1[[#This Row],[PRODUTO]]</f>
        <v>P-188RMF</v>
      </c>
      <c r="AS160" s="37">
        <f>IF(AF160="",0,IF(ISTEXT(AF160),H160*VALUE(SUBSTITUTE(AF160,"%",""))/100,H160*AF160))-Tabela1[[#This Row],[PRONTO ACABADO2]]</f>
        <v>0</v>
      </c>
      <c r="AT160" s="37">
        <f>IF(AG160="",0,IF(ISTEXT(AG160),H160*VALUE(SUBSTITUTE(AG160,"%",""))/100,H160*AG160))-Tabela1[[#This Row],[PESO EXPEDIDO2]]</f>
        <v>0</v>
      </c>
      <c r="AU160" s="37">
        <f t="shared" si="24"/>
        <v>228.4</v>
      </c>
      <c r="AV160" s="37">
        <f t="shared" si="25"/>
        <v>228.4</v>
      </c>
      <c r="AW160" s="37"/>
    </row>
    <row r="161" spans="1:49" ht="15.75" customHeight="1" x14ac:dyDescent="0.25">
      <c r="A161" s="6" t="s">
        <v>3764</v>
      </c>
      <c r="B161" s="21" t="s">
        <v>3771</v>
      </c>
      <c r="C161" s="7">
        <v>24</v>
      </c>
      <c r="D161" s="39" t="s">
        <v>3770</v>
      </c>
      <c r="E161" s="7">
        <v>4046</v>
      </c>
      <c r="F161" s="7" t="s">
        <v>3767</v>
      </c>
      <c r="G161" s="23">
        <v>0.8</v>
      </c>
      <c r="H161" s="34">
        <f>Tabela1[[#This Row],[PESO UNI]]*Tabela1[[#This Row],[QTE]]</f>
        <v>19.200000000000003</v>
      </c>
      <c r="I161" s="7">
        <v>1</v>
      </c>
      <c r="J161" s="8" t="s">
        <v>2274</v>
      </c>
      <c r="K161" s="8" t="s">
        <v>327</v>
      </c>
      <c r="L161" s="9" t="s">
        <v>2069</v>
      </c>
      <c r="M161" s="10">
        <v>46119</v>
      </c>
      <c r="N161" s="8" t="s">
        <v>327</v>
      </c>
      <c r="O161" s="12"/>
      <c r="P161" s="13"/>
      <c r="Q161" s="14">
        <f>Tabela1[[#This Row],[QTDE/ Fabricação]]-Tabela1[[#This Row],[QTE]]</f>
        <v>-24</v>
      </c>
      <c r="R161" s="18">
        <f t="shared" si="33"/>
        <v>19.200000000000003</v>
      </c>
      <c r="S161" s="18">
        <f t="shared" si="34"/>
        <v>19.200000000000003</v>
      </c>
      <c r="T161" s="19">
        <f t="shared" si="35"/>
        <v>0</v>
      </c>
      <c r="U161" s="16">
        <f>IFERROR(SUMIF('LISTA DE EMBARQUE'!B:B,MICRO!E:E,'LISTA DE EMBARQUE'!G:G),"")</f>
        <v>0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>IFERROR(Tabela1[[#This Row],[QIANTIDADE EXPEDIDA]]*Tabela1[[#This Row],[PESO UNI]],"")</f>
        <v>0</v>
      </c>
      <c r="Y161" s="14">
        <f t="shared" si="36"/>
        <v>-24</v>
      </c>
      <c r="Z161" s="20">
        <f>Tabela1[[#This Row],[PESO TOTAL]]-Tabela1[[#This Row],[Peso Expedido]]</f>
        <v>19.200000000000003</v>
      </c>
      <c r="AA161" s="17">
        <v>1</v>
      </c>
      <c r="AB161" s="33"/>
      <c r="AC161" s="33">
        <v>1</v>
      </c>
      <c r="AD161" s="33">
        <v>1</v>
      </c>
      <c r="AE161" s="33">
        <v>1</v>
      </c>
      <c r="AF161" s="33">
        <v>1</v>
      </c>
      <c r="AG161" s="33">
        <v>1</v>
      </c>
      <c r="AH161" s="33"/>
      <c r="AI161" s="33" t="str">
        <f t="shared" si="37"/>
        <v/>
      </c>
      <c r="AJ161" s="5"/>
      <c r="AK161" t="str">
        <f>Tabela1[[#This Row],[Coluna1]]&amp;Tabela1[[#This Row],[PEDIDO]]</f>
        <v>P-188</v>
      </c>
      <c r="AL161"/>
      <c r="AM161"/>
      <c r="AN161"/>
      <c r="AO161" t="str">
        <f t="shared" si="30"/>
        <v>T-072974-1/1073-TC-006</v>
      </c>
      <c r="AP161" t="str">
        <f>Tabela1[[#This Row],[TAG]]&amp;Tabela1[[#This Row],[PEDIDO]]&amp;Tabela1[[#This Row],[PRODUTO]]</f>
        <v>1073-TC-006P-188RMF</v>
      </c>
      <c r="AQ161" s="22" t="str">
        <f>Tabela1[[#This Row],[PRODUTO]]&amp;Tabela1[[#This Row],[TAG]]</f>
        <v>RMF1073-TC-006</v>
      </c>
      <c r="AR161" s="24" t="str">
        <f>Tabela1[[#This Row],[PEDIDO]]&amp;Tabela1[[#This Row],[PRODUTO]]</f>
        <v>P-188RMF</v>
      </c>
      <c r="AS161" s="37">
        <f>IF(AF161="",0,IF(ISTEXT(AF161),H161*VALUE(SUBSTITUTE(AF161,"%",""))/100,H161*AF161))-Tabela1[[#This Row],[PRONTO ACABADO2]]</f>
        <v>0</v>
      </c>
      <c r="AT161" s="37">
        <f>IF(AG161="",0,IF(ISTEXT(AG161),H161*VALUE(SUBSTITUTE(AG161,"%",""))/100,H161*AG161))-Tabela1[[#This Row],[PESO EXPEDIDO2]]</f>
        <v>19.200000000000003</v>
      </c>
      <c r="AU161" s="37">
        <f t="shared" si="24"/>
        <v>0</v>
      </c>
      <c r="AV161" s="37">
        <f t="shared" si="25"/>
        <v>19.200000000000003</v>
      </c>
      <c r="AW161" s="37"/>
    </row>
    <row r="162" spans="1:49" ht="15.75" customHeight="1" x14ac:dyDescent="0.25">
      <c r="A162" s="6" t="s">
        <v>3764</v>
      </c>
      <c r="B162" s="21" t="s">
        <v>3772</v>
      </c>
      <c r="C162" s="7">
        <v>1</v>
      </c>
      <c r="D162" s="39" t="s">
        <v>3770</v>
      </c>
      <c r="E162" s="7">
        <v>4047</v>
      </c>
      <c r="F162" s="7" t="s">
        <v>3767</v>
      </c>
      <c r="G162" s="23">
        <v>128.80000000000001</v>
      </c>
      <c r="H162" s="34">
        <f>Tabela1[[#This Row],[PESO UNI]]*Tabela1[[#This Row],[QTE]]</f>
        <v>128.80000000000001</v>
      </c>
      <c r="I162" s="7">
        <v>1</v>
      </c>
      <c r="J162" s="8" t="s">
        <v>2274</v>
      </c>
      <c r="K162" s="8" t="s">
        <v>327</v>
      </c>
      <c r="L162" s="9" t="s">
        <v>2069</v>
      </c>
      <c r="M162" s="10">
        <v>46119</v>
      </c>
      <c r="N162" s="8" t="s">
        <v>327</v>
      </c>
      <c r="O162" s="12"/>
      <c r="P162" s="13"/>
      <c r="Q162" s="14">
        <f>Tabela1[[#This Row],[QTDE/ Fabricação]]-Tabela1[[#This Row],[QTE]]</f>
        <v>-1</v>
      </c>
      <c r="R162" s="18">
        <f t="shared" si="33"/>
        <v>128.80000000000001</v>
      </c>
      <c r="S162" s="18">
        <f t="shared" si="34"/>
        <v>0</v>
      </c>
      <c r="T162" s="19">
        <f t="shared" si="35"/>
        <v>-128.80000000000001</v>
      </c>
      <c r="U162" s="16">
        <f>IFERROR(SUMIF('LISTA DE EMBARQUE'!B:B,MICRO!E:E,'LISTA DE EMBARQUE'!G:G),"")</f>
        <v>0</v>
      </c>
      <c r="V162" s="12" t="str">
        <f>IFERROR(VLOOKUP(Tabela1[[#This Row],[COD.MDE]],'LISTA DE EMBARQUE'!B:L,11,0),"")</f>
        <v/>
      </c>
      <c r="W162" s="13" t="str">
        <f>IFERROR(VLOOKUP(Tabela1[[#This Row],[COD.MDE]],'LISTA DE EMBARQUE'!B:M,12,0),"")</f>
        <v/>
      </c>
      <c r="X162" s="14">
        <f>IFERROR(Tabela1[[#This Row],[QIANTIDADE EXPEDIDA]]*Tabela1[[#This Row],[PESO UNI]],"")</f>
        <v>0</v>
      </c>
      <c r="Y162" s="14">
        <f t="shared" si="36"/>
        <v>-1</v>
      </c>
      <c r="Z162" s="20">
        <f>Tabela1[[#This Row],[PESO TOTAL]]-Tabela1[[#This Row],[Peso Expedido]]</f>
        <v>128.80000000000001</v>
      </c>
      <c r="AA162" s="17">
        <v>1</v>
      </c>
      <c r="AB162" s="33"/>
      <c r="AC162" s="33">
        <v>1</v>
      </c>
      <c r="AD162" s="33">
        <v>1</v>
      </c>
      <c r="AE162" s="33">
        <v>1</v>
      </c>
      <c r="AF162" s="33">
        <v>1</v>
      </c>
      <c r="AG162" s="33">
        <v>0</v>
      </c>
      <c r="AH162" s="33"/>
      <c r="AI162" s="33" t="str">
        <f t="shared" si="37"/>
        <v/>
      </c>
      <c r="AJ162" s="5"/>
      <c r="AK162" t="str">
        <f>Tabela1[[#This Row],[Coluna1]]&amp;Tabela1[[#This Row],[PEDIDO]]</f>
        <v>P-188</v>
      </c>
      <c r="AL162"/>
      <c r="AM162"/>
      <c r="AN162"/>
      <c r="AO162" t="str">
        <f t="shared" si="30"/>
        <v>T-072974-1/1073-TC-006</v>
      </c>
      <c r="AP162" t="str">
        <f>Tabela1[[#This Row],[TAG]]&amp;Tabela1[[#This Row],[PEDIDO]]&amp;Tabela1[[#This Row],[PRODUTO]]</f>
        <v>1073-TC-006P-188RMF</v>
      </c>
      <c r="AQ162" s="22" t="str">
        <f>Tabela1[[#This Row],[PRODUTO]]&amp;Tabela1[[#This Row],[TAG]]</f>
        <v>RMF1073-TC-006</v>
      </c>
      <c r="AR162" s="24" t="str">
        <f>Tabela1[[#This Row],[PEDIDO]]&amp;Tabela1[[#This Row],[PRODUTO]]</f>
        <v>P-188RMF</v>
      </c>
      <c r="AS162" s="37">
        <f>IF(AF162="",0,IF(ISTEXT(AF162),H162*VALUE(SUBSTITUTE(AF162,"%",""))/100,H162*AF162))-Tabela1[[#This Row],[PRONTO ACABADO2]]</f>
        <v>128.80000000000001</v>
      </c>
      <c r="AT162" s="37">
        <f>IF(AG162="",0,IF(ISTEXT(AG162),H162*VALUE(SUBSTITUTE(AG162,"%",""))/100,H162*AG162))-Tabela1[[#This Row],[PESO EXPEDIDO2]]</f>
        <v>0</v>
      </c>
      <c r="AU162" s="37">
        <f t="shared" si="24"/>
        <v>0</v>
      </c>
      <c r="AV162" s="37">
        <f t="shared" si="25"/>
        <v>0</v>
      </c>
      <c r="AW162" s="37"/>
    </row>
    <row r="163" spans="1:49" ht="15.75" customHeight="1" x14ac:dyDescent="0.25">
      <c r="A163" s="6" t="s">
        <v>3764</v>
      </c>
      <c r="B163" s="21" t="s">
        <v>3765</v>
      </c>
      <c r="C163" s="7">
        <v>2</v>
      </c>
      <c r="D163" s="39" t="s">
        <v>3766</v>
      </c>
      <c r="E163" s="7">
        <v>4048</v>
      </c>
      <c r="F163" s="7" t="s">
        <v>3767</v>
      </c>
      <c r="G163" s="23">
        <v>12.6</v>
      </c>
      <c r="H163" s="34">
        <f>Tabela1[[#This Row],[PESO UNI]]*Tabela1[[#This Row],[QTE]]</f>
        <v>25.2</v>
      </c>
      <c r="I163" s="7">
        <v>1</v>
      </c>
      <c r="J163" s="8" t="s">
        <v>2276</v>
      </c>
      <c r="K163" s="8" t="s">
        <v>327</v>
      </c>
      <c r="L163" s="9" t="s">
        <v>2069</v>
      </c>
      <c r="M163" s="10">
        <v>46119</v>
      </c>
      <c r="N163" s="8" t="s">
        <v>327</v>
      </c>
      <c r="O163" s="12"/>
      <c r="P163" s="13"/>
      <c r="Q163" s="14">
        <f>Tabela1[[#This Row],[QTDE/ Fabricação]]-Tabela1[[#This Row],[QTE]]</f>
        <v>-2</v>
      </c>
      <c r="R163" s="18">
        <f t="shared" si="33"/>
        <v>25.2</v>
      </c>
      <c r="S163" s="18">
        <f t="shared" si="34"/>
        <v>25.2</v>
      </c>
      <c r="T163" s="19">
        <f t="shared" si="35"/>
        <v>0</v>
      </c>
      <c r="U163" s="207">
        <v>2</v>
      </c>
      <c r="V163" s="12" t="str">
        <f>IFERROR(VLOOKUP(Tabela1[[#This Row],[COD.MDE]],'LISTA DE EMBARQUE'!B:L,11,0),"")</f>
        <v/>
      </c>
      <c r="W163" s="13"/>
      <c r="X163" s="14">
        <f>IFERROR(Tabela1[[#This Row],[QIANTIDADE EXPEDIDA]]*Tabela1[[#This Row],[PESO UNI]],"")</f>
        <v>25.2</v>
      </c>
      <c r="Y163" s="14">
        <f t="shared" si="36"/>
        <v>0</v>
      </c>
      <c r="Z163" s="20">
        <f>Tabela1[[#This Row],[PESO TOTAL]]-Tabela1[[#This Row],[Peso Expedido]]</f>
        <v>0</v>
      </c>
      <c r="AA163" s="17">
        <v>1</v>
      </c>
      <c r="AB163" s="33"/>
      <c r="AC163" s="33">
        <v>1</v>
      </c>
      <c r="AD163" s="33">
        <v>1</v>
      </c>
      <c r="AE163" s="33">
        <v>1</v>
      </c>
      <c r="AF163" s="33">
        <v>1</v>
      </c>
      <c r="AG163" s="33">
        <v>1</v>
      </c>
      <c r="AH163" s="33">
        <v>1</v>
      </c>
      <c r="AI163" s="33" t="str">
        <f t="shared" si="37"/>
        <v>ok</v>
      </c>
      <c r="AJ163" s="5"/>
      <c r="AK163" t="str">
        <f>Tabela1[[#This Row],[Coluna1]]&amp;Tabela1[[#This Row],[PEDIDO]]</f>
        <v>P-188</v>
      </c>
      <c r="AL163"/>
      <c r="AM163"/>
      <c r="AN163"/>
      <c r="AO163" t="str">
        <f t="shared" si="30"/>
        <v>T-072974-1/1073-TC-007</v>
      </c>
      <c r="AP163" t="str">
        <f>Tabela1[[#This Row],[TAG]]&amp;Tabela1[[#This Row],[PEDIDO]]&amp;Tabela1[[#This Row],[PRODUTO]]</f>
        <v>1073-TC-007P-188RMF</v>
      </c>
      <c r="AQ163" s="22" t="str">
        <f>Tabela1[[#This Row],[PRODUTO]]&amp;Tabela1[[#This Row],[TAG]]</f>
        <v>RMF1073-TC-007</v>
      </c>
      <c r="AR163" s="24" t="str">
        <f>Tabela1[[#This Row],[PEDIDO]]&amp;Tabela1[[#This Row],[PRODUTO]]</f>
        <v>P-188RMF</v>
      </c>
      <c r="AS163" s="37">
        <f>IF(AF163="",0,IF(ISTEXT(AF163),H163*VALUE(SUBSTITUTE(AF163,"%",""))/100,H163*AF163))-Tabela1[[#This Row],[PRONTO ACABADO2]]</f>
        <v>0</v>
      </c>
      <c r="AT163" s="37">
        <f>IF(AG163="",0,IF(ISTEXT(AG163),H163*VALUE(SUBSTITUTE(AG163,"%",""))/100,H163*AG163))-Tabela1[[#This Row],[PESO EXPEDIDO2]]</f>
        <v>0</v>
      </c>
      <c r="AU163" s="37">
        <f t="shared" si="24"/>
        <v>25.2</v>
      </c>
      <c r="AV163" s="37">
        <f t="shared" si="25"/>
        <v>25.2</v>
      </c>
      <c r="AW163" s="37"/>
    </row>
    <row r="164" spans="1:49" ht="15.75" customHeight="1" x14ac:dyDescent="0.25">
      <c r="A164" s="6" t="s">
        <v>3764</v>
      </c>
      <c r="B164" s="21" t="s">
        <v>3768</v>
      </c>
      <c r="C164" s="7">
        <v>4</v>
      </c>
      <c r="D164" s="39" t="s">
        <v>3766</v>
      </c>
      <c r="E164" s="7">
        <v>4049</v>
      </c>
      <c r="F164" s="7" t="s">
        <v>3767</v>
      </c>
      <c r="G164" s="23">
        <v>12.6</v>
      </c>
      <c r="H164" s="34">
        <f>Tabela1[[#This Row],[PESO UNI]]*Tabela1[[#This Row],[QTE]]</f>
        <v>50.4</v>
      </c>
      <c r="I164" s="7">
        <v>1</v>
      </c>
      <c r="J164" s="8" t="s">
        <v>2276</v>
      </c>
      <c r="K164" s="8" t="s">
        <v>327</v>
      </c>
      <c r="L164" s="9" t="s">
        <v>2069</v>
      </c>
      <c r="M164" s="10">
        <v>46119</v>
      </c>
      <c r="N164" s="8" t="s">
        <v>327</v>
      </c>
      <c r="O164" s="12"/>
      <c r="P164" s="13"/>
      <c r="Q164" s="14">
        <f>Tabela1[[#This Row],[QTDE/ Fabricação]]-Tabela1[[#This Row],[QTE]]</f>
        <v>-4</v>
      </c>
      <c r="R164" s="18">
        <f t="shared" si="33"/>
        <v>50.4</v>
      </c>
      <c r="S164" s="18">
        <f t="shared" si="34"/>
        <v>50.4</v>
      </c>
      <c r="T164" s="19">
        <f t="shared" si="35"/>
        <v>0</v>
      </c>
      <c r="U164" s="207">
        <v>4</v>
      </c>
      <c r="V164" s="12" t="str">
        <f>IFERROR(VLOOKUP(Tabela1[[#This Row],[COD.MDE]],'LISTA DE EMBARQUE'!B:L,11,0),"")</f>
        <v/>
      </c>
      <c r="W164" s="13"/>
      <c r="X164" s="14">
        <f>IFERROR(Tabela1[[#This Row],[QIANTIDADE EXPEDIDA]]*Tabela1[[#This Row],[PESO UNI]],"")</f>
        <v>50.4</v>
      </c>
      <c r="Y164" s="14">
        <f t="shared" si="36"/>
        <v>0</v>
      </c>
      <c r="Z164" s="20">
        <f>Tabela1[[#This Row],[PESO TOTAL]]-Tabela1[[#This Row],[Peso Expedido]]</f>
        <v>0</v>
      </c>
      <c r="AA164" s="17">
        <v>1</v>
      </c>
      <c r="AB164" s="33"/>
      <c r="AC164" s="33">
        <v>1</v>
      </c>
      <c r="AD164" s="33">
        <v>1</v>
      </c>
      <c r="AE164" s="33">
        <v>1</v>
      </c>
      <c r="AF164" s="33">
        <v>1</v>
      </c>
      <c r="AG164" s="33">
        <v>1</v>
      </c>
      <c r="AH164" s="33">
        <v>1</v>
      </c>
      <c r="AI164" s="33" t="str">
        <f t="shared" si="37"/>
        <v>ok</v>
      </c>
      <c r="AJ164" s="5"/>
      <c r="AK164" t="str">
        <f>Tabela1[[#This Row],[Coluna1]]&amp;Tabela1[[#This Row],[PEDIDO]]</f>
        <v>P-188</v>
      </c>
      <c r="AL164"/>
      <c r="AM164"/>
      <c r="AN164"/>
      <c r="AO164" t="str">
        <f t="shared" si="30"/>
        <v>T-072974-1/1073-TC-007</v>
      </c>
      <c r="AP164" t="str">
        <f>Tabela1[[#This Row],[TAG]]&amp;Tabela1[[#This Row],[PEDIDO]]&amp;Tabela1[[#This Row],[PRODUTO]]</f>
        <v>1073-TC-007P-188RMF</v>
      </c>
      <c r="AQ164" s="22" t="str">
        <f>Tabela1[[#This Row],[PRODUTO]]&amp;Tabela1[[#This Row],[TAG]]</f>
        <v>RMF1073-TC-007</v>
      </c>
      <c r="AR164" s="24" t="str">
        <f>Tabela1[[#This Row],[PEDIDO]]&amp;Tabela1[[#This Row],[PRODUTO]]</f>
        <v>P-188RMF</v>
      </c>
      <c r="AS164" s="37">
        <f>IF(AF164="",0,IF(ISTEXT(AF164),H164*VALUE(SUBSTITUTE(AF164,"%",""))/100,H164*AF164))-Tabela1[[#This Row],[PRONTO ACABADO2]]</f>
        <v>0</v>
      </c>
      <c r="AT164" s="37">
        <f>IF(AG164="",0,IF(ISTEXT(AG164),H164*VALUE(SUBSTITUTE(AG164,"%",""))/100,H164*AG164))-Tabela1[[#This Row],[PESO EXPEDIDO2]]</f>
        <v>0</v>
      </c>
      <c r="AU164" s="37">
        <f t="shared" si="24"/>
        <v>50.4</v>
      </c>
      <c r="AV164" s="37">
        <f t="shared" si="25"/>
        <v>50.4</v>
      </c>
      <c r="AW164" s="37"/>
    </row>
    <row r="165" spans="1:49" ht="15.75" customHeight="1" x14ac:dyDescent="0.25">
      <c r="A165" s="6" t="s">
        <v>3764</v>
      </c>
      <c r="B165" s="21" t="s">
        <v>3769</v>
      </c>
      <c r="C165" s="7">
        <v>4</v>
      </c>
      <c r="D165" s="39" t="s">
        <v>3770</v>
      </c>
      <c r="E165" s="7">
        <v>4050</v>
      </c>
      <c r="F165" s="7" t="s">
        <v>3767</v>
      </c>
      <c r="G165" s="23">
        <v>57.1</v>
      </c>
      <c r="H165" s="34">
        <f>Tabela1[[#This Row],[PESO UNI]]*Tabela1[[#This Row],[QTE]]</f>
        <v>228.4</v>
      </c>
      <c r="I165" s="7">
        <v>1</v>
      </c>
      <c r="J165" s="8" t="s">
        <v>2276</v>
      </c>
      <c r="K165" s="8" t="s">
        <v>327</v>
      </c>
      <c r="L165" s="9" t="s">
        <v>2069</v>
      </c>
      <c r="M165" s="10">
        <v>46119</v>
      </c>
      <c r="N165" s="8" t="s">
        <v>327</v>
      </c>
      <c r="O165" s="12"/>
      <c r="P165" s="13"/>
      <c r="Q165" s="14">
        <f>Tabela1[[#This Row],[QTDE/ Fabricação]]-Tabela1[[#This Row],[QTE]]</f>
        <v>-4</v>
      </c>
      <c r="R165" s="18">
        <f t="shared" si="33"/>
        <v>228.4</v>
      </c>
      <c r="S165" s="18">
        <f t="shared" si="34"/>
        <v>228.4</v>
      </c>
      <c r="T165" s="19">
        <f t="shared" si="35"/>
        <v>0</v>
      </c>
      <c r="U165" s="207">
        <v>4</v>
      </c>
      <c r="V165" s="12" t="str">
        <f>IFERROR(VLOOKUP(Tabela1[[#This Row],[COD.MDE]],'LISTA DE EMBARQUE'!B:L,11,0),"")</f>
        <v/>
      </c>
      <c r="W165" s="13"/>
      <c r="X165" s="14">
        <f>IFERROR(Tabela1[[#This Row],[QIANTIDADE EXPEDIDA]]*Tabela1[[#This Row],[PESO UNI]],"")</f>
        <v>228.4</v>
      </c>
      <c r="Y165" s="14">
        <f t="shared" si="36"/>
        <v>0</v>
      </c>
      <c r="Z165" s="20">
        <f>Tabela1[[#This Row],[PESO TOTAL]]-Tabela1[[#This Row],[Peso Expedido]]</f>
        <v>0</v>
      </c>
      <c r="AA165" s="17">
        <v>1</v>
      </c>
      <c r="AB165" s="33"/>
      <c r="AC165" s="33">
        <v>1</v>
      </c>
      <c r="AD165" s="33">
        <v>1</v>
      </c>
      <c r="AE165" s="33">
        <v>1</v>
      </c>
      <c r="AF165" s="33">
        <v>1</v>
      </c>
      <c r="AG165" s="33">
        <v>1</v>
      </c>
      <c r="AH165" s="33">
        <v>1</v>
      </c>
      <c r="AI165" s="33" t="str">
        <f t="shared" si="37"/>
        <v>ok</v>
      </c>
      <c r="AJ165" s="5"/>
      <c r="AK165" t="str">
        <f>Tabela1[[#This Row],[Coluna1]]&amp;Tabela1[[#This Row],[PEDIDO]]</f>
        <v>P-188</v>
      </c>
      <c r="AL165"/>
      <c r="AM165"/>
      <c r="AN165"/>
      <c r="AO165" t="str">
        <f t="shared" si="30"/>
        <v>T-072974-1/1073-TC-007</v>
      </c>
      <c r="AP165" t="str">
        <f>Tabela1[[#This Row],[TAG]]&amp;Tabela1[[#This Row],[PEDIDO]]&amp;Tabela1[[#This Row],[PRODUTO]]</f>
        <v>1073-TC-007P-188RMF</v>
      </c>
      <c r="AQ165" s="22" t="str">
        <f>Tabela1[[#This Row],[PRODUTO]]&amp;Tabela1[[#This Row],[TAG]]</f>
        <v>RMF1073-TC-007</v>
      </c>
      <c r="AR165" s="24" t="str">
        <f>Tabela1[[#This Row],[PEDIDO]]&amp;Tabela1[[#This Row],[PRODUTO]]</f>
        <v>P-188RMF</v>
      </c>
      <c r="AS165" s="37">
        <f>IF(AF165="",0,IF(ISTEXT(AF165),H165*VALUE(SUBSTITUTE(AF165,"%",""))/100,H165*AF165))-Tabela1[[#This Row],[PRONTO ACABADO2]]</f>
        <v>0</v>
      </c>
      <c r="AT165" s="37">
        <f>IF(AG165="",0,IF(ISTEXT(AG165),H165*VALUE(SUBSTITUTE(AG165,"%",""))/100,H165*AG165))-Tabela1[[#This Row],[PESO EXPEDIDO2]]</f>
        <v>0</v>
      </c>
      <c r="AU165" s="37">
        <f t="shared" ref="AU165:AU228" si="38">IF(AH165="",0,IF(ISTEXT(AH165),H165*VALUE(SUBSTITUTE(AH165,"%",""))/100,H165*AH165))</f>
        <v>228.4</v>
      </c>
      <c r="AV165" s="37">
        <f t="shared" ref="AV165:AV228" si="39">IF(AG165="",0,IF(ISTEXT(AG165),H165*VALUE(SUBSTITUTE(AG165,"%",""))/100,H165*AG165))</f>
        <v>228.4</v>
      </c>
      <c r="AW165" s="37"/>
    </row>
    <row r="166" spans="1:49" ht="15.75" customHeight="1" x14ac:dyDescent="0.25">
      <c r="A166" s="6" t="s">
        <v>3764</v>
      </c>
      <c r="B166" s="21" t="s">
        <v>3772</v>
      </c>
      <c r="C166" s="7">
        <v>1</v>
      </c>
      <c r="D166" s="39" t="s">
        <v>3770</v>
      </c>
      <c r="E166" s="7">
        <v>4051</v>
      </c>
      <c r="F166" s="7" t="s">
        <v>3767</v>
      </c>
      <c r="G166" s="23">
        <v>128.80000000000001</v>
      </c>
      <c r="H166" s="34">
        <f>Tabela1[[#This Row],[PESO UNI]]*Tabela1[[#This Row],[QTE]]</f>
        <v>128.80000000000001</v>
      </c>
      <c r="I166" s="7">
        <v>1</v>
      </c>
      <c r="J166" s="8" t="s">
        <v>2276</v>
      </c>
      <c r="K166" s="8" t="s">
        <v>327</v>
      </c>
      <c r="L166" s="9" t="s">
        <v>2069</v>
      </c>
      <c r="M166" s="10">
        <v>46119</v>
      </c>
      <c r="N166" s="8" t="s">
        <v>327</v>
      </c>
      <c r="O166" s="12"/>
      <c r="P166" s="13"/>
      <c r="Q166" s="14">
        <f>Tabela1[[#This Row],[QTDE/ Fabricação]]-Tabela1[[#This Row],[QTE]]</f>
        <v>-1</v>
      </c>
      <c r="R166" s="18">
        <f t="shared" si="33"/>
        <v>128.80000000000001</v>
      </c>
      <c r="S166" s="18">
        <f t="shared" si="34"/>
        <v>0</v>
      </c>
      <c r="T166" s="19">
        <f t="shared" si="35"/>
        <v>-128.80000000000001</v>
      </c>
      <c r="U166" s="16">
        <f>IFERROR(SUMIF('LISTA DE EMBARQUE'!B:B,MICRO!E:E,'LISTA DE EMBARQUE'!G:G),"")</f>
        <v>0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>IFERROR(Tabela1[[#This Row],[QIANTIDADE EXPEDIDA]]*Tabela1[[#This Row],[PESO UNI]],"")</f>
        <v>0</v>
      </c>
      <c r="Y166" s="14">
        <f t="shared" si="36"/>
        <v>-1</v>
      </c>
      <c r="Z166" s="20">
        <f>Tabela1[[#This Row],[PESO TOTAL]]-Tabela1[[#This Row],[Peso Expedido]]</f>
        <v>128.80000000000001</v>
      </c>
      <c r="AA166" s="17">
        <v>1</v>
      </c>
      <c r="AB166" s="33"/>
      <c r="AC166" s="33">
        <v>1</v>
      </c>
      <c r="AD166" s="33">
        <v>1</v>
      </c>
      <c r="AE166" s="33">
        <v>1</v>
      </c>
      <c r="AF166" s="33">
        <v>1</v>
      </c>
      <c r="AG166" s="33">
        <v>0</v>
      </c>
      <c r="AH166" s="33"/>
      <c r="AI166" s="33" t="str">
        <f t="shared" si="37"/>
        <v/>
      </c>
      <c r="AJ166" s="5"/>
      <c r="AK166" t="str">
        <f>Tabela1[[#This Row],[Coluna1]]&amp;Tabela1[[#This Row],[PEDIDO]]</f>
        <v>P-188</v>
      </c>
      <c r="AL166"/>
      <c r="AM166"/>
      <c r="AN166"/>
      <c r="AO166" t="str">
        <f t="shared" si="30"/>
        <v>T-072974-1/1073-TC-007</v>
      </c>
      <c r="AP166" t="str">
        <f>Tabela1[[#This Row],[TAG]]&amp;Tabela1[[#This Row],[PEDIDO]]&amp;Tabela1[[#This Row],[PRODUTO]]</f>
        <v>1073-TC-007P-188RMF</v>
      </c>
      <c r="AQ166" s="22" t="str">
        <f>Tabela1[[#This Row],[PRODUTO]]&amp;Tabela1[[#This Row],[TAG]]</f>
        <v>RMF1073-TC-007</v>
      </c>
      <c r="AR166" s="24" t="str">
        <f>Tabela1[[#This Row],[PEDIDO]]&amp;Tabela1[[#This Row],[PRODUTO]]</f>
        <v>P-188RMF</v>
      </c>
      <c r="AS166" s="37">
        <f>IF(AF166="",0,IF(ISTEXT(AF166),H166*VALUE(SUBSTITUTE(AF166,"%",""))/100,H166*AF166))-Tabela1[[#This Row],[PRONTO ACABADO2]]</f>
        <v>128.80000000000001</v>
      </c>
      <c r="AT166" s="37">
        <f>IF(AG166="",0,IF(ISTEXT(AG166),H166*VALUE(SUBSTITUTE(AG166,"%",""))/100,H166*AG166))-Tabela1[[#This Row],[PESO EXPEDIDO2]]</f>
        <v>0</v>
      </c>
      <c r="AU166" s="37">
        <f t="shared" si="38"/>
        <v>0</v>
      </c>
      <c r="AV166" s="37">
        <f t="shared" si="39"/>
        <v>0</v>
      </c>
      <c r="AW166" s="37"/>
    </row>
    <row r="167" spans="1:49" ht="15.75" customHeight="1" x14ac:dyDescent="0.25">
      <c r="A167" s="6" t="s">
        <v>3764</v>
      </c>
      <c r="B167" s="21" t="s">
        <v>3771</v>
      </c>
      <c r="C167" s="7">
        <v>24</v>
      </c>
      <c r="D167" s="39" t="s">
        <v>3770</v>
      </c>
      <c r="E167" s="7">
        <v>4052</v>
      </c>
      <c r="F167" s="7" t="s">
        <v>3767</v>
      </c>
      <c r="G167" s="23">
        <v>0.8</v>
      </c>
      <c r="H167" s="34">
        <f>Tabela1[[#This Row],[PESO UNI]]*Tabela1[[#This Row],[QTE]]</f>
        <v>19.200000000000003</v>
      </c>
      <c r="I167" s="7">
        <v>1</v>
      </c>
      <c r="J167" s="8" t="s">
        <v>2276</v>
      </c>
      <c r="K167" s="8" t="s">
        <v>327</v>
      </c>
      <c r="L167" s="9" t="s">
        <v>2069</v>
      </c>
      <c r="M167" s="10">
        <v>46119</v>
      </c>
      <c r="N167" s="8" t="s">
        <v>327</v>
      </c>
      <c r="O167" s="12"/>
      <c r="P167" s="13"/>
      <c r="Q167" s="14">
        <f>Tabela1[[#This Row],[QTDE/ Fabricação]]-Tabela1[[#This Row],[QTE]]</f>
        <v>-24</v>
      </c>
      <c r="R167" s="18">
        <f t="shared" si="33"/>
        <v>19.200000000000003</v>
      </c>
      <c r="S167" s="18">
        <f t="shared" si="34"/>
        <v>19.200000000000003</v>
      </c>
      <c r="T167" s="19">
        <f t="shared" si="35"/>
        <v>0</v>
      </c>
      <c r="U167" s="16">
        <f>IFERROR(SUMIF('LISTA DE EMBARQUE'!B:B,MICRO!E:E,'LISTA DE EMBARQUE'!G:G),"")</f>
        <v>0</v>
      </c>
      <c r="V167" s="12" t="str">
        <f>IFERROR(VLOOKUP(Tabela1[[#This Row],[COD.MDE]],'LISTA DE EMBARQUE'!B:L,11,0),"")</f>
        <v/>
      </c>
      <c r="W167" s="13" t="str">
        <f>IFERROR(VLOOKUP(Tabela1[[#This Row],[COD.MDE]],'LISTA DE EMBARQUE'!B:M,12,0),"")</f>
        <v/>
      </c>
      <c r="X167" s="14">
        <f>IFERROR(Tabela1[[#This Row],[QIANTIDADE EXPEDIDA]]*Tabela1[[#This Row],[PESO UNI]],"")</f>
        <v>0</v>
      </c>
      <c r="Y167" s="14">
        <f t="shared" si="36"/>
        <v>-24</v>
      </c>
      <c r="Z167" s="20">
        <f>Tabela1[[#This Row],[PESO TOTAL]]-Tabela1[[#This Row],[Peso Expedido]]</f>
        <v>19.200000000000003</v>
      </c>
      <c r="AA167" s="17">
        <v>1</v>
      </c>
      <c r="AB167" s="33"/>
      <c r="AC167" s="33">
        <v>1</v>
      </c>
      <c r="AD167" s="33">
        <v>1</v>
      </c>
      <c r="AE167" s="33">
        <v>1</v>
      </c>
      <c r="AF167" s="33">
        <v>1</v>
      </c>
      <c r="AG167" s="33">
        <v>1</v>
      </c>
      <c r="AH167" s="33"/>
      <c r="AI167" s="33" t="str">
        <f t="shared" si="37"/>
        <v/>
      </c>
      <c r="AJ167" s="5"/>
      <c r="AK167" t="str">
        <f>Tabela1[[#This Row],[Coluna1]]&amp;Tabela1[[#This Row],[PEDIDO]]</f>
        <v>P-188</v>
      </c>
      <c r="AL167"/>
      <c r="AM167"/>
      <c r="AN167"/>
      <c r="AO167" t="str">
        <f t="shared" si="30"/>
        <v>T-072974-1/1073-TC-007</v>
      </c>
      <c r="AP167" t="str">
        <f>Tabela1[[#This Row],[TAG]]&amp;Tabela1[[#This Row],[PEDIDO]]&amp;Tabela1[[#This Row],[PRODUTO]]</f>
        <v>1073-TC-007P-188RMF</v>
      </c>
      <c r="AQ167" s="22" t="str">
        <f>Tabela1[[#This Row],[PRODUTO]]&amp;Tabela1[[#This Row],[TAG]]</f>
        <v>RMF1073-TC-007</v>
      </c>
      <c r="AR167" s="24" t="str">
        <f>Tabela1[[#This Row],[PEDIDO]]&amp;Tabela1[[#This Row],[PRODUTO]]</f>
        <v>P-188RMF</v>
      </c>
      <c r="AS167" s="37">
        <f>IF(AF167="",0,IF(ISTEXT(AF167),H167*VALUE(SUBSTITUTE(AF167,"%",""))/100,H167*AF167))-Tabela1[[#This Row],[PRONTO ACABADO2]]</f>
        <v>0</v>
      </c>
      <c r="AT167" s="37">
        <f>IF(AG167="",0,IF(ISTEXT(AG167),H167*VALUE(SUBSTITUTE(AG167,"%",""))/100,H167*AG167))-Tabela1[[#This Row],[PESO EXPEDIDO2]]</f>
        <v>19.200000000000003</v>
      </c>
      <c r="AU167" s="37">
        <f t="shared" si="38"/>
        <v>0</v>
      </c>
      <c r="AV167" s="37">
        <f t="shared" si="39"/>
        <v>19.200000000000003</v>
      </c>
      <c r="AW167" s="37"/>
    </row>
    <row r="168" spans="1:49" ht="15.75" customHeight="1" x14ac:dyDescent="0.25">
      <c r="A168" s="6" t="s">
        <v>3773</v>
      </c>
      <c r="B168" s="21" t="s">
        <v>3774</v>
      </c>
      <c r="C168" s="7">
        <v>1</v>
      </c>
      <c r="D168" s="39" t="s">
        <v>3760</v>
      </c>
      <c r="E168" s="7">
        <v>4053</v>
      </c>
      <c r="F168" s="7" t="s">
        <v>3775</v>
      </c>
      <c r="G168" s="23">
        <v>1137.2</v>
      </c>
      <c r="H168" s="34">
        <f>Tabela1[[#This Row],[PESO UNI]]*Tabela1[[#This Row],[QTE]]</f>
        <v>1137.2</v>
      </c>
      <c r="I168" s="7">
        <v>5</v>
      </c>
      <c r="J168" s="8" t="s">
        <v>2274</v>
      </c>
      <c r="K168" s="8" t="s">
        <v>327</v>
      </c>
      <c r="L168" s="9" t="s">
        <v>2069</v>
      </c>
      <c r="M168" s="10">
        <v>46149</v>
      </c>
      <c r="N168" s="8" t="s">
        <v>327</v>
      </c>
      <c r="O168" s="12"/>
      <c r="P168" s="13"/>
      <c r="Q168" s="14">
        <f>Tabela1[[#This Row],[QTDE/ Fabricação]]-Tabela1[[#This Row],[QTE]]</f>
        <v>-1</v>
      </c>
      <c r="R168" s="18">
        <f t="shared" si="33"/>
        <v>1137.2</v>
      </c>
      <c r="S168" s="18">
        <f t="shared" si="34"/>
        <v>1137.2</v>
      </c>
      <c r="T168" s="19">
        <f t="shared" si="35"/>
        <v>0</v>
      </c>
      <c r="U168" s="207">
        <v>1</v>
      </c>
      <c r="V168" s="12">
        <f>IFERROR(VLOOKUP(Tabela1[[#This Row],[COD.MDE]],'LISTA DE EMBARQUE'!B:L,11,0),"")</f>
        <v>2</v>
      </c>
      <c r="W168" s="13"/>
      <c r="X168" s="14">
        <f>IFERROR(Tabela1[[#This Row],[QIANTIDADE EXPEDIDA]]*Tabela1[[#This Row],[PESO UNI]],"")</f>
        <v>1137.2</v>
      </c>
      <c r="Y168" s="14">
        <f t="shared" si="36"/>
        <v>0</v>
      </c>
      <c r="Z168" s="20">
        <f>Tabela1[[#This Row],[PESO TOTAL]]-Tabela1[[#This Row],[Peso Expedido]]</f>
        <v>0</v>
      </c>
      <c r="AA168" s="17">
        <v>1</v>
      </c>
      <c r="AB168" s="33"/>
      <c r="AC168" s="33">
        <v>1</v>
      </c>
      <c r="AD168" s="33">
        <v>1</v>
      </c>
      <c r="AE168" s="33">
        <v>1</v>
      </c>
      <c r="AF168" s="33">
        <v>1</v>
      </c>
      <c r="AG168" s="33">
        <v>1</v>
      </c>
      <c r="AH168" s="33">
        <v>1</v>
      </c>
      <c r="AI168" s="33" t="str">
        <f t="shared" si="37"/>
        <v>ok</v>
      </c>
      <c r="AJ168" s="5"/>
      <c r="AK168" t="str">
        <f>Tabela1[[#This Row],[Coluna1]]&amp;Tabela1[[#This Row],[PEDIDO]]</f>
        <v>P-188</v>
      </c>
      <c r="AL168"/>
      <c r="AM168"/>
      <c r="AN168"/>
      <c r="AO168" t="str">
        <f t="shared" si="30"/>
        <v>T-072953-1/1073-TC-006</v>
      </c>
      <c r="AP168" t="str">
        <f>Tabela1[[#This Row],[TAG]]&amp;Tabela1[[#This Row],[PEDIDO]]&amp;Tabela1[[#This Row],[PRODUTO]]</f>
        <v>1073-TC-006P-188RMF</v>
      </c>
      <c r="AQ168" s="22" t="str">
        <f>Tabela1[[#This Row],[PRODUTO]]&amp;Tabela1[[#This Row],[TAG]]</f>
        <v>RMF1073-TC-006</v>
      </c>
      <c r="AR168" s="24" t="str">
        <f>Tabela1[[#This Row],[PEDIDO]]&amp;Tabela1[[#This Row],[PRODUTO]]</f>
        <v>P-188RMF</v>
      </c>
      <c r="AS168" s="37">
        <f>IF(AF168="",0,IF(ISTEXT(AF168),H168*VALUE(SUBSTITUTE(AF168,"%",""))/100,H168*AF168))-Tabela1[[#This Row],[PRONTO ACABADO2]]</f>
        <v>0</v>
      </c>
      <c r="AT168" s="37">
        <f>IF(AG168="",0,IF(ISTEXT(AG168),H168*VALUE(SUBSTITUTE(AG168,"%",""))/100,H168*AG168))-Tabela1[[#This Row],[PESO EXPEDIDO2]]</f>
        <v>0</v>
      </c>
      <c r="AU168" s="37">
        <f t="shared" si="38"/>
        <v>1137.2</v>
      </c>
      <c r="AV168" s="37">
        <f t="shared" si="39"/>
        <v>1137.2</v>
      </c>
      <c r="AW168" s="37"/>
    </row>
    <row r="169" spans="1:49" ht="15.75" customHeight="1" x14ac:dyDescent="0.25">
      <c r="A169" s="6" t="s">
        <v>3773</v>
      </c>
      <c r="B169" s="21" t="s">
        <v>3776</v>
      </c>
      <c r="C169" s="7">
        <v>1</v>
      </c>
      <c r="D169" s="39" t="s">
        <v>3777</v>
      </c>
      <c r="E169" s="7">
        <v>4054</v>
      </c>
      <c r="F169" s="7" t="s">
        <v>3775</v>
      </c>
      <c r="G169" s="23">
        <v>142.19999999999999</v>
      </c>
      <c r="H169" s="34">
        <f>Tabela1[[#This Row],[PESO UNI]]*Tabela1[[#This Row],[QTE]]</f>
        <v>142.19999999999999</v>
      </c>
      <c r="I169" s="7">
        <v>5</v>
      </c>
      <c r="J169" s="8" t="s">
        <v>2274</v>
      </c>
      <c r="K169" s="8" t="s">
        <v>327</v>
      </c>
      <c r="L169" s="9" t="s">
        <v>2069</v>
      </c>
      <c r="M169" s="10">
        <v>46149</v>
      </c>
      <c r="N169" s="8" t="s">
        <v>327</v>
      </c>
      <c r="O169" s="12"/>
      <c r="P169" s="13"/>
      <c r="Q169" s="14">
        <f>Tabela1[[#This Row],[QTDE/ Fabricação]]-Tabela1[[#This Row],[QTE]]</f>
        <v>-1</v>
      </c>
      <c r="R169" s="18">
        <f t="shared" si="33"/>
        <v>142.19999999999999</v>
      </c>
      <c r="S169" s="18">
        <f t="shared" si="34"/>
        <v>142.19999999999999</v>
      </c>
      <c r="T169" s="19">
        <f t="shared" si="35"/>
        <v>0</v>
      </c>
      <c r="U169" s="207">
        <v>1</v>
      </c>
      <c r="V169" s="12" t="str">
        <f>IFERROR(VLOOKUP(Tabela1[[#This Row],[COD.MDE]],'LISTA DE EMBARQUE'!B:L,11,0),"")</f>
        <v/>
      </c>
      <c r="W169" s="13"/>
      <c r="X169" s="14">
        <f>IFERROR(Tabela1[[#This Row],[QIANTIDADE EXPEDIDA]]*Tabela1[[#This Row],[PESO UNI]],"")</f>
        <v>142.19999999999999</v>
      </c>
      <c r="Y169" s="14">
        <f t="shared" si="36"/>
        <v>0</v>
      </c>
      <c r="Z169" s="20">
        <f>Tabela1[[#This Row],[PESO TOTAL]]-Tabela1[[#This Row],[Peso Expedido]]</f>
        <v>0</v>
      </c>
      <c r="AA169" s="17">
        <v>1</v>
      </c>
      <c r="AB169" s="33"/>
      <c r="AC169" s="33">
        <v>1</v>
      </c>
      <c r="AD169" s="33">
        <v>1</v>
      </c>
      <c r="AE169" s="33">
        <v>1</v>
      </c>
      <c r="AF169" s="33">
        <v>1</v>
      </c>
      <c r="AG169" s="33">
        <v>1</v>
      </c>
      <c r="AH169" s="33">
        <v>1</v>
      </c>
      <c r="AI169" s="33" t="str">
        <f t="shared" si="37"/>
        <v>ok</v>
      </c>
      <c r="AJ169" s="5"/>
      <c r="AK169" t="str">
        <f>Tabela1[[#This Row],[Coluna1]]&amp;Tabela1[[#This Row],[PEDIDO]]</f>
        <v>P-188</v>
      </c>
      <c r="AL169"/>
      <c r="AM169"/>
      <c r="AN169"/>
      <c r="AO169" t="str">
        <f t="shared" si="30"/>
        <v>T-072953-1/1073-TC-006</v>
      </c>
      <c r="AP169" t="str">
        <f>Tabela1[[#This Row],[TAG]]&amp;Tabela1[[#This Row],[PEDIDO]]&amp;Tabela1[[#This Row],[PRODUTO]]</f>
        <v>1073-TC-006P-188RMF</v>
      </c>
      <c r="AQ169" s="22" t="str">
        <f>Tabela1[[#This Row],[PRODUTO]]&amp;Tabela1[[#This Row],[TAG]]</f>
        <v>RMF1073-TC-006</v>
      </c>
      <c r="AR169" s="24" t="str">
        <f>Tabela1[[#This Row],[PEDIDO]]&amp;Tabela1[[#This Row],[PRODUTO]]</f>
        <v>P-188RMF</v>
      </c>
      <c r="AS169" s="37">
        <f>IF(AF169="",0,IF(ISTEXT(AF169),H169*VALUE(SUBSTITUTE(AF169,"%",""))/100,H169*AF169))-Tabela1[[#This Row],[PRONTO ACABADO2]]</f>
        <v>0</v>
      </c>
      <c r="AT169" s="37">
        <f>IF(AG169="",0,IF(ISTEXT(AG169),H169*VALUE(SUBSTITUTE(AG169,"%",""))/100,H169*AG169))-Tabela1[[#This Row],[PESO EXPEDIDO2]]</f>
        <v>0</v>
      </c>
      <c r="AU169" s="37">
        <f t="shared" si="38"/>
        <v>142.19999999999999</v>
      </c>
      <c r="AV169" s="37">
        <f t="shared" si="39"/>
        <v>142.19999999999999</v>
      </c>
      <c r="AW169" s="37"/>
    </row>
    <row r="170" spans="1:49" ht="15.75" customHeight="1" x14ac:dyDescent="0.25">
      <c r="A170" s="6" t="s">
        <v>3773</v>
      </c>
      <c r="B170" s="21" t="s">
        <v>3778</v>
      </c>
      <c r="C170" s="7">
        <v>1</v>
      </c>
      <c r="D170" s="39" t="s">
        <v>3777</v>
      </c>
      <c r="E170" s="7">
        <v>4055</v>
      </c>
      <c r="F170" s="7" t="s">
        <v>3775</v>
      </c>
      <c r="G170" s="23">
        <v>295.39999999999998</v>
      </c>
      <c r="H170" s="34">
        <f>Tabela1[[#This Row],[PESO UNI]]*Tabela1[[#This Row],[QTE]]</f>
        <v>295.39999999999998</v>
      </c>
      <c r="I170" s="7">
        <v>5</v>
      </c>
      <c r="J170" s="8" t="s">
        <v>2274</v>
      </c>
      <c r="K170" s="8" t="s">
        <v>327</v>
      </c>
      <c r="L170" s="9" t="s">
        <v>2069</v>
      </c>
      <c r="M170" s="10">
        <v>46149</v>
      </c>
      <c r="N170" s="8" t="s">
        <v>327</v>
      </c>
      <c r="O170" s="12"/>
      <c r="P170" s="13"/>
      <c r="Q170" s="14">
        <f>Tabela1[[#This Row],[QTDE/ Fabricação]]-Tabela1[[#This Row],[QTE]]</f>
        <v>-1</v>
      </c>
      <c r="R170" s="18">
        <f t="shared" si="33"/>
        <v>295.39999999999998</v>
      </c>
      <c r="S170" s="18">
        <f t="shared" si="34"/>
        <v>295.39999999999998</v>
      </c>
      <c r="T170" s="19">
        <f t="shared" si="35"/>
        <v>0</v>
      </c>
      <c r="U170" s="207">
        <v>1</v>
      </c>
      <c r="V170" s="12" t="str">
        <f>IFERROR(VLOOKUP(Tabela1[[#This Row],[COD.MDE]],'LISTA DE EMBARQUE'!B:L,11,0),"")</f>
        <v/>
      </c>
      <c r="W170" s="13"/>
      <c r="X170" s="14">
        <f>IFERROR(Tabela1[[#This Row],[QIANTIDADE EXPEDIDA]]*Tabela1[[#This Row],[PESO UNI]],"")</f>
        <v>295.39999999999998</v>
      </c>
      <c r="Y170" s="14">
        <f t="shared" si="36"/>
        <v>0</v>
      </c>
      <c r="Z170" s="20">
        <f>Tabela1[[#This Row],[PESO TOTAL]]-Tabela1[[#This Row],[Peso Expedido]]</f>
        <v>0</v>
      </c>
      <c r="AA170" s="17">
        <v>1</v>
      </c>
      <c r="AB170" s="33"/>
      <c r="AC170" s="33">
        <v>1</v>
      </c>
      <c r="AD170" s="33">
        <v>1</v>
      </c>
      <c r="AE170" s="33">
        <v>1</v>
      </c>
      <c r="AF170" s="33">
        <v>1</v>
      </c>
      <c r="AG170" s="33">
        <v>1</v>
      </c>
      <c r="AH170" s="33">
        <v>1</v>
      </c>
      <c r="AI170" s="33" t="str">
        <f t="shared" si="37"/>
        <v>ok</v>
      </c>
      <c r="AJ170" s="5"/>
      <c r="AK170" t="str">
        <f>Tabela1[[#This Row],[Coluna1]]&amp;Tabela1[[#This Row],[PEDIDO]]</f>
        <v>P-188</v>
      </c>
      <c r="AL170"/>
      <c r="AM170"/>
      <c r="AN170"/>
      <c r="AO170" t="str">
        <f t="shared" si="30"/>
        <v>T-072953-1/1073-TC-006</v>
      </c>
      <c r="AP170" t="str">
        <f>Tabela1[[#This Row],[TAG]]&amp;Tabela1[[#This Row],[PEDIDO]]&amp;Tabela1[[#This Row],[PRODUTO]]</f>
        <v>1073-TC-006P-188RMF</v>
      </c>
      <c r="AQ170" s="22" t="str">
        <f>Tabela1[[#This Row],[PRODUTO]]&amp;Tabela1[[#This Row],[TAG]]</f>
        <v>RMF1073-TC-006</v>
      </c>
      <c r="AR170" s="24" t="str">
        <f>Tabela1[[#This Row],[PEDIDO]]&amp;Tabela1[[#This Row],[PRODUTO]]</f>
        <v>P-188RMF</v>
      </c>
      <c r="AS170" s="37">
        <f>IF(AF170="",0,IF(ISTEXT(AF170),H170*VALUE(SUBSTITUTE(AF170,"%",""))/100,H170*AF170))-Tabela1[[#This Row],[PRONTO ACABADO2]]</f>
        <v>0</v>
      </c>
      <c r="AT170" s="37">
        <f>IF(AG170="",0,IF(ISTEXT(AG170),H170*VALUE(SUBSTITUTE(AG170,"%",""))/100,H170*AG170))-Tabela1[[#This Row],[PESO EXPEDIDO2]]</f>
        <v>0</v>
      </c>
      <c r="AU170" s="37">
        <f t="shared" si="38"/>
        <v>295.39999999999998</v>
      </c>
      <c r="AV170" s="37">
        <f t="shared" si="39"/>
        <v>295.39999999999998</v>
      </c>
      <c r="AW170" s="37"/>
    </row>
    <row r="171" spans="1:49" ht="15.75" customHeight="1" x14ac:dyDescent="0.25">
      <c r="A171" s="6" t="s">
        <v>3773</v>
      </c>
      <c r="B171" s="21" t="s">
        <v>3774</v>
      </c>
      <c r="C171" s="7">
        <v>1</v>
      </c>
      <c r="D171" s="39" t="s">
        <v>3760</v>
      </c>
      <c r="E171" s="7">
        <v>4056</v>
      </c>
      <c r="F171" s="7" t="s">
        <v>3775</v>
      </c>
      <c r="G171" s="23">
        <v>1137.2</v>
      </c>
      <c r="H171" s="34">
        <f>Tabela1[[#This Row],[PESO UNI]]*Tabela1[[#This Row],[QTE]]</f>
        <v>1137.2</v>
      </c>
      <c r="I171" s="7">
        <v>5</v>
      </c>
      <c r="J171" s="8" t="s">
        <v>2276</v>
      </c>
      <c r="K171" s="8" t="s">
        <v>327</v>
      </c>
      <c r="L171" s="9" t="s">
        <v>2069</v>
      </c>
      <c r="M171" s="10">
        <v>46149</v>
      </c>
      <c r="N171" s="8" t="s">
        <v>327</v>
      </c>
      <c r="O171" s="12"/>
      <c r="P171" s="13"/>
      <c r="Q171" s="14">
        <f>Tabela1[[#This Row],[QTDE/ Fabricação]]-Tabela1[[#This Row],[QTE]]</f>
        <v>-1</v>
      </c>
      <c r="R171" s="18">
        <f t="shared" si="33"/>
        <v>1137.2</v>
      </c>
      <c r="S171" s="18">
        <f t="shared" si="34"/>
        <v>1137.2</v>
      </c>
      <c r="T171" s="19">
        <f t="shared" si="35"/>
        <v>0</v>
      </c>
      <c r="U171" s="207">
        <v>1</v>
      </c>
      <c r="V171" s="12" t="str">
        <f>IFERROR(VLOOKUP(Tabela1[[#This Row],[COD.MDE]],'LISTA DE EMBARQUE'!B:L,11,0),"")</f>
        <v/>
      </c>
      <c r="W171" s="13"/>
      <c r="X171" s="14">
        <f>IFERROR(Tabela1[[#This Row],[QIANTIDADE EXPEDIDA]]*Tabela1[[#This Row],[PESO UNI]],"")</f>
        <v>1137.2</v>
      </c>
      <c r="Y171" s="14">
        <f t="shared" si="36"/>
        <v>0</v>
      </c>
      <c r="Z171" s="20">
        <f>Tabela1[[#This Row],[PESO TOTAL]]-Tabela1[[#This Row],[Peso Expedido]]</f>
        <v>0</v>
      </c>
      <c r="AA171" s="17">
        <v>1</v>
      </c>
      <c r="AB171" s="33"/>
      <c r="AC171" s="33">
        <v>1</v>
      </c>
      <c r="AD171" s="33">
        <v>1</v>
      </c>
      <c r="AE171" s="33">
        <v>1</v>
      </c>
      <c r="AF171" s="33">
        <v>1</v>
      </c>
      <c r="AG171" s="33">
        <v>1</v>
      </c>
      <c r="AH171" s="33">
        <v>1</v>
      </c>
      <c r="AI171" s="33" t="str">
        <f t="shared" si="37"/>
        <v>ok</v>
      </c>
      <c r="AJ171" s="5"/>
      <c r="AK171" t="str">
        <f>Tabela1[[#This Row],[Coluna1]]&amp;Tabela1[[#This Row],[PEDIDO]]</f>
        <v>P-188</v>
      </c>
      <c r="AL171"/>
      <c r="AM171"/>
      <c r="AN171"/>
      <c r="AO171" t="str">
        <f t="shared" si="30"/>
        <v>T-072953-1/1073-TC-007</v>
      </c>
      <c r="AP171" t="str">
        <f>Tabela1[[#This Row],[TAG]]&amp;Tabela1[[#This Row],[PEDIDO]]&amp;Tabela1[[#This Row],[PRODUTO]]</f>
        <v>1073-TC-007P-188RMF</v>
      </c>
      <c r="AQ171" s="22" t="str">
        <f>Tabela1[[#This Row],[PRODUTO]]&amp;Tabela1[[#This Row],[TAG]]</f>
        <v>RMF1073-TC-007</v>
      </c>
      <c r="AR171" s="24" t="str">
        <f>Tabela1[[#This Row],[PEDIDO]]&amp;Tabela1[[#This Row],[PRODUTO]]</f>
        <v>P-188RMF</v>
      </c>
      <c r="AS171" s="37">
        <f>IF(AF171="",0,IF(ISTEXT(AF171),H171*VALUE(SUBSTITUTE(AF171,"%",""))/100,H171*AF171))-Tabela1[[#This Row],[PRONTO ACABADO2]]</f>
        <v>0</v>
      </c>
      <c r="AT171" s="37">
        <f>IF(AG171="",0,IF(ISTEXT(AG171),H171*VALUE(SUBSTITUTE(AG171,"%",""))/100,H171*AG171))-Tabela1[[#This Row],[PESO EXPEDIDO2]]</f>
        <v>0</v>
      </c>
      <c r="AU171" s="37">
        <f t="shared" si="38"/>
        <v>1137.2</v>
      </c>
      <c r="AV171" s="37">
        <f t="shared" si="39"/>
        <v>1137.2</v>
      </c>
      <c r="AW171" s="37"/>
    </row>
    <row r="172" spans="1:49" ht="15.75" customHeight="1" x14ac:dyDescent="0.25">
      <c r="A172" s="6" t="s">
        <v>3773</v>
      </c>
      <c r="B172" s="21" t="s">
        <v>3776</v>
      </c>
      <c r="C172" s="7">
        <v>1</v>
      </c>
      <c r="D172" s="39" t="s">
        <v>3777</v>
      </c>
      <c r="E172" s="7">
        <v>4057</v>
      </c>
      <c r="F172" s="7" t="s">
        <v>3775</v>
      </c>
      <c r="G172" s="23">
        <v>142.19999999999999</v>
      </c>
      <c r="H172" s="34">
        <f>Tabela1[[#This Row],[PESO UNI]]*Tabela1[[#This Row],[QTE]]</f>
        <v>142.19999999999999</v>
      </c>
      <c r="I172" s="7">
        <v>5</v>
      </c>
      <c r="J172" s="8" t="s">
        <v>2276</v>
      </c>
      <c r="K172" s="8" t="s">
        <v>327</v>
      </c>
      <c r="L172" s="9" t="s">
        <v>2069</v>
      </c>
      <c r="M172" s="10">
        <v>46149</v>
      </c>
      <c r="N172" s="8" t="s">
        <v>327</v>
      </c>
      <c r="O172" s="12"/>
      <c r="P172" s="13"/>
      <c r="Q172" s="14">
        <f>Tabela1[[#This Row],[QTDE/ Fabricação]]-Tabela1[[#This Row],[QTE]]</f>
        <v>-1</v>
      </c>
      <c r="R172" s="18">
        <f t="shared" si="33"/>
        <v>142.19999999999999</v>
      </c>
      <c r="S172" s="18">
        <f t="shared" si="34"/>
        <v>142.19999999999999</v>
      </c>
      <c r="T172" s="19">
        <f t="shared" si="35"/>
        <v>0</v>
      </c>
      <c r="U172" s="207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>IFERROR(Tabela1[[#This Row],[QIANTIDADE EXPEDIDA]]*Tabela1[[#This Row],[PESO UNI]],"")</f>
        <v>142.19999999999999</v>
      </c>
      <c r="Y172" s="14">
        <f t="shared" si="36"/>
        <v>0</v>
      </c>
      <c r="Z172" s="20">
        <f>Tabela1[[#This Row],[PESO TOTAL]]-Tabela1[[#This Row],[Peso Expedido]]</f>
        <v>0</v>
      </c>
      <c r="AA172" s="17">
        <v>1</v>
      </c>
      <c r="AB172" s="33"/>
      <c r="AC172" s="33">
        <v>1</v>
      </c>
      <c r="AD172" s="33">
        <v>1</v>
      </c>
      <c r="AE172" s="33">
        <v>1</v>
      </c>
      <c r="AF172" s="33">
        <v>1</v>
      </c>
      <c r="AG172" s="33">
        <v>1</v>
      </c>
      <c r="AH172" s="33">
        <v>1</v>
      </c>
      <c r="AI172" s="33" t="str">
        <f t="shared" si="37"/>
        <v>ok</v>
      </c>
      <c r="AJ172" s="5"/>
      <c r="AK172" t="str">
        <f>Tabela1[[#This Row],[Coluna1]]&amp;Tabela1[[#This Row],[PEDIDO]]</f>
        <v>P-188</v>
      </c>
      <c r="AL172"/>
      <c r="AM172"/>
      <c r="AN172"/>
      <c r="AO172" t="str">
        <f t="shared" si="30"/>
        <v>T-072953-1/1073-TC-007</v>
      </c>
      <c r="AP172" t="str">
        <f>Tabela1[[#This Row],[TAG]]&amp;Tabela1[[#This Row],[PEDIDO]]&amp;Tabela1[[#This Row],[PRODUTO]]</f>
        <v>1073-TC-007P-188RMF</v>
      </c>
      <c r="AQ172" s="22" t="str">
        <f>Tabela1[[#This Row],[PRODUTO]]&amp;Tabela1[[#This Row],[TAG]]</f>
        <v>RMF1073-TC-007</v>
      </c>
      <c r="AR172" s="24" t="str">
        <f>Tabela1[[#This Row],[PEDIDO]]&amp;Tabela1[[#This Row],[PRODUTO]]</f>
        <v>P-188RMF</v>
      </c>
      <c r="AS172" s="37">
        <f>IF(AF172="",0,IF(ISTEXT(AF172),H172*VALUE(SUBSTITUTE(AF172,"%",""))/100,H172*AF172))-Tabela1[[#This Row],[PRONTO ACABADO2]]</f>
        <v>0</v>
      </c>
      <c r="AT172" s="37">
        <f>IF(AG172="",0,IF(ISTEXT(AG172),H172*VALUE(SUBSTITUTE(AG172,"%",""))/100,H172*AG172))-Tabela1[[#This Row],[PESO EXPEDIDO2]]</f>
        <v>0</v>
      </c>
      <c r="AU172" s="37">
        <f t="shared" si="38"/>
        <v>142.19999999999999</v>
      </c>
      <c r="AV172" s="37">
        <f t="shared" si="39"/>
        <v>142.19999999999999</v>
      </c>
      <c r="AW172" s="37"/>
    </row>
    <row r="173" spans="1:49" ht="15.75" customHeight="1" x14ac:dyDescent="0.25">
      <c r="A173" s="6" t="s">
        <v>3773</v>
      </c>
      <c r="B173" s="21" t="s">
        <v>3778</v>
      </c>
      <c r="C173" s="7">
        <v>1</v>
      </c>
      <c r="D173" s="39" t="s">
        <v>3777</v>
      </c>
      <c r="E173" s="7">
        <v>4058</v>
      </c>
      <c r="F173" s="7" t="s">
        <v>3775</v>
      </c>
      <c r="G173" s="23">
        <v>295.39999999999998</v>
      </c>
      <c r="H173" s="34">
        <f>Tabela1[[#This Row],[PESO UNI]]*Tabela1[[#This Row],[QTE]]</f>
        <v>295.39999999999998</v>
      </c>
      <c r="I173" s="7">
        <v>5</v>
      </c>
      <c r="J173" s="8" t="s">
        <v>2276</v>
      </c>
      <c r="K173" s="8" t="s">
        <v>327</v>
      </c>
      <c r="L173" s="9" t="s">
        <v>2069</v>
      </c>
      <c r="M173" s="10">
        <v>46149</v>
      </c>
      <c r="N173" s="8" t="s">
        <v>327</v>
      </c>
      <c r="O173" s="12"/>
      <c r="P173" s="13"/>
      <c r="Q173" s="14">
        <f>Tabela1[[#This Row],[QTDE/ Fabricação]]-Tabela1[[#This Row],[QTE]]</f>
        <v>-1</v>
      </c>
      <c r="R173" s="18">
        <f t="shared" si="33"/>
        <v>295.39999999999998</v>
      </c>
      <c r="S173" s="18">
        <f t="shared" si="34"/>
        <v>295.39999999999998</v>
      </c>
      <c r="T173" s="19">
        <f t="shared" si="35"/>
        <v>0</v>
      </c>
      <c r="U173" s="207">
        <f>IFERROR(SUMIF('LISTA DE EMBARQUE'!B:B,MICRO!E:E,'LISTA DE EMBARQUE'!G:G),"")</f>
        <v>1</v>
      </c>
      <c r="V173" s="12">
        <f>IFERROR(VLOOKUP(Tabela1[[#This Row],[COD.MDE]],'LISTA DE EMBARQUE'!B:L,11,0),"")</f>
        <v>7</v>
      </c>
      <c r="W173" s="13"/>
      <c r="X173" s="14">
        <f>IFERROR(Tabela1[[#This Row],[QIANTIDADE EXPEDIDA]]*Tabela1[[#This Row],[PESO UNI]],"")</f>
        <v>295.39999999999998</v>
      </c>
      <c r="Y173" s="14">
        <f t="shared" si="36"/>
        <v>0</v>
      </c>
      <c r="Z173" s="20">
        <f>Tabela1[[#This Row],[PESO TOTAL]]-Tabela1[[#This Row],[Peso Expedido]]</f>
        <v>0</v>
      </c>
      <c r="AA173" s="17">
        <v>1</v>
      </c>
      <c r="AB173" s="33"/>
      <c r="AC173" s="33">
        <v>1</v>
      </c>
      <c r="AD173" s="33">
        <v>1</v>
      </c>
      <c r="AE173" s="33">
        <v>1</v>
      </c>
      <c r="AF173" s="33">
        <v>1</v>
      </c>
      <c r="AG173" s="33">
        <v>1</v>
      </c>
      <c r="AH173" s="33">
        <v>1</v>
      </c>
      <c r="AI173" s="33" t="str">
        <f t="shared" si="37"/>
        <v>ok</v>
      </c>
      <c r="AJ173" s="5"/>
      <c r="AK173" t="str">
        <f>Tabela1[[#This Row],[Coluna1]]&amp;Tabela1[[#This Row],[PEDIDO]]</f>
        <v>P-188</v>
      </c>
      <c r="AL173"/>
      <c r="AM173"/>
      <c r="AN173"/>
      <c r="AO173" t="str">
        <f t="shared" si="30"/>
        <v>T-072953-1/1073-TC-007</v>
      </c>
      <c r="AP173" t="str">
        <f>Tabela1[[#This Row],[TAG]]&amp;Tabela1[[#This Row],[PEDIDO]]&amp;Tabela1[[#This Row],[PRODUTO]]</f>
        <v>1073-TC-007P-188RMF</v>
      </c>
      <c r="AQ173" s="22" t="str">
        <f>Tabela1[[#This Row],[PRODUTO]]&amp;Tabela1[[#This Row],[TAG]]</f>
        <v>RMF1073-TC-007</v>
      </c>
      <c r="AR173" s="24" t="str">
        <f>Tabela1[[#This Row],[PEDIDO]]&amp;Tabela1[[#This Row],[PRODUTO]]</f>
        <v>P-188RMF</v>
      </c>
      <c r="AS173" s="37">
        <f>IF(AF173="",0,IF(ISTEXT(AF173),H173*VALUE(SUBSTITUTE(AF173,"%",""))/100,H173*AF173))-Tabela1[[#This Row],[PRONTO ACABADO2]]</f>
        <v>0</v>
      </c>
      <c r="AT173" s="37">
        <f>IF(AG173="",0,IF(ISTEXT(AG173),H173*VALUE(SUBSTITUTE(AG173,"%",""))/100,H173*AG173))-Tabela1[[#This Row],[PESO EXPEDIDO2]]</f>
        <v>0</v>
      </c>
      <c r="AU173" s="37">
        <f t="shared" si="38"/>
        <v>295.39999999999998</v>
      </c>
      <c r="AV173" s="37">
        <f t="shared" si="39"/>
        <v>295.39999999999998</v>
      </c>
      <c r="AW173" s="37"/>
    </row>
    <row r="174" spans="1:49" ht="15.75" customHeight="1" x14ac:dyDescent="0.25">
      <c r="A174" s="6" t="s">
        <v>3779</v>
      </c>
      <c r="B174" s="21" t="s">
        <v>3780</v>
      </c>
      <c r="C174" s="7">
        <v>1</v>
      </c>
      <c r="D174" s="39" t="s">
        <v>3781</v>
      </c>
      <c r="E174" s="7">
        <v>4059</v>
      </c>
      <c r="F174" s="7" t="s">
        <v>3782</v>
      </c>
      <c r="G174" s="23">
        <v>950.5</v>
      </c>
      <c r="H174" s="34">
        <f>Tabela1[[#This Row],[PESO UNI]]*Tabela1[[#This Row],[QTE]]</f>
        <v>950.5</v>
      </c>
      <c r="I174" s="7">
        <v>1</v>
      </c>
      <c r="J174" s="8" t="s">
        <v>2274</v>
      </c>
      <c r="K174" s="8" t="s">
        <v>327</v>
      </c>
      <c r="L174" s="9" t="s">
        <v>2069</v>
      </c>
      <c r="M174" s="10">
        <v>46139</v>
      </c>
      <c r="N174" s="8" t="s">
        <v>327</v>
      </c>
      <c r="O174" s="12"/>
      <c r="P174" s="13"/>
      <c r="Q174" s="14">
        <f>Tabela1[[#This Row],[QTDE/ Fabricação]]-Tabela1[[#This Row],[QTE]]</f>
        <v>-1</v>
      </c>
      <c r="R174" s="18">
        <f t="shared" si="33"/>
        <v>950.5</v>
      </c>
      <c r="S174" s="18">
        <f t="shared" si="34"/>
        <v>950.5</v>
      </c>
      <c r="T174" s="19">
        <f t="shared" si="35"/>
        <v>0</v>
      </c>
      <c r="U174" s="207">
        <v>1</v>
      </c>
      <c r="V174" s="12" t="str">
        <f>IFERROR(VLOOKUP(Tabela1[[#This Row],[COD.MDE]],'LISTA DE EMBARQUE'!B:L,11,0),"")</f>
        <v/>
      </c>
      <c r="W174" s="13"/>
      <c r="X174" s="14">
        <f>IFERROR(Tabela1[[#This Row],[QIANTIDADE EXPEDIDA]]*Tabela1[[#This Row],[PESO UNI]],"")</f>
        <v>950.5</v>
      </c>
      <c r="Y174" s="14">
        <f t="shared" si="36"/>
        <v>0</v>
      </c>
      <c r="Z174" s="20">
        <f>Tabela1[[#This Row],[PESO TOTAL]]-Tabela1[[#This Row],[Peso Expedido]]</f>
        <v>0</v>
      </c>
      <c r="AA174" s="17">
        <v>1</v>
      </c>
      <c r="AB174" s="33"/>
      <c r="AC174" s="33">
        <v>1</v>
      </c>
      <c r="AD174" s="33">
        <v>1</v>
      </c>
      <c r="AE174" s="33">
        <v>1</v>
      </c>
      <c r="AF174" s="33">
        <v>1</v>
      </c>
      <c r="AG174" s="33">
        <v>1</v>
      </c>
      <c r="AH174" s="33">
        <v>1</v>
      </c>
      <c r="AI174" s="33" t="str">
        <f t="shared" si="37"/>
        <v>ok</v>
      </c>
      <c r="AJ174" s="5"/>
      <c r="AK174" t="str">
        <f>Tabela1[[#This Row],[Coluna1]]&amp;Tabela1[[#This Row],[PEDIDO]]</f>
        <v>P-188</v>
      </c>
      <c r="AL174"/>
      <c r="AM174"/>
      <c r="AN174"/>
      <c r="AO174" t="str">
        <f t="shared" si="30"/>
        <v>T-072975-1/1073-TC-006</v>
      </c>
      <c r="AP174" t="str">
        <f>Tabela1[[#This Row],[TAG]]&amp;Tabela1[[#This Row],[PEDIDO]]&amp;Tabela1[[#This Row],[PRODUTO]]</f>
        <v>1073-TC-006P-188RMF</v>
      </c>
      <c r="AQ174" s="22" t="str">
        <f>Tabela1[[#This Row],[PRODUTO]]&amp;Tabela1[[#This Row],[TAG]]</f>
        <v>RMF1073-TC-006</v>
      </c>
      <c r="AR174" s="24" t="str">
        <f>Tabela1[[#This Row],[PEDIDO]]&amp;Tabela1[[#This Row],[PRODUTO]]</f>
        <v>P-188RMF</v>
      </c>
      <c r="AS174" s="37">
        <f>IF(AF174="",0,IF(ISTEXT(AF174),H174*VALUE(SUBSTITUTE(AF174,"%",""))/100,H174*AF174))-Tabela1[[#This Row],[PRONTO ACABADO2]]</f>
        <v>0</v>
      </c>
      <c r="AT174" s="37">
        <f>IF(AG174="",0,IF(ISTEXT(AG174),H174*VALUE(SUBSTITUTE(AG174,"%",""))/100,H174*AG174))-Tabela1[[#This Row],[PESO EXPEDIDO2]]</f>
        <v>0</v>
      </c>
      <c r="AU174" s="37">
        <f t="shared" si="38"/>
        <v>950.5</v>
      </c>
      <c r="AV174" s="37">
        <f t="shared" si="39"/>
        <v>950.5</v>
      </c>
      <c r="AW174" s="37"/>
    </row>
    <row r="175" spans="1:49" ht="15.75" customHeight="1" x14ac:dyDescent="0.25">
      <c r="A175" s="6" t="s">
        <v>3779</v>
      </c>
      <c r="B175" s="21" t="s">
        <v>3780</v>
      </c>
      <c r="C175" s="7">
        <v>1</v>
      </c>
      <c r="D175" s="39" t="s">
        <v>3781</v>
      </c>
      <c r="E175" s="7">
        <v>4060</v>
      </c>
      <c r="F175" s="7" t="s">
        <v>3782</v>
      </c>
      <c r="G175" s="23">
        <v>950.5</v>
      </c>
      <c r="H175" s="34">
        <f>Tabela1[[#This Row],[PESO UNI]]*Tabela1[[#This Row],[QTE]]</f>
        <v>950.5</v>
      </c>
      <c r="I175" s="7">
        <v>1</v>
      </c>
      <c r="J175" s="8" t="s">
        <v>2276</v>
      </c>
      <c r="K175" s="8" t="s">
        <v>327</v>
      </c>
      <c r="L175" s="9" t="s">
        <v>2069</v>
      </c>
      <c r="M175" s="10">
        <v>46139</v>
      </c>
      <c r="N175" s="8" t="s">
        <v>327</v>
      </c>
      <c r="O175" s="12"/>
      <c r="P175" s="13"/>
      <c r="Q175" s="14">
        <f>Tabela1[[#This Row],[QTDE/ Fabricação]]-Tabela1[[#This Row],[QTE]]</f>
        <v>-1</v>
      </c>
      <c r="R175" s="18">
        <f t="shared" si="33"/>
        <v>950.5</v>
      </c>
      <c r="S175" s="18">
        <f t="shared" si="34"/>
        <v>950.5</v>
      </c>
      <c r="T175" s="19">
        <f t="shared" si="35"/>
        <v>0</v>
      </c>
      <c r="U175" s="207">
        <v>1</v>
      </c>
      <c r="V175" s="12" t="str">
        <f>IFERROR(VLOOKUP(Tabela1[[#This Row],[COD.MDE]],'LISTA DE EMBARQUE'!B:L,11,0),"")</f>
        <v/>
      </c>
      <c r="W175" s="13"/>
      <c r="X175" s="14">
        <f>IFERROR(Tabela1[[#This Row],[QIANTIDADE EXPEDIDA]]*Tabela1[[#This Row],[PESO UNI]],"")</f>
        <v>950.5</v>
      </c>
      <c r="Y175" s="14">
        <f t="shared" si="36"/>
        <v>0</v>
      </c>
      <c r="Z175" s="20">
        <f>Tabela1[[#This Row],[PESO TOTAL]]-Tabela1[[#This Row],[Peso Expedido]]</f>
        <v>0</v>
      </c>
      <c r="AA175" s="17">
        <v>1</v>
      </c>
      <c r="AB175" s="33"/>
      <c r="AC175" s="33">
        <v>1</v>
      </c>
      <c r="AD175" s="33">
        <v>1</v>
      </c>
      <c r="AE175" s="33">
        <v>1</v>
      </c>
      <c r="AF175" s="33">
        <v>1</v>
      </c>
      <c r="AG175" s="33">
        <v>1</v>
      </c>
      <c r="AH175" s="33">
        <v>1</v>
      </c>
      <c r="AI175" s="33" t="str">
        <f t="shared" si="37"/>
        <v>ok</v>
      </c>
      <c r="AJ175" s="5"/>
      <c r="AK175" t="str">
        <f>Tabela1[[#This Row],[Coluna1]]&amp;Tabela1[[#This Row],[PEDIDO]]</f>
        <v>P-188</v>
      </c>
      <c r="AL175"/>
      <c r="AM175"/>
      <c r="AN175"/>
      <c r="AO175" t="str">
        <f t="shared" si="30"/>
        <v>T-072975-1/1073-TC-007</v>
      </c>
      <c r="AP175" t="str">
        <f>Tabela1[[#This Row],[TAG]]&amp;Tabela1[[#This Row],[PEDIDO]]&amp;Tabela1[[#This Row],[PRODUTO]]</f>
        <v>1073-TC-007P-188RMF</v>
      </c>
      <c r="AQ175" s="22" t="str">
        <f>Tabela1[[#This Row],[PRODUTO]]&amp;Tabela1[[#This Row],[TAG]]</f>
        <v>RMF1073-TC-007</v>
      </c>
      <c r="AR175" s="24" t="str">
        <f>Tabela1[[#This Row],[PEDIDO]]&amp;Tabela1[[#This Row],[PRODUTO]]</f>
        <v>P-188RMF</v>
      </c>
      <c r="AS175" s="37">
        <f>IF(AF175="",0,IF(ISTEXT(AF175),H175*VALUE(SUBSTITUTE(AF175,"%",""))/100,H175*AF175))-Tabela1[[#This Row],[PRONTO ACABADO2]]</f>
        <v>0</v>
      </c>
      <c r="AT175" s="37">
        <f>IF(AG175="",0,IF(ISTEXT(AG175),H175*VALUE(SUBSTITUTE(AG175,"%",""))/100,H175*AG175))-Tabela1[[#This Row],[PESO EXPEDIDO2]]</f>
        <v>0</v>
      </c>
      <c r="AU175" s="37">
        <f t="shared" si="38"/>
        <v>950.5</v>
      </c>
      <c r="AV175" s="37">
        <f t="shared" si="39"/>
        <v>950.5</v>
      </c>
      <c r="AW175" s="37"/>
    </row>
    <row r="176" spans="1:49" ht="15.75" customHeight="1" x14ac:dyDescent="0.25">
      <c r="A176" s="6" t="s">
        <v>3783</v>
      </c>
      <c r="B176" s="21" t="s">
        <v>3784</v>
      </c>
      <c r="C176" s="7">
        <v>1</v>
      </c>
      <c r="D176" s="39" t="s">
        <v>3781</v>
      </c>
      <c r="E176" s="7">
        <v>4061</v>
      </c>
      <c r="F176" s="7" t="s">
        <v>3785</v>
      </c>
      <c r="G176" s="23">
        <v>675.7</v>
      </c>
      <c r="H176" s="34">
        <f>Tabela1[[#This Row],[PESO UNI]]*Tabela1[[#This Row],[QTE]]</f>
        <v>675.7</v>
      </c>
      <c r="I176" s="7">
        <v>2</v>
      </c>
      <c r="J176" s="8" t="s">
        <v>2274</v>
      </c>
      <c r="K176" s="8" t="s">
        <v>327</v>
      </c>
      <c r="L176" s="9" t="s">
        <v>2069</v>
      </c>
      <c r="M176" s="10">
        <v>46149</v>
      </c>
      <c r="N176" s="8" t="s">
        <v>327</v>
      </c>
      <c r="O176" s="12"/>
      <c r="P176" s="13"/>
      <c r="Q176" s="14">
        <f>Tabela1[[#This Row],[QTDE/ Fabricação]]-Tabela1[[#This Row],[QTE]]</f>
        <v>-1</v>
      </c>
      <c r="R176" s="18">
        <f t="shared" si="33"/>
        <v>675.7</v>
      </c>
      <c r="S176" s="18">
        <f t="shared" si="34"/>
        <v>675.7</v>
      </c>
      <c r="T176" s="19">
        <f t="shared" si="35"/>
        <v>0</v>
      </c>
      <c r="U176" s="207">
        <v>1</v>
      </c>
      <c r="V176" s="12" t="str">
        <f>IFERROR(VLOOKUP(Tabela1[[#This Row],[COD.MDE]],'LISTA DE EMBARQUE'!B:L,11,0),"")</f>
        <v/>
      </c>
      <c r="W176" s="13"/>
      <c r="X176" s="14">
        <f>IFERROR(Tabela1[[#This Row],[QIANTIDADE EXPEDIDA]]*Tabela1[[#This Row],[PESO UNI]],"")</f>
        <v>675.7</v>
      </c>
      <c r="Y176" s="14">
        <f t="shared" si="36"/>
        <v>0</v>
      </c>
      <c r="Z176" s="20">
        <f>Tabela1[[#This Row],[PESO TOTAL]]-Tabela1[[#This Row],[Peso Expedido]]</f>
        <v>0</v>
      </c>
      <c r="AA176" s="17">
        <v>1</v>
      </c>
      <c r="AB176" s="33"/>
      <c r="AC176" s="33">
        <v>1</v>
      </c>
      <c r="AD176" s="33">
        <v>1</v>
      </c>
      <c r="AE176" s="33">
        <v>1</v>
      </c>
      <c r="AF176" s="33">
        <v>1</v>
      </c>
      <c r="AG176" s="33">
        <v>1</v>
      </c>
      <c r="AH176" s="33">
        <v>1</v>
      </c>
      <c r="AI176" s="33" t="str">
        <f t="shared" si="37"/>
        <v>ok</v>
      </c>
      <c r="AJ176" s="5"/>
      <c r="AK176" t="str">
        <f>Tabela1[[#This Row],[Coluna1]]&amp;Tabela1[[#This Row],[PEDIDO]]</f>
        <v>P-188</v>
      </c>
      <c r="AL176"/>
      <c r="AM176"/>
      <c r="AN176"/>
      <c r="AO176" t="str">
        <f t="shared" si="30"/>
        <v>T-072976-1/1073-TC-006</v>
      </c>
      <c r="AP176" t="str">
        <f>Tabela1[[#This Row],[TAG]]&amp;Tabela1[[#This Row],[PEDIDO]]&amp;Tabela1[[#This Row],[PRODUTO]]</f>
        <v>1073-TC-006P-188RMF</v>
      </c>
      <c r="AQ176" s="22" t="str">
        <f>Tabela1[[#This Row],[PRODUTO]]&amp;Tabela1[[#This Row],[TAG]]</f>
        <v>RMF1073-TC-006</v>
      </c>
      <c r="AR176" s="24" t="str">
        <f>Tabela1[[#This Row],[PEDIDO]]&amp;Tabela1[[#This Row],[PRODUTO]]</f>
        <v>P-188RMF</v>
      </c>
      <c r="AS176" s="37">
        <f>IF(AF176="",0,IF(ISTEXT(AF176),H176*VALUE(SUBSTITUTE(AF176,"%",""))/100,H176*AF176))-Tabela1[[#This Row],[PRONTO ACABADO2]]</f>
        <v>0</v>
      </c>
      <c r="AT176" s="37">
        <f>IF(AG176="",0,IF(ISTEXT(AG176),H176*VALUE(SUBSTITUTE(AG176,"%",""))/100,H176*AG176))-Tabela1[[#This Row],[PESO EXPEDIDO2]]</f>
        <v>0</v>
      </c>
      <c r="AU176" s="37">
        <f t="shared" si="38"/>
        <v>675.7</v>
      </c>
      <c r="AV176" s="37">
        <f t="shared" si="39"/>
        <v>675.7</v>
      </c>
      <c r="AW176" s="37"/>
    </row>
    <row r="177" spans="1:49" ht="15.75" customHeight="1" x14ac:dyDescent="0.25">
      <c r="A177" s="6" t="s">
        <v>3783</v>
      </c>
      <c r="B177" s="21" t="s">
        <v>3784</v>
      </c>
      <c r="C177" s="7">
        <v>1</v>
      </c>
      <c r="D177" s="39" t="s">
        <v>3781</v>
      </c>
      <c r="E177" s="7">
        <v>4062</v>
      </c>
      <c r="F177" s="7" t="s">
        <v>3785</v>
      </c>
      <c r="G177" s="23">
        <v>675.7</v>
      </c>
      <c r="H177" s="34">
        <f>Tabela1[[#This Row],[PESO UNI]]*Tabela1[[#This Row],[QTE]]</f>
        <v>675.7</v>
      </c>
      <c r="I177" s="7">
        <v>2</v>
      </c>
      <c r="J177" s="8" t="s">
        <v>2276</v>
      </c>
      <c r="K177" s="8" t="s">
        <v>327</v>
      </c>
      <c r="L177" s="9" t="s">
        <v>2069</v>
      </c>
      <c r="M177" s="10">
        <v>46149</v>
      </c>
      <c r="N177" s="8" t="s">
        <v>327</v>
      </c>
      <c r="O177" s="12"/>
      <c r="P177" s="13"/>
      <c r="Q177" s="14">
        <f>Tabela1[[#This Row],[QTDE/ Fabricação]]-Tabela1[[#This Row],[QTE]]</f>
        <v>-1</v>
      </c>
      <c r="R177" s="18">
        <f t="shared" si="33"/>
        <v>675.7</v>
      </c>
      <c r="S177" s="18">
        <f t="shared" si="34"/>
        <v>675.7</v>
      </c>
      <c r="T177" s="19">
        <f t="shared" si="35"/>
        <v>0</v>
      </c>
      <c r="U177" s="207">
        <v>1</v>
      </c>
      <c r="V177" s="12" t="str">
        <f>IFERROR(VLOOKUP(Tabela1[[#This Row],[COD.MDE]],'LISTA DE EMBARQUE'!B:L,11,0),"")</f>
        <v/>
      </c>
      <c r="W177" s="13"/>
      <c r="X177" s="14">
        <f>IFERROR(Tabela1[[#This Row],[QIANTIDADE EXPEDIDA]]*Tabela1[[#This Row],[PESO UNI]],"")</f>
        <v>675.7</v>
      </c>
      <c r="Y177" s="14">
        <f t="shared" si="36"/>
        <v>0</v>
      </c>
      <c r="Z177" s="20">
        <f>Tabela1[[#This Row],[PESO TOTAL]]-Tabela1[[#This Row],[Peso Expedido]]</f>
        <v>0</v>
      </c>
      <c r="AA177" s="17">
        <v>1</v>
      </c>
      <c r="AB177" s="33"/>
      <c r="AC177" s="33">
        <v>1</v>
      </c>
      <c r="AD177" s="33">
        <v>1</v>
      </c>
      <c r="AE177" s="33">
        <v>1</v>
      </c>
      <c r="AF177" s="33">
        <v>1</v>
      </c>
      <c r="AG177" s="33">
        <v>1</v>
      </c>
      <c r="AH177" s="33">
        <v>1</v>
      </c>
      <c r="AI177" s="33" t="str">
        <f t="shared" si="37"/>
        <v>ok</v>
      </c>
      <c r="AJ177" s="5"/>
      <c r="AK177" t="str">
        <f>Tabela1[[#This Row],[Coluna1]]&amp;Tabela1[[#This Row],[PEDIDO]]</f>
        <v>P-188</v>
      </c>
      <c r="AL177"/>
      <c r="AM177"/>
      <c r="AN177"/>
      <c r="AO177" t="str">
        <f t="shared" si="30"/>
        <v>T-072976-1/1073-TC-007</v>
      </c>
      <c r="AP177" t="str">
        <f>Tabela1[[#This Row],[TAG]]&amp;Tabela1[[#This Row],[PEDIDO]]&amp;Tabela1[[#This Row],[PRODUTO]]</f>
        <v>1073-TC-007P-188RMF</v>
      </c>
      <c r="AQ177" s="22" t="str">
        <f>Tabela1[[#This Row],[PRODUTO]]&amp;Tabela1[[#This Row],[TAG]]</f>
        <v>RMF1073-TC-007</v>
      </c>
      <c r="AR177" s="24" t="str">
        <f>Tabela1[[#This Row],[PEDIDO]]&amp;Tabela1[[#This Row],[PRODUTO]]</f>
        <v>P-188RMF</v>
      </c>
      <c r="AS177" s="37">
        <f>IF(AF177="",0,IF(ISTEXT(AF177),H177*VALUE(SUBSTITUTE(AF177,"%",""))/100,H177*AF177))-Tabela1[[#This Row],[PRONTO ACABADO2]]</f>
        <v>0</v>
      </c>
      <c r="AT177" s="37">
        <f>IF(AG177="",0,IF(ISTEXT(AG177),H177*VALUE(SUBSTITUTE(AG177,"%",""))/100,H177*AG177))-Tabela1[[#This Row],[PESO EXPEDIDO2]]</f>
        <v>0</v>
      </c>
      <c r="AU177" s="37">
        <f t="shared" si="38"/>
        <v>675.7</v>
      </c>
      <c r="AV177" s="37">
        <f t="shared" si="39"/>
        <v>675.7</v>
      </c>
      <c r="AW177" s="37"/>
    </row>
    <row r="178" spans="1:49" ht="15.75" customHeight="1" x14ac:dyDescent="0.25">
      <c r="A178" s="6" t="s">
        <v>3786</v>
      </c>
      <c r="B178" s="21" t="s">
        <v>3787</v>
      </c>
      <c r="C178" s="7">
        <v>2</v>
      </c>
      <c r="D178" s="39" t="s">
        <v>3788</v>
      </c>
      <c r="E178" s="7">
        <v>4063</v>
      </c>
      <c r="F178" s="7" t="s">
        <v>3789</v>
      </c>
      <c r="G178" s="23">
        <v>0.52</v>
      </c>
      <c r="H178" s="34">
        <f>Tabela1[[#This Row],[PESO UNI]]*Tabela1[[#This Row],[QTE]]</f>
        <v>1.04</v>
      </c>
      <c r="I178" s="7" t="s">
        <v>2</v>
      </c>
      <c r="J178" s="8" t="s">
        <v>3790</v>
      </c>
      <c r="K178" s="8" t="s">
        <v>327</v>
      </c>
      <c r="L178" s="9" t="s">
        <v>2069</v>
      </c>
      <c r="M178" s="10">
        <v>46127</v>
      </c>
      <c r="N178" s="8" t="s">
        <v>327</v>
      </c>
      <c r="O178" s="12"/>
      <c r="P178" s="13"/>
      <c r="Q178" s="14">
        <f>Tabela1[[#This Row],[QTDE/ Fabricação]]-Tabela1[[#This Row],[QTE]]</f>
        <v>-2</v>
      </c>
      <c r="R178" s="18">
        <f t="shared" si="33"/>
        <v>0.52</v>
      </c>
      <c r="S178" s="18">
        <f t="shared" si="34"/>
        <v>0</v>
      </c>
      <c r="T178" s="19">
        <f t="shared" si="35"/>
        <v>-1.04</v>
      </c>
      <c r="U178" s="16">
        <f>IFERROR(SUMIF('LISTA DE EMBARQUE'!B:B,MICRO!E:E,'LISTA DE EMBARQUE'!G:G),"")</f>
        <v>0</v>
      </c>
      <c r="V178" s="12" t="str">
        <f>IFERROR(VLOOKUP(Tabela1[[#This Row],[COD.MDE]],'LISTA DE EMBARQUE'!B:L,11,0),"")</f>
        <v/>
      </c>
      <c r="W178" s="13" t="str">
        <f>IFERROR(VLOOKUP(Tabela1[[#This Row],[COD.MDE]],'LISTA DE EMBARQUE'!B:M,12,0),"")</f>
        <v/>
      </c>
      <c r="X178" s="14">
        <f>IFERROR(Tabela1[[#This Row],[QIANTIDADE EXPEDIDA]]*Tabela1[[#This Row],[PESO UNI]],"")</f>
        <v>0</v>
      </c>
      <c r="Y178" s="14">
        <f t="shared" si="36"/>
        <v>-2</v>
      </c>
      <c r="Z178" s="20">
        <f>Tabela1[[#This Row],[PESO TOTAL]]-Tabela1[[#This Row],[Peso Expedido]]</f>
        <v>1.04</v>
      </c>
      <c r="AA178" s="17">
        <v>1</v>
      </c>
      <c r="AB178" s="33"/>
      <c r="AC178" s="33">
        <v>1</v>
      </c>
      <c r="AD178" s="33">
        <v>0</v>
      </c>
      <c r="AE178" s="33">
        <v>0</v>
      </c>
      <c r="AF178" s="33">
        <v>0</v>
      </c>
      <c r="AG178" s="33">
        <v>0</v>
      </c>
      <c r="AH178" s="33"/>
      <c r="AI178" s="33" t="str">
        <f t="shared" si="37"/>
        <v/>
      </c>
      <c r="AJ178" s="5"/>
      <c r="AK178" t="str">
        <f>Tabela1[[#This Row],[Coluna1]]&amp;Tabela1[[#This Row],[PEDIDO]]</f>
        <v>P-188</v>
      </c>
      <c r="AL178"/>
      <c r="AM178"/>
      <c r="AN178"/>
      <c r="AO178" t="str">
        <f t="shared" si="30"/>
        <v>T-072917-1/1073-TC-006/007</v>
      </c>
      <c r="AP178" t="str">
        <f>Tabela1[[#This Row],[TAG]]&amp;Tabela1[[#This Row],[PEDIDO]]&amp;Tabela1[[#This Row],[PRODUTO]]</f>
        <v>1073-TC-006/007P-188RMF</v>
      </c>
      <c r="AQ178" s="22" t="str">
        <f>Tabela1[[#This Row],[PRODUTO]]&amp;Tabela1[[#This Row],[TAG]]</f>
        <v>RMF1073-TC-006/007</v>
      </c>
      <c r="AR178" s="24" t="str">
        <f>Tabela1[[#This Row],[PEDIDO]]&amp;Tabela1[[#This Row],[PRODUTO]]</f>
        <v>P-188RMF</v>
      </c>
      <c r="AS178" s="37">
        <f>IF(AF178="",0,IF(ISTEXT(AF178),H178*VALUE(SUBSTITUTE(AF178,"%",""))/100,H178*AF178))-Tabela1[[#This Row],[PRONTO ACABADO2]]</f>
        <v>0</v>
      </c>
      <c r="AT178" s="37">
        <f>IF(AG178="",0,IF(ISTEXT(AG178),H178*VALUE(SUBSTITUTE(AG178,"%",""))/100,H178*AG178))-Tabela1[[#This Row],[PESO EXPEDIDO2]]</f>
        <v>0</v>
      </c>
      <c r="AU178" s="37">
        <f t="shared" si="38"/>
        <v>0</v>
      </c>
      <c r="AV178" s="37">
        <f t="shared" si="39"/>
        <v>0</v>
      </c>
      <c r="AW178" s="37"/>
    </row>
    <row r="179" spans="1:49" ht="15.75" customHeight="1" x14ac:dyDescent="0.25">
      <c r="A179" s="6" t="s">
        <v>3786</v>
      </c>
      <c r="B179" s="21" t="s">
        <v>3791</v>
      </c>
      <c r="C179" s="7">
        <v>2</v>
      </c>
      <c r="D179" s="39" t="s">
        <v>3788</v>
      </c>
      <c r="E179" s="7">
        <v>4064</v>
      </c>
      <c r="F179" s="7" t="s">
        <v>3789</v>
      </c>
      <c r="G179" s="23">
        <v>0.66</v>
      </c>
      <c r="H179" s="34">
        <f>Tabela1[[#This Row],[PESO UNI]]*Tabela1[[#This Row],[QTE]]</f>
        <v>1.32</v>
      </c>
      <c r="I179" s="7" t="s">
        <v>2</v>
      </c>
      <c r="J179" s="8" t="s">
        <v>3790</v>
      </c>
      <c r="K179" s="8" t="s">
        <v>327</v>
      </c>
      <c r="L179" s="9" t="s">
        <v>2069</v>
      </c>
      <c r="M179" s="10">
        <v>46127</v>
      </c>
      <c r="N179" s="8" t="s">
        <v>327</v>
      </c>
      <c r="O179" s="12"/>
      <c r="P179" s="13"/>
      <c r="Q179" s="14">
        <f>Tabela1[[#This Row],[QTDE/ Fabricação]]-Tabela1[[#This Row],[QTE]]</f>
        <v>-2</v>
      </c>
      <c r="R179" s="18">
        <f t="shared" si="33"/>
        <v>0.66</v>
      </c>
      <c r="S179" s="18">
        <f t="shared" si="34"/>
        <v>0</v>
      </c>
      <c r="T179" s="19">
        <f t="shared" si="35"/>
        <v>-1.32</v>
      </c>
      <c r="U179" s="16">
        <f>IFERROR(SUMIF('LISTA DE EMBARQUE'!B:B,MICRO!E:E,'LISTA DE EMBARQUE'!G:G),"")</f>
        <v>0</v>
      </c>
      <c r="V179" s="12" t="str">
        <f>IFERROR(VLOOKUP(Tabela1[[#This Row],[COD.MDE]],'LISTA DE EMBARQUE'!B:L,11,0),"")</f>
        <v/>
      </c>
      <c r="W179" s="13" t="str">
        <f>IFERROR(VLOOKUP(Tabela1[[#This Row],[COD.MDE]],'LISTA DE EMBARQUE'!B:M,12,0),"")</f>
        <v/>
      </c>
      <c r="X179" s="14">
        <f>IFERROR(Tabela1[[#This Row],[QIANTIDADE EXPEDIDA]]*Tabela1[[#This Row],[PESO UNI]],"")</f>
        <v>0</v>
      </c>
      <c r="Y179" s="14">
        <f t="shared" si="36"/>
        <v>-2</v>
      </c>
      <c r="Z179" s="20">
        <f>Tabela1[[#This Row],[PESO TOTAL]]-Tabela1[[#This Row],[Peso Expedido]]</f>
        <v>1.32</v>
      </c>
      <c r="AA179" s="17">
        <v>1</v>
      </c>
      <c r="AB179" s="33"/>
      <c r="AC179" s="33">
        <v>1</v>
      </c>
      <c r="AD179" s="33">
        <v>0</v>
      </c>
      <c r="AE179" s="33">
        <v>0</v>
      </c>
      <c r="AF179" s="33">
        <v>0</v>
      </c>
      <c r="AG179" s="33">
        <v>0</v>
      </c>
      <c r="AH179" s="33"/>
      <c r="AI179" s="33" t="str">
        <f t="shared" si="37"/>
        <v/>
      </c>
      <c r="AJ179" s="5"/>
      <c r="AK179" t="str">
        <f>Tabela1[[#This Row],[Coluna1]]&amp;Tabela1[[#This Row],[PEDIDO]]</f>
        <v>P-188</v>
      </c>
      <c r="AL179"/>
      <c r="AM179"/>
      <c r="AN179"/>
      <c r="AO179" t="str">
        <f t="shared" si="30"/>
        <v>T-072917-1/1073-TC-006/007</v>
      </c>
      <c r="AP179" t="str">
        <f>Tabela1[[#This Row],[TAG]]&amp;Tabela1[[#This Row],[PEDIDO]]&amp;Tabela1[[#This Row],[PRODUTO]]</f>
        <v>1073-TC-006/007P-188RMF</v>
      </c>
      <c r="AQ179" s="22" t="str">
        <f>Tabela1[[#This Row],[PRODUTO]]&amp;Tabela1[[#This Row],[TAG]]</f>
        <v>RMF1073-TC-006/007</v>
      </c>
      <c r="AR179" s="24" t="str">
        <f>Tabela1[[#This Row],[PEDIDO]]&amp;Tabela1[[#This Row],[PRODUTO]]</f>
        <v>P-188RMF</v>
      </c>
      <c r="AS179" s="37">
        <f>IF(AF179="",0,IF(ISTEXT(AF179),H179*VALUE(SUBSTITUTE(AF179,"%",""))/100,H179*AF179))-Tabela1[[#This Row],[PRONTO ACABADO2]]</f>
        <v>0</v>
      </c>
      <c r="AT179" s="37">
        <f>IF(AG179="",0,IF(ISTEXT(AG179),H179*VALUE(SUBSTITUTE(AG179,"%",""))/100,H179*AG179))-Tabela1[[#This Row],[PESO EXPEDIDO2]]</f>
        <v>0</v>
      </c>
      <c r="AU179" s="37">
        <f t="shared" si="38"/>
        <v>0</v>
      </c>
      <c r="AV179" s="37">
        <f t="shared" si="39"/>
        <v>0</v>
      </c>
      <c r="AW179" s="37"/>
    </row>
    <row r="180" spans="1:49" ht="15.75" customHeight="1" x14ac:dyDescent="0.25">
      <c r="A180" s="6" t="s">
        <v>3786</v>
      </c>
      <c r="B180" s="21" t="s">
        <v>3792</v>
      </c>
      <c r="C180" s="7">
        <v>4</v>
      </c>
      <c r="D180" s="39" t="s">
        <v>3793</v>
      </c>
      <c r="E180" s="7">
        <v>4065</v>
      </c>
      <c r="F180" s="7" t="s">
        <v>3789</v>
      </c>
      <c r="G180" s="23">
        <v>0.51</v>
      </c>
      <c r="H180" s="34">
        <f>Tabela1[[#This Row],[PESO UNI]]*Tabela1[[#This Row],[QTE]]</f>
        <v>2.04</v>
      </c>
      <c r="I180" s="7" t="s">
        <v>2</v>
      </c>
      <c r="J180" s="8" t="s">
        <v>3790</v>
      </c>
      <c r="K180" s="8" t="s">
        <v>327</v>
      </c>
      <c r="L180" s="9" t="s">
        <v>2069</v>
      </c>
      <c r="M180" s="10">
        <v>46127</v>
      </c>
      <c r="N180" s="8" t="s">
        <v>327</v>
      </c>
      <c r="O180" s="12"/>
      <c r="P180" s="13"/>
      <c r="Q180" s="14">
        <f>Tabela1[[#This Row],[QTDE/ Fabricação]]-Tabela1[[#This Row],[QTE]]</f>
        <v>-4</v>
      </c>
      <c r="R180" s="18">
        <f t="shared" si="33"/>
        <v>1.02</v>
      </c>
      <c r="S180" s="18">
        <f t="shared" si="34"/>
        <v>0</v>
      </c>
      <c r="T180" s="19">
        <f t="shared" si="35"/>
        <v>-2.04</v>
      </c>
      <c r="U180" s="16">
        <f>IFERROR(SUMIF('LISTA DE EMBARQUE'!B:B,MICRO!E:E,'LISTA DE EMBARQUE'!G:G),"")</f>
        <v>0</v>
      </c>
      <c r="V180" s="12" t="str">
        <f>IFERROR(VLOOKUP(Tabela1[[#This Row],[COD.MDE]],'LISTA DE EMBARQUE'!B:L,11,0),"")</f>
        <v/>
      </c>
      <c r="W180" s="13" t="str">
        <f>IFERROR(VLOOKUP(Tabela1[[#This Row],[COD.MDE]],'LISTA DE EMBARQUE'!B:M,12,0),"")</f>
        <v/>
      </c>
      <c r="X180" s="14">
        <f>IFERROR(Tabela1[[#This Row],[QIANTIDADE EXPEDIDA]]*Tabela1[[#This Row],[PESO UNI]],"")</f>
        <v>0</v>
      </c>
      <c r="Y180" s="14">
        <f t="shared" si="36"/>
        <v>-4</v>
      </c>
      <c r="Z180" s="20">
        <f>Tabela1[[#This Row],[PESO TOTAL]]-Tabela1[[#This Row],[Peso Expedido]]</f>
        <v>2.04</v>
      </c>
      <c r="AA180" s="17">
        <v>1</v>
      </c>
      <c r="AB180" s="33"/>
      <c r="AC180" s="33">
        <v>1</v>
      </c>
      <c r="AD180" s="33">
        <v>0</v>
      </c>
      <c r="AE180" s="33">
        <v>0</v>
      </c>
      <c r="AF180" s="33">
        <v>0</v>
      </c>
      <c r="AG180" s="33">
        <v>0</v>
      </c>
      <c r="AH180" s="33"/>
      <c r="AI180" s="33" t="str">
        <f t="shared" si="37"/>
        <v/>
      </c>
      <c r="AJ180" s="5"/>
      <c r="AK180" t="str">
        <f>Tabela1[[#This Row],[Coluna1]]&amp;Tabela1[[#This Row],[PEDIDO]]</f>
        <v>P-188</v>
      </c>
      <c r="AL180"/>
      <c r="AM180"/>
      <c r="AN180"/>
      <c r="AO180" t="str">
        <f t="shared" si="30"/>
        <v>T-072917-1/1073-TC-006/007</v>
      </c>
      <c r="AP180" t="str">
        <f>Tabela1[[#This Row],[TAG]]&amp;Tabela1[[#This Row],[PEDIDO]]&amp;Tabela1[[#This Row],[PRODUTO]]</f>
        <v>1073-TC-006/007P-188RMF</v>
      </c>
      <c r="AQ180" s="22" t="str">
        <f>Tabela1[[#This Row],[PRODUTO]]&amp;Tabela1[[#This Row],[TAG]]</f>
        <v>RMF1073-TC-006/007</v>
      </c>
      <c r="AR180" s="24" t="str">
        <f>Tabela1[[#This Row],[PEDIDO]]&amp;Tabela1[[#This Row],[PRODUTO]]</f>
        <v>P-188RMF</v>
      </c>
      <c r="AS180" s="37">
        <f>IF(AF180="",0,IF(ISTEXT(AF180),H180*VALUE(SUBSTITUTE(AF180,"%",""))/100,H180*AF180))-Tabela1[[#This Row],[PRONTO ACABADO2]]</f>
        <v>0</v>
      </c>
      <c r="AT180" s="37">
        <f>IF(AG180="",0,IF(ISTEXT(AG180),H180*VALUE(SUBSTITUTE(AG180,"%",""))/100,H180*AG180))-Tabela1[[#This Row],[PESO EXPEDIDO2]]</f>
        <v>0</v>
      </c>
      <c r="AU180" s="37">
        <f t="shared" si="38"/>
        <v>0</v>
      </c>
      <c r="AV180" s="37">
        <f t="shared" si="39"/>
        <v>0</v>
      </c>
      <c r="AW180" s="37"/>
    </row>
    <row r="181" spans="1:49" ht="15.75" customHeight="1" x14ac:dyDescent="0.25">
      <c r="A181" s="6" t="s">
        <v>3786</v>
      </c>
      <c r="B181" s="21" t="s">
        <v>3794</v>
      </c>
      <c r="C181" s="7">
        <v>8</v>
      </c>
      <c r="D181" s="39" t="s">
        <v>3795</v>
      </c>
      <c r="E181" s="7">
        <v>4066</v>
      </c>
      <c r="F181" s="7" t="s">
        <v>3789</v>
      </c>
      <c r="G181" s="23">
        <v>0.05</v>
      </c>
      <c r="H181" s="34">
        <f>Tabela1[[#This Row],[PESO UNI]]*Tabela1[[#This Row],[QTE]]</f>
        <v>0.4</v>
      </c>
      <c r="I181" s="7" t="s">
        <v>2</v>
      </c>
      <c r="J181" s="8" t="s">
        <v>3790</v>
      </c>
      <c r="K181" s="8" t="s">
        <v>327</v>
      </c>
      <c r="L181" s="9" t="s">
        <v>2069</v>
      </c>
      <c r="M181" s="10">
        <v>46127</v>
      </c>
      <c r="N181" s="8" t="s">
        <v>327</v>
      </c>
      <c r="O181" s="12"/>
      <c r="P181" s="13"/>
      <c r="Q181" s="14">
        <f>Tabela1[[#This Row],[QTDE/ Fabricação]]-Tabela1[[#This Row],[QTE]]</f>
        <v>-8</v>
      </c>
      <c r="R181" s="18">
        <f t="shared" si="33"/>
        <v>0.2</v>
      </c>
      <c r="S181" s="18">
        <f t="shared" si="34"/>
        <v>0</v>
      </c>
      <c r="T181" s="19">
        <f t="shared" si="35"/>
        <v>-0.4</v>
      </c>
      <c r="U181" s="16">
        <f>IFERROR(SUMIF('LISTA DE EMBARQUE'!B:B,MICRO!E:E,'LISTA DE EMBARQUE'!G:G),"")</f>
        <v>0</v>
      </c>
      <c r="V181" s="12" t="str">
        <f>IFERROR(VLOOKUP(Tabela1[[#This Row],[COD.MDE]],'LISTA DE EMBARQUE'!B:L,11,0),"")</f>
        <v/>
      </c>
      <c r="W181" s="13" t="str">
        <f>IFERROR(VLOOKUP(Tabela1[[#This Row],[COD.MDE]],'LISTA DE EMBARQUE'!B:M,12,0),"")</f>
        <v/>
      </c>
      <c r="X181" s="14">
        <f>IFERROR(Tabela1[[#This Row],[QIANTIDADE EXPEDIDA]]*Tabela1[[#This Row],[PESO UNI]],"")</f>
        <v>0</v>
      </c>
      <c r="Y181" s="14">
        <f t="shared" ref="Y181:Y244" si="40">U181-C181</f>
        <v>-8</v>
      </c>
      <c r="Z181" s="20">
        <f>Tabela1[[#This Row],[PESO TOTAL]]-Tabela1[[#This Row],[Peso Expedido]]</f>
        <v>0.4</v>
      </c>
      <c r="AA181" s="17">
        <v>1</v>
      </c>
      <c r="AB181" s="33"/>
      <c r="AC181" s="33">
        <v>1</v>
      </c>
      <c r="AD181" s="33">
        <v>0</v>
      </c>
      <c r="AE181" s="33">
        <v>0</v>
      </c>
      <c r="AF181" s="33">
        <v>0</v>
      </c>
      <c r="AG181" s="33">
        <v>0</v>
      </c>
      <c r="AH181" s="33"/>
      <c r="AI181" s="33" t="str">
        <f t="shared" si="37"/>
        <v/>
      </c>
      <c r="AJ181" s="5"/>
      <c r="AK181" t="str">
        <f>Tabela1[[#This Row],[Coluna1]]&amp;Tabela1[[#This Row],[PEDIDO]]</f>
        <v>P-188</v>
      </c>
      <c r="AL181"/>
      <c r="AM181"/>
      <c r="AN181"/>
      <c r="AO181" t="str">
        <f t="shared" si="30"/>
        <v>T-072917-1/1073-TC-006/007</v>
      </c>
      <c r="AP181" t="str">
        <f>Tabela1[[#This Row],[TAG]]&amp;Tabela1[[#This Row],[PEDIDO]]&amp;Tabela1[[#This Row],[PRODUTO]]</f>
        <v>1073-TC-006/007P-188RMF</v>
      </c>
      <c r="AQ181" s="22" t="str">
        <f>Tabela1[[#This Row],[PRODUTO]]&amp;Tabela1[[#This Row],[TAG]]</f>
        <v>RMF1073-TC-006/007</v>
      </c>
      <c r="AR181" s="24" t="str">
        <f>Tabela1[[#This Row],[PEDIDO]]&amp;Tabela1[[#This Row],[PRODUTO]]</f>
        <v>P-188RMF</v>
      </c>
      <c r="AS181" s="37">
        <f>IF(AF181="",0,IF(ISTEXT(AF181),H181*VALUE(SUBSTITUTE(AF181,"%",""))/100,H181*AF181))-Tabela1[[#This Row],[PRONTO ACABADO2]]</f>
        <v>0</v>
      </c>
      <c r="AT181" s="37">
        <f>IF(AG181="",0,IF(ISTEXT(AG181),H181*VALUE(SUBSTITUTE(AG181,"%",""))/100,H181*AG181))-Tabela1[[#This Row],[PESO EXPEDIDO2]]</f>
        <v>0</v>
      </c>
      <c r="AU181" s="37">
        <f t="shared" si="38"/>
        <v>0</v>
      </c>
      <c r="AV181" s="37">
        <f t="shared" si="39"/>
        <v>0</v>
      </c>
      <c r="AW181" s="37"/>
    </row>
    <row r="182" spans="1:49" ht="15.75" customHeight="1" x14ac:dyDescent="0.25">
      <c r="A182" s="6" t="s">
        <v>3796</v>
      </c>
      <c r="B182" s="21" t="s">
        <v>3797</v>
      </c>
      <c r="C182" s="7">
        <v>8</v>
      </c>
      <c r="D182" s="39" t="s">
        <v>3798</v>
      </c>
      <c r="E182" s="7">
        <v>4067</v>
      </c>
      <c r="F182" s="7" t="s">
        <v>3789</v>
      </c>
      <c r="G182" s="23">
        <v>0.32</v>
      </c>
      <c r="H182" s="34">
        <f>Tabela1[[#This Row],[PESO UNI]]*Tabela1[[#This Row],[QTE]]</f>
        <v>2.56</v>
      </c>
      <c r="I182" s="7" t="s">
        <v>2</v>
      </c>
      <c r="J182" s="8" t="s">
        <v>3790</v>
      </c>
      <c r="K182" s="8" t="s">
        <v>327</v>
      </c>
      <c r="L182" s="9" t="s">
        <v>2069</v>
      </c>
      <c r="M182" s="10">
        <v>46127</v>
      </c>
      <c r="N182" s="8" t="s">
        <v>327</v>
      </c>
      <c r="O182" s="12"/>
      <c r="P182" s="13"/>
      <c r="Q182" s="14">
        <f>Tabela1[[#This Row],[QTDE/ Fabricação]]-Tabela1[[#This Row],[QTE]]</f>
        <v>-8</v>
      </c>
      <c r="R182" s="18">
        <f t="shared" si="33"/>
        <v>1.28</v>
      </c>
      <c r="S182" s="18">
        <f t="shared" ref="S182:S245" si="41">IFERROR(H182*AG182,"")</f>
        <v>0</v>
      </c>
      <c r="T182" s="19">
        <f t="shared" si="35"/>
        <v>-2.56</v>
      </c>
      <c r="U182" s="16">
        <f>IFERROR(SUMIF('LISTA DE EMBARQUE'!B:B,MICRO!E:E,'LISTA DE EMBARQUE'!G:G),"")</f>
        <v>0</v>
      </c>
      <c r="V182" s="12" t="str">
        <f>IFERROR(VLOOKUP(Tabela1[[#This Row],[COD.MDE]],'LISTA DE EMBARQUE'!B:L,11,0),"")</f>
        <v/>
      </c>
      <c r="W182" s="13" t="str">
        <f>IFERROR(VLOOKUP(Tabela1[[#This Row],[COD.MDE]],'LISTA DE EMBARQUE'!B:M,12,0),"")</f>
        <v/>
      </c>
      <c r="X182" s="14">
        <f>IFERROR(Tabela1[[#This Row],[QIANTIDADE EXPEDIDA]]*Tabela1[[#This Row],[PESO UNI]],"")</f>
        <v>0</v>
      </c>
      <c r="Y182" s="14">
        <f t="shared" si="40"/>
        <v>-8</v>
      </c>
      <c r="Z182" s="20">
        <f>Tabela1[[#This Row],[PESO TOTAL]]-Tabela1[[#This Row],[Peso Expedido]]</f>
        <v>2.56</v>
      </c>
      <c r="AA182" s="17">
        <v>1</v>
      </c>
      <c r="AB182" s="33"/>
      <c r="AC182" s="33">
        <v>1</v>
      </c>
      <c r="AD182" s="33">
        <v>0</v>
      </c>
      <c r="AE182" s="33">
        <v>0</v>
      </c>
      <c r="AF182" s="33">
        <v>0</v>
      </c>
      <c r="AG182" s="33">
        <v>0</v>
      </c>
      <c r="AH182" s="33"/>
      <c r="AI182" s="33" t="str">
        <f t="shared" si="37"/>
        <v/>
      </c>
      <c r="AJ182" s="5"/>
      <c r="AK182" t="str">
        <f>Tabela1[[#This Row],[Coluna1]]&amp;Tabela1[[#This Row],[PEDIDO]]</f>
        <v>P-188</v>
      </c>
      <c r="AL182"/>
      <c r="AM182"/>
      <c r="AN182"/>
      <c r="AO182" t="str">
        <f t="shared" si="30"/>
        <v>T-072918-1/1073-TC-006/007</v>
      </c>
      <c r="AP182" t="str">
        <f>Tabela1[[#This Row],[TAG]]&amp;Tabela1[[#This Row],[PEDIDO]]&amp;Tabela1[[#This Row],[PRODUTO]]</f>
        <v>1073-TC-006/007P-188RMF</v>
      </c>
      <c r="AQ182" s="22" t="str">
        <f>Tabela1[[#This Row],[PRODUTO]]&amp;Tabela1[[#This Row],[TAG]]</f>
        <v>RMF1073-TC-006/007</v>
      </c>
      <c r="AR182" s="24" t="str">
        <f>Tabela1[[#This Row],[PEDIDO]]&amp;Tabela1[[#This Row],[PRODUTO]]</f>
        <v>P-188RMF</v>
      </c>
      <c r="AS182" s="37">
        <f>IF(AF182="",0,IF(ISTEXT(AF182),H182*VALUE(SUBSTITUTE(AF182,"%",""))/100,H182*AF182))-Tabela1[[#This Row],[PRONTO ACABADO2]]</f>
        <v>0</v>
      </c>
      <c r="AT182" s="37">
        <f>IF(AG182="",0,IF(ISTEXT(AG182),H182*VALUE(SUBSTITUTE(AG182,"%",""))/100,H182*AG182))-Tabela1[[#This Row],[PESO EXPEDIDO2]]</f>
        <v>0</v>
      </c>
      <c r="AU182" s="37">
        <f t="shared" si="38"/>
        <v>0</v>
      </c>
      <c r="AV182" s="37">
        <f t="shared" si="39"/>
        <v>0</v>
      </c>
      <c r="AW182" s="37"/>
    </row>
    <row r="183" spans="1:49" ht="15.75" customHeight="1" x14ac:dyDescent="0.25">
      <c r="A183" s="6" t="s">
        <v>3799</v>
      </c>
      <c r="B183" s="21" t="s">
        <v>3800</v>
      </c>
      <c r="C183" s="7">
        <v>8</v>
      </c>
      <c r="D183" s="39" t="s">
        <v>3798</v>
      </c>
      <c r="E183" s="7">
        <v>4068</v>
      </c>
      <c r="F183" s="7" t="s">
        <v>3789</v>
      </c>
      <c r="G183" s="23">
        <v>0.39</v>
      </c>
      <c r="H183" s="34">
        <f>Tabela1[[#This Row],[PESO UNI]]*Tabela1[[#This Row],[QTE]]</f>
        <v>3.12</v>
      </c>
      <c r="I183" s="7" t="s">
        <v>2</v>
      </c>
      <c r="J183" s="8" t="s">
        <v>3790</v>
      </c>
      <c r="K183" s="8" t="s">
        <v>327</v>
      </c>
      <c r="L183" s="9" t="s">
        <v>2069</v>
      </c>
      <c r="M183" s="10">
        <v>46127</v>
      </c>
      <c r="N183" s="8" t="s">
        <v>327</v>
      </c>
      <c r="O183" s="12"/>
      <c r="P183" s="13"/>
      <c r="Q183" s="14">
        <f>Tabela1[[#This Row],[QTDE/ Fabricação]]-Tabela1[[#This Row],[QTE]]</f>
        <v>-8</v>
      </c>
      <c r="R183" s="18">
        <f t="shared" si="33"/>
        <v>1.56</v>
      </c>
      <c r="S183" s="18">
        <f t="shared" si="41"/>
        <v>0</v>
      </c>
      <c r="T183" s="19">
        <f t="shared" si="35"/>
        <v>-3.12</v>
      </c>
      <c r="U183" s="16">
        <f>IFERROR(SUMIF('LISTA DE EMBARQUE'!B:B,MICRO!E:E,'LISTA DE EMBARQUE'!G:G),"")</f>
        <v>0</v>
      </c>
      <c r="V183" s="12" t="str">
        <f>IFERROR(VLOOKUP(Tabela1[[#This Row],[COD.MDE]],'LISTA DE EMBARQUE'!B:L,11,0),"")</f>
        <v/>
      </c>
      <c r="W183" s="13" t="str">
        <f>IFERROR(VLOOKUP(Tabela1[[#This Row],[COD.MDE]],'LISTA DE EMBARQUE'!B:M,12,0),"")</f>
        <v/>
      </c>
      <c r="X183" s="14">
        <f>IFERROR(Tabela1[[#This Row],[QIANTIDADE EXPEDIDA]]*Tabela1[[#This Row],[PESO UNI]],"")</f>
        <v>0</v>
      </c>
      <c r="Y183" s="14">
        <f t="shared" si="40"/>
        <v>-8</v>
      </c>
      <c r="Z183" s="20">
        <f>Tabela1[[#This Row],[PESO TOTAL]]-Tabela1[[#This Row],[Peso Expedido]]</f>
        <v>3.12</v>
      </c>
      <c r="AA183" s="17">
        <v>1</v>
      </c>
      <c r="AB183" s="33"/>
      <c r="AC183" s="33">
        <v>1</v>
      </c>
      <c r="AD183" s="33">
        <v>0</v>
      </c>
      <c r="AE183" s="33">
        <v>0</v>
      </c>
      <c r="AF183" s="33">
        <v>0</v>
      </c>
      <c r="AG183" s="33">
        <v>0</v>
      </c>
      <c r="AH183" s="33"/>
      <c r="AI183" s="33" t="str">
        <f t="shared" si="37"/>
        <v/>
      </c>
      <c r="AJ183" s="5"/>
      <c r="AK183" t="str">
        <f>Tabela1[[#This Row],[Coluna1]]&amp;Tabela1[[#This Row],[PEDIDO]]</f>
        <v>P-188</v>
      </c>
      <c r="AL183"/>
      <c r="AM183"/>
      <c r="AN183"/>
      <c r="AO183" t="str">
        <f t="shared" si="30"/>
        <v>T-072919-1/1073-TC-006/007</v>
      </c>
      <c r="AP183" t="str">
        <f>Tabela1[[#This Row],[TAG]]&amp;Tabela1[[#This Row],[PEDIDO]]&amp;Tabela1[[#This Row],[PRODUTO]]</f>
        <v>1073-TC-006/007P-188RMF</v>
      </c>
      <c r="AQ183" s="22" t="str">
        <f>Tabela1[[#This Row],[PRODUTO]]&amp;Tabela1[[#This Row],[TAG]]</f>
        <v>RMF1073-TC-006/007</v>
      </c>
      <c r="AR183" s="24" t="str">
        <f>Tabela1[[#This Row],[PEDIDO]]&amp;Tabela1[[#This Row],[PRODUTO]]</f>
        <v>P-188RMF</v>
      </c>
      <c r="AS183" s="37">
        <f>IF(AF183="",0,IF(ISTEXT(AF183),H183*VALUE(SUBSTITUTE(AF183,"%",""))/100,H183*AF183))-Tabela1[[#This Row],[PRONTO ACABADO2]]</f>
        <v>0</v>
      </c>
      <c r="AT183" s="37">
        <f>IF(AG183="",0,IF(ISTEXT(AG183),H183*VALUE(SUBSTITUTE(AG183,"%",""))/100,H183*AG183))-Tabela1[[#This Row],[PESO EXPEDIDO2]]</f>
        <v>0</v>
      </c>
      <c r="AU183" s="37">
        <f t="shared" si="38"/>
        <v>0</v>
      </c>
      <c r="AV183" s="37">
        <f t="shared" si="39"/>
        <v>0</v>
      </c>
      <c r="AW183" s="37"/>
    </row>
    <row r="184" spans="1:49" ht="15.75" customHeight="1" x14ac:dyDescent="0.25">
      <c r="A184" s="6" t="s">
        <v>3801</v>
      </c>
      <c r="B184" s="21" t="s">
        <v>2996</v>
      </c>
      <c r="C184" s="7">
        <v>2</v>
      </c>
      <c r="D184" s="39" t="s">
        <v>3788</v>
      </c>
      <c r="E184" s="7">
        <v>4069</v>
      </c>
      <c r="F184" s="7" t="s">
        <v>3789</v>
      </c>
      <c r="G184" s="23">
        <v>0.53</v>
      </c>
      <c r="H184" s="34">
        <f>Tabela1[[#This Row],[PESO UNI]]*Tabela1[[#This Row],[QTE]]</f>
        <v>1.06</v>
      </c>
      <c r="I184" s="7" t="s">
        <v>2</v>
      </c>
      <c r="J184" s="8" t="s">
        <v>3790</v>
      </c>
      <c r="K184" s="8" t="s">
        <v>327</v>
      </c>
      <c r="L184" s="9" t="s">
        <v>2069</v>
      </c>
      <c r="M184" s="10">
        <v>46127</v>
      </c>
      <c r="N184" s="8" t="s">
        <v>327</v>
      </c>
      <c r="O184" s="12"/>
      <c r="P184" s="13"/>
      <c r="Q184" s="14">
        <f>Tabela1[[#This Row],[QTDE/ Fabricação]]-Tabela1[[#This Row],[QTE]]</f>
        <v>-2</v>
      </c>
      <c r="R184" s="18">
        <f t="shared" si="33"/>
        <v>0.53</v>
      </c>
      <c r="S184" s="18">
        <f t="shared" si="41"/>
        <v>0</v>
      </c>
      <c r="T184" s="19">
        <f t="shared" si="35"/>
        <v>-1.06</v>
      </c>
      <c r="U184" s="16">
        <f>IFERROR(SUMIF('LISTA DE EMBARQUE'!B:B,MICRO!E:E,'LISTA DE EMBARQUE'!G:G),"")</f>
        <v>0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>IFERROR(Tabela1[[#This Row],[QIANTIDADE EXPEDIDA]]*Tabela1[[#This Row],[PESO UNI]],"")</f>
        <v>0</v>
      </c>
      <c r="Y184" s="14">
        <f t="shared" si="40"/>
        <v>-2</v>
      </c>
      <c r="Z184" s="20">
        <f>Tabela1[[#This Row],[PESO TOTAL]]-Tabela1[[#This Row],[Peso Expedido]]</f>
        <v>1.06</v>
      </c>
      <c r="AA184" s="17">
        <v>1</v>
      </c>
      <c r="AB184" s="33"/>
      <c r="AC184" s="33">
        <v>1</v>
      </c>
      <c r="AD184" s="33">
        <v>0</v>
      </c>
      <c r="AE184" s="33">
        <v>0</v>
      </c>
      <c r="AF184" s="33">
        <v>0</v>
      </c>
      <c r="AG184" s="33">
        <v>0</v>
      </c>
      <c r="AH184" s="33"/>
      <c r="AI184" s="33" t="str">
        <f t="shared" si="37"/>
        <v/>
      </c>
      <c r="AJ184" s="5"/>
      <c r="AK184" t="str">
        <f>Tabela1[[#This Row],[Coluna1]]&amp;Tabela1[[#This Row],[PEDIDO]]</f>
        <v>P-188</v>
      </c>
      <c r="AL184"/>
      <c r="AM184"/>
      <c r="AN184"/>
      <c r="AO184" t="str">
        <f t="shared" si="30"/>
        <v xml:space="preserve"> T-072923-1/1073-TC-006/007</v>
      </c>
      <c r="AP184" t="str">
        <f>Tabela1[[#This Row],[TAG]]&amp;Tabela1[[#This Row],[PEDIDO]]&amp;Tabela1[[#This Row],[PRODUTO]]</f>
        <v>1073-TC-006/007P-188RMF</v>
      </c>
      <c r="AQ184" s="22" t="str">
        <f>Tabela1[[#This Row],[PRODUTO]]&amp;Tabela1[[#This Row],[TAG]]</f>
        <v>RMF1073-TC-006/007</v>
      </c>
      <c r="AR184" s="24" t="str">
        <f>Tabela1[[#This Row],[PEDIDO]]&amp;Tabela1[[#This Row],[PRODUTO]]</f>
        <v>P-188RMF</v>
      </c>
      <c r="AS184" s="37">
        <f>IF(AF184="",0,IF(ISTEXT(AF184),H184*VALUE(SUBSTITUTE(AF184,"%",""))/100,H184*AF184))-Tabela1[[#This Row],[PRONTO ACABADO2]]</f>
        <v>0</v>
      </c>
      <c r="AT184" s="37">
        <f>IF(AG184="",0,IF(ISTEXT(AG184),H184*VALUE(SUBSTITUTE(AG184,"%",""))/100,H184*AG184))-Tabela1[[#This Row],[PESO EXPEDIDO2]]</f>
        <v>0</v>
      </c>
      <c r="AU184" s="37">
        <f t="shared" si="38"/>
        <v>0</v>
      </c>
      <c r="AV184" s="37">
        <f t="shared" si="39"/>
        <v>0</v>
      </c>
      <c r="AW184" s="37"/>
    </row>
    <row r="185" spans="1:49" ht="15.75" customHeight="1" x14ac:dyDescent="0.25">
      <c r="A185" s="6" t="s">
        <v>3801</v>
      </c>
      <c r="B185" s="21" t="s">
        <v>2997</v>
      </c>
      <c r="C185" s="7">
        <v>2</v>
      </c>
      <c r="D185" s="39" t="s">
        <v>3788</v>
      </c>
      <c r="E185" s="7">
        <v>4070</v>
      </c>
      <c r="F185" s="7" t="s">
        <v>3789</v>
      </c>
      <c r="G185" s="23">
        <v>0.74</v>
      </c>
      <c r="H185" s="34">
        <f>Tabela1[[#This Row],[PESO UNI]]*Tabela1[[#This Row],[QTE]]</f>
        <v>1.48</v>
      </c>
      <c r="I185" s="7" t="s">
        <v>2</v>
      </c>
      <c r="J185" s="8" t="s">
        <v>3790</v>
      </c>
      <c r="K185" s="8" t="s">
        <v>327</v>
      </c>
      <c r="L185" s="9" t="s">
        <v>2069</v>
      </c>
      <c r="M185" s="10">
        <v>46127</v>
      </c>
      <c r="N185" s="8" t="s">
        <v>327</v>
      </c>
      <c r="O185" s="12"/>
      <c r="P185" s="13"/>
      <c r="Q185" s="14">
        <f>Tabela1[[#This Row],[QTDE/ Fabricação]]-Tabela1[[#This Row],[QTE]]</f>
        <v>-2</v>
      </c>
      <c r="R185" s="18">
        <f t="shared" si="33"/>
        <v>0.74</v>
      </c>
      <c r="S185" s="18">
        <f t="shared" si="41"/>
        <v>0</v>
      </c>
      <c r="T185" s="19">
        <f t="shared" si="35"/>
        <v>-1.48</v>
      </c>
      <c r="U185" s="16">
        <f>IFERROR(SUMIF('LISTA DE EMBARQUE'!B:B,MICRO!E:E,'LISTA DE EMBARQUE'!G:G),"")</f>
        <v>0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>IFERROR(Tabela1[[#This Row],[QIANTIDADE EXPEDIDA]]*Tabela1[[#This Row],[PESO UNI]],"")</f>
        <v>0</v>
      </c>
      <c r="Y185" s="14">
        <f t="shared" si="40"/>
        <v>-2</v>
      </c>
      <c r="Z185" s="20">
        <f>Tabela1[[#This Row],[PESO TOTAL]]-Tabela1[[#This Row],[Peso Expedido]]</f>
        <v>1.48</v>
      </c>
      <c r="AA185" s="17">
        <v>1</v>
      </c>
      <c r="AB185" s="33"/>
      <c r="AC185" s="33">
        <v>1</v>
      </c>
      <c r="AD185" s="33">
        <v>0</v>
      </c>
      <c r="AE185" s="33">
        <v>0</v>
      </c>
      <c r="AF185" s="33">
        <v>0</v>
      </c>
      <c r="AG185" s="33">
        <v>0</v>
      </c>
      <c r="AH185" s="33"/>
      <c r="AI185" s="33" t="str">
        <f t="shared" si="37"/>
        <v/>
      </c>
      <c r="AJ185" s="5"/>
      <c r="AK185" t="str">
        <f>Tabela1[[#This Row],[Coluna1]]&amp;Tabela1[[#This Row],[PEDIDO]]</f>
        <v>P-188</v>
      </c>
      <c r="AL185"/>
      <c r="AM185"/>
      <c r="AN185"/>
      <c r="AO185" t="str">
        <f t="shared" si="30"/>
        <v xml:space="preserve"> T-072923-1/1073-TC-006/007</v>
      </c>
      <c r="AP185" t="str">
        <f>Tabela1[[#This Row],[TAG]]&amp;Tabela1[[#This Row],[PEDIDO]]&amp;Tabela1[[#This Row],[PRODUTO]]</f>
        <v>1073-TC-006/007P-188RMF</v>
      </c>
      <c r="AQ185" s="22" t="str">
        <f>Tabela1[[#This Row],[PRODUTO]]&amp;Tabela1[[#This Row],[TAG]]</f>
        <v>RMF1073-TC-006/007</v>
      </c>
      <c r="AR185" s="24" t="str">
        <f>Tabela1[[#This Row],[PEDIDO]]&amp;Tabela1[[#This Row],[PRODUTO]]</f>
        <v>P-188RMF</v>
      </c>
      <c r="AS185" s="37">
        <f>IF(AF185="",0,IF(ISTEXT(AF185),H185*VALUE(SUBSTITUTE(AF185,"%",""))/100,H185*AF185))-Tabela1[[#This Row],[PRONTO ACABADO2]]</f>
        <v>0</v>
      </c>
      <c r="AT185" s="37">
        <f>IF(AG185="",0,IF(ISTEXT(AG185),H185*VALUE(SUBSTITUTE(AG185,"%",""))/100,H185*AG185))-Tabela1[[#This Row],[PESO EXPEDIDO2]]</f>
        <v>0</v>
      </c>
      <c r="AU185" s="37">
        <f t="shared" si="38"/>
        <v>0</v>
      </c>
      <c r="AV185" s="37">
        <f t="shared" si="39"/>
        <v>0</v>
      </c>
      <c r="AW185" s="37"/>
    </row>
    <row r="186" spans="1:49" ht="15.75" customHeight="1" x14ac:dyDescent="0.25">
      <c r="A186" s="6" t="s">
        <v>3801</v>
      </c>
      <c r="B186" s="21" t="s">
        <v>3800</v>
      </c>
      <c r="C186" s="7">
        <v>2</v>
      </c>
      <c r="D186" s="39" t="s">
        <v>3793</v>
      </c>
      <c r="E186" s="7">
        <v>4071</v>
      </c>
      <c r="F186" s="7" t="s">
        <v>3789</v>
      </c>
      <c r="G186" s="23">
        <v>0.51</v>
      </c>
      <c r="H186" s="34">
        <f>Tabela1[[#This Row],[PESO UNI]]*Tabela1[[#This Row],[QTE]]</f>
        <v>1.02</v>
      </c>
      <c r="I186" s="7" t="s">
        <v>2</v>
      </c>
      <c r="J186" s="8" t="s">
        <v>3790</v>
      </c>
      <c r="K186" s="8" t="s">
        <v>327</v>
      </c>
      <c r="L186" s="9" t="s">
        <v>2069</v>
      </c>
      <c r="M186" s="10">
        <v>46127</v>
      </c>
      <c r="N186" s="8" t="s">
        <v>327</v>
      </c>
      <c r="O186" s="12"/>
      <c r="P186" s="13"/>
      <c r="Q186" s="14">
        <f>Tabela1[[#This Row],[QTDE/ Fabricação]]-Tabela1[[#This Row],[QTE]]</f>
        <v>-2</v>
      </c>
      <c r="R186" s="18">
        <f t="shared" si="33"/>
        <v>0.51</v>
      </c>
      <c r="S186" s="18">
        <f t="shared" si="41"/>
        <v>0</v>
      </c>
      <c r="T186" s="19">
        <f t="shared" si="35"/>
        <v>-1.02</v>
      </c>
      <c r="U186" s="16">
        <f>IFERROR(SUMIF('LISTA DE EMBARQUE'!B:B,MICRO!E:E,'LISTA DE EMBARQUE'!G:G),"")</f>
        <v>0</v>
      </c>
      <c r="V186" s="12" t="str">
        <f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>IFERROR(Tabela1[[#This Row],[QIANTIDADE EXPEDIDA]]*Tabela1[[#This Row],[PESO UNI]],"")</f>
        <v>0</v>
      </c>
      <c r="Y186" s="14">
        <f t="shared" si="40"/>
        <v>-2</v>
      </c>
      <c r="Z186" s="20">
        <f>Tabela1[[#This Row],[PESO TOTAL]]-Tabela1[[#This Row],[Peso Expedido]]</f>
        <v>1.02</v>
      </c>
      <c r="AA186" s="17">
        <v>1</v>
      </c>
      <c r="AB186" s="33"/>
      <c r="AC186" s="33">
        <v>1</v>
      </c>
      <c r="AD186" s="33">
        <v>0</v>
      </c>
      <c r="AE186" s="33">
        <v>0</v>
      </c>
      <c r="AF186" s="33">
        <v>0</v>
      </c>
      <c r="AG186" s="33">
        <v>0</v>
      </c>
      <c r="AH186" s="33"/>
      <c r="AI186" s="33" t="str">
        <f t="shared" si="37"/>
        <v/>
      </c>
      <c r="AJ186" s="5"/>
      <c r="AK186" t="str">
        <f>Tabela1[[#This Row],[Coluna1]]&amp;Tabela1[[#This Row],[PEDIDO]]</f>
        <v>P-188</v>
      </c>
      <c r="AL186"/>
      <c r="AM186"/>
      <c r="AN186"/>
      <c r="AO186" t="str">
        <f t="shared" si="30"/>
        <v xml:space="preserve"> T-072923-1/1073-TC-006/007</v>
      </c>
      <c r="AP186" t="str">
        <f>Tabela1[[#This Row],[TAG]]&amp;Tabela1[[#This Row],[PEDIDO]]&amp;Tabela1[[#This Row],[PRODUTO]]</f>
        <v>1073-TC-006/007P-188RMF</v>
      </c>
      <c r="AQ186" s="22" t="str">
        <f>Tabela1[[#This Row],[PRODUTO]]&amp;Tabela1[[#This Row],[TAG]]</f>
        <v>RMF1073-TC-006/007</v>
      </c>
      <c r="AR186" s="24" t="str">
        <f>Tabela1[[#This Row],[PEDIDO]]&amp;Tabela1[[#This Row],[PRODUTO]]</f>
        <v>P-188RMF</v>
      </c>
      <c r="AS186" s="37">
        <f>IF(AF186="",0,IF(ISTEXT(AF186),H186*VALUE(SUBSTITUTE(AF186,"%",""))/100,H186*AF186))-Tabela1[[#This Row],[PRONTO ACABADO2]]</f>
        <v>0</v>
      </c>
      <c r="AT186" s="37">
        <f>IF(AG186="",0,IF(ISTEXT(AG186),H186*VALUE(SUBSTITUTE(AG186,"%",""))/100,H186*AG186))-Tabela1[[#This Row],[PESO EXPEDIDO2]]</f>
        <v>0</v>
      </c>
      <c r="AU186" s="37">
        <f t="shared" si="38"/>
        <v>0</v>
      </c>
      <c r="AV186" s="37">
        <f t="shared" si="39"/>
        <v>0</v>
      </c>
      <c r="AW186" s="37"/>
    </row>
    <row r="187" spans="1:49" ht="15.75" customHeight="1" x14ac:dyDescent="0.25">
      <c r="A187" s="6" t="s">
        <v>3801</v>
      </c>
      <c r="B187" s="21" t="s">
        <v>3797</v>
      </c>
      <c r="C187" s="7">
        <v>6</v>
      </c>
      <c r="D187" s="39" t="s">
        <v>3795</v>
      </c>
      <c r="E187" s="7">
        <v>4072</v>
      </c>
      <c r="F187" s="7" t="s">
        <v>3789</v>
      </c>
      <c r="G187" s="23">
        <v>0.05</v>
      </c>
      <c r="H187" s="34">
        <f>Tabela1[[#This Row],[PESO UNI]]*Tabela1[[#This Row],[QTE]]</f>
        <v>0.30000000000000004</v>
      </c>
      <c r="I187" s="7" t="s">
        <v>2</v>
      </c>
      <c r="J187" s="8" t="s">
        <v>3790</v>
      </c>
      <c r="K187" s="8" t="s">
        <v>327</v>
      </c>
      <c r="L187" s="9" t="s">
        <v>2069</v>
      </c>
      <c r="M187" s="10">
        <v>46127</v>
      </c>
      <c r="N187" s="8" t="s">
        <v>327</v>
      </c>
      <c r="O187" s="12"/>
      <c r="P187" s="13"/>
      <c r="Q187" s="14">
        <f>Tabela1[[#This Row],[QTDE/ Fabricação]]-Tabela1[[#This Row],[QTE]]</f>
        <v>-6</v>
      </c>
      <c r="R187" s="18">
        <f t="shared" si="33"/>
        <v>0.15000000000000002</v>
      </c>
      <c r="S187" s="18">
        <f t="shared" si="41"/>
        <v>0</v>
      </c>
      <c r="T187" s="19">
        <f t="shared" si="35"/>
        <v>-0.30000000000000004</v>
      </c>
      <c r="U187" s="16">
        <f>IFERROR(SUMIF('LISTA DE EMBARQUE'!B:B,MICRO!E:E,'LISTA DE EMBARQUE'!G:G),"")</f>
        <v>0</v>
      </c>
      <c r="V187" s="12" t="str">
        <f>IFERROR(VLOOKUP(Tabela1[[#This Row],[COD.MDE]],'LISTA DE EMBARQUE'!B:L,11,0),"")</f>
        <v/>
      </c>
      <c r="W187" s="13" t="str">
        <f>IFERROR(VLOOKUP(Tabela1[[#This Row],[COD.MDE]],'LISTA DE EMBARQUE'!B:M,12,0),"")</f>
        <v/>
      </c>
      <c r="X187" s="14">
        <f>IFERROR(Tabela1[[#This Row],[QIANTIDADE EXPEDIDA]]*Tabela1[[#This Row],[PESO UNI]],"")</f>
        <v>0</v>
      </c>
      <c r="Y187" s="14">
        <f t="shared" si="40"/>
        <v>-6</v>
      </c>
      <c r="Z187" s="20">
        <f>Tabela1[[#This Row],[PESO TOTAL]]-Tabela1[[#This Row],[Peso Expedido]]</f>
        <v>0.30000000000000004</v>
      </c>
      <c r="AA187" s="17">
        <v>1</v>
      </c>
      <c r="AB187" s="33"/>
      <c r="AC187" s="33">
        <v>1</v>
      </c>
      <c r="AD187" s="33">
        <v>0</v>
      </c>
      <c r="AE187" s="33">
        <v>0</v>
      </c>
      <c r="AF187" s="33">
        <v>0</v>
      </c>
      <c r="AG187" s="33">
        <v>0</v>
      </c>
      <c r="AH187" s="33"/>
      <c r="AI187" s="33" t="str">
        <f t="shared" si="37"/>
        <v/>
      </c>
      <c r="AJ187" s="5"/>
      <c r="AK187" t="str">
        <f>Tabela1[[#This Row],[Coluna1]]&amp;Tabela1[[#This Row],[PEDIDO]]</f>
        <v>P-188</v>
      </c>
      <c r="AL187"/>
      <c r="AM187"/>
      <c r="AN187"/>
      <c r="AO187" t="str">
        <f t="shared" si="30"/>
        <v xml:space="preserve"> T-072923-1/1073-TC-006/007</v>
      </c>
      <c r="AP187" t="str">
        <f>Tabela1[[#This Row],[TAG]]&amp;Tabela1[[#This Row],[PEDIDO]]&amp;Tabela1[[#This Row],[PRODUTO]]</f>
        <v>1073-TC-006/007P-188RMF</v>
      </c>
      <c r="AQ187" s="22" t="str">
        <f>Tabela1[[#This Row],[PRODUTO]]&amp;Tabela1[[#This Row],[TAG]]</f>
        <v>RMF1073-TC-006/007</v>
      </c>
      <c r="AR187" s="24" t="str">
        <f>Tabela1[[#This Row],[PEDIDO]]&amp;Tabela1[[#This Row],[PRODUTO]]</f>
        <v>P-188RMF</v>
      </c>
      <c r="AS187" s="37">
        <f>IF(AF187="",0,IF(ISTEXT(AF187),H187*VALUE(SUBSTITUTE(AF187,"%",""))/100,H187*AF187))-Tabela1[[#This Row],[PRONTO ACABADO2]]</f>
        <v>0</v>
      </c>
      <c r="AT187" s="37">
        <f>IF(AG187="",0,IF(ISTEXT(AG187),H187*VALUE(SUBSTITUTE(AG187,"%",""))/100,H187*AG187))-Tabela1[[#This Row],[PESO EXPEDIDO2]]</f>
        <v>0</v>
      </c>
      <c r="AU187" s="37">
        <f t="shared" si="38"/>
        <v>0</v>
      </c>
      <c r="AV187" s="37">
        <f t="shared" si="39"/>
        <v>0</v>
      </c>
      <c r="AW187" s="37"/>
    </row>
    <row r="188" spans="1:49" ht="15.75" customHeight="1" x14ac:dyDescent="0.25">
      <c r="A188" s="6" t="s">
        <v>3802</v>
      </c>
      <c r="B188" s="21" t="s">
        <v>3803</v>
      </c>
      <c r="C188" s="7">
        <v>2</v>
      </c>
      <c r="D188" s="39" t="s">
        <v>3804</v>
      </c>
      <c r="E188" s="7">
        <v>4073</v>
      </c>
      <c r="F188" s="7" t="s">
        <v>3789</v>
      </c>
      <c r="G188" s="23">
        <v>161.66999999999999</v>
      </c>
      <c r="H188" s="34">
        <f>Tabela1[[#This Row],[PESO UNI]]*Tabela1[[#This Row],[QTE]]</f>
        <v>323.33999999999997</v>
      </c>
      <c r="I188" s="7">
        <v>1</v>
      </c>
      <c r="J188" s="8" t="s">
        <v>3790</v>
      </c>
      <c r="K188" s="8" t="s">
        <v>327</v>
      </c>
      <c r="L188" s="9" t="s">
        <v>2069</v>
      </c>
      <c r="M188" s="10">
        <v>46127</v>
      </c>
      <c r="N188" s="8" t="s">
        <v>327</v>
      </c>
      <c r="O188" s="12"/>
      <c r="P188" s="13"/>
      <c r="Q188" s="14">
        <f>Tabela1[[#This Row],[QTDE/ Fabricação]]-Tabela1[[#This Row],[QTE]]</f>
        <v>-2</v>
      </c>
      <c r="R188" s="18">
        <f t="shared" si="33"/>
        <v>323.33999999999997</v>
      </c>
      <c r="S188" s="18">
        <f t="shared" si="41"/>
        <v>323.33999999999997</v>
      </c>
      <c r="T188" s="19">
        <f t="shared" si="35"/>
        <v>0</v>
      </c>
      <c r="U188" s="207">
        <v>2</v>
      </c>
      <c r="V188" s="12" t="str">
        <f>IFERROR(VLOOKUP(Tabela1[[#This Row],[COD.MDE]],'LISTA DE EMBARQUE'!B:L,11,0),"")</f>
        <v/>
      </c>
      <c r="W188" s="13"/>
      <c r="X188" s="14">
        <f>IFERROR(Tabela1[[#This Row],[QIANTIDADE EXPEDIDA]]*Tabela1[[#This Row],[PESO UNI]],"")</f>
        <v>323.33999999999997</v>
      </c>
      <c r="Y188" s="14">
        <f t="shared" si="40"/>
        <v>0</v>
      </c>
      <c r="Z188" s="20">
        <f>Tabela1[[#This Row],[PESO TOTAL]]-Tabela1[[#This Row],[Peso Expedido]]</f>
        <v>0</v>
      </c>
      <c r="AA188" s="17">
        <v>1</v>
      </c>
      <c r="AB188" s="33"/>
      <c r="AC188" s="33">
        <v>1</v>
      </c>
      <c r="AD188" s="33">
        <v>1</v>
      </c>
      <c r="AE188" s="33">
        <v>1</v>
      </c>
      <c r="AF188" s="33">
        <v>1</v>
      </c>
      <c r="AG188" s="33">
        <v>1</v>
      </c>
      <c r="AH188" s="33">
        <v>1</v>
      </c>
      <c r="AI188" s="33" t="str">
        <f t="shared" si="37"/>
        <v>ok</v>
      </c>
      <c r="AJ188" s="5"/>
      <c r="AK188" t="str">
        <f>Tabela1[[#This Row],[Coluna1]]&amp;Tabela1[[#This Row],[PEDIDO]]</f>
        <v>P-188</v>
      </c>
      <c r="AL188"/>
      <c r="AM188"/>
      <c r="AN188"/>
      <c r="AO188" t="str">
        <f t="shared" si="30"/>
        <v>T-072954-1/1073-TC-006/007</v>
      </c>
      <c r="AP188" t="str">
        <f>Tabela1[[#This Row],[TAG]]&amp;Tabela1[[#This Row],[PEDIDO]]&amp;Tabela1[[#This Row],[PRODUTO]]</f>
        <v>1073-TC-006/007P-188RMF</v>
      </c>
      <c r="AQ188" s="22" t="str">
        <f>Tabela1[[#This Row],[PRODUTO]]&amp;Tabela1[[#This Row],[TAG]]</f>
        <v>RMF1073-TC-006/007</v>
      </c>
      <c r="AR188" s="24" t="str">
        <f>Tabela1[[#This Row],[PEDIDO]]&amp;Tabela1[[#This Row],[PRODUTO]]</f>
        <v>P-188RMF</v>
      </c>
      <c r="AS188" s="37">
        <f>IF(AF188="",0,IF(ISTEXT(AF188),H188*VALUE(SUBSTITUTE(AF188,"%",""))/100,H188*AF188))-Tabela1[[#This Row],[PRONTO ACABADO2]]</f>
        <v>0</v>
      </c>
      <c r="AT188" s="37">
        <f>IF(AG188="",0,IF(ISTEXT(AG188),H188*VALUE(SUBSTITUTE(AG188,"%",""))/100,H188*AG188))-Tabela1[[#This Row],[PESO EXPEDIDO2]]</f>
        <v>0</v>
      </c>
      <c r="AU188" s="37">
        <f t="shared" si="38"/>
        <v>323.33999999999997</v>
      </c>
      <c r="AV188" s="37">
        <f t="shared" si="39"/>
        <v>323.33999999999997</v>
      </c>
      <c r="AW188" s="37"/>
    </row>
    <row r="189" spans="1:49" ht="15.75" customHeight="1" x14ac:dyDescent="0.25">
      <c r="A189" s="6" t="s">
        <v>3802</v>
      </c>
      <c r="B189" s="21" t="s">
        <v>3805</v>
      </c>
      <c r="C189" s="7">
        <v>2</v>
      </c>
      <c r="D189" s="39" t="s">
        <v>3806</v>
      </c>
      <c r="E189" s="7">
        <v>4074</v>
      </c>
      <c r="F189" s="7" t="s">
        <v>3789</v>
      </c>
      <c r="G189" s="23">
        <v>161.66999999999999</v>
      </c>
      <c r="H189" s="34">
        <f>Tabela1[[#This Row],[PESO UNI]]*Tabela1[[#This Row],[QTE]]</f>
        <v>323.33999999999997</v>
      </c>
      <c r="I189" s="7">
        <v>1</v>
      </c>
      <c r="J189" s="8" t="s">
        <v>3790</v>
      </c>
      <c r="K189" s="8" t="s">
        <v>327</v>
      </c>
      <c r="L189" s="9" t="s">
        <v>2069</v>
      </c>
      <c r="M189" s="10">
        <v>46127</v>
      </c>
      <c r="N189" s="8" t="s">
        <v>327</v>
      </c>
      <c r="O189" s="12"/>
      <c r="P189" s="13"/>
      <c r="Q189" s="14">
        <f>Tabela1[[#This Row],[QTDE/ Fabricação]]-Tabela1[[#This Row],[QTE]]</f>
        <v>-2</v>
      </c>
      <c r="R189" s="18">
        <f t="shared" si="33"/>
        <v>323.33999999999997</v>
      </c>
      <c r="S189" s="18">
        <f t="shared" si="41"/>
        <v>323.33999999999997</v>
      </c>
      <c r="T189" s="19">
        <f t="shared" si="35"/>
        <v>0</v>
      </c>
      <c r="U189" s="207">
        <v>2</v>
      </c>
      <c r="V189" s="12" t="str">
        <f>IFERROR(VLOOKUP(Tabela1[[#This Row],[COD.MDE]],'LISTA DE EMBARQUE'!B:L,11,0),"")</f>
        <v/>
      </c>
      <c r="W189" s="13"/>
      <c r="X189" s="14">
        <f>IFERROR(Tabela1[[#This Row],[QIANTIDADE EXPEDIDA]]*Tabela1[[#This Row],[PESO UNI]],"")</f>
        <v>323.33999999999997</v>
      </c>
      <c r="Y189" s="14">
        <f t="shared" si="40"/>
        <v>0</v>
      </c>
      <c r="Z189" s="20">
        <f>Tabela1[[#This Row],[PESO TOTAL]]-Tabela1[[#This Row],[Peso Expedido]]</f>
        <v>0</v>
      </c>
      <c r="AA189" s="17">
        <v>1</v>
      </c>
      <c r="AB189" s="33"/>
      <c r="AC189" s="33">
        <v>1</v>
      </c>
      <c r="AD189" s="33">
        <v>1</v>
      </c>
      <c r="AE189" s="33">
        <v>1</v>
      </c>
      <c r="AF189" s="33">
        <v>1</v>
      </c>
      <c r="AG189" s="33">
        <v>1</v>
      </c>
      <c r="AH189" s="33">
        <v>1</v>
      </c>
      <c r="AI189" s="33" t="str">
        <f t="shared" si="37"/>
        <v>ok</v>
      </c>
      <c r="AJ189" s="5"/>
      <c r="AK189" t="str">
        <f>Tabela1[[#This Row],[Coluna1]]&amp;Tabela1[[#This Row],[PEDIDO]]</f>
        <v>P-188</v>
      </c>
      <c r="AL189"/>
      <c r="AM189"/>
      <c r="AN189"/>
      <c r="AO189" t="str">
        <f t="shared" si="30"/>
        <v>T-072954-1/1073-TC-006/007</v>
      </c>
      <c r="AP189" t="str">
        <f>Tabela1[[#This Row],[TAG]]&amp;Tabela1[[#This Row],[PEDIDO]]&amp;Tabela1[[#This Row],[PRODUTO]]</f>
        <v>1073-TC-006/007P-188RMF</v>
      </c>
      <c r="AQ189" s="22" t="str">
        <f>Tabela1[[#This Row],[PRODUTO]]&amp;Tabela1[[#This Row],[TAG]]</f>
        <v>RMF1073-TC-006/007</v>
      </c>
      <c r="AR189" s="24" t="str">
        <f>Tabela1[[#This Row],[PEDIDO]]&amp;Tabela1[[#This Row],[PRODUTO]]</f>
        <v>P-188RMF</v>
      </c>
      <c r="AS189" s="37">
        <f>IF(AF189="",0,IF(ISTEXT(AF189),H189*VALUE(SUBSTITUTE(AF189,"%",""))/100,H189*AF189))-Tabela1[[#This Row],[PRONTO ACABADO2]]</f>
        <v>0</v>
      </c>
      <c r="AT189" s="37">
        <f>IF(AG189="",0,IF(ISTEXT(AG189),H189*VALUE(SUBSTITUTE(AG189,"%",""))/100,H189*AG189))-Tabela1[[#This Row],[PESO EXPEDIDO2]]</f>
        <v>0</v>
      </c>
      <c r="AU189" s="37">
        <f t="shared" si="38"/>
        <v>323.33999999999997</v>
      </c>
      <c r="AV189" s="37">
        <f t="shared" si="39"/>
        <v>323.33999999999997</v>
      </c>
      <c r="AW189" s="37"/>
    </row>
    <row r="190" spans="1:49" ht="15.75" customHeight="1" x14ac:dyDescent="0.25">
      <c r="A190" s="6" t="s">
        <v>3802</v>
      </c>
      <c r="B190" s="21" t="s">
        <v>3807</v>
      </c>
      <c r="C190" s="7">
        <v>8</v>
      </c>
      <c r="D190" s="39" t="s">
        <v>3808</v>
      </c>
      <c r="E190" s="7">
        <v>4075</v>
      </c>
      <c r="F190" s="7" t="s">
        <v>3789</v>
      </c>
      <c r="G190" s="23">
        <v>23.68</v>
      </c>
      <c r="H190" s="34">
        <f>Tabela1[[#This Row],[PESO UNI]]*Tabela1[[#This Row],[QTE]]</f>
        <v>189.44</v>
      </c>
      <c r="I190" s="7">
        <v>1</v>
      </c>
      <c r="J190" s="8" t="s">
        <v>3790</v>
      </c>
      <c r="K190" s="8" t="s">
        <v>327</v>
      </c>
      <c r="L190" s="9" t="s">
        <v>2069</v>
      </c>
      <c r="M190" s="10">
        <v>46127</v>
      </c>
      <c r="N190" s="8" t="s">
        <v>327</v>
      </c>
      <c r="O190" s="12"/>
      <c r="P190" s="13"/>
      <c r="Q190" s="14">
        <f>Tabela1[[#This Row],[QTDE/ Fabricação]]-Tabela1[[#This Row],[QTE]]</f>
        <v>-8</v>
      </c>
      <c r="R190" s="18">
        <f t="shared" si="33"/>
        <v>189.44</v>
      </c>
      <c r="S190" s="18">
        <f t="shared" si="41"/>
        <v>189.44</v>
      </c>
      <c r="T190" s="19">
        <f t="shared" si="35"/>
        <v>0</v>
      </c>
      <c r="U190" s="207">
        <v>8</v>
      </c>
      <c r="V190" s="12" t="str">
        <f>IFERROR(VLOOKUP(Tabela1[[#This Row],[COD.MDE]],'LISTA DE EMBARQUE'!B:L,11,0),"")</f>
        <v/>
      </c>
      <c r="W190" s="13"/>
      <c r="X190" s="14">
        <f>IFERROR(Tabela1[[#This Row],[QIANTIDADE EXPEDIDA]]*Tabela1[[#This Row],[PESO UNI]],"")</f>
        <v>189.44</v>
      </c>
      <c r="Y190" s="14">
        <f t="shared" si="40"/>
        <v>0</v>
      </c>
      <c r="Z190" s="20">
        <f>Tabela1[[#This Row],[PESO TOTAL]]-Tabela1[[#This Row],[Peso Expedido]]</f>
        <v>0</v>
      </c>
      <c r="AA190" s="17">
        <v>1</v>
      </c>
      <c r="AB190" s="33"/>
      <c r="AC190" s="33">
        <v>1</v>
      </c>
      <c r="AD190" s="33">
        <v>1</v>
      </c>
      <c r="AE190" s="33">
        <v>1</v>
      </c>
      <c r="AF190" s="33">
        <v>1</v>
      </c>
      <c r="AG190" s="33">
        <v>1</v>
      </c>
      <c r="AH190" s="33">
        <v>1</v>
      </c>
      <c r="AI190" s="33" t="str">
        <f t="shared" si="37"/>
        <v>ok</v>
      </c>
      <c r="AJ190" s="5"/>
      <c r="AK190" t="str">
        <f>Tabela1[[#This Row],[Coluna1]]&amp;Tabela1[[#This Row],[PEDIDO]]</f>
        <v>P-188</v>
      </c>
      <c r="AL190"/>
      <c r="AM190"/>
      <c r="AN190"/>
      <c r="AO190" t="str">
        <f t="shared" si="30"/>
        <v>T-072954-1/1073-TC-006/007</v>
      </c>
      <c r="AP190" t="str">
        <f>Tabela1[[#This Row],[TAG]]&amp;Tabela1[[#This Row],[PEDIDO]]&amp;Tabela1[[#This Row],[PRODUTO]]</f>
        <v>1073-TC-006/007P-188RMF</v>
      </c>
      <c r="AQ190" s="22" t="str">
        <f>Tabela1[[#This Row],[PRODUTO]]&amp;Tabela1[[#This Row],[TAG]]</f>
        <v>RMF1073-TC-006/007</v>
      </c>
      <c r="AR190" s="24" t="str">
        <f>Tabela1[[#This Row],[PEDIDO]]&amp;Tabela1[[#This Row],[PRODUTO]]</f>
        <v>P-188RMF</v>
      </c>
      <c r="AS190" s="37">
        <f>IF(AF190="",0,IF(ISTEXT(AF190),H190*VALUE(SUBSTITUTE(AF190,"%",""))/100,H190*AF190))-Tabela1[[#This Row],[PRONTO ACABADO2]]</f>
        <v>0</v>
      </c>
      <c r="AT190" s="37">
        <f>IF(AG190="",0,IF(ISTEXT(AG190),H190*VALUE(SUBSTITUTE(AG190,"%",""))/100,H190*AG190))-Tabela1[[#This Row],[PESO EXPEDIDO2]]</f>
        <v>0</v>
      </c>
      <c r="AU190" s="37">
        <f t="shared" si="38"/>
        <v>189.44</v>
      </c>
      <c r="AV190" s="37">
        <f t="shared" si="39"/>
        <v>189.44</v>
      </c>
      <c r="AW190" s="37"/>
    </row>
    <row r="191" spans="1:49" ht="15.75" customHeight="1" x14ac:dyDescent="0.25">
      <c r="A191" s="6" t="s">
        <v>3802</v>
      </c>
      <c r="B191" s="21" t="s">
        <v>3809</v>
      </c>
      <c r="C191" s="7">
        <v>2</v>
      </c>
      <c r="D191" s="39" t="s">
        <v>3808</v>
      </c>
      <c r="E191" s="7">
        <v>4076</v>
      </c>
      <c r="F191" s="7" t="s">
        <v>3789</v>
      </c>
      <c r="G191" s="23">
        <v>25.94</v>
      </c>
      <c r="H191" s="34">
        <f>Tabela1[[#This Row],[PESO UNI]]*Tabela1[[#This Row],[QTE]]</f>
        <v>51.88</v>
      </c>
      <c r="I191" s="7">
        <v>1</v>
      </c>
      <c r="J191" s="8" t="s">
        <v>3790</v>
      </c>
      <c r="K191" s="8" t="s">
        <v>327</v>
      </c>
      <c r="L191" s="9" t="s">
        <v>2069</v>
      </c>
      <c r="M191" s="10">
        <v>46127</v>
      </c>
      <c r="N191" s="8" t="s">
        <v>327</v>
      </c>
      <c r="O191" s="12"/>
      <c r="P191" s="13"/>
      <c r="Q191" s="14">
        <f>Tabela1[[#This Row],[QTDE/ Fabricação]]-Tabela1[[#This Row],[QTE]]</f>
        <v>-2</v>
      </c>
      <c r="R191" s="18">
        <f t="shared" si="33"/>
        <v>51.88</v>
      </c>
      <c r="S191" s="18">
        <f t="shared" si="41"/>
        <v>51.88</v>
      </c>
      <c r="T191" s="19">
        <f t="shared" si="35"/>
        <v>0</v>
      </c>
      <c r="U191" s="207">
        <v>2</v>
      </c>
      <c r="V191" s="12" t="str">
        <f>IFERROR(VLOOKUP(Tabela1[[#This Row],[COD.MDE]],'LISTA DE EMBARQUE'!B:L,11,0),"")</f>
        <v/>
      </c>
      <c r="W191" s="13"/>
      <c r="X191" s="14">
        <f>IFERROR(Tabela1[[#This Row],[QIANTIDADE EXPEDIDA]]*Tabela1[[#This Row],[PESO UNI]],"")</f>
        <v>51.88</v>
      </c>
      <c r="Y191" s="14">
        <f t="shared" si="40"/>
        <v>0</v>
      </c>
      <c r="Z191" s="20">
        <f>Tabela1[[#This Row],[PESO TOTAL]]-Tabela1[[#This Row],[Peso Expedido]]</f>
        <v>0</v>
      </c>
      <c r="AA191" s="17">
        <v>1</v>
      </c>
      <c r="AB191" s="33"/>
      <c r="AC191" s="33">
        <v>1</v>
      </c>
      <c r="AD191" s="33">
        <v>1</v>
      </c>
      <c r="AE191" s="33">
        <v>1</v>
      </c>
      <c r="AF191" s="33">
        <v>1</v>
      </c>
      <c r="AG191" s="33">
        <v>1</v>
      </c>
      <c r="AH191" s="33">
        <v>1</v>
      </c>
      <c r="AI191" s="33" t="str">
        <f t="shared" si="37"/>
        <v>ok</v>
      </c>
      <c r="AJ191" s="5"/>
      <c r="AK191" t="str">
        <f>Tabela1[[#This Row],[Coluna1]]&amp;Tabela1[[#This Row],[PEDIDO]]</f>
        <v>P-188</v>
      </c>
      <c r="AL191"/>
      <c r="AM191"/>
      <c r="AN191"/>
      <c r="AO191" t="str">
        <f t="shared" si="30"/>
        <v>T-072954-1/1073-TC-006/007</v>
      </c>
      <c r="AP191" t="str">
        <f>Tabela1[[#This Row],[TAG]]&amp;Tabela1[[#This Row],[PEDIDO]]&amp;Tabela1[[#This Row],[PRODUTO]]</f>
        <v>1073-TC-006/007P-188RMF</v>
      </c>
      <c r="AQ191" s="22" t="str">
        <f>Tabela1[[#This Row],[PRODUTO]]&amp;Tabela1[[#This Row],[TAG]]</f>
        <v>RMF1073-TC-006/007</v>
      </c>
      <c r="AR191" s="24" t="str">
        <f>Tabela1[[#This Row],[PEDIDO]]&amp;Tabela1[[#This Row],[PRODUTO]]</f>
        <v>P-188RMF</v>
      </c>
      <c r="AS191" s="37">
        <f>IF(AF191="",0,IF(ISTEXT(AF191),H191*VALUE(SUBSTITUTE(AF191,"%",""))/100,H191*AF191))-Tabela1[[#This Row],[PRONTO ACABADO2]]</f>
        <v>0</v>
      </c>
      <c r="AT191" s="37">
        <f>IF(AG191="",0,IF(ISTEXT(AG191),H191*VALUE(SUBSTITUTE(AG191,"%",""))/100,H191*AG191))-Tabela1[[#This Row],[PESO EXPEDIDO2]]</f>
        <v>0</v>
      </c>
      <c r="AU191" s="37">
        <f t="shared" si="38"/>
        <v>51.88</v>
      </c>
      <c r="AV191" s="37">
        <f t="shared" si="39"/>
        <v>51.88</v>
      </c>
      <c r="AW191" s="37"/>
    </row>
    <row r="192" spans="1:49" ht="15.75" customHeight="1" x14ac:dyDescent="0.25">
      <c r="A192" s="6" t="s">
        <v>3802</v>
      </c>
      <c r="B192" s="21" t="s">
        <v>3810</v>
      </c>
      <c r="C192" s="7">
        <v>4</v>
      </c>
      <c r="D192" s="39" t="s">
        <v>3808</v>
      </c>
      <c r="E192" s="7">
        <v>4077</v>
      </c>
      <c r="F192" s="7" t="s">
        <v>3789</v>
      </c>
      <c r="G192" s="23">
        <v>33.410000000000004</v>
      </c>
      <c r="H192" s="34">
        <f>Tabela1[[#This Row],[PESO UNI]]*Tabela1[[#This Row],[QTE]]</f>
        <v>133.64000000000001</v>
      </c>
      <c r="I192" s="7">
        <v>1</v>
      </c>
      <c r="J192" s="8" t="s">
        <v>3790</v>
      </c>
      <c r="K192" s="8" t="s">
        <v>327</v>
      </c>
      <c r="L192" s="9" t="s">
        <v>2069</v>
      </c>
      <c r="M192" s="10">
        <v>46127</v>
      </c>
      <c r="N192" s="8" t="s">
        <v>327</v>
      </c>
      <c r="O192" s="12"/>
      <c r="P192" s="13"/>
      <c r="Q192" s="14">
        <f>Tabela1[[#This Row],[QTDE/ Fabricação]]-Tabela1[[#This Row],[QTE]]</f>
        <v>-4</v>
      </c>
      <c r="R192" s="18">
        <f t="shared" si="33"/>
        <v>133.64000000000001</v>
      </c>
      <c r="S192" s="18">
        <f t="shared" si="41"/>
        <v>133.64000000000001</v>
      </c>
      <c r="T192" s="19">
        <f t="shared" si="35"/>
        <v>0</v>
      </c>
      <c r="U192" s="207">
        <v>4</v>
      </c>
      <c r="V192" s="12" t="str">
        <f>IFERROR(VLOOKUP(Tabela1[[#This Row],[COD.MDE]],'LISTA DE EMBARQUE'!B:L,11,0),"")</f>
        <v/>
      </c>
      <c r="W192" s="13"/>
      <c r="X192" s="14">
        <f>IFERROR(Tabela1[[#This Row],[QIANTIDADE EXPEDIDA]]*Tabela1[[#This Row],[PESO UNI]],"")</f>
        <v>133.64000000000001</v>
      </c>
      <c r="Y192" s="14">
        <f t="shared" si="40"/>
        <v>0</v>
      </c>
      <c r="Z192" s="20">
        <f>Tabela1[[#This Row],[PESO TOTAL]]-Tabela1[[#This Row],[Peso Expedido]]</f>
        <v>0</v>
      </c>
      <c r="AA192" s="17">
        <v>1</v>
      </c>
      <c r="AB192" s="33"/>
      <c r="AC192" s="33">
        <v>1</v>
      </c>
      <c r="AD192" s="33">
        <v>1</v>
      </c>
      <c r="AE192" s="33">
        <v>1</v>
      </c>
      <c r="AF192" s="33">
        <v>1</v>
      </c>
      <c r="AG192" s="33">
        <v>1</v>
      </c>
      <c r="AH192" s="33">
        <v>1</v>
      </c>
      <c r="AI192" s="33" t="str">
        <f t="shared" si="37"/>
        <v>ok</v>
      </c>
      <c r="AJ192" s="5"/>
      <c r="AK192" t="str">
        <f>Tabela1[[#This Row],[Coluna1]]&amp;Tabela1[[#This Row],[PEDIDO]]</f>
        <v>P-188</v>
      </c>
      <c r="AL192"/>
      <c r="AM192"/>
      <c r="AN192"/>
      <c r="AO192" t="str">
        <f t="shared" si="30"/>
        <v>T-072954-1/1073-TC-006/007</v>
      </c>
      <c r="AP192" t="str">
        <f>Tabela1[[#This Row],[TAG]]&amp;Tabela1[[#This Row],[PEDIDO]]&amp;Tabela1[[#This Row],[PRODUTO]]</f>
        <v>1073-TC-006/007P-188RMF</v>
      </c>
      <c r="AQ192" s="22" t="str">
        <f>Tabela1[[#This Row],[PRODUTO]]&amp;Tabela1[[#This Row],[TAG]]</f>
        <v>RMF1073-TC-006/007</v>
      </c>
      <c r="AR192" s="24" t="str">
        <f>Tabela1[[#This Row],[PEDIDO]]&amp;Tabela1[[#This Row],[PRODUTO]]</f>
        <v>P-188RMF</v>
      </c>
      <c r="AS192" s="37">
        <f>IF(AF192="",0,IF(ISTEXT(AF192),H192*VALUE(SUBSTITUTE(AF192,"%",""))/100,H192*AF192))-Tabela1[[#This Row],[PRONTO ACABADO2]]</f>
        <v>0</v>
      </c>
      <c r="AT192" s="37">
        <f>IF(AG192="",0,IF(ISTEXT(AG192),H192*VALUE(SUBSTITUTE(AG192,"%",""))/100,H192*AG192))-Tabela1[[#This Row],[PESO EXPEDIDO2]]</f>
        <v>0</v>
      </c>
      <c r="AU192" s="37">
        <f t="shared" si="38"/>
        <v>133.64000000000001</v>
      </c>
      <c r="AV192" s="37">
        <f t="shared" si="39"/>
        <v>133.64000000000001</v>
      </c>
      <c r="AW192" s="37"/>
    </row>
    <row r="193" spans="1:49" ht="15.75" customHeight="1" x14ac:dyDescent="0.25">
      <c r="A193" s="6" t="s">
        <v>3802</v>
      </c>
      <c r="B193" s="21" t="s">
        <v>3811</v>
      </c>
      <c r="C193" s="7">
        <v>2</v>
      </c>
      <c r="D193" s="39" t="s">
        <v>3808</v>
      </c>
      <c r="E193" s="7">
        <v>4078</v>
      </c>
      <c r="F193" s="7" t="s">
        <v>3789</v>
      </c>
      <c r="G193" s="23">
        <v>25.94</v>
      </c>
      <c r="H193" s="34">
        <f>Tabela1[[#This Row],[PESO UNI]]*Tabela1[[#This Row],[QTE]]</f>
        <v>51.88</v>
      </c>
      <c r="I193" s="7">
        <v>1</v>
      </c>
      <c r="J193" s="8" t="s">
        <v>3790</v>
      </c>
      <c r="K193" s="8" t="s">
        <v>327</v>
      </c>
      <c r="L193" s="9" t="s">
        <v>2069</v>
      </c>
      <c r="M193" s="10">
        <v>46127</v>
      </c>
      <c r="N193" s="8" t="s">
        <v>327</v>
      </c>
      <c r="O193" s="12"/>
      <c r="P193" s="13"/>
      <c r="Q193" s="14">
        <f>Tabela1[[#This Row],[QTDE/ Fabricação]]-Tabela1[[#This Row],[QTE]]</f>
        <v>-2</v>
      </c>
      <c r="R193" s="18">
        <f t="shared" si="33"/>
        <v>51.88</v>
      </c>
      <c r="S193" s="18">
        <f t="shared" si="41"/>
        <v>51.88</v>
      </c>
      <c r="T193" s="19">
        <f t="shared" si="35"/>
        <v>0</v>
      </c>
      <c r="U193" s="207">
        <v>2</v>
      </c>
      <c r="V193" s="12" t="str">
        <f>IFERROR(VLOOKUP(Tabela1[[#This Row],[COD.MDE]],'LISTA DE EMBARQUE'!B:L,11,0),"")</f>
        <v/>
      </c>
      <c r="W193" s="13"/>
      <c r="X193" s="14">
        <f>IFERROR(Tabela1[[#This Row],[QIANTIDADE EXPEDIDA]]*Tabela1[[#This Row],[PESO UNI]],"")</f>
        <v>51.88</v>
      </c>
      <c r="Y193" s="14">
        <f t="shared" si="40"/>
        <v>0</v>
      </c>
      <c r="Z193" s="20">
        <f>Tabela1[[#This Row],[PESO TOTAL]]-Tabela1[[#This Row],[Peso Expedido]]</f>
        <v>0</v>
      </c>
      <c r="AA193" s="17">
        <v>1</v>
      </c>
      <c r="AB193" s="33"/>
      <c r="AC193" s="33">
        <v>1</v>
      </c>
      <c r="AD193" s="33">
        <v>1</v>
      </c>
      <c r="AE193" s="33">
        <v>1</v>
      </c>
      <c r="AF193" s="33">
        <v>1</v>
      </c>
      <c r="AG193" s="33">
        <v>1</v>
      </c>
      <c r="AH193" s="33">
        <v>1</v>
      </c>
      <c r="AI193" s="33" t="str">
        <f t="shared" si="37"/>
        <v>ok</v>
      </c>
      <c r="AJ193" s="5"/>
      <c r="AK193" t="str">
        <f>Tabela1[[#This Row],[Coluna1]]&amp;Tabela1[[#This Row],[PEDIDO]]</f>
        <v>P-188</v>
      </c>
      <c r="AL193"/>
      <c r="AM193"/>
      <c r="AN193"/>
      <c r="AO193" t="str">
        <f t="shared" si="30"/>
        <v>T-072954-1/1073-TC-006/007</v>
      </c>
      <c r="AP193" t="str">
        <f>Tabela1[[#This Row],[TAG]]&amp;Tabela1[[#This Row],[PEDIDO]]&amp;Tabela1[[#This Row],[PRODUTO]]</f>
        <v>1073-TC-006/007P-188RMF</v>
      </c>
      <c r="AQ193" s="22" t="str">
        <f>Tabela1[[#This Row],[PRODUTO]]&amp;Tabela1[[#This Row],[TAG]]</f>
        <v>RMF1073-TC-006/007</v>
      </c>
      <c r="AR193" s="24" t="str">
        <f>Tabela1[[#This Row],[PEDIDO]]&amp;Tabela1[[#This Row],[PRODUTO]]</f>
        <v>P-188RMF</v>
      </c>
      <c r="AS193" s="37">
        <f>IF(AF193="",0,IF(ISTEXT(AF193),H193*VALUE(SUBSTITUTE(AF193,"%",""))/100,H193*AF193))-Tabela1[[#This Row],[PRONTO ACABADO2]]</f>
        <v>0</v>
      </c>
      <c r="AT193" s="37">
        <f>IF(AG193="",0,IF(ISTEXT(AG193),H193*VALUE(SUBSTITUTE(AG193,"%",""))/100,H193*AG193))-Tabela1[[#This Row],[PESO EXPEDIDO2]]</f>
        <v>0</v>
      </c>
      <c r="AU193" s="37">
        <f t="shared" si="38"/>
        <v>51.88</v>
      </c>
      <c r="AV193" s="37">
        <f t="shared" si="39"/>
        <v>51.88</v>
      </c>
      <c r="AW193" s="37"/>
    </row>
    <row r="194" spans="1:49" ht="15.75" customHeight="1" x14ac:dyDescent="0.25">
      <c r="A194" s="6" t="s">
        <v>3812</v>
      </c>
      <c r="B194" s="21" t="s">
        <v>3813</v>
      </c>
      <c r="C194" s="7">
        <v>4</v>
      </c>
      <c r="D194" s="39" t="s">
        <v>3814</v>
      </c>
      <c r="E194" s="7">
        <v>4079</v>
      </c>
      <c r="F194" s="7" t="s">
        <v>3789</v>
      </c>
      <c r="G194" s="23">
        <v>48.94</v>
      </c>
      <c r="H194" s="34">
        <f>Tabela1[[#This Row],[PESO UNI]]*Tabela1[[#This Row],[QTE]]</f>
        <v>195.76</v>
      </c>
      <c r="I194" s="7">
        <v>1</v>
      </c>
      <c r="J194" s="8" t="s">
        <v>3790</v>
      </c>
      <c r="K194" s="8" t="s">
        <v>327</v>
      </c>
      <c r="L194" s="9" t="s">
        <v>2069</v>
      </c>
      <c r="M194" s="10">
        <v>46127</v>
      </c>
      <c r="N194" s="8" t="s">
        <v>327</v>
      </c>
      <c r="O194" s="12"/>
      <c r="P194" s="13"/>
      <c r="Q194" s="14">
        <f>Tabela1[[#This Row],[QTDE/ Fabricação]]-Tabela1[[#This Row],[QTE]]</f>
        <v>-4</v>
      </c>
      <c r="R194" s="18">
        <f t="shared" si="33"/>
        <v>195.76</v>
      </c>
      <c r="S194" s="18">
        <f t="shared" si="41"/>
        <v>195.76</v>
      </c>
      <c r="T194" s="19">
        <f t="shared" si="35"/>
        <v>0</v>
      </c>
      <c r="U194" s="207">
        <v>4</v>
      </c>
      <c r="V194" s="12" t="str">
        <f>IFERROR(VLOOKUP(Tabela1[[#This Row],[COD.MDE]],'LISTA DE EMBARQUE'!B:L,11,0),"")</f>
        <v/>
      </c>
      <c r="W194" s="13"/>
      <c r="X194" s="14">
        <f>IFERROR(Tabela1[[#This Row],[QIANTIDADE EXPEDIDA]]*Tabela1[[#This Row],[PESO UNI]],"")</f>
        <v>195.76</v>
      </c>
      <c r="Y194" s="14">
        <f t="shared" si="40"/>
        <v>0</v>
      </c>
      <c r="Z194" s="20">
        <f>Tabela1[[#This Row],[PESO TOTAL]]-Tabela1[[#This Row],[Peso Expedido]]</f>
        <v>0</v>
      </c>
      <c r="AA194" s="17">
        <v>1</v>
      </c>
      <c r="AB194" s="33"/>
      <c r="AC194" s="33">
        <v>1</v>
      </c>
      <c r="AD194" s="33">
        <v>1</v>
      </c>
      <c r="AE194" s="33">
        <v>1</v>
      </c>
      <c r="AF194" s="33">
        <v>1</v>
      </c>
      <c r="AG194" s="33">
        <v>1</v>
      </c>
      <c r="AH194" s="33">
        <v>1</v>
      </c>
      <c r="AI194" s="33" t="str">
        <f t="shared" si="37"/>
        <v>ok</v>
      </c>
      <c r="AJ194" s="5"/>
      <c r="AK194" t="str">
        <f>Tabela1[[#This Row],[Coluna1]]&amp;Tabela1[[#This Row],[PEDIDO]]</f>
        <v>P-188</v>
      </c>
      <c r="AL194"/>
      <c r="AM194"/>
      <c r="AN194"/>
      <c r="AO194" t="str">
        <f t="shared" si="30"/>
        <v>T-072955-1/1073-TC-006/007</v>
      </c>
      <c r="AP194" t="str">
        <f>Tabela1[[#This Row],[TAG]]&amp;Tabela1[[#This Row],[PEDIDO]]&amp;Tabela1[[#This Row],[PRODUTO]]</f>
        <v>1073-TC-006/007P-188RMF</v>
      </c>
      <c r="AQ194" s="22" t="str">
        <f>Tabela1[[#This Row],[PRODUTO]]&amp;Tabela1[[#This Row],[TAG]]</f>
        <v>RMF1073-TC-006/007</v>
      </c>
      <c r="AR194" s="24" t="str">
        <f>Tabela1[[#This Row],[PEDIDO]]&amp;Tabela1[[#This Row],[PRODUTO]]</f>
        <v>P-188RMF</v>
      </c>
      <c r="AS194" s="37">
        <f>IF(AF194="",0,IF(ISTEXT(AF194),H194*VALUE(SUBSTITUTE(AF194,"%",""))/100,H194*AF194))-Tabela1[[#This Row],[PRONTO ACABADO2]]</f>
        <v>0</v>
      </c>
      <c r="AT194" s="37">
        <f>IF(AG194="",0,IF(ISTEXT(AG194),H194*VALUE(SUBSTITUTE(AG194,"%",""))/100,H194*AG194))-Tabela1[[#This Row],[PESO EXPEDIDO2]]</f>
        <v>0</v>
      </c>
      <c r="AU194" s="37">
        <f t="shared" si="38"/>
        <v>195.76</v>
      </c>
      <c r="AV194" s="37">
        <f t="shared" si="39"/>
        <v>195.76</v>
      </c>
      <c r="AW194" s="37"/>
    </row>
    <row r="195" spans="1:49" ht="15.75" customHeight="1" x14ac:dyDescent="0.25">
      <c r="A195" s="6" t="s">
        <v>3812</v>
      </c>
      <c r="B195" s="21" t="s">
        <v>3815</v>
      </c>
      <c r="C195" s="7">
        <v>4</v>
      </c>
      <c r="D195" s="39" t="s">
        <v>3816</v>
      </c>
      <c r="E195" s="7">
        <v>4080</v>
      </c>
      <c r="F195" s="7" t="s">
        <v>3789</v>
      </c>
      <c r="G195" s="23">
        <v>81.91</v>
      </c>
      <c r="H195" s="34">
        <f>Tabela1[[#This Row],[PESO UNI]]*Tabela1[[#This Row],[QTE]]</f>
        <v>327.64</v>
      </c>
      <c r="I195" s="7">
        <v>1</v>
      </c>
      <c r="J195" s="8" t="s">
        <v>3790</v>
      </c>
      <c r="K195" s="8" t="s">
        <v>327</v>
      </c>
      <c r="L195" s="9" t="s">
        <v>2069</v>
      </c>
      <c r="M195" s="10">
        <v>46127</v>
      </c>
      <c r="N195" s="8" t="s">
        <v>327</v>
      </c>
      <c r="O195" s="12"/>
      <c r="P195" s="13"/>
      <c r="Q195" s="14">
        <f>Tabela1[[#This Row],[QTDE/ Fabricação]]-Tabela1[[#This Row],[QTE]]</f>
        <v>-4</v>
      </c>
      <c r="R195" s="18">
        <f t="shared" si="33"/>
        <v>327.64</v>
      </c>
      <c r="S195" s="18">
        <f t="shared" si="41"/>
        <v>327.64</v>
      </c>
      <c r="T195" s="19">
        <f t="shared" si="35"/>
        <v>0</v>
      </c>
      <c r="U195" s="207">
        <v>4</v>
      </c>
      <c r="V195" s="12" t="str">
        <f>IFERROR(VLOOKUP(Tabela1[[#This Row],[COD.MDE]],'LISTA DE EMBARQUE'!B:L,11,0),"")</f>
        <v/>
      </c>
      <c r="W195" s="13"/>
      <c r="X195" s="14">
        <f>IFERROR(Tabela1[[#This Row],[QIANTIDADE EXPEDIDA]]*Tabela1[[#This Row],[PESO UNI]],"")</f>
        <v>327.64</v>
      </c>
      <c r="Y195" s="14">
        <f t="shared" si="40"/>
        <v>0</v>
      </c>
      <c r="Z195" s="20">
        <f>Tabela1[[#This Row],[PESO TOTAL]]-Tabela1[[#This Row],[Peso Expedido]]</f>
        <v>0</v>
      </c>
      <c r="AA195" s="17">
        <v>1</v>
      </c>
      <c r="AB195" s="33"/>
      <c r="AC195" s="33">
        <v>1</v>
      </c>
      <c r="AD195" s="33">
        <v>1</v>
      </c>
      <c r="AE195" s="33">
        <v>1</v>
      </c>
      <c r="AF195" s="33">
        <v>1</v>
      </c>
      <c r="AG195" s="33">
        <v>1</v>
      </c>
      <c r="AH195" s="33">
        <v>1</v>
      </c>
      <c r="AI195" s="33" t="str">
        <f t="shared" si="37"/>
        <v>ok</v>
      </c>
      <c r="AJ195" s="5"/>
      <c r="AK195" t="str">
        <f>Tabela1[[#This Row],[Coluna1]]&amp;Tabela1[[#This Row],[PEDIDO]]</f>
        <v>P-188</v>
      </c>
      <c r="AL195"/>
      <c r="AM195"/>
      <c r="AN195"/>
      <c r="AO195" t="str">
        <f t="shared" si="30"/>
        <v>T-072955-1/1073-TC-006/007</v>
      </c>
      <c r="AP195" t="str">
        <f>Tabela1[[#This Row],[TAG]]&amp;Tabela1[[#This Row],[PEDIDO]]&amp;Tabela1[[#This Row],[PRODUTO]]</f>
        <v>1073-TC-006/007P-188RMF</v>
      </c>
      <c r="AQ195" s="22" t="str">
        <f>Tabela1[[#This Row],[PRODUTO]]&amp;Tabela1[[#This Row],[TAG]]</f>
        <v>RMF1073-TC-006/007</v>
      </c>
      <c r="AR195" s="24" t="str">
        <f>Tabela1[[#This Row],[PEDIDO]]&amp;Tabela1[[#This Row],[PRODUTO]]</f>
        <v>P-188RMF</v>
      </c>
      <c r="AS195" s="37">
        <f>IF(AF195="",0,IF(ISTEXT(AF195),H195*VALUE(SUBSTITUTE(AF195,"%",""))/100,H195*AF195))-Tabela1[[#This Row],[PRONTO ACABADO2]]</f>
        <v>0</v>
      </c>
      <c r="AT195" s="37">
        <f>IF(AG195="",0,IF(ISTEXT(AG195),H195*VALUE(SUBSTITUTE(AG195,"%",""))/100,H195*AG195))-Tabela1[[#This Row],[PESO EXPEDIDO2]]</f>
        <v>0</v>
      </c>
      <c r="AU195" s="37">
        <f t="shared" si="38"/>
        <v>327.64</v>
      </c>
      <c r="AV195" s="37">
        <f t="shared" si="39"/>
        <v>327.64</v>
      </c>
      <c r="AW195" s="37"/>
    </row>
    <row r="196" spans="1:49" ht="15.75" customHeight="1" x14ac:dyDescent="0.25">
      <c r="A196" s="6" t="s">
        <v>3812</v>
      </c>
      <c r="B196" s="21" t="s">
        <v>3817</v>
      </c>
      <c r="C196" s="7">
        <v>4</v>
      </c>
      <c r="D196" s="39" t="s">
        <v>3818</v>
      </c>
      <c r="E196" s="7">
        <v>4081</v>
      </c>
      <c r="F196" s="7" t="s">
        <v>3789</v>
      </c>
      <c r="G196" s="23">
        <v>46.53</v>
      </c>
      <c r="H196" s="34">
        <f>Tabela1[[#This Row],[PESO UNI]]*Tabela1[[#This Row],[QTE]]</f>
        <v>186.12</v>
      </c>
      <c r="I196" s="7">
        <v>1</v>
      </c>
      <c r="J196" s="8" t="s">
        <v>3790</v>
      </c>
      <c r="K196" s="8" t="s">
        <v>327</v>
      </c>
      <c r="L196" s="9" t="s">
        <v>2069</v>
      </c>
      <c r="M196" s="10">
        <v>46127</v>
      </c>
      <c r="N196" s="8" t="s">
        <v>327</v>
      </c>
      <c r="O196" s="12"/>
      <c r="P196" s="13"/>
      <c r="Q196" s="14">
        <f>Tabela1[[#This Row],[QTDE/ Fabricação]]-Tabela1[[#This Row],[QTE]]</f>
        <v>-4</v>
      </c>
      <c r="R196" s="18">
        <f t="shared" si="33"/>
        <v>186.12</v>
      </c>
      <c r="S196" s="18">
        <f t="shared" si="41"/>
        <v>186.12</v>
      </c>
      <c r="T196" s="19">
        <f t="shared" si="35"/>
        <v>0</v>
      </c>
      <c r="U196" s="207">
        <v>4</v>
      </c>
      <c r="V196" s="12" t="str">
        <f>IFERROR(VLOOKUP(Tabela1[[#This Row],[COD.MDE]],'LISTA DE EMBARQUE'!B:L,11,0),"")</f>
        <v/>
      </c>
      <c r="W196" s="13"/>
      <c r="X196" s="14">
        <f>IFERROR(Tabela1[[#This Row],[QIANTIDADE EXPEDIDA]]*Tabela1[[#This Row],[PESO UNI]],"")</f>
        <v>186.12</v>
      </c>
      <c r="Y196" s="14">
        <f t="shared" si="40"/>
        <v>0</v>
      </c>
      <c r="Z196" s="20">
        <f>Tabela1[[#This Row],[PESO TOTAL]]-Tabela1[[#This Row],[Peso Expedido]]</f>
        <v>0</v>
      </c>
      <c r="AA196" s="17">
        <v>1</v>
      </c>
      <c r="AB196" s="33"/>
      <c r="AC196" s="33">
        <v>1</v>
      </c>
      <c r="AD196" s="33">
        <v>1</v>
      </c>
      <c r="AE196" s="33">
        <v>1</v>
      </c>
      <c r="AF196" s="33">
        <v>1</v>
      </c>
      <c r="AG196" s="33">
        <v>1</v>
      </c>
      <c r="AH196" s="33">
        <v>1</v>
      </c>
      <c r="AI196" s="33" t="str">
        <f t="shared" si="37"/>
        <v>ok</v>
      </c>
      <c r="AJ196" s="5"/>
      <c r="AK196" t="str">
        <f>Tabela1[[#This Row],[Coluna1]]&amp;Tabela1[[#This Row],[PEDIDO]]</f>
        <v>P-188</v>
      </c>
      <c r="AL196"/>
      <c r="AM196"/>
      <c r="AN196"/>
      <c r="AO196" t="str">
        <f t="shared" si="30"/>
        <v>T-072955-1/1073-TC-006/007</v>
      </c>
      <c r="AP196" t="str">
        <f>Tabela1[[#This Row],[TAG]]&amp;Tabela1[[#This Row],[PEDIDO]]&amp;Tabela1[[#This Row],[PRODUTO]]</f>
        <v>1073-TC-006/007P-188RMF</v>
      </c>
      <c r="AQ196" s="22" t="str">
        <f>Tabela1[[#This Row],[PRODUTO]]&amp;Tabela1[[#This Row],[TAG]]</f>
        <v>RMF1073-TC-006/007</v>
      </c>
      <c r="AR196" s="24" t="str">
        <f>Tabela1[[#This Row],[PEDIDO]]&amp;Tabela1[[#This Row],[PRODUTO]]</f>
        <v>P-188RMF</v>
      </c>
      <c r="AS196" s="37">
        <f>IF(AF196="",0,IF(ISTEXT(AF196),H196*VALUE(SUBSTITUTE(AF196,"%",""))/100,H196*AF196))-Tabela1[[#This Row],[PRONTO ACABADO2]]</f>
        <v>0</v>
      </c>
      <c r="AT196" s="37">
        <f>IF(AG196="",0,IF(ISTEXT(AG196),H196*VALUE(SUBSTITUTE(AG196,"%",""))/100,H196*AG196))-Tabela1[[#This Row],[PESO EXPEDIDO2]]</f>
        <v>0</v>
      </c>
      <c r="AU196" s="37">
        <f t="shared" si="38"/>
        <v>186.12</v>
      </c>
      <c r="AV196" s="37">
        <f t="shared" si="39"/>
        <v>186.12</v>
      </c>
      <c r="AW196" s="37"/>
    </row>
    <row r="197" spans="1:49" ht="15.75" customHeight="1" x14ac:dyDescent="0.25">
      <c r="A197" s="6" t="s">
        <v>3812</v>
      </c>
      <c r="B197" s="21" t="s">
        <v>3819</v>
      </c>
      <c r="C197" s="7">
        <v>4</v>
      </c>
      <c r="D197" s="39" t="s">
        <v>3820</v>
      </c>
      <c r="E197" s="7">
        <v>4082</v>
      </c>
      <c r="F197" s="7" t="s">
        <v>3789</v>
      </c>
      <c r="G197" s="23">
        <v>49.87</v>
      </c>
      <c r="H197" s="34">
        <f>Tabela1[[#This Row],[PESO UNI]]*Tabela1[[#This Row],[QTE]]</f>
        <v>199.48</v>
      </c>
      <c r="I197" s="7">
        <v>1</v>
      </c>
      <c r="J197" s="8" t="s">
        <v>3790</v>
      </c>
      <c r="K197" s="8" t="s">
        <v>327</v>
      </c>
      <c r="L197" s="9" t="s">
        <v>2069</v>
      </c>
      <c r="M197" s="10">
        <v>46127</v>
      </c>
      <c r="N197" s="8" t="s">
        <v>327</v>
      </c>
      <c r="O197" s="12"/>
      <c r="P197" s="13"/>
      <c r="Q197" s="14">
        <f>Tabela1[[#This Row],[QTDE/ Fabricação]]-Tabela1[[#This Row],[QTE]]</f>
        <v>-4</v>
      </c>
      <c r="R197" s="18">
        <f t="shared" si="33"/>
        <v>199.48</v>
      </c>
      <c r="S197" s="18">
        <f t="shared" si="41"/>
        <v>0</v>
      </c>
      <c r="T197" s="19">
        <f t="shared" si="35"/>
        <v>-199.48</v>
      </c>
      <c r="U197" s="16">
        <f>IFERROR(SUMIF('LISTA DE EMBARQUE'!B:B,MICRO!E:E,'LISTA DE EMBARQUE'!G:G),"")</f>
        <v>0</v>
      </c>
      <c r="V197" s="12" t="str">
        <f>IFERROR(VLOOKUP(Tabela1[[#This Row],[COD.MDE]],'LISTA DE EMBARQUE'!B:L,11,0),"")</f>
        <v/>
      </c>
      <c r="W197" s="13" t="str">
        <f>IFERROR(VLOOKUP(Tabela1[[#This Row],[COD.MDE]],'LISTA DE EMBARQUE'!B:M,12,0),"")</f>
        <v/>
      </c>
      <c r="X197" s="14">
        <f>IFERROR(Tabela1[[#This Row],[QIANTIDADE EXPEDIDA]]*Tabela1[[#This Row],[PESO UNI]],"")</f>
        <v>0</v>
      </c>
      <c r="Y197" s="14">
        <f t="shared" si="40"/>
        <v>-4</v>
      </c>
      <c r="Z197" s="20">
        <f>Tabela1[[#This Row],[PESO TOTAL]]-Tabela1[[#This Row],[Peso Expedido]]</f>
        <v>199.48</v>
      </c>
      <c r="AA197" s="17">
        <v>1</v>
      </c>
      <c r="AB197" s="33"/>
      <c r="AC197" s="33">
        <v>1</v>
      </c>
      <c r="AD197" s="33">
        <v>1</v>
      </c>
      <c r="AE197" s="33">
        <v>1</v>
      </c>
      <c r="AF197" s="33">
        <v>1</v>
      </c>
      <c r="AG197" s="33">
        <v>0</v>
      </c>
      <c r="AH197" s="33"/>
      <c r="AI197" s="33" t="str">
        <f t="shared" si="37"/>
        <v/>
      </c>
      <c r="AJ197" s="5"/>
      <c r="AK197" t="str">
        <f>Tabela1[[#This Row],[Coluna1]]&amp;Tabela1[[#This Row],[PEDIDO]]</f>
        <v>P-188</v>
      </c>
      <c r="AL197"/>
      <c r="AM197"/>
      <c r="AN197"/>
      <c r="AO197" t="str">
        <f t="shared" ref="AO197:AO260" si="42">A197&amp;"/"&amp;J197</f>
        <v>T-072955-1/1073-TC-006/007</v>
      </c>
      <c r="AP197" t="str">
        <f>Tabela1[[#This Row],[TAG]]&amp;Tabela1[[#This Row],[PEDIDO]]&amp;Tabela1[[#This Row],[PRODUTO]]</f>
        <v>1073-TC-006/007P-188RMF</v>
      </c>
      <c r="AQ197" s="22" t="str">
        <f>Tabela1[[#This Row],[PRODUTO]]&amp;Tabela1[[#This Row],[TAG]]</f>
        <v>RMF1073-TC-006/007</v>
      </c>
      <c r="AR197" s="24" t="str">
        <f>Tabela1[[#This Row],[PEDIDO]]&amp;Tabela1[[#This Row],[PRODUTO]]</f>
        <v>P-188RMF</v>
      </c>
      <c r="AS197" s="37">
        <f>IF(AF197="",0,IF(ISTEXT(AF197),H197*VALUE(SUBSTITUTE(AF197,"%",""))/100,H197*AF197))-Tabela1[[#This Row],[PRONTO ACABADO2]]</f>
        <v>199.48</v>
      </c>
      <c r="AT197" s="37">
        <f>IF(AG197="",0,IF(ISTEXT(AG197),H197*VALUE(SUBSTITUTE(AG197,"%",""))/100,H197*AG197))-Tabela1[[#This Row],[PESO EXPEDIDO2]]</f>
        <v>0</v>
      </c>
      <c r="AU197" s="37">
        <f t="shared" si="38"/>
        <v>0</v>
      </c>
      <c r="AV197" s="37">
        <f t="shared" si="39"/>
        <v>0</v>
      </c>
      <c r="AW197" s="37"/>
    </row>
    <row r="198" spans="1:49" ht="15.75" customHeight="1" x14ac:dyDescent="0.25">
      <c r="A198" s="6" t="s">
        <v>3821</v>
      </c>
      <c r="B198" s="21" t="s">
        <v>3822</v>
      </c>
      <c r="C198" s="7">
        <v>2</v>
      </c>
      <c r="D198" s="39" t="s">
        <v>3804</v>
      </c>
      <c r="E198" s="7">
        <v>4083</v>
      </c>
      <c r="F198" s="7" t="s">
        <v>3789</v>
      </c>
      <c r="G198" s="23">
        <v>159.25</v>
      </c>
      <c r="H198" s="34">
        <f>Tabela1[[#This Row],[PESO UNI]]*Tabela1[[#This Row],[QTE]]</f>
        <v>318.5</v>
      </c>
      <c r="I198" s="7">
        <v>1</v>
      </c>
      <c r="J198" s="8" t="s">
        <v>3790</v>
      </c>
      <c r="K198" s="8" t="s">
        <v>327</v>
      </c>
      <c r="L198" s="9" t="s">
        <v>2069</v>
      </c>
      <c r="M198" s="10">
        <v>46127</v>
      </c>
      <c r="N198" s="8" t="s">
        <v>327</v>
      </c>
      <c r="O198" s="12"/>
      <c r="P198" s="13"/>
      <c r="Q198" s="14">
        <f>Tabela1[[#This Row],[QTDE/ Fabricação]]-Tabela1[[#This Row],[QTE]]</f>
        <v>-2</v>
      </c>
      <c r="R198" s="18">
        <f t="shared" si="33"/>
        <v>318.5</v>
      </c>
      <c r="S198" s="18">
        <f t="shared" si="41"/>
        <v>318.5</v>
      </c>
      <c r="T198" s="19">
        <f t="shared" si="35"/>
        <v>0</v>
      </c>
      <c r="U198" s="207">
        <v>2</v>
      </c>
      <c r="V198" s="12" t="str">
        <f>IFERROR(VLOOKUP(Tabela1[[#This Row],[COD.MDE]],'LISTA DE EMBARQUE'!B:L,11,0),"")</f>
        <v/>
      </c>
      <c r="W198" s="13"/>
      <c r="X198" s="14">
        <f>IFERROR(Tabela1[[#This Row],[QIANTIDADE EXPEDIDA]]*Tabela1[[#This Row],[PESO UNI]],"")</f>
        <v>318.5</v>
      </c>
      <c r="Y198" s="14">
        <f t="shared" si="40"/>
        <v>0</v>
      </c>
      <c r="Z198" s="20">
        <f>Tabela1[[#This Row],[PESO TOTAL]]-Tabela1[[#This Row],[Peso Expedido]]</f>
        <v>0</v>
      </c>
      <c r="AA198" s="17">
        <v>1</v>
      </c>
      <c r="AB198" s="33"/>
      <c r="AC198" s="33">
        <v>1</v>
      </c>
      <c r="AD198" s="33">
        <v>1</v>
      </c>
      <c r="AE198" s="33">
        <v>1</v>
      </c>
      <c r="AF198" s="33">
        <v>1</v>
      </c>
      <c r="AG198" s="33">
        <v>1</v>
      </c>
      <c r="AH198" s="33">
        <v>1</v>
      </c>
      <c r="AI198" s="33" t="str">
        <f t="shared" si="37"/>
        <v>ok</v>
      </c>
      <c r="AJ198" s="5"/>
      <c r="AK198" t="str">
        <f>Tabela1[[#This Row],[Coluna1]]&amp;Tabela1[[#This Row],[PEDIDO]]</f>
        <v>P-188</v>
      </c>
      <c r="AL198"/>
      <c r="AM198"/>
      <c r="AN198"/>
      <c r="AO198" t="str">
        <f t="shared" si="42"/>
        <v>T-072956-1/1073-TC-006/007</v>
      </c>
      <c r="AP198" t="str">
        <f>Tabela1[[#This Row],[TAG]]&amp;Tabela1[[#This Row],[PEDIDO]]&amp;Tabela1[[#This Row],[PRODUTO]]</f>
        <v>1073-TC-006/007P-188RMF</v>
      </c>
      <c r="AQ198" s="22" t="str">
        <f>Tabela1[[#This Row],[PRODUTO]]&amp;Tabela1[[#This Row],[TAG]]</f>
        <v>RMF1073-TC-006/007</v>
      </c>
      <c r="AR198" s="24" t="str">
        <f>Tabela1[[#This Row],[PEDIDO]]&amp;Tabela1[[#This Row],[PRODUTO]]</f>
        <v>P-188RMF</v>
      </c>
      <c r="AS198" s="37">
        <f>IF(AF198="",0,IF(ISTEXT(AF198),H198*VALUE(SUBSTITUTE(AF198,"%",""))/100,H198*AF198))-Tabela1[[#This Row],[PRONTO ACABADO2]]</f>
        <v>0</v>
      </c>
      <c r="AT198" s="37">
        <f>IF(AG198="",0,IF(ISTEXT(AG198),H198*VALUE(SUBSTITUTE(AG198,"%",""))/100,H198*AG198))-Tabela1[[#This Row],[PESO EXPEDIDO2]]</f>
        <v>0</v>
      </c>
      <c r="AU198" s="37">
        <f t="shared" si="38"/>
        <v>318.5</v>
      </c>
      <c r="AV198" s="37">
        <f t="shared" si="39"/>
        <v>318.5</v>
      </c>
      <c r="AW198" s="37"/>
    </row>
    <row r="199" spans="1:49" ht="15.75" customHeight="1" x14ac:dyDescent="0.25">
      <c r="A199" s="6" t="s">
        <v>3821</v>
      </c>
      <c r="B199" s="21" t="s">
        <v>3823</v>
      </c>
      <c r="C199" s="7">
        <v>2</v>
      </c>
      <c r="D199" s="39" t="s">
        <v>3806</v>
      </c>
      <c r="E199" s="7">
        <v>4084</v>
      </c>
      <c r="F199" s="7" t="s">
        <v>3789</v>
      </c>
      <c r="G199" s="23">
        <v>159.25</v>
      </c>
      <c r="H199" s="34">
        <f>Tabela1[[#This Row],[PESO UNI]]*Tabela1[[#This Row],[QTE]]</f>
        <v>318.5</v>
      </c>
      <c r="I199" s="7">
        <v>1</v>
      </c>
      <c r="J199" s="8" t="s">
        <v>3790</v>
      </c>
      <c r="K199" s="8" t="s">
        <v>327</v>
      </c>
      <c r="L199" s="9" t="s">
        <v>2069</v>
      </c>
      <c r="M199" s="10">
        <v>46127</v>
      </c>
      <c r="N199" s="8" t="s">
        <v>327</v>
      </c>
      <c r="O199" s="12"/>
      <c r="P199" s="13"/>
      <c r="Q199" s="14">
        <f>Tabela1[[#This Row],[QTDE/ Fabricação]]-Tabela1[[#This Row],[QTE]]</f>
        <v>-2</v>
      </c>
      <c r="R199" s="18">
        <f t="shared" si="33"/>
        <v>318.5</v>
      </c>
      <c r="S199" s="18">
        <f t="shared" si="41"/>
        <v>318.5</v>
      </c>
      <c r="T199" s="19">
        <f t="shared" si="35"/>
        <v>0</v>
      </c>
      <c r="U199" s="207">
        <v>2</v>
      </c>
      <c r="V199" s="12" t="str">
        <f>IFERROR(VLOOKUP(Tabela1[[#This Row],[COD.MDE]],'LISTA DE EMBARQUE'!B:L,11,0),"")</f>
        <v/>
      </c>
      <c r="W199" s="13"/>
      <c r="X199" s="14">
        <f>IFERROR(Tabela1[[#This Row],[QIANTIDADE EXPEDIDA]]*Tabela1[[#This Row],[PESO UNI]],"")</f>
        <v>318.5</v>
      </c>
      <c r="Y199" s="14">
        <f t="shared" si="40"/>
        <v>0</v>
      </c>
      <c r="Z199" s="20">
        <f>Tabela1[[#This Row],[PESO TOTAL]]-Tabela1[[#This Row],[Peso Expedido]]</f>
        <v>0</v>
      </c>
      <c r="AA199" s="17">
        <v>1</v>
      </c>
      <c r="AB199" s="33"/>
      <c r="AC199" s="33">
        <v>1</v>
      </c>
      <c r="AD199" s="33">
        <v>1</v>
      </c>
      <c r="AE199" s="33">
        <v>1</v>
      </c>
      <c r="AF199" s="33">
        <v>1</v>
      </c>
      <c r="AG199" s="33">
        <v>1</v>
      </c>
      <c r="AH199" s="33">
        <v>1</v>
      </c>
      <c r="AI199" s="33" t="str">
        <f t="shared" si="37"/>
        <v>ok</v>
      </c>
      <c r="AJ199" s="5"/>
      <c r="AK199" t="str">
        <f>Tabela1[[#This Row],[Coluna1]]&amp;Tabela1[[#This Row],[PEDIDO]]</f>
        <v>P-188</v>
      </c>
      <c r="AL199"/>
      <c r="AM199"/>
      <c r="AN199"/>
      <c r="AO199" t="str">
        <f t="shared" si="42"/>
        <v>T-072956-1/1073-TC-006/007</v>
      </c>
      <c r="AP199" t="str">
        <f>Tabela1[[#This Row],[TAG]]&amp;Tabela1[[#This Row],[PEDIDO]]&amp;Tabela1[[#This Row],[PRODUTO]]</f>
        <v>1073-TC-006/007P-188RMF</v>
      </c>
      <c r="AQ199" s="22" t="str">
        <f>Tabela1[[#This Row],[PRODUTO]]&amp;Tabela1[[#This Row],[TAG]]</f>
        <v>RMF1073-TC-006/007</v>
      </c>
      <c r="AR199" s="24" t="str">
        <f>Tabela1[[#This Row],[PEDIDO]]&amp;Tabela1[[#This Row],[PRODUTO]]</f>
        <v>P-188RMF</v>
      </c>
      <c r="AS199" s="37">
        <f>IF(AF199="",0,IF(ISTEXT(AF199),H199*VALUE(SUBSTITUTE(AF199,"%",""))/100,H199*AF199))-Tabela1[[#This Row],[PRONTO ACABADO2]]</f>
        <v>0</v>
      </c>
      <c r="AT199" s="37">
        <f>IF(AG199="",0,IF(ISTEXT(AG199),H199*VALUE(SUBSTITUTE(AG199,"%",""))/100,H199*AG199))-Tabela1[[#This Row],[PESO EXPEDIDO2]]</f>
        <v>0</v>
      </c>
      <c r="AU199" s="37">
        <f t="shared" si="38"/>
        <v>318.5</v>
      </c>
      <c r="AV199" s="37">
        <f t="shared" si="39"/>
        <v>318.5</v>
      </c>
      <c r="AW199" s="37"/>
    </row>
    <row r="200" spans="1:49" ht="15.75" customHeight="1" x14ac:dyDescent="0.25">
      <c r="A200" s="6" t="s">
        <v>3821</v>
      </c>
      <c r="B200" s="21" t="s">
        <v>3824</v>
      </c>
      <c r="C200" s="7">
        <v>2</v>
      </c>
      <c r="D200" s="39" t="s">
        <v>3808</v>
      </c>
      <c r="E200" s="7">
        <v>4085</v>
      </c>
      <c r="F200" s="7" t="s">
        <v>3789</v>
      </c>
      <c r="G200" s="23">
        <v>33.409999999999997</v>
      </c>
      <c r="H200" s="34">
        <f>Tabela1[[#This Row],[PESO UNI]]*Tabela1[[#This Row],[QTE]]</f>
        <v>66.819999999999993</v>
      </c>
      <c r="I200" s="7">
        <v>1</v>
      </c>
      <c r="J200" s="8" t="s">
        <v>3790</v>
      </c>
      <c r="K200" s="8" t="s">
        <v>327</v>
      </c>
      <c r="L200" s="9" t="s">
        <v>2069</v>
      </c>
      <c r="M200" s="10">
        <v>46127</v>
      </c>
      <c r="N200" s="8" t="s">
        <v>327</v>
      </c>
      <c r="O200" s="12"/>
      <c r="P200" s="13"/>
      <c r="Q200" s="14">
        <f>Tabela1[[#This Row],[QTDE/ Fabricação]]-Tabela1[[#This Row],[QTE]]</f>
        <v>-2</v>
      </c>
      <c r="R200" s="18">
        <f t="shared" si="33"/>
        <v>66.819999999999993</v>
      </c>
      <c r="S200" s="18">
        <f t="shared" si="41"/>
        <v>66.819999999999993</v>
      </c>
      <c r="T200" s="19">
        <f t="shared" si="35"/>
        <v>0</v>
      </c>
      <c r="U200" s="207">
        <v>2</v>
      </c>
      <c r="V200" s="12" t="str">
        <f>IFERROR(VLOOKUP(Tabela1[[#This Row],[COD.MDE]],'LISTA DE EMBARQUE'!B:L,11,0),"")</f>
        <v/>
      </c>
      <c r="W200" s="13"/>
      <c r="X200" s="14">
        <f>IFERROR(Tabela1[[#This Row],[QIANTIDADE EXPEDIDA]]*Tabela1[[#This Row],[PESO UNI]],"")</f>
        <v>66.819999999999993</v>
      </c>
      <c r="Y200" s="14">
        <f t="shared" si="40"/>
        <v>0</v>
      </c>
      <c r="Z200" s="20">
        <f>Tabela1[[#This Row],[PESO TOTAL]]-Tabela1[[#This Row],[Peso Expedido]]</f>
        <v>0</v>
      </c>
      <c r="AA200" s="17">
        <v>1</v>
      </c>
      <c r="AB200" s="33"/>
      <c r="AC200" s="33">
        <v>1</v>
      </c>
      <c r="AD200" s="33">
        <v>1</v>
      </c>
      <c r="AE200" s="33">
        <v>1</v>
      </c>
      <c r="AF200" s="33">
        <v>1</v>
      </c>
      <c r="AG200" s="33">
        <v>1</v>
      </c>
      <c r="AH200" s="33">
        <v>1</v>
      </c>
      <c r="AI200" s="33" t="str">
        <f t="shared" si="37"/>
        <v>ok</v>
      </c>
      <c r="AJ200" s="5"/>
      <c r="AK200" t="str">
        <f>Tabela1[[#This Row],[Coluna1]]&amp;Tabela1[[#This Row],[PEDIDO]]</f>
        <v>P-188</v>
      </c>
      <c r="AL200"/>
      <c r="AM200"/>
      <c r="AN200"/>
      <c r="AO200" t="str">
        <f t="shared" si="42"/>
        <v>T-072956-1/1073-TC-006/007</v>
      </c>
      <c r="AP200" t="str">
        <f>Tabela1[[#This Row],[TAG]]&amp;Tabela1[[#This Row],[PEDIDO]]&amp;Tabela1[[#This Row],[PRODUTO]]</f>
        <v>1073-TC-006/007P-188RMF</v>
      </c>
      <c r="AQ200" s="22" t="str">
        <f>Tabela1[[#This Row],[PRODUTO]]&amp;Tabela1[[#This Row],[TAG]]</f>
        <v>RMF1073-TC-006/007</v>
      </c>
      <c r="AR200" s="24" t="str">
        <f>Tabela1[[#This Row],[PEDIDO]]&amp;Tabela1[[#This Row],[PRODUTO]]</f>
        <v>P-188RMF</v>
      </c>
      <c r="AS200" s="37">
        <f>IF(AF200="",0,IF(ISTEXT(AF200),H200*VALUE(SUBSTITUTE(AF200,"%",""))/100,H200*AF200))-Tabela1[[#This Row],[PRONTO ACABADO2]]</f>
        <v>0</v>
      </c>
      <c r="AT200" s="37">
        <f>IF(AG200="",0,IF(ISTEXT(AG200),H200*VALUE(SUBSTITUTE(AG200,"%",""))/100,H200*AG200))-Tabela1[[#This Row],[PESO EXPEDIDO2]]</f>
        <v>0</v>
      </c>
      <c r="AU200" s="37">
        <f t="shared" si="38"/>
        <v>66.819999999999993</v>
      </c>
      <c r="AV200" s="37">
        <f t="shared" si="39"/>
        <v>66.819999999999993</v>
      </c>
      <c r="AW200" s="37"/>
    </row>
    <row r="201" spans="1:49" ht="15.75" customHeight="1" x14ac:dyDescent="0.25">
      <c r="A201" s="6" t="s">
        <v>3821</v>
      </c>
      <c r="B201" s="21" t="s">
        <v>3825</v>
      </c>
      <c r="C201" s="7">
        <v>2</v>
      </c>
      <c r="D201" s="39" t="s">
        <v>3808</v>
      </c>
      <c r="E201" s="7">
        <v>4086</v>
      </c>
      <c r="F201" s="7" t="s">
        <v>3789</v>
      </c>
      <c r="G201" s="23">
        <v>23.68</v>
      </c>
      <c r="H201" s="34">
        <f>Tabela1[[#This Row],[PESO UNI]]*Tabela1[[#This Row],[QTE]]</f>
        <v>47.36</v>
      </c>
      <c r="I201" s="7">
        <v>1</v>
      </c>
      <c r="J201" s="8" t="s">
        <v>3790</v>
      </c>
      <c r="K201" s="8" t="s">
        <v>327</v>
      </c>
      <c r="L201" s="9" t="s">
        <v>2069</v>
      </c>
      <c r="M201" s="10">
        <v>46127</v>
      </c>
      <c r="N201" s="8" t="s">
        <v>327</v>
      </c>
      <c r="O201" s="12"/>
      <c r="P201" s="13"/>
      <c r="Q201" s="14">
        <f>Tabela1[[#This Row],[QTDE/ Fabricação]]-Tabela1[[#This Row],[QTE]]</f>
        <v>-2</v>
      </c>
      <c r="R201" s="18">
        <f t="shared" si="33"/>
        <v>47.36</v>
      </c>
      <c r="S201" s="18">
        <f t="shared" si="41"/>
        <v>47.36</v>
      </c>
      <c r="T201" s="19">
        <f t="shared" si="35"/>
        <v>0</v>
      </c>
      <c r="U201" s="207">
        <v>2</v>
      </c>
      <c r="V201" s="12" t="str">
        <f>IFERROR(VLOOKUP(Tabela1[[#This Row],[COD.MDE]],'LISTA DE EMBARQUE'!B:L,11,0),"")</f>
        <v/>
      </c>
      <c r="W201" s="13"/>
      <c r="X201" s="14">
        <f>IFERROR(Tabela1[[#This Row],[QIANTIDADE EXPEDIDA]]*Tabela1[[#This Row],[PESO UNI]],"")</f>
        <v>47.36</v>
      </c>
      <c r="Y201" s="14">
        <f t="shared" si="40"/>
        <v>0</v>
      </c>
      <c r="Z201" s="20">
        <f>Tabela1[[#This Row],[PESO TOTAL]]-Tabela1[[#This Row],[Peso Expedido]]</f>
        <v>0</v>
      </c>
      <c r="AA201" s="17">
        <v>1</v>
      </c>
      <c r="AB201" s="33"/>
      <c r="AC201" s="33">
        <v>1</v>
      </c>
      <c r="AD201" s="33">
        <v>1</v>
      </c>
      <c r="AE201" s="33">
        <v>1</v>
      </c>
      <c r="AF201" s="33">
        <v>1</v>
      </c>
      <c r="AG201" s="33">
        <v>1</v>
      </c>
      <c r="AH201" s="33">
        <v>1</v>
      </c>
      <c r="AI201" s="33" t="str">
        <f t="shared" si="37"/>
        <v>ok</v>
      </c>
      <c r="AJ201" s="5"/>
      <c r="AK201" t="str">
        <f>Tabela1[[#This Row],[Coluna1]]&amp;Tabela1[[#This Row],[PEDIDO]]</f>
        <v>P-188</v>
      </c>
      <c r="AL201"/>
      <c r="AM201"/>
      <c r="AN201"/>
      <c r="AO201" t="str">
        <f t="shared" si="42"/>
        <v>T-072956-1/1073-TC-006/007</v>
      </c>
      <c r="AP201" t="str">
        <f>Tabela1[[#This Row],[TAG]]&amp;Tabela1[[#This Row],[PEDIDO]]&amp;Tabela1[[#This Row],[PRODUTO]]</f>
        <v>1073-TC-006/007P-188RMF</v>
      </c>
      <c r="AQ201" s="22" t="str">
        <f>Tabela1[[#This Row],[PRODUTO]]&amp;Tabela1[[#This Row],[TAG]]</f>
        <v>RMF1073-TC-006/007</v>
      </c>
      <c r="AR201" s="24" t="str">
        <f>Tabela1[[#This Row],[PEDIDO]]&amp;Tabela1[[#This Row],[PRODUTO]]</f>
        <v>P-188RMF</v>
      </c>
      <c r="AS201" s="37">
        <f>IF(AF201="",0,IF(ISTEXT(AF201),H201*VALUE(SUBSTITUTE(AF201,"%",""))/100,H201*AF201))-Tabela1[[#This Row],[PRONTO ACABADO2]]</f>
        <v>0</v>
      </c>
      <c r="AT201" s="37">
        <f>IF(AG201="",0,IF(ISTEXT(AG201),H201*VALUE(SUBSTITUTE(AG201,"%",""))/100,H201*AG201))-Tabela1[[#This Row],[PESO EXPEDIDO2]]</f>
        <v>0</v>
      </c>
      <c r="AU201" s="37">
        <f t="shared" si="38"/>
        <v>47.36</v>
      </c>
      <c r="AV201" s="37">
        <f t="shared" si="39"/>
        <v>47.36</v>
      </c>
      <c r="AW201" s="37"/>
    </row>
    <row r="202" spans="1:49" ht="15.75" customHeight="1" x14ac:dyDescent="0.25">
      <c r="A202" s="6" t="s">
        <v>3821</v>
      </c>
      <c r="B202" s="21" t="s">
        <v>3826</v>
      </c>
      <c r="C202" s="7">
        <v>6</v>
      </c>
      <c r="D202" s="39" t="s">
        <v>3808</v>
      </c>
      <c r="E202" s="7">
        <v>4087</v>
      </c>
      <c r="F202" s="7" t="s">
        <v>3789</v>
      </c>
      <c r="G202" s="23">
        <v>23.68</v>
      </c>
      <c r="H202" s="34">
        <f>Tabela1[[#This Row],[PESO UNI]]*Tabela1[[#This Row],[QTE]]</f>
        <v>142.07999999999998</v>
      </c>
      <c r="I202" s="7">
        <v>1</v>
      </c>
      <c r="J202" s="8" t="s">
        <v>3790</v>
      </c>
      <c r="K202" s="8" t="s">
        <v>327</v>
      </c>
      <c r="L202" s="9" t="s">
        <v>2069</v>
      </c>
      <c r="M202" s="10">
        <v>46127</v>
      </c>
      <c r="N202" s="8" t="s">
        <v>327</v>
      </c>
      <c r="O202" s="12"/>
      <c r="P202" s="13"/>
      <c r="Q202" s="14">
        <f>Tabela1[[#This Row],[QTDE/ Fabricação]]-Tabela1[[#This Row],[QTE]]</f>
        <v>-6</v>
      </c>
      <c r="R202" s="18">
        <f t="shared" si="33"/>
        <v>142.07999999999998</v>
      </c>
      <c r="S202" s="18">
        <f t="shared" si="41"/>
        <v>142.07999999999998</v>
      </c>
      <c r="T202" s="19">
        <f t="shared" si="35"/>
        <v>0</v>
      </c>
      <c r="U202" s="207">
        <v>6</v>
      </c>
      <c r="V202" s="12" t="str">
        <f>IFERROR(VLOOKUP(Tabela1[[#This Row],[COD.MDE]],'LISTA DE EMBARQUE'!B:L,11,0),"")</f>
        <v/>
      </c>
      <c r="W202" s="13"/>
      <c r="X202" s="14">
        <f>IFERROR(Tabela1[[#This Row],[QIANTIDADE EXPEDIDA]]*Tabela1[[#This Row],[PESO UNI]],"")</f>
        <v>142.07999999999998</v>
      </c>
      <c r="Y202" s="14">
        <f t="shared" si="40"/>
        <v>0</v>
      </c>
      <c r="Z202" s="20">
        <f>Tabela1[[#This Row],[PESO TOTAL]]-Tabela1[[#This Row],[Peso Expedido]]</f>
        <v>0</v>
      </c>
      <c r="AA202" s="17">
        <v>1</v>
      </c>
      <c r="AB202" s="33"/>
      <c r="AC202" s="33">
        <v>1</v>
      </c>
      <c r="AD202" s="33">
        <v>1</v>
      </c>
      <c r="AE202" s="33">
        <v>1</v>
      </c>
      <c r="AF202" s="33">
        <v>1</v>
      </c>
      <c r="AG202" s="33">
        <v>1</v>
      </c>
      <c r="AH202" s="33">
        <v>1</v>
      </c>
      <c r="AI202" s="33" t="str">
        <f t="shared" si="37"/>
        <v>ok</v>
      </c>
      <c r="AJ202" s="5"/>
      <c r="AK202" t="str">
        <f>Tabela1[[#This Row],[Coluna1]]&amp;Tabela1[[#This Row],[PEDIDO]]</f>
        <v>P-188</v>
      </c>
      <c r="AL202"/>
      <c r="AM202"/>
      <c r="AN202"/>
      <c r="AO202" t="str">
        <f t="shared" si="42"/>
        <v>T-072956-1/1073-TC-006/007</v>
      </c>
      <c r="AP202" t="str">
        <f>Tabela1[[#This Row],[TAG]]&amp;Tabela1[[#This Row],[PEDIDO]]&amp;Tabela1[[#This Row],[PRODUTO]]</f>
        <v>1073-TC-006/007P-188RMF</v>
      </c>
      <c r="AQ202" s="22" t="str">
        <f>Tabela1[[#This Row],[PRODUTO]]&amp;Tabela1[[#This Row],[TAG]]</f>
        <v>RMF1073-TC-006/007</v>
      </c>
      <c r="AR202" s="24" t="str">
        <f>Tabela1[[#This Row],[PEDIDO]]&amp;Tabela1[[#This Row],[PRODUTO]]</f>
        <v>P-188RMF</v>
      </c>
      <c r="AS202" s="37">
        <f>IF(AF202="",0,IF(ISTEXT(AF202),H202*VALUE(SUBSTITUTE(AF202,"%",""))/100,H202*AF202))-Tabela1[[#This Row],[PRONTO ACABADO2]]</f>
        <v>0</v>
      </c>
      <c r="AT202" s="37">
        <f>IF(AG202="",0,IF(ISTEXT(AG202),H202*VALUE(SUBSTITUTE(AG202,"%",""))/100,H202*AG202))-Tabela1[[#This Row],[PESO EXPEDIDO2]]</f>
        <v>0</v>
      </c>
      <c r="AU202" s="37">
        <f t="shared" si="38"/>
        <v>142.07999999999998</v>
      </c>
      <c r="AV202" s="37">
        <f t="shared" si="39"/>
        <v>142.07999999999998</v>
      </c>
      <c r="AW202" s="37"/>
    </row>
    <row r="203" spans="1:49" ht="15.75" customHeight="1" x14ac:dyDescent="0.25">
      <c r="A203" s="6" t="s">
        <v>3821</v>
      </c>
      <c r="B203" s="21" t="s">
        <v>3827</v>
      </c>
      <c r="C203" s="7">
        <v>4</v>
      </c>
      <c r="D203" s="39" t="s">
        <v>3808</v>
      </c>
      <c r="E203" s="7">
        <v>4088</v>
      </c>
      <c r="F203" s="7" t="s">
        <v>3789</v>
      </c>
      <c r="G203" s="23">
        <v>25.94</v>
      </c>
      <c r="H203" s="34">
        <f>Tabela1[[#This Row],[PESO UNI]]*Tabela1[[#This Row],[QTE]]</f>
        <v>103.76</v>
      </c>
      <c r="I203" s="7">
        <v>1</v>
      </c>
      <c r="J203" s="8" t="s">
        <v>3790</v>
      </c>
      <c r="K203" s="8" t="s">
        <v>327</v>
      </c>
      <c r="L203" s="9" t="s">
        <v>2069</v>
      </c>
      <c r="M203" s="10">
        <v>46127</v>
      </c>
      <c r="N203" s="8" t="s">
        <v>327</v>
      </c>
      <c r="O203" s="12"/>
      <c r="P203" s="13"/>
      <c r="Q203" s="14">
        <f>Tabela1[[#This Row],[QTDE/ Fabricação]]-Tabela1[[#This Row],[QTE]]</f>
        <v>-4</v>
      </c>
      <c r="R203" s="18">
        <f t="shared" si="33"/>
        <v>103.76</v>
      </c>
      <c r="S203" s="18">
        <f t="shared" si="41"/>
        <v>103.76</v>
      </c>
      <c r="T203" s="19">
        <f t="shared" si="35"/>
        <v>0</v>
      </c>
      <c r="U203" s="207">
        <v>4</v>
      </c>
      <c r="V203" s="12" t="str">
        <f>IFERROR(VLOOKUP(Tabela1[[#This Row],[COD.MDE]],'LISTA DE EMBARQUE'!B:L,11,0),"")</f>
        <v/>
      </c>
      <c r="W203" s="13"/>
      <c r="X203" s="14">
        <f>IFERROR(Tabela1[[#This Row],[QIANTIDADE EXPEDIDA]]*Tabela1[[#This Row],[PESO UNI]],"")</f>
        <v>103.76</v>
      </c>
      <c r="Y203" s="14">
        <f t="shared" si="40"/>
        <v>0</v>
      </c>
      <c r="Z203" s="20">
        <f>Tabela1[[#This Row],[PESO TOTAL]]-Tabela1[[#This Row],[Peso Expedido]]</f>
        <v>0</v>
      </c>
      <c r="AA203" s="17">
        <v>1</v>
      </c>
      <c r="AB203" s="33"/>
      <c r="AC203" s="33">
        <v>1</v>
      </c>
      <c r="AD203" s="33">
        <v>1</v>
      </c>
      <c r="AE203" s="33">
        <v>1</v>
      </c>
      <c r="AF203" s="33">
        <v>1</v>
      </c>
      <c r="AG203" s="33">
        <v>1</v>
      </c>
      <c r="AH203" s="33">
        <v>1</v>
      </c>
      <c r="AI203" s="33" t="str">
        <f t="shared" si="37"/>
        <v>ok</v>
      </c>
      <c r="AJ203" s="5"/>
      <c r="AK203" t="str">
        <f>Tabela1[[#This Row],[Coluna1]]&amp;Tabela1[[#This Row],[PEDIDO]]</f>
        <v>P-188</v>
      </c>
      <c r="AL203"/>
      <c r="AM203"/>
      <c r="AN203"/>
      <c r="AO203" t="str">
        <f t="shared" si="42"/>
        <v>T-072956-1/1073-TC-006/007</v>
      </c>
      <c r="AP203" t="str">
        <f>Tabela1[[#This Row],[TAG]]&amp;Tabela1[[#This Row],[PEDIDO]]&amp;Tabela1[[#This Row],[PRODUTO]]</f>
        <v>1073-TC-006/007P-188RMF</v>
      </c>
      <c r="AQ203" s="22" t="str">
        <f>Tabela1[[#This Row],[PRODUTO]]&amp;Tabela1[[#This Row],[TAG]]</f>
        <v>RMF1073-TC-006/007</v>
      </c>
      <c r="AR203" s="24" t="str">
        <f>Tabela1[[#This Row],[PEDIDO]]&amp;Tabela1[[#This Row],[PRODUTO]]</f>
        <v>P-188RMF</v>
      </c>
      <c r="AS203" s="37">
        <f>IF(AF203="",0,IF(ISTEXT(AF203),H203*VALUE(SUBSTITUTE(AF203,"%",""))/100,H203*AF203))-Tabela1[[#This Row],[PRONTO ACABADO2]]</f>
        <v>0</v>
      </c>
      <c r="AT203" s="37">
        <f>IF(AG203="",0,IF(ISTEXT(AG203),H203*VALUE(SUBSTITUTE(AG203,"%",""))/100,H203*AG203))-Tabela1[[#This Row],[PESO EXPEDIDO2]]</f>
        <v>0</v>
      </c>
      <c r="AU203" s="37">
        <f t="shared" si="38"/>
        <v>103.76</v>
      </c>
      <c r="AV203" s="37">
        <f t="shared" si="39"/>
        <v>103.76</v>
      </c>
      <c r="AW203" s="37"/>
    </row>
    <row r="204" spans="1:49" ht="15.75" customHeight="1" x14ac:dyDescent="0.25">
      <c r="A204" s="6" t="s">
        <v>3828</v>
      </c>
      <c r="B204" s="21" t="s">
        <v>3829</v>
      </c>
      <c r="C204" s="7">
        <v>4</v>
      </c>
      <c r="D204" s="39" t="s">
        <v>3814</v>
      </c>
      <c r="E204" s="7">
        <v>4089</v>
      </c>
      <c r="F204" s="7" t="s">
        <v>3789</v>
      </c>
      <c r="G204" s="23">
        <v>77</v>
      </c>
      <c r="H204" s="34">
        <f>Tabela1[[#This Row],[PESO UNI]]*Tabela1[[#This Row],[QTE]]</f>
        <v>308</v>
      </c>
      <c r="I204" s="7">
        <v>1</v>
      </c>
      <c r="J204" s="8" t="s">
        <v>3790</v>
      </c>
      <c r="K204" s="8" t="s">
        <v>327</v>
      </c>
      <c r="L204" s="9" t="s">
        <v>2069</v>
      </c>
      <c r="M204" s="10">
        <v>46127</v>
      </c>
      <c r="N204" s="8" t="s">
        <v>327</v>
      </c>
      <c r="O204" s="12"/>
      <c r="P204" s="13"/>
      <c r="Q204" s="14">
        <f>Tabela1[[#This Row],[QTDE/ Fabricação]]-Tabela1[[#This Row],[QTE]]</f>
        <v>-4</v>
      </c>
      <c r="R204" s="18">
        <f t="shared" si="33"/>
        <v>308</v>
      </c>
      <c r="S204" s="18">
        <f t="shared" si="41"/>
        <v>308</v>
      </c>
      <c r="T204" s="19">
        <f t="shared" si="35"/>
        <v>0</v>
      </c>
      <c r="U204" s="207">
        <v>4</v>
      </c>
      <c r="V204" s="12" t="str">
        <f>IFERROR(VLOOKUP(Tabela1[[#This Row],[COD.MDE]],'LISTA DE EMBARQUE'!B:L,11,0),"")</f>
        <v/>
      </c>
      <c r="W204" s="13"/>
      <c r="X204" s="14">
        <f>IFERROR(Tabela1[[#This Row],[QIANTIDADE EXPEDIDA]]*Tabela1[[#This Row],[PESO UNI]],"")</f>
        <v>308</v>
      </c>
      <c r="Y204" s="14">
        <f t="shared" si="40"/>
        <v>0</v>
      </c>
      <c r="Z204" s="20">
        <f>Tabela1[[#This Row],[PESO TOTAL]]-Tabela1[[#This Row],[Peso Expedido]]</f>
        <v>0</v>
      </c>
      <c r="AA204" s="17">
        <v>1</v>
      </c>
      <c r="AB204" s="33"/>
      <c r="AC204" s="33">
        <v>1</v>
      </c>
      <c r="AD204" s="33">
        <v>1</v>
      </c>
      <c r="AE204" s="33">
        <v>1</v>
      </c>
      <c r="AF204" s="33">
        <v>1</v>
      </c>
      <c r="AG204" s="33">
        <v>1</v>
      </c>
      <c r="AH204" s="33">
        <v>1</v>
      </c>
      <c r="AI204" s="33" t="str">
        <f t="shared" si="37"/>
        <v>ok</v>
      </c>
      <c r="AJ204" s="5"/>
      <c r="AK204" t="str">
        <f>Tabela1[[#This Row],[Coluna1]]&amp;Tabela1[[#This Row],[PEDIDO]]</f>
        <v>P-188</v>
      </c>
      <c r="AL204"/>
      <c r="AM204"/>
      <c r="AN204"/>
      <c r="AO204" t="str">
        <f t="shared" si="42"/>
        <v>T-072957-1/1073-TC-006/007</v>
      </c>
      <c r="AP204" t="str">
        <f>Tabela1[[#This Row],[TAG]]&amp;Tabela1[[#This Row],[PEDIDO]]&amp;Tabela1[[#This Row],[PRODUTO]]</f>
        <v>1073-TC-006/007P-188RMF</v>
      </c>
      <c r="AQ204" s="22" t="str">
        <f>Tabela1[[#This Row],[PRODUTO]]&amp;Tabela1[[#This Row],[TAG]]</f>
        <v>RMF1073-TC-006/007</v>
      </c>
      <c r="AR204" s="24" t="str">
        <f>Tabela1[[#This Row],[PEDIDO]]&amp;Tabela1[[#This Row],[PRODUTO]]</f>
        <v>P-188RMF</v>
      </c>
      <c r="AS204" s="37">
        <f>IF(AF204="",0,IF(ISTEXT(AF204),H204*VALUE(SUBSTITUTE(AF204,"%",""))/100,H204*AF204))-Tabela1[[#This Row],[PRONTO ACABADO2]]</f>
        <v>0</v>
      </c>
      <c r="AT204" s="37">
        <f>IF(AG204="",0,IF(ISTEXT(AG204),H204*VALUE(SUBSTITUTE(AG204,"%",""))/100,H204*AG204))-Tabela1[[#This Row],[PESO EXPEDIDO2]]</f>
        <v>0</v>
      </c>
      <c r="AU204" s="37">
        <f t="shared" si="38"/>
        <v>308</v>
      </c>
      <c r="AV204" s="37">
        <f t="shared" si="39"/>
        <v>308</v>
      </c>
      <c r="AW204" s="37"/>
    </row>
    <row r="205" spans="1:49" ht="15.75" customHeight="1" x14ac:dyDescent="0.25">
      <c r="A205" s="6" t="s">
        <v>3828</v>
      </c>
      <c r="B205" s="21" t="s">
        <v>3830</v>
      </c>
      <c r="C205" s="7">
        <v>4</v>
      </c>
      <c r="D205" s="39" t="s">
        <v>3816</v>
      </c>
      <c r="E205" s="7">
        <v>4090</v>
      </c>
      <c r="F205" s="7" t="s">
        <v>3789</v>
      </c>
      <c r="G205" s="23">
        <v>85</v>
      </c>
      <c r="H205" s="34">
        <f>Tabela1[[#This Row],[PESO UNI]]*Tabela1[[#This Row],[QTE]]</f>
        <v>340</v>
      </c>
      <c r="I205" s="7">
        <v>1</v>
      </c>
      <c r="J205" s="8" t="s">
        <v>3790</v>
      </c>
      <c r="K205" s="8" t="s">
        <v>327</v>
      </c>
      <c r="L205" s="9" t="s">
        <v>2069</v>
      </c>
      <c r="M205" s="10">
        <v>46127</v>
      </c>
      <c r="N205" s="8" t="s">
        <v>327</v>
      </c>
      <c r="O205" s="12"/>
      <c r="P205" s="13"/>
      <c r="Q205" s="14">
        <f>Tabela1[[#This Row],[QTDE/ Fabricação]]-Tabela1[[#This Row],[QTE]]</f>
        <v>-4</v>
      </c>
      <c r="R205" s="18">
        <f t="shared" si="33"/>
        <v>340</v>
      </c>
      <c r="S205" s="18">
        <f t="shared" si="41"/>
        <v>340</v>
      </c>
      <c r="T205" s="19">
        <f t="shared" si="35"/>
        <v>0</v>
      </c>
      <c r="U205" s="207">
        <v>4</v>
      </c>
      <c r="V205" s="12" t="str">
        <f>IFERROR(VLOOKUP(Tabela1[[#This Row],[COD.MDE]],'LISTA DE EMBARQUE'!B:L,11,0),"")</f>
        <v/>
      </c>
      <c r="W205" s="13"/>
      <c r="X205" s="14">
        <f>IFERROR(Tabela1[[#This Row],[QIANTIDADE EXPEDIDA]]*Tabela1[[#This Row],[PESO UNI]],"")</f>
        <v>340</v>
      </c>
      <c r="Y205" s="14">
        <f t="shared" si="40"/>
        <v>0</v>
      </c>
      <c r="Z205" s="20">
        <f>Tabela1[[#This Row],[PESO TOTAL]]-Tabela1[[#This Row],[Peso Expedido]]</f>
        <v>0</v>
      </c>
      <c r="AA205" s="17">
        <v>1</v>
      </c>
      <c r="AB205" s="33"/>
      <c r="AC205" s="33">
        <v>1</v>
      </c>
      <c r="AD205" s="33">
        <v>1</v>
      </c>
      <c r="AE205" s="33">
        <v>1</v>
      </c>
      <c r="AF205" s="33">
        <v>1</v>
      </c>
      <c r="AG205" s="33">
        <v>1</v>
      </c>
      <c r="AH205" s="33">
        <v>1</v>
      </c>
      <c r="AI205" s="33" t="str">
        <f t="shared" si="37"/>
        <v>ok</v>
      </c>
      <c r="AJ205" s="5"/>
      <c r="AK205" t="str">
        <f>Tabela1[[#This Row],[Coluna1]]&amp;Tabela1[[#This Row],[PEDIDO]]</f>
        <v>P-188</v>
      </c>
      <c r="AL205"/>
      <c r="AM205"/>
      <c r="AN205"/>
      <c r="AO205" t="str">
        <f t="shared" si="42"/>
        <v>T-072957-1/1073-TC-006/007</v>
      </c>
      <c r="AP205" t="str">
        <f>Tabela1[[#This Row],[TAG]]&amp;Tabela1[[#This Row],[PEDIDO]]&amp;Tabela1[[#This Row],[PRODUTO]]</f>
        <v>1073-TC-006/007P-188RMF</v>
      </c>
      <c r="AQ205" s="22" t="str">
        <f>Tabela1[[#This Row],[PRODUTO]]&amp;Tabela1[[#This Row],[TAG]]</f>
        <v>RMF1073-TC-006/007</v>
      </c>
      <c r="AR205" s="24" t="str">
        <f>Tabela1[[#This Row],[PEDIDO]]&amp;Tabela1[[#This Row],[PRODUTO]]</f>
        <v>P-188RMF</v>
      </c>
      <c r="AS205" s="37">
        <f>IF(AF205="",0,IF(ISTEXT(AF205),H205*VALUE(SUBSTITUTE(AF205,"%",""))/100,H205*AF205))-Tabela1[[#This Row],[PRONTO ACABADO2]]</f>
        <v>0</v>
      </c>
      <c r="AT205" s="37">
        <f>IF(AG205="",0,IF(ISTEXT(AG205),H205*VALUE(SUBSTITUTE(AG205,"%",""))/100,H205*AG205))-Tabela1[[#This Row],[PESO EXPEDIDO2]]</f>
        <v>0</v>
      </c>
      <c r="AU205" s="37">
        <f t="shared" si="38"/>
        <v>340</v>
      </c>
      <c r="AV205" s="37">
        <f t="shared" si="39"/>
        <v>340</v>
      </c>
      <c r="AW205" s="37"/>
    </row>
    <row r="206" spans="1:49" ht="15.75" customHeight="1" x14ac:dyDescent="0.25">
      <c r="A206" s="6" t="s">
        <v>3828</v>
      </c>
      <c r="B206" s="21" t="s">
        <v>3831</v>
      </c>
      <c r="C206" s="7">
        <v>4</v>
      </c>
      <c r="D206" s="39" t="s">
        <v>3818</v>
      </c>
      <c r="E206" s="7">
        <v>4091</v>
      </c>
      <c r="F206" s="7" t="s">
        <v>3789</v>
      </c>
      <c r="G206" s="23">
        <v>50</v>
      </c>
      <c r="H206" s="34">
        <f>Tabela1[[#This Row],[PESO UNI]]*Tabela1[[#This Row],[QTE]]</f>
        <v>200</v>
      </c>
      <c r="I206" s="7">
        <v>1</v>
      </c>
      <c r="J206" s="8" t="s">
        <v>3790</v>
      </c>
      <c r="K206" s="8" t="s">
        <v>327</v>
      </c>
      <c r="L206" s="9" t="s">
        <v>2069</v>
      </c>
      <c r="M206" s="10">
        <v>46127</v>
      </c>
      <c r="N206" s="8" t="s">
        <v>327</v>
      </c>
      <c r="O206" s="12"/>
      <c r="P206" s="13"/>
      <c r="Q206" s="14">
        <f>Tabela1[[#This Row],[QTDE/ Fabricação]]-Tabela1[[#This Row],[QTE]]</f>
        <v>-4</v>
      </c>
      <c r="R206" s="18">
        <f t="shared" si="33"/>
        <v>200</v>
      </c>
      <c r="S206" s="18">
        <f t="shared" si="41"/>
        <v>0</v>
      </c>
      <c r="T206" s="19">
        <f t="shared" si="35"/>
        <v>-200</v>
      </c>
      <c r="U206" s="16">
        <f>IFERROR(SUMIF('LISTA DE EMBARQUE'!B:B,MICRO!E:E,'LISTA DE EMBARQUE'!G:G),"")</f>
        <v>0</v>
      </c>
      <c r="V206" s="12" t="str">
        <f>IFERROR(VLOOKUP(Tabela1[[#This Row],[COD.MDE]],'LISTA DE EMBARQUE'!B:L,11,0),"")</f>
        <v/>
      </c>
      <c r="W206" s="13" t="str">
        <f>IFERROR(VLOOKUP(Tabela1[[#This Row],[COD.MDE]],'LISTA DE EMBARQUE'!B:M,12,0),"")</f>
        <v/>
      </c>
      <c r="X206" s="14">
        <f>IFERROR(Tabela1[[#This Row],[QIANTIDADE EXPEDIDA]]*Tabela1[[#This Row],[PESO UNI]],"")</f>
        <v>0</v>
      </c>
      <c r="Y206" s="14">
        <f t="shared" si="40"/>
        <v>-4</v>
      </c>
      <c r="Z206" s="20">
        <f>Tabela1[[#This Row],[PESO TOTAL]]-Tabela1[[#This Row],[Peso Expedido]]</f>
        <v>200</v>
      </c>
      <c r="AA206" s="17">
        <v>1</v>
      </c>
      <c r="AB206" s="33"/>
      <c r="AC206" s="33">
        <v>1</v>
      </c>
      <c r="AD206" s="33">
        <v>1</v>
      </c>
      <c r="AE206" s="33">
        <v>1</v>
      </c>
      <c r="AF206" s="33">
        <v>1</v>
      </c>
      <c r="AG206" s="33">
        <v>0</v>
      </c>
      <c r="AH206" s="33"/>
      <c r="AI206" s="33" t="str">
        <f t="shared" si="37"/>
        <v/>
      </c>
      <c r="AJ206" s="5"/>
      <c r="AK206" t="str">
        <f>Tabela1[[#This Row],[Coluna1]]&amp;Tabela1[[#This Row],[PEDIDO]]</f>
        <v>P-188</v>
      </c>
      <c r="AL206"/>
      <c r="AM206"/>
      <c r="AN206"/>
      <c r="AO206" t="str">
        <f t="shared" si="42"/>
        <v>T-072957-1/1073-TC-006/007</v>
      </c>
      <c r="AP206" t="str">
        <f>Tabela1[[#This Row],[TAG]]&amp;Tabela1[[#This Row],[PEDIDO]]&amp;Tabela1[[#This Row],[PRODUTO]]</f>
        <v>1073-TC-006/007P-188RMF</v>
      </c>
      <c r="AQ206" s="22" t="str">
        <f>Tabela1[[#This Row],[PRODUTO]]&amp;Tabela1[[#This Row],[TAG]]</f>
        <v>RMF1073-TC-006/007</v>
      </c>
      <c r="AR206" s="24" t="str">
        <f>Tabela1[[#This Row],[PEDIDO]]&amp;Tabela1[[#This Row],[PRODUTO]]</f>
        <v>P-188RMF</v>
      </c>
      <c r="AS206" s="37">
        <f>IF(AF206="",0,IF(ISTEXT(AF206),H206*VALUE(SUBSTITUTE(AF206,"%",""))/100,H206*AF206))-Tabela1[[#This Row],[PRONTO ACABADO2]]</f>
        <v>200</v>
      </c>
      <c r="AT206" s="37">
        <f>IF(AG206="",0,IF(ISTEXT(AG206),H206*VALUE(SUBSTITUTE(AG206,"%",""))/100,H206*AG206))-Tabela1[[#This Row],[PESO EXPEDIDO2]]</f>
        <v>0</v>
      </c>
      <c r="AU206" s="37">
        <f t="shared" si="38"/>
        <v>0</v>
      </c>
      <c r="AV206" s="37">
        <f t="shared" si="39"/>
        <v>0</v>
      </c>
      <c r="AW206" s="37"/>
    </row>
    <row r="207" spans="1:49" ht="15.75" customHeight="1" x14ac:dyDescent="0.25">
      <c r="A207" s="6" t="s">
        <v>3832</v>
      </c>
      <c r="B207" s="21" t="s">
        <v>3833</v>
      </c>
      <c r="C207" s="7">
        <v>2</v>
      </c>
      <c r="D207" s="39" t="s">
        <v>3814</v>
      </c>
      <c r="E207" s="7">
        <v>4092</v>
      </c>
      <c r="F207" s="7" t="s">
        <v>3789</v>
      </c>
      <c r="G207" s="23">
        <v>81.680000000000007</v>
      </c>
      <c r="H207" s="34">
        <f>Tabela1[[#This Row],[PESO UNI]]*Tabela1[[#This Row],[QTE]]</f>
        <v>163.36000000000001</v>
      </c>
      <c r="I207" s="7">
        <v>0</v>
      </c>
      <c r="J207" s="8" t="s">
        <v>3790</v>
      </c>
      <c r="K207" s="8" t="s">
        <v>327</v>
      </c>
      <c r="L207" s="9" t="s">
        <v>2069</v>
      </c>
      <c r="M207" s="10">
        <v>46127</v>
      </c>
      <c r="N207" s="8" t="s">
        <v>327</v>
      </c>
      <c r="O207" s="12"/>
      <c r="P207" s="13"/>
      <c r="Q207" s="14">
        <f>Tabela1[[#This Row],[QTDE/ Fabricação]]-Tabela1[[#This Row],[QTE]]</f>
        <v>-2</v>
      </c>
      <c r="R207" s="18">
        <f t="shared" si="33"/>
        <v>163.36000000000001</v>
      </c>
      <c r="S207" s="18">
        <f t="shared" si="41"/>
        <v>163.36000000000001</v>
      </c>
      <c r="T207" s="19">
        <f t="shared" si="35"/>
        <v>0</v>
      </c>
      <c r="U207" s="207">
        <v>2</v>
      </c>
      <c r="V207" s="12" t="str">
        <f>IFERROR(VLOOKUP(Tabela1[[#This Row],[COD.MDE]],'LISTA DE EMBARQUE'!B:L,11,0),"")</f>
        <v/>
      </c>
      <c r="W207" s="13"/>
      <c r="X207" s="14">
        <f>IFERROR(Tabela1[[#This Row],[QIANTIDADE EXPEDIDA]]*Tabela1[[#This Row],[PESO UNI]],"")</f>
        <v>163.36000000000001</v>
      </c>
      <c r="Y207" s="14">
        <f t="shared" si="40"/>
        <v>0</v>
      </c>
      <c r="Z207" s="20">
        <f>Tabela1[[#This Row],[PESO TOTAL]]-Tabela1[[#This Row],[Peso Expedido]]</f>
        <v>0</v>
      </c>
      <c r="AA207" s="17">
        <v>1</v>
      </c>
      <c r="AB207" s="33"/>
      <c r="AC207" s="33">
        <v>1</v>
      </c>
      <c r="AD207" s="33">
        <v>1</v>
      </c>
      <c r="AE207" s="33">
        <v>1</v>
      </c>
      <c r="AF207" s="33">
        <v>1</v>
      </c>
      <c r="AG207" s="33">
        <v>1</v>
      </c>
      <c r="AH207" s="33">
        <v>1</v>
      </c>
      <c r="AI207" s="33" t="str">
        <f t="shared" si="37"/>
        <v>ok</v>
      </c>
      <c r="AJ207" s="5"/>
      <c r="AK207" t="str">
        <f>Tabela1[[#This Row],[Coluna1]]&amp;Tabela1[[#This Row],[PEDIDO]]</f>
        <v>P-188</v>
      </c>
      <c r="AL207"/>
      <c r="AM207"/>
      <c r="AN207"/>
      <c r="AO207" t="str">
        <f t="shared" si="42"/>
        <v>T-072960-1/1073-TC-006/007</v>
      </c>
      <c r="AP207" t="str">
        <f>Tabela1[[#This Row],[TAG]]&amp;Tabela1[[#This Row],[PEDIDO]]&amp;Tabela1[[#This Row],[PRODUTO]]</f>
        <v>1073-TC-006/007P-188RMF</v>
      </c>
      <c r="AQ207" s="22" t="str">
        <f>Tabela1[[#This Row],[PRODUTO]]&amp;Tabela1[[#This Row],[TAG]]</f>
        <v>RMF1073-TC-006/007</v>
      </c>
      <c r="AR207" s="24" t="str">
        <f>Tabela1[[#This Row],[PEDIDO]]&amp;Tabela1[[#This Row],[PRODUTO]]</f>
        <v>P-188RMF</v>
      </c>
      <c r="AS207" s="37">
        <f>IF(AF207="",0,IF(ISTEXT(AF207),H207*VALUE(SUBSTITUTE(AF207,"%",""))/100,H207*AF207))-Tabela1[[#This Row],[PRONTO ACABADO2]]</f>
        <v>0</v>
      </c>
      <c r="AT207" s="37">
        <f>IF(AG207="",0,IF(ISTEXT(AG207),H207*VALUE(SUBSTITUTE(AG207,"%",""))/100,H207*AG207))-Tabela1[[#This Row],[PESO EXPEDIDO2]]</f>
        <v>0</v>
      </c>
      <c r="AU207" s="37">
        <f t="shared" si="38"/>
        <v>163.36000000000001</v>
      </c>
      <c r="AV207" s="37">
        <f t="shared" si="39"/>
        <v>163.36000000000001</v>
      </c>
      <c r="AW207" s="37"/>
    </row>
    <row r="208" spans="1:49" ht="15.75" customHeight="1" x14ac:dyDescent="0.25">
      <c r="A208" s="6" t="s">
        <v>3832</v>
      </c>
      <c r="B208" s="21" t="s">
        <v>3834</v>
      </c>
      <c r="C208" s="7">
        <v>2</v>
      </c>
      <c r="D208" s="39" t="s">
        <v>3816</v>
      </c>
      <c r="E208" s="7">
        <v>4093</v>
      </c>
      <c r="F208" s="7" t="s">
        <v>3789</v>
      </c>
      <c r="G208" s="23">
        <v>83.17</v>
      </c>
      <c r="H208" s="34">
        <f>Tabela1[[#This Row],[PESO UNI]]*Tabela1[[#This Row],[QTE]]</f>
        <v>166.34</v>
      </c>
      <c r="I208" s="7">
        <v>0</v>
      </c>
      <c r="J208" s="8" t="s">
        <v>3790</v>
      </c>
      <c r="K208" s="8" t="s">
        <v>327</v>
      </c>
      <c r="L208" s="9" t="s">
        <v>2069</v>
      </c>
      <c r="M208" s="10">
        <v>46127</v>
      </c>
      <c r="N208" s="8" t="s">
        <v>327</v>
      </c>
      <c r="O208" s="12"/>
      <c r="P208" s="13"/>
      <c r="Q208" s="14">
        <f>Tabela1[[#This Row],[QTDE/ Fabricação]]-Tabela1[[#This Row],[QTE]]</f>
        <v>-2</v>
      </c>
      <c r="R208" s="18">
        <f t="shared" si="33"/>
        <v>166.34</v>
      </c>
      <c r="S208" s="18">
        <f t="shared" si="41"/>
        <v>166.34</v>
      </c>
      <c r="T208" s="19">
        <f t="shared" si="35"/>
        <v>0</v>
      </c>
      <c r="U208" s="207">
        <v>2</v>
      </c>
      <c r="V208" s="12" t="str">
        <f>IFERROR(VLOOKUP(Tabela1[[#This Row],[COD.MDE]],'LISTA DE EMBARQUE'!B:L,11,0),"")</f>
        <v/>
      </c>
      <c r="W208" s="13"/>
      <c r="X208" s="14">
        <f>IFERROR(Tabela1[[#This Row],[QIANTIDADE EXPEDIDA]]*Tabela1[[#This Row],[PESO UNI]],"")</f>
        <v>166.34</v>
      </c>
      <c r="Y208" s="14">
        <f t="shared" si="40"/>
        <v>0</v>
      </c>
      <c r="Z208" s="20">
        <f>Tabela1[[#This Row],[PESO TOTAL]]-Tabela1[[#This Row],[Peso Expedido]]</f>
        <v>0</v>
      </c>
      <c r="AA208" s="17">
        <v>1</v>
      </c>
      <c r="AB208" s="33"/>
      <c r="AC208" s="33">
        <v>1</v>
      </c>
      <c r="AD208" s="33">
        <v>1</v>
      </c>
      <c r="AE208" s="33">
        <v>1</v>
      </c>
      <c r="AF208" s="33">
        <v>1</v>
      </c>
      <c r="AG208" s="33">
        <v>1</v>
      </c>
      <c r="AH208" s="33">
        <v>1</v>
      </c>
      <c r="AI208" s="33" t="str">
        <f t="shared" si="37"/>
        <v>ok</v>
      </c>
      <c r="AJ208" s="5"/>
      <c r="AK208" t="str">
        <f>Tabela1[[#This Row],[Coluna1]]&amp;Tabela1[[#This Row],[PEDIDO]]</f>
        <v>P-188</v>
      </c>
      <c r="AL208"/>
      <c r="AM208"/>
      <c r="AN208"/>
      <c r="AO208" t="str">
        <f t="shared" si="42"/>
        <v>T-072960-1/1073-TC-006/007</v>
      </c>
      <c r="AP208" t="str">
        <f>Tabela1[[#This Row],[TAG]]&amp;Tabela1[[#This Row],[PEDIDO]]&amp;Tabela1[[#This Row],[PRODUTO]]</f>
        <v>1073-TC-006/007P-188RMF</v>
      </c>
      <c r="AQ208" s="22" t="str">
        <f>Tabela1[[#This Row],[PRODUTO]]&amp;Tabela1[[#This Row],[TAG]]</f>
        <v>RMF1073-TC-006/007</v>
      </c>
      <c r="AR208" s="24" t="str">
        <f>Tabela1[[#This Row],[PEDIDO]]&amp;Tabela1[[#This Row],[PRODUTO]]</f>
        <v>P-188RMF</v>
      </c>
      <c r="AS208" s="37">
        <f>IF(AF208="",0,IF(ISTEXT(AF208),H208*VALUE(SUBSTITUTE(AF208,"%",""))/100,H208*AF208))-Tabela1[[#This Row],[PRONTO ACABADO2]]</f>
        <v>0</v>
      </c>
      <c r="AT208" s="37">
        <f>IF(AG208="",0,IF(ISTEXT(AG208),H208*VALUE(SUBSTITUTE(AG208,"%",""))/100,H208*AG208))-Tabela1[[#This Row],[PESO EXPEDIDO2]]</f>
        <v>0</v>
      </c>
      <c r="AU208" s="37">
        <f t="shared" si="38"/>
        <v>166.34</v>
      </c>
      <c r="AV208" s="37">
        <f t="shared" si="39"/>
        <v>166.34</v>
      </c>
      <c r="AW208" s="37"/>
    </row>
    <row r="209" spans="1:49" ht="15.75" customHeight="1" x14ac:dyDescent="0.25">
      <c r="A209" s="6" t="s">
        <v>3832</v>
      </c>
      <c r="B209" s="21" t="s">
        <v>3835</v>
      </c>
      <c r="C209" s="7">
        <v>2</v>
      </c>
      <c r="D209" s="39" t="s">
        <v>3818</v>
      </c>
      <c r="E209" s="7">
        <v>4094</v>
      </c>
      <c r="F209" s="7" t="s">
        <v>3789</v>
      </c>
      <c r="G209" s="23">
        <v>115.1</v>
      </c>
      <c r="H209" s="34">
        <f>Tabela1[[#This Row],[PESO UNI]]*Tabela1[[#This Row],[QTE]]</f>
        <v>230.2</v>
      </c>
      <c r="I209" s="7">
        <v>0</v>
      </c>
      <c r="J209" s="8" t="s">
        <v>3790</v>
      </c>
      <c r="K209" s="8" t="s">
        <v>327</v>
      </c>
      <c r="L209" s="9" t="s">
        <v>2069</v>
      </c>
      <c r="M209" s="10">
        <v>46127</v>
      </c>
      <c r="N209" s="8" t="s">
        <v>327</v>
      </c>
      <c r="O209" s="12"/>
      <c r="P209" s="13"/>
      <c r="Q209" s="14">
        <f>Tabela1[[#This Row],[QTDE/ Fabricação]]-Tabela1[[#This Row],[QTE]]</f>
        <v>-2</v>
      </c>
      <c r="R209" s="18">
        <f t="shared" si="33"/>
        <v>230.2</v>
      </c>
      <c r="S209" s="18">
        <f t="shared" si="41"/>
        <v>230.2</v>
      </c>
      <c r="T209" s="19">
        <f t="shared" si="35"/>
        <v>0</v>
      </c>
      <c r="U209" s="207">
        <v>2</v>
      </c>
      <c r="V209" s="12" t="str">
        <f>IFERROR(VLOOKUP(Tabela1[[#This Row],[COD.MDE]],'LISTA DE EMBARQUE'!B:L,11,0),"")</f>
        <v/>
      </c>
      <c r="W209" s="13"/>
      <c r="X209" s="14">
        <f>IFERROR(Tabela1[[#This Row],[QIANTIDADE EXPEDIDA]]*Tabela1[[#This Row],[PESO UNI]],"")</f>
        <v>230.2</v>
      </c>
      <c r="Y209" s="14">
        <f t="shared" si="40"/>
        <v>0</v>
      </c>
      <c r="Z209" s="20">
        <f>Tabela1[[#This Row],[PESO TOTAL]]-Tabela1[[#This Row],[Peso Expedido]]</f>
        <v>0</v>
      </c>
      <c r="AA209" s="17">
        <v>1</v>
      </c>
      <c r="AB209" s="33"/>
      <c r="AC209" s="33">
        <v>1</v>
      </c>
      <c r="AD209" s="33">
        <v>1</v>
      </c>
      <c r="AE209" s="33">
        <v>1</v>
      </c>
      <c r="AF209" s="33">
        <v>1</v>
      </c>
      <c r="AG209" s="33">
        <v>1</v>
      </c>
      <c r="AH209" s="33">
        <v>1</v>
      </c>
      <c r="AI209" s="33" t="str">
        <f t="shared" si="37"/>
        <v>ok</v>
      </c>
      <c r="AJ209" s="5"/>
      <c r="AK209" t="str">
        <f>Tabela1[[#This Row],[Coluna1]]&amp;Tabela1[[#This Row],[PEDIDO]]</f>
        <v>P-188</v>
      </c>
      <c r="AL209"/>
      <c r="AM209"/>
      <c r="AN209"/>
      <c r="AO209" t="str">
        <f t="shared" si="42"/>
        <v>T-072960-1/1073-TC-006/007</v>
      </c>
      <c r="AP209" t="str">
        <f>Tabela1[[#This Row],[TAG]]&amp;Tabela1[[#This Row],[PEDIDO]]&amp;Tabela1[[#This Row],[PRODUTO]]</f>
        <v>1073-TC-006/007P-188RMF</v>
      </c>
      <c r="AQ209" s="22" t="str">
        <f>Tabela1[[#This Row],[PRODUTO]]&amp;Tabela1[[#This Row],[TAG]]</f>
        <v>RMF1073-TC-006/007</v>
      </c>
      <c r="AR209" s="24" t="str">
        <f>Tabela1[[#This Row],[PEDIDO]]&amp;Tabela1[[#This Row],[PRODUTO]]</f>
        <v>P-188RMF</v>
      </c>
      <c r="AS209" s="37">
        <f>IF(AF209="",0,IF(ISTEXT(AF209),H209*VALUE(SUBSTITUTE(AF209,"%",""))/100,H209*AF209))-Tabela1[[#This Row],[PRONTO ACABADO2]]</f>
        <v>0</v>
      </c>
      <c r="AT209" s="37">
        <f>IF(AG209="",0,IF(ISTEXT(AG209),H209*VALUE(SUBSTITUTE(AG209,"%",""))/100,H209*AG209))-Tabela1[[#This Row],[PESO EXPEDIDO2]]</f>
        <v>0</v>
      </c>
      <c r="AU209" s="37">
        <f t="shared" si="38"/>
        <v>230.2</v>
      </c>
      <c r="AV209" s="37">
        <f t="shared" si="39"/>
        <v>230.2</v>
      </c>
      <c r="AW209" s="37"/>
    </row>
    <row r="210" spans="1:49" ht="15.75" customHeight="1" x14ac:dyDescent="0.25">
      <c r="A210" s="6" t="s">
        <v>3832</v>
      </c>
      <c r="B210" s="21" t="s">
        <v>3836</v>
      </c>
      <c r="C210" s="7">
        <v>2</v>
      </c>
      <c r="D210" s="39" t="s">
        <v>3820</v>
      </c>
      <c r="E210" s="7">
        <v>4095</v>
      </c>
      <c r="F210" s="7" t="s">
        <v>3789</v>
      </c>
      <c r="G210" s="23">
        <v>44.32</v>
      </c>
      <c r="H210" s="34">
        <f>Tabela1[[#This Row],[PESO UNI]]*Tabela1[[#This Row],[QTE]]</f>
        <v>88.64</v>
      </c>
      <c r="I210" s="7">
        <v>0</v>
      </c>
      <c r="J210" s="8" t="s">
        <v>3790</v>
      </c>
      <c r="K210" s="8" t="s">
        <v>327</v>
      </c>
      <c r="L210" s="9" t="s">
        <v>2069</v>
      </c>
      <c r="M210" s="10">
        <v>46127</v>
      </c>
      <c r="N210" s="8" t="s">
        <v>327</v>
      </c>
      <c r="O210" s="12"/>
      <c r="P210" s="13"/>
      <c r="Q210" s="14">
        <f>Tabela1[[#This Row],[QTDE/ Fabricação]]-Tabela1[[#This Row],[QTE]]</f>
        <v>-2</v>
      </c>
      <c r="R210" s="18">
        <f t="shared" si="33"/>
        <v>88.64</v>
      </c>
      <c r="S210" s="18">
        <f t="shared" si="41"/>
        <v>88.64</v>
      </c>
      <c r="T210" s="19">
        <f t="shared" si="35"/>
        <v>0</v>
      </c>
      <c r="U210" s="207">
        <v>2</v>
      </c>
      <c r="V210" s="12" t="str">
        <f>IFERROR(VLOOKUP(Tabela1[[#This Row],[COD.MDE]],'LISTA DE EMBARQUE'!B:L,11,0),"")</f>
        <v/>
      </c>
      <c r="W210" s="13"/>
      <c r="X210" s="14">
        <f>IFERROR(Tabela1[[#This Row],[QIANTIDADE EXPEDIDA]]*Tabela1[[#This Row],[PESO UNI]],"")</f>
        <v>88.64</v>
      </c>
      <c r="Y210" s="14">
        <f t="shared" si="40"/>
        <v>0</v>
      </c>
      <c r="Z210" s="20">
        <f>Tabela1[[#This Row],[PESO TOTAL]]-Tabela1[[#This Row],[Peso Expedido]]</f>
        <v>0</v>
      </c>
      <c r="AA210" s="17">
        <v>1</v>
      </c>
      <c r="AB210" s="33"/>
      <c r="AC210" s="33">
        <v>1</v>
      </c>
      <c r="AD210" s="33">
        <v>1</v>
      </c>
      <c r="AE210" s="33">
        <v>1</v>
      </c>
      <c r="AF210" s="33">
        <v>1</v>
      </c>
      <c r="AG210" s="33">
        <v>1</v>
      </c>
      <c r="AH210" s="33">
        <v>1</v>
      </c>
      <c r="AI210" s="33" t="str">
        <f t="shared" si="37"/>
        <v>ok</v>
      </c>
      <c r="AJ210" s="5"/>
      <c r="AK210" t="str">
        <f>Tabela1[[#This Row],[Coluna1]]&amp;Tabela1[[#This Row],[PEDIDO]]</f>
        <v>P-188</v>
      </c>
      <c r="AL210"/>
      <c r="AM210"/>
      <c r="AN210"/>
      <c r="AO210" t="str">
        <f t="shared" si="42"/>
        <v>T-072960-1/1073-TC-006/007</v>
      </c>
      <c r="AP210" t="str">
        <f>Tabela1[[#This Row],[TAG]]&amp;Tabela1[[#This Row],[PEDIDO]]&amp;Tabela1[[#This Row],[PRODUTO]]</f>
        <v>1073-TC-006/007P-188RMF</v>
      </c>
      <c r="AQ210" s="22" t="str">
        <f>Tabela1[[#This Row],[PRODUTO]]&amp;Tabela1[[#This Row],[TAG]]</f>
        <v>RMF1073-TC-006/007</v>
      </c>
      <c r="AR210" s="24" t="str">
        <f>Tabela1[[#This Row],[PEDIDO]]&amp;Tabela1[[#This Row],[PRODUTO]]</f>
        <v>P-188RMF</v>
      </c>
      <c r="AS210" s="37">
        <f>IF(AF210="",0,IF(ISTEXT(AF210),H210*VALUE(SUBSTITUTE(AF210,"%",""))/100,H210*AF210))-Tabela1[[#This Row],[PRONTO ACABADO2]]</f>
        <v>0</v>
      </c>
      <c r="AT210" s="37">
        <f>IF(AG210="",0,IF(ISTEXT(AG210),H210*VALUE(SUBSTITUTE(AG210,"%",""))/100,H210*AG210))-Tabela1[[#This Row],[PESO EXPEDIDO2]]</f>
        <v>0</v>
      </c>
      <c r="AU210" s="37">
        <f t="shared" si="38"/>
        <v>88.64</v>
      </c>
      <c r="AV210" s="37">
        <f t="shared" si="39"/>
        <v>88.64</v>
      </c>
      <c r="AW210" s="37"/>
    </row>
    <row r="211" spans="1:49" ht="15.75" customHeight="1" x14ac:dyDescent="0.25">
      <c r="A211" s="6" t="s">
        <v>3837</v>
      </c>
      <c r="B211" s="21" t="s">
        <v>3838</v>
      </c>
      <c r="C211" s="7">
        <v>2</v>
      </c>
      <c r="D211" s="39" t="s">
        <v>3814</v>
      </c>
      <c r="E211" s="7">
        <v>4096</v>
      </c>
      <c r="F211" s="7" t="s">
        <v>3789</v>
      </c>
      <c r="G211" s="23">
        <v>101.75</v>
      </c>
      <c r="H211" s="34">
        <f>Tabela1[[#This Row],[PESO UNI]]*Tabela1[[#This Row],[QTE]]</f>
        <v>203.5</v>
      </c>
      <c r="I211" s="7">
        <v>0</v>
      </c>
      <c r="J211" s="8" t="s">
        <v>3790</v>
      </c>
      <c r="K211" s="8" t="s">
        <v>327</v>
      </c>
      <c r="L211" s="9" t="s">
        <v>2069</v>
      </c>
      <c r="M211" s="10">
        <v>46127</v>
      </c>
      <c r="N211" s="8" t="s">
        <v>327</v>
      </c>
      <c r="O211" s="12"/>
      <c r="P211" s="13"/>
      <c r="Q211" s="14">
        <f>Tabela1[[#This Row],[QTDE/ Fabricação]]-Tabela1[[#This Row],[QTE]]</f>
        <v>-2</v>
      </c>
      <c r="R211" s="18">
        <f t="shared" si="33"/>
        <v>203.5</v>
      </c>
      <c r="S211" s="18">
        <f t="shared" si="41"/>
        <v>203.5</v>
      </c>
      <c r="T211" s="19">
        <f t="shared" si="35"/>
        <v>0</v>
      </c>
      <c r="U211" s="207">
        <v>2</v>
      </c>
      <c r="V211" s="12" t="str">
        <f>IFERROR(VLOOKUP(Tabela1[[#This Row],[COD.MDE]],'LISTA DE EMBARQUE'!B:L,11,0),"")</f>
        <v/>
      </c>
      <c r="W211" s="13"/>
      <c r="X211" s="14">
        <f>IFERROR(Tabela1[[#This Row],[QIANTIDADE EXPEDIDA]]*Tabela1[[#This Row],[PESO UNI]],"")</f>
        <v>203.5</v>
      </c>
      <c r="Y211" s="14">
        <f t="shared" si="40"/>
        <v>0</v>
      </c>
      <c r="Z211" s="20">
        <f>Tabela1[[#This Row],[PESO TOTAL]]-Tabela1[[#This Row],[Peso Expedido]]</f>
        <v>0</v>
      </c>
      <c r="AA211" s="17">
        <v>1</v>
      </c>
      <c r="AB211" s="33"/>
      <c r="AC211" s="33">
        <v>1</v>
      </c>
      <c r="AD211" s="33">
        <v>1</v>
      </c>
      <c r="AE211" s="33">
        <v>1</v>
      </c>
      <c r="AF211" s="33">
        <v>1</v>
      </c>
      <c r="AG211" s="33">
        <v>1</v>
      </c>
      <c r="AH211" s="33">
        <v>1</v>
      </c>
      <c r="AI211" s="33" t="str">
        <f t="shared" si="37"/>
        <v>ok</v>
      </c>
      <c r="AJ211" s="5"/>
      <c r="AK211" t="str">
        <f>Tabela1[[#This Row],[Coluna1]]&amp;Tabela1[[#This Row],[PEDIDO]]</f>
        <v>P-188</v>
      </c>
      <c r="AL211"/>
      <c r="AM211"/>
      <c r="AN211"/>
      <c r="AO211" t="str">
        <f t="shared" si="42"/>
        <v>T-072964-1/1073-TC-006/007</v>
      </c>
      <c r="AP211" t="str">
        <f>Tabela1[[#This Row],[TAG]]&amp;Tabela1[[#This Row],[PEDIDO]]&amp;Tabela1[[#This Row],[PRODUTO]]</f>
        <v>1073-TC-006/007P-188RMF</v>
      </c>
      <c r="AQ211" s="22" t="str">
        <f>Tabela1[[#This Row],[PRODUTO]]&amp;Tabela1[[#This Row],[TAG]]</f>
        <v>RMF1073-TC-006/007</v>
      </c>
      <c r="AR211" s="24" t="str">
        <f>Tabela1[[#This Row],[PEDIDO]]&amp;Tabela1[[#This Row],[PRODUTO]]</f>
        <v>P-188RMF</v>
      </c>
      <c r="AS211" s="37">
        <f>IF(AF211="",0,IF(ISTEXT(AF211),H211*VALUE(SUBSTITUTE(AF211,"%",""))/100,H211*AF211))-Tabela1[[#This Row],[PRONTO ACABADO2]]</f>
        <v>0</v>
      </c>
      <c r="AT211" s="37">
        <f>IF(AG211="",0,IF(ISTEXT(AG211),H211*VALUE(SUBSTITUTE(AG211,"%",""))/100,H211*AG211))-Tabela1[[#This Row],[PESO EXPEDIDO2]]</f>
        <v>0</v>
      </c>
      <c r="AU211" s="37">
        <f t="shared" si="38"/>
        <v>203.5</v>
      </c>
      <c r="AV211" s="37">
        <f t="shared" si="39"/>
        <v>203.5</v>
      </c>
      <c r="AW211" s="37"/>
    </row>
    <row r="212" spans="1:49" ht="15.75" customHeight="1" x14ac:dyDescent="0.25">
      <c r="A212" s="6" t="s">
        <v>3837</v>
      </c>
      <c r="B212" s="21" t="s">
        <v>3839</v>
      </c>
      <c r="C212" s="7">
        <v>4</v>
      </c>
      <c r="D212" s="39" t="s">
        <v>3816</v>
      </c>
      <c r="E212" s="7">
        <v>4097</v>
      </c>
      <c r="F212" s="7" t="s">
        <v>3789</v>
      </c>
      <c r="G212" s="23">
        <v>31.39</v>
      </c>
      <c r="H212" s="34">
        <f>Tabela1[[#This Row],[PESO UNI]]*Tabela1[[#This Row],[QTE]]</f>
        <v>125.56</v>
      </c>
      <c r="I212" s="7">
        <v>0</v>
      </c>
      <c r="J212" s="8" t="s">
        <v>3790</v>
      </c>
      <c r="K212" s="8" t="s">
        <v>327</v>
      </c>
      <c r="L212" s="9" t="s">
        <v>2069</v>
      </c>
      <c r="M212" s="10">
        <v>46127</v>
      </c>
      <c r="N212" s="8" t="s">
        <v>327</v>
      </c>
      <c r="O212" s="12"/>
      <c r="P212" s="13"/>
      <c r="Q212" s="14">
        <f>Tabela1[[#This Row],[QTDE/ Fabricação]]-Tabela1[[#This Row],[QTE]]</f>
        <v>-4</v>
      </c>
      <c r="R212" s="18">
        <f t="shared" si="33"/>
        <v>125.56</v>
      </c>
      <c r="S212" s="18">
        <f t="shared" si="41"/>
        <v>125.56</v>
      </c>
      <c r="T212" s="19">
        <f t="shared" si="35"/>
        <v>0</v>
      </c>
      <c r="U212" s="207">
        <v>4</v>
      </c>
      <c r="V212" s="12" t="str">
        <f>IFERROR(VLOOKUP(Tabela1[[#This Row],[COD.MDE]],'LISTA DE EMBARQUE'!B:L,11,0),"")</f>
        <v/>
      </c>
      <c r="W212" s="13"/>
      <c r="X212" s="14">
        <f>IFERROR(Tabela1[[#This Row],[QIANTIDADE EXPEDIDA]]*Tabela1[[#This Row],[PESO UNI]],"")</f>
        <v>125.56</v>
      </c>
      <c r="Y212" s="14">
        <f t="shared" si="40"/>
        <v>0</v>
      </c>
      <c r="Z212" s="20">
        <f>Tabela1[[#This Row],[PESO TOTAL]]-Tabela1[[#This Row],[Peso Expedido]]</f>
        <v>0</v>
      </c>
      <c r="AA212" s="17">
        <v>1</v>
      </c>
      <c r="AB212" s="33"/>
      <c r="AC212" s="33">
        <v>1</v>
      </c>
      <c r="AD212" s="33">
        <v>1</v>
      </c>
      <c r="AE212" s="33">
        <v>1</v>
      </c>
      <c r="AF212" s="33">
        <v>1</v>
      </c>
      <c r="AG212" s="33">
        <v>1</v>
      </c>
      <c r="AH212" s="33">
        <v>1</v>
      </c>
      <c r="AI212" s="33" t="str">
        <f t="shared" si="37"/>
        <v>ok</v>
      </c>
      <c r="AJ212" s="5"/>
      <c r="AK212" t="str">
        <f>Tabela1[[#This Row],[Coluna1]]&amp;Tabela1[[#This Row],[PEDIDO]]</f>
        <v>P-188</v>
      </c>
      <c r="AL212"/>
      <c r="AM212"/>
      <c r="AN212"/>
      <c r="AO212" t="str">
        <f t="shared" si="42"/>
        <v>T-072964-1/1073-TC-006/007</v>
      </c>
      <c r="AP212" t="str">
        <f>Tabela1[[#This Row],[TAG]]&amp;Tabela1[[#This Row],[PEDIDO]]&amp;Tabela1[[#This Row],[PRODUTO]]</f>
        <v>1073-TC-006/007P-188RMF</v>
      </c>
      <c r="AQ212" s="22" t="str">
        <f>Tabela1[[#This Row],[PRODUTO]]&amp;Tabela1[[#This Row],[TAG]]</f>
        <v>RMF1073-TC-006/007</v>
      </c>
      <c r="AR212" s="24" t="str">
        <f>Tabela1[[#This Row],[PEDIDO]]&amp;Tabela1[[#This Row],[PRODUTO]]</f>
        <v>P-188RMF</v>
      </c>
      <c r="AS212" s="37">
        <f>IF(AF212="",0,IF(ISTEXT(AF212),H212*VALUE(SUBSTITUTE(AF212,"%",""))/100,H212*AF212))-Tabela1[[#This Row],[PRONTO ACABADO2]]</f>
        <v>0</v>
      </c>
      <c r="AT212" s="37">
        <f>IF(AG212="",0,IF(ISTEXT(AG212),H212*VALUE(SUBSTITUTE(AG212,"%",""))/100,H212*AG212))-Tabela1[[#This Row],[PESO EXPEDIDO2]]</f>
        <v>0</v>
      </c>
      <c r="AU212" s="37">
        <f t="shared" si="38"/>
        <v>125.56</v>
      </c>
      <c r="AV212" s="37">
        <f t="shared" si="39"/>
        <v>125.56</v>
      </c>
      <c r="AW212" s="37"/>
    </row>
    <row r="213" spans="1:49" ht="15.75" customHeight="1" x14ac:dyDescent="0.25">
      <c r="A213" s="6" t="s">
        <v>3837</v>
      </c>
      <c r="B213" s="21" t="s">
        <v>3840</v>
      </c>
      <c r="C213" s="7">
        <v>2</v>
      </c>
      <c r="D213" s="39" t="s">
        <v>3818</v>
      </c>
      <c r="E213" s="7">
        <v>4098</v>
      </c>
      <c r="F213" s="7" t="s">
        <v>3789</v>
      </c>
      <c r="G213" s="23">
        <v>62.12</v>
      </c>
      <c r="H213" s="34">
        <f>Tabela1[[#This Row],[PESO UNI]]*Tabela1[[#This Row],[QTE]]</f>
        <v>124.24</v>
      </c>
      <c r="I213" s="7">
        <v>0</v>
      </c>
      <c r="J213" s="8" t="s">
        <v>3790</v>
      </c>
      <c r="K213" s="8" t="s">
        <v>327</v>
      </c>
      <c r="L213" s="9" t="s">
        <v>2069</v>
      </c>
      <c r="M213" s="10">
        <v>46127</v>
      </c>
      <c r="N213" s="8" t="s">
        <v>327</v>
      </c>
      <c r="O213" s="12"/>
      <c r="P213" s="13"/>
      <c r="Q213" s="14">
        <f>Tabela1[[#This Row],[QTDE/ Fabricação]]-Tabela1[[#This Row],[QTE]]</f>
        <v>-2</v>
      </c>
      <c r="R213" s="18">
        <f t="shared" si="33"/>
        <v>124.24</v>
      </c>
      <c r="S213" s="18">
        <f t="shared" si="41"/>
        <v>124.24</v>
      </c>
      <c r="T213" s="19">
        <f t="shared" si="35"/>
        <v>0</v>
      </c>
      <c r="U213" s="207">
        <v>2</v>
      </c>
      <c r="V213" s="12" t="str">
        <f>IFERROR(VLOOKUP(Tabela1[[#This Row],[COD.MDE]],'LISTA DE EMBARQUE'!B:L,11,0),"")</f>
        <v/>
      </c>
      <c r="W213" s="13"/>
      <c r="X213" s="14">
        <f>IFERROR(Tabela1[[#This Row],[QIANTIDADE EXPEDIDA]]*Tabela1[[#This Row],[PESO UNI]],"")</f>
        <v>124.24</v>
      </c>
      <c r="Y213" s="14">
        <f t="shared" si="40"/>
        <v>0</v>
      </c>
      <c r="Z213" s="20">
        <f>Tabela1[[#This Row],[PESO TOTAL]]-Tabela1[[#This Row],[Peso Expedido]]</f>
        <v>0</v>
      </c>
      <c r="AA213" s="17">
        <v>1</v>
      </c>
      <c r="AB213" s="33"/>
      <c r="AC213" s="33">
        <v>1</v>
      </c>
      <c r="AD213" s="33">
        <v>1</v>
      </c>
      <c r="AE213" s="33">
        <v>1</v>
      </c>
      <c r="AF213" s="33">
        <v>1</v>
      </c>
      <c r="AG213" s="33">
        <v>1</v>
      </c>
      <c r="AH213" s="33">
        <v>1</v>
      </c>
      <c r="AI213" s="33" t="str">
        <f t="shared" si="37"/>
        <v>ok</v>
      </c>
      <c r="AJ213" s="5"/>
      <c r="AK213" t="str">
        <f>Tabela1[[#This Row],[Coluna1]]&amp;Tabela1[[#This Row],[PEDIDO]]</f>
        <v>P-188</v>
      </c>
      <c r="AL213"/>
      <c r="AM213"/>
      <c r="AN213"/>
      <c r="AO213" t="str">
        <f t="shared" si="42"/>
        <v>T-072964-1/1073-TC-006/007</v>
      </c>
      <c r="AP213" t="str">
        <f>Tabela1[[#This Row],[TAG]]&amp;Tabela1[[#This Row],[PEDIDO]]&amp;Tabela1[[#This Row],[PRODUTO]]</f>
        <v>1073-TC-006/007P-188RMF</v>
      </c>
      <c r="AQ213" s="22" t="str">
        <f>Tabela1[[#This Row],[PRODUTO]]&amp;Tabela1[[#This Row],[TAG]]</f>
        <v>RMF1073-TC-006/007</v>
      </c>
      <c r="AR213" s="24" t="str">
        <f>Tabela1[[#This Row],[PEDIDO]]&amp;Tabela1[[#This Row],[PRODUTO]]</f>
        <v>P-188RMF</v>
      </c>
      <c r="AS213" s="37">
        <f>IF(AF213="",0,IF(ISTEXT(AF213),H213*VALUE(SUBSTITUTE(AF213,"%",""))/100,H213*AF213))-Tabela1[[#This Row],[PRONTO ACABADO2]]</f>
        <v>0</v>
      </c>
      <c r="AT213" s="37">
        <f>IF(AG213="",0,IF(ISTEXT(AG213),H213*VALUE(SUBSTITUTE(AG213,"%",""))/100,H213*AG213))-Tabela1[[#This Row],[PESO EXPEDIDO2]]</f>
        <v>0</v>
      </c>
      <c r="AU213" s="37">
        <f t="shared" si="38"/>
        <v>124.24</v>
      </c>
      <c r="AV213" s="37">
        <f t="shared" si="39"/>
        <v>124.24</v>
      </c>
      <c r="AW213" s="37"/>
    </row>
    <row r="214" spans="1:49" ht="15.75" customHeight="1" x14ac:dyDescent="0.25">
      <c r="A214" s="6" t="s">
        <v>3837</v>
      </c>
      <c r="B214" s="21" t="s">
        <v>3841</v>
      </c>
      <c r="C214" s="7">
        <v>2</v>
      </c>
      <c r="D214" s="39" t="s">
        <v>3820</v>
      </c>
      <c r="E214" s="7">
        <v>4099</v>
      </c>
      <c r="F214" s="7" t="s">
        <v>3789</v>
      </c>
      <c r="G214" s="23">
        <v>40.82</v>
      </c>
      <c r="H214" s="34">
        <f>Tabela1[[#This Row],[PESO UNI]]*Tabela1[[#This Row],[QTE]]</f>
        <v>81.64</v>
      </c>
      <c r="I214" s="7">
        <v>0</v>
      </c>
      <c r="J214" s="8" t="s">
        <v>3790</v>
      </c>
      <c r="K214" s="8" t="s">
        <v>327</v>
      </c>
      <c r="L214" s="9" t="s">
        <v>2069</v>
      </c>
      <c r="M214" s="10">
        <v>46127</v>
      </c>
      <c r="N214" s="8" t="s">
        <v>327</v>
      </c>
      <c r="O214" s="12"/>
      <c r="P214" s="13"/>
      <c r="Q214" s="14">
        <f>Tabela1[[#This Row],[QTDE/ Fabricação]]-Tabela1[[#This Row],[QTE]]</f>
        <v>-2</v>
      </c>
      <c r="R214" s="18">
        <f t="shared" si="33"/>
        <v>81.64</v>
      </c>
      <c r="S214" s="18">
        <f t="shared" si="41"/>
        <v>81.64</v>
      </c>
      <c r="T214" s="19">
        <f t="shared" si="35"/>
        <v>0</v>
      </c>
      <c r="U214" s="207">
        <v>2</v>
      </c>
      <c r="V214" s="12" t="str">
        <f>IFERROR(VLOOKUP(Tabela1[[#This Row],[COD.MDE]],'LISTA DE EMBARQUE'!B:L,11,0),"")</f>
        <v/>
      </c>
      <c r="W214" s="13"/>
      <c r="X214" s="14">
        <f>IFERROR(Tabela1[[#This Row],[QIANTIDADE EXPEDIDA]]*Tabela1[[#This Row],[PESO UNI]],"")</f>
        <v>81.64</v>
      </c>
      <c r="Y214" s="14">
        <f t="shared" si="40"/>
        <v>0</v>
      </c>
      <c r="Z214" s="20">
        <f>Tabela1[[#This Row],[PESO TOTAL]]-Tabela1[[#This Row],[Peso Expedido]]</f>
        <v>0</v>
      </c>
      <c r="AA214" s="17">
        <v>1</v>
      </c>
      <c r="AB214" s="33"/>
      <c r="AC214" s="33">
        <v>1</v>
      </c>
      <c r="AD214" s="33">
        <v>1</v>
      </c>
      <c r="AE214" s="33">
        <v>1</v>
      </c>
      <c r="AF214" s="33">
        <v>1</v>
      </c>
      <c r="AG214" s="33">
        <v>1</v>
      </c>
      <c r="AH214" s="33">
        <v>1</v>
      </c>
      <c r="AI214" s="33" t="str">
        <f t="shared" si="37"/>
        <v>ok</v>
      </c>
      <c r="AJ214" s="5"/>
      <c r="AK214" t="str">
        <f>Tabela1[[#This Row],[Coluna1]]&amp;Tabela1[[#This Row],[PEDIDO]]</f>
        <v>P-188</v>
      </c>
      <c r="AL214"/>
      <c r="AM214"/>
      <c r="AN214"/>
      <c r="AO214" t="str">
        <f t="shared" si="42"/>
        <v>T-072964-1/1073-TC-006/007</v>
      </c>
      <c r="AP214" t="str">
        <f>Tabela1[[#This Row],[TAG]]&amp;Tabela1[[#This Row],[PEDIDO]]&amp;Tabela1[[#This Row],[PRODUTO]]</f>
        <v>1073-TC-006/007P-188RMF</v>
      </c>
      <c r="AQ214" s="22" t="str">
        <f>Tabela1[[#This Row],[PRODUTO]]&amp;Tabela1[[#This Row],[TAG]]</f>
        <v>RMF1073-TC-006/007</v>
      </c>
      <c r="AR214" s="24" t="str">
        <f>Tabela1[[#This Row],[PEDIDO]]&amp;Tabela1[[#This Row],[PRODUTO]]</f>
        <v>P-188RMF</v>
      </c>
      <c r="AS214" s="37">
        <f>IF(AF214="",0,IF(ISTEXT(AF214),H214*VALUE(SUBSTITUTE(AF214,"%",""))/100,H214*AF214))-Tabela1[[#This Row],[PRONTO ACABADO2]]</f>
        <v>0</v>
      </c>
      <c r="AT214" s="37">
        <f>IF(AG214="",0,IF(ISTEXT(AG214),H214*VALUE(SUBSTITUTE(AG214,"%",""))/100,H214*AG214))-Tabela1[[#This Row],[PESO EXPEDIDO2]]</f>
        <v>0</v>
      </c>
      <c r="AU214" s="37">
        <f t="shared" si="38"/>
        <v>81.64</v>
      </c>
      <c r="AV214" s="37">
        <f t="shared" si="39"/>
        <v>81.64</v>
      </c>
      <c r="AW214" s="37"/>
    </row>
    <row r="215" spans="1:49" ht="15.75" customHeight="1" x14ac:dyDescent="0.25">
      <c r="A215" s="6" t="s">
        <v>3842</v>
      </c>
      <c r="B215" s="21" t="s">
        <v>3843</v>
      </c>
      <c r="C215" s="7">
        <v>2</v>
      </c>
      <c r="D215" s="39" t="s">
        <v>3844</v>
      </c>
      <c r="E215" s="7">
        <v>4100</v>
      </c>
      <c r="F215" s="7" t="s">
        <v>3789</v>
      </c>
      <c r="G215" s="23">
        <v>39.380000000000003</v>
      </c>
      <c r="H215" s="34">
        <f>Tabela1[[#This Row],[PESO UNI]]*Tabela1[[#This Row],[QTE]]</f>
        <v>78.760000000000005</v>
      </c>
      <c r="I215" s="7">
        <v>2</v>
      </c>
      <c r="J215" s="8" t="s">
        <v>3790</v>
      </c>
      <c r="K215" s="8" t="s">
        <v>327</v>
      </c>
      <c r="L215" s="9" t="s">
        <v>2069</v>
      </c>
      <c r="M215" s="10">
        <v>46127</v>
      </c>
      <c r="N215" s="8" t="s">
        <v>327</v>
      </c>
      <c r="O215" s="12"/>
      <c r="P215" s="13"/>
      <c r="Q215" s="14">
        <f>Tabela1[[#This Row],[QTDE/ Fabricação]]-Tabela1[[#This Row],[QTE]]</f>
        <v>-2</v>
      </c>
      <c r="R215" s="18">
        <f t="shared" si="33"/>
        <v>78.760000000000005</v>
      </c>
      <c r="S215" s="18">
        <f t="shared" si="41"/>
        <v>78.760000000000005</v>
      </c>
      <c r="T215" s="19">
        <f t="shared" si="35"/>
        <v>0</v>
      </c>
      <c r="U215" s="207">
        <v>2</v>
      </c>
      <c r="V215" s="12" t="str">
        <f>IFERROR(VLOOKUP(Tabela1[[#This Row],[COD.MDE]],'LISTA DE EMBARQUE'!B:L,11,0),"")</f>
        <v/>
      </c>
      <c r="W215" s="13"/>
      <c r="X215" s="14">
        <f>IFERROR(Tabela1[[#This Row],[QIANTIDADE EXPEDIDA]]*Tabela1[[#This Row],[PESO UNI]],"")</f>
        <v>78.760000000000005</v>
      </c>
      <c r="Y215" s="14">
        <f t="shared" si="40"/>
        <v>0</v>
      </c>
      <c r="Z215" s="20">
        <f>Tabela1[[#This Row],[PESO TOTAL]]-Tabela1[[#This Row],[Peso Expedido]]</f>
        <v>0</v>
      </c>
      <c r="AA215" s="17">
        <v>1</v>
      </c>
      <c r="AB215" s="33"/>
      <c r="AC215" s="33">
        <v>1</v>
      </c>
      <c r="AD215" s="33">
        <v>1</v>
      </c>
      <c r="AE215" s="33">
        <v>1</v>
      </c>
      <c r="AF215" s="33">
        <v>1</v>
      </c>
      <c r="AG215" s="33">
        <v>1</v>
      </c>
      <c r="AH215" s="33">
        <v>1</v>
      </c>
      <c r="AI215" s="33" t="str">
        <f t="shared" si="37"/>
        <v>ok</v>
      </c>
      <c r="AJ215" s="5"/>
      <c r="AK215" t="str">
        <f>Tabela1[[#This Row],[Coluna1]]&amp;Tabela1[[#This Row],[PEDIDO]]</f>
        <v>P-188</v>
      </c>
      <c r="AL215"/>
      <c r="AM215"/>
      <c r="AN215"/>
      <c r="AO215" t="str">
        <f t="shared" si="42"/>
        <v>T-072965-1/1073-TC-006/007</v>
      </c>
      <c r="AP215" t="str">
        <f>Tabela1[[#This Row],[TAG]]&amp;Tabela1[[#This Row],[PEDIDO]]&amp;Tabela1[[#This Row],[PRODUTO]]</f>
        <v>1073-TC-006/007P-188RMF</v>
      </c>
      <c r="AQ215" s="22" t="str">
        <f>Tabela1[[#This Row],[PRODUTO]]&amp;Tabela1[[#This Row],[TAG]]</f>
        <v>RMF1073-TC-006/007</v>
      </c>
      <c r="AR215" s="24" t="str">
        <f>Tabela1[[#This Row],[PEDIDO]]&amp;Tabela1[[#This Row],[PRODUTO]]</f>
        <v>P-188RMF</v>
      </c>
      <c r="AS215" s="37">
        <f>IF(AF215="",0,IF(ISTEXT(AF215),H215*VALUE(SUBSTITUTE(AF215,"%",""))/100,H215*AF215))-Tabela1[[#This Row],[PRONTO ACABADO2]]</f>
        <v>0</v>
      </c>
      <c r="AT215" s="37">
        <f>IF(AG215="",0,IF(ISTEXT(AG215),H215*VALUE(SUBSTITUTE(AG215,"%",""))/100,H215*AG215))-Tabela1[[#This Row],[PESO EXPEDIDO2]]</f>
        <v>0</v>
      </c>
      <c r="AU215" s="37">
        <f t="shared" si="38"/>
        <v>78.760000000000005</v>
      </c>
      <c r="AV215" s="37">
        <f t="shared" si="39"/>
        <v>78.760000000000005</v>
      </c>
      <c r="AW215" s="37"/>
    </row>
    <row r="216" spans="1:49" ht="15.75" customHeight="1" x14ac:dyDescent="0.25">
      <c r="A216" s="6" t="s">
        <v>3842</v>
      </c>
      <c r="B216" s="21" t="s">
        <v>3845</v>
      </c>
      <c r="C216" s="7">
        <v>4</v>
      </c>
      <c r="D216" s="39" t="s">
        <v>3846</v>
      </c>
      <c r="E216" s="7">
        <v>4101</v>
      </c>
      <c r="F216" s="7" t="s">
        <v>3789</v>
      </c>
      <c r="G216" s="23">
        <v>39.78</v>
      </c>
      <c r="H216" s="34">
        <f>Tabela1[[#This Row],[PESO UNI]]*Tabela1[[#This Row],[QTE]]</f>
        <v>159.12</v>
      </c>
      <c r="I216" s="7">
        <v>2</v>
      </c>
      <c r="J216" s="8" t="s">
        <v>3790</v>
      </c>
      <c r="K216" s="8" t="s">
        <v>327</v>
      </c>
      <c r="L216" s="9" t="s">
        <v>2069</v>
      </c>
      <c r="M216" s="10">
        <v>46127</v>
      </c>
      <c r="N216" s="8" t="s">
        <v>327</v>
      </c>
      <c r="O216" s="12"/>
      <c r="P216" s="13"/>
      <c r="Q216" s="14">
        <f>Tabela1[[#This Row],[QTDE/ Fabricação]]-Tabela1[[#This Row],[QTE]]</f>
        <v>-4</v>
      </c>
      <c r="R216" s="18">
        <f t="shared" si="33"/>
        <v>159.12</v>
      </c>
      <c r="S216" s="18">
        <f t="shared" si="41"/>
        <v>159.12</v>
      </c>
      <c r="T216" s="19">
        <f t="shared" si="35"/>
        <v>0</v>
      </c>
      <c r="U216" s="207">
        <v>4</v>
      </c>
      <c r="V216" s="12" t="str">
        <f>IFERROR(VLOOKUP(Tabela1[[#This Row],[COD.MDE]],'LISTA DE EMBARQUE'!B:L,11,0),"")</f>
        <v/>
      </c>
      <c r="W216" s="13"/>
      <c r="X216" s="14">
        <f>IFERROR(Tabela1[[#This Row],[QIANTIDADE EXPEDIDA]]*Tabela1[[#This Row],[PESO UNI]],"")</f>
        <v>159.12</v>
      </c>
      <c r="Y216" s="14">
        <f t="shared" si="40"/>
        <v>0</v>
      </c>
      <c r="Z216" s="20">
        <f>Tabela1[[#This Row],[PESO TOTAL]]-Tabela1[[#This Row],[Peso Expedido]]</f>
        <v>0</v>
      </c>
      <c r="AA216" s="17">
        <v>1</v>
      </c>
      <c r="AB216" s="33"/>
      <c r="AC216" s="33">
        <v>1</v>
      </c>
      <c r="AD216" s="33">
        <v>1</v>
      </c>
      <c r="AE216" s="33">
        <v>1</v>
      </c>
      <c r="AF216" s="33">
        <v>1</v>
      </c>
      <c r="AG216" s="33">
        <v>1</v>
      </c>
      <c r="AH216" s="33">
        <v>1</v>
      </c>
      <c r="AI216" s="33" t="str">
        <f t="shared" si="37"/>
        <v>ok</v>
      </c>
      <c r="AJ216" s="5"/>
      <c r="AK216" t="str">
        <f>Tabela1[[#This Row],[Coluna1]]&amp;Tabela1[[#This Row],[PEDIDO]]</f>
        <v>P-188</v>
      </c>
      <c r="AL216"/>
      <c r="AM216"/>
      <c r="AN216"/>
      <c r="AO216" t="str">
        <f t="shared" si="42"/>
        <v>T-072965-1/1073-TC-006/007</v>
      </c>
      <c r="AP216" t="str">
        <f>Tabela1[[#This Row],[TAG]]&amp;Tabela1[[#This Row],[PEDIDO]]&amp;Tabela1[[#This Row],[PRODUTO]]</f>
        <v>1073-TC-006/007P-188RMF</v>
      </c>
      <c r="AQ216" s="22" t="str">
        <f>Tabela1[[#This Row],[PRODUTO]]&amp;Tabela1[[#This Row],[TAG]]</f>
        <v>RMF1073-TC-006/007</v>
      </c>
      <c r="AR216" s="24" t="str">
        <f>Tabela1[[#This Row],[PEDIDO]]&amp;Tabela1[[#This Row],[PRODUTO]]</f>
        <v>P-188RMF</v>
      </c>
      <c r="AS216" s="37">
        <f>IF(AF216="",0,IF(ISTEXT(AF216),H216*VALUE(SUBSTITUTE(AF216,"%",""))/100,H216*AF216))-Tabela1[[#This Row],[PRONTO ACABADO2]]</f>
        <v>0</v>
      </c>
      <c r="AT216" s="37">
        <f>IF(AG216="",0,IF(ISTEXT(AG216),H216*VALUE(SUBSTITUTE(AG216,"%",""))/100,H216*AG216))-Tabela1[[#This Row],[PESO EXPEDIDO2]]</f>
        <v>0</v>
      </c>
      <c r="AU216" s="37">
        <f t="shared" si="38"/>
        <v>159.12</v>
      </c>
      <c r="AV216" s="37">
        <f t="shared" si="39"/>
        <v>159.12</v>
      </c>
      <c r="AW216" s="37"/>
    </row>
    <row r="217" spans="1:49" ht="15.75" customHeight="1" x14ac:dyDescent="0.25">
      <c r="A217" s="6" t="s">
        <v>3842</v>
      </c>
      <c r="B217" s="21" t="s">
        <v>3847</v>
      </c>
      <c r="C217" s="7">
        <v>4</v>
      </c>
      <c r="D217" s="39" t="s">
        <v>3848</v>
      </c>
      <c r="E217" s="7">
        <v>4102</v>
      </c>
      <c r="F217" s="7" t="s">
        <v>3789</v>
      </c>
      <c r="G217" s="23">
        <v>134.97999999999999</v>
      </c>
      <c r="H217" s="34">
        <f>Tabela1[[#This Row],[PESO UNI]]*Tabela1[[#This Row],[QTE]]</f>
        <v>539.91999999999996</v>
      </c>
      <c r="I217" s="7">
        <v>2</v>
      </c>
      <c r="J217" s="8" t="s">
        <v>3790</v>
      </c>
      <c r="K217" s="8" t="s">
        <v>327</v>
      </c>
      <c r="L217" s="9" t="s">
        <v>2069</v>
      </c>
      <c r="M217" s="10">
        <v>46127</v>
      </c>
      <c r="N217" s="8" t="s">
        <v>327</v>
      </c>
      <c r="O217" s="12"/>
      <c r="P217" s="13"/>
      <c r="Q217" s="14">
        <f>Tabela1[[#This Row],[QTDE/ Fabricação]]-Tabela1[[#This Row],[QTE]]</f>
        <v>-4</v>
      </c>
      <c r="R217" s="18">
        <f t="shared" si="33"/>
        <v>539.91999999999996</v>
      </c>
      <c r="S217" s="18">
        <f t="shared" si="41"/>
        <v>539.91999999999996</v>
      </c>
      <c r="T217" s="19">
        <f t="shared" si="35"/>
        <v>0</v>
      </c>
      <c r="U217" s="207">
        <v>4</v>
      </c>
      <c r="V217" s="12" t="str">
        <f>IFERROR(VLOOKUP(Tabela1[[#This Row],[COD.MDE]],'LISTA DE EMBARQUE'!B:L,11,0),"")</f>
        <v/>
      </c>
      <c r="W217" s="13"/>
      <c r="X217" s="14">
        <f>IFERROR(Tabela1[[#This Row],[QIANTIDADE EXPEDIDA]]*Tabela1[[#This Row],[PESO UNI]],"")</f>
        <v>539.91999999999996</v>
      </c>
      <c r="Y217" s="14">
        <f t="shared" si="40"/>
        <v>0</v>
      </c>
      <c r="Z217" s="20">
        <f>Tabela1[[#This Row],[PESO TOTAL]]-Tabela1[[#This Row],[Peso Expedido]]</f>
        <v>0</v>
      </c>
      <c r="AA217" s="17">
        <v>1</v>
      </c>
      <c r="AB217" s="33"/>
      <c r="AC217" s="33">
        <v>1</v>
      </c>
      <c r="AD217" s="33">
        <v>1</v>
      </c>
      <c r="AE217" s="33">
        <v>1</v>
      </c>
      <c r="AF217" s="33">
        <v>1</v>
      </c>
      <c r="AG217" s="33">
        <v>1</v>
      </c>
      <c r="AH217" s="33">
        <v>1</v>
      </c>
      <c r="AI217" s="33" t="str">
        <f t="shared" si="37"/>
        <v>ok</v>
      </c>
      <c r="AJ217" s="5"/>
      <c r="AK217" t="str">
        <f>Tabela1[[#This Row],[Coluna1]]&amp;Tabela1[[#This Row],[PEDIDO]]</f>
        <v>P-188</v>
      </c>
      <c r="AL217"/>
      <c r="AM217"/>
      <c r="AN217"/>
      <c r="AO217" t="str">
        <f t="shared" si="42"/>
        <v>T-072965-1/1073-TC-006/007</v>
      </c>
      <c r="AP217" t="str">
        <f>Tabela1[[#This Row],[TAG]]&amp;Tabela1[[#This Row],[PEDIDO]]&amp;Tabela1[[#This Row],[PRODUTO]]</f>
        <v>1073-TC-006/007P-188RMF</v>
      </c>
      <c r="AQ217" s="22" t="str">
        <f>Tabela1[[#This Row],[PRODUTO]]&amp;Tabela1[[#This Row],[TAG]]</f>
        <v>RMF1073-TC-006/007</v>
      </c>
      <c r="AR217" s="24" t="str">
        <f>Tabela1[[#This Row],[PEDIDO]]&amp;Tabela1[[#This Row],[PRODUTO]]</f>
        <v>P-188RMF</v>
      </c>
      <c r="AS217" s="37">
        <f>IF(AF217="",0,IF(ISTEXT(AF217),H217*VALUE(SUBSTITUTE(AF217,"%",""))/100,H217*AF217))-Tabela1[[#This Row],[PRONTO ACABADO2]]</f>
        <v>0</v>
      </c>
      <c r="AT217" s="37">
        <f>IF(AG217="",0,IF(ISTEXT(AG217),H217*VALUE(SUBSTITUTE(AG217,"%",""))/100,H217*AG217))-Tabela1[[#This Row],[PESO EXPEDIDO2]]</f>
        <v>0</v>
      </c>
      <c r="AU217" s="37">
        <f t="shared" si="38"/>
        <v>539.91999999999996</v>
      </c>
      <c r="AV217" s="37">
        <f t="shared" si="39"/>
        <v>539.91999999999996</v>
      </c>
      <c r="AW217" s="37"/>
    </row>
    <row r="218" spans="1:49" ht="15.75" customHeight="1" x14ac:dyDescent="0.25">
      <c r="A218" s="6" t="s">
        <v>3849</v>
      </c>
      <c r="B218" s="21" t="s">
        <v>3850</v>
      </c>
      <c r="C218" s="7">
        <v>4</v>
      </c>
      <c r="D218" s="39" t="s">
        <v>3814</v>
      </c>
      <c r="E218" s="7">
        <v>4103</v>
      </c>
      <c r="F218" s="7" t="s">
        <v>3789</v>
      </c>
      <c r="G218" s="23">
        <v>47.47</v>
      </c>
      <c r="H218" s="34">
        <f>Tabela1[[#This Row],[PESO UNI]]*Tabela1[[#This Row],[QTE]]</f>
        <v>189.88</v>
      </c>
      <c r="I218" s="7">
        <v>0</v>
      </c>
      <c r="J218" s="8" t="s">
        <v>3790</v>
      </c>
      <c r="K218" s="8" t="s">
        <v>327</v>
      </c>
      <c r="L218" s="9" t="s">
        <v>2069</v>
      </c>
      <c r="M218" s="10">
        <v>46127</v>
      </c>
      <c r="N218" s="8" t="s">
        <v>327</v>
      </c>
      <c r="O218" s="12"/>
      <c r="P218" s="13"/>
      <c r="Q218" s="14">
        <f>Tabela1[[#This Row],[QTDE/ Fabricação]]-Tabela1[[#This Row],[QTE]]</f>
        <v>-4</v>
      </c>
      <c r="R218" s="18">
        <f t="shared" ref="R218:R281" si="43">IFERROR(H218*((AA218*0.25)+(AC218*0.25)+(AD218*0.225)+(AE218*0.225)+(AF218*0.05)),"")</f>
        <v>189.88</v>
      </c>
      <c r="S218" s="18">
        <f t="shared" si="41"/>
        <v>189.88</v>
      </c>
      <c r="T218" s="19">
        <f t="shared" ref="T218:T281" si="44">IFERROR(S218-H218,"")</f>
        <v>0</v>
      </c>
      <c r="U218" s="207">
        <v>4</v>
      </c>
      <c r="V218" s="12" t="str">
        <f>IFERROR(VLOOKUP(Tabela1[[#This Row],[COD.MDE]],'LISTA DE EMBARQUE'!B:L,11,0),"")</f>
        <v/>
      </c>
      <c r="W218" s="13"/>
      <c r="X218" s="14">
        <f>IFERROR(Tabela1[[#This Row],[QIANTIDADE EXPEDIDA]]*Tabela1[[#This Row],[PESO UNI]],"")</f>
        <v>189.88</v>
      </c>
      <c r="Y218" s="14">
        <f t="shared" si="40"/>
        <v>0</v>
      </c>
      <c r="Z218" s="20">
        <f>Tabela1[[#This Row],[PESO TOTAL]]-Tabela1[[#This Row],[Peso Expedido]]</f>
        <v>0</v>
      </c>
      <c r="AA218" s="17">
        <v>1</v>
      </c>
      <c r="AB218" s="33"/>
      <c r="AC218" s="33">
        <v>1</v>
      </c>
      <c r="AD218" s="33">
        <v>1</v>
      </c>
      <c r="AE218" s="33">
        <v>1</v>
      </c>
      <c r="AF218" s="33">
        <v>1</v>
      </c>
      <c r="AG218" s="33">
        <v>1</v>
      </c>
      <c r="AH218" s="33">
        <v>1</v>
      </c>
      <c r="AI218" s="33" t="str">
        <f t="shared" si="37"/>
        <v>ok</v>
      </c>
      <c r="AJ218" s="5"/>
      <c r="AK218" t="str">
        <f>Tabela1[[#This Row],[Coluna1]]&amp;Tabela1[[#This Row],[PEDIDO]]</f>
        <v>P-188</v>
      </c>
      <c r="AL218"/>
      <c r="AM218"/>
      <c r="AN218"/>
      <c r="AO218" t="str">
        <f t="shared" si="42"/>
        <v>T-072966-1/1073-TC-006/007</v>
      </c>
      <c r="AP218" t="str">
        <f>Tabela1[[#This Row],[TAG]]&amp;Tabela1[[#This Row],[PEDIDO]]&amp;Tabela1[[#This Row],[PRODUTO]]</f>
        <v>1073-TC-006/007P-188RMF</v>
      </c>
      <c r="AQ218" s="22" t="str">
        <f>Tabela1[[#This Row],[PRODUTO]]&amp;Tabela1[[#This Row],[TAG]]</f>
        <v>RMF1073-TC-006/007</v>
      </c>
      <c r="AR218" s="24" t="str">
        <f>Tabela1[[#This Row],[PEDIDO]]&amp;Tabela1[[#This Row],[PRODUTO]]</f>
        <v>P-188RMF</v>
      </c>
      <c r="AS218" s="37">
        <f>IF(AF218="",0,IF(ISTEXT(AF218),H218*VALUE(SUBSTITUTE(AF218,"%",""))/100,H218*AF218))-Tabela1[[#This Row],[PRONTO ACABADO2]]</f>
        <v>0</v>
      </c>
      <c r="AT218" s="37">
        <f>IF(AG218="",0,IF(ISTEXT(AG218),H218*VALUE(SUBSTITUTE(AG218,"%",""))/100,H218*AG218))-Tabela1[[#This Row],[PESO EXPEDIDO2]]</f>
        <v>0</v>
      </c>
      <c r="AU218" s="37">
        <f t="shared" si="38"/>
        <v>189.88</v>
      </c>
      <c r="AV218" s="37">
        <f t="shared" si="39"/>
        <v>189.88</v>
      </c>
      <c r="AW218" s="37"/>
    </row>
    <row r="219" spans="1:49" ht="15.75" customHeight="1" x14ac:dyDescent="0.25">
      <c r="A219" s="6" t="s">
        <v>3849</v>
      </c>
      <c r="B219" s="21" t="s">
        <v>3851</v>
      </c>
      <c r="C219" s="7">
        <v>2</v>
      </c>
      <c r="D219" s="39" t="s">
        <v>3816</v>
      </c>
      <c r="E219" s="7">
        <v>4104</v>
      </c>
      <c r="F219" s="7" t="s">
        <v>3789</v>
      </c>
      <c r="G219" s="23">
        <v>50.82</v>
      </c>
      <c r="H219" s="34">
        <f>Tabela1[[#This Row],[PESO UNI]]*Tabela1[[#This Row],[QTE]]</f>
        <v>101.64</v>
      </c>
      <c r="I219" s="7">
        <v>0</v>
      </c>
      <c r="J219" s="8" t="s">
        <v>3790</v>
      </c>
      <c r="K219" s="8" t="s">
        <v>327</v>
      </c>
      <c r="L219" s="9" t="s">
        <v>2069</v>
      </c>
      <c r="M219" s="10">
        <v>46127</v>
      </c>
      <c r="N219" s="8" t="s">
        <v>327</v>
      </c>
      <c r="O219" s="12"/>
      <c r="P219" s="13"/>
      <c r="Q219" s="14">
        <f>Tabela1[[#This Row],[QTDE/ Fabricação]]-Tabela1[[#This Row],[QTE]]</f>
        <v>-2</v>
      </c>
      <c r="R219" s="18">
        <f t="shared" si="43"/>
        <v>101.64</v>
      </c>
      <c r="S219" s="18">
        <f t="shared" si="41"/>
        <v>101.64</v>
      </c>
      <c r="T219" s="19">
        <f t="shared" si="44"/>
        <v>0</v>
      </c>
      <c r="U219" s="207">
        <v>2</v>
      </c>
      <c r="V219" s="12" t="str">
        <f>IFERROR(VLOOKUP(Tabela1[[#This Row],[COD.MDE]],'LISTA DE EMBARQUE'!B:L,11,0),"")</f>
        <v/>
      </c>
      <c r="W219" s="13"/>
      <c r="X219" s="14">
        <f>IFERROR(Tabela1[[#This Row],[QIANTIDADE EXPEDIDA]]*Tabela1[[#This Row],[PESO UNI]],"")</f>
        <v>101.64</v>
      </c>
      <c r="Y219" s="14">
        <f t="shared" si="40"/>
        <v>0</v>
      </c>
      <c r="Z219" s="20">
        <f>Tabela1[[#This Row],[PESO TOTAL]]-Tabela1[[#This Row],[Peso Expedido]]</f>
        <v>0</v>
      </c>
      <c r="AA219" s="17">
        <v>1</v>
      </c>
      <c r="AB219" s="33"/>
      <c r="AC219" s="33">
        <v>1</v>
      </c>
      <c r="AD219" s="33">
        <v>1</v>
      </c>
      <c r="AE219" s="33">
        <v>1</v>
      </c>
      <c r="AF219" s="33">
        <v>1</v>
      </c>
      <c r="AG219" s="33">
        <v>1</v>
      </c>
      <c r="AH219" s="33">
        <v>1</v>
      </c>
      <c r="AI219" s="33" t="str">
        <f t="shared" si="37"/>
        <v>ok</v>
      </c>
      <c r="AJ219" s="5"/>
      <c r="AK219" t="str">
        <f>Tabela1[[#This Row],[Coluna1]]&amp;Tabela1[[#This Row],[PEDIDO]]</f>
        <v>P-188</v>
      </c>
      <c r="AL219"/>
      <c r="AM219"/>
      <c r="AN219"/>
      <c r="AO219" t="str">
        <f t="shared" si="42"/>
        <v>T-072966-1/1073-TC-006/007</v>
      </c>
      <c r="AP219" t="str">
        <f>Tabela1[[#This Row],[TAG]]&amp;Tabela1[[#This Row],[PEDIDO]]&amp;Tabela1[[#This Row],[PRODUTO]]</f>
        <v>1073-TC-006/007P-188RMF</v>
      </c>
      <c r="AQ219" s="22" t="str">
        <f>Tabela1[[#This Row],[PRODUTO]]&amp;Tabela1[[#This Row],[TAG]]</f>
        <v>RMF1073-TC-006/007</v>
      </c>
      <c r="AR219" s="24" t="str">
        <f>Tabela1[[#This Row],[PEDIDO]]&amp;Tabela1[[#This Row],[PRODUTO]]</f>
        <v>P-188RMF</v>
      </c>
      <c r="AS219" s="37">
        <f>IF(AF219="",0,IF(ISTEXT(AF219),H219*VALUE(SUBSTITUTE(AF219,"%",""))/100,H219*AF219))-Tabela1[[#This Row],[PRONTO ACABADO2]]</f>
        <v>0</v>
      </c>
      <c r="AT219" s="37">
        <f>IF(AG219="",0,IF(ISTEXT(AG219),H219*VALUE(SUBSTITUTE(AG219,"%",""))/100,H219*AG219))-Tabela1[[#This Row],[PESO EXPEDIDO2]]</f>
        <v>0</v>
      </c>
      <c r="AU219" s="37">
        <f t="shared" si="38"/>
        <v>101.64</v>
      </c>
      <c r="AV219" s="37">
        <f t="shared" si="39"/>
        <v>101.64</v>
      </c>
      <c r="AW219" s="37"/>
    </row>
    <row r="220" spans="1:49" ht="15.75" customHeight="1" x14ac:dyDescent="0.25">
      <c r="A220" s="6" t="s">
        <v>3849</v>
      </c>
      <c r="B220" s="21" t="s">
        <v>3852</v>
      </c>
      <c r="C220" s="7">
        <v>2</v>
      </c>
      <c r="D220" s="39" t="s">
        <v>3818</v>
      </c>
      <c r="E220" s="7">
        <v>4105</v>
      </c>
      <c r="F220" s="7" t="s">
        <v>3789</v>
      </c>
      <c r="G220" s="23">
        <v>55.81</v>
      </c>
      <c r="H220" s="34">
        <f>Tabela1[[#This Row],[PESO UNI]]*Tabela1[[#This Row],[QTE]]</f>
        <v>111.62</v>
      </c>
      <c r="I220" s="7">
        <v>0</v>
      </c>
      <c r="J220" s="8" t="s">
        <v>3790</v>
      </c>
      <c r="K220" s="8" t="s">
        <v>327</v>
      </c>
      <c r="L220" s="9" t="s">
        <v>2069</v>
      </c>
      <c r="M220" s="10">
        <v>46127</v>
      </c>
      <c r="N220" s="8" t="s">
        <v>327</v>
      </c>
      <c r="O220" s="12"/>
      <c r="P220" s="13"/>
      <c r="Q220" s="14">
        <f>Tabela1[[#This Row],[QTDE/ Fabricação]]-Tabela1[[#This Row],[QTE]]</f>
        <v>-2</v>
      </c>
      <c r="R220" s="18">
        <f t="shared" si="43"/>
        <v>111.62</v>
      </c>
      <c r="S220" s="18">
        <f t="shared" si="41"/>
        <v>111.62</v>
      </c>
      <c r="T220" s="19">
        <f t="shared" si="44"/>
        <v>0</v>
      </c>
      <c r="U220" s="207">
        <v>2</v>
      </c>
      <c r="V220" s="12" t="str">
        <f>IFERROR(VLOOKUP(Tabela1[[#This Row],[COD.MDE]],'LISTA DE EMBARQUE'!B:L,11,0),"")</f>
        <v/>
      </c>
      <c r="W220" s="13"/>
      <c r="X220" s="14">
        <f>IFERROR(Tabela1[[#This Row],[QIANTIDADE EXPEDIDA]]*Tabela1[[#This Row],[PESO UNI]],"")</f>
        <v>111.62</v>
      </c>
      <c r="Y220" s="14">
        <f t="shared" si="40"/>
        <v>0</v>
      </c>
      <c r="Z220" s="20">
        <f>Tabela1[[#This Row],[PESO TOTAL]]-Tabela1[[#This Row],[Peso Expedido]]</f>
        <v>0</v>
      </c>
      <c r="AA220" s="17">
        <v>1</v>
      </c>
      <c r="AB220" s="33"/>
      <c r="AC220" s="33">
        <v>1</v>
      </c>
      <c r="AD220" s="33">
        <v>1</v>
      </c>
      <c r="AE220" s="33">
        <v>1</v>
      </c>
      <c r="AF220" s="33">
        <v>1</v>
      </c>
      <c r="AG220" s="33">
        <v>1</v>
      </c>
      <c r="AH220" s="33">
        <v>1</v>
      </c>
      <c r="AI220" s="33" t="str">
        <f t="shared" ref="AI220:AI283" si="45">IF(Z220&lt;=0,"ok","")</f>
        <v>ok</v>
      </c>
      <c r="AJ220" s="5"/>
      <c r="AK220" t="str">
        <f>Tabela1[[#This Row],[Coluna1]]&amp;Tabela1[[#This Row],[PEDIDO]]</f>
        <v>P-188</v>
      </c>
      <c r="AL220"/>
      <c r="AM220"/>
      <c r="AN220"/>
      <c r="AO220" t="str">
        <f t="shared" si="42"/>
        <v>T-072966-1/1073-TC-006/007</v>
      </c>
      <c r="AP220" t="str">
        <f>Tabela1[[#This Row],[TAG]]&amp;Tabela1[[#This Row],[PEDIDO]]&amp;Tabela1[[#This Row],[PRODUTO]]</f>
        <v>1073-TC-006/007P-188RMF</v>
      </c>
      <c r="AQ220" s="22" t="str">
        <f>Tabela1[[#This Row],[PRODUTO]]&amp;Tabela1[[#This Row],[TAG]]</f>
        <v>RMF1073-TC-006/007</v>
      </c>
      <c r="AR220" s="24" t="str">
        <f>Tabela1[[#This Row],[PEDIDO]]&amp;Tabela1[[#This Row],[PRODUTO]]</f>
        <v>P-188RMF</v>
      </c>
      <c r="AS220" s="37">
        <f>IF(AF220="",0,IF(ISTEXT(AF220),H220*VALUE(SUBSTITUTE(AF220,"%",""))/100,H220*AF220))-Tabela1[[#This Row],[PRONTO ACABADO2]]</f>
        <v>0</v>
      </c>
      <c r="AT220" s="37">
        <f>IF(AG220="",0,IF(ISTEXT(AG220),H220*VALUE(SUBSTITUTE(AG220,"%",""))/100,H220*AG220))-Tabela1[[#This Row],[PESO EXPEDIDO2]]</f>
        <v>0</v>
      </c>
      <c r="AU220" s="37">
        <f t="shared" si="38"/>
        <v>111.62</v>
      </c>
      <c r="AV220" s="37">
        <f t="shared" si="39"/>
        <v>111.62</v>
      </c>
      <c r="AW220" s="37"/>
    </row>
    <row r="221" spans="1:49" ht="15.75" customHeight="1" x14ac:dyDescent="0.25">
      <c r="A221" s="6" t="s">
        <v>3849</v>
      </c>
      <c r="B221" s="21" t="s">
        <v>3853</v>
      </c>
      <c r="C221" s="7">
        <v>2</v>
      </c>
      <c r="D221" s="39" t="s">
        <v>3820</v>
      </c>
      <c r="E221" s="7">
        <v>4106</v>
      </c>
      <c r="F221" s="7" t="s">
        <v>3789</v>
      </c>
      <c r="G221" s="23">
        <v>78.33</v>
      </c>
      <c r="H221" s="34">
        <f>Tabela1[[#This Row],[PESO UNI]]*Tabela1[[#This Row],[QTE]]</f>
        <v>156.66</v>
      </c>
      <c r="I221" s="7">
        <v>0</v>
      </c>
      <c r="J221" s="8" t="s">
        <v>3790</v>
      </c>
      <c r="K221" s="8" t="s">
        <v>327</v>
      </c>
      <c r="L221" s="9" t="s">
        <v>2069</v>
      </c>
      <c r="M221" s="10">
        <v>46127</v>
      </c>
      <c r="N221" s="8" t="s">
        <v>327</v>
      </c>
      <c r="O221" s="12"/>
      <c r="P221" s="13"/>
      <c r="Q221" s="14">
        <f>Tabela1[[#This Row],[QTDE/ Fabricação]]-Tabela1[[#This Row],[QTE]]</f>
        <v>-2</v>
      </c>
      <c r="R221" s="18">
        <f t="shared" si="43"/>
        <v>156.66</v>
      </c>
      <c r="S221" s="18">
        <f t="shared" si="41"/>
        <v>156.66</v>
      </c>
      <c r="T221" s="19">
        <f t="shared" si="44"/>
        <v>0</v>
      </c>
      <c r="U221" s="207">
        <v>2</v>
      </c>
      <c r="V221" s="12" t="str">
        <f>IFERROR(VLOOKUP(Tabela1[[#This Row],[COD.MDE]],'LISTA DE EMBARQUE'!B:L,11,0),"")</f>
        <v/>
      </c>
      <c r="W221" s="13"/>
      <c r="X221" s="14">
        <f>IFERROR(Tabela1[[#This Row],[QIANTIDADE EXPEDIDA]]*Tabela1[[#This Row],[PESO UNI]],"")</f>
        <v>156.66</v>
      </c>
      <c r="Y221" s="14">
        <f t="shared" si="40"/>
        <v>0</v>
      </c>
      <c r="Z221" s="20">
        <f>Tabela1[[#This Row],[PESO TOTAL]]-Tabela1[[#This Row],[Peso Expedido]]</f>
        <v>0</v>
      </c>
      <c r="AA221" s="17">
        <v>1</v>
      </c>
      <c r="AB221" s="33"/>
      <c r="AC221" s="33">
        <v>1</v>
      </c>
      <c r="AD221" s="33">
        <v>1</v>
      </c>
      <c r="AE221" s="33">
        <v>1</v>
      </c>
      <c r="AF221" s="33">
        <v>1</v>
      </c>
      <c r="AG221" s="33">
        <v>1</v>
      </c>
      <c r="AH221" s="33">
        <v>1</v>
      </c>
      <c r="AI221" s="33" t="str">
        <f t="shared" si="45"/>
        <v>ok</v>
      </c>
      <c r="AJ221" s="5"/>
      <c r="AK221" t="str">
        <f>Tabela1[[#This Row],[Coluna1]]&amp;Tabela1[[#This Row],[PEDIDO]]</f>
        <v>P-188</v>
      </c>
      <c r="AL221"/>
      <c r="AM221"/>
      <c r="AN221"/>
      <c r="AO221" t="str">
        <f t="shared" si="42"/>
        <v>T-072966-1/1073-TC-006/007</v>
      </c>
      <c r="AP221" t="str">
        <f>Tabela1[[#This Row],[TAG]]&amp;Tabela1[[#This Row],[PEDIDO]]&amp;Tabela1[[#This Row],[PRODUTO]]</f>
        <v>1073-TC-006/007P-188RMF</v>
      </c>
      <c r="AQ221" s="22" t="str">
        <f>Tabela1[[#This Row],[PRODUTO]]&amp;Tabela1[[#This Row],[TAG]]</f>
        <v>RMF1073-TC-006/007</v>
      </c>
      <c r="AR221" s="24" t="str">
        <f>Tabela1[[#This Row],[PEDIDO]]&amp;Tabela1[[#This Row],[PRODUTO]]</f>
        <v>P-188RMF</v>
      </c>
      <c r="AS221" s="37">
        <f>IF(AF221="",0,IF(ISTEXT(AF221),H221*VALUE(SUBSTITUTE(AF221,"%",""))/100,H221*AF221))-Tabela1[[#This Row],[PRONTO ACABADO2]]</f>
        <v>0</v>
      </c>
      <c r="AT221" s="37">
        <f>IF(AG221="",0,IF(ISTEXT(AG221),H221*VALUE(SUBSTITUTE(AG221,"%",""))/100,H221*AG221))-Tabela1[[#This Row],[PESO EXPEDIDO2]]</f>
        <v>0</v>
      </c>
      <c r="AU221" s="37">
        <f t="shared" si="38"/>
        <v>156.66</v>
      </c>
      <c r="AV221" s="37">
        <f t="shared" si="39"/>
        <v>156.66</v>
      </c>
      <c r="AW221" s="37"/>
    </row>
    <row r="222" spans="1:49" ht="15.75" customHeight="1" x14ac:dyDescent="0.25">
      <c r="A222" s="6" t="s">
        <v>3849</v>
      </c>
      <c r="B222" s="21" t="s">
        <v>3854</v>
      </c>
      <c r="C222" s="7">
        <v>2</v>
      </c>
      <c r="D222" s="39" t="s">
        <v>3844</v>
      </c>
      <c r="E222" s="7">
        <v>4107</v>
      </c>
      <c r="F222" s="7" t="s">
        <v>3789</v>
      </c>
      <c r="G222" s="23">
        <v>75.52</v>
      </c>
      <c r="H222" s="34">
        <f>Tabela1[[#This Row],[PESO UNI]]*Tabela1[[#This Row],[QTE]]</f>
        <v>151.04</v>
      </c>
      <c r="I222" s="7">
        <v>0</v>
      </c>
      <c r="J222" s="8" t="s">
        <v>3790</v>
      </c>
      <c r="K222" s="8" t="s">
        <v>327</v>
      </c>
      <c r="L222" s="9" t="s">
        <v>2069</v>
      </c>
      <c r="M222" s="10">
        <v>46127</v>
      </c>
      <c r="N222" s="8" t="s">
        <v>327</v>
      </c>
      <c r="O222" s="12"/>
      <c r="P222" s="13"/>
      <c r="Q222" s="14">
        <f>Tabela1[[#This Row],[QTDE/ Fabricação]]-Tabela1[[#This Row],[QTE]]</f>
        <v>-2</v>
      </c>
      <c r="R222" s="18">
        <f t="shared" si="43"/>
        <v>151.04</v>
      </c>
      <c r="S222" s="18">
        <f t="shared" si="41"/>
        <v>151.04</v>
      </c>
      <c r="T222" s="19">
        <f t="shared" si="44"/>
        <v>0</v>
      </c>
      <c r="U222" s="207">
        <v>2</v>
      </c>
      <c r="V222" s="12" t="str">
        <f>IFERROR(VLOOKUP(Tabela1[[#This Row],[COD.MDE]],'LISTA DE EMBARQUE'!B:L,11,0),"")</f>
        <v/>
      </c>
      <c r="W222" s="13"/>
      <c r="X222" s="14">
        <f>IFERROR(Tabela1[[#This Row],[QIANTIDADE EXPEDIDA]]*Tabela1[[#This Row],[PESO UNI]],"")</f>
        <v>151.04</v>
      </c>
      <c r="Y222" s="14">
        <f t="shared" si="40"/>
        <v>0</v>
      </c>
      <c r="Z222" s="20">
        <f>Tabela1[[#This Row],[PESO TOTAL]]-Tabela1[[#This Row],[Peso Expedido]]</f>
        <v>0</v>
      </c>
      <c r="AA222" s="17">
        <v>1</v>
      </c>
      <c r="AB222" s="33"/>
      <c r="AC222" s="33">
        <v>1</v>
      </c>
      <c r="AD222" s="33">
        <v>1</v>
      </c>
      <c r="AE222" s="33">
        <v>1</v>
      </c>
      <c r="AF222" s="33">
        <v>1</v>
      </c>
      <c r="AG222" s="33">
        <v>1</v>
      </c>
      <c r="AH222" s="33">
        <v>1</v>
      </c>
      <c r="AI222" s="33" t="str">
        <f t="shared" si="45"/>
        <v>ok</v>
      </c>
      <c r="AJ222" s="5"/>
      <c r="AK222" t="str">
        <f>Tabela1[[#This Row],[Coluna1]]&amp;Tabela1[[#This Row],[PEDIDO]]</f>
        <v>P-188</v>
      </c>
      <c r="AL222"/>
      <c r="AM222"/>
      <c r="AN222"/>
      <c r="AO222" t="str">
        <f t="shared" si="42"/>
        <v>T-072966-1/1073-TC-006/007</v>
      </c>
      <c r="AP222" t="str">
        <f>Tabela1[[#This Row],[TAG]]&amp;Tabela1[[#This Row],[PEDIDO]]&amp;Tabela1[[#This Row],[PRODUTO]]</f>
        <v>1073-TC-006/007P-188RMF</v>
      </c>
      <c r="AQ222" s="22" t="str">
        <f>Tabela1[[#This Row],[PRODUTO]]&amp;Tabela1[[#This Row],[TAG]]</f>
        <v>RMF1073-TC-006/007</v>
      </c>
      <c r="AR222" s="24" t="str">
        <f>Tabela1[[#This Row],[PEDIDO]]&amp;Tabela1[[#This Row],[PRODUTO]]</f>
        <v>P-188RMF</v>
      </c>
      <c r="AS222" s="37">
        <f>IF(AF222="",0,IF(ISTEXT(AF222),H222*VALUE(SUBSTITUTE(AF222,"%",""))/100,H222*AF222))-Tabela1[[#This Row],[PRONTO ACABADO2]]</f>
        <v>0</v>
      </c>
      <c r="AT222" s="37">
        <f>IF(AG222="",0,IF(ISTEXT(AG222),H222*VALUE(SUBSTITUTE(AG222,"%",""))/100,H222*AG222))-Tabela1[[#This Row],[PESO EXPEDIDO2]]</f>
        <v>0</v>
      </c>
      <c r="AU222" s="37">
        <f t="shared" si="38"/>
        <v>151.04</v>
      </c>
      <c r="AV222" s="37">
        <f t="shared" si="39"/>
        <v>151.04</v>
      </c>
      <c r="AW222" s="37"/>
    </row>
    <row r="223" spans="1:49" ht="15.75" customHeight="1" x14ac:dyDescent="0.25">
      <c r="A223" s="6" t="s">
        <v>3855</v>
      </c>
      <c r="B223" s="21" t="s">
        <v>3856</v>
      </c>
      <c r="C223" s="7">
        <v>2</v>
      </c>
      <c r="D223" s="39" t="s">
        <v>3857</v>
      </c>
      <c r="E223" s="7">
        <v>4108</v>
      </c>
      <c r="F223" s="7" t="s">
        <v>3789</v>
      </c>
      <c r="G223" s="23">
        <v>175.04</v>
      </c>
      <c r="H223" s="34">
        <f>Tabela1[[#This Row],[PESO UNI]]*Tabela1[[#This Row],[QTE]]</f>
        <v>350.08</v>
      </c>
      <c r="I223" s="7">
        <v>1</v>
      </c>
      <c r="J223" s="8" t="s">
        <v>3790</v>
      </c>
      <c r="K223" s="8" t="s">
        <v>327</v>
      </c>
      <c r="L223" s="9" t="s">
        <v>2069</v>
      </c>
      <c r="M223" s="10">
        <v>46153</v>
      </c>
      <c r="N223" s="8" t="s">
        <v>327</v>
      </c>
      <c r="O223" s="12"/>
      <c r="P223" s="13"/>
      <c r="Q223" s="14">
        <f>Tabela1[[#This Row],[QTDE/ Fabricação]]-Tabela1[[#This Row],[QTE]]</f>
        <v>-2</v>
      </c>
      <c r="R223" s="18">
        <f t="shared" si="43"/>
        <v>350.08</v>
      </c>
      <c r="S223" s="18">
        <f t="shared" si="41"/>
        <v>0</v>
      </c>
      <c r="T223" s="19">
        <f t="shared" si="44"/>
        <v>-350.08</v>
      </c>
      <c r="U223" s="16">
        <f>IFERROR(SUMIF('LISTA DE EMBARQUE'!B:B,MICRO!E:E,'LISTA DE EMBARQUE'!G:G),"")</f>
        <v>0</v>
      </c>
      <c r="V223" s="12" t="str">
        <f>IFERROR(VLOOKUP(Tabela1[[#This Row],[COD.MDE]],'LISTA DE EMBARQUE'!B:L,11,0),"")</f>
        <v/>
      </c>
      <c r="W223" s="13" t="str">
        <f>IFERROR(VLOOKUP(Tabela1[[#This Row],[COD.MDE]],'LISTA DE EMBARQUE'!B:M,12,0),"")</f>
        <v/>
      </c>
      <c r="X223" s="14">
        <f>IFERROR(Tabela1[[#This Row],[QIANTIDADE EXPEDIDA]]*Tabela1[[#This Row],[PESO UNI]],"")</f>
        <v>0</v>
      </c>
      <c r="Y223" s="14">
        <f t="shared" si="40"/>
        <v>-2</v>
      </c>
      <c r="Z223" s="20">
        <f>Tabela1[[#This Row],[PESO TOTAL]]-Tabela1[[#This Row],[Peso Expedido]]</f>
        <v>350.08</v>
      </c>
      <c r="AA223" s="17">
        <v>1</v>
      </c>
      <c r="AB223" s="33"/>
      <c r="AC223" s="33">
        <v>1</v>
      </c>
      <c r="AD223" s="33">
        <v>1</v>
      </c>
      <c r="AE223" s="33">
        <v>1</v>
      </c>
      <c r="AF223" s="33">
        <v>1</v>
      </c>
      <c r="AG223" s="33">
        <v>0</v>
      </c>
      <c r="AH223" s="33"/>
      <c r="AI223" s="33" t="str">
        <f t="shared" si="45"/>
        <v/>
      </c>
      <c r="AJ223" s="5"/>
      <c r="AK223" t="str">
        <f>Tabela1[[#This Row],[Coluna1]]&amp;Tabela1[[#This Row],[PEDIDO]]</f>
        <v>P-188</v>
      </c>
      <c r="AL223"/>
      <c r="AM223"/>
      <c r="AN223"/>
      <c r="AO223" t="str">
        <f t="shared" si="42"/>
        <v>T-072963-1/1073-TC-006/007</v>
      </c>
      <c r="AP223" t="str">
        <f>Tabela1[[#This Row],[TAG]]&amp;Tabela1[[#This Row],[PEDIDO]]&amp;Tabela1[[#This Row],[PRODUTO]]</f>
        <v>1073-TC-006/007P-188RMF</v>
      </c>
      <c r="AQ223" s="22" t="str">
        <f>Tabela1[[#This Row],[PRODUTO]]&amp;Tabela1[[#This Row],[TAG]]</f>
        <v>RMF1073-TC-006/007</v>
      </c>
      <c r="AR223" s="24" t="str">
        <f>Tabela1[[#This Row],[PEDIDO]]&amp;Tabela1[[#This Row],[PRODUTO]]</f>
        <v>P-188RMF</v>
      </c>
      <c r="AS223" s="37">
        <f>IF(AF223="",0,IF(ISTEXT(AF223),H223*VALUE(SUBSTITUTE(AF223,"%",""))/100,H223*AF223))-Tabela1[[#This Row],[PRONTO ACABADO2]]</f>
        <v>350.08</v>
      </c>
      <c r="AT223" s="37">
        <f>IF(AG223="",0,IF(ISTEXT(AG223),H223*VALUE(SUBSTITUTE(AG223,"%",""))/100,H223*AG223))-Tabela1[[#This Row],[PESO EXPEDIDO2]]</f>
        <v>0</v>
      </c>
      <c r="AU223" s="37">
        <f t="shared" si="38"/>
        <v>0</v>
      </c>
      <c r="AV223" s="37">
        <f t="shared" si="39"/>
        <v>0</v>
      </c>
      <c r="AW223" s="37"/>
    </row>
    <row r="224" spans="1:49" ht="15.75" customHeight="1" x14ac:dyDescent="0.25">
      <c r="A224" s="6" t="s">
        <v>3858</v>
      </c>
      <c r="B224" s="21" t="s">
        <v>3859</v>
      </c>
      <c r="C224" s="7">
        <v>2</v>
      </c>
      <c r="D224" s="39" t="s">
        <v>3804</v>
      </c>
      <c r="E224" s="7">
        <v>4109</v>
      </c>
      <c r="F224" s="7" t="s">
        <v>3789</v>
      </c>
      <c r="G224" s="23">
        <v>152.22</v>
      </c>
      <c r="H224" s="34">
        <f>Tabela1[[#This Row],[PESO UNI]]*Tabela1[[#This Row],[QTE]]</f>
        <v>304.44</v>
      </c>
      <c r="I224" s="7">
        <v>0</v>
      </c>
      <c r="J224" s="8" t="s">
        <v>3790</v>
      </c>
      <c r="K224" s="8" t="s">
        <v>327</v>
      </c>
      <c r="L224" s="9" t="s">
        <v>2069</v>
      </c>
      <c r="M224" s="10">
        <v>46127</v>
      </c>
      <c r="N224" s="8" t="s">
        <v>327</v>
      </c>
      <c r="O224" s="12"/>
      <c r="P224" s="13"/>
      <c r="Q224" s="14">
        <f>Tabela1[[#This Row],[QTDE/ Fabricação]]-Tabela1[[#This Row],[QTE]]</f>
        <v>-2</v>
      </c>
      <c r="R224" s="18">
        <f t="shared" si="43"/>
        <v>304.44</v>
      </c>
      <c r="S224" s="18">
        <f t="shared" si="41"/>
        <v>304.44</v>
      </c>
      <c r="T224" s="19">
        <f t="shared" si="44"/>
        <v>0</v>
      </c>
      <c r="U224" s="207">
        <v>2</v>
      </c>
      <c r="V224" s="12" t="str">
        <f>IFERROR(VLOOKUP(Tabela1[[#This Row],[COD.MDE]],'LISTA DE EMBARQUE'!B:L,11,0),"")</f>
        <v/>
      </c>
      <c r="W224" s="13"/>
      <c r="X224" s="14">
        <f>IFERROR(Tabela1[[#This Row],[QIANTIDADE EXPEDIDA]]*Tabela1[[#This Row],[PESO UNI]],"")</f>
        <v>304.44</v>
      </c>
      <c r="Y224" s="14">
        <f t="shared" si="40"/>
        <v>0</v>
      </c>
      <c r="Z224" s="20">
        <f>Tabela1[[#This Row],[PESO TOTAL]]-Tabela1[[#This Row],[Peso Expedido]]</f>
        <v>0</v>
      </c>
      <c r="AA224" s="17">
        <v>1</v>
      </c>
      <c r="AB224" s="33"/>
      <c r="AC224" s="33">
        <v>1</v>
      </c>
      <c r="AD224" s="33">
        <v>1</v>
      </c>
      <c r="AE224" s="33">
        <v>1</v>
      </c>
      <c r="AF224" s="33">
        <v>1</v>
      </c>
      <c r="AG224" s="33">
        <v>1</v>
      </c>
      <c r="AH224" s="33">
        <v>1</v>
      </c>
      <c r="AI224" s="33" t="str">
        <f t="shared" si="45"/>
        <v>ok</v>
      </c>
      <c r="AJ224" s="5"/>
      <c r="AK224" t="str">
        <f>Tabela1[[#This Row],[Coluna1]]&amp;Tabela1[[#This Row],[PEDIDO]]</f>
        <v>P-188</v>
      </c>
      <c r="AL224"/>
      <c r="AM224"/>
      <c r="AN224"/>
      <c r="AO224" t="str">
        <f t="shared" si="42"/>
        <v>T-072959-1/1073-TC-006/007</v>
      </c>
      <c r="AP224" t="str">
        <f>Tabela1[[#This Row],[TAG]]&amp;Tabela1[[#This Row],[PEDIDO]]&amp;Tabela1[[#This Row],[PRODUTO]]</f>
        <v>1073-TC-006/007P-188RMF</v>
      </c>
      <c r="AQ224" s="22" t="str">
        <f>Tabela1[[#This Row],[PRODUTO]]&amp;Tabela1[[#This Row],[TAG]]</f>
        <v>RMF1073-TC-006/007</v>
      </c>
      <c r="AR224" s="24" t="str">
        <f>Tabela1[[#This Row],[PEDIDO]]&amp;Tabela1[[#This Row],[PRODUTO]]</f>
        <v>P-188RMF</v>
      </c>
      <c r="AS224" s="37">
        <f>IF(AF224="",0,IF(ISTEXT(AF224),H224*VALUE(SUBSTITUTE(AF224,"%",""))/100,H224*AF224))-Tabela1[[#This Row],[PRONTO ACABADO2]]</f>
        <v>0</v>
      </c>
      <c r="AT224" s="37">
        <f>IF(AG224="",0,IF(ISTEXT(AG224),H224*VALUE(SUBSTITUTE(AG224,"%",""))/100,H224*AG224))-Tabela1[[#This Row],[PESO EXPEDIDO2]]</f>
        <v>0</v>
      </c>
      <c r="AU224" s="37">
        <f t="shared" si="38"/>
        <v>304.44</v>
      </c>
      <c r="AV224" s="37">
        <f t="shared" si="39"/>
        <v>304.44</v>
      </c>
      <c r="AW224" s="37"/>
    </row>
    <row r="225" spans="1:49" ht="15.75" customHeight="1" x14ac:dyDescent="0.25">
      <c r="A225" s="6" t="s">
        <v>3858</v>
      </c>
      <c r="B225" s="21" t="s">
        <v>3860</v>
      </c>
      <c r="C225" s="7">
        <v>2</v>
      </c>
      <c r="D225" s="39" t="s">
        <v>3806</v>
      </c>
      <c r="E225" s="7">
        <v>4110</v>
      </c>
      <c r="F225" s="7" t="s">
        <v>3789</v>
      </c>
      <c r="G225" s="23">
        <v>152.22</v>
      </c>
      <c r="H225" s="34">
        <f>Tabela1[[#This Row],[PESO UNI]]*Tabela1[[#This Row],[QTE]]</f>
        <v>304.44</v>
      </c>
      <c r="I225" s="7">
        <v>0</v>
      </c>
      <c r="J225" s="8" t="s">
        <v>3790</v>
      </c>
      <c r="K225" s="8" t="s">
        <v>327</v>
      </c>
      <c r="L225" s="9" t="s">
        <v>2069</v>
      </c>
      <c r="M225" s="10">
        <v>46127</v>
      </c>
      <c r="N225" s="8" t="s">
        <v>327</v>
      </c>
      <c r="O225" s="12"/>
      <c r="P225" s="13"/>
      <c r="Q225" s="14">
        <f>Tabela1[[#This Row],[QTDE/ Fabricação]]-Tabela1[[#This Row],[QTE]]</f>
        <v>-2</v>
      </c>
      <c r="R225" s="18">
        <f t="shared" si="43"/>
        <v>304.44</v>
      </c>
      <c r="S225" s="18">
        <f t="shared" si="41"/>
        <v>304.44</v>
      </c>
      <c r="T225" s="19">
        <f t="shared" si="44"/>
        <v>0</v>
      </c>
      <c r="U225" s="207">
        <v>2</v>
      </c>
      <c r="V225" s="12" t="str">
        <f>IFERROR(VLOOKUP(Tabela1[[#This Row],[COD.MDE]],'LISTA DE EMBARQUE'!B:L,11,0),"")</f>
        <v/>
      </c>
      <c r="W225" s="13"/>
      <c r="X225" s="14">
        <f>IFERROR(Tabela1[[#This Row],[QIANTIDADE EXPEDIDA]]*Tabela1[[#This Row],[PESO UNI]],"")</f>
        <v>304.44</v>
      </c>
      <c r="Y225" s="14">
        <f t="shared" si="40"/>
        <v>0</v>
      </c>
      <c r="Z225" s="20">
        <f>Tabela1[[#This Row],[PESO TOTAL]]-Tabela1[[#This Row],[Peso Expedido]]</f>
        <v>0</v>
      </c>
      <c r="AA225" s="17">
        <v>1</v>
      </c>
      <c r="AB225" s="33"/>
      <c r="AC225" s="33">
        <v>1</v>
      </c>
      <c r="AD225" s="33">
        <v>1</v>
      </c>
      <c r="AE225" s="33">
        <v>1</v>
      </c>
      <c r="AF225" s="33">
        <v>1</v>
      </c>
      <c r="AG225" s="33">
        <v>1</v>
      </c>
      <c r="AH225" s="33">
        <v>1</v>
      </c>
      <c r="AI225" s="33" t="str">
        <f t="shared" si="45"/>
        <v>ok</v>
      </c>
      <c r="AJ225" s="5"/>
      <c r="AK225" t="str">
        <f>Tabela1[[#This Row],[Coluna1]]&amp;Tabela1[[#This Row],[PEDIDO]]</f>
        <v>P-188</v>
      </c>
      <c r="AL225"/>
      <c r="AM225"/>
      <c r="AN225"/>
      <c r="AO225" t="str">
        <f t="shared" si="42"/>
        <v>T-072959-1/1073-TC-006/007</v>
      </c>
      <c r="AP225" t="str">
        <f>Tabela1[[#This Row],[TAG]]&amp;Tabela1[[#This Row],[PEDIDO]]&amp;Tabela1[[#This Row],[PRODUTO]]</f>
        <v>1073-TC-006/007P-188RMF</v>
      </c>
      <c r="AQ225" s="22" t="str">
        <f>Tabela1[[#This Row],[PRODUTO]]&amp;Tabela1[[#This Row],[TAG]]</f>
        <v>RMF1073-TC-006/007</v>
      </c>
      <c r="AR225" s="24" t="str">
        <f>Tabela1[[#This Row],[PEDIDO]]&amp;Tabela1[[#This Row],[PRODUTO]]</f>
        <v>P-188RMF</v>
      </c>
      <c r="AS225" s="37">
        <f>IF(AF225="",0,IF(ISTEXT(AF225),H225*VALUE(SUBSTITUTE(AF225,"%",""))/100,H225*AF225))-Tabela1[[#This Row],[PRONTO ACABADO2]]</f>
        <v>0</v>
      </c>
      <c r="AT225" s="37">
        <f>IF(AG225="",0,IF(ISTEXT(AG225),H225*VALUE(SUBSTITUTE(AG225,"%",""))/100,H225*AG225))-Tabela1[[#This Row],[PESO EXPEDIDO2]]</f>
        <v>0</v>
      </c>
      <c r="AU225" s="37">
        <f t="shared" si="38"/>
        <v>304.44</v>
      </c>
      <c r="AV225" s="37">
        <f t="shared" si="39"/>
        <v>304.44</v>
      </c>
      <c r="AW225" s="37"/>
    </row>
    <row r="226" spans="1:49" ht="15.75" customHeight="1" x14ac:dyDescent="0.25">
      <c r="A226" s="6" t="s">
        <v>3858</v>
      </c>
      <c r="B226" s="21" t="s">
        <v>3861</v>
      </c>
      <c r="C226" s="7">
        <v>10</v>
      </c>
      <c r="D226" s="39" t="s">
        <v>3808</v>
      </c>
      <c r="E226" s="7">
        <v>4111</v>
      </c>
      <c r="F226" s="7" t="s">
        <v>3789</v>
      </c>
      <c r="G226" s="23">
        <v>27.9</v>
      </c>
      <c r="H226" s="34">
        <f>Tabela1[[#This Row],[PESO UNI]]*Tabela1[[#This Row],[QTE]]</f>
        <v>279</v>
      </c>
      <c r="I226" s="7">
        <v>0</v>
      </c>
      <c r="J226" s="8" t="s">
        <v>3790</v>
      </c>
      <c r="K226" s="8" t="s">
        <v>327</v>
      </c>
      <c r="L226" s="9" t="s">
        <v>2069</v>
      </c>
      <c r="M226" s="10">
        <v>46127</v>
      </c>
      <c r="N226" s="8" t="s">
        <v>327</v>
      </c>
      <c r="O226" s="12"/>
      <c r="P226" s="13"/>
      <c r="Q226" s="14">
        <f>Tabela1[[#This Row],[QTDE/ Fabricação]]-Tabela1[[#This Row],[QTE]]</f>
        <v>-10</v>
      </c>
      <c r="R226" s="18">
        <f t="shared" si="43"/>
        <v>279</v>
      </c>
      <c r="S226" s="18">
        <f t="shared" si="41"/>
        <v>279</v>
      </c>
      <c r="T226" s="19">
        <f t="shared" si="44"/>
        <v>0</v>
      </c>
      <c r="U226" s="207">
        <v>10</v>
      </c>
      <c r="V226" s="12" t="str">
        <f>IFERROR(VLOOKUP(Tabela1[[#This Row],[COD.MDE]],'LISTA DE EMBARQUE'!B:L,11,0),"")</f>
        <v/>
      </c>
      <c r="W226" s="13"/>
      <c r="X226" s="14">
        <f>IFERROR(Tabela1[[#This Row],[QIANTIDADE EXPEDIDA]]*Tabela1[[#This Row],[PESO UNI]],"")</f>
        <v>279</v>
      </c>
      <c r="Y226" s="14">
        <f t="shared" si="40"/>
        <v>0</v>
      </c>
      <c r="Z226" s="20">
        <f>Tabela1[[#This Row],[PESO TOTAL]]-Tabela1[[#This Row],[Peso Expedido]]</f>
        <v>0</v>
      </c>
      <c r="AA226" s="17">
        <v>1</v>
      </c>
      <c r="AB226" s="33"/>
      <c r="AC226" s="33">
        <v>1</v>
      </c>
      <c r="AD226" s="33">
        <v>1</v>
      </c>
      <c r="AE226" s="33">
        <v>1</v>
      </c>
      <c r="AF226" s="33">
        <v>1</v>
      </c>
      <c r="AG226" s="33">
        <v>1</v>
      </c>
      <c r="AH226" s="33">
        <v>1</v>
      </c>
      <c r="AI226" s="33" t="str">
        <f t="shared" si="45"/>
        <v>ok</v>
      </c>
      <c r="AJ226" s="5"/>
      <c r="AK226" t="str">
        <f>Tabela1[[#This Row],[Coluna1]]&amp;Tabela1[[#This Row],[PEDIDO]]</f>
        <v>P-188</v>
      </c>
      <c r="AL226"/>
      <c r="AM226"/>
      <c r="AN226"/>
      <c r="AO226" t="str">
        <f t="shared" si="42"/>
        <v>T-072959-1/1073-TC-006/007</v>
      </c>
      <c r="AP226" t="str">
        <f>Tabela1[[#This Row],[TAG]]&amp;Tabela1[[#This Row],[PEDIDO]]&amp;Tabela1[[#This Row],[PRODUTO]]</f>
        <v>1073-TC-006/007P-188RMF</v>
      </c>
      <c r="AQ226" s="22" t="str">
        <f>Tabela1[[#This Row],[PRODUTO]]&amp;Tabela1[[#This Row],[TAG]]</f>
        <v>RMF1073-TC-006/007</v>
      </c>
      <c r="AR226" s="24" t="str">
        <f>Tabela1[[#This Row],[PEDIDO]]&amp;Tabela1[[#This Row],[PRODUTO]]</f>
        <v>P-188RMF</v>
      </c>
      <c r="AS226" s="37">
        <f>IF(AF226="",0,IF(ISTEXT(AF226),H226*VALUE(SUBSTITUTE(AF226,"%",""))/100,H226*AF226))-Tabela1[[#This Row],[PRONTO ACABADO2]]</f>
        <v>0</v>
      </c>
      <c r="AT226" s="37">
        <f>IF(AG226="",0,IF(ISTEXT(AG226),H226*VALUE(SUBSTITUTE(AG226,"%",""))/100,H226*AG226))-Tabela1[[#This Row],[PESO EXPEDIDO2]]</f>
        <v>0</v>
      </c>
      <c r="AU226" s="37">
        <f t="shared" si="38"/>
        <v>279</v>
      </c>
      <c r="AV226" s="37">
        <f t="shared" si="39"/>
        <v>279</v>
      </c>
      <c r="AW226" s="37"/>
    </row>
    <row r="227" spans="1:49" ht="15.75" customHeight="1" x14ac:dyDescent="0.25">
      <c r="A227" s="6" t="s">
        <v>3858</v>
      </c>
      <c r="B227" s="21" t="s">
        <v>3862</v>
      </c>
      <c r="C227" s="7">
        <v>2</v>
      </c>
      <c r="D227" s="39" t="s">
        <v>3808</v>
      </c>
      <c r="E227" s="7">
        <v>4112</v>
      </c>
      <c r="F227" s="7" t="s">
        <v>3789</v>
      </c>
      <c r="G227" s="23">
        <v>25.02</v>
      </c>
      <c r="H227" s="34">
        <f>Tabela1[[#This Row],[PESO UNI]]*Tabela1[[#This Row],[QTE]]</f>
        <v>50.04</v>
      </c>
      <c r="I227" s="7">
        <v>0</v>
      </c>
      <c r="J227" s="8" t="s">
        <v>3790</v>
      </c>
      <c r="K227" s="8" t="s">
        <v>327</v>
      </c>
      <c r="L227" s="9" t="s">
        <v>2069</v>
      </c>
      <c r="M227" s="10">
        <v>46127</v>
      </c>
      <c r="N227" s="8" t="s">
        <v>327</v>
      </c>
      <c r="O227" s="12"/>
      <c r="P227" s="13"/>
      <c r="Q227" s="14">
        <f>Tabela1[[#This Row],[QTDE/ Fabricação]]-Tabela1[[#This Row],[QTE]]</f>
        <v>-2</v>
      </c>
      <c r="R227" s="18">
        <f t="shared" si="43"/>
        <v>50.04</v>
      </c>
      <c r="S227" s="18">
        <f t="shared" si="41"/>
        <v>50.04</v>
      </c>
      <c r="T227" s="19">
        <f t="shared" si="44"/>
        <v>0</v>
      </c>
      <c r="U227" s="207">
        <v>2</v>
      </c>
      <c r="V227" s="12" t="str">
        <f>IFERROR(VLOOKUP(Tabela1[[#This Row],[COD.MDE]],'LISTA DE EMBARQUE'!B:L,11,0),"")</f>
        <v/>
      </c>
      <c r="W227" s="13"/>
      <c r="X227" s="14">
        <f>IFERROR(Tabela1[[#This Row],[QIANTIDADE EXPEDIDA]]*Tabela1[[#This Row],[PESO UNI]],"")</f>
        <v>50.04</v>
      </c>
      <c r="Y227" s="14">
        <f t="shared" si="40"/>
        <v>0</v>
      </c>
      <c r="Z227" s="20">
        <f>Tabela1[[#This Row],[PESO TOTAL]]-Tabela1[[#This Row],[Peso Expedido]]</f>
        <v>0</v>
      </c>
      <c r="AA227" s="17">
        <v>1</v>
      </c>
      <c r="AB227" s="33"/>
      <c r="AC227" s="33">
        <v>1</v>
      </c>
      <c r="AD227" s="33">
        <v>1</v>
      </c>
      <c r="AE227" s="33">
        <v>1</v>
      </c>
      <c r="AF227" s="33">
        <v>1</v>
      </c>
      <c r="AG227" s="33">
        <v>1</v>
      </c>
      <c r="AH227" s="33">
        <v>1</v>
      </c>
      <c r="AI227" s="33" t="str">
        <f t="shared" si="45"/>
        <v>ok</v>
      </c>
      <c r="AJ227" s="5"/>
      <c r="AK227" t="str">
        <f>Tabela1[[#This Row],[Coluna1]]&amp;Tabela1[[#This Row],[PEDIDO]]</f>
        <v>P-188</v>
      </c>
      <c r="AL227"/>
      <c r="AM227"/>
      <c r="AN227"/>
      <c r="AO227" t="str">
        <f t="shared" si="42"/>
        <v>T-072959-1/1073-TC-006/007</v>
      </c>
      <c r="AP227" t="str">
        <f>Tabela1[[#This Row],[TAG]]&amp;Tabela1[[#This Row],[PEDIDO]]&amp;Tabela1[[#This Row],[PRODUTO]]</f>
        <v>1073-TC-006/007P-188RMF</v>
      </c>
      <c r="AQ227" s="22" t="str">
        <f>Tabela1[[#This Row],[PRODUTO]]&amp;Tabela1[[#This Row],[TAG]]</f>
        <v>RMF1073-TC-006/007</v>
      </c>
      <c r="AR227" s="24" t="str">
        <f>Tabela1[[#This Row],[PEDIDO]]&amp;Tabela1[[#This Row],[PRODUTO]]</f>
        <v>P-188RMF</v>
      </c>
      <c r="AS227" s="37">
        <f>IF(AF227="",0,IF(ISTEXT(AF227),H227*VALUE(SUBSTITUTE(AF227,"%",""))/100,H227*AF227))-Tabela1[[#This Row],[PRONTO ACABADO2]]</f>
        <v>0</v>
      </c>
      <c r="AT227" s="37">
        <f>IF(AG227="",0,IF(ISTEXT(AG227),H227*VALUE(SUBSTITUTE(AG227,"%",""))/100,H227*AG227))-Tabela1[[#This Row],[PESO EXPEDIDO2]]</f>
        <v>0</v>
      </c>
      <c r="AU227" s="37">
        <f t="shared" si="38"/>
        <v>50.04</v>
      </c>
      <c r="AV227" s="37">
        <f t="shared" si="39"/>
        <v>50.04</v>
      </c>
      <c r="AW227" s="37"/>
    </row>
    <row r="228" spans="1:49" ht="15.75" customHeight="1" x14ac:dyDescent="0.25">
      <c r="A228" s="6" t="s">
        <v>3858</v>
      </c>
      <c r="B228" s="21" t="s">
        <v>3863</v>
      </c>
      <c r="C228" s="7">
        <v>2</v>
      </c>
      <c r="D228" s="39" t="s">
        <v>3808</v>
      </c>
      <c r="E228" s="7">
        <v>4113</v>
      </c>
      <c r="F228" s="7" t="s">
        <v>3789</v>
      </c>
      <c r="G228" s="23">
        <v>23.68</v>
      </c>
      <c r="H228" s="34">
        <f>Tabela1[[#This Row],[PESO UNI]]*Tabela1[[#This Row],[QTE]]</f>
        <v>47.36</v>
      </c>
      <c r="I228" s="7">
        <v>0</v>
      </c>
      <c r="J228" s="8" t="s">
        <v>3790</v>
      </c>
      <c r="K228" s="8" t="s">
        <v>327</v>
      </c>
      <c r="L228" s="9" t="s">
        <v>2069</v>
      </c>
      <c r="M228" s="10">
        <v>46127</v>
      </c>
      <c r="N228" s="8" t="s">
        <v>327</v>
      </c>
      <c r="O228" s="12"/>
      <c r="P228" s="13"/>
      <c r="Q228" s="14">
        <f>Tabela1[[#This Row],[QTDE/ Fabricação]]-Tabela1[[#This Row],[QTE]]</f>
        <v>-2</v>
      </c>
      <c r="R228" s="18">
        <f t="shared" si="43"/>
        <v>47.36</v>
      </c>
      <c r="S228" s="18">
        <f t="shared" si="41"/>
        <v>47.36</v>
      </c>
      <c r="T228" s="19">
        <f t="shared" si="44"/>
        <v>0</v>
      </c>
      <c r="U228" s="207">
        <v>2</v>
      </c>
      <c r="V228" s="12" t="str">
        <f>IFERROR(VLOOKUP(Tabela1[[#This Row],[COD.MDE]],'LISTA DE EMBARQUE'!B:L,11,0),"")</f>
        <v/>
      </c>
      <c r="W228" s="13"/>
      <c r="X228" s="14">
        <f>IFERROR(Tabela1[[#This Row],[QIANTIDADE EXPEDIDA]]*Tabela1[[#This Row],[PESO UNI]],"")</f>
        <v>47.36</v>
      </c>
      <c r="Y228" s="14">
        <f t="shared" si="40"/>
        <v>0</v>
      </c>
      <c r="Z228" s="20">
        <f>Tabela1[[#This Row],[PESO TOTAL]]-Tabela1[[#This Row],[Peso Expedido]]</f>
        <v>0</v>
      </c>
      <c r="AA228" s="17">
        <v>1</v>
      </c>
      <c r="AB228" s="33"/>
      <c r="AC228" s="33">
        <v>1</v>
      </c>
      <c r="AD228" s="33">
        <v>1</v>
      </c>
      <c r="AE228" s="33">
        <v>1</v>
      </c>
      <c r="AF228" s="33">
        <v>1</v>
      </c>
      <c r="AG228" s="33">
        <v>1</v>
      </c>
      <c r="AH228" s="33">
        <v>1</v>
      </c>
      <c r="AI228" s="33" t="str">
        <f t="shared" si="45"/>
        <v>ok</v>
      </c>
      <c r="AJ228" s="5"/>
      <c r="AK228" t="str">
        <f>Tabela1[[#This Row],[Coluna1]]&amp;Tabela1[[#This Row],[PEDIDO]]</f>
        <v>P-188</v>
      </c>
      <c r="AL228"/>
      <c r="AM228"/>
      <c r="AN228"/>
      <c r="AO228" t="str">
        <f t="shared" si="42"/>
        <v>T-072959-1/1073-TC-006/007</v>
      </c>
      <c r="AP228" t="str">
        <f>Tabela1[[#This Row],[TAG]]&amp;Tabela1[[#This Row],[PEDIDO]]&amp;Tabela1[[#This Row],[PRODUTO]]</f>
        <v>1073-TC-006/007P-188RMF</v>
      </c>
      <c r="AQ228" s="22" t="str">
        <f>Tabela1[[#This Row],[PRODUTO]]&amp;Tabela1[[#This Row],[TAG]]</f>
        <v>RMF1073-TC-006/007</v>
      </c>
      <c r="AR228" s="24" t="str">
        <f>Tabela1[[#This Row],[PEDIDO]]&amp;Tabela1[[#This Row],[PRODUTO]]</f>
        <v>P-188RMF</v>
      </c>
      <c r="AS228" s="37">
        <f>IF(AF228="",0,IF(ISTEXT(AF228),H228*VALUE(SUBSTITUTE(AF228,"%",""))/100,H228*AF228))-Tabela1[[#This Row],[PRONTO ACABADO2]]</f>
        <v>0</v>
      </c>
      <c r="AT228" s="37">
        <f>IF(AG228="",0,IF(ISTEXT(AG228),H228*VALUE(SUBSTITUTE(AG228,"%",""))/100,H228*AG228))-Tabela1[[#This Row],[PESO EXPEDIDO2]]</f>
        <v>0</v>
      </c>
      <c r="AU228" s="37">
        <f t="shared" si="38"/>
        <v>47.36</v>
      </c>
      <c r="AV228" s="37">
        <f t="shared" si="39"/>
        <v>47.36</v>
      </c>
      <c r="AW228" s="37"/>
    </row>
    <row r="229" spans="1:49" ht="15.75" customHeight="1" x14ac:dyDescent="0.25">
      <c r="A229" s="6" t="s">
        <v>3864</v>
      </c>
      <c r="B229" s="21" t="s">
        <v>3865</v>
      </c>
      <c r="C229" s="7">
        <v>2</v>
      </c>
      <c r="D229" s="39" t="s">
        <v>3804</v>
      </c>
      <c r="E229" s="7">
        <v>4114</v>
      </c>
      <c r="F229" s="7" t="s">
        <v>3789</v>
      </c>
      <c r="G229" s="23">
        <v>122.98</v>
      </c>
      <c r="H229" s="34">
        <f>Tabela1[[#This Row],[PESO UNI]]*Tabela1[[#This Row],[QTE]]</f>
        <v>245.96</v>
      </c>
      <c r="I229" s="7">
        <v>0</v>
      </c>
      <c r="J229" s="8" t="s">
        <v>3790</v>
      </c>
      <c r="K229" s="8" t="s">
        <v>327</v>
      </c>
      <c r="L229" s="9" t="s">
        <v>2069</v>
      </c>
      <c r="M229" s="10">
        <v>46127</v>
      </c>
      <c r="N229" s="8" t="s">
        <v>327</v>
      </c>
      <c r="O229" s="12"/>
      <c r="P229" s="13"/>
      <c r="Q229" s="14">
        <f>Tabela1[[#This Row],[QTDE/ Fabricação]]-Tabela1[[#This Row],[QTE]]</f>
        <v>-2</v>
      </c>
      <c r="R229" s="18">
        <f t="shared" si="43"/>
        <v>245.96</v>
      </c>
      <c r="S229" s="18">
        <f t="shared" si="41"/>
        <v>245.96</v>
      </c>
      <c r="T229" s="19">
        <f t="shared" si="44"/>
        <v>0</v>
      </c>
      <c r="U229" s="207">
        <v>2</v>
      </c>
      <c r="V229" s="12" t="str">
        <f>IFERROR(VLOOKUP(Tabela1[[#This Row],[COD.MDE]],'LISTA DE EMBARQUE'!B:L,11,0),"")</f>
        <v/>
      </c>
      <c r="W229" s="13"/>
      <c r="X229" s="14">
        <f>IFERROR(Tabela1[[#This Row],[QIANTIDADE EXPEDIDA]]*Tabela1[[#This Row],[PESO UNI]],"")</f>
        <v>245.96</v>
      </c>
      <c r="Y229" s="14">
        <f t="shared" si="40"/>
        <v>0</v>
      </c>
      <c r="Z229" s="20">
        <f>Tabela1[[#This Row],[PESO TOTAL]]-Tabela1[[#This Row],[Peso Expedido]]</f>
        <v>0</v>
      </c>
      <c r="AA229" s="17">
        <v>1</v>
      </c>
      <c r="AB229" s="33"/>
      <c r="AC229" s="33">
        <v>1</v>
      </c>
      <c r="AD229" s="33">
        <v>1</v>
      </c>
      <c r="AE229" s="33">
        <v>1</v>
      </c>
      <c r="AF229" s="33">
        <v>1</v>
      </c>
      <c r="AG229" s="33">
        <v>1</v>
      </c>
      <c r="AH229" s="33">
        <v>1</v>
      </c>
      <c r="AI229" s="33" t="str">
        <f t="shared" si="45"/>
        <v>ok</v>
      </c>
      <c r="AJ229" s="5"/>
      <c r="AK229" t="str">
        <f>Tabela1[[#This Row],[Coluna1]]&amp;Tabela1[[#This Row],[PEDIDO]]</f>
        <v>P-188</v>
      </c>
      <c r="AL229"/>
      <c r="AM229"/>
      <c r="AN229"/>
      <c r="AO229" t="str">
        <f t="shared" si="42"/>
        <v>T-072962-1/1073-TC-006/007</v>
      </c>
      <c r="AP229" t="str">
        <f>Tabela1[[#This Row],[TAG]]&amp;Tabela1[[#This Row],[PEDIDO]]&amp;Tabela1[[#This Row],[PRODUTO]]</f>
        <v>1073-TC-006/007P-188RMF</v>
      </c>
      <c r="AQ229" s="22" t="str">
        <f>Tabela1[[#This Row],[PRODUTO]]&amp;Tabela1[[#This Row],[TAG]]</f>
        <v>RMF1073-TC-006/007</v>
      </c>
      <c r="AR229" s="24" t="str">
        <f>Tabela1[[#This Row],[PEDIDO]]&amp;Tabela1[[#This Row],[PRODUTO]]</f>
        <v>P-188RMF</v>
      </c>
      <c r="AS229" s="37">
        <f>IF(AF229="",0,IF(ISTEXT(AF229),H229*VALUE(SUBSTITUTE(AF229,"%",""))/100,H229*AF229))-Tabela1[[#This Row],[PRONTO ACABADO2]]</f>
        <v>0</v>
      </c>
      <c r="AT229" s="37">
        <f>IF(AG229="",0,IF(ISTEXT(AG229),H229*VALUE(SUBSTITUTE(AG229,"%",""))/100,H229*AG229))-Tabela1[[#This Row],[PESO EXPEDIDO2]]</f>
        <v>0</v>
      </c>
      <c r="AU229" s="37">
        <f t="shared" ref="AU229:AU292" si="46">IF(AH229="",0,IF(ISTEXT(AH229),H229*VALUE(SUBSTITUTE(AH229,"%",""))/100,H229*AH229))</f>
        <v>245.96</v>
      </c>
      <c r="AV229" s="37">
        <f t="shared" ref="AV229:AV292" si="47">IF(AG229="",0,IF(ISTEXT(AG229),H229*VALUE(SUBSTITUTE(AG229,"%",""))/100,H229*AG229))</f>
        <v>245.96</v>
      </c>
      <c r="AW229" s="37"/>
    </row>
    <row r="230" spans="1:49" ht="15.75" customHeight="1" x14ac:dyDescent="0.25">
      <c r="A230" s="6" t="s">
        <v>3864</v>
      </c>
      <c r="B230" s="21" t="s">
        <v>3866</v>
      </c>
      <c r="C230" s="7">
        <v>2</v>
      </c>
      <c r="D230" s="39" t="s">
        <v>3806</v>
      </c>
      <c r="E230" s="7">
        <v>4115</v>
      </c>
      <c r="F230" s="7" t="s">
        <v>3789</v>
      </c>
      <c r="G230" s="23">
        <v>122.98</v>
      </c>
      <c r="H230" s="34">
        <f>Tabela1[[#This Row],[PESO UNI]]*Tabela1[[#This Row],[QTE]]</f>
        <v>245.96</v>
      </c>
      <c r="I230" s="7">
        <v>0</v>
      </c>
      <c r="J230" s="8" t="s">
        <v>3790</v>
      </c>
      <c r="K230" s="8" t="s">
        <v>327</v>
      </c>
      <c r="L230" s="9" t="s">
        <v>2069</v>
      </c>
      <c r="M230" s="10">
        <v>46127</v>
      </c>
      <c r="N230" s="8" t="s">
        <v>327</v>
      </c>
      <c r="O230" s="12"/>
      <c r="P230" s="13"/>
      <c r="Q230" s="14">
        <f>Tabela1[[#This Row],[QTDE/ Fabricação]]-Tabela1[[#This Row],[QTE]]</f>
        <v>-2</v>
      </c>
      <c r="R230" s="18">
        <f t="shared" si="43"/>
        <v>245.96</v>
      </c>
      <c r="S230" s="18">
        <f t="shared" si="41"/>
        <v>245.96</v>
      </c>
      <c r="T230" s="19">
        <f t="shared" si="44"/>
        <v>0</v>
      </c>
      <c r="U230" s="207">
        <v>2</v>
      </c>
      <c r="V230" s="12" t="str">
        <f>IFERROR(VLOOKUP(Tabela1[[#This Row],[COD.MDE]],'LISTA DE EMBARQUE'!B:L,11,0),"")</f>
        <v/>
      </c>
      <c r="W230" s="13"/>
      <c r="X230" s="14">
        <f>IFERROR(Tabela1[[#This Row],[QIANTIDADE EXPEDIDA]]*Tabela1[[#This Row],[PESO UNI]],"")</f>
        <v>245.96</v>
      </c>
      <c r="Y230" s="14">
        <f t="shared" si="40"/>
        <v>0</v>
      </c>
      <c r="Z230" s="20">
        <f>Tabela1[[#This Row],[PESO TOTAL]]-Tabela1[[#This Row],[Peso Expedido]]</f>
        <v>0</v>
      </c>
      <c r="AA230" s="17">
        <v>1</v>
      </c>
      <c r="AB230" s="33"/>
      <c r="AC230" s="33">
        <v>1</v>
      </c>
      <c r="AD230" s="33">
        <v>1</v>
      </c>
      <c r="AE230" s="33">
        <v>1</v>
      </c>
      <c r="AF230" s="33">
        <v>1</v>
      </c>
      <c r="AG230" s="33">
        <v>1</v>
      </c>
      <c r="AH230" s="33">
        <v>1</v>
      </c>
      <c r="AI230" s="33" t="str">
        <f t="shared" si="45"/>
        <v>ok</v>
      </c>
      <c r="AJ230" s="5"/>
      <c r="AK230" t="str">
        <f>Tabela1[[#This Row],[Coluna1]]&amp;Tabela1[[#This Row],[PEDIDO]]</f>
        <v>P-188</v>
      </c>
      <c r="AL230"/>
      <c r="AM230"/>
      <c r="AN230"/>
      <c r="AO230" t="str">
        <f t="shared" si="42"/>
        <v>T-072962-1/1073-TC-006/007</v>
      </c>
      <c r="AP230" t="str">
        <f>Tabela1[[#This Row],[TAG]]&amp;Tabela1[[#This Row],[PEDIDO]]&amp;Tabela1[[#This Row],[PRODUTO]]</f>
        <v>1073-TC-006/007P-188RMF</v>
      </c>
      <c r="AQ230" s="22" t="str">
        <f>Tabela1[[#This Row],[PRODUTO]]&amp;Tabela1[[#This Row],[TAG]]</f>
        <v>RMF1073-TC-006/007</v>
      </c>
      <c r="AR230" s="24" t="str">
        <f>Tabela1[[#This Row],[PEDIDO]]&amp;Tabela1[[#This Row],[PRODUTO]]</f>
        <v>P-188RMF</v>
      </c>
      <c r="AS230" s="37">
        <f>IF(AF230="",0,IF(ISTEXT(AF230),H230*VALUE(SUBSTITUTE(AF230,"%",""))/100,H230*AF230))-Tabela1[[#This Row],[PRONTO ACABADO2]]</f>
        <v>0</v>
      </c>
      <c r="AT230" s="37">
        <f>IF(AG230="",0,IF(ISTEXT(AG230),H230*VALUE(SUBSTITUTE(AG230,"%",""))/100,H230*AG230))-Tabela1[[#This Row],[PESO EXPEDIDO2]]</f>
        <v>0</v>
      </c>
      <c r="AU230" s="37">
        <f t="shared" si="46"/>
        <v>245.96</v>
      </c>
      <c r="AV230" s="37">
        <f t="shared" si="47"/>
        <v>245.96</v>
      </c>
      <c r="AW230" s="37"/>
    </row>
    <row r="231" spans="1:49" ht="15.75" customHeight="1" x14ac:dyDescent="0.25">
      <c r="A231" s="6" t="s">
        <v>3864</v>
      </c>
      <c r="B231" s="21" t="s">
        <v>3867</v>
      </c>
      <c r="C231" s="7">
        <v>2</v>
      </c>
      <c r="D231" s="39" t="s">
        <v>3808</v>
      </c>
      <c r="E231" s="7">
        <v>4116</v>
      </c>
      <c r="F231" s="7" t="s">
        <v>3789</v>
      </c>
      <c r="G231" s="23">
        <v>34.4</v>
      </c>
      <c r="H231" s="34">
        <f>Tabela1[[#This Row],[PESO UNI]]*Tabela1[[#This Row],[QTE]]</f>
        <v>68.8</v>
      </c>
      <c r="I231" s="7">
        <v>0</v>
      </c>
      <c r="J231" s="8" t="s">
        <v>3790</v>
      </c>
      <c r="K231" s="8" t="s">
        <v>327</v>
      </c>
      <c r="L231" s="9" t="s">
        <v>2069</v>
      </c>
      <c r="M231" s="10">
        <v>46127</v>
      </c>
      <c r="N231" s="8" t="s">
        <v>327</v>
      </c>
      <c r="O231" s="12"/>
      <c r="P231" s="13"/>
      <c r="Q231" s="14">
        <f>Tabela1[[#This Row],[QTDE/ Fabricação]]-Tabela1[[#This Row],[QTE]]</f>
        <v>-2</v>
      </c>
      <c r="R231" s="18">
        <f t="shared" si="43"/>
        <v>68.8</v>
      </c>
      <c r="S231" s="18">
        <f t="shared" si="41"/>
        <v>68.8</v>
      </c>
      <c r="T231" s="19">
        <f t="shared" si="44"/>
        <v>0</v>
      </c>
      <c r="U231" s="207">
        <v>2</v>
      </c>
      <c r="V231" s="12" t="str">
        <f>IFERROR(VLOOKUP(Tabela1[[#This Row],[COD.MDE]],'LISTA DE EMBARQUE'!B:L,11,0),"")</f>
        <v/>
      </c>
      <c r="W231" s="13"/>
      <c r="X231" s="14">
        <f>IFERROR(Tabela1[[#This Row],[QIANTIDADE EXPEDIDA]]*Tabela1[[#This Row],[PESO UNI]],"")</f>
        <v>68.8</v>
      </c>
      <c r="Y231" s="14">
        <f t="shared" si="40"/>
        <v>0</v>
      </c>
      <c r="Z231" s="20">
        <f>Tabela1[[#This Row],[PESO TOTAL]]-Tabela1[[#This Row],[Peso Expedido]]</f>
        <v>0</v>
      </c>
      <c r="AA231" s="17">
        <v>1</v>
      </c>
      <c r="AB231" s="33"/>
      <c r="AC231" s="33">
        <v>1</v>
      </c>
      <c r="AD231" s="33">
        <v>1</v>
      </c>
      <c r="AE231" s="33">
        <v>1</v>
      </c>
      <c r="AF231" s="33">
        <v>1</v>
      </c>
      <c r="AG231" s="33">
        <v>1</v>
      </c>
      <c r="AH231" s="33">
        <v>1</v>
      </c>
      <c r="AI231" s="33" t="str">
        <f t="shared" si="45"/>
        <v>ok</v>
      </c>
      <c r="AJ231" s="5"/>
      <c r="AK231" t="str">
        <f>Tabela1[[#This Row],[Coluna1]]&amp;Tabela1[[#This Row],[PEDIDO]]</f>
        <v>P-188</v>
      </c>
      <c r="AL231"/>
      <c r="AM231"/>
      <c r="AN231"/>
      <c r="AO231" t="str">
        <f t="shared" si="42"/>
        <v>T-072962-1/1073-TC-006/007</v>
      </c>
      <c r="AP231" t="str">
        <f>Tabela1[[#This Row],[TAG]]&amp;Tabela1[[#This Row],[PEDIDO]]&amp;Tabela1[[#This Row],[PRODUTO]]</f>
        <v>1073-TC-006/007P-188RMF</v>
      </c>
      <c r="AQ231" s="22" t="str">
        <f>Tabela1[[#This Row],[PRODUTO]]&amp;Tabela1[[#This Row],[TAG]]</f>
        <v>RMF1073-TC-006/007</v>
      </c>
      <c r="AR231" s="24" t="str">
        <f>Tabela1[[#This Row],[PEDIDO]]&amp;Tabela1[[#This Row],[PRODUTO]]</f>
        <v>P-188RMF</v>
      </c>
      <c r="AS231" s="37">
        <f>IF(AF231="",0,IF(ISTEXT(AF231),H231*VALUE(SUBSTITUTE(AF231,"%",""))/100,H231*AF231))-Tabela1[[#This Row],[PRONTO ACABADO2]]</f>
        <v>0</v>
      </c>
      <c r="AT231" s="37">
        <f>IF(AG231="",0,IF(ISTEXT(AG231),H231*VALUE(SUBSTITUTE(AG231,"%",""))/100,H231*AG231))-Tabela1[[#This Row],[PESO EXPEDIDO2]]</f>
        <v>0</v>
      </c>
      <c r="AU231" s="37">
        <f t="shared" si="46"/>
        <v>68.8</v>
      </c>
      <c r="AV231" s="37">
        <f t="shared" si="47"/>
        <v>68.8</v>
      </c>
      <c r="AW231" s="37"/>
    </row>
    <row r="232" spans="1:49" ht="15.75" customHeight="1" x14ac:dyDescent="0.25">
      <c r="A232" s="6" t="s">
        <v>3864</v>
      </c>
      <c r="B232" s="21" t="s">
        <v>3868</v>
      </c>
      <c r="C232" s="7">
        <v>2</v>
      </c>
      <c r="D232" s="39" t="s">
        <v>3808</v>
      </c>
      <c r="E232" s="7">
        <v>4117</v>
      </c>
      <c r="F232" s="7" t="s">
        <v>3789</v>
      </c>
      <c r="G232" s="23">
        <v>34.369999999999997</v>
      </c>
      <c r="H232" s="34">
        <f>Tabela1[[#This Row],[PESO UNI]]*Tabela1[[#This Row],[QTE]]</f>
        <v>68.739999999999995</v>
      </c>
      <c r="I232" s="7">
        <v>0</v>
      </c>
      <c r="J232" s="8" t="s">
        <v>3790</v>
      </c>
      <c r="K232" s="8" t="s">
        <v>327</v>
      </c>
      <c r="L232" s="9" t="s">
        <v>2069</v>
      </c>
      <c r="M232" s="10">
        <v>46127</v>
      </c>
      <c r="N232" s="8" t="s">
        <v>327</v>
      </c>
      <c r="O232" s="12"/>
      <c r="P232" s="13"/>
      <c r="Q232" s="14">
        <f>Tabela1[[#This Row],[QTDE/ Fabricação]]-Tabela1[[#This Row],[QTE]]</f>
        <v>-2</v>
      </c>
      <c r="R232" s="18">
        <f t="shared" si="43"/>
        <v>68.739999999999995</v>
      </c>
      <c r="S232" s="18">
        <f t="shared" si="41"/>
        <v>68.739999999999995</v>
      </c>
      <c r="T232" s="19">
        <f t="shared" si="44"/>
        <v>0</v>
      </c>
      <c r="U232" s="207">
        <v>2</v>
      </c>
      <c r="V232" s="12" t="str">
        <f>IFERROR(VLOOKUP(Tabela1[[#This Row],[COD.MDE]],'LISTA DE EMBARQUE'!B:L,11,0),"")</f>
        <v/>
      </c>
      <c r="W232" s="13"/>
      <c r="X232" s="14">
        <f>IFERROR(Tabela1[[#This Row],[QIANTIDADE EXPEDIDA]]*Tabela1[[#This Row],[PESO UNI]],"")</f>
        <v>68.739999999999995</v>
      </c>
      <c r="Y232" s="14">
        <f t="shared" si="40"/>
        <v>0</v>
      </c>
      <c r="Z232" s="20">
        <f>Tabela1[[#This Row],[PESO TOTAL]]-Tabela1[[#This Row],[Peso Expedido]]</f>
        <v>0</v>
      </c>
      <c r="AA232" s="17">
        <v>1</v>
      </c>
      <c r="AB232" s="33"/>
      <c r="AC232" s="33">
        <v>1</v>
      </c>
      <c r="AD232" s="33">
        <v>1</v>
      </c>
      <c r="AE232" s="33">
        <v>1</v>
      </c>
      <c r="AF232" s="33">
        <v>1</v>
      </c>
      <c r="AG232" s="33">
        <v>1</v>
      </c>
      <c r="AH232" s="33">
        <v>1</v>
      </c>
      <c r="AI232" s="33" t="str">
        <f t="shared" si="45"/>
        <v>ok</v>
      </c>
      <c r="AJ232" s="5"/>
      <c r="AK232" t="str">
        <f>Tabela1[[#This Row],[Coluna1]]&amp;Tabela1[[#This Row],[PEDIDO]]</f>
        <v>P-188</v>
      </c>
      <c r="AL232"/>
      <c r="AM232"/>
      <c r="AN232"/>
      <c r="AO232" t="str">
        <f t="shared" si="42"/>
        <v>T-072962-1/1073-TC-006/007</v>
      </c>
      <c r="AP232" t="str">
        <f>Tabela1[[#This Row],[TAG]]&amp;Tabela1[[#This Row],[PEDIDO]]&amp;Tabela1[[#This Row],[PRODUTO]]</f>
        <v>1073-TC-006/007P-188RMF</v>
      </c>
      <c r="AQ232" s="22" t="str">
        <f>Tabela1[[#This Row],[PRODUTO]]&amp;Tabela1[[#This Row],[TAG]]</f>
        <v>RMF1073-TC-006/007</v>
      </c>
      <c r="AR232" s="24" t="str">
        <f>Tabela1[[#This Row],[PEDIDO]]&amp;Tabela1[[#This Row],[PRODUTO]]</f>
        <v>P-188RMF</v>
      </c>
      <c r="AS232" s="37">
        <f>IF(AF232="",0,IF(ISTEXT(AF232),H232*VALUE(SUBSTITUTE(AF232,"%",""))/100,H232*AF232))-Tabela1[[#This Row],[PRONTO ACABADO2]]</f>
        <v>0</v>
      </c>
      <c r="AT232" s="37">
        <f>IF(AG232="",0,IF(ISTEXT(AG232),H232*VALUE(SUBSTITUTE(AG232,"%",""))/100,H232*AG232))-Tabela1[[#This Row],[PESO EXPEDIDO2]]</f>
        <v>0</v>
      </c>
      <c r="AU232" s="37">
        <f t="shared" si="46"/>
        <v>68.739999999999995</v>
      </c>
      <c r="AV232" s="37">
        <f t="shared" si="47"/>
        <v>68.739999999999995</v>
      </c>
      <c r="AW232" s="37"/>
    </row>
    <row r="233" spans="1:49" ht="15.75" customHeight="1" x14ac:dyDescent="0.25">
      <c r="A233" s="6" t="s">
        <v>3864</v>
      </c>
      <c r="B233" s="21" t="s">
        <v>3869</v>
      </c>
      <c r="C233" s="7">
        <v>2</v>
      </c>
      <c r="D233" s="39" t="s">
        <v>3808</v>
      </c>
      <c r="E233" s="7">
        <v>4118</v>
      </c>
      <c r="F233" s="7" t="s">
        <v>3789</v>
      </c>
      <c r="G233" s="23">
        <v>34.369999999999997</v>
      </c>
      <c r="H233" s="34">
        <f>Tabela1[[#This Row],[PESO UNI]]*Tabela1[[#This Row],[QTE]]</f>
        <v>68.739999999999995</v>
      </c>
      <c r="I233" s="7">
        <v>0</v>
      </c>
      <c r="J233" s="8" t="s">
        <v>3790</v>
      </c>
      <c r="K233" s="8" t="s">
        <v>327</v>
      </c>
      <c r="L233" s="9" t="s">
        <v>2069</v>
      </c>
      <c r="M233" s="10">
        <v>46127</v>
      </c>
      <c r="N233" s="8" t="s">
        <v>327</v>
      </c>
      <c r="O233" s="12"/>
      <c r="P233" s="13"/>
      <c r="Q233" s="14">
        <f>Tabela1[[#This Row],[QTDE/ Fabricação]]-Tabela1[[#This Row],[QTE]]</f>
        <v>-2</v>
      </c>
      <c r="R233" s="18">
        <f t="shared" si="43"/>
        <v>68.739999999999995</v>
      </c>
      <c r="S233" s="18">
        <f t="shared" si="41"/>
        <v>68.739999999999995</v>
      </c>
      <c r="T233" s="19">
        <f t="shared" si="44"/>
        <v>0</v>
      </c>
      <c r="U233" s="207">
        <v>2</v>
      </c>
      <c r="V233" s="12" t="str">
        <f>IFERROR(VLOOKUP(Tabela1[[#This Row],[COD.MDE]],'LISTA DE EMBARQUE'!B:L,11,0),"")</f>
        <v/>
      </c>
      <c r="W233" s="13"/>
      <c r="X233" s="14">
        <f>IFERROR(Tabela1[[#This Row],[QIANTIDADE EXPEDIDA]]*Tabela1[[#This Row],[PESO UNI]],"")</f>
        <v>68.739999999999995</v>
      </c>
      <c r="Y233" s="14">
        <f t="shared" si="40"/>
        <v>0</v>
      </c>
      <c r="Z233" s="20">
        <f>Tabela1[[#This Row],[PESO TOTAL]]-Tabela1[[#This Row],[Peso Expedido]]</f>
        <v>0</v>
      </c>
      <c r="AA233" s="17">
        <v>1</v>
      </c>
      <c r="AB233" s="33"/>
      <c r="AC233" s="33">
        <v>1</v>
      </c>
      <c r="AD233" s="33">
        <v>1</v>
      </c>
      <c r="AE233" s="33">
        <v>1</v>
      </c>
      <c r="AF233" s="33">
        <v>1</v>
      </c>
      <c r="AG233" s="33">
        <v>1</v>
      </c>
      <c r="AH233" s="33">
        <v>1</v>
      </c>
      <c r="AI233" s="33" t="str">
        <f t="shared" si="45"/>
        <v>ok</v>
      </c>
      <c r="AJ233" s="5"/>
      <c r="AK233" t="str">
        <f>Tabela1[[#This Row],[Coluna1]]&amp;Tabela1[[#This Row],[PEDIDO]]</f>
        <v>P-188</v>
      </c>
      <c r="AL233"/>
      <c r="AM233"/>
      <c r="AN233"/>
      <c r="AO233" t="str">
        <f t="shared" si="42"/>
        <v>T-072962-1/1073-TC-006/007</v>
      </c>
      <c r="AP233" t="str">
        <f>Tabela1[[#This Row],[TAG]]&amp;Tabela1[[#This Row],[PEDIDO]]&amp;Tabela1[[#This Row],[PRODUTO]]</f>
        <v>1073-TC-006/007P-188RMF</v>
      </c>
      <c r="AQ233" s="22" t="str">
        <f>Tabela1[[#This Row],[PRODUTO]]&amp;Tabela1[[#This Row],[TAG]]</f>
        <v>RMF1073-TC-006/007</v>
      </c>
      <c r="AR233" s="24" t="str">
        <f>Tabela1[[#This Row],[PEDIDO]]&amp;Tabela1[[#This Row],[PRODUTO]]</f>
        <v>P-188RMF</v>
      </c>
      <c r="AS233" s="37">
        <f>IF(AF233="",0,IF(ISTEXT(AF233),H233*VALUE(SUBSTITUTE(AF233,"%",""))/100,H233*AF233))-Tabela1[[#This Row],[PRONTO ACABADO2]]</f>
        <v>0</v>
      </c>
      <c r="AT233" s="37">
        <f>IF(AG233="",0,IF(ISTEXT(AG233),H233*VALUE(SUBSTITUTE(AG233,"%",""))/100,H233*AG233))-Tabela1[[#This Row],[PESO EXPEDIDO2]]</f>
        <v>0</v>
      </c>
      <c r="AU233" s="37">
        <f t="shared" si="46"/>
        <v>68.739999999999995</v>
      </c>
      <c r="AV233" s="37">
        <f t="shared" si="47"/>
        <v>68.739999999999995</v>
      </c>
      <c r="AW233" s="37"/>
    </row>
    <row r="234" spans="1:49" ht="15.75" customHeight="1" x14ac:dyDescent="0.25">
      <c r="A234" s="6" t="s">
        <v>3864</v>
      </c>
      <c r="B234" s="21" t="s">
        <v>3870</v>
      </c>
      <c r="C234" s="7">
        <v>2</v>
      </c>
      <c r="D234" s="39" t="s">
        <v>3808</v>
      </c>
      <c r="E234" s="7">
        <v>4119</v>
      </c>
      <c r="F234" s="7" t="s">
        <v>3789</v>
      </c>
      <c r="G234" s="23">
        <v>27.01</v>
      </c>
      <c r="H234" s="34">
        <f>Tabela1[[#This Row],[PESO UNI]]*Tabela1[[#This Row],[QTE]]</f>
        <v>54.02</v>
      </c>
      <c r="I234" s="7">
        <v>0</v>
      </c>
      <c r="J234" s="8" t="s">
        <v>3790</v>
      </c>
      <c r="K234" s="8" t="s">
        <v>327</v>
      </c>
      <c r="L234" s="9" t="s">
        <v>2069</v>
      </c>
      <c r="M234" s="10">
        <v>46127</v>
      </c>
      <c r="N234" s="8" t="s">
        <v>327</v>
      </c>
      <c r="O234" s="12"/>
      <c r="P234" s="13"/>
      <c r="Q234" s="14">
        <f>Tabela1[[#This Row],[QTDE/ Fabricação]]-Tabela1[[#This Row],[QTE]]</f>
        <v>-2</v>
      </c>
      <c r="R234" s="18">
        <f t="shared" si="43"/>
        <v>54.02</v>
      </c>
      <c r="S234" s="18">
        <f t="shared" si="41"/>
        <v>54.02</v>
      </c>
      <c r="T234" s="19">
        <f t="shared" si="44"/>
        <v>0</v>
      </c>
      <c r="U234" s="207">
        <v>2</v>
      </c>
      <c r="V234" s="12" t="str">
        <f>IFERROR(VLOOKUP(Tabela1[[#This Row],[COD.MDE]],'LISTA DE EMBARQUE'!B:L,11,0),"")</f>
        <v/>
      </c>
      <c r="W234" s="13"/>
      <c r="X234" s="14">
        <f>IFERROR(Tabela1[[#This Row],[QIANTIDADE EXPEDIDA]]*Tabela1[[#This Row],[PESO UNI]],"")</f>
        <v>54.02</v>
      </c>
      <c r="Y234" s="14">
        <f t="shared" si="40"/>
        <v>0</v>
      </c>
      <c r="Z234" s="20">
        <f>Tabela1[[#This Row],[PESO TOTAL]]-Tabela1[[#This Row],[Peso Expedido]]</f>
        <v>0</v>
      </c>
      <c r="AA234" s="17">
        <v>1</v>
      </c>
      <c r="AB234" s="33"/>
      <c r="AC234" s="33">
        <v>1</v>
      </c>
      <c r="AD234" s="33">
        <v>1</v>
      </c>
      <c r="AE234" s="33">
        <v>1</v>
      </c>
      <c r="AF234" s="33">
        <v>1</v>
      </c>
      <c r="AG234" s="33">
        <v>1</v>
      </c>
      <c r="AH234" s="33">
        <v>1</v>
      </c>
      <c r="AI234" s="33" t="str">
        <f t="shared" si="45"/>
        <v>ok</v>
      </c>
      <c r="AJ234" s="5"/>
      <c r="AK234" t="str">
        <f>Tabela1[[#This Row],[Coluna1]]&amp;Tabela1[[#This Row],[PEDIDO]]</f>
        <v>P-188</v>
      </c>
      <c r="AL234"/>
      <c r="AM234"/>
      <c r="AN234"/>
      <c r="AO234" t="str">
        <f t="shared" si="42"/>
        <v>T-072962-1/1073-TC-006/007</v>
      </c>
      <c r="AP234" t="str">
        <f>Tabela1[[#This Row],[TAG]]&amp;Tabela1[[#This Row],[PEDIDO]]&amp;Tabela1[[#This Row],[PRODUTO]]</f>
        <v>1073-TC-006/007P-188RMF</v>
      </c>
      <c r="AQ234" s="22" t="str">
        <f>Tabela1[[#This Row],[PRODUTO]]&amp;Tabela1[[#This Row],[TAG]]</f>
        <v>RMF1073-TC-006/007</v>
      </c>
      <c r="AR234" s="24" t="str">
        <f>Tabela1[[#This Row],[PEDIDO]]&amp;Tabela1[[#This Row],[PRODUTO]]</f>
        <v>P-188RMF</v>
      </c>
      <c r="AS234" s="37">
        <f>IF(AF234="",0,IF(ISTEXT(AF234),H234*VALUE(SUBSTITUTE(AF234,"%",""))/100,H234*AF234))-Tabela1[[#This Row],[PRONTO ACABADO2]]</f>
        <v>0</v>
      </c>
      <c r="AT234" s="37">
        <f>IF(AG234="",0,IF(ISTEXT(AG234),H234*VALUE(SUBSTITUTE(AG234,"%",""))/100,H234*AG234))-Tabela1[[#This Row],[PESO EXPEDIDO2]]</f>
        <v>0</v>
      </c>
      <c r="AU234" s="37">
        <f t="shared" si="46"/>
        <v>54.02</v>
      </c>
      <c r="AV234" s="37">
        <f t="shared" si="47"/>
        <v>54.02</v>
      </c>
      <c r="AW234" s="37"/>
    </row>
    <row r="235" spans="1:49" ht="15.75" customHeight="1" x14ac:dyDescent="0.25">
      <c r="A235" s="6" t="s">
        <v>3864</v>
      </c>
      <c r="B235" s="21" t="s">
        <v>3871</v>
      </c>
      <c r="C235" s="7">
        <v>2</v>
      </c>
      <c r="D235" s="39" t="s">
        <v>3808</v>
      </c>
      <c r="E235" s="7">
        <v>4120</v>
      </c>
      <c r="F235" s="7" t="s">
        <v>3789</v>
      </c>
      <c r="G235" s="23">
        <v>27.01</v>
      </c>
      <c r="H235" s="34">
        <f>Tabela1[[#This Row],[PESO UNI]]*Tabela1[[#This Row],[QTE]]</f>
        <v>54.02</v>
      </c>
      <c r="I235" s="7">
        <v>0</v>
      </c>
      <c r="J235" s="8" t="s">
        <v>3790</v>
      </c>
      <c r="K235" s="8" t="s">
        <v>327</v>
      </c>
      <c r="L235" s="9" t="s">
        <v>2069</v>
      </c>
      <c r="M235" s="10">
        <v>46127</v>
      </c>
      <c r="N235" s="8" t="s">
        <v>327</v>
      </c>
      <c r="O235" s="12"/>
      <c r="P235" s="13"/>
      <c r="Q235" s="14">
        <f>Tabela1[[#This Row],[QTDE/ Fabricação]]-Tabela1[[#This Row],[QTE]]</f>
        <v>-2</v>
      </c>
      <c r="R235" s="18">
        <f t="shared" si="43"/>
        <v>54.02</v>
      </c>
      <c r="S235" s="18">
        <f t="shared" si="41"/>
        <v>54.02</v>
      </c>
      <c r="T235" s="19">
        <f t="shared" si="44"/>
        <v>0</v>
      </c>
      <c r="U235" s="207">
        <v>2</v>
      </c>
      <c r="V235" s="12" t="str">
        <f>IFERROR(VLOOKUP(Tabela1[[#This Row],[COD.MDE]],'LISTA DE EMBARQUE'!B:L,11,0),"")</f>
        <v/>
      </c>
      <c r="W235" s="13"/>
      <c r="X235" s="14">
        <f>IFERROR(Tabela1[[#This Row],[QIANTIDADE EXPEDIDA]]*Tabela1[[#This Row],[PESO UNI]],"")</f>
        <v>54.02</v>
      </c>
      <c r="Y235" s="14">
        <f t="shared" si="40"/>
        <v>0</v>
      </c>
      <c r="Z235" s="20">
        <f>Tabela1[[#This Row],[PESO TOTAL]]-Tabela1[[#This Row],[Peso Expedido]]</f>
        <v>0</v>
      </c>
      <c r="AA235" s="17">
        <v>1</v>
      </c>
      <c r="AB235" s="33"/>
      <c r="AC235" s="33">
        <v>1</v>
      </c>
      <c r="AD235" s="33">
        <v>1</v>
      </c>
      <c r="AE235" s="33">
        <v>1</v>
      </c>
      <c r="AF235" s="33">
        <v>1</v>
      </c>
      <c r="AG235" s="33">
        <v>1</v>
      </c>
      <c r="AH235" s="33">
        <v>1</v>
      </c>
      <c r="AI235" s="33" t="str">
        <f t="shared" si="45"/>
        <v>ok</v>
      </c>
      <c r="AJ235" s="5"/>
      <c r="AK235" t="str">
        <f>Tabela1[[#This Row],[Coluna1]]&amp;Tabela1[[#This Row],[PEDIDO]]</f>
        <v>P-188</v>
      </c>
      <c r="AL235"/>
      <c r="AM235"/>
      <c r="AN235"/>
      <c r="AO235" t="str">
        <f t="shared" si="42"/>
        <v>T-072962-1/1073-TC-006/007</v>
      </c>
      <c r="AP235" t="str">
        <f>Tabela1[[#This Row],[TAG]]&amp;Tabela1[[#This Row],[PEDIDO]]&amp;Tabela1[[#This Row],[PRODUTO]]</f>
        <v>1073-TC-006/007P-188RMF</v>
      </c>
      <c r="AQ235" s="22" t="str">
        <f>Tabela1[[#This Row],[PRODUTO]]&amp;Tabela1[[#This Row],[TAG]]</f>
        <v>RMF1073-TC-006/007</v>
      </c>
      <c r="AR235" s="24" t="str">
        <f>Tabela1[[#This Row],[PEDIDO]]&amp;Tabela1[[#This Row],[PRODUTO]]</f>
        <v>P-188RMF</v>
      </c>
      <c r="AS235" s="37">
        <f>IF(AF235="",0,IF(ISTEXT(AF235),H235*VALUE(SUBSTITUTE(AF235,"%",""))/100,H235*AF235))-Tabela1[[#This Row],[PRONTO ACABADO2]]</f>
        <v>0</v>
      </c>
      <c r="AT235" s="37">
        <f>IF(AG235="",0,IF(ISTEXT(AG235),H235*VALUE(SUBSTITUTE(AG235,"%",""))/100,H235*AG235))-Tabela1[[#This Row],[PESO EXPEDIDO2]]</f>
        <v>0</v>
      </c>
      <c r="AU235" s="37">
        <f t="shared" si="46"/>
        <v>54.02</v>
      </c>
      <c r="AV235" s="37">
        <f t="shared" si="47"/>
        <v>54.02</v>
      </c>
      <c r="AW235" s="37"/>
    </row>
    <row r="236" spans="1:49" ht="15.75" customHeight="1" x14ac:dyDescent="0.25">
      <c r="A236" s="6" t="s">
        <v>3864</v>
      </c>
      <c r="B236" s="21" t="s">
        <v>3872</v>
      </c>
      <c r="C236" s="7">
        <v>4</v>
      </c>
      <c r="D236" s="39" t="s">
        <v>3808</v>
      </c>
      <c r="E236" s="7">
        <v>4121</v>
      </c>
      <c r="F236" s="7" t="s">
        <v>3789</v>
      </c>
      <c r="G236" s="23">
        <v>23.75</v>
      </c>
      <c r="H236" s="34">
        <f>Tabela1[[#This Row],[PESO UNI]]*Tabela1[[#This Row],[QTE]]</f>
        <v>95</v>
      </c>
      <c r="I236" s="7">
        <v>0</v>
      </c>
      <c r="J236" s="8" t="s">
        <v>3790</v>
      </c>
      <c r="K236" s="8" t="s">
        <v>327</v>
      </c>
      <c r="L236" s="9" t="s">
        <v>2069</v>
      </c>
      <c r="M236" s="10">
        <v>46127</v>
      </c>
      <c r="N236" s="8" t="s">
        <v>327</v>
      </c>
      <c r="O236" s="12"/>
      <c r="P236" s="13"/>
      <c r="Q236" s="14">
        <f>Tabela1[[#This Row],[QTDE/ Fabricação]]-Tabela1[[#This Row],[QTE]]</f>
        <v>-4</v>
      </c>
      <c r="R236" s="18">
        <f t="shared" si="43"/>
        <v>95</v>
      </c>
      <c r="S236" s="18">
        <f t="shared" si="41"/>
        <v>95</v>
      </c>
      <c r="T236" s="19">
        <f t="shared" si="44"/>
        <v>0</v>
      </c>
      <c r="U236" s="207">
        <v>4</v>
      </c>
      <c r="V236" s="12" t="str">
        <f>IFERROR(VLOOKUP(Tabela1[[#This Row],[COD.MDE]],'LISTA DE EMBARQUE'!B:L,11,0),"")</f>
        <v/>
      </c>
      <c r="W236" s="13"/>
      <c r="X236" s="14">
        <f>IFERROR(Tabela1[[#This Row],[QIANTIDADE EXPEDIDA]]*Tabela1[[#This Row],[PESO UNI]],"")</f>
        <v>95</v>
      </c>
      <c r="Y236" s="14">
        <f t="shared" si="40"/>
        <v>0</v>
      </c>
      <c r="Z236" s="20">
        <f>Tabela1[[#This Row],[PESO TOTAL]]-Tabela1[[#This Row],[Peso Expedido]]</f>
        <v>0</v>
      </c>
      <c r="AA236" s="17">
        <v>1</v>
      </c>
      <c r="AB236" s="33"/>
      <c r="AC236" s="33">
        <v>1</v>
      </c>
      <c r="AD236" s="33">
        <v>1</v>
      </c>
      <c r="AE236" s="33">
        <v>1</v>
      </c>
      <c r="AF236" s="33">
        <v>1</v>
      </c>
      <c r="AG236" s="33">
        <v>1</v>
      </c>
      <c r="AH236" s="33">
        <v>1</v>
      </c>
      <c r="AI236" s="33" t="str">
        <f t="shared" si="45"/>
        <v>ok</v>
      </c>
      <c r="AJ236" s="5"/>
      <c r="AK236" t="str">
        <f>Tabela1[[#This Row],[Coluna1]]&amp;Tabela1[[#This Row],[PEDIDO]]</f>
        <v>P-188</v>
      </c>
      <c r="AL236"/>
      <c r="AM236"/>
      <c r="AN236"/>
      <c r="AO236" t="str">
        <f t="shared" si="42"/>
        <v>T-072962-1/1073-TC-006/007</v>
      </c>
      <c r="AP236" t="str">
        <f>Tabela1[[#This Row],[TAG]]&amp;Tabela1[[#This Row],[PEDIDO]]&amp;Tabela1[[#This Row],[PRODUTO]]</f>
        <v>1073-TC-006/007P-188RMF</v>
      </c>
      <c r="AQ236" s="22" t="str">
        <f>Tabela1[[#This Row],[PRODUTO]]&amp;Tabela1[[#This Row],[TAG]]</f>
        <v>RMF1073-TC-006/007</v>
      </c>
      <c r="AR236" s="24" t="str">
        <f>Tabela1[[#This Row],[PEDIDO]]&amp;Tabela1[[#This Row],[PRODUTO]]</f>
        <v>P-188RMF</v>
      </c>
      <c r="AS236" s="37">
        <f>IF(AF236="",0,IF(ISTEXT(AF236),H236*VALUE(SUBSTITUTE(AF236,"%",""))/100,H236*AF236))-Tabela1[[#This Row],[PRONTO ACABADO2]]</f>
        <v>0</v>
      </c>
      <c r="AT236" s="37">
        <f>IF(AG236="",0,IF(ISTEXT(AG236),H236*VALUE(SUBSTITUTE(AG236,"%",""))/100,H236*AG236))-Tabela1[[#This Row],[PESO EXPEDIDO2]]</f>
        <v>0</v>
      </c>
      <c r="AU236" s="37">
        <f t="shared" si="46"/>
        <v>95</v>
      </c>
      <c r="AV236" s="37">
        <f t="shared" si="47"/>
        <v>95</v>
      </c>
      <c r="AW236" s="37"/>
    </row>
    <row r="237" spans="1:49" ht="15.75" customHeight="1" x14ac:dyDescent="0.25">
      <c r="A237" s="6" t="s">
        <v>3873</v>
      </c>
      <c r="B237" s="21" t="s">
        <v>3829</v>
      </c>
      <c r="C237" s="7">
        <v>2</v>
      </c>
      <c r="D237" s="39" t="s">
        <v>3804</v>
      </c>
      <c r="E237" s="7">
        <v>4122</v>
      </c>
      <c r="F237" s="7" t="s">
        <v>3789</v>
      </c>
      <c r="G237" s="23">
        <v>129.09</v>
      </c>
      <c r="H237" s="34">
        <f>Tabela1[[#This Row],[PESO UNI]]*Tabela1[[#This Row],[QTE]]</f>
        <v>258.18</v>
      </c>
      <c r="I237" s="7">
        <v>0</v>
      </c>
      <c r="J237" s="8" t="s">
        <v>3790</v>
      </c>
      <c r="K237" s="8" t="s">
        <v>327</v>
      </c>
      <c r="L237" s="9" t="s">
        <v>2069</v>
      </c>
      <c r="M237" s="10">
        <v>46127</v>
      </c>
      <c r="N237" s="8" t="s">
        <v>327</v>
      </c>
      <c r="O237" s="12"/>
      <c r="P237" s="13"/>
      <c r="Q237" s="14">
        <f>Tabela1[[#This Row],[QTDE/ Fabricação]]-Tabela1[[#This Row],[QTE]]</f>
        <v>-2</v>
      </c>
      <c r="R237" s="18">
        <f t="shared" si="43"/>
        <v>258.18</v>
      </c>
      <c r="S237" s="18">
        <f t="shared" si="41"/>
        <v>258.18</v>
      </c>
      <c r="T237" s="19">
        <f t="shared" si="44"/>
        <v>0</v>
      </c>
      <c r="U237" s="207">
        <v>2</v>
      </c>
      <c r="V237" s="12" t="str">
        <f>IFERROR(VLOOKUP(Tabela1[[#This Row],[COD.MDE]],'LISTA DE EMBARQUE'!B:L,11,0),"")</f>
        <v/>
      </c>
      <c r="W237" s="13"/>
      <c r="X237" s="14">
        <f>IFERROR(Tabela1[[#This Row],[QIANTIDADE EXPEDIDA]]*Tabela1[[#This Row],[PESO UNI]],"")</f>
        <v>258.18</v>
      </c>
      <c r="Y237" s="14">
        <f t="shared" si="40"/>
        <v>0</v>
      </c>
      <c r="Z237" s="20">
        <f>Tabela1[[#This Row],[PESO TOTAL]]-Tabela1[[#This Row],[Peso Expedido]]</f>
        <v>0</v>
      </c>
      <c r="AA237" s="17">
        <v>1</v>
      </c>
      <c r="AB237" s="33"/>
      <c r="AC237" s="33">
        <v>1</v>
      </c>
      <c r="AD237" s="33">
        <v>1</v>
      </c>
      <c r="AE237" s="33">
        <v>1</v>
      </c>
      <c r="AF237" s="33">
        <v>1</v>
      </c>
      <c r="AG237" s="33">
        <v>1</v>
      </c>
      <c r="AH237" s="33">
        <v>1</v>
      </c>
      <c r="AI237" s="33" t="str">
        <f t="shared" si="45"/>
        <v>ok</v>
      </c>
      <c r="AJ237" s="5"/>
      <c r="AK237" t="str">
        <f>Tabela1[[#This Row],[Coluna1]]&amp;Tabela1[[#This Row],[PEDIDO]]</f>
        <v>P-188</v>
      </c>
      <c r="AL237"/>
      <c r="AM237"/>
      <c r="AN237"/>
      <c r="AO237" t="str">
        <f t="shared" si="42"/>
        <v>T-072967-1/1073-TC-006/007</v>
      </c>
      <c r="AP237" t="str">
        <f>Tabela1[[#This Row],[TAG]]&amp;Tabela1[[#This Row],[PEDIDO]]&amp;Tabela1[[#This Row],[PRODUTO]]</f>
        <v>1073-TC-006/007P-188RMF</v>
      </c>
      <c r="AQ237" s="22" t="str">
        <f>Tabela1[[#This Row],[PRODUTO]]&amp;Tabela1[[#This Row],[TAG]]</f>
        <v>RMF1073-TC-006/007</v>
      </c>
      <c r="AR237" s="24" t="str">
        <f>Tabela1[[#This Row],[PEDIDO]]&amp;Tabela1[[#This Row],[PRODUTO]]</f>
        <v>P-188RMF</v>
      </c>
      <c r="AS237" s="37">
        <f>IF(AF237="",0,IF(ISTEXT(AF237),H237*VALUE(SUBSTITUTE(AF237,"%",""))/100,H237*AF237))-Tabela1[[#This Row],[PRONTO ACABADO2]]</f>
        <v>0</v>
      </c>
      <c r="AT237" s="37">
        <f>IF(AG237="",0,IF(ISTEXT(AG237),H237*VALUE(SUBSTITUTE(AG237,"%",""))/100,H237*AG237))-Tabela1[[#This Row],[PESO EXPEDIDO2]]</f>
        <v>0</v>
      </c>
      <c r="AU237" s="37">
        <f t="shared" si="46"/>
        <v>258.18</v>
      </c>
      <c r="AV237" s="37">
        <f t="shared" si="47"/>
        <v>258.18</v>
      </c>
      <c r="AW237" s="37"/>
    </row>
    <row r="238" spans="1:49" ht="15.75" customHeight="1" x14ac:dyDescent="0.25">
      <c r="A238" s="6" t="s">
        <v>3873</v>
      </c>
      <c r="B238" s="21" t="s">
        <v>3830</v>
      </c>
      <c r="C238" s="7">
        <v>2</v>
      </c>
      <c r="D238" s="39" t="s">
        <v>3806</v>
      </c>
      <c r="E238" s="7">
        <v>4123</v>
      </c>
      <c r="F238" s="7" t="s">
        <v>3789</v>
      </c>
      <c r="G238" s="23">
        <v>129.09</v>
      </c>
      <c r="H238" s="34">
        <f>Tabela1[[#This Row],[PESO UNI]]*Tabela1[[#This Row],[QTE]]</f>
        <v>258.18</v>
      </c>
      <c r="I238" s="7">
        <v>0</v>
      </c>
      <c r="J238" s="8" t="s">
        <v>3790</v>
      </c>
      <c r="K238" s="8" t="s">
        <v>327</v>
      </c>
      <c r="L238" s="9" t="s">
        <v>2069</v>
      </c>
      <c r="M238" s="10">
        <v>46127</v>
      </c>
      <c r="N238" s="8" t="s">
        <v>327</v>
      </c>
      <c r="O238" s="12"/>
      <c r="P238" s="13"/>
      <c r="Q238" s="14">
        <f>Tabela1[[#This Row],[QTDE/ Fabricação]]-Tabela1[[#This Row],[QTE]]</f>
        <v>-2</v>
      </c>
      <c r="R238" s="18">
        <f t="shared" si="43"/>
        <v>258.18</v>
      </c>
      <c r="S238" s="18">
        <f t="shared" si="41"/>
        <v>258.18</v>
      </c>
      <c r="T238" s="19">
        <f t="shared" si="44"/>
        <v>0</v>
      </c>
      <c r="U238" s="207">
        <v>2</v>
      </c>
      <c r="V238" s="12" t="str">
        <f>IFERROR(VLOOKUP(Tabela1[[#This Row],[COD.MDE]],'LISTA DE EMBARQUE'!B:L,11,0),"")</f>
        <v/>
      </c>
      <c r="W238" s="13"/>
      <c r="X238" s="14">
        <f>IFERROR(Tabela1[[#This Row],[QIANTIDADE EXPEDIDA]]*Tabela1[[#This Row],[PESO UNI]],"")</f>
        <v>258.18</v>
      </c>
      <c r="Y238" s="14">
        <f t="shared" si="40"/>
        <v>0</v>
      </c>
      <c r="Z238" s="20">
        <f>Tabela1[[#This Row],[PESO TOTAL]]-Tabela1[[#This Row],[Peso Expedido]]</f>
        <v>0</v>
      </c>
      <c r="AA238" s="17">
        <v>1</v>
      </c>
      <c r="AB238" s="33"/>
      <c r="AC238" s="33">
        <v>1</v>
      </c>
      <c r="AD238" s="33">
        <v>1</v>
      </c>
      <c r="AE238" s="33">
        <v>1</v>
      </c>
      <c r="AF238" s="33">
        <v>1</v>
      </c>
      <c r="AG238" s="33">
        <v>1</v>
      </c>
      <c r="AH238" s="33">
        <v>1</v>
      </c>
      <c r="AI238" s="33" t="str">
        <f t="shared" si="45"/>
        <v>ok</v>
      </c>
      <c r="AJ238" s="5"/>
      <c r="AK238" t="str">
        <f>Tabela1[[#This Row],[Coluna1]]&amp;Tabela1[[#This Row],[PEDIDO]]</f>
        <v>P-188</v>
      </c>
      <c r="AL238"/>
      <c r="AM238"/>
      <c r="AN238"/>
      <c r="AO238" t="str">
        <f t="shared" si="42"/>
        <v>T-072967-1/1073-TC-006/007</v>
      </c>
      <c r="AP238" t="str">
        <f>Tabela1[[#This Row],[TAG]]&amp;Tabela1[[#This Row],[PEDIDO]]&amp;Tabela1[[#This Row],[PRODUTO]]</f>
        <v>1073-TC-006/007P-188RMF</v>
      </c>
      <c r="AQ238" s="22" t="str">
        <f>Tabela1[[#This Row],[PRODUTO]]&amp;Tabela1[[#This Row],[TAG]]</f>
        <v>RMF1073-TC-006/007</v>
      </c>
      <c r="AR238" s="24" t="str">
        <f>Tabela1[[#This Row],[PEDIDO]]&amp;Tabela1[[#This Row],[PRODUTO]]</f>
        <v>P-188RMF</v>
      </c>
      <c r="AS238" s="37">
        <f>IF(AF238="",0,IF(ISTEXT(AF238),H238*VALUE(SUBSTITUTE(AF238,"%",""))/100,H238*AF238))-Tabela1[[#This Row],[PRONTO ACABADO2]]</f>
        <v>0</v>
      </c>
      <c r="AT238" s="37">
        <f>IF(AG238="",0,IF(ISTEXT(AG238),H238*VALUE(SUBSTITUTE(AG238,"%",""))/100,H238*AG238))-Tabela1[[#This Row],[PESO EXPEDIDO2]]</f>
        <v>0</v>
      </c>
      <c r="AU238" s="37">
        <f t="shared" si="46"/>
        <v>258.18</v>
      </c>
      <c r="AV238" s="37">
        <f t="shared" si="47"/>
        <v>258.18</v>
      </c>
      <c r="AW238" s="37"/>
    </row>
    <row r="239" spans="1:49" ht="15.75" customHeight="1" x14ac:dyDescent="0.25">
      <c r="A239" s="6" t="s">
        <v>3873</v>
      </c>
      <c r="B239" s="21" t="s">
        <v>3874</v>
      </c>
      <c r="C239" s="7">
        <v>12</v>
      </c>
      <c r="D239" s="39" t="s">
        <v>3808</v>
      </c>
      <c r="E239" s="7">
        <v>4124</v>
      </c>
      <c r="F239" s="7" t="s">
        <v>3789</v>
      </c>
      <c r="G239" s="23">
        <v>23.68</v>
      </c>
      <c r="H239" s="34">
        <f>Tabela1[[#This Row],[PESO UNI]]*Tabela1[[#This Row],[QTE]]</f>
        <v>284.15999999999997</v>
      </c>
      <c r="I239" s="7">
        <v>0</v>
      </c>
      <c r="J239" s="8" t="s">
        <v>3790</v>
      </c>
      <c r="K239" s="8" t="s">
        <v>327</v>
      </c>
      <c r="L239" s="9" t="s">
        <v>2069</v>
      </c>
      <c r="M239" s="10">
        <v>46127</v>
      </c>
      <c r="N239" s="8" t="s">
        <v>327</v>
      </c>
      <c r="O239" s="12"/>
      <c r="P239" s="13"/>
      <c r="Q239" s="14">
        <f>Tabela1[[#This Row],[QTDE/ Fabricação]]-Tabela1[[#This Row],[QTE]]</f>
        <v>-12</v>
      </c>
      <c r="R239" s="18">
        <f t="shared" si="43"/>
        <v>284.15999999999997</v>
      </c>
      <c r="S239" s="18">
        <f t="shared" si="41"/>
        <v>284.15999999999997</v>
      </c>
      <c r="T239" s="19">
        <f t="shared" si="44"/>
        <v>0</v>
      </c>
      <c r="U239" s="207">
        <v>12</v>
      </c>
      <c r="V239" s="12" t="str">
        <f>IFERROR(VLOOKUP(Tabela1[[#This Row],[COD.MDE]],'LISTA DE EMBARQUE'!B:L,11,0),"")</f>
        <v/>
      </c>
      <c r="W239" s="13"/>
      <c r="X239" s="14">
        <f>IFERROR(Tabela1[[#This Row],[QIANTIDADE EXPEDIDA]]*Tabela1[[#This Row],[PESO UNI]],"")</f>
        <v>284.15999999999997</v>
      </c>
      <c r="Y239" s="14">
        <f t="shared" si="40"/>
        <v>0</v>
      </c>
      <c r="Z239" s="20">
        <f>Tabela1[[#This Row],[PESO TOTAL]]-Tabela1[[#This Row],[Peso Expedido]]</f>
        <v>0</v>
      </c>
      <c r="AA239" s="17">
        <v>1</v>
      </c>
      <c r="AB239" s="33"/>
      <c r="AC239" s="33">
        <v>1</v>
      </c>
      <c r="AD239" s="33">
        <v>1</v>
      </c>
      <c r="AE239" s="33">
        <v>1</v>
      </c>
      <c r="AF239" s="33">
        <v>1</v>
      </c>
      <c r="AG239" s="33">
        <v>1</v>
      </c>
      <c r="AH239" s="33">
        <v>1</v>
      </c>
      <c r="AI239" s="33" t="str">
        <f t="shared" si="45"/>
        <v>ok</v>
      </c>
      <c r="AJ239" s="5"/>
      <c r="AK239" t="str">
        <f>Tabela1[[#This Row],[Coluna1]]&amp;Tabela1[[#This Row],[PEDIDO]]</f>
        <v>P-188</v>
      </c>
      <c r="AL239"/>
      <c r="AM239"/>
      <c r="AN239"/>
      <c r="AO239" t="str">
        <f t="shared" si="42"/>
        <v>T-072967-1/1073-TC-006/007</v>
      </c>
      <c r="AP239" t="str">
        <f>Tabela1[[#This Row],[TAG]]&amp;Tabela1[[#This Row],[PEDIDO]]&amp;Tabela1[[#This Row],[PRODUTO]]</f>
        <v>1073-TC-006/007P-188RMF</v>
      </c>
      <c r="AQ239" s="22" t="str">
        <f>Tabela1[[#This Row],[PRODUTO]]&amp;Tabela1[[#This Row],[TAG]]</f>
        <v>RMF1073-TC-006/007</v>
      </c>
      <c r="AR239" s="24" t="str">
        <f>Tabela1[[#This Row],[PEDIDO]]&amp;Tabela1[[#This Row],[PRODUTO]]</f>
        <v>P-188RMF</v>
      </c>
      <c r="AS239" s="37">
        <f>IF(AF239="",0,IF(ISTEXT(AF239),H239*VALUE(SUBSTITUTE(AF239,"%",""))/100,H239*AF239))-Tabela1[[#This Row],[PRONTO ACABADO2]]</f>
        <v>0</v>
      </c>
      <c r="AT239" s="37">
        <f>IF(AG239="",0,IF(ISTEXT(AG239),H239*VALUE(SUBSTITUTE(AG239,"%",""))/100,H239*AG239))-Tabela1[[#This Row],[PESO EXPEDIDO2]]</f>
        <v>0</v>
      </c>
      <c r="AU239" s="37">
        <f t="shared" si="46"/>
        <v>284.15999999999997</v>
      </c>
      <c r="AV239" s="37">
        <f t="shared" si="47"/>
        <v>284.15999999999997</v>
      </c>
      <c r="AW239" s="37"/>
    </row>
    <row r="240" spans="1:49" ht="15.75" customHeight="1" x14ac:dyDescent="0.25">
      <c r="A240" s="6" t="s">
        <v>3873</v>
      </c>
      <c r="B240" s="21" t="s">
        <v>3830</v>
      </c>
      <c r="C240" s="7">
        <v>4</v>
      </c>
      <c r="D240" s="39" t="s">
        <v>3814</v>
      </c>
      <c r="E240" s="7">
        <v>4125</v>
      </c>
      <c r="F240" s="7" t="s">
        <v>3789</v>
      </c>
      <c r="G240" s="23">
        <v>71.44</v>
      </c>
      <c r="H240" s="34">
        <f>Tabela1[[#This Row],[PESO UNI]]*Tabela1[[#This Row],[QTE]]</f>
        <v>285.76</v>
      </c>
      <c r="I240" s="7">
        <v>0</v>
      </c>
      <c r="J240" s="8" t="s">
        <v>3790</v>
      </c>
      <c r="K240" s="8" t="s">
        <v>327</v>
      </c>
      <c r="L240" s="9" t="s">
        <v>2069</v>
      </c>
      <c r="M240" s="10">
        <v>46127</v>
      </c>
      <c r="N240" s="8" t="s">
        <v>327</v>
      </c>
      <c r="O240" s="12"/>
      <c r="P240" s="13"/>
      <c r="Q240" s="14">
        <f>Tabela1[[#This Row],[QTDE/ Fabricação]]-Tabela1[[#This Row],[QTE]]</f>
        <v>-4</v>
      </c>
      <c r="R240" s="18">
        <f t="shared" si="43"/>
        <v>285.76</v>
      </c>
      <c r="S240" s="18">
        <f t="shared" si="41"/>
        <v>285.76</v>
      </c>
      <c r="T240" s="19">
        <f t="shared" si="44"/>
        <v>0</v>
      </c>
      <c r="U240" s="207">
        <v>4</v>
      </c>
      <c r="V240" s="12" t="str">
        <f>IFERROR(VLOOKUP(Tabela1[[#This Row],[COD.MDE]],'LISTA DE EMBARQUE'!B:L,11,0),"")</f>
        <v/>
      </c>
      <c r="W240" s="13"/>
      <c r="X240" s="14">
        <f>IFERROR(Tabela1[[#This Row],[QIANTIDADE EXPEDIDA]]*Tabela1[[#This Row],[PESO UNI]],"")</f>
        <v>285.76</v>
      </c>
      <c r="Y240" s="14">
        <f t="shared" si="40"/>
        <v>0</v>
      </c>
      <c r="Z240" s="20">
        <f>Tabela1[[#This Row],[PESO TOTAL]]-Tabela1[[#This Row],[Peso Expedido]]</f>
        <v>0</v>
      </c>
      <c r="AA240" s="17">
        <v>1</v>
      </c>
      <c r="AB240" s="33"/>
      <c r="AC240" s="33">
        <v>1</v>
      </c>
      <c r="AD240" s="33">
        <v>1</v>
      </c>
      <c r="AE240" s="33">
        <v>1</v>
      </c>
      <c r="AF240" s="33">
        <v>1</v>
      </c>
      <c r="AG240" s="33">
        <v>1</v>
      </c>
      <c r="AH240" s="33">
        <v>1</v>
      </c>
      <c r="AI240" s="33" t="str">
        <f t="shared" si="45"/>
        <v>ok</v>
      </c>
      <c r="AJ240" s="5"/>
      <c r="AK240" t="str">
        <f>Tabela1[[#This Row],[Coluna1]]&amp;Tabela1[[#This Row],[PEDIDO]]</f>
        <v>P-188</v>
      </c>
      <c r="AL240"/>
      <c r="AM240"/>
      <c r="AN240"/>
      <c r="AO240" t="str">
        <f t="shared" si="42"/>
        <v>T-072967-1/1073-TC-006/007</v>
      </c>
      <c r="AP240" t="str">
        <f>Tabela1[[#This Row],[TAG]]&amp;Tabela1[[#This Row],[PEDIDO]]&amp;Tabela1[[#This Row],[PRODUTO]]</f>
        <v>1073-TC-006/007P-188RMF</v>
      </c>
      <c r="AQ240" s="22" t="str">
        <f>Tabela1[[#This Row],[PRODUTO]]&amp;Tabela1[[#This Row],[TAG]]</f>
        <v>RMF1073-TC-006/007</v>
      </c>
      <c r="AR240" s="24" t="str">
        <f>Tabela1[[#This Row],[PEDIDO]]&amp;Tabela1[[#This Row],[PRODUTO]]</f>
        <v>P-188RMF</v>
      </c>
      <c r="AS240" s="37">
        <f>IF(AF240="",0,IF(ISTEXT(AF240),H240*VALUE(SUBSTITUTE(AF240,"%",""))/100,H240*AF240))-Tabela1[[#This Row],[PRONTO ACABADO2]]</f>
        <v>0</v>
      </c>
      <c r="AT240" s="37">
        <f>IF(AG240="",0,IF(ISTEXT(AG240),H240*VALUE(SUBSTITUTE(AG240,"%",""))/100,H240*AG240))-Tabela1[[#This Row],[PESO EXPEDIDO2]]</f>
        <v>0</v>
      </c>
      <c r="AU240" s="37">
        <f t="shared" si="46"/>
        <v>285.76</v>
      </c>
      <c r="AV240" s="37">
        <f t="shared" si="47"/>
        <v>285.76</v>
      </c>
      <c r="AW240" s="37"/>
    </row>
    <row r="241" spans="1:49" ht="15.75" customHeight="1" x14ac:dyDescent="0.25">
      <c r="A241" s="6" t="s">
        <v>3873</v>
      </c>
      <c r="B241" s="21" t="s">
        <v>3831</v>
      </c>
      <c r="C241" s="7">
        <v>4</v>
      </c>
      <c r="D241" s="39" t="s">
        <v>3816</v>
      </c>
      <c r="E241" s="7">
        <v>4126</v>
      </c>
      <c r="F241" s="7" t="s">
        <v>3789</v>
      </c>
      <c r="G241" s="23">
        <v>71.44</v>
      </c>
      <c r="H241" s="34">
        <f>Tabela1[[#This Row],[PESO UNI]]*Tabela1[[#This Row],[QTE]]</f>
        <v>285.76</v>
      </c>
      <c r="I241" s="7">
        <v>0</v>
      </c>
      <c r="J241" s="8" t="s">
        <v>3790</v>
      </c>
      <c r="K241" s="8" t="s">
        <v>327</v>
      </c>
      <c r="L241" s="9" t="s">
        <v>2069</v>
      </c>
      <c r="M241" s="10">
        <v>46127</v>
      </c>
      <c r="N241" s="8" t="s">
        <v>327</v>
      </c>
      <c r="O241" s="12"/>
      <c r="P241" s="13"/>
      <c r="Q241" s="14">
        <f>Tabela1[[#This Row],[QTDE/ Fabricação]]-Tabela1[[#This Row],[QTE]]</f>
        <v>-4</v>
      </c>
      <c r="R241" s="18">
        <f t="shared" si="43"/>
        <v>285.76</v>
      </c>
      <c r="S241" s="18">
        <f t="shared" si="41"/>
        <v>285.76</v>
      </c>
      <c r="T241" s="19">
        <f t="shared" si="44"/>
        <v>0</v>
      </c>
      <c r="U241" s="207">
        <v>4</v>
      </c>
      <c r="V241" s="12" t="str">
        <f>IFERROR(VLOOKUP(Tabela1[[#This Row],[COD.MDE]],'LISTA DE EMBARQUE'!B:L,11,0),"")</f>
        <v/>
      </c>
      <c r="W241" s="13"/>
      <c r="X241" s="14">
        <f>IFERROR(Tabela1[[#This Row],[QIANTIDADE EXPEDIDA]]*Tabela1[[#This Row],[PESO UNI]],"")</f>
        <v>285.76</v>
      </c>
      <c r="Y241" s="14">
        <f t="shared" si="40"/>
        <v>0</v>
      </c>
      <c r="Z241" s="20">
        <f>Tabela1[[#This Row],[PESO TOTAL]]-Tabela1[[#This Row],[Peso Expedido]]</f>
        <v>0</v>
      </c>
      <c r="AA241" s="17">
        <v>1</v>
      </c>
      <c r="AB241" s="33"/>
      <c r="AC241" s="33">
        <v>1</v>
      </c>
      <c r="AD241" s="33">
        <v>1</v>
      </c>
      <c r="AE241" s="33">
        <v>1</v>
      </c>
      <c r="AF241" s="33">
        <v>1</v>
      </c>
      <c r="AG241" s="33">
        <v>1</v>
      </c>
      <c r="AH241" s="33">
        <v>1</v>
      </c>
      <c r="AI241" s="33" t="str">
        <f t="shared" si="45"/>
        <v>ok</v>
      </c>
      <c r="AJ241" s="5"/>
      <c r="AK241" t="str">
        <f>Tabela1[[#This Row],[Coluna1]]&amp;Tabela1[[#This Row],[PEDIDO]]</f>
        <v>P-188</v>
      </c>
      <c r="AL241"/>
      <c r="AM241"/>
      <c r="AN241"/>
      <c r="AO241" t="str">
        <f t="shared" si="42"/>
        <v>T-072967-1/1073-TC-006/007</v>
      </c>
      <c r="AP241" t="str">
        <f>Tabela1[[#This Row],[TAG]]&amp;Tabela1[[#This Row],[PEDIDO]]&amp;Tabela1[[#This Row],[PRODUTO]]</f>
        <v>1073-TC-006/007P-188RMF</v>
      </c>
      <c r="AQ241" s="22" t="str">
        <f>Tabela1[[#This Row],[PRODUTO]]&amp;Tabela1[[#This Row],[TAG]]</f>
        <v>RMF1073-TC-006/007</v>
      </c>
      <c r="AR241" s="24" t="str">
        <f>Tabela1[[#This Row],[PEDIDO]]&amp;Tabela1[[#This Row],[PRODUTO]]</f>
        <v>P-188RMF</v>
      </c>
      <c r="AS241" s="37">
        <f>IF(AF241="",0,IF(ISTEXT(AF241),H241*VALUE(SUBSTITUTE(AF241,"%",""))/100,H241*AF241))-Tabela1[[#This Row],[PRONTO ACABADO2]]</f>
        <v>0</v>
      </c>
      <c r="AT241" s="37">
        <f>IF(AG241="",0,IF(ISTEXT(AG241),H241*VALUE(SUBSTITUTE(AG241,"%",""))/100,H241*AG241))-Tabela1[[#This Row],[PESO EXPEDIDO2]]</f>
        <v>0</v>
      </c>
      <c r="AU241" s="37">
        <f t="shared" si="46"/>
        <v>285.76</v>
      </c>
      <c r="AV241" s="37">
        <f t="shared" si="47"/>
        <v>285.76</v>
      </c>
      <c r="AW241" s="37"/>
    </row>
    <row r="242" spans="1:49" ht="15.75" customHeight="1" x14ac:dyDescent="0.25">
      <c r="A242" s="6" t="s">
        <v>3875</v>
      </c>
      <c r="B242" s="21" t="s">
        <v>3876</v>
      </c>
      <c r="C242" s="7">
        <v>2</v>
      </c>
      <c r="D242" s="39" t="s">
        <v>3804</v>
      </c>
      <c r="E242" s="7">
        <v>4127</v>
      </c>
      <c r="F242" s="7" t="s">
        <v>3789</v>
      </c>
      <c r="G242" s="23">
        <v>128.86000000000001</v>
      </c>
      <c r="H242" s="34">
        <f>Tabela1[[#This Row],[PESO UNI]]*Tabela1[[#This Row],[QTE]]</f>
        <v>257.72000000000003</v>
      </c>
      <c r="I242" s="7">
        <v>0</v>
      </c>
      <c r="J242" s="8" t="s">
        <v>3790</v>
      </c>
      <c r="K242" s="8" t="s">
        <v>327</v>
      </c>
      <c r="L242" s="9" t="s">
        <v>2069</v>
      </c>
      <c r="M242" s="10">
        <v>46127</v>
      </c>
      <c r="N242" s="8" t="s">
        <v>327</v>
      </c>
      <c r="O242" s="12"/>
      <c r="P242" s="13"/>
      <c r="Q242" s="14">
        <f>Tabela1[[#This Row],[QTDE/ Fabricação]]-Tabela1[[#This Row],[QTE]]</f>
        <v>-2</v>
      </c>
      <c r="R242" s="18">
        <f t="shared" si="43"/>
        <v>257.72000000000003</v>
      </c>
      <c r="S242" s="18">
        <f t="shared" si="41"/>
        <v>257.72000000000003</v>
      </c>
      <c r="T242" s="19">
        <f t="shared" si="44"/>
        <v>0</v>
      </c>
      <c r="U242" s="207">
        <v>2</v>
      </c>
      <c r="V242" s="12" t="str">
        <f>IFERROR(VLOOKUP(Tabela1[[#This Row],[COD.MDE]],'LISTA DE EMBARQUE'!B:L,11,0),"")</f>
        <v/>
      </c>
      <c r="W242" s="13"/>
      <c r="X242" s="14">
        <f>IFERROR(Tabela1[[#This Row],[QIANTIDADE EXPEDIDA]]*Tabela1[[#This Row],[PESO UNI]],"")</f>
        <v>257.72000000000003</v>
      </c>
      <c r="Y242" s="14">
        <f t="shared" si="40"/>
        <v>0</v>
      </c>
      <c r="Z242" s="20">
        <f>Tabela1[[#This Row],[PESO TOTAL]]-Tabela1[[#This Row],[Peso Expedido]]</f>
        <v>0</v>
      </c>
      <c r="AA242" s="17">
        <v>1</v>
      </c>
      <c r="AB242" s="33"/>
      <c r="AC242" s="33">
        <v>1</v>
      </c>
      <c r="AD242" s="33">
        <v>1</v>
      </c>
      <c r="AE242" s="33">
        <v>1</v>
      </c>
      <c r="AF242" s="33">
        <v>1</v>
      </c>
      <c r="AG242" s="33">
        <v>1</v>
      </c>
      <c r="AH242" s="33">
        <v>1</v>
      </c>
      <c r="AI242" s="33" t="str">
        <f t="shared" si="45"/>
        <v>ok</v>
      </c>
      <c r="AJ242" s="5"/>
      <c r="AK242" t="str">
        <f>Tabela1[[#This Row],[Coluna1]]&amp;Tabela1[[#This Row],[PEDIDO]]</f>
        <v>P-188</v>
      </c>
      <c r="AL242"/>
      <c r="AM242"/>
      <c r="AN242"/>
      <c r="AO242" t="str">
        <f t="shared" si="42"/>
        <v>T-072958-1/1073-TC-006/007</v>
      </c>
      <c r="AP242" t="str">
        <f>Tabela1[[#This Row],[TAG]]&amp;Tabela1[[#This Row],[PEDIDO]]&amp;Tabela1[[#This Row],[PRODUTO]]</f>
        <v>1073-TC-006/007P-188RMF</v>
      </c>
      <c r="AQ242" s="22" t="str">
        <f>Tabela1[[#This Row],[PRODUTO]]&amp;Tabela1[[#This Row],[TAG]]</f>
        <v>RMF1073-TC-006/007</v>
      </c>
      <c r="AR242" s="24" t="str">
        <f>Tabela1[[#This Row],[PEDIDO]]&amp;Tabela1[[#This Row],[PRODUTO]]</f>
        <v>P-188RMF</v>
      </c>
      <c r="AS242" s="37">
        <f>IF(AF242="",0,IF(ISTEXT(AF242),H242*VALUE(SUBSTITUTE(AF242,"%",""))/100,H242*AF242))-Tabela1[[#This Row],[PRONTO ACABADO2]]</f>
        <v>0</v>
      </c>
      <c r="AT242" s="37">
        <f>IF(AG242="",0,IF(ISTEXT(AG242),H242*VALUE(SUBSTITUTE(AG242,"%",""))/100,H242*AG242))-Tabela1[[#This Row],[PESO EXPEDIDO2]]</f>
        <v>0</v>
      </c>
      <c r="AU242" s="37">
        <f t="shared" si="46"/>
        <v>257.72000000000003</v>
      </c>
      <c r="AV242" s="37">
        <f t="shared" si="47"/>
        <v>257.72000000000003</v>
      </c>
      <c r="AW242" s="37"/>
    </row>
    <row r="243" spans="1:49" ht="15.75" customHeight="1" x14ac:dyDescent="0.25">
      <c r="A243" s="6" t="s">
        <v>3875</v>
      </c>
      <c r="B243" s="21" t="s">
        <v>3877</v>
      </c>
      <c r="C243" s="7">
        <v>2</v>
      </c>
      <c r="D243" s="39" t="s">
        <v>3806</v>
      </c>
      <c r="E243" s="7">
        <v>4128</v>
      </c>
      <c r="F243" s="7" t="s">
        <v>3789</v>
      </c>
      <c r="G243" s="23">
        <v>128.86000000000001</v>
      </c>
      <c r="H243" s="34">
        <f>Tabela1[[#This Row],[PESO UNI]]*Tabela1[[#This Row],[QTE]]</f>
        <v>257.72000000000003</v>
      </c>
      <c r="I243" s="7">
        <v>0</v>
      </c>
      <c r="J243" s="8" t="s">
        <v>3790</v>
      </c>
      <c r="K243" s="8" t="s">
        <v>327</v>
      </c>
      <c r="L243" s="9" t="s">
        <v>2069</v>
      </c>
      <c r="M243" s="10">
        <v>46127</v>
      </c>
      <c r="N243" s="8" t="s">
        <v>327</v>
      </c>
      <c r="O243" s="12"/>
      <c r="P243" s="13"/>
      <c r="Q243" s="14">
        <f>Tabela1[[#This Row],[QTDE/ Fabricação]]-Tabela1[[#This Row],[QTE]]</f>
        <v>-2</v>
      </c>
      <c r="R243" s="18">
        <f t="shared" si="43"/>
        <v>257.72000000000003</v>
      </c>
      <c r="S243" s="18">
        <f t="shared" si="41"/>
        <v>257.72000000000003</v>
      </c>
      <c r="T243" s="19">
        <f t="shared" si="44"/>
        <v>0</v>
      </c>
      <c r="U243" s="207">
        <v>2</v>
      </c>
      <c r="V243" s="12" t="str">
        <f>IFERROR(VLOOKUP(Tabela1[[#This Row],[COD.MDE]],'LISTA DE EMBARQUE'!B:L,11,0),"")</f>
        <v/>
      </c>
      <c r="W243" s="13"/>
      <c r="X243" s="14">
        <f>IFERROR(Tabela1[[#This Row],[QIANTIDADE EXPEDIDA]]*Tabela1[[#This Row],[PESO UNI]],"")</f>
        <v>257.72000000000003</v>
      </c>
      <c r="Y243" s="14">
        <f t="shared" si="40"/>
        <v>0</v>
      </c>
      <c r="Z243" s="20">
        <f>Tabela1[[#This Row],[PESO TOTAL]]-Tabela1[[#This Row],[Peso Expedido]]</f>
        <v>0</v>
      </c>
      <c r="AA243" s="17">
        <v>1</v>
      </c>
      <c r="AB243" s="33"/>
      <c r="AC243" s="33">
        <v>1</v>
      </c>
      <c r="AD243" s="33">
        <v>1</v>
      </c>
      <c r="AE243" s="33">
        <v>1</v>
      </c>
      <c r="AF243" s="33">
        <v>1</v>
      </c>
      <c r="AG243" s="33">
        <v>1</v>
      </c>
      <c r="AH243" s="33">
        <v>1</v>
      </c>
      <c r="AI243" s="33" t="str">
        <f t="shared" si="45"/>
        <v>ok</v>
      </c>
      <c r="AJ243" s="5"/>
      <c r="AK243" t="str">
        <f>Tabela1[[#This Row],[Coluna1]]&amp;Tabela1[[#This Row],[PEDIDO]]</f>
        <v>P-188</v>
      </c>
      <c r="AL243"/>
      <c r="AM243"/>
      <c r="AN243"/>
      <c r="AO243" t="str">
        <f t="shared" si="42"/>
        <v>T-072958-1/1073-TC-006/007</v>
      </c>
      <c r="AP243" t="str">
        <f>Tabela1[[#This Row],[TAG]]&amp;Tabela1[[#This Row],[PEDIDO]]&amp;Tabela1[[#This Row],[PRODUTO]]</f>
        <v>1073-TC-006/007P-188RMF</v>
      </c>
      <c r="AQ243" s="22" t="str">
        <f>Tabela1[[#This Row],[PRODUTO]]&amp;Tabela1[[#This Row],[TAG]]</f>
        <v>RMF1073-TC-006/007</v>
      </c>
      <c r="AR243" s="24" t="str">
        <f>Tabela1[[#This Row],[PEDIDO]]&amp;Tabela1[[#This Row],[PRODUTO]]</f>
        <v>P-188RMF</v>
      </c>
      <c r="AS243" s="37">
        <f>IF(AF243="",0,IF(ISTEXT(AF243),H243*VALUE(SUBSTITUTE(AF243,"%",""))/100,H243*AF243))-Tabela1[[#This Row],[PRONTO ACABADO2]]</f>
        <v>0</v>
      </c>
      <c r="AT243" s="37">
        <f>IF(AG243="",0,IF(ISTEXT(AG243),H243*VALUE(SUBSTITUTE(AG243,"%",""))/100,H243*AG243))-Tabela1[[#This Row],[PESO EXPEDIDO2]]</f>
        <v>0</v>
      </c>
      <c r="AU243" s="37">
        <f t="shared" si="46"/>
        <v>257.72000000000003</v>
      </c>
      <c r="AV243" s="37">
        <f t="shared" si="47"/>
        <v>257.72000000000003</v>
      </c>
      <c r="AW243" s="37"/>
    </row>
    <row r="244" spans="1:49" ht="15.75" customHeight="1" x14ac:dyDescent="0.25">
      <c r="A244" s="6" t="s">
        <v>3875</v>
      </c>
      <c r="B244" s="21" t="s">
        <v>3878</v>
      </c>
      <c r="C244" s="7">
        <v>12</v>
      </c>
      <c r="D244" s="39" t="s">
        <v>3808</v>
      </c>
      <c r="E244" s="7">
        <v>4129</v>
      </c>
      <c r="F244" s="7" t="s">
        <v>3789</v>
      </c>
      <c r="G244" s="23">
        <v>23.68</v>
      </c>
      <c r="H244" s="34">
        <f>Tabela1[[#This Row],[PESO UNI]]*Tabela1[[#This Row],[QTE]]</f>
        <v>284.15999999999997</v>
      </c>
      <c r="I244" s="7">
        <v>0</v>
      </c>
      <c r="J244" s="8" t="s">
        <v>3790</v>
      </c>
      <c r="K244" s="8" t="s">
        <v>327</v>
      </c>
      <c r="L244" s="9" t="s">
        <v>2069</v>
      </c>
      <c r="M244" s="10">
        <v>46127</v>
      </c>
      <c r="N244" s="8" t="s">
        <v>327</v>
      </c>
      <c r="O244" s="12"/>
      <c r="P244" s="13"/>
      <c r="Q244" s="14">
        <f>Tabela1[[#This Row],[QTDE/ Fabricação]]-Tabela1[[#This Row],[QTE]]</f>
        <v>-12</v>
      </c>
      <c r="R244" s="18">
        <f t="shared" si="43"/>
        <v>284.15999999999997</v>
      </c>
      <c r="S244" s="18">
        <f t="shared" si="41"/>
        <v>284.15999999999997</v>
      </c>
      <c r="T244" s="19">
        <f t="shared" si="44"/>
        <v>0</v>
      </c>
      <c r="U244" s="207">
        <v>12</v>
      </c>
      <c r="V244" s="12" t="str">
        <f>IFERROR(VLOOKUP(Tabela1[[#This Row],[COD.MDE]],'LISTA DE EMBARQUE'!B:L,11,0),"")</f>
        <v/>
      </c>
      <c r="W244" s="13"/>
      <c r="X244" s="14">
        <f>IFERROR(Tabela1[[#This Row],[QIANTIDADE EXPEDIDA]]*Tabela1[[#This Row],[PESO UNI]],"")</f>
        <v>284.15999999999997</v>
      </c>
      <c r="Y244" s="14">
        <f t="shared" si="40"/>
        <v>0</v>
      </c>
      <c r="Z244" s="20">
        <f>Tabela1[[#This Row],[PESO TOTAL]]-Tabela1[[#This Row],[Peso Expedido]]</f>
        <v>0</v>
      </c>
      <c r="AA244" s="17">
        <v>1</v>
      </c>
      <c r="AB244" s="33"/>
      <c r="AC244" s="33">
        <v>1</v>
      </c>
      <c r="AD244" s="33">
        <v>1</v>
      </c>
      <c r="AE244" s="33">
        <v>1</v>
      </c>
      <c r="AF244" s="33">
        <v>1</v>
      </c>
      <c r="AG244" s="33">
        <v>1</v>
      </c>
      <c r="AH244" s="33">
        <v>1</v>
      </c>
      <c r="AI244" s="33" t="str">
        <f t="shared" si="45"/>
        <v>ok</v>
      </c>
      <c r="AJ244" s="5"/>
      <c r="AK244" t="str">
        <f>Tabela1[[#This Row],[Coluna1]]&amp;Tabela1[[#This Row],[PEDIDO]]</f>
        <v>P-188</v>
      </c>
      <c r="AL244"/>
      <c r="AM244"/>
      <c r="AN244"/>
      <c r="AO244" t="str">
        <f t="shared" si="42"/>
        <v>T-072958-1/1073-TC-006/007</v>
      </c>
      <c r="AP244" t="str">
        <f>Tabela1[[#This Row],[TAG]]&amp;Tabela1[[#This Row],[PEDIDO]]&amp;Tabela1[[#This Row],[PRODUTO]]</f>
        <v>1073-TC-006/007P-188RMF</v>
      </c>
      <c r="AQ244" s="22" t="str">
        <f>Tabela1[[#This Row],[PRODUTO]]&amp;Tabela1[[#This Row],[TAG]]</f>
        <v>RMF1073-TC-006/007</v>
      </c>
      <c r="AR244" s="24" t="str">
        <f>Tabela1[[#This Row],[PEDIDO]]&amp;Tabela1[[#This Row],[PRODUTO]]</f>
        <v>P-188RMF</v>
      </c>
      <c r="AS244" s="37">
        <f>IF(AF244="",0,IF(ISTEXT(AF244),H244*VALUE(SUBSTITUTE(AF244,"%",""))/100,H244*AF244))-Tabela1[[#This Row],[PRONTO ACABADO2]]</f>
        <v>0</v>
      </c>
      <c r="AT244" s="37">
        <f>IF(AG244="",0,IF(ISTEXT(AG244),H244*VALUE(SUBSTITUTE(AG244,"%",""))/100,H244*AG244))-Tabela1[[#This Row],[PESO EXPEDIDO2]]</f>
        <v>0</v>
      </c>
      <c r="AU244" s="37">
        <f t="shared" si="46"/>
        <v>284.15999999999997</v>
      </c>
      <c r="AV244" s="37">
        <f t="shared" si="47"/>
        <v>284.15999999999997</v>
      </c>
      <c r="AW244" s="37"/>
    </row>
    <row r="245" spans="1:49" ht="15.75" customHeight="1" x14ac:dyDescent="0.25">
      <c r="A245" s="6" t="s">
        <v>3875</v>
      </c>
      <c r="B245" s="21" t="s">
        <v>3830</v>
      </c>
      <c r="C245" s="7">
        <v>8</v>
      </c>
      <c r="D245" s="39" t="s">
        <v>3879</v>
      </c>
      <c r="E245" s="7">
        <v>4130</v>
      </c>
      <c r="F245" s="7" t="s">
        <v>3789</v>
      </c>
      <c r="G245" s="23">
        <v>71.44</v>
      </c>
      <c r="H245" s="34">
        <f>Tabela1[[#This Row],[PESO UNI]]*Tabela1[[#This Row],[QTE]]</f>
        <v>571.52</v>
      </c>
      <c r="I245" s="7">
        <v>0</v>
      </c>
      <c r="J245" s="8" t="s">
        <v>3790</v>
      </c>
      <c r="K245" s="8" t="s">
        <v>327</v>
      </c>
      <c r="L245" s="9" t="s">
        <v>2069</v>
      </c>
      <c r="M245" s="10">
        <v>46127</v>
      </c>
      <c r="N245" s="8" t="s">
        <v>327</v>
      </c>
      <c r="O245" s="12"/>
      <c r="P245" s="13"/>
      <c r="Q245" s="14">
        <f>Tabela1[[#This Row],[QTDE/ Fabricação]]-Tabela1[[#This Row],[QTE]]</f>
        <v>-8</v>
      </c>
      <c r="R245" s="18">
        <f t="shared" si="43"/>
        <v>571.52</v>
      </c>
      <c r="S245" s="18">
        <f t="shared" si="41"/>
        <v>571.52</v>
      </c>
      <c r="T245" s="19">
        <f t="shared" si="44"/>
        <v>0</v>
      </c>
      <c r="U245" s="207">
        <v>8</v>
      </c>
      <c r="V245" s="12" t="str">
        <f>IFERROR(VLOOKUP(Tabela1[[#This Row],[COD.MDE]],'LISTA DE EMBARQUE'!B:L,11,0),"")</f>
        <v/>
      </c>
      <c r="W245" s="13"/>
      <c r="X245" s="14">
        <f>IFERROR(Tabela1[[#This Row],[QIANTIDADE EXPEDIDA]]*Tabela1[[#This Row],[PESO UNI]],"")</f>
        <v>571.52</v>
      </c>
      <c r="Y245" s="14">
        <f t="shared" ref="Y245:Y308" si="48">U245-C245</f>
        <v>0</v>
      </c>
      <c r="Z245" s="20">
        <f>Tabela1[[#This Row],[PESO TOTAL]]-Tabela1[[#This Row],[Peso Expedido]]</f>
        <v>0</v>
      </c>
      <c r="AA245" s="17">
        <v>1</v>
      </c>
      <c r="AB245" s="33"/>
      <c r="AC245" s="33">
        <v>1</v>
      </c>
      <c r="AD245" s="33">
        <v>1</v>
      </c>
      <c r="AE245" s="33">
        <v>1</v>
      </c>
      <c r="AF245" s="33">
        <v>1</v>
      </c>
      <c r="AG245" s="33">
        <v>1</v>
      </c>
      <c r="AH245" s="33">
        <v>1</v>
      </c>
      <c r="AI245" s="33" t="str">
        <f t="shared" si="45"/>
        <v>ok</v>
      </c>
      <c r="AJ245" s="5"/>
      <c r="AK245" t="str">
        <f>Tabela1[[#This Row],[Coluna1]]&amp;Tabela1[[#This Row],[PEDIDO]]</f>
        <v>P-188</v>
      </c>
      <c r="AL245"/>
      <c r="AM245"/>
      <c r="AN245"/>
      <c r="AO245" t="str">
        <f t="shared" si="42"/>
        <v>T-072958-1/1073-TC-006/007</v>
      </c>
      <c r="AP245" t="str">
        <f>Tabela1[[#This Row],[TAG]]&amp;Tabela1[[#This Row],[PEDIDO]]&amp;Tabela1[[#This Row],[PRODUTO]]</f>
        <v>1073-TC-006/007P-188RMF</v>
      </c>
      <c r="AQ245" s="22" t="str">
        <f>Tabela1[[#This Row],[PRODUTO]]&amp;Tabela1[[#This Row],[TAG]]</f>
        <v>RMF1073-TC-006/007</v>
      </c>
      <c r="AR245" s="24" t="str">
        <f>Tabela1[[#This Row],[PEDIDO]]&amp;Tabela1[[#This Row],[PRODUTO]]</f>
        <v>P-188RMF</v>
      </c>
      <c r="AS245" s="37">
        <f>IF(AF245="",0,IF(ISTEXT(AF245),H245*VALUE(SUBSTITUTE(AF245,"%",""))/100,H245*AF245))-Tabela1[[#This Row],[PRONTO ACABADO2]]</f>
        <v>0</v>
      </c>
      <c r="AT245" s="37">
        <f>IF(AG245="",0,IF(ISTEXT(AG245),H245*VALUE(SUBSTITUTE(AG245,"%",""))/100,H245*AG245))-Tabela1[[#This Row],[PESO EXPEDIDO2]]</f>
        <v>0</v>
      </c>
      <c r="AU245" s="37">
        <f t="shared" si="46"/>
        <v>571.52</v>
      </c>
      <c r="AV245" s="37">
        <f t="shared" si="47"/>
        <v>571.52</v>
      </c>
      <c r="AW245" s="37"/>
    </row>
    <row r="246" spans="1:49" ht="15.75" customHeight="1" x14ac:dyDescent="0.25">
      <c r="A246" s="6" t="s">
        <v>3880</v>
      </c>
      <c r="B246" s="21" t="s">
        <v>3881</v>
      </c>
      <c r="C246" s="7">
        <v>1</v>
      </c>
      <c r="D246" s="39" t="s">
        <v>3882</v>
      </c>
      <c r="E246" s="7">
        <v>4131</v>
      </c>
      <c r="F246" s="7" t="s">
        <v>3883</v>
      </c>
      <c r="G246" s="23">
        <v>383.4</v>
      </c>
      <c r="H246" s="34">
        <f>Tabela1[[#This Row],[PESO UNI]]*Tabela1[[#This Row],[QTE]]</f>
        <v>383.4</v>
      </c>
      <c r="I246" s="7">
        <v>2</v>
      </c>
      <c r="J246" s="8" t="s">
        <v>2274</v>
      </c>
      <c r="K246" s="8" t="s">
        <v>327</v>
      </c>
      <c r="L246" s="9" t="s">
        <v>2069</v>
      </c>
      <c r="M246" s="10">
        <v>46150</v>
      </c>
      <c r="N246" s="8" t="s">
        <v>327</v>
      </c>
      <c r="O246" s="12"/>
      <c r="P246" s="13"/>
      <c r="Q246" s="14">
        <f>Tabela1[[#This Row],[QTDE/ Fabricação]]-Tabela1[[#This Row],[QTE]]</f>
        <v>-1</v>
      </c>
      <c r="R246" s="18">
        <f t="shared" si="43"/>
        <v>383.4</v>
      </c>
      <c r="S246" s="18">
        <f t="shared" ref="S246:S309" si="49">IFERROR(H246*AG246,"")</f>
        <v>383.4</v>
      </c>
      <c r="T246" s="19">
        <f t="shared" si="44"/>
        <v>0</v>
      </c>
      <c r="U246" s="207">
        <v>1</v>
      </c>
      <c r="V246" s="12">
        <f>IFERROR(VLOOKUP(Tabela1[[#This Row],[COD.MDE]],'LISTA DE EMBARQUE'!B:L,11,0),"")</f>
        <v>0</v>
      </c>
      <c r="W246" s="13"/>
      <c r="X246" s="14">
        <f>IFERROR(Tabela1[[#This Row],[QIANTIDADE EXPEDIDA]]*Tabela1[[#This Row],[PESO UNI]],"")</f>
        <v>383.4</v>
      </c>
      <c r="Y246" s="14">
        <f t="shared" si="48"/>
        <v>0</v>
      </c>
      <c r="Z246" s="20">
        <f>Tabela1[[#This Row],[PESO TOTAL]]-Tabela1[[#This Row],[Peso Expedido]]</f>
        <v>0</v>
      </c>
      <c r="AA246" s="17">
        <v>1</v>
      </c>
      <c r="AB246" s="33"/>
      <c r="AC246" s="33">
        <v>1</v>
      </c>
      <c r="AD246" s="33">
        <v>1</v>
      </c>
      <c r="AE246" s="33">
        <v>1</v>
      </c>
      <c r="AF246" s="33">
        <v>1</v>
      </c>
      <c r="AG246" s="33">
        <v>1</v>
      </c>
      <c r="AH246" s="33">
        <v>1</v>
      </c>
      <c r="AI246" s="33" t="str">
        <f t="shared" si="45"/>
        <v>ok</v>
      </c>
      <c r="AJ246" s="5"/>
      <c r="AK246" t="str">
        <f>Tabela1[[#This Row],[Coluna1]]&amp;Tabela1[[#This Row],[PEDIDO]]</f>
        <v>P-188</v>
      </c>
      <c r="AL246"/>
      <c r="AM246"/>
      <c r="AN246"/>
      <c r="AO246" t="str">
        <f t="shared" si="42"/>
        <v>T-072978-1/1073-TC-006</v>
      </c>
      <c r="AP246" t="str">
        <f>Tabela1[[#This Row],[TAG]]&amp;Tabela1[[#This Row],[PEDIDO]]&amp;Tabela1[[#This Row],[PRODUTO]]</f>
        <v>1073-TC-006P-188RMF</v>
      </c>
      <c r="AQ246" s="22" t="str">
        <f>Tabela1[[#This Row],[PRODUTO]]&amp;Tabela1[[#This Row],[TAG]]</f>
        <v>RMF1073-TC-006</v>
      </c>
      <c r="AR246" s="24" t="str">
        <f>Tabela1[[#This Row],[PEDIDO]]&amp;Tabela1[[#This Row],[PRODUTO]]</f>
        <v>P-188RMF</v>
      </c>
      <c r="AS246" s="37">
        <f>IF(AF246="",0,IF(ISTEXT(AF246),H246*VALUE(SUBSTITUTE(AF246,"%",""))/100,H246*AF246))-Tabela1[[#This Row],[PRONTO ACABADO2]]</f>
        <v>0</v>
      </c>
      <c r="AT246" s="37">
        <f>IF(AG246="",0,IF(ISTEXT(AG246),H246*VALUE(SUBSTITUTE(AG246,"%",""))/100,H246*AG246))-Tabela1[[#This Row],[PESO EXPEDIDO2]]</f>
        <v>0</v>
      </c>
      <c r="AU246" s="37">
        <f t="shared" si="46"/>
        <v>383.4</v>
      </c>
      <c r="AV246" s="37">
        <f t="shared" si="47"/>
        <v>383.4</v>
      </c>
      <c r="AW246" s="37"/>
    </row>
    <row r="247" spans="1:49" ht="15.75" customHeight="1" x14ac:dyDescent="0.25">
      <c r="A247" s="6" t="s">
        <v>3880</v>
      </c>
      <c r="B247" s="21" t="s">
        <v>3884</v>
      </c>
      <c r="C247" s="7">
        <v>4</v>
      </c>
      <c r="D247" s="39" t="s">
        <v>3885</v>
      </c>
      <c r="E247" s="7">
        <v>4132</v>
      </c>
      <c r="F247" s="7" t="s">
        <v>3883</v>
      </c>
      <c r="G247" s="23">
        <v>0.3</v>
      </c>
      <c r="H247" s="34">
        <f>Tabela1[[#This Row],[PESO UNI]]*Tabela1[[#This Row],[QTE]]</f>
        <v>1.2</v>
      </c>
      <c r="I247" s="7">
        <v>2</v>
      </c>
      <c r="J247" s="8" t="s">
        <v>2274</v>
      </c>
      <c r="K247" s="8" t="s">
        <v>327</v>
      </c>
      <c r="L247" s="9" t="s">
        <v>2069</v>
      </c>
      <c r="M247" s="10">
        <v>46150</v>
      </c>
      <c r="N247" s="8" t="s">
        <v>327</v>
      </c>
      <c r="O247" s="12"/>
      <c r="P247" s="13"/>
      <c r="Q247" s="14">
        <f>Tabela1[[#This Row],[QTDE/ Fabricação]]-Tabela1[[#This Row],[QTE]]</f>
        <v>-4</v>
      </c>
      <c r="R247" s="18">
        <f t="shared" si="43"/>
        <v>1.2</v>
      </c>
      <c r="S247" s="18">
        <f t="shared" si="49"/>
        <v>1.2</v>
      </c>
      <c r="T247" s="19">
        <f t="shared" si="44"/>
        <v>0</v>
      </c>
      <c r="U247" s="207">
        <v>4</v>
      </c>
      <c r="V247" s="12" t="str">
        <f>IFERROR(VLOOKUP(Tabela1[[#This Row],[COD.MDE]],'LISTA DE EMBARQUE'!B:L,11,0),"")</f>
        <v/>
      </c>
      <c r="W247" s="13"/>
      <c r="X247" s="14">
        <f>IFERROR(Tabela1[[#This Row],[QIANTIDADE EXPEDIDA]]*Tabela1[[#This Row],[PESO UNI]],"")</f>
        <v>1.2</v>
      </c>
      <c r="Y247" s="14">
        <f t="shared" si="48"/>
        <v>0</v>
      </c>
      <c r="Z247" s="20">
        <f>Tabela1[[#This Row],[PESO TOTAL]]-Tabela1[[#This Row],[Peso Expedido]]</f>
        <v>0</v>
      </c>
      <c r="AA247" s="17">
        <v>1</v>
      </c>
      <c r="AB247" s="33"/>
      <c r="AC247" s="33">
        <v>1</v>
      </c>
      <c r="AD247" s="33">
        <v>1</v>
      </c>
      <c r="AE247" s="33">
        <v>1</v>
      </c>
      <c r="AF247" s="33">
        <v>1</v>
      </c>
      <c r="AG247" s="33">
        <v>1</v>
      </c>
      <c r="AH247" s="33">
        <v>1</v>
      </c>
      <c r="AI247" s="33" t="str">
        <f t="shared" si="45"/>
        <v>ok</v>
      </c>
      <c r="AJ247" s="5"/>
      <c r="AK247" t="str">
        <f>Tabela1[[#This Row],[Coluna1]]&amp;Tabela1[[#This Row],[PEDIDO]]</f>
        <v>P-188</v>
      </c>
      <c r="AL247"/>
      <c r="AM247"/>
      <c r="AN247"/>
      <c r="AO247" t="str">
        <f t="shared" si="42"/>
        <v>T-072978-1/1073-TC-006</v>
      </c>
      <c r="AP247" t="str">
        <f>Tabela1[[#This Row],[TAG]]&amp;Tabela1[[#This Row],[PEDIDO]]&amp;Tabela1[[#This Row],[PRODUTO]]</f>
        <v>1073-TC-006P-188RMF</v>
      </c>
      <c r="AQ247" s="22" t="str">
        <f>Tabela1[[#This Row],[PRODUTO]]&amp;Tabela1[[#This Row],[TAG]]</f>
        <v>RMF1073-TC-006</v>
      </c>
      <c r="AR247" s="24" t="str">
        <f>Tabela1[[#This Row],[PEDIDO]]&amp;Tabela1[[#This Row],[PRODUTO]]</f>
        <v>P-188RMF</v>
      </c>
      <c r="AS247" s="37">
        <f>IF(AF247="",0,IF(ISTEXT(AF247),H247*VALUE(SUBSTITUTE(AF247,"%",""))/100,H247*AF247))-Tabela1[[#This Row],[PRONTO ACABADO2]]</f>
        <v>0</v>
      </c>
      <c r="AT247" s="37">
        <f>IF(AG247="",0,IF(ISTEXT(AG247),H247*VALUE(SUBSTITUTE(AG247,"%",""))/100,H247*AG247))-Tabela1[[#This Row],[PESO EXPEDIDO2]]</f>
        <v>0</v>
      </c>
      <c r="AU247" s="37">
        <f t="shared" si="46"/>
        <v>1.2</v>
      </c>
      <c r="AV247" s="37">
        <f t="shared" si="47"/>
        <v>1.2</v>
      </c>
      <c r="AW247" s="37"/>
    </row>
    <row r="248" spans="1:49" ht="15.75" customHeight="1" x14ac:dyDescent="0.25">
      <c r="A248" s="6" t="s">
        <v>3880</v>
      </c>
      <c r="B248" s="21" t="s">
        <v>3881</v>
      </c>
      <c r="C248" s="7">
        <v>1</v>
      </c>
      <c r="D248" s="39" t="s">
        <v>3882</v>
      </c>
      <c r="E248" s="7">
        <v>4133</v>
      </c>
      <c r="F248" s="7" t="s">
        <v>3883</v>
      </c>
      <c r="G248" s="23">
        <v>383.4</v>
      </c>
      <c r="H248" s="34">
        <f>Tabela1[[#This Row],[PESO UNI]]*Tabela1[[#This Row],[QTE]]</f>
        <v>383.4</v>
      </c>
      <c r="I248" s="7">
        <v>2</v>
      </c>
      <c r="J248" s="8" t="s">
        <v>2276</v>
      </c>
      <c r="K248" s="8" t="s">
        <v>327</v>
      </c>
      <c r="L248" s="9" t="s">
        <v>2069</v>
      </c>
      <c r="M248" s="10">
        <v>46150</v>
      </c>
      <c r="N248" s="8" t="s">
        <v>327</v>
      </c>
      <c r="O248" s="12"/>
      <c r="P248" s="13"/>
      <c r="Q248" s="14">
        <f>Tabela1[[#This Row],[QTDE/ Fabricação]]-Tabela1[[#This Row],[QTE]]</f>
        <v>-1</v>
      </c>
      <c r="R248" s="18">
        <f t="shared" si="43"/>
        <v>383.4</v>
      </c>
      <c r="S248" s="18">
        <f t="shared" si="49"/>
        <v>383.4</v>
      </c>
      <c r="T248" s="19">
        <f t="shared" si="44"/>
        <v>0</v>
      </c>
      <c r="U248" s="207">
        <v>1</v>
      </c>
      <c r="V248" s="12">
        <f>IFERROR(VLOOKUP(Tabela1[[#This Row],[COD.MDE]],'LISTA DE EMBARQUE'!B:L,11,0),"")</f>
        <v>0</v>
      </c>
      <c r="W248" s="13"/>
      <c r="X248" s="14">
        <f>IFERROR(Tabela1[[#This Row],[QIANTIDADE EXPEDIDA]]*Tabela1[[#This Row],[PESO UNI]],"")</f>
        <v>383.4</v>
      </c>
      <c r="Y248" s="14">
        <f t="shared" si="48"/>
        <v>0</v>
      </c>
      <c r="Z248" s="20">
        <f>Tabela1[[#This Row],[PESO TOTAL]]-Tabela1[[#This Row],[Peso Expedido]]</f>
        <v>0</v>
      </c>
      <c r="AA248" s="17">
        <v>1</v>
      </c>
      <c r="AB248" s="33"/>
      <c r="AC248" s="33">
        <v>1</v>
      </c>
      <c r="AD248" s="33">
        <v>1</v>
      </c>
      <c r="AE248" s="33">
        <v>1</v>
      </c>
      <c r="AF248" s="33">
        <v>1</v>
      </c>
      <c r="AG248" s="33">
        <v>1</v>
      </c>
      <c r="AH248" s="33">
        <v>1</v>
      </c>
      <c r="AI248" s="33" t="str">
        <f t="shared" si="45"/>
        <v>ok</v>
      </c>
      <c r="AJ248" s="5"/>
      <c r="AK248" t="str">
        <f>Tabela1[[#This Row],[Coluna1]]&amp;Tabela1[[#This Row],[PEDIDO]]</f>
        <v>P-188</v>
      </c>
      <c r="AL248"/>
      <c r="AM248"/>
      <c r="AN248"/>
      <c r="AO248" t="str">
        <f t="shared" si="42"/>
        <v>T-072978-1/1073-TC-007</v>
      </c>
      <c r="AP248" t="str">
        <f>Tabela1[[#This Row],[TAG]]&amp;Tabela1[[#This Row],[PEDIDO]]&amp;Tabela1[[#This Row],[PRODUTO]]</f>
        <v>1073-TC-007P-188RMF</v>
      </c>
      <c r="AQ248" s="22" t="str">
        <f>Tabela1[[#This Row],[PRODUTO]]&amp;Tabela1[[#This Row],[TAG]]</f>
        <v>RMF1073-TC-007</v>
      </c>
      <c r="AR248" s="24" t="str">
        <f>Tabela1[[#This Row],[PEDIDO]]&amp;Tabela1[[#This Row],[PRODUTO]]</f>
        <v>P-188RMF</v>
      </c>
      <c r="AS248" s="37">
        <f>IF(AF248="",0,IF(ISTEXT(AF248),H248*VALUE(SUBSTITUTE(AF248,"%",""))/100,H248*AF248))-Tabela1[[#This Row],[PRONTO ACABADO2]]</f>
        <v>0</v>
      </c>
      <c r="AT248" s="37">
        <f>IF(AG248="",0,IF(ISTEXT(AG248),H248*VALUE(SUBSTITUTE(AG248,"%",""))/100,H248*AG248))-Tabela1[[#This Row],[PESO EXPEDIDO2]]</f>
        <v>0</v>
      </c>
      <c r="AU248" s="37">
        <f t="shared" si="46"/>
        <v>383.4</v>
      </c>
      <c r="AV248" s="37">
        <f t="shared" si="47"/>
        <v>383.4</v>
      </c>
      <c r="AW248" s="37"/>
    </row>
    <row r="249" spans="1:49" ht="15.75" customHeight="1" x14ac:dyDescent="0.25">
      <c r="A249" s="6" t="s">
        <v>3880</v>
      </c>
      <c r="B249" s="21" t="s">
        <v>3884</v>
      </c>
      <c r="C249" s="7">
        <v>4</v>
      </c>
      <c r="D249" s="39" t="s">
        <v>3885</v>
      </c>
      <c r="E249" s="7">
        <v>4134</v>
      </c>
      <c r="F249" s="7" t="s">
        <v>3883</v>
      </c>
      <c r="G249" s="23">
        <v>0.3</v>
      </c>
      <c r="H249" s="34">
        <f>Tabela1[[#This Row],[PESO UNI]]*Tabela1[[#This Row],[QTE]]</f>
        <v>1.2</v>
      </c>
      <c r="I249" s="7">
        <v>2</v>
      </c>
      <c r="J249" s="8" t="s">
        <v>2276</v>
      </c>
      <c r="K249" s="8" t="s">
        <v>327</v>
      </c>
      <c r="L249" s="9" t="s">
        <v>2069</v>
      </c>
      <c r="M249" s="10">
        <v>46150</v>
      </c>
      <c r="N249" s="8" t="s">
        <v>327</v>
      </c>
      <c r="O249" s="12"/>
      <c r="P249" s="13"/>
      <c r="Q249" s="14">
        <f>Tabela1[[#This Row],[QTDE/ Fabricação]]-Tabela1[[#This Row],[QTE]]</f>
        <v>-4</v>
      </c>
      <c r="R249" s="18">
        <f t="shared" si="43"/>
        <v>1.2</v>
      </c>
      <c r="S249" s="18">
        <f t="shared" si="49"/>
        <v>1.2</v>
      </c>
      <c r="T249" s="19">
        <f t="shared" si="44"/>
        <v>0</v>
      </c>
      <c r="U249" s="207">
        <v>4</v>
      </c>
      <c r="V249" s="12" t="str">
        <f>IFERROR(VLOOKUP(Tabela1[[#This Row],[COD.MDE]],'LISTA DE EMBARQUE'!B:L,11,0),"")</f>
        <v/>
      </c>
      <c r="W249" s="13"/>
      <c r="X249" s="14">
        <f>IFERROR(Tabela1[[#This Row],[QIANTIDADE EXPEDIDA]]*Tabela1[[#This Row],[PESO UNI]],"")</f>
        <v>1.2</v>
      </c>
      <c r="Y249" s="14">
        <f t="shared" si="48"/>
        <v>0</v>
      </c>
      <c r="Z249" s="20">
        <f>Tabela1[[#This Row],[PESO TOTAL]]-Tabela1[[#This Row],[Peso Expedido]]</f>
        <v>0</v>
      </c>
      <c r="AA249" s="17">
        <v>1</v>
      </c>
      <c r="AB249" s="33"/>
      <c r="AC249" s="33">
        <v>1</v>
      </c>
      <c r="AD249" s="33">
        <v>1</v>
      </c>
      <c r="AE249" s="33">
        <v>1</v>
      </c>
      <c r="AF249" s="33">
        <v>1</v>
      </c>
      <c r="AG249" s="33">
        <v>1</v>
      </c>
      <c r="AH249" s="33">
        <v>1</v>
      </c>
      <c r="AI249" s="33" t="str">
        <f t="shared" si="45"/>
        <v>ok</v>
      </c>
      <c r="AJ249" s="5"/>
      <c r="AK249" t="str">
        <f>Tabela1[[#This Row],[Coluna1]]&amp;Tabela1[[#This Row],[PEDIDO]]</f>
        <v>P-188</v>
      </c>
      <c r="AL249"/>
      <c r="AM249"/>
      <c r="AN249"/>
      <c r="AO249" t="str">
        <f t="shared" si="42"/>
        <v>T-072978-1/1073-TC-007</v>
      </c>
      <c r="AP249" t="str">
        <f>Tabela1[[#This Row],[TAG]]&amp;Tabela1[[#This Row],[PEDIDO]]&amp;Tabela1[[#This Row],[PRODUTO]]</f>
        <v>1073-TC-007P-188RMF</v>
      </c>
      <c r="AQ249" s="22" t="str">
        <f>Tabela1[[#This Row],[PRODUTO]]&amp;Tabela1[[#This Row],[TAG]]</f>
        <v>RMF1073-TC-007</v>
      </c>
      <c r="AR249" s="24" t="str">
        <f>Tabela1[[#This Row],[PEDIDO]]&amp;Tabela1[[#This Row],[PRODUTO]]</f>
        <v>P-188RMF</v>
      </c>
      <c r="AS249" s="37">
        <f>IF(AF249="",0,IF(ISTEXT(AF249),H249*VALUE(SUBSTITUTE(AF249,"%",""))/100,H249*AF249))-Tabela1[[#This Row],[PRONTO ACABADO2]]</f>
        <v>0</v>
      </c>
      <c r="AT249" s="37">
        <f>IF(AG249="",0,IF(ISTEXT(AG249),H249*VALUE(SUBSTITUTE(AG249,"%",""))/100,H249*AG249))-Tabela1[[#This Row],[PESO EXPEDIDO2]]</f>
        <v>0</v>
      </c>
      <c r="AU249" s="37">
        <f t="shared" si="46"/>
        <v>1.2</v>
      </c>
      <c r="AV249" s="37">
        <f t="shared" si="47"/>
        <v>1.2</v>
      </c>
      <c r="AW249" s="37"/>
    </row>
    <row r="250" spans="1:49" ht="15.75" customHeight="1" x14ac:dyDescent="0.25">
      <c r="A250" s="6" t="s">
        <v>3886</v>
      </c>
      <c r="B250" s="21" t="s">
        <v>3887</v>
      </c>
      <c r="C250" s="7">
        <v>1</v>
      </c>
      <c r="D250" s="39" t="s">
        <v>3888</v>
      </c>
      <c r="E250" s="7">
        <v>4135</v>
      </c>
      <c r="F250" s="7" t="s">
        <v>3889</v>
      </c>
      <c r="G250" s="23">
        <v>638</v>
      </c>
      <c r="H250" s="34">
        <f>Tabela1[[#This Row],[PESO UNI]]*Tabela1[[#This Row],[QTE]]</f>
        <v>638</v>
      </c>
      <c r="I250" s="7">
        <v>3</v>
      </c>
      <c r="J250" s="8" t="s">
        <v>2274</v>
      </c>
      <c r="K250" s="8" t="s">
        <v>327</v>
      </c>
      <c r="L250" s="9" t="s">
        <v>2069</v>
      </c>
      <c r="M250" s="10">
        <v>46192</v>
      </c>
      <c r="N250" s="8" t="s">
        <v>327</v>
      </c>
      <c r="O250" s="12"/>
      <c r="P250" s="13"/>
      <c r="Q250" s="14">
        <f>Tabela1[[#This Row],[QTDE/ Fabricação]]-Tabela1[[#This Row],[QTE]]</f>
        <v>-1</v>
      </c>
      <c r="R250" s="18">
        <f t="shared" si="43"/>
        <v>577.39</v>
      </c>
      <c r="S250" s="18">
        <f t="shared" si="49"/>
        <v>0</v>
      </c>
      <c r="T250" s="19">
        <f t="shared" si="44"/>
        <v>-638</v>
      </c>
      <c r="U250" s="16">
        <f>IFERROR(SUMIF('LISTA DE EMBARQUE'!B:B,MICRO!E:E,'LISTA DE EMBARQUE'!G:G),"")</f>
        <v>0</v>
      </c>
      <c r="V250" s="12" t="str">
        <f>IFERROR(VLOOKUP(Tabela1[[#This Row],[COD.MDE]],'LISTA DE EMBARQUE'!B:L,11,0),"")</f>
        <v/>
      </c>
      <c r="W250" s="13" t="str">
        <f>IFERROR(VLOOKUP(Tabela1[[#This Row],[COD.MDE]],'LISTA DE EMBARQUE'!B:M,12,0),"")</f>
        <v/>
      </c>
      <c r="X250" s="14">
        <f>IFERROR(Tabela1[[#This Row],[QIANTIDADE EXPEDIDA]]*Tabela1[[#This Row],[PESO UNI]],"")</f>
        <v>0</v>
      </c>
      <c r="Y250" s="14">
        <f t="shared" si="48"/>
        <v>-1</v>
      </c>
      <c r="Z250" s="20">
        <f>Tabela1[[#This Row],[PESO TOTAL]]-Tabela1[[#This Row],[Peso Expedido]]</f>
        <v>638</v>
      </c>
      <c r="AA250" s="17">
        <v>1</v>
      </c>
      <c r="AB250" s="33"/>
      <c r="AC250" s="33">
        <v>1</v>
      </c>
      <c r="AD250" s="33">
        <v>0.9</v>
      </c>
      <c r="AE250" s="33">
        <v>0.9</v>
      </c>
      <c r="AF250" s="33">
        <v>0</v>
      </c>
      <c r="AG250" s="33">
        <v>0</v>
      </c>
      <c r="AH250" s="33"/>
      <c r="AI250" s="33" t="str">
        <f t="shared" si="45"/>
        <v/>
      </c>
      <c r="AJ250" s="5"/>
      <c r="AK250" t="str">
        <f>Tabela1[[#This Row],[Coluna1]]&amp;Tabela1[[#This Row],[PEDIDO]]</f>
        <v>P-188</v>
      </c>
      <c r="AL250"/>
      <c r="AM250"/>
      <c r="AN250"/>
      <c r="AO250" t="str">
        <f t="shared" si="42"/>
        <v>T-072979-1/1073-TC-006</v>
      </c>
      <c r="AP250" t="str">
        <f>Tabela1[[#This Row],[TAG]]&amp;Tabela1[[#This Row],[PEDIDO]]&amp;Tabela1[[#This Row],[PRODUTO]]</f>
        <v>1073-TC-006P-188RMF</v>
      </c>
      <c r="AQ250" s="22" t="str">
        <f>Tabela1[[#This Row],[PRODUTO]]&amp;Tabela1[[#This Row],[TAG]]</f>
        <v>RMF1073-TC-006</v>
      </c>
      <c r="AR250" s="24" t="str">
        <f>Tabela1[[#This Row],[PEDIDO]]&amp;Tabela1[[#This Row],[PRODUTO]]</f>
        <v>P-188RMF</v>
      </c>
      <c r="AS250" s="37">
        <f>IF(AF250="",0,IF(ISTEXT(AF250),H250*VALUE(SUBSTITUTE(AF250,"%",""))/100,H250*AF250))-Tabela1[[#This Row],[PRONTO ACABADO2]]</f>
        <v>0</v>
      </c>
      <c r="AT250" s="37">
        <f>IF(AG250="",0,IF(ISTEXT(AG250),H250*VALUE(SUBSTITUTE(AG250,"%",""))/100,H250*AG250))-Tabela1[[#This Row],[PESO EXPEDIDO2]]</f>
        <v>0</v>
      </c>
      <c r="AU250" s="37">
        <f t="shared" si="46"/>
        <v>0</v>
      </c>
      <c r="AV250" s="37">
        <f t="shared" si="47"/>
        <v>0</v>
      </c>
      <c r="AW250" s="37"/>
    </row>
    <row r="251" spans="1:49" ht="15.75" customHeight="1" x14ac:dyDescent="0.25">
      <c r="A251" s="6" t="s">
        <v>3886</v>
      </c>
      <c r="B251" s="21" t="s">
        <v>3890</v>
      </c>
      <c r="C251" s="7">
        <v>4</v>
      </c>
      <c r="D251" s="39" t="s">
        <v>3891</v>
      </c>
      <c r="E251" s="7">
        <v>4136</v>
      </c>
      <c r="F251" s="7" t="s">
        <v>3889</v>
      </c>
      <c r="G251" s="23">
        <v>4.5</v>
      </c>
      <c r="H251" s="34">
        <f>Tabela1[[#This Row],[PESO UNI]]*Tabela1[[#This Row],[QTE]]</f>
        <v>18</v>
      </c>
      <c r="I251" s="7">
        <v>3</v>
      </c>
      <c r="J251" s="8" t="s">
        <v>2274</v>
      </c>
      <c r="K251" s="8" t="s">
        <v>327</v>
      </c>
      <c r="L251" s="9" t="s">
        <v>2069</v>
      </c>
      <c r="M251" s="10">
        <v>46192</v>
      </c>
      <c r="N251" s="8" t="s">
        <v>327</v>
      </c>
      <c r="O251" s="12"/>
      <c r="P251" s="13"/>
      <c r="Q251" s="14">
        <f>Tabela1[[#This Row],[QTDE/ Fabricação]]-Tabela1[[#This Row],[QTE]]</f>
        <v>-4</v>
      </c>
      <c r="R251" s="18">
        <f t="shared" si="43"/>
        <v>16.29</v>
      </c>
      <c r="S251" s="18">
        <f t="shared" si="49"/>
        <v>0</v>
      </c>
      <c r="T251" s="19">
        <f t="shared" si="44"/>
        <v>-18</v>
      </c>
      <c r="U251" s="16">
        <f>IFERROR(SUMIF('LISTA DE EMBARQUE'!B:B,MICRO!E:E,'LISTA DE EMBARQUE'!G:G),"")</f>
        <v>0</v>
      </c>
      <c r="V251" s="12" t="str">
        <f>IFERROR(VLOOKUP(Tabela1[[#This Row],[COD.MDE]],'LISTA DE EMBARQUE'!B:L,11,0),"")</f>
        <v/>
      </c>
      <c r="W251" s="13" t="str">
        <f>IFERROR(VLOOKUP(Tabela1[[#This Row],[COD.MDE]],'LISTA DE EMBARQUE'!B:M,12,0),"")</f>
        <v/>
      </c>
      <c r="X251" s="14">
        <f>IFERROR(Tabela1[[#This Row],[QIANTIDADE EXPEDIDA]]*Tabela1[[#This Row],[PESO UNI]],"")</f>
        <v>0</v>
      </c>
      <c r="Y251" s="14">
        <f t="shared" si="48"/>
        <v>-4</v>
      </c>
      <c r="Z251" s="20">
        <f>Tabela1[[#This Row],[PESO TOTAL]]-Tabela1[[#This Row],[Peso Expedido]]</f>
        <v>18</v>
      </c>
      <c r="AA251" s="17">
        <v>1</v>
      </c>
      <c r="AB251" s="33"/>
      <c r="AC251" s="33">
        <v>1</v>
      </c>
      <c r="AD251" s="33">
        <v>0.9</v>
      </c>
      <c r="AE251" s="33">
        <v>0.9</v>
      </c>
      <c r="AF251" s="33">
        <v>0</v>
      </c>
      <c r="AG251" s="33">
        <v>0</v>
      </c>
      <c r="AH251" s="33"/>
      <c r="AI251" s="33" t="str">
        <f t="shared" si="45"/>
        <v/>
      </c>
      <c r="AJ251" s="5"/>
      <c r="AK251" t="str">
        <f>Tabela1[[#This Row],[Coluna1]]&amp;Tabela1[[#This Row],[PEDIDO]]</f>
        <v>P-188</v>
      </c>
      <c r="AL251"/>
      <c r="AM251"/>
      <c r="AN251"/>
      <c r="AO251" t="str">
        <f t="shared" si="42"/>
        <v>T-072979-1/1073-TC-006</v>
      </c>
      <c r="AP251" t="str">
        <f>Tabela1[[#This Row],[TAG]]&amp;Tabela1[[#This Row],[PEDIDO]]&amp;Tabela1[[#This Row],[PRODUTO]]</f>
        <v>1073-TC-006P-188RMF</v>
      </c>
      <c r="AQ251" s="22" t="str">
        <f>Tabela1[[#This Row],[PRODUTO]]&amp;Tabela1[[#This Row],[TAG]]</f>
        <v>RMF1073-TC-006</v>
      </c>
      <c r="AR251" s="24" t="str">
        <f>Tabela1[[#This Row],[PEDIDO]]&amp;Tabela1[[#This Row],[PRODUTO]]</f>
        <v>P-188RMF</v>
      </c>
      <c r="AS251" s="37">
        <f>IF(AF251="",0,IF(ISTEXT(AF251),H251*VALUE(SUBSTITUTE(AF251,"%",""))/100,H251*AF251))-Tabela1[[#This Row],[PRONTO ACABADO2]]</f>
        <v>0</v>
      </c>
      <c r="AT251" s="37">
        <f>IF(AG251="",0,IF(ISTEXT(AG251),H251*VALUE(SUBSTITUTE(AG251,"%",""))/100,H251*AG251))-Tabela1[[#This Row],[PESO EXPEDIDO2]]</f>
        <v>0</v>
      </c>
      <c r="AU251" s="37">
        <f t="shared" si="46"/>
        <v>0</v>
      </c>
      <c r="AV251" s="37">
        <f t="shared" si="47"/>
        <v>0</v>
      </c>
      <c r="AW251" s="37"/>
    </row>
    <row r="252" spans="1:49" ht="15.75" customHeight="1" x14ac:dyDescent="0.25">
      <c r="A252" s="6" t="s">
        <v>3886</v>
      </c>
      <c r="B252" s="21" t="s">
        <v>3892</v>
      </c>
      <c r="C252" s="7">
        <v>4</v>
      </c>
      <c r="D252" s="39" t="s">
        <v>3893</v>
      </c>
      <c r="E252" s="7">
        <v>4137</v>
      </c>
      <c r="F252" s="7" t="s">
        <v>3889</v>
      </c>
      <c r="G252" s="23">
        <v>5.8</v>
      </c>
      <c r="H252" s="34">
        <f>Tabela1[[#This Row],[PESO UNI]]*Tabela1[[#This Row],[QTE]]</f>
        <v>23.2</v>
      </c>
      <c r="I252" s="7">
        <v>3</v>
      </c>
      <c r="J252" s="8" t="s">
        <v>2274</v>
      </c>
      <c r="K252" s="8" t="s">
        <v>327</v>
      </c>
      <c r="L252" s="9" t="s">
        <v>2069</v>
      </c>
      <c r="M252" s="10">
        <v>46192</v>
      </c>
      <c r="N252" s="8" t="s">
        <v>327</v>
      </c>
      <c r="O252" s="12"/>
      <c r="P252" s="13"/>
      <c r="Q252" s="14">
        <f>Tabela1[[#This Row],[QTDE/ Fabricação]]-Tabela1[[#This Row],[QTE]]</f>
        <v>-4</v>
      </c>
      <c r="R252" s="18">
        <f t="shared" si="43"/>
        <v>20.995999999999999</v>
      </c>
      <c r="S252" s="18">
        <f t="shared" si="49"/>
        <v>0</v>
      </c>
      <c r="T252" s="19">
        <f t="shared" si="44"/>
        <v>-23.2</v>
      </c>
      <c r="U252" s="16">
        <f>IFERROR(SUMIF('LISTA DE EMBARQUE'!B:B,MICRO!E:E,'LISTA DE EMBARQUE'!G:G),"")</f>
        <v>0</v>
      </c>
      <c r="V252" s="12" t="str">
        <f>IFERROR(VLOOKUP(Tabela1[[#This Row],[COD.MDE]],'LISTA DE EMBARQUE'!B:L,11,0),"")</f>
        <v/>
      </c>
      <c r="W252" s="13" t="str">
        <f>IFERROR(VLOOKUP(Tabela1[[#This Row],[COD.MDE]],'LISTA DE EMBARQUE'!B:M,12,0),"")</f>
        <v/>
      </c>
      <c r="X252" s="14">
        <f>IFERROR(Tabela1[[#This Row],[QIANTIDADE EXPEDIDA]]*Tabela1[[#This Row],[PESO UNI]],"")</f>
        <v>0</v>
      </c>
      <c r="Y252" s="14">
        <f t="shared" si="48"/>
        <v>-4</v>
      </c>
      <c r="Z252" s="20">
        <f>Tabela1[[#This Row],[PESO TOTAL]]-Tabela1[[#This Row],[Peso Expedido]]</f>
        <v>23.2</v>
      </c>
      <c r="AA252" s="17">
        <v>1</v>
      </c>
      <c r="AB252" s="33"/>
      <c r="AC252" s="33">
        <v>1</v>
      </c>
      <c r="AD252" s="33">
        <v>0.9</v>
      </c>
      <c r="AE252" s="33">
        <v>0.9</v>
      </c>
      <c r="AF252" s="33">
        <v>0</v>
      </c>
      <c r="AG252" s="33">
        <v>0</v>
      </c>
      <c r="AH252" s="33"/>
      <c r="AI252" s="33" t="str">
        <f t="shared" si="45"/>
        <v/>
      </c>
      <c r="AJ252" s="5"/>
      <c r="AK252" t="str">
        <f>Tabela1[[#This Row],[Coluna1]]&amp;Tabela1[[#This Row],[PEDIDO]]</f>
        <v>P-188</v>
      </c>
      <c r="AL252"/>
      <c r="AM252"/>
      <c r="AN252"/>
      <c r="AO252" t="str">
        <f t="shared" si="42"/>
        <v>T-072979-1/1073-TC-006</v>
      </c>
      <c r="AP252" t="str">
        <f>Tabela1[[#This Row],[TAG]]&amp;Tabela1[[#This Row],[PEDIDO]]&amp;Tabela1[[#This Row],[PRODUTO]]</f>
        <v>1073-TC-006P-188RMF</v>
      </c>
      <c r="AQ252" s="22" t="str">
        <f>Tabela1[[#This Row],[PRODUTO]]&amp;Tabela1[[#This Row],[TAG]]</f>
        <v>RMF1073-TC-006</v>
      </c>
      <c r="AR252" s="24" t="str">
        <f>Tabela1[[#This Row],[PEDIDO]]&amp;Tabela1[[#This Row],[PRODUTO]]</f>
        <v>P-188RMF</v>
      </c>
      <c r="AS252" s="37">
        <f>IF(AF252="",0,IF(ISTEXT(AF252),H252*VALUE(SUBSTITUTE(AF252,"%",""))/100,H252*AF252))-Tabela1[[#This Row],[PRONTO ACABADO2]]</f>
        <v>0</v>
      </c>
      <c r="AT252" s="37">
        <f>IF(AG252="",0,IF(ISTEXT(AG252),H252*VALUE(SUBSTITUTE(AG252,"%",""))/100,H252*AG252))-Tabela1[[#This Row],[PESO EXPEDIDO2]]</f>
        <v>0</v>
      </c>
      <c r="AU252" s="37">
        <f t="shared" si="46"/>
        <v>0</v>
      </c>
      <c r="AV252" s="37">
        <f t="shared" si="47"/>
        <v>0</v>
      </c>
      <c r="AW252" s="37"/>
    </row>
    <row r="253" spans="1:49" ht="15.75" customHeight="1" x14ac:dyDescent="0.25">
      <c r="A253" s="6" t="s">
        <v>3886</v>
      </c>
      <c r="B253" s="21" t="s">
        <v>3894</v>
      </c>
      <c r="C253" s="7">
        <v>8</v>
      </c>
      <c r="D253" s="39" t="s">
        <v>3895</v>
      </c>
      <c r="E253" s="7">
        <v>4138</v>
      </c>
      <c r="F253" s="7" t="s">
        <v>3889</v>
      </c>
      <c r="G253" s="23">
        <v>0.1</v>
      </c>
      <c r="H253" s="34">
        <f>Tabela1[[#This Row],[PESO UNI]]*Tabela1[[#This Row],[QTE]]</f>
        <v>0.8</v>
      </c>
      <c r="I253" s="7">
        <v>3</v>
      </c>
      <c r="J253" s="8" t="s">
        <v>2274</v>
      </c>
      <c r="K253" s="8" t="s">
        <v>327</v>
      </c>
      <c r="L253" s="9" t="s">
        <v>2069</v>
      </c>
      <c r="M253" s="10">
        <v>46192</v>
      </c>
      <c r="N253" s="8" t="s">
        <v>327</v>
      </c>
      <c r="O253" s="12"/>
      <c r="P253" s="13"/>
      <c r="Q253" s="14">
        <f>Tabela1[[#This Row],[QTDE/ Fabricação]]-Tabela1[[#This Row],[QTE]]</f>
        <v>-8</v>
      </c>
      <c r="R253" s="18">
        <f t="shared" si="43"/>
        <v>0.4</v>
      </c>
      <c r="S253" s="18">
        <f t="shared" si="49"/>
        <v>0</v>
      </c>
      <c r="T253" s="19">
        <f t="shared" si="44"/>
        <v>-0.8</v>
      </c>
      <c r="U253" s="16">
        <f>IFERROR(SUMIF('LISTA DE EMBARQUE'!B:B,MICRO!E:E,'LISTA DE EMBARQUE'!G:G),"")</f>
        <v>0</v>
      </c>
      <c r="V253" s="12" t="str">
        <f>IFERROR(VLOOKUP(Tabela1[[#This Row],[COD.MDE]],'LISTA DE EMBARQUE'!B:L,11,0),"")</f>
        <v/>
      </c>
      <c r="W253" s="13" t="str">
        <f>IFERROR(VLOOKUP(Tabela1[[#This Row],[COD.MDE]],'LISTA DE EMBARQUE'!B:M,12,0),"")</f>
        <v/>
      </c>
      <c r="X253" s="14">
        <f>IFERROR(Tabela1[[#This Row],[QIANTIDADE EXPEDIDA]]*Tabela1[[#This Row],[PESO UNI]],"")</f>
        <v>0</v>
      </c>
      <c r="Y253" s="14">
        <f t="shared" si="48"/>
        <v>-8</v>
      </c>
      <c r="Z253" s="20">
        <f>Tabela1[[#This Row],[PESO TOTAL]]-Tabela1[[#This Row],[Peso Expedido]]</f>
        <v>0.8</v>
      </c>
      <c r="AA253" s="17">
        <v>1</v>
      </c>
      <c r="AB253" s="33"/>
      <c r="AC253" s="33">
        <v>1</v>
      </c>
      <c r="AD253" s="33">
        <v>0</v>
      </c>
      <c r="AE253" s="33">
        <v>0</v>
      </c>
      <c r="AF253" s="33">
        <v>0</v>
      </c>
      <c r="AG253" s="33">
        <v>0</v>
      </c>
      <c r="AH253" s="33"/>
      <c r="AI253" s="33" t="str">
        <f t="shared" si="45"/>
        <v/>
      </c>
      <c r="AJ253" s="5"/>
      <c r="AK253" t="str">
        <f>Tabela1[[#This Row],[Coluna1]]&amp;Tabela1[[#This Row],[PEDIDO]]</f>
        <v>P-188</v>
      </c>
      <c r="AL253"/>
      <c r="AM253"/>
      <c r="AN253"/>
      <c r="AO253" t="str">
        <f t="shared" si="42"/>
        <v>T-072979-1/1073-TC-006</v>
      </c>
      <c r="AP253" t="str">
        <f>Tabela1[[#This Row],[TAG]]&amp;Tabela1[[#This Row],[PEDIDO]]&amp;Tabela1[[#This Row],[PRODUTO]]</f>
        <v>1073-TC-006P-188RMF</v>
      </c>
      <c r="AQ253" s="22" t="str">
        <f>Tabela1[[#This Row],[PRODUTO]]&amp;Tabela1[[#This Row],[TAG]]</f>
        <v>RMF1073-TC-006</v>
      </c>
      <c r="AR253" s="24" t="str">
        <f>Tabela1[[#This Row],[PEDIDO]]&amp;Tabela1[[#This Row],[PRODUTO]]</f>
        <v>P-188RMF</v>
      </c>
      <c r="AS253" s="37">
        <f>IF(AF253="",0,IF(ISTEXT(AF253),H253*VALUE(SUBSTITUTE(AF253,"%",""))/100,H253*AF253))-Tabela1[[#This Row],[PRONTO ACABADO2]]</f>
        <v>0</v>
      </c>
      <c r="AT253" s="37">
        <f>IF(AG253="",0,IF(ISTEXT(AG253),H253*VALUE(SUBSTITUTE(AG253,"%",""))/100,H253*AG253))-Tabela1[[#This Row],[PESO EXPEDIDO2]]</f>
        <v>0</v>
      </c>
      <c r="AU253" s="37">
        <f t="shared" si="46"/>
        <v>0</v>
      </c>
      <c r="AV253" s="37">
        <f t="shared" si="47"/>
        <v>0</v>
      </c>
      <c r="AW253" s="37"/>
    </row>
    <row r="254" spans="1:49" ht="15.75" customHeight="1" x14ac:dyDescent="0.25">
      <c r="A254" s="6" t="s">
        <v>3886</v>
      </c>
      <c r="B254" s="21" t="s">
        <v>3896</v>
      </c>
      <c r="C254" s="7">
        <v>8</v>
      </c>
      <c r="D254" s="39" t="s">
        <v>3897</v>
      </c>
      <c r="E254" s="7">
        <v>4139</v>
      </c>
      <c r="F254" s="7" t="s">
        <v>3889</v>
      </c>
      <c r="G254" s="23">
        <v>0.1</v>
      </c>
      <c r="H254" s="34">
        <f>Tabela1[[#This Row],[PESO UNI]]*Tabela1[[#This Row],[QTE]]</f>
        <v>0.8</v>
      </c>
      <c r="I254" s="7">
        <v>3</v>
      </c>
      <c r="J254" s="8" t="s">
        <v>2274</v>
      </c>
      <c r="K254" s="8" t="s">
        <v>327</v>
      </c>
      <c r="L254" s="9" t="s">
        <v>2069</v>
      </c>
      <c r="M254" s="10">
        <v>46192</v>
      </c>
      <c r="N254" s="8" t="s">
        <v>327</v>
      </c>
      <c r="O254" s="12"/>
      <c r="P254" s="13"/>
      <c r="Q254" s="14">
        <f>Tabela1[[#This Row],[QTDE/ Fabricação]]-Tabela1[[#This Row],[QTE]]</f>
        <v>-8</v>
      </c>
      <c r="R254" s="18">
        <f t="shared" si="43"/>
        <v>0.4</v>
      </c>
      <c r="S254" s="18">
        <f t="shared" si="49"/>
        <v>0</v>
      </c>
      <c r="T254" s="19">
        <f t="shared" si="44"/>
        <v>-0.8</v>
      </c>
      <c r="U254" s="16">
        <f>IFERROR(SUMIF('LISTA DE EMBARQUE'!B:B,MICRO!E:E,'LISTA DE EMBARQUE'!G:G),"")</f>
        <v>0</v>
      </c>
      <c r="V254" s="12" t="str">
        <f>IFERROR(VLOOKUP(Tabela1[[#This Row],[COD.MDE]],'LISTA DE EMBARQUE'!B:L,11,0),"")</f>
        <v/>
      </c>
      <c r="W254" s="13" t="str">
        <f>IFERROR(VLOOKUP(Tabela1[[#This Row],[COD.MDE]],'LISTA DE EMBARQUE'!B:M,12,0),"")</f>
        <v/>
      </c>
      <c r="X254" s="14">
        <f>IFERROR(Tabela1[[#This Row],[QIANTIDADE EXPEDIDA]]*Tabela1[[#This Row],[PESO UNI]],"")</f>
        <v>0</v>
      </c>
      <c r="Y254" s="14">
        <f t="shared" si="48"/>
        <v>-8</v>
      </c>
      <c r="Z254" s="20">
        <f>Tabela1[[#This Row],[PESO TOTAL]]-Tabela1[[#This Row],[Peso Expedido]]</f>
        <v>0.8</v>
      </c>
      <c r="AA254" s="17">
        <v>1</v>
      </c>
      <c r="AB254" s="33"/>
      <c r="AC254" s="33">
        <v>1</v>
      </c>
      <c r="AD254" s="33">
        <v>0</v>
      </c>
      <c r="AE254" s="33">
        <v>0</v>
      </c>
      <c r="AF254" s="33">
        <v>0</v>
      </c>
      <c r="AG254" s="33">
        <v>0</v>
      </c>
      <c r="AH254" s="33"/>
      <c r="AI254" s="33" t="str">
        <f t="shared" si="45"/>
        <v/>
      </c>
      <c r="AJ254" s="5"/>
      <c r="AK254" t="str">
        <f>Tabela1[[#This Row],[Coluna1]]&amp;Tabela1[[#This Row],[PEDIDO]]</f>
        <v>P-188</v>
      </c>
      <c r="AL254"/>
      <c r="AM254"/>
      <c r="AN254"/>
      <c r="AO254" t="str">
        <f t="shared" si="42"/>
        <v>T-072979-1/1073-TC-006</v>
      </c>
      <c r="AP254" t="str">
        <f>Tabela1[[#This Row],[TAG]]&amp;Tabela1[[#This Row],[PEDIDO]]&amp;Tabela1[[#This Row],[PRODUTO]]</f>
        <v>1073-TC-006P-188RMF</v>
      </c>
      <c r="AQ254" s="22" t="str">
        <f>Tabela1[[#This Row],[PRODUTO]]&amp;Tabela1[[#This Row],[TAG]]</f>
        <v>RMF1073-TC-006</v>
      </c>
      <c r="AR254" s="24" t="str">
        <f>Tabela1[[#This Row],[PEDIDO]]&amp;Tabela1[[#This Row],[PRODUTO]]</f>
        <v>P-188RMF</v>
      </c>
      <c r="AS254" s="37">
        <f>IF(AF254="",0,IF(ISTEXT(AF254),H254*VALUE(SUBSTITUTE(AF254,"%",""))/100,H254*AF254))-Tabela1[[#This Row],[PRONTO ACABADO2]]</f>
        <v>0</v>
      </c>
      <c r="AT254" s="37">
        <f>IF(AG254="",0,IF(ISTEXT(AG254),H254*VALUE(SUBSTITUTE(AG254,"%",""))/100,H254*AG254))-Tabela1[[#This Row],[PESO EXPEDIDO2]]</f>
        <v>0</v>
      </c>
      <c r="AU254" s="37">
        <f t="shared" si="46"/>
        <v>0</v>
      </c>
      <c r="AV254" s="37">
        <f t="shared" si="47"/>
        <v>0</v>
      </c>
      <c r="AW254" s="37"/>
    </row>
    <row r="255" spans="1:49" ht="15.75" customHeight="1" x14ac:dyDescent="0.25">
      <c r="A255" s="6" t="s">
        <v>3886</v>
      </c>
      <c r="B255" s="21" t="s">
        <v>3898</v>
      </c>
      <c r="C255" s="7">
        <v>4</v>
      </c>
      <c r="D255" s="39" t="s">
        <v>3897</v>
      </c>
      <c r="E255" s="7">
        <v>4140</v>
      </c>
      <c r="F255" s="7" t="s">
        <v>3889</v>
      </c>
      <c r="G255" s="23">
        <v>0.1</v>
      </c>
      <c r="H255" s="34">
        <f>Tabela1[[#This Row],[PESO UNI]]*Tabela1[[#This Row],[QTE]]</f>
        <v>0.4</v>
      </c>
      <c r="I255" s="7">
        <v>3</v>
      </c>
      <c r="J255" s="8" t="s">
        <v>2274</v>
      </c>
      <c r="K255" s="8" t="s">
        <v>327</v>
      </c>
      <c r="L255" s="9" t="s">
        <v>2069</v>
      </c>
      <c r="M255" s="10">
        <v>46192</v>
      </c>
      <c r="N255" s="8" t="s">
        <v>327</v>
      </c>
      <c r="O255" s="12"/>
      <c r="P255" s="13"/>
      <c r="Q255" s="14">
        <f>Tabela1[[#This Row],[QTDE/ Fabricação]]-Tabela1[[#This Row],[QTE]]</f>
        <v>-4</v>
      </c>
      <c r="R255" s="18">
        <f t="shared" si="43"/>
        <v>0.2</v>
      </c>
      <c r="S255" s="18">
        <f t="shared" si="49"/>
        <v>0</v>
      </c>
      <c r="T255" s="19">
        <f t="shared" si="44"/>
        <v>-0.4</v>
      </c>
      <c r="U255" s="16">
        <f>IFERROR(SUMIF('LISTA DE EMBARQUE'!B:B,MICRO!E:E,'LISTA DE EMBARQUE'!G:G),"")</f>
        <v>0</v>
      </c>
      <c r="V255" s="12" t="str">
        <f>IFERROR(VLOOKUP(Tabela1[[#This Row],[COD.MDE]],'LISTA DE EMBARQUE'!B:L,11,0),"")</f>
        <v/>
      </c>
      <c r="W255" s="13" t="str">
        <f>IFERROR(VLOOKUP(Tabela1[[#This Row],[COD.MDE]],'LISTA DE EMBARQUE'!B:M,12,0),"")</f>
        <v/>
      </c>
      <c r="X255" s="14">
        <f>IFERROR(Tabela1[[#This Row],[QIANTIDADE EXPEDIDA]]*Tabela1[[#This Row],[PESO UNI]],"")</f>
        <v>0</v>
      </c>
      <c r="Y255" s="14">
        <f t="shared" si="48"/>
        <v>-4</v>
      </c>
      <c r="Z255" s="20">
        <f>Tabela1[[#This Row],[PESO TOTAL]]-Tabela1[[#This Row],[Peso Expedido]]</f>
        <v>0.4</v>
      </c>
      <c r="AA255" s="17">
        <v>1</v>
      </c>
      <c r="AB255" s="33"/>
      <c r="AC255" s="33">
        <v>1</v>
      </c>
      <c r="AD255" s="33">
        <v>0</v>
      </c>
      <c r="AE255" s="33">
        <v>0</v>
      </c>
      <c r="AF255" s="33">
        <v>0</v>
      </c>
      <c r="AG255" s="33">
        <v>0</v>
      </c>
      <c r="AH255" s="33"/>
      <c r="AI255" s="33" t="str">
        <f t="shared" si="45"/>
        <v/>
      </c>
      <c r="AJ255" s="5"/>
      <c r="AK255" t="str">
        <f>Tabela1[[#This Row],[Coluna1]]&amp;Tabela1[[#This Row],[PEDIDO]]</f>
        <v>P-188</v>
      </c>
      <c r="AL255"/>
      <c r="AM255"/>
      <c r="AN255"/>
      <c r="AO255" t="str">
        <f t="shared" si="42"/>
        <v>T-072979-1/1073-TC-006</v>
      </c>
      <c r="AP255" t="str">
        <f>Tabela1[[#This Row],[TAG]]&amp;Tabela1[[#This Row],[PEDIDO]]&amp;Tabela1[[#This Row],[PRODUTO]]</f>
        <v>1073-TC-006P-188RMF</v>
      </c>
      <c r="AQ255" s="22" t="str">
        <f>Tabela1[[#This Row],[PRODUTO]]&amp;Tabela1[[#This Row],[TAG]]</f>
        <v>RMF1073-TC-006</v>
      </c>
      <c r="AR255" s="24" t="str">
        <f>Tabela1[[#This Row],[PEDIDO]]&amp;Tabela1[[#This Row],[PRODUTO]]</f>
        <v>P-188RMF</v>
      </c>
      <c r="AS255" s="37">
        <f>IF(AF255="",0,IF(ISTEXT(AF255),H255*VALUE(SUBSTITUTE(AF255,"%",""))/100,H255*AF255))-Tabela1[[#This Row],[PRONTO ACABADO2]]</f>
        <v>0</v>
      </c>
      <c r="AT255" s="37">
        <f>IF(AG255="",0,IF(ISTEXT(AG255),H255*VALUE(SUBSTITUTE(AG255,"%",""))/100,H255*AG255))-Tabela1[[#This Row],[PESO EXPEDIDO2]]</f>
        <v>0</v>
      </c>
      <c r="AU255" s="37">
        <f t="shared" si="46"/>
        <v>0</v>
      </c>
      <c r="AV255" s="37">
        <f t="shared" si="47"/>
        <v>0</v>
      </c>
      <c r="AW255" s="37"/>
    </row>
    <row r="256" spans="1:49" ht="15.75" customHeight="1" x14ac:dyDescent="0.25">
      <c r="A256" s="6" t="s">
        <v>3886</v>
      </c>
      <c r="B256" s="21" t="s">
        <v>3899</v>
      </c>
      <c r="C256" s="7">
        <v>4</v>
      </c>
      <c r="D256" s="39" t="s">
        <v>3897</v>
      </c>
      <c r="E256" s="7">
        <v>4141</v>
      </c>
      <c r="F256" s="7" t="s">
        <v>3889</v>
      </c>
      <c r="G256" s="23">
        <v>0.1</v>
      </c>
      <c r="H256" s="34">
        <f>Tabela1[[#This Row],[PESO UNI]]*Tabela1[[#This Row],[QTE]]</f>
        <v>0.4</v>
      </c>
      <c r="I256" s="7">
        <v>3</v>
      </c>
      <c r="J256" s="8" t="s">
        <v>2274</v>
      </c>
      <c r="K256" s="8" t="s">
        <v>327</v>
      </c>
      <c r="L256" s="9" t="s">
        <v>2069</v>
      </c>
      <c r="M256" s="10">
        <v>46192</v>
      </c>
      <c r="N256" s="8" t="s">
        <v>327</v>
      </c>
      <c r="O256" s="12"/>
      <c r="P256" s="13"/>
      <c r="Q256" s="14">
        <f>Tabela1[[#This Row],[QTDE/ Fabricação]]-Tabela1[[#This Row],[QTE]]</f>
        <v>-4</v>
      </c>
      <c r="R256" s="18">
        <f t="shared" si="43"/>
        <v>0.2</v>
      </c>
      <c r="S256" s="18">
        <f t="shared" si="49"/>
        <v>0</v>
      </c>
      <c r="T256" s="19">
        <f t="shared" si="44"/>
        <v>-0.4</v>
      </c>
      <c r="U256" s="16">
        <f>IFERROR(SUMIF('LISTA DE EMBARQUE'!B:B,MICRO!E:E,'LISTA DE EMBARQUE'!G:G),"")</f>
        <v>0</v>
      </c>
      <c r="V256" s="12" t="str">
        <f>IFERROR(VLOOKUP(Tabela1[[#This Row],[COD.MDE]],'LISTA DE EMBARQUE'!B:L,11,0),"")</f>
        <v/>
      </c>
      <c r="W256" s="13" t="str">
        <f>IFERROR(VLOOKUP(Tabela1[[#This Row],[COD.MDE]],'LISTA DE EMBARQUE'!B:M,12,0),"")</f>
        <v/>
      </c>
      <c r="X256" s="14">
        <f>IFERROR(Tabela1[[#This Row],[QIANTIDADE EXPEDIDA]]*Tabela1[[#This Row],[PESO UNI]],"")</f>
        <v>0</v>
      </c>
      <c r="Y256" s="14">
        <f t="shared" si="48"/>
        <v>-4</v>
      </c>
      <c r="Z256" s="20">
        <f>Tabela1[[#This Row],[PESO TOTAL]]-Tabela1[[#This Row],[Peso Expedido]]</f>
        <v>0.4</v>
      </c>
      <c r="AA256" s="17">
        <v>1</v>
      </c>
      <c r="AB256" s="33"/>
      <c r="AC256" s="33">
        <v>1</v>
      </c>
      <c r="AD256" s="33">
        <v>0</v>
      </c>
      <c r="AE256" s="33">
        <v>0</v>
      </c>
      <c r="AF256" s="33">
        <v>0</v>
      </c>
      <c r="AG256" s="33">
        <v>0</v>
      </c>
      <c r="AH256" s="33"/>
      <c r="AI256" s="33" t="str">
        <f t="shared" si="45"/>
        <v/>
      </c>
      <c r="AJ256" s="5"/>
      <c r="AK256" t="str">
        <f>Tabela1[[#This Row],[Coluna1]]&amp;Tabela1[[#This Row],[PEDIDO]]</f>
        <v>P-188</v>
      </c>
      <c r="AL256"/>
      <c r="AM256"/>
      <c r="AN256"/>
      <c r="AO256" t="str">
        <f t="shared" si="42"/>
        <v>T-072979-1/1073-TC-006</v>
      </c>
      <c r="AP256" t="str">
        <f>Tabela1[[#This Row],[TAG]]&amp;Tabela1[[#This Row],[PEDIDO]]&amp;Tabela1[[#This Row],[PRODUTO]]</f>
        <v>1073-TC-006P-188RMF</v>
      </c>
      <c r="AQ256" s="22" t="str">
        <f>Tabela1[[#This Row],[PRODUTO]]&amp;Tabela1[[#This Row],[TAG]]</f>
        <v>RMF1073-TC-006</v>
      </c>
      <c r="AR256" s="24" t="str">
        <f>Tabela1[[#This Row],[PEDIDO]]&amp;Tabela1[[#This Row],[PRODUTO]]</f>
        <v>P-188RMF</v>
      </c>
      <c r="AS256" s="37">
        <f>IF(AF256="",0,IF(ISTEXT(AF256),H256*VALUE(SUBSTITUTE(AF256,"%",""))/100,H256*AF256))-Tabela1[[#This Row],[PRONTO ACABADO2]]</f>
        <v>0</v>
      </c>
      <c r="AT256" s="37">
        <f>IF(AG256="",0,IF(ISTEXT(AG256),H256*VALUE(SUBSTITUTE(AG256,"%",""))/100,H256*AG256))-Tabela1[[#This Row],[PESO EXPEDIDO2]]</f>
        <v>0</v>
      </c>
      <c r="AU256" s="37">
        <f t="shared" si="46"/>
        <v>0</v>
      </c>
      <c r="AV256" s="37">
        <f t="shared" si="47"/>
        <v>0</v>
      </c>
      <c r="AW256" s="37"/>
    </row>
    <row r="257" spans="1:49" ht="15.75" customHeight="1" x14ac:dyDescent="0.25">
      <c r="A257" s="6" t="s">
        <v>3886</v>
      </c>
      <c r="B257" s="21" t="s">
        <v>3887</v>
      </c>
      <c r="C257" s="7">
        <v>1</v>
      </c>
      <c r="D257" s="39" t="s">
        <v>3888</v>
      </c>
      <c r="E257" s="7">
        <v>4142</v>
      </c>
      <c r="F257" s="7" t="s">
        <v>3889</v>
      </c>
      <c r="G257" s="23">
        <v>638</v>
      </c>
      <c r="H257" s="34">
        <f>Tabela1[[#This Row],[PESO UNI]]*Tabela1[[#This Row],[QTE]]</f>
        <v>638</v>
      </c>
      <c r="I257" s="7">
        <v>3</v>
      </c>
      <c r="J257" s="8" t="s">
        <v>2276</v>
      </c>
      <c r="K257" s="8" t="s">
        <v>327</v>
      </c>
      <c r="L257" s="9" t="s">
        <v>2069</v>
      </c>
      <c r="M257" s="10">
        <v>46192</v>
      </c>
      <c r="N257" s="8" t="s">
        <v>327</v>
      </c>
      <c r="O257" s="12"/>
      <c r="P257" s="13"/>
      <c r="Q257" s="14">
        <f>Tabela1[[#This Row],[QTDE/ Fabricação]]-Tabela1[[#This Row],[QTE]]</f>
        <v>-1</v>
      </c>
      <c r="R257" s="18">
        <f t="shared" si="43"/>
        <v>577.39</v>
      </c>
      <c r="S257" s="18">
        <f t="shared" si="49"/>
        <v>0</v>
      </c>
      <c r="T257" s="19">
        <f t="shared" si="44"/>
        <v>-638</v>
      </c>
      <c r="U257" s="16">
        <f>IFERROR(SUMIF('LISTA DE EMBARQUE'!B:B,MICRO!E:E,'LISTA DE EMBARQUE'!G:G),"")</f>
        <v>0</v>
      </c>
      <c r="V257" s="12" t="str">
        <f>IFERROR(VLOOKUP(Tabela1[[#This Row],[COD.MDE]],'LISTA DE EMBARQUE'!B:L,11,0),"")</f>
        <v/>
      </c>
      <c r="W257" s="13" t="str">
        <f>IFERROR(VLOOKUP(Tabela1[[#This Row],[COD.MDE]],'LISTA DE EMBARQUE'!B:M,12,0),"")</f>
        <v/>
      </c>
      <c r="X257" s="14">
        <f>IFERROR(Tabela1[[#This Row],[QIANTIDADE EXPEDIDA]]*Tabela1[[#This Row],[PESO UNI]],"")</f>
        <v>0</v>
      </c>
      <c r="Y257" s="14">
        <f t="shared" si="48"/>
        <v>-1</v>
      </c>
      <c r="Z257" s="20">
        <f>Tabela1[[#This Row],[PESO TOTAL]]-Tabela1[[#This Row],[Peso Expedido]]</f>
        <v>638</v>
      </c>
      <c r="AA257" s="17">
        <v>1</v>
      </c>
      <c r="AB257" s="33"/>
      <c r="AC257" s="33">
        <v>1</v>
      </c>
      <c r="AD257" s="33">
        <v>0.9</v>
      </c>
      <c r="AE257" s="33">
        <v>0.9</v>
      </c>
      <c r="AF257" s="33">
        <v>0</v>
      </c>
      <c r="AG257" s="33">
        <v>0</v>
      </c>
      <c r="AH257" s="33"/>
      <c r="AI257" s="33" t="str">
        <f t="shared" si="45"/>
        <v/>
      </c>
      <c r="AJ257" s="5"/>
      <c r="AK257" t="str">
        <f>Tabela1[[#This Row],[Coluna1]]&amp;Tabela1[[#This Row],[PEDIDO]]</f>
        <v>P-188</v>
      </c>
      <c r="AL257"/>
      <c r="AM257"/>
      <c r="AN257"/>
      <c r="AO257" t="str">
        <f t="shared" si="42"/>
        <v>T-072979-1/1073-TC-007</v>
      </c>
      <c r="AP257" t="str">
        <f>Tabela1[[#This Row],[TAG]]&amp;Tabela1[[#This Row],[PEDIDO]]&amp;Tabela1[[#This Row],[PRODUTO]]</f>
        <v>1073-TC-007P-188RMF</v>
      </c>
      <c r="AQ257" s="22" t="str">
        <f>Tabela1[[#This Row],[PRODUTO]]&amp;Tabela1[[#This Row],[TAG]]</f>
        <v>RMF1073-TC-007</v>
      </c>
      <c r="AR257" s="24" t="str">
        <f>Tabela1[[#This Row],[PEDIDO]]&amp;Tabela1[[#This Row],[PRODUTO]]</f>
        <v>P-188RMF</v>
      </c>
      <c r="AS257" s="37">
        <f>IF(AF257="",0,IF(ISTEXT(AF257),H257*VALUE(SUBSTITUTE(AF257,"%",""))/100,H257*AF257))-Tabela1[[#This Row],[PRONTO ACABADO2]]</f>
        <v>0</v>
      </c>
      <c r="AT257" s="37">
        <f>IF(AG257="",0,IF(ISTEXT(AG257),H257*VALUE(SUBSTITUTE(AG257,"%",""))/100,H257*AG257))-Tabela1[[#This Row],[PESO EXPEDIDO2]]</f>
        <v>0</v>
      </c>
      <c r="AU257" s="37">
        <f t="shared" si="46"/>
        <v>0</v>
      </c>
      <c r="AV257" s="37">
        <f t="shared" si="47"/>
        <v>0</v>
      </c>
      <c r="AW257" s="37"/>
    </row>
    <row r="258" spans="1:49" ht="15.75" customHeight="1" x14ac:dyDescent="0.25">
      <c r="A258" s="6" t="s">
        <v>3886</v>
      </c>
      <c r="B258" s="21" t="s">
        <v>3890</v>
      </c>
      <c r="C258" s="7">
        <v>4</v>
      </c>
      <c r="D258" s="39" t="s">
        <v>3891</v>
      </c>
      <c r="E258" s="7">
        <v>4143</v>
      </c>
      <c r="F258" s="7" t="s">
        <v>3889</v>
      </c>
      <c r="G258" s="23">
        <v>4.5</v>
      </c>
      <c r="H258" s="34">
        <f>Tabela1[[#This Row],[PESO UNI]]*Tabela1[[#This Row],[QTE]]</f>
        <v>18</v>
      </c>
      <c r="I258" s="7">
        <v>3</v>
      </c>
      <c r="J258" s="8" t="s">
        <v>2276</v>
      </c>
      <c r="K258" s="8" t="s">
        <v>327</v>
      </c>
      <c r="L258" s="9" t="s">
        <v>2069</v>
      </c>
      <c r="M258" s="10">
        <v>46192</v>
      </c>
      <c r="N258" s="8" t="s">
        <v>327</v>
      </c>
      <c r="O258" s="12"/>
      <c r="P258" s="13"/>
      <c r="Q258" s="14">
        <f>Tabela1[[#This Row],[QTDE/ Fabricação]]-Tabela1[[#This Row],[QTE]]</f>
        <v>-4</v>
      </c>
      <c r="R258" s="18">
        <f t="shared" si="43"/>
        <v>16.29</v>
      </c>
      <c r="S258" s="18">
        <f t="shared" si="49"/>
        <v>0</v>
      </c>
      <c r="T258" s="19">
        <f t="shared" si="44"/>
        <v>-18</v>
      </c>
      <c r="U258" s="16">
        <f>IFERROR(SUMIF('LISTA DE EMBARQUE'!B:B,MICRO!E:E,'LISTA DE EMBARQUE'!G:G),"")</f>
        <v>0</v>
      </c>
      <c r="V258" s="12" t="str">
        <f>IFERROR(VLOOKUP(Tabela1[[#This Row],[COD.MDE]],'LISTA DE EMBARQUE'!B:L,11,0),"")</f>
        <v/>
      </c>
      <c r="W258" s="13" t="str">
        <f>IFERROR(VLOOKUP(Tabela1[[#This Row],[COD.MDE]],'LISTA DE EMBARQUE'!B:M,12,0),"")</f>
        <v/>
      </c>
      <c r="X258" s="14">
        <f>IFERROR(Tabela1[[#This Row],[QIANTIDADE EXPEDIDA]]*Tabela1[[#This Row],[PESO UNI]],"")</f>
        <v>0</v>
      </c>
      <c r="Y258" s="14">
        <f t="shared" si="48"/>
        <v>-4</v>
      </c>
      <c r="Z258" s="20">
        <f>Tabela1[[#This Row],[PESO TOTAL]]-Tabela1[[#This Row],[Peso Expedido]]</f>
        <v>18</v>
      </c>
      <c r="AA258" s="17">
        <v>1</v>
      </c>
      <c r="AB258" s="33"/>
      <c r="AC258" s="33">
        <v>1</v>
      </c>
      <c r="AD258" s="33">
        <v>0.9</v>
      </c>
      <c r="AE258" s="33">
        <v>0.9</v>
      </c>
      <c r="AF258" s="33">
        <v>0</v>
      </c>
      <c r="AG258" s="33">
        <v>0</v>
      </c>
      <c r="AH258" s="33"/>
      <c r="AI258" s="33" t="str">
        <f t="shared" si="45"/>
        <v/>
      </c>
      <c r="AJ258" s="5"/>
      <c r="AK258" t="str">
        <f>Tabela1[[#This Row],[Coluna1]]&amp;Tabela1[[#This Row],[PEDIDO]]</f>
        <v>P-188</v>
      </c>
      <c r="AL258"/>
      <c r="AM258"/>
      <c r="AN258"/>
      <c r="AO258" t="str">
        <f t="shared" si="42"/>
        <v>T-072979-1/1073-TC-007</v>
      </c>
      <c r="AP258" t="str">
        <f>Tabela1[[#This Row],[TAG]]&amp;Tabela1[[#This Row],[PEDIDO]]&amp;Tabela1[[#This Row],[PRODUTO]]</f>
        <v>1073-TC-007P-188RMF</v>
      </c>
      <c r="AQ258" s="22" t="str">
        <f>Tabela1[[#This Row],[PRODUTO]]&amp;Tabela1[[#This Row],[TAG]]</f>
        <v>RMF1073-TC-007</v>
      </c>
      <c r="AR258" s="24" t="str">
        <f>Tabela1[[#This Row],[PEDIDO]]&amp;Tabela1[[#This Row],[PRODUTO]]</f>
        <v>P-188RMF</v>
      </c>
      <c r="AS258" s="37">
        <f>IF(AF258="",0,IF(ISTEXT(AF258),H258*VALUE(SUBSTITUTE(AF258,"%",""))/100,H258*AF258))-Tabela1[[#This Row],[PRONTO ACABADO2]]</f>
        <v>0</v>
      </c>
      <c r="AT258" s="37">
        <f>IF(AG258="",0,IF(ISTEXT(AG258),H258*VALUE(SUBSTITUTE(AG258,"%",""))/100,H258*AG258))-Tabela1[[#This Row],[PESO EXPEDIDO2]]</f>
        <v>0</v>
      </c>
      <c r="AU258" s="37">
        <f t="shared" si="46"/>
        <v>0</v>
      </c>
      <c r="AV258" s="37">
        <f t="shared" si="47"/>
        <v>0</v>
      </c>
      <c r="AW258" s="37"/>
    </row>
    <row r="259" spans="1:49" ht="15.75" customHeight="1" x14ac:dyDescent="0.25">
      <c r="A259" s="6" t="s">
        <v>3886</v>
      </c>
      <c r="B259" s="21" t="s">
        <v>3892</v>
      </c>
      <c r="C259" s="7">
        <v>4</v>
      </c>
      <c r="D259" s="39" t="s">
        <v>3893</v>
      </c>
      <c r="E259" s="7">
        <v>4144</v>
      </c>
      <c r="F259" s="7" t="s">
        <v>3889</v>
      </c>
      <c r="G259" s="23">
        <v>5.8</v>
      </c>
      <c r="H259" s="34">
        <f>Tabela1[[#This Row],[PESO UNI]]*Tabela1[[#This Row],[QTE]]</f>
        <v>23.2</v>
      </c>
      <c r="I259" s="7">
        <v>3</v>
      </c>
      <c r="J259" s="8" t="s">
        <v>2276</v>
      </c>
      <c r="K259" s="8" t="s">
        <v>327</v>
      </c>
      <c r="L259" s="9" t="s">
        <v>2069</v>
      </c>
      <c r="M259" s="10">
        <v>46192</v>
      </c>
      <c r="N259" s="8" t="s">
        <v>327</v>
      </c>
      <c r="O259" s="12"/>
      <c r="P259" s="13"/>
      <c r="Q259" s="14">
        <f>Tabela1[[#This Row],[QTDE/ Fabricação]]-Tabela1[[#This Row],[QTE]]</f>
        <v>-4</v>
      </c>
      <c r="R259" s="18">
        <f t="shared" si="43"/>
        <v>20.995999999999999</v>
      </c>
      <c r="S259" s="18">
        <f t="shared" si="49"/>
        <v>0</v>
      </c>
      <c r="T259" s="19">
        <f t="shared" si="44"/>
        <v>-23.2</v>
      </c>
      <c r="U259" s="16">
        <f>IFERROR(SUMIF('LISTA DE EMBARQUE'!B:B,MICRO!E:E,'LISTA DE EMBARQUE'!G:G),"")</f>
        <v>0</v>
      </c>
      <c r="V259" s="12" t="str">
        <f>IFERROR(VLOOKUP(Tabela1[[#This Row],[COD.MDE]],'LISTA DE EMBARQUE'!B:L,11,0),"")</f>
        <v/>
      </c>
      <c r="W259" s="13" t="str">
        <f>IFERROR(VLOOKUP(Tabela1[[#This Row],[COD.MDE]],'LISTA DE EMBARQUE'!B:M,12,0),"")</f>
        <v/>
      </c>
      <c r="X259" s="14">
        <f>IFERROR(Tabela1[[#This Row],[QIANTIDADE EXPEDIDA]]*Tabela1[[#This Row],[PESO UNI]],"")</f>
        <v>0</v>
      </c>
      <c r="Y259" s="14">
        <f t="shared" si="48"/>
        <v>-4</v>
      </c>
      <c r="Z259" s="20">
        <f>Tabela1[[#This Row],[PESO TOTAL]]-Tabela1[[#This Row],[Peso Expedido]]</f>
        <v>23.2</v>
      </c>
      <c r="AA259" s="17">
        <v>1</v>
      </c>
      <c r="AB259" s="33"/>
      <c r="AC259" s="33">
        <v>1</v>
      </c>
      <c r="AD259" s="33">
        <v>0.9</v>
      </c>
      <c r="AE259" s="33">
        <v>0.9</v>
      </c>
      <c r="AF259" s="33">
        <v>0</v>
      </c>
      <c r="AG259" s="33">
        <v>0</v>
      </c>
      <c r="AH259" s="33"/>
      <c r="AI259" s="33" t="str">
        <f t="shared" si="45"/>
        <v/>
      </c>
      <c r="AJ259" s="5"/>
      <c r="AK259" t="str">
        <f>Tabela1[[#This Row],[Coluna1]]&amp;Tabela1[[#This Row],[PEDIDO]]</f>
        <v>P-188</v>
      </c>
      <c r="AL259"/>
      <c r="AM259"/>
      <c r="AN259"/>
      <c r="AO259" t="str">
        <f t="shared" si="42"/>
        <v>T-072979-1/1073-TC-007</v>
      </c>
      <c r="AP259" t="str">
        <f>Tabela1[[#This Row],[TAG]]&amp;Tabela1[[#This Row],[PEDIDO]]&amp;Tabela1[[#This Row],[PRODUTO]]</f>
        <v>1073-TC-007P-188RMF</v>
      </c>
      <c r="AQ259" s="22" t="str">
        <f>Tabela1[[#This Row],[PRODUTO]]&amp;Tabela1[[#This Row],[TAG]]</f>
        <v>RMF1073-TC-007</v>
      </c>
      <c r="AR259" s="24" t="str">
        <f>Tabela1[[#This Row],[PEDIDO]]&amp;Tabela1[[#This Row],[PRODUTO]]</f>
        <v>P-188RMF</v>
      </c>
      <c r="AS259" s="37">
        <f>IF(AF259="",0,IF(ISTEXT(AF259),H259*VALUE(SUBSTITUTE(AF259,"%",""))/100,H259*AF259))-Tabela1[[#This Row],[PRONTO ACABADO2]]</f>
        <v>0</v>
      </c>
      <c r="AT259" s="37">
        <f>IF(AG259="",0,IF(ISTEXT(AG259),H259*VALUE(SUBSTITUTE(AG259,"%",""))/100,H259*AG259))-Tabela1[[#This Row],[PESO EXPEDIDO2]]</f>
        <v>0</v>
      </c>
      <c r="AU259" s="37">
        <f t="shared" si="46"/>
        <v>0</v>
      </c>
      <c r="AV259" s="37">
        <f t="shared" si="47"/>
        <v>0</v>
      </c>
      <c r="AW259" s="37"/>
    </row>
    <row r="260" spans="1:49" ht="15.75" customHeight="1" x14ac:dyDescent="0.25">
      <c r="A260" s="6" t="s">
        <v>3886</v>
      </c>
      <c r="B260" s="21" t="s">
        <v>3894</v>
      </c>
      <c r="C260" s="7">
        <v>8</v>
      </c>
      <c r="D260" s="39" t="s">
        <v>3895</v>
      </c>
      <c r="E260" s="7">
        <v>4145</v>
      </c>
      <c r="F260" s="7" t="s">
        <v>3889</v>
      </c>
      <c r="G260" s="23">
        <v>0.1</v>
      </c>
      <c r="H260" s="34">
        <f>Tabela1[[#This Row],[PESO UNI]]*Tabela1[[#This Row],[QTE]]</f>
        <v>0.8</v>
      </c>
      <c r="I260" s="7">
        <v>3</v>
      </c>
      <c r="J260" s="8" t="s">
        <v>2276</v>
      </c>
      <c r="K260" s="8" t="s">
        <v>327</v>
      </c>
      <c r="L260" s="9" t="s">
        <v>2069</v>
      </c>
      <c r="M260" s="10">
        <v>46192</v>
      </c>
      <c r="N260" s="8" t="s">
        <v>327</v>
      </c>
      <c r="O260" s="12"/>
      <c r="P260" s="13"/>
      <c r="Q260" s="14">
        <f>Tabela1[[#This Row],[QTDE/ Fabricação]]-Tabela1[[#This Row],[QTE]]</f>
        <v>-8</v>
      </c>
      <c r="R260" s="18">
        <f t="shared" si="43"/>
        <v>0.57999999999999996</v>
      </c>
      <c r="S260" s="18">
        <f t="shared" si="49"/>
        <v>0</v>
      </c>
      <c r="T260" s="19">
        <f t="shared" si="44"/>
        <v>-0.8</v>
      </c>
      <c r="U260" s="16">
        <f>IFERROR(SUMIF('LISTA DE EMBARQUE'!B:B,MICRO!E:E,'LISTA DE EMBARQUE'!G:G),"")</f>
        <v>0</v>
      </c>
      <c r="V260" s="12" t="str">
        <f>IFERROR(VLOOKUP(Tabela1[[#This Row],[COD.MDE]],'LISTA DE EMBARQUE'!B:L,11,0),"")</f>
        <v/>
      </c>
      <c r="W260" s="13" t="str">
        <f>IFERROR(VLOOKUP(Tabela1[[#This Row],[COD.MDE]],'LISTA DE EMBARQUE'!B:M,12,0),"")</f>
        <v/>
      </c>
      <c r="X260" s="14">
        <f>IFERROR(Tabela1[[#This Row],[QIANTIDADE EXPEDIDA]]*Tabela1[[#This Row],[PESO UNI]],"")</f>
        <v>0</v>
      </c>
      <c r="Y260" s="14">
        <f t="shared" si="48"/>
        <v>-8</v>
      </c>
      <c r="Z260" s="20">
        <f>Tabela1[[#This Row],[PESO TOTAL]]-Tabela1[[#This Row],[Peso Expedido]]</f>
        <v>0.8</v>
      </c>
      <c r="AA260" s="17">
        <v>1</v>
      </c>
      <c r="AB260" s="33"/>
      <c r="AC260" s="33">
        <v>1</v>
      </c>
      <c r="AD260" s="33">
        <v>1</v>
      </c>
      <c r="AE260" s="33">
        <v>0</v>
      </c>
      <c r="AF260" s="33">
        <v>0</v>
      </c>
      <c r="AG260" s="33">
        <v>0</v>
      </c>
      <c r="AH260" s="33"/>
      <c r="AI260" s="33" t="str">
        <f t="shared" si="45"/>
        <v/>
      </c>
      <c r="AJ260" s="5"/>
      <c r="AK260" t="str">
        <f>Tabela1[[#This Row],[Coluna1]]&amp;Tabela1[[#This Row],[PEDIDO]]</f>
        <v>P-188</v>
      </c>
      <c r="AL260"/>
      <c r="AM260"/>
      <c r="AN260"/>
      <c r="AO260" t="str">
        <f t="shared" si="42"/>
        <v>T-072979-1/1073-TC-007</v>
      </c>
      <c r="AP260" t="str">
        <f>Tabela1[[#This Row],[TAG]]&amp;Tabela1[[#This Row],[PEDIDO]]&amp;Tabela1[[#This Row],[PRODUTO]]</f>
        <v>1073-TC-007P-188RMF</v>
      </c>
      <c r="AQ260" s="22" t="str">
        <f>Tabela1[[#This Row],[PRODUTO]]&amp;Tabela1[[#This Row],[TAG]]</f>
        <v>RMF1073-TC-007</v>
      </c>
      <c r="AR260" s="24" t="str">
        <f>Tabela1[[#This Row],[PEDIDO]]&amp;Tabela1[[#This Row],[PRODUTO]]</f>
        <v>P-188RMF</v>
      </c>
      <c r="AS260" s="37">
        <f>IF(AF260="",0,IF(ISTEXT(AF260),H260*VALUE(SUBSTITUTE(AF260,"%",""))/100,H260*AF260))-Tabela1[[#This Row],[PRONTO ACABADO2]]</f>
        <v>0</v>
      </c>
      <c r="AT260" s="37">
        <f>IF(AG260="",0,IF(ISTEXT(AG260),H260*VALUE(SUBSTITUTE(AG260,"%",""))/100,H260*AG260))-Tabela1[[#This Row],[PESO EXPEDIDO2]]</f>
        <v>0</v>
      </c>
      <c r="AU260" s="37">
        <f t="shared" si="46"/>
        <v>0</v>
      </c>
      <c r="AV260" s="37">
        <f t="shared" si="47"/>
        <v>0</v>
      </c>
      <c r="AW260" s="37"/>
    </row>
    <row r="261" spans="1:49" ht="15.75" customHeight="1" x14ac:dyDescent="0.25">
      <c r="A261" s="6" t="s">
        <v>3886</v>
      </c>
      <c r="B261" s="21" t="s">
        <v>3896</v>
      </c>
      <c r="C261" s="7">
        <v>8</v>
      </c>
      <c r="D261" s="39" t="s">
        <v>3897</v>
      </c>
      <c r="E261" s="7">
        <v>4146</v>
      </c>
      <c r="F261" s="7" t="s">
        <v>3889</v>
      </c>
      <c r="G261" s="23">
        <v>0.1</v>
      </c>
      <c r="H261" s="34">
        <f>Tabela1[[#This Row],[PESO UNI]]*Tabela1[[#This Row],[QTE]]</f>
        <v>0.8</v>
      </c>
      <c r="I261" s="7">
        <v>3</v>
      </c>
      <c r="J261" s="8" t="s">
        <v>2276</v>
      </c>
      <c r="K261" s="8" t="s">
        <v>327</v>
      </c>
      <c r="L261" s="9" t="s">
        <v>2069</v>
      </c>
      <c r="M261" s="10">
        <v>46192</v>
      </c>
      <c r="N261" s="8" t="s">
        <v>327</v>
      </c>
      <c r="O261" s="12"/>
      <c r="P261" s="13"/>
      <c r="Q261" s="14">
        <f>Tabela1[[#This Row],[QTDE/ Fabricação]]-Tabela1[[#This Row],[QTE]]</f>
        <v>-8</v>
      </c>
      <c r="R261" s="18">
        <f t="shared" si="43"/>
        <v>0.4</v>
      </c>
      <c r="S261" s="18">
        <f t="shared" si="49"/>
        <v>0</v>
      </c>
      <c r="T261" s="19">
        <f t="shared" si="44"/>
        <v>-0.8</v>
      </c>
      <c r="U261" s="16">
        <f>IFERROR(SUMIF('LISTA DE EMBARQUE'!B:B,MICRO!E:E,'LISTA DE EMBARQUE'!G:G),"")</f>
        <v>0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>IFERROR(Tabela1[[#This Row],[QIANTIDADE EXPEDIDA]]*Tabela1[[#This Row],[PESO UNI]],"")</f>
        <v>0</v>
      </c>
      <c r="Y261" s="14">
        <f t="shared" si="48"/>
        <v>-8</v>
      </c>
      <c r="Z261" s="20">
        <f>Tabela1[[#This Row],[PESO TOTAL]]-Tabela1[[#This Row],[Peso Expedido]]</f>
        <v>0.8</v>
      </c>
      <c r="AA261" s="17">
        <v>1</v>
      </c>
      <c r="AB261" s="33"/>
      <c r="AC261" s="33">
        <v>1</v>
      </c>
      <c r="AD261" s="33">
        <v>0</v>
      </c>
      <c r="AE261" s="33">
        <v>0</v>
      </c>
      <c r="AF261" s="33">
        <v>0</v>
      </c>
      <c r="AG261" s="33">
        <v>0</v>
      </c>
      <c r="AH261" s="33"/>
      <c r="AI261" s="33" t="str">
        <f t="shared" si="45"/>
        <v/>
      </c>
      <c r="AJ261" s="5"/>
      <c r="AK261" t="str">
        <f>Tabela1[[#This Row],[Coluna1]]&amp;Tabela1[[#This Row],[PEDIDO]]</f>
        <v>P-188</v>
      </c>
      <c r="AL261"/>
      <c r="AM261"/>
      <c r="AN261"/>
      <c r="AO261" t="str">
        <f t="shared" ref="AO261:AO324" si="50">A261&amp;"/"&amp;J261</f>
        <v>T-072979-1/1073-TC-007</v>
      </c>
      <c r="AP261" t="str">
        <f>Tabela1[[#This Row],[TAG]]&amp;Tabela1[[#This Row],[PEDIDO]]&amp;Tabela1[[#This Row],[PRODUTO]]</f>
        <v>1073-TC-007P-188RMF</v>
      </c>
      <c r="AQ261" s="22" t="str">
        <f>Tabela1[[#This Row],[PRODUTO]]&amp;Tabela1[[#This Row],[TAG]]</f>
        <v>RMF1073-TC-007</v>
      </c>
      <c r="AR261" s="24" t="str">
        <f>Tabela1[[#This Row],[PEDIDO]]&amp;Tabela1[[#This Row],[PRODUTO]]</f>
        <v>P-188RMF</v>
      </c>
      <c r="AS261" s="37">
        <f>IF(AF261="",0,IF(ISTEXT(AF261),H261*VALUE(SUBSTITUTE(AF261,"%",""))/100,H261*AF261))-Tabela1[[#This Row],[PRONTO ACABADO2]]</f>
        <v>0</v>
      </c>
      <c r="AT261" s="37">
        <f>IF(AG261="",0,IF(ISTEXT(AG261),H261*VALUE(SUBSTITUTE(AG261,"%",""))/100,H261*AG261))-Tabela1[[#This Row],[PESO EXPEDIDO2]]</f>
        <v>0</v>
      </c>
      <c r="AU261" s="37">
        <f t="shared" si="46"/>
        <v>0</v>
      </c>
      <c r="AV261" s="37">
        <f t="shared" si="47"/>
        <v>0</v>
      </c>
      <c r="AW261" s="37"/>
    </row>
    <row r="262" spans="1:49" ht="15.75" customHeight="1" x14ac:dyDescent="0.25">
      <c r="A262" s="6" t="s">
        <v>3886</v>
      </c>
      <c r="B262" s="21" t="s">
        <v>3898</v>
      </c>
      <c r="C262" s="7">
        <v>4</v>
      </c>
      <c r="D262" s="39" t="s">
        <v>3897</v>
      </c>
      <c r="E262" s="7">
        <v>4147</v>
      </c>
      <c r="F262" s="7" t="s">
        <v>3889</v>
      </c>
      <c r="G262" s="23">
        <v>0.1</v>
      </c>
      <c r="H262" s="34">
        <f>Tabela1[[#This Row],[PESO UNI]]*Tabela1[[#This Row],[QTE]]</f>
        <v>0.4</v>
      </c>
      <c r="I262" s="7">
        <v>3</v>
      </c>
      <c r="J262" s="8" t="s">
        <v>2276</v>
      </c>
      <c r="K262" s="8" t="s">
        <v>327</v>
      </c>
      <c r="L262" s="9" t="s">
        <v>2069</v>
      </c>
      <c r="M262" s="10">
        <v>46192</v>
      </c>
      <c r="N262" s="8" t="s">
        <v>327</v>
      </c>
      <c r="O262" s="12"/>
      <c r="P262" s="13"/>
      <c r="Q262" s="14">
        <f>Tabela1[[#This Row],[QTDE/ Fabricação]]-Tabela1[[#This Row],[QTE]]</f>
        <v>-4</v>
      </c>
      <c r="R262" s="18">
        <f t="shared" si="43"/>
        <v>0.2</v>
      </c>
      <c r="S262" s="18">
        <f t="shared" si="49"/>
        <v>0</v>
      </c>
      <c r="T262" s="19">
        <f t="shared" si="44"/>
        <v>-0.4</v>
      </c>
      <c r="U262" s="16">
        <f>IFERROR(SUMIF('LISTA DE EMBARQUE'!B:B,MICRO!E:E,'LISTA DE EMBARQUE'!G:G),"")</f>
        <v>0</v>
      </c>
      <c r="V262" s="12" t="str">
        <f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>IFERROR(Tabela1[[#This Row],[QIANTIDADE EXPEDIDA]]*Tabela1[[#This Row],[PESO UNI]],"")</f>
        <v>0</v>
      </c>
      <c r="Y262" s="14">
        <f t="shared" si="48"/>
        <v>-4</v>
      </c>
      <c r="Z262" s="20">
        <f>Tabela1[[#This Row],[PESO TOTAL]]-Tabela1[[#This Row],[Peso Expedido]]</f>
        <v>0.4</v>
      </c>
      <c r="AA262" s="17">
        <v>1</v>
      </c>
      <c r="AB262" s="33"/>
      <c r="AC262" s="33">
        <v>1</v>
      </c>
      <c r="AD262" s="33">
        <v>0</v>
      </c>
      <c r="AE262" s="33">
        <v>0</v>
      </c>
      <c r="AF262" s="33">
        <v>0</v>
      </c>
      <c r="AG262" s="33">
        <v>0</v>
      </c>
      <c r="AH262" s="33"/>
      <c r="AI262" s="33" t="str">
        <f t="shared" si="45"/>
        <v/>
      </c>
      <c r="AJ262" s="5"/>
      <c r="AK262" t="str">
        <f>Tabela1[[#This Row],[Coluna1]]&amp;Tabela1[[#This Row],[PEDIDO]]</f>
        <v>P-188</v>
      </c>
      <c r="AL262"/>
      <c r="AM262"/>
      <c r="AN262"/>
      <c r="AO262" t="str">
        <f t="shared" si="50"/>
        <v>T-072979-1/1073-TC-007</v>
      </c>
      <c r="AP262" t="str">
        <f>Tabela1[[#This Row],[TAG]]&amp;Tabela1[[#This Row],[PEDIDO]]&amp;Tabela1[[#This Row],[PRODUTO]]</f>
        <v>1073-TC-007P-188RMF</v>
      </c>
      <c r="AQ262" s="22" t="str">
        <f>Tabela1[[#This Row],[PRODUTO]]&amp;Tabela1[[#This Row],[TAG]]</f>
        <v>RMF1073-TC-007</v>
      </c>
      <c r="AR262" s="24" t="str">
        <f>Tabela1[[#This Row],[PEDIDO]]&amp;Tabela1[[#This Row],[PRODUTO]]</f>
        <v>P-188RMF</v>
      </c>
      <c r="AS262" s="37">
        <f>IF(AF262="",0,IF(ISTEXT(AF262),H262*VALUE(SUBSTITUTE(AF262,"%",""))/100,H262*AF262))-Tabela1[[#This Row],[PRONTO ACABADO2]]</f>
        <v>0</v>
      </c>
      <c r="AT262" s="37">
        <f>IF(AG262="",0,IF(ISTEXT(AG262),H262*VALUE(SUBSTITUTE(AG262,"%",""))/100,H262*AG262))-Tabela1[[#This Row],[PESO EXPEDIDO2]]</f>
        <v>0</v>
      </c>
      <c r="AU262" s="37">
        <f t="shared" si="46"/>
        <v>0</v>
      </c>
      <c r="AV262" s="37">
        <f t="shared" si="47"/>
        <v>0</v>
      </c>
      <c r="AW262" s="37"/>
    </row>
    <row r="263" spans="1:49" ht="15.75" customHeight="1" x14ac:dyDescent="0.25">
      <c r="A263" s="6" t="s">
        <v>3886</v>
      </c>
      <c r="B263" s="21" t="s">
        <v>3899</v>
      </c>
      <c r="C263" s="7">
        <v>4</v>
      </c>
      <c r="D263" s="39" t="s">
        <v>3897</v>
      </c>
      <c r="E263" s="7">
        <v>4148</v>
      </c>
      <c r="F263" s="7" t="s">
        <v>3889</v>
      </c>
      <c r="G263" s="23">
        <v>0.1</v>
      </c>
      <c r="H263" s="34">
        <f>Tabela1[[#This Row],[PESO UNI]]*Tabela1[[#This Row],[QTE]]</f>
        <v>0.4</v>
      </c>
      <c r="I263" s="7">
        <v>3</v>
      </c>
      <c r="J263" s="8" t="s">
        <v>2274</v>
      </c>
      <c r="K263" s="8" t="s">
        <v>327</v>
      </c>
      <c r="L263" s="9" t="s">
        <v>2069</v>
      </c>
      <c r="M263" s="10">
        <v>46192</v>
      </c>
      <c r="N263" s="8" t="s">
        <v>327</v>
      </c>
      <c r="O263" s="12"/>
      <c r="P263" s="13"/>
      <c r="Q263" s="14">
        <f>Tabela1[[#This Row],[QTDE/ Fabricação]]-Tabela1[[#This Row],[QTE]]</f>
        <v>-4</v>
      </c>
      <c r="R263" s="18">
        <f t="shared" si="43"/>
        <v>0.2</v>
      </c>
      <c r="S263" s="18">
        <f t="shared" si="49"/>
        <v>0</v>
      </c>
      <c r="T263" s="19">
        <f t="shared" si="44"/>
        <v>-0.4</v>
      </c>
      <c r="U263" s="16">
        <f>IFERROR(SUMIF('LISTA DE EMBARQUE'!B:B,MICRO!E:E,'LISTA DE EMBARQUE'!G:G),"")</f>
        <v>0</v>
      </c>
      <c r="V263" s="12" t="str">
        <f>IFERROR(VLOOKUP(Tabela1[[#This Row],[COD.MDE]],'LISTA DE EMBARQUE'!B:L,11,0),"")</f>
        <v/>
      </c>
      <c r="W263" s="13" t="str">
        <f>IFERROR(VLOOKUP(Tabela1[[#This Row],[COD.MDE]],'LISTA DE EMBARQUE'!B:M,12,0),"")</f>
        <v/>
      </c>
      <c r="X263" s="14">
        <f>IFERROR(Tabela1[[#This Row],[QIANTIDADE EXPEDIDA]]*Tabela1[[#This Row],[PESO UNI]],"")</f>
        <v>0</v>
      </c>
      <c r="Y263" s="14">
        <f t="shared" si="48"/>
        <v>-4</v>
      </c>
      <c r="Z263" s="20">
        <f>Tabela1[[#This Row],[PESO TOTAL]]-Tabela1[[#This Row],[Peso Expedido]]</f>
        <v>0.4</v>
      </c>
      <c r="AA263" s="17">
        <v>1</v>
      </c>
      <c r="AB263" s="33"/>
      <c r="AC263" s="33">
        <v>1</v>
      </c>
      <c r="AD263" s="33">
        <v>0</v>
      </c>
      <c r="AE263" s="33">
        <v>0</v>
      </c>
      <c r="AF263" s="33">
        <v>0</v>
      </c>
      <c r="AG263" s="33">
        <v>0</v>
      </c>
      <c r="AH263" s="33"/>
      <c r="AI263" s="33" t="str">
        <f t="shared" si="45"/>
        <v/>
      </c>
      <c r="AJ263" s="5"/>
      <c r="AK263" t="str">
        <f>Tabela1[[#This Row],[Coluna1]]&amp;Tabela1[[#This Row],[PEDIDO]]</f>
        <v>P-188</v>
      </c>
      <c r="AL263"/>
      <c r="AM263"/>
      <c r="AN263"/>
      <c r="AO263" t="str">
        <f t="shared" si="50"/>
        <v>T-072979-1/1073-TC-006</v>
      </c>
      <c r="AP263" t="str">
        <f>Tabela1[[#This Row],[TAG]]&amp;Tabela1[[#This Row],[PEDIDO]]&amp;Tabela1[[#This Row],[PRODUTO]]</f>
        <v>1073-TC-006P-188RMF</v>
      </c>
      <c r="AQ263" s="22" t="str">
        <f>Tabela1[[#This Row],[PRODUTO]]&amp;Tabela1[[#This Row],[TAG]]</f>
        <v>RMF1073-TC-006</v>
      </c>
      <c r="AR263" s="24" t="str">
        <f>Tabela1[[#This Row],[PEDIDO]]&amp;Tabela1[[#This Row],[PRODUTO]]</f>
        <v>P-188RMF</v>
      </c>
      <c r="AS263" s="37">
        <f>IF(AF263="",0,IF(ISTEXT(AF263),H263*VALUE(SUBSTITUTE(AF263,"%",""))/100,H263*AF263))-Tabela1[[#This Row],[PRONTO ACABADO2]]</f>
        <v>0</v>
      </c>
      <c r="AT263" s="37">
        <f>IF(AG263="",0,IF(ISTEXT(AG263),H263*VALUE(SUBSTITUTE(AG263,"%",""))/100,H263*AG263))-Tabela1[[#This Row],[PESO EXPEDIDO2]]</f>
        <v>0</v>
      </c>
      <c r="AU263" s="37">
        <f t="shared" si="46"/>
        <v>0</v>
      </c>
      <c r="AV263" s="37">
        <f t="shared" si="47"/>
        <v>0</v>
      </c>
      <c r="AW263" s="37"/>
    </row>
    <row r="264" spans="1:49" ht="15.75" customHeight="1" x14ac:dyDescent="0.25">
      <c r="A264" s="6" t="s">
        <v>3900</v>
      </c>
      <c r="B264" s="21" t="s">
        <v>3901</v>
      </c>
      <c r="C264" s="7">
        <v>1</v>
      </c>
      <c r="D264" s="39" t="s">
        <v>3902</v>
      </c>
      <c r="E264" s="7">
        <v>4149</v>
      </c>
      <c r="F264" s="7" t="s">
        <v>3903</v>
      </c>
      <c r="G264" s="23">
        <v>300.39999999999998</v>
      </c>
      <c r="H264" s="34">
        <f>Tabela1[[#This Row],[PESO UNI]]*Tabela1[[#This Row],[QTE]]</f>
        <v>300.39999999999998</v>
      </c>
      <c r="I264" s="7">
        <v>0</v>
      </c>
      <c r="J264" s="8" t="s">
        <v>2274</v>
      </c>
      <c r="K264" s="8" t="s">
        <v>327</v>
      </c>
      <c r="L264" s="9" t="s">
        <v>2069</v>
      </c>
      <c r="M264" s="10">
        <v>46134</v>
      </c>
      <c r="N264" s="8" t="s">
        <v>327</v>
      </c>
      <c r="O264" s="12"/>
      <c r="P264" s="13"/>
      <c r="Q264" s="14">
        <f>Tabela1[[#This Row],[QTDE/ Fabricação]]-Tabela1[[#This Row],[QTE]]</f>
        <v>-1</v>
      </c>
      <c r="R264" s="18">
        <f t="shared" si="43"/>
        <v>300.39999999999998</v>
      </c>
      <c r="S264" s="18">
        <f t="shared" si="49"/>
        <v>300.39999999999998</v>
      </c>
      <c r="T264" s="19">
        <f t="shared" si="44"/>
        <v>0</v>
      </c>
      <c r="U264" s="207">
        <v>1</v>
      </c>
      <c r="V264" s="12" t="str">
        <f>IFERROR(VLOOKUP(Tabela1[[#This Row],[COD.MDE]],'LISTA DE EMBARQUE'!B:L,11,0),"")</f>
        <v/>
      </c>
      <c r="W264" s="13"/>
      <c r="X264" s="14">
        <f>IFERROR(Tabela1[[#This Row],[QIANTIDADE EXPEDIDA]]*Tabela1[[#This Row],[PESO UNI]],"")</f>
        <v>300.39999999999998</v>
      </c>
      <c r="Y264" s="14">
        <f t="shared" si="48"/>
        <v>0</v>
      </c>
      <c r="Z264" s="20">
        <f>Tabela1[[#This Row],[PESO TOTAL]]-Tabela1[[#This Row],[Peso Expedido]]</f>
        <v>0</v>
      </c>
      <c r="AA264" s="17">
        <v>1</v>
      </c>
      <c r="AB264" s="33"/>
      <c r="AC264" s="33">
        <v>1</v>
      </c>
      <c r="AD264" s="33">
        <v>1</v>
      </c>
      <c r="AE264" s="33">
        <v>1</v>
      </c>
      <c r="AF264" s="33">
        <v>1</v>
      </c>
      <c r="AG264" s="33">
        <v>1</v>
      </c>
      <c r="AH264" s="33">
        <v>1</v>
      </c>
      <c r="AI264" s="33" t="str">
        <f t="shared" si="45"/>
        <v>ok</v>
      </c>
      <c r="AJ264" s="5"/>
      <c r="AK264" t="str">
        <f>Tabela1[[#This Row],[Coluna1]]&amp;Tabela1[[#This Row],[PEDIDO]]</f>
        <v>P-188</v>
      </c>
      <c r="AL264"/>
      <c r="AM264"/>
      <c r="AN264"/>
      <c r="AO264" t="str">
        <f t="shared" si="50"/>
        <v>T-072981-1/1073-TC-006</v>
      </c>
      <c r="AP264" t="str">
        <f>Tabela1[[#This Row],[TAG]]&amp;Tabela1[[#This Row],[PEDIDO]]&amp;Tabela1[[#This Row],[PRODUTO]]</f>
        <v>1073-TC-006P-188RMF</v>
      </c>
      <c r="AQ264" s="22" t="str">
        <f>Tabela1[[#This Row],[PRODUTO]]&amp;Tabela1[[#This Row],[TAG]]</f>
        <v>RMF1073-TC-006</v>
      </c>
      <c r="AR264" s="24" t="str">
        <f>Tabela1[[#This Row],[PEDIDO]]&amp;Tabela1[[#This Row],[PRODUTO]]</f>
        <v>P-188RMF</v>
      </c>
      <c r="AS264" s="37">
        <f>IF(AF264="",0,IF(ISTEXT(AF264),H264*VALUE(SUBSTITUTE(AF264,"%",""))/100,H264*AF264))-Tabela1[[#This Row],[PRONTO ACABADO2]]</f>
        <v>0</v>
      </c>
      <c r="AT264" s="37">
        <f>IF(AG264="",0,IF(ISTEXT(AG264),H264*VALUE(SUBSTITUTE(AG264,"%",""))/100,H264*AG264))-Tabela1[[#This Row],[PESO EXPEDIDO2]]</f>
        <v>0</v>
      </c>
      <c r="AU264" s="37">
        <f t="shared" si="46"/>
        <v>300.39999999999998</v>
      </c>
      <c r="AV264" s="37">
        <f t="shared" si="47"/>
        <v>300.39999999999998</v>
      </c>
      <c r="AW264" s="37"/>
    </row>
    <row r="265" spans="1:49" ht="15.75" customHeight="1" x14ac:dyDescent="0.25">
      <c r="A265" s="6" t="s">
        <v>3900</v>
      </c>
      <c r="B265" s="21" t="s">
        <v>3901</v>
      </c>
      <c r="C265" s="7">
        <v>1</v>
      </c>
      <c r="D265" s="39" t="s">
        <v>3902</v>
      </c>
      <c r="E265" s="7">
        <v>4150</v>
      </c>
      <c r="F265" s="7" t="s">
        <v>3903</v>
      </c>
      <c r="G265" s="23">
        <v>300.39999999999998</v>
      </c>
      <c r="H265" s="34">
        <f>Tabela1[[#This Row],[PESO UNI]]*Tabela1[[#This Row],[QTE]]</f>
        <v>300.39999999999998</v>
      </c>
      <c r="I265" s="7">
        <v>0</v>
      </c>
      <c r="J265" s="8" t="s">
        <v>2276</v>
      </c>
      <c r="K265" s="8" t="s">
        <v>327</v>
      </c>
      <c r="L265" s="9" t="s">
        <v>2069</v>
      </c>
      <c r="M265" s="10">
        <v>46134</v>
      </c>
      <c r="N265" s="8" t="s">
        <v>327</v>
      </c>
      <c r="O265" s="12"/>
      <c r="P265" s="13"/>
      <c r="Q265" s="14">
        <f>Tabela1[[#This Row],[QTDE/ Fabricação]]-Tabela1[[#This Row],[QTE]]</f>
        <v>-1</v>
      </c>
      <c r="R265" s="18">
        <f t="shared" si="43"/>
        <v>300.39999999999998</v>
      </c>
      <c r="S265" s="18">
        <f t="shared" si="49"/>
        <v>300.39999999999998</v>
      </c>
      <c r="T265" s="19">
        <f t="shared" si="44"/>
        <v>0</v>
      </c>
      <c r="U265" s="207">
        <v>1</v>
      </c>
      <c r="V265" s="12" t="str">
        <f>IFERROR(VLOOKUP(Tabela1[[#This Row],[COD.MDE]],'LISTA DE EMBARQUE'!B:L,11,0),"")</f>
        <v/>
      </c>
      <c r="W265" s="13"/>
      <c r="X265" s="14">
        <f>IFERROR(Tabela1[[#This Row],[QIANTIDADE EXPEDIDA]]*Tabela1[[#This Row],[PESO UNI]],"")</f>
        <v>300.39999999999998</v>
      </c>
      <c r="Y265" s="14">
        <f t="shared" si="48"/>
        <v>0</v>
      </c>
      <c r="Z265" s="20">
        <f>Tabela1[[#This Row],[PESO TOTAL]]-Tabela1[[#This Row],[Peso Expedido]]</f>
        <v>0</v>
      </c>
      <c r="AA265" s="17">
        <v>1</v>
      </c>
      <c r="AB265" s="33"/>
      <c r="AC265" s="33">
        <v>1</v>
      </c>
      <c r="AD265" s="33">
        <v>1</v>
      </c>
      <c r="AE265" s="33">
        <v>1</v>
      </c>
      <c r="AF265" s="33">
        <v>1</v>
      </c>
      <c r="AG265" s="33">
        <v>1</v>
      </c>
      <c r="AH265" s="33">
        <v>1</v>
      </c>
      <c r="AI265" s="33" t="str">
        <f t="shared" si="45"/>
        <v>ok</v>
      </c>
      <c r="AJ265" s="5"/>
      <c r="AK265" t="str">
        <f>Tabela1[[#This Row],[Coluna1]]&amp;Tabela1[[#This Row],[PEDIDO]]</f>
        <v>P-188</v>
      </c>
      <c r="AL265"/>
      <c r="AM265"/>
      <c r="AN265"/>
      <c r="AO265" t="str">
        <f t="shared" si="50"/>
        <v>T-072981-1/1073-TC-007</v>
      </c>
      <c r="AP265" t="str">
        <f>Tabela1[[#This Row],[TAG]]&amp;Tabela1[[#This Row],[PEDIDO]]&amp;Tabela1[[#This Row],[PRODUTO]]</f>
        <v>1073-TC-007P-188RMF</v>
      </c>
      <c r="AQ265" s="22" t="str">
        <f>Tabela1[[#This Row],[PRODUTO]]&amp;Tabela1[[#This Row],[TAG]]</f>
        <v>RMF1073-TC-007</v>
      </c>
      <c r="AR265" s="24" t="str">
        <f>Tabela1[[#This Row],[PEDIDO]]&amp;Tabela1[[#This Row],[PRODUTO]]</f>
        <v>P-188RMF</v>
      </c>
      <c r="AS265" s="37">
        <f>IF(AF265="",0,IF(ISTEXT(AF265),H265*VALUE(SUBSTITUTE(AF265,"%",""))/100,H265*AF265))-Tabela1[[#This Row],[PRONTO ACABADO2]]</f>
        <v>0</v>
      </c>
      <c r="AT265" s="37">
        <f>IF(AG265="",0,IF(ISTEXT(AG265),H265*VALUE(SUBSTITUTE(AG265,"%",""))/100,H265*AG265))-Tabela1[[#This Row],[PESO EXPEDIDO2]]</f>
        <v>0</v>
      </c>
      <c r="AU265" s="37">
        <f t="shared" si="46"/>
        <v>300.39999999999998</v>
      </c>
      <c r="AV265" s="37">
        <f t="shared" si="47"/>
        <v>300.39999999999998</v>
      </c>
      <c r="AW265" s="37"/>
    </row>
    <row r="266" spans="1:49" ht="15.75" customHeight="1" x14ac:dyDescent="0.25">
      <c r="A266" s="6" t="s">
        <v>3904</v>
      </c>
      <c r="B266" s="21" t="s">
        <v>3905</v>
      </c>
      <c r="C266" s="7">
        <v>1</v>
      </c>
      <c r="D266" s="39" t="s">
        <v>3906</v>
      </c>
      <c r="E266" s="7">
        <v>4151</v>
      </c>
      <c r="F266" s="7" t="s">
        <v>3903</v>
      </c>
      <c r="G266" s="23">
        <v>273.2</v>
      </c>
      <c r="H266" s="34">
        <f>Tabela1[[#This Row],[PESO UNI]]*Tabela1[[#This Row],[QTE]]</f>
        <v>273.2</v>
      </c>
      <c r="I266" s="7">
        <v>1</v>
      </c>
      <c r="J266" s="8" t="s">
        <v>2274</v>
      </c>
      <c r="K266" s="8" t="s">
        <v>327</v>
      </c>
      <c r="L266" s="9" t="s">
        <v>2069</v>
      </c>
      <c r="M266" s="10">
        <v>46134</v>
      </c>
      <c r="N266" s="8" t="s">
        <v>327</v>
      </c>
      <c r="O266" s="12"/>
      <c r="P266" s="13"/>
      <c r="Q266" s="14">
        <f>Tabela1[[#This Row],[QTDE/ Fabricação]]-Tabela1[[#This Row],[QTE]]</f>
        <v>-1</v>
      </c>
      <c r="R266" s="18">
        <f t="shared" si="43"/>
        <v>273.2</v>
      </c>
      <c r="S266" s="18">
        <f t="shared" si="49"/>
        <v>273.2</v>
      </c>
      <c r="T266" s="19">
        <f t="shared" si="44"/>
        <v>0</v>
      </c>
      <c r="U266" s="207">
        <v>1</v>
      </c>
      <c r="V266" s="12" t="str">
        <f>IFERROR(VLOOKUP(Tabela1[[#This Row],[COD.MDE]],'LISTA DE EMBARQUE'!B:L,11,0),"")</f>
        <v/>
      </c>
      <c r="W266" s="13"/>
      <c r="X266" s="14">
        <f>IFERROR(Tabela1[[#This Row],[QIANTIDADE EXPEDIDA]]*Tabela1[[#This Row],[PESO UNI]],"")</f>
        <v>273.2</v>
      </c>
      <c r="Y266" s="14">
        <f t="shared" si="48"/>
        <v>0</v>
      </c>
      <c r="Z266" s="20">
        <f>Tabela1[[#This Row],[PESO TOTAL]]-Tabela1[[#This Row],[Peso Expedido]]</f>
        <v>0</v>
      </c>
      <c r="AA266" s="17">
        <v>1</v>
      </c>
      <c r="AB266" s="33"/>
      <c r="AC266" s="33">
        <v>1</v>
      </c>
      <c r="AD266" s="33">
        <v>1</v>
      </c>
      <c r="AE266" s="33">
        <v>1</v>
      </c>
      <c r="AF266" s="33">
        <v>1</v>
      </c>
      <c r="AG266" s="33">
        <v>1</v>
      </c>
      <c r="AH266" s="33">
        <v>1</v>
      </c>
      <c r="AI266" s="33" t="str">
        <f t="shared" si="45"/>
        <v>ok</v>
      </c>
      <c r="AJ266" s="5"/>
      <c r="AK266" t="str">
        <f>Tabela1[[#This Row],[Coluna1]]&amp;Tabela1[[#This Row],[PEDIDO]]</f>
        <v>P-188</v>
      </c>
      <c r="AL266"/>
      <c r="AM266"/>
      <c r="AN266"/>
      <c r="AO266" t="str">
        <f t="shared" si="50"/>
        <v>T-072982-1/1073-TC-006</v>
      </c>
      <c r="AP266" t="str">
        <f>Tabela1[[#This Row],[TAG]]&amp;Tabela1[[#This Row],[PEDIDO]]&amp;Tabela1[[#This Row],[PRODUTO]]</f>
        <v>1073-TC-006P-188RMF</v>
      </c>
      <c r="AQ266" s="22" t="str">
        <f>Tabela1[[#This Row],[PRODUTO]]&amp;Tabela1[[#This Row],[TAG]]</f>
        <v>RMF1073-TC-006</v>
      </c>
      <c r="AR266" s="24" t="str">
        <f>Tabela1[[#This Row],[PEDIDO]]&amp;Tabela1[[#This Row],[PRODUTO]]</f>
        <v>P-188RMF</v>
      </c>
      <c r="AS266" s="37">
        <f>IF(AF266="",0,IF(ISTEXT(AF266),H266*VALUE(SUBSTITUTE(AF266,"%",""))/100,H266*AF266))-Tabela1[[#This Row],[PRONTO ACABADO2]]</f>
        <v>0</v>
      </c>
      <c r="AT266" s="37">
        <f>IF(AG266="",0,IF(ISTEXT(AG266),H266*VALUE(SUBSTITUTE(AG266,"%",""))/100,H266*AG266))-Tabela1[[#This Row],[PESO EXPEDIDO2]]</f>
        <v>0</v>
      </c>
      <c r="AU266" s="37">
        <f t="shared" si="46"/>
        <v>273.2</v>
      </c>
      <c r="AV266" s="37">
        <f t="shared" si="47"/>
        <v>273.2</v>
      </c>
      <c r="AW266" s="37"/>
    </row>
    <row r="267" spans="1:49" ht="15.75" customHeight="1" x14ac:dyDescent="0.25">
      <c r="A267" s="6" t="s">
        <v>3904</v>
      </c>
      <c r="B267" s="21" t="s">
        <v>3907</v>
      </c>
      <c r="C267" s="7">
        <v>1</v>
      </c>
      <c r="D267" s="39" t="s">
        <v>3908</v>
      </c>
      <c r="E267" s="7">
        <v>4152</v>
      </c>
      <c r="F267" s="7" t="s">
        <v>3903</v>
      </c>
      <c r="G267" s="23">
        <v>97.8</v>
      </c>
      <c r="H267" s="34">
        <f>Tabela1[[#This Row],[PESO UNI]]*Tabela1[[#This Row],[QTE]]</f>
        <v>97.8</v>
      </c>
      <c r="I267" s="7">
        <v>1</v>
      </c>
      <c r="J267" s="8" t="s">
        <v>2274</v>
      </c>
      <c r="K267" s="8" t="s">
        <v>327</v>
      </c>
      <c r="L267" s="9" t="s">
        <v>2069</v>
      </c>
      <c r="M267" s="10">
        <v>46134</v>
      </c>
      <c r="N267" s="8" t="s">
        <v>327</v>
      </c>
      <c r="O267" s="12"/>
      <c r="P267" s="13"/>
      <c r="Q267" s="14">
        <f>Tabela1[[#This Row],[QTDE/ Fabricação]]-Tabela1[[#This Row],[QTE]]</f>
        <v>-1</v>
      </c>
      <c r="R267" s="18">
        <f t="shared" si="43"/>
        <v>97.8</v>
      </c>
      <c r="S267" s="18">
        <f t="shared" si="49"/>
        <v>97.8</v>
      </c>
      <c r="T267" s="19">
        <f t="shared" si="44"/>
        <v>0</v>
      </c>
      <c r="U267" s="207">
        <v>1</v>
      </c>
      <c r="V267" s="12" t="str">
        <f>IFERROR(VLOOKUP(Tabela1[[#This Row],[COD.MDE]],'LISTA DE EMBARQUE'!B:L,11,0),"")</f>
        <v/>
      </c>
      <c r="W267" s="13"/>
      <c r="X267" s="14">
        <f>IFERROR(Tabela1[[#This Row],[QIANTIDADE EXPEDIDA]]*Tabela1[[#This Row],[PESO UNI]],"")</f>
        <v>97.8</v>
      </c>
      <c r="Y267" s="14">
        <f t="shared" si="48"/>
        <v>0</v>
      </c>
      <c r="Z267" s="20">
        <f>Tabela1[[#This Row],[PESO TOTAL]]-Tabela1[[#This Row],[Peso Expedido]]</f>
        <v>0</v>
      </c>
      <c r="AA267" s="17">
        <v>1</v>
      </c>
      <c r="AB267" s="33"/>
      <c r="AC267" s="33">
        <v>1</v>
      </c>
      <c r="AD267" s="33">
        <v>1</v>
      </c>
      <c r="AE267" s="33">
        <v>1</v>
      </c>
      <c r="AF267" s="33">
        <v>1</v>
      </c>
      <c r="AG267" s="33">
        <v>1</v>
      </c>
      <c r="AH267" s="33">
        <v>1</v>
      </c>
      <c r="AI267" s="33" t="str">
        <f t="shared" si="45"/>
        <v>ok</v>
      </c>
      <c r="AJ267" s="5"/>
      <c r="AK267" t="str">
        <f>Tabela1[[#This Row],[Coluna1]]&amp;Tabela1[[#This Row],[PEDIDO]]</f>
        <v>P-188</v>
      </c>
      <c r="AL267"/>
      <c r="AM267"/>
      <c r="AN267"/>
      <c r="AO267" t="str">
        <f t="shared" si="50"/>
        <v>T-072982-1/1073-TC-006</v>
      </c>
      <c r="AP267" t="str">
        <f>Tabela1[[#This Row],[TAG]]&amp;Tabela1[[#This Row],[PEDIDO]]&amp;Tabela1[[#This Row],[PRODUTO]]</f>
        <v>1073-TC-006P-188RMF</v>
      </c>
      <c r="AQ267" s="22" t="str">
        <f>Tabela1[[#This Row],[PRODUTO]]&amp;Tabela1[[#This Row],[TAG]]</f>
        <v>RMF1073-TC-006</v>
      </c>
      <c r="AR267" s="24" t="str">
        <f>Tabela1[[#This Row],[PEDIDO]]&amp;Tabela1[[#This Row],[PRODUTO]]</f>
        <v>P-188RMF</v>
      </c>
      <c r="AS267" s="37">
        <f>IF(AF267="",0,IF(ISTEXT(AF267),H267*VALUE(SUBSTITUTE(AF267,"%",""))/100,H267*AF267))-Tabela1[[#This Row],[PRONTO ACABADO2]]</f>
        <v>0</v>
      </c>
      <c r="AT267" s="37">
        <f>IF(AG267="",0,IF(ISTEXT(AG267),H267*VALUE(SUBSTITUTE(AG267,"%",""))/100,H267*AG267))-Tabela1[[#This Row],[PESO EXPEDIDO2]]</f>
        <v>0</v>
      </c>
      <c r="AU267" s="37">
        <f t="shared" si="46"/>
        <v>97.8</v>
      </c>
      <c r="AV267" s="37">
        <f t="shared" si="47"/>
        <v>97.8</v>
      </c>
      <c r="AW267" s="37"/>
    </row>
    <row r="268" spans="1:49" ht="15.75" customHeight="1" x14ac:dyDescent="0.25">
      <c r="A268" s="6" t="s">
        <v>3904</v>
      </c>
      <c r="B268" s="21" t="s">
        <v>3905</v>
      </c>
      <c r="C268" s="7">
        <v>1</v>
      </c>
      <c r="D268" s="39" t="s">
        <v>3906</v>
      </c>
      <c r="E268" s="7">
        <v>4153</v>
      </c>
      <c r="F268" s="7" t="s">
        <v>3903</v>
      </c>
      <c r="G268" s="23">
        <v>273.2</v>
      </c>
      <c r="H268" s="34">
        <f>Tabela1[[#This Row],[PESO UNI]]*Tabela1[[#This Row],[QTE]]</f>
        <v>273.2</v>
      </c>
      <c r="I268" s="7">
        <v>1</v>
      </c>
      <c r="J268" s="8" t="s">
        <v>2276</v>
      </c>
      <c r="K268" s="8" t="s">
        <v>327</v>
      </c>
      <c r="L268" s="9" t="s">
        <v>2069</v>
      </c>
      <c r="M268" s="10">
        <v>46134</v>
      </c>
      <c r="N268" s="8" t="s">
        <v>327</v>
      </c>
      <c r="O268" s="12"/>
      <c r="P268" s="13"/>
      <c r="Q268" s="14">
        <f>Tabela1[[#This Row],[QTDE/ Fabricação]]-Tabela1[[#This Row],[QTE]]</f>
        <v>-1</v>
      </c>
      <c r="R268" s="18">
        <f t="shared" si="43"/>
        <v>273.2</v>
      </c>
      <c r="S268" s="18">
        <f t="shared" si="49"/>
        <v>0</v>
      </c>
      <c r="T268" s="19">
        <f t="shared" si="44"/>
        <v>-273.2</v>
      </c>
      <c r="U268" s="16">
        <f>IFERROR(SUMIF('LISTA DE EMBARQUE'!B:B,MICRO!E:E,'LISTA DE EMBARQUE'!G:G),"")</f>
        <v>0</v>
      </c>
      <c r="V268" s="12" t="str">
        <f>IFERROR(VLOOKUP(Tabela1[[#This Row],[COD.MDE]],'LISTA DE EMBARQUE'!B:L,11,0),"")</f>
        <v/>
      </c>
      <c r="W268" s="13" t="str">
        <f>IFERROR(VLOOKUP(Tabela1[[#This Row],[COD.MDE]],'LISTA DE EMBARQUE'!B:M,12,0),"")</f>
        <v/>
      </c>
      <c r="X268" s="14">
        <f>IFERROR(Tabela1[[#This Row],[QIANTIDADE EXPEDIDA]]*Tabela1[[#This Row],[PESO UNI]],"")</f>
        <v>0</v>
      </c>
      <c r="Y268" s="14">
        <f t="shared" si="48"/>
        <v>-1</v>
      </c>
      <c r="Z268" s="20">
        <f>Tabela1[[#This Row],[PESO TOTAL]]-Tabela1[[#This Row],[Peso Expedido]]</f>
        <v>273.2</v>
      </c>
      <c r="AA268" s="17">
        <v>1</v>
      </c>
      <c r="AB268" s="33"/>
      <c r="AC268" s="33">
        <v>1</v>
      </c>
      <c r="AD268" s="33">
        <v>1</v>
      </c>
      <c r="AE268" s="33">
        <v>1</v>
      </c>
      <c r="AF268" s="33">
        <v>1</v>
      </c>
      <c r="AG268" s="33">
        <v>0</v>
      </c>
      <c r="AH268" s="33"/>
      <c r="AI268" s="33" t="str">
        <f t="shared" si="45"/>
        <v/>
      </c>
      <c r="AJ268" s="5"/>
      <c r="AK268" t="str">
        <f>Tabela1[[#This Row],[Coluna1]]&amp;Tabela1[[#This Row],[PEDIDO]]</f>
        <v>P-188</v>
      </c>
      <c r="AL268"/>
      <c r="AM268"/>
      <c r="AN268"/>
      <c r="AO268" t="str">
        <f t="shared" si="50"/>
        <v>T-072982-1/1073-TC-007</v>
      </c>
      <c r="AP268" t="str">
        <f>Tabela1[[#This Row],[TAG]]&amp;Tabela1[[#This Row],[PEDIDO]]&amp;Tabela1[[#This Row],[PRODUTO]]</f>
        <v>1073-TC-007P-188RMF</v>
      </c>
      <c r="AQ268" s="22" t="str">
        <f>Tabela1[[#This Row],[PRODUTO]]&amp;Tabela1[[#This Row],[TAG]]</f>
        <v>RMF1073-TC-007</v>
      </c>
      <c r="AR268" s="24" t="str">
        <f>Tabela1[[#This Row],[PEDIDO]]&amp;Tabela1[[#This Row],[PRODUTO]]</f>
        <v>P-188RMF</v>
      </c>
      <c r="AS268" s="37">
        <f>IF(AF268="",0,IF(ISTEXT(AF268),H268*VALUE(SUBSTITUTE(AF268,"%",""))/100,H268*AF268))-Tabela1[[#This Row],[PRONTO ACABADO2]]</f>
        <v>273.2</v>
      </c>
      <c r="AT268" s="37">
        <f>IF(AG268="",0,IF(ISTEXT(AG268),H268*VALUE(SUBSTITUTE(AG268,"%",""))/100,H268*AG268))-Tabela1[[#This Row],[PESO EXPEDIDO2]]</f>
        <v>0</v>
      </c>
      <c r="AU268" s="37">
        <f t="shared" si="46"/>
        <v>0</v>
      </c>
      <c r="AV268" s="37">
        <f t="shared" si="47"/>
        <v>0</v>
      </c>
      <c r="AW268" s="37"/>
    </row>
    <row r="269" spans="1:49" ht="15.75" customHeight="1" x14ac:dyDescent="0.25">
      <c r="A269" s="6" t="s">
        <v>3904</v>
      </c>
      <c r="B269" s="21" t="s">
        <v>3907</v>
      </c>
      <c r="C269" s="7">
        <v>1</v>
      </c>
      <c r="D269" s="39" t="s">
        <v>3908</v>
      </c>
      <c r="E269" s="7">
        <v>4154</v>
      </c>
      <c r="F269" s="7" t="s">
        <v>3903</v>
      </c>
      <c r="G269" s="23">
        <v>97.8</v>
      </c>
      <c r="H269" s="34">
        <f>Tabela1[[#This Row],[PESO UNI]]*Tabela1[[#This Row],[QTE]]</f>
        <v>97.8</v>
      </c>
      <c r="I269" s="7">
        <v>1</v>
      </c>
      <c r="J269" s="8" t="s">
        <v>2276</v>
      </c>
      <c r="K269" s="8" t="s">
        <v>327</v>
      </c>
      <c r="L269" s="9" t="s">
        <v>2069</v>
      </c>
      <c r="M269" s="10">
        <v>46134</v>
      </c>
      <c r="N269" s="8" t="s">
        <v>327</v>
      </c>
      <c r="O269" s="12"/>
      <c r="P269" s="13"/>
      <c r="Q269" s="14">
        <f>Tabela1[[#This Row],[QTDE/ Fabricação]]-Tabela1[[#This Row],[QTE]]</f>
        <v>-1</v>
      </c>
      <c r="R269" s="18">
        <f t="shared" si="43"/>
        <v>97.8</v>
      </c>
      <c r="S269" s="18">
        <f t="shared" si="49"/>
        <v>97.8</v>
      </c>
      <c r="T269" s="19">
        <f t="shared" si="44"/>
        <v>0</v>
      </c>
      <c r="U269" s="207">
        <v>1</v>
      </c>
      <c r="V269" s="12" t="str">
        <f>IFERROR(VLOOKUP(Tabela1[[#This Row],[COD.MDE]],'LISTA DE EMBARQUE'!B:L,11,0),"")</f>
        <v/>
      </c>
      <c r="W269" s="13"/>
      <c r="X269" s="14">
        <f>IFERROR(Tabela1[[#This Row],[QIANTIDADE EXPEDIDA]]*Tabela1[[#This Row],[PESO UNI]],"")</f>
        <v>97.8</v>
      </c>
      <c r="Y269" s="14">
        <f t="shared" si="48"/>
        <v>0</v>
      </c>
      <c r="Z269" s="20">
        <f>Tabela1[[#This Row],[PESO TOTAL]]-Tabela1[[#This Row],[Peso Expedido]]</f>
        <v>0</v>
      </c>
      <c r="AA269" s="17">
        <v>1</v>
      </c>
      <c r="AB269" s="33"/>
      <c r="AC269" s="33">
        <v>1</v>
      </c>
      <c r="AD269" s="33">
        <v>1</v>
      </c>
      <c r="AE269" s="33">
        <v>1</v>
      </c>
      <c r="AF269" s="33">
        <v>1</v>
      </c>
      <c r="AG269" s="33">
        <v>1</v>
      </c>
      <c r="AH269" s="33">
        <v>1</v>
      </c>
      <c r="AI269" s="33" t="str">
        <f t="shared" si="45"/>
        <v>ok</v>
      </c>
      <c r="AJ269" s="5"/>
      <c r="AK269" t="str">
        <f>Tabela1[[#This Row],[Coluna1]]&amp;Tabela1[[#This Row],[PEDIDO]]</f>
        <v>P-188</v>
      </c>
      <c r="AL269"/>
      <c r="AM269"/>
      <c r="AN269"/>
      <c r="AO269" t="str">
        <f t="shared" si="50"/>
        <v>T-072982-1/1073-TC-007</v>
      </c>
      <c r="AP269" t="str">
        <f>Tabela1[[#This Row],[TAG]]&amp;Tabela1[[#This Row],[PEDIDO]]&amp;Tabela1[[#This Row],[PRODUTO]]</f>
        <v>1073-TC-007P-188RMF</v>
      </c>
      <c r="AQ269" s="22" t="str">
        <f>Tabela1[[#This Row],[PRODUTO]]&amp;Tabela1[[#This Row],[TAG]]</f>
        <v>RMF1073-TC-007</v>
      </c>
      <c r="AR269" s="24" t="str">
        <f>Tabela1[[#This Row],[PEDIDO]]&amp;Tabela1[[#This Row],[PRODUTO]]</f>
        <v>P-188RMF</v>
      </c>
      <c r="AS269" s="37">
        <f>IF(AF269="",0,IF(ISTEXT(AF269),H269*VALUE(SUBSTITUTE(AF269,"%",""))/100,H269*AF269))-Tabela1[[#This Row],[PRONTO ACABADO2]]</f>
        <v>0</v>
      </c>
      <c r="AT269" s="37">
        <f>IF(AG269="",0,IF(ISTEXT(AG269),H269*VALUE(SUBSTITUTE(AG269,"%",""))/100,H269*AG269))-Tabela1[[#This Row],[PESO EXPEDIDO2]]</f>
        <v>0</v>
      </c>
      <c r="AU269" s="37">
        <f t="shared" si="46"/>
        <v>97.8</v>
      </c>
      <c r="AV269" s="37">
        <f t="shared" si="47"/>
        <v>97.8</v>
      </c>
      <c r="AW269" s="37"/>
    </row>
    <row r="270" spans="1:49" ht="15.75" customHeight="1" x14ac:dyDescent="0.25">
      <c r="A270" s="6" t="s">
        <v>3909</v>
      </c>
      <c r="B270" s="21" t="s">
        <v>3910</v>
      </c>
      <c r="C270" s="7">
        <v>1</v>
      </c>
      <c r="D270" s="39" t="s">
        <v>3911</v>
      </c>
      <c r="E270" s="7">
        <v>4155</v>
      </c>
      <c r="F270" s="7" t="s">
        <v>3903</v>
      </c>
      <c r="G270" s="23">
        <v>20.350000000000001</v>
      </c>
      <c r="H270" s="34">
        <f>Tabela1[[#This Row],[PESO UNI]]*Tabela1[[#This Row],[QTE]]</f>
        <v>20.350000000000001</v>
      </c>
      <c r="I270" s="7">
        <v>0</v>
      </c>
      <c r="J270" s="8" t="s">
        <v>2274</v>
      </c>
      <c r="K270" s="8" t="s">
        <v>327</v>
      </c>
      <c r="L270" s="9" t="s">
        <v>2069</v>
      </c>
      <c r="M270" s="10">
        <v>46134</v>
      </c>
      <c r="N270" s="8" t="s">
        <v>327</v>
      </c>
      <c r="O270" s="12"/>
      <c r="P270" s="13"/>
      <c r="Q270" s="14">
        <f>Tabela1[[#This Row],[QTDE/ Fabricação]]-Tabela1[[#This Row],[QTE]]</f>
        <v>-1</v>
      </c>
      <c r="R270" s="18">
        <f t="shared" si="43"/>
        <v>20.350000000000001</v>
      </c>
      <c r="S270" s="18">
        <f t="shared" si="49"/>
        <v>20.350000000000001</v>
      </c>
      <c r="T270" s="19">
        <f t="shared" si="44"/>
        <v>0</v>
      </c>
      <c r="U270" s="207">
        <v>1</v>
      </c>
      <c r="V270" s="12" t="str">
        <f>IFERROR(VLOOKUP(Tabela1[[#This Row],[COD.MDE]],'LISTA DE EMBARQUE'!B:L,11,0),"")</f>
        <v/>
      </c>
      <c r="W270" s="13"/>
      <c r="X270" s="14">
        <f>IFERROR(Tabela1[[#This Row],[QIANTIDADE EXPEDIDA]]*Tabela1[[#This Row],[PESO UNI]],"")</f>
        <v>20.350000000000001</v>
      </c>
      <c r="Y270" s="14">
        <f t="shared" si="48"/>
        <v>0</v>
      </c>
      <c r="Z270" s="20">
        <f>Tabela1[[#This Row],[PESO TOTAL]]-Tabela1[[#This Row],[Peso Expedido]]</f>
        <v>0</v>
      </c>
      <c r="AA270" s="17">
        <v>1</v>
      </c>
      <c r="AB270" s="33"/>
      <c r="AC270" s="33">
        <v>1</v>
      </c>
      <c r="AD270" s="33">
        <v>1</v>
      </c>
      <c r="AE270" s="33">
        <v>1</v>
      </c>
      <c r="AF270" s="33">
        <v>1</v>
      </c>
      <c r="AG270" s="33">
        <v>1</v>
      </c>
      <c r="AH270" s="33">
        <v>1</v>
      </c>
      <c r="AI270" s="33" t="str">
        <f t="shared" si="45"/>
        <v>ok</v>
      </c>
      <c r="AJ270" s="5"/>
      <c r="AK270" t="str">
        <f>Tabela1[[#This Row],[Coluna1]]&amp;Tabela1[[#This Row],[PEDIDO]]</f>
        <v>P-188</v>
      </c>
      <c r="AL270"/>
      <c r="AM270"/>
      <c r="AN270"/>
      <c r="AO270" t="str">
        <f t="shared" si="50"/>
        <v>T-072983-1/1073-TC-006</v>
      </c>
      <c r="AP270" t="str">
        <f>Tabela1[[#This Row],[TAG]]&amp;Tabela1[[#This Row],[PEDIDO]]&amp;Tabela1[[#This Row],[PRODUTO]]</f>
        <v>1073-TC-006P-188RMF</v>
      </c>
      <c r="AQ270" s="22" t="str">
        <f>Tabela1[[#This Row],[PRODUTO]]&amp;Tabela1[[#This Row],[TAG]]</f>
        <v>RMF1073-TC-006</v>
      </c>
      <c r="AR270" s="24" t="str">
        <f>Tabela1[[#This Row],[PEDIDO]]&amp;Tabela1[[#This Row],[PRODUTO]]</f>
        <v>P-188RMF</v>
      </c>
      <c r="AS270" s="37">
        <f>IF(AF270="",0,IF(ISTEXT(AF270),H270*VALUE(SUBSTITUTE(AF270,"%",""))/100,H270*AF270))-Tabela1[[#This Row],[PRONTO ACABADO2]]</f>
        <v>0</v>
      </c>
      <c r="AT270" s="37">
        <f>IF(AG270="",0,IF(ISTEXT(AG270),H270*VALUE(SUBSTITUTE(AG270,"%",""))/100,H270*AG270))-Tabela1[[#This Row],[PESO EXPEDIDO2]]</f>
        <v>0</v>
      </c>
      <c r="AU270" s="37">
        <f t="shared" si="46"/>
        <v>20.350000000000001</v>
      </c>
      <c r="AV270" s="37">
        <f t="shared" si="47"/>
        <v>20.350000000000001</v>
      </c>
      <c r="AW270" s="37"/>
    </row>
    <row r="271" spans="1:49" ht="15.75" customHeight="1" x14ac:dyDescent="0.25">
      <c r="A271" s="6" t="s">
        <v>3909</v>
      </c>
      <c r="B271" s="21" t="s">
        <v>2996</v>
      </c>
      <c r="C271" s="7">
        <v>1</v>
      </c>
      <c r="D271" s="39" t="s">
        <v>3912</v>
      </c>
      <c r="E271" s="7">
        <v>4156</v>
      </c>
      <c r="F271" s="7" t="s">
        <v>3903</v>
      </c>
      <c r="G271" s="23">
        <v>1</v>
      </c>
      <c r="H271" s="34">
        <f>Tabela1[[#This Row],[PESO UNI]]*Tabela1[[#This Row],[QTE]]</f>
        <v>1</v>
      </c>
      <c r="I271" s="7">
        <v>0</v>
      </c>
      <c r="J271" s="8" t="s">
        <v>2274</v>
      </c>
      <c r="K271" s="8" t="s">
        <v>327</v>
      </c>
      <c r="L271" s="9" t="s">
        <v>2069</v>
      </c>
      <c r="M271" s="10">
        <v>46134</v>
      </c>
      <c r="N271" s="8" t="s">
        <v>327</v>
      </c>
      <c r="O271" s="12"/>
      <c r="P271" s="13"/>
      <c r="Q271" s="14">
        <f>Tabela1[[#This Row],[QTDE/ Fabricação]]-Tabela1[[#This Row],[QTE]]</f>
        <v>-1</v>
      </c>
      <c r="R271" s="18">
        <f t="shared" si="43"/>
        <v>1</v>
      </c>
      <c r="S271" s="18">
        <f t="shared" si="49"/>
        <v>1</v>
      </c>
      <c r="T271" s="19">
        <f t="shared" si="44"/>
        <v>0</v>
      </c>
      <c r="U271" s="207">
        <v>1</v>
      </c>
      <c r="V271" s="12" t="str">
        <f>IFERROR(VLOOKUP(Tabela1[[#This Row],[COD.MDE]],'LISTA DE EMBARQUE'!B:L,11,0),"")</f>
        <v/>
      </c>
      <c r="W271" s="13"/>
      <c r="X271" s="14">
        <f>IFERROR(Tabela1[[#This Row],[QIANTIDADE EXPEDIDA]]*Tabela1[[#This Row],[PESO UNI]],"")</f>
        <v>1</v>
      </c>
      <c r="Y271" s="14">
        <f t="shared" si="48"/>
        <v>0</v>
      </c>
      <c r="Z271" s="20">
        <f>Tabela1[[#This Row],[PESO TOTAL]]-Tabela1[[#This Row],[Peso Expedido]]</f>
        <v>0</v>
      </c>
      <c r="AA271" s="17">
        <v>1</v>
      </c>
      <c r="AB271" s="33"/>
      <c r="AC271" s="33">
        <v>1</v>
      </c>
      <c r="AD271" s="33">
        <v>1</v>
      </c>
      <c r="AE271" s="33">
        <v>1</v>
      </c>
      <c r="AF271" s="33">
        <v>1</v>
      </c>
      <c r="AG271" s="33">
        <v>1</v>
      </c>
      <c r="AH271" s="33">
        <v>1</v>
      </c>
      <c r="AI271" s="33" t="str">
        <f t="shared" si="45"/>
        <v>ok</v>
      </c>
      <c r="AJ271" s="5"/>
      <c r="AK271" t="str">
        <f>Tabela1[[#This Row],[Coluna1]]&amp;Tabela1[[#This Row],[PEDIDO]]</f>
        <v>P-188</v>
      </c>
      <c r="AL271"/>
      <c r="AM271"/>
      <c r="AN271"/>
      <c r="AO271" t="str">
        <f t="shared" si="50"/>
        <v>T-072983-1/1073-TC-006</v>
      </c>
      <c r="AP271" t="str">
        <f>Tabela1[[#This Row],[TAG]]&amp;Tabela1[[#This Row],[PEDIDO]]&amp;Tabela1[[#This Row],[PRODUTO]]</f>
        <v>1073-TC-006P-188RMF</v>
      </c>
      <c r="AQ271" s="22" t="str">
        <f>Tabela1[[#This Row],[PRODUTO]]&amp;Tabela1[[#This Row],[TAG]]</f>
        <v>RMF1073-TC-006</v>
      </c>
      <c r="AR271" s="24" t="str">
        <f>Tabela1[[#This Row],[PEDIDO]]&amp;Tabela1[[#This Row],[PRODUTO]]</f>
        <v>P-188RMF</v>
      </c>
      <c r="AS271" s="37">
        <f>IF(AF271="",0,IF(ISTEXT(AF271),H271*VALUE(SUBSTITUTE(AF271,"%",""))/100,H271*AF271))-Tabela1[[#This Row],[PRONTO ACABADO2]]</f>
        <v>0</v>
      </c>
      <c r="AT271" s="37">
        <f>IF(AG271="",0,IF(ISTEXT(AG271),H271*VALUE(SUBSTITUTE(AG271,"%",""))/100,H271*AG271))-Tabela1[[#This Row],[PESO EXPEDIDO2]]</f>
        <v>0</v>
      </c>
      <c r="AU271" s="37">
        <f t="shared" si="46"/>
        <v>1</v>
      </c>
      <c r="AV271" s="37">
        <f t="shared" si="47"/>
        <v>1</v>
      </c>
      <c r="AW271" s="37"/>
    </row>
    <row r="272" spans="1:49" ht="15.75" customHeight="1" x14ac:dyDescent="0.25">
      <c r="A272" s="6" t="s">
        <v>3909</v>
      </c>
      <c r="B272" s="21" t="s">
        <v>3910</v>
      </c>
      <c r="C272" s="7">
        <v>1</v>
      </c>
      <c r="D272" s="39" t="s">
        <v>3911</v>
      </c>
      <c r="E272" s="7">
        <v>4157</v>
      </c>
      <c r="F272" s="7" t="s">
        <v>3903</v>
      </c>
      <c r="G272" s="23">
        <v>20.350000000000001</v>
      </c>
      <c r="H272" s="34">
        <f>Tabela1[[#This Row],[PESO UNI]]*Tabela1[[#This Row],[QTE]]</f>
        <v>20.350000000000001</v>
      </c>
      <c r="I272" s="7">
        <v>0</v>
      </c>
      <c r="J272" s="8" t="s">
        <v>2276</v>
      </c>
      <c r="K272" s="8" t="s">
        <v>327</v>
      </c>
      <c r="L272" s="9" t="s">
        <v>2069</v>
      </c>
      <c r="M272" s="10">
        <v>46134</v>
      </c>
      <c r="N272" s="8" t="s">
        <v>327</v>
      </c>
      <c r="O272" s="12"/>
      <c r="P272" s="13"/>
      <c r="Q272" s="14">
        <f>Tabela1[[#This Row],[QTDE/ Fabricação]]-Tabela1[[#This Row],[QTE]]</f>
        <v>-1</v>
      </c>
      <c r="R272" s="18">
        <f t="shared" si="43"/>
        <v>20.350000000000001</v>
      </c>
      <c r="S272" s="18">
        <f t="shared" si="49"/>
        <v>20.350000000000001</v>
      </c>
      <c r="T272" s="19">
        <f t="shared" si="44"/>
        <v>0</v>
      </c>
      <c r="U272" s="207">
        <v>1</v>
      </c>
      <c r="V272" s="12" t="str">
        <f>IFERROR(VLOOKUP(Tabela1[[#This Row],[COD.MDE]],'LISTA DE EMBARQUE'!B:L,11,0),"")</f>
        <v/>
      </c>
      <c r="W272" s="13"/>
      <c r="X272" s="14">
        <f>IFERROR(Tabela1[[#This Row],[QIANTIDADE EXPEDIDA]]*Tabela1[[#This Row],[PESO UNI]],"")</f>
        <v>20.350000000000001</v>
      </c>
      <c r="Y272" s="14">
        <f t="shared" si="48"/>
        <v>0</v>
      </c>
      <c r="Z272" s="20">
        <f>Tabela1[[#This Row],[PESO TOTAL]]-Tabela1[[#This Row],[Peso Expedido]]</f>
        <v>0</v>
      </c>
      <c r="AA272" s="17">
        <v>1</v>
      </c>
      <c r="AB272" s="33"/>
      <c r="AC272" s="33">
        <v>1</v>
      </c>
      <c r="AD272" s="33">
        <v>1</v>
      </c>
      <c r="AE272" s="33">
        <v>1</v>
      </c>
      <c r="AF272" s="33">
        <v>1</v>
      </c>
      <c r="AG272" s="33">
        <v>1</v>
      </c>
      <c r="AH272" s="33">
        <v>1</v>
      </c>
      <c r="AI272" s="33" t="str">
        <f t="shared" si="45"/>
        <v>ok</v>
      </c>
      <c r="AJ272" s="5"/>
      <c r="AK272" t="str">
        <f>Tabela1[[#This Row],[Coluna1]]&amp;Tabela1[[#This Row],[PEDIDO]]</f>
        <v>P-188</v>
      </c>
      <c r="AL272"/>
      <c r="AM272"/>
      <c r="AN272"/>
      <c r="AO272" t="str">
        <f t="shared" si="50"/>
        <v>T-072983-1/1073-TC-007</v>
      </c>
      <c r="AP272" t="str">
        <f>Tabela1[[#This Row],[TAG]]&amp;Tabela1[[#This Row],[PEDIDO]]&amp;Tabela1[[#This Row],[PRODUTO]]</f>
        <v>1073-TC-007P-188RMF</v>
      </c>
      <c r="AQ272" s="22" t="str">
        <f>Tabela1[[#This Row],[PRODUTO]]&amp;Tabela1[[#This Row],[TAG]]</f>
        <v>RMF1073-TC-007</v>
      </c>
      <c r="AR272" s="24" t="str">
        <f>Tabela1[[#This Row],[PEDIDO]]&amp;Tabela1[[#This Row],[PRODUTO]]</f>
        <v>P-188RMF</v>
      </c>
      <c r="AS272" s="37">
        <f>IF(AF272="",0,IF(ISTEXT(AF272),H272*VALUE(SUBSTITUTE(AF272,"%",""))/100,H272*AF272))-Tabela1[[#This Row],[PRONTO ACABADO2]]</f>
        <v>0</v>
      </c>
      <c r="AT272" s="37">
        <f>IF(AG272="",0,IF(ISTEXT(AG272),H272*VALUE(SUBSTITUTE(AG272,"%",""))/100,H272*AG272))-Tabela1[[#This Row],[PESO EXPEDIDO2]]</f>
        <v>0</v>
      </c>
      <c r="AU272" s="37">
        <f t="shared" si="46"/>
        <v>20.350000000000001</v>
      </c>
      <c r="AV272" s="37">
        <f t="shared" si="47"/>
        <v>20.350000000000001</v>
      </c>
      <c r="AW272" s="37"/>
    </row>
    <row r="273" spans="1:49" ht="15.75" customHeight="1" x14ac:dyDescent="0.25">
      <c r="A273" s="6" t="s">
        <v>3909</v>
      </c>
      <c r="B273" s="21" t="s">
        <v>2996</v>
      </c>
      <c r="C273" s="7">
        <v>1</v>
      </c>
      <c r="D273" s="39" t="s">
        <v>3912</v>
      </c>
      <c r="E273" s="7">
        <v>4158</v>
      </c>
      <c r="F273" s="7" t="s">
        <v>3903</v>
      </c>
      <c r="G273" s="23">
        <v>1</v>
      </c>
      <c r="H273" s="34">
        <f>Tabela1[[#This Row],[PESO UNI]]*Tabela1[[#This Row],[QTE]]</f>
        <v>1</v>
      </c>
      <c r="I273" s="7">
        <v>0</v>
      </c>
      <c r="J273" s="8" t="s">
        <v>2276</v>
      </c>
      <c r="K273" s="8" t="s">
        <v>327</v>
      </c>
      <c r="L273" s="9" t="s">
        <v>2069</v>
      </c>
      <c r="M273" s="10">
        <v>46134</v>
      </c>
      <c r="N273" s="8" t="s">
        <v>327</v>
      </c>
      <c r="O273" s="12"/>
      <c r="P273" s="13"/>
      <c r="Q273" s="14">
        <f>Tabela1[[#This Row],[QTDE/ Fabricação]]-Tabela1[[#This Row],[QTE]]</f>
        <v>-1</v>
      </c>
      <c r="R273" s="18">
        <f t="shared" si="43"/>
        <v>1</v>
      </c>
      <c r="S273" s="18">
        <f t="shared" si="49"/>
        <v>1</v>
      </c>
      <c r="T273" s="19">
        <f t="shared" si="44"/>
        <v>0</v>
      </c>
      <c r="U273" s="207">
        <v>1</v>
      </c>
      <c r="V273" s="12" t="str">
        <f>IFERROR(VLOOKUP(Tabela1[[#This Row],[COD.MDE]],'LISTA DE EMBARQUE'!B:L,11,0),"")</f>
        <v/>
      </c>
      <c r="W273" s="13"/>
      <c r="X273" s="14">
        <f>IFERROR(Tabela1[[#This Row],[QIANTIDADE EXPEDIDA]]*Tabela1[[#This Row],[PESO UNI]],"")</f>
        <v>1</v>
      </c>
      <c r="Y273" s="14">
        <f t="shared" si="48"/>
        <v>0</v>
      </c>
      <c r="Z273" s="20">
        <f>Tabela1[[#This Row],[PESO TOTAL]]-Tabela1[[#This Row],[Peso Expedido]]</f>
        <v>0</v>
      </c>
      <c r="AA273" s="17">
        <v>1</v>
      </c>
      <c r="AB273" s="33"/>
      <c r="AC273" s="33">
        <v>1</v>
      </c>
      <c r="AD273" s="33">
        <v>1</v>
      </c>
      <c r="AE273" s="33">
        <v>1</v>
      </c>
      <c r="AF273" s="33">
        <v>1</v>
      </c>
      <c r="AG273" s="33">
        <v>1</v>
      </c>
      <c r="AH273" s="33">
        <v>1</v>
      </c>
      <c r="AI273" s="33" t="str">
        <f t="shared" si="45"/>
        <v>ok</v>
      </c>
      <c r="AJ273" s="5"/>
      <c r="AK273" t="str">
        <f>Tabela1[[#This Row],[Coluna1]]&amp;Tabela1[[#This Row],[PEDIDO]]</f>
        <v>P-188</v>
      </c>
      <c r="AL273"/>
      <c r="AM273"/>
      <c r="AN273"/>
      <c r="AO273" t="str">
        <f t="shared" si="50"/>
        <v>T-072983-1/1073-TC-007</v>
      </c>
      <c r="AP273" t="str">
        <f>Tabela1[[#This Row],[TAG]]&amp;Tabela1[[#This Row],[PEDIDO]]&amp;Tabela1[[#This Row],[PRODUTO]]</f>
        <v>1073-TC-007P-188RMF</v>
      </c>
      <c r="AQ273" s="22" t="str">
        <f>Tabela1[[#This Row],[PRODUTO]]&amp;Tabela1[[#This Row],[TAG]]</f>
        <v>RMF1073-TC-007</v>
      </c>
      <c r="AR273" s="24" t="str">
        <f>Tabela1[[#This Row],[PEDIDO]]&amp;Tabela1[[#This Row],[PRODUTO]]</f>
        <v>P-188RMF</v>
      </c>
      <c r="AS273" s="37">
        <f>IF(AF273="",0,IF(ISTEXT(AF273),H273*VALUE(SUBSTITUTE(AF273,"%",""))/100,H273*AF273))-Tabela1[[#This Row],[PRONTO ACABADO2]]</f>
        <v>0</v>
      </c>
      <c r="AT273" s="37">
        <f>IF(AG273="",0,IF(ISTEXT(AG273),H273*VALUE(SUBSTITUTE(AG273,"%",""))/100,H273*AG273))-Tabela1[[#This Row],[PESO EXPEDIDO2]]</f>
        <v>0</v>
      </c>
      <c r="AU273" s="37">
        <f t="shared" si="46"/>
        <v>1</v>
      </c>
      <c r="AV273" s="37">
        <f t="shared" si="47"/>
        <v>1</v>
      </c>
      <c r="AW273" s="37"/>
    </row>
    <row r="274" spans="1:49" ht="15.75" customHeight="1" x14ac:dyDescent="0.25">
      <c r="A274" s="6" t="s">
        <v>3913</v>
      </c>
      <c r="B274" s="21" t="s">
        <v>3914</v>
      </c>
      <c r="C274" s="7">
        <v>30</v>
      </c>
      <c r="D274" s="39" t="s">
        <v>3915</v>
      </c>
      <c r="E274" s="7">
        <v>4159</v>
      </c>
      <c r="F274" s="7" t="s">
        <v>3916</v>
      </c>
      <c r="G274" s="23">
        <v>8.8699999999999992</v>
      </c>
      <c r="H274" s="34">
        <f>Tabela1[[#This Row],[PESO UNI]]*Tabela1[[#This Row],[QTE]]</f>
        <v>266.09999999999997</v>
      </c>
      <c r="I274" s="7">
        <v>0</v>
      </c>
      <c r="J274" s="8" t="s">
        <v>3790</v>
      </c>
      <c r="K274" s="8" t="s">
        <v>327</v>
      </c>
      <c r="L274" s="9" t="s">
        <v>2069</v>
      </c>
      <c r="M274" s="10">
        <v>46134</v>
      </c>
      <c r="N274" s="8" t="s">
        <v>327</v>
      </c>
      <c r="O274" s="12"/>
      <c r="P274" s="13"/>
      <c r="Q274" s="14">
        <f>Tabela1[[#This Row],[QTDE/ Fabricação]]-Tabela1[[#This Row],[QTE]]</f>
        <v>-30</v>
      </c>
      <c r="R274" s="18">
        <f t="shared" si="43"/>
        <v>266.09999999999997</v>
      </c>
      <c r="S274" s="18">
        <f t="shared" si="49"/>
        <v>266.09999999999997</v>
      </c>
      <c r="T274" s="19">
        <f t="shared" si="44"/>
        <v>0</v>
      </c>
      <c r="U274" s="207">
        <v>30</v>
      </c>
      <c r="V274" s="12" t="str">
        <f>IFERROR(VLOOKUP(Tabela1[[#This Row],[COD.MDE]],'LISTA DE EMBARQUE'!B:L,11,0),"")</f>
        <v/>
      </c>
      <c r="W274" s="13"/>
      <c r="X274" s="14">
        <f>IFERROR(Tabela1[[#This Row],[QIANTIDADE EXPEDIDA]]*Tabela1[[#This Row],[PESO UNI]],"")</f>
        <v>266.09999999999997</v>
      </c>
      <c r="Y274" s="14">
        <f t="shared" si="48"/>
        <v>0</v>
      </c>
      <c r="Z274" s="20">
        <f>Tabela1[[#This Row],[PESO TOTAL]]-Tabela1[[#This Row],[Peso Expedido]]</f>
        <v>0</v>
      </c>
      <c r="AA274" s="17">
        <v>1</v>
      </c>
      <c r="AB274" s="33"/>
      <c r="AC274" s="33">
        <v>1</v>
      </c>
      <c r="AD274" s="33">
        <v>1</v>
      </c>
      <c r="AE274" s="33">
        <v>1</v>
      </c>
      <c r="AF274" s="33">
        <v>1</v>
      </c>
      <c r="AG274" s="33">
        <v>1</v>
      </c>
      <c r="AH274" s="33">
        <v>1</v>
      </c>
      <c r="AI274" s="33" t="str">
        <f t="shared" si="45"/>
        <v>ok</v>
      </c>
      <c r="AJ274" s="5"/>
      <c r="AK274" t="str">
        <f>Tabela1[[#This Row],[Coluna1]]&amp;Tabela1[[#This Row],[PEDIDO]]</f>
        <v>P-188</v>
      </c>
      <c r="AL274"/>
      <c r="AM274"/>
      <c r="AN274"/>
      <c r="AO274" t="str">
        <f t="shared" si="50"/>
        <v>T-072968-1/1073-TC-006/007</v>
      </c>
      <c r="AP274" t="str">
        <f>Tabela1[[#This Row],[TAG]]&amp;Tabela1[[#This Row],[PEDIDO]]&amp;Tabela1[[#This Row],[PRODUTO]]</f>
        <v>1073-TC-006/007P-188RMF</v>
      </c>
      <c r="AQ274" s="22" t="str">
        <f>Tabela1[[#This Row],[PRODUTO]]&amp;Tabela1[[#This Row],[TAG]]</f>
        <v>RMF1073-TC-006/007</v>
      </c>
      <c r="AR274" s="24" t="str">
        <f>Tabela1[[#This Row],[PEDIDO]]&amp;Tabela1[[#This Row],[PRODUTO]]</f>
        <v>P-188RMF</v>
      </c>
      <c r="AS274" s="37">
        <f>IF(AF274="",0,IF(ISTEXT(AF274),H274*VALUE(SUBSTITUTE(AF274,"%",""))/100,H274*AF274))-Tabela1[[#This Row],[PRONTO ACABADO2]]</f>
        <v>0</v>
      </c>
      <c r="AT274" s="37">
        <f>IF(AG274="",0,IF(ISTEXT(AG274),H274*VALUE(SUBSTITUTE(AG274,"%",""))/100,H274*AG274))-Tabela1[[#This Row],[PESO EXPEDIDO2]]</f>
        <v>0</v>
      </c>
      <c r="AU274" s="37">
        <f t="shared" si="46"/>
        <v>266.09999999999997</v>
      </c>
      <c r="AV274" s="37">
        <f t="shared" si="47"/>
        <v>266.09999999999997</v>
      </c>
      <c r="AW274" s="37"/>
    </row>
    <row r="275" spans="1:49" ht="15.75" customHeight="1" x14ac:dyDescent="0.25">
      <c r="A275" s="6" t="s">
        <v>3913</v>
      </c>
      <c r="B275" s="21" t="s">
        <v>3917</v>
      </c>
      <c r="C275" s="7">
        <v>30</v>
      </c>
      <c r="D275" s="39" t="s">
        <v>3918</v>
      </c>
      <c r="E275" s="7">
        <v>4160</v>
      </c>
      <c r="F275" s="7" t="s">
        <v>3916</v>
      </c>
      <c r="G275" s="23">
        <v>8.8699999999999992</v>
      </c>
      <c r="H275" s="34">
        <f>Tabela1[[#This Row],[PESO UNI]]*Tabela1[[#This Row],[QTE]]</f>
        <v>266.09999999999997</v>
      </c>
      <c r="I275" s="7">
        <v>0</v>
      </c>
      <c r="J275" s="8" t="s">
        <v>3790</v>
      </c>
      <c r="K275" s="8" t="s">
        <v>327</v>
      </c>
      <c r="L275" s="9" t="s">
        <v>2069</v>
      </c>
      <c r="M275" s="10">
        <v>46134</v>
      </c>
      <c r="N275" s="8" t="s">
        <v>327</v>
      </c>
      <c r="O275" s="12"/>
      <c r="P275" s="13"/>
      <c r="Q275" s="14">
        <f>Tabela1[[#This Row],[QTDE/ Fabricação]]-Tabela1[[#This Row],[QTE]]</f>
        <v>-30</v>
      </c>
      <c r="R275" s="18">
        <f t="shared" si="43"/>
        <v>266.09999999999997</v>
      </c>
      <c r="S275" s="18">
        <f t="shared" si="49"/>
        <v>266.09999999999997</v>
      </c>
      <c r="T275" s="19">
        <f t="shared" si="44"/>
        <v>0</v>
      </c>
      <c r="U275" s="207">
        <v>30</v>
      </c>
      <c r="V275" s="12" t="str">
        <f>IFERROR(VLOOKUP(Tabela1[[#This Row],[COD.MDE]],'LISTA DE EMBARQUE'!B:L,11,0),"")</f>
        <v/>
      </c>
      <c r="W275" s="13"/>
      <c r="X275" s="14">
        <f>IFERROR(Tabela1[[#This Row],[QIANTIDADE EXPEDIDA]]*Tabela1[[#This Row],[PESO UNI]],"")</f>
        <v>266.09999999999997</v>
      </c>
      <c r="Y275" s="14">
        <f t="shared" si="48"/>
        <v>0</v>
      </c>
      <c r="Z275" s="20">
        <f>Tabela1[[#This Row],[PESO TOTAL]]-Tabela1[[#This Row],[Peso Expedido]]</f>
        <v>0</v>
      </c>
      <c r="AA275" s="17">
        <v>1</v>
      </c>
      <c r="AB275" s="33"/>
      <c r="AC275" s="33">
        <v>1</v>
      </c>
      <c r="AD275" s="33">
        <v>1</v>
      </c>
      <c r="AE275" s="33">
        <v>1</v>
      </c>
      <c r="AF275" s="33">
        <v>1</v>
      </c>
      <c r="AG275" s="33">
        <v>1</v>
      </c>
      <c r="AH275" s="33">
        <v>1</v>
      </c>
      <c r="AI275" s="33" t="str">
        <f t="shared" si="45"/>
        <v>ok</v>
      </c>
      <c r="AJ275" s="5"/>
      <c r="AK275" t="str">
        <f>Tabela1[[#This Row],[Coluna1]]&amp;Tabela1[[#This Row],[PEDIDO]]</f>
        <v>P-188</v>
      </c>
      <c r="AL275"/>
      <c r="AM275"/>
      <c r="AN275"/>
      <c r="AO275" t="str">
        <f t="shared" si="50"/>
        <v>T-072968-1/1073-TC-006/007</v>
      </c>
      <c r="AP275" t="str">
        <f>Tabela1[[#This Row],[TAG]]&amp;Tabela1[[#This Row],[PEDIDO]]&amp;Tabela1[[#This Row],[PRODUTO]]</f>
        <v>1073-TC-006/007P-188RMF</v>
      </c>
      <c r="AQ275" s="22" t="str">
        <f>Tabela1[[#This Row],[PRODUTO]]&amp;Tabela1[[#This Row],[TAG]]</f>
        <v>RMF1073-TC-006/007</v>
      </c>
      <c r="AR275" s="24" t="str">
        <f>Tabela1[[#This Row],[PEDIDO]]&amp;Tabela1[[#This Row],[PRODUTO]]</f>
        <v>P-188RMF</v>
      </c>
      <c r="AS275" s="37">
        <f>IF(AF275="",0,IF(ISTEXT(AF275),H275*VALUE(SUBSTITUTE(AF275,"%",""))/100,H275*AF275))-Tabela1[[#This Row],[PRONTO ACABADO2]]</f>
        <v>0</v>
      </c>
      <c r="AT275" s="37">
        <f>IF(AG275="",0,IF(ISTEXT(AG275),H275*VALUE(SUBSTITUTE(AG275,"%",""))/100,H275*AG275))-Tabela1[[#This Row],[PESO EXPEDIDO2]]</f>
        <v>0</v>
      </c>
      <c r="AU275" s="37">
        <f t="shared" si="46"/>
        <v>266.09999999999997</v>
      </c>
      <c r="AV275" s="37">
        <f t="shared" si="47"/>
        <v>266.09999999999997</v>
      </c>
      <c r="AW275" s="37"/>
    </row>
    <row r="276" spans="1:49" ht="15.75" customHeight="1" x14ac:dyDescent="0.25">
      <c r="A276" s="6" t="s">
        <v>3913</v>
      </c>
      <c r="B276" s="21" t="s">
        <v>3919</v>
      </c>
      <c r="C276" s="7">
        <v>40</v>
      </c>
      <c r="D276" s="39" t="s">
        <v>3920</v>
      </c>
      <c r="E276" s="7">
        <v>4161</v>
      </c>
      <c r="F276" s="7" t="s">
        <v>3916</v>
      </c>
      <c r="G276" s="23">
        <v>4.3099999999999996</v>
      </c>
      <c r="H276" s="34">
        <f>Tabela1[[#This Row],[PESO UNI]]*Tabela1[[#This Row],[QTE]]</f>
        <v>172.39999999999998</v>
      </c>
      <c r="I276" s="7">
        <v>0</v>
      </c>
      <c r="J276" s="8" t="s">
        <v>3790</v>
      </c>
      <c r="K276" s="8" t="s">
        <v>327</v>
      </c>
      <c r="L276" s="9" t="s">
        <v>2069</v>
      </c>
      <c r="M276" s="10">
        <v>46134</v>
      </c>
      <c r="N276" s="8" t="s">
        <v>327</v>
      </c>
      <c r="O276" s="12"/>
      <c r="P276" s="13"/>
      <c r="Q276" s="14">
        <f>Tabela1[[#This Row],[QTDE/ Fabricação]]-Tabela1[[#This Row],[QTE]]</f>
        <v>-40</v>
      </c>
      <c r="R276" s="18">
        <f t="shared" si="43"/>
        <v>172.39999999999998</v>
      </c>
      <c r="S276" s="18">
        <f t="shared" si="49"/>
        <v>172.39999999999998</v>
      </c>
      <c r="T276" s="19">
        <f t="shared" si="44"/>
        <v>0</v>
      </c>
      <c r="U276" s="207">
        <v>40</v>
      </c>
      <c r="V276" s="12" t="str">
        <f>IFERROR(VLOOKUP(Tabela1[[#This Row],[COD.MDE]],'LISTA DE EMBARQUE'!B:L,11,0),"")</f>
        <v/>
      </c>
      <c r="W276" s="13"/>
      <c r="X276" s="14">
        <f>IFERROR(Tabela1[[#This Row],[QIANTIDADE EXPEDIDA]]*Tabela1[[#This Row],[PESO UNI]],"")</f>
        <v>172.39999999999998</v>
      </c>
      <c r="Y276" s="14">
        <f t="shared" si="48"/>
        <v>0</v>
      </c>
      <c r="Z276" s="20">
        <f>Tabela1[[#This Row],[PESO TOTAL]]-Tabela1[[#This Row],[Peso Expedido]]</f>
        <v>0</v>
      </c>
      <c r="AA276" s="17">
        <v>1</v>
      </c>
      <c r="AB276" s="33"/>
      <c r="AC276" s="33">
        <v>1</v>
      </c>
      <c r="AD276" s="33">
        <v>1</v>
      </c>
      <c r="AE276" s="33">
        <v>1</v>
      </c>
      <c r="AF276" s="33">
        <v>1</v>
      </c>
      <c r="AG276" s="33">
        <v>1</v>
      </c>
      <c r="AH276" s="33">
        <v>1</v>
      </c>
      <c r="AI276" s="33" t="str">
        <f t="shared" si="45"/>
        <v>ok</v>
      </c>
      <c r="AJ276" s="5"/>
      <c r="AK276" t="str">
        <f>Tabela1[[#This Row],[Coluna1]]&amp;Tabela1[[#This Row],[PEDIDO]]</f>
        <v>P-188</v>
      </c>
      <c r="AL276"/>
      <c r="AM276"/>
      <c r="AN276"/>
      <c r="AO276" t="str">
        <f t="shared" si="50"/>
        <v>T-072968-1/1073-TC-006/007</v>
      </c>
      <c r="AP276" t="str">
        <f>Tabela1[[#This Row],[TAG]]&amp;Tabela1[[#This Row],[PEDIDO]]&amp;Tabela1[[#This Row],[PRODUTO]]</f>
        <v>1073-TC-006/007P-188RMF</v>
      </c>
      <c r="AQ276" s="22" t="str">
        <f>Tabela1[[#This Row],[PRODUTO]]&amp;Tabela1[[#This Row],[TAG]]</f>
        <v>RMF1073-TC-006/007</v>
      </c>
      <c r="AR276" s="24" t="str">
        <f>Tabela1[[#This Row],[PEDIDO]]&amp;Tabela1[[#This Row],[PRODUTO]]</f>
        <v>P-188RMF</v>
      </c>
      <c r="AS276" s="37">
        <f>IF(AF276="",0,IF(ISTEXT(AF276),H276*VALUE(SUBSTITUTE(AF276,"%",""))/100,H276*AF276))-Tabela1[[#This Row],[PRONTO ACABADO2]]</f>
        <v>0</v>
      </c>
      <c r="AT276" s="37">
        <f>IF(AG276="",0,IF(ISTEXT(AG276),H276*VALUE(SUBSTITUTE(AG276,"%",""))/100,H276*AG276))-Tabela1[[#This Row],[PESO EXPEDIDO2]]</f>
        <v>0</v>
      </c>
      <c r="AU276" s="37">
        <f t="shared" si="46"/>
        <v>172.39999999999998</v>
      </c>
      <c r="AV276" s="37">
        <f t="shared" si="47"/>
        <v>172.39999999999998</v>
      </c>
      <c r="AW276" s="37"/>
    </row>
    <row r="277" spans="1:49" ht="15.75" customHeight="1" x14ac:dyDescent="0.25">
      <c r="A277" s="6" t="s">
        <v>3913</v>
      </c>
      <c r="B277" s="21" t="s">
        <v>3921</v>
      </c>
      <c r="C277" s="7">
        <v>10</v>
      </c>
      <c r="D277" s="39" t="s">
        <v>3922</v>
      </c>
      <c r="E277" s="7">
        <v>4162</v>
      </c>
      <c r="F277" s="7" t="s">
        <v>3916</v>
      </c>
      <c r="G277" s="23">
        <v>83.6</v>
      </c>
      <c r="H277" s="34">
        <f>Tabela1[[#This Row],[PESO UNI]]*Tabela1[[#This Row],[QTE]]</f>
        <v>836</v>
      </c>
      <c r="I277" s="7">
        <v>0</v>
      </c>
      <c r="J277" s="8" t="s">
        <v>3790</v>
      </c>
      <c r="K277" s="8" t="s">
        <v>327</v>
      </c>
      <c r="L277" s="9" t="s">
        <v>2069</v>
      </c>
      <c r="M277" s="10">
        <v>46134</v>
      </c>
      <c r="N277" s="8" t="s">
        <v>327</v>
      </c>
      <c r="O277" s="12"/>
      <c r="P277" s="13"/>
      <c r="Q277" s="14">
        <f>Tabela1[[#This Row],[QTDE/ Fabricação]]-Tabela1[[#This Row],[QTE]]</f>
        <v>-10</v>
      </c>
      <c r="R277" s="18">
        <f t="shared" si="43"/>
        <v>836</v>
      </c>
      <c r="S277" s="18">
        <f t="shared" si="49"/>
        <v>836</v>
      </c>
      <c r="T277" s="19">
        <f t="shared" si="44"/>
        <v>0</v>
      </c>
      <c r="U277" s="207">
        <v>10</v>
      </c>
      <c r="V277" s="12" t="str">
        <f>IFERROR(VLOOKUP(Tabela1[[#This Row],[COD.MDE]],'LISTA DE EMBARQUE'!B:L,11,0),"")</f>
        <v/>
      </c>
      <c r="W277" s="13"/>
      <c r="X277" s="14">
        <f>IFERROR(Tabela1[[#This Row],[QIANTIDADE EXPEDIDA]]*Tabela1[[#This Row],[PESO UNI]],"")</f>
        <v>836</v>
      </c>
      <c r="Y277" s="14">
        <f t="shared" si="48"/>
        <v>0</v>
      </c>
      <c r="Z277" s="20">
        <f>Tabela1[[#This Row],[PESO TOTAL]]-Tabela1[[#This Row],[Peso Expedido]]</f>
        <v>0</v>
      </c>
      <c r="AA277" s="17">
        <v>1</v>
      </c>
      <c r="AB277" s="33"/>
      <c r="AC277" s="33">
        <v>1</v>
      </c>
      <c r="AD277" s="33">
        <v>1</v>
      </c>
      <c r="AE277" s="33">
        <v>1</v>
      </c>
      <c r="AF277" s="33">
        <v>1</v>
      </c>
      <c r="AG277" s="33">
        <v>1</v>
      </c>
      <c r="AH277" s="33">
        <v>1</v>
      </c>
      <c r="AI277" s="33" t="str">
        <f t="shared" si="45"/>
        <v>ok</v>
      </c>
      <c r="AJ277" s="5"/>
      <c r="AK277" t="str">
        <f>Tabela1[[#This Row],[Coluna1]]&amp;Tabela1[[#This Row],[PEDIDO]]</f>
        <v>P-188</v>
      </c>
      <c r="AL277"/>
      <c r="AM277"/>
      <c r="AN277"/>
      <c r="AO277" t="str">
        <f t="shared" si="50"/>
        <v>T-072968-1/1073-TC-006/007</v>
      </c>
      <c r="AP277" t="str">
        <f>Tabela1[[#This Row],[TAG]]&amp;Tabela1[[#This Row],[PEDIDO]]&amp;Tabela1[[#This Row],[PRODUTO]]</f>
        <v>1073-TC-006/007P-188RMF</v>
      </c>
      <c r="AQ277" s="22" t="str">
        <f>Tabela1[[#This Row],[PRODUTO]]&amp;Tabela1[[#This Row],[TAG]]</f>
        <v>RMF1073-TC-006/007</v>
      </c>
      <c r="AR277" s="24" t="str">
        <f>Tabela1[[#This Row],[PEDIDO]]&amp;Tabela1[[#This Row],[PRODUTO]]</f>
        <v>P-188RMF</v>
      </c>
      <c r="AS277" s="37">
        <f>IF(AF277="",0,IF(ISTEXT(AF277),H277*VALUE(SUBSTITUTE(AF277,"%",""))/100,H277*AF277))-Tabela1[[#This Row],[PRONTO ACABADO2]]</f>
        <v>0</v>
      </c>
      <c r="AT277" s="37">
        <f>IF(AG277="",0,IF(ISTEXT(AG277),H277*VALUE(SUBSTITUTE(AG277,"%",""))/100,H277*AG277))-Tabela1[[#This Row],[PESO EXPEDIDO2]]</f>
        <v>0</v>
      </c>
      <c r="AU277" s="37">
        <f t="shared" si="46"/>
        <v>836</v>
      </c>
      <c r="AV277" s="37">
        <f t="shared" si="47"/>
        <v>836</v>
      </c>
      <c r="AW277" s="37"/>
    </row>
    <row r="278" spans="1:49" ht="15.75" customHeight="1" x14ac:dyDescent="0.25">
      <c r="A278" s="6" t="s">
        <v>3913</v>
      </c>
      <c r="B278" s="21" t="s">
        <v>3923</v>
      </c>
      <c r="C278" s="7">
        <v>10</v>
      </c>
      <c r="D278" s="39" t="s">
        <v>3924</v>
      </c>
      <c r="E278" s="7">
        <v>4163</v>
      </c>
      <c r="F278" s="7" t="s">
        <v>3916</v>
      </c>
      <c r="G278" s="23">
        <v>83.6</v>
      </c>
      <c r="H278" s="34">
        <f>Tabela1[[#This Row],[PESO UNI]]*Tabela1[[#This Row],[QTE]]</f>
        <v>836</v>
      </c>
      <c r="I278" s="7">
        <v>0</v>
      </c>
      <c r="J278" s="8" t="s">
        <v>3790</v>
      </c>
      <c r="K278" s="8" t="s">
        <v>327</v>
      </c>
      <c r="L278" s="9" t="s">
        <v>2069</v>
      </c>
      <c r="M278" s="10">
        <v>46134</v>
      </c>
      <c r="N278" s="8" t="s">
        <v>327</v>
      </c>
      <c r="O278" s="12"/>
      <c r="P278" s="13"/>
      <c r="Q278" s="14">
        <f>Tabela1[[#This Row],[QTDE/ Fabricação]]-Tabela1[[#This Row],[QTE]]</f>
        <v>-10</v>
      </c>
      <c r="R278" s="18">
        <f t="shared" si="43"/>
        <v>836</v>
      </c>
      <c r="S278" s="18">
        <f t="shared" si="49"/>
        <v>836</v>
      </c>
      <c r="T278" s="19">
        <f t="shared" si="44"/>
        <v>0</v>
      </c>
      <c r="U278" s="207">
        <v>10</v>
      </c>
      <c r="V278" s="12" t="str">
        <f>IFERROR(VLOOKUP(Tabela1[[#This Row],[COD.MDE]],'LISTA DE EMBARQUE'!B:L,11,0),"")</f>
        <v/>
      </c>
      <c r="W278" s="13"/>
      <c r="X278" s="14">
        <f>IFERROR(Tabela1[[#This Row],[QIANTIDADE EXPEDIDA]]*Tabela1[[#This Row],[PESO UNI]],"")</f>
        <v>836</v>
      </c>
      <c r="Y278" s="14">
        <f t="shared" si="48"/>
        <v>0</v>
      </c>
      <c r="Z278" s="20">
        <f>Tabela1[[#This Row],[PESO TOTAL]]-Tabela1[[#This Row],[Peso Expedido]]</f>
        <v>0</v>
      </c>
      <c r="AA278" s="17">
        <v>1</v>
      </c>
      <c r="AB278" s="33"/>
      <c r="AC278" s="33">
        <v>1</v>
      </c>
      <c r="AD278" s="33">
        <v>1</v>
      </c>
      <c r="AE278" s="33">
        <v>1</v>
      </c>
      <c r="AF278" s="33">
        <v>1</v>
      </c>
      <c r="AG278" s="33">
        <v>1</v>
      </c>
      <c r="AH278" s="33">
        <v>1</v>
      </c>
      <c r="AI278" s="33" t="str">
        <f t="shared" si="45"/>
        <v>ok</v>
      </c>
      <c r="AJ278" s="5"/>
      <c r="AK278" t="str">
        <f>Tabela1[[#This Row],[Coluna1]]&amp;Tabela1[[#This Row],[PEDIDO]]</f>
        <v>P-188</v>
      </c>
      <c r="AL278"/>
      <c r="AM278"/>
      <c r="AN278"/>
      <c r="AO278" t="str">
        <f t="shared" si="50"/>
        <v>T-072968-1/1073-TC-006/007</v>
      </c>
      <c r="AP278" t="str">
        <f>Tabela1[[#This Row],[TAG]]&amp;Tabela1[[#This Row],[PEDIDO]]&amp;Tabela1[[#This Row],[PRODUTO]]</f>
        <v>1073-TC-006/007P-188RMF</v>
      </c>
      <c r="AQ278" s="22" t="str">
        <f>Tabela1[[#This Row],[PRODUTO]]&amp;Tabela1[[#This Row],[TAG]]</f>
        <v>RMF1073-TC-006/007</v>
      </c>
      <c r="AR278" s="24" t="str">
        <f>Tabela1[[#This Row],[PEDIDO]]&amp;Tabela1[[#This Row],[PRODUTO]]</f>
        <v>P-188RMF</v>
      </c>
      <c r="AS278" s="37">
        <f>IF(AF278="",0,IF(ISTEXT(AF278),H278*VALUE(SUBSTITUTE(AF278,"%",""))/100,H278*AF278))-Tabela1[[#This Row],[PRONTO ACABADO2]]</f>
        <v>0</v>
      </c>
      <c r="AT278" s="37">
        <f>IF(AG278="",0,IF(ISTEXT(AG278),H278*VALUE(SUBSTITUTE(AG278,"%",""))/100,H278*AG278))-Tabela1[[#This Row],[PESO EXPEDIDO2]]</f>
        <v>0</v>
      </c>
      <c r="AU278" s="37">
        <f t="shared" si="46"/>
        <v>836</v>
      </c>
      <c r="AV278" s="37">
        <f t="shared" si="47"/>
        <v>836</v>
      </c>
      <c r="AW278" s="37"/>
    </row>
    <row r="279" spans="1:49" ht="15.75" customHeight="1" x14ac:dyDescent="0.25">
      <c r="A279" s="6" t="s">
        <v>3913</v>
      </c>
      <c r="B279" s="21" t="s">
        <v>3925</v>
      </c>
      <c r="C279" s="7">
        <v>22</v>
      </c>
      <c r="D279" s="39" t="s">
        <v>3926</v>
      </c>
      <c r="E279" s="7">
        <v>4164</v>
      </c>
      <c r="F279" s="7" t="s">
        <v>3916</v>
      </c>
      <c r="G279" s="23">
        <v>2.85</v>
      </c>
      <c r="H279" s="34">
        <f>Tabela1[[#This Row],[PESO UNI]]*Tabela1[[#This Row],[QTE]]</f>
        <v>62.7</v>
      </c>
      <c r="I279" s="7">
        <v>0</v>
      </c>
      <c r="J279" s="8" t="s">
        <v>3790</v>
      </c>
      <c r="K279" s="8" t="s">
        <v>327</v>
      </c>
      <c r="L279" s="9" t="s">
        <v>2069</v>
      </c>
      <c r="M279" s="10">
        <v>46134</v>
      </c>
      <c r="N279" s="8" t="s">
        <v>327</v>
      </c>
      <c r="O279" s="12"/>
      <c r="P279" s="13"/>
      <c r="Q279" s="14">
        <f>Tabela1[[#This Row],[QTDE/ Fabricação]]-Tabela1[[#This Row],[QTE]]</f>
        <v>-22</v>
      </c>
      <c r="R279" s="18">
        <f t="shared" si="43"/>
        <v>62.7</v>
      </c>
      <c r="S279" s="18">
        <f t="shared" si="49"/>
        <v>62.7</v>
      </c>
      <c r="T279" s="19">
        <f t="shared" si="44"/>
        <v>0</v>
      </c>
      <c r="U279" s="207">
        <v>22</v>
      </c>
      <c r="V279" s="12" t="str">
        <f>IFERROR(VLOOKUP(Tabela1[[#This Row],[COD.MDE]],'LISTA DE EMBARQUE'!B:L,11,0),"")</f>
        <v/>
      </c>
      <c r="W279" s="13"/>
      <c r="X279" s="14">
        <f>IFERROR(Tabela1[[#This Row],[QIANTIDADE EXPEDIDA]]*Tabela1[[#This Row],[PESO UNI]],"")</f>
        <v>62.7</v>
      </c>
      <c r="Y279" s="14">
        <f t="shared" si="48"/>
        <v>0</v>
      </c>
      <c r="Z279" s="20">
        <f>Tabela1[[#This Row],[PESO TOTAL]]-Tabela1[[#This Row],[Peso Expedido]]</f>
        <v>0</v>
      </c>
      <c r="AA279" s="17">
        <v>1</v>
      </c>
      <c r="AB279" s="33"/>
      <c r="AC279" s="33">
        <v>1</v>
      </c>
      <c r="AD279" s="33">
        <v>1</v>
      </c>
      <c r="AE279" s="33">
        <v>1</v>
      </c>
      <c r="AF279" s="33">
        <v>1</v>
      </c>
      <c r="AG279" s="33">
        <v>1</v>
      </c>
      <c r="AH279" s="33">
        <v>1</v>
      </c>
      <c r="AI279" s="33" t="str">
        <f t="shared" si="45"/>
        <v>ok</v>
      </c>
      <c r="AJ279" s="5"/>
      <c r="AK279" t="str">
        <f>Tabela1[[#This Row],[Coluna1]]&amp;Tabela1[[#This Row],[PEDIDO]]</f>
        <v>P-188</v>
      </c>
      <c r="AL279"/>
      <c r="AM279"/>
      <c r="AN279"/>
      <c r="AO279" t="str">
        <f t="shared" si="50"/>
        <v>T-072968-1/1073-TC-006/007</v>
      </c>
      <c r="AP279" t="str">
        <f>Tabela1[[#This Row],[TAG]]&amp;Tabela1[[#This Row],[PEDIDO]]&amp;Tabela1[[#This Row],[PRODUTO]]</f>
        <v>1073-TC-006/007P-188RMF</v>
      </c>
      <c r="AQ279" s="22" t="str">
        <f>Tabela1[[#This Row],[PRODUTO]]&amp;Tabela1[[#This Row],[TAG]]</f>
        <v>RMF1073-TC-006/007</v>
      </c>
      <c r="AR279" s="24" t="str">
        <f>Tabela1[[#This Row],[PEDIDO]]&amp;Tabela1[[#This Row],[PRODUTO]]</f>
        <v>P-188RMF</v>
      </c>
      <c r="AS279" s="37">
        <f>IF(AF279="",0,IF(ISTEXT(AF279),H279*VALUE(SUBSTITUTE(AF279,"%",""))/100,H279*AF279))-Tabela1[[#This Row],[PRONTO ACABADO2]]</f>
        <v>0</v>
      </c>
      <c r="AT279" s="37">
        <f>IF(AG279="",0,IF(ISTEXT(AG279),H279*VALUE(SUBSTITUTE(AG279,"%",""))/100,H279*AG279))-Tabela1[[#This Row],[PESO EXPEDIDO2]]</f>
        <v>0</v>
      </c>
      <c r="AU279" s="37">
        <f t="shared" si="46"/>
        <v>62.7</v>
      </c>
      <c r="AV279" s="37">
        <f t="shared" si="47"/>
        <v>62.7</v>
      </c>
      <c r="AW279" s="37"/>
    </row>
    <row r="280" spans="1:49" ht="15.75" customHeight="1" x14ac:dyDescent="0.25">
      <c r="A280" s="6" t="s">
        <v>3913</v>
      </c>
      <c r="B280" s="21" t="s">
        <v>3927</v>
      </c>
      <c r="C280" s="7">
        <v>2</v>
      </c>
      <c r="D280" s="39" t="s">
        <v>3928</v>
      </c>
      <c r="E280" s="7">
        <v>4165</v>
      </c>
      <c r="F280" s="7" t="s">
        <v>3916</v>
      </c>
      <c r="G280" s="23">
        <v>23</v>
      </c>
      <c r="H280" s="34">
        <f>Tabela1[[#This Row],[PESO UNI]]*Tabela1[[#This Row],[QTE]]</f>
        <v>46</v>
      </c>
      <c r="I280" s="7">
        <v>0</v>
      </c>
      <c r="J280" s="8" t="s">
        <v>3790</v>
      </c>
      <c r="K280" s="8" t="s">
        <v>327</v>
      </c>
      <c r="L280" s="9" t="s">
        <v>2069</v>
      </c>
      <c r="M280" s="10">
        <v>46134</v>
      </c>
      <c r="N280" s="8" t="s">
        <v>327</v>
      </c>
      <c r="O280" s="12"/>
      <c r="P280" s="13"/>
      <c r="Q280" s="14">
        <f>Tabela1[[#This Row],[QTDE/ Fabricação]]-Tabela1[[#This Row],[QTE]]</f>
        <v>-2</v>
      </c>
      <c r="R280" s="18">
        <f t="shared" si="43"/>
        <v>46</v>
      </c>
      <c r="S280" s="18">
        <f t="shared" si="49"/>
        <v>46</v>
      </c>
      <c r="T280" s="19">
        <f t="shared" si="44"/>
        <v>0</v>
      </c>
      <c r="U280" s="207">
        <v>2</v>
      </c>
      <c r="V280" s="12" t="str">
        <f>IFERROR(VLOOKUP(Tabela1[[#This Row],[COD.MDE]],'LISTA DE EMBARQUE'!B:L,11,0),"")</f>
        <v/>
      </c>
      <c r="W280" s="13"/>
      <c r="X280" s="14">
        <f>IFERROR(Tabela1[[#This Row],[QIANTIDADE EXPEDIDA]]*Tabela1[[#This Row],[PESO UNI]],"")</f>
        <v>46</v>
      </c>
      <c r="Y280" s="14">
        <f t="shared" si="48"/>
        <v>0</v>
      </c>
      <c r="Z280" s="20">
        <f>Tabela1[[#This Row],[PESO TOTAL]]-Tabela1[[#This Row],[Peso Expedido]]</f>
        <v>0</v>
      </c>
      <c r="AA280" s="17">
        <v>1</v>
      </c>
      <c r="AB280" s="33"/>
      <c r="AC280" s="33">
        <v>1</v>
      </c>
      <c r="AD280" s="33">
        <v>1</v>
      </c>
      <c r="AE280" s="33">
        <v>1</v>
      </c>
      <c r="AF280" s="33">
        <v>1</v>
      </c>
      <c r="AG280" s="33">
        <v>1</v>
      </c>
      <c r="AH280" s="33">
        <v>1</v>
      </c>
      <c r="AI280" s="33" t="str">
        <f t="shared" si="45"/>
        <v>ok</v>
      </c>
      <c r="AJ280" s="5"/>
      <c r="AK280" t="str">
        <f>Tabela1[[#This Row],[Coluna1]]&amp;Tabela1[[#This Row],[PEDIDO]]</f>
        <v>P-188</v>
      </c>
      <c r="AL280"/>
      <c r="AM280"/>
      <c r="AN280"/>
      <c r="AO280" t="str">
        <f t="shared" si="50"/>
        <v>T-072968-1/1073-TC-006/007</v>
      </c>
      <c r="AP280" t="str">
        <f>Tabela1[[#This Row],[TAG]]&amp;Tabela1[[#This Row],[PEDIDO]]&amp;Tabela1[[#This Row],[PRODUTO]]</f>
        <v>1073-TC-006/007P-188RMF</v>
      </c>
      <c r="AQ280" s="22" t="str">
        <f>Tabela1[[#This Row],[PRODUTO]]&amp;Tabela1[[#This Row],[TAG]]</f>
        <v>RMF1073-TC-006/007</v>
      </c>
      <c r="AR280" s="24" t="str">
        <f>Tabela1[[#This Row],[PEDIDO]]&amp;Tabela1[[#This Row],[PRODUTO]]</f>
        <v>P-188RMF</v>
      </c>
      <c r="AS280" s="37">
        <f>IF(AF280="",0,IF(ISTEXT(AF280),H280*VALUE(SUBSTITUTE(AF280,"%",""))/100,H280*AF280))-Tabela1[[#This Row],[PRONTO ACABADO2]]</f>
        <v>0</v>
      </c>
      <c r="AT280" s="37">
        <f>IF(AG280="",0,IF(ISTEXT(AG280),H280*VALUE(SUBSTITUTE(AG280,"%",""))/100,H280*AG280))-Tabela1[[#This Row],[PESO EXPEDIDO2]]</f>
        <v>0</v>
      </c>
      <c r="AU280" s="37">
        <f t="shared" si="46"/>
        <v>46</v>
      </c>
      <c r="AV280" s="37">
        <f t="shared" si="47"/>
        <v>46</v>
      </c>
      <c r="AW280" s="37"/>
    </row>
    <row r="281" spans="1:49" ht="15.75" customHeight="1" x14ac:dyDescent="0.25">
      <c r="A281" s="6" t="s">
        <v>3913</v>
      </c>
      <c r="B281" s="21" t="s">
        <v>3929</v>
      </c>
      <c r="C281" s="7">
        <v>60</v>
      </c>
      <c r="D281" s="39" t="s">
        <v>3897</v>
      </c>
      <c r="E281" s="7">
        <v>4166</v>
      </c>
      <c r="F281" s="7" t="s">
        <v>3916</v>
      </c>
      <c r="G281" s="23">
        <v>0.64</v>
      </c>
      <c r="H281" s="34">
        <f>Tabela1[[#This Row],[PESO UNI]]*Tabela1[[#This Row],[QTE]]</f>
        <v>38.4</v>
      </c>
      <c r="I281" s="7">
        <v>0</v>
      </c>
      <c r="J281" s="8" t="s">
        <v>3790</v>
      </c>
      <c r="K281" s="8" t="s">
        <v>327</v>
      </c>
      <c r="L281" s="9" t="s">
        <v>2069</v>
      </c>
      <c r="M281" s="10">
        <v>46134</v>
      </c>
      <c r="N281" s="8" t="s">
        <v>327</v>
      </c>
      <c r="O281" s="12"/>
      <c r="P281" s="13"/>
      <c r="Q281" s="14">
        <f>Tabela1[[#This Row],[QTDE/ Fabricação]]-Tabela1[[#This Row],[QTE]]</f>
        <v>-60</v>
      </c>
      <c r="R281" s="18">
        <f t="shared" si="43"/>
        <v>38.4</v>
      </c>
      <c r="S281" s="18">
        <f t="shared" si="49"/>
        <v>38.4</v>
      </c>
      <c r="T281" s="19">
        <f t="shared" si="44"/>
        <v>0</v>
      </c>
      <c r="U281" s="207">
        <v>60</v>
      </c>
      <c r="V281" s="12" t="str">
        <f>IFERROR(VLOOKUP(Tabela1[[#This Row],[COD.MDE]],'LISTA DE EMBARQUE'!B:L,11,0),"")</f>
        <v/>
      </c>
      <c r="W281" s="13"/>
      <c r="X281" s="14">
        <f>IFERROR(Tabela1[[#This Row],[QIANTIDADE EXPEDIDA]]*Tabela1[[#This Row],[PESO UNI]],"")</f>
        <v>38.4</v>
      </c>
      <c r="Y281" s="14">
        <f t="shared" si="48"/>
        <v>0</v>
      </c>
      <c r="Z281" s="20">
        <f>Tabela1[[#This Row],[PESO TOTAL]]-Tabela1[[#This Row],[Peso Expedido]]</f>
        <v>0</v>
      </c>
      <c r="AA281" s="17">
        <v>1</v>
      </c>
      <c r="AB281" s="33"/>
      <c r="AC281" s="33">
        <v>1</v>
      </c>
      <c r="AD281" s="33">
        <v>1</v>
      </c>
      <c r="AE281" s="33">
        <v>1</v>
      </c>
      <c r="AF281" s="33">
        <v>1</v>
      </c>
      <c r="AG281" s="33">
        <v>1</v>
      </c>
      <c r="AH281" s="33">
        <v>1</v>
      </c>
      <c r="AI281" s="33" t="str">
        <f t="shared" si="45"/>
        <v>ok</v>
      </c>
      <c r="AJ281" s="5"/>
      <c r="AK281" t="str">
        <f>Tabela1[[#This Row],[Coluna1]]&amp;Tabela1[[#This Row],[PEDIDO]]</f>
        <v>P-188</v>
      </c>
      <c r="AL281"/>
      <c r="AM281"/>
      <c r="AN281"/>
      <c r="AO281" t="str">
        <f t="shared" si="50"/>
        <v>T-072968-1/1073-TC-006/007</v>
      </c>
      <c r="AP281" t="str">
        <f>Tabela1[[#This Row],[TAG]]&amp;Tabela1[[#This Row],[PEDIDO]]&amp;Tabela1[[#This Row],[PRODUTO]]</f>
        <v>1073-TC-006/007P-188RMF</v>
      </c>
      <c r="AQ281" s="22" t="str">
        <f>Tabela1[[#This Row],[PRODUTO]]&amp;Tabela1[[#This Row],[TAG]]</f>
        <v>RMF1073-TC-006/007</v>
      </c>
      <c r="AR281" s="24" t="str">
        <f>Tabela1[[#This Row],[PEDIDO]]&amp;Tabela1[[#This Row],[PRODUTO]]</f>
        <v>P-188RMF</v>
      </c>
      <c r="AS281" s="37">
        <f>IF(AF281="",0,IF(ISTEXT(AF281),H281*VALUE(SUBSTITUTE(AF281,"%",""))/100,H281*AF281))-Tabela1[[#This Row],[PRONTO ACABADO2]]</f>
        <v>0</v>
      </c>
      <c r="AT281" s="37">
        <f>IF(AG281="",0,IF(ISTEXT(AG281),H281*VALUE(SUBSTITUTE(AG281,"%",""))/100,H281*AG281))-Tabela1[[#This Row],[PESO EXPEDIDO2]]</f>
        <v>0</v>
      </c>
      <c r="AU281" s="37">
        <f t="shared" si="46"/>
        <v>38.4</v>
      </c>
      <c r="AV281" s="37">
        <f t="shared" si="47"/>
        <v>38.4</v>
      </c>
      <c r="AW281" s="37"/>
    </row>
    <row r="282" spans="1:49" ht="15.75" customHeight="1" x14ac:dyDescent="0.25">
      <c r="A282" s="6" t="s">
        <v>3930</v>
      </c>
      <c r="B282" s="21" t="s">
        <v>3931</v>
      </c>
      <c r="C282" s="7">
        <v>1</v>
      </c>
      <c r="D282" s="39" t="s">
        <v>3781</v>
      </c>
      <c r="E282" s="7">
        <v>4167</v>
      </c>
      <c r="F282" s="7" t="s">
        <v>3932</v>
      </c>
      <c r="G282" s="23">
        <v>466.3</v>
      </c>
      <c r="H282" s="34">
        <f>Tabela1[[#This Row],[PESO UNI]]*Tabela1[[#This Row],[QTE]]</f>
        <v>466.3</v>
      </c>
      <c r="I282" s="7">
        <v>2</v>
      </c>
      <c r="J282" s="8" t="s">
        <v>2274</v>
      </c>
      <c r="K282" s="8" t="s">
        <v>327</v>
      </c>
      <c r="L282" s="9" t="s">
        <v>2069</v>
      </c>
      <c r="M282" s="10">
        <v>46150</v>
      </c>
      <c r="N282" s="8" t="s">
        <v>327</v>
      </c>
      <c r="O282" s="12"/>
      <c r="P282" s="13"/>
      <c r="Q282" s="14">
        <f>Tabela1[[#This Row],[QTDE/ Fabricação]]-Tabela1[[#This Row],[QTE]]</f>
        <v>-1</v>
      </c>
      <c r="R282" s="18">
        <f t="shared" ref="R282:R345" si="51">IFERROR(H282*((AA282*0.25)+(AC282*0.25)+(AD282*0.225)+(AE282*0.225)+(AF282*0.05)),"")</f>
        <v>466.3</v>
      </c>
      <c r="S282" s="18">
        <f t="shared" si="49"/>
        <v>466.3</v>
      </c>
      <c r="T282" s="19">
        <f t="shared" ref="T282:T345" si="52">IFERROR(S282-H282,"")</f>
        <v>0</v>
      </c>
      <c r="U282" s="207">
        <v>1</v>
      </c>
      <c r="V282" s="12" t="str">
        <f>IFERROR(VLOOKUP(Tabela1[[#This Row],[COD.MDE]],'LISTA DE EMBARQUE'!B:L,11,0),"")</f>
        <v/>
      </c>
      <c r="W282" s="13"/>
      <c r="X282" s="14">
        <f>IFERROR(Tabela1[[#This Row],[QIANTIDADE EXPEDIDA]]*Tabela1[[#This Row],[PESO UNI]],"")</f>
        <v>466.3</v>
      </c>
      <c r="Y282" s="14">
        <f t="shared" si="48"/>
        <v>0</v>
      </c>
      <c r="Z282" s="20">
        <f>Tabela1[[#This Row],[PESO TOTAL]]-Tabela1[[#This Row],[Peso Expedido]]</f>
        <v>0</v>
      </c>
      <c r="AA282" s="17">
        <v>1</v>
      </c>
      <c r="AB282" s="33"/>
      <c r="AC282" s="33">
        <v>1</v>
      </c>
      <c r="AD282" s="33">
        <v>1</v>
      </c>
      <c r="AE282" s="33">
        <v>1</v>
      </c>
      <c r="AF282" s="33">
        <v>1</v>
      </c>
      <c r="AG282" s="33">
        <v>1</v>
      </c>
      <c r="AH282" s="33">
        <v>1</v>
      </c>
      <c r="AI282" s="33" t="str">
        <f t="shared" si="45"/>
        <v>ok</v>
      </c>
      <c r="AJ282" s="5"/>
      <c r="AK282" t="str">
        <f>Tabela1[[#This Row],[Coluna1]]&amp;Tabela1[[#This Row],[PEDIDO]]</f>
        <v>P-188</v>
      </c>
      <c r="AL282"/>
      <c r="AM282"/>
      <c r="AN282"/>
      <c r="AO282" t="str">
        <f t="shared" si="50"/>
        <v>T-072984-1/1073-TC-006</v>
      </c>
      <c r="AP282" t="str">
        <f>Tabela1[[#This Row],[TAG]]&amp;Tabela1[[#This Row],[PEDIDO]]&amp;Tabela1[[#This Row],[PRODUTO]]</f>
        <v>1073-TC-006P-188RMF</v>
      </c>
      <c r="AQ282" s="22" t="str">
        <f>Tabela1[[#This Row],[PRODUTO]]&amp;Tabela1[[#This Row],[TAG]]</f>
        <v>RMF1073-TC-006</v>
      </c>
      <c r="AR282" s="24" t="str">
        <f>Tabela1[[#This Row],[PEDIDO]]&amp;Tabela1[[#This Row],[PRODUTO]]</f>
        <v>P-188RMF</v>
      </c>
      <c r="AS282" s="37">
        <f>IF(AF282="",0,IF(ISTEXT(AF282),H282*VALUE(SUBSTITUTE(AF282,"%",""))/100,H282*AF282))-Tabela1[[#This Row],[PRONTO ACABADO2]]</f>
        <v>0</v>
      </c>
      <c r="AT282" s="37">
        <f>IF(AG282="",0,IF(ISTEXT(AG282),H282*VALUE(SUBSTITUTE(AG282,"%",""))/100,H282*AG282))-Tabela1[[#This Row],[PESO EXPEDIDO2]]</f>
        <v>0</v>
      </c>
      <c r="AU282" s="37">
        <f t="shared" si="46"/>
        <v>466.3</v>
      </c>
      <c r="AV282" s="37">
        <f t="shared" si="47"/>
        <v>466.3</v>
      </c>
      <c r="AW282" s="37"/>
    </row>
    <row r="283" spans="1:49" ht="15.75" customHeight="1" x14ac:dyDescent="0.25">
      <c r="A283" s="6" t="s">
        <v>3930</v>
      </c>
      <c r="B283" s="21" t="s">
        <v>3931</v>
      </c>
      <c r="C283" s="7">
        <v>1</v>
      </c>
      <c r="D283" s="39" t="s">
        <v>3781</v>
      </c>
      <c r="E283" s="7">
        <v>4168</v>
      </c>
      <c r="F283" s="7" t="s">
        <v>3932</v>
      </c>
      <c r="G283" s="23">
        <v>466.3</v>
      </c>
      <c r="H283" s="34">
        <f>Tabela1[[#This Row],[PESO UNI]]*Tabela1[[#This Row],[QTE]]</f>
        <v>466.3</v>
      </c>
      <c r="I283" s="7">
        <v>2</v>
      </c>
      <c r="J283" s="8" t="s">
        <v>2276</v>
      </c>
      <c r="K283" s="8" t="s">
        <v>327</v>
      </c>
      <c r="L283" s="9" t="s">
        <v>2069</v>
      </c>
      <c r="M283" s="10">
        <v>46150</v>
      </c>
      <c r="N283" s="8" t="s">
        <v>327</v>
      </c>
      <c r="O283" s="12"/>
      <c r="P283" s="13"/>
      <c r="Q283" s="14">
        <f>Tabela1[[#This Row],[QTDE/ Fabricação]]-Tabela1[[#This Row],[QTE]]</f>
        <v>-1</v>
      </c>
      <c r="R283" s="18">
        <f t="shared" si="51"/>
        <v>466.3</v>
      </c>
      <c r="S283" s="18">
        <f t="shared" si="49"/>
        <v>466.3</v>
      </c>
      <c r="T283" s="19">
        <f t="shared" si="52"/>
        <v>0</v>
      </c>
      <c r="U283" s="207">
        <v>1</v>
      </c>
      <c r="V283" s="12" t="str">
        <f>IFERROR(VLOOKUP(Tabela1[[#This Row],[COD.MDE]],'LISTA DE EMBARQUE'!B:L,11,0),"")</f>
        <v/>
      </c>
      <c r="W283" s="13"/>
      <c r="X283" s="14">
        <f>IFERROR(Tabela1[[#This Row],[QIANTIDADE EXPEDIDA]]*Tabela1[[#This Row],[PESO UNI]],"")</f>
        <v>466.3</v>
      </c>
      <c r="Y283" s="14">
        <f t="shared" si="48"/>
        <v>0</v>
      </c>
      <c r="Z283" s="20">
        <f>Tabela1[[#This Row],[PESO TOTAL]]-Tabela1[[#This Row],[Peso Expedido]]</f>
        <v>0</v>
      </c>
      <c r="AA283" s="17">
        <v>1</v>
      </c>
      <c r="AB283" s="33"/>
      <c r="AC283" s="33">
        <v>1</v>
      </c>
      <c r="AD283" s="33">
        <v>1</v>
      </c>
      <c r="AE283" s="33">
        <v>1</v>
      </c>
      <c r="AF283" s="33">
        <v>1</v>
      </c>
      <c r="AG283" s="33">
        <v>1</v>
      </c>
      <c r="AH283" s="33">
        <v>1</v>
      </c>
      <c r="AI283" s="33" t="str">
        <f t="shared" si="45"/>
        <v>ok</v>
      </c>
      <c r="AJ283" s="5"/>
      <c r="AK283" t="str">
        <f>Tabela1[[#This Row],[Coluna1]]&amp;Tabela1[[#This Row],[PEDIDO]]</f>
        <v>P-188</v>
      </c>
      <c r="AL283"/>
      <c r="AM283"/>
      <c r="AN283"/>
      <c r="AO283" t="str">
        <f t="shared" si="50"/>
        <v>T-072984-1/1073-TC-007</v>
      </c>
      <c r="AP283" t="str">
        <f>Tabela1[[#This Row],[TAG]]&amp;Tabela1[[#This Row],[PEDIDO]]&amp;Tabela1[[#This Row],[PRODUTO]]</f>
        <v>1073-TC-007P-188RMF</v>
      </c>
      <c r="AQ283" s="22" t="str">
        <f>Tabela1[[#This Row],[PRODUTO]]&amp;Tabela1[[#This Row],[TAG]]</f>
        <v>RMF1073-TC-007</v>
      </c>
      <c r="AR283" s="24" t="str">
        <f>Tabela1[[#This Row],[PEDIDO]]&amp;Tabela1[[#This Row],[PRODUTO]]</f>
        <v>P-188RMF</v>
      </c>
      <c r="AS283" s="37">
        <f>IF(AF283="",0,IF(ISTEXT(AF283),H283*VALUE(SUBSTITUTE(AF283,"%",""))/100,H283*AF283))-Tabela1[[#This Row],[PRONTO ACABADO2]]</f>
        <v>0</v>
      </c>
      <c r="AT283" s="37">
        <f>IF(AG283="",0,IF(ISTEXT(AG283),H283*VALUE(SUBSTITUTE(AG283,"%",""))/100,H283*AG283))-Tabela1[[#This Row],[PESO EXPEDIDO2]]</f>
        <v>0</v>
      </c>
      <c r="AU283" s="37">
        <f t="shared" si="46"/>
        <v>466.3</v>
      </c>
      <c r="AV283" s="37">
        <f t="shared" si="47"/>
        <v>466.3</v>
      </c>
      <c r="AW283" s="37"/>
    </row>
    <row r="284" spans="1:49" ht="15.75" customHeight="1" x14ac:dyDescent="0.25">
      <c r="A284" s="6" t="s">
        <v>3933</v>
      </c>
      <c r="B284" s="21" t="s">
        <v>3934</v>
      </c>
      <c r="C284" s="7">
        <v>1</v>
      </c>
      <c r="D284" s="39" t="s">
        <v>3781</v>
      </c>
      <c r="E284" s="7">
        <v>4169</v>
      </c>
      <c r="F284" s="7" t="s">
        <v>3932</v>
      </c>
      <c r="G284" s="23">
        <v>320.39999999999998</v>
      </c>
      <c r="H284" s="34">
        <f>Tabela1[[#This Row],[PESO UNI]]*Tabela1[[#This Row],[QTE]]</f>
        <v>320.39999999999998</v>
      </c>
      <c r="I284" s="7">
        <v>2</v>
      </c>
      <c r="J284" s="8" t="s">
        <v>2274</v>
      </c>
      <c r="K284" s="8" t="s">
        <v>327</v>
      </c>
      <c r="L284" s="9" t="s">
        <v>2069</v>
      </c>
      <c r="M284" s="10">
        <v>46150</v>
      </c>
      <c r="N284" s="8" t="s">
        <v>327</v>
      </c>
      <c r="O284" s="12"/>
      <c r="P284" s="13"/>
      <c r="Q284" s="14">
        <f>Tabela1[[#This Row],[QTDE/ Fabricação]]-Tabela1[[#This Row],[QTE]]</f>
        <v>-1</v>
      </c>
      <c r="R284" s="18">
        <f t="shared" si="51"/>
        <v>320.39999999999998</v>
      </c>
      <c r="S284" s="18">
        <f t="shared" si="49"/>
        <v>320.39999999999998</v>
      </c>
      <c r="T284" s="19">
        <f t="shared" si="52"/>
        <v>0</v>
      </c>
      <c r="U284" s="207">
        <v>1</v>
      </c>
      <c r="V284" s="12" t="str">
        <f>IFERROR(VLOOKUP(Tabela1[[#This Row],[COD.MDE]],'LISTA DE EMBARQUE'!B:L,11,0),"")</f>
        <v/>
      </c>
      <c r="W284" s="13"/>
      <c r="X284" s="14">
        <f>IFERROR(Tabela1[[#This Row],[QIANTIDADE EXPEDIDA]]*Tabela1[[#This Row],[PESO UNI]],"")</f>
        <v>320.39999999999998</v>
      </c>
      <c r="Y284" s="14">
        <f t="shared" si="48"/>
        <v>0</v>
      </c>
      <c r="Z284" s="20">
        <f>Tabela1[[#This Row],[PESO TOTAL]]-Tabela1[[#This Row],[Peso Expedido]]</f>
        <v>0</v>
      </c>
      <c r="AA284" s="17">
        <v>1</v>
      </c>
      <c r="AB284" s="33"/>
      <c r="AC284" s="33">
        <v>1</v>
      </c>
      <c r="AD284" s="33">
        <v>1</v>
      </c>
      <c r="AE284" s="33">
        <v>1</v>
      </c>
      <c r="AF284" s="33">
        <v>1</v>
      </c>
      <c r="AG284" s="33">
        <v>1</v>
      </c>
      <c r="AH284" s="33">
        <v>1</v>
      </c>
      <c r="AI284" s="33" t="str">
        <f t="shared" ref="AI284:AI347" si="53">IF(Z284&lt;=0,"ok","")</f>
        <v>ok</v>
      </c>
      <c r="AJ284" s="5"/>
      <c r="AK284" t="str">
        <f>Tabela1[[#This Row],[Coluna1]]&amp;Tabela1[[#This Row],[PEDIDO]]</f>
        <v>P-188</v>
      </c>
      <c r="AL284"/>
      <c r="AM284"/>
      <c r="AN284"/>
      <c r="AO284" t="str">
        <f t="shared" si="50"/>
        <v>T-072985-1/1073-TC-006</v>
      </c>
      <c r="AP284" t="str">
        <f>Tabela1[[#This Row],[TAG]]&amp;Tabela1[[#This Row],[PEDIDO]]&amp;Tabela1[[#This Row],[PRODUTO]]</f>
        <v>1073-TC-006P-188RMF</v>
      </c>
      <c r="AQ284" s="22" t="str">
        <f>Tabela1[[#This Row],[PRODUTO]]&amp;Tabela1[[#This Row],[TAG]]</f>
        <v>RMF1073-TC-006</v>
      </c>
      <c r="AR284" s="24" t="str">
        <f>Tabela1[[#This Row],[PEDIDO]]&amp;Tabela1[[#This Row],[PRODUTO]]</f>
        <v>P-188RMF</v>
      </c>
      <c r="AS284" s="37">
        <f>IF(AF284="",0,IF(ISTEXT(AF284),H284*VALUE(SUBSTITUTE(AF284,"%",""))/100,H284*AF284))-Tabela1[[#This Row],[PRONTO ACABADO2]]</f>
        <v>0</v>
      </c>
      <c r="AT284" s="37">
        <f>IF(AG284="",0,IF(ISTEXT(AG284),H284*VALUE(SUBSTITUTE(AG284,"%",""))/100,H284*AG284))-Tabela1[[#This Row],[PESO EXPEDIDO2]]</f>
        <v>0</v>
      </c>
      <c r="AU284" s="37">
        <f t="shared" si="46"/>
        <v>320.39999999999998</v>
      </c>
      <c r="AV284" s="37">
        <f t="shared" si="47"/>
        <v>320.39999999999998</v>
      </c>
      <c r="AW284" s="37"/>
    </row>
    <row r="285" spans="1:49" ht="15.75" customHeight="1" x14ac:dyDescent="0.25">
      <c r="A285" s="6" t="s">
        <v>3933</v>
      </c>
      <c r="B285" s="21" t="s">
        <v>3934</v>
      </c>
      <c r="C285" s="7">
        <v>1</v>
      </c>
      <c r="D285" s="39" t="s">
        <v>3781</v>
      </c>
      <c r="E285" s="7">
        <v>4170</v>
      </c>
      <c r="F285" s="7" t="s">
        <v>3932</v>
      </c>
      <c r="G285" s="23">
        <v>320.39999999999998</v>
      </c>
      <c r="H285" s="34">
        <f>Tabela1[[#This Row],[PESO UNI]]*Tabela1[[#This Row],[QTE]]</f>
        <v>320.39999999999998</v>
      </c>
      <c r="I285" s="7">
        <v>2</v>
      </c>
      <c r="J285" s="8" t="s">
        <v>2276</v>
      </c>
      <c r="K285" s="8" t="s">
        <v>327</v>
      </c>
      <c r="L285" s="9" t="s">
        <v>2069</v>
      </c>
      <c r="M285" s="10">
        <v>46150</v>
      </c>
      <c r="N285" s="8" t="s">
        <v>327</v>
      </c>
      <c r="O285" s="12"/>
      <c r="P285" s="13"/>
      <c r="Q285" s="14">
        <f>Tabela1[[#This Row],[QTDE/ Fabricação]]-Tabela1[[#This Row],[QTE]]</f>
        <v>-1</v>
      </c>
      <c r="R285" s="18">
        <f t="shared" si="51"/>
        <v>320.39999999999998</v>
      </c>
      <c r="S285" s="18">
        <f t="shared" si="49"/>
        <v>320.39999999999998</v>
      </c>
      <c r="T285" s="19">
        <f t="shared" si="52"/>
        <v>0</v>
      </c>
      <c r="U285" s="207">
        <v>1</v>
      </c>
      <c r="V285" s="12" t="str">
        <f>IFERROR(VLOOKUP(Tabela1[[#This Row],[COD.MDE]],'LISTA DE EMBARQUE'!B:L,11,0),"")</f>
        <v/>
      </c>
      <c r="W285" s="13"/>
      <c r="X285" s="14">
        <f>IFERROR(Tabela1[[#This Row],[QIANTIDADE EXPEDIDA]]*Tabela1[[#This Row],[PESO UNI]],"")</f>
        <v>320.39999999999998</v>
      </c>
      <c r="Y285" s="14">
        <f t="shared" si="48"/>
        <v>0</v>
      </c>
      <c r="Z285" s="20">
        <f>Tabela1[[#This Row],[PESO TOTAL]]-Tabela1[[#This Row],[Peso Expedido]]</f>
        <v>0</v>
      </c>
      <c r="AA285" s="17">
        <v>1</v>
      </c>
      <c r="AB285" s="33"/>
      <c r="AC285" s="33">
        <v>1</v>
      </c>
      <c r="AD285" s="33">
        <v>1</v>
      </c>
      <c r="AE285" s="33">
        <v>1</v>
      </c>
      <c r="AF285" s="33">
        <v>1</v>
      </c>
      <c r="AG285" s="33">
        <v>1</v>
      </c>
      <c r="AH285" s="33">
        <v>1</v>
      </c>
      <c r="AI285" s="33" t="str">
        <f t="shared" si="53"/>
        <v>ok</v>
      </c>
      <c r="AJ285" s="5"/>
      <c r="AK285" t="str">
        <f>Tabela1[[#This Row],[Coluna1]]&amp;Tabela1[[#This Row],[PEDIDO]]</f>
        <v>P-188</v>
      </c>
      <c r="AL285"/>
      <c r="AM285"/>
      <c r="AN285"/>
      <c r="AO285" t="str">
        <f t="shared" si="50"/>
        <v>T-072985-1/1073-TC-007</v>
      </c>
      <c r="AP285" t="str">
        <f>Tabela1[[#This Row],[TAG]]&amp;Tabela1[[#This Row],[PEDIDO]]&amp;Tabela1[[#This Row],[PRODUTO]]</f>
        <v>1073-TC-007P-188RMF</v>
      </c>
      <c r="AQ285" s="22" t="str">
        <f>Tabela1[[#This Row],[PRODUTO]]&amp;Tabela1[[#This Row],[TAG]]</f>
        <v>RMF1073-TC-007</v>
      </c>
      <c r="AR285" s="24" t="str">
        <f>Tabela1[[#This Row],[PEDIDO]]&amp;Tabela1[[#This Row],[PRODUTO]]</f>
        <v>P-188RMF</v>
      </c>
      <c r="AS285" s="37">
        <f>IF(AF285="",0,IF(ISTEXT(AF285),H285*VALUE(SUBSTITUTE(AF285,"%",""))/100,H285*AF285))-Tabela1[[#This Row],[PRONTO ACABADO2]]</f>
        <v>0</v>
      </c>
      <c r="AT285" s="37">
        <f>IF(AG285="",0,IF(ISTEXT(AG285),H285*VALUE(SUBSTITUTE(AG285,"%",""))/100,H285*AG285))-Tabela1[[#This Row],[PESO EXPEDIDO2]]</f>
        <v>0</v>
      </c>
      <c r="AU285" s="37">
        <f t="shared" si="46"/>
        <v>320.39999999999998</v>
      </c>
      <c r="AV285" s="37">
        <f t="shared" si="47"/>
        <v>320.39999999999998</v>
      </c>
      <c r="AW285" s="37"/>
    </row>
    <row r="286" spans="1:49" ht="15.75" customHeight="1" x14ac:dyDescent="0.25">
      <c r="A286" s="6" t="s">
        <v>3935</v>
      </c>
      <c r="B286" s="21" t="s">
        <v>3936</v>
      </c>
      <c r="C286" s="7">
        <v>1</v>
      </c>
      <c r="D286" s="39" t="s">
        <v>3937</v>
      </c>
      <c r="E286" s="7">
        <v>4171</v>
      </c>
      <c r="F286" s="7" t="s">
        <v>3932</v>
      </c>
      <c r="G286" s="23">
        <v>32.9</v>
      </c>
      <c r="H286" s="34">
        <f>Tabela1[[#This Row],[PESO UNI]]*Tabela1[[#This Row],[QTE]]</f>
        <v>32.9</v>
      </c>
      <c r="I286" s="7">
        <v>0</v>
      </c>
      <c r="J286" s="8" t="s">
        <v>2274</v>
      </c>
      <c r="K286" s="8" t="s">
        <v>327</v>
      </c>
      <c r="L286" s="9" t="s">
        <v>2069</v>
      </c>
      <c r="M286" s="10">
        <v>46136</v>
      </c>
      <c r="N286" s="8" t="s">
        <v>327</v>
      </c>
      <c r="O286" s="12"/>
      <c r="P286" s="13"/>
      <c r="Q286" s="14">
        <f>Tabela1[[#This Row],[QTDE/ Fabricação]]-Tabela1[[#This Row],[QTE]]</f>
        <v>-1</v>
      </c>
      <c r="R286" s="18">
        <f t="shared" si="51"/>
        <v>32.9</v>
      </c>
      <c r="S286" s="18">
        <f t="shared" si="49"/>
        <v>32.9</v>
      </c>
      <c r="T286" s="19">
        <f t="shared" si="52"/>
        <v>0</v>
      </c>
      <c r="U286" s="207">
        <v>1</v>
      </c>
      <c r="V286" s="12" t="str">
        <f>IFERROR(VLOOKUP(Tabela1[[#This Row],[COD.MDE]],'LISTA DE EMBARQUE'!B:L,11,0),"")</f>
        <v/>
      </c>
      <c r="W286" s="13"/>
      <c r="X286" s="14">
        <f>IFERROR(Tabela1[[#This Row],[QIANTIDADE EXPEDIDA]]*Tabela1[[#This Row],[PESO UNI]],"")</f>
        <v>32.9</v>
      </c>
      <c r="Y286" s="14">
        <f t="shared" si="48"/>
        <v>0</v>
      </c>
      <c r="Z286" s="20">
        <f>Tabela1[[#This Row],[PESO TOTAL]]-Tabela1[[#This Row],[Peso Expedido]]</f>
        <v>0</v>
      </c>
      <c r="AA286" s="17">
        <v>1</v>
      </c>
      <c r="AB286" s="33"/>
      <c r="AC286" s="33">
        <v>1</v>
      </c>
      <c r="AD286" s="33">
        <v>1</v>
      </c>
      <c r="AE286" s="33">
        <v>1</v>
      </c>
      <c r="AF286" s="33">
        <v>1</v>
      </c>
      <c r="AG286" s="33">
        <v>1</v>
      </c>
      <c r="AH286" s="33">
        <v>1</v>
      </c>
      <c r="AI286" s="33" t="str">
        <f t="shared" si="53"/>
        <v>ok</v>
      </c>
      <c r="AJ286" s="5"/>
      <c r="AK286" t="str">
        <f>Tabela1[[#This Row],[Coluna1]]&amp;Tabela1[[#This Row],[PEDIDO]]</f>
        <v>P-188</v>
      </c>
      <c r="AL286"/>
      <c r="AM286"/>
      <c r="AN286"/>
      <c r="AO286" t="str">
        <f t="shared" si="50"/>
        <v>T-072986-1/1073-TC-006</v>
      </c>
      <c r="AP286" t="str">
        <f>Tabela1[[#This Row],[TAG]]&amp;Tabela1[[#This Row],[PEDIDO]]&amp;Tabela1[[#This Row],[PRODUTO]]</f>
        <v>1073-TC-006P-188RMF</v>
      </c>
      <c r="AQ286" s="22" t="str">
        <f>Tabela1[[#This Row],[PRODUTO]]&amp;Tabela1[[#This Row],[TAG]]</f>
        <v>RMF1073-TC-006</v>
      </c>
      <c r="AR286" s="24" t="str">
        <f>Tabela1[[#This Row],[PEDIDO]]&amp;Tabela1[[#This Row],[PRODUTO]]</f>
        <v>P-188RMF</v>
      </c>
      <c r="AS286" s="37">
        <f>IF(AF286="",0,IF(ISTEXT(AF286),H286*VALUE(SUBSTITUTE(AF286,"%",""))/100,H286*AF286))-Tabela1[[#This Row],[PRONTO ACABADO2]]</f>
        <v>0</v>
      </c>
      <c r="AT286" s="37">
        <f>IF(AG286="",0,IF(ISTEXT(AG286),H286*VALUE(SUBSTITUTE(AG286,"%",""))/100,H286*AG286))-Tabela1[[#This Row],[PESO EXPEDIDO2]]</f>
        <v>0</v>
      </c>
      <c r="AU286" s="37">
        <f t="shared" si="46"/>
        <v>32.9</v>
      </c>
      <c r="AV286" s="37">
        <f t="shared" si="47"/>
        <v>32.9</v>
      </c>
      <c r="AW286" s="37"/>
    </row>
    <row r="287" spans="1:49" ht="15.75" customHeight="1" x14ac:dyDescent="0.25">
      <c r="A287" s="6" t="s">
        <v>3935</v>
      </c>
      <c r="B287" s="21" t="s">
        <v>3938</v>
      </c>
      <c r="C287" s="7">
        <v>1</v>
      </c>
      <c r="D287" s="39" t="s">
        <v>3937</v>
      </c>
      <c r="E287" s="7">
        <v>4172</v>
      </c>
      <c r="F287" s="7" t="s">
        <v>3932</v>
      </c>
      <c r="G287" s="23">
        <v>45.6</v>
      </c>
      <c r="H287" s="34">
        <f>Tabela1[[#This Row],[PESO UNI]]*Tabela1[[#This Row],[QTE]]</f>
        <v>45.6</v>
      </c>
      <c r="I287" s="7">
        <v>0</v>
      </c>
      <c r="J287" s="8" t="s">
        <v>2274</v>
      </c>
      <c r="K287" s="8" t="s">
        <v>327</v>
      </c>
      <c r="L287" s="9" t="s">
        <v>2069</v>
      </c>
      <c r="M287" s="10">
        <v>46136</v>
      </c>
      <c r="N287" s="8" t="s">
        <v>327</v>
      </c>
      <c r="O287" s="12"/>
      <c r="P287" s="13"/>
      <c r="Q287" s="14">
        <f>Tabela1[[#This Row],[QTDE/ Fabricação]]-Tabela1[[#This Row],[QTE]]</f>
        <v>-1</v>
      </c>
      <c r="R287" s="18">
        <f t="shared" si="51"/>
        <v>45.6</v>
      </c>
      <c r="S287" s="18">
        <f t="shared" si="49"/>
        <v>45.6</v>
      </c>
      <c r="T287" s="19">
        <f t="shared" si="52"/>
        <v>0</v>
      </c>
      <c r="U287" s="207">
        <v>1</v>
      </c>
      <c r="V287" s="12" t="str">
        <f>IFERROR(VLOOKUP(Tabela1[[#This Row],[COD.MDE]],'LISTA DE EMBARQUE'!B:L,11,0),"")</f>
        <v/>
      </c>
      <c r="W287" s="13"/>
      <c r="X287" s="14">
        <f>IFERROR(Tabela1[[#This Row],[QIANTIDADE EXPEDIDA]]*Tabela1[[#This Row],[PESO UNI]],"")</f>
        <v>45.6</v>
      </c>
      <c r="Y287" s="14">
        <f t="shared" si="48"/>
        <v>0</v>
      </c>
      <c r="Z287" s="20">
        <f>Tabela1[[#This Row],[PESO TOTAL]]-Tabela1[[#This Row],[Peso Expedido]]</f>
        <v>0</v>
      </c>
      <c r="AA287" s="17">
        <v>1</v>
      </c>
      <c r="AB287" s="33"/>
      <c r="AC287" s="33">
        <v>1</v>
      </c>
      <c r="AD287" s="33">
        <v>1</v>
      </c>
      <c r="AE287" s="33">
        <v>1</v>
      </c>
      <c r="AF287" s="33">
        <v>1</v>
      </c>
      <c r="AG287" s="33">
        <v>1</v>
      </c>
      <c r="AH287" s="33">
        <v>1</v>
      </c>
      <c r="AI287" s="33" t="str">
        <f t="shared" si="53"/>
        <v>ok</v>
      </c>
      <c r="AJ287" s="5"/>
      <c r="AK287" t="str">
        <f>Tabela1[[#This Row],[Coluna1]]&amp;Tabela1[[#This Row],[PEDIDO]]</f>
        <v>P-188</v>
      </c>
      <c r="AL287"/>
      <c r="AM287"/>
      <c r="AN287"/>
      <c r="AO287" t="str">
        <f t="shared" si="50"/>
        <v>T-072986-1/1073-TC-006</v>
      </c>
      <c r="AP287" t="str">
        <f>Tabela1[[#This Row],[TAG]]&amp;Tabela1[[#This Row],[PEDIDO]]&amp;Tabela1[[#This Row],[PRODUTO]]</f>
        <v>1073-TC-006P-188RMF</v>
      </c>
      <c r="AQ287" s="22" t="str">
        <f>Tabela1[[#This Row],[PRODUTO]]&amp;Tabela1[[#This Row],[TAG]]</f>
        <v>RMF1073-TC-006</v>
      </c>
      <c r="AR287" s="24" t="str">
        <f>Tabela1[[#This Row],[PEDIDO]]&amp;Tabela1[[#This Row],[PRODUTO]]</f>
        <v>P-188RMF</v>
      </c>
      <c r="AS287" s="37">
        <f>IF(AF287="",0,IF(ISTEXT(AF287),H287*VALUE(SUBSTITUTE(AF287,"%",""))/100,H287*AF287))-Tabela1[[#This Row],[PRONTO ACABADO2]]</f>
        <v>0</v>
      </c>
      <c r="AT287" s="37">
        <f>IF(AG287="",0,IF(ISTEXT(AG287),H287*VALUE(SUBSTITUTE(AG287,"%",""))/100,H287*AG287))-Tabela1[[#This Row],[PESO EXPEDIDO2]]</f>
        <v>0</v>
      </c>
      <c r="AU287" s="37">
        <f t="shared" si="46"/>
        <v>45.6</v>
      </c>
      <c r="AV287" s="37">
        <f t="shared" si="47"/>
        <v>45.6</v>
      </c>
      <c r="AW287" s="37"/>
    </row>
    <row r="288" spans="1:49" ht="15.75" customHeight="1" x14ac:dyDescent="0.25">
      <c r="A288" s="6" t="s">
        <v>3935</v>
      </c>
      <c r="B288" s="21" t="s">
        <v>3939</v>
      </c>
      <c r="C288" s="7">
        <v>1</v>
      </c>
      <c r="D288" s="39" t="s">
        <v>3937</v>
      </c>
      <c r="E288" s="7">
        <v>4173</v>
      </c>
      <c r="F288" s="7" t="s">
        <v>3932</v>
      </c>
      <c r="G288" s="23">
        <v>22.2</v>
      </c>
      <c r="H288" s="34">
        <f>Tabela1[[#This Row],[PESO UNI]]*Tabela1[[#This Row],[QTE]]</f>
        <v>22.2</v>
      </c>
      <c r="I288" s="7">
        <v>0</v>
      </c>
      <c r="J288" s="8" t="s">
        <v>2274</v>
      </c>
      <c r="K288" s="8" t="s">
        <v>327</v>
      </c>
      <c r="L288" s="9" t="s">
        <v>2069</v>
      </c>
      <c r="M288" s="10">
        <v>46136</v>
      </c>
      <c r="N288" s="8" t="s">
        <v>327</v>
      </c>
      <c r="O288" s="12"/>
      <c r="P288" s="13"/>
      <c r="Q288" s="14">
        <f>Tabela1[[#This Row],[QTDE/ Fabricação]]-Tabela1[[#This Row],[QTE]]</f>
        <v>-1</v>
      </c>
      <c r="R288" s="18">
        <f t="shared" si="51"/>
        <v>22.2</v>
      </c>
      <c r="S288" s="18">
        <f t="shared" si="49"/>
        <v>22.2</v>
      </c>
      <c r="T288" s="19">
        <f t="shared" si="52"/>
        <v>0</v>
      </c>
      <c r="U288" s="207">
        <v>1</v>
      </c>
      <c r="V288" s="12" t="str">
        <f>IFERROR(VLOOKUP(Tabela1[[#This Row],[COD.MDE]],'LISTA DE EMBARQUE'!B:L,11,0),"")</f>
        <v/>
      </c>
      <c r="W288" s="13"/>
      <c r="X288" s="14">
        <f>IFERROR(Tabela1[[#This Row],[QIANTIDADE EXPEDIDA]]*Tabela1[[#This Row],[PESO UNI]],"")</f>
        <v>22.2</v>
      </c>
      <c r="Y288" s="14">
        <f t="shared" si="48"/>
        <v>0</v>
      </c>
      <c r="Z288" s="20">
        <f>Tabela1[[#This Row],[PESO TOTAL]]-Tabela1[[#This Row],[Peso Expedido]]</f>
        <v>0</v>
      </c>
      <c r="AA288" s="17">
        <v>1</v>
      </c>
      <c r="AB288" s="33"/>
      <c r="AC288" s="33">
        <v>1</v>
      </c>
      <c r="AD288" s="33">
        <v>1</v>
      </c>
      <c r="AE288" s="33">
        <v>1</v>
      </c>
      <c r="AF288" s="33">
        <v>1</v>
      </c>
      <c r="AG288" s="33">
        <v>1</v>
      </c>
      <c r="AH288" s="33">
        <v>1</v>
      </c>
      <c r="AI288" s="33" t="str">
        <f t="shared" si="53"/>
        <v>ok</v>
      </c>
      <c r="AJ288" s="5"/>
      <c r="AK288" t="str">
        <f>Tabela1[[#This Row],[Coluna1]]&amp;Tabela1[[#This Row],[PEDIDO]]</f>
        <v>P-188</v>
      </c>
      <c r="AL288"/>
      <c r="AM288"/>
      <c r="AN288"/>
      <c r="AO288" t="str">
        <f t="shared" si="50"/>
        <v>T-072986-1/1073-TC-006</v>
      </c>
      <c r="AP288" t="str">
        <f>Tabela1[[#This Row],[TAG]]&amp;Tabela1[[#This Row],[PEDIDO]]&amp;Tabela1[[#This Row],[PRODUTO]]</f>
        <v>1073-TC-006P-188RMF</v>
      </c>
      <c r="AQ288" s="22" t="str">
        <f>Tabela1[[#This Row],[PRODUTO]]&amp;Tabela1[[#This Row],[TAG]]</f>
        <v>RMF1073-TC-006</v>
      </c>
      <c r="AR288" s="24" t="str">
        <f>Tabela1[[#This Row],[PEDIDO]]&amp;Tabela1[[#This Row],[PRODUTO]]</f>
        <v>P-188RMF</v>
      </c>
      <c r="AS288" s="37">
        <f>IF(AF288="",0,IF(ISTEXT(AF288),H288*VALUE(SUBSTITUTE(AF288,"%",""))/100,H288*AF288))-Tabela1[[#This Row],[PRONTO ACABADO2]]</f>
        <v>0</v>
      </c>
      <c r="AT288" s="37">
        <f>IF(AG288="",0,IF(ISTEXT(AG288),H288*VALUE(SUBSTITUTE(AG288,"%",""))/100,H288*AG288))-Tabela1[[#This Row],[PESO EXPEDIDO2]]</f>
        <v>0</v>
      </c>
      <c r="AU288" s="37">
        <f t="shared" si="46"/>
        <v>22.2</v>
      </c>
      <c r="AV288" s="37">
        <f t="shared" si="47"/>
        <v>22.2</v>
      </c>
      <c r="AW288" s="37"/>
    </row>
    <row r="289" spans="1:49" ht="15.75" customHeight="1" x14ac:dyDescent="0.25">
      <c r="A289" s="6" t="s">
        <v>3935</v>
      </c>
      <c r="B289" s="21" t="s">
        <v>3940</v>
      </c>
      <c r="C289" s="7">
        <v>1</v>
      </c>
      <c r="D289" s="39" t="s">
        <v>3937</v>
      </c>
      <c r="E289" s="7">
        <v>4174</v>
      </c>
      <c r="F289" s="7" t="s">
        <v>3932</v>
      </c>
      <c r="G289" s="23">
        <v>34</v>
      </c>
      <c r="H289" s="34">
        <f>Tabela1[[#This Row],[PESO UNI]]*Tabela1[[#This Row],[QTE]]</f>
        <v>34</v>
      </c>
      <c r="I289" s="7">
        <v>0</v>
      </c>
      <c r="J289" s="8" t="s">
        <v>2274</v>
      </c>
      <c r="K289" s="8" t="s">
        <v>327</v>
      </c>
      <c r="L289" s="9" t="s">
        <v>2069</v>
      </c>
      <c r="M289" s="10">
        <v>46136</v>
      </c>
      <c r="N289" s="8" t="s">
        <v>327</v>
      </c>
      <c r="O289" s="12"/>
      <c r="P289" s="13"/>
      <c r="Q289" s="14">
        <f>Tabela1[[#This Row],[QTDE/ Fabricação]]-Tabela1[[#This Row],[QTE]]</f>
        <v>-1</v>
      </c>
      <c r="R289" s="18">
        <f t="shared" si="51"/>
        <v>34</v>
      </c>
      <c r="S289" s="18">
        <f t="shared" si="49"/>
        <v>34</v>
      </c>
      <c r="T289" s="19">
        <f t="shared" si="52"/>
        <v>0</v>
      </c>
      <c r="U289" s="207">
        <v>1</v>
      </c>
      <c r="V289" s="12" t="str">
        <f>IFERROR(VLOOKUP(Tabela1[[#This Row],[COD.MDE]],'LISTA DE EMBARQUE'!B:L,11,0),"")</f>
        <v/>
      </c>
      <c r="W289" s="13"/>
      <c r="X289" s="14">
        <f>IFERROR(Tabela1[[#This Row],[QIANTIDADE EXPEDIDA]]*Tabela1[[#This Row],[PESO UNI]],"")</f>
        <v>34</v>
      </c>
      <c r="Y289" s="14">
        <f t="shared" si="48"/>
        <v>0</v>
      </c>
      <c r="Z289" s="20">
        <f>Tabela1[[#This Row],[PESO TOTAL]]-Tabela1[[#This Row],[Peso Expedido]]</f>
        <v>0</v>
      </c>
      <c r="AA289" s="17">
        <v>1</v>
      </c>
      <c r="AB289" s="33"/>
      <c r="AC289" s="33">
        <v>1</v>
      </c>
      <c r="AD289" s="33">
        <v>1</v>
      </c>
      <c r="AE289" s="33">
        <v>1</v>
      </c>
      <c r="AF289" s="33">
        <v>1</v>
      </c>
      <c r="AG289" s="33">
        <v>1</v>
      </c>
      <c r="AH289" s="33">
        <v>1</v>
      </c>
      <c r="AI289" s="33" t="str">
        <f t="shared" si="53"/>
        <v>ok</v>
      </c>
      <c r="AJ289" s="5"/>
      <c r="AK289" t="str">
        <f>Tabela1[[#This Row],[Coluna1]]&amp;Tabela1[[#This Row],[PEDIDO]]</f>
        <v>P-188</v>
      </c>
      <c r="AL289"/>
      <c r="AM289"/>
      <c r="AN289"/>
      <c r="AO289" t="str">
        <f t="shared" si="50"/>
        <v>T-072986-1/1073-TC-006</v>
      </c>
      <c r="AP289" t="str">
        <f>Tabela1[[#This Row],[TAG]]&amp;Tabela1[[#This Row],[PEDIDO]]&amp;Tabela1[[#This Row],[PRODUTO]]</f>
        <v>1073-TC-006P-188RMF</v>
      </c>
      <c r="AQ289" s="22" t="str">
        <f>Tabela1[[#This Row],[PRODUTO]]&amp;Tabela1[[#This Row],[TAG]]</f>
        <v>RMF1073-TC-006</v>
      </c>
      <c r="AR289" s="24" t="str">
        <f>Tabela1[[#This Row],[PEDIDO]]&amp;Tabela1[[#This Row],[PRODUTO]]</f>
        <v>P-188RMF</v>
      </c>
      <c r="AS289" s="37">
        <f>IF(AF289="",0,IF(ISTEXT(AF289),H289*VALUE(SUBSTITUTE(AF289,"%",""))/100,H289*AF289))-Tabela1[[#This Row],[PRONTO ACABADO2]]</f>
        <v>0</v>
      </c>
      <c r="AT289" s="37">
        <f>IF(AG289="",0,IF(ISTEXT(AG289),H289*VALUE(SUBSTITUTE(AG289,"%",""))/100,H289*AG289))-Tabela1[[#This Row],[PESO EXPEDIDO2]]</f>
        <v>0</v>
      </c>
      <c r="AU289" s="37">
        <f t="shared" si="46"/>
        <v>34</v>
      </c>
      <c r="AV289" s="37">
        <f t="shared" si="47"/>
        <v>34</v>
      </c>
      <c r="AW289" s="37"/>
    </row>
    <row r="290" spans="1:49" ht="15.75" customHeight="1" x14ac:dyDescent="0.25">
      <c r="A290" s="6" t="s">
        <v>3935</v>
      </c>
      <c r="B290" s="21" t="s">
        <v>3941</v>
      </c>
      <c r="C290" s="7">
        <v>1</v>
      </c>
      <c r="D290" s="39" t="s">
        <v>3937</v>
      </c>
      <c r="E290" s="7">
        <v>4175</v>
      </c>
      <c r="F290" s="7" t="s">
        <v>3932</v>
      </c>
      <c r="G290" s="23">
        <v>10.199999999999999</v>
      </c>
      <c r="H290" s="34">
        <f>Tabela1[[#This Row],[PESO UNI]]*Tabela1[[#This Row],[QTE]]</f>
        <v>10.199999999999999</v>
      </c>
      <c r="I290" s="7">
        <v>0</v>
      </c>
      <c r="J290" s="8" t="s">
        <v>2274</v>
      </c>
      <c r="K290" s="8" t="s">
        <v>327</v>
      </c>
      <c r="L290" s="9" t="s">
        <v>2069</v>
      </c>
      <c r="M290" s="10">
        <v>46136</v>
      </c>
      <c r="N290" s="8" t="s">
        <v>327</v>
      </c>
      <c r="O290" s="12"/>
      <c r="P290" s="13"/>
      <c r="Q290" s="14">
        <f>Tabela1[[#This Row],[QTDE/ Fabricação]]-Tabela1[[#This Row],[QTE]]</f>
        <v>-1</v>
      </c>
      <c r="R290" s="18">
        <f t="shared" si="51"/>
        <v>10.199999999999999</v>
      </c>
      <c r="S290" s="18">
        <f t="shared" si="49"/>
        <v>10.199999999999999</v>
      </c>
      <c r="T290" s="19">
        <f t="shared" si="52"/>
        <v>0</v>
      </c>
      <c r="U290" s="207">
        <v>1</v>
      </c>
      <c r="V290" s="12" t="str">
        <f>IFERROR(VLOOKUP(Tabela1[[#This Row],[COD.MDE]],'LISTA DE EMBARQUE'!B:L,11,0),"")</f>
        <v/>
      </c>
      <c r="W290" s="13"/>
      <c r="X290" s="14">
        <f>IFERROR(Tabela1[[#This Row],[QIANTIDADE EXPEDIDA]]*Tabela1[[#This Row],[PESO UNI]],"")</f>
        <v>10.199999999999999</v>
      </c>
      <c r="Y290" s="14">
        <f t="shared" si="48"/>
        <v>0</v>
      </c>
      <c r="Z290" s="20">
        <f>Tabela1[[#This Row],[PESO TOTAL]]-Tabela1[[#This Row],[Peso Expedido]]</f>
        <v>0</v>
      </c>
      <c r="AA290" s="17">
        <v>1</v>
      </c>
      <c r="AB290" s="33"/>
      <c r="AC290" s="33">
        <v>1</v>
      </c>
      <c r="AD290" s="33">
        <v>1</v>
      </c>
      <c r="AE290" s="33">
        <v>1</v>
      </c>
      <c r="AF290" s="33">
        <v>1</v>
      </c>
      <c r="AG290" s="33">
        <v>1</v>
      </c>
      <c r="AH290" s="33">
        <v>1</v>
      </c>
      <c r="AI290" s="33" t="str">
        <f t="shared" si="53"/>
        <v>ok</v>
      </c>
      <c r="AJ290" s="5"/>
      <c r="AK290" t="str">
        <f>Tabela1[[#This Row],[Coluna1]]&amp;Tabela1[[#This Row],[PEDIDO]]</f>
        <v>P-188</v>
      </c>
      <c r="AL290"/>
      <c r="AM290"/>
      <c r="AN290"/>
      <c r="AO290" t="str">
        <f t="shared" si="50"/>
        <v>T-072986-1/1073-TC-006</v>
      </c>
      <c r="AP290" t="str">
        <f>Tabela1[[#This Row],[TAG]]&amp;Tabela1[[#This Row],[PEDIDO]]&amp;Tabela1[[#This Row],[PRODUTO]]</f>
        <v>1073-TC-006P-188RMF</v>
      </c>
      <c r="AQ290" s="22" t="str">
        <f>Tabela1[[#This Row],[PRODUTO]]&amp;Tabela1[[#This Row],[TAG]]</f>
        <v>RMF1073-TC-006</v>
      </c>
      <c r="AR290" s="24" t="str">
        <f>Tabela1[[#This Row],[PEDIDO]]&amp;Tabela1[[#This Row],[PRODUTO]]</f>
        <v>P-188RMF</v>
      </c>
      <c r="AS290" s="37">
        <f>IF(AF290="",0,IF(ISTEXT(AF290),H290*VALUE(SUBSTITUTE(AF290,"%",""))/100,H290*AF290))-Tabela1[[#This Row],[PRONTO ACABADO2]]</f>
        <v>0</v>
      </c>
      <c r="AT290" s="37">
        <f>IF(AG290="",0,IF(ISTEXT(AG290),H290*VALUE(SUBSTITUTE(AG290,"%",""))/100,H290*AG290))-Tabela1[[#This Row],[PESO EXPEDIDO2]]</f>
        <v>0</v>
      </c>
      <c r="AU290" s="37">
        <f t="shared" si="46"/>
        <v>10.199999999999999</v>
      </c>
      <c r="AV290" s="37">
        <f t="shared" si="47"/>
        <v>10.199999999999999</v>
      </c>
      <c r="AW290" s="37"/>
    </row>
    <row r="291" spans="1:49" ht="15.75" customHeight="1" x14ac:dyDescent="0.25">
      <c r="A291" s="6" t="s">
        <v>3935</v>
      </c>
      <c r="B291" s="21" t="s">
        <v>3942</v>
      </c>
      <c r="C291" s="7">
        <v>1</v>
      </c>
      <c r="D291" s="39" t="s">
        <v>3937</v>
      </c>
      <c r="E291" s="7">
        <v>4176</v>
      </c>
      <c r="F291" s="7" t="s">
        <v>3932</v>
      </c>
      <c r="G291" s="23">
        <v>49.8</v>
      </c>
      <c r="H291" s="34">
        <f>Tabela1[[#This Row],[PESO UNI]]*Tabela1[[#This Row],[QTE]]</f>
        <v>49.8</v>
      </c>
      <c r="I291" s="7">
        <v>0</v>
      </c>
      <c r="J291" s="8" t="s">
        <v>2274</v>
      </c>
      <c r="K291" s="8" t="s">
        <v>327</v>
      </c>
      <c r="L291" s="9" t="s">
        <v>2069</v>
      </c>
      <c r="M291" s="10">
        <v>46136</v>
      </c>
      <c r="N291" s="8" t="s">
        <v>327</v>
      </c>
      <c r="O291" s="12"/>
      <c r="P291" s="13"/>
      <c r="Q291" s="14">
        <f>Tabela1[[#This Row],[QTDE/ Fabricação]]-Tabela1[[#This Row],[QTE]]</f>
        <v>-1</v>
      </c>
      <c r="R291" s="18">
        <f t="shared" si="51"/>
        <v>49.8</v>
      </c>
      <c r="S291" s="18">
        <f t="shared" si="49"/>
        <v>49.8</v>
      </c>
      <c r="T291" s="19">
        <f t="shared" si="52"/>
        <v>0</v>
      </c>
      <c r="U291" s="207">
        <v>1</v>
      </c>
      <c r="V291" s="12" t="str">
        <f>IFERROR(VLOOKUP(Tabela1[[#This Row],[COD.MDE]],'LISTA DE EMBARQUE'!B:L,11,0),"")</f>
        <v/>
      </c>
      <c r="W291" s="13"/>
      <c r="X291" s="14">
        <f>IFERROR(Tabela1[[#This Row],[QIANTIDADE EXPEDIDA]]*Tabela1[[#This Row],[PESO UNI]],"")</f>
        <v>49.8</v>
      </c>
      <c r="Y291" s="14">
        <f t="shared" si="48"/>
        <v>0</v>
      </c>
      <c r="Z291" s="20">
        <f>Tabela1[[#This Row],[PESO TOTAL]]-Tabela1[[#This Row],[Peso Expedido]]</f>
        <v>0</v>
      </c>
      <c r="AA291" s="17">
        <v>1</v>
      </c>
      <c r="AB291" s="33"/>
      <c r="AC291" s="33">
        <v>1</v>
      </c>
      <c r="AD291" s="33">
        <v>1</v>
      </c>
      <c r="AE291" s="33">
        <v>1</v>
      </c>
      <c r="AF291" s="33">
        <v>1</v>
      </c>
      <c r="AG291" s="33">
        <v>1</v>
      </c>
      <c r="AH291" s="33">
        <v>1</v>
      </c>
      <c r="AI291" s="33" t="str">
        <f t="shared" si="53"/>
        <v>ok</v>
      </c>
      <c r="AJ291" s="5"/>
      <c r="AK291" t="str">
        <f>Tabela1[[#This Row],[Coluna1]]&amp;Tabela1[[#This Row],[PEDIDO]]</f>
        <v>P-188</v>
      </c>
      <c r="AL291"/>
      <c r="AM291"/>
      <c r="AN291"/>
      <c r="AO291" t="str">
        <f t="shared" si="50"/>
        <v>T-072986-1/1073-TC-006</v>
      </c>
      <c r="AP291" t="str">
        <f>Tabela1[[#This Row],[TAG]]&amp;Tabela1[[#This Row],[PEDIDO]]&amp;Tabela1[[#This Row],[PRODUTO]]</f>
        <v>1073-TC-006P-188RMF</v>
      </c>
      <c r="AQ291" s="22" t="str">
        <f>Tabela1[[#This Row],[PRODUTO]]&amp;Tabela1[[#This Row],[TAG]]</f>
        <v>RMF1073-TC-006</v>
      </c>
      <c r="AR291" s="24" t="str">
        <f>Tabela1[[#This Row],[PEDIDO]]&amp;Tabela1[[#This Row],[PRODUTO]]</f>
        <v>P-188RMF</v>
      </c>
      <c r="AS291" s="37">
        <f>IF(AF291="",0,IF(ISTEXT(AF291),H291*VALUE(SUBSTITUTE(AF291,"%",""))/100,H291*AF291))-Tabela1[[#This Row],[PRONTO ACABADO2]]</f>
        <v>0</v>
      </c>
      <c r="AT291" s="37">
        <f>IF(AG291="",0,IF(ISTEXT(AG291),H291*VALUE(SUBSTITUTE(AG291,"%",""))/100,H291*AG291))-Tabela1[[#This Row],[PESO EXPEDIDO2]]</f>
        <v>0</v>
      </c>
      <c r="AU291" s="37">
        <f t="shared" si="46"/>
        <v>49.8</v>
      </c>
      <c r="AV291" s="37">
        <f t="shared" si="47"/>
        <v>49.8</v>
      </c>
      <c r="AW291" s="37"/>
    </row>
    <row r="292" spans="1:49" ht="15.75" customHeight="1" x14ac:dyDescent="0.25">
      <c r="A292" s="6" t="s">
        <v>3935</v>
      </c>
      <c r="B292" s="21" t="s">
        <v>3943</v>
      </c>
      <c r="C292" s="7">
        <v>1</v>
      </c>
      <c r="D292" s="39" t="s">
        <v>3937</v>
      </c>
      <c r="E292" s="7">
        <v>4177</v>
      </c>
      <c r="F292" s="7" t="s">
        <v>3932</v>
      </c>
      <c r="G292" s="23">
        <v>24.3</v>
      </c>
      <c r="H292" s="34">
        <f>Tabela1[[#This Row],[PESO UNI]]*Tabela1[[#This Row],[QTE]]</f>
        <v>24.3</v>
      </c>
      <c r="I292" s="7">
        <v>0</v>
      </c>
      <c r="J292" s="8" t="s">
        <v>2274</v>
      </c>
      <c r="K292" s="8" t="s">
        <v>327</v>
      </c>
      <c r="L292" s="9" t="s">
        <v>2069</v>
      </c>
      <c r="M292" s="10">
        <v>46136</v>
      </c>
      <c r="N292" s="8" t="s">
        <v>327</v>
      </c>
      <c r="O292" s="12"/>
      <c r="P292" s="13"/>
      <c r="Q292" s="14">
        <f>Tabela1[[#This Row],[QTDE/ Fabricação]]-Tabela1[[#This Row],[QTE]]</f>
        <v>-1</v>
      </c>
      <c r="R292" s="18">
        <f t="shared" si="51"/>
        <v>24.3</v>
      </c>
      <c r="S292" s="18">
        <f t="shared" si="49"/>
        <v>24.3</v>
      </c>
      <c r="T292" s="19">
        <f t="shared" si="52"/>
        <v>0</v>
      </c>
      <c r="U292" s="207">
        <v>1</v>
      </c>
      <c r="V292" s="12" t="str">
        <f>IFERROR(VLOOKUP(Tabela1[[#This Row],[COD.MDE]],'LISTA DE EMBARQUE'!B:L,11,0),"")</f>
        <v/>
      </c>
      <c r="W292" s="13"/>
      <c r="X292" s="14">
        <f>IFERROR(Tabela1[[#This Row],[QIANTIDADE EXPEDIDA]]*Tabela1[[#This Row],[PESO UNI]],"")</f>
        <v>24.3</v>
      </c>
      <c r="Y292" s="14">
        <f t="shared" si="48"/>
        <v>0</v>
      </c>
      <c r="Z292" s="20">
        <f>Tabela1[[#This Row],[PESO TOTAL]]-Tabela1[[#This Row],[Peso Expedido]]</f>
        <v>0</v>
      </c>
      <c r="AA292" s="17">
        <v>1</v>
      </c>
      <c r="AB292" s="33"/>
      <c r="AC292" s="33">
        <v>1</v>
      </c>
      <c r="AD292" s="33">
        <v>1</v>
      </c>
      <c r="AE292" s="33">
        <v>1</v>
      </c>
      <c r="AF292" s="33">
        <v>1</v>
      </c>
      <c r="AG292" s="33">
        <v>1</v>
      </c>
      <c r="AH292" s="33">
        <v>1</v>
      </c>
      <c r="AI292" s="33" t="str">
        <f t="shared" si="53"/>
        <v>ok</v>
      </c>
      <c r="AJ292" s="5"/>
      <c r="AK292" t="str">
        <f>Tabela1[[#This Row],[Coluna1]]&amp;Tabela1[[#This Row],[PEDIDO]]</f>
        <v>P-188</v>
      </c>
      <c r="AL292"/>
      <c r="AM292"/>
      <c r="AN292"/>
      <c r="AO292" t="str">
        <f t="shared" si="50"/>
        <v>T-072986-1/1073-TC-006</v>
      </c>
      <c r="AP292" t="str">
        <f>Tabela1[[#This Row],[TAG]]&amp;Tabela1[[#This Row],[PEDIDO]]&amp;Tabela1[[#This Row],[PRODUTO]]</f>
        <v>1073-TC-006P-188RMF</v>
      </c>
      <c r="AQ292" s="22" t="str">
        <f>Tabela1[[#This Row],[PRODUTO]]&amp;Tabela1[[#This Row],[TAG]]</f>
        <v>RMF1073-TC-006</v>
      </c>
      <c r="AR292" s="24" t="str">
        <f>Tabela1[[#This Row],[PEDIDO]]&amp;Tabela1[[#This Row],[PRODUTO]]</f>
        <v>P-188RMF</v>
      </c>
      <c r="AS292" s="37">
        <f>IF(AF292="",0,IF(ISTEXT(AF292),H292*VALUE(SUBSTITUTE(AF292,"%",""))/100,H292*AF292))-Tabela1[[#This Row],[PRONTO ACABADO2]]</f>
        <v>0</v>
      </c>
      <c r="AT292" s="37">
        <f>IF(AG292="",0,IF(ISTEXT(AG292),H292*VALUE(SUBSTITUTE(AG292,"%",""))/100,H292*AG292))-Tabela1[[#This Row],[PESO EXPEDIDO2]]</f>
        <v>0</v>
      </c>
      <c r="AU292" s="37">
        <f t="shared" si="46"/>
        <v>24.3</v>
      </c>
      <c r="AV292" s="37">
        <f t="shared" si="47"/>
        <v>24.3</v>
      </c>
      <c r="AW292" s="37"/>
    </row>
    <row r="293" spans="1:49" ht="15.75" customHeight="1" x14ac:dyDescent="0.25">
      <c r="A293" s="6" t="s">
        <v>3935</v>
      </c>
      <c r="B293" s="21" t="s">
        <v>3944</v>
      </c>
      <c r="C293" s="7">
        <v>4</v>
      </c>
      <c r="D293" s="39" t="s">
        <v>3945</v>
      </c>
      <c r="E293" s="7">
        <v>4178</v>
      </c>
      <c r="F293" s="7" t="s">
        <v>3932</v>
      </c>
      <c r="G293" s="23">
        <v>27.2</v>
      </c>
      <c r="H293" s="34">
        <f>Tabela1[[#This Row],[PESO UNI]]*Tabela1[[#This Row],[QTE]]</f>
        <v>108.8</v>
      </c>
      <c r="I293" s="7">
        <v>0</v>
      </c>
      <c r="J293" s="8" t="s">
        <v>2274</v>
      </c>
      <c r="K293" s="8" t="s">
        <v>327</v>
      </c>
      <c r="L293" s="9" t="s">
        <v>2069</v>
      </c>
      <c r="M293" s="10">
        <v>46136</v>
      </c>
      <c r="N293" s="8" t="s">
        <v>327</v>
      </c>
      <c r="O293" s="12"/>
      <c r="P293" s="13"/>
      <c r="Q293" s="14">
        <f>Tabela1[[#This Row],[QTDE/ Fabricação]]-Tabela1[[#This Row],[QTE]]</f>
        <v>-4</v>
      </c>
      <c r="R293" s="18">
        <f t="shared" si="51"/>
        <v>108.8</v>
      </c>
      <c r="S293" s="18">
        <f t="shared" si="49"/>
        <v>0</v>
      </c>
      <c r="T293" s="19">
        <f t="shared" si="52"/>
        <v>-108.8</v>
      </c>
      <c r="U293" s="16">
        <f>IFERROR(SUMIF('LISTA DE EMBARQUE'!B:B,MICRO!E:E,'LISTA DE EMBARQUE'!G:G),"")</f>
        <v>0</v>
      </c>
      <c r="V293" s="12" t="str">
        <f>IFERROR(VLOOKUP(Tabela1[[#This Row],[COD.MDE]],'LISTA DE EMBARQUE'!B:L,11,0),"")</f>
        <v/>
      </c>
      <c r="W293" s="13" t="str">
        <f>IFERROR(VLOOKUP(Tabela1[[#This Row],[COD.MDE]],'LISTA DE EMBARQUE'!B:M,12,0),"")</f>
        <v/>
      </c>
      <c r="X293" s="14">
        <f>IFERROR(Tabela1[[#This Row],[QIANTIDADE EXPEDIDA]]*Tabela1[[#This Row],[PESO UNI]],"")</f>
        <v>0</v>
      </c>
      <c r="Y293" s="14">
        <f t="shared" si="48"/>
        <v>-4</v>
      </c>
      <c r="Z293" s="20">
        <f>Tabela1[[#This Row],[PESO TOTAL]]-Tabela1[[#This Row],[Peso Expedido]]</f>
        <v>108.8</v>
      </c>
      <c r="AA293" s="17">
        <v>1</v>
      </c>
      <c r="AB293" s="33"/>
      <c r="AC293" s="33">
        <v>1</v>
      </c>
      <c r="AD293" s="33">
        <v>1</v>
      </c>
      <c r="AE293" s="33">
        <v>1</v>
      </c>
      <c r="AF293" s="33">
        <v>1</v>
      </c>
      <c r="AG293" s="33">
        <v>0</v>
      </c>
      <c r="AH293" s="33"/>
      <c r="AI293" s="33" t="str">
        <f t="shared" si="53"/>
        <v/>
      </c>
      <c r="AJ293" s="5"/>
      <c r="AK293" t="str">
        <f>Tabela1[[#This Row],[Coluna1]]&amp;Tabela1[[#This Row],[PEDIDO]]</f>
        <v>P-188</v>
      </c>
      <c r="AL293"/>
      <c r="AM293"/>
      <c r="AN293"/>
      <c r="AO293" t="str">
        <f t="shared" si="50"/>
        <v>T-072986-1/1073-TC-006</v>
      </c>
      <c r="AP293" t="str">
        <f>Tabela1[[#This Row],[TAG]]&amp;Tabela1[[#This Row],[PEDIDO]]&amp;Tabela1[[#This Row],[PRODUTO]]</f>
        <v>1073-TC-006P-188RMF</v>
      </c>
      <c r="AQ293" s="22" t="str">
        <f>Tabela1[[#This Row],[PRODUTO]]&amp;Tabela1[[#This Row],[TAG]]</f>
        <v>RMF1073-TC-006</v>
      </c>
      <c r="AR293" s="24" t="str">
        <f>Tabela1[[#This Row],[PEDIDO]]&amp;Tabela1[[#This Row],[PRODUTO]]</f>
        <v>P-188RMF</v>
      </c>
      <c r="AS293" s="37">
        <f>IF(AF293="",0,IF(ISTEXT(AF293),H293*VALUE(SUBSTITUTE(AF293,"%",""))/100,H293*AF293))-Tabela1[[#This Row],[PRONTO ACABADO2]]</f>
        <v>108.8</v>
      </c>
      <c r="AT293" s="37">
        <f>IF(AG293="",0,IF(ISTEXT(AG293),H293*VALUE(SUBSTITUTE(AG293,"%",""))/100,H293*AG293))-Tabela1[[#This Row],[PESO EXPEDIDO2]]</f>
        <v>0</v>
      </c>
      <c r="AU293" s="37">
        <f t="shared" ref="AU293:AU356" si="54">IF(AH293="",0,IF(ISTEXT(AH293),H293*VALUE(SUBSTITUTE(AH293,"%",""))/100,H293*AH293))</f>
        <v>0</v>
      </c>
      <c r="AV293" s="37">
        <f t="shared" ref="AV293:AV356" si="55">IF(AG293="",0,IF(ISTEXT(AG293),H293*VALUE(SUBSTITUTE(AG293,"%",""))/100,H293*AG293))</f>
        <v>0</v>
      </c>
      <c r="AW293" s="37"/>
    </row>
    <row r="294" spans="1:49" ht="15.75" customHeight="1" x14ac:dyDescent="0.25">
      <c r="A294" s="6" t="s">
        <v>3935</v>
      </c>
      <c r="B294" s="21" t="s">
        <v>3936</v>
      </c>
      <c r="C294" s="7">
        <v>1</v>
      </c>
      <c r="D294" s="39" t="s">
        <v>3937</v>
      </c>
      <c r="E294" s="7">
        <v>4179</v>
      </c>
      <c r="F294" s="7" t="s">
        <v>3932</v>
      </c>
      <c r="G294" s="23">
        <v>32.9</v>
      </c>
      <c r="H294" s="34">
        <f>Tabela1[[#This Row],[PESO UNI]]*Tabela1[[#This Row],[QTE]]</f>
        <v>32.9</v>
      </c>
      <c r="I294" s="7">
        <v>0</v>
      </c>
      <c r="J294" s="8" t="s">
        <v>2276</v>
      </c>
      <c r="K294" s="8" t="s">
        <v>327</v>
      </c>
      <c r="L294" s="9" t="s">
        <v>2069</v>
      </c>
      <c r="M294" s="10">
        <v>46136</v>
      </c>
      <c r="N294" s="8" t="s">
        <v>327</v>
      </c>
      <c r="O294" s="12"/>
      <c r="P294" s="13"/>
      <c r="Q294" s="14">
        <f>Tabela1[[#This Row],[QTDE/ Fabricação]]-Tabela1[[#This Row],[QTE]]</f>
        <v>-1</v>
      </c>
      <c r="R294" s="18">
        <f t="shared" si="51"/>
        <v>32.9</v>
      </c>
      <c r="S294" s="18">
        <f t="shared" si="49"/>
        <v>32.9</v>
      </c>
      <c r="T294" s="19">
        <f t="shared" si="52"/>
        <v>0</v>
      </c>
      <c r="U294" s="207">
        <v>1</v>
      </c>
      <c r="V294" s="12" t="str">
        <f>IFERROR(VLOOKUP(Tabela1[[#This Row],[COD.MDE]],'LISTA DE EMBARQUE'!B:L,11,0),"")</f>
        <v/>
      </c>
      <c r="W294" s="13"/>
      <c r="X294" s="14">
        <f>IFERROR(Tabela1[[#This Row],[QIANTIDADE EXPEDIDA]]*Tabela1[[#This Row],[PESO UNI]],"")</f>
        <v>32.9</v>
      </c>
      <c r="Y294" s="14">
        <f t="shared" si="48"/>
        <v>0</v>
      </c>
      <c r="Z294" s="20">
        <f>Tabela1[[#This Row],[PESO TOTAL]]-Tabela1[[#This Row],[Peso Expedido]]</f>
        <v>0</v>
      </c>
      <c r="AA294" s="17">
        <v>1</v>
      </c>
      <c r="AB294" s="33"/>
      <c r="AC294" s="33">
        <v>1</v>
      </c>
      <c r="AD294" s="33">
        <v>1</v>
      </c>
      <c r="AE294" s="33">
        <v>1</v>
      </c>
      <c r="AF294" s="33">
        <v>1</v>
      </c>
      <c r="AG294" s="33">
        <v>1</v>
      </c>
      <c r="AH294" s="33">
        <v>1</v>
      </c>
      <c r="AI294" s="33" t="str">
        <f t="shared" si="53"/>
        <v>ok</v>
      </c>
      <c r="AJ294" s="5"/>
      <c r="AK294" t="str">
        <f>Tabela1[[#This Row],[Coluna1]]&amp;Tabela1[[#This Row],[PEDIDO]]</f>
        <v>P-188</v>
      </c>
      <c r="AL294"/>
      <c r="AM294"/>
      <c r="AN294"/>
      <c r="AO294" t="str">
        <f t="shared" si="50"/>
        <v>T-072986-1/1073-TC-007</v>
      </c>
      <c r="AP294" t="str">
        <f>Tabela1[[#This Row],[TAG]]&amp;Tabela1[[#This Row],[PEDIDO]]&amp;Tabela1[[#This Row],[PRODUTO]]</f>
        <v>1073-TC-007P-188RMF</v>
      </c>
      <c r="AQ294" s="22" t="str">
        <f>Tabela1[[#This Row],[PRODUTO]]&amp;Tabela1[[#This Row],[TAG]]</f>
        <v>RMF1073-TC-007</v>
      </c>
      <c r="AR294" s="24" t="str">
        <f>Tabela1[[#This Row],[PEDIDO]]&amp;Tabela1[[#This Row],[PRODUTO]]</f>
        <v>P-188RMF</v>
      </c>
      <c r="AS294" s="37">
        <f>IF(AF294="",0,IF(ISTEXT(AF294),H294*VALUE(SUBSTITUTE(AF294,"%",""))/100,H294*AF294))-Tabela1[[#This Row],[PRONTO ACABADO2]]</f>
        <v>0</v>
      </c>
      <c r="AT294" s="37">
        <f>IF(AG294="",0,IF(ISTEXT(AG294),H294*VALUE(SUBSTITUTE(AG294,"%",""))/100,H294*AG294))-Tabela1[[#This Row],[PESO EXPEDIDO2]]</f>
        <v>0</v>
      </c>
      <c r="AU294" s="37">
        <f t="shared" si="54"/>
        <v>32.9</v>
      </c>
      <c r="AV294" s="37">
        <f t="shared" si="55"/>
        <v>32.9</v>
      </c>
      <c r="AW294" s="37"/>
    </row>
    <row r="295" spans="1:49" ht="15.75" customHeight="1" x14ac:dyDescent="0.25">
      <c r="A295" s="6" t="s">
        <v>3935</v>
      </c>
      <c r="B295" s="21" t="s">
        <v>3938</v>
      </c>
      <c r="C295" s="7">
        <v>1</v>
      </c>
      <c r="D295" s="39" t="s">
        <v>3937</v>
      </c>
      <c r="E295" s="7">
        <v>4180</v>
      </c>
      <c r="F295" s="7" t="s">
        <v>3932</v>
      </c>
      <c r="G295" s="23">
        <v>45.6</v>
      </c>
      <c r="H295" s="34">
        <f>Tabela1[[#This Row],[PESO UNI]]*Tabela1[[#This Row],[QTE]]</f>
        <v>45.6</v>
      </c>
      <c r="I295" s="7">
        <v>0</v>
      </c>
      <c r="J295" s="8" t="s">
        <v>2276</v>
      </c>
      <c r="K295" s="8" t="s">
        <v>327</v>
      </c>
      <c r="L295" s="9" t="s">
        <v>2069</v>
      </c>
      <c r="M295" s="10">
        <v>46136</v>
      </c>
      <c r="N295" s="8" t="s">
        <v>327</v>
      </c>
      <c r="O295" s="12"/>
      <c r="P295" s="13"/>
      <c r="Q295" s="14">
        <f>Tabela1[[#This Row],[QTDE/ Fabricação]]-Tabela1[[#This Row],[QTE]]</f>
        <v>-1</v>
      </c>
      <c r="R295" s="18">
        <f t="shared" si="51"/>
        <v>45.6</v>
      </c>
      <c r="S295" s="18">
        <f t="shared" si="49"/>
        <v>45.6</v>
      </c>
      <c r="T295" s="19">
        <f t="shared" si="52"/>
        <v>0</v>
      </c>
      <c r="U295" s="207">
        <v>1</v>
      </c>
      <c r="V295" s="12" t="str">
        <f>IFERROR(VLOOKUP(Tabela1[[#This Row],[COD.MDE]],'LISTA DE EMBARQUE'!B:L,11,0),"")</f>
        <v/>
      </c>
      <c r="W295" s="13"/>
      <c r="X295" s="14">
        <f>IFERROR(Tabela1[[#This Row],[QIANTIDADE EXPEDIDA]]*Tabela1[[#This Row],[PESO UNI]],"")</f>
        <v>45.6</v>
      </c>
      <c r="Y295" s="14">
        <f t="shared" si="48"/>
        <v>0</v>
      </c>
      <c r="Z295" s="20">
        <f>Tabela1[[#This Row],[PESO TOTAL]]-Tabela1[[#This Row],[Peso Expedido]]</f>
        <v>0</v>
      </c>
      <c r="AA295" s="17">
        <v>1</v>
      </c>
      <c r="AB295" s="33"/>
      <c r="AC295" s="33">
        <v>1</v>
      </c>
      <c r="AD295" s="33">
        <v>1</v>
      </c>
      <c r="AE295" s="33">
        <v>1</v>
      </c>
      <c r="AF295" s="33">
        <v>1</v>
      </c>
      <c r="AG295" s="33">
        <v>1</v>
      </c>
      <c r="AH295" s="33">
        <v>1</v>
      </c>
      <c r="AI295" s="33" t="str">
        <f t="shared" si="53"/>
        <v>ok</v>
      </c>
      <c r="AJ295" s="5"/>
      <c r="AK295" t="str">
        <f>Tabela1[[#This Row],[Coluna1]]&amp;Tabela1[[#This Row],[PEDIDO]]</f>
        <v>P-188</v>
      </c>
      <c r="AL295"/>
      <c r="AM295"/>
      <c r="AN295"/>
      <c r="AO295" t="str">
        <f t="shared" si="50"/>
        <v>T-072986-1/1073-TC-007</v>
      </c>
      <c r="AP295" t="str">
        <f>Tabela1[[#This Row],[TAG]]&amp;Tabela1[[#This Row],[PEDIDO]]&amp;Tabela1[[#This Row],[PRODUTO]]</f>
        <v>1073-TC-007P-188RMF</v>
      </c>
      <c r="AQ295" s="22" t="str">
        <f>Tabela1[[#This Row],[PRODUTO]]&amp;Tabela1[[#This Row],[TAG]]</f>
        <v>RMF1073-TC-007</v>
      </c>
      <c r="AR295" s="24" t="str">
        <f>Tabela1[[#This Row],[PEDIDO]]&amp;Tabela1[[#This Row],[PRODUTO]]</f>
        <v>P-188RMF</v>
      </c>
      <c r="AS295" s="37">
        <f>IF(AF295="",0,IF(ISTEXT(AF295),H295*VALUE(SUBSTITUTE(AF295,"%",""))/100,H295*AF295))-Tabela1[[#This Row],[PRONTO ACABADO2]]</f>
        <v>0</v>
      </c>
      <c r="AT295" s="37">
        <f>IF(AG295="",0,IF(ISTEXT(AG295),H295*VALUE(SUBSTITUTE(AG295,"%",""))/100,H295*AG295))-Tabela1[[#This Row],[PESO EXPEDIDO2]]</f>
        <v>0</v>
      </c>
      <c r="AU295" s="37">
        <f t="shared" si="54"/>
        <v>45.6</v>
      </c>
      <c r="AV295" s="37">
        <f t="shared" si="55"/>
        <v>45.6</v>
      </c>
      <c r="AW295" s="37"/>
    </row>
    <row r="296" spans="1:49" ht="15.75" customHeight="1" x14ac:dyDescent="0.25">
      <c r="A296" s="6" t="s">
        <v>3935</v>
      </c>
      <c r="B296" s="21" t="s">
        <v>3939</v>
      </c>
      <c r="C296" s="7">
        <v>1</v>
      </c>
      <c r="D296" s="39" t="s">
        <v>3937</v>
      </c>
      <c r="E296" s="7">
        <v>4181</v>
      </c>
      <c r="F296" s="7" t="s">
        <v>3932</v>
      </c>
      <c r="G296" s="23">
        <v>22.2</v>
      </c>
      <c r="H296" s="34">
        <f>Tabela1[[#This Row],[PESO UNI]]*Tabela1[[#This Row],[QTE]]</f>
        <v>22.2</v>
      </c>
      <c r="I296" s="7">
        <v>0</v>
      </c>
      <c r="J296" s="8" t="s">
        <v>2276</v>
      </c>
      <c r="K296" s="8" t="s">
        <v>327</v>
      </c>
      <c r="L296" s="9" t="s">
        <v>2069</v>
      </c>
      <c r="M296" s="10">
        <v>46136</v>
      </c>
      <c r="N296" s="8" t="s">
        <v>327</v>
      </c>
      <c r="O296" s="12"/>
      <c r="P296" s="13"/>
      <c r="Q296" s="14">
        <f>Tabela1[[#This Row],[QTDE/ Fabricação]]-Tabela1[[#This Row],[QTE]]</f>
        <v>-1</v>
      </c>
      <c r="R296" s="18">
        <f t="shared" si="51"/>
        <v>22.2</v>
      </c>
      <c r="S296" s="18">
        <f t="shared" si="49"/>
        <v>22.2</v>
      </c>
      <c r="T296" s="19">
        <f t="shared" si="52"/>
        <v>0</v>
      </c>
      <c r="U296" s="207">
        <v>1</v>
      </c>
      <c r="V296" s="12" t="str">
        <f>IFERROR(VLOOKUP(Tabela1[[#This Row],[COD.MDE]],'LISTA DE EMBARQUE'!B:L,11,0),"")</f>
        <v/>
      </c>
      <c r="W296" s="13"/>
      <c r="X296" s="14">
        <f>IFERROR(Tabela1[[#This Row],[QIANTIDADE EXPEDIDA]]*Tabela1[[#This Row],[PESO UNI]],"")</f>
        <v>22.2</v>
      </c>
      <c r="Y296" s="14">
        <f t="shared" si="48"/>
        <v>0</v>
      </c>
      <c r="Z296" s="20">
        <f>Tabela1[[#This Row],[PESO TOTAL]]-Tabela1[[#This Row],[Peso Expedido]]</f>
        <v>0</v>
      </c>
      <c r="AA296" s="17">
        <v>1</v>
      </c>
      <c r="AB296" s="33"/>
      <c r="AC296" s="33">
        <v>1</v>
      </c>
      <c r="AD296" s="33">
        <v>1</v>
      </c>
      <c r="AE296" s="33">
        <v>1</v>
      </c>
      <c r="AF296" s="33">
        <v>1</v>
      </c>
      <c r="AG296" s="33">
        <v>1</v>
      </c>
      <c r="AH296" s="33">
        <v>1</v>
      </c>
      <c r="AI296" s="33" t="str">
        <f t="shared" si="53"/>
        <v>ok</v>
      </c>
      <c r="AJ296" s="5"/>
      <c r="AK296" t="str">
        <f>Tabela1[[#This Row],[Coluna1]]&amp;Tabela1[[#This Row],[PEDIDO]]</f>
        <v>P-188</v>
      </c>
      <c r="AL296"/>
      <c r="AM296"/>
      <c r="AN296"/>
      <c r="AO296" t="str">
        <f t="shared" si="50"/>
        <v>T-072986-1/1073-TC-007</v>
      </c>
      <c r="AP296" t="str">
        <f>Tabela1[[#This Row],[TAG]]&amp;Tabela1[[#This Row],[PEDIDO]]&amp;Tabela1[[#This Row],[PRODUTO]]</f>
        <v>1073-TC-007P-188RMF</v>
      </c>
      <c r="AQ296" s="22" t="str">
        <f>Tabela1[[#This Row],[PRODUTO]]&amp;Tabela1[[#This Row],[TAG]]</f>
        <v>RMF1073-TC-007</v>
      </c>
      <c r="AR296" s="24" t="str">
        <f>Tabela1[[#This Row],[PEDIDO]]&amp;Tabela1[[#This Row],[PRODUTO]]</f>
        <v>P-188RMF</v>
      </c>
      <c r="AS296" s="37">
        <f>IF(AF296="",0,IF(ISTEXT(AF296),H296*VALUE(SUBSTITUTE(AF296,"%",""))/100,H296*AF296))-Tabela1[[#This Row],[PRONTO ACABADO2]]</f>
        <v>0</v>
      </c>
      <c r="AT296" s="37">
        <f>IF(AG296="",0,IF(ISTEXT(AG296),H296*VALUE(SUBSTITUTE(AG296,"%",""))/100,H296*AG296))-Tabela1[[#This Row],[PESO EXPEDIDO2]]</f>
        <v>0</v>
      </c>
      <c r="AU296" s="37">
        <f t="shared" si="54"/>
        <v>22.2</v>
      </c>
      <c r="AV296" s="37">
        <f t="shared" si="55"/>
        <v>22.2</v>
      </c>
      <c r="AW296" s="37"/>
    </row>
    <row r="297" spans="1:49" ht="15.75" customHeight="1" x14ac:dyDescent="0.25">
      <c r="A297" s="6" t="s">
        <v>3935</v>
      </c>
      <c r="B297" s="21" t="s">
        <v>3940</v>
      </c>
      <c r="C297" s="7">
        <v>1</v>
      </c>
      <c r="D297" s="39" t="s">
        <v>3937</v>
      </c>
      <c r="E297" s="7">
        <v>4182</v>
      </c>
      <c r="F297" s="7" t="s">
        <v>3932</v>
      </c>
      <c r="G297" s="23">
        <v>34</v>
      </c>
      <c r="H297" s="34">
        <f>Tabela1[[#This Row],[PESO UNI]]*Tabela1[[#This Row],[QTE]]</f>
        <v>34</v>
      </c>
      <c r="I297" s="7">
        <v>0</v>
      </c>
      <c r="J297" s="8" t="s">
        <v>2276</v>
      </c>
      <c r="K297" s="8" t="s">
        <v>327</v>
      </c>
      <c r="L297" s="9" t="s">
        <v>2069</v>
      </c>
      <c r="M297" s="10">
        <v>46136</v>
      </c>
      <c r="N297" s="8" t="s">
        <v>327</v>
      </c>
      <c r="O297" s="12"/>
      <c r="P297" s="13"/>
      <c r="Q297" s="14">
        <f>Tabela1[[#This Row],[QTDE/ Fabricação]]-Tabela1[[#This Row],[QTE]]</f>
        <v>-1</v>
      </c>
      <c r="R297" s="18">
        <f t="shared" si="51"/>
        <v>34</v>
      </c>
      <c r="S297" s="18">
        <f t="shared" si="49"/>
        <v>34</v>
      </c>
      <c r="T297" s="19">
        <f t="shared" si="52"/>
        <v>0</v>
      </c>
      <c r="U297" s="207">
        <v>1</v>
      </c>
      <c r="V297" s="12" t="str">
        <f>IFERROR(VLOOKUP(Tabela1[[#This Row],[COD.MDE]],'LISTA DE EMBARQUE'!B:L,11,0),"")</f>
        <v/>
      </c>
      <c r="W297" s="13"/>
      <c r="X297" s="14">
        <f>IFERROR(Tabela1[[#This Row],[QIANTIDADE EXPEDIDA]]*Tabela1[[#This Row],[PESO UNI]],"")</f>
        <v>34</v>
      </c>
      <c r="Y297" s="14">
        <f t="shared" si="48"/>
        <v>0</v>
      </c>
      <c r="Z297" s="20">
        <f>Tabela1[[#This Row],[PESO TOTAL]]-Tabela1[[#This Row],[Peso Expedido]]</f>
        <v>0</v>
      </c>
      <c r="AA297" s="17">
        <v>1</v>
      </c>
      <c r="AB297" s="33"/>
      <c r="AC297" s="33">
        <v>1</v>
      </c>
      <c r="AD297" s="33">
        <v>1</v>
      </c>
      <c r="AE297" s="33">
        <v>1</v>
      </c>
      <c r="AF297" s="33">
        <v>1</v>
      </c>
      <c r="AG297" s="33">
        <v>1</v>
      </c>
      <c r="AH297" s="33">
        <v>1</v>
      </c>
      <c r="AI297" s="33" t="str">
        <f t="shared" si="53"/>
        <v>ok</v>
      </c>
      <c r="AJ297" s="5"/>
      <c r="AK297" t="str">
        <f>Tabela1[[#This Row],[Coluna1]]&amp;Tabela1[[#This Row],[PEDIDO]]</f>
        <v>P-188</v>
      </c>
      <c r="AL297"/>
      <c r="AM297"/>
      <c r="AN297"/>
      <c r="AO297" t="str">
        <f t="shared" si="50"/>
        <v>T-072986-1/1073-TC-007</v>
      </c>
      <c r="AP297" t="str">
        <f>Tabela1[[#This Row],[TAG]]&amp;Tabela1[[#This Row],[PEDIDO]]&amp;Tabela1[[#This Row],[PRODUTO]]</f>
        <v>1073-TC-007P-188RMF</v>
      </c>
      <c r="AQ297" s="22" t="str">
        <f>Tabela1[[#This Row],[PRODUTO]]&amp;Tabela1[[#This Row],[TAG]]</f>
        <v>RMF1073-TC-007</v>
      </c>
      <c r="AR297" s="24" t="str">
        <f>Tabela1[[#This Row],[PEDIDO]]&amp;Tabela1[[#This Row],[PRODUTO]]</f>
        <v>P-188RMF</v>
      </c>
      <c r="AS297" s="37">
        <f>IF(AF297="",0,IF(ISTEXT(AF297),H297*VALUE(SUBSTITUTE(AF297,"%",""))/100,H297*AF297))-Tabela1[[#This Row],[PRONTO ACABADO2]]</f>
        <v>0</v>
      </c>
      <c r="AT297" s="37">
        <f>IF(AG297="",0,IF(ISTEXT(AG297),H297*VALUE(SUBSTITUTE(AG297,"%",""))/100,H297*AG297))-Tabela1[[#This Row],[PESO EXPEDIDO2]]</f>
        <v>0</v>
      </c>
      <c r="AU297" s="37">
        <f t="shared" si="54"/>
        <v>34</v>
      </c>
      <c r="AV297" s="37">
        <f t="shared" si="55"/>
        <v>34</v>
      </c>
      <c r="AW297" s="37"/>
    </row>
    <row r="298" spans="1:49" ht="15.75" customHeight="1" x14ac:dyDescent="0.25">
      <c r="A298" s="6" t="s">
        <v>3935</v>
      </c>
      <c r="B298" s="21" t="s">
        <v>3941</v>
      </c>
      <c r="C298" s="7">
        <v>1</v>
      </c>
      <c r="D298" s="39" t="s">
        <v>3937</v>
      </c>
      <c r="E298" s="7">
        <v>4183</v>
      </c>
      <c r="F298" s="7" t="s">
        <v>3932</v>
      </c>
      <c r="G298" s="23">
        <v>10.199999999999999</v>
      </c>
      <c r="H298" s="34">
        <f>Tabela1[[#This Row],[PESO UNI]]*Tabela1[[#This Row],[QTE]]</f>
        <v>10.199999999999999</v>
      </c>
      <c r="I298" s="7">
        <v>0</v>
      </c>
      <c r="J298" s="8" t="s">
        <v>2276</v>
      </c>
      <c r="K298" s="8" t="s">
        <v>327</v>
      </c>
      <c r="L298" s="9" t="s">
        <v>2069</v>
      </c>
      <c r="M298" s="10">
        <v>46136</v>
      </c>
      <c r="N298" s="8" t="s">
        <v>327</v>
      </c>
      <c r="O298" s="12"/>
      <c r="P298" s="13"/>
      <c r="Q298" s="14">
        <f>Tabela1[[#This Row],[QTDE/ Fabricação]]-Tabela1[[#This Row],[QTE]]</f>
        <v>-1</v>
      </c>
      <c r="R298" s="18">
        <f t="shared" si="51"/>
        <v>10.199999999999999</v>
      </c>
      <c r="S298" s="18">
        <f t="shared" si="49"/>
        <v>10.199999999999999</v>
      </c>
      <c r="T298" s="19">
        <f t="shared" si="52"/>
        <v>0</v>
      </c>
      <c r="U298" s="207">
        <v>1</v>
      </c>
      <c r="V298" s="12" t="str">
        <f>IFERROR(VLOOKUP(Tabela1[[#This Row],[COD.MDE]],'LISTA DE EMBARQUE'!B:L,11,0),"")</f>
        <v/>
      </c>
      <c r="W298" s="13"/>
      <c r="X298" s="14">
        <f>IFERROR(Tabela1[[#This Row],[QIANTIDADE EXPEDIDA]]*Tabela1[[#This Row],[PESO UNI]],"")</f>
        <v>10.199999999999999</v>
      </c>
      <c r="Y298" s="14">
        <f t="shared" si="48"/>
        <v>0</v>
      </c>
      <c r="Z298" s="20">
        <f>Tabela1[[#This Row],[PESO TOTAL]]-Tabela1[[#This Row],[Peso Expedido]]</f>
        <v>0</v>
      </c>
      <c r="AA298" s="17">
        <v>1</v>
      </c>
      <c r="AB298" s="33"/>
      <c r="AC298" s="33">
        <v>1</v>
      </c>
      <c r="AD298" s="33">
        <v>1</v>
      </c>
      <c r="AE298" s="33">
        <v>1</v>
      </c>
      <c r="AF298" s="33">
        <v>1</v>
      </c>
      <c r="AG298" s="33">
        <v>1</v>
      </c>
      <c r="AH298" s="33">
        <v>1</v>
      </c>
      <c r="AI298" s="33" t="str">
        <f t="shared" si="53"/>
        <v>ok</v>
      </c>
      <c r="AJ298" s="5"/>
      <c r="AK298" t="str">
        <f>Tabela1[[#This Row],[Coluna1]]&amp;Tabela1[[#This Row],[PEDIDO]]</f>
        <v>P-188</v>
      </c>
      <c r="AL298"/>
      <c r="AM298"/>
      <c r="AN298"/>
      <c r="AO298" t="str">
        <f t="shared" si="50"/>
        <v>T-072986-1/1073-TC-007</v>
      </c>
      <c r="AP298" t="str">
        <f>Tabela1[[#This Row],[TAG]]&amp;Tabela1[[#This Row],[PEDIDO]]&amp;Tabela1[[#This Row],[PRODUTO]]</f>
        <v>1073-TC-007P-188RMF</v>
      </c>
      <c r="AQ298" s="22" t="str">
        <f>Tabela1[[#This Row],[PRODUTO]]&amp;Tabela1[[#This Row],[TAG]]</f>
        <v>RMF1073-TC-007</v>
      </c>
      <c r="AR298" s="24" t="str">
        <f>Tabela1[[#This Row],[PEDIDO]]&amp;Tabela1[[#This Row],[PRODUTO]]</f>
        <v>P-188RMF</v>
      </c>
      <c r="AS298" s="37">
        <f>IF(AF298="",0,IF(ISTEXT(AF298),H298*VALUE(SUBSTITUTE(AF298,"%",""))/100,H298*AF298))-Tabela1[[#This Row],[PRONTO ACABADO2]]</f>
        <v>0</v>
      </c>
      <c r="AT298" s="37">
        <f>IF(AG298="",0,IF(ISTEXT(AG298),H298*VALUE(SUBSTITUTE(AG298,"%",""))/100,H298*AG298))-Tabela1[[#This Row],[PESO EXPEDIDO2]]</f>
        <v>0</v>
      </c>
      <c r="AU298" s="37">
        <f t="shared" si="54"/>
        <v>10.199999999999999</v>
      </c>
      <c r="AV298" s="37">
        <f t="shared" si="55"/>
        <v>10.199999999999999</v>
      </c>
      <c r="AW298" s="37"/>
    </row>
    <row r="299" spans="1:49" ht="15.75" customHeight="1" x14ac:dyDescent="0.25">
      <c r="A299" s="6" t="s">
        <v>3935</v>
      </c>
      <c r="B299" s="21" t="s">
        <v>3942</v>
      </c>
      <c r="C299" s="7">
        <v>1</v>
      </c>
      <c r="D299" s="39" t="s">
        <v>3937</v>
      </c>
      <c r="E299" s="7">
        <v>4184</v>
      </c>
      <c r="F299" s="7" t="s">
        <v>3932</v>
      </c>
      <c r="G299" s="23">
        <v>49.8</v>
      </c>
      <c r="H299" s="34">
        <f>Tabela1[[#This Row],[PESO UNI]]*Tabela1[[#This Row],[QTE]]</f>
        <v>49.8</v>
      </c>
      <c r="I299" s="7">
        <v>0</v>
      </c>
      <c r="J299" s="8" t="s">
        <v>2276</v>
      </c>
      <c r="K299" s="8" t="s">
        <v>327</v>
      </c>
      <c r="L299" s="9" t="s">
        <v>2069</v>
      </c>
      <c r="M299" s="10">
        <v>46136</v>
      </c>
      <c r="N299" s="8" t="s">
        <v>327</v>
      </c>
      <c r="O299" s="12"/>
      <c r="P299" s="13"/>
      <c r="Q299" s="14">
        <f>Tabela1[[#This Row],[QTDE/ Fabricação]]-Tabela1[[#This Row],[QTE]]</f>
        <v>-1</v>
      </c>
      <c r="R299" s="18">
        <f t="shared" si="51"/>
        <v>49.8</v>
      </c>
      <c r="S299" s="18">
        <f t="shared" si="49"/>
        <v>49.8</v>
      </c>
      <c r="T299" s="19">
        <f t="shared" si="52"/>
        <v>0</v>
      </c>
      <c r="U299" s="207">
        <v>1</v>
      </c>
      <c r="V299" s="12" t="str">
        <f>IFERROR(VLOOKUP(Tabela1[[#This Row],[COD.MDE]],'LISTA DE EMBARQUE'!B:L,11,0),"")</f>
        <v/>
      </c>
      <c r="W299" s="13"/>
      <c r="X299" s="14">
        <f>IFERROR(Tabela1[[#This Row],[QIANTIDADE EXPEDIDA]]*Tabela1[[#This Row],[PESO UNI]],"")</f>
        <v>49.8</v>
      </c>
      <c r="Y299" s="14">
        <f t="shared" si="48"/>
        <v>0</v>
      </c>
      <c r="Z299" s="20">
        <f>Tabela1[[#This Row],[PESO TOTAL]]-Tabela1[[#This Row],[Peso Expedido]]</f>
        <v>0</v>
      </c>
      <c r="AA299" s="17">
        <v>1</v>
      </c>
      <c r="AB299" s="33"/>
      <c r="AC299" s="33">
        <v>1</v>
      </c>
      <c r="AD299" s="33">
        <v>1</v>
      </c>
      <c r="AE299" s="33">
        <v>1</v>
      </c>
      <c r="AF299" s="33">
        <v>1</v>
      </c>
      <c r="AG299" s="33">
        <v>1</v>
      </c>
      <c r="AH299" s="33">
        <v>1</v>
      </c>
      <c r="AI299" s="33" t="str">
        <f t="shared" si="53"/>
        <v>ok</v>
      </c>
      <c r="AJ299" s="5"/>
      <c r="AK299" t="str">
        <f>Tabela1[[#This Row],[Coluna1]]&amp;Tabela1[[#This Row],[PEDIDO]]</f>
        <v>P-188</v>
      </c>
      <c r="AL299"/>
      <c r="AM299"/>
      <c r="AN299"/>
      <c r="AO299" t="str">
        <f t="shared" si="50"/>
        <v>T-072986-1/1073-TC-007</v>
      </c>
      <c r="AP299" t="str">
        <f>Tabela1[[#This Row],[TAG]]&amp;Tabela1[[#This Row],[PEDIDO]]&amp;Tabela1[[#This Row],[PRODUTO]]</f>
        <v>1073-TC-007P-188RMF</v>
      </c>
      <c r="AQ299" s="22" t="str">
        <f>Tabela1[[#This Row],[PRODUTO]]&amp;Tabela1[[#This Row],[TAG]]</f>
        <v>RMF1073-TC-007</v>
      </c>
      <c r="AR299" s="24" t="str">
        <f>Tabela1[[#This Row],[PEDIDO]]&amp;Tabela1[[#This Row],[PRODUTO]]</f>
        <v>P-188RMF</v>
      </c>
      <c r="AS299" s="37">
        <f>IF(AF299="",0,IF(ISTEXT(AF299),H299*VALUE(SUBSTITUTE(AF299,"%",""))/100,H299*AF299))-Tabela1[[#This Row],[PRONTO ACABADO2]]</f>
        <v>0</v>
      </c>
      <c r="AT299" s="37">
        <f>IF(AG299="",0,IF(ISTEXT(AG299),H299*VALUE(SUBSTITUTE(AG299,"%",""))/100,H299*AG299))-Tabela1[[#This Row],[PESO EXPEDIDO2]]</f>
        <v>0</v>
      </c>
      <c r="AU299" s="37">
        <f t="shared" si="54"/>
        <v>49.8</v>
      </c>
      <c r="AV299" s="37">
        <f t="shared" si="55"/>
        <v>49.8</v>
      </c>
      <c r="AW299" s="37"/>
    </row>
    <row r="300" spans="1:49" ht="15.75" customHeight="1" x14ac:dyDescent="0.25">
      <c r="A300" s="6" t="s">
        <v>3935</v>
      </c>
      <c r="B300" s="21" t="s">
        <v>3943</v>
      </c>
      <c r="C300" s="7">
        <v>1</v>
      </c>
      <c r="D300" s="39" t="s">
        <v>3937</v>
      </c>
      <c r="E300" s="7">
        <v>4185</v>
      </c>
      <c r="F300" s="7" t="s">
        <v>3932</v>
      </c>
      <c r="G300" s="23">
        <v>24.3</v>
      </c>
      <c r="H300" s="34">
        <f>Tabela1[[#This Row],[PESO UNI]]*Tabela1[[#This Row],[QTE]]</f>
        <v>24.3</v>
      </c>
      <c r="I300" s="7">
        <v>0</v>
      </c>
      <c r="J300" s="8" t="s">
        <v>2276</v>
      </c>
      <c r="K300" s="8" t="s">
        <v>327</v>
      </c>
      <c r="L300" s="9" t="s">
        <v>2069</v>
      </c>
      <c r="M300" s="10">
        <v>46136</v>
      </c>
      <c r="N300" s="8" t="s">
        <v>327</v>
      </c>
      <c r="O300" s="12"/>
      <c r="P300" s="13"/>
      <c r="Q300" s="14">
        <f>Tabela1[[#This Row],[QTDE/ Fabricação]]-Tabela1[[#This Row],[QTE]]</f>
        <v>-1</v>
      </c>
      <c r="R300" s="18">
        <f t="shared" si="51"/>
        <v>24.3</v>
      </c>
      <c r="S300" s="18">
        <f t="shared" si="49"/>
        <v>24.3</v>
      </c>
      <c r="T300" s="19">
        <f t="shared" si="52"/>
        <v>0</v>
      </c>
      <c r="U300" s="207">
        <v>1</v>
      </c>
      <c r="V300" s="12" t="str">
        <f>IFERROR(VLOOKUP(Tabela1[[#This Row],[COD.MDE]],'LISTA DE EMBARQUE'!B:L,11,0),"")</f>
        <v/>
      </c>
      <c r="W300" s="13"/>
      <c r="X300" s="14">
        <f>IFERROR(Tabela1[[#This Row],[QIANTIDADE EXPEDIDA]]*Tabela1[[#This Row],[PESO UNI]],"")</f>
        <v>24.3</v>
      </c>
      <c r="Y300" s="14">
        <f t="shared" si="48"/>
        <v>0</v>
      </c>
      <c r="Z300" s="20">
        <f>Tabela1[[#This Row],[PESO TOTAL]]-Tabela1[[#This Row],[Peso Expedido]]</f>
        <v>0</v>
      </c>
      <c r="AA300" s="17">
        <v>1</v>
      </c>
      <c r="AB300" s="33"/>
      <c r="AC300" s="33">
        <v>1</v>
      </c>
      <c r="AD300" s="33">
        <v>1</v>
      </c>
      <c r="AE300" s="33">
        <v>1</v>
      </c>
      <c r="AF300" s="33">
        <v>1</v>
      </c>
      <c r="AG300" s="33">
        <v>1</v>
      </c>
      <c r="AH300" s="33">
        <v>1</v>
      </c>
      <c r="AI300" s="33" t="str">
        <f t="shared" si="53"/>
        <v>ok</v>
      </c>
      <c r="AJ300" s="5"/>
      <c r="AK300" t="str">
        <f>Tabela1[[#This Row],[Coluna1]]&amp;Tabela1[[#This Row],[PEDIDO]]</f>
        <v>P-188</v>
      </c>
      <c r="AL300"/>
      <c r="AM300"/>
      <c r="AN300"/>
      <c r="AO300" t="str">
        <f t="shared" si="50"/>
        <v>T-072986-1/1073-TC-007</v>
      </c>
      <c r="AP300" t="str">
        <f>Tabela1[[#This Row],[TAG]]&amp;Tabela1[[#This Row],[PEDIDO]]&amp;Tabela1[[#This Row],[PRODUTO]]</f>
        <v>1073-TC-007P-188RMF</v>
      </c>
      <c r="AQ300" s="22" t="str">
        <f>Tabela1[[#This Row],[PRODUTO]]&amp;Tabela1[[#This Row],[TAG]]</f>
        <v>RMF1073-TC-007</v>
      </c>
      <c r="AR300" s="24" t="str">
        <f>Tabela1[[#This Row],[PEDIDO]]&amp;Tabela1[[#This Row],[PRODUTO]]</f>
        <v>P-188RMF</v>
      </c>
      <c r="AS300" s="37">
        <f>IF(AF300="",0,IF(ISTEXT(AF300),H300*VALUE(SUBSTITUTE(AF300,"%",""))/100,H300*AF300))-Tabela1[[#This Row],[PRONTO ACABADO2]]</f>
        <v>0</v>
      </c>
      <c r="AT300" s="37">
        <f>IF(AG300="",0,IF(ISTEXT(AG300),H300*VALUE(SUBSTITUTE(AG300,"%",""))/100,H300*AG300))-Tabela1[[#This Row],[PESO EXPEDIDO2]]</f>
        <v>0</v>
      </c>
      <c r="AU300" s="37">
        <f t="shared" si="54"/>
        <v>24.3</v>
      </c>
      <c r="AV300" s="37">
        <f t="shared" si="55"/>
        <v>24.3</v>
      </c>
      <c r="AW300" s="37"/>
    </row>
    <row r="301" spans="1:49" ht="15.75" customHeight="1" x14ac:dyDescent="0.25">
      <c r="A301" s="6" t="s">
        <v>3935</v>
      </c>
      <c r="B301" s="21" t="s">
        <v>3944</v>
      </c>
      <c r="C301" s="7">
        <v>4</v>
      </c>
      <c r="D301" s="39" t="s">
        <v>3945</v>
      </c>
      <c r="E301" s="7">
        <v>4186</v>
      </c>
      <c r="F301" s="7" t="s">
        <v>3932</v>
      </c>
      <c r="G301" s="23">
        <v>27.2</v>
      </c>
      <c r="H301" s="34">
        <f>Tabela1[[#This Row],[PESO UNI]]*Tabela1[[#This Row],[QTE]]</f>
        <v>108.8</v>
      </c>
      <c r="I301" s="7">
        <v>0</v>
      </c>
      <c r="J301" s="8" t="s">
        <v>2276</v>
      </c>
      <c r="K301" s="8" t="s">
        <v>327</v>
      </c>
      <c r="L301" s="9" t="s">
        <v>2069</v>
      </c>
      <c r="M301" s="10">
        <v>46136</v>
      </c>
      <c r="N301" s="8" t="s">
        <v>327</v>
      </c>
      <c r="O301" s="12"/>
      <c r="P301" s="13"/>
      <c r="Q301" s="14">
        <f>Tabela1[[#This Row],[QTDE/ Fabricação]]-Tabela1[[#This Row],[QTE]]</f>
        <v>-4</v>
      </c>
      <c r="R301" s="18">
        <f t="shared" si="51"/>
        <v>108.8</v>
      </c>
      <c r="S301" s="18">
        <f t="shared" si="49"/>
        <v>0</v>
      </c>
      <c r="T301" s="19">
        <f t="shared" si="52"/>
        <v>-108.8</v>
      </c>
      <c r="U301" s="16">
        <f>IFERROR(SUMIF('LISTA DE EMBARQUE'!B:B,MICRO!E:E,'LISTA DE EMBARQUE'!G:G),"")</f>
        <v>0</v>
      </c>
      <c r="V301" s="12" t="str">
        <f>IFERROR(VLOOKUP(Tabela1[[#This Row],[COD.MDE]],'LISTA DE EMBARQUE'!B:L,11,0),"")</f>
        <v/>
      </c>
      <c r="W301" s="13" t="str">
        <f>IFERROR(VLOOKUP(Tabela1[[#This Row],[COD.MDE]],'LISTA DE EMBARQUE'!B:M,12,0),"")</f>
        <v/>
      </c>
      <c r="X301" s="14">
        <f>IFERROR(Tabela1[[#This Row],[QIANTIDADE EXPEDIDA]]*Tabela1[[#This Row],[PESO UNI]],"")</f>
        <v>0</v>
      </c>
      <c r="Y301" s="14">
        <f t="shared" si="48"/>
        <v>-4</v>
      </c>
      <c r="Z301" s="20">
        <f>Tabela1[[#This Row],[PESO TOTAL]]-Tabela1[[#This Row],[Peso Expedido]]</f>
        <v>108.8</v>
      </c>
      <c r="AA301" s="17">
        <v>1</v>
      </c>
      <c r="AB301" s="33"/>
      <c r="AC301" s="33">
        <v>1</v>
      </c>
      <c r="AD301" s="33">
        <v>1</v>
      </c>
      <c r="AE301" s="33">
        <v>1</v>
      </c>
      <c r="AF301" s="33">
        <v>1</v>
      </c>
      <c r="AG301" s="33">
        <v>0</v>
      </c>
      <c r="AH301" s="33"/>
      <c r="AI301" s="33" t="str">
        <f t="shared" si="53"/>
        <v/>
      </c>
      <c r="AJ301" s="5"/>
      <c r="AK301" t="str">
        <f>Tabela1[[#This Row],[Coluna1]]&amp;Tabela1[[#This Row],[PEDIDO]]</f>
        <v>P-188</v>
      </c>
      <c r="AL301"/>
      <c r="AM301"/>
      <c r="AN301"/>
      <c r="AO301" t="str">
        <f t="shared" si="50"/>
        <v>T-072986-1/1073-TC-007</v>
      </c>
      <c r="AP301" t="str">
        <f>Tabela1[[#This Row],[TAG]]&amp;Tabela1[[#This Row],[PEDIDO]]&amp;Tabela1[[#This Row],[PRODUTO]]</f>
        <v>1073-TC-007P-188RMF</v>
      </c>
      <c r="AQ301" s="22" t="str">
        <f>Tabela1[[#This Row],[PRODUTO]]&amp;Tabela1[[#This Row],[TAG]]</f>
        <v>RMF1073-TC-007</v>
      </c>
      <c r="AR301" s="24" t="str">
        <f>Tabela1[[#This Row],[PEDIDO]]&amp;Tabela1[[#This Row],[PRODUTO]]</f>
        <v>P-188RMF</v>
      </c>
      <c r="AS301" s="37">
        <f>IF(AF301="",0,IF(ISTEXT(AF301),H301*VALUE(SUBSTITUTE(AF301,"%",""))/100,H301*AF301))-Tabela1[[#This Row],[PRONTO ACABADO2]]</f>
        <v>108.8</v>
      </c>
      <c r="AT301" s="37">
        <f>IF(AG301="",0,IF(ISTEXT(AG301),H301*VALUE(SUBSTITUTE(AG301,"%",""))/100,H301*AG301))-Tabela1[[#This Row],[PESO EXPEDIDO2]]</f>
        <v>0</v>
      </c>
      <c r="AU301" s="37">
        <f t="shared" si="54"/>
        <v>0</v>
      </c>
      <c r="AV301" s="37">
        <f t="shared" si="55"/>
        <v>0</v>
      </c>
      <c r="AW301" s="37"/>
    </row>
    <row r="302" spans="1:49" ht="15.75" customHeight="1" x14ac:dyDescent="0.25">
      <c r="A302" s="6" t="s">
        <v>3779</v>
      </c>
      <c r="B302" s="21" t="s">
        <v>3946</v>
      </c>
      <c r="C302" s="7">
        <v>2</v>
      </c>
      <c r="D302" s="39" t="s">
        <v>3947</v>
      </c>
      <c r="E302" s="7">
        <v>4187</v>
      </c>
      <c r="F302" s="7" t="s">
        <v>3782</v>
      </c>
      <c r="G302" s="23">
        <v>108.2</v>
      </c>
      <c r="H302" s="34">
        <f>Tabela1[[#This Row],[PESO UNI]]*Tabela1[[#This Row],[QTE]]</f>
        <v>216.4</v>
      </c>
      <c r="I302" s="7">
        <v>1</v>
      </c>
      <c r="J302" s="8" t="s">
        <v>2274</v>
      </c>
      <c r="K302" s="8" t="s">
        <v>327</v>
      </c>
      <c r="L302" s="9" t="s">
        <v>2069</v>
      </c>
      <c r="M302" s="10">
        <v>46139</v>
      </c>
      <c r="N302" s="8" t="s">
        <v>327</v>
      </c>
      <c r="O302" s="12"/>
      <c r="P302" s="13"/>
      <c r="Q302" s="14">
        <f>Tabela1[[#This Row],[QTDE/ Fabricação]]-Tabela1[[#This Row],[QTE]]</f>
        <v>-2</v>
      </c>
      <c r="R302" s="18">
        <f t="shared" si="51"/>
        <v>216.4</v>
      </c>
      <c r="S302" s="18">
        <f t="shared" si="49"/>
        <v>216.4</v>
      </c>
      <c r="T302" s="19">
        <f t="shared" si="52"/>
        <v>0</v>
      </c>
      <c r="U302" s="207">
        <v>2</v>
      </c>
      <c r="V302" s="12" t="str">
        <f>IFERROR(VLOOKUP(Tabela1[[#This Row],[COD.MDE]],'LISTA DE EMBARQUE'!B:L,11,0),"")</f>
        <v/>
      </c>
      <c r="W302" s="13"/>
      <c r="X302" s="14">
        <f>IFERROR(Tabela1[[#This Row],[QIANTIDADE EXPEDIDA]]*Tabela1[[#This Row],[PESO UNI]],"")</f>
        <v>216.4</v>
      </c>
      <c r="Y302" s="14">
        <f t="shared" si="48"/>
        <v>0</v>
      </c>
      <c r="Z302" s="20">
        <f>Tabela1[[#This Row],[PESO TOTAL]]-Tabela1[[#This Row],[Peso Expedido]]</f>
        <v>0</v>
      </c>
      <c r="AA302" s="17">
        <v>1</v>
      </c>
      <c r="AB302" s="33"/>
      <c r="AC302" s="33">
        <v>1</v>
      </c>
      <c r="AD302" s="33">
        <v>1</v>
      </c>
      <c r="AE302" s="33">
        <v>1</v>
      </c>
      <c r="AF302" s="33">
        <v>1</v>
      </c>
      <c r="AG302" s="33">
        <v>1</v>
      </c>
      <c r="AH302" s="33">
        <v>1</v>
      </c>
      <c r="AI302" s="33" t="str">
        <f t="shared" si="53"/>
        <v>ok</v>
      </c>
      <c r="AJ302" s="5"/>
      <c r="AK302" t="str">
        <f>Tabela1[[#This Row],[Coluna1]]&amp;Tabela1[[#This Row],[PEDIDO]]</f>
        <v>P-188</v>
      </c>
      <c r="AL302"/>
      <c r="AM302"/>
      <c r="AN302"/>
      <c r="AO302" t="str">
        <f t="shared" si="50"/>
        <v>T-072975-1/1073-TC-006</v>
      </c>
      <c r="AP302" t="str">
        <f>Tabela1[[#This Row],[TAG]]&amp;Tabela1[[#This Row],[PEDIDO]]&amp;Tabela1[[#This Row],[PRODUTO]]</f>
        <v>1073-TC-006P-188RMF</v>
      </c>
      <c r="AQ302" s="22" t="str">
        <f>Tabela1[[#This Row],[PRODUTO]]&amp;Tabela1[[#This Row],[TAG]]</f>
        <v>RMF1073-TC-006</v>
      </c>
      <c r="AR302" s="24" t="str">
        <f>Tabela1[[#This Row],[PEDIDO]]&amp;Tabela1[[#This Row],[PRODUTO]]</f>
        <v>P-188RMF</v>
      </c>
      <c r="AS302" s="37">
        <f>IF(AF302="",0,IF(ISTEXT(AF302),H302*VALUE(SUBSTITUTE(AF302,"%",""))/100,H302*AF302))-Tabela1[[#This Row],[PRONTO ACABADO2]]</f>
        <v>0</v>
      </c>
      <c r="AT302" s="37">
        <f>IF(AG302="",0,IF(ISTEXT(AG302),H302*VALUE(SUBSTITUTE(AG302,"%",""))/100,H302*AG302))-Tabela1[[#This Row],[PESO EXPEDIDO2]]</f>
        <v>0</v>
      </c>
      <c r="AU302" s="37">
        <f t="shared" si="54"/>
        <v>216.4</v>
      </c>
      <c r="AV302" s="37">
        <f t="shared" si="55"/>
        <v>216.4</v>
      </c>
      <c r="AW302" s="37"/>
    </row>
    <row r="303" spans="1:49" ht="15.75" customHeight="1" x14ac:dyDescent="0.25">
      <c r="A303" s="6" t="s">
        <v>3779</v>
      </c>
      <c r="B303" s="21" t="s">
        <v>3946</v>
      </c>
      <c r="C303" s="7">
        <v>2</v>
      </c>
      <c r="D303" s="39" t="s">
        <v>3947</v>
      </c>
      <c r="E303" s="7">
        <v>4188</v>
      </c>
      <c r="F303" s="7" t="s">
        <v>3782</v>
      </c>
      <c r="G303" s="23">
        <v>108.2</v>
      </c>
      <c r="H303" s="34">
        <f>Tabela1[[#This Row],[PESO UNI]]*Tabela1[[#This Row],[QTE]]</f>
        <v>216.4</v>
      </c>
      <c r="I303" s="7">
        <v>1</v>
      </c>
      <c r="J303" s="8" t="s">
        <v>2276</v>
      </c>
      <c r="K303" s="8" t="s">
        <v>327</v>
      </c>
      <c r="L303" s="9" t="s">
        <v>2069</v>
      </c>
      <c r="M303" s="10">
        <v>46139</v>
      </c>
      <c r="N303" s="8" t="s">
        <v>327</v>
      </c>
      <c r="O303" s="12"/>
      <c r="P303" s="13"/>
      <c r="Q303" s="14">
        <f>Tabela1[[#This Row],[QTDE/ Fabricação]]-Tabela1[[#This Row],[QTE]]</f>
        <v>-2</v>
      </c>
      <c r="R303" s="18">
        <f t="shared" si="51"/>
        <v>216.4</v>
      </c>
      <c r="S303" s="18">
        <f t="shared" si="49"/>
        <v>216.4</v>
      </c>
      <c r="T303" s="19">
        <f t="shared" si="52"/>
        <v>0</v>
      </c>
      <c r="U303" s="207">
        <v>2</v>
      </c>
      <c r="V303" s="12" t="str">
        <f>IFERROR(VLOOKUP(Tabela1[[#This Row],[COD.MDE]],'LISTA DE EMBARQUE'!B:L,11,0),"")</f>
        <v/>
      </c>
      <c r="W303" s="13"/>
      <c r="X303" s="14">
        <f>IFERROR(Tabela1[[#This Row],[QIANTIDADE EXPEDIDA]]*Tabela1[[#This Row],[PESO UNI]],"")</f>
        <v>216.4</v>
      </c>
      <c r="Y303" s="14">
        <f t="shared" si="48"/>
        <v>0</v>
      </c>
      <c r="Z303" s="20">
        <f>Tabela1[[#This Row],[PESO TOTAL]]-Tabela1[[#This Row],[Peso Expedido]]</f>
        <v>0</v>
      </c>
      <c r="AA303" s="17">
        <v>1</v>
      </c>
      <c r="AB303" s="33"/>
      <c r="AC303" s="33">
        <v>1</v>
      </c>
      <c r="AD303" s="33">
        <v>1</v>
      </c>
      <c r="AE303" s="33">
        <v>1</v>
      </c>
      <c r="AF303" s="33">
        <v>1</v>
      </c>
      <c r="AG303" s="33">
        <v>1</v>
      </c>
      <c r="AH303" s="33">
        <v>1</v>
      </c>
      <c r="AI303" s="33" t="str">
        <f t="shared" si="53"/>
        <v>ok</v>
      </c>
      <c r="AJ303" s="5"/>
      <c r="AK303" t="str">
        <f>Tabela1[[#This Row],[Coluna1]]&amp;Tabela1[[#This Row],[PEDIDO]]</f>
        <v>P-188</v>
      </c>
      <c r="AL303"/>
      <c r="AM303"/>
      <c r="AN303"/>
      <c r="AO303" t="str">
        <f t="shared" si="50"/>
        <v>T-072975-1/1073-TC-007</v>
      </c>
      <c r="AP303" t="str">
        <f>Tabela1[[#This Row],[TAG]]&amp;Tabela1[[#This Row],[PEDIDO]]&amp;Tabela1[[#This Row],[PRODUTO]]</f>
        <v>1073-TC-007P-188RMF</v>
      </c>
      <c r="AQ303" s="22" t="str">
        <f>Tabela1[[#This Row],[PRODUTO]]&amp;Tabela1[[#This Row],[TAG]]</f>
        <v>RMF1073-TC-007</v>
      </c>
      <c r="AR303" s="24" t="str">
        <f>Tabela1[[#This Row],[PEDIDO]]&amp;Tabela1[[#This Row],[PRODUTO]]</f>
        <v>P-188RMF</v>
      </c>
      <c r="AS303" s="37">
        <f>IF(AF303="",0,IF(ISTEXT(AF303),H303*VALUE(SUBSTITUTE(AF303,"%",""))/100,H303*AF303))-Tabela1[[#This Row],[PRONTO ACABADO2]]</f>
        <v>0</v>
      </c>
      <c r="AT303" s="37">
        <f>IF(AG303="",0,IF(ISTEXT(AG303),H303*VALUE(SUBSTITUTE(AG303,"%",""))/100,H303*AG303))-Tabela1[[#This Row],[PESO EXPEDIDO2]]</f>
        <v>0</v>
      </c>
      <c r="AU303" s="37">
        <f t="shared" si="54"/>
        <v>216.4</v>
      </c>
      <c r="AV303" s="37">
        <f t="shared" si="55"/>
        <v>216.4</v>
      </c>
      <c r="AW303" s="37"/>
    </row>
    <row r="304" spans="1:49" ht="15.75" customHeight="1" x14ac:dyDescent="0.25">
      <c r="A304" s="6" t="s">
        <v>3948</v>
      </c>
      <c r="B304" s="21" t="s">
        <v>3949</v>
      </c>
      <c r="C304" s="7">
        <v>76</v>
      </c>
      <c r="D304" s="39" t="s">
        <v>3950</v>
      </c>
      <c r="E304" s="7">
        <v>4189</v>
      </c>
      <c r="F304" s="7" t="s">
        <v>3951</v>
      </c>
      <c r="G304" s="23">
        <v>1.4</v>
      </c>
      <c r="H304" s="34">
        <f>Tabela1[[#This Row],[PESO UNI]]*Tabela1[[#This Row],[QTE]]</f>
        <v>106.39999999999999</v>
      </c>
      <c r="I304" s="7" t="s">
        <v>746</v>
      </c>
      <c r="J304" s="8" t="s">
        <v>2274</v>
      </c>
      <c r="K304" s="8" t="s">
        <v>327</v>
      </c>
      <c r="L304" s="9" t="s">
        <v>2069</v>
      </c>
      <c r="M304" s="10">
        <v>46154</v>
      </c>
      <c r="N304" s="8" t="s">
        <v>327</v>
      </c>
      <c r="O304" s="12"/>
      <c r="P304" s="13"/>
      <c r="Q304" s="14">
        <f>Tabela1[[#This Row],[QTDE/ Fabricação]]-Tabela1[[#This Row],[QTE]]</f>
        <v>-76</v>
      </c>
      <c r="R304" s="18">
        <f t="shared" si="51"/>
        <v>106.39999999999999</v>
      </c>
      <c r="S304" s="18">
        <f t="shared" si="49"/>
        <v>0</v>
      </c>
      <c r="T304" s="19">
        <f t="shared" si="52"/>
        <v>-106.39999999999999</v>
      </c>
      <c r="U304" s="16">
        <f>IFERROR(SUMIF('LISTA DE EMBARQUE'!B:B,MICRO!E:E,'LISTA DE EMBARQUE'!G:G),"")</f>
        <v>0</v>
      </c>
      <c r="V304" s="12" t="str">
        <f>IFERROR(VLOOKUP(Tabela1[[#This Row],[COD.MDE]],'LISTA DE EMBARQUE'!B:L,11,0),"")</f>
        <v/>
      </c>
      <c r="W304" s="13" t="str">
        <f>IFERROR(VLOOKUP(Tabela1[[#This Row],[COD.MDE]],'LISTA DE EMBARQUE'!B:M,12,0),"")</f>
        <v/>
      </c>
      <c r="X304" s="14">
        <f>IFERROR(Tabela1[[#This Row],[QIANTIDADE EXPEDIDA]]*Tabela1[[#This Row],[PESO UNI]],"")</f>
        <v>0</v>
      </c>
      <c r="Y304" s="14">
        <f t="shared" si="48"/>
        <v>-76</v>
      </c>
      <c r="Z304" s="20">
        <f>Tabela1[[#This Row],[PESO TOTAL]]-Tabela1[[#This Row],[Peso Expedido]]</f>
        <v>106.39999999999999</v>
      </c>
      <c r="AA304" s="17">
        <v>1</v>
      </c>
      <c r="AB304" s="33"/>
      <c r="AC304" s="33">
        <v>1</v>
      </c>
      <c r="AD304" s="33">
        <v>1</v>
      </c>
      <c r="AE304" s="33">
        <v>1</v>
      </c>
      <c r="AF304" s="33">
        <v>1</v>
      </c>
      <c r="AG304" s="33">
        <v>0</v>
      </c>
      <c r="AH304" s="33"/>
      <c r="AI304" s="33" t="str">
        <f t="shared" si="53"/>
        <v/>
      </c>
      <c r="AJ304" s="5"/>
      <c r="AK304" t="str">
        <f>Tabela1[[#This Row],[Coluna1]]&amp;Tabela1[[#This Row],[PEDIDO]]</f>
        <v>P-188</v>
      </c>
      <c r="AL304"/>
      <c r="AM304"/>
      <c r="AN304"/>
      <c r="AO304" t="str">
        <f t="shared" si="50"/>
        <v>T-072928-1/1073-TC-006</v>
      </c>
      <c r="AP304" t="str">
        <f>Tabela1[[#This Row],[TAG]]&amp;Tabela1[[#This Row],[PEDIDO]]&amp;Tabela1[[#This Row],[PRODUTO]]</f>
        <v>1073-TC-006P-188RMF</v>
      </c>
      <c r="AQ304" s="22" t="str">
        <f>Tabela1[[#This Row],[PRODUTO]]&amp;Tabela1[[#This Row],[TAG]]</f>
        <v>RMF1073-TC-006</v>
      </c>
      <c r="AR304" s="24" t="str">
        <f>Tabela1[[#This Row],[PEDIDO]]&amp;Tabela1[[#This Row],[PRODUTO]]</f>
        <v>P-188RMF</v>
      </c>
      <c r="AS304" s="37">
        <f>IF(AF304="",0,IF(ISTEXT(AF304),H304*VALUE(SUBSTITUTE(AF304,"%",""))/100,H304*AF304))-Tabela1[[#This Row],[PRONTO ACABADO2]]</f>
        <v>106.39999999999999</v>
      </c>
      <c r="AT304" s="37">
        <f>IF(AG304="",0,IF(ISTEXT(AG304),H304*VALUE(SUBSTITUTE(AG304,"%",""))/100,H304*AG304))-Tabela1[[#This Row],[PESO EXPEDIDO2]]</f>
        <v>0</v>
      </c>
      <c r="AU304" s="37">
        <f t="shared" si="54"/>
        <v>0</v>
      </c>
      <c r="AV304" s="37">
        <f t="shared" si="55"/>
        <v>0</v>
      </c>
      <c r="AW304" s="37"/>
    </row>
    <row r="305" spans="1:49" ht="15.75" customHeight="1" x14ac:dyDescent="0.25">
      <c r="A305" s="6" t="s">
        <v>3948</v>
      </c>
      <c r="B305" s="21" t="s">
        <v>3952</v>
      </c>
      <c r="C305" s="7">
        <v>8</v>
      </c>
      <c r="D305" s="39" t="s">
        <v>3950</v>
      </c>
      <c r="E305" s="7">
        <v>4190</v>
      </c>
      <c r="F305" s="7" t="s">
        <v>3951</v>
      </c>
      <c r="G305" s="23">
        <v>2.8</v>
      </c>
      <c r="H305" s="34">
        <f>Tabela1[[#This Row],[PESO UNI]]*Tabela1[[#This Row],[QTE]]</f>
        <v>22.4</v>
      </c>
      <c r="I305" s="7" t="s">
        <v>746</v>
      </c>
      <c r="J305" s="8" t="s">
        <v>2274</v>
      </c>
      <c r="K305" s="8" t="s">
        <v>327</v>
      </c>
      <c r="L305" s="9" t="s">
        <v>2069</v>
      </c>
      <c r="M305" s="10">
        <v>46154</v>
      </c>
      <c r="N305" s="8" t="s">
        <v>327</v>
      </c>
      <c r="O305" s="12"/>
      <c r="P305" s="13"/>
      <c r="Q305" s="14">
        <f>Tabela1[[#This Row],[QTDE/ Fabricação]]-Tabela1[[#This Row],[QTE]]</f>
        <v>-8</v>
      </c>
      <c r="R305" s="18">
        <f t="shared" si="51"/>
        <v>16.239999999999998</v>
      </c>
      <c r="S305" s="18">
        <f t="shared" si="49"/>
        <v>0</v>
      </c>
      <c r="T305" s="19">
        <f t="shared" si="52"/>
        <v>-22.4</v>
      </c>
      <c r="U305" s="16">
        <f>IFERROR(SUMIF('LISTA DE EMBARQUE'!B:B,MICRO!E:E,'LISTA DE EMBARQUE'!G:G),"")</f>
        <v>0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>IFERROR(Tabela1[[#This Row],[QIANTIDADE EXPEDIDA]]*Tabela1[[#This Row],[PESO UNI]],"")</f>
        <v>0</v>
      </c>
      <c r="Y305" s="14">
        <f t="shared" si="48"/>
        <v>-8</v>
      </c>
      <c r="Z305" s="20">
        <f>Tabela1[[#This Row],[PESO TOTAL]]-Tabela1[[#This Row],[Peso Expedido]]</f>
        <v>22.4</v>
      </c>
      <c r="AA305" s="17">
        <v>1</v>
      </c>
      <c r="AB305" s="33"/>
      <c r="AC305" s="33">
        <v>1</v>
      </c>
      <c r="AD305" s="33">
        <v>1</v>
      </c>
      <c r="AE305" s="33">
        <v>0</v>
      </c>
      <c r="AF305" s="33">
        <v>0</v>
      </c>
      <c r="AG305" s="33">
        <v>0</v>
      </c>
      <c r="AH305" s="33"/>
      <c r="AI305" s="33" t="str">
        <f t="shared" si="53"/>
        <v/>
      </c>
      <c r="AJ305" s="5"/>
      <c r="AK305" t="str">
        <f>Tabela1[[#This Row],[Coluna1]]&amp;Tabela1[[#This Row],[PEDIDO]]</f>
        <v>P-188</v>
      </c>
      <c r="AL305"/>
      <c r="AM305"/>
      <c r="AN305"/>
      <c r="AO305" t="str">
        <f t="shared" si="50"/>
        <v>T-072928-1/1073-TC-006</v>
      </c>
      <c r="AP305" t="str">
        <f>Tabela1[[#This Row],[TAG]]&amp;Tabela1[[#This Row],[PEDIDO]]&amp;Tabela1[[#This Row],[PRODUTO]]</f>
        <v>1073-TC-006P-188RMF</v>
      </c>
      <c r="AQ305" s="22" t="str">
        <f>Tabela1[[#This Row],[PRODUTO]]&amp;Tabela1[[#This Row],[TAG]]</f>
        <v>RMF1073-TC-006</v>
      </c>
      <c r="AR305" s="24" t="str">
        <f>Tabela1[[#This Row],[PEDIDO]]&amp;Tabela1[[#This Row],[PRODUTO]]</f>
        <v>P-188RMF</v>
      </c>
      <c r="AS305" s="37">
        <f>IF(AF305="",0,IF(ISTEXT(AF305),H305*VALUE(SUBSTITUTE(AF305,"%",""))/100,H305*AF305))-Tabela1[[#This Row],[PRONTO ACABADO2]]</f>
        <v>0</v>
      </c>
      <c r="AT305" s="37">
        <f>IF(AG305="",0,IF(ISTEXT(AG305),H305*VALUE(SUBSTITUTE(AG305,"%",""))/100,H305*AG305))-Tabela1[[#This Row],[PESO EXPEDIDO2]]</f>
        <v>0</v>
      </c>
      <c r="AU305" s="37">
        <f t="shared" si="54"/>
        <v>0</v>
      </c>
      <c r="AV305" s="37">
        <f t="shared" si="55"/>
        <v>0</v>
      </c>
      <c r="AW305" s="37"/>
    </row>
    <row r="306" spans="1:49" ht="15.75" customHeight="1" x14ac:dyDescent="0.25">
      <c r="A306" s="6" t="s">
        <v>3948</v>
      </c>
      <c r="B306" s="21" t="s">
        <v>3953</v>
      </c>
      <c r="C306" s="7">
        <v>2</v>
      </c>
      <c r="D306" s="39" t="s">
        <v>3954</v>
      </c>
      <c r="E306" s="7">
        <v>4191</v>
      </c>
      <c r="F306" s="7" t="s">
        <v>3951</v>
      </c>
      <c r="G306" s="23">
        <v>17.3</v>
      </c>
      <c r="H306" s="34">
        <f>Tabela1[[#This Row],[PESO UNI]]*Tabela1[[#This Row],[QTE]]</f>
        <v>34.6</v>
      </c>
      <c r="I306" s="7" t="s">
        <v>746</v>
      </c>
      <c r="J306" s="8" t="s">
        <v>2274</v>
      </c>
      <c r="K306" s="8" t="s">
        <v>327</v>
      </c>
      <c r="L306" s="9" t="s">
        <v>2069</v>
      </c>
      <c r="M306" s="10">
        <v>46154</v>
      </c>
      <c r="N306" s="8" t="s">
        <v>327</v>
      </c>
      <c r="O306" s="12"/>
      <c r="P306" s="13"/>
      <c r="Q306" s="14">
        <f>Tabela1[[#This Row],[QTDE/ Fabricação]]-Tabela1[[#This Row],[QTE]]</f>
        <v>-2</v>
      </c>
      <c r="R306" s="18">
        <f t="shared" si="51"/>
        <v>34.6</v>
      </c>
      <c r="S306" s="18">
        <f t="shared" si="49"/>
        <v>0</v>
      </c>
      <c r="T306" s="19">
        <f t="shared" si="52"/>
        <v>-34.6</v>
      </c>
      <c r="U306" s="16">
        <f>IFERROR(SUMIF('LISTA DE EMBARQUE'!B:B,MICRO!E:E,'LISTA DE EMBARQUE'!G:G),"")</f>
        <v>0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>IFERROR(Tabela1[[#This Row],[QIANTIDADE EXPEDIDA]]*Tabela1[[#This Row],[PESO UNI]],"")</f>
        <v>0</v>
      </c>
      <c r="Y306" s="14">
        <f t="shared" si="48"/>
        <v>-2</v>
      </c>
      <c r="Z306" s="20">
        <f>Tabela1[[#This Row],[PESO TOTAL]]-Tabela1[[#This Row],[Peso Expedido]]</f>
        <v>34.6</v>
      </c>
      <c r="AA306" s="17">
        <v>1</v>
      </c>
      <c r="AB306" s="33"/>
      <c r="AC306" s="33">
        <v>1</v>
      </c>
      <c r="AD306" s="33">
        <v>1</v>
      </c>
      <c r="AE306" s="33">
        <v>1</v>
      </c>
      <c r="AF306" s="33">
        <v>1</v>
      </c>
      <c r="AG306" s="33">
        <v>0</v>
      </c>
      <c r="AH306" s="33"/>
      <c r="AI306" s="33" t="str">
        <f t="shared" si="53"/>
        <v/>
      </c>
      <c r="AJ306" s="5"/>
      <c r="AK306" t="str">
        <f>Tabela1[[#This Row],[Coluna1]]&amp;Tabela1[[#This Row],[PEDIDO]]</f>
        <v>P-188</v>
      </c>
      <c r="AL306"/>
      <c r="AM306"/>
      <c r="AN306"/>
      <c r="AO306" t="str">
        <f t="shared" si="50"/>
        <v>T-072928-1/1073-TC-006</v>
      </c>
      <c r="AP306" t="str">
        <f>Tabela1[[#This Row],[TAG]]&amp;Tabela1[[#This Row],[PEDIDO]]&amp;Tabela1[[#This Row],[PRODUTO]]</f>
        <v>1073-TC-006P-188RMF</v>
      </c>
      <c r="AQ306" s="22" t="str">
        <f>Tabela1[[#This Row],[PRODUTO]]&amp;Tabela1[[#This Row],[TAG]]</f>
        <v>RMF1073-TC-006</v>
      </c>
      <c r="AR306" s="24" t="str">
        <f>Tabela1[[#This Row],[PEDIDO]]&amp;Tabela1[[#This Row],[PRODUTO]]</f>
        <v>P-188RMF</v>
      </c>
      <c r="AS306" s="37">
        <f>IF(AF306="",0,IF(ISTEXT(AF306),H306*VALUE(SUBSTITUTE(AF306,"%",""))/100,H306*AF306))-Tabela1[[#This Row],[PRONTO ACABADO2]]</f>
        <v>34.6</v>
      </c>
      <c r="AT306" s="37">
        <f>IF(AG306="",0,IF(ISTEXT(AG306),H306*VALUE(SUBSTITUTE(AG306,"%",""))/100,H306*AG306))-Tabela1[[#This Row],[PESO EXPEDIDO2]]</f>
        <v>0</v>
      </c>
      <c r="AU306" s="37">
        <f t="shared" si="54"/>
        <v>0</v>
      </c>
      <c r="AV306" s="37">
        <f t="shared" si="55"/>
        <v>0</v>
      </c>
      <c r="AW306" s="37"/>
    </row>
    <row r="307" spans="1:49" ht="15.75" customHeight="1" x14ac:dyDescent="0.25">
      <c r="A307" s="6" t="s">
        <v>3948</v>
      </c>
      <c r="B307" s="21" t="s">
        <v>3955</v>
      </c>
      <c r="C307" s="7">
        <v>4</v>
      </c>
      <c r="D307" s="39" t="s">
        <v>3954</v>
      </c>
      <c r="E307" s="7">
        <v>4192</v>
      </c>
      <c r="F307" s="7" t="s">
        <v>3951</v>
      </c>
      <c r="G307" s="23">
        <v>22.8</v>
      </c>
      <c r="H307" s="34">
        <f>Tabela1[[#This Row],[PESO UNI]]*Tabela1[[#This Row],[QTE]]</f>
        <v>91.2</v>
      </c>
      <c r="I307" s="7" t="s">
        <v>746</v>
      </c>
      <c r="J307" s="8" t="s">
        <v>2274</v>
      </c>
      <c r="K307" s="8" t="s">
        <v>327</v>
      </c>
      <c r="L307" s="9" t="s">
        <v>2069</v>
      </c>
      <c r="M307" s="10">
        <v>46154</v>
      </c>
      <c r="N307" s="8" t="s">
        <v>327</v>
      </c>
      <c r="O307" s="12"/>
      <c r="P307" s="13"/>
      <c r="Q307" s="14">
        <f>Tabela1[[#This Row],[QTDE/ Fabricação]]-Tabela1[[#This Row],[QTE]]</f>
        <v>-4</v>
      </c>
      <c r="R307" s="18">
        <f t="shared" si="51"/>
        <v>91.2</v>
      </c>
      <c r="S307" s="18">
        <f t="shared" si="49"/>
        <v>0</v>
      </c>
      <c r="T307" s="19">
        <f t="shared" si="52"/>
        <v>-91.2</v>
      </c>
      <c r="U307" s="16">
        <f>IFERROR(SUMIF('LISTA DE EMBARQUE'!B:B,MICRO!E:E,'LISTA DE EMBARQUE'!G:G),"")</f>
        <v>0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>IFERROR(Tabela1[[#This Row],[QIANTIDADE EXPEDIDA]]*Tabela1[[#This Row],[PESO UNI]],"")</f>
        <v>0</v>
      </c>
      <c r="Y307" s="14">
        <f t="shared" si="48"/>
        <v>-4</v>
      </c>
      <c r="Z307" s="20">
        <f>Tabela1[[#This Row],[PESO TOTAL]]-Tabela1[[#This Row],[Peso Expedido]]</f>
        <v>91.2</v>
      </c>
      <c r="AA307" s="17">
        <v>1</v>
      </c>
      <c r="AB307" s="33"/>
      <c r="AC307" s="33">
        <v>1</v>
      </c>
      <c r="AD307" s="33">
        <v>1</v>
      </c>
      <c r="AE307" s="33">
        <v>1</v>
      </c>
      <c r="AF307" s="33">
        <v>1</v>
      </c>
      <c r="AG307" s="33">
        <v>0</v>
      </c>
      <c r="AH307" s="33"/>
      <c r="AI307" s="33" t="str">
        <f t="shared" si="53"/>
        <v/>
      </c>
      <c r="AJ307" s="5"/>
      <c r="AK307" t="str">
        <f>Tabela1[[#This Row],[Coluna1]]&amp;Tabela1[[#This Row],[PEDIDO]]</f>
        <v>P-188</v>
      </c>
      <c r="AL307"/>
      <c r="AM307"/>
      <c r="AN307"/>
      <c r="AO307" t="str">
        <f t="shared" si="50"/>
        <v>T-072928-1/1073-TC-006</v>
      </c>
      <c r="AP307" t="str">
        <f>Tabela1[[#This Row],[TAG]]&amp;Tabela1[[#This Row],[PEDIDO]]&amp;Tabela1[[#This Row],[PRODUTO]]</f>
        <v>1073-TC-006P-188RMF</v>
      </c>
      <c r="AQ307" s="22" t="str">
        <f>Tabela1[[#This Row],[PRODUTO]]&amp;Tabela1[[#This Row],[TAG]]</f>
        <v>RMF1073-TC-006</v>
      </c>
      <c r="AR307" s="204" t="str">
        <f>Tabela1[[#This Row],[PEDIDO]]&amp;Tabela1[[#This Row],[PRODUTO]]</f>
        <v>P-188RMF</v>
      </c>
      <c r="AS307" s="32">
        <f>IF(AF307="",0,IF(ISTEXT(AF307),H307*VALUE(SUBSTITUTE(AF307,"%",""))/100,H307*AF307))-Tabela1[[#This Row],[PRONTO ACABADO2]]</f>
        <v>91.2</v>
      </c>
      <c r="AT307" s="32">
        <f>IF(AG307="",0,IF(ISTEXT(AG307),H307*VALUE(SUBSTITUTE(AG307,"%",""))/100,H307*AG307))-Tabela1[[#This Row],[PESO EXPEDIDO2]]</f>
        <v>0</v>
      </c>
      <c r="AU307" s="32">
        <f t="shared" si="54"/>
        <v>0</v>
      </c>
      <c r="AV307" s="32">
        <f t="shared" si="55"/>
        <v>0</v>
      </c>
      <c r="AW307" s="32"/>
    </row>
    <row r="308" spans="1:49" ht="15.75" customHeight="1" x14ac:dyDescent="0.25">
      <c r="A308" s="6" t="s">
        <v>3948</v>
      </c>
      <c r="B308" s="21" t="s">
        <v>3956</v>
      </c>
      <c r="C308" s="7">
        <v>2</v>
      </c>
      <c r="D308" s="39" t="s">
        <v>3954</v>
      </c>
      <c r="E308" s="7">
        <v>4193</v>
      </c>
      <c r="F308" s="7" t="s">
        <v>3951</v>
      </c>
      <c r="G308" s="23">
        <v>17.100000000000001</v>
      </c>
      <c r="H308" s="34">
        <f>Tabela1[[#This Row],[PESO UNI]]*Tabela1[[#This Row],[QTE]]</f>
        <v>34.200000000000003</v>
      </c>
      <c r="I308" s="7" t="s">
        <v>746</v>
      </c>
      <c r="J308" s="8" t="s">
        <v>2274</v>
      </c>
      <c r="K308" s="8" t="s">
        <v>327</v>
      </c>
      <c r="L308" s="9" t="s">
        <v>2069</v>
      </c>
      <c r="M308" s="10">
        <v>46154</v>
      </c>
      <c r="N308" s="8" t="s">
        <v>327</v>
      </c>
      <c r="O308" s="12"/>
      <c r="P308" s="13"/>
      <c r="Q308" s="14">
        <f>Tabela1[[#This Row],[QTDE/ Fabricação]]-Tabela1[[#This Row],[QTE]]</f>
        <v>-2</v>
      </c>
      <c r="R308" s="18">
        <f t="shared" si="51"/>
        <v>34.200000000000003</v>
      </c>
      <c r="S308" s="18">
        <f t="shared" si="49"/>
        <v>0</v>
      </c>
      <c r="T308" s="19">
        <f t="shared" si="52"/>
        <v>-34.200000000000003</v>
      </c>
      <c r="U308" s="16">
        <f>IFERROR(SUMIF('LISTA DE EMBARQUE'!B:B,MICRO!E:E,'LISTA DE EMBARQUE'!G:G),"")</f>
        <v>0</v>
      </c>
      <c r="V308" s="12" t="str">
        <f>IFERROR(VLOOKUP(Tabela1[[#This Row],[COD.MDE]],'LISTA DE EMBARQUE'!B:L,11,0),"")</f>
        <v/>
      </c>
      <c r="W308" s="13" t="str">
        <f>IFERROR(VLOOKUP(Tabela1[[#This Row],[COD.MDE]],'LISTA DE EMBARQUE'!B:M,12,0),"")</f>
        <v/>
      </c>
      <c r="X308" s="14">
        <f>IFERROR(Tabela1[[#This Row],[QIANTIDADE EXPEDIDA]]*Tabela1[[#This Row],[PESO UNI]],"")</f>
        <v>0</v>
      </c>
      <c r="Y308" s="14">
        <f t="shared" si="48"/>
        <v>-2</v>
      </c>
      <c r="Z308" s="20">
        <f>Tabela1[[#This Row],[PESO TOTAL]]-Tabela1[[#This Row],[Peso Expedido]]</f>
        <v>34.200000000000003</v>
      </c>
      <c r="AA308" s="17">
        <v>1</v>
      </c>
      <c r="AB308" s="33"/>
      <c r="AC308" s="33">
        <v>1</v>
      </c>
      <c r="AD308" s="33">
        <v>1</v>
      </c>
      <c r="AE308" s="33">
        <v>1</v>
      </c>
      <c r="AF308" s="33">
        <v>1</v>
      </c>
      <c r="AG308" s="33">
        <v>0</v>
      </c>
      <c r="AH308" s="33"/>
      <c r="AI308" s="33" t="str">
        <f t="shared" si="53"/>
        <v/>
      </c>
      <c r="AJ308" s="5"/>
      <c r="AK308" t="str">
        <f>Tabela1[[#This Row],[Coluna1]]&amp;Tabela1[[#This Row],[PEDIDO]]</f>
        <v>P-188</v>
      </c>
      <c r="AL308"/>
      <c r="AM308"/>
      <c r="AN308"/>
      <c r="AO308" t="str">
        <f t="shared" si="50"/>
        <v>T-072928-1/1073-TC-006</v>
      </c>
      <c r="AP308" t="str">
        <f>Tabela1[[#This Row],[TAG]]&amp;Tabela1[[#This Row],[PEDIDO]]&amp;Tabela1[[#This Row],[PRODUTO]]</f>
        <v>1073-TC-006P-188RMF</v>
      </c>
      <c r="AQ308" s="22" t="str">
        <f>Tabela1[[#This Row],[PRODUTO]]&amp;Tabela1[[#This Row],[TAG]]</f>
        <v>RMF1073-TC-006</v>
      </c>
      <c r="AR308" s="24" t="str">
        <f>Tabela1[[#This Row],[PEDIDO]]&amp;Tabela1[[#This Row],[PRODUTO]]</f>
        <v>P-188RMF</v>
      </c>
      <c r="AS308" s="37">
        <f>IF(AF308="",0,IF(ISTEXT(AF308),H308*VALUE(SUBSTITUTE(AF308,"%",""))/100,H308*AF308))-Tabela1[[#This Row],[PRONTO ACABADO2]]</f>
        <v>34.200000000000003</v>
      </c>
      <c r="AT308" s="37">
        <f>IF(AG308="",0,IF(ISTEXT(AG308),H308*VALUE(SUBSTITUTE(AG308,"%",""))/100,H308*AG308))-Tabela1[[#This Row],[PESO EXPEDIDO2]]</f>
        <v>0</v>
      </c>
      <c r="AU308" s="37">
        <f t="shared" si="54"/>
        <v>0</v>
      </c>
      <c r="AV308" s="37">
        <f t="shared" si="55"/>
        <v>0</v>
      </c>
      <c r="AW308" s="37"/>
    </row>
    <row r="309" spans="1:49" ht="15.75" customHeight="1" x14ac:dyDescent="0.25">
      <c r="A309" s="6" t="s">
        <v>3948</v>
      </c>
      <c r="B309" s="21" t="s">
        <v>3957</v>
      </c>
      <c r="C309" s="7">
        <v>4</v>
      </c>
      <c r="D309" s="39" t="s">
        <v>3954</v>
      </c>
      <c r="E309" s="7">
        <v>4194</v>
      </c>
      <c r="F309" s="7" t="s">
        <v>3951</v>
      </c>
      <c r="G309" s="23">
        <v>13.1</v>
      </c>
      <c r="H309" s="34">
        <f>Tabela1[[#This Row],[PESO UNI]]*Tabela1[[#This Row],[QTE]]</f>
        <v>52.4</v>
      </c>
      <c r="I309" s="7" t="s">
        <v>746</v>
      </c>
      <c r="J309" s="8" t="s">
        <v>2274</v>
      </c>
      <c r="K309" s="8" t="s">
        <v>327</v>
      </c>
      <c r="L309" s="9" t="s">
        <v>2069</v>
      </c>
      <c r="M309" s="10">
        <v>46154</v>
      </c>
      <c r="N309" s="8" t="s">
        <v>327</v>
      </c>
      <c r="O309" s="12"/>
      <c r="P309" s="13"/>
      <c r="Q309" s="14">
        <f>Tabela1[[#This Row],[QTDE/ Fabricação]]-Tabela1[[#This Row],[QTE]]</f>
        <v>-4</v>
      </c>
      <c r="R309" s="18">
        <f t="shared" si="51"/>
        <v>52.4</v>
      </c>
      <c r="S309" s="18">
        <f t="shared" si="49"/>
        <v>0</v>
      </c>
      <c r="T309" s="19">
        <f t="shared" si="52"/>
        <v>-52.4</v>
      </c>
      <c r="U309" s="16">
        <f>IFERROR(SUMIF('LISTA DE EMBARQUE'!B:B,MICRO!E:E,'LISTA DE EMBARQUE'!G:G),"")</f>
        <v>0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>IFERROR(Tabela1[[#This Row],[QIANTIDADE EXPEDIDA]]*Tabela1[[#This Row],[PESO UNI]],"")</f>
        <v>0</v>
      </c>
      <c r="Y309" s="14">
        <f t="shared" ref="Y309:Y355" si="56">U309-C309</f>
        <v>-4</v>
      </c>
      <c r="Z309" s="20">
        <f>Tabela1[[#This Row],[PESO TOTAL]]-Tabela1[[#This Row],[Peso Expedido]]</f>
        <v>52.4</v>
      </c>
      <c r="AA309" s="17">
        <v>1</v>
      </c>
      <c r="AB309" s="33"/>
      <c r="AC309" s="33">
        <v>1</v>
      </c>
      <c r="AD309" s="33">
        <v>1</v>
      </c>
      <c r="AE309" s="33">
        <v>1</v>
      </c>
      <c r="AF309" s="33">
        <v>1</v>
      </c>
      <c r="AG309" s="33">
        <v>0</v>
      </c>
      <c r="AH309" s="33"/>
      <c r="AI309" s="33" t="str">
        <f t="shared" si="53"/>
        <v/>
      </c>
      <c r="AJ309" s="5"/>
      <c r="AK309" t="str">
        <f>Tabela1[[#This Row],[Coluna1]]&amp;Tabela1[[#This Row],[PEDIDO]]</f>
        <v>P-188</v>
      </c>
      <c r="AL309"/>
      <c r="AM309"/>
      <c r="AN309"/>
      <c r="AO309" t="str">
        <f t="shared" si="50"/>
        <v>T-072928-1/1073-TC-006</v>
      </c>
      <c r="AP309" t="str">
        <f>Tabela1[[#This Row],[TAG]]&amp;Tabela1[[#This Row],[PEDIDO]]&amp;Tabela1[[#This Row],[PRODUTO]]</f>
        <v>1073-TC-006P-188RMF</v>
      </c>
      <c r="AQ309" s="22" t="str">
        <f>Tabela1[[#This Row],[PRODUTO]]&amp;Tabela1[[#This Row],[TAG]]</f>
        <v>RMF1073-TC-006</v>
      </c>
      <c r="AR309" s="24" t="str">
        <f>Tabela1[[#This Row],[PEDIDO]]&amp;Tabela1[[#This Row],[PRODUTO]]</f>
        <v>P-188RMF</v>
      </c>
      <c r="AS309" s="37">
        <f>IF(AF309="",0,IF(ISTEXT(AF309),H309*VALUE(SUBSTITUTE(AF309,"%",""))/100,H309*AF309))-Tabela1[[#This Row],[PRONTO ACABADO2]]</f>
        <v>52.4</v>
      </c>
      <c r="AT309" s="37">
        <f>IF(AG309="",0,IF(ISTEXT(AG309),H309*VALUE(SUBSTITUTE(AG309,"%",""))/100,H309*AG309))-Tabela1[[#This Row],[PESO EXPEDIDO2]]</f>
        <v>0</v>
      </c>
      <c r="AU309" s="37">
        <f t="shared" si="54"/>
        <v>0</v>
      </c>
      <c r="AV309" s="37">
        <f t="shared" si="55"/>
        <v>0</v>
      </c>
      <c r="AW309" s="37"/>
    </row>
    <row r="310" spans="1:49" ht="15.75" customHeight="1" x14ac:dyDescent="0.25">
      <c r="A310" s="6" t="s">
        <v>3948</v>
      </c>
      <c r="B310" s="21" t="s">
        <v>3949</v>
      </c>
      <c r="C310" s="7">
        <v>76</v>
      </c>
      <c r="D310" s="39" t="s">
        <v>3950</v>
      </c>
      <c r="E310" s="7">
        <v>4195</v>
      </c>
      <c r="F310" s="7" t="s">
        <v>3951</v>
      </c>
      <c r="G310" s="23">
        <v>1.4</v>
      </c>
      <c r="H310" s="34">
        <f>Tabela1[[#This Row],[PESO UNI]]*Tabela1[[#This Row],[QTE]]</f>
        <v>106.39999999999999</v>
      </c>
      <c r="I310" s="7" t="s">
        <v>746</v>
      </c>
      <c r="J310" s="8" t="s">
        <v>2276</v>
      </c>
      <c r="K310" s="8" t="s">
        <v>327</v>
      </c>
      <c r="L310" s="9" t="s">
        <v>2069</v>
      </c>
      <c r="M310" s="10">
        <v>46154</v>
      </c>
      <c r="N310" s="8" t="s">
        <v>327</v>
      </c>
      <c r="O310" s="12"/>
      <c r="P310" s="13"/>
      <c r="Q310" s="14">
        <f>Tabela1[[#This Row],[QTDE/ Fabricação]]-Tabela1[[#This Row],[QTE]]</f>
        <v>-76</v>
      </c>
      <c r="R310" s="18">
        <f t="shared" si="51"/>
        <v>106.39999999999999</v>
      </c>
      <c r="S310" s="18">
        <f t="shared" ref="S310:S373" si="57">IFERROR(H310*AG310,"")</f>
        <v>0</v>
      </c>
      <c r="T310" s="19">
        <f t="shared" si="52"/>
        <v>-106.39999999999999</v>
      </c>
      <c r="U310" s="16">
        <f>IFERROR(SUMIF('LISTA DE EMBARQUE'!B:B,MICRO!E:E,'LISTA DE EMBARQUE'!G:G),"")</f>
        <v>0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>IFERROR(Tabela1[[#This Row],[QIANTIDADE EXPEDIDA]]*Tabela1[[#This Row],[PESO UNI]],"")</f>
        <v>0</v>
      </c>
      <c r="Y310" s="14">
        <f t="shared" si="56"/>
        <v>-76</v>
      </c>
      <c r="Z310" s="20">
        <f>Tabela1[[#This Row],[PESO TOTAL]]-Tabela1[[#This Row],[Peso Expedido]]</f>
        <v>106.39999999999999</v>
      </c>
      <c r="AA310" s="17">
        <v>1</v>
      </c>
      <c r="AB310" s="33"/>
      <c r="AC310" s="33">
        <v>1</v>
      </c>
      <c r="AD310" s="33">
        <v>1</v>
      </c>
      <c r="AE310" s="33">
        <v>1</v>
      </c>
      <c r="AF310" s="33">
        <v>1</v>
      </c>
      <c r="AG310" s="33">
        <v>0</v>
      </c>
      <c r="AH310" s="33"/>
      <c r="AI310" s="33" t="str">
        <f t="shared" si="53"/>
        <v/>
      </c>
      <c r="AJ310" s="5"/>
      <c r="AK310" t="str">
        <f>Tabela1[[#This Row],[Coluna1]]&amp;Tabela1[[#This Row],[PEDIDO]]</f>
        <v>P-188</v>
      </c>
      <c r="AL310"/>
      <c r="AM310"/>
      <c r="AN310"/>
      <c r="AO310" t="str">
        <f t="shared" si="50"/>
        <v>T-072928-1/1073-TC-007</v>
      </c>
      <c r="AP310" t="str">
        <f>Tabela1[[#This Row],[TAG]]&amp;Tabela1[[#This Row],[PEDIDO]]&amp;Tabela1[[#This Row],[PRODUTO]]</f>
        <v>1073-TC-007P-188RMF</v>
      </c>
      <c r="AQ310" s="22" t="str">
        <f>Tabela1[[#This Row],[PRODUTO]]&amp;Tabela1[[#This Row],[TAG]]</f>
        <v>RMF1073-TC-007</v>
      </c>
      <c r="AR310" s="24" t="str">
        <f>Tabela1[[#This Row],[PEDIDO]]&amp;Tabela1[[#This Row],[PRODUTO]]</f>
        <v>P-188RMF</v>
      </c>
      <c r="AS310" s="37">
        <f>IF(AF310="",0,IF(ISTEXT(AF310),H310*VALUE(SUBSTITUTE(AF310,"%",""))/100,H310*AF310))-Tabela1[[#This Row],[PRONTO ACABADO2]]</f>
        <v>106.39999999999999</v>
      </c>
      <c r="AT310" s="37">
        <f>IF(AG310="",0,IF(ISTEXT(AG310),H310*VALUE(SUBSTITUTE(AG310,"%",""))/100,H310*AG310))-Tabela1[[#This Row],[PESO EXPEDIDO2]]</f>
        <v>0</v>
      </c>
      <c r="AU310" s="37">
        <f t="shared" si="54"/>
        <v>0</v>
      </c>
      <c r="AV310" s="37">
        <f t="shared" si="55"/>
        <v>0</v>
      </c>
      <c r="AW310" s="37"/>
    </row>
    <row r="311" spans="1:49" ht="15.75" customHeight="1" x14ac:dyDescent="0.25">
      <c r="A311" s="6" t="s">
        <v>3948</v>
      </c>
      <c r="B311" s="21" t="s">
        <v>3952</v>
      </c>
      <c r="C311" s="7">
        <v>8</v>
      </c>
      <c r="D311" s="39" t="s">
        <v>3950</v>
      </c>
      <c r="E311" s="7">
        <v>4196</v>
      </c>
      <c r="F311" s="7" t="s">
        <v>3951</v>
      </c>
      <c r="G311" s="23">
        <v>2.4</v>
      </c>
      <c r="H311" s="34">
        <f>Tabela1[[#This Row],[PESO UNI]]*Tabela1[[#This Row],[QTE]]</f>
        <v>19.2</v>
      </c>
      <c r="I311" s="7" t="s">
        <v>746</v>
      </c>
      <c r="J311" s="8" t="s">
        <v>2276</v>
      </c>
      <c r="K311" s="8" t="s">
        <v>327</v>
      </c>
      <c r="L311" s="9" t="s">
        <v>2069</v>
      </c>
      <c r="M311" s="10">
        <v>46154</v>
      </c>
      <c r="N311" s="8" t="s">
        <v>327</v>
      </c>
      <c r="O311" s="12"/>
      <c r="P311" s="13"/>
      <c r="Q311" s="14">
        <f>Tabela1[[#This Row],[QTDE/ Fabricação]]-Tabela1[[#This Row],[QTE]]</f>
        <v>-8</v>
      </c>
      <c r="R311" s="18">
        <f t="shared" si="51"/>
        <v>13.92</v>
      </c>
      <c r="S311" s="18">
        <f t="shared" si="57"/>
        <v>0</v>
      </c>
      <c r="T311" s="19">
        <f t="shared" si="52"/>
        <v>-19.2</v>
      </c>
      <c r="U311" s="16">
        <f>IFERROR(SUMIF('LISTA DE EMBARQUE'!B:B,MICRO!E:E,'LISTA DE EMBARQUE'!G:G),"")</f>
        <v>0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>IFERROR(Tabela1[[#This Row],[QIANTIDADE EXPEDIDA]]*Tabela1[[#This Row],[PESO UNI]],"")</f>
        <v>0</v>
      </c>
      <c r="Y311" s="14">
        <f t="shared" si="56"/>
        <v>-8</v>
      </c>
      <c r="Z311" s="20">
        <f>Tabela1[[#This Row],[PESO TOTAL]]-Tabela1[[#This Row],[Peso Expedido]]</f>
        <v>19.2</v>
      </c>
      <c r="AA311" s="17">
        <v>1</v>
      </c>
      <c r="AB311" s="33"/>
      <c r="AC311" s="33">
        <v>1</v>
      </c>
      <c r="AD311" s="33">
        <v>1</v>
      </c>
      <c r="AE311" s="33">
        <v>0</v>
      </c>
      <c r="AF311" s="33">
        <v>0</v>
      </c>
      <c r="AG311" s="33">
        <v>0</v>
      </c>
      <c r="AH311" s="33"/>
      <c r="AI311" s="33" t="str">
        <f t="shared" si="53"/>
        <v/>
      </c>
      <c r="AJ311" s="5"/>
      <c r="AK311" t="str">
        <f>Tabela1[[#This Row],[Coluna1]]&amp;Tabela1[[#This Row],[PEDIDO]]</f>
        <v>P-188</v>
      </c>
      <c r="AL311"/>
      <c r="AM311"/>
      <c r="AN311"/>
      <c r="AO311" t="str">
        <f t="shared" si="50"/>
        <v>T-072928-1/1073-TC-007</v>
      </c>
      <c r="AP311" t="str">
        <f>Tabela1[[#This Row],[TAG]]&amp;Tabela1[[#This Row],[PEDIDO]]&amp;Tabela1[[#This Row],[PRODUTO]]</f>
        <v>1073-TC-007P-188RMF</v>
      </c>
      <c r="AQ311" s="22" t="str">
        <f>Tabela1[[#This Row],[PRODUTO]]&amp;Tabela1[[#This Row],[TAG]]</f>
        <v>RMF1073-TC-007</v>
      </c>
      <c r="AR311" s="24" t="str">
        <f>Tabela1[[#This Row],[PEDIDO]]&amp;Tabela1[[#This Row],[PRODUTO]]</f>
        <v>P-188RMF</v>
      </c>
      <c r="AS311" s="37">
        <f>IF(AF311="",0,IF(ISTEXT(AF311),H311*VALUE(SUBSTITUTE(AF311,"%",""))/100,H311*AF311))-Tabela1[[#This Row],[PRONTO ACABADO2]]</f>
        <v>0</v>
      </c>
      <c r="AT311" s="37">
        <f>IF(AG311="",0,IF(ISTEXT(AG311),H311*VALUE(SUBSTITUTE(AG311,"%",""))/100,H311*AG311))-Tabela1[[#This Row],[PESO EXPEDIDO2]]</f>
        <v>0</v>
      </c>
      <c r="AU311" s="37">
        <f t="shared" si="54"/>
        <v>0</v>
      </c>
      <c r="AV311" s="37">
        <f t="shared" si="55"/>
        <v>0</v>
      </c>
      <c r="AW311" s="37"/>
    </row>
    <row r="312" spans="1:49" ht="15.75" customHeight="1" x14ac:dyDescent="0.25">
      <c r="A312" s="6" t="s">
        <v>3948</v>
      </c>
      <c r="B312" s="21" t="s">
        <v>3953</v>
      </c>
      <c r="C312" s="7">
        <v>2</v>
      </c>
      <c r="D312" s="39" t="s">
        <v>3954</v>
      </c>
      <c r="E312" s="7">
        <v>4197</v>
      </c>
      <c r="F312" s="7" t="s">
        <v>3951</v>
      </c>
      <c r="G312" s="23">
        <v>17.3</v>
      </c>
      <c r="H312" s="34">
        <f>Tabela1[[#This Row],[PESO UNI]]*Tabela1[[#This Row],[QTE]]</f>
        <v>34.6</v>
      </c>
      <c r="I312" s="7" t="s">
        <v>746</v>
      </c>
      <c r="J312" s="8" t="s">
        <v>2276</v>
      </c>
      <c r="K312" s="8" t="s">
        <v>327</v>
      </c>
      <c r="L312" s="9" t="s">
        <v>2069</v>
      </c>
      <c r="M312" s="10">
        <v>46154</v>
      </c>
      <c r="N312" s="8" t="s">
        <v>327</v>
      </c>
      <c r="O312" s="12"/>
      <c r="P312" s="13"/>
      <c r="Q312" s="14">
        <f>Tabela1[[#This Row],[QTDE/ Fabricação]]-Tabela1[[#This Row],[QTE]]</f>
        <v>-2</v>
      </c>
      <c r="R312" s="18">
        <f t="shared" si="51"/>
        <v>34.6</v>
      </c>
      <c r="S312" s="18">
        <f t="shared" si="57"/>
        <v>0</v>
      </c>
      <c r="T312" s="19">
        <f t="shared" si="52"/>
        <v>-34.6</v>
      </c>
      <c r="U312" s="16">
        <f>IFERROR(SUMIF('LISTA DE EMBARQUE'!B:B,MICRO!E:E,'LISTA DE EMBARQUE'!G:G),"")</f>
        <v>0</v>
      </c>
      <c r="V312" s="12" t="str">
        <f>IFERROR(VLOOKUP(Tabela1[[#This Row],[COD.MDE]],'LISTA DE EMBARQUE'!B:L,11,0),"")</f>
        <v/>
      </c>
      <c r="W312" s="13" t="str">
        <f>IFERROR(VLOOKUP(Tabela1[[#This Row],[COD.MDE]],'LISTA DE EMBARQUE'!B:M,12,0),"")</f>
        <v/>
      </c>
      <c r="X312" s="14">
        <f>IFERROR(Tabela1[[#This Row],[QIANTIDADE EXPEDIDA]]*Tabela1[[#This Row],[PESO UNI]],"")</f>
        <v>0</v>
      </c>
      <c r="Y312" s="14">
        <f t="shared" si="56"/>
        <v>-2</v>
      </c>
      <c r="Z312" s="20">
        <f>Tabela1[[#This Row],[PESO TOTAL]]-Tabela1[[#This Row],[Peso Expedido]]</f>
        <v>34.6</v>
      </c>
      <c r="AA312" s="17">
        <v>1</v>
      </c>
      <c r="AB312" s="33"/>
      <c r="AC312" s="33">
        <v>1</v>
      </c>
      <c r="AD312" s="33">
        <v>1</v>
      </c>
      <c r="AE312" s="33">
        <v>1</v>
      </c>
      <c r="AF312" s="33">
        <v>1</v>
      </c>
      <c r="AG312" s="33">
        <v>0</v>
      </c>
      <c r="AH312" s="33"/>
      <c r="AI312" s="33" t="str">
        <f t="shared" si="53"/>
        <v/>
      </c>
      <c r="AJ312" s="5"/>
      <c r="AK312" t="str">
        <f>Tabela1[[#This Row],[Coluna1]]&amp;Tabela1[[#This Row],[PEDIDO]]</f>
        <v>P-188</v>
      </c>
      <c r="AL312"/>
      <c r="AM312"/>
      <c r="AN312"/>
      <c r="AO312" t="str">
        <f t="shared" si="50"/>
        <v>T-072928-1/1073-TC-007</v>
      </c>
      <c r="AP312" t="str">
        <f>Tabela1[[#This Row],[TAG]]&amp;Tabela1[[#This Row],[PEDIDO]]&amp;Tabela1[[#This Row],[PRODUTO]]</f>
        <v>1073-TC-007P-188RMF</v>
      </c>
      <c r="AQ312" s="22" t="str">
        <f>Tabela1[[#This Row],[PRODUTO]]&amp;Tabela1[[#This Row],[TAG]]</f>
        <v>RMF1073-TC-007</v>
      </c>
      <c r="AR312" s="24" t="str">
        <f>Tabela1[[#This Row],[PEDIDO]]&amp;Tabela1[[#This Row],[PRODUTO]]</f>
        <v>P-188RMF</v>
      </c>
      <c r="AS312" s="37">
        <f>IF(AF312="",0,IF(ISTEXT(AF312),H312*VALUE(SUBSTITUTE(AF312,"%",""))/100,H312*AF312))-Tabela1[[#This Row],[PRONTO ACABADO2]]</f>
        <v>34.6</v>
      </c>
      <c r="AT312" s="37">
        <f>IF(AG312="",0,IF(ISTEXT(AG312),H312*VALUE(SUBSTITUTE(AG312,"%",""))/100,H312*AG312))-Tabela1[[#This Row],[PESO EXPEDIDO2]]</f>
        <v>0</v>
      </c>
      <c r="AU312" s="37">
        <f t="shared" si="54"/>
        <v>0</v>
      </c>
      <c r="AV312" s="37">
        <f t="shared" si="55"/>
        <v>0</v>
      </c>
      <c r="AW312" s="37"/>
    </row>
    <row r="313" spans="1:49" ht="15.75" customHeight="1" x14ac:dyDescent="0.25">
      <c r="A313" s="6" t="s">
        <v>3948</v>
      </c>
      <c r="B313" s="21" t="s">
        <v>3955</v>
      </c>
      <c r="C313" s="7">
        <v>4</v>
      </c>
      <c r="D313" s="39" t="s">
        <v>3954</v>
      </c>
      <c r="E313" s="7">
        <v>4198</v>
      </c>
      <c r="F313" s="7" t="s">
        <v>3951</v>
      </c>
      <c r="G313" s="23">
        <v>22.8</v>
      </c>
      <c r="H313" s="34">
        <f>Tabela1[[#This Row],[PESO UNI]]*Tabela1[[#This Row],[QTE]]</f>
        <v>91.2</v>
      </c>
      <c r="I313" s="7" t="s">
        <v>746</v>
      </c>
      <c r="J313" s="8" t="s">
        <v>2276</v>
      </c>
      <c r="K313" s="8" t="s">
        <v>327</v>
      </c>
      <c r="L313" s="9" t="s">
        <v>2069</v>
      </c>
      <c r="M313" s="10">
        <v>46154</v>
      </c>
      <c r="N313" s="8" t="s">
        <v>327</v>
      </c>
      <c r="O313" s="12"/>
      <c r="P313" s="13"/>
      <c r="Q313" s="14">
        <f>Tabela1[[#This Row],[QTDE/ Fabricação]]-Tabela1[[#This Row],[QTE]]</f>
        <v>-4</v>
      </c>
      <c r="R313" s="18">
        <f t="shared" si="51"/>
        <v>91.2</v>
      </c>
      <c r="S313" s="18">
        <f t="shared" si="57"/>
        <v>0</v>
      </c>
      <c r="T313" s="19">
        <f t="shared" si="52"/>
        <v>-91.2</v>
      </c>
      <c r="U313" s="16">
        <f>IFERROR(SUMIF('LISTA DE EMBARQUE'!B:B,MICRO!E:E,'LISTA DE EMBARQUE'!G:G),"")</f>
        <v>0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>IFERROR(Tabela1[[#This Row],[QIANTIDADE EXPEDIDA]]*Tabela1[[#This Row],[PESO UNI]],"")</f>
        <v>0</v>
      </c>
      <c r="Y313" s="14">
        <f t="shared" si="56"/>
        <v>-4</v>
      </c>
      <c r="Z313" s="20">
        <f>Tabela1[[#This Row],[PESO TOTAL]]-Tabela1[[#This Row],[Peso Expedido]]</f>
        <v>91.2</v>
      </c>
      <c r="AA313" s="17">
        <v>1</v>
      </c>
      <c r="AB313" s="33"/>
      <c r="AC313" s="33">
        <v>1</v>
      </c>
      <c r="AD313" s="33">
        <v>1</v>
      </c>
      <c r="AE313" s="33">
        <v>1</v>
      </c>
      <c r="AF313" s="33">
        <v>1</v>
      </c>
      <c r="AG313" s="33">
        <v>0</v>
      </c>
      <c r="AH313" s="33"/>
      <c r="AI313" s="33" t="str">
        <f t="shared" si="53"/>
        <v/>
      </c>
      <c r="AJ313" s="5"/>
      <c r="AK313" t="str">
        <f>Tabela1[[#This Row],[Coluna1]]&amp;Tabela1[[#This Row],[PEDIDO]]</f>
        <v>P-188</v>
      </c>
      <c r="AL313"/>
      <c r="AM313"/>
      <c r="AN313"/>
      <c r="AO313" t="str">
        <f t="shared" si="50"/>
        <v>T-072928-1/1073-TC-007</v>
      </c>
      <c r="AP313" t="str">
        <f>Tabela1[[#This Row],[TAG]]&amp;Tabela1[[#This Row],[PEDIDO]]&amp;Tabela1[[#This Row],[PRODUTO]]</f>
        <v>1073-TC-007P-188RMF</v>
      </c>
      <c r="AQ313" s="22" t="str">
        <f>Tabela1[[#This Row],[PRODUTO]]&amp;Tabela1[[#This Row],[TAG]]</f>
        <v>RMF1073-TC-007</v>
      </c>
      <c r="AR313" s="24" t="str">
        <f>Tabela1[[#This Row],[PEDIDO]]&amp;Tabela1[[#This Row],[PRODUTO]]</f>
        <v>P-188RMF</v>
      </c>
      <c r="AS313" s="37">
        <f>IF(AF313="",0,IF(ISTEXT(AF313),H313*VALUE(SUBSTITUTE(AF313,"%",""))/100,H313*AF313))-Tabela1[[#This Row],[PRONTO ACABADO2]]</f>
        <v>91.2</v>
      </c>
      <c r="AT313" s="37">
        <f>IF(AG313="",0,IF(ISTEXT(AG313),H313*VALUE(SUBSTITUTE(AG313,"%",""))/100,H313*AG313))-Tabela1[[#This Row],[PESO EXPEDIDO2]]</f>
        <v>0</v>
      </c>
      <c r="AU313" s="37">
        <f t="shared" si="54"/>
        <v>0</v>
      </c>
      <c r="AV313" s="37">
        <f t="shared" si="55"/>
        <v>0</v>
      </c>
      <c r="AW313" s="37"/>
    </row>
    <row r="314" spans="1:49" ht="15.75" customHeight="1" x14ac:dyDescent="0.25">
      <c r="A314" s="6" t="s">
        <v>3948</v>
      </c>
      <c r="B314" s="21" t="s">
        <v>3956</v>
      </c>
      <c r="C314" s="7">
        <v>2</v>
      </c>
      <c r="D314" s="39" t="s">
        <v>3954</v>
      </c>
      <c r="E314" s="7">
        <v>4199</v>
      </c>
      <c r="F314" s="7" t="s">
        <v>3951</v>
      </c>
      <c r="G314" s="23">
        <v>17.100000000000001</v>
      </c>
      <c r="H314" s="34">
        <f>Tabela1[[#This Row],[PESO UNI]]*Tabela1[[#This Row],[QTE]]</f>
        <v>34.200000000000003</v>
      </c>
      <c r="I314" s="7" t="s">
        <v>746</v>
      </c>
      <c r="J314" s="8" t="s">
        <v>2276</v>
      </c>
      <c r="K314" s="8" t="s">
        <v>327</v>
      </c>
      <c r="L314" s="9" t="s">
        <v>2069</v>
      </c>
      <c r="M314" s="10">
        <v>46154</v>
      </c>
      <c r="N314" s="8" t="s">
        <v>327</v>
      </c>
      <c r="O314" s="12"/>
      <c r="P314" s="13"/>
      <c r="Q314" s="14">
        <f>Tabela1[[#This Row],[QTDE/ Fabricação]]-Tabela1[[#This Row],[QTE]]</f>
        <v>-2</v>
      </c>
      <c r="R314" s="18">
        <f t="shared" si="51"/>
        <v>34.200000000000003</v>
      </c>
      <c r="S314" s="18">
        <f t="shared" si="57"/>
        <v>0</v>
      </c>
      <c r="T314" s="19">
        <f t="shared" si="52"/>
        <v>-34.200000000000003</v>
      </c>
      <c r="U314" s="16">
        <f>IFERROR(SUMIF('LISTA DE EMBARQUE'!B:B,MICRO!E:E,'LISTA DE EMBARQUE'!G:G),"")</f>
        <v>0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>IFERROR(Tabela1[[#This Row],[QIANTIDADE EXPEDIDA]]*Tabela1[[#This Row],[PESO UNI]],"")</f>
        <v>0</v>
      </c>
      <c r="Y314" s="14">
        <f t="shared" si="56"/>
        <v>-2</v>
      </c>
      <c r="Z314" s="20">
        <f>Tabela1[[#This Row],[PESO TOTAL]]-Tabela1[[#This Row],[Peso Expedido]]</f>
        <v>34.200000000000003</v>
      </c>
      <c r="AA314" s="17">
        <v>1</v>
      </c>
      <c r="AB314" s="33"/>
      <c r="AC314" s="33">
        <v>1</v>
      </c>
      <c r="AD314" s="33">
        <v>1</v>
      </c>
      <c r="AE314" s="33">
        <v>1</v>
      </c>
      <c r="AF314" s="33">
        <v>1</v>
      </c>
      <c r="AG314" s="33">
        <v>0</v>
      </c>
      <c r="AH314" s="33"/>
      <c r="AI314" s="33" t="str">
        <f t="shared" si="53"/>
        <v/>
      </c>
      <c r="AJ314" s="5"/>
      <c r="AK314" t="str">
        <f>Tabela1[[#This Row],[Coluna1]]&amp;Tabela1[[#This Row],[PEDIDO]]</f>
        <v>P-188</v>
      </c>
      <c r="AL314"/>
      <c r="AM314"/>
      <c r="AN314"/>
      <c r="AO314" t="str">
        <f t="shared" si="50"/>
        <v>T-072928-1/1073-TC-007</v>
      </c>
      <c r="AP314" t="str">
        <f>Tabela1[[#This Row],[TAG]]&amp;Tabela1[[#This Row],[PEDIDO]]&amp;Tabela1[[#This Row],[PRODUTO]]</f>
        <v>1073-TC-007P-188RMF</v>
      </c>
      <c r="AQ314" s="22" t="str">
        <f>Tabela1[[#This Row],[PRODUTO]]&amp;Tabela1[[#This Row],[TAG]]</f>
        <v>RMF1073-TC-007</v>
      </c>
      <c r="AR314" s="24" t="str">
        <f>Tabela1[[#This Row],[PEDIDO]]&amp;Tabela1[[#This Row],[PRODUTO]]</f>
        <v>P-188RMF</v>
      </c>
      <c r="AS314" s="37">
        <f>IF(AF314="",0,IF(ISTEXT(AF314),H314*VALUE(SUBSTITUTE(AF314,"%",""))/100,H314*AF314))-Tabela1[[#This Row],[PRONTO ACABADO2]]</f>
        <v>34.200000000000003</v>
      </c>
      <c r="AT314" s="37">
        <f>IF(AG314="",0,IF(ISTEXT(AG314),H314*VALUE(SUBSTITUTE(AG314,"%",""))/100,H314*AG314))-Tabela1[[#This Row],[PESO EXPEDIDO2]]</f>
        <v>0</v>
      </c>
      <c r="AU314" s="37">
        <f t="shared" si="54"/>
        <v>0</v>
      </c>
      <c r="AV314" s="37">
        <f t="shared" si="55"/>
        <v>0</v>
      </c>
      <c r="AW314" s="37"/>
    </row>
    <row r="315" spans="1:49" ht="15.75" customHeight="1" x14ac:dyDescent="0.25">
      <c r="A315" s="6" t="s">
        <v>3948</v>
      </c>
      <c r="B315" s="21" t="s">
        <v>3957</v>
      </c>
      <c r="C315" s="7">
        <v>4</v>
      </c>
      <c r="D315" s="39" t="s">
        <v>3954</v>
      </c>
      <c r="E315" s="7">
        <v>4200</v>
      </c>
      <c r="F315" s="7" t="s">
        <v>3951</v>
      </c>
      <c r="G315" s="23">
        <v>13.1</v>
      </c>
      <c r="H315" s="34">
        <f>Tabela1[[#This Row],[PESO UNI]]*Tabela1[[#This Row],[QTE]]</f>
        <v>52.4</v>
      </c>
      <c r="I315" s="7" t="s">
        <v>746</v>
      </c>
      <c r="J315" s="8" t="s">
        <v>2276</v>
      </c>
      <c r="K315" s="8" t="s">
        <v>327</v>
      </c>
      <c r="L315" s="9" t="s">
        <v>2069</v>
      </c>
      <c r="M315" s="10">
        <v>46154</v>
      </c>
      <c r="N315" s="8" t="s">
        <v>327</v>
      </c>
      <c r="O315" s="12"/>
      <c r="P315" s="13"/>
      <c r="Q315" s="14">
        <f>Tabela1[[#This Row],[QTDE/ Fabricação]]-Tabela1[[#This Row],[QTE]]</f>
        <v>-4</v>
      </c>
      <c r="R315" s="18">
        <f t="shared" si="51"/>
        <v>52.4</v>
      </c>
      <c r="S315" s="18">
        <f t="shared" si="57"/>
        <v>0</v>
      </c>
      <c r="T315" s="19">
        <f t="shared" si="52"/>
        <v>-52.4</v>
      </c>
      <c r="U315" s="16">
        <f>IFERROR(SUMIF('LISTA DE EMBARQUE'!B:B,MICRO!E:E,'LISTA DE EMBARQUE'!G:G),"")</f>
        <v>0</v>
      </c>
      <c r="V315" s="12" t="str">
        <f>IFERROR(VLOOKUP(Tabela1[[#This Row],[COD.MDE]],'LISTA DE EMBARQUE'!B:L,11,0),"")</f>
        <v/>
      </c>
      <c r="W315" s="13" t="str">
        <f>IFERROR(VLOOKUP(Tabela1[[#This Row],[COD.MDE]],'LISTA DE EMBARQUE'!B:M,12,0),"")</f>
        <v/>
      </c>
      <c r="X315" s="14">
        <f>IFERROR(Tabela1[[#This Row],[QIANTIDADE EXPEDIDA]]*Tabela1[[#This Row],[PESO UNI]],"")</f>
        <v>0</v>
      </c>
      <c r="Y315" s="14">
        <f t="shared" si="56"/>
        <v>-4</v>
      </c>
      <c r="Z315" s="20">
        <f>Tabela1[[#This Row],[PESO TOTAL]]-Tabela1[[#This Row],[Peso Expedido]]</f>
        <v>52.4</v>
      </c>
      <c r="AA315" s="17">
        <v>1</v>
      </c>
      <c r="AB315" s="33"/>
      <c r="AC315" s="33">
        <v>1</v>
      </c>
      <c r="AD315" s="33">
        <v>1</v>
      </c>
      <c r="AE315" s="33">
        <v>1</v>
      </c>
      <c r="AF315" s="33">
        <v>1</v>
      </c>
      <c r="AG315" s="33">
        <v>0</v>
      </c>
      <c r="AH315" s="33"/>
      <c r="AI315" s="33" t="str">
        <f t="shared" si="53"/>
        <v/>
      </c>
      <c r="AJ315" s="5"/>
      <c r="AK315" t="str">
        <f>Tabela1[[#This Row],[Coluna1]]&amp;Tabela1[[#This Row],[PEDIDO]]</f>
        <v>P-188</v>
      </c>
      <c r="AL315"/>
      <c r="AM315"/>
      <c r="AN315"/>
      <c r="AO315" t="str">
        <f t="shared" si="50"/>
        <v>T-072928-1/1073-TC-007</v>
      </c>
      <c r="AP315" t="str">
        <f>Tabela1[[#This Row],[TAG]]&amp;Tabela1[[#This Row],[PEDIDO]]&amp;Tabela1[[#This Row],[PRODUTO]]</f>
        <v>1073-TC-007P-188RMF</v>
      </c>
      <c r="AQ315" s="22" t="str">
        <f>Tabela1[[#This Row],[PRODUTO]]&amp;Tabela1[[#This Row],[TAG]]</f>
        <v>RMF1073-TC-007</v>
      </c>
      <c r="AR315" s="24" t="str">
        <f>Tabela1[[#This Row],[PEDIDO]]&amp;Tabela1[[#This Row],[PRODUTO]]</f>
        <v>P-188RMF</v>
      </c>
      <c r="AS315" s="37">
        <f>IF(AF315="",0,IF(ISTEXT(AF315),H315*VALUE(SUBSTITUTE(AF315,"%",""))/100,H315*AF315))-Tabela1[[#This Row],[PRONTO ACABADO2]]</f>
        <v>52.4</v>
      </c>
      <c r="AT315" s="37">
        <f>IF(AG315="",0,IF(ISTEXT(AG315),H315*VALUE(SUBSTITUTE(AG315,"%",""))/100,H315*AG315))-Tabela1[[#This Row],[PESO EXPEDIDO2]]</f>
        <v>0</v>
      </c>
      <c r="AU315" s="37">
        <f t="shared" si="54"/>
        <v>0</v>
      </c>
      <c r="AV315" s="37">
        <f t="shared" si="55"/>
        <v>0</v>
      </c>
      <c r="AW315" s="37"/>
    </row>
    <row r="316" spans="1:49" ht="15.75" customHeight="1" x14ac:dyDescent="0.25">
      <c r="A316" s="6" t="s">
        <v>3958</v>
      </c>
      <c r="B316" s="21" t="s">
        <v>3959</v>
      </c>
      <c r="C316" s="7">
        <v>1</v>
      </c>
      <c r="D316" s="39" t="s">
        <v>3960</v>
      </c>
      <c r="E316" s="7">
        <v>4201</v>
      </c>
      <c r="F316" s="7" t="s">
        <v>3961</v>
      </c>
      <c r="G316" s="23">
        <v>96.4</v>
      </c>
      <c r="H316" s="34">
        <f>Tabela1[[#This Row],[PESO UNI]]*Tabela1[[#This Row],[QTE]]</f>
        <v>96.4</v>
      </c>
      <c r="I316" s="7">
        <v>1</v>
      </c>
      <c r="J316" s="8" t="s">
        <v>2274</v>
      </c>
      <c r="K316" s="8" t="s">
        <v>327</v>
      </c>
      <c r="L316" s="9" t="s">
        <v>2069</v>
      </c>
      <c r="M316" s="10">
        <v>46149</v>
      </c>
      <c r="N316" s="8" t="s">
        <v>327</v>
      </c>
      <c r="O316" s="12"/>
      <c r="P316" s="13"/>
      <c r="Q316" s="14">
        <f>Tabela1[[#This Row],[QTDE/ Fabricação]]-Tabela1[[#This Row],[QTE]]</f>
        <v>-1</v>
      </c>
      <c r="R316" s="18">
        <f t="shared" si="51"/>
        <v>96.4</v>
      </c>
      <c r="S316" s="18">
        <f t="shared" si="57"/>
        <v>0</v>
      </c>
      <c r="T316" s="19">
        <f t="shared" si="52"/>
        <v>-96.4</v>
      </c>
      <c r="U316" s="16">
        <f>IFERROR(SUMIF('LISTA DE EMBARQUE'!B:B,MICRO!E:E,'LISTA DE EMBARQUE'!G:G),"")</f>
        <v>0</v>
      </c>
      <c r="V316" s="12" t="str">
        <f>IFERROR(VLOOKUP(Tabela1[[#This Row],[COD.MDE]],'LISTA DE EMBARQUE'!B:L,11,0),"")</f>
        <v/>
      </c>
      <c r="W316" s="13" t="str">
        <f>IFERROR(VLOOKUP(Tabela1[[#This Row],[COD.MDE]],'LISTA DE EMBARQUE'!B:M,12,0),"")</f>
        <v/>
      </c>
      <c r="X316" s="14">
        <f>IFERROR(Tabela1[[#This Row],[QIANTIDADE EXPEDIDA]]*Tabela1[[#This Row],[PESO UNI]],"")</f>
        <v>0</v>
      </c>
      <c r="Y316" s="14">
        <f t="shared" si="56"/>
        <v>-1</v>
      </c>
      <c r="Z316" s="20">
        <f>Tabela1[[#This Row],[PESO TOTAL]]-Tabela1[[#This Row],[Peso Expedido]]</f>
        <v>96.4</v>
      </c>
      <c r="AA316" s="17">
        <v>1</v>
      </c>
      <c r="AB316" s="33"/>
      <c r="AC316" s="33">
        <v>1</v>
      </c>
      <c r="AD316" s="33">
        <v>1</v>
      </c>
      <c r="AE316" s="33">
        <v>1</v>
      </c>
      <c r="AF316" s="33">
        <v>1</v>
      </c>
      <c r="AG316" s="33">
        <v>0</v>
      </c>
      <c r="AH316" s="33"/>
      <c r="AI316" s="33" t="str">
        <f t="shared" si="53"/>
        <v/>
      </c>
      <c r="AJ316" s="5"/>
      <c r="AK316" t="str">
        <f>Tabela1[[#This Row],[Coluna1]]&amp;Tabela1[[#This Row],[PEDIDO]]</f>
        <v>P-188</v>
      </c>
      <c r="AL316"/>
      <c r="AM316"/>
      <c r="AN316"/>
      <c r="AO316" t="str">
        <f t="shared" si="50"/>
        <v>T-072989-1/1073-TC-006</v>
      </c>
      <c r="AP316" t="str">
        <f>Tabela1[[#This Row],[TAG]]&amp;Tabela1[[#This Row],[PEDIDO]]&amp;Tabela1[[#This Row],[PRODUTO]]</f>
        <v>1073-TC-006P-188RMF</v>
      </c>
      <c r="AQ316" s="22" t="str">
        <f>Tabela1[[#This Row],[PRODUTO]]&amp;Tabela1[[#This Row],[TAG]]</f>
        <v>RMF1073-TC-006</v>
      </c>
      <c r="AR316" s="24" t="str">
        <f>Tabela1[[#This Row],[PEDIDO]]&amp;Tabela1[[#This Row],[PRODUTO]]</f>
        <v>P-188RMF</v>
      </c>
      <c r="AS316" s="37">
        <f>IF(AF316="",0,IF(ISTEXT(AF316),H316*VALUE(SUBSTITUTE(AF316,"%",""))/100,H316*AF316))-Tabela1[[#This Row],[PRONTO ACABADO2]]</f>
        <v>96.4</v>
      </c>
      <c r="AT316" s="37">
        <f>IF(AG316="",0,IF(ISTEXT(AG316),H316*VALUE(SUBSTITUTE(AG316,"%",""))/100,H316*AG316))-Tabela1[[#This Row],[PESO EXPEDIDO2]]</f>
        <v>0</v>
      </c>
      <c r="AU316" s="37">
        <f t="shared" si="54"/>
        <v>0</v>
      </c>
      <c r="AV316" s="37">
        <f t="shared" si="55"/>
        <v>0</v>
      </c>
      <c r="AW316" s="37"/>
    </row>
    <row r="317" spans="1:49" ht="15.75" customHeight="1" x14ac:dyDescent="0.25">
      <c r="A317" s="6" t="s">
        <v>3958</v>
      </c>
      <c r="B317" s="21" t="s">
        <v>3962</v>
      </c>
      <c r="C317" s="7">
        <v>1</v>
      </c>
      <c r="D317" s="39" t="s">
        <v>3963</v>
      </c>
      <c r="E317" s="7">
        <v>4202</v>
      </c>
      <c r="F317" s="7" t="s">
        <v>3961</v>
      </c>
      <c r="G317" s="23">
        <v>25.2</v>
      </c>
      <c r="H317" s="34">
        <f>Tabela1[[#This Row],[PESO UNI]]*Tabela1[[#This Row],[QTE]]</f>
        <v>25.2</v>
      </c>
      <c r="I317" s="7">
        <v>1</v>
      </c>
      <c r="J317" s="8" t="s">
        <v>2274</v>
      </c>
      <c r="K317" s="8" t="s">
        <v>327</v>
      </c>
      <c r="L317" s="9" t="s">
        <v>2069</v>
      </c>
      <c r="M317" s="10">
        <v>46149</v>
      </c>
      <c r="N317" s="8" t="s">
        <v>327</v>
      </c>
      <c r="O317" s="12"/>
      <c r="P317" s="13"/>
      <c r="Q317" s="14">
        <f>Tabela1[[#This Row],[QTDE/ Fabricação]]-Tabela1[[#This Row],[QTE]]</f>
        <v>-1</v>
      </c>
      <c r="R317" s="18">
        <f t="shared" si="51"/>
        <v>25.2</v>
      </c>
      <c r="S317" s="18">
        <f t="shared" si="57"/>
        <v>0</v>
      </c>
      <c r="T317" s="19">
        <f t="shared" si="52"/>
        <v>-25.2</v>
      </c>
      <c r="U317" s="16">
        <f>IFERROR(SUMIF('LISTA DE EMBARQUE'!B:B,MICRO!E:E,'LISTA DE EMBARQUE'!G:G),"")</f>
        <v>0</v>
      </c>
      <c r="V317" s="12" t="str">
        <f>IFERROR(VLOOKUP(Tabela1[[#This Row],[COD.MDE]],'LISTA DE EMBARQUE'!B:L,11,0),"")</f>
        <v/>
      </c>
      <c r="W317" s="13" t="str">
        <f>IFERROR(VLOOKUP(Tabela1[[#This Row],[COD.MDE]],'LISTA DE EMBARQUE'!B:M,12,0),"")</f>
        <v/>
      </c>
      <c r="X317" s="14">
        <f>IFERROR(Tabela1[[#This Row],[QIANTIDADE EXPEDIDA]]*Tabela1[[#This Row],[PESO UNI]],"")</f>
        <v>0</v>
      </c>
      <c r="Y317" s="14">
        <f t="shared" si="56"/>
        <v>-1</v>
      </c>
      <c r="Z317" s="20">
        <f>Tabela1[[#This Row],[PESO TOTAL]]-Tabela1[[#This Row],[Peso Expedido]]</f>
        <v>25.2</v>
      </c>
      <c r="AA317" s="17">
        <v>1</v>
      </c>
      <c r="AB317" s="33"/>
      <c r="AC317" s="33">
        <v>1</v>
      </c>
      <c r="AD317" s="33">
        <v>1</v>
      </c>
      <c r="AE317" s="33">
        <v>1</v>
      </c>
      <c r="AF317" s="33">
        <v>1</v>
      </c>
      <c r="AG317" s="33">
        <v>0</v>
      </c>
      <c r="AH317" s="33"/>
      <c r="AI317" s="33" t="str">
        <f t="shared" si="53"/>
        <v/>
      </c>
      <c r="AJ317" s="5"/>
      <c r="AK317" t="str">
        <f>Tabela1[[#This Row],[Coluna1]]&amp;Tabela1[[#This Row],[PEDIDO]]</f>
        <v>P-188</v>
      </c>
      <c r="AL317"/>
      <c r="AM317"/>
      <c r="AN317"/>
      <c r="AO317" t="str">
        <f t="shared" si="50"/>
        <v>T-072989-1/1073-TC-006</v>
      </c>
      <c r="AP317" t="str">
        <f>Tabela1[[#This Row],[TAG]]&amp;Tabela1[[#This Row],[PEDIDO]]&amp;Tabela1[[#This Row],[PRODUTO]]</f>
        <v>1073-TC-006P-188RMF</v>
      </c>
      <c r="AQ317" s="22" t="str">
        <f>Tabela1[[#This Row],[PRODUTO]]&amp;Tabela1[[#This Row],[TAG]]</f>
        <v>RMF1073-TC-006</v>
      </c>
      <c r="AR317" s="24" t="str">
        <f>Tabela1[[#This Row],[PEDIDO]]&amp;Tabela1[[#This Row],[PRODUTO]]</f>
        <v>P-188RMF</v>
      </c>
      <c r="AS317" s="37">
        <f>IF(AF317="",0,IF(ISTEXT(AF317),H317*VALUE(SUBSTITUTE(AF317,"%",""))/100,H317*AF317))-Tabela1[[#This Row],[PRONTO ACABADO2]]</f>
        <v>25.2</v>
      </c>
      <c r="AT317" s="37">
        <f>IF(AG317="",0,IF(ISTEXT(AG317),H317*VALUE(SUBSTITUTE(AG317,"%",""))/100,H317*AG317))-Tabela1[[#This Row],[PESO EXPEDIDO2]]</f>
        <v>0</v>
      </c>
      <c r="AU317" s="37">
        <f t="shared" si="54"/>
        <v>0</v>
      </c>
      <c r="AV317" s="37">
        <f t="shared" si="55"/>
        <v>0</v>
      </c>
      <c r="AW317" s="37"/>
    </row>
    <row r="318" spans="1:49" ht="15.75" customHeight="1" x14ac:dyDescent="0.25">
      <c r="A318" s="6" t="s">
        <v>3958</v>
      </c>
      <c r="B318" s="21" t="s">
        <v>3964</v>
      </c>
      <c r="C318" s="7">
        <v>2</v>
      </c>
      <c r="D318" s="39" t="s">
        <v>3965</v>
      </c>
      <c r="E318" s="7">
        <v>4203</v>
      </c>
      <c r="F318" s="7" t="s">
        <v>3961</v>
      </c>
      <c r="G318" s="23">
        <v>2</v>
      </c>
      <c r="H318" s="34">
        <f>Tabela1[[#This Row],[PESO UNI]]*Tabela1[[#This Row],[QTE]]</f>
        <v>4</v>
      </c>
      <c r="I318" s="7">
        <v>1</v>
      </c>
      <c r="J318" s="8" t="s">
        <v>2274</v>
      </c>
      <c r="K318" s="8" t="s">
        <v>327</v>
      </c>
      <c r="L318" s="9" t="s">
        <v>2069</v>
      </c>
      <c r="M318" s="10">
        <v>46149</v>
      </c>
      <c r="N318" s="8" t="s">
        <v>327</v>
      </c>
      <c r="O318" s="12"/>
      <c r="P318" s="13"/>
      <c r="Q318" s="14">
        <f>Tabela1[[#This Row],[QTDE/ Fabricação]]-Tabela1[[#This Row],[QTE]]</f>
        <v>-2</v>
      </c>
      <c r="R318" s="18">
        <f t="shared" si="51"/>
        <v>4</v>
      </c>
      <c r="S318" s="18">
        <f t="shared" si="57"/>
        <v>0</v>
      </c>
      <c r="T318" s="19">
        <f t="shared" si="52"/>
        <v>-4</v>
      </c>
      <c r="U318" s="16">
        <f>IFERROR(SUMIF('LISTA DE EMBARQUE'!B:B,MICRO!E:E,'LISTA DE EMBARQUE'!G:G),"")</f>
        <v>0</v>
      </c>
      <c r="V318" s="12" t="str">
        <f>IFERROR(VLOOKUP(Tabela1[[#This Row],[COD.MDE]],'LISTA DE EMBARQUE'!B:L,11,0),"")</f>
        <v/>
      </c>
      <c r="W318" s="13" t="str">
        <f>IFERROR(VLOOKUP(Tabela1[[#This Row],[COD.MDE]],'LISTA DE EMBARQUE'!B:M,12,0),"")</f>
        <v/>
      </c>
      <c r="X318" s="14">
        <f>IFERROR(Tabela1[[#This Row],[QIANTIDADE EXPEDIDA]]*Tabela1[[#This Row],[PESO UNI]],"")</f>
        <v>0</v>
      </c>
      <c r="Y318" s="14">
        <f t="shared" si="56"/>
        <v>-2</v>
      </c>
      <c r="Z318" s="20">
        <f>Tabela1[[#This Row],[PESO TOTAL]]-Tabela1[[#This Row],[Peso Expedido]]</f>
        <v>4</v>
      </c>
      <c r="AA318" s="17">
        <v>1</v>
      </c>
      <c r="AB318" s="33"/>
      <c r="AC318" s="33">
        <v>1</v>
      </c>
      <c r="AD318" s="33">
        <v>1</v>
      </c>
      <c r="AE318" s="33">
        <v>1</v>
      </c>
      <c r="AF318" s="33">
        <v>1</v>
      </c>
      <c r="AG318" s="33">
        <v>0</v>
      </c>
      <c r="AH318" s="33"/>
      <c r="AI318" s="33" t="str">
        <f t="shared" si="53"/>
        <v/>
      </c>
      <c r="AJ318" s="5"/>
      <c r="AK318" t="str">
        <f>Tabela1[[#This Row],[Coluna1]]&amp;Tabela1[[#This Row],[PEDIDO]]</f>
        <v>P-188</v>
      </c>
      <c r="AL318"/>
      <c r="AM318"/>
      <c r="AN318"/>
      <c r="AO318" t="str">
        <f t="shared" si="50"/>
        <v>T-072989-1/1073-TC-006</v>
      </c>
      <c r="AP318" t="str">
        <f>Tabela1[[#This Row],[TAG]]&amp;Tabela1[[#This Row],[PEDIDO]]&amp;Tabela1[[#This Row],[PRODUTO]]</f>
        <v>1073-TC-006P-188RMF</v>
      </c>
      <c r="AQ318" s="22" t="str">
        <f>Tabela1[[#This Row],[PRODUTO]]&amp;Tabela1[[#This Row],[TAG]]</f>
        <v>RMF1073-TC-006</v>
      </c>
      <c r="AR318" s="24" t="str">
        <f>Tabela1[[#This Row],[PEDIDO]]&amp;Tabela1[[#This Row],[PRODUTO]]</f>
        <v>P-188RMF</v>
      </c>
      <c r="AS318" s="37">
        <f>IF(AF318="",0,IF(ISTEXT(AF318),H318*VALUE(SUBSTITUTE(AF318,"%",""))/100,H318*AF318))-Tabela1[[#This Row],[PRONTO ACABADO2]]</f>
        <v>4</v>
      </c>
      <c r="AT318" s="37">
        <f>IF(AG318="",0,IF(ISTEXT(AG318),H318*VALUE(SUBSTITUTE(AG318,"%",""))/100,H318*AG318))-Tabela1[[#This Row],[PESO EXPEDIDO2]]</f>
        <v>0</v>
      </c>
      <c r="AU318" s="37">
        <f t="shared" si="54"/>
        <v>0</v>
      </c>
      <c r="AV318" s="37">
        <f t="shared" si="55"/>
        <v>0</v>
      </c>
      <c r="AW318" s="37"/>
    </row>
    <row r="319" spans="1:49" ht="15.75" customHeight="1" x14ac:dyDescent="0.25">
      <c r="A319" s="6" t="s">
        <v>3958</v>
      </c>
      <c r="B319" s="21" t="s">
        <v>3959</v>
      </c>
      <c r="C319" s="7">
        <v>1</v>
      </c>
      <c r="D319" s="39" t="s">
        <v>3960</v>
      </c>
      <c r="E319" s="7">
        <v>4204</v>
      </c>
      <c r="F319" s="7" t="s">
        <v>3961</v>
      </c>
      <c r="G319" s="23">
        <v>96.4</v>
      </c>
      <c r="H319" s="34">
        <f>Tabela1[[#This Row],[PESO UNI]]*Tabela1[[#This Row],[QTE]]</f>
        <v>96.4</v>
      </c>
      <c r="I319" s="7">
        <v>1</v>
      </c>
      <c r="J319" s="8" t="s">
        <v>2276</v>
      </c>
      <c r="K319" s="8" t="s">
        <v>327</v>
      </c>
      <c r="L319" s="9" t="s">
        <v>2069</v>
      </c>
      <c r="M319" s="10">
        <v>46149</v>
      </c>
      <c r="N319" s="8" t="s">
        <v>327</v>
      </c>
      <c r="O319" s="12"/>
      <c r="P319" s="13"/>
      <c r="Q319" s="14">
        <f>Tabela1[[#This Row],[QTDE/ Fabricação]]-Tabela1[[#This Row],[QTE]]</f>
        <v>-1</v>
      </c>
      <c r="R319" s="18">
        <f t="shared" si="51"/>
        <v>96.4</v>
      </c>
      <c r="S319" s="18">
        <f t="shared" si="57"/>
        <v>0</v>
      </c>
      <c r="T319" s="19">
        <f t="shared" si="52"/>
        <v>-96.4</v>
      </c>
      <c r="U319" s="16">
        <f>IFERROR(SUMIF('LISTA DE EMBARQUE'!B:B,MICRO!E:E,'LISTA DE EMBARQUE'!G:G),"")</f>
        <v>0</v>
      </c>
      <c r="V319" s="12" t="str">
        <f>IFERROR(VLOOKUP(Tabela1[[#This Row],[COD.MDE]],'LISTA DE EMBARQUE'!B:L,11,0),"")</f>
        <v/>
      </c>
      <c r="W319" s="13" t="str">
        <f>IFERROR(VLOOKUP(Tabela1[[#This Row],[COD.MDE]],'LISTA DE EMBARQUE'!B:M,12,0),"")</f>
        <v/>
      </c>
      <c r="X319" s="14">
        <f>IFERROR(Tabela1[[#This Row],[QIANTIDADE EXPEDIDA]]*Tabela1[[#This Row],[PESO UNI]],"")</f>
        <v>0</v>
      </c>
      <c r="Y319" s="14">
        <f t="shared" si="56"/>
        <v>-1</v>
      </c>
      <c r="Z319" s="20">
        <f>Tabela1[[#This Row],[PESO TOTAL]]-Tabela1[[#This Row],[Peso Expedido]]</f>
        <v>96.4</v>
      </c>
      <c r="AA319" s="17">
        <v>1</v>
      </c>
      <c r="AB319" s="33"/>
      <c r="AC319" s="33">
        <v>1</v>
      </c>
      <c r="AD319" s="33">
        <v>1</v>
      </c>
      <c r="AE319" s="33">
        <v>1</v>
      </c>
      <c r="AF319" s="33">
        <v>1</v>
      </c>
      <c r="AG319" s="33">
        <v>0</v>
      </c>
      <c r="AH319" s="33"/>
      <c r="AI319" s="33" t="str">
        <f t="shared" si="53"/>
        <v/>
      </c>
      <c r="AJ319" s="5"/>
      <c r="AK319" t="str">
        <f>Tabela1[[#This Row],[Coluna1]]&amp;Tabela1[[#This Row],[PEDIDO]]</f>
        <v>P-188</v>
      </c>
      <c r="AL319"/>
      <c r="AM319"/>
      <c r="AN319"/>
      <c r="AO319" t="str">
        <f t="shared" si="50"/>
        <v>T-072989-1/1073-TC-007</v>
      </c>
      <c r="AP319" t="str">
        <f>Tabela1[[#This Row],[TAG]]&amp;Tabela1[[#This Row],[PEDIDO]]&amp;Tabela1[[#This Row],[PRODUTO]]</f>
        <v>1073-TC-007P-188RMF</v>
      </c>
      <c r="AQ319" s="22" t="str">
        <f>Tabela1[[#This Row],[PRODUTO]]&amp;Tabela1[[#This Row],[TAG]]</f>
        <v>RMF1073-TC-007</v>
      </c>
      <c r="AR319" s="24" t="str">
        <f>Tabela1[[#This Row],[PEDIDO]]&amp;Tabela1[[#This Row],[PRODUTO]]</f>
        <v>P-188RMF</v>
      </c>
      <c r="AS319" s="37">
        <f>IF(AF319="",0,IF(ISTEXT(AF319),H319*VALUE(SUBSTITUTE(AF319,"%",""))/100,H319*AF319))-Tabela1[[#This Row],[PRONTO ACABADO2]]</f>
        <v>96.4</v>
      </c>
      <c r="AT319" s="37">
        <f>IF(AG319="",0,IF(ISTEXT(AG319),H319*VALUE(SUBSTITUTE(AG319,"%",""))/100,H319*AG319))-Tabela1[[#This Row],[PESO EXPEDIDO2]]</f>
        <v>0</v>
      </c>
      <c r="AU319" s="37">
        <f t="shared" si="54"/>
        <v>0</v>
      </c>
      <c r="AV319" s="37">
        <f t="shared" si="55"/>
        <v>0</v>
      </c>
      <c r="AW319" s="37"/>
    </row>
    <row r="320" spans="1:49" ht="15.75" customHeight="1" x14ac:dyDescent="0.25">
      <c r="A320" s="6" t="s">
        <v>3958</v>
      </c>
      <c r="B320" s="21" t="s">
        <v>3962</v>
      </c>
      <c r="C320" s="7">
        <v>1</v>
      </c>
      <c r="D320" s="39" t="s">
        <v>3963</v>
      </c>
      <c r="E320" s="7">
        <v>4205</v>
      </c>
      <c r="F320" s="7" t="s">
        <v>3961</v>
      </c>
      <c r="G320" s="23">
        <v>25.2</v>
      </c>
      <c r="H320" s="34">
        <f>Tabela1[[#This Row],[PESO UNI]]*Tabela1[[#This Row],[QTE]]</f>
        <v>25.2</v>
      </c>
      <c r="I320" s="7">
        <v>1</v>
      </c>
      <c r="J320" s="8" t="s">
        <v>2276</v>
      </c>
      <c r="K320" s="8" t="s">
        <v>327</v>
      </c>
      <c r="L320" s="9" t="s">
        <v>2069</v>
      </c>
      <c r="M320" s="10">
        <v>46149</v>
      </c>
      <c r="N320" s="8" t="s">
        <v>327</v>
      </c>
      <c r="O320" s="12"/>
      <c r="P320" s="13"/>
      <c r="Q320" s="14">
        <f>Tabela1[[#This Row],[QTDE/ Fabricação]]-Tabela1[[#This Row],[QTE]]</f>
        <v>-1</v>
      </c>
      <c r="R320" s="18">
        <f t="shared" si="51"/>
        <v>25.2</v>
      </c>
      <c r="S320" s="18">
        <f t="shared" si="57"/>
        <v>0</v>
      </c>
      <c r="T320" s="19">
        <f t="shared" si="52"/>
        <v>-25.2</v>
      </c>
      <c r="U320" s="16">
        <f>IFERROR(SUMIF('LISTA DE EMBARQUE'!B:B,MICRO!E:E,'LISTA DE EMBARQUE'!G:G),"")</f>
        <v>0</v>
      </c>
      <c r="V320" s="12" t="str">
        <f>IFERROR(VLOOKUP(Tabela1[[#This Row],[COD.MDE]],'LISTA DE EMBARQUE'!B:L,11,0),"")</f>
        <v/>
      </c>
      <c r="W320" s="13" t="str">
        <f>IFERROR(VLOOKUP(Tabela1[[#This Row],[COD.MDE]],'LISTA DE EMBARQUE'!B:M,12,0),"")</f>
        <v/>
      </c>
      <c r="X320" s="14">
        <f>IFERROR(Tabela1[[#This Row],[QIANTIDADE EXPEDIDA]]*Tabela1[[#This Row],[PESO UNI]],"")</f>
        <v>0</v>
      </c>
      <c r="Y320" s="14">
        <f t="shared" si="56"/>
        <v>-1</v>
      </c>
      <c r="Z320" s="20">
        <f>Tabela1[[#This Row],[PESO TOTAL]]-Tabela1[[#This Row],[Peso Expedido]]</f>
        <v>25.2</v>
      </c>
      <c r="AA320" s="17">
        <v>1</v>
      </c>
      <c r="AB320" s="33"/>
      <c r="AC320" s="33">
        <v>1</v>
      </c>
      <c r="AD320" s="33">
        <v>1</v>
      </c>
      <c r="AE320" s="33">
        <v>1</v>
      </c>
      <c r="AF320" s="33">
        <v>1</v>
      </c>
      <c r="AG320" s="33">
        <v>0</v>
      </c>
      <c r="AH320" s="33"/>
      <c r="AI320" s="33" t="str">
        <f t="shared" si="53"/>
        <v/>
      </c>
      <c r="AJ320" s="5"/>
      <c r="AK320" t="str">
        <f>Tabela1[[#This Row],[Coluna1]]&amp;Tabela1[[#This Row],[PEDIDO]]</f>
        <v>P-188</v>
      </c>
      <c r="AL320"/>
      <c r="AM320"/>
      <c r="AN320"/>
      <c r="AO320" t="str">
        <f t="shared" si="50"/>
        <v>T-072989-1/1073-TC-007</v>
      </c>
      <c r="AP320" t="str">
        <f>Tabela1[[#This Row],[TAG]]&amp;Tabela1[[#This Row],[PEDIDO]]&amp;Tabela1[[#This Row],[PRODUTO]]</f>
        <v>1073-TC-007P-188RMF</v>
      </c>
      <c r="AQ320" s="22" t="str">
        <f>Tabela1[[#This Row],[PRODUTO]]&amp;Tabela1[[#This Row],[TAG]]</f>
        <v>RMF1073-TC-007</v>
      </c>
      <c r="AR320" s="24" t="str">
        <f>Tabela1[[#This Row],[PEDIDO]]&amp;Tabela1[[#This Row],[PRODUTO]]</f>
        <v>P-188RMF</v>
      </c>
      <c r="AS320" s="37">
        <f>IF(AF320="",0,IF(ISTEXT(AF320),H320*VALUE(SUBSTITUTE(AF320,"%",""))/100,H320*AF320))-Tabela1[[#This Row],[PRONTO ACABADO2]]</f>
        <v>25.2</v>
      </c>
      <c r="AT320" s="37">
        <f>IF(AG320="",0,IF(ISTEXT(AG320),H320*VALUE(SUBSTITUTE(AG320,"%",""))/100,H320*AG320))-Tabela1[[#This Row],[PESO EXPEDIDO2]]</f>
        <v>0</v>
      </c>
      <c r="AU320" s="37">
        <f t="shared" si="54"/>
        <v>0</v>
      </c>
      <c r="AV320" s="37">
        <f t="shared" si="55"/>
        <v>0</v>
      </c>
      <c r="AW320" s="37"/>
    </row>
    <row r="321" spans="1:49" ht="15.75" customHeight="1" x14ac:dyDescent="0.25">
      <c r="A321" s="6" t="s">
        <v>3958</v>
      </c>
      <c r="B321" s="21" t="s">
        <v>3964</v>
      </c>
      <c r="C321" s="7">
        <v>2</v>
      </c>
      <c r="D321" s="39" t="s">
        <v>3965</v>
      </c>
      <c r="E321" s="7">
        <v>4206</v>
      </c>
      <c r="F321" s="7" t="s">
        <v>3961</v>
      </c>
      <c r="G321" s="23">
        <v>2</v>
      </c>
      <c r="H321" s="34">
        <f>Tabela1[[#This Row],[PESO UNI]]*Tabela1[[#This Row],[QTE]]</f>
        <v>4</v>
      </c>
      <c r="I321" s="7">
        <v>1</v>
      </c>
      <c r="J321" s="8" t="s">
        <v>2276</v>
      </c>
      <c r="K321" s="8" t="s">
        <v>327</v>
      </c>
      <c r="L321" s="9" t="s">
        <v>2069</v>
      </c>
      <c r="M321" s="10">
        <v>46149</v>
      </c>
      <c r="N321" s="8" t="s">
        <v>327</v>
      </c>
      <c r="O321" s="12"/>
      <c r="P321" s="13"/>
      <c r="Q321" s="14">
        <f>Tabela1[[#This Row],[QTDE/ Fabricação]]-Tabela1[[#This Row],[QTE]]</f>
        <v>-2</v>
      </c>
      <c r="R321" s="18">
        <f t="shared" si="51"/>
        <v>4</v>
      </c>
      <c r="S321" s="18">
        <f t="shared" si="57"/>
        <v>0</v>
      </c>
      <c r="T321" s="19">
        <f t="shared" si="52"/>
        <v>-4</v>
      </c>
      <c r="U321" s="16">
        <f>IFERROR(SUMIF('LISTA DE EMBARQUE'!B:B,MICRO!E:E,'LISTA DE EMBARQUE'!G:G),"")</f>
        <v>0</v>
      </c>
      <c r="V321" s="12" t="str">
        <f>IFERROR(VLOOKUP(Tabela1[[#This Row],[COD.MDE]],'LISTA DE EMBARQUE'!B:L,11,0),"")</f>
        <v/>
      </c>
      <c r="W321" s="13" t="str">
        <f>IFERROR(VLOOKUP(Tabela1[[#This Row],[COD.MDE]],'LISTA DE EMBARQUE'!B:M,12,0),"")</f>
        <v/>
      </c>
      <c r="X321" s="14">
        <f>IFERROR(Tabela1[[#This Row],[QIANTIDADE EXPEDIDA]]*Tabela1[[#This Row],[PESO UNI]],"")</f>
        <v>0</v>
      </c>
      <c r="Y321" s="14">
        <f t="shared" si="56"/>
        <v>-2</v>
      </c>
      <c r="Z321" s="20">
        <f>Tabela1[[#This Row],[PESO TOTAL]]-Tabela1[[#This Row],[Peso Expedido]]</f>
        <v>4</v>
      </c>
      <c r="AA321" s="17">
        <v>1</v>
      </c>
      <c r="AB321" s="33"/>
      <c r="AC321" s="33">
        <v>1</v>
      </c>
      <c r="AD321" s="33">
        <v>1</v>
      </c>
      <c r="AE321" s="33">
        <v>1</v>
      </c>
      <c r="AF321" s="33">
        <v>1</v>
      </c>
      <c r="AG321" s="33">
        <v>0</v>
      </c>
      <c r="AH321" s="33"/>
      <c r="AI321" s="33" t="str">
        <f t="shared" si="53"/>
        <v/>
      </c>
      <c r="AJ321" s="5"/>
      <c r="AK321" t="str">
        <f>Tabela1[[#This Row],[Coluna1]]&amp;Tabela1[[#This Row],[PEDIDO]]</f>
        <v>P-188</v>
      </c>
      <c r="AL321"/>
      <c r="AM321"/>
      <c r="AN321"/>
      <c r="AO321" t="str">
        <f t="shared" si="50"/>
        <v>T-072989-1/1073-TC-007</v>
      </c>
      <c r="AP321" t="str">
        <f>Tabela1[[#This Row],[TAG]]&amp;Tabela1[[#This Row],[PEDIDO]]&amp;Tabela1[[#This Row],[PRODUTO]]</f>
        <v>1073-TC-007P-188RMF</v>
      </c>
      <c r="AQ321" s="22" t="str">
        <f>Tabela1[[#This Row],[PRODUTO]]&amp;Tabela1[[#This Row],[TAG]]</f>
        <v>RMF1073-TC-007</v>
      </c>
      <c r="AR321" s="24" t="str">
        <f>Tabela1[[#This Row],[PEDIDO]]&amp;Tabela1[[#This Row],[PRODUTO]]</f>
        <v>P-188RMF</v>
      </c>
      <c r="AS321" s="37">
        <f>IF(AF321="",0,IF(ISTEXT(AF321),H321*VALUE(SUBSTITUTE(AF321,"%",""))/100,H321*AF321))-Tabela1[[#This Row],[PRONTO ACABADO2]]</f>
        <v>4</v>
      </c>
      <c r="AT321" s="37">
        <f>IF(AG321="",0,IF(ISTEXT(AG321),H321*VALUE(SUBSTITUTE(AG321,"%",""))/100,H321*AG321))-Tabela1[[#This Row],[PESO EXPEDIDO2]]</f>
        <v>0</v>
      </c>
      <c r="AU321" s="37">
        <f t="shared" si="54"/>
        <v>0</v>
      </c>
      <c r="AV321" s="37">
        <f t="shared" si="55"/>
        <v>0</v>
      </c>
      <c r="AW321" s="37"/>
    </row>
    <row r="322" spans="1:49" ht="15.75" customHeight="1" x14ac:dyDescent="0.25">
      <c r="A322" s="6" t="s">
        <v>3966</v>
      </c>
      <c r="B322" s="21" t="s">
        <v>3967</v>
      </c>
      <c r="C322" s="7">
        <v>1</v>
      </c>
      <c r="D322" s="39" t="s">
        <v>3968</v>
      </c>
      <c r="E322" s="7">
        <v>4207</v>
      </c>
      <c r="F322" s="7" t="s">
        <v>3961</v>
      </c>
      <c r="G322" s="23">
        <v>97.6</v>
      </c>
      <c r="H322" s="34">
        <f>Tabela1[[#This Row],[PESO UNI]]*Tabela1[[#This Row],[QTE]]</f>
        <v>97.6</v>
      </c>
      <c r="I322" s="7">
        <v>0</v>
      </c>
      <c r="J322" s="8" t="s">
        <v>2274</v>
      </c>
      <c r="K322" s="8" t="s">
        <v>327</v>
      </c>
      <c r="L322" s="9" t="s">
        <v>2069</v>
      </c>
      <c r="M322" s="10">
        <v>46142</v>
      </c>
      <c r="N322" s="8" t="s">
        <v>327</v>
      </c>
      <c r="O322" s="12"/>
      <c r="P322" s="13"/>
      <c r="Q322" s="14">
        <f>Tabela1[[#This Row],[QTDE/ Fabricação]]-Tabela1[[#This Row],[QTE]]</f>
        <v>-1</v>
      </c>
      <c r="R322" s="18">
        <f t="shared" si="51"/>
        <v>97.6</v>
      </c>
      <c r="S322" s="18">
        <f t="shared" si="57"/>
        <v>0</v>
      </c>
      <c r="T322" s="19">
        <f t="shared" si="52"/>
        <v>-97.6</v>
      </c>
      <c r="U322" s="16">
        <f>IFERROR(SUMIF('LISTA DE EMBARQUE'!B:B,MICRO!E:E,'LISTA DE EMBARQUE'!G:G),"")</f>
        <v>0</v>
      </c>
      <c r="V322" s="12" t="str">
        <f>IFERROR(VLOOKUP(Tabela1[[#This Row],[COD.MDE]],'LISTA DE EMBARQUE'!B:L,11,0),"")</f>
        <v/>
      </c>
      <c r="W322" s="13" t="str">
        <f>IFERROR(VLOOKUP(Tabela1[[#This Row],[COD.MDE]],'LISTA DE EMBARQUE'!B:M,12,0),"")</f>
        <v/>
      </c>
      <c r="X322" s="14">
        <f>IFERROR(Tabela1[[#This Row],[QIANTIDADE EXPEDIDA]]*Tabela1[[#This Row],[PESO UNI]],"")</f>
        <v>0</v>
      </c>
      <c r="Y322" s="14">
        <f t="shared" si="56"/>
        <v>-1</v>
      </c>
      <c r="Z322" s="20">
        <f>Tabela1[[#This Row],[PESO TOTAL]]-Tabela1[[#This Row],[Peso Expedido]]</f>
        <v>97.6</v>
      </c>
      <c r="AA322" s="17">
        <v>1</v>
      </c>
      <c r="AB322" s="33"/>
      <c r="AC322" s="33">
        <v>1</v>
      </c>
      <c r="AD322" s="33">
        <v>1</v>
      </c>
      <c r="AE322" s="33">
        <v>1</v>
      </c>
      <c r="AF322" s="33">
        <v>1</v>
      </c>
      <c r="AG322" s="33">
        <v>0</v>
      </c>
      <c r="AH322" s="33"/>
      <c r="AI322" s="33" t="str">
        <f t="shared" si="53"/>
        <v/>
      </c>
      <c r="AJ322" s="5"/>
      <c r="AK322" t="str">
        <f>Tabela1[[#This Row],[Coluna1]]&amp;Tabela1[[#This Row],[PEDIDO]]</f>
        <v>P-188</v>
      </c>
      <c r="AL322"/>
      <c r="AM322"/>
      <c r="AN322"/>
      <c r="AO322" t="str">
        <f t="shared" si="50"/>
        <v>T-072990-1/1073-TC-006</v>
      </c>
      <c r="AP322" t="str">
        <f>Tabela1[[#This Row],[TAG]]&amp;Tabela1[[#This Row],[PEDIDO]]&amp;Tabela1[[#This Row],[PRODUTO]]</f>
        <v>1073-TC-006P-188RMF</v>
      </c>
      <c r="AQ322" s="22" t="str">
        <f>Tabela1[[#This Row],[PRODUTO]]&amp;Tabela1[[#This Row],[TAG]]</f>
        <v>RMF1073-TC-006</v>
      </c>
      <c r="AR322" s="24" t="str">
        <f>Tabela1[[#This Row],[PEDIDO]]&amp;Tabela1[[#This Row],[PRODUTO]]</f>
        <v>P-188RMF</v>
      </c>
      <c r="AS322" s="37">
        <f>IF(AF322="",0,IF(ISTEXT(AF322),H322*VALUE(SUBSTITUTE(AF322,"%",""))/100,H322*AF322))-Tabela1[[#This Row],[PRONTO ACABADO2]]</f>
        <v>97.6</v>
      </c>
      <c r="AT322" s="37">
        <f>IF(AG322="",0,IF(ISTEXT(AG322),H322*VALUE(SUBSTITUTE(AG322,"%",""))/100,H322*AG322))-Tabela1[[#This Row],[PESO EXPEDIDO2]]</f>
        <v>0</v>
      </c>
      <c r="AU322" s="37">
        <f t="shared" si="54"/>
        <v>0</v>
      </c>
      <c r="AV322" s="37">
        <f t="shared" si="55"/>
        <v>0</v>
      </c>
      <c r="AW322" s="37"/>
    </row>
    <row r="323" spans="1:49" ht="15.75" customHeight="1" x14ac:dyDescent="0.25">
      <c r="A323" s="6" t="s">
        <v>3966</v>
      </c>
      <c r="B323" s="21" t="s">
        <v>3969</v>
      </c>
      <c r="C323" s="7">
        <v>1</v>
      </c>
      <c r="D323" s="39" t="s">
        <v>3963</v>
      </c>
      <c r="E323" s="7">
        <v>4208</v>
      </c>
      <c r="F323" s="7" t="s">
        <v>3961</v>
      </c>
      <c r="G323" s="23">
        <v>25.2</v>
      </c>
      <c r="H323" s="34">
        <f>Tabela1[[#This Row],[PESO UNI]]*Tabela1[[#This Row],[QTE]]</f>
        <v>25.2</v>
      </c>
      <c r="I323" s="7">
        <v>0</v>
      </c>
      <c r="J323" s="8" t="s">
        <v>2274</v>
      </c>
      <c r="K323" s="8" t="s">
        <v>327</v>
      </c>
      <c r="L323" s="9" t="s">
        <v>2069</v>
      </c>
      <c r="M323" s="10">
        <v>46142</v>
      </c>
      <c r="N323" s="8" t="s">
        <v>327</v>
      </c>
      <c r="O323" s="12"/>
      <c r="P323" s="13"/>
      <c r="Q323" s="14">
        <f>Tabela1[[#This Row],[QTDE/ Fabricação]]-Tabela1[[#This Row],[QTE]]</f>
        <v>-1</v>
      </c>
      <c r="R323" s="18">
        <f t="shared" si="51"/>
        <v>25.2</v>
      </c>
      <c r="S323" s="18">
        <f t="shared" si="57"/>
        <v>0</v>
      </c>
      <c r="T323" s="19">
        <f t="shared" si="52"/>
        <v>-25.2</v>
      </c>
      <c r="U323" s="16">
        <f>IFERROR(SUMIF('LISTA DE EMBARQUE'!B:B,MICRO!E:E,'LISTA DE EMBARQUE'!G:G),"")</f>
        <v>0</v>
      </c>
      <c r="V323" s="12" t="str">
        <f>IFERROR(VLOOKUP(Tabela1[[#This Row],[COD.MDE]],'LISTA DE EMBARQUE'!B:L,11,0),"")</f>
        <v/>
      </c>
      <c r="W323" s="13" t="str">
        <f>IFERROR(VLOOKUP(Tabela1[[#This Row],[COD.MDE]],'LISTA DE EMBARQUE'!B:M,12,0),"")</f>
        <v/>
      </c>
      <c r="X323" s="14">
        <f>IFERROR(Tabela1[[#This Row],[QIANTIDADE EXPEDIDA]]*Tabela1[[#This Row],[PESO UNI]],"")</f>
        <v>0</v>
      </c>
      <c r="Y323" s="14">
        <f t="shared" si="56"/>
        <v>-1</v>
      </c>
      <c r="Z323" s="20">
        <f>Tabela1[[#This Row],[PESO TOTAL]]-Tabela1[[#This Row],[Peso Expedido]]</f>
        <v>25.2</v>
      </c>
      <c r="AA323" s="17">
        <v>1</v>
      </c>
      <c r="AB323" s="33"/>
      <c r="AC323" s="33">
        <v>1</v>
      </c>
      <c r="AD323" s="33">
        <v>1</v>
      </c>
      <c r="AE323" s="33">
        <v>1</v>
      </c>
      <c r="AF323" s="33">
        <v>1</v>
      </c>
      <c r="AG323" s="33">
        <v>0</v>
      </c>
      <c r="AH323" s="33"/>
      <c r="AI323" s="33" t="str">
        <f t="shared" si="53"/>
        <v/>
      </c>
      <c r="AJ323" s="5"/>
      <c r="AK323" t="str">
        <f>Tabela1[[#This Row],[Coluna1]]&amp;Tabela1[[#This Row],[PEDIDO]]</f>
        <v>P-188</v>
      </c>
      <c r="AL323"/>
      <c r="AM323"/>
      <c r="AN323"/>
      <c r="AO323" t="str">
        <f t="shared" si="50"/>
        <v>T-072990-1/1073-TC-006</v>
      </c>
      <c r="AP323" t="str">
        <f>Tabela1[[#This Row],[TAG]]&amp;Tabela1[[#This Row],[PEDIDO]]&amp;Tabela1[[#This Row],[PRODUTO]]</f>
        <v>1073-TC-006P-188RMF</v>
      </c>
      <c r="AQ323" s="22" t="str">
        <f>Tabela1[[#This Row],[PRODUTO]]&amp;Tabela1[[#This Row],[TAG]]</f>
        <v>RMF1073-TC-006</v>
      </c>
      <c r="AR323" s="24" t="str">
        <f>Tabela1[[#This Row],[PEDIDO]]&amp;Tabela1[[#This Row],[PRODUTO]]</f>
        <v>P-188RMF</v>
      </c>
      <c r="AS323" s="37">
        <f>IF(AF323="",0,IF(ISTEXT(AF323),H323*VALUE(SUBSTITUTE(AF323,"%",""))/100,H323*AF323))-Tabela1[[#This Row],[PRONTO ACABADO2]]</f>
        <v>25.2</v>
      </c>
      <c r="AT323" s="37">
        <f>IF(AG323="",0,IF(ISTEXT(AG323),H323*VALUE(SUBSTITUTE(AG323,"%",""))/100,H323*AG323))-Tabela1[[#This Row],[PESO EXPEDIDO2]]</f>
        <v>0</v>
      </c>
      <c r="AU323" s="37">
        <f t="shared" si="54"/>
        <v>0</v>
      </c>
      <c r="AV323" s="37">
        <f t="shared" si="55"/>
        <v>0</v>
      </c>
      <c r="AW323" s="37"/>
    </row>
    <row r="324" spans="1:49" ht="15.75" customHeight="1" x14ac:dyDescent="0.25">
      <c r="A324" s="6" t="s">
        <v>3966</v>
      </c>
      <c r="B324" s="21" t="s">
        <v>3970</v>
      </c>
      <c r="C324" s="7">
        <v>2</v>
      </c>
      <c r="D324" s="39" t="s">
        <v>3965</v>
      </c>
      <c r="E324" s="7">
        <v>4209</v>
      </c>
      <c r="F324" s="7" t="s">
        <v>3961</v>
      </c>
      <c r="G324" s="23">
        <v>2</v>
      </c>
      <c r="H324" s="34">
        <f>Tabela1[[#This Row],[PESO UNI]]*Tabela1[[#This Row],[QTE]]</f>
        <v>4</v>
      </c>
      <c r="I324" s="7">
        <v>0</v>
      </c>
      <c r="J324" s="8" t="s">
        <v>2274</v>
      </c>
      <c r="K324" s="8" t="s">
        <v>327</v>
      </c>
      <c r="L324" s="9" t="s">
        <v>2069</v>
      </c>
      <c r="M324" s="10">
        <v>46142</v>
      </c>
      <c r="N324" s="8" t="s">
        <v>327</v>
      </c>
      <c r="O324" s="12"/>
      <c r="P324" s="13"/>
      <c r="Q324" s="14">
        <f>Tabela1[[#This Row],[QTDE/ Fabricação]]-Tabela1[[#This Row],[QTE]]</f>
        <v>-2</v>
      </c>
      <c r="R324" s="18">
        <f t="shared" si="51"/>
        <v>4</v>
      </c>
      <c r="S324" s="18">
        <f t="shared" si="57"/>
        <v>0</v>
      </c>
      <c r="T324" s="19">
        <f t="shared" si="52"/>
        <v>-4</v>
      </c>
      <c r="U324" s="16">
        <f>IFERROR(SUMIF('LISTA DE EMBARQUE'!B:B,MICRO!E:E,'LISTA DE EMBARQUE'!G:G),"")</f>
        <v>0</v>
      </c>
      <c r="V324" s="12" t="str">
        <f>IFERROR(VLOOKUP(Tabela1[[#This Row],[COD.MDE]],'LISTA DE EMBARQUE'!B:L,11,0),"")</f>
        <v/>
      </c>
      <c r="W324" s="13" t="str">
        <f>IFERROR(VLOOKUP(Tabela1[[#This Row],[COD.MDE]],'LISTA DE EMBARQUE'!B:M,12,0),"")</f>
        <v/>
      </c>
      <c r="X324" s="14">
        <f>IFERROR(Tabela1[[#This Row],[QIANTIDADE EXPEDIDA]]*Tabela1[[#This Row],[PESO UNI]],"")</f>
        <v>0</v>
      </c>
      <c r="Y324" s="14">
        <f t="shared" si="56"/>
        <v>-2</v>
      </c>
      <c r="Z324" s="20">
        <f>Tabela1[[#This Row],[PESO TOTAL]]-Tabela1[[#This Row],[Peso Expedido]]</f>
        <v>4</v>
      </c>
      <c r="AA324" s="17">
        <v>1</v>
      </c>
      <c r="AB324" s="33"/>
      <c r="AC324" s="33">
        <v>1</v>
      </c>
      <c r="AD324" s="33">
        <v>1</v>
      </c>
      <c r="AE324" s="33">
        <v>1</v>
      </c>
      <c r="AF324" s="33">
        <v>1</v>
      </c>
      <c r="AG324" s="33">
        <v>0</v>
      </c>
      <c r="AH324" s="33"/>
      <c r="AI324" s="33" t="str">
        <f t="shared" si="53"/>
        <v/>
      </c>
      <c r="AJ324" s="5"/>
      <c r="AK324" t="str">
        <f>Tabela1[[#This Row],[Coluna1]]&amp;Tabela1[[#This Row],[PEDIDO]]</f>
        <v>P-188</v>
      </c>
      <c r="AL324"/>
      <c r="AM324"/>
      <c r="AN324"/>
      <c r="AO324" t="str">
        <f t="shared" si="50"/>
        <v>T-072990-1/1073-TC-006</v>
      </c>
      <c r="AP324" t="str">
        <f>Tabela1[[#This Row],[TAG]]&amp;Tabela1[[#This Row],[PEDIDO]]&amp;Tabela1[[#This Row],[PRODUTO]]</f>
        <v>1073-TC-006P-188RMF</v>
      </c>
      <c r="AQ324" s="22" t="str">
        <f>Tabela1[[#This Row],[PRODUTO]]&amp;Tabela1[[#This Row],[TAG]]</f>
        <v>RMF1073-TC-006</v>
      </c>
      <c r="AR324" s="24" t="str">
        <f>Tabela1[[#This Row],[PEDIDO]]&amp;Tabela1[[#This Row],[PRODUTO]]</f>
        <v>P-188RMF</v>
      </c>
      <c r="AS324" s="37">
        <f>IF(AF324="",0,IF(ISTEXT(AF324),H324*VALUE(SUBSTITUTE(AF324,"%",""))/100,H324*AF324))-Tabela1[[#This Row],[PRONTO ACABADO2]]</f>
        <v>4</v>
      </c>
      <c r="AT324" s="37">
        <f>IF(AG324="",0,IF(ISTEXT(AG324),H324*VALUE(SUBSTITUTE(AG324,"%",""))/100,H324*AG324))-Tabela1[[#This Row],[PESO EXPEDIDO2]]</f>
        <v>0</v>
      </c>
      <c r="AU324" s="37">
        <f t="shared" si="54"/>
        <v>0</v>
      </c>
      <c r="AV324" s="37">
        <f t="shared" si="55"/>
        <v>0</v>
      </c>
      <c r="AW324" s="37"/>
    </row>
    <row r="325" spans="1:49" ht="15.75" customHeight="1" x14ac:dyDescent="0.25">
      <c r="A325" s="6" t="s">
        <v>3966</v>
      </c>
      <c r="B325" s="21" t="s">
        <v>3967</v>
      </c>
      <c r="C325" s="7">
        <v>1</v>
      </c>
      <c r="D325" s="39" t="s">
        <v>3968</v>
      </c>
      <c r="E325" s="7">
        <v>4210</v>
      </c>
      <c r="F325" s="7" t="s">
        <v>3961</v>
      </c>
      <c r="G325" s="23">
        <v>97.6</v>
      </c>
      <c r="H325" s="34">
        <f>Tabela1[[#This Row],[PESO UNI]]*Tabela1[[#This Row],[QTE]]</f>
        <v>97.6</v>
      </c>
      <c r="I325" s="7">
        <v>0</v>
      </c>
      <c r="J325" s="8" t="s">
        <v>2276</v>
      </c>
      <c r="K325" s="8" t="s">
        <v>327</v>
      </c>
      <c r="L325" s="9" t="s">
        <v>2069</v>
      </c>
      <c r="M325" s="10">
        <v>46142</v>
      </c>
      <c r="N325" s="8" t="s">
        <v>327</v>
      </c>
      <c r="O325" s="12"/>
      <c r="P325" s="13"/>
      <c r="Q325" s="14">
        <f>Tabela1[[#This Row],[QTDE/ Fabricação]]-Tabela1[[#This Row],[QTE]]</f>
        <v>-1</v>
      </c>
      <c r="R325" s="18">
        <f t="shared" si="51"/>
        <v>97.6</v>
      </c>
      <c r="S325" s="18">
        <f t="shared" si="57"/>
        <v>0</v>
      </c>
      <c r="T325" s="19">
        <f t="shared" si="52"/>
        <v>-97.6</v>
      </c>
      <c r="U325" s="16">
        <f>IFERROR(SUMIF('LISTA DE EMBARQUE'!B:B,MICRO!E:E,'LISTA DE EMBARQUE'!G:G),"")</f>
        <v>0</v>
      </c>
      <c r="V325" s="12" t="str">
        <f>IFERROR(VLOOKUP(Tabela1[[#This Row],[COD.MDE]],'LISTA DE EMBARQUE'!B:L,11,0),"")</f>
        <v/>
      </c>
      <c r="W325" s="13" t="str">
        <f>IFERROR(VLOOKUP(Tabela1[[#This Row],[COD.MDE]],'LISTA DE EMBARQUE'!B:M,12,0),"")</f>
        <v/>
      </c>
      <c r="X325" s="14">
        <f>IFERROR(Tabela1[[#This Row],[QIANTIDADE EXPEDIDA]]*Tabela1[[#This Row],[PESO UNI]],"")</f>
        <v>0</v>
      </c>
      <c r="Y325" s="14">
        <f t="shared" si="56"/>
        <v>-1</v>
      </c>
      <c r="Z325" s="20">
        <f>Tabela1[[#This Row],[PESO TOTAL]]-Tabela1[[#This Row],[Peso Expedido]]</f>
        <v>97.6</v>
      </c>
      <c r="AA325" s="17">
        <v>1</v>
      </c>
      <c r="AB325" s="33"/>
      <c r="AC325" s="33">
        <v>1</v>
      </c>
      <c r="AD325" s="33">
        <v>1</v>
      </c>
      <c r="AE325" s="33">
        <v>1</v>
      </c>
      <c r="AF325" s="33">
        <v>1</v>
      </c>
      <c r="AG325" s="33">
        <v>0</v>
      </c>
      <c r="AH325" s="33"/>
      <c r="AI325" s="33" t="str">
        <f t="shared" si="53"/>
        <v/>
      </c>
      <c r="AJ325" s="5"/>
      <c r="AK325" t="str">
        <f>Tabela1[[#This Row],[Coluna1]]&amp;Tabela1[[#This Row],[PEDIDO]]</f>
        <v>P-188</v>
      </c>
      <c r="AL325"/>
      <c r="AM325"/>
      <c r="AN325"/>
      <c r="AO325" t="str">
        <f t="shared" ref="AO325:AO388" si="58">A325&amp;"/"&amp;J325</f>
        <v>T-072990-1/1073-TC-007</v>
      </c>
      <c r="AP325" t="str">
        <f>Tabela1[[#This Row],[TAG]]&amp;Tabela1[[#This Row],[PEDIDO]]&amp;Tabela1[[#This Row],[PRODUTO]]</f>
        <v>1073-TC-007P-188RMF</v>
      </c>
      <c r="AQ325" s="22" t="str">
        <f>Tabela1[[#This Row],[PRODUTO]]&amp;Tabela1[[#This Row],[TAG]]</f>
        <v>RMF1073-TC-007</v>
      </c>
      <c r="AR325" s="24" t="str">
        <f>Tabela1[[#This Row],[PEDIDO]]&amp;Tabela1[[#This Row],[PRODUTO]]</f>
        <v>P-188RMF</v>
      </c>
      <c r="AS325" s="37">
        <f>IF(AF325="",0,IF(ISTEXT(AF325),H325*VALUE(SUBSTITUTE(AF325,"%",""))/100,H325*AF325))-Tabela1[[#This Row],[PRONTO ACABADO2]]</f>
        <v>97.6</v>
      </c>
      <c r="AT325" s="37">
        <f>IF(AG325="",0,IF(ISTEXT(AG325),H325*VALUE(SUBSTITUTE(AG325,"%",""))/100,H325*AG325))-Tabela1[[#This Row],[PESO EXPEDIDO2]]</f>
        <v>0</v>
      </c>
      <c r="AU325" s="37">
        <f t="shared" si="54"/>
        <v>0</v>
      </c>
      <c r="AV325" s="37">
        <f t="shared" si="55"/>
        <v>0</v>
      </c>
      <c r="AW325" s="37"/>
    </row>
    <row r="326" spans="1:49" ht="15.75" customHeight="1" x14ac:dyDescent="0.25">
      <c r="A326" s="6" t="s">
        <v>3966</v>
      </c>
      <c r="B326" s="21" t="s">
        <v>3969</v>
      </c>
      <c r="C326" s="7">
        <v>1</v>
      </c>
      <c r="D326" s="39" t="s">
        <v>3963</v>
      </c>
      <c r="E326" s="7">
        <v>4211</v>
      </c>
      <c r="F326" s="7" t="s">
        <v>3961</v>
      </c>
      <c r="G326" s="23">
        <v>25.2</v>
      </c>
      <c r="H326" s="34">
        <f>Tabela1[[#This Row],[PESO UNI]]*Tabela1[[#This Row],[QTE]]</f>
        <v>25.2</v>
      </c>
      <c r="I326" s="7">
        <v>0</v>
      </c>
      <c r="J326" s="8" t="s">
        <v>2276</v>
      </c>
      <c r="K326" s="8" t="s">
        <v>327</v>
      </c>
      <c r="L326" s="9" t="s">
        <v>2069</v>
      </c>
      <c r="M326" s="10">
        <v>46142</v>
      </c>
      <c r="N326" s="8" t="s">
        <v>327</v>
      </c>
      <c r="O326" s="12"/>
      <c r="P326" s="13"/>
      <c r="Q326" s="14">
        <f>Tabela1[[#This Row],[QTDE/ Fabricação]]-Tabela1[[#This Row],[QTE]]</f>
        <v>-1</v>
      </c>
      <c r="R326" s="18">
        <f t="shared" si="51"/>
        <v>25.2</v>
      </c>
      <c r="S326" s="18">
        <f t="shared" si="57"/>
        <v>0</v>
      </c>
      <c r="T326" s="19">
        <f t="shared" si="52"/>
        <v>-25.2</v>
      </c>
      <c r="U326" s="16">
        <f>IFERROR(SUMIF('LISTA DE EMBARQUE'!B:B,MICRO!E:E,'LISTA DE EMBARQUE'!G:G),"")</f>
        <v>0</v>
      </c>
      <c r="V326" s="12" t="str">
        <f>IFERROR(VLOOKUP(Tabela1[[#This Row],[COD.MDE]],'LISTA DE EMBARQUE'!B:L,11,0),"")</f>
        <v/>
      </c>
      <c r="W326" s="13" t="str">
        <f>IFERROR(VLOOKUP(Tabela1[[#This Row],[COD.MDE]],'LISTA DE EMBARQUE'!B:M,12,0),"")</f>
        <v/>
      </c>
      <c r="X326" s="14">
        <f>IFERROR(Tabela1[[#This Row],[QIANTIDADE EXPEDIDA]]*Tabela1[[#This Row],[PESO UNI]],"")</f>
        <v>0</v>
      </c>
      <c r="Y326" s="14">
        <f t="shared" si="56"/>
        <v>-1</v>
      </c>
      <c r="Z326" s="20">
        <f>Tabela1[[#This Row],[PESO TOTAL]]-Tabela1[[#This Row],[Peso Expedido]]</f>
        <v>25.2</v>
      </c>
      <c r="AA326" s="17">
        <v>1</v>
      </c>
      <c r="AB326" s="33"/>
      <c r="AC326" s="33">
        <v>1</v>
      </c>
      <c r="AD326" s="33">
        <v>1</v>
      </c>
      <c r="AE326" s="33">
        <v>1</v>
      </c>
      <c r="AF326" s="33">
        <v>1</v>
      </c>
      <c r="AG326" s="33">
        <v>0</v>
      </c>
      <c r="AH326" s="33"/>
      <c r="AI326" s="33" t="str">
        <f t="shared" si="53"/>
        <v/>
      </c>
      <c r="AJ326" s="5"/>
      <c r="AK326" t="str">
        <f>Tabela1[[#This Row],[Coluna1]]&amp;Tabela1[[#This Row],[PEDIDO]]</f>
        <v>P-188</v>
      </c>
      <c r="AL326"/>
      <c r="AM326"/>
      <c r="AN326"/>
      <c r="AO326" t="str">
        <f t="shared" si="58"/>
        <v>T-072990-1/1073-TC-007</v>
      </c>
      <c r="AP326" t="str">
        <f>Tabela1[[#This Row],[TAG]]&amp;Tabela1[[#This Row],[PEDIDO]]&amp;Tabela1[[#This Row],[PRODUTO]]</f>
        <v>1073-TC-007P-188RMF</v>
      </c>
      <c r="AQ326" s="22" t="str">
        <f>Tabela1[[#This Row],[PRODUTO]]&amp;Tabela1[[#This Row],[TAG]]</f>
        <v>RMF1073-TC-007</v>
      </c>
      <c r="AR326" s="24" t="str">
        <f>Tabela1[[#This Row],[PEDIDO]]&amp;Tabela1[[#This Row],[PRODUTO]]</f>
        <v>P-188RMF</v>
      </c>
      <c r="AS326" s="37">
        <f>IF(AF326="",0,IF(ISTEXT(AF326),H326*VALUE(SUBSTITUTE(AF326,"%",""))/100,H326*AF326))-Tabela1[[#This Row],[PRONTO ACABADO2]]</f>
        <v>25.2</v>
      </c>
      <c r="AT326" s="37">
        <f>IF(AG326="",0,IF(ISTEXT(AG326),H326*VALUE(SUBSTITUTE(AG326,"%",""))/100,H326*AG326))-Tabela1[[#This Row],[PESO EXPEDIDO2]]</f>
        <v>0</v>
      </c>
      <c r="AU326" s="37">
        <f t="shared" si="54"/>
        <v>0</v>
      </c>
      <c r="AV326" s="37">
        <f t="shared" si="55"/>
        <v>0</v>
      </c>
      <c r="AW326" s="37"/>
    </row>
    <row r="327" spans="1:49" ht="15.75" customHeight="1" x14ac:dyDescent="0.25">
      <c r="A327" s="6" t="s">
        <v>3966</v>
      </c>
      <c r="B327" s="21" t="s">
        <v>3970</v>
      </c>
      <c r="C327" s="7">
        <v>2</v>
      </c>
      <c r="D327" s="39" t="s">
        <v>3965</v>
      </c>
      <c r="E327" s="7">
        <v>4212</v>
      </c>
      <c r="F327" s="7" t="s">
        <v>3961</v>
      </c>
      <c r="G327" s="23">
        <v>2</v>
      </c>
      <c r="H327" s="34">
        <f>Tabela1[[#This Row],[PESO UNI]]*Tabela1[[#This Row],[QTE]]</f>
        <v>4</v>
      </c>
      <c r="I327" s="7">
        <v>0</v>
      </c>
      <c r="J327" s="8" t="s">
        <v>2276</v>
      </c>
      <c r="K327" s="8" t="s">
        <v>327</v>
      </c>
      <c r="L327" s="9" t="s">
        <v>2069</v>
      </c>
      <c r="M327" s="10">
        <v>46142</v>
      </c>
      <c r="N327" s="8" t="s">
        <v>327</v>
      </c>
      <c r="O327" s="12"/>
      <c r="P327" s="13"/>
      <c r="Q327" s="14">
        <f>Tabela1[[#This Row],[QTDE/ Fabricação]]-Tabela1[[#This Row],[QTE]]</f>
        <v>-2</v>
      </c>
      <c r="R327" s="18">
        <f t="shared" si="51"/>
        <v>4</v>
      </c>
      <c r="S327" s="18">
        <f t="shared" si="57"/>
        <v>0</v>
      </c>
      <c r="T327" s="19">
        <f t="shared" si="52"/>
        <v>-4</v>
      </c>
      <c r="U327" s="16">
        <f>IFERROR(SUMIF('LISTA DE EMBARQUE'!B:B,MICRO!E:E,'LISTA DE EMBARQUE'!G:G),"")</f>
        <v>0</v>
      </c>
      <c r="V327" s="12" t="str">
        <f>IFERROR(VLOOKUP(Tabela1[[#This Row],[COD.MDE]],'LISTA DE EMBARQUE'!B:L,11,0),"")</f>
        <v/>
      </c>
      <c r="W327" s="13" t="str">
        <f>IFERROR(VLOOKUP(Tabela1[[#This Row],[COD.MDE]],'LISTA DE EMBARQUE'!B:M,12,0),"")</f>
        <v/>
      </c>
      <c r="X327" s="14">
        <f>IFERROR(Tabela1[[#This Row],[QIANTIDADE EXPEDIDA]]*Tabela1[[#This Row],[PESO UNI]],"")</f>
        <v>0</v>
      </c>
      <c r="Y327" s="14">
        <f t="shared" si="56"/>
        <v>-2</v>
      </c>
      <c r="Z327" s="20">
        <f>Tabela1[[#This Row],[PESO TOTAL]]-Tabela1[[#This Row],[Peso Expedido]]</f>
        <v>4</v>
      </c>
      <c r="AA327" s="17">
        <v>1</v>
      </c>
      <c r="AB327" s="33"/>
      <c r="AC327" s="33">
        <v>1</v>
      </c>
      <c r="AD327" s="33">
        <v>1</v>
      </c>
      <c r="AE327" s="33">
        <v>1</v>
      </c>
      <c r="AF327" s="33">
        <v>1</v>
      </c>
      <c r="AG327" s="33">
        <v>0</v>
      </c>
      <c r="AH327" s="33"/>
      <c r="AI327" s="33" t="str">
        <f t="shared" si="53"/>
        <v/>
      </c>
      <c r="AJ327" s="5"/>
      <c r="AK327" t="str">
        <f>Tabela1[[#This Row],[Coluna1]]&amp;Tabela1[[#This Row],[PEDIDO]]</f>
        <v>P-188</v>
      </c>
      <c r="AL327"/>
      <c r="AM327"/>
      <c r="AN327"/>
      <c r="AO327" t="str">
        <f t="shared" si="58"/>
        <v>T-072990-1/1073-TC-007</v>
      </c>
      <c r="AP327" t="str">
        <f>Tabela1[[#This Row],[TAG]]&amp;Tabela1[[#This Row],[PEDIDO]]&amp;Tabela1[[#This Row],[PRODUTO]]</f>
        <v>1073-TC-007P-188RMF</v>
      </c>
      <c r="AQ327" s="22" t="str">
        <f>Tabela1[[#This Row],[PRODUTO]]&amp;Tabela1[[#This Row],[TAG]]</f>
        <v>RMF1073-TC-007</v>
      </c>
      <c r="AR327" s="24" t="str">
        <f>Tabela1[[#This Row],[PEDIDO]]&amp;Tabela1[[#This Row],[PRODUTO]]</f>
        <v>P-188RMF</v>
      </c>
      <c r="AS327" s="37">
        <f>IF(AF327="",0,IF(ISTEXT(AF327),H327*VALUE(SUBSTITUTE(AF327,"%",""))/100,H327*AF327))-Tabela1[[#This Row],[PRONTO ACABADO2]]</f>
        <v>4</v>
      </c>
      <c r="AT327" s="37">
        <f>IF(AG327="",0,IF(ISTEXT(AG327),H327*VALUE(SUBSTITUTE(AG327,"%",""))/100,H327*AG327))-Tabela1[[#This Row],[PESO EXPEDIDO2]]</f>
        <v>0</v>
      </c>
      <c r="AU327" s="37">
        <f t="shared" si="54"/>
        <v>0</v>
      </c>
      <c r="AV327" s="37">
        <f t="shared" si="55"/>
        <v>0</v>
      </c>
      <c r="AW327" s="37"/>
    </row>
    <row r="328" spans="1:49" ht="15.75" customHeight="1" x14ac:dyDescent="0.25">
      <c r="A328" s="6" t="s">
        <v>3971</v>
      </c>
      <c r="B328" s="21" t="s">
        <v>3972</v>
      </c>
      <c r="C328" s="7">
        <v>1</v>
      </c>
      <c r="D328" s="39" t="s">
        <v>3973</v>
      </c>
      <c r="E328" s="7">
        <v>4213</v>
      </c>
      <c r="F328" s="7" t="s">
        <v>3974</v>
      </c>
      <c r="G328" s="23">
        <v>704.9</v>
      </c>
      <c r="H328" s="34">
        <f>Tabela1[[#This Row],[PESO UNI]]*Tabela1[[#This Row],[QTE]]</f>
        <v>704.9</v>
      </c>
      <c r="I328" s="7">
        <v>1</v>
      </c>
      <c r="J328" s="8" t="s">
        <v>2274</v>
      </c>
      <c r="K328" s="8" t="s">
        <v>327</v>
      </c>
      <c r="L328" s="9" t="s">
        <v>2069</v>
      </c>
      <c r="M328" s="10">
        <v>46142</v>
      </c>
      <c r="N328" s="8" t="s">
        <v>327</v>
      </c>
      <c r="O328" s="12"/>
      <c r="P328" s="13"/>
      <c r="Q328" s="14">
        <f>Tabela1[[#This Row],[QTDE/ Fabricação]]-Tabela1[[#This Row],[QTE]]</f>
        <v>-1</v>
      </c>
      <c r="R328" s="18">
        <f t="shared" si="51"/>
        <v>704.9</v>
      </c>
      <c r="S328" s="18">
        <f t="shared" si="57"/>
        <v>704.9</v>
      </c>
      <c r="T328" s="19">
        <f t="shared" si="52"/>
        <v>0</v>
      </c>
      <c r="U328" s="207">
        <v>1</v>
      </c>
      <c r="V328" s="12" t="str">
        <f>IFERROR(VLOOKUP(Tabela1[[#This Row],[COD.MDE]],'LISTA DE EMBARQUE'!B:L,11,0),"")</f>
        <v/>
      </c>
      <c r="W328" s="13"/>
      <c r="X328" s="14">
        <f>IFERROR(Tabela1[[#This Row],[QIANTIDADE EXPEDIDA]]*Tabela1[[#This Row],[PESO UNI]],"")</f>
        <v>704.9</v>
      </c>
      <c r="Y328" s="14">
        <f t="shared" si="56"/>
        <v>0</v>
      </c>
      <c r="Z328" s="20">
        <f>Tabela1[[#This Row],[PESO TOTAL]]-Tabela1[[#This Row],[Peso Expedido]]</f>
        <v>0</v>
      </c>
      <c r="AA328" s="17">
        <v>1</v>
      </c>
      <c r="AB328" s="33"/>
      <c r="AC328" s="33">
        <v>1</v>
      </c>
      <c r="AD328" s="33">
        <v>1</v>
      </c>
      <c r="AE328" s="33">
        <v>1</v>
      </c>
      <c r="AF328" s="33">
        <v>1</v>
      </c>
      <c r="AG328" s="33">
        <v>1</v>
      </c>
      <c r="AH328" s="33">
        <v>1</v>
      </c>
      <c r="AI328" s="33" t="str">
        <f t="shared" si="53"/>
        <v>ok</v>
      </c>
      <c r="AJ328" s="5"/>
      <c r="AK328" t="str">
        <f>Tabela1[[#This Row],[Coluna1]]&amp;Tabela1[[#This Row],[PEDIDO]]</f>
        <v>P-188</v>
      </c>
      <c r="AL328"/>
      <c r="AM328"/>
      <c r="AN328"/>
      <c r="AO328" t="str">
        <f t="shared" si="58"/>
        <v>T-072991-1/1073-TC-006</v>
      </c>
      <c r="AP328" t="str">
        <f>Tabela1[[#This Row],[TAG]]&amp;Tabela1[[#This Row],[PEDIDO]]&amp;Tabela1[[#This Row],[PRODUTO]]</f>
        <v>1073-TC-006P-188RMF</v>
      </c>
      <c r="AQ328" s="22" t="str">
        <f>Tabela1[[#This Row],[PRODUTO]]&amp;Tabela1[[#This Row],[TAG]]</f>
        <v>RMF1073-TC-006</v>
      </c>
      <c r="AR328" s="24" t="str">
        <f>Tabela1[[#This Row],[PEDIDO]]&amp;Tabela1[[#This Row],[PRODUTO]]</f>
        <v>P-188RMF</v>
      </c>
      <c r="AS328" s="37">
        <f>IF(AF328="",0,IF(ISTEXT(AF328),H328*VALUE(SUBSTITUTE(AF328,"%",""))/100,H328*AF328))-Tabela1[[#This Row],[PRONTO ACABADO2]]</f>
        <v>0</v>
      </c>
      <c r="AT328" s="37">
        <f>IF(AG328="",0,IF(ISTEXT(AG328),H328*VALUE(SUBSTITUTE(AG328,"%",""))/100,H328*AG328))-Tabela1[[#This Row],[PESO EXPEDIDO2]]</f>
        <v>0</v>
      </c>
      <c r="AU328" s="37">
        <f t="shared" si="54"/>
        <v>704.9</v>
      </c>
      <c r="AV328" s="37">
        <f t="shared" si="55"/>
        <v>704.9</v>
      </c>
      <c r="AW328" s="37"/>
    </row>
    <row r="329" spans="1:49" ht="15.75" customHeight="1" x14ac:dyDescent="0.25">
      <c r="A329" s="6" t="s">
        <v>3971</v>
      </c>
      <c r="B329" s="21" t="s">
        <v>3975</v>
      </c>
      <c r="C329" s="7">
        <v>8</v>
      </c>
      <c r="D329" s="39" t="s">
        <v>3976</v>
      </c>
      <c r="E329" s="7">
        <v>4214</v>
      </c>
      <c r="F329" s="7" t="s">
        <v>3974</v>
      </c>
      <c r="G329" s="23">
        <v>2.6</v>
      </c>
      <c r="H329" s="34">
        <f>Tabela1[[#This Row],[PESO UNI]]*Tabela1[[#This Row],[QTE]]</f>
        <v>20.8</v>
      </c>
      <c r="I329" s="7">
        <v>1</v>
      </c>
      <c r="J329" s="8" t="s">
        <v>2274</v>
      </c>
      <c r="K329" s="8" t="s">
        <v>327</v>
      </c>
      <c r="L329" s="9" t="s">
        <v>2069</v>
      </c>
      <c r="M329" s="10">
        <v>46142</v>
      </c>
      <c r="N329" s="8" t="s">
        <v>327</v>
      </c>
      <c r="O329" s="12"/>
      <c r="P329" s="13"/>
      <c r="Q329" s="14">
        <f>Tabela1[[#This Row],[QTDE/ Fabricação]]-Tabela1[[#This Row],[QTE]]</f>
        <v>-8</v>
      </c>
      <c r="R329" s="18">
        <f t="shared" si="51"/>
        <v>20.8</v>
      </c>
      <c r="S329" s="18">
        <f t="shared" si="57"/>
        <v>20.8</v>
      </c>
      <c r="T329" s="19">
        <f t="shared" si="52"/>
        <v>0</v>
      </c>
      <c r="U329" s="207">
        <v>8</v>
      </c>
      <c r="V329" s="12" t="str">
        <f>IFERROR(VLOOKUP(Tabela1[[#This Row],[COD.MDE]],'LISTA DE EMBARQUE'!B:L,11,0),"")</f>
        <v/>
      </c>
      <c r="W329" s="13"/>
      <c r="X329" s="14">
        <f>IFERROR(Tabela1[[#This Row],[QIANTIDADE EXPEDIDA]]*Tabela1[[#This Row],[PESO UNI]],"")</f>
        <v>20.8</v>
      </c>
      <c r="Y329" s="14">
        <f t="shared" si="56"/>
        <v>0</v>
      </c>
      <c r="Z329" s="20">
        <f>Tabela1[[#This Row],[PESO TOTAL]]-Tabela1[[#This Row],[Peso Expedido]]</f>
        <v>0</v>
      </c>
      <c r="AA329" s="17">
        <v>1</v>
      </c>
      <c r="AB329" s="33"/>
      <c r="AC329" s="33">
        <v>1</v>
      </c>
      <c r="AD329" s="33">
        <v>1</v>
      </c>
      <c r="AE329" s="33">
        <v>1</v>
      </c>
      <c r="AF329" s="33">
        <v>1</v>
      </c>
      <c r="AG329" s="33">
        <v>1</v>
      </c>
      <c r="AH329" s="33">
        <v>1</v>
      </c>
      <c r="AI329" s="33" t="str">
        <f t="shared" si="53"/>
        <v>ok</v>
      </c>
      <c r="AJ329" s="5"/>
      <c r="AK329" t="str">
        <f>Tabela1[[#This Row],[Coluna1]]&amp;Tabela1[[#This Row],[PEDIDO]]</f>
        <v>P-188</v>
      </c>
      <c r="AL329"/>
      <c r="AM329"/>
      <c r="AN329"/>
      <c r="AO329" t="str">
        <f t="shared" si="58"/>
        <v>T-072991-1/1073-TC-006</v>
      </c>
      <c r="AP329" t="str">
        <f>Tabela1[[#This Row],[TAG]]&amp;Tabela1[[#This Row],[PEDIDO]]&amp;Tabela1[[#This Row],[PRODUTO]]</f>
        <v>1073-TC-006P-188RMF</v>
      </c>
      <c r="AQ329" s="22" t="str">
        <f>Tabela1[[#This Row],[PRODUTO]]&amp;Tabela1[[#This Row],[TAG]]</f>
        <v>RMF1073-TC-006</v>
      </c>
      <c r="AR329" s="24" t="str">
        <f>Tabela1[[#This Row],[PEDIDO]]&amp;Tabela1[[#This Row],[PRODUTO]]</f>
        <v>P-188RMF</v>
      </c>
      <c r="AS329" s="37">
        <f>IF(AF329="",0,IF(ISTEXT(AF329),H329*VALUE(SUBSTITUTE(AF329,"%",""))/100,H329*AF329))-Tabela1[[#This Row],[PRONTO ACABADO2]]</f>
        <v>0</v>
      </c>
      <c r="AT329" s="37">
        <f>IF(AG329="",0,IF(ISTEXT(AG329),H329*VALUE(SUBSTITUTE(AG329,"%",""))/100,H329*AG329))-Tabela1[[#This Row],[PESO EXPEDIDO2]]</f>
        <v>0</v>
      </c>
      <c r="AU329" s="37">
        <f t="shared" si="54"/>
        <v>20.8</v>
      </c>
      <c r="AV329" s="37">
        <f t="shared" si="55"/>
        <v>20.8</v>
      </c>
      <c r="AW329" s="37"/>
    </row>
    <row r="330" spans="1:49" ht="15.75" customHeight="1" x14ac:dyDescent="0.25">
      <c r="A330" s="6" t="s">
        <v>3971</v>
      </c>
      <c r="B330" s="21" t="s">
        <v>3977</v>
      </c>
      <c r="C330" s="7">
        <v>2</v>
      </c>
      <c r="D330" s="39" t="s">
        <v>3978</v>
      </c>
      <c r="E330" s="7">
        <v>4215</v>
      </c>
      <c r="F330" s="7" t="s">
        <v>3974</v>
      </c>
      <c r="G330" s="23">
        <v>37.200000000000003</v>
      </c>
      <c r="H330" s="34">
        <f>Tabela1[[#This Row],[PESO UNI]]*Tabela1[[#This Row],[QTE]]</f>
        <v>74.400000000000006</v>
      </c>
      <c r="I330" s="7">
        <v>1</v>
      </c>
      <c r="J330" s="8" t="s">
        <v>2274</v>
      </c>
      <c r="K330" s="8" t="s">
        <v>327</v>
      </c>
      <c r="L330" s="9" t="s">
        <v>2069</v>
      </c>
      <c r="M330" s="10">
        <v>46142</v>
      </c>
      <c r="N330" s="8" t="s">
        <v>327</v>
      </c>
      <c r="O330" s="12"/>
      <c r="P330" s="13"/>
      <c r="Q330" s="14">
        <f>Tabela1[[#This Row],[QTDE/ Fabricação]]-Tabela1[[#This Row],[QTE]]</f>
        <v>-2</v>
      </c>
      <c r="R330" s="18">
        <f t="shared" si="51"/>
        <v>74.400000000000006</v>
      </c>
      <c r="S330" s="18">
        <f t="shared" si="57"/>
        <v>74.400000000000006</v>
      </c>
      <c r="T330" s="19">
        <f t="shared" si="52"/>
        <v>0</v>
      </c>
      <c r="U330" s="207">
        <v>2</v>
      </c>
      <c r="V330" s="12" t="str">
        <f>IFERROR(VLOOKUP(Tabela1[[#This Row],[COD.MDE]],'LISTA DE EMBARQUE'!B:L,11,0),"")</f>
        <v/>
      </c>
      <c r="W330" s="13"/>
      <c r="X330" s="14">
        <f>IFERROR(Tabela1[[#This Row],[QIANTIDADE EXPEDIDA]]*Tabela1[[#This Row],[PESO UNI]],"")</f>
        <v>74.400000000000006</v>
      </c>
      <c r="Y330" s="14">
        <f t="shared" si="56"/>
        <v>0</v>
      </c>
      <c r="Z330" s="20">
        <f>Tabela1[[#This Row],[PESO TOTAL]]-Tabela1[[#This Row],[Peso Expedido]]</f>
        <v>0</v>
      </c>
      <c r="AA330" s="17">
        <v>1</v>
      </c>
      <c r="AB330" s="33"/>
      <c r="AC330" s="33">
        <v>1</v>
      </c>
      <c r="AD330" s="33">
        <v>1</v>
      </c>
      <c r="AE330" s="33">
        <v>1</v>
      </c>
      <c r="AF330" s="33">
        <v>1</v>
      </c>
      <c r="AG330" s="33">
        <v>1</v>
      </c>
      <c r="AH330" s="33">
        <v>1</v>
      </c>
      <c r="AI330" s="33" t="str">
        <f t="shared" si="53"/>
        <v>ok</v>
      </c>
      <c r="AJ330" s="5"/>
      <c r="AK330" t="str">
        <f>Tabela1[[#This Row],[Coluna1]]&amp;Tabela1[[#This Row],[PEDIDO]]</f>
        <v>P-188</v>
      </c>
      <c r="AL330"/>
      <c r="AM330"/>
      <c r="AN330"/>
      <c r="AO330" t="str">
        <f t="shared" si="58"/>
        <v>T-072991-1/1073-TC-006</v>
      </c>
      <c r="AP330" t="str">
        <f>Tabela1[[#This Row],[TAG]]&amp;Tabela1[[#This Row],[PEDIDO]]&amp;Tabela1[[#This Row],[PRODUTO]]</f>
        <v>1073-TC-006P-188RMF</v>
      </c>
      <c r="AQ330" s="22" t="str">
        <f>Tabela1[[#This Row],[PRODUTO]]&amp;Tabela1[[#This Row],[TAG]]</f>
        <v>RMF1073-TC-006</v>
      </c>
      <c r="AR330" s="24" t="str">
        <f>Tabela1[[#This Row],[PEDIDO]]&amp;Tabela1[[#This Row],[PRODUTO]]</f>
        <v>P-188RMF</v>
      </c>
      <c r="AS330" s="37">
        <f>IF(AF330="",0,IF(ISTEXT(AF330),H330*VALUE(SUBSTITUTE(AF330,"%",""))/100,H330*AF330))-Tabela1[[#This Row],[PRONTO ACABADO2]]</f>
        <v>0</v>
      </c>
      <c r="AT330" s="37">
        <f>IF(AG330="",0,IF(ISTEXT(AG330),H330*VALUE(SUBSTITUTE(AG330,"%",""))/100,H330*AG330))-Tabela1[[#This Row],[PESO EXPEDIDO2]]</f>
        <v>0</v>
      </c>
      <c r="AU330" s="37">
        <f t="shared" si="54"/>
        <v>74.400000000000006</v>
      </c>
      <c r="AV330" s="37">
        <f t="shared" si="55"/>
        <v>74.400000000000006</v>
      </c>
      <c r="AW330" s="37"/>
    </row>
    <row r="331" spans="1:49" ht="15.75" customHeight="1" x14ac:dyDescent="0.25">
      <c r="A331" s="6" t="s">
        <v>3971</v>
      </c>
      <c r="B331" s="21" t="s">
        <v>3972</v>
      </c>
      <c r="C331" s="7">
        <v>1</v>
      </c>
      <c r="D331" s="39" t="s">
        <v>3973</v>
      </c>
      <c r="E331" s="7">
        <v>4216</v>
      </c>
      <c r="F331" s="7" t="s">
        <v>3974</v>
      </c>
      <c r="G331" s="23">
        <v>704.9</v>
      </c>
      <c r="H331" s="34">
        <f>Tabela1[[#This Row],[PESO UNI]]*Tabela1[[#This Row],[QTE]]</f>
        <v>704.9</v>
      </c>
      <c r="I331" s="7">
        <v>1</v>
      </c>
      <c r="J331" s="8" t="s">
        <v>2276</v>
      </c>
      <c r="K331" s="8" t="s">
        <v>327</v>
      </c>
      <c r="L331" s="9" t="s">
        <v>2069</v>
      </c>
      <c r="M331" s="10">
        <v>46142</v>
      </c>
      <c r="N331" s="8" t="s">
        <v>327</v>
      </c>
      <c r="O331" s="12"/>
      <c r="P331" s="13"/>
      <c r="Q331" s="14">
        <f>Tabela1[[#This Row],[QTDE/ Fabricação]]-Tabela1[[#This Row],[QTE]]</f>
        <v>-1</v>
      </c>
      <c r="R331" s="18">
        <f t="shared" si="51"/>
        <v>704.9</v>
      </c>
      <c r="S331" s="18">
        <f t="shared" si="57"/>
        <v>704.9</v>
      </c>
      <c r="T331" s="19">
        <f t="shared" si="52"/>
        <v>0</v>
      </c>
      <c r="U331" s="207">
        <v>1</v>
      </c>
      <c r="V331" s="12" t="str">
        <f>IFERROR(VLOOKUP(Tabela1[[#This Row],[COD.MDE]],'LISTA DE EMBARQUE'!B:L,11,0),"")</f>
        <v/>
      </c>
      <c r="W331" s="13"/>
      <c r="X331" s="14">
        <f>IFERROR(Tabela1[[#This Row],[QIANTIDADE EXPEDIDA]]*Tabela1[[#This Row],[PESO UNI]],"")</f>
        <v>704.9</v>
      </c>
      <c r="Y331" s="14">
        <f t="shared" si="56"/>
        <v>0</v>
      </c>
      <c r="Z331" s="20">
        <f>Tabela1[[#This Row],[PESO TOTAL]]-Tabela1[[#This Row],[Peso Expedido]]</f>
        <v>0</v>
      </c>
      <c r="AA331" s="17">
        <v>1</v>
      </c>
      <c r="AB331" s="33"/>
      <c r="AC331" s="33">
        <v>1</v>
      </c>
      <c r="AD331" s="33">
        <v>1</v>
      </c>
      <c r="AE331" s="33">
        <v>1</v>
      </c>
      <c r="AF331" s="33">
        <v>1</v>
      </c>
      <c r="AG331" s="33">
        <v>1</v>
      </c>
      <c r="AH331" s="33">
        <v>1</v>
      </c>
      <c r="AI331" s="33" t="str">
        <f t="shared" si="53"/>
        <v>ok</v>
      </c>
      <c r="AJ331" s="5"/>
      <c r="AK331" t="str">
        <f>Tabela1[[#This Row],[Coluna1]]&amp;Tabela1[[#This Row],[PEDIDO]]</f>
        <v>P-188</v>
      </c>
      <c r="AL331"/>
      <c r="AM331"/>
      <c r="AN331"/>
      <c r="AO331" t="str">
        <f t="shared" si="58"/>
        <v>T-072991-1/1073-TC-007</v>
      </c>
      <c r="AP331" t="str">
        <f>Tabela1[[#This Row],[TAG]]&amp;Tabela1[[#This Row],[PEDIDO]]&amp;Tabela1[[#This Row],[PRODUTO]]</f>
        <v>1073-TC-007P-188RMF</v>
      </c>
      <c r="AQ331" s="22" t="str">
        <f>Tabela1[[#This Row],[PRODUTO]]&amp;Tabela1[[#This Row],[TAG]]</f>
        <v>RMF1073-TC-007</v>
      </c>
      <c r="AR331" s="24" t="str">
        <f>Tabela1[[#This Row],[PEDIDO]]&amp;Tabela1[[#This Row],[PRODUTO]]</f>
        <v>P-188RMF</v>
      </c>
      <c r="AS331" s="37">
        <f>IF(AF331="",0,IF(ISTEXT(AF331),H331*VALUE(SUBSTITUTE(AF331,"%",""))/100,H331*AF331))-Tabela1[[#This Row],[PRONTO ACABADO2]]</f>
        <v>0</v>
      </c>
      <c r="AT331" s="37">
        <f>IF(AG331="",0,IF(ISTEXT(AG331),H331*VALUE(SUBSTITUTE(AG331,"%",""))/100,H331*AG331))-Tabela1[[#This Row],[PESO EXPEDIDO2]]</f>
        <v>0</v>
      </c>
      <c r="AU331" s="37">
        <f t="shared" si="54"/>
        <v>704.9</v>
      </c>
      <c r="AV331" s="37">
        <f t="shared" si="55"/>
        <v>704.9</v>
      </c>
      <c r="AW331" s="37"/>
    </row>
    <row r="332" spans="1:49" ht="15.75" customHeight="1" x14ac:dyDescent="0.25">
      <c r="A332" s="6" t="s">
        <v>3971</v>
      </c>
      <c r="B332" s="21" t="s">
        <v>3975</v>
      </c>
      <c r="C332" s="7">
        <v>8</v>
      </c>
      <c r="D332" s="39" t="s">
        <v>3976</v>
      </c>
      <c r="E332" s="7">
        <v>4217</v>
      </c>
      <c r="F332" s="7" t="s">
        <v>3974</v>
      </c>
      <c r="G332" s="23">
        <v>2.6</v>
      </c>
      <c r="H332" s="34">
        <f>Tabela1[[#This Row],[PESO UNI]]*Tabela1[[#This Row],[QTE]]</f>
        <v>20.8</v>
      </c>
      <c r="I332" s="7">
        <v>1</v>
      </c>
      <c r="J332" s="8" t="s">
        <v>2276</v>
      </c>
      <c r="K332" s="8" t="s">
        <v>327</v>
      </c>
      <c r="L332" s="9" t="s">
        <v>2069</v>
      </c>
      <c r="M332" s="10">
        <v>46142</v>
      </c>
      <c r="N332" s="8" t="s">
        <v>327</v>
      </c>
      <c r="O332" s="12"/>
      <c r="P332" s="13"/>
      <c r="Q332" s="14">
        <f>Tabela1[[#This Row],[QTDE/ Fabricação]]-Tabela1[[#This Row],[QTE]]</f>
        <v>-8</v>
      </c>
      <c r="R332" s="18">
        <f t="shared" si="51"/>
        <v>20.8</v>
      </c>
      <c r="S332" s="18">
        <f t="shared" si="57"/>
        <v>20.8</v>
      </c>
      <c r="T332" s="19">
        <f t="shared" si="52"/>
        <v>0</v>
      </c>
      <c r="U332" s="207">
        <v>8</v>
      </c>
      <c r="V332" s="12" t="str">
        <f>IFERROR(VLOOKUP(Tabela1[[#This Row],[COD.MDE]],'LISTA DE EMBARQUE'!B:L,11,0),"")</f>
        <v/>
      </c>
      <c r="W332" s="13"/>
      <c r="X332" s="14">
        <f>IFERROR(Tabela1[[#This Row],[QIANTIDADE EXPEDIDA]]*Tabela1[[#This Row],[PESO UNI]],"")</f>
        <v>20.8</v>
      </c>
      <c r="Y332" s="14">
        <f t="shared" si="56"/>
        <v>0</v>
      </c>
      <c r="Z332" s="20">
        <f>Tabela1[[#This Row],[PESO TOTAL]]-Tabela1[[#This Row],[Peso Expedido]]</f>
        <v>0</v>
      </c>
      <c r="AA332" s="17">
        <v>1</v>
      </c>
      <c r="AB332" s="33"/>
      <c r="AC332" s="33">
        <v>1</v>
      </c>
      <c r="AD332" s="33">
        <v>1</v>
      </c>
      <c r="AE332" s="33">
        <v>1</v>
      </c>
      <c r="AF332" s="33">
        <v>1</v>
      </c>
      <c r="AG332" s="33">
        <v>1</v>
      </c>
      <c r="AH332" s="33">
        <v>1</v>
      </c>
      <c r="AI332" s="33" t="str">
        <f t="shared" si="53"/>
        <v>ok</v>
      </c>
      <c r="AJ332" s="5"/>
      <c r="AK332" t="str">
        <f>Tabela1[[#This Row],[Coluna1]]&amp;Tabela1[[#This Row],[PEDIDO]]</f>
        <v>P-188</v>
      </c>
      <c r="AL332"/>
      <c r="AM332"/>
      <c r="AN332"/>
      <c r="AO332" t="str">
        <f t="shared" si="58"/>
        <v>T-072991-1/1073-TC-007</v>
      </c>
      <c r="AP332" t="str">
        <f>Tabela1[[#This Row],[TAG]]&amp;Tabela1[[#This Row],[PEDIDO]]&amp;Tabela1[[#This Row],[PRODUTO]]</f>
        <v>1073-TC-007P-188RMF</v>
      </c>
      <c r="AQ332" s="22" t="str">
        <f>Tabela1[[#This Row],[PRODUTO]]&amp;Tabela1[[#This Row],[TAG]]</f>
        <v>RMF1073-TC-007</v>
      </c>
      <c r="AR332" s="24" t="str">
        <f>Tabela1[[#This Row],[PEDIDO]]&amp;Tabela1[[#This Row],[PRODUTO]]</f>
        <v>P-188RMF</v>
      </c>
      <c r="AS332" s="37">
        <f>IF(AF332="",0,IF(ISTEXT(AF332),H332*VALUE(SUBSTITUTE(AF332,"%",""))/100,H332*AF332))-Tabela1[[#This Row],[PRONTO ACABADO2]]</f>
        <v>0</v>
      </c>
      <c r="AT332" s="37">
        <f>IF(AG332="",0,IF(ISTEXT(AG332),H332*VALUE(SUBSTITUTE(AG332,"%",""))/100,H332*AG332))-Tabela1[[#This Row],[PESO EXPEDIDO2]]</f>
        <v>0</v>
      </c>
      <c r="AU332" s="37">
        <f t="shared" si="54"/>
        <v>20.8</v>
      </c>
      <c r="AV332" s="37">
        <f t="shared" si="55"/>
        <v>20.8</v>
      </c>
      <c r="AW332" s="37"/>
    </row>
    <row r="333" spans="1:49" ht="15.75" customHeight="1" x14ac:dyDescent="0.25">
      <c r="A333" s="6" t="s">
        <v>3971</v>
      </c>
      <c r="B333" s="21" t="s">
        <v>3977</v>
      </c>
      <c r="C333" s="7">
        <v>2</v>
      </c>
      <c r="D333" s="39" t="s">
        <v>3978</v>
      </c>
      <c r="E333" s="7">
        <v>4218</v>
      </c>
      <c r="F333" s="7" t="s">
        <v>3974</v>
      </c>
      <c r="G333" s="23">
        <v>37.200000000000003</v>
      </c>
      <c r="H333" s="34">
        <f>Tabela1[[#This Row],[PESO UNI]]*Tabela1[[#This Row],[QTE]]</f>
        <v>74.400000000000006</v>
      </c>
      <c r="I333" s="7">
        <v>1</v>
      </c>
      <c r="J333" s="8" t="s">
        <v>2276</v>
      </c>
      <c r="K333" s="8" t="s">
        <v>327</v>
      </c>
      <c r="L333" s="9" t="s">
        <v>2069</v>
      </c>
      <c r="M333" s="10">
        <v>46142</v>
      </c>
      <c r="N333" s="8" t="s">
        <v>327</v>
      </c>
      <c r="O333" s="12"/>
      <c r="P333" s="13"/>
      <c r="Q333" s="14">
        <f>Tabela1[[#This Row],[QTDE/ Fabricação]]-Tabela1[[#This Row],[QTE]]</f>
        <v>-2</v>
      </c>
      <c r="R333" s="18">
        <f t="shared" si="51"/>
        <v>74.400000000000006</v>
      </c>
      <c r="S333" s="18">
        <f t="shared" si="57"/>
        <v>74.400000000000006</v>
      </c>
      <c r="T333" s="19">
        <f t="shared" si="52"/>
        <v>0</v>
      </c>
      <c r="U333" s="207">
        <v>2</v>
      </c>
      <c r="V333" s="12" t="str">
        <f>IFERROR(VLOOKUP(Tabela1[[#This Row],[COD.MDE]],'LISTA DE EMBARQUE'!B:L,11,0),"")</f>
        <v/>
      </c>
      <c r="W333" s="13"/>
      <c r="X333" s="14">
        <f>IFERROR(Tabela1[[#This Row],[QIANTIDADE EXPEDIDA]]*Tabela1[[#This Row],[PESO UNI]],"")</f>
        <v>74.400000000000006</v>
      </c>
      <c r="Y333" s="14">
        <f t="shared" si="56"/>
        <v>0</v>
      </c>
      <c r="Z333" s="20">
        <f>Tabela1[[#This Row],[PESO TOTAL]]-Tabela1[[#This Row],[Peso Expedido]]</f>
        <v>0</v>
      </c>
      <c r="AA333" s="17">
        <v>1</v>
      </c>
      <c r="AB333" s="33"/>
      <c r="AC333" s="33">
        <v>1</v>
      </c>
      <c r="AD333" s="33">
        <v>1</v>
      </c>
      <c r="AE333" s="33">
        <v>1</v>
      </c>
      <c r="AF333" s="33">
        <v>1</v>
      </c>
      <c r="AG333" s="33">
        <v>1</v>
      </c>
      <c r="AH333" s="33">
        <v>1</v>
      </c>
      <c r="AI333" s="33" t="str">
        <f t="shared" si="53"/>
        <v>ok</v>
      </c>
      <c r="AJ333" s="5"/>
      <c r="AK333" t="str">
        <f>Tabela1[[#This Row],[Coluna1]]&amp;Tabela1[[#This Row],[PEDIDO]]</f>
        <v>P-188</v>
      </c>
      <c r="AL333"/>
      <c r="AM333"/>
      <c r="AN333"/>
      <c r="AO333" t="str">
        <f t="shared" si="58"/>
        <v>T-072991-1/1073-TC-007</v>
      </c>
      <c r="AP333" t="str">
        <f>Tabela1[[#This Row],[TAG]]&amp;Tabela1[[#This Row],[PEDIDO]]&amp;Tabela1[[#This Row],[PRODUTO]]</f>
        <v>1073-TC-007P-188RMF</v>
      </c>
      <c r="AQ333" s="22" t="str">
        <f>Tabela1[[#This Row],[PRODUTO]]&amp;Tabela1[[#This Row],[TAG]]</f>
        <v>RMF1073-TC-007</v>
      </c>
      <c r="AR333" s="24" t="str">
        <f>Tabela1[[#This Row],[PEDIDO]]&amp;Tabela1[[#This Row],[PRODUTO]]</f>
        <v>P-188RMF</v>
      </c>
      <c r="AS333" s="37">
        <f>IF(AF333="",0,IF(ISTEXT(AF333),H333*VALUE(SUBSTITUTE(AF333,"%",""))/100,H333*AF333))-Tabela1[[#This Row],[PRONTO ACABADO2]]</f>
        <v>0</v>
      </c>
      <c r="AT333" s="37">
        <f>IF(AG333="",0,IF(ISTEXT(AG333),H333*VALUE(SUBSTITUTE(AG333,"%",""))/100,H333*AG333))-Tabela1[[#This Row],[PESO EXPEDIDO2]]</f>
        <v>0</v>
      </c>
      <c r="AU333" s="37">
        <f t="shared" si="54"/>
        <v>74.400000000000006</v>
      </c>
      <c r="AV333" s="37">
        <f t="shared" si="55"/>
        <v>74.400000000000006</v>
      </c>
      <c r="AW333" s="37"/>
    </row>
    <row r="334" spans="1:49" ht="15.75" customHeight="1" x14ac:dyDescent="0.25">
      <c r="A334" s="6" t="s">
        <v>3979</v>
      </c>
      <c r="B334" s="21" t="s">
        <v>3980</v>
      </c>
      <c r="C334" s="7">
        <v>1</v>
      </c>
      <c r="D334" s="39" t="s">
        <v>3981</v>
      </c>
      <c r="E334" s="7">
        <v>4219</v>
      </c>
      <c r="F334" s="7" t="s">
        <v>3974</v>
      </c>
      <c r="G334" s="23">
        <v>62.2</v>
      </c>
      <c r="H334" s="34">
        <f>Tabela1[[#This Row],[PESO UNI]]*Tabela1[[#This Row],[QTE]]</f>
        <v>62.2</v>
      </c>
      <c r="I334" s="7">
        <v>1</v>
      </c>
      <c r="J334" s="8" t="s">
        <v>2274</v>
      </c>
      <c r="K334" s="8" t="s">
        <v>327</v>
      </c>
      <c r="L334" s="9" t="s">
        <v>2069</v>
      </c>
      <c r="M334" s="10">
        <v>46142</v>
      </c>
      <c r="N334" s="8" t="s">
        <v>327</v>
      </c>
      <c r="O334" s="12"/>
      <c r="P334" s="13"/>
      <c r="Q334" s="14">
        <f>Tabela1[[#This Row],[QTDE/ Fabricação]]-Tabela1[[#This Row],[QTE]]</f>
        <v>-1</v>
      </c>
      <c r="R334" s="18">
        <f t="shared" si="51"/>
        <v>62.2</v>
      </c>
      <c r="S334" s="18">
        <f t="shared" si="57"/>
        <v>62.2</v>
      </c>
      <c r="T334" s="19">
        <f t="shared" si="52"/>
        <v>0</v>
      </c>
      <c r="U334" s="207">
        <v>1</v>
      </c>
      <c r="V334" s="12" t="str">
        <f>IFERROR(VLOOKUP(Tabela1[[#This Row],[COD.MDE]],'LISTA DE EMBARQUE'!B:L,11,0),"")</f>
        <v/>
      </c>
      <c r="W334" s="13"/>
      <c r="X334" s="14">
        <f>IFERROR(Tabela1[[#This Row],[QIANTIDADE EXPEDIDA]]*Tabela1[[#This Row],[PESO UNI]],"")</f>
        <v>62.2</v>
      </c>
      <c r="Y334" s="14">
        <f t="shared" si="56"/>
        <v>0</v>
      </c>
      <c r="Z334" s="20">
        <f>Tabela1[[#This Row],[PESO TOTAL]]-Tabela1[[#This Row],[Peso Expedido]]</f>
        <v>0</v>
      </c>
      <c r="AA334" s="17">
        <v>1</v>
      </c>
      <c r="AB334" s="33"/>
      <c r="AC334" s="33">
        <v>1</v>
      </c>
      <c r="AD334" s="33">
        <v>1</v>
      </c>
      <c r="AE334" s="33">
        <v>1</v>
      </c>
      <c r="AF334" s="33">
        <v>1</v>
      </c>
      <c r="AG334" s="33">
        <v>1</v>
      </c>
      <c r="AH334" s="33">
        <v>1</v>
      </c>
      <c r="AI334" s="33" t="str">
        <f t="shared" si="53"/>
        <v>ok</v>
      </c>
      <c r="AJ334" s="5"/>
      <c r="AK334" t="str">
        <f>Tabela1[[#This Row],[Coluna1]]&amp;Tabela1[[#This Row],[PEDIDO]]</f>
        <v>P-188</v>
      </c>
      <c r="AL334"/>
      <c r="AM334"/>
      <c r="AN334"/>
      <c r="AO334" t="str">
        <f t="shared" si="58"/>
        <v>T-072992-1/1073-TC-006</v>
      </c>
      <c r="AP334" t="str">
        <f>Tabela1[[#This Row],[TAG]]&amp;Tabela1[[#This Row],[PEDIDO]]&amp;Tabela1[[#This Row],[PRODUTO]]</f>
        <v>1073-TC-006P-188RMF</v>
      </c>
      <c r="AQ334" s="22" t="str">
        <f>Tabela1[[#This Row],[PRODUTO]]&amp;Tabela1[[#This Row],[TAG]]</f>
        <v>RMF1073-TC-006</v>
      </c>
      <c r="AR334" s="24" t="str">
        <f>Tabela1[[#This Row],[PEDIDO]]&amp;Tabela1[[#This Row],[PRODUTO]]</f>
        <v>P-188RMF</v>
      </c>
      <c r="AS334" s="37">
        <f>IF(AF334="",0,IF(ISTEXT(AF334),H334*VALUE(SUBSTITUTE(AF334,"%",""))/100,H334*AF334))-Tabela1[[#This Row],[PRONTO ACABADO2]]</f>
        <v>0</v>
      </c>
      <c r="AT334" s="37">
        <f>IF(AG334="",0,IF(ISTEXT(AG334),H334*VALUE(SUBSTITUTE(AG334,"%",""))/100,H334*AG334))-Tabela1[[#This Row],[PESO EXPEDIDO2]]</f>
        <v>0</v>
      </c>
      <c r="AU334" s="37">
        <f t="shared" si="54"/>
        <v>62.2</v>
      </c>
      <c r="AV334" s="37">
        <f t="shared" si="55"/>
        <v>62.2</v>
      </c>
      <c r="AW334" s="37"/>
    </row>
    <row r="335" spans="1:49" ht="15.75" customHeight="1" x14ac:dyDescent="0.25">
      <c r="A335" s="6" t="s">
        <v>3979</v>
      </c>
      <c r="B335" s="21" t="s">
        <v>3980</v>
      </c>
      <c r="C335" s="7">
        <v>4</v>
      </c>
      <c r="D335" s="39" t="s">
        <v>3982</v>
      </c>
      <c r="E335" s="7">
        <v>4220</v>
      </c>
      <c r="F335" s="7" t="s">
        <v>3974</v>
      </c>
      <c r="G335" s="23">
        <v>2.6</v>
      </c>
      <c r="H335" s="34">
        <f>Tabela1[[#This Row],[PESO UNI]]*Tabela1[[#This Row],[QTE]]</f>
        <v>10.4</v>
      </c>
      <c r="I335" s="7">
        <v>1</v>
      </c>
      <c r="J335" s="8" t="s">
        <v>2274</v>
      </c>
      <c r="K335" s="8" t="s">
        <v>327</v>
      </c>
      <c r="L335" s="9" t="s">
        <v>2069</v>
      </c>
      <c r="M335" s="10">
        <v>46142</v>
      </c>
      <c r="N335" s="8" t="s">
        <v>327</v>
      </c>
      <c r="O335" s="12"/>
      <c r="P335" s="13"/>
      <c r="Q335" s="14">
        <f>Tabela1[[#This Row],[QTDE/ Fabricação]]-Tabela1[[#This Row],[QTE]]</f>
        <v>-4</v>
      </c>
      <c r="R335" s="18">
        <f t="shared" si="51"/>
        <v>10.4</v>
      </c>
      <c r="S335" s="18">
        <f t="shared" si="57"/>
        <v>10.4</v>
      </c>
      <c r="T335" s="19">
        <f t="shared" si="52"/>
        <v>0</v>
      </c>
      <c r="U335" s="207">
        <v>4</v>
      </c>
      <c r="V335" s="12" t="str">
        <f>IFERROR(VLOOKUP(Tabela1[[#This Row],[COD.MDE]],'LISTA DE EMBARQUE'!B:L,11,0),"")</f>
        <v/>
      </c>
      <c r="W335" s="13"/>
      <c r="X335" s="14">
        <f>IFERROR(Tabela1[[#This Row],[QIANTIDADE EXPEDIDA]]*Tabela1[[#This Row],[PESO UNI]],"")</f>
        <v>10.4</v>
      </c>
      <c r="Y335" s="14">
        <f t="shared" si="56"/>
        <v>0</v>
      </c>
      <c r="Z335" s="20">
        <f>Tabela1[[#This Row],[PESO TOTAL]]-Tabela1[[#This Row],[Peso Expedido]]</f>
        <v>0</v>
      </c>
      <c r="AA335" s="17">
        <v>1</v>
      </c>
      <c r="AB335" s="33"/>
      <c r="AC335" s="33">
        <v>1</v>
      </c>
      <c r="AD335" s="33">
        <v>1</v>
      </c>
      <c r="AE335" s="33">
        <v>1</v>
      </c>
      <c r="AF335" s="33">
        <v>1</v>
      </c>
      <c r="AG335" s="33">
        <v>1</v>
      </c>
      <c r="AH335" s="33">
        <v>1</v>
      </c>
      <c r="AI335" s="33" t="str">
        <f t="shared" si="53"/>
        <v>ok</v>
      </c>
      <c r="AJ335" s="5"/>
      <c r="AK335" t="str">
        <f>Tabela1[[#This Row],[Coluna1]]&amp;Tabela1[[#This Row],[PEDIDO]]</f>
        <v>P-188</v>
      </c>
      <c r="AL335"/>
      <c r="AM335"/>
      <c r="AN335"/>
      <c r="AO335" t="str">
        <f t="shared" si="58"/>
        <v>T-072992-1/1073-TC-006</v>
      </c>
      <c r="AP335" t="str">
        <f>Tabela1[[#This Row],[TAG]]&amp;Tabela1[[#This Row],[PEDIDO]]&amp;Tabela1[[#This Row],[PRODUTO]]</f>
        <v>1073-TC-006P-188RMF</v>
      </c>
      <c r="AQ335" s="22" t="str">
        <f>Tabela1[[#This Row],[PRODUTO]]&amp;Tabela1[[#This Row],[TAG]]</f>
        <v>RMF1073-TC-006</v>
      </c>
      <c r="AR335" s="24" t="str">
        <f>Tabela1[[#This Row],[PEDIDO]]&amp;Tabela1[[#This Row],[PRODUTO]]</f>
        <v>P-188RMF</v>
      </c>
      <c r="AS335" s="37">
        <f>IF(AF335="",0,IF(ISTEXT(AF335),H335*VALUE(SUBSTITUTE(AF335,"%",""))/100,H335*AF335))-Tabela1[[#This Row],[PRONTO ACABADO2]]</f>
        <v>0</v>
      </c>
      <c r="AT335" s="37">
        <f>IF(AG335="",0,IF(ISTEXT(AG335),H335*VALUE(SUBSTITUTE(AG335,"%",""))/100,H335*AG335))-Tabela1[[#This Row],[PESO EXPEDIDO2]]</f>
        <v>0</v>
      </c>
      <c r="AU335" s="37">
        <f t="shared" si="54"/>
        <v>10.4</v>
      </c>
      <c r="AV335" s="37">
        <f t="shared" si="55"/>
        <v>10.4</v>
      </c>
      <c r="AW335" s="37"/>
    </row>
    <row r="336" spans="1:49" ht="15.75" customHeight="1" x14ac:dyDescent="0.25">
      <c r="A336" s="6" t="s">
        <v>3979</v>
      </c>
      <c r="B336" s="21" t="s">
        <v>3980</v>
      </c>
      <c r="C336" s="7">
        <v>1</v>
      </c>
      <c r="D336" s="39" t="s">
        <v>3981</v>
      </c>
      <c r="E336" s="7">
        <v>4221</v>
      </c>
      <c r="F336" s="7" t="s">
        <v>3974</v>
      </c>
      <c r="G336" s="23">
        <v>62.2</v>
      </c>
      <c r="H336" s="34">
        <f>Tabela1[[#This Row],[PESO UNI]]*Tabela1[[#This Row],[QTE]]</f>
        <v>62.2</v>
      </c>
      <c r="I336" s="7">
        <v>1</v>
      </c>
      <c r="J336" s="8" t="s">
        <v>2276</v>
      </c>
      <c r="K336" s="8" t="s">
        <v>327</v>
      </c>
      <c r="L336" s="9" t="s">
        <v>2069</v>
      </c>
      <c r="M336" s="10">
        <v>46142</v>
      </c>
      <c r="N336" s="8" t="s">
        <v>327</v>
      </c>
      <c r="O336" s="12"/>
      <c r="P336" s="13"/>
      <c r="Q336" s="14">
        <f>Tabela1[[#This Row],[QTDE/ Fabricação]]-Tabela1[[#This Row],[QTE]]</f>
        <v>-1</v>
      </c>
      <c r="R336" s="18">
        <f t="shared" si="51"/>
        <v>62.2</v>
      </c>
      <c r="S336" s="18">
        <f t="shared" si="57"/>
        <v>62.2</v>
      </c>
      <c r="T336" s="19">
        <f t="shared" si="52"/>
        <v>0</v>
      </c>
      <c r="U336" s="207">
        <v>1</v>
      </c>
      <c r="V336" s="12" t="str">
        <f>IFERROR(VLOOKUP(Tabela1[[#This Row],[COD.MDE]],'LISTA DE EMBARQUE'!B:L,11,0),"")</f>
        <v/>
      </c>
      <c r="W336" s="13"/>
      <c r="X336" s="14">
        <f>IFERROR(Tabela1[[#This Row],[QIANTIDADE EXPEDIDA]]*Tabela1[[#This Row],[PESO UNI]],"")</f>
        <v>62.2</v>
      </c>
      <c r="Y336" s="14">
        <f t="shared" si="56"/>
        <v>0</v>
      </c>
      <c r="Z336" s="20">
        <f>Tabela1[[#This Row],[PESO TOTAL]]-Tabela1[[#This Row],[Peso Expedido]]</f>
        <v>0</v>
      </c>
      <c r="AA336" s="17">
        <v>1</v>
      </c>
      <c r="AB336" s="33"/>
      <c r="AC336" s="33">
        <v>1</v>
      </c>
      <c r="AD336" s="33">
        <v>1</v>
      </c>
      <c r="AE336" s="33">
        <v>1</v>
      </c>
      <c r="AF336" s="33">
        <v>1</v>
      </c>
      <c r="AG336" s="33">
        <v>1</v>
      </c>
      <c r="AH336" s="33">
        <v>1</v>
      </c>
      <c r="AI336" s="33" t="str">
        <f t="shared" si="53"/>
        <v>ok</v>
      </c>
      <c r="AJ336" s="5"/>
      <c r="AK336" t="str">
        <f>Tabela1[[#This Row],[Coluna1]]&amp;Tabela1[[#This Row],[PEDIDO]]</f>
        <v>P-188</v>
      </c>
      <c r="AL336"/>
      <c r="AM336"/>
      <c r="AN336"/>
      <c r="AO336" t="str">
        <f t="shared" si="58"/>
        <v>T-072992-1/1073-TC-007</v>
      </c>
      <c r="AP336" t="str">
        <f>Tabela1[[#This Row],[TAG]]&amp;Tabela1[[#This Row],[PEDIDO]]&amp;Tabela1[[#This Row],[PRODUTO]]</f>
        <v>1073-TC-007P-188RMF</v>
      </c>
      <c r="AQ336" s="22" t="str">
        <f>Tabela1[[#This Row],[PRODUTO]]&amp;Tabela1[[#This Row],[TAG]]</f>
        <v>RMF1073-TC-007</v>
      </c>
      <c r="AR336" s="24" t="str">
        <f>Tabela1[[#This Row],[PEDIDO]]&amp;Tabela1[[#This Row],[PRODUTO]]</f>
        <v>P-188RMF</v>
      </c>
      <c r="AS336" s="37">
        <f>IF(AF336="",0,IF(ISTEXT(AF336),H336*VALUE(SUBSTITUTE(AF336,"%",""))/100,H336*AF336))-Tabela1[[#This Row],[PRONTO ACABADO2]]</f>
        <v>0</v>
      </c>
      <c r="AT336" s="37">
        <f>IF(AG336="",0,IF(ISTEXT(AG336),H336*VALUE(SUBSTITUTE(AG336,"%",""))/100,H336*AG336))-Tabela1[[#This Row],[PESO EXPEDIDO2]]</f>
        <v>0</v>
      </c>
      <c r="AU336" s="37">
        <f t="shared" si="54"/>
        <v>62.2</v>
      </c>
      <c r="AV336" s="37">
        <f t="shared" si="55"/>
        <v>62.2</v>
      </c>
      <c r="AW336" s="37"/>
    </row>
    <row r="337" spans="1:49" ht="15.75" customHeight="1" x14ac:dyDescent="0.25">
      <c r="A337" s="6" t="s">
        <v>3979</v>
      </c>
      <c r="B337" s="21" t="s">
        <v>3980</v>
      </c>
      <c r="C337" s="7">
        <v>4</v>
      </c>
      <c r="D337" s="39" t="s">
        <v>3982</v>
      </c>
      <c r="E337" s="7">
        <v>4222</v>
      </c>
      <c r="F337" s="7" t="s">
        <v>3974</v>
      </c>
      <c r="G337" s="23">
        <v>2.6</v>
      </c>
      <c r="H337" s="34">
        <f>Tabela1[[#This Row],[PESO UNI]]*Tabela1[[#This Row],[QTE]]</f>
        <v>10.4</v>
      </c>
      <c r="I337" s="7">
        <v>1</v>
      </c>
      <c r="J337" s="8" t="s">
        <v>2276</v>
      </c>
      <c r="K337" s="8" t="s">
        <v>327</v>
      </c>
      <c r="L337" s="9" t="s">
        <v>2069</v>
      </c>
      <c r="M337" s="10">
        <v>46142</v>
      </c>
      <c r="N337" s="8" t="s">
        <v>327</v>
      </c>
      <c r="O337" s="12"/>
      <c r="P337" s="13"/>
      <c r="Q337" s="14">
        <f>Tabela1[[#This Row],[QTDE/ Fabricação]]-Tabela1[[#This Row],[QTE]]</f>
        <v>-4</v>
      </c>
      <c r="R337" s="18">
        <f t="shared" si="51"/>
        <v>10.4</v>
      </c>
      <c r="S337" s="18">
        <f t="shared" si="57"/>
        <v>10.4</v>
      </c>
      <c r="T337" s="19">
        <f t="shared" si="52"/>
        <v>0</v>
      </c>
      <c r="U337" s="207">
        <v>4</v>
      </c>
      <c r="V337" s="12" t="str">
        <f>IFERROR(VLOOKUP(Tabela1[[#This Row],[COD.MDE]],'LISTA DE EMBARQUE'!B:L,11,0),"")</f>
        <v/>
      </c>
      <c r="W337" s="13"/>
      <c r="X337" s="14">
        <f>IFERROR(Tabela1[[#This Row],[QIANTIDADE EXPEDIDA]]*Tabela1[[#This Row],[PESO UNI]],"")</f>
        <v>10.4</v>
      </c>
      <c r="Y337" s="14">
        <f t="shared" si="56"/>
        <v>0</v>
      </c>
      <c r="Z337" s="20">
        <f>Tabela1[[#This Row],[PESO TOTAL]]-Tabela1[[#This Row],[Peso Expedido]]</f>
        <v>0</v>
      </c>
      <c r="AA337" s="17">
        <v>1</v>
      </c>
      <c r="AB337" s="33"/>
      <c r="AC337" s="33">
        <v>1</v>
      </c>
      <c r="AD337" s="33">
        <v>1</v>
      </c>
      <c r="AE337" s="33">
        <v>1</v>
      </c>
      <c r="AF337" s="33">
        <v>1</v>
      </c>
      <c r="AG337" s="33">
        <v>1</v>
      </c>
      <c r="AH337" s="33">
        <v>1</v>
      </c>
      <c r="AI337" s="33" t="str">
        <f t="shared" si="53"/>
        <v>ok</v>
      </c>
      <c r="AJ337" s="5"/>
      <c r="AK337" t="str">
        <f>Tabela1[[#This Row],[Coluna1]]&amp;Tabela1[[#This Row],[PEDIDO]]</f>
        <v>P-188</v>
      </c>
      <c r="AL337"/>
      <c r="AM337"/>
      <c r="AN337"/>
      <c r="AO337" t="str">
        <f t="shared" si="58"/>
        <v>T-072992-1/1073-TC-007</v>
      </c>
      <c r="AP337" t="str">
        <f>Tabela1[[#This Row],[TAG]]&amp;Tabela1[[#This Row],[PEDIDO]]&amp;Tabela1[[#This Row],[PRODUTO]]</f>
        <v>1073-TC-007P-188RMF</v>
      </c>
      <c r="AQ337" s="22" t="str">
        <f>Tabela1[[#This Row],[PRODUTO]]&amp;Tabela1[[#This Row],[TAG]]</f>
        <v>RMF1073-TC-007</v>
      </c>
      <c r="AR337" s="24" t="str">
        <f>Tabela1[[#This Row],[PEDIDO]]&amp;Tabela1[[#This Row],[PRODUTO]]</f>
        <v>P-188RMF</v>
      </c>
      <c r="AS337" s="37">
        <f>IF(AF337="",0,IF(ISTEXT(AF337),H337*VALUE(SUBSTITUTE(AF337,"%",""))/100,H337*AF337))-Tabela1[[#This Row],[PRONTO ACABADO2]]</f>
        <v>0</v>
      </c>
      <c r="AT337" s="37">
        <f>IF(AG337="",0,IF(ISTEXT(AG337),H337*VALUE(SUBSTITUTE(AG337,"%",""))/100,H337*AG337))-Tabela1[[#This Row],[PESO EXPEDIDO2]]</f>
        <v>0</v>
      </c>
      <c r="AU337" s="37">
        <f t="shared" si="54"/>
        <v>10.4</v>
      </c>
      <c r="AV337" s="37">
        <f t="shared" si="55"/>
        <v>10.4</v>
      </c>
      <c r="AW337" s="37"/>
    </row>
    <row r="338" spans="1:49" ht="15.75" customHeight="1" x14ac:dyDescent="0.25">
      <c r="A338" s="6" t="s">
        <v>3773</v>
      </c>
      <c r="B338" s="21" t="s">
        <v>3983</v>
      </c>
      <c r="C338" s="7">
        <v>2</v>
      </c>
      <c r="D338" s="39" t="s">
        <v>3984</v>
      </c>
      <c r="E338" s="7">
        <v>4223</v>
      </c>
      <c r="F338" s="7" t="s">
        <v>3775</v>
      </c>
      <c r="G338" s="23">
        <v>13.7</v>
      </c>
      <c r="H338" s="34">
        <f>Tabela1[[#This Row],[PESO UNI]]*Tabela1[[#This Row],[QTE]]</f>
        <v>27.4</v>
      </c>
      <c r="I338" s="7">
        <v>5</v>
      </c>
      <c r="J338" s="8" t="s">
        <v>2274</v>
      </c>
      <c r="K338" s="8" t="s">
        <v>327</v>
      </c>
      <c r="L338" s="9" t="s">
        <v>2069</v>
      </c>
      <c r="M338" s="10">
        <v>46149</v>
      </c>
      <c r="N338" s="8" t="s">
        <v>327</v>
      </c>
      <c r="O338" s="12"/>
      <c r="P338" s="13"/>
      <c r="Q338" s="14">
        <f>Tabela1[[#This Row],[QTDE/ Fabricação]]-Tabela1[[#This Row],[QTE]]</f>
        <v>-2</v>
      </c>
      <c r="R338" s="18">
        <f t="shared" si="51"/>
        <v>27.4</v>
      </c>
      <c r="S338" s="18">
        <f t="shared" si="57"/>
        <v>27.4</v>
      </c>
      <c r="T338" s="19">
        <f t="shared" si="52"/>
        <v>0</v>
      </c>
      <c r="U338" s="16">
        <f>IFERROR(SUMIF('LISTA DE EMBARQUE'!B:B,MICRO!E:E,'LISTA DE EMBARQUE'!G:G),"")</f>
        <v>0</v>
      </c>
      <c r="V338" s="12" t="str">
        <f>IFERROR(VLOOKUP(Tabela1[[#This Row],[COD.MDE]],'LISTA DE EMBARQUE'!B:L,11,0),"")</f>
        <v/>
      </c>
      <c r="W338" s="13" t="str">
        <f>IFERROR(VLOOKUP(Tabela1[[#This Row],[COD.MDE]],'LISTA DE EMBARQUE'!B:M,12,0),"")</f>
        <v/>
      </c>
      <c r="X338" s="14">
        <f>IFERROR(Tabela1[[#This Row],[QIANTIDADE EXPEDIDA]]*Tabela1[[#This Row],[PESO UNI]],"")</f>
        <v>0</v>
      </c>
      <c r="Y338" s="14">
        <f t="shared" si="56"/>
        <v>-2</v>
      </c>
      <c r="Z338" s="20">
        <f>Tabela1[[#This Row],[PESO TOTAL]]-Tabela1[[#This Row],[Peso Expedido]]</f>
        <v>27.4</v>
      </c>
      <c r="AA338" s="17">
        <v>1</v>
      </c>
      <c r="AB338" s="33"/>
      <c r="AC338" s="33">
        <v>1</v>
      </c>
      <c r="AD338" s="33">
        <v>1</v>
      </c>
      <c r="AE338" s="33">
        <v>1</v>
      </c>
      <c r="AF338" s="33">
        <v>1</v>
      </c>
      <c r="AG338" s="33">
        <v>1</v>
      </c>
      <c r="AH338" s="33"/>
      <c r="AI338" s="33" t="str">
        <f t="shared" si="53"/>
        <v/>
      </c>
      <c r="AJ338" s="5"/>
      <c r="AK338" t="str">
        <f>Tabela1[[#This Row],[Coluna1]]&amp;Tabela1[[#This Row],[PEDIDO]]</f>
        <v>P-188</v>
      </c>
      <c r="AL338"/>
      <c r="AM338"/>
      <c r="AN338"/>
      <c r="AO338" t="str">
        <f t="shared" si="58"/>
        <v>T-072953-1/1073-TC-006</v>
      </c>
      <c r="AP338" t="str">
        <f>Tabela1[[#This Row],[TAG]]&amp;Tabela1[[#This Row],[PEDIDO]]&amp;Tabela1[[#This Row],[PRODUTO]]</f>
        <v>1073-TC-006P-188RMF</v>
      </c>
      <c r="AQ338" s="22" t="str">
        <f>Tabela1[[#This Row],[PRODUTO]]&amp;Tabela1[[#This Row],[TAG]]</f>
        <v>RMF1073-TC-006</v>
      </c>
      <c r="AR338" s="24" t="str">
        <f>Tabela1[[#This Row],[PEDIDO]]&amp;Tabela1[[#This Row],[PRODUTO]]</f>
        <v>P-188RMF</v>
      </c>
      <c r="AS338" s="37">
        <f>IF(AF338="",0,IF(ISTEXT(AF338),H338*VALUE(SUBSTITUTE(AF338,"%",""))/100,H338*AF338))-Tabela1[[#This Row],[PRONTO ACABADO2]]</f>
        <v>0</v>
      </c>
      <c r="AT338" s="37">
        <f>IF(AG338="",0,IF(ISTEXT(AG338),H338*VALUE(SUBSTITUTE(AG338,"%",""))/100,H338*AG338))-Tabela1[[#This Row],[PESO EXPEDIDO2]]</f>
        <v>27.4</v>
      </c>
      <c r="AU338" s="37">
        <f t="shared" si="54"/>
        <v>0</v>
      </c>
      <c r="AV338" s="37">
        <f t="shared" si="55"/>
        <v>27.4</v>
      </c>
      <c r="AW338" s="37"/>
    </row>
    <row r="339" spans="1:49" ht="15.75" customHeight="1" x14ac:dyDescent="0.25">
      <c r="A339" s="6" t="s">
        <v>3773</v>
      </c>
      <c r="B339" s="21" t="s">
        <v>3983</v>
      </c>
      <c r="C339" s="7">
        <v>2</v>
      </c>
      <c r="D339" s="39" t="s">
        <v>3984</v>
      </c>
      <c r="E339" s="7">
        <v>4224</v>
      </c>
      <c r="F339" s="7" t="s">
        <v>3775</v>
      </c>
      <c r="G339" s="23">
        <v>13.7</v>
      </c>
      <c r="H339" s="34">
        <f>Tabela1[[#This Row],[PESO UNI]]*Tabela1[[#This Row],[QTE]]</f>
        <v>27.4</v>
      </c>
      <c r="I339" s="7">
        <v>5</v>
      </c>
      <c r="J339" s="8" t="s">
        <v>2276</v>
      </c>
      <c r="K339" s="8" t="s">
        <v>327</v>
      </c>
      <c r="L339" s="9" t="s">
        <v>2069</v>
      </c>
      <c r="M339" s="10">
        <v>46149</v>
      </c>
      <c r="N339" s="8" t="s">
        <v>327</v>
      </c>
      <c r="O339" s="12"/>
      <c r="P339" s="13"/>
      <c r="Q339" s="14">
        <f>Tabela1[[#This Row],[QTDE/ Fabricação]]-Tabela1[[#This Row],[QTE]]</f>
        <v>-2</v>
      </c>
      <c r="R339" s="18">
        <f t="shared" si="51"/>
        <v>27.4</v>
      </c>
      <c r="S339" s="18">
        <f t="shared" si="57"/>
        <v>27.4</v>
      </c>
      <c r="T339" s="19">
        <f t="shared" si="52"/>
        <v>0</v>
      </c>
      <c r="U339" s="16">
        <f>IFERROR(SUMIF('LISTA DE EMBARQUE'!B:B,MICRO!E:E,'LISTA DE EMBARQUE'!G:G),"")</f>
        <v>0</v>
      </c>
      <c r="V339" s="12" t="str">
        <f>IFERROR(VLOOKUP(Tabela1[[#This Row],[COD.MDE]],'LISTA DE EMBARQUE'!B:L,11,0),"")</f>
        <v/>
      </c>
      <c r="W339" s="13" t="str">
        <f>IFERROR(VLOOKUP(Tabela1[[#This Row],[COD.MDE]],'LISTA DE EMBARQUE'!B:M,12,0),"")</f>
        <v/>
      </c>
      <c r="X339" s="14">
        <f>IFERROR(Tabela1[[#This Row],[QIANTIDADE EXPEDIDA]]*Tabela1[[#This Row],[PESO UNI]],"")</f>
        <v>0</v>
      </c>
      <c r="Y339" s="14">
        <f t="shared" si="56"/>
        <v>-2</v>
      </c>
      <c r="Z339" s="20">
        <f>Tabela1[[#This Row],[PESO TOTAL]]-Tabela1[[#This Row],[Peso Expedido]]</f>
        <v>27.4</v>
      </c>
      <c r="AA339" s="17">
        <v>1</v>
      </c>
      <c r="AB339" s="33"/>
      <c r="AC339" s="33">
        <v>1</v>
      </c>
      <c r="AD339" s="33">
        <v>1</v>
      </c>
      <c r="AE339" s="33">
        <v>1</v>
      </c>
      <c r="AF339" s="33">
        <v>1</v>
      </c>
      <c r="AG339" s="33">
        <v>1</v>
      </c>
      <c r="AH339" s="33"/>
      <c r="AI339" s="33" t="str">
        <f t="shared" si="53"/>
        <v/>
      </c>
      <c r="AJ339" s="5"/>
      <c r="AK339" t="str">
        <f>Tabela1[[#This Row],[Coluna1]]&amp;Tabela1[[#This Row],[PEDIDO]]</f>
        <v>P-188</v>
      </c>
      <c r="AL339"/>
      <c r="AM339"/>
      <c r="AN339"/>
      <c r="AO339" t="str">
        <f t="shared" si="58"/>
        <v>T-072953-1/1073-TC-007</v>
      </c>
      <c r="AP339" t="str">
        <f>Tabela1[[#This Row],[TAG]]&amp;Tabela1[[#This Row],[PEDIDO]]&amp;Tabela1[[#This Row],[PRODUTO]]</f>
        <v>1073-TC-007P-188RMF</v>
      </c>
      <c r="AQ339" s="22" t="str">
        <f>Tabela1[[#This Row],[PRODUTO]]&amp;Tabela1[[#This Row],[TAG]]</f>
        <v>RMF1073-TC-007</v>
      </c>
      <c r="AR339" s="24" t="str">
        <f>Tabela1[[#This Row],[PEDIDO]]&amp;Tabela1[[#This Row],[PRODUTO]]</f>
        <v>P-188RMF</v>
      </c>
      <c r="AS339" s="37">
        <f>IF(AF339="",0,IF(ISTEXT(AF339),H339*VALUE(SUBSTITUTE(AF339,"%",""))/100,H339*AF339))-Tabela1[[#This Row],[PRONTO ACABADO2]]</f>
        <v>0</v>
      </c>
      <c r="AT339" s="37">
        <f>IF(AG339="",0,IF(ISTEXT(AG339),H339*VALUE(SUBSTITUTE(AG339,"%",""))/100,H339*AG339))-Tabela1[[#This Row],[PESO EXPEDIDO2]]</f>
        <v>27.4</v>
      </c>
      <c r="AU339" s="37">
        <f t="shared" si="54"/>
        <v>0</v>
      </c>
      <c r="AV339" s="37">
        <f t="shared" si="55"/>
        <v>27.4</v>
      </c>
      <c r="AW339" s="37"/>
    </row>
    <row r="340" spans="1:49" ht="15.75" customHeight="1" x14ac:dyDescent="0.25">
      <c r="A340" s="6" t="s">
        <v>3985</v>
      </c>
      <c r="B340" s="21" t="s">
        <v>3986</v>
      </c>
      <c r="C340" s="7">
        <v>1</v>
      </c>
      <c r="D340" s="39" t="s">
        <v>3987</v>
      </c>
      <c r="E340" s="7">
        <v>4225</v>
      </c>
      <c r="F340" s="7" t="s">
        <v>3988</v>
      </c>
      <c r="G340" s="23">
        <v>36.6</v>
      </c>
      <c r="H340" s="34">
        <f>Tabela1[[#This Row],[PESO UNI]]*Tabela1[[#This Row],[QTE]]</f>
        <v>36.6</v>
      </c>
      <c r="I340" s="7">
        <v>2</v>
      </c>
      <c r="J340" s="8" t="s">
        <v>2274</v>
      </c>
      <c r="K340" s="8" t="s">
        <v>327</v>
      </c>
      <c r="L340" s="9" t="s">
        <v>2069</v>
      </c>
      <c r="M340" s="10">
        <v>46161</v>
      </c>
      <c r="N340" s="8" t="s">
        <v>327</v>
      </c>
      <c r="O340" s="12"/>
      <c r="P340" s="13"/>
      <c r="Q340" s="14">
        <f>Tabela1[[#This Row],[QTDE/ Fabricação]]-Tabela1[[#This Row],[QTE]]</f>
        <v>-1</v>
      </c>
      <c r="R340" s="18">
        <f t="shared" si="51"/>
        <v>36.6</v>
      </c>
      <c r="S340" s="18">
        <f t="shared" si="57"/>
        <v>0</v>
      </c>
      <c r="T340" s="19">
        <f t="shared" si="52"/>
        <v>-36.6</v>
      </c>
      <c r="U340" s="16">
        <f>IFERROR(SUMIF('LISTA DE EMBARQUE'!B:B,MICRO!E:E,'LISTA DE EMBARQUE'!G:G),"")</f>
        <v>0</v>
      </c>
      <c r="V340" s="12" t="str">
        <f>IFERROR(VLOOKUP(Tabela1[[#This Row],[COD.MDE]],'LISTA DE EMBARQUE'!B:L,11,0),"")</f>
        <v/>
      </c>
      <c r="W340" s="13" t="str">
        <f>IFERROR(VLOOKUP(Tabela1[[#This Row],[COD.MDE]],'LISTA DE EMBARQUE'!B:M,12,0),"")</f>
        <v/>
      </c>
      <c r="X340" s="14">
        <f>IFERROR(Tabela1[[#This Row],[QIANTIDADE EXPEDIDA]]*Tabela1[[#This Row],[PESO UNI]],"")</f>
        <v>0</v>
      </c>
      <c r="Y340" s="14">
        <f t="shared" si="56"/>
        <v>-1</v>
      </c>
      <c r="Z340" s="20">
        <f>Tabela1[[#This Row],[PESO TOTAL]]-Tabela1[[#This Row],[Peso Expedido]]</f>
        <v>36.6</v>
      </c>
      <c r="AA340" s="17">
        <v>1</v>
      </c>
      <c r="AB340" s="33"/>
      <c r="AC340" s="33">
        <v>1</v>
      </c>
      <c r="AD340" s="33">
        <v>1</v>
      </c>
      <c r="AE340" s="33">
        <v>1</v>
      </c>
      <c r="AF340" s="33">
        <v>1</v>
      </c>
      <c r="AG340" s="33">
        <v>0</v>
      </c>
      <c r="AH340" s="33"/>
      <c r="AI340" s="33" t="str">
        <f t="shared" si="53"/>
        <v/>
      </c>
      <c r="AJ340" s="5"/>
      <c r="AK340" t="str">
        <f>Tabela1[[#This Row],[Coluna1]]&amp;Tabela1[[#This Row],[PEDIDO]]</f>
        <v>P-188</v>
      </c>
      <c r="AL340"/>
      <c r="AM340"/>
      <c r="AN340"/>
      <c r="AO340" t="str">
        <f t="shared" si="58"/>
        <v>T-072997-1/1073-TC-006</v>
      </c>
      <c r="AP340" t="str">
        <f>Tabela1[[#This Row],[TAG]]&amp;Tabela1[[#This Row],[PEDIDO]]&amp;Tabela1[[#This Row],[PRODUTO]]</f>
        <v>1073-TC-006P-188RMF</v>
      </c>
      <c r="AQ340" s="22" t="str">
        <f>Tabela1[[#This Row],[PRODUTO]]&amp;Tabela1[[#This Row],[TAG]]</f>
        <v>RMF1073-TC-006</v>
      </c>
      <c r="AR340" s="24" t="str">
        <f>Tabela1[[#This Row],[PEDIDO]]&amp;Tabela1[[#This Row],[PRODUTO]]</f>
        <v>P-188RMF</v>
      </c>
      <c r="AS340" s="37">
        <f>IF(AF340="",0,IF(ISTEXT(AF340),H340*VALUE(SUBSTITUTE(AF340,"%",""))/100,H340*AF340))-Tabela1[[#This Row],[PRONTO ACABADO2]]</f>
        <v>36.6</v>
      </c>
      <c r="AT340" s="37">
        <f>IF(AG340="",0,IF(ISTEXT(AG340),H340*VALUE(SUBSTITUTE(AG340,"%",""))/100,H340*AG340))-Tabela1[[#This Row],[PESO EXPEDIDO2]]</f>
        <v>0</v>
      </c>
      <c r="AU340" s="37">
        <f t="shared" si="54"/>
        <v>0</v>
      </c>
      <c r="AV340" s="37">
        <f t="shared" si="55"/>
        <v>0</v>
      </c>
      <c r="AW340" s="37"/>
    </row>
    <row r="341" spans="1:49" ht="15.75" customHeight="1" x14ac:dyDescent="0.25">
      <c r="A341" s="6" t="s">
        <v>3985</v>
      </c>
      <c r="B341" s="21" t="s">
        <v>3986</v>
      </c>
      <c r="C341" s="7">
        <v>1</v>
      </c>
      <c r="D341" s="39" t="s">
        <v>3987</v>
      </c>
      <c r="E341" s="7">
        <v>4226</v>
      </c>
      <c r="F341" s="7" t="s">
        <v>3988</v>
      </c>
      <c r="G341" s="23">
        <v>36.6</v>
      </c>
      <c r="H341" s="34">
        <f>Tabela1[[#This Row],[PESO UNI]]*Tabela1[[#This Row],[QTE]]</f>
        <v>36.6</v>
      </c>
      <c r="I341" s="7">
        <v>2</v>
      </c>
      <c r="J341" s="8" t="s">
        <v>2276</v>
      </c>
      <c r="K341" s="8" t="s">
        <v>327</v>
      </c>
      <c r="L341" s="9" t="s">
        <v>2069</v>
      </c>
      <c r="M341" s="10">
        <v>46161</v>
      </c>
      <c r="N341" s="8" t="s">
        <v>327</v>
      </c>
      <c r="O341" s="12"/>
      <c r="P341" s="13"/>
      <c r="Q341" s="14">
        <f>Tabela1[[#This Row],[QTDE/ Fabricação]]-Tabela1[[#This Row],[QTE]]</f>
        <v>-1</v>
      </c>
      <c r="R341" s="18">
        <f t="shared" si="51"/>
        <v>36.6</v>
      </c>
      <c r="S341" s="18">
        <f t="shared" si="57"/>
        <v>0</v>
      </c>
      <c r="T341" s="19">
        <f t="shared" si="52"/>
        <v>-36.6</v>
      </c>
      <c r="U341" s="16">
        <f>IFERROR(SUMIF('LISTA DE EMBARQUE'!B:B,MICRO!E:E,'LISTA DE EMBARQUE'!G:G),"")</f>
        <v>0</v>
      </c>
      <c r="V341" s="12" t="str">
        <f>IFERROR(VLOOKUP(Tabela1[[#This Row],[COD.MDE]],'LISTA DE EMBARQUE'!B:L,11,0),"")</f>
        <v/>
      </c>
      <c r="W341" s="13" t="str">
        <f>IFERROR(VLOOKUP(Tabela1[[#This Row],[COD.MDE]],'LISTA DE EMBARQUE'!B:M,12,0),"")</f>
        <v/>
      </c>
      <c r="X341" s="14">
        <f>IFERROR(Tabela1[[#This Row],[QIANTIDADE EXPEDIDA]]*Tabela1[[#This Row],[PESO UNI]],"")</f>
        <v>0</v>
      </c>
      <c r="Y341" s="14">
        <f t="shared" si="56"/>
        <v>-1</v>
      </c>
      <c r="Z341" s="20">
        <f>Tabela1[[#This Row],[PESO TOTAL]]-Tabela1[[#This Row],[Peso Expedido]]</f>
        <v>36.6</v>
      </c>
      <c r="AA341" s="17">
        <v>1</v>
      </c>
      <c r="AB341" s="33"/>
      <c r="AC341" s="33">
        <v>1</v>
      </c>
      <c r="AD341" s="33">
        <v>1</v>
      </c>
      <c r="AE341" s="33">
        <v>1</v>
      </c>
      <c r="AF341" s="33">
        <v>1</v>
      </c>
      <c r="AG341" s="33">
        <v>0</v>
      </c>
      <c r="AH341" s="33"/>
      <c r="AI341" s="33" t="str">
        <f t="shared" si="53"/>
        <v/>
      </c>
      <c r="AJ341" s="5"/>
      <c r="AK341" t="str">
        <f>Tabela1[[#This Row],[Coluna1]]&amp;Tabela1[[#This Row],[PEDIDO]]</f>
        <v>P-188</v>
      </c>
      <c r="AL341"/>
      <c r="AM341"/>
      <c r="AN341"/>
      <c r="AO341" t="str">
        <f t="shared" si="58"/>
        <v>T-072997-1/1073-TC-007</v>
      </c>
      <c r="AP341" t="str">
        <f>Tabela1[[#This Row],[TAG]]&amp;Tabela1[[#This Row],[PEDIDO]]&amp;Tabela1[[#This Row],[PRODUTO]]</f>
        <v>1073-TC-007P-188RMF</v>
      </c>
      <c r="AQ341" s="22" t="str">
        <f>Tabela1[[#This Row],[PRODUTO]]&amp;Tabela1[[#This Row],[TAG]]</f>
        <v>RMF1073-TC-007</v>
      </c>
      <c r="AR341" s="24" t="str">
        <f>Tabela1[[#This Row],[PEDIDO]]&amp;Tabela1[[#This Row],[PRODUTO]]</f>
        <v>P-188RMF</v>
      </c>
      <c r="AS341" s="37">
        <f>IF(AF341="",0,IF(ISTEXT(AF341),H341*VALUE(SUBSTITUTE(AF341,"%",""))/100,H341*AF341))-Tabela1[[#This Row],[PRONTO ACABADO2]]</f>
        <v>36.6</v>
      </c>
      <c r="AT341" s="37">
        <f>IF(AG341="",0,IF(ISTEXT(AG341),H341*VALUE(SUBSTITUTE(AG341,"%",""))/100,H341*AG341))-Tabela1[[#This Row],[PESO EXPEDIDO2]]</f>
        <v>0</v>
      </c>
      <c r="AU341" s="37">
        <f t="shared" si="54"/>
        <v>0</v>
      </c>
      <c r="AV341" s="37">
        <f t="shared" si="55"/>
        <v>0</v>
      </c>
      <c r="AW341" s="37"/>
    </row>
    <row r="342" spans="1:49" ht="15.75" customHeight="1" x14ac:dyDescent="0.25">
      <c r="A342" s="6" t="s">
        <v>3985</v>
      </c>
      <c r="B342" s="21" t="s">
        <v>3989</v>
      </c>
      <c r="C342" s="7">
        <v>2</v>
      </c>
      <c r="D342" s="39" t="s">
        <v>3990</v>
      </c>
      <c r="E342" s="7">
        <v>4227</v>
      </c>
      <c r="F342" s="7" t="s">
        <v>3988</v>
      </c>
      <c r="G342" s="23">
        <v>6.3</v>
      </c>
      <c r="H342" s="34">
        <f>Tabela1[[#This Row],[PESO UNI]]*Tabela1[[#This Row],[QTE]]</f>
        <v>12.6</v>
      </c>
      <c r="I342" s="7">
        <v>2</v>
      </c>
      <c r="J342" s="8" t="s">
        <v>2274</v>
      </c>
      <c r="K342" s="8" t="s">
        <v>327</v>
      </c>
      <c r="L342" s="9" t="s">
        <v>2069</v>
      </c>
      <c r="M342" s="10">
        <v>46161</v>
      </c>
      <c r="N342" s="8" t="s">
        <v>327</v>
      </c>
      <c r="O342" s="12"/>
      <c r="P342" s="13"/>
      <c r="Q342" s="14">
        <f>Tabela1[[#This Row],[QTDE/ Fabricação]]-Tabela1[[#This Row],[QTE]]</f>
        <v>-2</v>
      </c>
      <c r="R342" s="18">
        <f t="shared" si="51"/>
        <v>12.6</v>
      </c>
      <c r="S342" s="18">
        <f t="shared" si="57"/>
        <v>0</v>
      </c>
      <c r="T342" s="19">
        <f t="shared" si="52"/>
        <v>-12.6</v>
      </c>
      <c r="U342" s="16">
        <f>IFERROR(SUMIF('LISTA DE EMBARQUE'!B:B,MICRO!E:E,'LISTA DE EMBARQUE'!G:G),"")</f>
        <v>0</v>
      </c>
      <c r="V342" s="12" t="str">
        <f>IFERROR(VLOOKUP(Tabela1[[#This Row],[COD.MDE]],'LISTA DE EMBARQUE'!B:L,11,0),"")</f>
        <v/>
      </c>
      <c r="W342" s="13" t="str">
        <f>IFERROR(VLOOKUP(Tabela1[[#This Row],[COD.MDE]],'LISTA DE EMBARQUE'!B:M,12,0),"")</f>
        <v/>
      </c>
      <c r="X342" s="14">
        <f>IFERROR(Tabela1[[#This Row],[QIANTIDADE EXPEDIDA]]*Tabela1[[#This Row],[PESO UNI]],"")</f>
        <v>0</v>
      </c>
      <c r="Y342" s="14">
        <f t="shared" si="56"/>
        <v>-2</v>
      </c>
      <c r="Z342" s="20">
        <f>Tabela1[[#This Row],[PESO TOTAL]]-Tabela1[[#This Row],[Peso Expedido]]</f>
        <v>12.6</v>
      </c>
      <c r="AA342" s="17">
        <v>1</v>
      </c>
      <c r="AB342" s="33"/>
      <c r="AC342" s="33">
        <v>1</v>
      </c>
      <c r="AD342" s="33">
        <v>1</v>
      </c>
      <c r="AE342" s="33">
        <v>1</v>
      </c>
      <c r="AF342" s="33">
        <v>1</v>
      </c>
      <c r="AG342" s="33">
        <v>0</v>
      </c>
      <c r="AH342" s="33"/>
      <c r="AI342" s="33" t="str">
        <f t="shared" si="53"/>
        <v/>
      </c>
      <c r="AJ342" s="5"/>
      <c r="AK342" t="str">
        <f>Tabela1[[#This Row],[Coluna1]]&amp;Tabela1[[#This Row],[PEDIDO]]</f>
        <v>P-188</v>
      </c>
      <c r="AL342"/>
      <c r="AM342"/>
      <c r="AN342"/>
      <c r="AO342" t="str">
        <f t="shared" si="58"/>
        <v>T-072997-1/1073-TC-006</v>
      </c>
      <c r="AP342" t="str">
        <f>Tabela1[[#This Row],[TAG]]&amp;Tabela1[[#This Row],[PEDIDO]]&amp;Tabela1[[#This Row],[PRODUTO]]</f>
        <v>1073-TC-006P-188RMF</v>
      </c>
      <c r="AQ342" s="22" t="str">
        <f>Tabela1[[#This Row],[PRODUTO]]&amp;Tabela1[[#This Row],[TAG]]</f>
        <v>RMF1073-TC-006</v>
      </c>
      <c r="AR342" s="24" t="str">
        <f>Tabela1[[#This Row],[PEDIDO]]&amp;Tabela1[[#This Row],[PRODUTO]]</f>
        <v>P-188RMF</v>
      </c>
      <c r="AS342" s="37">
        <f>IF(AF342="",0,IF(ISTEXT(AF342),H342*VALUE(SUBSTITUTE(AF342,"%",""))/100,H342*AF342))-Tabela1[[#This Row],[PRONTO ACABADO2]]</f>
        <v>12.6</v>
      </c>
      <c r="AT342" s="37">
        <f>IF(AG342="",0,IF(ISTEXT(AG342),H342*VALUE(SUBSTITUTE(AG342,"%",""))/100,H342*AG342))-Tabela1[[#This Row],[PESO EXPEDIDO2]]</f>
        <v>0</v>
      </c>
      <c r="AU342" s="37">
        <f t="shared" si="54"/>
        <v>0</v>
      </c>
      <c r="AV342" s="37">
        <f t="shared" si="55"/>
        <v>0</v>
      </c>
      <c r="AW342" s="37"/>
    </row>
    <row r="343" spans="1:49" ht="15.75" customHeight="1" x14ac:dyDescent="0.25">
      <c r="A343" s="6" t="s">
        <v>3985</v>
      </c>
      <c r="B343" s="21" t="s">
        <v>3989</v>
      </c>
      <c r="C343" s="7">
        <v>2</v>
      </c>
      <c r="D343" s="39" t="s">
        <v>3990</v>
      </c>
      <c r="E343" s="7">
        <v>4228</v>
      </c>
      <c r="F343" s="7" t="s">
        <v>3988</v>
      </c>
      <c r="G343" s="23">
        <v>6.3</v>
      </c>
      <c r="H343" s="34">
        <f>Tabela1[[#This Row],[PESO UNI]]*Tabela1[[#This Row],[QTE]]</f>
        <v>12.6</v>
      </c>
      <c r="I343" s="7">
        <v>2</v>
      </c>
      <c r="J343" s="8" t="s">
        <v>2276</v>
      </c>
      <c r="K343" s="8" t="s">
        <v>327</v>
      </c>
      <c r="L343" s="9" t="s">
        <v>2069</v>
      </c>
      <c r="M343" s="10">
        <v>46161</v>
      </c>
      <c r="N343" s="8" t="s">
        <v>327</v>
      </c>
      <c r="O343" s="12"/>
      <c r="P343" s="13"/>
      <c r="Q343" s="14">
        <f>Tabela1[[#This Row],[QTDE/ Fabricação]]-Tabela1[[#This Row],[QTE]]</f>
        <v>-2</v>
      </c>
      <c r="R343" s="18">
        <f t="shared" si="51"/>
        <v>12.6</v>
      </c>
      <c r="S343" s="18">
        <f t="shared" si="57"/>
        <v>0</v>
      </c>
      <c r="T343" s="19">
        <f t="shared" si="52"/>
        <v>-12.6</v>
      </c>
      <c r="U343" s="16">
        <f>IFERROR(SUMIF('LISTA DE EMBARQUE'!B:B,MICRO!E:E,'LISTA DE EMBARQUE'!G:G),"")</f>
        <v>0</v>
      </c>
      <c r="V343" s="12" t="str">
        <f>IFERROR(VLOOKUP(Tabela1[[#This Row],[COD.MDE]],'LISTA DE EMBARQUE'!B:L,11,0),"")</f>
        <v/>
      </c>
      <c r="W343" s="13" t="str">
        <f>IFERROR(VLOOKUP(Tabela1[[#This Row],[COD.MDE]],'LISTA DE EMBARQUE'!B:M,12,0),"")</f>
        <v/>
      </c>
      <c r="X343" s="14">
        <f>IFERROR(Tabela1[[#This Row],[QIANTIDADE EXPEDIDA]]*Tabela1[[#This Row],[PESO UNI]],"")</f>
        <v>0</v>
      </c>
      <c r="Y343" s="14">
        <f t="shared" si="56"/>
        <v>-2</v>
      </c>
      <c r="Z343" s="20">
        <f>Tabela1[[#This Row],[PESO TOTAL]]-Tabela1[[#This Row],[Peso Expedido]]</f>
        <v>12.6</v>
      </c>
      <c r="AA343" s="17">
        <v>1</v>
      </c>
      <c r="AB343" s="33"/>
      <c r="AC343" s="33">
        <v>1</v>
      </c>
      <c r="AD343" s="33">
        <v>1</v>
      </c>
      <c r="AE343" s="33">
        <v>1</v>
      </c>
      <c r="AF343" s="33">
        <v>1</v>
      </c>
      <c r="AG343" s="33">
        <v>0</v>
      </c>
      <c r="AH343" s="33"/>
      <c r="AI343" s="33" t="str">
        <f t="shared" si="53"/>
        <v/>
      </c>
      <c r="AJ343" s="5"/>
      <c r="AK343" t="str">
        <f>Tabela1[[#This Row],[Coluna1]]&amp;Tabela1[[#This Row],[PEDIDO]]</f>
        <v>P-188</v>
      </c>
      <c r="AL343"/>
      <c r="AM343"/>
      <c r="AN343"/>
      <c r="AO343" t="str">
        <f t="shared" si="58"/>
        <v>T-072997-1/1073-TC-007</v>
      </c>
      <c r="AP343" t="str">
        <f>Tabela1[[#This Row],[TAG]]&amp;Tabela1[[#This Row],[PEDIDO]]&amp;Tabela1[[#This Row],[PRODUTO]]</f>
        <v>1073-TC-007P-188RMF</v>
      </c>
      <c r="AQ343" s="22" t="str">
        <f>Tabela1[[#This Row],[PRODUTO]]&amp;Tabela1[[#This Row],[TAG]]</f>
        <v>RMF1073-TC-007</v>
      </c>
      <c r="AR343" s="24" t="str">
        <f>Tabela1[[#This Row],[PEDIDO]]&amp;Tabela1[[#This Row],[PRODUTO]]</f>
        <v>P-188RMF</v>
      </c>
      <c r="AS343" s="37">
        <f>IF(AF343="",0,IF(ISTEXT(AF343),H343*VALUE(SUBSTITUTE(AF343,"%",""))/100,H343*AF343))-Tabela1[[#This Row],[PRONTO ACABADO2]]</f>
        <v>12.6</v>
      </c>
      <c r="AT343" s="37">
        <f>IF(AG343="",0,IF(ISTEXT(AG343),H343*VALUE(SUBSTITUTE(AG343,"%",""))/100,H343*AG343))-Tabela1[[#This Row],[PESO EXPEDIDO2]]</f>
        <v>0</v>
      </c>
      <c r="AU343" s="37">
        <f t="shared" si="54"/>
        <v>0</v>
      </c>
      <c r="AV343" s="37">
        <f t="shared" si="55"/>
        <v>0</v>
      </c>
      <c r="AW343" s="37"/>
    </row>
    <row r="344" spans="1:49" ht="15.75" customHeight="1" x14ac:dyDescent="0.25">
      <c r="A344" s="6" t="s">
        <v>3985</v>
      </c>
      <c r="B344" s="21" t="s">
        <v>3991</v>
      </c>
      <c r="C344" s="7">
        <v>2</v>
      </c>
      <c r="D344" s="39" t="s">
        <v>3992</v>
      </c>
      <c r="E344" s="7">
        <v>4229</v>
      </c>
      <c r="F344" s="7" t="s">
        <v>3988</v>
      </c>
      <c r="G344" s="23">
        <v>0.7</v>
      </c>
      <c r="H344" s="34">
        <f>Tabela1[[#This Row],[PESO UNI]]*Tabela1[[#This Row],[QTE]]</f>
        <v>1.4</v>
      </c>
      <c r="I344" s="7">
        <v>2</v>
      </c>
      <c r="J344" s="8" t="s">
        <v>2274</v>
      </c>
      <c r="K344" s="8" t="s">
        <v>327</v>
      </c>
      <c r="L344" s="9" t="s">
        <v>2069</v>
      </c>
      <c r="M344" s="10">
        <v>46161</v>
      </c>
      <c r="N344" s="8" t="s">
        <v>327</v>
      </c>
      <c r="O344" s="12"/>
      <c r="P344" s="13"/>
      <c r="Q344" s="14">
        <f>Tabela1[[#This Row],[QTDE/ Fabricação]]-Tabela1[[#This Row],[QTE]]</f>
        <v>-2</v>
      </c>
      <c r="R344" s="18">
        <f t="shared" si="51"/>
        <v>1.4</v>
      </c>
      <c r="S344" s="18">
        <f t="shared" si="57"/>
        <v>0</v>
      </c>
      <c r="T344" s="19">
        <f t="shared" si="52"/>
        <v>-1.4</v>
      </c>
      <c r="U344" s="16">
        <f>IFERROR(SUMIF('LISTA DE EMBARQUE'!B:B,MICRO!E:E,'LISTA DE EMBARQUE'!G:G),"")</f>
        <v>0</v>
      </c>
      <c r="V344" s="12" t="str">
        <f>IFERROR(VLOOKUP(Tabela1[[#This Row],[COD.MDE]],'LISTA DE EMBARQUE'!B:L,11,0),"")</f>
        <v/>
      </c>
      <c r="W344" s="13" t="str">
        <f>IFERROR(VLOOKUP(Tabela1[[#This Row],[COD.MDE]],'LISTA DE EMBARQUE'!B:M,12,0),"")</f>
        <v/>
      </c>
      <c r="X344" s="14">
        <f>IFERROR(Tabela1[[#This Row],[QIANTIDADE EXPEDIDA]]*Tabela1[[#This Row],[PESO UNI]],"")</f>
        <v>0</v>
      </c>
      <c r="Y344" s="14">
        <f t="shared" si="56"/>
        <v>-2</v>
      </c>
      <c r="Z344" s="20">
        <f>Tabela1[[#This Row],[PESO TOTAL]]-Tabela1[[#This Row],[Peso Expedido]]</f>
        <v>1.4</v>
      </c>
      <c r="AA344" s="17">
        <v>1</v>
      </c>
      <c r="AB344" s="33"/>
      <c r="AC344" s="33">
        <v>1</v>
      </c>
      <c r="AD344" s="33">
        <v>1</v>
      </c>
      <c r="AE344" s="33">
        <v>1</v>
      </c>
      <c r="AF344" s="33">
        <v>1</v>
      </c>
      <c r="AG344" s="33">
        <v>0</v>
      </c>
      <c r="AH344" s="33"/>
      <c r="AI344" s="33" t="str">
        <f t="shared" si="53"/>
        <v/>
      </c>
      <c r="AJ344" s="5"/>
      <c r="AK344" t="str">
        <f>Tabela1[[#This Row],[Coluna1]]&amp;Tabela1[[#This Row],[PEDIDO]]</f>
        <v>P-188</v>
      </c>
      <c r="AL344"/>
      <c r="AM344"/>
      <c r="AN344"/>
      <c r="AO344" t="str">
        <f t="shared" si="58"/>
        <v>T-072997-1/1073-TC-006</v>
      </c>
      <c r="AP344" t="str">
        <f>Tabela1[[#This Row],[TAG]]&amp;Tabela1[[#This Row],[PEDIDO]]&amp;Tabela1[[#This Row],[PRODUTO]]</f>
        <v>1073-TC-006P-188RMF</v>
      </c>
      <c r="AQ344" s="22" t="str">
        <f>Tabela1[[#This Row],[PRODUTO]]&amp;Tabela1[[#This Row],[TAG]]</f>
        <v>RMF1073-TC-006</v>
      </c>
      <c r="AR344" s="24" t="str">
        <f>Tabela1[[#This Row],[PEDIDO]]&amp;Tabela1[[#This Row],[PRODUTO]]</f>
        <v>P-188RMF</v>
      </c>
      <c r="AS344" s="37">
        <f>IF(AF344="",0,IF(ISTEXT(AF344),H344*VALUE(SUBSTITUTE(AF344,"%",""))/100,H344*AF344))-Tabela1[[#This Row],[PRONTO ACABADO2]]</f>
        <v>1.4</v>
      </c>
      <c r="AT344" s="37">
        <f>IF(AG344="",0,IF(ISTEXT(AG344),H344*VALUE(SUBSTITUTE(AG344,"%",""))/100,H344*AG344))-Tabela1[[#This Row],[PESO EXPEDIDO2]]</f>
        <v>0</v>
      </c>
      <c r="AU344" s="37">
        <f t="shared" si="54"/>
        <v>0</v>
      </c>
      <c r="AV344" s="37">
        <f t="shared" si="55"/>
        <v>0</v>
      </c>
      <c r="AW344" s="37"/>
    </row>
    <row r="345" spans="1:49" ht="15.75" customHeight="1" x14ac:dyDescent="0.25">
      <c r="A345" s="6" t="s">
        <v>3985</v>
      </c>
      <c r="B345" s="21" t="s">
        <v>3991</v>
      </c>
      <c r="C345" s="7">
        <v>2</v>
      </c>
      <c r="D345" s="39" t="s">
        <v>3992</v>
      </c>
      <c r="E345" s="7">
        <v>4230</v>
      </c>
      <c r="F345" s="7" t="s">
        <v>3988</v>
      </c>
      <c r="G345" s="23">
        <v>0.7</v>
      </c>
      <c r="H345" s="34">
        <f>Tabela1[[#This Row],[PESO UNI]]*Tabela1[[#This Row],[QTE]]</f>
        <v>1.4</v>
      </c>
      <c r="I345" s="7">
        <v>2</v>
      </c>
      <c r="J345" s="8" t="s">
        <v>2276</v>
      </c>
      <c r="K345" s="8" t="s">
        <v>327</v>
      </c>
      <c r="L345" s="9" t="s">
        <v>2069</v>
      </c>
      <c r="M345" s="10">
        <v>46161</v>
      </c>
      <c r="N345" s="8" t="s">
        <v>327</v>
      </c>
      <c r="O345" s="12"/>
      <c r="P345" s="13"/>
      <c r="Q345" s="14">
        <f>Tabela1[[#This Row],[QTDE/ Fabricação]]-Tabela1[[#This Row],[QTE]]</f>
        <v>-2</v>
      </c>
      <c r="R345" s="18">
        <f t="shared" si="51"/>
        <v>1.4</v>
      </c>
      <c r="S345" s="18">
        <f t="shared" si="57"/>
        <v>0</v>
      </c>
      <c r="T345" s="19">
        <f t="shared" si="52"/>
        <v>-1.4</v>
      </c>
      <c r="U345" s="16">
        <f>IFERROR(SUMIF('LISTA DE EMBARQUE'!B:B,MICRO!E:E,'LISTA DE EMBARQUE'!G:G),"")</f>
        <v>0</v>
      </c>
      <c r="V345" s="12" t="str">
        <f>IFERROR(VLOOKUP(Tabela1[[#This Row],[COD.MDE]],'LISTA DE EMBARQUE'!B:L,11,0),"")</f>
        <v/>
      </c>
      <c r="W345" s="13" t="str">
        <f>IFERROR(VLOOKUP(Tabela1[[#This Row],[COD.MDE]],'LISTA DE EMBARQUE'!B:M,12,0),"")</f>
        <v/>
      </c>
      <c r="X345" s="14">
        <f>IFERROR(Tabela1[[#This Row],[QIANTIDADE EXPEDIDA]]*Tabela1[[#This Row],[PESO UNI]],"")</f>
        <v>0</v>
      </c>
      <c r="Y345" s="14">
        <f t="shared" si="56"/>
        <v>-2</v>
      </c>
      <c r="Z345" s="20">
        <f>Tabela1[[#This Row],[PESO TOTAL]]-Tabela1[[#This Row],[Peso Expedido]]</f>
        <v>1.4</v>
      </c>
      <c r="AA345" s="17">
        <v>1</v>
      </c>
      <c r="AB345" s="33"/>
      <c r="AC345" s="33">
        <v>1</v>
      </c>
      <c r="AD345" s="33">
        <v>1</v>
      </c>
      <c r="AE345" s="33">
        <v>1</v>
      </c>
      <c r="AF345" s="33">
        <v>1</v>
      </c>
      <c r="AG345" s="33">
        <v>0</v>
      </c>
      <c r="AH345" s="33"/>
      <c r="AI345" s="33" t="str">
        <f t="shared" si="53"/>
        <v/>
      </c>
      <c r="AJ345" s="5"/>
      <c r="AK345" t="str">
        <f>Tabela1[[#This Row],[Coluna1]]&amp;Tabela1[[#This Row],[PEDIDO]]</f>
        <v>P-188</v>
      </c>
      <c r="AL345"/>
      <c r="AM345"/>
      <c r="AN345"/>
      <c r="AO345" t="str">
        <f t="shared" si="58"/>
        <v>T-072997-1/1073-TC-007</v>
      </c>
      <c r="AP345" t="str">
        <f>Tabela1[[#This Row],[TAG]]&amp;Tabela1[[#This Row],[PEDIDO]]&amp;Tabela1[[#This Row],[PRODUTO]]</f>
        <v>1073-TC-007P-188RMF</v>
      </c>
      <c r="AQ345" s="22" t="str">
        <f>Tabela1[[#This Row],[PRODUTO]]&amp;Tabela1[[#This Row],[TAG]]</f>
        <v>RMF1073-TC-007</v>
      </c>
      <c r="AR345" s="24" t="str">
        <f>Tabela1[[#This Row],[PEDIDO]]&amp;Tabela1[[#This Row],[PRODUTO]]</f>
        <v>P-188RMF</v>
      </c>
      <c r="AS345" s="37">
        <f>IF(AF345="",0,IF(ISTEXT(AF345),H345*VALUE(SUBSTITUTE(AF345,"%",""))/100,H345*AF345))-Tabela1[[#This Row],[PRONTO ACABADO2]]</f>
        <v>1.4</v>
      </c>
      <c r="AT345" s="37">
        <f>IF(AG345="",0,IF(ISTEXT(AG345),H345*VALUE(SUBSTITUTE(AG345,"%",""))/100,H345*AG345))-Tabela1[[#This Row],[PESO EXPEDIDO2]]</f>
        <v>0</v>
      </c>
      <c r="AU345" s="37">
        <f t="shared" si="54"/>
        <v>0</v>
      </c>
      <c r="AV345" s="37">
        <f t="shared" si="55"/>
        <v>0</v>
      </c>
      <c r="AW345" s="37"/>
    </row>
    <row r="346" spans="1:49" ht="15.75" customHeight="1" x14ac:dyDescent="0.25">
      <c r="A346" s="6" t="s">
        <v>3993</v>
      </c>
      <c r="B346" s="21" t="s">
        <v>3994</v>
      </c>
      <c r="C346" s="7">
        <v>1</v>
      </c>
      <c r="D346" s="39" t="s">
        <v>3995</v>
      </c>
      <c r="E346" s="7">
        <v>4231</v>
      </c>
      <c r="F346" s="7" t="s">
        <v>3996</v>
      </c>
      <c r="G346" s="23">
        <v>11.3</v>
      </c>
      <c r="H346" s="34">
        <f>Tabela1[[#This Row],[PESO UNI]]*Tabela1[[#This Row],[QTE]]</f>
        <v>11.3</v>
      </c>
      <c r="I346" s="7">
        <v>2</v>
      </c>
      <c r="J346" s="8" t="s">
        <v>2274</v>
      </c>
      <c r="K346" s="8" t="s">
        <v>327</v>
      </c>
      <c r="L346" s="9" t="s">
        <v>2069</v>
      </c>
      <c r="M346" s="10">
        <v>46156</v>
      </c>
      <c r="N346" s="8" t="s">
        <v>327</v>
      </c>
      <c r="O346" s="12"/>
      <c r="P346" s="13"/>
      <c r="Q346" s="14">
        <f>Tabela1[[#This Row],[QTDE/ Fabricação]]-Tabela1[[#This Row],[QTE]]</f>
        <v>-1</v>
      </c>
      <c r="R346" s="18">
        <f t="shared" ref="R346:R409" si="59">IFERROR(H346*((AA346*0.25)+(AC346*0.25)+(AD346*0.225)+(AE346*0.225)+(AF346*0.05)),"")</f>
        <v>10.734999999999999</v>
      </c>
      <c r="S346" s="18">
        <f t="shared" si="57"/>
        <v>0</v>
      </c>
      <c r="T346" s="19">
        <f t="shared" ref="T346:T355" si="60">IFERROR(S346-H346,"")</f>
        <v>-11.3</v>
      </c>
      <c r="U346" s="16">
        <f>IFERROR(SUMIF('LISTA DE EMBARQUE'!B:B,MICRO!E:E,'LISTA DE EMBARQUE'!G:G),"")</f>
        <v>0</v>
      </c>
      <c r="V346" s="12" t="str">
        <f>IFERROR(VLOOKUP(Tabela1[[#This Row],[COD.MDE]],'LISTA DE EMBARQUE'!B:L,11,0),"")</f>
        <v/>
      </c>
      <c r="W346" s="13" t="str">
        <f>IFERROR(VLOOKUP(Tabela1[[#This Row],[COD.MDE]],'LISTA DE EMBARQUE'!B:M,12,0),"")</f>
        <v/>
      </c>
      <c r="X346" s="14">
        <f>IFERROR(Tabela1[[#This Row],[QIANTIDADE EXPEDIDA]]*Tabela1[[#This Row],[PESO UNI]],"")</f>
        <v>0</v>
      </c>
      <c r="Y346" s="14">
        <f t="shared" si="56"/>
        <v>-1</v>
      </c>
      <c r="Z346" s="20">
        <f>Tabela1[[#This Row],[PESO TOTAL]]-Tabela1[[#This Row],[Peso Expedido]]</f>
        <v>11.3</v>
      </c>
      <c r="AA346" s="17">
        <v>1</v>
      </c>
      <c r="AB346" s="33"/>
      <c r="AC346" s="33">
        <v>1</v>
      </c>
      <c r="AD346" s="33">
        <v>1</v>
      </c>
      <c r="AE346" s="33">
        <v>1</v>
      </c>
      <c r="AF346" s="33">
        <v>0</v>
      </c>
      <c r="AG346" s="33">
        <v>0</v>
      </c>
      <c r="AH346" s="33"/>
      <c r="AI346" s="33" t="str">
        <f t="shared" si="53"/>
        <v/>
      </c>
      <c r="AJ346" s="5"/>
      <c r="AK346" t="str">
        <f>Tabela1[[#This Row],[Coluna1]]&amp;Tabela1[[#This Row],[PEDIDO]]</f>
        <v>P-188</v>
      </c>
      <c r="AL346"/>
      <c r="AM346"/>
      <c r="AN346"/>
      <c r="AO346" t="str">
        <f t="shared" si="58"/>
        <v>T-072993-1/1073-TC-006</v>
      </c>
      <c r="AP346" t="str">
        <f>Tabela1[[#This Row],[TAG]]&amp;Tabela1[[#This Row],[PEDIDO]]&amp;Tabela1[[#This Row],[PRODUTO]]</f>
        <v>1073-TC-006P-188RMF</v>
      </c>
      <c r="AQ346" s="22" t="str">
        <f>Tabela1[[#This Row],[PRODUTO]]&amp;Tabela1[[#This Row],[TAG]]</f>
        <v>RMF1073-TC-006</v>
      </c>
      <c r="AR346" s="24" t="str">
        <f>Tabela1[[#This Row],[PEDIDO]]&amp;Tabela1[[#This Row],[PRODUTO]]</f>
        <v>P-188RMF</v>
      </c>
      <c r="AS346" s="37">
        <f>IF(AF346="",0,IF(ISTEXT(AF346),H346*VALUE(SUBSTITUTE(AF346,"%",""))/100,H346*AF346))-Tabela1[[#This Row],[PRONTO ACABADO2]]</f>
        <v>0</v>
      </c>
      <c r="AT346" s="37">
        <f>IF(AG346="",0,IF(ISTEXT(AG346),H346*VALUE(SUBSTITUTE(AG346,"%",""))/100,H346*AG346))-Tabela1[[#This Row],[PESO EXPEDIDO2]]</f>
        <v>0</v>
      </c>
      <c r="AU346" s="37">
        <f t="shared" si="54"/>
        <v>0</v>
      </c>
      <c r="AV346" s="37">
        <f t="shared" si="55"/>
        <v>0</v>
      </c>
      <c r="AW346" s="37"/>
    </row>
    <row r="347" spans="1:49" ht="15.75" customHeight="1" x14ac:dyDescent="0.25">
      <c r="A347" s="6" t="s">
        <v>3993</v>
      </c>
      <c r="B347" s="21" t="s">
        <v>3994</v>
      </c>
      <c r="C347" s="7">
        <v>1</v>
      </c>
      <c r="D347" s="39" t="s">
        <v>3995</v>
      </c>
      <c r="E347" s="7">
        <v>4232</v>
      </c>
      <c r="F347" s="7" t="s">
        <v>3996</v>
      </c>
      <c r="G347" s="23">
        <v>11.3</v>
      </c>
      <c r="H347" s="34">
        <f>Tabela1[[#This Row],[PESO UNI]]*Tabela1[[#This Row],[QTE]]</f>
        <v>11.3</v>
      </c>
      <c r="I347" s="7">
        <v>2</v>
      </c>
      <c r="J347" s="8" t="s">
        <v>2276</v>
      </c>
      <c r="K347" s="8" t="s">
        <v>327</v>
      </c>
      <c r="L347" s="9" t="s">
        <v>2069</v>
      </c>
      <c r="M347" s="10">
        <v>46156</v>
      </c>
      <c r="N347" s="8" t="s">
        <v>327</v>
      </c>
      <c r="O347" s="12"/>
      <c r="P347" s="13"/>
      <c r="Q347" s="14">
        <f>Tabela1[[#This Row],[QTDE/ Fabricação]]-Tabela1[[#This Row],[QTE]]</f>
        <v>-1</v>
      </c>
      <c r="R347" s="18">
        <f t="shared" si="59"/>
        <v>10.734999999999999</v>
      </c>
      <c r="S347" s="18">
        <f t="shared" si="57"/>
        <v>0</v>
      </c>
      <c r="T347" s="19">
        <f t="shared" si="60"/>
        <v>-11.3</v>
      </c>
      <c r="U347" s="16">
        <f>IFERROR(SUMIF('LISTA DE EMBARQUE'!B:B,MICRO!E:E,'LISTA DE EMBARQUE'!G:G),"")</f>
        <v>0</v>
      </c>
      <c r="V347" s="12" t="str">
        <f>IFERROR(VLOOKUP(Tabela1[[#This Row],[COD.MDE]],'LISTA DE EMBARQUE'!B:L,11,0),"")</f>
        <v/>
      </c>
      <c r="W347" s="13" t="str">
        <f>IFERROR(VLOOKUP(Tabela1[[#This Row],[COD.MDE]],'LISTA DE EMBARQUE'!B:M,12,0),"")</f>
        <v/>
      </c>
      <c r="X347" s="14">
        <f>IFERROR(Tabela1[[#This Row],[QIANTIDADE EXPEDIDA]]*Tabela1[[#This Row],[PESO UNI]],"")</f>
        <v>0</v>
      </c>
      <c r="Y347" s="14">
        <f t="shared" si="56"/>
        <v>-1</v>
      </c>
      <c r="Z347" s="20">
        <f>Tabela1[[#This Row],[PESO TOTAL]]-Tabela1[[#This Row],[Peso Expedido]]</f>
        <v>11.3</v>
      </c>
      <c r="AA347" s="17">
        <v>1</v>
      </c>
      <c r="AB347" s="33"/>
      <c r="AC347" s="33">
        <v>1</v>
      </c>
      <c r="AD347" s="33">
        <v>1</v>
      </c>
      <c r="AE347" s="33">
        <v>1</v>
      </c>
      <c r="AF347" s="33">
        <v>0</v>
      </c>
      <c r="AG347" s="33">
        <v>0</v>
      </c>
      <c r="AH347" s="33"/>
      <c r="AI347" s="33" t="str">
        <f t="shared" si="53"/>
        <v/>
      </c>
      <c r="AJ347" s="5"/>
      <c r="AK347" t="str">
        <f>Tabela1[[#This Row],[Coluna1]]&amp;Tabela1[[#This Row],[PEDIDO]]</f>
        <v>P-188</v>
      </c>
      <c r="AL347"/>
      <c r="AM347"/>
      <c r="AN347"/>
      <c r="AO347" t="str">
        <f t="shared" si="58"/>
        <v>T-072993-1/1073-TC-007</v>
      </c>
      <c r="AP347" t="str">
        <f>Tabela1[[#This Row],[TAG]]&amp;Tabela1[[#This Row],[PEDIDO]]&amp;Tabela1[[#This Row],[PRODUTO]]</f>
        <v>1073-TC-007P-188RMF</v>
      </c>
      <c r="AQ347" s="22" t="str">
        <f>Tabela1[[#This Row],[PRODUTO]]&amp;Tabela1[[#This Row],[TAG]]</f>
        <v>RMF1073-TC-007</v>
      </c>
      <c r="AR347" s="24" t="str">
        <f>Tabela1[[#This Row],[PEDIDO]]&amp;Tabela1[[#This Row],[PRODUTO]]</f>
        <v>P-188RMF</v>
      </c>
      <c r="AS347" s="37">
        <f>IF(AF347="",0,IF(ISTEXT(AF347),H347*VALUE(SUBSTITUTE(AF347,"%",""))/100,H347*AF347))-Tabela1[[#This Row],[PRONTO ACABADO2]]</f>
        <v>0</v>
      </c>
      <c r="AT347" s="37">
        <f>IF(AG347="",0,IF(ISTEXT(AG347),H347*VALUE(SUBSTITUTE(AG347,"%",""))/100,H347*AG347))-Tabela1[[#This Row],[PESO EXPEDIDO2]]</f>
        <v>0</v>
      </c>
      <c r="AU347" s="37">
        <f t="shared" si="54"/>
        <v>0</v>
      </c>
      <c r="AV347" s="37">
        <f t="shared" si="55"/>
        <v>0</v>
      </c>
      <c r="AW347" s="37"/>
    </row>
    <row r="348" spans="1:49" ht="15.75" customHeight="1" x14ac:dyDescent="0.25">
      <c r="A348" s="6" t="s">
        <v>3993</v>
      </c>
      <c r="B348" s="21" t="s">
        <v>3997</v>
      </c>
      <c r="C348" s="7">
        <v>1</v>
      </c>
      <c r="D348" s="39" t="s">
        <v>3995</v>
      </c>
      <c r="E348" s="7">
        <v>4233</v>
      </c>
      <c r="F348" s="7" t="s">
        <v>3996</v>
      </c>
      <c r="G348" s="23">
        <v>11.3</v>
      </c>
      <c r="H348" s="34">
        <f>Tabela1[[#This Row],[PESO UNI]]*Tabela1[[#This Row],[QTE]]</f>
        <v>11.3</v>
      </c>
      <c r="I348" s="7">
        <v>2</v>
      </c>
      <c r="J348" s="8" t="s">
        <v>2274</v>
      </c>
      <c r="K348" s="8" t="s">
        <v>327</v>
      </c>
      <c r="L348" s="9" t="s">
        <v>2069</v>
      </c>
      <c r="M348" s="10">
        <v>46156</v>
      </c>
      <c r="N348" s="8" t="s">
        <v>327</v>
      </c>
      <c r="O348" s="12"/>
      <c r="P348" s="13"/>
      <c r="Q348" s="14">
        <f>Tabela1[[#This Row],[QTDE/ Fabricação]]-Tabela1[[#This Row],[QTE]]</f>
        <v>-1</v>
      </c>
      <c r="R348" s="18">
        <f t="shared" si="59"/>
        <v>10.734999999999999</v>
      </c>
      <c r="S348" s="18">
        <f t="shared" si="57"/>
        <v>0</v>
      </c>
      <c r="T348" s="19">
        <f t="shared" si="60"/>
        <v>-11.3</v>
      </c>
      <c r="U348" s="16">
        <f>IFERROR(SUMIF('LISTA DE EMBARQUE'!B:B,MICRO!E:E,'LISTA DE EMBARQUE'!G:G),"")</f>
        <v>0</v>
      </c>
      <c r="V348" s="12" t="str">
        <f>IFERROR(VLOOKUP(Tabela1[[#This Row],[COD.MDE]],'LISTA DE EMBARQUE'!B:L,11,0),"")</f>
        <v/>
      </c>
      <c r="W348" s="13" t="str">
        <f>IFERROR(VLOOKUP(Tabela1[[#This Row],[COD.MDE]],'LISTA DE EMBARQUE'!B:M,12,0),"")</f>
        <v/>
      </c>
      <c r="X348" s="14">
        <f>IFERROR(Tabela1[[#This Row],[QIANTIDADE EXPEDIDA]]*Tabela1[[#This Row],[PESO UNI]],"")</f>
        <v>0</v>
      </c>
      <c r="Y348" s="14">
        <f t="shared" si="56"/>
        <v>-1</v>
      </c>
      <c r="Z348" s="20">
        <f>Tabela1[[#This Row],[PESO TOTAL]]-Tabela1[[#This Row],[Peso Expedido]]</f>
        <v>11.3</v>
      </c>
      <c r="AA348" s="17">
        <v>1</v>
      </c>
      <c r="AB348" s="33"/>
      <c r="AC348" s="33">
        <v>1</v>
      </c>
      <c r="AD348" s="33">
        <v>1</v>
      </c>
      <c r="AE348" s="33">
        <v>1</v>
      </c>
      <c r="AF348" s="33">
        <v>0</v>
      </c>
      <c r="AG348" s="33">
        <v>0</v>
      </c>
      <c r="AH348" s="33"/>
      <c r="AI348" s="33" t="str">
        <f t="shared" ref="AI348:AI411" si="61">IF(Z348&lt;=0,"ok","")</f>
        <v/>
      </c>
      <c r="AJ348" s="5"/>
      <c r="AK348" t="str">
        <f>Tabela1[[#This Row],[Coluna1]]&amp;Tabela1[[#This Row],[PEDIDO]]</f>
        <v>P-188</v>
      </c>
      <c r="AL348"/>
      <c r="AM348"/>
      <c r="AN348"/>
      <c r="AO348" t="str">
        <f t="shared" si="58"/>
        <v>T-072993-1/1073-TC-006</v>
      </c>
      <c r="AP348" t="str">
        <f>Tabela1[[#This Row],[TAG]]&amp;Tabela1[[#This Row],[PEDIDO]]&amp;Tabela1[[#This Row],[PRODUTO]]</f>
        <v>1073-TC-006P-188RMF</v>
      </c>
      <c r="AQ348" s="22" t="str">
        <f>Tabela1[[#This Row],[PRODUTO]]&amp;Tabela1[[#This Row],[TAG]]</f>
        <v>RMF1073-TC-006</v>
      </c>
      <c r="AR348" s="24" t="str">
        <f>Tabela1[[#This Row],[PEDIDO]]&amp;Tabela1[[#This Row],[PRODUTO]]</f>
        <v>P-188RMF</v>
      </c>
      <c r="AS348" s="37">
        <f>IF(AF348="",0,IF(ISTEXT(AF348),H348*VALUE(SUBSTITUTE(AF348,"%",""))/100,H348*AF348))-Tabela1[[#This Row],[PRONTO ACABADO2]]</f>
        <v>0</v>
      </c>
      <c r="AT348" s="37">
        <f>IF(AG348="",0,IF(ISTEXT(AG348),H348*VALUE(SUBSTITUTE(AG348,"%",""))/100,H348*AG348))-Tabela1[[#This Row],[PESO EXPEDIDO2]]</f>
        <v>0</v>
      </c>
      <c r="AU348" s="37">
        <f t="shared" si="54"/>
        <v>0</v>
      </c>
      <c r="AV348" s="37">
        <f t="shared" si="55"/>
        <v>0</v>
      </c>
      <c r="AW348" s="37"/>
    </row>
    <row r="349" spans="1:49" ht="15.75" customHeight="1" x14ac:dyDescent="0.25">
      <c r="A349" s="6" t="s">
        <v>3993</v>
      </c>
      <c r="B349" s="21" t="s">
        <v>3997</v>
      </c>
      <c r="C349" s="7">
        <v>1</v>
      </c>
      <c r="D349" s="39" t="s">
        <v>3995</v>
      </c>
      <c r="E349" s="7">
        <v>4234</v>
      </c>
      <c r="F349" s="7" t="s">
        <v>3996</v>
      </c>
      <c r="G349" s="23">
        <v>11.3</v>
      </c>
      <c r="H349" s="34">
        <f>Tabela1[[#This Row],[PESO UNI]]*Tabela1[[#This Row],[QTE]]</f>
        <v>11.3</v>
      </c>
      <c r="I349" s="7">
        <v>2</v>
      </c>
      <c r="J349" s="8" t="s">
        <v>2276</v>
      </c>
      <c r="K349" s="8" t="s">
        <v>327</v>
      </c>
      <c r="L349" s="9" t="s">
        <v>2069</v>
      </c>
      <c r="M349" s="10">
        <v>46156</v>
      </c>
      <c r="N349" s="8" t="s">
        <v>327</v>
      </c>
      <c r="O349" s="12"/>
      <c r="P349" s="13"/>
      <c r="Q349" s="14">
        <f>Tabela1[[#This Row],[QTDE/ Fabricação]]-Tabela1[[#This Row],[QTE]]</f>
        <v>-1</v>
      </c>
      <c r="R349" s="18">
        <f t="shared" si="59"/>
        <v>10.734999999999999</v>
      </c>
      <c r="S349" s="18">
        <f t="shared" si="57"/>
        <v>0</v>
      </c>
      <c r="T349" s="19">
        <f t="shared" si="60"/>
        <v>-11.3</v>
      </c>
      <c r="U349" s="16">
        <f>IFERROR(SUMIF('LISTA DE EMBARQUE'!B:B,MICRO!E:E,'LISTA DE EMBARQUE'!G:G),"")</f>
        <v>0</v>
      </c>
      <c r="V349" s="12" t="str">
        <f>IFERROR(VLOOKUP(Tabela1[[#This Row],[COD.MDE]],'LISTA DE EMBARQUE'!B:L,11,0),"")</f>
        <v/>
      </c>
      <c r="W349" s="13" t="str">
        <f>IFERROR(VLOOKUP(Tabela1[[#This Row],[COD.MDE]],'LISTA DE EMBARQUE'!B:M,12,0),"")</f>
        <v/>
      </c>
      <c r="X349" s="14">
        <f>IFERROR(Tabela1[[#This Row],[QIANTIDADE EXPEDIDA]]*Tabela1[[#This Row],[PESO UNI]],"")</f>
        <v>0</v>
      </c>
      <c r="Y349" s="14">
        <f t="shared" si="56"/>
        <v>-1</v>
      </c>
      <c r="Z349" s="20">
        <f>Tabela1[[#This Row],[PESO TOTAL]]-Tabela1[[#This Row],[Peso Expedido]]</f>
        <v>11.3</v>
      </c>
      <c r="AA349" s="17">
        <v>1</v>
      </c>
      <c r="AB349" s="33"/>
      <c r="AC349" s="33">
        <v>1</v>
      </c>
      <c r="AD349" s="33">
        <v>1</v>
      </c>
      <c r="AE349" s="33">
        <v>1</v>
      </c>
      <c r="AF349" s="33">
        <v>0</v>
      </c>
      <c r="AG349" s="33">
        <v>0</v>
      </c>
      <c r="AH349" s="33"/>
      <c r="AI349" s="33" t="str">
        <f t="shared" si="61"/>
        <v/>
      </c>
      <c r="AJ349" s="5"/>
      <c r="AK349" t="str">
        <f>Tabela1[[#This Row],[Coluna1]]&amp;Tabela1[[#This Row],[PEDIDO]]</f>
        <v>P-188</v>
      </c>
      <c r="AL349"/>
      <c r="AM349"/>
      <c r="AN349"/>
      <c r="AO349" t="str">
        <f t="shared" si="58"/>
        <v>T-072993-1/1073-TC-007</v>
      </c>
      <c r="AP349" t="str">
        <f>Tabela1[[#This Row],[TAG]]&amp;Tabela1[[#This Row],[PEDIDO]]&amp;Tabela1[[#This Row],[PRODUTO]]</f>
        <v>1073-TC-007P-188RMF</v>
      </c>
      <c r="AQ349" s="22" t="str">
        <f>Tabela1[[#This Row],[PRODUTO]]&amp;Tabela1[[#This Row],[TAG]]</f>
        <v>RMF1073-TC-007</v>
      </c>
      <c r="AR349" s="24" t="str">
        <f>Tabela1[[#This Row],[PEDIDO]]&amp;Tabela1[[#This Row],[PRODUTO]]</f>
        <v>P-188RMF</v>
      </c>
      <c r="AS349" s="37">
        <f>IF(AF349="",0,IF(ISTEXT(AF349),H349*VALUE(SUBSTITUTE(AF349,"%",""))/100,H349*AF349))-Tabela1[[#This Row],[PRONTO ACABADO2]]</f>
        <v>0</v>
      </c>
      <c r="AT349" s="37">
        <f>IF(AG349="",0,IF(ISTEXT(AG349),H349*VALUE(SUBSTITUTE(AG349,"%",""))/100,H349*AG349))-Tabela1[[#This Row],[PESO EXPEDIDO2]]</f>
        <v>0</v>
      </c>
      <c r="AU349" s="37">
        <f t="shared" si="54"/>
        <v>0</v>
      </c>
      <c r="AV349" s="37">
        <f t="shared" si="55"/>
        <v>0</v>
      </c>
      <c r="AW349" s="37"/>
    </row>
    <row r="350" spans="1:49" ht="15.75" customHeight="1" x14ac:dyDescent="0.25">
      <c r="A350" s="6" t="s">
        <v>3993</v>
      </c>
      <c r="B350" s="21" t="s">
        <v>3998</v>
      </c>
      <c r="C350" s="7">
        <v>1</v>
      </c>
      <c r="D350" s="39" t="s">
        <v>3995</v>
      </c>
      <c r="E350" s="7">
        <v>4235</v>
      </c>
      <c r="F350" s="7" t="s">
        <v>3996</v>
      </c>
      <c r="G350" s="23">
        <v>19.8</v>
      </c>
      <c r="H350" s="34">
        <f>Tabela1[[#This Row],[PESO UNI]]*Tabela1[[#This Row],[QTE]]</f>
        <v>19.8</v>
      </c>
      <c r="I350" s="7">
        <v>2</v>
      </c>
      <c r="J350" s="8" t="s">
        <v>2274</v>
      </c>
      <c r="K350" s="8" t="s">
        <v>327</v>
      </c>
      <c r="L350" s="9" t="s">
        <v>2069</v>
      </c>
      <c r="M350" s="10">
        <v>46156</v>
      </c>
      <c r="N350" s="8" t="s">
        <v>327</v>
      </c>
      <c r="O350" s="12"/>
      <c r="P350" s="13"/>
      <c r="Q350" s="14">
        <f>Tabela1[[#This Row],[QTDE/ Fabricação]]-Tabela1[[#This Row],[QTE]]</f>
        <v>-1</v>
      </c>
      <c r="R350" s="18">
        <f t="shared" si="59"/>
        <v>18.809999999999999</v>
      </c>
      <c r="S350" s="18">
        <f t="shared" si="57"/>
        <v>0</v>
      </c>
      <c r="T350" s="19">
        <f t="shared" si="60"/>
        <v>-19.8</v>
      </c>
      <c r="U350" s="16">
        <f>IFERROR(SUMIF('LISTA DE EMBARQUE'!B:B,MICRO!E:E,'LISTA DE EMBARQUE'!G:G),"")</f>
        <v>0</v>
      </c>
      <c r="V350" s="12" t="str">
        <f>IFERROR(VLOOKUP(Tabela1[[#This Row],[COD.MDE]],'LISTA DE EMBARQUE'!B:L,11,0),"")</f>
        <v/>
      </c>
      <c r="W350" s="13" t="str">
        <f>IFERROR(VLOOKUP(Tabela1[[#This Row],[COD.MDE]],'LISTA DE EMBARQUE'!B:M,12,0),"")</f>
        <v/>
      </c>
      <c r="X350" s="14">
        <f>IFERROR(Tabela1[[#This Row],[QIANTIDADE EXPEDIDA]]*Tabela1[[#This Row],[PESO UNI]],"")</f>
        <v>0</v>
      </c>
      <c r="Y350" s="14">
        <f t="shared" si="56"/>
        <v>-1</v>
      </c>
      <c r="Z350" s="20">
        <f>Tabela1[[#This Row],[PESO TOTAL]]-Tabela1[[#This Row],[Peso Expedido]]</f>
        <v>19.8</v>
      </c>
      <c r="AA350" s="17">
        <v>1</v>
      </c>
      <c r="AB350" s="33"/>
      <c r="AC350" s="33">
        <v>1</v>
      </c>
      <c r="AD350" s="33">
        <v>1</v>
      </c>
      <c r="AE350" s="33">
        <v>1</v>
      </c>
      <c r="AF350" s="33">
        <v>0</v>
      </c>
      <c r="AG350" s="33">
        <v>0</v>
      </c>
      <c r="AH350" s="33"/>
      <c r="AI350" s="33" t="str">
        <f t="shared" si="61"/>
        <v/>
      </c>
      <c r="AJ350" s="5"/>
      <c r="AK350" t="str">
        <f>Tabela1[[#This Row],[Coluna1]]&amp;Tabela1[[#This Row],[PEDIDO]]</f>
        <v>P-188</v>
      </c>
      <c r="AL350"/>
      <c r="AM350"/>
      <c r="AN350"/>
      <c r="AO350" t="str">
        <f t="shared" si="58"/>
        <v>T-072993-1/1073-TC-006</v>
      </c>
      <c r="AP350" t="str">
        <f>Tabela1[[#This Row],[TAG]]&amp;Tabela1[[#This Row],[PEDIDO]]&amp;Tabela1[[#This Row],[PRODUTO]]</f>
        <v>1073-TC-006P-188RMF</v>
      </c>
      <c r="AQ350" s="22" t="str">
        <f>Tabela1[[#This Row],[PRODUTO]]&amp;Tabela1[[#This Row],[TAG]]</f>
        <v>RMF1073-TC-006</v>
      </c>
      <c r="AR350" s="24" t="str">
        <f>Tabela1[[#This Row],[PEDIDO]]&amp;Tabela1[[#This Row],[PRODUTO]]</f>
        <v>P-188RMF</v>
      </c>
      <c r="AS350" s="37">
        <f>IF(AF350="",0,IF(ISTEXT(AF350),H350*VALUE(SUBSTITUTE(AF350,"%",""))/100,H350*AF350))-Tabela1[[#This Row],[PRONTO ACABADO2]]</f>
        <v>0</v>
      </c>
      <c r="AT350" s="37">
        <f>IF(AG350="",0,IF(ISTEXT(AG350),H350*VALUE(SUBSTITUTE(AG350,"%",""))/100,H350*AG350))-Tabela1[[#This Row],[PESO EXPEDIDO2]]</f>
        <v>0</v>
      </c>
      <c r="AU350" s="37">
        <f t="shared" si="54"/>
        <v>0</v>
      </c>
      <c r="AV350" s="37">
        <f t="shared" si="55"/>
        <v>0</v>
      </c>
      <c r="AW350" s="37"/>
    </row>
    <row r="351" spans="1:49" ht="15.75" customHeight="1" x14ac:dyDescent="0.25">
      <c r="A351" s="6" t="s">
        <v>3993</v>
      </c>
      <c r="B351" s="21" t="s">
        <v>3998</v>
      </c>
      <c r="C351" s="7">
        <v>1</v>
      </c>
      <c r="D351" s="39" t="s">
        <v>3995</v>
      </c>
      <c r="E351" s="7">
        <v>4236</v>
      </c>
      <c r="F351" s="7" t="s">
        <v>3996</v>
      </c>
      <c r="G351" s="23">
        <v>19.8</v>
      </c>
      <c r="H351" s="34">
        <f>Tabela1[[#This Row],[PESO UNI]]*Tabela1[[#This Row],[QTE]]</f>
        <v>19.8</v>
      </c>
      <c r="I351" s="7">
        <v>2</v>
      </c>
      <c r="J351" s="8" t="s">
        <v>2276</v>
      </c>
      <c r="K351" s="8" t="s">
        <v>327</v>
      </c>
      <c r="L351" s="9" t="s">
        <v>2069</v>
      </c>
      <c r="M351" s="10">
        <v>46156</v>
      </c>
      <c r="N351" s="8" t="s">
        <v>327</v>
      </c>
      <c r="O351" s="12"/>
      <c r="P351" s="13"/>
      <c r="Q351" s="14">
        <f>Tabela1[[#This Row],[QTDE/ Fabricação]]-Tabela1[[#This Row],[QTE]]</f>
        <v>-1</v>
      </c>
      <c r="R351" s="18">
        <f t="shared" si="59"/>
        <v>18.809999999999999</v>
      </c>
      <c r="S351" s="18">
        <f t="shared" si="57"/>
        <v>0</v>
      </c>
      <c r="T351" s="19">
        <f t="shared" si="60"/>
        <v>-19.8</v>
      </c>
      <c r="U351" s="16">
        <f>IFERROR(SUMIF('LISTA DE EMBARQUE'!B:B,MICRO!E:E,'LISTA DE EMBARQUE'!G:G),"")</f>
        <v>0</v>
      </c>
      <c r="V351" s="12" t="str">
        <f>IFERROR(VLOOKUP(Tabela1[[#This Row],[COD.MDE]],'LISTA DE EMBARQUE'!B:L,11,0),"")</f>
        <v/>
      </c>
      <c r="W351" s="13" t="str">
        <f>IFERROR(VLOOKUP(Tabela1[[#This Row],[COD.MDE]],'LISTA DE EMBARQUE'!B:M,12,0),"")</f>
        <v/>
      </c>
      <c r="X351" s="14">
        <f>IFERROR(Tabela1[[#This Row],[QIANTIDADE EXPEDIDA]]*Tabela1[[#This Row],[PESO UNI]],"")</f>
        <v>0</v>
      </c>
      <c r="Y351" s="14">
        <f t="shared" si="56"/>
        <v>-1</v>
      </c>
      <c r="Z351" s="20">
        <f>Tabela1[[#This Row],[PESO TOTAL]]-Tabela1[[#This Row],[Peso Expedido]]</f>
        <v>19.8</v>
      </c>
      <c r="AA351" s="17">
        <v>1</v>
      </c>
      <c r="AB351" s="33"/>
      <c r="AC351" s="33">
        <v>1</v>
      </c>
      <c r="AD351" s="33">
        <v>1</v>
      </c>
      <c r="AE351" s="33">
        <v>1</v>
      </c>
      <c r="AF351" s="33">
        <v>0</v>
      </c>
      <c r="AG351" s="33">
        <v>0</v>
      </c>
      <c r="AH351" s="33"/>
      <c r="AI351" s="33" t="str">
        <f t="shared" si="61"/>
        <v/>
      </c>
      <c r="AJ351" s="5"/>
      <c r="AK351" t="str">
        <f>Tabela1[[#This Row],[Coluna1]]&amp;Tabela1[[#This Row],[PEDIDO]]</f>
        <v>P-188</v>
      </c>
      <c r="AL351"/>
      <c r="AM351"/>
      <c r="AN351"/>
      <c r="AO351" t="str">
        <f t="shared" si="58"/>
        <v>T-072993-1/1073-TC-007</v>
      </c>
      <c r="AP351" t="str">
        <f>Tabela1[[#This Row],[TAG]]&amp;Tabela1[[#This Row],[PEDIDO]]&amp;Tabela1[[#This Row],[PRODUTO]]</f>
        <v>1073-TC-007P-188RMF</v>
      </c>
      <c r="AQ351" s="22" t="str">
        <f>Tabela1[[#This Row],[PRODUTO]]&amp;Tabela1[[#This Row],[TAG]]</f>
        <v>RMF1073-TC-007</v>
      </c>
      <c r="AR351" s="24" t="str">
        <f>Tabela1[[#This Row],[PEDIDO]]&amp;Tabela1[[#This Row],[PRODUTO]]</f>
        <v>P-188RMF</v>
      </c>
      <c r="AS351" s="37">
        <f>IF(AF351="",0,IF(ISTEXT(AF351),H351*VALUE(SUBSTITUTE(AF351,"%",""))/100,H351*AF351))-Tabela1[[#This Row],[PRONTO ACABADO2]]</f>
        <v>0</v>
      </c>
      <c r="AT351" s="37">
        <f>IF(AG351="",0,IF(ISTEXT(AG351),H351*VALUE(SUBSTITUTE(AG351,"%",""))/100,H351*AG351))-Tabela1[[#This Row],[PESO EXPEDIDO2]]</f>
        <v>0</v>
      </c>
      <c r="AU351" s="37">
        <f t="shared" si="54"/>
        <v>0</v>
      </c>
      <c r="AV351" s="37">
        <f t="shared" si="55"/>
        <v>0</v>
      </c>
      <c r="AW351" s="37"/>
    </row>
    <row r="352" spans="1:49" ht="15.75" customHeight="1" x14ac:dyDescent="0.25">
      <c r="A352" s="6" t="s">
        <v>3993</v>
      </c>
      <c r="B352" s="21" t="s">
        <v>3999</v>
      </c>
      <c r="C352" s="7">
        <v>1</v>
      </c>
      <c r="D352" s="39" t="s">
        <v>3995</v>
      </c>
      <c r="E352" s="7">
        <v>4237</v>
      </c>
      <c r="F352" s="7" t="s">
        <v>3996</v>
      </c>
      <c r="G352" s="23">
        <v>24.9</v>
      </c>
      <c r="H352" s="34">
        <f>Tabela1[[#This Row],[PESO UNI]]*Tabela1[[#This Row],[QTE]]</f>
        <v>24.9</v>
      </c>
      <c r="I352" s="7">
        <v>2</v>
      </c>
      <c r="J352" s="8" t="s">
        <v>2274</v>
      </c>
      <c r="K352" s="8" t="s">
        <v>327</v>
      </c>
      <c r="L352" s="9" t="s">
        <v>2069</v>
      </c>
      <c r="M352" s="10">
        <v>46156</v>
      </c>
      <c r="N352" s="8" t="s">
        <v>327</v>
      </c>
      <c r="O352" s="12"/>
      <c r="P352" s="13"/>
      <c r="Q352" s="14">
        <f>Tabela1[[#This Row],[QTDE/ Fabricação]]-Tabela1[[#This Row],[QTE]]</f>
        <v>-1</v>
      </c>
      <c r="R352" s="18">
        <f t="shared" si="59"/>
        <v>23.654999999999998</v>
      </c>
      <c r="S352" s="18">
        <f t="shared" si="57"/>
        <v>0</v>
      </c>
      <c r="T352" s="19">
        <f t="shared" si="60"/>
        <v>-24.9</v>
      </c>
      <c r="U352" s="16">
        <f>IFERROR(SUMIF('LISTA DE EMBARQUE'!B:B,MICRO!E:E,'LISTA DE EMBARQUE'!G:G),"")</f>
        <v>0</v>
      </c>
      <c r="V352" s="12" t="str">
        <f>IFERROR(VLOOKUP(Tabela1[[#This Row],[COD.MDE]],'LISTA DE EMBARQUE'!B:L,11,0),"")</f>
        <v/>
      </c>
      <c r="W352" s="13" t="str">
        <f>IFERROR(VLOOKUP(Tabela1[[#This Row],[COD.MDE]],'LISTA DE EMBARQUE'!B:M,12,0),"")</f>
        <v/>
      </c>
      <c r="X352" s="14">
        <f>IFERROR(Tabela1[[#This Row],[QIANTIDADE EXPEDIDA]]*Tabela1[[#This Row],[PESO UNI]],"")</f>
        <v>0</v>
      </c>
      <c r="Y352" s="14">
        <f t="shared" si="56"/>
        <v>-1</v>
      </c>
      <c r="Z352" s="20">
        <f>Tabela1[[#This Row],[PESO TOTAL]]-Tabela1[[#This Row],[Peso Expedido]]</f>
        <v>24.9</v>
      </c>
      <c r="AA352" s="17">
        <v>1</v>
      </c>
      <c r="AB352" s="33"/>
      <c r="AC352" s="33">
        <v>1</v>
      </c>
      <c r="AD352" s="33">
        <v>1</v>
      </c>
      <c r="AE352" s="33">
        <v>1</v>
      </c>
      <c r="AF352" s="33">
        <v>0</v>
      </c>
      <c r="AG352" s="33">
        <v>0</v>
      </c>
      <c r="AH352" s="33"/>
      <c r="AI352" s="33" t="str">
        <f t="shared" si="61"/>
        <v/>
      </c>
      <c r="AJ352" s="5"/>
      <c r="AK352" t="str">
        <f>Tabela1[[#This Row],[Coluna1]]&amp;Tabela1[[#This Row],[PEDIDO]]</f>
        <v>P-188</v>
      </c>
      <c r="AL352"/>
      <c r="AM352"/>
      <c r="AN352"/>
      <c r="AO352" t="str">
        <f t="shared" si="58"/>
        <v>T-072993-1/1073-TC-006</v>
      </c>
      <c r="AP352" t="str">
        <f>Tabela1[[#This Row],[TAG]]&amp;Tabela1[[#This Row],[PEDIDO]]&amp;Tabela1[[#This Row],[PRODUTO]]</f>
        <v>1073-TC-006P-188RMF</v>
      </c>
      <c r="AQ352" s="22" t="str">
        <f>Tabela1[[#This Row],[PRODUTO]]&amp;Tabela1[[#This Row],[TAG]]</f>
        <v>RMF1073-TC-006</v>
      </c>
      <c r="AR352" s="24" t="str">
        <f>Tabela1[[#This Row],[PEDIDO]]&amp;Tabela1[[#This Row],[PRODUTO]]</f>
        <v>P-188RMF</v>
      </c>
      <c r="AS352" s="37">
        <f>IF(AF352="",0,IF(ISTEXT(AF352),H352*VALUE(SUBSTITUTE(AF352,"%",""))/100,H352*AF352))-Tabela1[[#This Row],[PRONTO ACABADO2]]</f>
        <v>0</v>
      </c>
      <c r="AT352" s="37">
        <f>IF(AG352="",0,IF(ISTEXT(AG352),H352*VALUE(SUBSTITUTE(AG352,"%",""))/100,H352*AG352))-Tabela1[[#This Row],[PESO EXPEDIDO2]]</f>
        <v>0</v>
      </c>
      <c r="AU352" s="37">
        <f t="shared" si="54"/>
        <v>0</v>
      </c>
      <c r="AV352" s="37">
        <f t="shared" si="55"/>
        <v>0</v>
      </c>
      <c r="AW352" s="37"/>
    </row>
    <row r="353" spans="1:49" ht="15.75" customHeight="1" x14ac:dyDescent="0.25">
      <c r="A353" s="6" t="s">
        <v>3993</v>
      </c>
      <c r="B353" s="21" t="s">
        <v>3999</v>
      </c>
      <c r="C353" s="7">
        <v>1</v>
      </c>
      <c r="D353" s="39" t="s">
        <v>3995</v>
      </c>
      <c r="E353" s="7">
        <v>4238</v>
      </c>
      <c r="F353" s="7" t="s">
        <v>3996</v>
      </c>
      <c r="G353" s="23">
        <v>24.9</v>
      </c>
      <c r="H353" s="34">
        <f>Tabela1[[#This Row],[PESO UNI]]*Tabela1[[#This Row],[QTE]]</f>
        <v>24.9</v>
      </c>
      <c r="I353" s="7">
        <v>2</v>
      </c>
      <c r="J353" s="8" t="s">
        <v>2276</v>
      </c>
      <c r="K353" s="8" t="s">
        <v>327</v>
      </c>
      <c r="L353" s="9" t="s">
        <v>2069</v>
      </c>
      <c r="M353" s="10">
        <v>46156</v>
      </c>
      <c r="N353" s="8" t="s">
        <v>327</v>
      </c>
      <c r="O353" s="12"/>
      <c r="P353" s="13"/>
      <c r="Q353" s="14">
        <f>Tabela1[[#This Row],[QTDE/ Fabricação]]-Tabela1[[#This Row],[QTE]]</f>
        <v>-1</v>
      </c>
      <c r="R353" s="18">
        <f t="shared" si="59"/>
        <v>23.654999999999998</v>
      </c>
      <c r="S353" s="18">
        <f t="shared" si="57"/>
        <v>0</v>
      </c>
      <c r="T353" s="19">
        <f t="shared" si="60"/>
        <v>-24.9</v>
      </c>
      <c r="U353" s="16">
        <f>IFERROR(SUMIF('LISTA DE EMBARQUE'!B:B,MICRO!E:E,'LISTA DE EMBARQUE'!G:G),"")</f>
        <v>0</v>
      </c>
      <c r="V353" s="12" t="str">
        <f>IFERROR(VLOOKUP(Tabela1[[#This Row],[COD.MDE]],'LISTA DE EMBARQUE'!B:L,11,0),"")</f>
        <v/>
      </c>
      <c r="W353" s="13" t="str">
        <f>IFERROR(VLOOKUP(Tabela1[[#This Row],[COD.MDE]],'LISTA DE EMBARQUE'!B:M,12,0),"")</f>
        <v/>
      </c>
      <c r="X353" s="14">
        <f>IFERROR(Tabela1[[#This Row],[QIANTIDADE EXPEDIDA]]*Tabela1[[#This Row],[PESO UNI]],"")</f>
        <v>0</v>
      </c>
      <c r="Y353" s="14">
        <f t="shared" si="56"/>
        <v>-1</v>
      </c>
      <c r="Z353" s="20">
        <f>Tabela1[[#This Row],[PESO TOTAL]]-Tabela1[[#This Row],[Peso Expedido]]</f>
        <v>24.9</v>
      </c>
      <c r="AA353" s="17">
        <v>1</v>
      </c>
      <c r="AB353" s="33"/>
      <c r="AC353" s="33">
        <v>1</v>
      </c>
      <c r="AD353" s="33">
        <v>1</v>
      </c>
      <c r="AE353" s="33">
        <v>1</v>
      </c>
      <c r="AF353" s="33">
        <v>0</v>
      </c>
      <c r="AG353" s="33">
        <v>0</v>
      </c>
      <c r="AH353" s="33"/>
      <c r="AI353" s="33" t="str">
        <f t="shared" si="61"/>
        <v/>
      </c>
      <c r="AJ353" s="5"/>
      <c r="AK353" t="str">
        <f>Tabela1[[#This Row],[Coluna1]]&amp;Tabela1[[#This Row],[PEDIDO]]</f>
        <v>P-188</v>
      </c>
      <c r="AL353"/>
      <c r="AM353"/>
      <c r="AN353"/>
      <c r="AO353" t="str">
        <f t="shared" si="58"/>
        <v>T-072993-1/1073-TC-007</v>
      </c>
      <c r="AP353" t="str">
        <f>Tabela1[[#This Row],[TAG]]&amp;Tabela1[[#This Row],[PEDIDO]]&amp;Tabela1[[#This Row],[PRODUTO]]</f>
        <v>1073-TC-007P-188RMF</v>
      </c>
      <c r="AQ353" s="22" t="str">
        <f>Tabela1[[#This Row],[PRODUTO]]&amp;Tabela1[[#This Row],[TAG]]</f>
        <v>RMF1073-TC-007</v>
      </c>
      <c r="AR353" s="24" t="str">
        <f>Tabela1[[#This Row],[PEDIDO]]&amp;Tabela1[[#This Row],[PRODUTO]]</f>
        <v>P-188RMF</v>
      </c>
      <c r="AS353" s="37">
        <f>IF(AF353="",0,IF(ISTEXT(AF353),H353*VALUE(SUBSTITUTE(AF353,"%",""))/100,H353*AF353))-Tabela1[[#This Row],[PRONTO ACABADO2]]</f>
        <v>0</v>
      </c>
      <c r="AT353" s="37">
        <f>IF(AG353="",0,IF(ISTEXT(AG353),H353*VALUE(SUBSTITUTE(AG353,"%",""))/100,H353*AG353))-Tabela1[[#This Row],[PESO EXPEDIDO2]]</f>
        <v>0</v>
      </c>
      <c r="AU353" s="37">
        <f t="shared" si="54"/>
        <v>0</v>
      </c>
      <c r="AV353" s="37">
        <f t="shared" si="55"/>
        <v>0</v>
      </c>
      <c r="AW353" s="37"/>
    </row>
    <row r="354" spans="1:49" ht="15.75" customHeight="1" x14ac:dyDescent="0.25">
      <c r="A354" s="6" t="s">
        <v>3993</v>
      </c>
      <c r="B354" s="21" t="s">
        <v>4000</v>
      </c>
      <c r="C354" s="7">
        <v>2</v>
      </c>
      <c r="D354" s="39" t="s">
        <v>3995</v>
      </c>
      <c r="E354" s="7">
        <v>4239</v>
      </c>
      <c r="F354" s="7" t="s">
        <v>3996</v>
      </c>
      <c r="G354" s="23">
        <v>37</v>
      </c>
      <c r="H354" s="34">
        <f>Tabela1[[#This Row],[PESO UNI]]*Tabela1[[#This Row],[QTE]]</f>
        <v>74</v>
      </c>
      <c r="I354" s="7">
        <v>2</v>
      </c>
      <c r="J354" s="8" t="s">
        <v>2274</v>
      </c>
      <c r="K354" s="8" t="s">
        <v>327</v>
      </c>
      <c r="L354" s="9" t="s">
        <v>2069</v>
      </c>
      <c r="M354" s="10">
        <v>46156</v>
      </c>
      <c r="N354" s="8" t="s">
        <v>327</v>
      </c>
      <c r="O354" s="12"/>
      <c r="P354" s="13"/>
      <c r="Q354" s="14">
        <f>Tabela1[[#This Row],[QTDE/ Fabricação]]-Tabela1[[#This Row],[QTE]]</f>
        <v>-2</v>
      </c>
      <c r="R354" s="18">
        <f t="shared" si="59"/>
        <v>70.3</v>
      </c>
      <c r="S354" s="18">
        <f t="shared" si="57"/>
        <v>0</v>
      </c>
      <c r="T354" s="19">
        <f t="shared" si="60"/>
        <v>-74</v>
      </c>
      <c r="U354" s="16">
        <f>IFERROR(SUMIF('LISTA DE EMBARQUE'!B:B,MICRO!E:E,'LISTA DE EMBARQUE'!G:G),"")</f>
        <v>0</v>
      </c>
      <c r="V354" s="12" t="str">
        <f>IFERROR(VLOOKUP(Tabela1[[#This Row],[COD.MDE]],'LISTA DE EMBARQUE'!B:L,11,0),"")</f>
        <v/>
      </c>
      <c r="W354" s="13" t="str">
        <f>IFERROR(VLOOKUP(Tabela1[[#This Row],[COD.MDE]],'LISTA DE EMBARQUE'!B:M,12,0),"")</f>
        <v/>
      </c>
      <c r="X354" s="14">
        <f>IFERROR(Tabela1[[#This Row],[QIANTIDADE EXPEDIDA]]*Tabela1[[#This Row],[PESO UNI]],"")</f>
        <v>0</v>
      </c>
      <c r="Y354" s="14">
        <f t="shared" si="56"/>
        <v>-2</v>
      </c>
      <c r="Z354" s="20">
        <f>Tabela1[[#This Row],[PESO TOTAL]]-Tabela1[[#This Row],[Peso Expedido]]</f>
        <v>74</v>
      </c>
      <c r="AA354" s="17">
        <v>1</v>
      </c>
      <c r="AB354" s="33"/>
      <c r="AC354" s="33">
        <v>1</v>
      </c>
      <c r="AD354" s="33">
        <v>1</v>
      </c>
      <c r="AE354" s="33">
        <v>1</v>
      </c>
      <c r="AF354" s="33">
        <v>0</v>
      </c>
      <c r="AG354" s="33">
        <v>0</v>
      </c>
      <c r="AH354" s="33"/>
      <c r="AI354" s="33" t="str">
        <f t="shared" si="61"/>
        <v/>
      </c>
      <c r="AJ354" s="5"/>
      <c r="AK354" t="str">
        <f>Tabela1[[#This Row],[Coluna1]]&amp;Tabela1[[#This Row],[PEDIDO]]</f>
        <v>P-188</v>
      </c>
      <c r="AL354"/>
      <c r="AM354"/>
      <c r="AN354"/>
      <c r="AO354" t="str">
        <f t="shared" si="58"/>
        <v>T-072993-1/1073-TC-006</v>
      </c>
      <c r="AP354" t="str">
        <f>Tabela1[[#This Row],[TAG]]&amp;Tabela1[[#This Row],[PEDIDO]]&amp;Tabela1[[#This Row],[PRODUTO]]</f>
        <v>1073-TC-006P-188RMF</v>
      </c>
      <c r="AQ354" s="22" t="str">
        <f>Tabela1[[#This Row],[PRODUTO]]&amp;Tabela1[[#This Row],[TAG]]</f>
        <v>RMF1073-TC-006</v>
      </c>
      <c r="AR354" s="24" t="str">
        <f>Tabela1[[#This Row],[PEDIDO]]&amp;Tabela1[[#This Row],[PRODUTO]]</f>
        <v>P-188RMF</v>
      </c>
      <c r="AS354" s="37">
        <f>IF(AF354="",0,IF(ISTEXT(AF354),H354*VALUE(SUBSTITUTE(AF354,"%",""))/100,H354*AF354))-Tabela1[[#This Row],[PRONTO ACABADO2]]</f>
        <v>0</v>
      </c>
      <c r="AT354" s="37">
        <f>IF(AG354="",0,IF(ISTEXT(AG354),H354*VALUE(SUBSTITUTE(AG354,"%",""))/100,H354*AG354))-Tabela1[[#This Row],[PESO EXPEDIDO2]]</f>
        <v>0</v>
      </c>
      <c r="AU354" s="37">
        <f t="shared" si="54"/>
        <v>0</v>
      </c>
      <c r="AV354" s="37">
        <f t="shared" si="55"/>
        <v>0</v>
      </c>
      <c r="AW354" s="37"/>
    </row>
    <row r="355" spans="1:49" ht="15.75" customHeight="1" x14ac:dyDescent="0.25">
      <c r="A355" s="6" t="s">
        <v>3993</v>
      </c>
      <c r="B355" s="21" t="s">
        <v>4000</v>
      </c>
      <c r="C355" s="7">
        <v>2</v>
      </c>
      <c r="D355" s="39" t="s">
        <v>3995</v>
      </c>
      <c r="E355" s="7">
        <v>4240</v>
      </c>
      <c r="F355" s="7" t="s">
        <v>3996</v>
      </c>
      <c r="G355" s="23">
        <v>37</v>
      </c>
      <c r="H355" s="34">
        <f>Tabela1[[#This Row],[PESO UNI]]*Tabela1[[#This Row],[QTE]]</f>
        <v>74</v>
      </c>
      <c r="I355" s="7">
        <v>2</v>
      </c>
      <c r="J355" s="8" t="s">
        <v>2276</v>
      </c>
      <c r="K355" s="8" t="s">
        <v>327</v>
      </c>
      <c r="L355" s="9" t="s">
        <v>2069</v>
      </c>
      <c r="M355" s="10">
        <v>46156</v>
      </c>
      <c r="N355" s="8" t="s">
        <v>327</v>
      </c>
      <c r="O355" s="12"/>
      <c r="P355" s="13"/>
      <c r="Q355" s="14">
        <f>Tabela1[[#This Row],[QTDE/ Fabricação]]-Tabela1[[#This Row],[QTE]]</f>
        <v>-2</v>
      </c>
      <c r="R355" s="18">
        <f t="shared" si="59"/>
        <v>70.3</v>
      </c>
      <c r="S355" s="18">
        <f t="shared" si="57"/>
        <v>0</v>
      </c>
      <c r="T355" s="19">
        <f t="shared" si="60"/>
        <v>-74</v>
      </c>
      <c r="U355" s="16">
        <f>IFERROR(SUMIF('LISTA DE EMBARQUE'!B:B,MICRO!E:E,'LISTA DE EMBARQUE'!G:G),"")</f>
        <v>0</v>
      </c>
      <c r="V355" s="12" t="str">
        <f>IFERROR(VLOOKUP(Tabela1[[#This Row],[COD.MDE]],'LISTA DE EMBARQUE'!B:L,11,0),"")</f>
        <v/>
      </c>
      <c r="W355" s="13" t="str">
        <f>IFERROR(VLOOKUP(Tabela1[[#This Row],[COD.MDE]],'LISTA DE EMBARQUE'!B:M,12,0),"")</f>
        <v/>
      </c>
      <c r="X355" s="14">
        <f>IFERROR(Tabela1[[#This Row],[QIANTIDADE EXPEDIDA]]*Tabela1[[#This Row],[PESO UNI]],"")</f>
        <v>0</v>
      </c>
      <c r="Y355" s="14">
        <f t="shared" si="56"/>
        <v>-2</v>
      </c>
      <c r="Z355" s="20">
        <f>Tabela1[[#This Row],[PESO TOTAL]]-Tabela1[[#This Row],[Peso Expedido]]</f>
        <v>74</v>
      </c>
      <c r="AA355" s="17">
        <v>1</v>
      </c>
      <c r="AB355" s="33"/>
      <c r="AC355" s="33">
        <v>1</v>
      </c>
      <c r="AD355" s="33">
        <v>1</v>
      </c>
      <c r="AE355" s="33">
        <v>1</v>
      </c>
      <c r="AF355" s="33">
        <v>0</v>
      </c>
      <c r="AG355" s="33">
        <v>0</v>
      </c>
      <c r="AH355" s="33"/>
      <c r="AI355" s="33" t="str">
        <f t="shared" si="61"/>
        <v/>
      </c>
      <c r="AJ355" s="5"/>
      <c r="AK355" t="str">
        <f>Tabela1[[#This Row],[Coluna1]]&amp;Tabela1[[#This Row],[PEDIDO]]</f>
        <v>P-188</v>
      </c>
      <c r="AL355"/>
      <c r="AM355"/>
      <c r="AN355"/>
      <c r="AO355" t="str">
        <f t="shared" si="58"/>
        <v>T-072993-1/1073-TC-007</v>
      </c>
      <c r="AP355" t="str">
        <f>Tabela1[[#This Row],[TAG]]&amp;Tabela1[[#This Row],[PEDIDO]]&amp;Tabela1[[#This Row],[PRODUTO]]</f>
        <v>1073-TC-007P-188RMF</v>
      </c>
      <c r="AQ355" s="22" t="str">
        <f>Tabela1[[#This Row],[PRODUTO]]&amp;Tabela1[[#This Row],[TAG]]</f>
        <v>RMF1073-TC-007</v>
      </c>
      <c r="AR355" s="24" t="str">
        <f>Tabela1[[#This Row],[PEDIDO]]&amp;Tabela1[[#This Row],[PRODUTO]]</f>
        <v>P-188RMF</v>
      </c>
      <c r="AS355" s="37">
        <f>IF(AF355="",0,IF(ISTEXT(AF355),H355*VALUE(SUBSTITUTE(AF355,"%",""))/100,H355*AF355))-Tabela1[[#This Row],[PRONTO ACABADO2]]</f>
        <v>0</v>
      </c>
      <c r="AT355" s="37">
        <f>IF(AG355="",0,IF(ISTEXT(AG355),H355*VALUE(SUBSTITUTE(AG355,"%",""))/100,H355*AG355))-Tabela1[[#This Row],[PESO EXPEDIDO2]]</f>
        <v>0</v>
      </c>
      <c r="AU355" s="37">
        <f t="shared" si="54"/>
        <v>0</v>
      </c>
      <c r="AV355" s="37">
        <f t="shared" si="55"/>
        <v>0</v>
      </c>
      <c r="AW355" s="37"/>
    </row>
    <row r="356" spans="1:49" ht="15.75" customHeight="1" x14ac:dyDescent="0.25">
      <c r="A356" s="6" t="s">
        <v>3993</v>
      </c>
      <c r="B356" s="21" t="s">
        <v>4001</v>
      </c>
      <c r="C356" s="7">
        <v>2</v>
      </c>
      <c r="D356" s="39" t="s">
        <v>3995</v>
      </c>
      <c r="E356" s="7">
        <v>4241</v>
      </c>
      <c r="F356" s="7" t="s">
        <v>3996</v>
      </c>
      <c r="G356" s="23">
        <v>32.5</v>
      </c>
      <c r="H356" s="34">
        <f>Tabela1[[#This Row],[PESO UNI]]*Tabela1[[#This Row],[QTE]]</f>
        <v>65</v>
      </c>
      <c r="I356" s="7">
        <v>2</v>
      </c>
      <c r="J356" s="8" t="s">
        <v>2274</v>
      </c>
      <c r="K356" s="8" t="s">
        <v>327</v>
      </c>
      <c r="L356" s="9" t="s">
        <v>2069</v>
      </c>
      <c r="M356" s="10">
        <v>46156</v>
      </c>
      <c r="N356" s="8" t="s">
        <v>327</v>
      </c>
      <c r="O356" s="12"/>
      <c r="P356" s="13"/>
      <c r="Q356" s="14">
        <f>Tabela1[[#This Row],[QTDE/ Fabricação]]-Tabela1[[#This Row],[QTE]]</f>
        <v>-2</v>
      </c>
      <c r="R356" s="18">
        <f t="shared" si="59"/>
        <v>61.75</v>
      </c>
      <c r="S356" s="18">
        <f t="shared" si="57"/>
        <v>0</v>
      </c>
      <c r="T356" s="19">
        <f t="shared" ref="T356:T419" si="62">IFERROR(S356-H356,"")</f>
        <v>-65</v>
      </c>
      <c r="U356" s="16">
        <f>IFERROR(SUMIF('LISTA DE EMBARQUE'!B:B,MICRO!E:E,'LISTA DE EMBARQUE'!G:G),"")</f>
        <v>0</v>
      </c>
      <c r="V356" s="12" t="str">
        <f>IFERROR(VLOOKUP(Tabela1[[#This Row],[COD.MDE]],'LISTA DE EMBARQUE'!B:L,11,0),"")</f>
        <v/>
      </c>
      <c r="W356" s="13" t="str">
        <f>IFERROR(VLOOKUP(Tabela1[[#This Row],[COD.MDE]],'LISTA DE EMBARQUE'!B:M,12,0),"")</f>
        <v/>
      </c>
      <c r="X356" s="14">
        <f>IFERROR(Tabela1[[#This Row],[QIANTIDADE EXPEDIDA]]*Tabela1[[#This Row],[PESO UNI]],"")</f>
        <v>0</v>
      </c>
      <c r="Y356" s="14">
        <f t="shared" ref="Y356:Y419" si="63">U356-C356</f>
        <v>-2</v>
      </c>
      <c r="Z356" s="20">
        <f>Tabela1[[#This Row],[PESO TOTAL]]-Tabela1[[#This Row],[Peso Expedido]]</f>
        <v>65</v>
      </c>
      <c r="AA356" s="17">
        <v>1</v>
      </c>
      <c r="AB356" s="33"/>
      <c r="AC356" s="33">
        <v>1</v>
      </c>
      <c r="AD356" s="33">
        <v>1</v>
      </c>
      <c r="AE356" s="33">
        <v>1</v>
      </c>
      <c r="AF356" s="33">
        <v>0</v>
      </c>
      <c r="AG356" s="33">
        <v>0</v>
      </c>
      <c r="AH356" s="33"/>
      <c r="AI356" s="33" t="str">
        <f t="shared" si="61"/>
        <v/>
      </c>
      <c r="AJ356" s="5"/>
      <c r="AK356" t="str">
        <f>Tabela1[[#This Row],[Coluna1]]&amp;Tabela1[[#This Row],[PEDIDO]]</f>
        <v>P-188</v>
      </c>
      <c r="AL356"/>
      <c r="AM356"/>
      <c r="AN356"/>
      <c r="AO356" t="str">
        <f t="shared" si="58"/>
        <v>T-072993-1/1073-TC-006</v>
      </c>
      <c r="AP356" t="str">
        <f>Tabela1[[#This Row],[TAG]]&amp;Tabela1[[#This Row],[PEDIDO]]&amp;Tabela1[[#This Row],[PRODUTO]]</f>
        <v>1073-TC-006P-188RMF</v>
      </c>
      <c r="AQ356" s="22" t="str">
        <f>Tabela1[[#This Row],[PRODUTO]]&amp;Tabela1[[#This Row],[TAG]]</f>
        <v>RMF1073-TC-006</v>
      </c>
      <c r="AR356" s="24" t="str">
        <f>Tabela1[[#This Row],[PEDIDO]]&amp;Tabela1[[#This Row],[PRODUTO]]</f>
        <v>P-188RMF</v>
      </c>
      <c r="AS356" s="37">
        <f>IF(AF356="",0,IF(ISTEXT(AF356),H356*VALUE(SUBSTITUTE(AF356,"%",""))/100,H356*AF356))-Tabela1[[#This Row],[PRONTO ACABADO2]]</f>
        <v>0</v>
      </c>
      <c r="AT356" s="37">
        <f>IF(AG356="",0,IF(ISTEXT(AG356),H356*VALUE(SUBSTITUTE(AG356,"%",""))/100,H356*AG356))-Tabela1[[#This Row],[PESO EXPEDIDO2]]</f>
        <v>0</v>
      </c>
      <c r="AU356" s="37">
        <f t="shared" si="54"/>
        <v>0</v>
      </c>
      <c r="AV356" s="37">
        <f t="shared" si="55"/>
        <v>0</v>
      </c>
      <c r="AW356" s="37"/>
    </row>
    <row r="357" spans="1:49" ht="15.75" customHeight="1" x14ac:dyDescent="0.25">
      <c r="A357" s="6" t="s">
        <v>3993</v>
      </c>
      <c r="B357" s="21" t="s">
        <v>4001</v>
      </c>
      <c r="C357" s="7">
        <v>2</v>
      </c>
      <c r="D357" s="39" t="s">
        <v>3995</v>
      </c>
      <c r="E357" s="7">
        <v>4242</v>
      </c>
      <c r="F357" s="7" t="s">
        <v>3996</v>
      </c>
      <c r="G357" s="23">
        <v>32.5</v>
      </c>
      <c r="H357" s="34">
        <f>Tabela1[[#This Row],[PESO UNI]]*Tabela1[[#This Row],[QTE]]</f>
        <v>65</v>
      </c>
      <c r="I357" s="7">
        <v>2</v>
      </c>
      <c r="J357" s="8" t="s">
        <v>2276</v>
      </c>
      <c r="K357" s="8" t="s">
        <v>327</v>
      </c>
      <c r="L357" s="9" t="s">
        <v>2069</v>
      </c>
      <c r="M357" s="10">
        <v>46156</v>
      </c>
      <c r="N357" s="8" t="s">
        <v>327</v>
      </c>
      <c r="O357" s="12"/>
      <c r="P357" s="13"/>
      <c r="Q357" s="14">
        <f>Tabela1[[#This Row],[QTDE/ Fabricação]]-Tabela1[[#This Row],[QTE]]</f>
        <v>-2</v>
      </c>
      <c r="R357" s="18">
        <f t="shared" si="59"/>
        <v>61.75</v>
      </c>
      <c r="S357" s="18">
        <f t="shared" si="57"/>
        <v>0</v>
      </c>
      <c r="T357" s="19">
        <f t="shared" si="62"/>
        <v>-65</v>
      </c>
      <c r="U357" s="16">
        <f>IFERROR(SUMIF('LISTA DE EMBARQUE'!B:B,MICRO!E:E,'LISTA DE EMBARQUE'!G:G),"")</f>
        <v>0</v>
      </c>
      <c r="V357" s="12" t="str">
        <f>IFERROR(VLOOKUP(Tabela1[[#This Row],[COD.MDE]],'LISTA DE EMBARQUE'!B:L,11,0),"")</f>
        <v/>
      </c>
      <c r="W357" s="13" t="str">
        <f>IFERROR(VLOOKUP(Tabela1[[#This Row],[COD.MDE]],'LISTA DE EMBARQUE'!B:M,12,0),"")</f>
        <v/>
      </c>
      <c r="X357" s="14">
        <f>IFERROR(Tabela1[[#This Row],[QIANTIDADE EXPEDIDA]]*Tabela1[[#This Row],[PESO UNI]],"")</f>
        <v>0</v>
      </c>
      <c r="Y357" s="14">
        <f t="shared" si="63"/>
        <v>-2</v>
      </c>
      <c r="Z357" s="20">
        <f>Tabela1[[#This Row],[PESO TOTAL]]-Tabela1[[#This Row],[Peso Expedido]]</f>
        <v>65</v>
      </c>
      <c r="AA357" s="17">
        <v>1</v>
      </c>
      <c r="AB357" s="33"/>
      <c r="AC357" s="33">
        <v>1</v>
      </c>
      <c r="AD357" s="33">
        <v>1</v>
      </c>
      <c r="AE357" s="33">
        <v>1</v>
      </c>
      <c r="AF357" s="33">
        <v>0</v>
      </c>
      <c r="AG357" s="33">
        <v>0</v>
      </c>
      <c r="AH357" s="33"/>
      <c r="AI357" s="33" t="str">
        <f t="shared" si="61"/>
        <v/>
      </c>
      <c r="AJ357" s="5"/>
      <c r="AK357" t="str">
        <f>Tabela1[[#This Row],[Coluna1]]&amp;Tabela1[[#This Row],[PEDIDO]]</f>
        <v>P-188</v>
      </c>
      <c r="AL357"/>
      <c r="AM357"/>
      <c r="AN357"/>
      <c r="AO357" t="str">
        <f t="shared" si="58"/>
        <v>T-072993-1/1073-TC-007</v>
      </c>
      <c r="AP357" t="str">
        <f>Tabela1[[#This Row],[TAG]]&amp;Tabela1[[#This Row],[PEDIDO]]&amp;Tabela1[[#This Row],[PRODUTO]]</f>
        <v>1073-TC-007P-188RMF</v>
      </c>
      <c r="AQ357" s="22" t="str">
        <f>Tabela1[[#This Row],[PRODUTO]]&amp;Tabela1[[#This Row],[TAG]]</f>
        <v>RMF1073-TC-007</v>
      </c>
      <c r="AR357" s="24" t="str">
        <f>Tabela1[[#This Row],[PEDIDO]]&amp;Tabela1[[#This Row],[PRODUTO]]</f>
        <v>P-188RMF</v>
      </c>
      <c r="AS357" s="37">
        <f>IF(AF357="",0,IF(ISTEXT(AF357),H357*VALUE(SUBSTITUTE(AF357,"%",""))/100,H357*AF357))-Tabela1[[#This Row],[PRONTO ACABADO2]]</f>
        <v>0</v>
      </c>
      <c r="AT357" s="37">
        <f>IF(AG357="",0,IF(ISTEXT(AG357),H357*VALUE(SUBSTITUTE(AG357,"%",""))/100,H357*AG357))-Tabela1[[#This Row],[PESO EXPEDIDO2]]</f>
        <v>0</v>
      </c>
      <c r="AU357" s="37">
        <f t="shared" ref="AU357:AU420" si="64">IF(AH357="",0,IF(ISTEXT(AH357),H357*VALUE(SUBSTITUTE(AH357,"%",""))/100,H357*AH357))</f>
        <v>0</v>
      </c>
      <c r="AV357" s="37">
        <f t="shared" ref="AV357:AV420" si="65">IF(AG357="",0,IF(ISTEXT(AG357),H357*VALUE(SUBSTITUTE(AG357,"%",""))/100,H357*AG357))</f>
        <v>0</v>
      </c>
      <c r="AW357" s="37"/>
    </row>
    <row r="358" spans="1:49" ht="15.75" customHeight="1" x14ac:dyDescent="0.25">
      <c r="A358" s="6" t="s">
        <v>3773</v>
      </c>
      <c r="B358" s="21" t="s">
        <v>4002</v>
      </c>
      <c r="C358" s="7">
        <v>1</v>
      </c>
      <c r="D358" s="39" t="s">
        <v>4003</v>
      </c>
      <c r="E358" s="7">
        <v>4243</v>
      </c>
      <c r="F358" s="7" t="s">
        <v>3775</v>
      </c>
      <c r="G358" s="23">
        <v>151.80000000000001</v>
      </c>
      <c r="H358" s="34">
        <f>Tabela1[[#This Row],[PESO UNI]]*Tabela1[[#This Row],[QTE]]</f>
        <v>151.80000000000001</v>
      </c>
      <c r="I358" s="7">
        <v>5</v>
      </c>
      <c r="J358" s="8" t="s">
        <v>2274</v>
      </c>
      <c r="K358" s="8" t="s">
        <v>327</v>
      </c>
      <c r="L358" s="9" t="s">
        <v>2069</v>
      </c>
      <c r="M358" s="10">
        <v>46156</v>
      </c>
      <c r="N358" s="8" t="s">
        <v>327</v>
      </c>
      <c r="O358" s="12"/>
      <c r="P358" s="13"/>
      <c r="Q358" s="14">
        <f>Tabela1[[#This Row],[QTDE/ Fabricação]]-Tabela1[[#This Row],[QTE]]</f>
        <v>-1</v>
      </c>
      <c r="R358" s="18">
        <f t="shared" si="59"/>
        <v>151.80000000000001</v>
      </c>
      <c r="S358" s="18">
        <f t="shared" si="57"/>
        <v>151.80000000000001</v>
      </c>
      <c r="T358" s="19">
        <f t="shared" si="62"/>
        <v>0</v>
      </c>
      <c r="U358" s="207">
        <v>1</v>
      </c>
      <c r="V358" s="12" t="str">
        <f>IFERROR(VLOOKUP(Tabela1[[#This Row],[COD.MDE]],'LISTA DE EMBARQUE'!B:L,11,0),"")</f>
        <v/>
      </c>
      <c r="W358" s="13"/>
      <c r="X358" s="14">
        <f>IFERROR(Tabela1[[#This Row],[QIANTIDADE EXPEDIDA]]*Tabela1[[#This Row],[PESO UNI]],"")</f>
        <v>151.80000000000001</v>
      </c>
      <c r="Y358" s="14">
        <f t="shared" si="63"/>
        <v>0</v>
      </c>
      <c r="Z358" s="20">
        <f>Tabela1[[#This Row],[PESO TOTAL]]-Tabela1[[#This Row],[Peso Expedido]]</f>
        <v>0</v>
      </c>
      <c r="AA358" s="17">
        <v>1</v>
      </c>
      <c r="AB358" s="33"/>
      <c r="AC358" s="33">
        <v>1</v>
      </c>
      <c r="AD358" s="33">
        <v>1</v>
      </c>
      <c r="AE358" s="33">
        <v>1</v>
      </c>
      <c r="AF358" s="33">
        <v>1</v>
      </c>
      <c r="AG358" s="33">
        <v>1</v>
      </c>
      <c r="AH358" s="33">
        <v>1</v>
      </c>
      <c r="AI358" s="33" t="str">
        <f t="shared" si="61"/>
        <v>ok</v>
      </c>
      <c r="AJ358" s="5"/>
      <c r="AK358" t="str">
        <f>Tabela1[[#This Row],[Coluna1]]&amp;Tabela1[[#This Row],[PEDIDO]]</f>
        <v>P-188</v>
      </c>
      <c r="AL358"/>
      <c r="AM358"/>
      <c r="AN358"/>
      <c r="AO358" t="str">
        <f t="shared" si="58"/>
        <v>T-072953-1/1073-TC-006</v>
      </c>
      <c r="AP358" t="str">
        <f>Tabela1[[#This Row],[TAG]]&amp;Tabela1[[#This Row],[PEDIDO]]&amp;Tabela1[[#This Row],[PRODUTO]]</f>
        <v>1073-TC-006P-188RMF</v>
      </c>
      <c r="AQ358" s="22" t="str">
        <f>Tabela1[[#This Row],[PRODUTO]]&amp;Tabela1[[#This Row],[TAG]]</f>
        <v>RMF1073-TC-006</v>
      </c>
      <c r="AR358" s="24" t="str">
        <f>Tabela1[[#This Row],[PEDIDO]]&amp;Tabela1[[#This Row],[PRODUTO]]</f>
        <v>P-188RMF</v>
      </c>
      <c r="AS358" s="37">
        <f>IF(AF358="",0,IF(ISTEXT(AF358),H358*VALUE(SUBSTITUTE(AF358,"%",""))/100,H358*AF358))-Tabela1[[#This Row],[PRONTO ACABADO2]]</f>
        <v>0</v>
      </c>
      <c r="AT358" s="37">
        <f>IF(AG358="",0,IF(ISTEXT(AG358),H358*VALUE(SUBSTITUTE(AG358,"%",""))/100,H358*AG358))-Tabela1[[#This Row],[PESO EXPEDIDO2]]</f>
        <v>0</v>
      </c>
      <c r="AU358" s="37">
        <f t="shared" si="64"/>
        <v>151.80000000000001</v>
      </c>
      <c r="AV358" s="37">
        <f t="shared" si="65"/>
        <v>151.80000000000001</v>
      </c>
      <c r="AW358" s="37"/>
    </row>
    <row r="359" spans="1:49" ht="15.75" customHeight="1" x14ac:dyDescent="0.25">
      <c r="A359" s="6" t="s">
        <v>3773</v>
      </c>
      <c r="B359" s="21" t="s">
        <v>4002</v>
      </c>
      <c r="C359" s="7">
        <v>1</v>
      </c>
      <c r="D359" s="39" t="s">
        <v>4003</v>
      </c>
      <c r="E359" s="7">
        <v>4244</v>
      </c>
      <c r="F359" s="7" t="s">
        <v>3775</v>
      </c>
      <c r="G359" s="23">
        <v>151.80000000000001</v>
      </c>
      <c r="H359" s="34">
        <f>Tabela1[[#This Row],[PESO UNI]]*Tabela1[[#This Row],[QTE]]</f>
        <v>151.80000000000001</v>
      </c>
      <c r="I359" s="7">
        <v>5</v>
      </c>
      <c r="J359" s="8" t="s">
        <v>2276</v>
      </c>
      <c r="K359" s="8" t="s">
        <v>327</v>
      </c>
      <c r="L359" s="9" t="s">
        <v>2069</v>
      </c>
      <c r="M359" s="10">
        <v>46156</v>
      </c>
      <c r="N359" s="8" t="s">
        <v>327</v>
      </c>
      <c r="O359" s="12"/>
      <c r="P359" s="13"/>
      <c r="Q359" s="14">
        <f>Tabela1[[#This Row],[QTDE/ Fabricação]]-Tabela1[[#This Row],[QTE]]</f>
        <v>-1</v>
      </c>
      <c r="R359" s="18">
        <f t="shared" si="59"/>
        <v>151.80000000000001</v>
      </c>
      <c r="S359" s="18">
        <f t="shared" si="57"/>
        <v>151.80000000000001</v>
      </c>
      <c r="T359" s="19">
        <f t="shared" si="62"/>
        <v>0</v>
      </c>
      <c r="U359" s="207">
        <v>1</v>
      </c>
      <c r="V359" s="12" t="str">
        <f>IFERROR(VLOOKUP(Tabela1[[#This Row],[COD.MDE]],'LISTA DE EMBARQUE'!B:L,11,0),"")</f>
        <v/>
      </c>
      <c r="W359" s="13"/>
      <c r="X359" s="14">
        <f>IFERROR(Tabela1[[#This Row],[QIANTIDADE EXPEDIDA]]*Tabela1[[#This Row],[PESO UNI]],"")</f>
        <v>151.80000000000001</v>
      </c>
      <c r="Y359" s="14">
        <f t="shared" si="63"/>
        <v>0</v>
      </c>
      <c r="Z359" s="20">
        <f>Tabela1[[#This Row],[PESO TOTAL]]-Tabela1[[#This Row],[Peso Expedido]]</f>
        <v>0</v>
      </c>
      <c r="AA359" s="17">
        <v>1</v>
      </c>
      <c r="AB359" s="33"/>
      <c r="AC359" s="33">
        <v>1</v>
      </c>
      <c r="AD359" s="33">
        <v>1</v>
      </c>
      <c r="AE359" s="33">
        <v>1</v>
      </c>
      <c r="AF359" s="33">
        <v>1</v>
      </c>
      <c r="AG359" s="33">
        <v>1</v>
      </c>
      <c r="AH359" s="33">
        <v>1</v>
      </c>
      <c r="AI359" s="33" t="str">
        <f t="shared" si="61"/>
        <v>ok</v>
      </c>
      <c r="AJ359" s="5"/>
      <c r="AK359" t="str">
        <f>Tabela1[[#This Row],[Coluna1]]&amp;Tabela1[[#This Row],[PEDIDO]]</f>
        <v>P-188</v>
      </c>
      <c r="AL359"/>
      <c r="AM359"/>
      <c r="AN359"/>
      <c r="AO359" t="str">
        <f t="shared" si="58"/>
        <v>T-072953-1/1073-TC-007</v>
      </c>
      <c r="AP359" t="str">
        <f>Tabela1[[#This Row],[TAG]]&amp;Tabela1[[#This Row],[PEDIDO]]&amp;Tabela1[[#This Row],[PRODUTO]]</f>
        <v>1073-TC-007P-188RMF</v>
      </c>
      <c r="AQ359" s="22" t="str">
        <f>Tabela1[[#This Row],[PRODUTO]]&amp;Tabela1[[#This Row],[TAG]]</f>
        <v>RMF1073-TC-007</v>
      </c>
      <c r="AR359" s="24" t="str">
        <f>Tabela1[[#This Row],[PEDIDO]]&amp;Tabela1[[#This Row],[PRODUTO]]</f>
        <v>P-188RMF</v>
      </c>
      <c r="AS359" s="37">
        <f>IF(AF359="",0,IF(ISTEXT(AF359),H359*VALUE(SUBSTITUTE(AF359,"%",""))/100,H359*AF359))-Tabela1[[#This Row],[PRONTO ACABADO2]]</f>
        <v>0</v>
      </c>
      <c r="AT359" s="37">
        <f>IF(AG359="",0,IF(ISTEXT(AG359),H359*VALUE(SUBSTITUTE(AG359,"%",""))/100,H359*AG359))-Tabela1[[#This Row],[PESO EXPEDIDO2]]</f>
        <v>0</v>
      </c>
      <c r="AU359" s="37">
        <f t="shared" si="64"/>
        <v>151.80000000000001</v>
      </c>
      <c r="AV359" s="37">
        <f t="shared" si="65"/>
        <v>151.80000000000001</v>
      </c>
      <c r="AW359" s="37"/>
    </row>
    <row r="360" spans="1:49" ht="15.75" customHeight="1" x14ac:dyDescent="0.25">
      <c r="A360" s="6" t="s">
        <v>4004</v>
      </c>
      <c r="B360" s="21" t="s">
        <v>4005</v>
      </c>
      <c r="C360" s="7">
        <v>1</v>
      </c>
      <c r="D360" s="39" t="s">
        <v>4006</v>
      </c>
      <c r="E360" s="7">
        <v>4245</v>
      </c>
      <c r="F360" s="7" t="s">
        <v>4007</v>
      </c>
      <c r="G360" s="23">
        <v>17.899999999999999</v>
      </c>
      <c r="H360" s="34">
        <f>Tabela1[[#This Row],[PESO UNI]]*Tabela1[[#This Row],[QTE]]</f>
        <v>17.899999999999999</v>
      </c>
      <c r="I360" s="7" t="s">
        <v>2</v>
      </c>
      <c r="J360" s="8" t="s">
        <v>2274</v>
      </c>
      <c r="K360" s="8" t="s">
        <v>327</v>
      </c>
      <c r="L360" s="9" t="s">
        <v>2069</v>
      </c>
      <c r="M360" s="10">
        <v>46149</v>
      </c>
      <c r="N360" s="8" t="s">
        <v>327</v>
      </c>
      <c r="O360" s="12"/>
      <c r="P360" s="13"/>
      <c r="Q360" s="14">
        <f>Tabela1[[#This Row],[QTDE/ Fabricação]]-Tabela1[[#This Row],[QTE]]</f>
        <v>-1</v>
      </c>
      <c r="R360" s="18">
        <f t="shared" si="59"/>
        <v>17.899999999999999</v>
      </c>
      <c r="S360" s="18">
        <f t="shared" si="57"/>
        <v>0</v>
      </c>
      <c r="T360" s="19">
        <f t="shared" si="62"/>
        <v>-17.899999999999999</v>
      </c>
      <c r="U360" s="16">
        <f>IFERROR(SUMIF('LISTA DE EMBARQUE'!B:B,MICRO!E:E,'LISTA DE EMBARQUE'!G:G),"")</f>
        <v>0</v>
      </c>
      <c r="V360" s="12" t="str">
        <f>IFERROR(VLOOKUP(Tabela1[[#This Row],[COD.MDE]],'LISTA DE EMBARQUE'!B:L,11,0),"")</f>
        <v/>
      </c>
      <c r="W360" s="13" t="str">
        <f>IFERROR(VLOOKUP(Tabela1[[#This Row],[COD.MDE]],'LISTA DE EMBARQUE'!B:M,12,0),"")</f>
        <v/>
      </c>
      <c r="X360" s="14">
        <f>IFERROR(Tabela1[[#This Row],[QIANTIDADE EXPEDIDA]]*Tabela1[[#This Row],[PESO UNI]],"")</f>
        <v>0</v>
      </c>
      <c r="Y360" s="14">
        <f t="shared" si="63"/>
        <v>-1</v>
      </c>
      <c r="Z360" s="20">
        <f>Tabela1[[#This Row],[PESO TOTAL]]-Tabela1[[#This Row],[Peso Expedido]]</f>
        <v>17.899999999999999</v>
      </c>
      <c r="AA360" s="17">
        <v>1</v>
      </c>
      <c r="AB360" s="33"/>
      <c r="AC360" s="33">
        <v>1</v>
      </c>
      <c r="AD360" s="33">
        <v>1</v>
      </c>
      <c r="AE360" s="33">
        <v>1</v>
      </c>
      <c r="AF360" s="33">
        <v>1</v>
      </c>
      <c r="AG360" s="33">
        <v>0</v>
      </c>
      <c r="AH360" s="33"/>
      <c r="AI360" s="33" t="str">
        <f t="shared" si="61"/>
        <v/>
      </c>
      <c r="AJ360" s="5"/>
      <c r="AK360" t="str">
        <f>Tabela1[[#This Row],[Coluna1]]&amp;Tabela1[[#This Row],[PEDIDO]]</f>
        <v>P-188</v>
      </c>
      <c r="AL360"/>
      <c r="AM360"/>
      <c r="AN360"/>
      <c r="AO360" t="str">
        <f t="shared" si="58"/>
        <v>MDE-M-0028-RA/1073-TC-006</v>
      </c>
      <c r="AP360" t="str">
        <f>Tabela1[[#This Row],[TAG]]&amp;Tabela1[[#This Row],[PEDIDO]]&amp;Tabela1[[#This Row],[PRODUTO]]</f>
        <v>1073-TC-006P-188RMF</v>
      </c>
      <c r="AQ360" s="22" t="str">
        <f>Tabela1[[#This Row],[PRODUTO]]&amp;Tabela1[[#This Row],[TAG]]</f>
        <v>RMF1073-TC-006</v>
      </c>
      <c r="AR360" s="24" t="str">
        <f>Tabela1[[#This Row],[PEDIDO]]&amp;Tabela1[[#This Row],[PRODUTO]]</f>
        <v>P-188RMF</v>
      </c>
      <c r="AS360" s="37">
        <f>IF(AF360="",0,IF(ISTEXT(AF360),H360*VALUE(SUBSTITUTE(AF360,"%",""))/100,H360*AF360))-Tabela1[[#This Row],[PRONTO ACABADO2]]</f>
        <v>17.899999999999999</v>
      </c>
      <c r="AT360" s="37">
        <f>IF(AG360="",0,IF(ISTEXT(AG360),H360*VALUE(SUBSTITUTE(AG360,"%",""))/100,H360*AG360))-Tabela1[[#This Row],[PESO EXPEDIDO2]]</f>
        <v>0</v>
      </c>
      <c r="AU360" s="37">
        <f t="shared" si="64"/>
        <v>0</v>
      </c>
      <c r="AV360" s="37">
        <f t="shared" si="65"/>
        <v>0</v>
      </c>
      <c r="AW360" s="37"/>
    </row>
    <row r="361" spans="1:49" ht="15.75" customHeight="1" x14ac:dyDescent="0.25">
      <c r="A361" s="6" t="s">
        <v>4004</v>
      </c>
      <c r="B361" s="21" t="s">
        <v>4005</v>
      </c>
      <c r="C361" s="7">
        <v>1</v>
      </c>
      <c r="D361" s="39" t="s">
        <v>4006</v>
      </c>
      <c r="E361" s="7">
        <v>4246</v>
      </c>
      <c r="F361" s="7" t="s">
        <v>4007</v>
      </c>
      <c r="G361" s="23">
        <v>17.899999999999999</v>
      </c>
      <c r="H361" s="34">
        <f>Tabela1[[#This Row],[PESO UNI]]*Tabela1[[#This Row],[QTE]]</f>
        <v>17.899999999999999</v>
      </c>
      <c r="I361" s="7" t="s">
        <v>2</v>
      </c>
      <c r="J361" s="8" t="s">
        <v>2276</v>
      </c>
      <c r="K361" s="8" t="s">
        <v>327</v>
      </c>
      <c r="L361" s="9" t="s">
        <v>2069</v>
      </c>
      <c r="M361" s="10">
        <v>46149</v>
      </c>
      <c r="N361" s="8" t="s">
        <v>327</v>
      </c>
      <c r="O361" s="12"/>
      <c r="P361" s="13"/>
      <c r="Q361" s="14">
        <f>Tabela1[[#This Row],[QTDE/ Fabricação]]-Tabela1[[#This Row],[QTE]]</f>
        <v>-1</v>
      </c>
      <c r="R361" s="18">
        <f t="shared" si="59"/>
        <v>17.899999999999999</v>
      </c>
      <c r="S361" s="18">
        <f t="shared" si="57"/>
        <v>0</v>
      </c>
      <c r="T361" s="19">
        <f t="shared" si="62"/>
        <v>-17.899999999999999</v>
      </c>
      <c r="U361" s="16">
        <f>IFERROR(SUMIF('LISTA DE EMBARQUE'!B:B,MICRO!E:E,'LISTA DE EMBARQUE'!G:G),"")</f>
        <v>0</v>
      </c>
      <c r="V361" s="12" t="str">
        <f>IFERROR(VLOOKUP(Tabela1[[#This Row],[COD.MDE]],'LISTA DE EMBARQUE'!B:L,11,0),"")</f>
        <v/>
      </c>
      <c r="W361" s="13" t="str">
        <f>IFERROR(VLOOKUP(Tabela1[[#This Row],[COD.MDE]],'LISTA DE EMBARQUE'!B:M,12,0),"")</f>
        <v/>
      </c>
      <c r="X361" s="14">
        <f>IFERROR(Tabela1[[#This Row],[QIANTIDADE EXPEDIDA]]*Tabela1[[#This Row],[PESO UNI]],"")</f>
        <v>0</v>
      </c>
      <c r="Y361" s="14">
        <f t="shared" si="63"/>
        <v>-1</v>
      </c>
      <c r="Z361" s="20">
        <f>Tabela1[[#This Row],[PESO TOTAL]]-Tabela1[[#This Row],[Peso Expedido]]</f>
        <v>17.899999999999999</v>
      </c>
      <c r="AA361" s="17">
        <v>1</v>
      </c>
      <c r="AB361" s="33"/>
      <c r="AC361" s="33">
        <v>1</v>
      </c>
      <c r="AD361" s="33">
        <v>1</v>
      </c>
      <c r="AE361" s="33">
        <v>1</v>
      </c>
      <c r="AF361" s="33">
        <v>1</v>
      </c>
      <c r="AG361" s="33">
        <v>0</v>
      </c>
      <c r="AH361" s="33"/>
      <c r="AI361" s="33" t="str">
        <f t="shared" si="61"/>
        <v/>
      </c>
      <c r="AJ361" s="5"/>
      <c r="AK361" t="str">
        <f>Tabela1[[#This Row],[Coluna1]]&amp;Tabela1[[#This Row],[PEDIDO]]</f>
        <v>P-188</v>
      </c>
      <c r="AL361"/>
      <c r="AM361"/>
      <c r="AN361"/>
      <c r="AO361" t="str">
        <f t="shared" si="58"/>
        <v>MDE-M-0028-RA/1073-TC-007</v>
      </c>
      <c r="AP361" t="str">
        <f>Tabela1[[#This Row],[TAG]]&amp;Tabela1[[#This Row],[PEDIDO]]&amp;Tabela1[[#This Row],[PRODUTO]]</f>
        <v>1073-TC-007P-188RMF</v>
      </c>
      <c r="AQ361" s="22" t="str">
        <f>Tabela1[[#This Row],[PRODUTO]]&amp;Tabela1[[#This Row],[TAG]]</f>
        <v>RMF1073-TC-007</v>
      </c>
      <c r="AR361" s="24" t="str">
        <f>Tabela1[[#This Row],[PEDIDO]]&amp;Tabela1[[#This Row],[PRODUTO]]</f>
        <v>P-188RMF</v>
      </c>
      <c r="AS361" s="37">
        <f>IF(AF361="",0,IF(ISTEXT(AF361),H361*VALUE(SUBSTITUTE(AF361,"%",""))/100,H361*AF361))-Tabela1[[#This Row],[PRONTO ACABADO2]]</f>
        <v>17.899999999999999</v>
      </c>
      <c r="AT361" s="37">
        <f>IF(AG361="",0,IF(ISTEXT(AG361),H361*VALUE(SUBSTITUTE(AG361,"%",""))/100,H361*AG361))-Tabela1[[#This Row],[PESO EXPEDIDO2]]</f>
        <v>0</v>
      </c>
      <c r="AU361" s="37">
        <f t="shared" si="64"/>
        <v>0</v>
      </c>
      <c r="AV361" s="37">
        <f t="shared" si="65"/>
        <v>0</v>
      </c>
      <c r="AW361" s="37"/>
    </row>
    <row r="362" spans="1:49" ht="15.75" customHeight="1" x14ac:dyDescent="0.25">
      <c r="A362" s="6" t="s">
        <v>4004</v>
      </c>
      <c r="B362" s="21" t="s">
        <v>4008</v>
      </c>
      <c r="C362" s="7">
        <v>2</v>
      </c>
      <c r="D362" s="39" t="s">
        <v>4009</v>
      </c>
      <c r="E362" s="7">
        <v>4247</v>
      </c>
      <c r="F362" s="7" t="s">
        <v>4007</v>
      </c>
      <c r="G362" s="23">
        <v>3.5</v>
      </c>
      <c r="H362" s="34">
        <f>Tabela1[[#This Row],[PESO UNI]]*Tabela1[[#This Row],[QTE]]</f>
        <v>7</v>
      </c>
      <c r="I362" s="7" t="s">
        <v>2</v>
      </c>
      <c r="J362" s="8" t="s">
        <v>2274</v>
      </c>
      <c r="K362" s="8" t="s">
        <v>327</v>
      </c>
      <c r="L362" s="9" t="s">
        <v>2069</v>
      </c>
      <c r="M362" s="10">
        <v>46149</v>
      </c>
      <c r="N362" s="8" t="s">
        <v>327</v>
      </c>
      <c r="O362" s="12"/>
      <c r="P362" s="13"/>
      <c r="Q362" s="14">
        <f>Tabela1[[#This Row],[QTDE/ Fabricação]]-Tabela1[[#This Row],[QTE]]</f>
        <v>-2</v>
      </c>
      <c r="R362" s="18">
        <f t="shared" si="59"/>
        <v>7</v>
      </c>
      <c r="S362" s="18">
        <f t="shared" si="57"/>
        <v>0</v>
      </c>
      <c r="T362" s="19">
        <f t="shared" si="62"/>
        <v>-7</v>
      </c>
      <c r="U362" s="16">
        <f>IFERROR(SUMIF('LISTA DE EMBARQUE'!B:B,MICRO!E:E,'LISTA DE EMBARQUE'!G:G),"")</f>
        <v>0</v>
      </c>
      <c r="V362" s="12" t="str">
        <f>IFERROR(VLOOKUP(Tabela1[[#This Row],[COD.MDE]],'LISTA DE EMBARQUE'!B:L,11,0),"")</f>
        <v/>
      </c>
      <c r="W362" s="13" t="str">
        <f>IFERROR(VLOOKUP(Tabela1[[#This Row],[COD.MDE]],'LISTA DE EMBARQUE'!B:M,12,0),"")</f>
        <v/>
      </c>
      <c r="X362" s="14">
        <f>IFERROR(Tabela1[[#This Row],[QIANTIDADE EXPEDIDA]]*Tabela1[[#This Row],[PESO UNI]],"")</f>
        <v>0</v>
      </c>
      <c r="Y362" s="14">
        <f t="shared" si="63"/>
        <v>-2</v>
      </c>
      <c r="Z362" s="20">
        <f>Tabela1[[#This Row],[PESO TOTAL]]-Tabela1[[#This Row],[Peso Expedido]]</f>
        <v>7</v>
      </c>
      <c r="AA362" s="17">
        <v>1</v>
      </c>
      <c r="AB362" s="33"/>
      <c r="AC362" s="33">
        <v>1</v>
      </c>
      <c r="AD362" s="33">
        <v>1</v>
      </c>
      <c r="AE362" s="33">
        <v>1</v>
      </c>
      <c r="AF362" s="33">
        <v>1</v>
      </c>
      <c r="AG362" s="33">
        <v>0</v>
      </c>
      <c r="AH362" s="33"/>
      <c r="AI362" s="33" t="str">
        <f t="shared" si="61"/>
        <v/>
      </c>
      <c r="AJ362" s="5"/>
      <c r="AK362" t="str">
        <f>Tabela1[[#This Row],[Coluna1]]&amp;Tabela1[[#This Row],[PEDIDO]]</f>
        <v>P-188</v>
      </c>
      <c r="AL362"/>
      <c r="AM362"/>
      <c r="AN362"/>
      <c r="AO362" t="str">
        <f t="shared" si="58"/>
        <v>MDE-M-0028-RA/1073-TC-006</v>
      </c>
      <c r="AP362" t="str">
        <f>Tabela1[[#This Row],[TAG]]&amp;Tabela1[[#This Row],[PEDIDO]]&amp;Tabela1[[#This Row],[PRODUTO]]</f>
        <v>1073-TC-006P-188RMF</v>
      </c>
      <c r="AQ362" s="22" t="str">
        <f>Tabela1[[#This Row],[PRODUTO]]&amp;Tabela1[[#This Row],[TAG]]</f>
        <v>RMF1073-TC-006</v>
      </c>
      <c r="AR362" s="24" t="str">
        <f>Tabela1[[#This Row],[PEDIDO]]&amp;Tabela1[[#This Row],[PRODUTO]]</f>
        <v>P-188RMF</v>
      </c>
      <c r="AS362" s="37">
        <f>IF(AF362="",0,IF(ISTEXT(AF362),H362*VALUE(SUBSTITUTE(AF362,"%",""))/100,H362*AF362))-Tabela1[[#This Row],[PRONTO ACABADO2]]</f>
        <v>7</v>
      </c>
      <c r="AT362" s="37">
        <f>IF(AG362="",0,IF(ISTEXT(AG362),H362*VALUE(SUBSTITUTE(AG362,"%",""))/100,H362*AG362))-Tabela1[[#This Row],[PESO EXPEDIDO2]]</f>
        <v>0</v>
      </c>
      <c r="AU362" s="37">
        <f t="shared" si="64"/>
        <v>0</v>
      </c>
      <c r="AV362" s="37">
        <f t="shared" si="65"/>
        <v>0</v>
      </c>
      <c r="AW362" s="37"/>
    </row>
    <row r="363" spans="1:49" ht="15.75" customHeight="1" x14ac:dyDescent="0.25">
      <c r="A363" s="6" t="s">
        <v>4004</v>
      </c>
      <c r="B363" s="21" t="s">
        <v>4008</v>
      </c>
      <c r="C363" s="7">
        <v>2</v>
      </c>
      <c r="D363" s="39" t="s">
        <v>4009</v>
      </c>
      <c r="E363" s="7">
        <v>4248</v>
      </c>
      <c r="F363" s="7" t="s">
        <v>4007</v>
      </c>
      <c r="G363" s="23">
        <v>3.5</v>
      </c>
      <c r="H363" s="34">
        <f>Tabela1[[#This Row],[PESO UNI]]*Tabela1[[#This Row],[QTE]]</f>
        <v>7</v>
      </c>
      <c r="I363" s="7" t="s">
        <v>2</v>
      </c>
      <c r="J363" s="8" t="s">
        <v>2276</v>
      </c>
      <c r="K363" s="8" t="s">
        <v>327</v>
      </c>
      <c r="L363" s="9" t="s">
        <v>2069</v>
      </c>
      <c r="M363" s="10">
        <v>46149</v>
      </c>
      <c r="N363" s="8" t="s">
        <v>327</v>
      </c>
      <c r="O363" s="12"/>
      <c r="P363" s="13"/>
      <c r="Q363" s="14">
        <f>Tabela1[[#This Row],[QTDE/ Fabricação]]-Tabela1[[#This Row],[QTE]]</f>
        <v>-2</v>
      </c>
      <c r="R363" s="18">
        <f t="shared" si="59"/>
        <v>7</v>
      </c>
      <c r="S363" s="18">
        <f t="shared" si="57"/>
        <v>0</v>
      </c>
      <c r="T363" s="19">
        <f t="shared" si="62"/>
        <v>-7</v>
      </c>
      <c r="U363" s="16">
        <f>IFERROR(SUMIF('LISTA DE EMBARQUE'!B:B,MICRO!E:E,'LISTA DE EMBARQUE'!G:G),"")</f>
        <v>0</v>
      </c>
      <c r="V363" s="12" t="str">
        <f>IFERROR(VLOOKUP(Tabela1[[#This Row],[COD.MDE]],'LISTA DE EMBARQUE'!B:L,11,0),"")</f>
        <v/>
      </c>
      <c r="W363" s="13" t="str">
        <f>IFERROR(VLOOKUP(Tabela1[[#This Row],[COD.MDE]],'LISTA DE EMBARQUE'!B:M,12,0),"")</f>
        <v/>
      </c>
      <c r="X363" s="14">
        <f>IFERROR(Tabela1[[#This Row],[QIANTIDADE EXPEDIDA]]*Tabela1[[#This Row],[PESO UNI]],"")</f>
        <v>0</v>
      </c>
      <c r="Y363" s="14">
        <f t="shared" si="63"/>
        <v>-2</v>
      </c>
      <c r="Z363" s="20">
        <f>Tabela1[[#This Row],[PESO TOTAL]]-Tabela1[[#This Row],[Peso Expedido]]</f>
        <v>7</v>
      </c>
      <c r="AA363" s="17">
        <v>1</v>
      </c>
      <c r="AB363" s="33"/>
      <c r="AC363" s="33">
        <v>1</v>
      </c>
      <c r="AD363" s="33">
        <v>1</v>
      </c>
      <c r="AE363" s="33">
        <v>1</v>
      </c>
      <c r="AF363" s="33">
        <v>1</v>
      </c>
      <c r="AG363" s="33">
        <v>0</v>
      </c>
      <c r="AH363" s="33"/>
      <c r="AI363" s="33" t="str">
        <f t="shared" si="61"/>
        <v/>
      </c>
      <c r="AJ363" s="5"/>
      <c r="AK363" t="str">
        <f>Tabela1[[#This Row],[Coluna1]]&amp;Tabela1[[#This Row],[PEDIDO]]</f>
        <v>P-188</v>
      </c>
      <c r="AL363"/>
      <c r="AM363"/>
      <c r="AN363"/>
      <c r="AO363" t="str">
        <f t="shared" si="58"/>
        <v>MDE-M-0028-RA/1073-TC-007</v>
      </c>
      <c r="AP363" t="str">
        <f>Tabela1[[#This Row],[TAG]]&amp;Tabela1[[#This Row],[PEDIDO]]&amp;Tabela1[[#This Row],[PRODUTO]]</f>
        <v>1073-TC-007P-188RMF</v>
      </c>
      <c r="AQ363" s="22" t="str">
        <f>Tabela1[[#This Row],[PRODUTO]]&amp;Tabela1[[#This Row],[TAG]]</f>
        <v>RMF1073-TC-007</v>
      </c>
      <c r="AR363" s="24" t="str">
        <f>Tabela1[[#This Row],[PEDIDO]]&amp;Tabela1[[#This Row],[PRODUTO]]</f>
        <v>P-188RMF</v>
      </c>
      <c r="AS363" s="37">
        <f>IF(AF363="",0,IF(ISTEXT(AF363),H363*VALUE(SUBSTITUTE(AF363,"%",""))/100,H363*AF363))-Tabela1[[#This Row],[PRONTO ACABADO2]]</f>
        <v>7</v>
      </c>
      <c r="AT363" s="37">
        <f>IF(AG363="",0,IF(ISTEXT(AG363),H363*VALUE(SUBSTITUTE(AG363,"%",""))/100,H363*AG363))-Tabela1[[#This Row],[PESO EXPEDIDO2]]</f>
        <v>0</v>
      </c>
      <c r="AU363" s="37">
        <f t="shared" si="64"/>
        <v>0</v>
      </c>
      <c r="AV363" s="37">
        <f t="shared" si="65"/>
        <v>0</v>
      </c>
      <c r="AW363" s="37"/>
    </row>
    <row r="364" spans="1:49" ht="15.75" customHeight="1" x14ac:dyDescent="0.25">
      <c r="A364" s="6" t="s">
        <v>4004</v>
      </c>
      <c r="B364" s="21" t="s">
        <v>4010</v>
      </c>
      <c r="C364" s="7">
        <v>1</v>
      </c>
      <c r="D364" s="39" t="s">
        <v>2557</v>
      </c>
      <c r="E364" s="7">
        <v>4249</v>
      </c>
      <c r="F364" s="7" t="s">
        <v>4007</v>
      </c>
      <c r="G364" s="23">
        <v>8.4</v>
      </c>
      <c r="H364" s="34">
        <f>Tabela1[[#This Row],[PESO UNI]]*Tabela1[[#This Row],[QTE]]</f>
        <v>8.4</v>
      </c>
      <c r="I364" s="7" t="s">
        <v>2</v>
      </c>
      <c r="J364" s="8" t="s">
        <v>2274</v>
      </c>
      <c r="K364" s="8" t="s">
        <v>327</v>
      </c>
      <c r="L364" s="9" t="s">
        <v>2069</v>
      </c>
      <c r="M364" s="10">
        <v>46149</v>
      </c>
      <c r="N364" s="8" t="s">
        <v>327</v>
      </c>
      <c r="O364" s="12"/>
      <c r="P364" s="13"/>
      <c r="Q364" s="14">
        <f>Tabela1[[#This Row],[QTDE/ Fabricação]]-Tabela1[[#This Row],[QTE]]</f>
        <v>-1</v>
      </c>
      <c r="R364" s="18">
        <f t="shared" si="59"/>
        <v>8.4</v>
      </c>
      <c r="S364" s="18">
        <f t="shared" si="57"/>
        <v>0</v>
      </c>
      <c r="T364" s="19">
        <f t="shared" si="62"/>
        <v>-8.4</v>
      </c>
      <c r="U364" s="16">
        <f>IFERROR(SUMIF('LISTA DE EMBARQUE'!B:B,MICRO!E:E,'LISTA DE EMBARQUE'!G:G),"")</f>
        <v>0</v>
      </c>
      <c r="V364" s="12" t="str">
        <f>IFERROR(VLOOKUP(Tabela1[[#This Row],[COD.MDE]],'LISTA DE EMBARQUE'!B:L,11,0),"")</f>
        <v/>
      </c>
      <c r="W364" s="13" t="str">
        <f>IFERROR(VLOOKUP(Tabela1[[#This Row],[COD.MDE]],'LISTA DE EMBARQUE'!B:M,12,0),"")</f>
        <v/>
      </c>
      <c r="X364" s="14">
        <f>IFERROR(Tabela1[[#This Row],[QIANTIDADE EXPEDIDA]]*Tabela1[[#This Row],[PESO UNI]],"")</f>
        <v>0</v>
      </c>
      <c r="Y364" s="14">
        <f t="shared" si="63"/>
        <v>-1</v>
      </c>
      <c r="Z364" s="20">
        <f>Tabela1[[#This Row],[PESO TOTAL]]-Tabela1[[#This Row],[Peso Expedido]]</f>
        <v>8.4</v>
      </c>
      <c r="AA364" s="17">
        <v>1</v>
      </c>
      <c r="AB364" s="33"/>
      <c r="AC364" s="33">
        <v>1</v>
      </c>
      <c r="AD364" s="33">
        <v>1</v>
      </c>
      <c r="AE364" s="33">
        <v>1</v>
      </c>
      <c r="AF364" s="33">
        <v>1</v>
      </c>
      <c r="AG364" s="33">
        <v>0</v>
      </c>
      <c r="AH364" s="33"/>
      <c r="AI364" s="33" t="str">
        <f t="shared" si="61"/>
        <v/>
      </c>
      <c r="AJ364" s="5"/>
      <c r="AK364" t="str">
        <f>Tabela1[[#This Row],[Coluna1]]&amp;Tabela1[[#This Row],[PEDIDO]]</f>
        <v>P-188</v>
      </c>
      <c r="AL364"/>
      <c r="AM364"/>
      <c r="AN364"/>
      <c r="AO364" t="str">
        <f t="shared" si="58"/>
        <v>MDE-M-0028-RA/1073-TC-006</v>
      </c>
      <c r="AP364" t="str">
        <f>Tabela1[[#This Row],[TAG]]&amp;Tabela1[[#This Row],[PEDIDO]]&amp;Tabela1[[#This Row],[PRODUTO]]</f>
        <v>1073-TC-006P-188RMF</v>
      </c>
      <c r="AQ364" s="22" t="str">
        <f>Tabela1[[#This Row],[PRODUTO]]&amp;Tabela1[[#This Row],[TAG]]</f>
        <v>RMF1073-TC-006</v>
      </c>
      <c r="AR364" s="24" t="str">
        <f>Tabela1[[#This Row],[PEDIDO]]&amp;Tabela1[[#This Row],[PRODUTO]]</f>
        <v>P-188RMF</v>
      </c>
      <c r="AS364" s="37">
        <f>IF(AF364="",0,IF(ISTEXT(AF364),H364*VALUE(SUBSTITUTE(AF364,"%",""))/100,H364*AF364))-Tabela1[[#This Row],[PRONTO ACABADO2]]</f>
        <v>8.4</v>
      </c>
      <c r="AT364" s="37">
        <f>IF(AG364="",0,IF(ISTEXT(AG364),H364*VALUE(SUBSTITUTE(AG364,"%",""))/100,H364*AG364))-Tabela1[[#This Row],[PESO EXPEDIDO2]]</f>
        <v>0</v>
      </c>
      <c r="AU364" s="37">
        <f t="shared" si="64"/>
        <v>0</v>
      </c>
      <c r="AV364" s="37">
        <f t="shared" si="65"/>
        <v>0</v>
      </c>
      <c r="AW364" s="37"/>
    </row>
    <row r="365" spans="1:49" ht="15.75" customHeight="1" x14ac:dyDescent="0.25">
      <c r="A365" s="6" t="s">
        <v>4004</v>
      </c>
      <c r="B365" s="21" t="s">
        <v>4010</v>
      </c>
      <c r="C365" s="7">
        <v>1</v>
      </c>
      <c r="D365" s="39" t="s">
        <v>2557</v>
      </c>
      <c r="E365" s="7">
        <v>4250</v>
      </c>
      <c r="F365" s="7" t="s">
        <v>4007</v>
      </c>
      <c r="G365" s="23">
        <v>8.4</v>
      </c>
      <c r="H365" s="34">
        <f>Tabela1[[#This Row],[PESO UNI]]*Tabela1[[#This Row],[QTE]]</f>
        <v>8.4</v>
      </c>
      <c r="I365" s="7" t="s">
        <v>2</v>
      </c>
      <c r="J365" s="8" t="s">
        <v>2276</v>
      </c>
      <c r="K365" s="8" t="s">
        <v>327</v>
      </c>
      <c r="L365" s="9" t="s">
        <v>2069</v>
      </c>
      <c r="M365" s="10">
        <v>46149</v>
      </c>
      <c r="N365" s="8" t="s">
        <v>327</v>
      </c>
      <c r="O365" s="12"/>
      <c r="P365" s="13"/>
      <c r="Q365" s="14">
        <f>Tabela1[[#This Row],[QTDE/ Fabricação]]-Tabela1[[#This Row],[QTE]]</f>
        <v>-1</v>
      </c>
      <c r="R365" s="18">
        <f t="shared" si="59"/>
        <v>8.4</v>
      </c>
      <c r="S365" s="18">
        <f t="shared" si="57"/>
        <v>0</v>
      </c>
      <c r="T365" s="19">
        <f t="shared" si="62"/>
        <v>-8.4</v>
      </c>
      <c r="U365" s="16">
        <f>IFERROR(SUMIF('LISTA DE EMBARQUE'!B:B,MICRO!E:E,'LISTA DE EMBARQUE'!G:G),"")</f>
        <v>0</v>
      </c>
      <c r="V365" s="12" t="str">
        <f>IFERROR(VLOOKUP(Tabela1[[#This Row],[COD.MDE]],'LISTA DE EMBARQUE'!B:L,11,0),"")</f>
        <v/>
      </c>
      <c r="W365" s="13" t="str">
        <f>IFERROR(VLOOKUP(Tabela1[[#This Row],[COD.MDE]],'LISTA DE EMBARQUE'!B:M,12,0),"")</f>
        <v/>
      </c>
      <c r="X365" s="14">
        <f>IFERROR(Tabela1[[#This Row],[QIANTIDADE EXPEDIDA]]*Tabela1[[#This Row],[PESO UNI]],"")</f>
        <v>0</v>
      </c>
      <c r="Y365" s="14">
        <f t="shared" si="63"/>
        <v>-1</v>
      </c>
      <c r="Z365" s="20">
        <f>Tabela1[[#This Row],[PESO TOTAL]]-Tabela1[[#This Row],[Peso Expedido]]</f>
        <v>8.4</v>
      </c>
      <c r="AA365" s="17">
        <v>1</v>
      </c>
      <c r="AB365" s="33"/>
      <c r="AC365" s="33">
        <v>1</v>
      </c>
      <c r="AD365" s="33">
        <v>1</v>
      </c>
      <c r="AE365" s="33">
        <v>1</v>
      </c>
      <c r="AF365" s="33">
        <v>1</v>
      </c>
      <c r="AG365" s="33">
        <v>0</v>
      </c>
      <c r="AH365" s="33"/>
      <c r="AI365" s="33" t="str">
        <f t="shared" si="61"/>
        <v/>
      </c>
      <c r="AJ365" s="5"/>
      <c r="AK365" t="str">
        <f>Tabela1[[#This Row],[Coluna1]]&amp;Tabela1[[#This Row],[PEDIDO]]</f>
        <v>P-188</v>
      </c>
      <c r="AL365"/>
      <c r="AM365"/>
      <c r="AN365"/>
      <c r="AO365" t="str">
        <f t="shared" si="58"/>
        <v>MDE-M-0028-RA/1073-TC-007</v>
      </c>
      <c r="AP365" t="str">
        <f>Tabela1[[#This Row],[TAG]]&amp;Tabela1[[#This Row],[PEDIDO]]&amp;Tabela1[[#This Row],[PRODUTO]]</f>
        <v>1073-TC-007P-188RMF</v>
      </c>
      <c r="AQ365" s="22" t="str">
        <f>Tabela1[[#This Row],[PRODUTO]]&amp;Tabela1[[#This Row],[TAG]]</f>
        <v>RMF1073-TC-007</v>
      </c>
      <c r="AR365" s="24" t="str">
        <f>Tabela1[[#This Row],[PEDIDO]]&amp;Tabela1[[#This Row],[PRODUTO]]</f>
        <v>P-188RMF</v>
      </c>
      <c r="AS365" s="37">
        <f>IF(AF365="",0,IF(ISTEXT(AF365),H365*VALUE(SUBSTITUTE(AF365,"%",""))/100,H365*AF365))-Tabela1[[#This Row],[PRONTO ACABADO2]]</f>
        <v>8.4</v>
      </c>
      <c r="AT365" s="37">
        <f>IF(AG365="",0,IF(ISTEXT(AG365),H365*VALUE(SUBSTITUTE(AG365,"%",""))/100,H365*AG365))-Tabela1[[#This Row],[PESO EXPEDIDO2]]</f>
        <v>0</v>
      </c>
      <c r="AU365" s="37">
        <f t="shared" si="64"/>
        <v>0</v>
      </c>
      <c r="AV365" s="37">
        <f t="shared" si="65"/>
        <v>0</v>
      </c>
      <c r="AW365" s="37"/>
    </row>
    <row r="366" spans="1:49" ht="15.75" customHeight="1" x14ac:dyDescent="0.25">
      <c r="A366" s="6" t="s">
        <v>4004</v>
      </c>
      <c r="B366" s="21" t="s">
        <v>4011</v>
      </c>
      <c r="C366" s="7">
        <v>1</v>
      </c>
      <c r="D366" s="39" t="s">
        <v>4012</v>
      </c>
      <c r="E366" s="7">
        <v>4251</v>
      </c>
      <c r="F366" s="7" t="s">
        <v>4007</v>
      </c>
      <c r="G366" s="23">
        <v>0.5</v>
      </c>
      <c r="H366" s="34">
        <f>Tabela1[[#This Row],[PESO UNI]]*Tabela1[[#This Row],[QTE]]</f>
        <v>0.5</v>
      </c>
      <c r="I366" s="7" t="s">
        <v>2</v>
      </c>
      <c r="J366" s="8" t="s">
        <v>2274</v>
      </c>
      <c r="K366" s="8" t="s">
        <v>327</v>
      </c>
      <c r="L366" s="9" t="s">
        <v>2069</v>
      </c>
      <c r="M366" s="10">
        <v>46149</v>
      </c>
      <c r="N366" s="8" t="s">
        <v>327</v>
      </c>
      <c r="O366" s="12"/>
      <c r="P366" s="13"/>
      <c r="Q366" s="14">
        <f>Tabela1[[#This Row],[QTDE/ Fabricação]]-Tabela1[[#This Row],[QTE]]</f>
        <v>-1</v>
      </c>
      <c r="R366" s="18">
        <f t="shared" si="59"/>
        <v>0.5</v>
      </c>
      <c r="S366" s="18">
        <f t="shared" si="57"/>
        <v>0</v>
      </c>
      <c r="T366" s="19">
        <f t="shared" si="62"/>
        <v>-0.5</v>
      </c>
      <c r="U366" s="16">
        <f>IFERROR(SUMIF('LISTA DE EMBARQUE'!B:B,MICRO!E:E,'LISTA DE EMBARQUE'!G:G),"")</f>
        <v>0</v>
      </c>
      <c r="V366" s="12" t="str">
        <f>IFERROR(VLOOKUP(Tabela1[[#This Row],[COD.MDE]],'LISTA DE EMBARQUE'!B:L,11,0),"")</f>
        <v/>
      </c>
      <c r="W366" s="13" t="str">
        <f>IFERROR(VLOOKUP(Tabela1[[#This Row],[COD.MDE]],'LISTA DE EMBARQUE'!B:M,12,0),"")</f>
        <v/>
      </c>
      <c r="X366" s="14">
        <f>IFERROR(Tabela1[[#This Row],[QIANTIDADE EXPEDIDA]]*Tabela1[[#This Row],[PESO UNI]],"")</f>
        <v>0</v>
      </c>
      <c r="Y366" s="14">
        <f t="shared" si="63"/>
        <v>-1</v>
      </c>
      <c r="Z366" s="20">
        <f>Tabela1[[#This Row],[PESO TOTAL]]-Tabela1[[#This Row],[Peso Expedido]]</f>
        <v>0.5</v>
      </c>
      <c r="AA366" s="17">
        <v>1</v>
      </c>
      <c r="AB366" s="33"/>
      <c r="AC366" s="33">
        <v>1</v>
      </c>
      <c r="AD366" s="33">
        <v>1</v>
      </c>
      <c r="AE366" s="33">
        <v>1</v>
      </c>
      <c r="AF366" s="33">
        <v>1</v>
      </c>
      <c r="AG366" s="33">
        <v>0</v>
      </c>
      <c r="AH366" s="33"/>
      <c r="AI366" s="33" t="str">
        <f t="shared" si="61"/>
        <v/>
      </c>
      <c r="AJ366" s="5"/>
      <c r="AK366" t="str">
        <f>Tabela1[[#This Row],[Coluna1]]&amp;Tabela1[[#This Row],[PEDIDO]]</f>
        <v>P-188</v>
      </c>
      <c r="AL366"/>
      <c r="AM366"/>
      <c r="AN366"/>
      <c r="AO366" t="str">
        <f t="shared" si="58"/>
        <v>MDE-M-0028-RA/1073-TC-006</v>
      </c>
      <c r="AP366" t="str">
        <f>Tabela1[[#This Row],[TAG]]&amp;Tabela1[[#This Row],[PEDIDO]]&amp;Tabela1[[#This Row],[PRODUTO]]</f>
        <v>1073-TC-006P-188RMF</v>
      </c>
      <c r="AQ366" s="22" t="str">
        <f>Tabela1[[#This Row],[PRODUTO]]&amp;Tabela1[[#This Row],[TAG]]</f>
        <v>RMF1073-TC-006</v>
      </c>
      <c r="AR366" s="24" t="str">
        <f>Tabela1[[#This Row],[PEDIDO]]&amp;Tabela1[[#This Row],[PRODUTO]]</f>
        <v>P-188RMF</v>
      </c>
      <c r="AS366" s="37">
        <f>IF(AF366="",0,IF(ISTEXT(AF366),H366*VALUE(SUBSTITUTE(AF366,"%",""))/100,H366*AF366))-Tabela1[[#This Row],[PRONTO ACABADO2]]</f>
        <v>0.5</v>
      </c>
      <c r="AT366" s="37">
        <f>IF(AG366="",0,IF(ISTEXT(AG366),H366*VALUE(SUBSTITUTE(AG366,"%",""))/100,H366*AG366))-Tabela1[[#This Row],[PESO EXPEDIDO2]]</f>
        <v>0</v>
      </c>
      <c r="AU366" s="37">
        <f t="shared" si="64"/>
        <v>0</v>
      </c>
      <c r="AV366" s="37">
        <f t="shared" si="65"/>
        <v>0</v>
      </c>
      <c r="AW366" s="37"/>
    </row>
    <row r="367" spans="1:49" ht="15.75" customHeight="1" x14ac:dyDescent="0.25">
      <c r="A367" s="6" t="s">
        <v>4004</v>
      </c>
      <c r="B367" s="21" t="s">
        <v>4011</v>
      </c>
      <c r="C367" s="7">
        <v>1</v>
      </c>
      <c r="D367" s="39" t="s">
        <v>4012</v>
      </c>
      <c r="E367" s="7">
        <v>4252</v>
      </c>
      <c r="F367" s="7" t="s">
        <v>4007</v>
      </c>
      <c r="G367" s="23">
        <v>0.5</v>
      </c>
      <c r="H367" s="34">
        <f>Tabela1[[#This Row],[PESO UNI]]*Tabela1[[#This Row],[QTE]]</f>
        <v>0.5</v>
      </c>
      <c r="I367" s="7" t="s">
        <v>2</v>
      </c>
      <c r="J367" s="8" t="s">
        <v>2276</v>
      </c>
      <c r="K367" s="8" t="s">
        <v>327</v>
      </c>
      <c r="L367" s="9" t="s">
        <v>2069</v>
      </c>
      <c r="M367" s="10">
        <v>46149</v>
      </c>
      <c r="N367" s="8" t="s">
        <v>327</v>
      </c>
      <c r="O367" s="12"/>
      <c r="P367" s="13"/>
      <c r="Q367" s="14">
        <f>Tabela1[[#This Row],[QTDE/ Fabricação]]-Tabela1[[#This Row],[QTE]]</f>
        <v>-1</v>
      </c>
      <c r="R367" s="18">
        <f t="shared" si="59"/>
        <v>0.5</v>
      </c>
      <c r="S367" s="18">
        <f t="shared" si="57"/>
        <v>0</v>
      </c>
      <c r="T367" s="19">
        <f t="shared" si="62"/>
        <v>-0.5</v>
      </c>
      <c r="U367" s="16">
        <f>IFERROR(SUMIF('LISTA DE EMBARQUE'!B:B,MICRO!E:E,'LISTA DE EMBARQUE'!G:G),"")</f>
        <v>0</v>
      </c>
      <c r="V367" s="12" t="str">
        <f>IFERROR(VLOOKUP(Tabela1[[#This Row],[COD.MDE]],'LISTA DE EMBARQUE'!B:L,11,0),"")</f>
        <v/>
      </c>
      <c r="W367" s="13" t="str">
        <f>IFERROR(VLOOKUP(Tabela1[[#This Row],[COD.MDE]],'LISTA DE EMBARQUE'!B:M,12,0),"")</f>
        <v/>
      </c>
      <c r="X367" s="14">
        <f>IFERROR(Tabela1[[#This Row],[QIANTIDADE EXPEDIDA]]*Tabela1[[#This Row],[PESO UNI]],"")</f>
        <v>0</v>
      </c>
      <c r="Y367" s="14">
        <f t="shared" si="63"/>
        <v>-1</v>
      </c>
      <c r="Z367" s="20">
        <f>Tabela1[[#This Row],[PESO TOTAL]]-Tabela1[[#This Row],[Peso Expedido]]</f>
        <v>0.5</v>
      </c>
      <c r="AA367" s="17">
        <v>1</v>
      </c>
      <c r="AB367" s="33"/>
      <c r="AC367" s="33">
        <v>1</v>
      </c>
      <c r="AD367" s="33">
        <v>1</v>
      </c>
      <c r="AE367" s="33">
        <v>1</v>
      </c>
      <c r="AF367" s="33">
        <v>1</v>
      </c>
      <c r="AG367" s="33">
        <v>0</v>
      </c>
      <c r="AH367" s="33"/>
      <c r="AI367" s="33" t="str">
        <f t="shared" si="61"/>
        <v/>
      </c>
      <c r="AJ367" s="5"/>
      <c r="AK367" t="str">
        <f>Tabela1[[#This Row],[Coluna1]]&amp;Tabela1[[#This Row],[PEDIDO]]</f>
        <v>P-188</v>
      </c>
      <c r="AL367"/>
      <c r="AM367"/>
      <c r="AN367"/>
      <c r="AO367" t="str">
        <f t="shared" si="58"/>
        <v>MDE-M-0028-RA/1073-TC-007</v>
      </c>
      <c r="AP367" t="str">
        <f>Tabela1[[#This Row],[TAG]]&amp;Tabela1[[#This Row],[PEDIDO]]&amp;Tabela1[[#This Row],[PRODUTO]]</f>
        <v>1073-TC-007P-188RMF</v>
      </c>
      <c r="AQ367" s="22" t="str">
        <f>Tabela1[[#This Row],[PRODUTO]]&amp;Tabela1[[#This Row],[TAG]]</f>
        <v>RMF1073-TC-007</v>
      </c>
      <c r="AR367" s="24" t="str">
        <f>Tabela1[[#This Row],[PEDIDO]]&amp;Tabela1[[#This Row],[PRODUTO]]</f>
        <v>P-188RMF</v>
      </c>
      <c r="AS367" s="37">
        <f>IF(AF367="",0,IF(ISTEXT(AF367),H367*VALUE(SUBSTITUTE(AF367,"%",""))/100,H367*AF367))-Tabela1[[#This Row],[PRONTO ACABADO2]]</f>
        <v>0.5</v>
      </c>
      <c r="AT367" s="37">
        <f>IF(AG367="",0,IF(ISTEXT(AG367),H367*VALUE(SUBSTITUTE(AG367,"%",""))/100,H367*AG367))-Tabela1[[#This Row],[PESO EXPEDIDO2]]</f>
        <v>0</v>
      </c>
      <c r="AU367" s="37">
        <f t="shared" si="64"/>
        <v>0</v>
      </c>
      <c r="AV367" s="37">
        <f t="shared" si="65"/>
        <v>0</v>
      </c>
      <c r="AW367" s="37"/>
    </row>
    <row r="368" spans="1:49" ht="15.75" customHeight="1" x14ac:dyDescent="0.25">
      <c r="A368" s="6" t="s">
        <v>4004</v>
      </c>
      <c r="B368" s="21" t="s">
        <v>4013</v>
      </c>
      <c r="C368" s="7">
        <v>2</v>
      </c>
      <c r="D368" s="39" t="s">
        <v>4014</v>
      </c>
      <c r="E368" s="7">
        <v>4253</v>
      </c>
      <c r="F368" s="7" t="s">
        <v>4007</v>
      </c>
      <c r="G368" s="23">
        <v>3</v>
      </c>
      <c r="H368" s="34">
        <f>Tabela1[[#This Row],[PESO UNI]]*Tabela1[[#This Row],[QTE]]</f>
        <v>6</v>
      </c>
      <c r="I368" s="7" t="s">
        <v>2</v>
      </c>
      <c r="J368" s="8" t="s">
        <v>2274</v>
      </c>
      <c r="K368" s="8" t="s">
        <v>327</v>
      </c>
      <c r="L368" s="9" t="s">
        <v>2069</v>
      </c>
      <c r="M368" s="10">
        <v>46149</v>
      </c>
      <c r="N368" s="8" t="s">
        <v>327</v>
      </c>
      <c r="O368" s="12"/>
      <c r="P368" s="13"/>
      <c r="Q368" s="14">
        <f>Tabela1[[#This Row],[QTDE/ Fabricação]]-Tabela1[[#This Row],[QTE]]</f>
        <v>-2</v>
      </c>
      <c r="R368" s="18">
        <f t="shared" si="59"/>
        <v>6</v>
      </c>
      <c r="S368" s="18">
        <f t="shared" si="57"/>
        <v>0</v>
      </c>
      <c r="T368" s="19">
        <f t="shared" si="62"/>
        <v>-6</v>
      </c>
      <c r="U368" s="16">
        <f>IFERROR(SUMIF('LISTA DE EMBARQUE'!B:B,MICRO!E:E,'LISTA DE EMBARQUE'!G:G),"")</f>
        <v>0</v>
      </c>
      <c r="V368" s="12" t="str">
        <f>IFERROR(VLOOKUP(Tabela1[[#This Row],[COD.MDE]],'LISTA DE EMBARQUE'!B:L,11,0),"")</f>
        <v/>
      </c>
      <c r="W368" s="13" t="str">
        <f>IFERROR(VLOOKUP(Tabela1[[#This Row],[COD.MDE]],'LISTA DE EMBARQUE'!B:M,12,0),"")</f>
        <v/>
      </c>
      <c r="X368" s="14">
        <f>IFERROR(Tabela1[[#This Row],[QIANTIDADE EXPEDIDA]]*Tabela1[[#This Row],[PESO UNI]],"")</f>
        <v>0</v>
      </c>
      <c r="Y368" s="14">
        <f t="shared" si="63"/>
        <v>-2</v>
      </c>
      <c r="Z368" s="20">
        <f>Tabela1[[#This Row],[PESO TOTAL]]-Tabela1[[#This Row],[Peso Expedido]]</f>
        <v>6</v>
      </c>
      <c r="AA368" s="17">
        <v>1</v>
      </c>
      <c r="AB368" s="33"/>
      <c r="AC368" s="33">
        <v>1</v>
      </c>
      <c r="AD368" s="33">
        <v>1</v>
      </c>
      <c r="AE368" s="33">
        <v>1</v>
      </c>
      <c r="AF368" s="33">
        <v>1</v>
      </c>
      <c r="AG368" s="33">
        <v>0</v>
      </c>
      <c r="AH368" s="33"/>
      <c r="AI368" s="33" t="str">
        <f t="shared" si="61"/>
        <v/>
      </c>
      <c r="AJ368" s="5"/>
      <c r="AK368" t="str">
        <f>Tabela1[[#This Row],[Coluna1]]&amp;Tabela1[[#This Row],[PEDIDO]]</f>
        <v>P-188</v>
      </c>
      <c r="AL368"/>
      <c r="AM368"/>
      <c r="AN368"/>
      <c r="AO368" t="str">
        <f t="shared" si="58"/>
        <v>MDE-M-0028-RA/1073-TC-006</v>
      </c>
      <c r="AP368" t="str">
        <f>Tabela1[[#This Row],[TAG]]&amp;Tabela1[[#This Row],[PEDIDO]]&amp;Tabela1[[#This Row],[PRODUTO]]</f>
        <v>1073-TC-006P-188RMF</v>
      </c>
      <c r="AQ368" s="22" t="str">
        <f>Tabela1[[#This Row],[PRODUTO]]&amp;Tabela1[[#This Row],[TAG]]</f>
        <v>RMF1073-TC-006</v>
      </c>
      <c r="AR368" s="24" t="str">
        <f>Tabela1[[#This Row],[PEDIDO]]&amp;Tabela1[[#This Row],[PRODUTO]]</f>
        <v>P-188RMF</v>
      </c>
      <c r="AS368" s="37">
        <f>IF(AF368="",0,IF(ISTEXT(AF368),H368*VALUE(SUBSTITUTE(AF368,"%",""))/100,H368*AF368))-Tabela1[[#This Row],[PRONTO ACABADO2]]</f>
        <v>6</v>
      </c>
      <c r="AT368" s="37">
        <f>IF(AG368="",0,IF(ISTEXT(AG368),H368*VALUE(SUBSTITUTE(AG368,"%",""))/100,H368*AG368))-Tabela1[[#This Row],[PESO EXPEDIDO2]]</f>
        <v>0</v>
      </c>
      <c r="AU368" s="37">
        <f t="shared" si="64"/>
        <v>0</v>
      </c>
      <c r="AV368" s="37">
        <f t="shared" si="65"/>
        <v>0</v>
      </c>
      <c r="AW368" s="37"/>
    </row>
    <row r="369" spans="1:49" ht="15.75" customHeight="1" x14ac:dyDescent="0.25">
      <c r="A369" s="6" t="s">
        <v>4004</v>
      </c>
      <c r="B369" s="21" t="s">
        <v>4013</v>
      </c>
      <c r="C369" s="7">
        <v>2</v>
      </c>
      <c r="D369" s="39" t="s">
        <v>4014</v>
      </c>
      <c r="E369" s="7">
        <v>4254</v>
      </c>
      <c r="F369" s="7" t="s">
        <v>4007</v>
      </c>
      <c r="G369" s="23">
        <v>3</v>
      </c>
      <c r="H369" s="34">
        <f>Tabela1[[#This Row],[PESO UNI]]*Tabela1[[#This Row],[QTE]]</f>
        <v>6</v>
      </c>
      <c r="I369" s="7" t="s">
        <v>2</v>
      </c>
      <c r="J369" s="8" t="s">
        <v>2276</v>
      </c>
      <c r="K369" s="8" t="s">
        <v>327</v>
      </c>
      <c r="L369" s="9" t="s">
        <v>2069</v>
      </c>
      <c r="M369" s="10">
        <v>46149</v>
      </c>
      <c r="N369" s="8" t="s">
        <v>327</v>
      </c>
      <c r="O369" s="12"/>
      <c r="P369" s="13"/>
      <c r="Q369" s="14">
        <f>Tabela1[[#This Row],[QTDE/ Fabricação]]-Tabela1[[#This Row],[QTE]]</f>
        <v>-2</v>
      </c>
      <c r="R369" s="18">
        <f t="shared" si="59"/>
        <v>6</v>
      </c>
      <c r="S369" s="18">
        <f t="shared" si="57"/>
        <v>0</v>
      </c>
      <c r="T369" s="19">
        <f t="shared" si="62"/>
        <v>-6</v>
      </c>
      <c r="U369" s="16">
        <f>IFERROR(SUMIF('LISTA DE EMBARQUE'!B:B,MICRO!E:E,'LISTA DE EMBARQUE'!G:G),"")</f>
        <v>0</v>
      </c>
      <c r="V369" s="12" t="str">
        <f>IFERROR(VLOOKUP(Tabela1[[#This Row],[COD.MDE]],'LISTA DE EMBARQUE'!B:L,11,0),"")</f>
        <v/>
      </c>
      <c r="W369" s="13" t="str">
        <f>IFERROR(VLOOKUP(Tabela1[[#This Row],[COD.MDE]],'LISTA DE EMBARQUE'!B:M,12,0),"")</f>
        <v/>
      </c>
      <c r="X369" s="14">
        <f>IFERROR(Tabela1[[#This Row],[QIANTIDADE EXPEDIDA]]*Tabela1[[#This Row],[PESO UNI]],"")</f>
        <v>0</v>
      </c>
      <c r="Y369" s="14">
        <f t="shared" si="63"/>
        <v>-2</v>
      </c>
      <c r="Z369" s="20">
        <f>Tabela1[[#This Row],[PESO TOTAL]]-Tabela1[[#This Row],[Peso Expedido]]</f>
        <v>6</v>
      </c>
      <c r="AA369" s="17">
        <v>1</v>
      </c>
      <c r="AB369" s="33"/>
      <c r="AC369" s="33">
        <v>1</v>
      </c>
      <c r="AD369" s="33">
        <v>1</v>
      </c>
      <c r="AE369" s="33">
        <v>1</v>
      </c>
      <c r="AF369" s="33">
        <v>1</v>
      </c>
      <c r="AG369" s="33">
        <v>0</v>
      </c>
      <c r="AH369" s="33"/>
      <c r="AI369" s="33" t="str">
        <f t="shared" si="61"/>
        <v/>
      </c>
      <c r="AJ369" s="5"/>
      <c r="AK369" t="str">
        <f>Tabela1[[#This Row],[Coluna1]]&amp;Tabela1[[#This Row],[PEDIDO]]</f>
        <v>P-188</v>
      </c>
      <c r="AL369"/>
      <c r="AM369"/>
      <c r="AN369"/>
      <c r="AO369" t="str">
        <f t="shared" si="58"/>
        <v>MDE-M-0028-RA/1073-TC-007</v>
      </c>
      <c r="AP369" t="str">
        <f>Tabela1[[#This Row],[TAG]]&amp;Tabela1[[#This Row],[PEDIDO]]&amp;Tabela1[[#This Row],[PRODUTO]]</f>
        <v>1073-TC-007P-188RMF</v>
      </c>
      <c r="AQ369" s="22" t="str">
        <f>Tabela1[[#This Row],[PRODUTO]]&amp;Tabela1[[#This Row],[TAG]]</f>
        <v>RMF1073-TC-007</v>
      </c>
      <c r="AR369" s="24" t="str">
        <f>Tabela1[[#This Row],[PEDIDO]]&amp;Tabela1[[#This Row],[PRODUTO]]</f>
        <v>P-188RMF</v>
      </c>
      <c r="AS369" s="37">
        <f>IF(AF369="",0,IF(ISTEXT(AF369),H369*VALUE(SUBSTITUTE(AF369,"%",""))/100,H369*AF369))-Tabela1[[#This Row],[PRONTO ACABADO2]]</f>
        <v>6</v>
      </c>
      <c r="AT369" s="37">
        <f>IF(AG369="",0,IF(ISTEXT(AG369),H369*VALUE(SUBSTITUTE(AG369,"%",""))/100,H369*AG369))-Tabela1[[#This Row],[PESO EXPEDIDO2]]</f>
        <v>0</v>
      </c>
      <c r="AU369" s="37">
        <f t="shared" si="64"/>
        <v>0</v>
      </c>
      <c r="AV369" s="37">
        <f t="shared" si="65"/>
        <v>0</v>
      </c>
      <c r="AW369" s="37"/>
    </row>
    <row r="370" spans="1:49" ht="15.75" customHeight="1" x14ac:dyDescent="0.25">
      <c r="A370" s="6" t="s">
        <v>4015</v>
      </c>
      <c r="B370" s="21" t="s">
        <v>4016</v>
      </c>
      <c r="C370" s="7">
        <v>1</v>
      </c>
      <c r="D370" s="39" t="s">
        <v>4017</v>
      </c>
      <c r="E370" s="7">
        <v>4255</v>
      </c>
      <c r="F370" s="7" t="s">
        <v>4018</v>
      </c>
      <c r="G370" s="23">
        <v>0.4</v>
      </c>
      <c r="H370" s="34">
        <f>Tabela1[[#This Row],[PESO UNI]]*Tabela1[[#This Row],[QTE]]</f>
        <v>0.4</v>
      </c>
      <c r="I370" s="7">
        <v>0</v>
      </c>
      <c r="J370" s="8" t="s">
        <v>2274</v>
      </c>
      <c r="K370" s="8" t="s">
        <v>327</v>
      </c>
      <c r="L370" s="9" t="s">
        <v>2069</v>
      </c>
      <c r="M370" s="10">
        <v>46150</v>
      </c>
      <c r="N370" s="8" t="s">
        <v>327</v>
      </c>
      <c r="O370" s="12"/>
      <c r="P370" s="13"/>
      <c r="Q370" s="14">
        <f>Tabela1[[#This Row],[QTDE/ Fabricação]]-Tabela1[[#This Row],[QTE]]</f>
        <v>-1</v>
      </c>
      <c r="R370" s="18">
        <f t="shared" si="59"/>
        <v>0.4</v>
      </c>
      <c r="S370" s="18">
        <f t="shared" si="57"/>
        <v>0</v>
      </c>
      <c r="T370" s="19">
        <f t="shared" si="62"/>
        <v>-0.4</v>
      </c>
      <c r="U370" s="16">
        <f>IFERROR(SUMIF('LISTA DE EMBARQUE'!B:B,MICRO!E:E,'LISTA DE EMBARQUE'!G:G),"")</f>
        <v>0</v>
      </c>
      <c r="V370" s="12" t="str">
        <f>IFERROR(VLOOKUP(Tabela1[[#This Row],[COD.MDE]],'LISTA DE EMBARQUE'!B:L,11,0),"")</f>
        <v/>
      </c>
      <c r="W370" s="13" t="str">
        <f>IFERROR(VLOOKUP(Tabela1[[#This Row],[COD.MDE]],'LISTA DE EMBARQUE'!B:M,12,0),"")</f>
        <v/>
      </c>
      <c r="X370" s="14">
        <f>IFERROR(Tabela1[[#This Row],[QIANTIDADE EXPEDIDA]]*Tabela1[[#This Row],[PESO UNI]],"")</f>
        <v>0</v>
      </c>
      <c r="Y370" s="14">
        <f t="shared" si="63"/>
        <v>-1</v>
      </c>
      <c r="Z370" s="20">
        <f>Tabela1[[#This Row],[PESO TOTAL]]-Tabela1[[#This Row],[Peso Expedido]]</f>
        <v>0.4</v>
      </c>
      <c r="AA370" s="17">
        <v>1</v>
      </c>
      <c r="AB370" s="33"/>
      <c r="AC370" s="33">
        <v>1</v>
      </c>
      <c r="AD370" s="33">
        <v>1</v>
      </c>
      <c r="AE370" s="33">
        <v>1</v>
      </c>
      <c r="AF370" s="33">
        <v>1</v>
      </c>
      <c r="AG370" s="33">
        <v>0</v>
      </c>
      <c r="AH370" s="33"/>
      <c r="AI370" s="33" t="str">
        <f t="shared" si="61"/>
        <v/>
      </c>
      <c r="AJ370" s="5"/>
      <c r="AK370" t="str">
        <f>Tabela1[[#This Row],[Coluna1]]&amp;Tabela1[[#This Row],[PEDIDO]]</f>
        <v>P-188</v>
      </c>
      <c r="AL370"/>
      <c r="AM370"/>
      <c r="AN370"/>
      <c r="AO370" t="str">
        <f t="shared" si="58"/>
        <v>MDE-M-0029-RA/1073-TC-006</v>
      </c>
      <c r="AP370" t="str">
        <f>Tabela1[[#This Row],[TAG]]&amp;Tabela1[[#This Row],[PEDIDO]]&amp;Tabela1[[#This Row],[PRODUTO]]</f>
        <v>1073-TC-006P-188RMF</v>
      </c>
      <c r="AQ370" s="22" t="str">
        <f>Tabela1[[#This Row],[PRODUTO]]&amp;Tabela1[[#This Row],[TAG]]</f>
        <v>RMF1073-TC-006</v>
      </c>
      <c r="AR370" s="24" t="str">
        <f>Tabela1[[#This Row],[PEDIDO]]&amp;Tabela1[[#This Row],[PRODUTO]]</f>
        <v>P-188RMF</v>
      </c>
      <c r="AS370" s="37">
        <f>IF(AF370="",0,IF(ISTEXT(AF370),H370*VALUE(SUBSTITUTE(AF370,"%",""))/100,H370*AF370))-Tabela1[[#This Row],[PRONTO ACABADO2]]</f>
        <v>0.4</v>
      </c>
      <c r="AT370" s="37">
        <f>IF(AG370="",0,IF(ISTEXT(AG370),H370*VALUE(SUBSTITUTE(AG370,"%",""))/100,H370*AG370))-Tabela1[[#This Row],[PESO EXPEDIDO2]]</f>
        <v>0</v>
      </c>
      <c r="AU370" s="37">
        <f t="shared" si="64"/>
        <v>0</v>
      </c>
      <c r="AV370" s="37">
        <f t="shared" si="65"/>
        <v>0</v>
      </c>
      <c r="AW370" s="37"/>
    </row>
    <row r="371" spans="1:49" ht="15.75" customHeight="1" x14ac:dyDescent="0.25">
      <c r="A371" s="6" t="s">
        <v>4015</v>
      </c>
      <c r="B371" s="21" t="s">
        <v>4016</v>
      </c>
      <c r="C371" s="7">
        <v>1</v>
      </c>
      <c r="D371" s="39" t="s">
        <v>4017</v>
      </c>
      <c r="E371" s="7">
        <v>4256</v>
      </c>
      <c r="F371" s="7" t="s">
        <v>4018</v>
      </c>
      <c r="G371" s="23">
        <v>0.4</v>
      </c>
      <c r="H371" s="34">
        <f>Tabela1[[#This Row],[PESO UNI]]*Tabela1[[#This Row],[QTE]]</f>
        <v>0.4</v>
      </c>
      <c r="I371" s="7">
        <v>0</v>
      </c>
      <c r="J371" s="8" t="s">
        <v>2276</v>
      </c>
      <c r="K371" s="8" t="s">
        <v>327</v>
      </c>
      <c r="L371" s="9" t="s">
        <v>2069</v>
      </c>
      <c r="M371" s="10">
        <v>46150</v>
      </c>
      <c r="N371" s="8" t="s">
        <v>327</v>
      </c>
      <c r="O371" s="12"/>
      <c r="P371" s="13"/>
      <c r="Q371" s="14">
        <f>Tabela1[[#This Row],[QTDE/ Fabricação]]-Tabela1[[#This Row],[QTE]]</f>
        <v>-1</v>
      </c>
      <c r="R371" s="18">
        <f t="shared" si="59"/>
        <v>0.4</v>
      </c>
      <c r="S371" s="18">
        <f t="shared" si="57"/>
        <v>0</v>
      </c>
      <c r="T371" s="19">
        <f t="shared" si="62"/>
        <v>-0.4</v>
      </c>
      <c r="U371" s="16">
        <f>IFERROR(SUMIF('LISTA DE EMBARQUE'!B:B,MICRO!E:E,'LISTA DE EMBARQUE'!G:G),"")</f>
        <v>0</v>
      </c>
      <c r="V371" s="12" t="str">
        <f>IFERROR(VLOOKUP(Tabela1[[#This Row],[COD.MDE]],'LISTA DE EMBARQUE'!B:L,11,0),"")</f>
        <v/>
      </c>
      <c r="W371" s="13" t="str">
        <f>IFERROR(VLOOKUP(Tabela1[[#This Row],[COD.MDE]],'LISTA DE EMBARQUE'!B:M,12,0),"")</f>
        <v/>
      </c>
      <c r="X371" s="14">
        <f>IFERROR(Tabela1[[#This Row],[QIANTIDADE EXPEDIDA]]*Tabela1[[#This Row],[PESO UNI]],"")</f>
        <v>0</v>
      </c>
      <c r="Y371" s="14">
        <f t="shared" si="63"/>
        <v>-1</v>
      </c>
      <c r="Z371" s="20">
        <f>Tabela1[[#This Row],[PESO TOTAL]]-Tabela1[[#This Row],[Peso Expedido]]</f>
        <v>0.4</v>
      </c>
      <c r="AA371" s="17">
        <v>1</v>
      </c>
      <c r="AB371" s="33"/>
      <c r="AC371" s="33">
        <v>1</v>
      </c>
      <c r="AD371" s="33">
        <v>1</v>
      </c>
      <c r="AE371" s="33">
        <v>1</v>
      </c>
      <c r="AF371" s="33">
        <v>1</v>
      </c>
      <c r="AG371" s="33">
        <v>0</v>
      </c>
      <c r="AH371" s="33"/>
      <c r="AI371" s="33" t="str">
        <f t="shared" si="61"/>
        <v/>
      </c>
      <c r="AJ371" s="5"/>
      <c r="AK371" t="str">
        <f>Tabela1[[#This Row],[Coluna1]]&amp;Tabela1[[#This Row],[PEDIDO]]</f>
        <v>P-188</v>
      </c>
      <c r="AL371"/>
      <c r="AM371"/>
      <c r="AN371"/>
      <c r="AO371" t="str">
        <f t="shared" si="58"/>
        <v>MDE-M-0029-RA/1073-TC-007</v>
      </c>
      <c r="AP371" t="str">
        <f>Tabela1[[#This Row],[TAG]]&amp;Tabela1[[#This Row],[PEDIDO]]&amp;Tabela1[[#This Row],[PRODUTO]]</f>
        <v>1073-TC-007P-188RMF</v>
      </c>
      <c r="AQ371" s="22" t="str">
        <f>Tabela1[[#This Row],[PRODUTO]]&amp;Tabela1[[#This Row],[TAG]]</f>
        <v>RMF1073-TC-007</v>
      </c>
      <c r="AR371" s="24" t="str">
        <f>Tabela1[[#This Row],[PEDIDO]]&amp;Tabela1[[#This Row],[PRODUTO]]</f>
        <v>P-188RMF</v>
      </c>
      <c r="AS371" s="37">
        <f>IF(AF371="",0,IF(ISTEXT(AF371),H371*VALUE(SUBSTITUTE(AF371,"%",""))/100,H371*AF371))-Tabela1[[#This Row],[PRONTO ACABADO2]]</f>
        <v>0.4</v>
      </c>
      <c r="AT371" s="37">
        <f>IF(AG371="",0,IF(ISTEXT(AG371),H371*VALUE(SUBSTITUTE(AG371,"%",""))/100,H371*AG371))-Tabela1[[#This Row],[PESO EXPEDIDO2]]</f>
        <v>0</v>
      </c>
      <c r="AU371" s="37">
        <f t="shared" si="64"/>
        <v>0</v>
      </c>
      <c r="AV371" s="37">
        <f t="shared" si="65"/>
        <v>0</v>
      </c>
      <c r="AW371" s="37"/>
    </row>
    <row r="372" spans="1:49" ht="15.75" customHeight="1" x14ac:dyDescent="0.25">
      <c r="A372" s="6" t="s">
        <v>4015</v>
      </c>
      <c r="B372" s="21" t="s">
        <v>4019</v>
      </c>
      <c r="C372" s="7">
        <v>1</v>
      </c>
      <c r="D372" s="39" t="s">
        <v>4020</v>
      </c>
      <c r="E372" s="7">
        <v>4257</v>
      </c>
      <c r="F372" s="7" t="s">
        <v>4018</v>
      </c>
      <c r="G372" s="23">
        <v>0.4</v>
      </c>
      <c r="H372" s="34">
        <f>Tabela1[[#This Row],[PESO UNI]]*Tabela1[[#This Row],[QTE]]</f>
        <v>0.4</v>
      </c>
      <c r="I372" s="7">
        <v>0</v>
      </c>
      <c r="J372" s="8" t="s">
        <v>2274</v>
      </c>
      <c r="K372" s="8" t="s">
        <v>327</v>
      </c>
      <c r="L372" s="9" t="s">
        <v>2069</v>
      </c>
      <c r="M372" s="10">
        <v>46150</v>
      </c>
      <c r="N372" s="8" t="s">
        <v>327</v>
      </c>
      <c r="O372" s="12"/>
      <c r="P372" s="13"/>
      <c r="Q372" s="14">
        <f>Tabela1[[#This Row],[QTDE/ Fabricação]]-Tabela1[[#This Row],[QTE]]</f>
        <v>-1</v>
      </c>
      <c r="R372" s="18">
        <f t="shared" si="59"/>
        <v>0.4</v>
      </c>
      <c r="S372" s="18">
        <f t="shared" si="57"/>
        <v>0</v>
      </c>
      <c r="T372" s="19">
        <f t="shared" si="62"/>
        <v>-0.4</v>
      </c>
      <c r="U372" s="16">
        <f>IFERROR(SUMIF('LISTA DE EMBARQUE'!B:B,MICRO!E:E,'LISTA DE EMBARQUE'!G:G),"")</f>
        <v>0</v>
      </c>
      <c r="V372" s="12" t="str">
        <f>IFERROR(VLOOKUP(Tabela1[[#This Row],[COD.MDE]],'LISTA DE EMBARQUE'!B:L,11,0),"")</f>
        <v/>
      </c>
      <c r="W372" s="13" t="str">
        <f>IFERROR(VLOOKUP(Tabela1[[#This Row],[COD.MDE]],'LISTA DE EMBARQUE'!B:M,12,0),"")</f>
        <v/>
      </c>
      <c r="X372" s="14">
        <f>IFERROR(Tabela1[[#This Row],[QIANTIDADE EXPEDIDA]]*Tabela1[[#This Row],[PESO UNI]],"")</f>
        <v>0</v>
      </c>
      <c r="Y372" s="14">
        <f t="shared" si="63"/>
        <v>-1</v>
      </c>
      <c r="Z372" s="20">
        <f>Tabela1[[#This Row],[PESO TOTAL]]-Tabela1[[#This Row],[Peso Expedido]]</f>
        <v>0.4</v>
      </c>
      <c r="AA372" s="17">
        <v>1</v>
      </c>
      <c r="AB372" s="33"/>
      <c r="AC372" s="33">
        <v>1</v>
      </c>
      <c r="AD372" s="33">
        <v>1</v>
      </c>
      <c r="AE372" s="33">
        <v>1</v>
      </c>
      <c r="AF372" s="33">
        <v>1</v>
      </c>
      <c r="AG372" s="33">
        <v>0</v>
      </c>
      <c r="AH372" s="33"/>
      <c r="AI372" s="33" t="str">
        <f t="shared" si="61"/>
        <v/>
      </c>
      <c r="AJ372" s="5"/>
      <c r="AK372" t="str">
        <f>Tabela1[[#This Row],[Coluna1]]&amp;Tabela1[[#This Row],[PEDIDO]]</f>
        <v>P-188</v>
      </c>
      <c r="AL372"/>
      <c r="AM372"/>
      <c r="AN372"/>
      <c r="AO372" t="str">
        <f t="shared" si="58"/>
        <v>MDE-M-0029-RA/1073-TC-006</v>
      </c>
      <c r="AP372" t="str">
        <f>Tabela1[[#This Row],[TAG]]&amp;Tabela1[[#This Row],[PEDIDO]]&amp;Tabela1[[#This Row],[PRODUTO]]</f>
        <v>1073-TC-006P-188RMF</v>
      </c>
      <c r="AQ372" s="22" t="str">
        <f>Tabela1[[#This Row],[PRODUTO]]&amp;Tabela1[[#This Row],[TAG]]</f>
        <v>RMF1073-TC-006</v>
      </c>
      <c r="AR372" s="24" t="str">
        <f>Tabela1[[#This Row],[PEDIDO]]&amp;Tabela1[[#This Row],[PRODUTO]]</f>
        <v>P-188RMF</v>
      </c>
      <c r="AS372" s="37">
        <f>IF(AF372="",0,IF(ISTEXT(AF372),H372*VALUE(SUBSTITUTE(AF372,"%",""))/100,H372*AF372))-Tabela1[[#This Row],[PRONTO ACABADO2]]</f>
        <v>0.4</v>
      </c>
      <c r="AT372" s="37">
        <f>IF(AG372="",0,IF(ISTEXT(AG372),H372*VALUE(SUBSTITUTE(AG372,"%",""))/100,H372*AG372))-Tabela1[[#This Row],[PESO EXPEDIDO2]]</f>
        <v>0</v>
      </c>
      <c r="AU372" s="37">
        <f t="shared" si="64"/>
        <v>0</v>
      </c>
      <c r="AV372" s="37">
        <f t="shared" si="65"/>
        <v>0</v>
      </c>
      <c r="AW372" s="37"/>
    </row>
    <row r="373" spans="1:49" ht="15.75" customHeight="1" x14ac:dyDescent="0.25">
      <c r="A373" s="6" t="s">
        <v>4015</v>
      </c>
      <c r="B373" s="21" t="s">
        <v>4019</v>
      </c>
      <c r="C373" s="7">
        <v>1</v>
      </c>
      <c r="D373" s="39" t="s">
        <v>4020</v>
      </c>
      <c r="E373" s="7">
        <v>4258</v>
      </c>
      <c r="F373" s="7" t="s">
        <v>4018</v>
      </c>
      <c r="G373" s="23">
        <v>0.4</v>
      </c>
      <c r="H373" s="34">
        <f>Tabela1[[#This Row],[PESO UNI]]*Tabela1[[#This Row],[QTE]]</f>
        <v>0.4</v>
      </c>
      <c r="I373" s="7">
        <v>0</v>
      </c>
      <c r="J373" s="8" t="s">
        <v>2276</v>
      </c>
      <c r="K373" s="8" t="s">
        <v>327</v>
      </c>
      <c r="L373" s="9" t="s">
        <v>2069</v>
      </c>
      <c r="M373" s="10">
        <v>46150</v>
      </c>
      <c r="N373" s="8" t="s">
        <v>327</v>
      </c>
      <c r="O373" s="12"/>
      <c r="P373" s="13"/>
      <c r="Q373" s="14">
        <f>Tabela1[[#This Row],[QTDE/ Fabricação]]-Tabela1[[#This Row],[QTE]]</f>
        <v>-1</v>
      </c>
      <c r="R373" s="18">
        <f t="shared" si="59"/>
        <v>0.4</v>
      </c>
      <c r="S373" s="18">
        <f t="shared" si="57"/>
        <v>0</v>
      </c>
      <c r="T373" s="19">
        <f t="shared" si="62"/>
        <v>-0.4</v>
      </c>
      <c r="U373" s="16">
        <f>IFERROR(SUMIF('LISTA DE EMBARQUE'!B:B,MICRO!E:E,'LISTA DE EMBARQUE'!G:G),"")</f>
        <v>0</v>
      </c>
      <c r="V373" s="12" t="str">
        <f>IFERROR(VLOOKUP(Tabela1[[#This Row],[COD.MDE]],'LISTA DE EMBARQUE'!B:L,11,0),"")</f>
        <v/>
      </c>
      <c r="W373" s="13" t="str">
        <f>IFERROR(VLOOKUP(Tabela1[[#This Row],[COD.MDE]],'LISTA DE EMBARQUE'!B:M,12,0),"")</f>
        <v/>
      </c>
      <c r="X373" s="14">
        <f>IFERROR(Tabela1[[#This Row],[QIANTIDADE EXPEDIDA]]*Tabela1[[#This Row],[PESO UNI]],"")</f>
        <v>0</v>
      </c>
      <c r="Y373" s="14">
        <f t="shared" si="63"/>
        <v>-1</v>
      </c>
      <c r="Z373" s="20">
        <f>Tabela1[[#This Row],[PESO TOTAL]]-Tabela1[[#This Row],[Peso Expedido]]</f>
        <v>0.4</v>
      </c>
      <c r="AA373" s="17">
        <v>1</v>
      </c>
      <c r="AB373" s="33"/>
      <c r="AC373" s="33">
        <v>1</v>
      </c>
      <c r="AD373" s="33">
        <v>1</v>
      </c>
      <c r="AE373" s="33">
        <v>1</v>
      </c>
      <c r="AF373" s="33">
        <v>1</v>
      </c>
      <c r="AG373" s="33">
        <v>0</v>
      </c>
      <c r="AH373" s="33"/>
      <c r="AI373" s="33" t="str">
        <f t="shared" si="61"/>
        <v/>
      </c>
      <c r="AJ373" s="5"/>
      <c r="AK373" t="str">
        <f>Tabela1[[#This Row],[Coluna1]]&amp;Tabela1[[#This Row],[PEDIDO]]</f>
        <v>P-188</v>
      </c>
      <c r="AL373"/>
      <c r="AM373"/>
      <c r="AN373"/>
      <c r="AO373" t="str">
        <f t="shared" si="58"/>
        <v>MDE-M-0029-RA/1073-TC-007</v>
      </c>
      <c r="AP373" t="str">
        <f>Tabela1[[#This Row],[TAG]]&amp;Tabela1[[#This Row],[PEDIDO]]&amp;Tabela1[[#This Row],[PRODUTO]]</f>
        <v>1073-TC-007P-188RMF</v>
      </c>
      <c r="AQ373" s="22" t="str">
        <f>Tabela1[[#This Row],[PRODUTO]]&amp;Tabela1[[#This Row],[TAG]]</f>
        <v>RMF1073-TC-007</v>
      </c>
      <c r="AR373" s="24" t="str">
        <f>Tabela1[[#This Row],[PEDIDO]]&amp;Tabela1[[#This Row],[PRODUTO]]</f>
        <v>P-188RMF</v>
      </c>
      <c r="AS373" s="37">
        <f>IF(AF373="",0,IF(ISTEXT(AF373),H373*VALUE(SUBSTITUTE(AF373,"%",""))/100,H373*AF373))-Tabela1[[#This Row],[PRONTO ACABADO2]]</f>
        <v>0.4</v>
      </c>
      <c r="AT373" s="37">
        <f>IF(AG373="",0,IF(ISTEXT(AG373),H373*VALUE(SUBSTITUTE(AG373,"%",""))/100,H373*AG373))-Tabela1[[#This Row],[PESO EXPEDIDO2]]</f>
        <v>0</v>
      </c>
      <c r="AU373" s="37">
        <f t="shared" si="64"/>
        <v>0</v>
      </c>
      <c r="AV373" s="37">
        <f t="shared" si="65"/>
        <v>0</v>
      </c>
      <c r="AW373" s="37"/>
    </row>
    <row r="374" spans="1:49" ht="15.75" customHeight="1" x14ac:dyDescent="0.25">
      <c r="A374" s="6" t="s">
        <v>4015</v>
      </c>
      <c r="B374" s="21" t="s">
        <v>4021</v>
      </c>
      <c r="C374" s="7">
        <v>1</v>
      </c>
      <c r="D374" s="39" t="s">
        <v>4022</v>
      </c>
      <c r="E374" s="7">
        <v>4259</v>
      </c>
      <c r="F374" s="7" t="s">
        <v>4018</v>
      </c>
      <c r="G374" s="23">
        <v>0.2</v>
      </c>
      <c r="H374" s="34">
        <f>Tabela1[[#This Row],[PESO UNI]]*Tabela1[[#This Row],[QTE]]</f>
        <v>0.2</v>
      </c>
      <c r="I374" s="7">
        <v>0</v>
      </c>
      <c r="J374" s="8" t="s">
        <v>2274</v>
      </c>
      <c r="K374" s="8" t="s">
        <v>327</v>
      </c>
      <c r="L374" s="9" t="s">
        <v>2069</v>
      </c>
      <c r="M374" s="10">
        <v>46150</v>
      </c>
      <c r="N374" s="8" t="s">
        <v>327</v>
      </c>
      <c r="O374" s="12"/>
      <c r="P374" s="13"/>
      <c r="Q374" s="14">
        <f>Tabela1[[#This Row],[QTDE/ Fabricação]]-Tabela1[[#This Row],[QTE]]</f>
        <v>-1</v>
      </c>
      <c r="R374" s="18">
        <f t="shared" si="59"/>
        <v>0.2</v>
      </c>
      <c r="S374" s="18">
        <f t="shared" ref="S374:S437" si="66">IFERROR(H374*AG374,"")</f>
        <v>0</v>
      </c>
      <c r="T374" s="19">
        <f t="shared" si="62"/>
        <v>-0.2</v>
      </c>
      <c r="U374" s="16">
        <f>IFERROR(SUMIF('LISTA DE EMBARQUE'!B:B,MICRO!E:E,'LISTA DE EMBARQUE'!G:G),"")</f>
        <v>0</v>
      </c>
      <c r="V374" s="12" t="str">
        <f>IFERROR(VLOOKUP(Tabela1[[#This Row],[COD.MDE]],'LISTA DE EMBARQUE'!B:L,11,0),"")</f>
        <v/>
      </c>
      <c r="W374" s="13" t="str">
        <f>IFERROR(VLOOKUP(Tabela1[[#This Row],[COD.MDE]],'LISTA DE EMBARQUE'!B:M,12,0),"")</f>
        <v/>
      </c>
      <c r="X374" s="14">
        <f>IFERROR(Tabela1[[#This Row],[QIANTIDADE EXPEDIDA]]*Tabela1[[#This Row],[PESO UNI]],"")</f>
        <v>0</v>
      </c>
      <c r="Y374" s="14">
        <f t="shared" si="63"/>
        <v>-1</v>
      </c>
      <c r="Z374" s="20">
        <f>Tabela1[[#This Row],[PESO TOTAL]]-Tabela1[[#This Row],[Peso Expedido]]</f>
        <v>0.2</v>
      </c>
      <c r="AA374" s="17">
        <v>1</v>
      </c>
      <c r="AB374" s="33"/>
      <c r="AC374" s="33">
        <v>1</v>
      </c>
      <c r="AD374" s="33">
        <v>1</v>
      </c>
      <c r="AE374" s="33">
        <v>1</v>
      </c>
      <c r="AF374" s="33">
        <v>1</v>
      </c>
      <c r="AG374" s="33">
        <v>0</v>
      </c>
      <c r="AH374" s="33"/>
      <c r="AI374" s="33" t="str">
        <f t="shared" si="61"/>
        <v/>
      </c>
      <c r="AJ374" s="5"/>
      <c r="AK374" t="str">
        <f>Tabela1[[#This Row],[Coluna1]]&amp;Tabela1[[#This Row],[PEDIDO]]</f>
        <v>P-188</v>
      </c>
      <c r="AL374"/>
      <c r="AM374"/>
      <c r="AN374"/>
      <c r="AO374" t="str">
        <f t="shared" si="58"/>
        <v>MDE-M-0029-RA/1073-TC-006</v>
      </c>
      <c r="AP374" t="str">
        <f>Tabela1[[#This Row],[TAG]]&amp;Tabela1[[#This Row],[PEDIDO]]&amp;Tabela1[[#This Row],[PRODUTO]]</f>
        <v>1073-TC-006P-188RMF</v>
      </c>
      <c r="AQ374" s="22" t="str">
        <f>Tabela1[[#This Row],[PRODUTO]]&amp;Tabela1[[#This Row],[TAG]]</f>
        <v>RMF1073-TC-006</v>
      </c>
      <c r="AR374" s="24" t="str">
        <f>Tabela1[[#This Row],[PEDIDO]]&amp;Tabela1[[#This Row],[PRODUTO]]</f>
        <v>P-188RMF</v>
      </c>
      <c r="AS374" s="37">
        <f>IF(AF374="",0,IF(ISTEXT(AF374),H374*VALUE(SUBSTITUTE(AF374,"%",""))/100,H374*AF374))-Tabela1[[#This Row],[PRONTO ACABADO2]]</f>
        <v>0.2</v>
      </c>
      <c r="AT374" s="37">
        <f>IF(AG374="",0,IF(ISTEXT(AG374),H374*VALUE(SUBSTITUTE(AG374,"%",""))/100,H374*AG374))-Tabela1[[#This Row],[PESO EXPEDIDO2]]</f>
        <v>0</v>
      </c>
      <c r="AU374" s="37">
        <f t="shared" si="64"/>
        <v>0</v>
      </c>
      <c r="AV374" s="37">
        <f t="shared" si="65"/>
        <v>0</v>
      </c>
      <c r="AW374" s="37"/>
    </row>
    <row r="375" spans="1:49" ht="15.75" customHeight="1" x14ac:dyDescent="0.25">
      <c r="A375" s="6" t="s">
        <v>4015</v>
      </c>
      <c r="B375" s="21" t="s">
        <v>4021</v>
      </c>
      <c r="C375" s="7">
        <v>1</v>
      </c>
      <c r="D375" s="39" t="s">
        <v>4022</v>
      </c>
      <c r="E375" s="7">
        <v>4260</v>
      </c>
      <c r="F375" s="7" t="s">
        <v>4018</v>
      </c>
      <c r="G375" s="23">
        <v>0.2</v>
      </c>
      <c r="H375" s="34">
        <f>Tabela1[[#This Row],[PESO UNI]]*Tabela1[[#This Row],[QTE]]</f>
        <v>0.2</v>
      </c>
      <c r="I375" s="7">
        <v>0</v>
      </c>
      <c r="J375" s="8" t="s">
        <v>2276</v>
      </c>
      <c r="K375" s="8" t="s">
        <v>327</v>
      </c>
      <c r="L375" s="9" t="s">
        <v>2069</v>
      </c>
      <c r="M375" s="10">
        <v>46150</v>
      </c>
      <c r="N375" s="8" t="s">
        <v>327</v>
      </c>
      <c r="O375" s="12"/>
      <c r="P375" s="13"/>
      <c r="Q375" s="14">
        <f>Tabela1[[#This Row],[QTDE/ Fabricação]]-Tabela1[[#This Row],[QTE]]</f>
        <v>-1</v>
      </c>
      <c r="R375" s="18">
        <f t="shared" si="59"/>
        <v>0.2</v>
      </c>
      <c r="S375" s="18">
        <f t="shared" si="66"/>
        <v>0</v>
      </c>
      <c r="T375" s="19">
        <f t="shared" si="62"/>
        <v>-0.2</v>
      </c>
      <c r="U375" s="16">
        <f>IFERROR(SUMIF('LISTA DE EMBARQUE'!B:B,MICRO!E:E,'LISTA DE EMBARQUE'!G:G),"")</f>
        <v>0</v>
      </c>
      <c r="V375" s="12" t="str">
        <f>IFERROR(VLOOKUP(Tabela1[[#This Row],[COD.MDE]],'LISTA DE EMBARQUE'!B:L,11,0),"")</f>
        <v/>
      </c>
      <c r="W375" s="13" t="str">
        <f>IFERROR(VLOOKUP(Tabela1[[#This Row],[COD.MDE]],'LISTA DE EMBARQUE'!B:M,12,0),"")</f>
        <v/>
      </c>
      <c r="X375" s="14">
        <f>IFERROR(Tabela1[[#This Row],[QIANTIDADE EXPEDIDA]]*Tabela1[[#This Row],[PESO UNI]],"")</f>
        <v>0</v>
      </c>
      <c r="Y375" s="14">
        <f t="shared" si="63"/>
        <v>-1</v>
      </c>
      <c r="Z375" s="20">
        <f>Tabela1[[#This Row],[PESO TOTAL]]-Tabela1[[#This Row],[Peso Expedido]]</f>
        <v>0.2</v>
      </c>
      <c r="AA375" s="17">
        <v>1</v>
      </c>
      <c r="AB375" s="33"/>
      <c r="AC375" s="33">
        <v>1</v>
      </c>
      <c r="AD375" s="33">
        <v>1</v>
      </c>
      <c r="AE375" s="33">
        <v>1</v>
      </c>
      <c r="AF375" s="33">
        <v>1</v>
      </c>
      <c r="AG375" s="33">
        <v>0</v>
      </c>
      <c r="AH375" s="33"/>
      <c r="AI375" s="33" t="str">
        <f t="shared" si="61"/>
        <v/>
      </c>
      <c r="AJ375" s="5"/>
      <c r="AK375" t="str">
        <f>Tabela1[[#This Row],[Coluna1]]&amp;Tabela1[[#This Row],[PEDIDO]]</f>
        <v>P-188</v>
      </c>
      <c r="AL375"/>
      <c r="AM375"/>
      <c r="AN375"/>
      <c r="AO375" t="str">
        <f t="shared" si="58"/>
        <v>MDE-M-0029-RA/1073-TC-007</v>
      </c>
      <c r="AP375" t="str">
        <f>Tabela1[[#This Row],[TAG]]&amp;Tabela1[[#This Row],[PEDIDO]]&amp;Tabela1[[#This Row],[PRODUTO]]</f>
        <v>1073-TC-007P-188RMF</v>
      </c>
      <c r="AQ375" s="22" t="str">
        <f>Tabela1[[#This Row],[PRODUTO]]&amp;Tabela1[[#This Row],[TAG]]</f>
        <v>RMF1073-TC-007</v>
      </c>
      <c r="AR375" s="24" t="str">
        <f>Tabela1[[#This Row],[PEDIDO]]&amp;Tabela1[[#This Row],[PRODUTO]]</f>
        <v>P-188RMF</v>
      </c>
      <c r="AS375" s="37">
        <f>IF(AF375="",0,IF(ISTEXT(AF375),H375*VALUE(SUBSTITUTE(AF375,"%",""))/100,H375*AF375))-Tabela1[[#This Row],[PRONTO ACABADO2]]</f>
        <v>0.2</v>
      </c>
      <c r="AT375" s="37">
        <f>IF(AG375="",0,IF(ISTEXT(AG375),H375*VALUE(SUBSTITUTE(AG375,"%",""))/100,H375*AG375))-Tabela1[[#This Row],[PESO EXPEDIDO2]]</f>
        <v>0</v>
      </c>
      <c r="AU375" s="37">
        <f t="shared" si="64"/>
        <v>0</v>
      </c>
      <c r="AV375" s="37">
        <f t="shared" si="65"/>
        <v>0</v>
      </c>
      <c r="AW375" s="37"/>
    </row>
    <row r="376" spans="1:49" ht="15.75" customHeight="1" x14ac:dyDescent="0.25">
      <c r="A376" s="6" t="s">
        <v>4015</v>
      </c>
      <c r="B376" s="21" t="s">
        <v>4023</v>
      </c>
      <c r="C376" s="7">
        <v>2</v>
      </c>
      <c r="D376" s="39" t="s">
        <v>4024</v>
      </c>
      <c r="E376" s="7">
        <v>4261</v>
      </c>
      <c r="F376" s="7" t="s">
        <v>4018</v>
      </c>
      <c r="G376" s="23">
        <v>3.9</v>
      </c>
      <c r="H376" s="34">
        <f>Tabela1[[#This Row],[PESO UNI]]*Tabela1[[#This Row],[QTE]]</f>
        <v>7.8</v>
      </c>
      <c r="I376" s="7">
        <v>0</v>
      </c>
      <c r="J376" s="8" t="s">
        <v>2274</v>
      </c>
      <c r="K376" s="8" t="s">
        <v>327</v>
      </c>
      <c r="L376" s="9" t="s">
        <v>2069</v>
      </c>
      <c r="M376" s="10">
        <v>46150</v>
      </c>
      <c r="N376" s="8" t="s">
        <v>327</v>
      </c>
      <c r="O376" s="12"/>
      <c r="P376" s="13"/>
      <c r="Q376" s="14">
        <f>Tabela1[[#This Row],[QTDE/ Fabricação]]-Tabela1[[#This Row],[QTE]]</f>
        <v>-2</v>
      </c>
      <c r="R376" s="18">
        <f t="shared" si="59"/>
        <v>7.8</v>
      </c>
      <c r="S376" s="18">
        <f t="shared" si="66"/>
        <v>0</v>
      </c>
      <c r="T376" s="19">
        <f t="shared" si="62"/>
        <v>-7.8</v>
      </c>
      <c r="U376" s="16">
        <f>IFERROR(SUMIF('LISTA DE EMBARQUE'!B:B,MICRO!E:E,'LISTA DE EMBARQUE'!G:G),"")</f>
        <v>0</v>
      </c>
      <c r="V376" s="12" t="str">
        <f>IFERROR(VLOOKUP(Tabela1[[#This Row],[COD.MDE]],'LISTA DE EMBARQUE'!B:L,11,0),"")</f>
        <v/>
      </c>
      <c r="W376" s="13" t="str">
        <f>IFERROR(VLOOKUP(Tabela1[[#This Row],[COD.MDE]],'LISTA DE EMBARQUE'!B:M,12,0),"")</f>
        <v/>
      </c>
      <c r="X376" s="14">
        <f>IFERROR(Tabela1[[#This Row],[QIANTIDADE EXPEDIDA]]*Tabela1[[#This Row],[PESO UNI]],"")</f>
        <v>0</v>
      </c>
      <c r="Y376" s="14">
        <f t="shared" si="63"/>
        <v>-2</v>
      </c>
      <c r="Z376" s="20">
        <f>Tabela1[[#This Row],[PESO TOTAL]]-Tabela1[[#This Row],[Peso Expedido]]</f>
        <v>7.8</v>
      </c>
      <c r="AA376" s="17">
        <v>1</v>
      </c>
      <c r="AB376" s="33"/>
      <c r="AC376" s="33">
        <v>1</v>
      </c>
      <c r="AD376" s="33">
        <v>1</v>
      </c>
      <c r="AE376" s="33">
        <v>1</v>
      </c>
      <c r="AF376" s="33">
        <v>1</v>
      </c>
      <c r="AG376" s="33">
        <v>0</v>
      </c>
      <c r="AH376" s="33"/>
      <c r="AI376" s="33" t="str">
        <f t="shared" si="61"/>
        <v/>
      </c>
      <c r="AJ376" s="5"/>
      <c r="AK376" t="str">
        <f>Tabela1[[#This Row],[Coluna1]]&amp;Tabela1[[#This Row],[PEDIDO]]</f>
        <v>P-188</v>
      </c>
      <c r="AL376"/>
      <c r="AM376"/>
      <c r="AN376"/>
      <c r="AO376" t="str">
        <f t="shared" si="58"/>
        <v>MDE-M-0029-RA/1073-TC-006</v>
      </c>
      <c r="AP376" t="str">
        <f>Tabela1[[#This Row],[TAG]]&amp;Tabela1[[#This Row],[PEDIDO]]&amp;Tabela1[[#This Row],[PRODUTO]]</f>
        <v>1073-TC-006P-188RMF</v>
      </c>
      <c r="AQ376" s="22" t="str">
        <f>Tabela1[[#This Row],[PRODUTO]]&amp;Tabela1[[#This Row],[TAG]]</f>
        <v>RMF1073-TC-006</v>
      </c>
      <c r="AR376" s="24" t="str">
        <f>Tabela1[[#This Row],[PEDIDO]]&amp;Tabela1[[#This Row],[PRODUTO]]</f>
        <v>P-188RMF</v>
      </c>
      <c r="AS376" s="37">
        <f>IF(AF376="",0,IF(ISTEXT(AF376),H376*VALUE(SUBSTITUTE(AF376,"%",""))/100,H376*AF376))-Tabela1[[#This Row],[PRONTO ACABADO2]]</f>
        <v>7.8</v>
      </c>
      <c r="AT376" s="37">
        <f>IF(AG376="",0,IF(ISTEXT(AG376),H376*VALUE(SUBSTITUTE(AG376,"%",""))/100,H376*AG376))-Tabela1[[#This Row],[PESO EXPEDIDO2]]</f>
        <v>0</v>
      </c>
      <c r="AU376" s="37">
        <f t="shared" si="64"/>
        <v>0</v>
      </c>
      <c r="AV376" s="37">
        <f t="shared" si="65"/>
        <v>0</v>
      </c>
      <c r="AW376" s="37"/>
    </row>
    <row r="377" spans="1:49" ht="15.75" customHeight="1" x14ac:dyDescent="0.25">
      <c r="A377" s="6" t="s">
        <v>4015</v>
      </c>
      <c r="B377" s="21" t="s">
        <v>4023</v>
      </c>
      <c r="C377" s="7">
        <v>2</v>
      </c>
      <c r="D377" s="39" t="s">
        <v>4024</v>
      </c>
      <c r="E377" s="7">
        <v>4262</v>
      </c>
      <c r="F377" s="7" t="s">
        <v>4018</v>
      </c>
      <c r="G377" s="23">
        <v>3.9</v>
      </c>
      <c r="H377" s="34">
        <f>Tabela1[[#This Row],[PESO UNI]]*Tabela1[[#This Row],[QTE]]</f>
        <v>7.8</v>
      </c>
      <c r="I377" s="7">
        <v>0</v>
      </c>
      <c r="J377" s="8" t="s">
        <v>2276</v>
      </c>
      <c r="K377" s="8" t="s">
        <v>327</v>
      </c>
      <c r="L377" s="9" t="s">
        <v>2069</v>
      </c>
      <c r="M377" s="10">
        <v>46150</v>
      </c>
      <c r="N377" s="8" t="s">
        <v>327</v>
      </c>
      <c r="O377" s="12"/>
      <c r="P377" s="13"/>
      <c r="Q377" s="14">
        <f>Tabela1[[#This Row],[QTDE/ Fabricação]]-Tabela1[[#This Row],[QTE]]</f>
        <v>-2</v>
      </c>
      <c r="R377" s="18">
        <f t="shared" si="59"/>
        <v>7.8</v>
      </c>
      <c r="S377" s="18">
        <f t="shared" si="66"/>
        <v>0</v>
      </c>
      <c r="T377" s="19">
        <f t="shared" si="62"/>
        <v>-7.8</v>
      </c>
      <c r="U377" s="16">
        <f>IFERROR(SUMIF('LISTA DE EMBARQUE'!B:B,MICRO!E:E,'LISTA DE EMBARQUE'!G:G),"")</f>
        <v>0</v>
      </c>
      <c r="V377" s="12" t="str">
        <f>IFERROR(VLOOKUP(Tabela1[[#This Row],[COD.MDE]],'LISTA DE EMBARQUE'!B:L,11,0),"")</f>
        <v/>
      </c>
      <c r="W377" s="13" t="str">
        <f>IFERROR(VLOOKUP(Tabela1[[#This Row],[COD.MDE]],'LISTA DE EMBARQUE'!B:M,12,0),"")</f>
        <v/>
      </c>
      <c r="X377" s="14">
        <f>IFERROR(Tabela1[[#This Row],[QIANTIDADE EXPEDIDA]]*Tabela1[[#This Row],[PESO UNI]],"")</f>
        <v>0</v>
      </c>
      <c r="Y377" s="14">
        <f t="shared" si="63"/>
        <v>-2</v>
      </c>
      <c r="Z377" s="20">
        <f>Tabela1[[#This Row],[PESO TOTAL]]-Tabela1[[#This Row],[Peso Expedido]]</f>
        <v>7.8</v>
      </c>
      <c r="AA377" s="17">
        <v>1</v>
      </c>
      <c r="AB377" s="33"/>
      <c r="AC377" s="33">
        <v>1</v>
      </c>
      <c r="AD377" s="33">
        <v>1</v>
      </c>
      <c r="AE377" s="33">
        <v>1</v>
      </c>
      <c r="AF377" s="33">
        <v>1</v>
      </c>
      <c r="AG377" s="33">
        <v>0</v>
      </c>
      <c r="AH377" s="33"/>
      <c r="AI377" s="33" t="str">
        <f t="shared" si="61"/>
        <v/>
      </c>
      <c r="AJ377" s="5"/>
      <c r="AK377" t="str">
        <f>Tabela1[[#This Row],[Coluna1]]&amp;Tabela1[[#This Row],[PEDIDO]]</f>
        <v>P-188</v>
      </c>
      <c r="AL377"/>
      <c r="AM377"/>
      <c r="AN377"/>
      <c r="AO377" t="str">
        <f t="shared" si="58"/>
        <v>MDE-M-0029-RA/1073-TC-007</v>
      </c>
      <c r="AP377" t="str">
        <f>Tabela1[[#This Row],[TAG]]&amp;Tabela1[[#This Row],[PEDIDO]]&amp;Tabela1[[#This Row],[PRODUTO]]</f>
        <v>1073-TC-007P-188RMF</v>
      </c>
      <c r="AQ377" s="22" t="str">
        <f>Tabela1[[#This Row],[PRODUTO]]&amp;Tabela1[[#This Row],[TAG]]</f>
        <v>RMF1073-TC-007</v>
      </c>
      <c r="AR377" s="24" t="str">
        <f>Tabela1[[#This Row],[PEDIDO]]&amp;Tabela1[[#This Row],[PRODUTO]]</f>
        <v>P-188RMF</v>
      </c>
      <c r="AS377" s="37">
        <f>IF(AF377="",0,IF(ISTEXT(AF377),H377*VALUE(SUBSTITUTE(AF377,"%",""))/100,H377*AF377))-Tabela1[[#This Row],[PRONTO ACABADO2]]</f>
        <v>7.8</v>
      </c>
      <c r="AT377" s="37">
        <f>IF(AG377="",0,IF(ISTEXT(AG377),H377*VALUE(SUBSTITUTE(AG377,"%",""))/100,H377*AG377))-Tabela1[[#This Row],[PESO EXPEDIDO2]]</f>
        <v>0</v>
      </c>
      <c r="AU377" s="37">
        <f t="shared" si="64"/>
        <v>0</v>
      </c>
      <c r="AV377" s="37">
        <f t="shared" si="65"/>
        <v>0</v>
      </c>
      <c r="AW377" s="37"/>
    </row>
    <row r="378" spans="1:49" ht="15.75" customHeight="1" x14ac:dyDescent="0.25">
      <c r="A378" s="6" t="s">
        <v>4015</v>
      </c>
      <c r="B378" s="21" t="s">
        <v>4025</v>
      </c>
      <c r="C378" s="7">
        <v>4</v>
      </c>
      <c r="D378" s="39" t="s">
        <v>4026</v>
      </c>
      <c r="E378" s="7">
        <v>4263</v>
      </c>
      <c r="F378" s="7" t="s">
        <v>4018</v>
      </c>
      <c r="G378" s="23">
        <v>2.2999999999999998</v>
      </c>
      <c r="H378" s="34">
        <f>Tabela1[[#This Row],[PESO UNI]]*Tabela1[[#This Row],[QTE]]</f>
        <v>9.1999999999999993</v>
      </c>
      <c r="I378" s="7">
        <v>0</v>
      </c>
      <c r="J378" s="8" t="s">
        <v>2274</v>
      </c>
      <c r="K378" s="8" t="s">
        <v>327</v>
      </c>
      <c r="L378" s="9" t="s">
        <v>2069</v>
      </c>
      <c r="M378" s="10">
        <v>46150</v>
      </c>
      <c r="N378" s="8" t="s">
        <v>327</v>
      </c>
      <c r="O378" s="12"/>
      <c r="P378" s="13"/>
      <c r="Q378" s="14">
        <f>Tabela1[[#This Row],[QTDE/ Fabricação]]-Tabela1[[#This Row],[QTE]]</f>
        <v>-4</v>
      </c>
      <c r="R378" s="18">
        <f t="shared" si="59"/>
        <v>9.1999999999999993</v>
      </c>
      <c r="S378" s="18">
        <f t="shared" si="66"/>
        <v>0</v>
      </c>
      <c r="T378" s="19">
        <f t="shared" si="62"/>
        <v>-9.1999999999999993</v>
      </c>
      <c r="U378" s="16">
        <f>IFERROR(SUMIF('LISTA DE EMBARQUE'!B:B,MICRO!E:E,'LISTA DE EMBARQUE'!G:G),"")</f>
        <v>0</v>
      </c>
      <c r="V378" s="12" t="str">
        <f>IFERROR(VLOOKUP(Tabela1[[#This Row],[COD.MDE]],'LISTA DE EMBARQUE'!B:L,11,0),"")</f>
        <v/>
      </c>
      <c r="W378" s="13" t="str">
        <f>IFERROR(VLOOKUP(Tabela1[[#This Row],[COD.MDE]],'LISTA DE EMBARQUE'!B:M,12,0),"")</f>
        <v/>
      </c>
      <c r="X378" s="14">
        <f>IFERROR(Tabela1[[#This Row],[QIANTIDADE EXPEDIDA]]*Tabela1[[#This Row],[PESO UNI]],"")</f>
        <v>0</v>
      </c>
      <c r="Y378" s="14">
        <f t="shared" si="63"/>
        <v>-4</v>
      </c>
      <c r="Z378" s="20">
        <f>Tabela1[[#This Row],[PESO TOTAL]]-Tabela1[[#This Row],[Peso Expedido]]</f>
        <v>9.1999999999999993</v>
      </c>
      <c r="AA378" s="17">
        <v>1</v>
      </c>
      <c r="AB378" s="33"/>
      <c r="AC378" s="33">
        <v>1</v>
      </c>
      <c r="AD378" s="33">
        <v>1</v>
      </c>
      <c r="AE378" s="33">
        <v>1</v>
      </c>
      <c r="AF378" s="33">
        <v>1</v>
      </c>
      <c r="AG378" s="33">
        <v>0</v>
      </c>
      <c r="AH378" s="33"/>
      <c r="AI378" s="33" t="str">
        <f t="shared" si="61"/>
        <v/>
      </c>
      <c r="AJ378" s="5"/>
      <c r="AK378" t="str">
        <f>Tabela1[[#This Row],[Coluna1]]&amp;Tabela1[[#This Row],[PEDIDO]]</f>
        <v>P-188</v>
      </c>
      <c r="AL378"/>
      <c r="AM378"/>
      <c r="AN378"/>
      <c r="AO378" t="str">
        <f t="shared" si="58"/>
        <v>MDE-M-0029-RA/1073-TC-006</v>
      </c>
      <c r="AP378" t="str">
        <f>Tabela1[[#This Row],[TAG]]&amp;Tabela1[[#This Row],[PEDIDO]]&amp;Tabela1[[#This Row],[PRODUTO]]</f>
        <v>1073-TC-006P-188RMF</v>
      </c>
      <c r="AQ378" s="22" t="str">
        <f>Tabela1[[#This Row],[PRODUTO]]&amp;Tabela1[[#This Row],[TAG]]</f>
        <v>RMF1073-TC-006</v>
      </c>
      <c r="AR378" s="24" t="str">
        <f>Tabela1[[#This Row],[PEDIDO]]&amp;Tabela1[[#This Row],[PRODUTO]]</f>
        <v>P-188RMF</v>
      </c>
      <c r="AS378" s="37">
        <f>IF(AF378="",0,IF(ISTEXT(AF378),H378*VALUE(SUBSTITUTE(AF378,"%",""))/100,H378*AF378))-Tabela1[[#This Row],[PRONTO ACABADO2]]</f>
        <v>9.1999999999999993</v>
      </c>
      <c r="AT378" s="37">
        <f>IF(AG378="",0,IF(ISTEXT(AG378),H378*VALUE(SUBSTITUTE(AG378,"%",""))/100,H378*AG378))-Tabela1[[#This Row],[PESO EXPEDIDO2]]</f>
        <v>0</v>
      </c>
      <c r="AU378" s="37">
        <f t="shared" si="64"/>
        <v>0</v>
      </c>
      <c r="AV378" s="37">
        <f t="shared" si="65"/>
        <v>0</v>
      </c>
      <c r="AW378" s="37"/>
    </row>
    <row r="379" spans="1:49" ht="15.75" customHeight="1" x14ac:dyDescent="0.25">
      <c r="A379" s="6" t="s">
        <v>4015</v>
      </c>
      <c r="B379" s="21" t="s">
        <v>4025</v>
      </c>
      <c r="C379" s="7">
        <v>4</v>
      </c>
      <c r="D379" s="39" t="s">
        <v>4026</v>
      </c>
      <c r="E379" s="7">
        <v>4264</v>
      </c>
      <c r="F379" s="7" t="s">
        <v>4018</v>
      </c>
      <c r="G379" s="23">
        <v>2.2999999999999998</v>
      </c>
      <c r="H379" s="34">
        <f>Tabela1[[#This Row],[PESO UNI]]*Tabela1[[#This Row],[QTE]]</f>
        <v>9.1999999999999993</v>
      </c>
      <c r="I379" s="7">
        <v>0</v>
      </c>
      <c r="J379" s="8" t="s">
        <v>2276</v>
      </c>
      <c r="K379" s="8" t="s">
        <v>327</v>
      </c>
      <c r="L379" s="9" t="s">
        <v>2069</v>
      </c>
      <c r="M379" s="10">
        <v>46150</v>
      </c>
      <c r="N379" s="8" t="s">
        <v>327</v>
      </c>
      <c r="O379" s="12"/>
      <c r="P379" s="13"/>
      <c r="Q379" s="14">
        <f>Tabela1[[#This Row],[QTDE/ Fabricação]]-Tabela1[[#This Row],[QTE]]</f>
        <v>-4</v>
      </c>
      <c r="R379" s="18">
        <f t="shared" si="59"/>
        <v>9.1999999999999993</v>
      </c>
      <c r="S379" s="18">
        <f t="shared" si="66"/>
        <v>0</v>
      </c>
      <c r="T379" s="19">
        <f t="shared" si="62"/>
        <v>-9.1999999999999993</v>
      </c>
      <c r="U379" s="16">
        <f>IFERROR(SUMIF('LISTA DE EMBARQUE'!B:B,MICRO!E:E,'LISTA DE EMBARQUE'!G:G),"")</f>
        <v>0</v>
      </c>
      <c r="V379" s="12" t="str">
        <f>IFERROR(VLOOKUP(Tabela1[[#This Row],[COD.MDE]],'LISTA DE EMBARQUE'!B:L,11,0),"")</f>
        <v/>
      </c>
      <c r="W379" s="13" t="str">
        <f>IFERROR(VLOOKUP(Tabela1[[#This Row],[COD.MDE]],'LISTA DE EMBARQUE'!B:M,12,0),"")</f>
        <v/>
      </c>
      <c r="X379" s="14">
        <f>IFERROR(Tabela1[[#This Row],[QIANTIDADE EXPEDIDA]]*Tabela1[[#This Row],[PESO UNI]],"")</f>
        <v>0</v>
      </c>
      <c r="Y379" s="14">
        <f t="shared" si="63"/>
        <v>-4</v>
      </c>
      <c r="Z379" s="20">
        <f>Tabela1[[#This Row],[PESO TOTAL]]-Tabela1[[#This Row],[Peso Expedido]]</f>
        <v>9.1999999999999993</v>
      </c>
      <c r="AA379" s="17">
        <v>1</v>
      </c>
      <c r="AB379" s="33"/>
      <c r="AC379" s="33">
        <v>1</v>
      </c>
      <c r="AD379" s="33">
        <v>1</v>
      </c>
      <c r="AE379" s="33">
        <v>1</v>
      </c>
      <c r="AF379" s="33">
        <v>1</v>
      </c>
      <c r="AG379" s="33">
        <v>0</v>
      </c>
      <c r="AH379" s="33"/>
      <c r="AI379" s="33" t="str">
        <f t="shared" si="61"/>
        <v/>
      </c>
      <c r="AJ379" s="5"/>
      <c r="AK379" t="str">
        <f>Tabela1[[#This Row],[Coluna1]]&amp;Tabela1[[#This Row],[PEDIDO]]</f>
        <v>P-188</v>
      </c>
      <c r="AL379"/>
      <c r="AM379"/>
      <c r="AN379"/>
      <c r="AO379" t="str">
        <f t="shared" si="58"/>
        <v>MDE-M-0029-RA/1073-TC-007</v>
      </c>
      <c r="AP379" t="str">
        <f>Tabela1[[#This Row],[TAG]]&amp;Tabela1[[#This Row],[PEDIDO]]&amp;Tabela1[[#This Row],[PRODUTO]]</f>
        <v>1073-TC-007P-188RMF</v>
      </c>
      <c r="AQ379" s="22" t="str">
        <f>Tabela1[[#This Row],[PRODUTO]]&amp;Tabela1[[#This Row],[TAG]]</f>
        <v>RMF1073-TC-007</v>
      </c>
      <c r="AR379" s="24" t="str">
        <f>Tabela1[[#This Row],[PEDIDO]]&amp;Tabela1[[#This Row],[PRODUTO]]</f>
        <v>P-188RMF</v>
      </c>
      <c r="AS379" s="37">
        <f>IF(AF379="",0,IF(ISTEXT(AF379),H379*VALUE(SUBSTITUTE(AF379,"%",""))/100,H379*AF379))-Tabela1[[#This Row],[PRONTO ACABADO2]]</f>
        <v>9.1999999999999993</v>
      </c>
      <c r="AT379" s="37">
        <f>IF(AG379="",0,IF(ISTEXT(AG379),H379*VALUE(SUBSTITUTE(AG379,"%",""))/100,H379*AG379))-Tabela1[[#This Row],[PESO EXPEDIDO2]]</f>
        <v>0</v>
      </c>
      <c r="AU379" s="37">
        <f t="shared" si="64"/>
        <v>0</v>
      </c>
      <c r="AV379" s="37">
        <f t="shared" si="65"/>
        <v>0</v>
      </c>
      <c r="AW379" s="37"/>
    </row>
    <row r="380" spans="1:49" ht="15.75" customHeight="1" x14ac:dyDescent="0.25">
      <c r="A380" s="6" t="s">
        <v>4015</v>
      </c>
      <c r="B380" s="21" t="s">
        <v>4027</v>
      </c>
      <c r="C380" s="7">
        <v>1</v>
      </c>
      <c r="D380" s="39" t="s">
        <v>4028</v>
      </c>
      <c r="E380" s="7">
        <v>4265</v>
      </c>
      <c r="F380" s="7" t="s">
        <v>4018</v>
      </c>
      <c r="G380" s="23">
        <v>4.3</v>
      </c>
      <c r="H380" s="34">
        <f>Tabela1[[#This Row],[PESO UNI]]*Tabela1[[#This Row],[QTE]]</f>
        <v>4.3</v>
      </c>
      <c r="I380" s="7">
        <v>0</v>
      </c>
      <c r="J380" s="8" t="s">
        <v>2274</v>
      </c>
      <c r="K380" s="8" t="s">
        <v>327</v>
      </c>
      <c r="L380" s="9" t="s">
        <v>2069</v>
      </c>
      <c r="M380" s="10">
        <v>46150</v>
      </c>
      <c r="N380" s="8" t="s">
        <v>327</v>
      </c>
      <c r="O380" s="12"/>
      <c r="P380" s="13"/>
      <c r="Q380" s="14">
        <f>Tabela1[[#This Row],[QTDE/ Fabricação]]-Tabela1[[#This Row],[QTE]]</f>
        <v>-1</v>
      </c>
      <c r="R380" s="18">
        <f t="shared" si="59"/>
        <v>4.3</v>
      </c>
      <c r="S380" s="18">
        <f t="shared" si="66"/>
        <v>0</v>
      </c>
      <c r="T380" s="19">
        <f t="shared" si="62"/>
        <v>-4.3</v>
      </c>
      <c r="U380" s="16">
        <f>IFERROR(SUMIF('LISTA DE EMBARQUE'!B:B,MICRO!E:E,'LISTA DE EMBARQUE'!G:G),"")</f>
        <v>0</v>
      </c>
      <c r="V380" s="12" t="str">
        <f>IFERROR(VLOOKUP(Tabela1[[#This Row],[COD.MDE]],'LISTA DE EMBARQUE'!B:L,11,0),"")</f>
        <v/>
      </c>
      <c r="W380" s="13" t="str">
        <f>IFERROR(VLOOKUP(Tabela1[[#This Row],[COD.MDE]],'LISTA DE EMBARQUE'!B:M,12,0),"")</f>
        <v/>
      </c>
      <c r="X380" s="14">
        <f>IFERROR(Tabela1[[#This Row],[QIANTIDADE EXPEDIDA]]*Tabela1[[#This Row],[PESO UNI]],"")</f>
        <v>0</v>
      </c>
      <c r="Y380" s="14">
        <f t="shared" si="63"/>
        <v>-1</v>
      </c>
      <c r="Z380" s="20">
        <f>Tabela1[[#This Row],[PESO TOTAL]]-Tabela1[[#This Row],[Peso Expedido]]</f>
        <v>4.3</v>
      </c>
      <c r="AA380" s="17">
        <v>1</v>
      </c>
      <c r="AB380" s="33"/>
      <c r="AC380" s="33">
        <v>1</v>
      </c>
      <c r="AD380" s="33">
        <v>1</v>
      </c>
      <c r="AE380" s="33">
        <v>1</v>
      </c>
      <c r="AF380" s="33">
        <v>1</v>
      </c>
      <c r="AG380" s="33">
        <v>0</v>
      </c>
      <c r="AH380" s="33"/>
      <c r="AI380" s="33" t="str">
        <f t="shared" si="61"/>
        <v/>
      </c>
      <c r="AJ380" s="5"/>
      <c r="AK380" t="str">
        <f>Tabela1[[#This Row],[Coluna1]]&amp;Tabela1[[#This Row],[PEDIDO]]</f>
        <v>P-188</v>
      </c>
      <c r="AL380"/>
      <c r="AM380"/>
      <c r="AN380"/>
      <c r="AO380" t="str">
        <f t="shared" si="58"/>
        <v>MDE-M-0029-RA/1073-TC-006</v>
      </c>
      <c r="AP380" t="str">
        <f>Tabela1[[#This Row],[TAG]]&amp;Tabela1[[#This Row],[PEDIDO]]&amp;Tabela1[[#This Row],[PRODUTO]]</f>
        <v>1073-TC-006P-188RMF</v>
      </c>
      <c r="AQ380" s="22" t="str">
        <f>Tabela1[[#This Row],[PRODUTO]]&amp;Tabela1[[#This Row],[TAG]]</f>
        <v>RMF1073-TC-006</v>
      </c>
      <c r="AR380" s="24" t="str">
        <f>Tabela1[[#This Row],[PEDIDO]]&amp;Tabela1[[#This Row],[PRODUTO]]</f>
        <v>P-188RMF</v>
      </c>
      <c r="AS380" s="37">
        <f>IF(AF380="",0,IF(ISTEXT(AF380),H380*VALUE(SUBSTITUTE(AF380,"%",""))/100,H380*AF380))-Tabela1[[#This Row],[PRONTO ACABADO2]]</f>
        <v>4.3</v>
      </c>
      <c r="AT380" s="37">
        <f>IF(AG380="",0,IF(ISTEXT(AG380),H380*VALUE(SUBSTITUTE(AG380,"%",""))/100,H380*AG380))-Tabela1[[#This Row],[PESO EXPEDIDO2]]</f>
        <v>0</v>
      </c>
      <c r="AU380" s="37">
        <f t="shared" si="64"/>
        <v>0</v>
      </c>
      <c r="AV380" s="37">
        <f t="shared" si="65"/>
        <v>0</v>
      </c>
      <c r="AW380" s="37"/>
    </row>
    <row r="381" spans="1:49" ht="15.75" customHeight="1" x14ac:dyDescent="0.25">
      <c r="A381" s="6" t="s">
        <v>4015</v>
      </c>
      <c r="B381" s="21" t="s">
        <v>4027</v>
      </c>
      <c r="C381" s="7">
        <v>1</v>
      </c>
      <c r="D381" s="39" t="s">
        <v>4028</v>
      </c>
      <c r="E381" s="7">
        <v>4266</v>
      </c>
      <c r="F381" s="7" t="s">
        <v>4018</v>
      </c>
      <c r="G381" s="23">
        <v>4.3</v>
      </c>
      <c r="H381" s="34">
        <f>Tabela1[[#This Row],[PESO UNI]]*Tabela1[[#This Row],[QTE]]</f>
        <v>4.3</v>
      </c>
      <c r="I381" s="7">
        <v>0</v>
      </c>
      <c r="J381" s="8" t="s">
        <v>2276</v>
      </c>
      <c r="K381" s="8" t="s">
        <v>327</v>
      </c>
      <c r="L381" s="9" t="s">
        <v>2069</v>
      </c>
      <c r="M381" s="10">
        <v>46150</v>
      </c>
      <c r="N381" s="8" t="s">
        <v>327</v>
      </c>
      <c r="O381" s="12"/>
      <c r="P381" s="13"/>
      <c r="Q381" s="14">
        <f>Tabela1[[#This Row],[QTDE/ Fabricação]]-Tabela1[[#This Row],[QTE]]</f>
        <v>-1</v>
      </c>
      <c r="R381" s="18">
        <f t="shared" si="59"/>
        <v>4.3</v>
      </c>
      <c r="S381" s="18">
        <f t="shared" si="66"/>
        <v>0</v>
      </c>
      <c r="T381" s="19">
        <f t="shared" si="62"/>
        <v>-4.3</v>
      </c>
      <c r="U381" s="16">
        <f>IFERROR(SUMIF('LISTA DE EMBARQUE'!B:B,MICRO!E:E,'LISTA DE EMBARQUE'!G:G),"")</f>
        <v>0</v>
      </c>
      <c r="V381" s="12" t="str">
        <f>IFERROR(VLOOKUP(Tabela1[[#This Row],[COD.MDE]],'LISTA DE EMBARQUE'!B:L,11,0),"")</f>
        <v/>
      </c>
      <c r="W381" s="13" t="str">
        <f>IFERROR(VLOOKUP(Tabela1[[#This Row],[COD.MDE]],'LISTA DE EMBARQUE'!B:M,12,0),"")</f>
        <v/>
      </c>
      <c r="X381" s="14">
        <f>IFERROR(Tabela1[[#This Row],[QIANTIDADE EXPEDIDA]]*Tabela1[[#This Row],[PESO UNI]],"")</f>
        <v>0</v>
      </c>
      <c r="Y381" s="14">
        <f t="shared" si="63"/>
        <v>-1</v>
      </c>
      <c r="Z381" s="20">
        <f>Tabela1[[#This Row],[PESO TOTAL]]-Tabela1[[#This Row],[Peso Expedido]]</f>
        <v>4.3</v>
      </c>
      <c r="AA381" s="17">
        <v>1</v>
      </c>
      <c r="AB381" s="33"/>
      <c r="AC381" s="33">
        <v>1</v>
      </c>
      <c r="AD381" s="33">
        <v>1</v>
      </c>
      <c r="AE381" s="33">
        <v>1</v>
      </c>
      <c r="AF381" s="33">
        <v>1</v>
      </c>
      <c r="AG381" s="33">
        <v>0</v>
      </c>
      <c r="AH381" s="33"/>
      <c r="AI381" s="33" t="str">
        <f t="shared" si="61"/>
        <v/>
      </c>
      <c r="AJ381" s="5"/>
      <c r="AK381" t="str">
        <f>Tabela1[[#This Row],[Coluna1]]&amp;Tabela1[[#This Row],[PEDIDO]]</f>
        <v>P-188</v>
      </c>
      <c r="AL381"/>
      <c r="AM381"/>
      <c r="AN381"/>
      <c r="AO381" t="str">
        <f t="shared" si="58"/>
        <v>MDE-M-0029-RA/1073-TC-007</v>
      </c>
      <c r="AP381" t="str">
        <f>Tabela1[[#This Row],[TAG]]&amp;Tabela1[[#This Row],[PEDIDO]]&amp;Tabela1[[#This Row],[PRODUTO]]</f>
        <v>1073-TC-007P-188RMF</v>
      </c>
      <c r="AQ381" s="22" t="str">
        <f>Tabela1[[#This Row],[PRODUTO]]&amp;Tabela1[[#This Row],[TAG]]</f>
        <v>RMF1073-TC-007</v>
      </c>
      <c r="AR381" s="24" t="str">
        <f>Tabela1[[#This Row],[PEDIDO]]&amp;Tabela1[[#This Row],[PRODUTO]]</f>
        <v>P-188RMF</v>
      </c>
      <c r="AS381" s="37">
        <f>IF(AF381="",0,IF(ISTEXT(AF381),H381*VALUE(SUBSTITUTE(AF381,"%",""))/100,H381*AF381))-Tabela1[[#This Row],[PRONTO ACABADO2]]</f>
        <v>4.3</v>
      </c>
      <c r="AT381" s="37">
        <f>IF(AG381="",0,IF(ISTEXT(AG381),H381*VALUE(SUBSTITUTE(AG381,"%",""))/100,H381*AG381))-Tabela1[[#This Row],[PESO EXPEDIDO2]]</f>
        <v>0</v>
      </c>
      <c r="AU381" s="37">
        <f t="shared" si="64"/>
        <v>0</v>
      </c>
      <c r="AV381" s="37">
        <f t="shared" si="65"/>
        <v>0</v>
      </c>
      <c r="AW381" s="37"/>
    </row>
    <row r="382" spans="1:49" ht="15.75" customHeight="1" x14ac:dyDescent="0.25">
      <c r="A382" s="6" t="s">
        <v>4015</v>
      </c>
      <c r="B382" s="21" t="s">
        <v>4029</v>
      </c>
      <c r="C382" s="7">
        <v>1</v>
      </c>
      <c r="D382" s="39" t="s">
        <v>4028</v>
      </c>
      <c r="E382" s="7">
        <v>4267</v>
      </c>
      <c r="F382" s="7" t="s">
        <v>4018</v>
      </c>
      <c r="G382" s="23">
        <v>4</v>
      </c>
      <c r="H382" s="34">
        <f>Tabela1[[#This Row],[PESO UNI]]*Tabela1[[#This Row],[QTE]]</f>
        <v>4</v>
      </c>
      <c r="I382" s="7">
        <v>0</v>
      </c>
      <c r="J382" s="8" t="s">
        <v>2274</v>
      </c>
      <c r="K382" s="8" t="s">
        <v>327</v>
      </c>
      <c r="L382" s="9" t="s">
        <v>2069</v>
      </c>
      <c r="M382" s="10">
        <v>46150</v>
      </c>
      <c r="N382" s="8" t="s">
        <v>327</v>
      </c>
      <c r="O382" s="12"/>
      <c r="P382" s="13"/>
      <c r="Q382" s="14">
        <f>Tabela1[[#This Row],[QTDE/ Fabricação]]-Tabela1[[#This Row],[QTE]]</f>
        <v>-1</v>
      </c>
      <c r="R382" s="18">
        <f t="shared" si="59"/>
        <v>4</v>
      </c>
      <c r="S382" s="18">
        <f t="shared" si="66"/>
        <v>0</v>
      </c>
      <c r="T382" s="19">
        <f t="shared" si="62"/>
        <v>-4</v>
      </c>
      <c r="U382" s="16">
        <f>IFERROR(SUMIF('LISTA DE EMBARQUE'!B:B,MICRO!E:E,'LISTA DE EMBARQUE'!G:G),"")</f>
        <v>0</v>
      </c>
      <c r="V382" s="12" t="str">
        <f>IFERROR(VLOOKUP(Tabela1[[#This Row],[COD.MDE]],'LISTA DE EMBARQUE'!B:L,11,0),"")</f>
        <v/>
      </c>
      <c r="W382" s="13" t="str">
        <f>IFERROR(VLOOKUP(Tabela1[[#This Row],[COD.MDE]],'LISTA DE EMBARQUE'!B:M,12,0),"")</f>
        <v/>
      </c>
      <c r="X382" s="14">
        <f>IFERROR(Tabela1[[#This Row],[QIANTIDADE EXPEDIDA]]*Tabela1[[#This Row],[PESO UNI]],"")</f>
        <v>0</v>
      </c>
      <c r="Y382" s="14">
        <f t="shared" si="63"/>
        <v>-1</v>
      </c>
      <c r="Z382" s="20">
        <f>Tabela1[[#This Row],[PESO TOTAL]]-Tabela1[[#This Row],[Peso Expedido]]</f>
        <v>4</v>
      </c>
      <c r="AA382" s="17">
        <v>1</v>
      </c>
      <c r="AB382" s="33"/>
      <c r="AC382" s="33">
        <v>1</v>
      </c>
      <c r="AD382" s="33">
        <v>1</v>
      </c>
      <c r="AE382" s="33">
        <v>1</v>
      </c>
      <c r="AF382" s="33">
        <v>1</v>
      </c>
      <c r="AG382" s="33">
        <v>0</v>
      </c>
      <c r="AH382" s="33"/>
      <c r="AI382" s="33" t="str">
        <f t="shared" si="61"/>
        <v/>
      </c>
      <c r="AJ382" s="5"/>
      <c r="AK382" t="str">
        <f>Tabela1[[#This Row],[Coluna1]]&amp;Tabela1[[#This Row],[PEDIDO]]</f>
        <v>P-188</v>
      </c>
      <c r="AL382"/>
      <c r="AM382"/>
      <c r="AN382"/>
      <c r="AO382" t="str">
        <f t="shared" si="58"/>
        <v>MDE-M-0029-RA/1073-TC-006</v>
      </c>
      <c r="AP382" t="str">
        <f>Tabela1[[#This Row],[TAG]]&amp;Tabela1[[#This Row],[PEDIDO]]&amp;Tabela1[[#This Row],[PRODUTO]]</f>
        <v>1073-TC-006P-188RMF</v>
      </c>
      <c r="AQ382" s="22" t="str">
        <f>Tabela1[[#This Row],[PRODUTO]]&amp;Tabela1[[#This Row],[TAG]]</f>
        <v>RMF1073-TC-006</v>
      </c>
      <c r="AR382" s="24" t="str">
        <f>Tabela1[[#This Row],[PEDIDO]]&amp;Tabela1[[#This Row],[PRODUTO]]</f>
        <v>P-188RMF</v>
      </c>
      <c r="AS382" s="37">
        <f>IF(AF382="",0,IF(ISTEXT(AF382),H382*VALUE(SUBSTITUTE(AF382,"%",""))/100,H382*AF382))-Tabela1[[#This Row],[PRONTO ACABADO2]]</f>
        <v>4</v>
      </c>
      <c r="AT382" s="37">
        <f>IF(AG382="",0,IF(ISTEXT(AG382),H382*VALUE(SUBSTITUTE(AG382,"%",""))/100,H382*AG382))-Tabela1[[#This Row],[PESO EXPEDIDO2]]</f>
        <v>0</v>
      </c>
      <c r="AU382" s="37">
        <f t="shared" si="64"/>
        <v>0</v>
      </c>
      <c r="AV382" s="37">
        <f t="shared" si="65"/>
        <v>0</v>
      </c>
      <c r="AW382" s="37"/>
    </row>
    <row r="383" spans="1:49" ht="15.75" customHeight="1" x14ac:dyDescent="0.25">
      <c r="A383" s="6" t="s">
        <v>4015</v>
      </c>
      <c r="B383" s="21" t="s">
        <v>4029</v>
      </c>
      <c r="C383" s="7">
        <v>1</v>
      </c>
      <c r="D383" s="39" t="s">
        <v>4028</v>
      </c>
      <c r="E383" s="7">
        <v>4268</v>
      </c>
      <c r="F383" s="7" t="s">
        <v>4018</v>
      </c>
      <c r="G383" s="23">
        <v>4</v>
      </c>
      <c r="H383" s="34">
        <f>Tabela1[[#This Row],[PESO UNI]]*Tabela1[[#This Row],[QTE]]</f>
        <v>4</v>
      </c>
      <c r="I383" s="7">
        <v>0</v>
      </c>
      <c r="J383" s="8" t="s">
        <v>2276</v>
      </c>
      <c r="K383" s="8" t="s">
        <v>327</v>
      </c>
      <c r="L383" s="9" t="s">
        <v>2069</v>
      </c>
      <c r="M383" s="10">
        <v>46150</v>
      </c>
      <c r="N383" s="8" t="s">
        <v>327</v>
      </c>
      <c r="O383" s="12"/>
      <c r="P383" s="13"/>
      <c r="Q383" s="14">
        <f>Tabela1[[#This Row],[QTDE/ Fabricação]]-Tabela1[[#This Row],[QTE]]</f>
        <v>-1</v>
      </c>
      <c r="R383" s="18">
        <f t="shared" si="59"/>
        <v>4</v>
      </c>
      <c r="S383" s="18">
        <f t="shared" si="66"/>
        <v>0</v>
      </c>
      <c r="T383" s="19">
        <f t="shared" si="62"/>
        <v>-4</v>
      </c>
      <c r="U383" s="16">
        <f>IFERROR(SUMIF('LISTA DE EMBARQUE'!B:B,MICRO!E:E,'LISTA DE EMBARQUE'!G:G),"")</f>
        <v>0</v>
      </c>
      <c r="V383" s="12" t="str">
        <f>IFERROR(VLOOKUP(Tabela1[[#This Row],[COD.MDE]],'LISTA DE EMBARQUE'!B:L,11,0),"")</f>
        <v/>
      </c>
      <c r="W383" s="13" t="str">
        <f>IFERROR(VLOOKUP(Tabela1[[#This Row],[COD.MDE]],'LISTA DE EMBARQUE'!B:M,12,0),"")</f>
        <v/>
      </c>
      <c r="X383" s="14">
        <f>IFERROR(Tabela1[[#This Row],[QIANTIDADE EXPEDIDA]]*Tabela1[[#This Row],[PESO UNI]],"")</f>
        <v>0</v>
      </c>
      <c r="Y383" s="14">
        <f t="shared" si="63"/>
        <v>-1</v>
      </c>
      <c r="Z383" s="20">
        <f>Tabela1[[#This Row],[PESO TOTAL]]-Tabela1[[#This Row],[Peso Expedido]]</f>
        <v>4</v>
      </c>
      <c r="AA383" s="17">
        <v>1</v>
      </c>
      <c r="AB383" s="33"/>
      <c r="AC383" s="33">
        <v>1</v>
      </c>
      <c r="AD383" s="33">
        <v>1</v>
      </c>
      <c r="AE383" s="33">
        <v>1</v>
      </c>
      <c r="AF383" s="33">
        <v>1</v>
      </c>
      <c r="AG383" s="33">
        <v>0</v>
      </c>
      <c r="AH383" s="33"/>
      <c r="AI383" s="33" t="str">
        <f t="shared" si="61"/>
        <v/>
      </c>
      <c r="AJ383" s="5"/>
      <c r="AK383" t="str">
        <f>Tabela1[[#This Row],[Coluna1]]&amp;Tabela1[[#This Row],[PEDIDO]]</f>
        <v>P-188</v>
      </c>
      <c r="AL383"/>
      <c r="AM383"/>
      <c r="AN383"/>
      <c r="AO383" t="str">
        <f t="shared" si="58"/>
        <v>MDE-M-0029-RA/1073-TC-007</v>
      </c>
      <c r="AP383" t="str">
        <f>Tabela1[[#This Row],[TAG]]&amp;Tabela1[[#This Row],[PEDIDO]]&amp;Tabela1[[#This Row],[PRODUTO]]</f>
        <v>1073-TC-007P-188RMF</v>
      </c>
      <c r="AQ383" s="22" t="str">
        <f>Tabela1[[#This Row],[PRODUTO]]&amp;Tabela1[[#This Row],[TAG]]</f>
        <v>RMF1073-TC-007</v>
      </c>
      <c r="AR383" s="24" t="str">
        <f>Tabela1[[#This Row],[PEDIDO]]&amp;Tabela1[[#This Row],[PRODUTO]]</f>
        <v>P-188RMF</v>
      </c>
      <c r="AS383" s="37">
        <f>IF(AF383="",0,IF(ISTEXT(AF383),H383*VALUE(SUBSTITUTE(AF383,"%",""))/100,H383*AF383))-Tabela1[[#This Row],[PRONTO ACABADO2]]</f>
        <v>4</v>
      </c>
      <c r="AT383" s="37">
        <f>IF(AG383="",0,IF(ISTEXT(AG383),H383*VALUE(SUBSTITUTE(AG383,"%",""))/100,H383*AG383))-Tabela1[[#This Row],[PESO EXPEDIDO2]]</f>
        <v>0</v>
      </c>
      <c r="AU383" s="37">
        <f t="shared" si="64"/>
        <v>0</v>
      </c>
      <c r="AV383" s="37">
        <f t="shared" si="65"/>
        <v>0</v>
      </c>
      <c r="AW383" s="37"/>
    </row>
    <row r="384" spans="1:49" ht="15.75" customHeight="1" x14ac:dyDescent="0.25">
      <c r="A384" s="6" t="s">
        <v>4030</v>
      </c>
      <c r="B384" s="21" t="s">
        <v>4031</v>
      </c>
      <c r="C384" s="7">
        <v>1</v>
      </c>
      <c r="D384" s="39" t="s">
        <v>4032</v>
      </c>
      <c r="E384" s="7">
        <v>4269</v>
      </c>
      <c r="F384" s="7" t="s">
        <v>3996</v>
      </c>
      <c r="G384" s="23">
        <v>11.8</v>
      </c>
      <c r="H384" s="34">
        <f>Tabela1[[#This Row],[PESO UNI]]*Tabela1[[#This Row],[QTE]]</f>
        <v>11.8</v>
      </c>
      <c r="I384" s="7">
        <v>0</v>
      </c>
      <c r="J384" s="8" t="s">
        <v>2274</v>
      </c>
      <c r="K384" s="8" t="s">
        <v>327</v>
      </c>
      <c r="L384" s="9" t="s">
        <v>2069</v>
      </c>
      <c r="M384" s="10">
        <v>46149</v>
      </c>
      <c r="N384" s="8" t="s">
        <v>327</v>
      </c>
      <c r="O384" s="12"/>
      <c r="P384" s="13"/>
      <c r="Q384" s="14">
        <f>Tabela1[[#This Row],[QTDE/ Fabricação]]-Tabela1[[#This Row],[QTE]]</f>
        <v>-1</v>
      </c>
      <c r="R384" s="18">
        <f t="shared" si="59"/>
        <v>11.21</v>
      </c>
      <c r="S384" s="18">
        <f t="shared" si="66"/>
        <v>0</v>
      </c>
      <c r="T384" s="19">
        <f t="shared" si="62"/>
        <v>-11.8</v>
      </c>
      <c r="U384" s="16">
        <f>IFERROR(SUMIF('LISTA DE EMBARQUE'!B:B,MICRO!E:E,'LISTA DE EMBARQUE'!G:G),"")</f>
        <v>0</v>
      </c>
      <c r="V384" s="12" t="str">
        <f>IFERROR(VLOOKUP(Tabela1[[#This Row],[COD.MDE]],'LISTA DE EMBARQUE'!B:L,11,0),"")</f>
        <v/>
      </c>
      <c r="W384" s="13" t="str">
        <f>IFERROR(VLOOKUP(Tabela1[[#This Row],[COD.MDE]],'LISTA DE EMBARQUE'!B:M,12,0),"")</f>
        <v/>
      </c>
      <c r="X384" s="14">
        <f>IFERROR(Tabela1[[#This Row],[QIANTIDADE EXPEDIDA]]*Tabela1[[#This Row],[PESO UNI]],"")</f>
        <v>0</v>
      </c>
      <c r="Y384" s="14">
        <f t="shared" si="63"/>
        <v>-1</v>
      </c>
      <c r="Z384" s="20">
        <f>Tabela1[[#This Row],[PESO TOTAL]]-Tabela1[[#This Row],[Peso Expedido]]</f>
        <v>11.8</v>
      </c>
      <c r="AA384" s="17">
        <v>1</v>
      </c>
      <c r="AB384" s="33"/>
      <c r="AC384" s="33">
        <v>1</v>
      </c>
      <c r="AD384" s="33">
        <v>1</v>
      </c>
      <c r="AE384" s="33">
        <v>1</v>
      </c>
      <c r="AF384" s="33">
        <v>0</v>
      </c>
      <c r="AG384" s="33">
        <v>0</v>
      </c>
      <c r="AH384" s="33"/>
      <c r="AI384" s="33" t="str">
        <f t="shared" si="61"/>
        <v/>
      </c>
      <c r="AJ384" s="5"/>
      <c r="AK384" t="str">
        <f>Tabela1[[#This Row],[Coluna1]]&amp;Tabela1[[#This Row],[PEDIDO]]</f>
        <v>P-188</v>
      </c>
      <c r="AL384"/>
      <c r="AM384"/>
      <c r="AN384"/>
      <c r="AO384" t="str">
        <f t="shared" si="58"/>
        <v>T-072994-1/1073-TC-006</v>
      </c>
      <c r="AP384" t="str">
        <f>Tabela1[[#This Row],[TAG]]&amp;Tabela1[[#This Row],[PEDIDO]]&amp;Tabela1[[#This Row],[PRODUTO]]</f>
        <v>1073-TC-006P-188RMF</v>
      </c>
      <c r="AQ384" s="22" t="str">
        <f>Tabela1[[#This Row],[PRODUTO]]&amp;Tabela1[[#This Row],[TAG]]</f>
        <v>RMF1073-TC-006</v>
      </c>
      <c r="AR384" s="24" t="str">
        <f>Tabela1[[#This Row],[PEDIDO]]&amp;Tabela1[[#This Row],[PRODUTO]]</f>
        <v>P-188RMF</v>
      </c>
      <c r="AS384" s="37">
        <f>IF(AF384="",0,IF(ISTEXT(AF384),H384*VALUE(SUBSTITUTE(AF384,"%",""))/100,H384*AF384))-Tabela1[[#This Row],[PRONTO ACABADO2]]</f>
        <v>0</v>
      </c>
      <c r="AT384" s="37">
        <f>IF(AG384="",0,IF(ISTEXT(AG384),H384*VALUE(SUBSTITUTE(AG384,"%",""))/100,H384*AG384))-Tabela1[[#This Row],[PESO EXPEDIDO2]]</f>
        <v>0</v>
      </c>
      <c r="AU384" s="37">
        <f t="shared" si="64"/>
        <v>0</v>
      </c>
      <c r="AV384" s="37">
        <f t="shared" si="65"/>
        <v>0</v>
      </c>
      <c r="AW384" s="37"/>
    </row>
    <row r="385" spans="1:49" ht="15.75" customHeight="1" x14ac:dyDescent="0.25">
      <c r="A385" s="6" t="s">
        <v>4030</v>
      </c>
      <c r="B385" s="21" t="s">
        <v>4031</v>
      </c>
      <c r="C385" s="7">
        <v>1</v>
      </c>
      <c r="D385" s="39" t="s">
        <v>4032</v>
      </c>
      <c r="E385" s="7">
        <v>4270</v>
      </c>
      <c r="F385" s="7" t="s">
        <v>3996</v>
      </c>
      <c r="G385" s="23">
        <v>11.8</v>
      </c>
      <c r="H385" s="34">
        <f>Tabela1[[#This Row],[PESO UNI]]*Tabela1[[#This Row],[QTE]]</f>
        <v>11.8</v>
      </c>
      <c r="I385" s="7">
        <v>0</v>
      </c>
      <c r="J385" s="8" t="s">
        <v>2276</v>
      </c>
      <c r="K385" s="8" t="s">
        <v>327</v>
      </c>
      <c r="L385" s="9" t="s">
        <v>2069</v>
      </c>
      <c r="M385" s="10">
        <v>46149</v>
      </c>
      <c r="N385" s="8" t="s">
        <v>327</v>
      </c>
      <c r="O385" s="12"/>
      <c r="P385" s="13"/>
      <c r="Q385" s="14">
        <f>Tabela1[[#This Row],[QTDE/ Fabricação]]-Tabela1[[#This Row],[QTE]]</f>
        <v>-1</v>
      </c>
      <c r="R385" s="18">
        <f t="shared" si="59"/>
        <v>11.21</v>
      </c>
      <c r="S385" s="18">
        <f t="shared" si="66"/>
        <v>0</v>
      </c>
      <c r="T385" s="19">
        <f t="shared" si="62"/>
        <v>-11.8</v>
      </c>
      <c r="U385" s="16">
        <f>IFERROR(SUMIF('LISTA DE EMBARQUE'!B:B,MICRO!E:E,'LISTA DE EMBARQUE'!G:G),"")</f>
        <v>0</v>
      </c>
      <c r="V385" s="12" t="str">
        <f>IFERROR(VLOOKUP(Tabela1[[#This Row],[COD.MDE]],'LISTA DE EMBARQUE'!B:L,11,0),"")</f>
        <v/>
      </c>
      <c r="W385" s="13" t="str">
        <f>IFERROR(VLOOKUP(Tabela1[[#This Row],[COD.MDE]],'LISTA DE EMBARQUE'!B:M,12,0),"")</f>
        <v/>
      </c>
      <c r="X385" s="14">
        <f>IFERROR(Tabela1[[#This Row],[QIANTIDADE EXPEDIDA]]*Tabela1[[#This Row],[PESO UNI]],"")</f>
        <v>0</v>
      </c>
      <c r="Y385" s="14">
        <f t="shared" si="63"/>
        <v>-1</v>
      </c>
      <c r="Z385" s="20">
        <f>Tabela1[[#This Row],[PESO TOTAL]]-Tabela1[[#This Row],[Peso Expedido]]</f>
        <v>11.8</v>
      </c>
      <c r="AA385" s="17">
        <v>1</v>
      </c>
      <c r="AB385" s="33"/>
      <c r="AC385" s="33">
        <v>1</v>
      </c>
      <c r="AD385" s="33">
        <v>1</v>
      </c>
      <c r="AE385" s="33">
        <v>1</v>
      </c>
      <c r="AF385" s="33">
        <v>0</v>
      </c>
      <c r="AG385" s="33">
        <v>0</v>
      </c>
      <c r="AH385" s="33"/>
      <c r="AI385" s="33" t="str">
        <f t="shared" si="61"/>
        <v/>
      </c>
      <c r="AJ385" s="5"/>
      <c r="AK385" t="str">
        <f>Tabela1[[#This Row],[Coluna1]]&amp;Tabela1[[#This Row],[PEDIDO]]</f>
        <v>P-188</v>
      </c>
      <c r="AL385"/>
      <c r="AM385"/>
      <c r="AN385"/>
      <c r="AO385" t="str">
        <f t="shared" si="58"/>
        <v>T-072994-1/1073-TC-007</v>
      </c>
      <c r="AP385" t="str">
        <f>Tabela1[[#This Row],[TAG]]&amp;Tabela1[[#This Row],[PEDIDO]]&amp;Tabela1[[#This Row],[PRODUTO]]</f>
        <v>1073-TC-007P-188RMF</v>
      </c>
      <c r="AQ385" s="22" t="str">
        <f>Tabela1[[#This Row],[PRODUTO]]&amp;Tabela1[[#This Row],[TAG]]</f>
        <v>RMF1073-TC-007</v>
      </c>
      <c r="AR385" s="24" t="str">
        <f>Tabela1[[#This Row],[PEDIDO]]&amp;Tabela1[[#This Row],[PRODUTO]]</f>
        <v>P-188RMF</v>
      </c>
      <c r="AS385" s="37">
        <f>IF(AF385="",0,IF(ISTEXT(AF385),H385*VALUE(SUBSTITUTE(AF385,"%",""))/100,H385*AF385))-Tabela1[[#This Row],[PRONTO ACABADO2]]</f>
        <v>0</v>
      </c>
      <c r="AT385" s="37">
        <f>IF(AG385="",0,IF(ISTEXT(AG385),H385*VALUE(SUBSTITUTE(AG385,"%",""))/100,H385*AG385))-Tabela1[[#This Row],[PESO EXPEDIDO2]]</f>
        <v>0</v>
      </c>
      <c r="AU385" s="37">
        <f t="shared" si="64"/>
        <v>0</v>
      </c>
      <c r="AV385" s="37">
        <f t="shared" si="65"/>
        <v>0</v>
      </c>
      <c r="AW385" s="37"/>
    </row>
    <row r="386" spans="1:49" ht="15.75" customHeight="1" x14ac:dyDescent="0.25">
      <c r="A386" s="6" t="s">
        <v>4030</v>
      </c>
      <c r="B386" s="21" t="s">
        <v>4033</v>
      </c>
      <c r="C386" s="7">
        <v>1</v>
      </c>
      <c r="D386" s="39" t="s">
        <v>4032</v>
      </c>
      <c r="E386" s="7">
        <v>4271</v>
      </c>
      <c r="F386" s="7" t="s">
        <v>3996</v>
      </c>
      <c r="G386" s="23">
        <v>11.2</v>
      </c>
      <c r="H386" s="34">
        <f>Tabela1[[#This Row],[PESO UNI]]*Tabela1[[#This Row],[QTE]]</f>
        <v>11.2</v>
      </c>
      <c r="I386" s="7">
        <v>0</v>
      </c>
      <c r="J386" s="8" t="s">
        <v>2274</v>
      </c>
      <c r="K386" s="8" t="s">
        <v>327</v>
      </c>
      <c r="L386" s="9" t="s">
        <v>2069</v>
      </c>
      <c r="M386" s="10">
        <v>46149</v>
      </c>
      <c r="N386" s="8" t="s">
        <v>327</v>
      </c>
      <c r="O386" s="12"/>
      <c r="P386" s="13"/>
      <c r="Q386" s="14">
        <f>Tabela1[[#This Row],[QTDE/ Fabricação]]-Tabela1[[#This Row],[QTE]]</f>
        <v>-1</v>
      </c>
      <c r="R386" s="18">
        <f t="shared" si="59"/>
        <v>10.639999999999999</v>
      </c>
      <c r="S386" s="18">
        <f t="shared" si="66"/>
        <v>0</v>
      </c>
      <c r="T386" s="19">
        <f t="shared" si="62"/>
        <v>-11.2</v>
      </c>
      <c r="U386" s="16">
        <f>IFERROR(SUMIF('LISTA DE EMBARQUE'!B:B,MICRO!E:E,'LISTA DE EMBARQUE'!G:G),"")</f>
        <v>0</v>
      </c>
      <c r="V386" s="12" t="str">
        <f>IFERROR(VLOOKUP(Tabela1[[#This Row],[COD.MDE]],'LISTA DE EMBARQUE'!B:L,11,0),"")</f>
        <v/>
      </c>
      <c r="W386" s="13" t="str">
        <f>IFERROR(VLOOKUP(Tabela1[[#This Row],[COD.MDE]],'LISTA DE EMBARQUE'!B:M,12,0),"")</f>
        <v/>
      </c>
      <c r="X386" s="14">
        <f>IFERROR(Tabela1[[#This Row],[QIANTIDADE EXPEDIDA]]*Tabela1[[#This Row],[PESO UNI]],"")</f>
        <v>0</v>
      </c>
      <c r="Y386" s="14">
        <f t="shared" si="63"/>
        <v>-1</v>
      </c>
      <c r="Z386" s="20">
        <f>Tabela1[[#This Row],[PESO TOTAL]]-Tabela1[[#This Row],[Peso Expedido]]</f>
        <v>11.2</v>
      </c>
      <c r="AA386" s="17">
        <v>1</v>
      </c>
      <c r="AB386" s="33"/>
      <c r="AC386" s="33">
        <v>1</v>
      </c>
      <c r="AD386" s="33">
        <v>1</v>
      </c>
      <c r="AE386" s="33">
        <v>1</v>
      </c>
      <c r="AF386" s="33">
        <v>0</v>
      </c>
      <c r="AG386" s="33">
        <v>0</v>
      </c>
      <c r="AH386" s="33"/>
      <c r="AI386" s="33" t="str">
        <f t="shared" si="61"/>
        <v/>
      </c>
      <c r="AJ386" s="5"/>
      <c r="AK386" t="str">
        <f>Tabela1[[#This Row],[Coluna1]]&amp;Tabela1[[#This Row],[PEDIDO]]</f>
        <v>P-188</v>
      </c>
      <c r="AL386"/>
      <c r="AM386"/>
      <c r="AN386"/>
      <c r="AO386" t="str">
        <f t="shared" si="58"/>
        <v>T-072994-1/1073-TC-006</v>
      </c>
      <c r="AP386" t="str">
        <f>Tabela1[[#This Row],[TAG]]&amp;Tabela1[[#This Row],[PEDIDO]]&amp;Tabela1[[#This Row],[PRODUTO]]</f>
        <v>1073-TC-006P-188RMF</v>
      </c>
      <c r="AQ386" s="22" t="str">
        <f>Tabela1[[#This Row],[PRODUTO]]&amp;Tabela1[[#This Row],[TAG]]</f>
        <v>RMF1073-TC-006</v>
      </c>
      <c r="AR386" s="24" t="str">
        <f>Tabela1[[#This Row],[PEDIDO]]&amp;Tabela1[[#This Row],[PRODUTO]]</f>
        <v>P-188RMF</v>
      </c>
      <c r="AS386" s="37">
        <f>IF(AF386="",0,IF(ISTEXT(AF386),H386*VALUE(SUBSTITUTE(AF386,"%",""))/100,H386*AF386))-Tabela1[[#This Row],[PRONTO ACABADO2]]</f>
        <v>0</v>
      </c>
      <c r="AT386" s="37">
        <f>IF(AG386="",0,IF(ISTEXT(AG386),H386*VALUE(SUBSTITUTE(AG386,"%",""))/100,H386*AG386))-Tabela1[[#This Row],[PESO EXPEDIDO2]]</f>
        <v>0</v>
      </c>
      <c r="AU386" s="37">
        <f t="shared" si="64"/>
        <v>0</v>
      </c>
      <c r="AV386" s="37">
        <f t="shared" si="65"/>
        <v>0</v>
      </c>
      <c r="AW386" s="37"/>
    </row>
    <row r="387" spans="1:49" ht="15.75" customHeight="1" x14ac:dyDescent="0.25">
      <c r="A387" s="6" t="s">
        <v>4030</v>
      </c>
      <c r="B387" s="21" t="s">
        <v>4033</v>
      </c>
      <c r="C387" s="7">
        <v>1</v>
      </c>
      <c r="D387" s="39" t="s">
        <v>4032</v>
      </c>
      <c r="E387" s="7">
        <v>4272</v>
      </c>
      <c r="F387" s="7" t="s">
        <v>3996</v>
      </c>
      <c r="G387" s="23">
        <v>11.2</v>
      </c>
      <c r="H387" s="34">
        <f>Tabela1[[#This Row],[PESO UNI]]*Tabela1[[#This Row],[QTE]]</f>
        <v>11.2</v>
      </c>
      <c r="I387" s="7">
        <v>0</v>
      </c>
      <c r="J387" s="8" t="s">
        <v>2276</v>
      </c>
      <c r="K387" s="8" t="s">
        <v>327</v>
      </c>
      <c r="L387" s="9" t="s">
        <v>2069</v>
      </c>
      <c r="M387" s="10">
        <v>46149</v>
      </c>
      <c r="N387" s="8" t="s">
        <v>327</v>
      </c>
      <c r="O387" s="12"/>
      <c r="P387" s="13"/>
      <c r="Q387" s="14">
        <f>Tabela1[[#This Row],[QTDE/ Fabricação]]-Tabela1[[#This Row],[QTE]]</f>
        <v>-1</v>
      </c>
      <c r="R387" s="18">
        <f t="shared" si="59"/>
        <v>10.639999999999999</v>
      </c>
      <c r="S387" s="18">
        <f t="shared" si="66"/>
        <v>0</v>
      </c>
      <c r="T387" s="19">
        <f t="shared" si="62"/>
        <v>-11.2</v>
      </c>
      <c r="U387" s="16">
        <f>IFERROR(SUMIF('LISTA DE EMBARQUE'!B:B,MICRO!E:E,'LISTA DE EMBARQUE'!G:G),"")</f>
        <v>0</v>
      </c>
      <c r="V387" s="12" t="str">
        <f>IFERROR(VLOOKUP(Tabela1[[#This Row],[COD.MDE]],'LISTA DE EMBARQUE'!B:L,11,0),"")</f>
        <v/>
      </c>
      <c r="W387" s="13" t="str">
        <f>IFERROR(VLOOKUP(Tabela1[[#This Row],[COD.MDE]],'LISTA DE EMBARQUE'!B:M,12,0),"")</f>
        <v/>
      </c>
      <c r="X387" s="14">
        <f>IFERROR(Tabela1[[#This Row],[QIANTIDADE EXPEDIDA]]*Tabela1[[#This Row],[PESO UNI]],"")</f>
        <v>0</v>
      </c>
      <c r="Y387" s="14">
        <f t="shared" si="63"/>
        <v>-1</v>
      </c>
      <c r="Z387" s="20">
        <f>Tabela1[[#This Row],[PESO TOTAL]]-Tabela1[[#This Row],[Peso Expedido]]</f>
        <v>11.2</v>
      </c>
      <c r="AA387" s="17">
        <v>1</v>
      </c>
      <c r="AB387" s="33"/>
      <c r="AC387" s="33">
        <v>1</v>
      </c>
      <c r="AD387" s="33">
        <v>1</v>
      </c>
      <c r="AE387" s="33">
        <v>1</v>
      </c>
      <c r="AF387" s="33">
        <v>0</v>
      </c>
      <c r="AG387" s="33">
        <v>0</v>
      </c>
      <c r="AH387" s="33"/>
      <c r="AI387" s="33" t="str">
        <f t="shared" si="61"/>
        <v/>
      </c>
      <c r="AJ387" s="5"/>
      <c r="AK387" t="str">
        <f>Tabela1[[#This Row],[Coluna1]]&amp;Tabela1[[#This Row],[PEDIDO]]</f>
        <v>P-188</v>
      </c>
      <c r="AL387"/>
      <c r="AM387"/>
      <c r="AN387"/>
      <c r="AO387" t="str">
        <f t="shared" si="58"/>
        <v>T-072994-1/1073-TC-007</v>
      </c>
      <c r="AP387" t="str">
        <f>Tabela1[[#This Row],[TAG]]&amp;Tabela1[[#This Row],[PEDIDO]]&amp;Tabela1[[#This Row],[PRODUTO]]</f>
        <v>1073-TC-007P-188RMF</v>
      </c>
      <c r="AQ387" s="22" t="str">
        <f>Tabela1[[#This Row],[PRODUTO]]&amp;Tabela1[[#This Row],[TAG]]</f>
        <v>RMF1073-TC-007</v>
      </c>
      <c r="AR387" s="24" t="str">
        <f>Tabela1[[#This Row],[PEDIDO]]&amp;Tabela1[[#This Row],[PRODUTO]]</f>
        <v>P-188RMF</v>
      </c>
      <c r="AS387" s="37">
        <f>IF(AF387="",0,IF(ISTEXT(AF387),H387*VALUE(SUBSTITUTE(AF387,"%",""))/100,H387*AF387))-Tabela1[[#This Row],[PRONTO ACABADO2]]</f>
        <v>0</v>
      </c>
      <c r="AT387" s="37">
        <f>IF(AG387="",0,IF(ISTEXT(AG387),H387*VALUE(SUBSTITUTE(AG387,"%",""))/100,H387*AG387))-Tabela1[[#This Row],[PESO EXPEDIDO2]]</f>
        <v>0</v>
      </c>
      <c r="AU387" s="37">
        <f t="shared" si="64"/>
        <v>0</v>
      </c>
      <c r="AV387" s="37">
        <f t="shared" si="65"/>
        <v>0</v>
      </c>
      <c r="AW387" s="37"/>
    </row>
    <row r="388" spans="1:49" ht="15.75" customHeight="1" x14ac:dyDescent="0.25">
      <c r="A388" s="6" t="s">
        <v>4030</v>
      </c>
      <c r="B388" s="21" t="s">
        <v>4034</v>
      </c>
      <c r="C388" s="7">
        <v>2</v>
      </c>
      <c r="D388" s="39" t="s">
        <v>4032</v>
      </c>
      <c r="E388" s="7">
        <v>4273</v>
      </c>
      <c r="F388" s="7" t="s">
        <v>3996</v>
      </c>
      <c r="G388" s="23">
        <v>15.9</v>
      </c>
      <c r="H388" s="34">
        <f>Tabela1[[#This Row],[PESO UNI]]*Tabela1[[#This Row],[QTE]]</f>
        <v>31.8</v>
      </c>
      <c r="I388" s="7">
        <v>0</v>
      </c>
      <c r="J388" s="8" t="s">
        <v>2274</v>
      </c>
      <c r="K388" s="8" t="s">
        <v>327</v>
      </c>
      <c r="L388" s="9" t="s">
        <v>2069</v>
      </c>
      <c r="M388" s="10">
        <v>46149</v>
      </c>
      <c r="N388" s="8" t="s">
        <v>327</v>
      </c>
      <c r="O388" s="12"/>
      <c r="P388" s="13"/>
      <c r="Q388" s="14">
        <f>Tabela1[[#This Row],[QTDE/ Fabricação]]-Tabela1[[#This Row],[QTE]]</f>
        <v>-2</v>
      </c>
      <c r="R388" s="18">
        <f t="shared" si="59"/>
        <v>30.21</v>
      </c>
      <c r="S388" s="18">
        <f t="shared" si="66"/>
        <v>0</v>
      </c>
      <c r="T388" s="19">
        <f t="shared" si="62"/>
        <v>-31.8</v>
      </c>
      <c r="U388" s="16">
        <f>IFERROR(SUMIF('LISTA DE EMBARQUE'!B:B,MICRO!E:E,'LISTA DE EMBARQUE'!G:G),"")</f>
        <v>0</v>
      </c>
      <c r="V388" s="12" t="str">
        <f>IFERROR(VLOOKUP(Tabela1[[#This Row],[COD.MDE]],'LISTA DE EMBARQUE'!B:L,11,0),"")</f>
        <v/>
      </c>
      <c r="W388" s="13" t="str">
        <f>IFERROR(VLOOKUP(Tabela1[[#This Row],[COD.MDE]],'LISTA DE EMBARQUE'!B:M,12,0),"")</f>
        <v/>
      </c>
      <c r="X388" s="14">
        <f>IFERROR(Tabela1[[#This Row],[QIANTIDADE EXPEDIDA]]*Tabela1[[#This Row],[PESO UNI]],"")</f>
        <v>0</v>
      </c>
      <c r="Y388" s="14">
        <f t="shared" si="63"/>
        <v>-2</v>
      </c>
      <c r="Z388" s="20">
        <f>Tabela1[[#This Row],[PESO TOTAL]]-Tabela1[[#This Row],[Peso Expedido]]</f>
        <v>31.8</v>
      </c>
      <c r="AA388" s="17">
        <v>1</v>
      </c>
      <c r="AB388" s="33"/>
      <c r="AC388" s="33">
        <v>1</v>
      </c>
      <c r="AD388" s="33">
        <v>1</v>
      </c>
      <c r="AE388" s="33">
        <v>1</v>
      </c>
      <c r="AF388" s="33">
        <v>0</v>
      </c>
      <c r="AG388" s="33">
        <v>0</v>
      </c>
      <c r="AH388" s="33"/>
      <c r="AI388" s="33" t="str">
        <f t="shared" si="61"/>
        <v/>
      </c>
      <c r="AJ388" s="5"/>
      <c r="AK388" t="str">
        <f>Tabela1[[#This Row],[Coluna1]]&amp;Tabela1[[#This Row],[PEDIDO]]</f>
        <v>P-188</v>
      </c>
      <c r="AL388"/>
      <c r="AM388"/>
      <c r="AN388"/>
      <c r="AO388" t="str">
        <f t="shared" si="58"/>
        <v>T-072994-1/1073-TC-006</v>
      </c>
      <c r="AP388" t="str">
        <f>Tabela1[[#This Row],[TAG]]&amp;Tabela1[[#This Row],[PEDIDO]]&amp;Tabela1[[#This Row],[PRODUTO]]</f>
        <v>1073-TC-006P-188RMF</v>
      </c>
      <c r="AQ388" s="22" t="str">
        <f>Tabela1[[#This Row],[PRODUTO]]&amp;Tabela1[[#This Row],[TAG]]</f>
        <v>RMF1073-TC-006</v>
      </c>
      <c r="AR388" s="24" t="str">
        <f>Tabela1[[#This Row],[PEDIDO]]&amp;Tabela1[[#This Row],[PRODUTO]]</f>
        <v>P-188RMF</v>
      </c>
      <c r="AS388" s="37">
        <f>IF(AF388="",0,IF(ISTEXT(AF388),H388*VALUE(SUBSTITUTE(AF388,"%",""))/100,H388*AF388))-Tabela1[[#This Row],[PRONTO ACABADO2]]</f>
        <v>0</v>
      </c>
      <c r="AT388" s="37">
        <f>IF(AG388="",0,IF(ISTEXT(AG388),H388*VALUE(SUBSTITUTE(AG388,"%",""))/100,H388*AG388))-Tabela1[[#This Row],[PESO EXPEDIDO2]]</f>
        <v>0</v>
      </c>
      <c r="AU388" s="37">
        <f t="shared" si="64"/>
        <v>0</v>
      </c>
      <c r="AV388" s="37">
        <f t="shared" si="65"/>
        <v>0</v>
      </c>
      <c r="AW388" s="37"/>
    </row>
    <row r="389" spans="1:49" ht="15.75" customHeight="1" x14ac:dyDescent="0.25">
      <c r="A389" s="6" t="s">
        <v>4030</v>
      </c>
      <c r="B389" s="21" t="s">
        <v>4034</v>
      </c>
      <c r="C389" s="7">
        <v>2</v>
      </c>
      <c r="D389" s="39" t="s">
        <v>4032</v>
      </c>
      <c r="E389" s="7">
        <v>4274</v>
      </c>
      <c r="F389" s="7" t="s">
        <v>3996</v>
      </c>
      <c r="G389" s="23">
        <v>15.9</v>
      </c>
      <c r="H389" s="34">
        <f>Tabela1[[#This Row],[PESO UNI]]*Tabela1[[#This Row],[QTE]]</f>
        <v>31.8</v>
      </c>
      <c r="I389" s="7">
        <v>0</v>
      </c>
      <c r="J389" s="8" t="s">
        <v>2276</v>
      </c>
      <c r="K389" s="8" t="s">
        <v>327</v>
      </c>
      <c r="L389" s="9" t="s">
        <v>2069</v>
      </c>
      <c r="M389" s="10">
        <v>46149</v>
      </c>
      <c r="N389" s="8" t="s">
        <v>327</v>
      </c>
      <c r="O389" s="12"/>
      <c r="P389" s="13"/>
      <c r="Q389" s="14">
        <f>Tabela1[[#This Row],[QTDE/ Fabricação]]-Tabela1[[#This Row],[QTE]]</f>
        <v>-2</v>
      </c>
      <c r="R389" s="18">
        <f t="shared" si="59"/>
        <v>30.21</v>
      </c>
      <c r="S389" s="18">
        <f t="shared" si="66"/>
        <v>0</v>
      </c>
      <c r="T389" s="19">
        <f t="shared" si="62"/>
        <v>-31.8</v>
      </c>
      <c r="U389" s="16">
        <f>IFERROR(SUMIF('LISTA DE EMBARQUE'!B:B,MICRO!E:E,'LISTA DE EMBARQUE'!G:G),"")</f>
        <v>0</v>
      </c>
      <c r="V389" s="12" t="str">
        <f>IFERROR(VLOOKUP(Tabela1[[#This Row],[COD.MDE]],'LISTA DE EMBARQUE'!B:L,11,0),"")</f>
        <v/>
      </c>
      <c r="W389" s="13" t="str">
        <f>IFERROR(VLOOKUP(Tabela1[[#This Row],[COD.MDE]],'LISTA DE EMBARQUE'!B:M,12,0),"")</f>
        <v/>
      </c>
      <c r="X389" s="14">
        <f>IFERROR(Tabela1[[#This Row],[QIANTIDADE EXPEDIDA]]*Tabela1[[#This Row],[PESO UNI]],"")</f>
        <v>0</v>
      </c>
      <c r="Y389" s="14">
        <f t="shared" si="63"/>
        <v>-2</v>
      </c>
      <c r="Z389" s="20">
        <f>Tabela1[[#This Row],[PESO TOTAL]]-Tabela1[[#This Row],[Peso Expedido]]</f>
        <v>31.8</v>
      </c>
      <c r="AA389" s="17">
        <v>1</v>
      </c>
      <c r="AB389" s="33"/>
      <c r="AC389" s="33">
        <v>1</v>
      </c>
      <c r="AD389" s="33">
        <v>1</v>
      </c>
      <c r="AE389" s="33">
        <v>1</v>
      </c>
      <c r="AF389" s="33">
        <v>0</v>
      </c>
      <c r="AG389" s="33">
        <v>0</v>
      </c>
      <c r="AH389" s="33"/>
      <c r="AI389" s="33" t="str">
        <f t="shared" si="61"/>
        <v/>
      </c>
      <c r="AJ389" s="5"/>
      <c r="AK389" t="str">
        <f>Tabela1[[#This Row],[Coluna1]]&amp;Tabela1[[#This Row],[PEDIDO]]</f>
        <v>P-188</v>
      </c>
      <c r="AL389"/>
      <c r="AM389"/>
      <c r="AN389"/>
      <c r="AO389" t="str">
        <f t="shared" ref="AO389:AO439" si="67">A389&amp;"/"&amp;J389</f>
        <v>T-072994-1/1073-TC-007</v>
      </c>
      <c r="AP389" t="str">
        <f>Tabela1[[#This Row],[TAG]]&amp;Tabela1[[#This Row],[PEDIDO]]&amp;Tabela1[[#This Row],[PRODUTO]]</f>
        <v>1073-TC-007P-188RMF</v>
      </c>
      <c r="AQ389" s="22" t="str">
        <f>Tabela1[[#This Row],[PRODUTO]]&amp;Tabela1[[#This Row],[TAG]]</f>
        <v>RMF1073-TC-007</v>
      </c>
      <c r="AR389" s="24" t="str">
        <f>Tabela1[[#This Row],[PEDIDO]]&amp;Tabela1[[#This Row],[PRODUTO]]</f>
        <v>P-188RMF</v>
      </c>
      <c r="AS389" s="37">
        <f>IF(AF389="",0,IF(ISTEXT(AF389),H389*VALUE(SUBSTITUTE(AF389,"%",""))/100,H389*AF389))-Tabela1[[#This Row],[PRONTO ACABADO2]]</f>
        <v>0</v>
      </c>
      <c r="AT389" s="37">
        <f>IF(AG389="",0,IF(ISTEXT(AG389),H389*VALUE(SUBSTITUTE(AG389,"%",""))/100,H389*AG389))-Tabela1[[#This Row],[PESO EXPEDIDO2]]</f>
        <v>0</v>
      </c>
      <c r="AU389" s="37">
        <f t="shared" si="64"/>
        <v>0</v>
      </c>
      <c r="AV389" s="37">
        <f t="shared" si="65"/>
        <v>0</v>
      </c>
      <c r="AW389" s="37"/>
    </row>
    <row r="390" spans="1:49" ht="15.75" customHeight="1" x14ac:dyDescent="0.25">
      <c r="A390" s="6" t="s">
        <v>4030</v>
      </c>
      <c r="B390" s="21" t="s">
        <v>4035</v>
      </c>
      <c r="C390" s="7">
        <v>3</v>
      </c>
      <c r="D390" s="39" t="s">
        <v>3781</v>
      </c>
      <c r="E390" s="7">
        <v>4275</v>
      </c>
      <c r="F390" s="7" t="s">
        <v>3996</v>
      </c>
      <c r="G390" s="23">
        <v>19.399999999999999</v>
      </c>
      <c r="H390" s="34">
        <f>Tabela1[[#This Row],[PESO UNI]]*Tabela1[[#This Row],[QTE]]</f>
        <v>58.199999999999996</v>
      </c>
      <c r="I390" s="7">
        <v>0</v>
      </c>
      <c r="J390" s="8" t="s">
        <v>2274</v>
      </c>
      <c r="K390" s="8" t="s">
        <v>327</v>
      </c>
      <c r="L390" s="9" t="s">
        <v>2069</v>
      </c>
      <c r="M390" s="10">
        <v>46149</v>
      </c>
      <c r="N390" s="8" t="s">
        <v>327</v>
      </c>
      <c r="O390" s="12"/>
      <c r="P390" s="13"/>
      <c r="Q390" s="14">
        <f>Tabela1[[#This Row],[QTDE/ Fabricação]]-Tabela1[[#This Row],[QTE]]</f>
        <v>-3</v>
      </c>
      <c r="R390" s="18">
        <f t="shared" si="59"/>
        <v>58.199999999999996</v>
      </c>
      <c r="S390" s="18">
        <f t="shared" si="66"/>
        <v>0</v>
      </c>
      <c r="T390" s="19">
        <f t="shared" si="62"/>
        <v>-58.199999999999996</v>
      </c>
      <c r="U390" s="16">
        <f>IFERROR(SUMIF('LISTA DE EMBARQUE'!B:B,MICRO!E:E,'LISTA DE EMBARQUE'!G:G),"")</f>
        <v>0</v>
      </c>
      <c r="V390" s="12" t="str">
        <f>IFERROR(VLOOKUP(Tabela1[[#This Row],[COD.MDE]],'LISTA DE EMBARQUE'!B:L,11,0),"")</f>
        <v/>
      </c>
      <c r="W390" s="13" t="str">
        <f>IFERROR(VLOOKUP(Tabela1[[#This Row],[COD.MDE]],'LISTA DE EMBARQUE'!B:M,12,0),"")</f>
        <v/>
      </c>
      <c r="X390" s="14">
        <f>IFERROR(Tabela1[[#This Row],[QIANTIDADE EXPEDIDA]]*Tabela1[[#This Row],[PESO UNI]],"")</f>
        <v>0</v>
      </c>
      <c r="Y390" s="14">
        <f t="shared" si="63"/>
        <v>-3</v>
      </c>
      <c r="Z390" s="20">
        <f>Tabela1[[#This Row],[PESO TOTAL]]-Tabela1[[#This Row],[Peso Expedido]]</f>
        <v>58.199999999999996</v>
      </c>
      <c r="AA390" s="17">
        <v>1</v>
      </c>
      <c r="AB390" s="33"/>
      <c r="AC390" s="33">
        <v>1</v>
      </c>
      <c r="AD390" s="33">
        <v>1</v>
      </c>
      <c r="AE390" s="33">
        <v>1</v>
      </c>
      <c r="AF390" s="33">
        <v>1</v>
      </c>
      <c r="AG390" s="33">
        <v>0</v>
      </c>
      <c r="AH390" s="33"/>
      <c r="AI390" s="33" t="str">
        <f t="shared" si="61"/>
        <v/>
      </c>
      <c r="AJ390" s="5"/>
      <c r="AK390" t="str">
        <f>Tabela1[[#This Row],[Coluna1]]&amp;Tabela1[[#This Row],[PEDIDO]]</f>
        <v>P-188</v>
      </c>
      <c r="AL390"/>
      <c r="AM390"/>
      <c r="AN390"/>
      <c r="AO390" t="str">
        <f t="shared" si="67"/>
        <v>T-072994-1/1073-TC-006</v>
      </c>
      <c r="AP390" t="str">
        <f>Tabela1[[#This Row],[TAG]]&amp;Tabela1[[#This Row],[PEDIDO]]&amp;Tabela1[[#This Row],[PRODUTO]]</f>
        <v>1073-TC-006P-188RMF</v>
      </c>
      <c r="AQ390" s="22" t="str">
        <f>Tabela1[[#This Row],[PRODUTO]]&amp;Tabela1[[#This Row],[TAG]]</f>
        <v>RMF1073-TC-006</v>
      </c>
      <c r="AR390" s="24" t="str">
        <f>Tabela1[[#This Row],[PEDIDO]]&amp;Tabela1[[#This Row],[PRODUTO]]</f>
        <v>P-188RMF</v>
      </c>
      <c r="AS390" s="37">
        <f>IF(AF390="",0,IF(ISTEXT(AF390),H390*VALUE(SUBSTITUTE(AF390,"%",""))/100,H390*AF390))-Tabela1[[#This Row],[PRONTO ACABADO2]]</f>
        <v>58.199999999999996</v>
      </c>
      <c r="AT390" s="37">
        <f>IF(AG390="",0,IF(ISTEXT(AG390),H390*VALUE(SUBSTITUTE(AG390,"%",""))/100,H390*AG390))-Tabela1[[#This Row],[PESO EXPEDIDO2]]</f>
        <v>0</v>
      </c>
      <c r="AU390" s="37">
        <f t="shared" si="64"/>
        <v>0</v>
      </c>
      <c r="AV390" s="37">
        <f t="shared" si="65"/>
        <v>0</v>
      </c>
      <c r="AW390" s="37"/>
    </row>
    <row r="391" spans="1:49" ht="15.75" customHeight="1" x14ac:dyDescent="0.25">
      <c r="A391" s="6" t="s">
        <v>4030</v>
      </c>
      <c r="B391" s="21" t="s">
        <v>4035</v>
      </c>
      <c r="C391" s="7">
        <v>3</v>
      </c>
      <c r="D391" s="39" t="s">
        <v>3781</v>
      </c>
      <c r="E391" s="7">
        <v>4276</v>
      </c>
      <c r="F391" s="7" t="s">
        <v>3996</v>
      </c>
      <c r="G391" s="23">
        <v>19.399999999999999</v>
      </c>
      <c r="H391" s="34">
        <f>Tabela1[[#This Row],[PESO UNI]]*Tabela1[[#This Row],[QTE]]</f>
        <v>58.199999999999996</v>
      </c>
      <c r="I391" s="7">
        <v>0</v>
      </c>
      <c r="J391" s="8" t="s">
        <v>2276</v>
      </c>
      <c r="K391" s="8" t="s">
        <v>327</v>
      </c>
      <c r="L391" s="9" t="s">
        <v>2069</v>
      </c>
      <c r="M391" s="10">
        <v>46149</v>
      </c>
      <c r="N391" s="8" t="s">
        <v>327</v>
      </c>
      <c r="O391" s="12"/>
      <c r="P391" s="13"/>
      <c r="Q391" s="14">
        <f>Tabela1[[#This Row],[QTDE/ Fabricação]]-Tabela1[[#This Row],[QTE]]</f>
        <v>-3</v>
      </c>
      <c r="R391" s="18">
        <f t="shared" si="59"/>
        <v>58.199999999999996</v>
      </c>
      <c r="S391" s="18">
        <f t="shared" si="66"/>
        <v>0</v>
      </c>
      <c r="T391" s="19">
        <f t="shared" si="62"/>
        <v>-58.199999999999996</v>
      </c>
      <c r="U391" s="16">
        <f>IFERROR(SUMIF('LISTA DE EMBARQUE'!B:B,MICRO!E:E,'LISTA DE EMBARQUE'!G:G),"")</f>
        <v>0</v>
      </c>
      <c r="V391" s="12" t="str">
        <f>IFERROR(VLOOKUP(Tabela1[[#This Row],[COD.MDE]],'LISTA DE EMBARQUE'!B:L,11,0),"")</f>
        <v/>
      </c>
      <c r="W391" s="13" t="str">
        <f>IFERROR(VLOOKUP(Tabela1[[#This Row],[COD.MDE]],'LISTA DE EMBARQUE'!B:M,12,0),"")</f>
        <v/>
      </c>
      <c r="X391" s="14">
        <f>IFERROR(Tabela1[[#This Row],[QIANTIDADE EXPEDIDA]]*Tabela1[[#This Row],[PESO UNI]],"")</f>
        <v>0</v>
      </c>
      <c r="Y391" s="14">
        <f t="shared" si="63"/>
        <v>-3</v>
      </c>
      <c r="Z391" s="20">
        <f>Tabela1[[#This Row],[PESO TOTAL]]-Tabela1[[#This Row],[Peso Expedido]]</f>
        <v>58.199999999999996</v>
      </c>
      <c r="AA391" s="17">
        <v>1</v>
      </c>
      <c r="AB391" s="33"/>
      <c r="AC391" s="33">
        <v>1</v>
      </c>
      <c r="AD391" s="33">
        <v>1</v>
      </c>
      <c r="AE391" s="33">
        <v>1</v>
      </c>
      <c r="AF391" s="33">
        <v>1</v>
      </c>
      <c r="AG391" s="33">
        <v>0</v>
      </c>
      <c r="AH391" s="33"/>
      <c r="AI391" s="33" t="str">
        <f t="shared" si="61"/>
        <v/>
      </c>
      <c r="AJ391" s="5"/>
      <c r="AK391" t="str">
        <f>Tabela1[[#This Row],[Coluna1]]&amp;Tabela1[[#This Row],[PEDIDO]]</f>
        <v>P-188</v>
      </c>
      <c r="AL391"/>
      <c r="AM391"/>
      <c r="AN391"/>
      <c r="AO391" t="str">
        <f t="shared" si="67"/>
        <v>T-072994-1/1073-TC-007</v>
      </c>
      <c r="AP391" t="str">
        <f>Tabela1[[#This Row],[TAG]]&amp;Tabela1[[#This Row],[PEDIDO]]&amp;Tabela1[[#This Row],[PRODUTO]]</f>
        <v>1073-TC-007P-188RMF</v>
      </c>
      <c r="AQ391" s="22" t="str">
        <f>Tabela1[[#This Row],[PRODUTO]]&amp;Tabela1[[#This Row],[TAG]]</f>
        <v>RMF1073-TC-007</v>
      </c>
      <c r="AR391" s="24" t="str">
        <f>Tabela1[[#This Row],[PEDIDO]]&amp;Tabela1[[#This Row],[PRODUTO]]</f>
        <v>P-188RMF</v>
      </c>
      <c r="AS391" s="37">
        <f>IF(AF391="",0,IF(ISTEXT(AF391),H391*VALUE(SUBSTITUTE(AF391,"%",""))/100,H391*AF391))-Tabela1[[#This Row],[PRONTO ACABADO2]]</f>
        <v>58.199999999999996</v>
      </c>
      <c r="AT391" s="37">
        <f>IF(AG391="",0,IF(ISTEXT(AG391),H391*VALUE(SUBSTITUTE(AG391,"%",""))/100,H391*AG391))-Tabela1[[#This Row],[PESO EXPEDIDO2]]</f>
        <v>0</v>
      </c>
      <c r="AU391" s="37">
        <f t="shared" si="64"/>
        <v>0</v>
      </c>
      <c r="AV391" s="37">
        <f t="shared" si="65"/>
        <v>0</v>
      </c>
      <c r="AW391" s="37"/>
    </row>
    <row r="392" spans="1:49" ht="15.75" customHeight="1" x14ac:dyDescent="0.25">
      <c r="A392" s="6" t="s">
        <v>4030</v>
      </c>
      <c r="B392" s="21" t="s">
        <v>4036</v>
      </c>
      <c r="C392" s="7">
        <v>1</v>
      </c>
      <c r="D392" s="39" t="s">
        <v>3781</v>
      </c>
      <c r="E392" s="7">
        <v>4277</v>
      </c>
      <c r="F392" s="7" t="s">
        <v>3996</v>
      </c>
      <c r="G392" s="23">
        <v>19.399999999999999</v>
      </c>
      <c r="H392" s="34">
        <f>Tabela1[[#This Row],[PESO UNI]]*Tabela1[[#This Row],[QTE]]</f>
        <v>19.399999999999999</v>
      </c>
      <c r="I392" s="7">
        <v>0</v>
      </c>
      <c r="J392" s="8" t="s">
        <v>2274</v>
      </c>
      <c r="K392" s="8" t="s">
        <v>327</v>
      </c>
      <c r="L392" s="9" t="s">
        <v>2069</v>
      </c>
      <c r="M392" s="10">
        <v>46149</v>
      </c>
      <c r="N392" s="8" t="s">
        <v>327</v>
      </c>
      <c r="O392" s="12"/>
      <c r="P392" s="13"/>
      <c r="Q392" s="14">
        <f>Tabela1[[#This Row],[QTDE/ Fabricação]]-Tabela1[[#This Row],[QTE]]</f>
        <v>-1</v>
      </c>
      <c r="R392" s="18">
        <f t="shared" si="59"/>
        <v>19.399999999999999</v>
      </c>
      <c r="S392" s="18">
        <f t="shared" si="66"/>
        <v>0</v>
      </c>
      <c r="T392" s="19">
        <f t="shared" si="62"/>
        <v>-19.399999999999999</v>
      </c>
      <c r="U392" s="16">
        <f>IFERROR(SUMIF('LISTA DE EMBARQUE'!B:B,MICRO!E:E,'LISTA DE EMBARQUE'!G:G),"")</f>
        <v>0</v>
      </c>
      <c r="V392" s="12" t="str">
        <f>IFERROR(VLOOKUP(Tabela1[[#This Row],[COD.MDE]],'LISTA DE EMBARQUE'!B:L,11,0),"")</f>
        <v/>
      </c>
      <c r="W392" s="13" t="str">
        <f>IFERROR(VLOOKUP(Tabela1[[#This Row],[COD.MDE]],'LISTA DE EMBARQUE'!B:M,12,0),"")</f>
        <v/>
      </c>
      <c r="X392" s="14">
        <f>IFERROR(Tabela1[[#This Row],[QIANTIDADE EXPEDIDA]]*Tabela1[[#This Row],[PESO UNI]],"")</f>
        <v>0</v>
      </c>
      <c r="Y392" s="14">
        <f t="shared" si="63"/>
        <v>-1</v>
      </c>
      <c r="Z392" s="20">
        <f>Tabela1[[#This Row],[PESO TOTAL]]-Tabela1[[#This Row],[Peso Expedido]]</f>
        <v>19.399999999999999</v>
      </c>
      <c r="AA392" s="17">
        <v>1</v>
      </c>
      <c r="AB392" s="33"/>
      <c r="AC392" s="33">
        <v>1</v>
      </c>
      <c r="AD392" s="33">
        <v>1</v>
      </c>
      <c r="AE392" s="33">
        <v>1</v>
      </c>
      <c r="AF392" s="33">
        <v>1</v>
      </c>
      <c r="AG392" s="33">
        <v>0</v>
      </c>
      <c r="AH392" s="33"/>
      <c r="AI392" s="33" t="str">
        <f t="shared" si="61"/>
        <v/>
      </c>
      <c r="AJ392" s="5"/>
      <c r="AK392" t="str">
        <f>Tabela1[[#This Row],[Coluna1]]&amp;Tabela1[[#This Row],[PEDIDO]]</f>
        <v>P-188</v>
      </c>
      <c r="AL392"/>
      <c r="AM392"/>
      <c r="AN392"/>
      <c r="AO392" t="str">
        <f t="shared" si="67"/>
        <v>T-072994-1/1073-TC-006</v>
      </c>
      <c r="AP392" t="str">
        <f>Tabela1[[#This Row],[TAG]]&amp;Tabela1[[#This Row],[PEDIDO]]&amp;Tabela1[[#This Row],[PRODUTO]]</f>
        <v>1073-TC-006P-188RMF</v>
      </c>
      <c r="AQ392" s="22" t="str">
        <f>Tabela1[[#This Row],[PRODUTO]]&amp;Tabela1[[#This Row],[TAG]]</f>
        <v>RMF1073-TC-006</v>
      </c>
      <c r="AR392" s="24" t="str">
        <f>Tabela1[[#This Row],[PEDIDO]]&amp;Tabela1[[#This Row],[PRODUTO]]</f>
        <v>P-188RMF</v>
      </c>
      <c r="AS392" s="37">
        <f>IF(AF392="",0,IF(ISTEXT(AF392),H392*VALUE(SUBSTITUTE(AF392,"%",""))/100,H392*AF392))-Tabela1[[#This Row],[PRONTO ACABADO2]]</f>
        <v>19.399999999999999</v>
      </c>
      <c r="AT392" s="37">
        <f>IF(AG392="",0,IF(ISTEXT(AG392),H392*VALUE(SUBSTITUTE(AG392,"%",""))/100,H392*AG392))-Tabela1[[#This Row],[PESO EXPEDIDO2]]</f>
        <v>0</v>
      </c>
      <c r="AU392" s="37">
        <f t="shared" si="64"/>
        <v>0</v>
      </c>
      <c r="AV392" s="37">
        <f t="shared" si="65"/>
        <v>0</v>
      </c>
      <c r="AW392" s="37"/>
    </row>
    <row r="393" spans="1:49" ht="15.75" customHeight="1" x14ac:dyDescent="0.25">
      <c r="A393" s="6" t="s">
        <v>4030</v>
      </c>
      <c r="B393" s="21" t="s">
        <v>4036</v>
      </c>
      <c r="C393" s="7">
        <v>1</v>
      </c>
      <c r="D393" s="39" t="s">
        <v>3781</v>
      </c>
      <c r="E393" s="7">
        <v>4278</v>
      </c>
      <c r="F393" s="7" t="s">
        <v>3996</v>
      </c>
      <c r="G393" s="23">
        <v>19.399999999999999</v>
      </c>
      <c r="H393" s="34">
        <f>Tabela1[[#This Row],[PESO UNI]]*Tabela1[[#This Row],[QTE]]</f>
        <v>19.399999999999999</v>
      </c>
      <c r="I393" s="7">
        <v>0</v>
      </c>
      <c r="J393" s="8" t="s">
        <v>2276</v>
      </c>
      <c r="K393" s="8" t="s">
        <v>327</v>
      </c>
      <c r="L393" s="9" t="s">
        <v>2069</v>
      </c>
      <c r="M393" s="10">
        <v>46149</v>
      </c>
      <c r="N393" s="8" t="s">
        <v>327</v>
      </c>
      <c r="O393" s="12"/>
      <c r="P393" s="13"/>
      <c r="Q393" s="14">
        <f>Tabela1[[#This Row],[QTDE/ Fabricação]]-Tabela1[[#This Row],[QTE]]</f>
        <v>-1</v>
      </c>
      <c r="R393" s="18">
        <f t="shared" si="59"/>
        <v>19.399999999999999</v>
      </c>
      <c r="S393" s="18">
        <f t="shared" si="66"/>
        <v>0</v>
      </c>
      <c r="T393" s="19">
        <f t="shared" si="62"/>
        <v>-19.399999999999999</v>
      </c>
      <c r="U393" s="16">
        <f>IFERROR(SUMIF('LISTA DE EMBARQUE'!B:B,MICRO!E:E,'LISTA DE EMBARQUE'!G:G),"")</f>
        <v>0</v>
      </c>
      <c r="V393" s="12" t="str">
        <f>IFERROR(VLOOKUP(Tabela1[[#This Row],[COD.MDE]],'LISTA DE EMBARQUE'!B:L,11,0),"")</f>
        <v/>
      </c>
      <c r="W393" s="13" t="str">
        <f>IFERROR(VLOOKUP(Tabela1[[#This Row],[COD.MDE]],'LISTA DE EMBARQUE'!B:M,12,0),"")</f>
        <v/>
      </c>
      <c r="X393" s="14">
        <f>IFERROR(Tabela1[[#This Row],[QIANTIDADE EXPEDIDA]]*Tabela1[[#This Row],[PESO UNI]],"")</f>
        <v>0</v>
      </c>
      <c r="Y393" s="14">
        <f t="shared" si="63"/>
        <v>-1</v>
      </c>
      <c r="Z393" s="20">
        <f>Tabela1[[#This Row],[PESO TOTAL]]-Tabela1[[#This Row],[Peso Expedido]]</f>
        <v>19.399999999999999</v>
      </c>
      <c r="AA393" s="17">
        <v>1</v>
      </c>
      <c r="AB393" s="33"/>
      <c r="AC393" s="33">
        <v>1</v>
      </c>
      <c r="AD393" s="33">
        <v>1</v>
      </c>
      <c r="AE393" s="33">
        <v>1</v>
      </c>
      <c r="AF393" s="33">
        <v>1</v>
      </c>
      <c r="AG393" s="33">
        <v>0</v>
      </c>
      <c r="AH393" s="33"/>
      <c r="AI393" s="33" t="str">
        <f t="shared" si="61"/>
        <v/>
      </c>
      <c r="AJ393" s="5"/>
      <c r="AK393" t="str">
        <f>Tabela1[[#This Row],[Coluna1]]&amp;Tabela1[[#This Row],[PEDIDO]]</f>
        <v>P-188</v>
      </c>
      <c r="AL393"/>
      <c r="AM393"/>
      <c r="AN393"/>
      <c r="AO393" t="str">
        <f t="shared" si="67"/>
        <v>T-072994-1/1073-TC-007</v>
      </c>
      <c r="AP393" t="str">
        <f>Tabela1[[#This Row],[TAG]]&amp;Tabela1[[#This Row],[PEDIDO]]&amp;Tabela1[[#This Row],[PRODUTO]]</f>
        <v>1073-TC-007P-188RMF</v>
      </c>
      <c r="AQ393" s="22" t="str">
        <f>Tabela1[[#This Row],[PRODUTO]]&amp;Tabela1[[#This Row],[TAG]]</f>
        <v>RMF1073-TC-007</v>
      </c>
      <c r="AR393" s="24" t="str">
        <f>Tabela1[[#This Row],[PEDIDO]]&amp;Tabela1[[#This Row],[PRODUTO]]</f>
        <v>P-188RMF</v>
      </c>
      <c r="AS393" s="37">
        <f>IF(AF393="",0,IF(ISTEXT(AF393),H393*VALUE(SUBSTITUTE(AF393,"%",""))/100,H393*AF393))-Tabela1[[#This Row],[PRONTO ACABADO2]]</f>
        <v>19.399999999999999</v>
      </c>
      <c r="AT393" s="37">
        <f>IF(AG393="",0,IF(ISTEXT(AG393),H393*VALUE(SUBSTITUTE(AG393,"%",""))/100,H393*AG393))-Tabela1[[#This Row],[PESO EXPEDIDO2]]</f>
        <v>0</v>
      </c>
      <c r="AU393" s="37">
        <f t="shared" si="64"/>
        <v>0</v>
      </c>
      <c r="AV393" s="37">
        <f t="shared" si="65"/>
        <v>0</v>
      </c>
      <c r="AW393" s="37"/>
    </row>
    <row r="394" spans="1:49" ht="15.75" customHeight="1" x14ac:dyDescent="0.25">
      <c r="A394" s="6" t="s">
        <v>4030</v>
      </c>
      <c r="B394" s="21" t="s">
        <v>4037</v>
      </c>
      <c r="C394" s="7">
        <v>18</v>
      </c>
      <c r="D394" s="39" t="s">
        <v>3415</v>
      </c>
      <c r="E394" s="7">
        <v>4279</v>
      </c>
      <c r="F394" s="7" t="s">
        <v>3996</v>
      </c>
      <c r="G394" s="23">
        <v>0.15</v>
      </c>
      <c r="H394" s="34">
        <f>Tabela1[[#This Row],[PESO UNI]]*Tabela1[[#This Row],[QTE]]</f>
        <v>2.6999999999999997</v>
      </c>
      <c r="I394" s="7">
        <v>0</v>
      </c>
      <c r="J394" s="8" t="s">
        <v>2274</v>
      </c>
      <c r="K394" s="8" t="s">
        <v>327</v>
      </c>
      <c r="L394" s="9" t="s">
        <v>2069</v>
      </c>
      <c r="M394" s="10">
        <v>46149</v>
      </c>
      <c r="N394" s="8" t="s">
        <v>327</v>
      </c>
      <c r="O394" s="12"/>
      <c r="P394" s="13"/>
      <c r="Q394" s="14">
        <f>Tabela1[[#This Row],[QTDE/ Fabricação]]-Tabela1[[#This Row],[QTE]]</f>
        <v>-18</v>
      </c>
      <c r="R394" s="18">
        <f t="shared" si="59"/>
        <v>2.6999999999999997</v>
      </c>
      <c r="S394" s="18">
        <f t="shared" si="66"/>
        <v>0</v>
      </c>
      <c r="T394" s="19">
        <f t="shared" si="62"/>
        <v>-2.6999999999999997</v>
      </c>
      <c r="U394" s="16">
        <f>IFERROR(SUMIF('LISTA DE EMBARQUE'!B:B,MICRO!E:E,'LISTA DE EMBARQUE'!G:G),"")</f>
        <v>0</v>
      </c>
      <c r="V394" s="12" t="str">
        <f>IFERROR(VLOOKUP(Tabela1[[#This Row],[COD.MDE]],'LISTA DE EMBARQUE'!B:L,11,0),"")</f>
        <v/>
      </c>
      <c r="W394" s="13" t="str">
        <f>IFERROR(VLOOKUP(Tabela1[[#This Row],[COD.MDE]],'LISTA DE EMBARQUE'!B:M,12,0),"")</f>
        <v/>
      </c>
      <c r="X394" s="14">
        <f>IFERROR(Tabela1[[#This Row],[QIANTIDADE EXPEDIDA]]*Tabela1[[#This Row],[PESO UNI]],"")</f>
        <v>0</v>
      </c>
      <c r="Y394" s="14">
        <f t="shared" si="63"/>
        <v>-18</v>
      </c>
      <c r="Z394" s="20">
        <f>Tabela1[[#This Row],[PESO TOTAL]]-Tabela1[[#This Row],[Peso Expedido]]</f>
        <v>2.6999999999999997</v>
      </c>
      <c r="AA394" s="17">
        <v>1</v>
      </c>
      <c r="AB394" s="33"/>
      <c r="AC394" s="33">
        <v>1</v>
      </c>
      <c r="AD394" s="33">
        <v>1</v>
      </c>
      <c r="AE394" s="33">
        <v>1</v>
      </c>
      <c r="AF394" s="33">
        <v>1</v>
      </c>
      <c r="AG394" s="33">
        <v>0</v>
      </c>
      <c r="AH394" s="33"/>
      <c r="AI394" s="33" t="str">
        <f t="shared" si="61"/>
        <v/>
      </c>
      <c r="AJ394" s="5"/>
      <c r="AK394" t="str">
        <f>Tabela1[[#This Row],[Coluna1]]&amp;Tabela1[[#This Row],[PEDIDO]]</f>
        <v>P-188</v>
      </c>
      <c r="AL394"/>
      <c r="AM394"/>
      <c r="AN394"/>
      <c r="AO394" t="str">
        <f t="shared" si="67"/>
        <v>T-072994-1/1073-TC-006</v>
      </c>
      <c r="AP394" t="str">
        <f>Tabela1[[#This Row],[TAG]]&amp;Tabela1[[#This Row],[PEDIDO]]&amp;Tabela1[[#This Row],[PRODUTO]]</f>
        <v>1073-TC-006P-188RMF</v>
      </c>
      <c r="AQ394" s="22" t="str">
        <f>Tabela1[[#This Row],[PRODUTO]]&amp;Tabela1[[#This Row],[TAG]]</f>
        <v>RMF1073-TC-006</v>
      </c>
      <c r="AR394" s="24" t="str">
        <f>Tabela1[[#This Row],[PEDIDO]]&amp;Tabela1[[#This Row],[PRODUTO]]</f>
        <v>P-188RMF</v>
      </c>
      <c r="AS394" s="37">
        <f>IF(AF394="",0,IF(ISTEXT(AF394),H394*VALUE(SUBSTITUTE(AF394,"%",""))/100,H394*AF394))-Tabela1[[#This Row],[PRONTO ACABADO2]]</f>
        <v>2.6999999999999997</v>
      </c>
      <c r="AT394" s="37">
        <f>IF(AG394="",0,IF(ISTEXT(AG394),H394*VALUE(SUBSTITUTE(AG394,"%",""))/100,H394*AG394))-Tabela1[[#This Row],[PESO EXPEDIDO2]]</f>
        <v>0</v>
      </c>
      <c r="AU394" s="37">
        <f t="shared" si="64"/>
        <v>0</v>
      </c>
      <c r="AV394" s="37">
        <f t="shared" si="65"/>
        <v>0</v>
      </c>
      <c r="AW394" s="37"/>
    </row>
    <row r="395" spans="1:49" ht="15.75" customHeight="1" x14ac:dyDescent="0.25">
      <c r="A395" s="6" t="s">
        <v>4030</v>
      </c>
      <c r="B395" s="21" t="s">
        <v>4037</v>
      </c>
      <c r="C395" s="7">
        <v>18</v>
      </c>
      <c r="D395" s="39" t="s">
        <v>3415</v>
      </c>
      <c r="E395" s="7">
        <v>4280</v>
      </c>
      <c r="F395" s="7" t="s">
        <v>3996</v>
      </c>
      <c r="G395" s="23">
        <v>0.15</v>
      </c>
      <c r="H395" s="34">
        <f>Tabela1[[#This Row],[PESO UNI]]*Tabela1[[#This Row],[QTE]]</f>
        <v>2.6999999999999997</v>
      </c>
      <c r="I395" s="7">
        <v>0</v>
      </c>
      <c r="J395" s="8" t="s">
        <v>2276</v>
      </c>
      <c r="K395" s="8" t="s">
        <v>327</v>
      </c>
      <c r="L395" s="9" t="s">
        <v>2069</v>
      </c>
      <c r="M395" s="10">
        <v>46149</v>
      </c>
      <c r="N395" s="8" t="s">
        <v>327</v>
      </c>
      <c r="O395" s="12"/>
      <c r="P395" s="13"/>
      <c r="Q395" s="14">
        <f>Tabela1[[#This Row],[QTDE/ Fabricação]]-Tabela1[[#This Row],[QTE]]</f>
        <v>-18</v>
      </c>
      <c r="R395" s="18">
        <f t="shared" si="59"/>
        <v>2.6999999999999997</v>
      </c>
      <c r="S395" s="18">
        <f t="shared" si="66"/>
        <v>0</v>
      </c>
      <c r="T395" s="19">
        <f t="shared" si="62"/>
        <v>-2.6999999999999997</v>
      </c>
      <c r="U395" s="16">
        <f>IFERROR(SUMIF('LISTA DE EMBARQUE'!B:B,MICRO!E:E,'LISTA DE EMBARQUE'!G:G),"")</f>
        <v>0</v>
      </c>
      <c r="V395" s="12" t="str">
        <f>IFERROR(VLOOKUP(Tabela1[[#This Row],[COD.MDE]],'LISTA DE EMBARQUE'!B:L,11,0),"")</f>
        <v/>
      </c>
      <c r="W395" s="13" t="str">
        <f>IFERROR(VLOOKUP(Tabela1[[#This Row],[COD.MDE]],'LISTA DE EMBARQUE'!B:M,12,0),"")</f>
        <v/>
      </c>
      <c r="X395" s="14">
        <f>IFERROR(Tabela1[[#This Row],[QIANTIDADE EXPEDIDA]]*Tabela1[[#This Row],[PESO UNI]],"")</f>
        <v>0</v>
      </c>
      <c r="Y395" s="14">
        <f t="shared" si="63"/>
        <v>-18</v>
      </c>
      <c r="Z395" s="20">
        <f>Tabela1[[#This Row],[PESO TOTAL]]-Tabela1[[#This Row],[Peso Expedido]]</f>
        <v>2.6999999999999997</v>
      </c>
      <c r="AA395" s="17">
        <v>1</v>
      </c>
      <c r="AB395" s="33"/>
      <c r="AC395" s="33">
        <v>1</v>
      </c>
      <c r="AD395" s="33">
        <v>1</v>
      </c>
      <c r="AE395" s="33">
        <v>1</v>
      </c>
      <c r="AF395" s="33">
        <v>1</v>
      </c>
      <c r="AG395" s="33">
        <v>0</v>
      </c>
      <c r="AH395" s="33"/>
      <c r="AI395" s="33" t="str">
        <f t="shared" si="61"/>
        <v/>
      </c>
      <c r="AJ395" s="5"/>
      <c r="AK395" t="str">
        <f>Tabela1[[#This Row],[Coluna1]]&amp;Tabela1[[#This Row],[PEDIDO]]</f>
        <v>P-188</v>
      </c>
      <c r="AL395"/>
      <c r="AM395"/>
      <c r="AN395"/>
      <c r="AO395" t="str">
        <f t="shared" si="67"/>
        <v>T-072994-1/1073-TC-007</v>
      </c>
      <c r="AP395" t="str">
        <f>Tabela1[[#This Row],[TAG]]&amp;Tabela1[[#This Row],[PEDIDO]]&amp;Tabela1[[#This Row],[PRODUTO]]</f>
        <v>1073-TC-007P-188RMF</v>
      </c>
      <c r="AQ395" s="22" t="str">
        <f>Tabela1[[#This Row],[PRODUTO]]&amp;Tabela1[[#This Row],[TAG]]</f>
        <v>RMF1073-TC-007</v>
      </c>
      <c r="AR395" s="24" t="str">
        <f>Tabela1[[#This Row],[PEDIDO]]&amp;Tabela1[[#This Row],[PRODUTO]]</f>
        <v>P-188RMF</v>
      </c>
      <c r="AS395" s="37">
        <f>IF(AF395="",0,IF(ISTEXT(AF395),H395*VALUE(SUBSTITUTE(AF395,"%",""))/100,H395*AF395))-Tabela1[[#This Row],[PRONTO ACABADO2]]</f>
        <v>2.6999999999999997</v>
      </c>
      <c r="AT395" s="37">
        <f>IF(AG395="",0,IF(ISTEXT(AG395),H395*VALUE(SUBSTITUTE(AG395,"%",""))/100,H395*AG395))-Tabela1[[#This Row],[PESO EXPEDIDO2]]</f>
        <v>0</v>
      </c>
      <c r="AU395" s="37">
        <f t="shared" si="64"/>
        <v>0</v>
      </c>
      <c r="AV395" s="37">
        <f t="shared" si="65"/>
        <v>0</v>
      </c>
      <c r="AW395" s="37"/>
    </row>
    <row r="396" spans="1:49" ht="15.75" customHeight="1" x14ac:dyDescent="0.25">
      <c r="A396" s="6" t="s">
        <v>4038</v>
      </c>
      <c r="B396" s="21" t="s">
        <v>4039</v>
      </c>
      <c r="C396" s="7">
        <v>1</v>
      </c>
      <c r="D396" s="39" t="s">
        <v>4040</v>
      </c>
      <c r="E396" s="7">
        <v>4281</v>
      </c>
      <c r="F396" s="7" t="s">
        <v>4007</v>
      </c>
      <c r="G396" s="23">
        <v>265.89999999999998</v>
      </c>
      <c r="H396" s="34">
        <f>Tabela1[[#This Row],[PESO UNI]]*Tabela1[[#This Row],[QTE]]</f>
        <v>265.89999999999998</v>
      </c>
      <c r="I396" s="7">
        <v>2</v>
      </c>
      <c r="J396" s="8" t="s">
        <v>2274</v>
      </c>
      <c r="K396" s="8" t="s">
        <v>327</v>
      </c>
      <c r="L396" s="9" t="s">
        <v>2069</v>
      </c>
      <c r="M396" s="10">
        <v>46156</v>
      </c>
      <c r="N396" s="8" t="s">
        <v>327</v>
      </c>
      <c r="O396" s="12"/>
      <c r="P396" s="13"/>
      <c r="Q396" s="14">
        <f>Tabela1[[#This Row],[QTDE/ Fabricação]]-Tabela1[[#This Row],[QTE]]</f>
        <v>-1</v>
      </c>
      <c r="R396" s="18">
        <f t="shared" si="59"/>
        <v>252.60499999999996</v>
      </c>
      <c r="S396" s="18">
        <f t="shared" si="66"/>
        <v>0</v>
      </c>
      <c r="T396" s="19">
        <f t="shared" si="62"/>
        <v>-265.89999999999998</v>
      </c>
      <c r="U396" s="16">
        <f>IFERROR(SUMIF('LISTA DE EMBARQUE'!B:B,MICRO!E:E,'LISTA DE EMBARQUE'!G:G),"")</f>
        <v>0</v>
      </c>
      <c r="V396" s="12" t="str">
        <f>IFERROR(VLOOKUP(Tabela1[[#This Row],[COD.MDE]],'LISTA DE EMBARQUE'!B:L,11,0),"")</f>
        <v/>
      </c>
      <c r="W396" s="13" t="str">
        <f>IFERROR(VLOOKUP(Tabela1[[#This Row],[COD.MDE]],'LISTA DE EMBARQUE'!B:M,12,0),"")</f>
        <v/>
      </c>
      <c r="X396" s="14">
        <f>IFERROR(Tabela1[[#This Row],[QIANTIDADE EXPEDIDA]]*Tabela1[[#This Row],[PESO UNI]],"")</f>
        <v>0</v>
      </c>
      <c r="Y396" s="14">
        <f t="shared" si="63"/>
        <v>-1</v>
      </c>
      <c r="Z396" s="20">
        <f>Tabela1[[#This Row],[PESO TOTAL]]-Tabela1[[#This Row],[Peso Expedido]]</f>
        <v>265.89999999999998</v>
      </c>
      <c r="AA396" s="17">
        <v>1</v>
      </c>
      <c r="AB396" s="33"/>
      <c r="AC396" s="33">
        <v>1</v>
      </c>
      <c r="AD396" s="33">
        <v>1</v>
      </c>
      <c r="AE396" s="33">
        <v>1</v>
      </c>
      <c r="AF396" s="33">
        <v>0</v>
      </c>
      <c r="AG396" s="33">
        <v>0</v>
      </c>
      <c r="AH396" s="33"/>
      <c r="AI396" s="33" t="str">
        <f t="shared" si="61"/>
        <v/>
      </c>
      <c r="AJ396" s="5"/>
      <c r="AK396" t="str">
        <f>Tabela1[[#This Row],[Coluna1]]&amp;Tabela1[[#This Row],[PEDIDO]]</f>
        <v>P-188</v>
      </c>
      <c r="AL396"/>
      <c r="AM396"/>
      <c r="AN396"/>
      <c r="AO396" t="str">
        <f t="shared" si="67"/>
        <v>T-072995-1/1073-TC-006</v>
      </c>
      <c r="AP396" t="str">
        <f>Tabela1[[#This Row],[TAG]]&amp;Tabela1[[#This Row],[PEDIDO]]&amp;Tabela1[[#This Row],[PRODUTO]]</f>
        <v>1073-TC-006P-188RMF</v>
      </c>
      <c r="AQ396" s="22" t="str">
        <f>Tabela1[[#This Row],[PRODUTO]]&amp;Tabela1[[#This Row],[TAG]]</f>
        <v>RMF1073-TC-006</v>
      </c>
      <c r="AR396" s="24" t="str">
        <f>Tabela1[[#This Row],[PEDIDO]]&amp;Tabela1[[#This Row],[PRODUTO]]</f>
        <v>P-188RMF</v>
      </c>
      <c r="AS396" s="37">
        <f>IF(AF396="",0,IF(ISTEXT(AF396),H396*VALUE(SUBSTITUTE(AF396,"%",""))/100,H396*AF396))-Tabela1[[#This Row],[PRONTO ACABADO2]]</f>
        <v>0</v>
      </c>
      <c r="AT396" s="37">
        <f>IF(AG396="",0,IF(ISTEXT(AG396),H396*VALUE(SUBSTITUTE(AG396,"%",""))/100,H396*AG396))-Tabela1[[#This Row],[PESO EXPEDIDO2]]</f>
        <v>0</v>
      </c>
      <c r="AU396" s="37">
        <f t="shared" si="64"/>
        <v>0</v>
      </c>
      <c r="AV396" s="37">
        <f t="shared" si="65"/>
        <v>0</v>
      </c>
      <c r="AW396" s="37"/>
    </row>
    <row r="397" spans="1:49" ht="15.75" customHeight="1" x14ac:dyDescent="0.25">
      <c r="A397" s="6" t="s">
        <v>4038</v>
      </c>
      <c r="B397" s="21" t="s">
        <v>4039</v>
      </c>
      <c r="C397" s="7">
        <v>1</v>
      </c>
      <c r="D397" s="39" t="s">
        <v>4040</v>
      </c>
      <c r="E397" s="7">
        <v>4282</v>
      </c>
      <c r="F397" s="7" t="s">
        <v>4007</v>
      </c>
      <c r="G397" s="23">
        <v>265.89999999999998</v>
      </c>
      <c r="H397" s="34">
        <f>Tabela1[[#This Row],[PESO UNI]]*Tabela1[[#This Row],[QTE]]</f>
        <v>265.89999999999998</v>
      </c>
      <c r="I397" s="7">
        <v>2</v>
      </c>
      <c r="J397" s="8" t="s">
        <v>2276</v>
      </c>
      <c r="K397" s="8" t="s">
        <v>327</v>
      </c>
      <c r="L397" s="9" t="s">
        <v>2069</v>
      </c>
      <c r="M397" s="10">
        <v>46156</v>
      </c>
      <c r="N397" s="8" t="s">
        <v>327</v>
      </c>
      <c r="O397" s="12"/>
      <c r="P397" s="13"/>
      <c r="Q397" s="14">
        <f>Tabela1[[#This Row],[QTDE/ Fabricação]]-Tabela1[[#This Row],[QTE]]</f>
        <v>-1</v>
      </c>
      <c r="R397" s="18">
        <f t="shared" si="59"/>
        <v>252.60499999999996</v>
      </c>
      <c r="S397" s="18">
        <f t="shared" si="66"/>
        <v>0</v>
      </c>
      <c r="T397" s="19">
        <f t="shared" si="62"/>
        <v>-265.89999999999998</v>
      </c>
      <c r="U397" s="16">
        <f>IFERROR(SUMIF('LISTA DE EMBARQUE'!B:B,MICRO!E:E,'LISTA DE EMBARQUE'!G:G),"")</f>
        <v>0</v>
      </c>
      <c r="V397" s="12" t="str">
        <f>IFERROR(VLOOKUP(Tabela1[[#This Row],[COD.MDE]],'LISTA DE EMBARQUE'!B:L,11,0),"")</f>
        <v/>
      </c>
      <c r="W397" s="13" t="str">
        <f>IFERROR(VLOOKUP(Tabela1[[#This Row],[COD.MDE]],'LISTA DE EMBARQUE'!B:M,12,0),"")</f>
        <v/>
      </c>
      <c r="X397" s="14">
        <f>IFERROR(Tabela1[[#This Row],[QIANTIDADE EXPEDIDA]]*Tabela1[[#This Row],[PESO UNI]],"")</f>
        <v>0</v>
      </c>
      <c r="Y397" s="14">
        <f t="shared" si="63"/>
        <v>-1</v>
      </c>
      <c r="Z397" s="20">
        <f>Tabela1[[#This Row],[PESO TOTAL]]-Tabela1[[#This Row],[Peso Expedido]]</f>
        <v>265.89999999999998</v>
      </c>
      <c r="AA397" s="17">
        <v>1</v>
      </c>
      <c r="AB397" s="33"/>
      <c r="AC397" s="33">
        <v>1</v>
      </c>
      <c r="AD397" s="33">
        <v>1</v>
      </c>
      <c r="AE397" s="33">
        <v>1</v>
      </c>
      <c r="AF397" s="33">
        <v>0</v>
      </c>
      <c r="AG397" s="33">
        <v>0</v>
      </c>
      <c r="AH397" s="33"/>
      <c r="AI397" s="33" t="str">
        <f t="shared" si="61"/>
        <v/>
      </c>
      <c r="AJ397" s="5"/>
      <c r="AK397" t="str">
        <f>Tabela1[[#This Row],[Coluna1]]&amp;Tabela1[[#This Row],[PEDIDO]]</f>
        <v>P-188</v>
      </c>
      <c r="AL397"/>
      <c r="AM397"/>
      <c r="AN397"/>
      <c r="AO397" t="str">
        <f t="shared" si="67"/>
        <v>T-072995-1/1073-TC-007</v>
      </c>
      <c r="AP397" t="str">
        <f>Tabela1[[#This Row],[TAG]]&amp;Tabela1[[#This Row],[PEDIDO]]&amp;Tabela1[[#This Row],[PRODUTO]]</f>
        <v>1073-TC-007P-188RMF</v>
      </c>
      <c r="AQ397" s="22" t="str">
        <f>Tabela1[[#This Row],[PRODUTO]]&amp;Tabela1[[#This Row],[TAG]]</f>
        <v>RMF1073-TC-007</v>
      </c>
      <c r="AR397" s="24" t="str">
        <f>Tabela1[[#This Row],[PEDIDO]]&amp;Tabela1[[#This Row],[PRODUTO]]</f>
        <v>P-188RMF</v>
      </c>
      <c r="AS397" s="37">
        <f>IF(AF397="",0,IF(ISTEXT(AF397),H397*VALUE(SUBSTITUTE(AF397,"%",""))/100,H397*AF397))-Tabela1[[#This Row],[PRONTO ACABADO2]]</f>
        <v>0</v>
      </c>
      <c r="AT397" s="37">
        <f>IF(AG397="",0,IF(ISTEXT(AG397),H397*VALUE(SUBSTITUTE(AG397,"%",""))/100,H397*AG397))-Tabela1[[#This Row],[PESO EXPEDIDO2]]</f>
        <v>0</v>
      </c>
      <c r="AU397" s="37">
        <f t="shared" si="64"/>
        <v>0</v>
      </c>
      <c r="AV397" s="37">
        <f t="shared" si="65"/>
        <v>0</v>
      </c>
      <c r="AW397" s="37"/>
    </row>
    <row r="398" spans="1:49" ht="15.75" customHeight="1" x14ac:dyDescent="0.25">
      <c r="A398" s="6" t="s">
        <v>4041</v>
      </c>
      <c r="B398" s="21" t="s">
        <v>4042</v>
      </c>
      <c r="C398" s="7">
        <v>1</v>
      </c>
      <c r="D398" s="39" t="s">
        <v>4043</v>
      </c>
      <c r="E398" s="7">
        <v>4283</v>
      </c>
      <c r="F398" s="7" t="s">
        <v>4007</v>
      </c>
      <c r="G398" s="23">
        <v>15.8</v>
      </c>
      <c r="H398" s="34">
        <f>Tabela1[[#This Row],[PESO UNI]]*Tabela1[[#This Row],[QTE]]</f>
        <v>15.8</v>
      </c>
      <c r="I398" s="7">
        <v>1</v>
      </c>
      <c r="J398" s="8" t="s">
        <v>2274</v>
      </c>
      <c r="K398" s="8" t="s">
        <v>327</v>
      </c>
      <c r="L398" s="9" t="s">
        <v>2069</v>
      </c>
      <c r="M398" s="10">
        <v>46149</v>
      </c>
      <c r="N398" s="8" t="s">
        <v>327</v>
      </c>
      <c r="O398" s="12"/>
      <c r="P398" s="13"/>
      <c r="Q398" s="14">
        <f>Tabela1[[#This Row],[QTDE/ Fabricação]]-Tabela1[[#This Row],[QTE]]</f>
        <v>-1</v>
      </c>
      <c r="R398" s="18">
        <f t="shared" si="59"/>
        <v>15.8</v>
      </c>
      <c r="S398" s="18">
        <f t="shared" si="66"/>
        <v>0</v>
      </c>
      <c r="T398" s="19">
        <f t="shared" si="62"/>
        <v>-15.8</v>
      </c>
      <c r="U398" s="16">
        <f>IFERROR(SUMIF('LISTA DE EMBARQUE'!B:B,MICRO!E:E,'LISTA DE EMBARQUE'!G:G),"")</f>
        <v>0</v>
      </c>
      <c r="V398" s="12" t="str">
        <f>IFERROR(VLOOKUP(Tabela1[[#This Row],[COD.MDE]],'LISTA DE EMBARQUE'!B:L,11,0),"")</f>
        <v/>
      </c>
      <c r="W398" s="13" t="str">
        <f>IFERROR(VLOOKUP(Tabela1[[#This Row],[COD.MDE]],'LISTA DE EMBARQUE'!B:M,12,0),"")</f>
        <v/>
      </c>
      <c r="X398" s="14">
        <f>IFERROR(Tabela1[[#This Row],[QIANTIDADE EXPEDIDA]]*Tabela1[[#This Row],[PESO UNI]],"")</f>
        <v>0</v>
      </c>
      <c r="Y398" s="14">
        <f t="shared" si="63"/>
        <v>-1</v>
      </c>
      <c r="Z398" s="20">
        <f>Tabela1[[#This Row],[PESO TOTAL]]-Tabela1[[#This Row],[Peso Expedido]]</f>
        <v>15.8</v>
      </c>
      <c r="AA398" s="17">
        <v>1</v>
      </c>
      <c r="AB398" s="33"/>
      <c r="AC398" s="33">
        <v>1</v>
      </c>
      <c r="AD398" s="33">
        <v>1</v>
      </c>
      <c r="AE398" s="33">
        <v>1</v>
      </c>
      <c r="AF398" s="33">
        <v>1</v>
      </c>
      <c r="AG398" s="33">
        <v>0</v>
      </c>
      <c r="AH398" s="33"/>
      <c r="AI398" s="33" t="str">
        <f t="shared" si="61"/>
        <v/>
      </c>
      <c r="AJ398" s="5"/>
      <c r="AK398" t="str">
        <f>Tabela1[[#This Row],[Coluna1]]&amp;Tabela1[[#This Row],[PEDIDO]]</f>
        <v>P-188</v>
      </c>
      <c r="AL398"/>
      <c r="AM398"/>
      <c r="AN398"/>
      <c r="AO398" t="str">
        <f t="shared" si="67"/>
        <v>T-072996-1/1073-TC-006</v>
      </c>
      <c r="AP398" t="str">
        <f>Tabela1[[#This Row],[TAG]]&amp;Tabela1[[#This Row],[PEDIDO]]&amp;Tabela1[[#This Row],[PRODUTO]]</f>
        <v>1073-TC-006P-188RMF</v>
      </c>
      <c r="AQ398" s="22" t="str">
        <f>Tabela1[[#This Row],[PRODUTO]]&amp;Tabela1[[#This Row],[TAG]]</f>
        <v>RMF1073-TC-006</v>
      </c>
      <c r="AR398" s="24" t="str">
        <f>Tabela1[[#This Row],[PEDIDO]]&amp;Tabela1[[#This Row],[PRODUTO]]</f>
        <v>P-188RMF</v>
      </c>
      <c r="AS398" s="37">
        <f>IF(AF398="",0,IF(ISTEXT(AF398),H398*VALUE(SUBSTITUTE(AF398,"%",""))/100,H398*AF398))-Tabela1[[#This Row],[PRONTO ACABADO2]]</f>
        <v>15.8</v>
      </c>
      <c r="AT398" s="37">
        <f>IF(AG398="",0,IF(ISTEXT(AG398),H398*VALUE(SUBSTITUTE(AG398,"%",""))/100,H398*AG398))-Tabela1[[#This Row],[PESO EXPEDIDO2]]</f>
        <v>0</v>
      </c>
      <c r="AU398" s="37">
        <f t="shared" si="64"/>
        <v>0</v>
      </c>
      <c r="AV398" s="37">
        <f t="shared" si="65"/>
        <v>0</v>
      </c>
      <c r="AW398" s="37"/>
    </row>
    <row r="399" spans="1:49" ht="15.75" customHeight="1" x14ac:dyDescent="0.25">
      <c r="A399" s="6" t="s">
        <v>4041</v>
      </c>
      <c r="B399" s="21" t="s">
        <v>4042</v>
      </c>
      <c r="C399" s="7">
        <v>1</v>
      </c>
      <c r="D399" s="39" t="s">
        <v>4043</v>
      </c>
      <c r="E399" s="7">
        <v>4284</v>
      </c>
      <c r="F399" s="7" t="s">
        <v>4007</v>
      </c>
      <c r="G399" s="23">
        <v>15.8</v>
      </c>
      <c r="H399" s="34">
        <f>Tabela1[[#This Row],[PESO UNI]]*Tabela1[[#This Row],[QTE]]</f>
        <v>15.8</v>
      </c>
      <c r="I399" s="7">
        <v>1</v>
      </c>
      <c r="J399" s="8" t="s">
        <v>2276</v>
      </c>
      <c r="K399" s="8" t="s">
        <v>327</v>
      </c>
      <c r="L399" s="9" t="s">
        <v>2069</v>
      </c>
      <c r="M399" s="10">
        <v>46149</v>
      </c>
      <c r="N399" s="8" t="s">
        <v>327</v>
      </c>
      <c r="O399" s="12"/>
      <c r="P399" s="13"/>
      <c r="Q399" s="14">
        <f>Tabela1[[#This Row],[QTDE/ Fabricação]]-Tabela1[[#This Row],[QTE]]</f>
        <v>-1</v>
      </c>
      <c r="R399" s="18">
        <f t="shared" si="59"/>
        <v>15.8</v>
      </c>
      <c r="S399" s="18">
        <f t="shared" si="66"/>
        <v>0</v>
      </c>
      <c r="T399" s="19">
        <f t="shared" si="62"/>
        <v>-15.8</v>
      </c>
      <c r="U399" s="16">
        <f>IFERROR(SUMIF('LISTA DE EMBARQUE'!B:B,MICRO!E:E,'LISTA DE EMBARQUE'!G:G),"")</f>
        <v>0</v>
      </c>
      <c r="V399" s="12" t="str">
        <f>IFERROR(VLOOKUP(Tabela1[[#This Row],[COD.MDE]],'LISTA DE EMBARQUE'!B:L,11,0),"")</f>
        <v/>
      </c>
      <c r="W399" s="13" t="str">
        <f>IFERROR(VLOOKUP(Tabela1[[#This Row],[COD.MDE]],'LISTA DE EMBARQUE'!B:M,12,0),"")</f>
        <v/>
      </c>
      <c r="X399" s="14">
        <f>IFERROR(Tabela1[[#This Row],[QIANTIDADE EXPEDIDA]]*Tabela1[[#This Row],[PESO UNI]],"")</f>
        <v>0</v>
      </c>
      <c r="Y399" s="14">
        <f t="shared" si="63"/>
        <v>-1</v>
      </c>
      <c r="Z399" s="20">
        <f>Tabela1[[#This Row],[PESO TOTAL]]-Tabela1[[#This Row],[Peso Expedido]]</f>
        <v>15.8</v>
      </c>
      <c r="AA399" s="17">
        <v>1</v>
      </c>
      <c r="AB399" s="33"/>
      <c r="AC399" s="33">
        <v>1</v>
      </c>
      <c r="AD399" s="33">
        <v>1</v>
      </c>
      <c r="AE399" s="33">
        <v>1</v>
      </c>
      <c r="AF399" s="33">
        <v>1</v>
      </c>
      <c r="AG399" s="33">
        <v>0</v>
      </c>
      <c r="AH399" s="33"/>
      <c r="AI399" s="33" t="str">
        <f t="shared" si="61"/>
        <v/>
      </c>
      <c r="AJ399" s="5"/>
      <c r="AK399" t="str">
        <f>Tabela1[[#This Row],[Coluna1]]&amp;Tabela1[[#This Row],[PEDIDO]]</f>
        <v>P-188</v>
      </c>
      <c r="AL399"/>
      <c r="AM399"/>
      <c r="AN399"/>
      <c r="AO399" t="str">
        <f t="shared" si="67"/>
        <v>T-072996-1/1073-TC-007</v>
      </c>
      <c r="AP399" t="str">
        <f>Tabela1[[#This Row],[TAG]]&amp;Tabela1[[#This Row],[PEDIDO]]&amp;Tabela1[[#This Row],[PRODUTO]]</f>
        <v>1073-TC-007P-188RMF</v>
      </c>
      <c r="AQ399" s="22" t="str">
        <f>Tabela1[[#This Row],[PRODUTO]]&amp;Tabela1[[#This Row],[TAG]]</f>
        <v>RMF1073-TC-007</v>
      </c>
      <c r="AR399" s="24" t="str">
        <f>Tabela1[[#This Row],[PEDIDO]]&amp;Tabela1[[#This Row],[PRODUTO]]</f>
        <v>P-188RMF</v>
      </c>
      <c r="AS399" s="37">
        <f>IF(AF399="",0,IF(ISTEXT(AF399),H399*VALUE(SUBSTITUTE(AF399,"%",""))/100,H399*AF399))-Tabela1[[#This Row],[PRONTO ACABADO2]]</f>
        <v>15.8</v>
      </c>
      <c r="AT399" s="37">
        <f>IF(AG399="",0,IF(ISTEXT(AG399),H399*VALUE(SUBSTITUTE(AG399,"%",""))/100,H399*AG399))-Tabela1[[#This Row],[PESO EXPEDIDO2]]</f>
        <v>0</v>
      </c>
      <c r="AU399" s="37">
        <f t="shared" si="64"/>
        <v>0</v>
      </c>
      <c r="AV399" s="37">
        <f t="shared" si="65"/>
        <v>0</v>
      </c>
      <c r="AW399" s="37"/>
    </row>
    <row r="400" spans="1:49" ht="15.75" customHeight="1" x14ac:dyDescent="0.25">
      <c r="A400" s="6" t="s">
        <v>3773</v>
      </c>
      <c r="B400" s="21" t="s">
        <v>4002</v>
      </c>
      <c r="C400" s="7">
        <v>1</v>
      </c>
      <c r="D400" s="39" t="s">
        <v>4044</v>
      </c>
      <c r="E400" s="7">
        <v>4285</v>
      </c>
      <c r="F400" s="7" t="s">
        <v>3775</v>
      </c>
      <c r="G400" s="23">
        <v>49.5</v>
      </c>
      <c r="H400" s="34">
        <f>Tabela1[[#This Row],[PESO UNI]]*Tabela1[[#This Row],[QTE]]</f>
        <v>49.5</v>
      </c>
      <c r="I400" s="7">
        <v>5</v>
      </c>
      <c r="J400" s="8" t="s">
        <v>2274</v>
      </c>
      <c r="K400" s="8" t="s">
        <v>327</v>
      </c>
      <c r="L400" s="9" t="s">
        <v>2069</v>
      </c>
      <c r="M400" s="10">
        <v>46156</v>
      </c>
      <c r="N400" s="8" t="s">
        <v>327</v>
      </c>
      <c r="O400" s="12"/>
      <c r="P400" s="13"/>
      <c r="Q400" s="14">
        <f>Tabela1[[#This Row],[QTDE/ Fabricação]]-Tabela1[[#This Row],[QTE]]</f>
        <v>-1</v>
      </c>
      <c r="R400" s="18">
        <f t="shared" si="59"/>
        <v>49.5</v>
      </c>
      <c r="S400" s="18">
        <f t="shared" si="66"/>
        <v>49.5</v>
      </c>
      <c r="T400" s="19">
        <f t="shared" si="62"/>
        <v>0</v>
      </c>
      <c r="U400" s="207">
        <v>1</v>
      </c>
      <c r="V400" s="12" t="str">
        <f>IFERROR(VLOOKUP(Tabela1[[#This Row],[COD.MDE]],'LISTA DE EMBARQUE'!B:L,11,0),"")</f>
        <v/>
      </c>
      <c r="W400" s="13"/>
      <c r="X400" s="14">
        <f>IFERROR(Tabela1[[#This Row],[QIANTIDADE EXPEDIDA]]*Tabela1[[#This Row],[PESO UNI]],"")</f>
        <v>49.5</v>
      </c>
      <c r="Y400" s="14">
        <f t="shared" si="63"/>
        <v>0</v>
      </c>
      <c r="Z400" s="20">
        <f>Tabela1[[#This Row],[PESO TOTAL]]-Tabela1[[#This Row],[Peso Expedido]]</f>
        <v>0</v>
      </c>
      <c r="AA400" s="17">
        <v>1</v>
      </c>
      <c r="AB400" s="33"/>
      <c r="AC400" s="33">
        <v>1</v>
      </c>
      <c r="AD400" s="33">
        <v>1</v>
      </c>
      <c r="AE400" s="33">
        <v>1</v>
      </c>
      <c r="AF400" s="33">
        <v>1</v>
      </c>
      <c r="AG400" s="33">
        <v>1</v>
      </c>
      <c r="AH400" s="33">
        <v>1</v>
      </c>
      <c r="AI400" s="33" t="str">
        <f t="shared" si="61"/>
        <v>ok</v>
      </c>
      <c r="AJ400" s="5"/>
      <c r="AK400" t="str">
        <f>Tabela1[[#This Row],[Coluna1]]&amp;Tabela1[[#This Row],[PEDIDO]]</f>
        <v>P-188</v>
      </c>
      <c r="AL400"/>
      <c r="AM400"/>
      <c r="AN400"/>
      <c r="AO400" t="str">
        <f t="shared" si="67"/>
        <v>T-072953-1/1073-TC-006</v>
      </c>
      <c r="AP400" t="str">
        <f>Tabela1[[#This Row],[TAG]]&amp;Tabela1[[#This Row],[PEDIDO]]&amp;Tabela1[[#This Row],[PRODUTO]]</f>
        <v>1073-TC-006P-188RMF</v>
      </c>
      <c r="AQ400" s="22" t="str">
        <f>Tabela1[[#This Row],[PRODUTO]]&amp;Tabela1[[#This Row],[TAG]]</f>
        <v>RMF1073-TC-006</v>
      </c>
      <c r="AR400" s="24" t="str">
        <f>Tabela1[[#This Row],[PEDIDO]]&amp;Tabela1[[#This Row],[PRODUTO]]</f>
        <v>P-188RMF</v>
      </c>
      <c r="AS400" s="37">
        <f>IF(AF400="",0,IF(ISTEXT(AF400),H400*VALUE(SUBSTITUTE(AF400,"%",""))/100,H400*AF400))-Tabela1[[#This Row],[PRONTO ACABADO2]]</f>
        <v>0</v>
      </c>
      <c r="AT400" s="37">
        <f>IF(AG400="",0,IF(ISTEXT(AG400),H400*VALUE(SUBSTITUTE(AG400,"%",""))/100,H400*AG400))-Tabela1[[#This Row],[PESO EXPEDIDO2]]</f>
        <v>0</v>
      </c>
      <c r="AU400" s="37">
        <f t="shared" si="64"/>
        <v>49.5</v>
      </c>
      <c r="AV400" s="37">
        <f t="shared" si="65"/>
        <v>49.5</v>
      </c>
      <c r="AW400" s="37"/>
    </row>
    <row r="401" spans="1:49" ht="15.75" customHeight="1" x14ac:dyDescent="0.25">
      <c r="A401" s="6" t="s">
        <v>3773</v>
      </c>
      <c r="B401" s="21" t="s">
        <v>4002</v>
      </c>
      <c r="C401" s="7">
        <v>1</v>
      </c>
      <c r="D401" s="39" t="s">
        <v>4044</v>
      </c>
      <c r="E401" s="7">
        <v>4286</v>
      </c>
      <c r="F401" s="7" t="s">
        <v>3775</v>
      </c>
      <c r="G401" s="23">
        <v>49.5</v>
      </c>
      <c r="H401" s="34">
        <f>Tabela1[[#This Row],[PESO UNI]]*Tabela1[[#This Row],[QTE]]</f>
        <v>49.5</v>
      </c>
      <c r="I401" s="7">
        <v>5</v>
      </c>
      <c r="J401" s="8" t="s">
        <v>2276</v>
      </c>
      <c r="K401" s="8" t="s">
        <v>327</v>
      </c>
      <c r="L401" s="9" t="s">
        <v>2069</v>
      </c>
      <c r="M401" s="10">
        <v>46156</v>
      </c>
      <c r="N401" s="8" t="s">
        <v>327</v>
      </c>
      <c r="O401" s="12"/>
      <c r="P401" s="13"/>
      <c r="Q401" s="14">
        <f>Tabela1[[#This Row],[QTDE/ Fabricação]]-Tabela1[[#This Row],[QTE]]</f>
        <v>-1</v>
      </c>
      <c r="R401" s="18">
        <f t="shared" si="59"/>
        <v>49.5</v>
      </c>
      <c r="S401" s="18">
        <f t="shared" si="66"/>
        <v>49.5</v>
      </c>
      <c r="T401" s="19">
        <f t="shared" si="62"/>
        <v>0</v>
      </c>
      <c r="U401" s="207">
        <v>1</v>
      </c>
      <c r="V401" s="12" t="str">
        <f>IFERROR(VLOOKUP(Tabela1[[#This Row],[COD.MDE]],'LISTA DE EMBARQUE'!B:L,11,0),"")</f>
        <v/>
      </c>
      <c r="W401" s="13"/>
      <c r="X401" s="14">
        <f>IFERROR(Tabela1[[#This Row],[QIANTIDADE EXPEDIDA]]*Tabela1[[#This Row],[PESO UNI]],"")</f>
        <v>49.5</v>
      </c>
      <c r="Y401" s="14">
        <f t="shared" si="63"/>
        <v>0</v>
      </c>
      <c r="Z401" s="20">
        <f>Tabela1[[#This Row],[PESO TOTAL]]-Tabela1[[#This Row],[Peso Expedido]]</f>
        <v>0</v>
      </c>
      <c r="AA401" s="17">
        <v>1</v>
      </c>
      <c r="AB401" s="33"/>
      <c r="AC401" s="33">
        <v>1</v>
      </c>
      <c r="AD401" s="33">
        <v>1</v>
      </c>
      <c r="AE401" s="33">
        <v>1</v>
      </c>
      <c r="AF401" s="33">
        <v>1</v>
      </c>
      <c r="AG401" s="33">
        <v>1</v>
      </c>
      <c r="AH401" s="33">
        <v>1</v>
      </c>
      <c r="AI401" s="33" t="str">
        <f t="shared" si="61"/>
        <v>ok</v>
      </c>
      <c r="AJ401" s="5"/>
      <c r="AK401" t="str">
        <f>Tabela1[[#This Row],[Coluna1]]&amp;Tabela1[[#This Row],[PEDIDO]]</f>
        <v>P-188</v>
      </c>
      <c r="AL401"/>
      <c r="AM401"/>
      <c r="AN401"/>
      <c r="AO401" t="str">
        <f t="shared" si="67"/>
        <v>T-072953-1/1073-TC-007</v>
      </c>
      <c r="AP401" t="str">
        <f>Tabela1[[#This Row],[TAG]]&amp;Tabela1[[#This Row],[PEDIDO]]&amp;Tabela1[[#This Row],[PRODUTO]]</f>
        <v>1073-TC-007P-188RMF</v>
      </c>
      <c r="AQ401" s="22" t="str">
        <f>Tabela1[[#This Row],[PRODUTO]]&amp;Tabela1[[#This Row],[TAG]]</f>
        <v>RMF1073-TC-007</v>
      </c>
      <c r="AR401" s="24" t="str">
        <f>Tabela1[[#This Row],[PEDIDO]]&amp;Tabela1[[#This Row],[PRODUTO]]</f>
        <v>P-188RMF</v>
      </c>
      <c r="AS401" s="37">
        <f>IF(AF401="",0,IF(ISTEXT(AF401),H401*VALUE(SUBSTITUTE(AF401,"%",""))/100,H401*AF401))-Tabela1[[#This Row],[PRONTO ACABADO2]]</f>
        <v>0</v>
      </c>
      <c r="AT401" s="37">
        <f>IF(AG401="",0,IF(ISTEXT(AG401),H401*VALUE(SUBSTITUTE(AG401,"%",""))/100,H401*AG401))-Tabela1[[#This Row],[PESO EXPEDIDO2]]</f>
        <v>0</v>
      </c>
      <c r="AU401" s="37">
        <f t="shared" si="64"/>
        <v>49.5</v>
      </c>
      <c r="AV401" s="37">
        <f t="shared" si="65"/>
        <v>49.5</v>
      </c>
      <c r="AW401" s="37"/>
    </row>
    <row r="402" spans="1:49" ht="15.75" customHeight="1" x14ac:dyDescent="0.25">
      <c r="A402" s="6" t="s">
        <v>3904</v>
      </c>
      <c r="B402" s="21" t="s">
        <v>3905</v>
      </c>
      <c r="C402" s="7">
        <v>1</v>
      </c>
      <c r="D402" s="39" t="s">
        <v>3906</v>
      </c>
      <c r="E402" s="7">
        <v>4287</v>
      </c>
      <c r="F402" s="7" t="s">
        <v>3903</v>
      </c>
      <c r="G402" s="23">
        <v>282</v>
      </c>
      <c r="H402" s="34">
        <f>Tabela1[[#This Row],[PESO UNI]]*Tabela1[[#This Row],[QTE]]</f>
        <v>282</v>
      </c>
      <c r="I402" s="7">
        <v>1</v>
      </c>
      <c r="J402" s="8" t="s">
        <v>2274</v>
      </c>
      <c r="K402" s="8" t="s">
        <v>327</v>
      </c>
      <c r="L402" s="9" t="s">
        <v>2069</v>
      </c>
      <c r="M402" s="10">
        <v>46149</v>
      </c>
      <c r="N402" s="8" t="s">
        <v>327</v>
      </c>
      <c r="O402" s="12"/>
      <c r="P402" s="13"/>
      <c r="Q402" s="14">
        <f>Tabela1[[#This Row],[QTDE/ Fabricação]]-Tabela1[[#This Row],[QTE]]</f>
        <v>-1</v>
      </c>
      <c r="R402" s="18">
        <f t="shared" si="59"/>
        <v>282</v>
      </c>
      <c r="S402" s="18">
        <f t="shared" si="66"/>
        <v>282</v>
      </c>
      <c r="T402" s="19">
        <f t="shared" si="62"/>
        <v>0</v>
      </c>
      <c r="U402" s="207">
        <v>1</v>
      </c>
      <c r="V402" s="12" t="str">
        <f>IFERROR(VLOOKUP(Tabela1[[#This Row],[COD.MDE]],'LISTA DE EMBARQUE'!B:L,11,0),"")</f>
        <v/>
      </c>
      <c r="W402" s="13"/>
      <c r="X402" s="14">
        <f>IFERROR(Tabela1[[#This Row],[QIANTIDADE EXPEDIDA]]*Tabela1[[#This Row],[PESO UNI]],"")</f>
        <v>282</v>
      </c>
      <c r="Y402" s="14">
        <f t="shared" si="63"/>
        <v>0</v>
      </c>
      <c r="Z402" s="20">
        <f>Tabela1[[#This Row],[PESO TOTAL]]-Tabela1[[#This Row],[Peso Expedido]]</f>
        <v>0</v>
      </c>
      <c r="AA402" s="17">
        <v>1</v>
      </c>
      <c r="AB402" s="33"/>
      <c r="AC402" s="33">
        <v>1</v>
      </c>
      <c r="AD402" s="33">
        <v>1</v>
      </c>
      <c r="AE402" s="33">
        <v>1</v>
      </c>
      <c r="AF402" s="33">
        <v>1</v>
      </c>
      <c r="AG402" s="33">
        <v>1</v>
      </c>
      <c r="AH402" s="33">
        <v>1</v>
      </c>
      <c r="AI402" s="33" t="str">
        <f t="shared" si="61"/>
        <v>ok</v>
      </c>
      <c r="AJ402" s="5"/>
      <c r="AK402" t="str">
        <f>Tabela1[[#This Row],[Coluna1]]&amp;Tabela1[[#This Row],[PEDIDO]]</f>
        <v>P-188</v>
      </c>
      <c r="AL402"/>
      <c r="AM402"/>
      <c r="AN402"/>
      <c r="AO402" t="str">
        <f t="shared" si="67"/>
        <v>T-072982-1/1073-TC-006</v>
      </c>
      <c r="AP402" t="str">
        <f>Tabela1[[#This Row],[TAG]]&amp;Tabela1[[#This Row],[PEDIDO]]&amp;Tabela1[[#This Row],[PRODUTO]]</f>
        <v>1073-TC-006P-188RMF</v>
      </c>
      <c r="AQ402" s="22" t="str">
        <f>Tabela1[[#This Row],[PRODUTO]]&amp;Tabela1[[#This Row],[TAG]]</f>
        <v>RMF1073-TC-006</v>
      </c>
      <c r="AR402" s="24" t="str">
        <f>Tabela1[[#This Row],[PEDIDO]]&amp;Tabela1[[#This Row],[PRODUTO]]</f>
        <v>P-188RMF</v>
      </c>
      <c r="AS402" s="37">
        <f>IF(AF402="",0,IF(ISTEXT(AF402),H402*VALUE(SUBSTITUTE(AF402,"%",""))/100,H402*AF402))-Tabela1[[#This Row],[PRONTO ACABADO2]]</f>
        <v>0</v>
      </c>
      <c r="AT402" s="37">
        <f>IF(AG402="",0,IF(ISTEXT(AG402),H402*VALUE(SUBSTITUTE(AG402,"%",""))/100,H402*AG402))-Tabela1[[#This Row],[PESO EXPEDIDO2]]</f>
        <v>0</v>
      </c>
      <c r="AU402" s="37">
        <f t="shared" si="64"/>
        <v>282</v>
      </c>
      <c r="AV402" s="37">
        <f t="shared" si="65"/>
        <v>282</v>
      </c>
      <c r="AW402" s="37"/>
    </row>
    <row r="403" spans="1:49" ht="15.75" customHeight="1" x14ac:dyDescent="0.25">
      <c r="A403" s="6" t="s">
        <v>3904</v>
      </c>
      <c r="B403" s="21" t="s">
        <v>3905</v>
      </c>
      <c r="C403" s="7">
        <v>1</v>
      </c>
      <c r="D403" s="39" t="s">
        <v>3906</v>
      </c>
      <c r="E403" s="7">
        <v>4288</v>
      </c>
      <c r="F403" s="7" t="s">
        <v>3903</v>
      </c>
      <c r="G403" s="23">
        <v>282</v>
      </c>
      <c r="H403" s="34">
        <f>Tabela1[[#This Row],[PESO UNI]]*Tabela1[[#This Row],[QTE]]</f>
        <v>282</v>
      </c>
      <c r="I403" s="7">
        <v>1</v>
      </c>
      <c r="J403" s="8" t="s">
        <v>2276</v>
      </c>
      <c r="K403" s="8" t="s">
        <v>327</v>
      </c>
      <c r="L403" s="9" t="s">
        <v>2069</v>
      </c>
      <c r="M403" s="10">
        <v>46149</v>
      </c>
      <c r="N403" s="8" t="s">
        <v>327</v>
      </c>
      <c r="O403" s="12"/>
      <c r="P403" s="13"/>
      <c r="Q403" s="14">
        <f>Tabela1[[#This Row],[QTDE/ Fabricação]]-Tabela1[[#This Row],[QTE]]</f>
        <v>-1</v>
      </c>
      <c r="R403" s="18">
        <f t="shared" si="59"/>
        <v>282</v>
      </c>
      <c r="S403" s="18">
        <f t="shared" si="66"/>
        <v>282</v>
      </c>
      <c r="T403" s="19">
        <f t="shared" si="62"/>
        <v>0</v>
      </c>
      <c r="U403" s="207">
        <v>1</v>
      </c>
      <c r="V403" s="12" t="str">
        <f>IFERROR(VLOOKUP(Tabela1[[#This Row],[COD.MDE]],'LISTA DE EMBARQUE'!B:L,11,0),"")</f>
        <v/>
      </c>
      <c r="W403" s="13"/>
      <c r="X403" s="14">
        <f>IFERROR(Tabela1[[#This Row],[QIANTIDADE EXPEDIDA]]*Tabela1[[#This Row],[PESO UNI]],"")</f>
        <v>282</v>
      </c>
      <c r="Y403" s="14">
        <f t="shared" si="63"/>
        <v>0</v>
      </c>
      <c r="Z403" s="20">
        <f>Tabela1[[#This Row],[PESO TOTAL]]-Tabela1[[#This Row],[Peso Expedido]]</f>
        <v>0</v>
      </c>
      <c r="AA403" s="17">
        <v>1</v>
      </c>
      <c r="AB403" s="33"/>
      <c r="AC403" s="33">
        <v>1</v>
      </c>
      <c r="AD403" s="33">
        <v>1</v>
      </c>
      <c r="AE403" s="33">
        <v>1</v>
      </c>
      <c r="AF403" s="33">
        <v>1</v>
      </c>
      <c r="AG403" s="33">
        <v>1</v>
      </c>
      <c r="AH403" s="33">
        <v>1</v>
      </c>
      <c r="AI403" s="33" t="str">
        <f t="shared" si="61"/>
        <v>ok</v>
      </c>
      <c r="AJ403" s="5"/>
      <c r="AK403" t="str">
        <f>Tabela1[[#This Row],[Coluna1]]&amp;Tabela1[[#This Row],[PEDIDO]]</f>
        <v>P-188</v>
      </c>
      <c r="AL403"/>
      <c r="AM403"/>
      <c r="AN403"/>
      <c r="AO403" t="str">
        <f t="shared" si="67"/>
        <v>T-072982-1/1073-TC-007</v>
      </c>
      <c r="AP403" t="str">
        <f>Tabela1[[#This Row],[TAG]]&amp;Tabela1[[#This Row],[PEDIDO]]&amp;Tabela1[[#This Row],[PRODUTO]]</f>
        <v>1073-TC-007P-188RMF</v>
      </c>
      <c r="AQ403" s="22" t="str">
        <f>Tabela1[[#This Row],[PRODUTO]]&amp;Tabela1[[#This Row],[TAG]]</f>
        <v>RMF1073-TC-007</v>
      </c>
      <c r="AR403" s="24" t="str">
        <f>Tabela1[[#This Row],[PEDIDO]]&amp;Tabela1[[#This Row],[PRODUTO]]</f>
        <v>P-188RMF</v>
      </c>
      <c r="AS403" s="37">
        <f>IF(AF403="",0,IF(ISTEXT(AF403),H403*VALUE(SUBSTITUTE(AF403,"%",""))/100,H403*AF403))-Tabela1[[#This Row],[PRONTO ACABADO2]]</f>
        <v>0</v>
      </c>
      <c r="AT403" s="37">
        <f>IF(AG403="",0,IF(ISTEXT(AG403),H403*VALUE(SUBSTITUTE(AG403,"%",""))/100,H403*AG403))-Tabela1[[#This Row],[PESO EXPEDIDO2]]</f>
        <v>0</v>
      </c>
      <c r="AU403" s="37">
        <f t="shared" si="64"/>
        <v>282</v>
      </c>
      <c r="AV403" s="37">
        <f t="shared" si="65"/>
        <v>282</v>
      </c>
      <c r="AW403" s="37"/>
    </row>
    <row r="404" spans="1:49" ht="15.75" customHeight="1" x14ac:dyDescent="0.25">
      <c r="A404" s="6" t="s">
        <v>3812</v>
      </c>
      <c r="B404" s="21" t="s">
        <v>4045</v>
      </c>
      <c r="C404" s="7">
        <v>4</v>
      </c>
      <c r="D404" s="39" t="s">
        <v>4046</v>
      </c>
      <c r="E404" s="7">
        <v>4289</v>
      </c>
      <c r="F404" s="7" t="s">
        <v>3789</v>
      </c>
      <c r="G404" s="23">
        <v>49.87</v>
      </c>
      <c r="H404" s="34">
        <f>Tabela1[[#This Row],[PESO UNI]]*Tabela1[[#This Row],[QTE]]</f>
        <v>199.48</v>
      </c>
      <c r="I404" s="7">
        <v>1</v>
      </c>
      <c r="J404" s="8" t="s">
        <v>3790</v>
      </c>
      <c r="K404" s="8" t="s">
        <v>327</v>
      </c>
      <c r="L404" s="9" t="s">
        <v>2069</v>
      </c>
      <c r="M404" s="10">
        <v>46167</v>
      </c>
      <c r="N404" s="8" t="s">
        <v>327</v>
      </c>
      <c r="O404" s="12"/>
      <c r="P404" s="13"/>
      <c r="Q404" s="14">
        <f>Tabela1[[#This Row],[QTDE/ Fabricação]]-Tabela1[[#This Row],[QTE]]</f>
        <v>-4</v>
      </c>
      <c r="R404" s="18">
        <f t="shared" si="59"/>
        <v>140.13470000000001</v>
      </c>
      <c r="S404" s="18">
        <f t="shared" si="66"/>
        <v>0</v>
      </c>
      <c r="T404" s="19">
        <f t="shared" si="62"/>
        <v>-199.48</v>
      </c>
      <c r="U404" s="16">
        <f>IFERROR(SUMIF('LISTA DE EMBARQUE'!B:B,MICRO!E:E,'LISTA DE EMBARQUE'!G:G),"")</f>
        <v>0</v>
      </c>
      <c r="V404" s="12" t="str">
        <f>IFERROR(VLOOKUP(Tabela1[[#This Row],[COD.MDE]],'LISTA DE EMBARQUE'!B:L,11,0),"")</f>
        <v/>
      </c>
      <c r="W404" s="13" t="str">
        <f>IFERROR(VLOOKUP(Tabela1[[#This Row],[COD.MDE]],'LISTA DE EMBARQUE'!B:M,12,0),"")</f>
        <v/>
      </c>
      <c r="X404" s="14">
        <f>IFERROR(Tabela1[[#This Row],[QIANTIDADE EXPEDIDA]]*Tabela1[[#This Row],[PESO UNI]],"")</f>
        <v>0</v>
      </c>
      <c r="Y404" s="14">
        <f t="shared" si="63"/>
        <v>-4</v>
      </c>
      <c r="Z404" s="20">
        <f>Tabela1[[#This Row],[PESO TOTAL]]-Tabela1[[#This Row],[Peso Expedido]]</f>
        <v>199.48</v>
      </c>
      <c r="AA404" s="17">
        <v>1</v>
      </c>
      <c r="AB404" s="33"/>
      <c r="AC404" s="33">
        <v>1</v>
      </c>
      <c r="AD404" s="33">
        <v>0.9</v>
      </c>
      <c r="AE404" s="33">
        <v>0</v>
      </c>
      <c r="AF404" s="33">
        <v>0</v>
      </c>
      <c r="AG404" s="33">
        <v>0</v>
      </c>
      <c r="AH404" s="33"/>
      <c r="AI404" s="33" t="str">
        <f t="shared" si="61"/>
        <v/>
      </c>
      <c r="AJ404" s="5"/>
      <c r="AK404" t="str">
        <f>Tabela1[[#This Row],[Coluna1]]&amp;Tabela1[[#This Row],[PEDIDO]]</f>
        <v>P-188</v>
      </c>
      <c r="AL404"/>
      <c r="AM404"/>
      <c r="AN404"/>
      <c r="AO404" t="str">
        <f t="shared" si="67"/>
        <v>T-072955-1/1073-TC-006/007</v>
      </c>
      <c r="AP404" t="str">
        <f>Tabela1[[#This Row],[TAG]]&amp;Tabela1[[#This Row],[PEDIDO]]&amp;Tabela1[[#This Row],[PRODUTO]]</f>
        <v>1073-TC-006/007P-188RMF</v>
      </c>
      <c r="AQ404" s="22" t="str">
        <f>Tabela1[[#This Row],[PRODUTO]]&amp;Tabela1[[#This Row],[TAG]]</f>
        <v>RMF1073-TC-006/007</v>
      </c>
      <c r="AR404" s="24" t="str">
        <f>Tabela1[[#This Row],[PEDIDO]]&amp;Tabela1[[#This Row],[PRODUTO]]</f>
        <v>P-188RMF</v>
      </c>
      <c r="AS404" s="37">
        <f>IF(AF404="",0,IF(ISTEXT(AF404),H404*VALUE(SUBSTITUTE(AF404,"%",""))/100,H404*AF404))-Tabela1[[#This Row],[PRONTO ACABADO2]]</f>
        <v>0</v>
      </c>
      <c r="AT404" s="37">
        <f>IF(AG404="",0,IF(ISTEXT(AG404),H404*VALUE(SUBSTITUTE(AG404,"%",""))/100,H404*AG404))-Tabela1[[#This Row],[PESO EXPEDIDO2]]</f>
        <v>0</v>
      </c>
      <c r="AU404" s="37">
        <f t="shared" si="64"/>
        <v>0</v>
      </c>
      <c r="AV404" s="37">
        <f t="shared" si="65"/>
        <v>0</v>
      </c>
      <c r="AW404" s="37"/>
    </row>
    <row r="405" spans="1:49" ht="15.75" customHeight="1" x14ac:dyDescent="0.25">
      <c r="A405" s="6" t="s">
        <v>3828</v>
      </c>
      <c r="B405" s="21" t="s">
        <v>4047</v>
      </c>
      <c r="C405" s="7">
        <v>4</v>
      </c>
      <c r="D405" s="39" t="s">
        <v>4048</v>
      </c>
      <c r="E405" s="7">
        <v>4290</v>
      </c>
      <c r="F405" s="7" t="s">
        <v>3789</v>
      </c>
      <c r="G405" s="23">
        <v>50</v>
      </c>
      <c r="H405" s="34">
        <f>Tabela1[[#This Row],[PESO UNI]]*Tabela1[[#This Row],[QTE]]</f>
        <v>200</v>
      </c>
      <c r="I405" s="7">
        <v>1</v>
      </c>
      <c r="J405" s="8" t="s">
        <v>3790</v>
      </c>
      <c r="K405" s="8" t="s">
        <v>327</v>
      </c>
      <c r="L405" s="9" t="s">
        <v>2069</v>
      </c>
      <c r="M405" s="10">
        <v>46167</v>
      </c>
      <c r="N405" s="8" t="s">
        <v>327</v>
      </c>
      <c r="O405" s="12"/>
      <c r="P405" s="13"/>
      <c r="Q405" s="14">
        <f>Tabela1[[#This Row],[QTDE/ Fabricação]]-Tabela1[[#This Row],[QTE]]</f>
        <v>-4</v>
      </c>
      <c r="R405" s="18">
        <f t="shared" si="59"/>
        <v>140.5</v>
      </c>
      <c r="S405" s="18">
        <f t="shared" si="66"/>
        <v>0</v>
      </c>
      <c r="T405" s="19">
        <f t="shared" si="62"/>
        <v>-200</v>
      </c>
      <c r="U405" s="16">
        <f>IFERROR(SUMIF('LISTA DE EMBARQUE'!B:B,MICRO!E:E,'LISTA DE EMBARQUE'!G:G),"")</f>
        <v>0</v>
      </c>
      <c r="V405" s="12" t="str">
        <f>IFERROR(VLOOKUP(Tabela1[[#This Row],[COD.MDE]],'LISTA DE EMBARQUE'!B:L,11,0),"")</f>
        <v/>
      </c>
      <c r="W405" s="13" t="str">
        <f>IFERROR(VLOOKUP(Tabela1[[#This Row],[COD.MDE]],'LISTA DE EMBARQUE'!B:M,12,0),"")</f>
        <v/>
      </c>
      <c r="X405" s="14">
        <f>IFERROR(Tabela1[[#This Row],[QIANTIDADE EXPEDIDA]]*Tabela1[[#This Row],[PESO UNI]],"")</f>
        <v>0</v>
      </c>
      <c r="Y405" s="14">
        <f t="shared" si="63"/>
        <v>-4</v>
      </c>
      <c r="Z405" s="20">
        <f>Tabela1[[#This Row],[PESO TOTAL]]-Tabela1[[#This Row],[Peso Expedido]]</f>
        <v>200</v>
      </c>
      <c r="AA405" s="17">
        <v>1</v>
      </c>
      <c r="AB405" s="33"/>
      <c r="AC405" s="33">
        <v>1</v>
      </c>
      <c r="AD405" s="33">
        <v>0.9</v>
      </c>
      <c r="AE405" s="33">
        <v>0</v>
      </c>
      <c r="AF405" s="33">
        <v>0</v>
      </c>
      <c r="AG405" s="33">
        <v>0</v>
      </c>
      <c r="AH405" s="33"/>
      <c r="AI405" s="33" t="str">
        <f t="shared" si="61"/>
        <v/>
      </c>
      <c r="AJ405" s="5"/>
      <c r="AK405" t="str">
        <f>Tabela1[[#This Row],[Coluna1]]&amp;Tabela1[[#This Row],[PEDIDO]]</f>
        <v>P-188</v>
      </c>
      <c r="AL405"/>
      <c r="AM405"/>
      <c r="AN405"/>
      <c r="AO405" t="str">
        <f t="shared" si="67"/>
        <v>T-072957-1/1073-TC-006/007</v>
      </c>
      <c r="AP405" t="str">
        <f>Tabela1[[#This Row],[TAG]]&amp;Tabela1[[#This Row],[PEDIDO]]&amp;Tabela1[[#This Row],[PRODUTO]]</f>
        <v>1073-TC-006/007P-188RMF</v>
      </c>
      <c r="AQ405" s="22" t="str">
        <f>Tabela1[[#This Row],[PRODUTO]]&amp;Tabela1[[#This Row],[TAG]]</f>
        <v>RMF1073-TC-006/007</v>
      </c>
      <c r="AR405" s="24" t="str">
        <f>Tabela1[[#This Row],[PEDIDO]]&amp;Tabela1[[#This Row],[PRODUTO]]</f>
        <v>P-188RMF</v>
      </c>
      <c r="AS405" s="37">
        <f>IF(AF405="",0,IF(ISTEXT(AF405),H405*VALUE(SUBSTITUTE(AF405,"%",""))/100,H405*AF405))-Tabela1[[#This Row],[PRONTO ACABADO2]]</f>
        <v>0</v>
      </c>
      <c r="AT405" s="37">
        <f>IF(AG405="",0,IF(ISTEXT(AG405),H405*VALUE(SUBSTITUTE(AG405,"%",""))/100,H405*AG405))-Tabela1[[#This Row],[PESO EXPEDIDO2]]</f>
        <v>0</v>
      </c>
      <c r="AU405" s="37">
        <f t="shared" si="64"/>
        <v>0</v>
      </c>
      <c r="AV405" s="37">
        <f t="shared" si="65"/>
        <v>0</v>
      </c>
      <c r="AW405" s="37"/>
    </row>
    <row r="406" spans="1:49" ht="15.75" customHeight="1" x14ac:dyDescent="0.25">
      <c r="A406" s="6" t="s">
        <v>4049</v>
      </c>
      <c r="B406" s="21" t="s">
        <v>4050</v>
      </c>
      <c r="C406" s="7">
        <v>1</v>
      </c>
      <c r="D406" s="39" t="s">
        <v>4051</v>
      </c>
      <c r="E406" s="7">
        <v>4291</v>
      </c>
      <c r="F406" s="7" t="s">
        <v>4052</v>
      </c>
      <c r="G406" s="23">
        <v>57.6</v>
      </c>
      <c r="H406" s="34">
        <f>Tabela1[[#This Row],[PESO UNI]]*Tabela1[[#This Row],[QTE]]</f>
        <v>57.6</v>
      </c>
      <c r="I406" s="7">
        <v>0</v>
      </c>
      <c r="J406" s="8" t="s">
        <v>2274</v>
      </c>
      <c r="K406" s="8" t="s">
        <v>327</v>
      </c>
      <c r="L406" s="9" t="s">
        <v>2069</v>
      </c>
      <c r="M406" s="10">
        <v>46161</v>
      </c>
      <c r="N406" s="8" t="s">
        <v>327</v>
      </c>
      <c r="O406" s="12"/>
      <c r="P406" s="13"/>
      <c r="Q406" s="14">
        <f>Tabela1[[#This Row],[QTDE/ Fabricação]]-Tabela1[[#This Row],[QTE]]</f>
        <v>-1</v>
      </c>
      <c r="R406" s="18">
        <f t="shared" si="59"/>
        <v>57.6</v>
      </c>
      <c r="S406" s="18">
        <f t="shared" si="66"/>
        <v>0</v>
      </c>
      <c r="T406" s="19">
        <f t="shared" si="62"/>
        <v>-57.6</v>
      </c>
      <c r="U406" s="16">
        <f>IFERROR(SUMIF('LISTA DE EMBARQUE'!B:B,MICRO!E:E,'LISTA DE EMBARQUE'!G:G),"")</f>
        <v>0</v>
      </c>
      <c r="V406" s="12" t="str">
        <f>IFERROR(VLOOKUP(Tabela1[[#This Row],[COD.MDE]],'LISTA DE EMBARQUE'!B:L,11,0),"")</f>
        <v/>
      </c>
      <c r="W406" s="13" t="str">
        <f>IFERROR(VLOOKUP(Tabela1[[#This Row],[COD.MDE]],'LISTA DE EMBARQUE'!B:M,12,0),"")</f>
        <v/>
      </c>
      <c r="X406" s="14">
        <f>IFERROR(Tabela1[[#This Row],[QIANTIDADE EXPEDIDA]]*Tabela1[[#This Row],[PESO UNI]],"")</f>
        <v>0</v>
      </c>
      <c r="Y406" s="14">
        <f t="shared" si="63"/>
        <v>-1</v>
      </c>
      <c r="Z406" s="20">
        <f>Tabela1[[#This Row],[PESO TOTAL]]-Tabela1[[#This Row],[Peso Expedido]]</f>
        <v>57.6</v>
      </c>
      <c r="AA406" s="17">
        <v>1</v>
      </c>
      <c r="AB406" s="33"/>
      <c r="AC406" s="33">
        <v>1</v>
      </c>
      <c r="AD406" s="33">
        <v>1</v>
      </c>
      <c r="AE406" s="33">
        <v>1</v>
      </c>
      <c r="AF406" s="33">
        <v>1</v>
      </c>
      <c r="AG406" s="33">
        <v>0</v>
      </c>
      <c r="AH406" s="33"/>
      <c r="AI406" s="33" t="str">
        <f t="shared" si="61"/>
        <v/>
      </c>
      <c r="AJ406" s="5"/>
      <c r="AK406" t="str">
        <f>Tabela1[[#This Row],[Coluna1]]&amp;Tabela1[[#This Row],[PEDIDO]]</f>
        <v>P-188</v>
      </c>
      <c r="AL406"/>
      <c r="AM406"/>
      <c r="AN406"/>
      <c r="AO406" t="str">
        <f t="shared" si="67"/>
        <v>T-072998-1/1073-TC-006</v>
      </c>
      <c r="AP406" t="str">
        <f>Tabela1[[#This Row],[TAG]]&amp;Tabela1[[#This Row],[PEDIDO]]&amp;Tabela1[[#This Row],[PRODUTO]]</f>
        <v>1073-TC-006P-188RMF</v>
      </c>
      <c r="AQ406" s="22" t="str">
        <f>Tabela1[[#This Row],[PRODUTO]]&amp;Tabela1[[#This Row],[TAG]]</f>
        <v>RMF1073-TC-006</v>
      </c>
      <c r="AR406" s="24" t="str">
        <f>Tabela1[[#This Row],[PEDIDO]]&amp;Tabela1[[#This Row],[PRODUTO]]</f>
        <v>P-188RMF</v>
      </c>
      <c r="AS406" s="37">
        <f>IF(AF406="",0,IF(ISTEXT(AF406),H406*VALUE(SUBSTITUTE(AF406,"%",""))/100,H406*AF406))-Tabela1[[#This Row],[PRONTO ACABADO2]]</f>
        <v>57.6</v>
      </c>
      <c r="AT406" s="37">
        <f>IF(AG406="",0,IF(ISTEXT(AG406),H406*VALUE(SUBSTITUTE(AG406,"%",""))/100,H406*AG406))-Tabela1[[#This Row],[PESO EXPEDIDO2]]</f>
        <v>0</v>
      </c>
      <c r="AU406" s="37">
        <f t="shared" si="64"/>
        <v>0</v>
      </c>
      <c r="AV406" s="37">
        <f t="shared" si="65"/>
        <v>0</v>
      </c>
      <c r="AW406" s="37"/>
    </row>
    <row r="407" spans="1:49" ht="15.75" customHeight="1" x14ac:dyDescent="0.25">
      <c r="A407" s="6" t="s">
        <v>4049</v>
      </c>
      <c r="B407" s="21" t="s">
        <v>4050</v>
      </c>
      <c r="C407" s="7">
        <v>1</v>
      </c>
      <c r="D407" s="39" t="s">
        <v>4051</v>
      </c>
      <c r="E407" s="7">
        <v>4292</v>
      </c>
      <c r="F407" s="7" t="s">
        <v>4052</v>
      </c>
      <c r="G407" s="23">
        <v>57.6</v>
      </c>
      <c r="H407" s="34">
        <f>Tabela1[[#This Row],[PESO UNI]]*Tabela1[[#This Row],[QTE]]</f>
        <v>57.6</v>
      </c>
      <c r="I407" s="7">
        <v>0</v>
      </c>
      <c r="J407" s="8" t="s">
        <v>2276</v>
      </c>
      <c r="K407" s="8" t="s">
        <v>327</v>
      </c>
      <c r="L407" s="9" t="s">
        <v>2069</v>
      </c>
      <c r="M407" s="10">
        <v>46161</v>
      </c>
      <c r="N407" s="8" t="s">
        <v>327</v>
      </c>
      <c r="O407" s="12"/>
      <c r="P407" s="13"/>
      <c r="Q407" s="14">
        <f>Tabela1[[#This Row],[QTDE/ Fabricação]]-Tabela1[[#This Row],[QTE]]</f>
        <v>-1</v>
      </c>
      <c r="R407" s="18">
        <f t="shared" si="59"/>
        <v>57.6</v>
      </c>
      <c r="S407" s="18">
        <f t="shared" si="66"/>
        <v>0</v>
      </c>
      <c r="T407" s="19">
        <f t="shared" si="62"/>
        <v>-57.6</v>
      </c>
      <c r="U407" s="16">
        <f>IFERROR(SUMIF('LISTA DE EMBARQUE'!B:B,MICRO!E:E,'LISTA DE EMBARQUE'!G:G),"")</f>
        <v>0</v>
      </c>
      <c r="V407" s="12" t="str">
        <f>IFERROR(VLOOKUP(Tabela1[[#This Row],[COD.MDE]],'LISTA DE EMBARQUE'!B:L,11,0),"")</f>
        <v/>
      </c>
      <c r="W407" s="13" t="str">
        <f>IFERROR(VLOOKUP(Tabela1[[#This Row],[COD.MDE]],'LISTA DE EMBARQUE'!B:M,12,0),"")</f>
        <v/>
      </c>
      <c r="X407" s="14">
        <f>IFERROR(Tabela1[[#This Row],[QIANTIDADE EXPEDIDA]]*Tabela1[[#This Row],[PESO UNI]],"")</f>
        <v>0</v>
      </c>
      <c r="Y407" s="14">
        <f t="shared" si="63"/>
        <v>-1</v>
      </c>
      <c r="Z407" s="20">
        <f>Tabela1[[#This Row],[PESO TOTAL]]-Tabela1[[#This Row],[Peso Expedido]]</f>
        <v>57.6</v>
      </c>
      <c r="AA407" s="17">
        <v>1</v>
      </c>
      <c r="AB407" s="33"/>
      <c r="AC407" s="33">
        <v>1</v>
      </c>
      <c r="AD407" s="33">
        <v>1</v>
      </c>
      <c r="AE407" s="33">
        <v>1</v>
      </c>
      <c r="AF407" s="33">
        <v>1</v>
      </c>
      <c r="AG407" s="33">
        <v>0</v>
      </c>
      <c r="AH407" s="33"/>
      <c r="AI407" s="33" t="str">
        <f t="shared" si="61"/>
        <v/>
      </c>
      <c r="AJ407" s="5"/>
      <c r="AK407" t="str">
        <f>Tabela1[[#This Row],[Coluna1]]&amp;Tabela1[[#This Row],[PEDIDO]]</f>
        <v>P-188</v>
      </c>
      <c r="AL407"/>
      <c r="AM407"/>
      <c r="AN407"/>
      <c r="AO407" t="str">
        <f t="shared" si="67"/>
        <v>T-072998-1/1073-TC-007</v>
      </c>
      <c r="AP407" t="str">
        <f>Tabela1[[#This Row],[TAG]]&amp;Tabela1[[#This Row],[PEDIDO]]&amp;Tabela1[[#This Row],[PRODUTO]]</f>
        <v>1073-TC-007P-188RMF</v>
      </c>
      <c r="AQ407" s="22" t="str">
        <f>Tabela1[[#This Row],[PRODUTO]]&amp;Tabela1[[#This Row],[TAG]]</f>
        <v>RMF1073-TC-007</v>
      </c>
      <c r="AR407" s="24" t="str">
        <f>Tabela1[[#This Row],[PEDIDO]]&amp;Tabela1[[#This Row],[PRODUTO]]</f>
        <v>P-188RMF</v>
      </c>
      <c r="AS407" s="37">
        <f>IF(AF407="",0,IF(ISTEXT(AF407),H407*VALUE(SUBSTITUTE(AF407,"%",""))/100,H407*AF407))-Tabela1[[#This Row],[PRONTO ACABADO2]]</f>
        <v>57.6</v>
      </c>
      <c r="AT407" s="37">
        <f>IF(AG407="",0,IF(ISTEXT(AG407),H407*VALUE(SUBSTITUTE(AG407,"%",""))/100,H407*AG407))-Tabela1[[#This Row],[PESO EXPEDIDO2]]</f>
        <v>0</v>
      </c>
      <c r="AU407" s="37">
        <f t="shared" si="64"/>
        <v>0</v>
      </c>
      <c r="AV407" s="37">
        <f t="shared" si="65"/>
        <v>0</v>
      </c>
      <c r="AW407" s="37"/>
    </row>
    <row r="408" spans="1:49" ht="15.75" customHeight="1" x14ac:dyDescent="0.25">
      <c r="A408" s="6" t="s">
        <v>4049</v>
      </c>
      <c r="B408" s="21" t="s">
        <v>4053</v>
      </c>
      <c r="C408" s="7">
        <v>1</v>
      </c>
      <c r="D408" s="39" t="s">
        <v>4051</v>
      </c>
      <c r="E408" s="7">
        <v>4293</v>
      </c>
      <c r="F408" s="7" t="s">
        <v>4052</v>
      </c>
      <c r="G408" s="23">
        <v>44.8</v>
      </c>
      <c r="H408" s="34">
        <f>Tabela1[[#This Row],[PESO UNI]]*Tabela1[[#This Row],[QTE]]</f>
        <v>44.8</v>
      </c>
      <c r="I408" s="7">
        <v>0</v>
      </c>
      <c r="J408" s="8" t="s">
        <v>2274</v>
      </c>
      <c r="K408" s="8" t="s">
        <v>327</v>
      </c>
      <c r="L408" s="9" t="s">
        <v>2069</v>
      </c>
      <c r="M408" s="10">
        <v>46161</v>
      </c>
      <c r="N408" s="8" t="s">
        <v>327</v>
      </c>
      <c r="O408" s="12"/>
      <c r="P408" s="13"/>
      <c r="Q408" s="14">
        <f>Tabela1[[#This Row],[QTDE/ Fabricação]]-Tabela1[[#This Row],[QTE]]</f>
        <v>-1</v>
      </c>
      <c r="R408" s="18">
        <f t="shared" si="59"/>
        <v>44.8</v>
      </c>
      <c r="S408" s="18">
        <f t="shared" si="66"/>
        <v>0</v>
      </c>
      <c r="T408" s="19">
        <f t="shared" si="62"/>
        <v>-44.8</v>
      </c>
      <c r="U408" s="16">
        <f>IFERROR(SUMIF('LISTA DE EMBARQUE'!B:B,MICRO!E:E,'LISTA DE EMBARQUE'!G:G),"")</f>
        <v>0</v>
      </c>
      <c r="V408" s="12" t="str">
        <f>IFERROR(VLOOKUP(Tabela1[[#This Row],[COD.MDE]],'LISTA DE EMBARQUE'!B:L,11,0),"")</f>
        <v/>
      </c>
      <c r="W408" s="13" t="str">
        <f>IFERROR(VLOOKUP(Tabela1[[#This Row],[COD.MDE]],'LISTA DE EMBARQUE'!B:M,12,0),"")</f>
        <v/>
      </c>
      <c r="X408" s="14">
        <f>IFERROR(Tabela1[[#This Row],[QIANTIDADE EXPEDIDA]]*Tabela1[[#This Row],[PESO UNI]],"")</f>
        <v>0</v>
      </c>
      <c r="Y408" s="14">
        <f t="shared" si="63"/>
        <v>-1</v>
      </c>
      <c r="Z408" s="20">
        <f>Tabela1[[#This Row],[PESO TOTAL]]-Tabela1[[#This Row],[Peso Expedido]]</f>
        <v>44.8</v>
      </c>
      <c r="AA408" s="17">
        <v>1</v>
      </c>
      <c r="AB408" s="33"/>
      <c r="AC408" s="33">
        <v>1</v>
      </c>
      <c r="AD408" s="33">
        <v>1</v>
      </c>
      <c r="AE408" s="33">
        <v>1</v>
      </c>
      <c r="AF408" s="33">
        <v>1</v>
      </c>
      <c r="AG408" s="33">
        <v>0</v>
      </c>
      <c r="AH408" s="33"/>
      <c r="AI408" s="33" t="str">
        <f t="shared" si="61"/>
        <v/>
      </c>
      <c r="AJ408" s="5"/>
      <c r="AK408" t="str">
        <f>Tabela1[[#This Row],[Coluna1]]&amp;Tabela1[[#This Row],[PEDIDO]]</f>
        <v>P-188</v>
      </c>
      <c r="AL408"/>
      <c r="AM408"/>
      <c r="AN408"/>
      <c r="AO408" t="str">
        <f t="shared" si="67"/>
        <v>T-072998-1/1073-TC-006</v>
      </c>
      <c r="AP408" t="str">
        <f>Tabela1[[#This Row],[TAG]]&amp;Tabela1[[#This Row],[PEDIDO]]&amp;Tabela1[[#This Row],[PRODUTO]]</f>
        <v>1073-TC-006P-188RMF</v>
      </c>
      <c r="AQ408" s="22" t="str">
        <f>Tabela1[[#This Row],[PRODUTO]]&amp;Tabela1[[#This Row],[TAG]]</f>
        <v>RMF1073-TC-006</v>
      </c>
      <c r="AR408" s="24" t="str">
        <f>Tabela1[[#This Row],[PEDIDO]]&amp;Tabela1[[#This Row],[PRODUTO]]</f>
        <v>P-188RMF</v>
      </c>
      <c r="AS408" s="37">
        <f>IF(AF408="",0,IF(ISTEXT(AF408),H408*VALUE(SUBSTITUTE(AF408,"%",""))/100,H408*AF408))-Tabela1[[#This Row],[PRONTO ACABADO2]]</f>
        <v>44.8</v>
      </c>
      <c r="AT408" s="37">
        <f>IF(AG408="",0,IF(ISTEXT(AG408),H408*VALUE(SUBSTITUTE(AG408,"%",""))/100,H408*AG408))-Tabela1[[#This Row],[PESO EXPEDIDO2]]</f>
        <v>0</v>
      </c>
      <c r="AU408" s="37">
        <f t="shared" si="64"/>
        <v>0</v>
      </c>
      <c r="AV408" s="37">
        <f t="shared" si="65"/>
        <v>0</v>
      </c>
      <c r="AW408" s="37"/>
    </row>
    <row r="409" spans="1:49" ht="15.75" customHeight="1" x14ac:dyDescent="0.25">
      <c r="A409" s="6" t="s">
        <v>4049</v>
      </c>
      <c r="B409" s="21" t="s">
        <v>4053</v>
      </c>
      <c r="C409" s="7">
        <v>1</v>
      </c>
      <c r="D409" s="39" t="s">
        <v>4051</v>
      </c>
      <c r="E409" s="7">
        <v>4294</v>
      </c>
      <c r="F409" s="7" t="s">
        <v>4052</v>
      </c>
      <c r="G409" s="23">
        <v>44.8</v>
      </c>
      <c r="H409" s="34">
        <f>Tabela1[[#This Row],[PESO UNI]]*Tabela1[[#This Row],[QTE]]</f>
        <v>44.8</v>
      </c>
      <c r="I409" s="7">
        <v>0</v>
      </c>
      <c r="J409" s="8" t="s">
        <v>2276</v>
      </c>
      <c r="K409" s="8" t="s">
        <v>327</v>
      </c>
      <c r="L409" s="9" t="s">
        <v>2069</v>
      </c>
      <c r="M409" s="10">
        <v>46161</v>
      </c>
      <c r="N409" s="8" t="s">
        <v>327</v>
      </c>
      <c r="O409" s="12"/>
      <c r="P409" s="13"/>
      <c r="Q409" s="14">
        <f>Tabela1[[#This Row],[QTDE/ Fabricação]]-Tabela1[[#This Row],[QTE]]</f>
        <v>-1</v>
      </c>
      <c r="R409" s="18">
        <f t="shared" si="59"/>
        <v>44.8</v>
      </c>
      <c r="S409" s="18">
        <f t="shared" si="66"/>
        <v>0</v>
      </c>
      <c r="T409" s="19">
        <f t="shared" si="62"/>
        <v>-44.8</v>
      </c>
      <c r="U409" s="16">
        <f>IFERROR(SUMIF('LISTA DE EMBARQUE'!B:B,MICRO!E:E,'LISTA DE EMBARQUE'!G:G),"")</f>
        <v>0</v>
      </c>
      <c r="V409" s="12" t="str">
        <f>IFERROR(VLOOKUP(Tabela1[[#This Row],[COD.MDE]],'LISTA DE EMBARQUE'!B:L,11,0),"")</f>
        <v/>
      </c>
      <c r="W409" s="13" t="str">
        <f>IFERROR(VLOOKUP(Tabela1[[#This Row],[COD.MDE]],'LISTA DE EMBARQUE'!B:M,12,0),"")</f>
        <v/>
      </c>
      <c r="X409" s="14">
        <f>IFERROR(Tabela1[[#This Row],[QIANTIDADE EXPEDIDA]]*Tabela1[[#This Row],[PESO UNI]],"")</f>
        <v>0</v>
      </c>
      <c r="Y409" s="14">
        <f t="shared" si="63"/>
        <v>-1</v>
      </c>
      <c r="Z409" s="20">
        <f>Tabela1[[#This Row],[PESO TOTAL]]-Tabela1[[#This Row],[Peso Expedido]]</f>
        <v>44.8</v>
      </c>
      <c r="AA409" s="17">
        <v>1</v>
      </c>
      <c r="AB409" s="33"/>
      <c r="AC409" s="33">
        <v>1</v>
      </c>
      <c r="AD409" s="33">
        <v>1</v>
      </c>
      <c r="AE409" s="33">
        <v>1</v>
      </c>
      <c r="AF409" s="33">
        <v>1</v>
      </c>
      <c r="AG409" s="33">
        <v>0</v>
      </c>
      <c r="AH409" s="33"/>
      <c r="AI409" s="33" t="str">
        <f t="shared" si="61"/>
        <v/>
      </c>
      <c r="AJ409" s="5"/>
      <c r="AK409" t="str">
        <f>Tabela1[[#This Row],[Coluna1]]&amp;Tabela1[[#This Row],[PEDIDO]]</f>
        <v>P-188</v>
      </c>
      <c r="AL409"/>
      <c r="AM409"/>
      <c r="AN409"/>
      <c r="AO409" t="str">
        <f t="shared" si="67"/>
        <v>T-072998-1/1073-TC-007</v>
      </c>
      <c r="AP409" t="str">
        <f>Tabela1[[#This Row],[TAG]]&amp;Tabela1[[#This Row],[PEDIDO]]&amp;Tabela1[[#This Row],[PRODUTO]]</f>
        <v>1073-TC-007P-188RMF</v>
      </c>
      <c r="AQ409" s="22" t="str">
        <f>Tabela1[[#This Row],[PRODUTO]]&amp;Tabela1[[#This Row],[TAG]]</f>
        <v>RMF1073-TC-007</v>
      </c>
      <c r="AR409" s="24" t="str">
        <f>Tabela1[[#This Row],[PEDIDO]]&amp;Tabela1[[#This Row],[PRODUTO]]</f>
        <v>P-188RMF</v>
      </c>
      <c r="AS409" s="37">
        <f>IF(AF409="",0,IF(ISTEXT(AF409),H409*VALUE(SUBSTITUTE(AF409,"%",""))/100,H409*AF409))-Tabela1[[#This Row],[PRONTO ACABADO2]]</f>
        <v>44.8</v>
      </c>
      <c r="AT409" s="37">
        <f>IF(AG409="",0,IF(ISTEXT(AG409),H409*VALUE(SUBSTITUTE(AG409,"%",""))/100,H409*AG409))-Tabela1[[#This Row],[PESO EXPEDIDO2]]</f>
        <v>0</v>
      </c>
      <c r="AU409" s="37">
        <f t="shared" si="64"/>
        <v>0</v>
      </c>
      <c r="AV409" s="37">
        <f t="shared" si="65"/>
        <v>0</v>
      </c>
      <c r="AW409" s="37"/>
    </row>
    <row r="410" spans="1:49" ht="15.75" customHeight="1" x14ac:dyDescent="0.25">
      <c r="A410" s="6" t="s">
        <v>4049</v>
      </c>
      <c r="B410" s="21" t="s">
        <v>4054</v>
      </c>
      <c r="C410" s="7">
        <v>1</v>
      </c>
      <c r="D410" s="39" t="s">
        <v>4051</v>
      </c>
      <c r="E410" s="7">
        <v>4295</v>
      </c>
      <c r="F410" s="7" t="s">
        <v>4052</v>
      </c>
      <c r="G410" s="23">
        <v>57.1</v>
      </c>
      <c r="H410" s="34">
        <f>Tabela1[[#This Row],[PESO UNI]]*Tabela1[[#This Row],[QTE]]</f>
        <v>57.1</v>
      </c>
      <c r="I410" s="7">
        <v>0</v>
      </c>
      <c r="J410" s="8" t="s">
        <v>2274</v>
      </c>
      <c r="K410" s="8" t="s">
        <v>327</v>
      </c>
      <c r="L410" s="9" t="s">
        <v>2069</v>
      </c>
      <c r="M410" s="10">
        <v>46161</v>
      </c>
      <c r="N410" s="8" t="s">
        <v>327</v>
      </c>
      <c r="O410" s="12"/>
      <c r="P410" s="13"/>
      <c r="Q410" s="14">
        <f>Tabela1[[#This Row],[QTDE/ Fabricação]]-Tabela1[[#This Row],[QTE]]</f>
        <v>-1</v>
      </c>
      <c r="R410" s="18">
        <f t="shared" ref="R410:R439" si="68">IFERROR(H410*((AA410*0.25)+(AC410*0.25)+(AD410*0.225)+(AE410*0.225)+(AF410*0.05)),"")</f>
        <v>57.1</v>
      </c>
      <c r="S410" s="18">
        <f t="shared" si="66"/>
        <v>0</v>
      </c>
      <c r="T410" s="19">
        <f t="shared" si="62"/>
        <v>-57.1</v>
      </c>
      <c r="U410" s="16">
        <f>IFERROR(SUMIF('LISTA DE EMBARQUE'!B:B,MICRO!E:E,'LISTA DE EMBARQUE'!G:G),"")</f>
        <v>0</v>
      </c>
      <c r="V410" s="12" t="str">
        <f>IFERROR(VLOOKUP(Tabela1[[#This Row],[COD.MDE]],'LISTA DE EMBARQUE'!B:L,11,0),"")</f>
        <v/>
      </c>
      <c r="W410" s="13" t="str">
        <f>IFERROR(VLOOKUP(Tabela1[[#This Row],[COD.MDE]],'LISTA DE EMBARQUE'!B:M,12,0),"")</f>
        <v/>
      </c>
      <c r="X410" s="14">
        <f>IFERROR(Tabela1[[#This Row],[QIANTIDADE EXPEDIDA]]*Tabela1[[#This Row],[PESO UNI]],"")</f>
        <v>0</v>
      </c>
      <c r="Y410" s="14">
        <f t="shared" si="63"/>
        <v>-1</v>
      </c>
      <c r="Z410" s="20">
        <f>Tabela1[[#This Row],[PESO TOTAL]]-Tabela1[[#This Row],[Peso Expedido]]</f>
        <v>57.1</v>
      </c>
      <c r="AA410" s="17">
        <v>1</v>
      </c>
      <c r="AB410" s="33"/>
      <c r="AC410" s="33">
        <v>1</v>
      </c>
      <c r="AD410" s="33">
        <v>1</v>
      </c>
      <c r="AE410" s="33">
        <v>1</v>
      </c>
      <c r="AF410" s="33">
        <v>1</v>
      </c>
      <c r="AG410" s="33">
        <v>0</v>
      </c>
      <c r="AH410" s="33"/>
      <c r="AI410" s="33" t="str">
        <f t="shared" si="61"/>
        <v/>
      </c>
      <c r="AJ410" s="5"/>
      <c r="AK410" t="str">
        <f>Tabela1[[#This Row],[Coluna1]]&amp;Tabela1[[#This Row],[PEDIDO]]</f>
        <v>P-188</v>
      </c>
      <c r="AL410"/>
      <c r="AM410"/>
      <c r="AN410"/>
      <c r="AO410" t="str">
        <f t="shared" si="67"/>
        <v>T-072998-1/1073-TC-006</v>
      </c>
      <c r="AP410" t="str">
        <f>Tabela1[[#This Row],[TAG]]&amp;Tabela1[[#This Row],[PEDIDO]]&amp;Tabela1[[#This Row],[PRODUTO]]</f>
        <v>1073-TC-006P-188RMF</v>
      </c>
      <c r="AQ410" s="22" t="str">
        <f>Tabela1[[#This Row],[PRODUTO]]&amp;Tabela1[[#This Row],[TAG]]</f>
        <v>RMF1073-TC-006</v>
      </c>
      <c r="AR410" s="24" t="str">
        <f>Tabela1[[#This Row],[PEDIDO]]&amp;Tabela1[[#This Row],[PRODUTO]]</f>
        <v>P-188RMF</v>
      </c>
      <c r="AS410" s="37">
        <f>IF(AF410="",0,IF(ISTEXT(AF410),H410*VALUE(SUBSTITUTE(AF410,"%",""))/100,H410*AF410))-Tabela1[[#This Row],[PRONTO ACABADO2]]</f>
        <v>57.1</v>
      </c>
      <c r="AT410" s="37">
        <f>IF(AG410="",0,IF(ISTEXT(AG410),H410*VALUE(SUBSTITUTE(AG410,"%",""))/100,H410*AG410))-Tabela1[[#This Row],[PESO EXPEDIDO2]]</f>
        <v>0</v>
      </c>
      <c r="AU410" s="37">
        <f t="shared" si="64"/>
        <v>0</v>
      </c>
      <c r="AV410" s="37">
        <f t="shared" si="65"/>
        <v>0</v>
      </c>
      <c r="AW410" s="37"/>
    </row>
    <row r="411" spans="1:49" ht="15.75" customHeight="1" x14ac:dyDescent="0.25">
      <c r="A411" s="6" t="s">
        <v>4049</v>
      </c>
      <c r="B411" s="21" t="s">
        <v>4054</v>
      </c>
      <c r="C411" s="7">
        <v>1</v>
      </c>
      <c r="D411" s="39" t="s">
        <v>4051</v>
      </c>
      <c r="E411" s="7">
        <v>4296</v>
      </c>
      <c r="F411" s="7" t="s">
        <v>4052</v>
      </c>
      <c r="G411" s="23">
        <v>57.1</v>
      </c>
      <c r="H411" s="34">
        <f>Tabela1[[#This Row],[PESO UNI]]*Tabela1[[#This Row],[QTE]]</f>
        <v>57.1</v>
      </c>
      <c r="I411" s="7">
        <v>0</v>
      </c>
      <c r="J411" s="8" t="s">
        <v>2276</v>
      </c>
      <c r="K411" s="8" t="s">
        <v>327</v>
      </c>
      <c r="L411" s="9" t="s">
        <v>2069</v>
      </c>
      <c r="M411" s="10">
        <v>46161</v>
      </c>
      <c r="N411" s="8" t="s">
        <v>327</v>
      </c>
      <c r="O411" s="12"/>
      <c r="P411" s="13"/>
      <c r="Q411" s="14">
        <f>Tabela1[[#This Row],[QTDE/ Fabricação]]-Tabela1[[#This Row],[QTE]]</f>
        <v>-1</v>
      </c>
      <c r="R411" s="18">
        <f t="shared" si="68"/>
        <v>57.1</v>
      </c>
      <c r="S411" s="18">
        <f t="shared" si="66"/>
        <v>0</v>
      </c>
      <c r="T411" s="19">
        <f t="shared" si="62"/>
        <v>-57.1</v>
      </c>
      <c r="U411" s="16">
        <f>IFERROR(SUMIF('LISTA DE EMBARQUE'!B:B,MICRO!E:E,'LISTA DE EMBARQUE'!G:G),"")</f>
        <v>0</v>
      </c>
      <c r="V411" s="12" t="str">
        <f>IFERROR(VLOOKUP(Tabela1[[#This Row],[COD.MDE]],'LISTA DE EMBARQUE'!B:L,11,0),"")</f>
        <v/>
      </c>
      <c r="W411" s="13" t="str">
        <f>IFERROR(VLOOKUP(Tabela1[[#This Row],[COD.MDE]],'LISTA DE EMBARQUE'!B:M,12,0),"")</f>
        <v/>
      </c>
      <c r="X411" s="14">
        <f>IFERROR(Tabela1[[#This Row],[QIANTIDADE EXPEDIDA]]*Tabela1[[#This Row],[PESO UNI]],"")</f>
        <v>0</v>
      </c>
      <c r="Y411" s="14">
        <f t="shared" si="63"/>
        <v>-1</v>
      </c>
      <c r="Z411" s="20">
        <f>Tabela1[[#This Row],[PESO TOTAL]]-Tabela1[[#This Row],[Peso Expedido]]</f>
        <v>57.1</v>
      </c>
      <c r="AA411" s="17">
        <v>1</v>
      </c>
      <c r="AB411" s="33"/>
      <c r="AC411" s="33">
        <v>1</v>
      </c>
      <c r="AD411" s="33">
        <v>1</v>
      </c>
      <c r="AE411" s="33">
        <v>1</v>
      </c>
      <c r="AF411" s="33">
        <v>1</v>
      </c>
      <c r="AG411" s="33">
        <v>0</v>
      </c>
      <c r="AH411" s="33"/>
      <c r="AI411" s="33" t="str">
        <f t="shared" si="61"/>
        <v/>
      </c>
      <c r="AJ411" s="5"/>
      <c r="AK411" t="str">
        <f>Tabela1[[#This Row],[Coluna1]]&amp;Tabela1[[#This Row],[PEDIDO]]</f>
        <v>P-188</v>
      </c>
      <c r="AL411"/>
      <c r="AM411"/>
      <c r="AN411"/>
      <c r="AO411" t="str">
        <f t="shared" si="67"/>
        <v>T-072998-1/1073-TC-007</v>
      </c>
      <c r="AP411" t="str">
        <f>Tabela1[[#This Row],[TAG]]&amp;Tabela1[[#This Row],[PEDIDO]]&amp;Tabela1[[#This Row],[PRODUTO]]</f>
        <v>1073-TC-007P-188RMF</v>
      </c>
      <c r="AQ411" s="22" t="str">
        <f>Tabela1[[#This Row],[PRODUTO]]&amp;Tabela1[[#This Row],[TAG]]</f>
        <v>RMF1073-TC-007</v>
      </c>
      <c r="AR411" s="24" t="str">
        <f>Tabela1[[#This Row],[PEDIDO]]&amp;Tabela1[[#This Row],[PRODUTO]]</f>
        <v>P-188RMF</v>
      </c>
      <c r="AS411" s="37">
        <f>IF(AF411="",0,IF(ISTEXT(AF411),H411*VALUE(SUBSTITUTE(AF411,"%",""))/100,H411*AF411))-Tabela1[[#This Row],[PRONTO ACABADO2]]</f>
        <v>57.1</v>
      </c>
      <c r="AT411" s="37">
        <f>IF(AG411="",0,IF(ISTEXT(AG411),H411*VALUE(SUBSTITUTE(AG411,"%",""))/100,H411*AG411))-Tabela1[[#This Row],[PESO EXPEDIDO2]]</f>
        <v>0</v>
      </c>
      <c r="AU411" s="37">
        <f t="shared" si="64"/>
        <v>0</v>
      </c>
      <c r="AV411" s="37">
        <f t="shared" si="65"/>
        <v>0</v>
      </c>
      <c r="AW411" s="37"/>
    </row>
    <row r="412" spans="1:49" ht="15.75" customHeight="1" x14ac:dyDescent="0.25">
      <c r="A412" s="6" t="s">
        <v>4049</v>
      </c>
      <c r="B412" s="21" t="s">
        <v>4055</v>
      </c>
      <c r="C412" s="7">
        <v>1</v>
      </c>
      <c r="D412" s="39" t="s">
        <v>4051</v>
      </c>
      <c r="E412" s="7">
        <v>4297</v>
      </c>
      <c r="F412" s="7" t="s">
        <v>4052</v>
      </c>
      <c r="G412" s="23">
        <v>42.4</v>
      </c>
      <c r="H412" s="34">
        <f>Tabela1[[#This Row],[PESO UNI]]*Tabela1[[#This Row],[QTE]]</f>
        <v>42.4</v>
      </c>
      <c r="I412" s="7">
        <v>0</v>
      </c>
      <c r="J412" s="8" t="s">
        <v>2274</v>
      </c>
      <c r="K412" s="8" t="s">
        <v>327</v>
      </c>
      <c r="L412" s="9" t="s">
        <v>2069</v>
      </c>
      <c r="M412" s="10">
        <v>46161</v>
      </c>
      <c r="N412" s="8" t="s">
        <v>327</v>
      </c>
      <c r="O412" s="12"/>
      <c r="P412" s="13"/>
      <c r="Q412" s="14">
        <f>Tabela1[[#This Row],[QTDE/ Fabricação]]-Tabela1[[#This Row],[QTE]]</f>
        <v>-1</v>
      </c>
      <c r="R412" s="18">
        <f t="shared" si="68"/>
        <v>42.4</v>
      </c>
      <c r="S412" s="18">
        <f t="shared" si="66"/>
        <v>0</v>
      </c>
      <c r="T412" s="19">
        <f t="shared" si="62"/>
        <v>-42.4</v>
      </c>
      <c r="U412" s="16">
        <f>IFERROR(SUMIF('LISTA DE EMBARQUE'!B:B,MICRO!E:E,'LISTA DE EMBARQUE'!G:G),"")</f>
        <v>0</v>
      </c>
      <c r="V412" s="12" t="str">
        <f>IFERROR(VLOOKUP(Tabela1[[#This Row],[COD.MDE]],'LISTA DE EMBARQUE'!B:L,11,0),"")</f>
        <v/>
      </c>
      <c r="W412" s="13" t="str">
        <f>IFERROR(VLOOKUP(Tabela1[[#This Row],[COD.MDE]],'LISTA DE EMBARQUE'!B:M,12,0),"")</f>
        <v/>
      </c>
      <c r="X412" s="14">
        <f>IFERROR(Tabela1[[#This Row],[QIANTIDADE EXPEDIDA]]*Tabela1[[#This Row],[PESO UNI]],"")</f>
        <v>0</v>
      </c>
      <c r="Y412" s="14">
        <f t="shared" si="63"/>
        <v>-1</v>
      </c>
      <c r="Z412" s="20">
        <f>Tabela1[[#This Row],[PESO TOTAL]]-Tabela1[[#This Row],[Peso Expedido]]</f>
        <v>42.4</v>
      </c>
      <c r="AA412" s="17">
        <v>1</v>
      </c>
      <c r="AB412" s="33"/>
      <c r="AC412" s="33">
        <v>1</v>
      </c>
      <c r="AD412" s="33">
        <v>1</v>
      </c>
      <c r="AE412" s="33">
        <v>1</v>
      </c>
      <c r="AF412" s="33">
        <v>1</v>
      </c>
      <c r="AG412" s="33">
        <v>0</v>
      </c>
      <c r="AH412" s="33"/>
      <c r="AI412" s="33" t="str">
        <f t="shared" ref="AI412:AI461" si="69">IF(Z412&lt;=0,"ok","")</f>
        <v/>
      </c>
      <c r="AJ412" s="5"/>
      <c r="AK412" t="str">
        <f>Tabela1[[#This Row],[Coluna1]]&amp;Tabela1[[#This Row],[PEDIDO]]</f>
        <v>P-188</v>
      </c>
      <c r="AL412"/>
      <c r="AM412"/>
      <c r="AN412"/>
      <c r="AO412" t="str">
        <f t="shared" si="67"/>
        <v>T-072998-1/1073-TC-006</v>
      </c>
      <c r="AP412" t="str">
        <f>Tabela1[[#This Row],[TAG]]&amp;Tabela1[[#This Row],[PEDIDO]]&amp;Tabela1[[#This Row],[PRODUTO]]</f>
        <v>1073-TC-006P-188RMF</v>
      </c>
      <c r="AQ412" s="22" t="str">
        <f>Tabela1[[#This Row],[PRODUTO]]&amp;Tabela1[[#This Row],[TAG]]</f>
        <v>RMF1073-TC-006</v>
      </c>
      <c r="AR412" s="24" t="str">
        <f>Tabela1[[#This Row],[PEDIDO]]&amp;Tabela1[[#This Row],[PRODUTO]]</f>
        <v>P-188RMF</v>
      </c>
      <c r="AS412" s="37">
        <f>IF(AF412="",0,IF(ISTEXT(AF412),H412*VALUE(SUBSTITUTE(AF412,"%",""))/100,H412*AF412))-Tabela1[[#This Row],[PRONTO ACABADO2]]</f>
        <v>42.4</v>
      </c>
      <c r="AT412" s="37">
        <f>IF(AG412="",0,IF(ISTEXT(AG412),H412*VALUE(SUBSTITUTE(AG412,"%",""))/100,H412*AG412))-Tabela1[[#This Row],[PESO EXPEDIDO2]]</f>
        <v>0</v>
      </c>
      <c r="AU412" s="37">
        <f t="shared" si="64"/>
        <v>0</v>
      </c>
      <c r="AV412" s="37">
        <f t="shared" si="65"/>
        <v>0</v>
      </c>
      <c r="AW412" s="37"/>
    </row>
    <row r="413" spans="1:49" ht="15.75" customHeight="1" x14ac:dyDescent="0.25">
      <c r="A413" s="6" t="s">
        <v>4049</v>
      </c>
      <c r="B413" s="21" t="s">
        <v>4055</v>
      </c>
      <c r="C413" s="7">
        <v>1</v>
      </c>
      <c r="D413" s="39" t="s">
        <v>4051</v>
      </c>
      <c r="E413" s="7">
        <v>4298</v>
      </c>
      <c r="F413" s="7" t="s">
        <v>4052</v>
      </c>
      <c r="G413" s="23">
        <v>42.4</v>
      </c>
      <c r="H413" s="34">
        <f>Tabela1[[#This Row],[PESO UNI]]*Tabela1[[#This Row],[QTE]]</f>
        <v>42.4</v>
      </c>
      <c r="I413" s="7">
        <v>0</v>
      </c>
      <c r="J413" s="8" t="s">
        <v>2276</v>
      </c>
      <c r="K413" s="8" t="s">
        <v>327</v>
      </c>
      <c r="L413" s="9" t="s">
        <v>2069</v>
      </c>
      <c r="M413" s="10">
        <v>46161</v>
      </c>
      <c r="N413" s="8" t="s">
        <v>327</v>
      </c>
      <c r="O413" s="12"/>
      <c r="P413" s="13"/>
      <c r="Q413" s="14">
        <f>Tabela1[[#This Row],[QTDE/ Fabricação]]-Tabela1[[#This Row],[QTE]]</f>
        <v>-1</v>
      </c>
      <c r="R413" s="18">
        <f t="shared" si="68"/>
        <v>42.4</v>
      </c>
      <c r="S413" s="18">
        <f t="shared" si="66"/>
        <v>0</v>
      </c>
      <c r="T413" s="19">
        <f t="shared" si="62"/>
        <v>-42.4</v>
      </c>
      <c r="U413" s="16">
        <f>IFERROR(SUMIF('LISTA DE EMBARQUE'!B:B,MICRO!E:E,'LISTA DE EMBARQUE'!G:G),"")</f>
        <v>0</v>
      </c>
      <c r="V413" s="12" t="str">
        <f>IFERROR(VLOOKUP(Tabela1[[#This Row],[COD.MDE]],'LISTA DE EMBARQUE'!B:L,11,0),"")</f>
        <v/>
      </c>
      <c r="W413" s="13" t="str">
        <f>IFERROR(VLOOKUP(Tabela1[[#This Row],[COD.MDE]],'LISTA DE EMBARQUE'!B:M,12,0),"")</f>
        <v/>
      </c>
      <c r="X413" s="14">
        <f>IFERROR(Tabela1[[#This Row],[QIANTIDADE EXPEDIDA]]*Tabela1[[#This Row],[PESO UNI]],"")</f>
        <v>0</v>
      </c>
      <c r="Y413" s="14">
        <f t="shared" si="63"/>
        <v>-1</v>
      </c>
      <c r="Z413" s="20">
        <f>Tabela1[[#This Row],[PESO TOTAL]]-Tabela1[[#This Row],[Peso Expedido]]</f>
        <v>42.4</v>
      </c>
      <c r="AA413" s="17">
        <v>1</v>
      </c>
      <c r="AB413" s="33"/>
      <c r="AC413" s="33">
        <v>1</v>
      </c>
      <c r="AD413" s="33">
        <v>1</v>
      </c>
      <c r="AE413" s="33">
        <v>1</v>
      </c>
      <c r="AF413" s="33">
        <v>1</v>
      </c>
      <c r="AG413" s="33">
        <v>0</v>
      </c>
      <c r="AH413" s="33"/>
      <c r="AI413" s="33" t="str">
        <f t="shared" si="69"/>
        <v/>
      </c>
      <c r="AJ413" s="5"/>
      <c r="AK413" t="str">
        <f>Tabela1[[#This Row],[Coluna1]]&amp;Tabela1[[#This Row],[PEDIDO]]</f>
        <v>P-188</v>
      </c>
      <c r="AL413"/>
      <c r="AM413"/>
      <c r="AN413"/>
      <c r="AO413" t="str">
        <f t="shared" si="67"/>
        <v>T-072998-1/1073-TC-007</v>
      </c>
      <c r="AP413" t="str">
        <f>Tabela1[[#This Row],[TAG]]&amp;Tabela1[[#This Row],[PEDIDO]]&amp;Tabela1[[#This Row],[PRODUTO]]</f>
        <v>1073-TC-007P-188RMF</v>
      </c>
      <c r="AQ413" s="22" t="str">
        <f>Tabela1[[#This Row],[PRODUTO]]&amp;Tabela1[[#This Row],[TAG]]</f>
        <v>RMF1073-TC-007</v>
      </c>
      <c r="AR413" s="24" t="str">
        <f>Tabela1[[#This Row],[PEDIDO]]&amp;Tabela1[[#This Row],[PRODUTO]]</f>
        <v>P-188RMF</v>
      </c>
      <c r="AS413" s="37">
        <f>IF(AF413="",0,IF(ISTEXT(AF413),H413*VALUE(SUBSTITUTE(AF413,"%",""))/100,H413*AF413))-Tabela1[[#This Row],[PRONTO ACABADO2]]</f>
        <v>42.4</v>
      </c>
      <c r="AT413" s="37">
        <f>IF(AG413="",0,IF(ISTEXT(AG413),H413*VALUE(SUBSTITUTE(AG413,"%",""))/100,H413*AG413))-Tabela1[[#This Row],[PESO EXPEDIDO2]]</f>
        <v>0</v>
      </c>
      <c r="AU413" s="37">
        <f t="shared" si="64"/>
        <v>0</v>
      </c>
      <c r="AV413" s="37">
        <f t="shared" si="65"/>
        <v>0</v>
      </c>
      <c r="AW413" s="37"/>
    </row>
    <row r="414" spans="1:49" ht="15.75" customHeight="1" x14ac:dyDescent="0.25">
      <c r="A414" s="6" t="s">
        <v>4049</v>
      </c>
      <c r="B414" s="21" t="s">
        <v>4056</v>
      </c>
      <c r="C414" s="7">
        <v>1</v>
      </c>
      <c r="D414" s="39" t="s">
        <v>4051</v>
      </c>
      <c r="E414" s="7">
        <v>4299</v>
      </c>
      <c r="F414" s="7" t="s">
        <v>4052</v>
      </c>
      <c r="G414" s="23">
        <v>40.700000000000003</v>
      </c>
      <c r="H414" s="34">
        <f>Tabela1[[#This Row],[PESO UNI]]*Tabela1[[#This Row],[QTE]]</f>
        <v>40.700000000000003</v>
      </c>
      <c r="I414" s="7">
        <v>0</v>
      </c>
      <c r="J414" s="8" t="s">
        <v>2274</v>
      </c>
      <c r="K414" s="8" t="s">
        <v>327</v>
      </c>
      <c r="L414" s="9" t="s">
        <v>2069</v>
      </c>
      <c r="M414" s="10">
        <v>46161</v>
      </c>
      <c r="N414" s="8" t="s">
        <v>327</v>
      </c>
      <c r="O414" s="12"/>
      <c r="P414" s="13"/>
      <c r="Q414" s="14">
        <f>Tabela1[[#This Row],[QTDE/ Fabricação]]-Tabela1[[#This Row],[QTE]]</f>
        <v>-1</v>
      </c>
      <c r="R414" s="18">
        <f t="shared" si="68"/>
        <v>40.700000000000003</v>
      </c>
      <c r="S414" s="18">
        <f t="shared" si="66"/>
        <v>0</v>
      </c>
      <c r="T414" s="19">
        <f t="shared" si="62"/>
        <v>-40.700000000000003</v>
      </c>
      <c r="U414" s="16">
        <f>IFERROR(SUMIF('LISTA DE EMBARQUE'!B:B,MICRO!E:E,'LISTA DE EMBARQUE'!G:G),"")</f>
        <v>0</v>
      </c>
      <c r="V414" s="12" t="str">
        <f>IFERROR(VLOOKUP(Tabela1[[#This Row],[COD.MDE]],'LISTA DE EMBARQUE'!B:L,11,0),"")</f>
        <v/>
      </c>
      <c r="W414" s="13" t="str">
        <f>IFERROR(VLOOKUP(Tabela1[[#This Row],[COD.MDE]],'LISTA DE EMBARQUE'!B:M,12,0),"")</f>
        <v/>
      </c>
      <c r="X414" s="14">
        <f>IFERROR(Tabela1[[#This Row],[QIANTIDADE EXPEDIDA]]*Tabela1[[#This Row],[PESO UNI]],"")</f>
        <v>0</v>
      </c>
      <c r="Y414" s="14">
        <f t="shared" si="63"/>
        <v>-1</v>
      </c>
      <c r="Z414" s="20">
        <f>Tabela1[[#This Row],[PESO TOTAL]]-Tabela1[[#This Row],[Peso Expedido]]</f>
        <v>40.700000000000003</v>
      </c>
      <c r="AA414" s="17">
        <v>1</v>
      </c>
      <c r="AB414" s="33"/>
      <c r="AC414" s="33">
        <v>1</v>
      </c>
      <c r="AD414" s="33">
        <v>1</v>
      </c>
      <c r="AE414" s="33">
        <v>1</v>
      </c>
      <c r="AF414" s="33">
        <v>1</v>
      </c>
      <c r="AG414" s="33">
        <v>0</v>
      </c>
      <c r="AH414" s="33"/>
      <c r="AI414" s="33" t="str">
        <f t="shared" si="69"/>
        <v/>
      </c>
      <c r="AJ414" s="5"/>
      <c r="AK414" t="str">
        <f>Tabela1[[#This Row],[Coluna1]]&amp;Tabela1[[#This Row],[PEDIDO]]</f>
        <v>P-188</v>
      </c>
      <c r="AL414"/>
      <c r="AM414"/>
      <c r="AN414"/>
      <c r="AO414" t="str">
        <f t="shared" si="67"/>
        <v>T-072998-1/1073-TC-006</v>
      </c>
      <c r="AP414" t="str">
        <f>Tabela1[[#This Row],[TAG]]&amp;Tabela1[[#This Row],[PEDIDO]]&amp;Tabela1[[#This Row],[PRODUTO]]</f>
        <v>1073-TC-006P-188RMF</v>
      </c>
      <c r="AQ414" s="22" t="str">
        <f>Tabela1[[#This Row],[PRODUTO]]&amp;Tabela1[[#This Row],[TAG]]</f>
        <v>RMF1073-TC-006</v>
      </c>
      <c r="AR414" s="24" t="str">
        <f>Tabela1[[#This Row],[PEDIDO]]&amp;Tabela1[[#This Row],[PRODUTO]]</f>
        <v>P-188RMF</v>
      </c>
      <c r="AS414" s="37">
        <f>IF(AF414="",0,IF(ISTEXT(AF414),H414*VALUE(SUBSTITUTE(AF414,"%",""))/100,H414*AF414))-Tabela1[[#This Row],[PRONTO ACABADO2]]</f>
        <v>40.700000000000003</v>
      </c>
      <c r="AT414" s="37">
        <f>IF(AG414="",0,IF(ISTEXT(AG414),H414*VALUE(SUBSTITUTE(AG414,"%",""))/100,H414*AG414))-Tabela1[[#This Row],[PESO EXPEDIDO2]]</f>
        <v>0</v>
      </c>
      <c r="AU414" s="37">
        <f t="shared" si="64"/>
        <v>0</v>
      </c>
      <c r="AV414" s="37">
        <f t="shared" si="65"/>
        <v>0</v>
      </c>
      <c r="AW414" s="37"/>
    </row>
    <row r="415" spans="1:49" ht="15.75" customHeight="1" x14ac:dyDescent="0.25">
      <c r="A415" s="6" t="s">
        <v>4049</v>
      </c>
      <c r="B415" s="21" t="s">
        <v>4056</v>
      </c>
      <c r="C415" s="7">
        <v>1</v>
      </c>
      <c r="D415" s="39" t="s">
        <v>4051</v>
      </c>
      <c r="E415" s="7">
        <v>4300</v>
      </c>
      <c r="F415" s="7" t="s">
        <v>4052</v>
      </c>
      <c r="G415" s="23">
        <v>40.700000000000003</v>
      </c>
      <c r="H415" s="34">
        <f>Tabela1[[#This Row],[PESO UNI]]*Tabela1[[#This Row],[QTE]]</f>
        <v>40.700000000000003</v>
      </c>
      <c r="I415" s="7">
        <v>0</v>
      </c>
      <c r="J415" s="8" t="s">
        <v>2276</v>
      </c>
      <c r="K415" s="8" t="s">
        <v>327</v>
      </c>
      <c r="L415" s="9" t="s">
        <v>2069</v>
      </c>
      <c r="M415" s="10">
        <v>46161</v>
      </c>
      <c r="N415" s="8" t="s">
        <v>327</v>
      </c>
      <c r="O415" s="12"/>
      <c r="P415" s="13"/>
      <c r="Q415" s="14">
        <f>Tabela1[[#This Row],[QTDE/ Fabricação]]-Tabela1[[#This Row],[QTE]]</f>
        <v>-1</v>
      </c>
      <c r="R415" s="18">
        <f t="shared" si="68"/>
        <v>40.700000000000003</v>
      </c>
      <c r="S415" s="18">
        <f t="shared" si="66"/>
        <v>0</v>
      </c>
      <c r="T415" s="19">
        <f t="shared" si="62"/>
        <v>-40.700000000000003</v>
      </c>
      <c r="U415" s="16">
        <f>IFERROR(SUMIF('LISTA DE EMBARQUE'!B:B,MICRO!E:E,'LISTA DE EMBARQUE'!G:G),"")</f>
        <v>0</v>
      </c>
      <c r="V415" s="12" t="str">
        <f>IFERROR(VLOOKUP(Tabela1[[#This Row],[COD.MDE]],'LISTA DE EMBARQUE'!B:L,11,0),"")</f>
        <v/>
      </c>
      <c r="W415" s="13" t="str">
        <f>IFERROR(VLOOKUP(Tabela1[[#This Row],[COD.MDE]],'LISTA DE EMBARQUE'!B:M,12,0),"")</f>
        <v/>
      </c>
      <c r="X415" s="14">
        <f>IFERROR(Tabela1[[#This Row],[QIANTIDADE EXPEDIDA]]*Tabela1[[#This Row],[PESO UNI]],"")</f>
        <v>0</v>
      </c>
      <c r="Y415" s="14">
        <f t="shared" si="63"/>
        <v>-1</v>
      </c>
      <c r="Z415" s="20">
        <f>Tabela1[[#This Row],[PESO TOTAL]]-Tabela1[[#This Row],[Peso Expedido]]</f>
        <v>40.700000000000003</v>
      </c>
      <c r="AA415" s="17">
        <v>1</v>
      </c>
      <c r="AB415" s="33"/>
      <c r="AC415" s="33">
        <v>1</v>
      </c>
      <c r="AD415" s="33">
        <v>1</v>
      </c>
      <c r="AE415" s="33">
        <v>1</v>
      </c>
      <c r="AF415" s="33">
        <v>1</v>
      </c>
      <c r="AG415" s="33">
        <v>0</v>
      </c>
      <c r="AH415" s="33"/>
      <c r="AI415" s="33" t="str">
        <f t="shared" si="69"/>
        <v/>
      </c>
      <c r="AJ415" s="5"/>
      <c r="AK415" t="str">
        <f>Tabela1[[#This Row],[Coluna1]]&amp;Tabela1[[#This Row],[PEDIDO]]</f>
        <v>P-188</v>
      </c>
      <c r="AL415"/>
      <c r="AM415"/>
      <c r="AN415"/>
      <c r="AO415" t="str">
        <f t="shared" si="67"/>
        <v>T-072998-1/1073-TC-007</v>
      </c>
      <c r="AP415" t="str">
        <f>Tabela1[[#This Row],[TAG]]&amp;Tabela1[[#This Row],[PEDIDO]]&amp;Tabela1[[#This Row],[PRODUTO]]</f>
        <v>1073-TC-007P-188RMF</v>
      </c>
      <c r="AQ415" s="22" t="str">
        <f>Tabela1[[#This Row],[PRODUTO]]&amp;Tabela1[[#This Row],[TAG]]</f>
        <v>RMF1073-TC-007</v>
      </c>
      <c r="AR415" s="24" t="str">
        <f>Tabela1[[#This Row],[PEDIDO]]&amp;Tabela1[[#This Row],[PRODUTO]]</f>
        <v>P-188RMF</v>
      </c>
      <c r="AS415" s="37">
        <f>IF(AF415="",0,IF(ISTEXT(AF415),H415*VALUE(SUBSTITUTE(AF415,"%",""))/100,H415*AF415))-Tabela1[[#This Row],[PRONTO ACABADO2]]</f>
        <v>40.700000000000003</v>
      </c>
      <c r="AT415" s="37">
        <f>IF(AG415="",0,IF(ISTEXT(AG415),H415*VALUE(SUBSTITUTE(AG415,"%",""))/100,H415*AG415))-Tabela1[[#This Row],[PESO EXPEDIDO2]]</f>
        <v>0</v>
      </c>
      <c r="AU415" s="37">
        <f t="shared" si="64"/>
        <v>0</v>
      </c>
      <c r="AV415" s="37">
        <f t="shared" si="65"/>
        <v>0</v>
      </c>
      <c r="AW415" s="37"/>
    </row>
    <row r="416" spans="1:49" ht="15.75" customHeight="1" x14ac:dyDescent="0.25">
      <c r="A416" s="6" t="s">
        <v>4057</v>
      </c>
      <c r="B416" s="21" t="s">
        <v>4058</v>
      </c>
      <c r="C416" s="7">
        <v>1</v>
      </c>
      <c r="D416" s="39" t="s">
        <v>4051</v>
      </c>
      <c r="E416" s="7">
        <v>4301</v>
      </c>
      <c r="F416" s="7" t="s">
        <v>4052</v>
      </c>
      <c r="G416" s="23">
        <v>57.7</v>
      </c>
      <c r="H416" s="34">
        <f>Tabela1[[#This Row],[PESO UNI]]*Tabela1[[#This Row],[QTE]]</f>
        <v>57.7</v>
      </c>
      <c r="I416" s="7">
        <v>0</v>
      </c>
      <c r="J416" s="8" t="s">
        <v>2274</v>
      </c>
      <c r="K416" s="8" t="s">
        <v>327</v>
      </c>
      <c r="L416" s="9" t="s">
        <v>2069</v>
      </c>
      <c r="M416" s="10">
        <v>46161</v>
      </c>
      <c r="N416" s="8" t="s">
        <v>327</v>
      </c>
      <c r="O416" s="12"/>
      <c r="P416" s="13"/>
      <c r="Q416" s="14">
        <f>Tabela1[[#This Row],[QTDE/ Fabricação]]-Tabela1[[#This Row],[QTE]]</f>
        <v>-1</v>
      </c>
      <c r="R416" s="18">
        <f t="shared" si="68"/>
        <v>57.7</v>
      </c>
      <c r="S416" s="18">
        <f t="shared" si="66"/>
        <v>0</v>
      </c>
      <c r="T416" s="19">
        <f t="shared" si="62"/>
        <v>-57.7</v>
      </c>
      <c r="U416" s="16">
        <f>IFERROR(SUMIF('LISTA DE EMBARQUE'!B:B,MICRO!E:E,'LISTA DE EMBARQUE'!G:G),"")</f>
        <v>0</v>
      </c>
      <c r="V416" s="12" t="str">
        <f>IFERROR(VLOOKUP(Tabela1[[#This Row],[COD.MDE]],'LISTA DE EMBARQUE'!B:L,11,0),"")</f>
        <v/>
      </c>
      <c r="W416" s="13" t="str">
        <f>IFERROR(VLOOKUP(Tabela1[[#This Row],[COD.MDE]],'LISTA DE EMBARQUE'!B:M,12,0),"")</f>
        <v/>
      </c>
      <c r="X416" s="14">
        <f>IFERROR(Tabela1[[#This Row],[QIANTIDADE EXPEDIDA]]*Tabela1[[#This Row],[PESO UNI]],"")</f>
        <v>0</v>
      </c>
      <c r="Y416" s="14">
        <f t="shared" si="63"/>
        <v>-1</v>
      </c>
      <c r="Z416" s="20">
        <f>Tabela1[[#This Row],[PESO TOTAL]]-Tabela1[[#This Row],[Peso Expedido]]</f>
        <v>57.7</v>
      </c>
      <c r="AA416" s="17">
        <v>1</v>
      </c>
      <c r="AB416" s="33"/>
      <c r="AC416" s="33">
        <v>1</v>
      </c>
      <c r="AD416" s="33">
        <v>1</v>
      </c>
      <c r="AE416" s="33">
        <v>1</v>
      </c>
      <c r="AF416" s="33">
        <v>1</v>
      </c>
      <c r="AG416" s="33">
        <v>0</v>
      </c>
      <c r="AH416" s="33"/>
      <c r="AI416" s="33" t="str">
        <f t="shared" si="69"/>
        <v/>
      </c>
      <c r="AJ416" s="5"/>
      <c r="AK416" t="str">
        <f>Tabela1[[#This Row],[Coluna1]]&amp;Tabela1[[#This Row],[PEDIDO]]</f>
        <v>P-188</v>
      </c>
      <c r="AL416"/>
      <c r="AM416"/>
      <c r="AN416"/>
      <c r="AO416" t="str">
        <f t="shared" si="67"/>
        <v>T-072999-1/1073-TC-006</v>
      </c>
      <c r="AP416" t="str">
        <f>Tabela1[[#This Row],[TAG]]&amp;Tabela1[[#This Row],[PEDIDO]]&amp;Tabela1[[#This Row],[PRODUTO]]</f>
        <v>1073-TC-006P-188RMF</v>
      </c>
      <c r="AQ416" s="22" t="str">
        <f>Tabela1[[#This Row],[PRODUTO]]&amp;Tabela1[[#This Row],[TAG]]</f>
        <v>RMF1073-TC-006</v>
      </c>
      <c r="AR416" s="24" t="str">
        <f>Tabela1[[#This Row],[PEDIDO]]&amp;Tabela1[[#This Row],[PRODUTO]]</f>
        <v>P-188RMF</v>
      </c>
      <c r="AS416" s="37">
        <f>IF(AF416="",0,IF(ISTEXT(AF416),H416*VALUE(SUBSTITUTE(AF416,"%",""))/100,H416*AF416))-Tabela1[[#This Row],[PRONTO ACABADO2]]</f>
        <v>57.7</v>
      </c>
      <c r="AT416" s="37">
        <f>IF(AG416="",0,IF(ISTEXT(AG416),H416*VALUE(SUBSTITUTE(AG416,"%",""))/100,H416*AG416))-Tabela1[[#This Row],[PESO EXPEDIDO2]]</f>
        <v>0</v>
      </c>
      <c r="AU416" s="37">
        <f t="shared" si="64"/>
        <v>0</v>
      </c>
      <c r="AV416" s="37">
        <f t="shared" si="65"/>
        <v>0</v>
      </c>
      <c r="AW416" s="37"/>
    </row>
    <row r="417" spans="1:49" ht="15.75" customHeight="1" x14ac:dyDescent="0.25">
      <c r="A417" s="6" t="s">
        <v>4057</v>
      </c>
      <c r="B417" s="21" t="s">
        <v>4058</v>
      </c>
      <c r="C417" s="7">
        <v>1</v>
      </c>
      <c r="D417" s="39" t="s">
        <v>4051</v>
      </c>
      <c r="E417" s="7">
        <v>4302</v>
      </c>
      <c r="F417" s="7" t="s">
        <v>4052</v>
      </c>
      <c r="G417" s="23">
        <v>57.7</v>
      </c>
      <c r="H417" s="34">
        <f>Tabela1[[#This Row],[PESO UNI]]*Tabela1[[#This Row],[QTE]]</f>
        <v>57.7</v>
      </c>
      <c r="I417" s="7">
        <v>0</v>
      </c>
      <c r="J417" s="8" t="s">
        <v>2276</v>
      </c>
      <c r="K417" s="8" t="s">
        <v>327</v>
      </c>
      <c r="L417" s="9" t="s">
        <v>2069</v>
      </c>
      <c r="M417" s="10">
        <v>46161</v>
      </c>
      <c r="N417" s="8" t="s">
        <v>327</v>
      </c>
      <c r="O417" s="12"/>
      <c r="P417" s="13"/>
      <c r="Q417" s="14">
        <f>Tabela1[[#This Row],[QTDE/ Fabricação]]-Tabela1[[#This Row],[QTE]]</f>
        <v>-1</v>
      </c>
      <c r="R417" s="18">
        <f t="shared" si="68"/>
        <v>57.7</v>
      </c>
      <c r="S417" s="18">
        <f t="shared" si="66"/>
        <v>0</v>
      </c>
      <c r="T417" s="19">
        <f t="shared" si="62"/>
        <v>-57.7</v>
      </c>
      <c r="U417" s="16">
        <f>IFERROR(SUMIF('LISTA DE EMBARQUE'!B:B,MICRO!E:E,'LISTA DE EMBARQUE'!G:G),"")</f>
        <v>0</v>
      </c>
      <c r="V417" s="12" t="str">
        <f>IFERROR(VLOOKUP(Tabela1[[#This Row],[COD.MDE]],'LISTA DE EMBARQUE'!B:L,11,0),"")</f>
        <v/>
      </c>
      <c r="W417" s="13" t="str">
        <f>IFERROR(VLOOKUP(Tabela1[[#This Row],[COD.MDE]],'LISTA DE EMBARQUE'!B:M,12,0),"")</f>
        <v/>
      </c>
      <c r="X417" s="14">
        <f>IFERROR(Tabela1[[#This Row],[QIANTIDADE EXPEDIDA]]*Tabela1[[#This Row],[PESO UNI]],"")</f>
        <v>0</v>
      </c>
      <c r="Y417" s="14">
        <f t="shared" si="63"/>
        <v>-1</v>
      </c>
      <c r="Z417" s="20">
        <f>Tabela1[[#This Row],[PESO TOTAL]]-Tabela1[[#This Row],[Peso Expedido]]</f>
        <v>57.7</v>
      </c>
      <c r="AA417" s="17">
        <v>1</v>
      </c>
      <c r="AB417" s="33"/>
      <c r="AC417" s="33">
        <v>1</v>
      </c>
      <c r="AD417" s="33">
        <v>1</v>
      </c>
      <c r="AE417" s="33">
        <v>1</v>
      </c>
      <c r="AF417" s="33">
        <v>1</v>
      </c>
      <c r="AG417" s="33">
        <v>0</v>
      </c>
      <c r="AH417" s="33"/>
      <c r="AI417" s="33" t="str">
        <f t="shared" si="69"/>
        <v/>
      </c>
      <c r="AJ417" s="5"/>
      <c r="AK417" t="str">
        <f>Tabela1[[#This Row],[Coluna1]]&amp;Tabela1[[#This Row],[PEDIDO]]</f>
        <v>P-188</v>
      </c>
      <c r="AL417"/>
      <c r="AM417"/>
      <c r="AN417"/>
      <c r="AO417" t="str">
        <f t="shared" si="67"/>
        <v>T-072999-1/1073-TC-007</v>
      </c>
      <c r="AP417" t="str">
        <f>Tabela1[[#This Row],[TAG]]&amp;Tabela1[[#This Row],[PEDIDO]]&amp;Tabela1[[#This Row],[PRODUTO]]</f>
        <v>1073-TC-007P-188RMF</v>
      </c>
      <c r="AQ417" s="22" t="str">
        <f>Tabela1[[#This Row],[PRODUTO]]&amp;Tabela1[[#This Row],[TAG]]</f>
        <v>RMF1073-TC-007</v>
      </c>
      <c r="AR417" s="24" t="str">
        <f>Tabela1[[#This Row],[PEDIDO]]&amp;Tabela1[[#This Row],[PRODUTO]]</f>
        <v>P-188RMF</v>
      </c>
      <c r="AS417" s="37">
        <f>IF(AF417="",0,IF(ISTEXT(AF417),H417*VALUE(SUBSTITUTE(AF417,"%",""))/100,H417*AF417))-Tabela1[[#This Row],[PRONTO ACABADO2]]</f>
        <v>57.7</v>
      </c>
      <c r="AT417" s="37">
        <f>IF(AG417="",0,IF(ISTEXT(AG417),H417*VALUE(SUBSTITUTE(AG417,"%",""))/100,H417*AG417))-Tabela1[[#This Row],[PESO EXPEDIDO2]]</f>
        <v>0</v>
      </c>
      <c r="AU417" s="37">
        <f t="shared" si="64"/>
        <v>0</v>
      </c>
      <c r="AV417" s="37">
        <f t="shared" si="65"/>
        <v>0</v>
      </c>
      <c r="AW417" s="37"/>
    </row>
    <row r="418" spans="1:49" ht="15.75" customHeight="1" x14ac:dyDescent="0.25">
      <c r="A418" s="6" t="s">
        <v>4057</v>
      </c>
      <c r="B418" s="21" t="s">
        <v>4059</v>
      </c>
      <c r="C418" s="7">
        <v>1</v>
      </c>
      <c r="D418" s="39" t="s">
        <v>4051</v>
      </c>
      <c r="E418" s="7">
        <v>4303</v>
      </c>
      <c r="F418" s="7" t="s">
        <v>4052</v>
      </c>
      <c r="G418" s="23">
        <v>47.2</v>
      </c>
      <c r="H418" s="34">
        <f>Tabela1[[#This Row],[PESO UNI]]*Tabela1[[#This Row],[QTE]]</f>
        <v>47.2</v>
      </c>
      <c r="I418" s="7">
        <v>0</v>
      </c>
      <c r="J418" s="8" t="s">
        <v>2274</v>
      </c>
      <c r="K418" s="8" t="s">
        <v>327</v>
      </c>
      <c r="L418" s="9" t="s">
        <v>2069</v>
      </c>
      <c r="M418" s="10">
        <v>46161</v>
      </c>
      <c r="N418" s="8" t="s">
        <v>327</v>
      </c>
      <c r="O418" s="12"/>
      <c r="P418" s="13"/>
      <c r="Q418" s="14">
        <f>Tabela1[[#This Row],[QTDE/ Fabricação]]-Tabela1[[#This Row],[QTE]]</f>
        <v>-1</v>
      </c>
      <c r="R418" s="18">
        <f t="shared" si="68"/>
        <v>47.2</v>
      </c>
      <c r="S418" s="18">
        <f t="shared" si="66"/>
        <v>0</v>
      </c>
      <c r="T418" s="19">
        <f t="shared" si="62"/>
        <v>-47.2</v>
      </c>
      <c r="U418" s="16">
        <f>IFERROR(SUMIF('LISTA DE EMBARQUE'!B:B,MICRO!E:E,'LISTA DE EMBARQUE'!G:G),"")</f>
        <v>0</v>
      </c>
      <c r="V418" s="12" t="str">
        <f>IFERROR(VLOOKUP(Tabela1[[#This Row],[COD.MDE]],'LISTA DE EMBARQUE'!B:L,11,0),"")</f>
        <v/>
      </c>
      <c r="W418" s="13" t="str">
        <f>IFERROR(VLOOKUP(Tabela1[[#This Row],[COD.MDE]],'LISTA DE EMBARQUE'!B:M,12,0),"")</f>
        <v/>
      </c>
      <c r="X418" s="14">
        <f>IFERROR(Tabela1[[#This Row],[QIANTIDADE EXPEDIDA]]*Tabela1[[#This Row],[PESO UNI]],"")</f>
        <v>0</v>
      </c>
      <c r="Y418" s="14">
        <f t="shared" si="63"/>
        <v>-1</v>
      </c>
      <c r="Z418" s="20">
        <f>Tabela1[[#This Row],[PESO TOTAL]]-Tabela1[[#This Row],[Peso Expedido]]</f>
        <v>47.2</v>
      </c>
      <c r="AA418" s="17">
        <v>1</v>
      </c>
      <c r="AB418" s="33"/>
      <c r="AC418" s="33">
        <v>1</v>
      </c>
      <c r="AD418" s="33">
        <v>1</v>
      </c>
      <c r="AE418" s="33">
        <v>1</v>
      </c>
      <c r="AF418" s="33">
        <v>1</v>
      </c>
      <c r="AG418" s="33">
        <v>0</v>
      </c>
      <c r="AH418" s="33"/>
      <c r="AI418" s="33" t="str">
        <f t="shared" si="69"/>
        <v/>
      </c>
      <c r="AJ418" s="5"/>
      <c r="AK418" t="str">
        <f>Tabela1[[#This Row],[Coluna1]]&amp;Tabela1[[#This Row],[PEDIDO]]</f>
        <v>P-188</v>
      </c>
      <c r="AL418"/>
      <c r="AM418"/>
      <c r="AN418"/>
      <c r="AO418" t="str">
        <f t="shared" si="67"/>
        <v>T-072999-1/1073-TC-006</v>
      </c>
      <c r="AP418" t="str">
        <f>Tabela1[[#This Row],[TAG]]&amp;Tabela1[[#This Row],[PEDIDO]]&amp;Tabela1[[#This Row],[PRODUTO]]</f>
        <v>1073-TC-006P-188RMF</v>
      </c>
      <c r="AQ418" s="22" t="str">
        <f>Tabela1[[#This Row],[PRODUTO]]&amp;Tabela1[[#This Row],[TAG]]</f>
        <v>RMF1073-TC-006</v>
      </c>
      <c r="AR418" s="24" t="str">
        <f>Tabela1[[#This Row],[PEDIDO]]&amp;Tabela1[[#This Row],[PRODUTO]]</f>
        <v>P-188RMF</v>
      </c>
      <c r="AS418" s="37">
        <f>IF(AF418="",0,IF(ISTEXT(AF418),H418*VALUE(SUBSTITUTE(AF418,"%",""))/100,H418*AF418))-Tabela1[[#This Row],[PRONTO ACABADO2]]</f>
        <v>47.2</v>
      </c>
      <c r="AT418" s="37">
        <f>IF(AG418="",0,IF(ISTEXT(AG418),H418*VALUE(SUBSTITUTE(AG418,"%",""))/100,H418*AG418))-Tabela1[[#This Row],[PESO EXPEDIDO2]]</f>
        <v>0</v>
      </c>
      <c r="AU418" s="37">
        <f t="shared" si="64"/>
        <v>0</v>
      </c>
      <c r="AV418" s="37">
        <f t="shared" si="65"/>
        <v>0</v>
      </c>
      <c r="AW418" s="37"/>
    </row>
    <row r="419" spans="1:49" ht="15.75" customHeight="1" x14ac:dyDescent="0.25">
      <c r="A419" s="6" t="s">
        <v>4057</v>
      </c>
      <c r="B419" s="21" t="s">
        <v>4059</v>
      </c>
      <c r="C419" s="7">
        <v>1</v>
      </c>
      <c r="D419" s="39" t="s">
        <v>4051</v>
      </c>
      <c r="E419" s="7">
        <v>4304</v>
      </c>
      <c r="F419" s="7" t="s">
        <v>4052</v>
      </c>
      <c r="G419" s="23">
        <v>47.2</v>
      </c>
      <c r="H419" s="34">
        <f>Tabela1[[#This Row],[PESO UNI]]*Tabela1[[#This Row],[QTE]]</f>
        <v>47.2</v>
      </c>
      <c r="I419" s="7">
        <v>0</v>
      </c>
      <c r="J419" s="8" t="s">
        <v>2276</v>
      </c>
      <c r="K419" s="8" t="s">
        <v>327</v>
      </c>
      <c r="L419" s="9" t="s">
        <v>2069</v>
      </c>
      <c r="M419" s="10">
        <v>46161</v>
      </c>
      <c r="N419" s="8" t="s">
        <v>327</v>
      </c>
      <c r="O419" s="12"/>
      <c r="P419" s="13"/>
      <c r="Q419" s="14">
        <f>Tabela1[[#This Row],[QTDE/ Fabricação]]-Tabela1[[#This Row],[QTE]]</f>
        <v>-1</v>
      </c>
      <c r="R419" s="18">
        <f t="shared" si="68"/>
        <v>47.2</v>
      </c>
      <c r="S419" s="18">
        <f t="shared" si="66"/>
        <v>0</v>
      </c>
      <c r="T419" s="19">
        <f t="shared" si="62"/>
        <v>-47.2</v>
      </c>
      <c r="U419" s="16">
        <f>IFERROR(SUMIF('LISTA DE EMBARQUE'!B:B,MICRO!E:E,'LISTA DE EMBARQUE'!G:G),"")</f>
        <v>0</v>
      </c>
      <c r="V419" s="12" t="str">
        <f>IFERROR(VLOOKUP(Tabela1[[#This Row],[COD.MDE]],'LISTA DE EMBARQUE'!B:L,11,0),"")</f>
        <v/>
      </c>
      <c r="W419" s="13" t="str">
        <f>IFERROR(VLOOKUP(Tabela1[[#This Row],[COD.MDE]],'LISTA DE EMBARQUE'!B:M,12,0),"")</f>
        <v/>
      </c>
      <c r="X419" s="14">
        <f>IFERROR(Tabela1[[#This Row],[QIANTIDADE EXPEDIDA]]*Tabela1[[#This Row],[PESO UNI]],"")</f>
        <v>0</v>
      </c>
      <c r="Y419" s="14">
        <f t="shared" si="63"/>
        <v>-1</v>
      </c>
      <c r="Z419" s="20">
        <f>Tabela1[[#This Row],[PESO TOTAL]]-Tabela1[[#This Row],[Peso Expedido]]</f>
        <v>47.2</v>
      </c>
      <c r="AA419" s="17">
        <v>1</v>
      </c>
      <c r="AB419" s="33"/>
      <c r="AC419" s="33">
        <v>1</v>
      </c>
      <c r="AD419" s="33">
        <v>1</v>
      </c>
      <c r="AE419" s="33">
        <v>1</v>
      </c>
      <c r="AF419" s="33">
        <v>1</v>
      </c>
      <c r="AG419" s="33">
        <v>0</v>
      </c>
      <c r="AH419" s="33"/>
      <c r="AI419" s="33" t="str">
        <f t="shared" si="69"/>
        <v/>
      </c>
      <c r="AJ419" s="5"/>
      <c r="AK419" t="str">
        <f>Tabela1[[#This Row],[Coluna1]]&amp;Tabela1[[#This Row],[PEDIDO]]</f>
        <v>P-188</v>
      </c>
      <c r="AL419"/>
      <c r="AM419"/>
      <c r="AN419"/>
      <c r="AO419" t="str">
        <f t="shared" si="67"/>
        <v>T-072999-1/1073-TC-007</v>
      </c>
      <c r="AP419" t="str">
        <f>Tabela1[[#This Row],[TAG]]&amp;Tabela1[[#This Row],[PEDIDO]]&amp;Tabela1[[#This Row],[PRODUTO]]</f>
        <v>1073-TC-007P-188RMF</v>
      </c>
      <c r="AQ419" s="22" t="str">
        <f>Tabela1[[#This Row],[PRODUTO]]&amp;Tabela1[[#This Row],[TAG]]</f>
        <v>RMF1073-TC-007</v>
      </c>
      <c r="AR419" s="24" t="str">
        <f>Tabela1[[#This Row],[PEDIDO]]&amp;Tabela1[[#This Row],[PRODUTO]]</f>
        <v>P-188RMF</v>
      </c>
      <c r="AS419" s="37">
        <f>IF(AF419="",0,IF(ISTEXT(AF419),H419*VALUE(SUBSTITUTE(AF419,"%",""))/100,H419*AF419))-Tabela1[[#This Row],[PRONTO ACABADO2]]</f>
        <v>47.2</v>
      </c>
      <c r="AT419" s="37">
        <f>IF(AG419="",0,IF(ISTEXT(AG419),H419*VALUE(SUBSTITUTE(AG419,"%",""))/100,H419*AG419))-Tabela1[[#This Row],[PESO EXPEDIDO2]]</f>
        <v>0</v>
      </c>
      <c r="AU419" s="37">
        <f t="shared" si="64"/>
        <v>0</v>
      </c>
      <c r="AV419" s="37">
        <f t="shared" si="65"/>
        <v>0</v>
      </c>
      <c r="AW419" s="37"/>
    </row>
    <row r="420" spans="1:49" ht="15.75" customHeight="1" x14ac:dyDescent="0.25">
      <c r="A420" s="6" t="s">
        <v>4057</v>
      </c>
      <c r="B420" s="21" t="s">
        <v>4060</v>
      </c>
      <c r="C420" s="7">
        <v>1</v>
      </c>
      <c r="D420" s="39" t="s">
        <v>4051</v>
      </c>
      <c r="E420" s="7">
        <v>4305</v>
      </c>
      <c r="F420" s="7" t="s">
        <v>4052</v>
      </c>
      <c r="G420" s="23">
        <v>38.4</v>
      </c>
      <c r="H420" s="34">
        <f>Tabela1[[#This Row],[PESO UNI]]*Tabela1[[#This Row],[QTE]]</f>
        <v>38.4</v>
      </c>
      <c r="I420" s="7">
        <v>0</v>
      </c>
      <c r="J420" s="8" t="s">
        <v>2274</v>
      </c>
      <c r="K420" s="8" t="s">
        <v>327</v>
      </c>
      <c r="L420" s="9" t="s">
        <v>2069</v>
      </c>
      <c r="M420" s="10">
        <v>46161</v>
      </c>
      <c r="N420" s="8" t="s">
        <v>327</v>
      </c>
      <c r="O420" s="12"/>
      <c r="P420" s="13"/>
      <c r="Q420" s="14">
        <f>Tabela1[[#This Row],[QTDE/ Fabricação]]-Tabela1[[#This Row],[QTE]]</f>
        <v>-1</v>
      </c>
      <c r="R420" s="18">
        <f t="shared" si="68"/>
        <v>38.4</v>
      </c>
      <c r="S420" s="18">
        <f t="shared" si="66"/>
        <v>0</v>
      </c>
      <c r="T420" s="19">
        <f t="shared" ref="T420:T439" si="70">IFERROR(S420-H420,"")</f>
        <v>-38.4</v>
      </c>
      <c r="U420" s="16">
        <f>IFERROR(SUMIF('LISTA DE EMBARQUE'!B:B,MICRO!E:E,'LISTA DE EMBARQUE'!G:G),"")</f>
        <v>0</v>
      </c>
      <c r="V420" s="12" t="str">
        <f>IFERROR(VLOOKUP(Tabela1[[#This Row],[COD.MDE]],'LISTA DE EMBARQUE'!B:L,11,0),"")</f>
        <v/>
      </c>
      <c r="W420" s="13" t="str">
        <f>IFERROR(VLOOKUP(Tabela1[[#This Row],[COD.MDE]],'LISTA DE EMBARQUE'!B:M,12,0),"")</f>
        <v/>
      </c>
      <c r="X420" s="14">
        <f>IFERROR(Tabela1[[#This Row],[QIANTIDADE EXPEDIDA]]*Tabela1[[#This Row],[PESO UNI]],"")</f>
        <v>0</v>
      </c>
      <c r="Y420" s="14">
        <f t="shared" ref="Y420:Y439" si="71">U420-C420</f>
        <v>-1</v>
      </c>
      <c r="Z420" s="20">
        <f>Tabela1[[#This Row],[PESO TOTAL]]-Tabela1[[#This Row],[Peso Expedido]]</f>
        <v>38.4</v>
      </c>
      <c r="AA420" s="17">
        <v>1</v>
      </c>
      <c r="AB420" s="33"/>
      <c r="AC420" s="33">
        <v>1</v>
      </c>
      <c r="AD420" s="33">
        <v>1</v>
      </c>
      <c r="AE420" s="33">
        <v>1</v>
      </c>
      <c r="AF420" s="33">
        <v>1</v>
      </c>
      <c r="AG420" s="33">
        <v>0</v>
      </c>
      <c r="AH420" s="33"/>
      <c r="AI420" s="33" t="str">
        <f t="shared" si="69"/>
        <v/>
      </c>
      <c r="AJ420" s="5"/>
      <c r="AK420" t="str">
        <f>Tabela1[[#This Row],[Coluna1]]&amp;Tabela1[[#This Row],[PEDIDO]]</f>
        <v>P-188</v>
      </c>
      <c r="AL420"/>
      <c r="AM420"/>
      <c r="AN420"/>
      <c r="AO420" t="str">
        <f t="shared" si="67"/>
        <v>T-072999-1/1073-TC-006</v>
      </c>
      <c r="AP420" t="str">
        <f>Tabela1[[#This Row],[TAG]]&amp;Tabela1[[#This Row],[PEDIDO]]&amp;Tabela1[[#This Row],[PRODUTO]]</f>
        <v>1073-TC-006P-188RMF</v>
      </c>
      <c r="AQ420" s="22" t="str">
        <f>Tabela1[[#This Row],[PRODUTO]]&amp;Tabela1[[#This Row],[TAG]]</f>
        <v>RMF1073-TC-006</v>
      </c>
      <c r="AR420" s="24" t="str">
        <f>Tabela1[[#This Row],[PEDIDO]]&amp;Tabela1[[#This Row],[PRODUTO]]</f>
        <v>P-188RMF</v>
      </c>
      <c r="AS420" s="37">
        <f>IF(AF420="",0,IF(ISTEXT(AF420),H420*VALUE(SUBSTITUTE(AF420,"%",""))/100,H420*AF420))-Tabela1[[#This Row],[PRONTO ACABADO2]]</f>
        <v>38.4</v>
      </c>
      <c r="AT420" s="37">
        <f>IF(AG420="",0,IF(ISTEXT(AG420),H420*VALUE(SUBSTITUTE(AG420,"%",""))/100,H420*AG420))-Tabela1[[#This Row],[PESO EXPEDIDO2]]</f>
        <v>0</v>
      </c>
      <c r="AU420" s="37">
        <f t="shared" si="64"/>
        <v>0</v>
      </c>
      <c r="AV420" s="37">
        <f t="shared" si="65"/>
        <v>0</v>
      </c>
      <c r="AW420" s="37"/>
    </row>
    <row r="421" spans="1:49" ht="15.75" customHeight="1" x14ac:dyDescent="0.25">
      <c r="A421" s="6" t="s">
        <v>4057</v>
      </c>
      <c r="B421" s="21" t="s">
        <v>4060</v>
      </c>
      <c r="C421" s="7">
        <v>1</v>
      </c>
      <c r="D421" s="39" t="s">
        <v>4051</v>
      </c>
      <c r="E421" s="7">
        <v>4306</v>
      </c>
      <c r="F421" s="7" t="s">
        <v>4052</v>
      </c>
      <c r="G421" s="23">
        <v>38.4</v>
      </c>
      <c r="H421" s="34">
        <f>Tabela1[[#This Row],[PESO UNI]]*Tabela1[[#This Row],[QTE]]</f>
        <v>38.4</v>
      </c>
      <c r="I421" s="7">
        <v>0</v>
      </c>
      <c r="J421" s="8" t="s">
        <v>2276</v>
      </c>
      <c r="K421" s="8" t="s">
        <v>327</v>
      </c>
      <c r="L421" s="9" t="s">
        <v>2069</v>
      </c>
      <c r="M421" s="10">
        <v>46161</v>
      </c>
      <c r="N421" s="8" t="s">
        <v>327</v>
      </c>
      <c r="O421" s="12"/>
      <c r="P421" s="13"/>
      <c r="Q421" s="14">
        <f>Tabela1[[#This Row],[QTDE/ Fabricação]]-Tabela1[[#This Row],[QTE]]</f>
        <v>-1</v>
      </c>
      <c r="R421" s="18">
        <f t="shared" si="68"/>
        <v>38.4</v>
      </c>
      <c r="S421" s="18">
        <f t="shared" si="66"/>
        <v>0</v>
      </c>
      <c r="T421" s="19">
        <f t="shared" si="70"/>
        <v>-38.4</v>
      </c>
      <c r="U421" s="16">
        <f>IFERROR(SUMIF('LISTA DE EMBARQUE'!B:B,MICRO!E:E,'LISTA DE EMBARQUE'!G:G),"")</f>
        <v>0</v>
      </c>
      <c r="V421" s="12" t="str">
        <f>IFERROR(VLOOKUP(Tabela1[[#This Row],[COD.MDE]],'LISTA DE EMBARQUE'!B:L,11,0),"")</f>
        <v/>
      </c>
      <c r="W421" s="13" t="str">
        <f>IFERROR(VLOOKUP(Tabela1[[#This Row],[COD.MDE]],'LISTA DE EMBARQUE'!B:M,12,0),"")</f>
        <v/>
      </c>
      <c r="X421" s="14">
        <f>IFERROR(Tabela1[[#This Row],[QIANTIDADE EXPEDIDA]]*Tabela1[[#This Row],[PESO UNI]],"")</f>
        <v>0</v>
      </c>
      <c r="Y421" s="14">
        <f t="shared" si="71"/>
        <v>-1</v>
      </c>
      <c r="Z421" s="20">
        <f>Tabela1[[#This Row],[PESO TOTAL]]-Tabela1[[#This Row],[Peso Expedido]]</f>
        <v>38.4</v>
      </c>
      <c r="AA421" s="17">
        <v>1</v>
      </c>
      <c r="AB421" s="33"/>
      <c r="AC421" s="33">
        <v>1</v>
      </c>
      <c r="AD421" s="33">
        <v>1</v>
      </c>
      <c r="AE421" s="33">
        <v>1</v>
      </c>
      <c r="AF421" s="33">
        <v>1</v>
      </c>
      <c r="AG421" s="33">
        <v>0</v>
      </c>
      <c r="AH421" s="33"/>
      <c r="AI421" s="33" t="str">
        <f t="shared" si="69"/>
        <v/>
      </c>
      <c r="AJ421" s="5"/>
      <c r="AK421" t="str">
        <f>Tabela1[[#This Row],[Coluna1]]&amp;Tabela1[[#This Row],[PEDIDO]]</f>
        <v>P-188</v>
      </c>
      <c r="AL421"/>
      <c r="AM421"/>
      <c r="AN421"/>
      <c r="AO421" t="str">
        <f t="shared" si="67"/>
        <v>T-072999-1/1073-TC-007</v>
      </c>
      <c r="AP421" t="str">
        <f>Tabela1[[#This Row],[TAG]]&amp;Tabela1[[#This Row],[PEDIDO]]&amp;Tabela1[[#This Row],[PRODUTO]]</f>
        <v>1073-TC-007P-188RMF</v>
      </c>
      <c r="AQ421" s="22" t="str">
        <f>Tabela1[[#This Row],[PRODUTO]]&amp;Tabela1[[#This Row],[TAG]]</f>
        <v>RMF1073-TC-007</v>
      </c>
      <c r="AR421" s="24" t="str">
        <f>Tabela1[[#This Row],[PEDIDO]]&amp;Tabela1[[#This Row],[PRODUTO]]</f>
        <v>P-188RMF</v>
      </c>
      <c r="AS421" s="37">
        <f>IF(AF421="",0,IF(ISTEXT(AF421),H421*VALUE(SUBSTITUTE(AF421,"%",""))/100,H421*AF421))-Tabela1[[#This Row],[PRONTO ACABADO2]]</f>
        <v>38.4</v>
      </c>
      <c r="AT421" s="37">
        <f>IF(AG421="",0,IF(ISTEXT(AG421),H421*VALUE(SUBSTITUTE(AG421,"%",""))/100,H421*AG421))-Tabela1[[#This Row],[PESO EXPEDIDO2]]</f>
        <v>0</v>
      </c>
      <c r="AU421" s="37">
        <f t="shared" ref="AU421:AU439" si="72">IF(AH421="",0,IF(ISTEXT(AH421),H421*VALUE(SUBSTITUTE(AH421,"%",""))/100,H421*AH421))</f>
        <v>0</v>
      </c>
      <c r="AV421" s="37">
        <f t="shared" ref="AV421:AV439" si="73">IF(AG421="",0,IF(ISTEXT(AG421),H421*VALUE(SUBSTITUTE(AG421,"%",""))/100,H421*AG421))</f>
        <v>0</v>
      </c>
      <c r="AW421" s="37"/>
    </row>
    <row r="422" spans="1:49" ht="15.75" customHeight="1" x14ac:dyDescent="0.25">
      <c r="A422" s="6" t="s">
        <v>4057</v>
      </c>
      <c r="B422" s="21" t="s">
        <v>4061</v>
      </c>
      <c r="C422" s="7">
        <v>1</v>
      </c>
      <c r="D422" s="39" t="s">
        <v>4051</v>
      </c>
      <c r="E422" s="7">
        <v>4307</v>
      </c>
      <c r="F422" s="7" t="s">
        <v>4052</v>
      </c>
      <c r="G422" s="23">
        <v>42.7</v>
      </c>
      <c r="H422" s="34">
        <f>Tabela1[[#This Row],[PESO UNI]]*Tabela1[[#This Row],[QTE]]</f>
        <v>42.7</v>
      </c>
      <c r="I422" s="7">
        <v>0</v>
      </c>
      <c r="J422" s="8" t="s">
        <v>2274</v>
      </c>
      <c r="K422" s="8" t="s">
        <v>327</v>
      </c>
      <c r="L422" s="9" t="s">
        <v>2069</v>
      </c>
      <c r="M422" s="10">
        <v>46161</v>
      </c>
      <c r="N422" s="8" t="s">
        <v>327</v>
      </c>
      <c r="O422" s="12"/>
      <c r="P422" s="13"/>
      <c r="Q422" s="14">
        <f>Tabela1[[#This Row],[QTDE/ Fabricação]]-Tabela1[[#This Row],[QTE]]</f>
        <v>-1</v>
      </c>
      <c r="R422" s="18">
        <f t="shared" si="68"/>
        <v>42.7</v>
      </c>
      <c r="S422" s="18">
        <f t="shared" si="66"/>
        <v>0</v>
      </c>
      <c r="T422" s="19">
        <f t="shared" si="70"/>
        <v>-42.7</v>
      </c>
      <c r="U422" s="16">
        <f>IFERROR(SUMIF('LISTA DE EMBARQUE'!B:B,MICRO!E:E,'LISTA DE EMBARQUE'!G:G),"")</f>
        <v>0</v>
      </c>
      <c r="V422" s="12" t="str">
        <f>IFERROR(VLOOKUP(Tabela1[[#This Row],[COD.MDE]],'LISTA DE EMBARQUE'!B:L,11,0),"")</f>
        <v/>
      </c>
      <c r="W422" s="13" t="str">
        <f>IFERROR(VLOOKUP(Tabela1[[#This Row],[COD.MDE]],'LISTA DE EMBARQUE'!B:M,12,0),"")</f>
        <v/>
      </c>
      <c r="X422" s="14">
        <f>IFERROR(Tabela1[[#This Row],[QIANTIDADE EXPEDIDA]]*Tabela1[[#This Row],[PESO UNI]],"")</f>
        <v>0</v>
      </c>
      <c r="Y422" s="14">
        <f t="shared" si="71"/>
        <v>-1</v>
      </c>
      <c r="Z422" s="20">
        <f>Tabela1[[#This Row],[PESO TOTAL]]-Tabela1[[#This Row],[Peso Expedido]]</f>
        <v>42.7</v>
      </c>
      <c r="AA422" s="17">
        <v>1</v>
      </c>
      <c r="AB422" s="33"/>
      <c r="AC422" s="33">
        <v>1</v>
      </c>
      <c r="AD422" s="33">
        <v>1</v>
      </c>
      <c r="AE422" s="33">
        <v>1</v>
      </c>
      <c r="AF422" s="33">
        <v>1</v>
      </c>
      <c r="AG422" s="33">
        <v>0</v>
      </c>
      <c r="AH422" s="33"/>
      <c r="AI422" s="33" t="str">
        <f t="shared" si="69"/>
        <v/>
      </c>
      <c r="AJ422" s="5"/>
      <c r="AK422" t="str">
        <f>Tabela1[[#This Row],[Coluna1]]&amp;Tabela1[[#This Row],[PEDIDO]]</f>
        <v>P-188</v>
      </c>
      <c r="AL422"/>
      <c r="AM422"/>
      <c r="AN422"/>
      <c r="AO422" t="str">
        <f t="shared" si="67"/>
        <v>T-072999-1/1073-TC-006</v>
      </c>
      <c r="AP422" t="str">
        <f>Tabela1[[#This Row],[TAG]]&amp;Tabela1[[#This Row],[PEDIDO]]&amp;Tabela1[[#This Row],[PRODUTO]]</f>
        <v>1073-TC-006P-188RMF</v>
      </c>
      <c r="AQ422" s="22" t="str">
        <f>Tabela1[[#This Row],[PRODUTO]]&amp;Tabela1[[#This Row],[TAG]]</f>
        <v>RMF1073-TC-006</v>
      </c>
      <c r="AR422" s="24" t="str">
        <f>Tabela1[[#This Row],[PEDIDO]]&amp;Tabela1[[#This Row],[PRODUTO]]</f>
        <v>P-188RMF</v>
      </c>
      <c r="AS422" s="37">
        <f>IF(AF422="",0,IF(ISTEXT(AF422),H422*VALUE(SUBSTITUTE(AF422,"%",""))/100,H422*AF422))-Tabela1[[#This Row],[PRONTO ACABADO2]]</f>
        <v>42.7</v>
      </c>
      <c r="AT422" s="37">
        <f>IF(AG422="",0,IF(ISTEXT(AG422),H422*VALUE(SUBSTITUTE(AG422,"%",""))/100,H422*AG422))-Tabela1[[#This Row],[PESO EXPEDIDO2]]</f>
        <v>0</v>
      </c>
      <c r="AU422" s="37">
        <f t="shared" si="72"/>
        <v>0</v>
      </c>
      <c r="AV422" s="37">
        <f t="shared" si="73"/>
        <v>0</v>
      </c>
      <c r="AW422" s="37"/>
    </row>
    <row r="423" spans="1:49" ht="15.75" customHeight="1" x14ac:dyDescent="0.25">
      <c r="A423" s="6" t="s">
        <v>4057</v>
      </c>
      <c r="B423" s="21" t="s">
        <v>4061</v>
      </c>
      <c r="C423" s="7">
        <v>1</v>
      </c>
      <c r="D423" s="39" t="s">
        <v>4051</v>
      </c>
      <c r="E423" s="7">
        <v>4308</v>
      </c>
      <c r="F423" s="7" t="s">
        <v>4052</v>
      </c>
      <c r="G423" s="23">
        <v>42.7</v>
      </c>
      <c r="H423" s="34">
        <f>Tabela1[[#This Row],[PESO UNI]]*Tabela1[[#This Row],[QTE]]</f>
        <v>42.7</v>
      </c>
      <c r="I423" s="7">
        <v>0</v>
      </c>
      <c r="J423" s="8" t="s">
        <v>2276</v>
      </c>
      <c r="K423" s="8" t="s">
        <v>327</v>
      </c>
      <c r="L423" s="9" t="s">
        <v>2069</v>
      </c>
      <c r="M423" s="10">
        <v>46161</v>
      </c>
      <c r="N423" s="8" t="s">
        <v>327</v>
      </c>
      <c r="O423" s="12"/>
      <c r="P423" s="13"/>
      <c r="Q423" s="14">
        <f>Tabela1[[#This Row],[QTDE/ Fabricação]]-Tabela1[[#This Row],[QTE]]</f>
        <v>-1</v>
      </c>
      <c r="R423" s="18">
        <f t="shared" si="68"/>
        <v>42.7</v>
      </c>
      <c r="S423" s="18">
        <f t="shared" si="66"/>
        <v>0</v>
      </c>
      <c r="T423" s="19">
        <f t="shared" si="70"/>
        <v>-42.7</v>
      </c>
      <c r="U423" s="16">
        <f>IFERROR(SUMIF('LISTA DE EMBARQUE'!B:B,MICRO!E:E,'LISTA DE EMBARQUE'!G:G),"")</f>
        <v>0</v>
      </c>
      <c r="V423" s="12" t="str">
        <f>IFERROR(VLOOKUP(Tabela1[[#This Row],[COD.MDE]],'LISTA DE EMBARQUE'!B:L,11,0),"")</f>
        <v/>
      </c>
      <c r="W423" s="13" t="str">
        <f>IFERROR(VLOOKUP(Tabela1[[#This Row],[COD.MDE]],'LISTA DE EMBARQUE'!B:M,12,0),"")</f>
        <v/>
      </c>
      <c r="X423" s="14">
        <f>IFERROR(Tabela1[[#This Row],[QIANTIDADE EXPEDIDA]]*Tabela1[[#This Row],[PESO UNI]],"")</f>
        <v>0</v>
      </c>
      <c r="Y423" s="14">
        <f t="shared" si="71"/>
        <v>-1</v>
      </c>
      <c r="Z423" s="20">
        <f>Tabela1[[#This Row],[PESO TOTAL]]-Tabela1[[#This Row],[Peso Expedido]]</f>
        <v>42.7</v>
      </c>
      <c r="AA423" s="17">
        <v>1</v>
      </c>
      <c r="AB423" s="33"/>
      <c r="AC423" s="33">
        <v>1</v>
      </c>
      <c r="AD423" s="33">
        <v>1</v>
      </c>
      <c r="AE423" s="33">
        <v>1</v>
      </c>
      <c r="AF423" s="33">
        <v>1</v>
      </c>
      <c r="AG423" s="33">
        <v>0</v>
      </c>
      <c r="AH423" s="33"/>
      <c r="AI423" s="33" t="str">
        <f t="shared" si="69"/>
        <v/>
      </c>
      <c r="AJ423" s="5"/>
      <c r="AK423" t="str">
        <f>Tabela1[[#This Row],[Coluna1]]&amp;Tabela1[[#This Row],[PEDIDO]]</f>
        <v>P-188</v>
      </c>
      <c r="AL423"/>
      <c r="AM423"/>
      <c r="AN423"/>
      <c r="AO423" t="str">
        <f t="shared" si="67"/>
        <v>T-072999-1/1073-TC-007</v>
      </c>
      <c r="AP423" t="str">
        <f>Tabela1[[#This Row],[TAG]]&amp;Tabela1[[#This Row],[PEDIDO]]&amp;Tabela1[[#This Row],[PRODUTO]]</f>
        <v>1073-TC-007P-188RMF</v>
      </c>
      <c r="AQ423" s="22" t="str">
        <f>Tabela1[[#This Row],[PRODUTO]]&amp;Tabela1[[#This Row],[TAG]]</f>
        <v>RMF1073-TC-007</v>
      </c>
      <c r="AR423" s="24" t="str">
        <f>Tabela1[[#This Row],[PEDIDO]]&amp;Tabela1[[#This Row],[PRODUTO]]</f>
        <v>P-188RMF</v>
      </c>
      <c r="AS423" s="37">
        <f>IF(AF423="",0,IF(ISTEXT(AF423),H423*VALUE(SUBSTITUTE(AF423,"%",""))/100,H423*AF423))-Tabela1[[#This Row],[PRONTO ACABADO2]]</f>
        <v>42.7</v>
      </c>
      <c r="AT423" s="37">
        <f>IF(AG423="",0,IF(ISTEXT(AG423),H423*VALUE(SUBSTITUTE(AG423,"%",""))/100,H423*AG423))-Tabela1[[#This Row],[PESO EXPEDIDO2]]</f>
        <v>0</v>
      </c>
      <c r="AU423" s="37">
        <f t="shared" si="72"/>
        <v>0</v>
      </c>
      <c r="AV423" s="37">
        <f t="shared" si="73"/>
        <v>0</v>
      </c>
      <c r="AW423" s="37"/>
    </row>
    <row r="424" spans="1:49" ht="15.75" customHeight="1" x14ac:dyDescent="0.25">
      <c r="A424" s="6" t="s">
        <v>3764</v>
      </c>
      <c r="B424" s="21" t="s">
        <v>3771</v>
      </c>
      <c r="C424" s="7">
        <v>24</v>
      </c>
      <c r="D424" s="39" t="s">
        <v>3415</v>
      </c>
      <c r="E424" s="7">
        <v>4309</v>
      </c>
      <c r="F424" s="7" t="s">
        <v>3767</v>
      </c>
      <c r="G424" s="23">
        <v>3</v>
      </c>
      <c r="H424" s="34">
        <f>Tabela1[[#This Row],[PESO UNI]]*Tabela1[[#This Row],[QTE]]</f>
        <v>72</v>
      </c>
      <c r="I424" s="7">
        <v>2</v>
      </c>
      <c r="J424" s="8" t="s">
        <v>2274</v>
      </c>
      <c r="K424" s="8" t="s">
        <v>327</v>
      </c>
      <c r="L424" s="9" t="s">
        <v>2069</v>
      </c>
      <c r="M424" s="10">
        <v>46178</v>
      </c>
      <c r="N424" s="8" t="s">
        <v>327</v>
      </c>
      <c r="O424" s="12"/>
      <c r="P424" s="13"/>
      <c r="Q424" s="14">
        <f>Tabela1[[#This Row],[QTDE/ Fabricação]]-Tabela1[[#This Row],[QTE]]</f>
        <v>-24</v>
      </c>
      <c r="R424" s="18">
        <f t="shared" si="68"/>
        <v>72</v>
      </c>
      <c r="S424" s="18">
        <f t="shared" si="66"/>
        <v>0</v>
      </c>
      <c r="T424" s="19">
        <f t="shared" si="70"/>
        <v>-72</v>
      </c>
      <c r="U424" s="16">
        <f>IFERROR(SUMIF('LISTA DE EMBARQUE'!B:B,MICRO!E:E,'LISTA DE EMBARQUE'!G:G),"")</f>
        <v>0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>IFERROR(Tabela1[[#This Row],[QIANTIDADE EXPEDIDA]]*Tabela1[[#This Row],[PESO UNI]],"")</f>
        <v>0</v>
      </c>
      <c r="Y424" s="14">
        <f t="shared" si="71"/>
        <v>-24</v>
      </c>
      <c r="Z424" s="20">
        <f>Tabela1[[#This Row],[PESO TOTAL]]-Tabela1[[#This Row],[Peso Expedido]]</f>
        <v>72</v>
      </c>
      <c r="AA424" s="17">
        <v>1</v>
      </c>
      <c r="AB424" s="33"/>
      <c r="AC424" s="33">
        <v>1</v>
      </c>
      <c r="AD424" s="33">
        <v>1</v>
      </c>
      <c r="AE424" s="33">
        <v>1</v>
      </c>
      <c r="AF424" s="33">
        <v>1</v>
      </c>
      <c r="AG424" s="33">
        <v>0</v>
      </c>
      <c r="AH424" s="33"/>
      <c r="AI424" s="33" t="str">
        <f t="shared" si="69"/>
        <v/>
      </c>
      <c r="AJ424" s="5"/>
      <c r="AK424" t="str">
        <f>Tabela1[[#This Row],[Coluna1]]&amp;Tabela1[[#This Row],[PEDIDO]]</f>
        <v>P-188</v>
      </c>
      <c r="AL424"/>
      <c r="AM424"/>
      <c r="AN424"/>
      <c r="AO424" t="str">
        <f t="shared" si="67"/>
        <v>T-072974-1/1073-TC-006</v>
      </c>
      <c r="AP424" t="str">
        <f>Tabela1[[#This Row],[TAG]]&amp;Tabela1[[#This Row],[PEDIDO]]&amp;Tabela1[[#This Row],[PRODUTO]]</f>
        <v>1073-TC-006P-188RMF</v>
      </c>
      <c r="AQ424" s="22" t="str">
        <f>Tabela1[[#This Row],[PRODUTO]]&amp;Tabela1[[#This Row],[TAG]]</f>
        <v>RMF1073-TC-006</v>
      </c>
      <c r="AR424" s="24" t="str">
        <f>Tabela1[[#This Row],[PEDIDO]]&amp;Tabela1[[#This Row],[PRODUTO]]</f>
        <v>P-188RMF</v>
      </c>
      <c r="AS424" s="37">
        <f>IF(AF424="",0,IF(ISTEXT(AF424),H424*VALUE(SUBSTITUTE(AF424,"%",""))/100,H424*AF424))-Tabela1[[#This Row],[PRONTO ACABADO2]]</f>
        <v>72</v>
      </c>
      <c r="AT424" s="37">
        <f>IF(AG424="",0,IF(ISTEXT(AG424),H424*VALUE(SUBSTITUTE(AG424,"%",""))/100,H424*AG424))-Tabela1[[#This Row],[PESO EXPEDIDO2]]</f>
        <v>0</v>
      </c>
      <c r="AU424" s="37">
        <f t="shared" si="72"/>
        <v>0</v>
      </c>
      <c r="AV424" s="37">
        <f t="shared" si="73"/>
        <v>0</v>
      </c>
      <c r="AW424" s="37"/>
    </row>
    <row r="425" spans="1:49" ht="15.75" customHeight="1" x14ac:dyDescent="0.25">
      <c r="A425" s="6" t="s">
        <v>3764</v>
      </c>
      <c r="B425" s="21" t="s">
        <v>3771</v>
      </c>
      <c r="C425" s="7">
        <v>24</v>
      </c>
      <c r="D425" s="39" t="s">
        <v>3415</v>
      </c>
      <c r="E425" s="7">
        <v>4310</v>
      </c>
      <c r="F425" s="7" t="s">
        <v>3767</v>
      </c>
      <c r="G425" s="23">
        <v>1.5</v>
      </c>
      <c r="H425" s="34">
        <f>Tabela1[[#This Row],[PESO UNI]]*Tabela1[[#This Row],[QTE]]</f>
        <v>36</v>
      </c>
      <c r="I425" s="7">
        <v>2</v>
      </c>
      <c r="J425" s="8" t="s">
        <v>2276</v>
      </c>
      <c r="K425" s="8" t="s">
        <v>327</v>
      </c>
      <c r="L425" s="9" t="s">
        <v>2069</v>
      </c>
      <c r="M425" s="10">
        <v>46178</v>
      </c>
      <c r="N425" s="8" t="s">
        <v>327</v>
      </c>
      <c r="O425" s="12"/>
      <c r="P425" s="13"/>
      <c r="Q425" s="14">
        <f>Tabela1[[#This Row],[QTDE/ Fabricação]]-Tabela1[[#This Row],[QTE]]</f>
        <v>-24</v>
      </c>
      <c r="R425" s="18">
        <f t="shared" si="68"/>
        <v>36</v>
      </c>
      <c r="S425" s="18">
        <f t="shared" si="66"/>
        <v>0</v>
      </c>
      <c r="T425" s="19">
        <f t="shared" si="70"/>
        <v>-36</v>
      </c>
      <c r="U425" s="16">
        <f>IFERROR(SUMIF('LISTA DE EMBARQUE'!B:B,MICRO!E:E,'LISTA DE EMBARQUE'!G:G),"")</f>
        <v>0</v>
      </c>
      <c r="V425" s="12" t="str">
        <f>IFERROR(VLOOKUP(Tabela1[[#This Row],[COD.MDE]],'LISTA DE EMBARQUE'!B:L,11,0),"")</f>
        <v/>
      </c>
      <c r="W425" s="13" t="str">
        <f>IFERROR(VLOOKUP(Tabela1[[#This Row],[COD.MDE]],'LISTA DE EMBARQUE'!B:M,12,0),"")</f>
        <v/>
      </c>
      <c r="X425" s="14">
        <f>IFERROR(Tabela1[[#This Row],[QIANTIDADE EXPEDIDA]]*Tabela1[[#This Row],[PESO UNI]],"")</f>
        <v>0</v>
      </c>
      <c r="Y425" s="14">
        <f t="shared" si="71"/>
        <v>-24</v>
      </c>
      <c r="Z425" s="20">
        <f>Tabela1[[#This Row],[PESO TOTAL]]-Tabela1[[#This Row],[Peso Expedido]]</f>
        <v>36</v>
      </c>
      <c r="AA425" s="17">
        <v>1</v>
      </c>
      <c r="AB425" s="33"/>
      <c r="AC425" s="33">
        <v>1</v>
      </c>
      <c r="AD425" s="33">
        <v>1</v>
      </c>
      <c r="AE425" s="33">
        <v>1</v>
      </c>
      <c r="AF425" s="33">
        <v>1</v>
      </c>
      <c r="AG425" s="33">
        <v>0</v>
      </c>
      <c r="AH425" s="33"/>
      <c r="AI425" s="33" t="str">
        <f t="shared" si="69"/>
        <v/>
      </c>
      <c r="AJ425" s="5"/>
      <c r="AK425" t="str">
        <f>Tabela1[[#This Row],[Coluna1]]&amp;Tabela1[[#This Row],[PEDIDO]]</f>
        <v>P-188</v>
      </c>
      <c r="AL425"/>
      <c r="AM425"/>
      <c r="AN425"/>
      <c r="AO425" t="str">
        <f t="shared" si="67"/>
        <v>T-072974-1/1073-TC-007</v>
      </c>
      <c r="AP425" t="str">
        <f>Tabela1[[#This Row],[TAG]]&amp;Tabela1[[#This Row],[PEDIDO]]&amp;Tabela1[[#This Row],[PRODUTO]]</f>
        <v>1073-TC-007P-188RMF</v>
      </c>
      <c r="AQ425" s="22" t="str">
        <f>Tabela1[[#This Row],[PRODUTO]]&amp;Tabela1[[#This Row],[TAG]]</f>
        <v>RMF1073-TC-007</v>
      </c>
      <c r="AR425" s="24" t="str">
        <f>Tabela1[[#This Row],[PEDIDO]]&amp;Tabela1[[#This Row],[PRODUTO]]</f>
        <v>P-188RMF</v>
      </c>
      <c r="AS425" s="37">
        <f>IF(AF425="",0,IF(ISTEXT(AF425),H425*VALUE(SUBSTITUTE(AF425,"%",""))/100,H425*AF425))-Tabela1[[#This Row],[PRONTO ACABADO2]]</f>
        <v>36</v>
      </c>
      <c r="AT425" s="37">
        <f>IF(AG425="",0,IF(ISTEXT(AG425),H425*VALUE(SUBSTITUTE(AG425,"%",""))/100,H425*AG425))-Tabela1[[#This Row],[PESO EXPEDIDO2]]</f>
        <v>0</v>
      </c>
      <c r="AU425" s="37">
        <f t="shared" si="72"/>
        <v>0</v>
      </c>
      <c r="AV425" s="37">
        <f t="shared" si="73"/>
        <v>0</v>
      </c>
      <c r="AW425" s="37"/>
    </row>
    <row r="426" spans="1:49" ht="15.75" customHeight="1" x14ac:dyDescent="0.25">
      <c r="A426" s="6" t="s">
        <v>3849</v>
      </c>
      <c r="B426" s="21" t="s">
        <v>4062</v>
      </c>
      <c r="C426" s="7">
        <v>2</v>
      </c>
      <c r="D426" s="39" t="s">
        <v>3415</v>
      </c>
      <c r="E426" s="7">
        <v>4311</v>
      </c>
      <c r="F426" s="7" t="s">
        <v>3789</v>
      </c>
      <c r="G426" s="23">
        <v>18.8</v>
      </c>
      <c r="H426" s="34">
        <f>Tabela1[[#This Row],[PESO UNI]]*Tabela1[[#This Row],[QTE]]</f>
        <v>37.6</v>
      </c>
      <c r="I426" s="7">
        <v>1</v>
      </c>
      <c r="J426" s="8" t="s">
        <v>3790</v>
      </c>
      <c r="K426" s="8" t="s">
        <v>327</v>
      </c>
      <c r="L426" s="9" t="s">
        <v>2069</v>
      </c>
      <c r="M426" s="10">
        <v>46181</v>
      </c>
      <c r="N426" s="8" t="s">
        <v>327</v>
      </c>
      <c r="O426" s="12"/>
      <c r="P426" s="13"/>
      <c r="Q426" s="14">
        <f>Tabela1[[#This Row],[QTDE/ Fabricação]]-Tabela1[[#This Row],[QTE]]</f>
        <v>-2</v>
      </c>
      <c r="R426" s="18">
        <f t="shared" si="68"/>
        <v>27.26</v>
      </c>
      <c r="S426" s="18">
        <f t="shared" si="66"/>
        <v>0</v>
      </c>
      <c r="T426" s="19">
        <f t="shared" si="70"/>
        <v>-37.6</v>
      </c>
      <c r="U426" s="16">
        <f>IFERROR(SUMIF('LISTA DE EMBARQUE'!B:B,MICRO!E:E,'LISTA DE EMBARQUE'!G:G),"")</f>
        <v>0</v>
      </c>
      <c r="V426" s="12" t="str">
        <f>IFERROR(VLOOKUP(Tabela1[[#This Row],[COD.MDE]],'LISTA DE EMBARQUE'!B:L,11,0),"")</f>
        <v/>
      </c>
      <c r="W426" s="13" t="str">
        <f>IFERROR(VLOOKUP(Tabela1[[#This Row],[COD.MDE]],'LISTA DE EMBARQUE'!B:M,12,0),"")</f>
        <v/>
      </c>
      <c r="X426" s="14">
        <f>IFERROR(Tabela1[[#This Row],[QIANTIDADE EXPEDIDA]]*Tabela1[[#This Row],[PESO UNI]],"")</f>
        <v>0</v>
      </c>
      <c r="Y426" s="14">
        <f t="shared" si="71"/>
        <v>-2</v>
      </c>
      <c r="Z426" s="20">
        <f>Tabela1[[#This Row],[PESO TOTAL]]-Tabela1[[#This Row],[Peso Expedido]]</f>
        <v>37.6</v>
      </c>
      <c r="AA426" s="17">
        <v>1</v>
      </c>
      <c r="AB426" s="33"/>
      <c r="AC426" s="33">
        <v>1</v>
      </c>
      <c r="AD426" s="33">
        <v>1</v>
      </c>
      <c r="AE426" s="33">
        <v>0</v>
      </c>
      <c r="AF426" s="33">
        <v>0</v>
      </c>
      <c r="AG426" s="33">
        <v>0</v>
      </c>
      <c r="AH426" s="33"/>
      <c r="AI426" s="33" t="str">
        <f t="shared" si="69"/>
        <v/>
      </c>
      <c r="AJ426" s="5"/>
      <c r="AK426" t="str">
        <f>Tabela1[[#This Row],[Coluna1]]&amp;Tabela1[[#This Row],[PEDIDO]]</f>
        <v>P-188</v>
      </c>
      <c r="AL426"/>
      <c r="AM426"/>
      <c r="AN426"/>
      <c r="AO426" t="str">
        <f t="shared" si="67"/>
        <v>T-072966-1/1073-TC-006/007</v>
      </c>
      <c r="AP426" t="str">
        <f>Tabela1[[#This Row],[TAG]]&amp;Tabela1[[#This Row],[PEDIDO]]&amp;Tabela1[[#This Row],[PRODUTO]]</f>
        <v>1073-TC-006/007P-188RMF</v>
      </c>
      <c r="AQ426" s="22" t="str">
        <f>Tabela1[[#This Row],[PRODUTO]]&amp;Tabela1[[#This Row],[TAG]]</f>
        <v>RMF1073-TC-006/007</v>
      </c>
      <c r="AR426" s="24" t="str">
        <f>Tabela1[[#This Row],[PEDIDO]]&amp;Tabela1[[#This Row],[PRODUTO]]</f>
        <v>P-188RMF</v>
      </c>
      <c r="AS426" s="37">
        <f>IF(AF426="",0,IF(ISTEXT(AF426),H426*VALUE(SUBSTITUTE(AF426,"%",""))/100,H426*AF426))-Tabela1[[#This Row],[PRONTO ACABADO2]]</f>
        <v>0</v>
      </c>
      <c r="AT426" s="37">
        <f>IF(AG426="",0,IF(ISTEXT(AG426),H426*VALUE(SUBSTITUTE(AG426,"%",""))/100,H426*AG426))-Tabela1[[#This Row],[PESO EXPEDIDO2]]</f>
        <v>0</v>
      </c>
      <c r="AU426" s="37">
        <f t="shared" si="72"/>
        <v>0</v>
      </c>
      <c r="AV426" s="37">
        <f t="shared" si="73"/>
        <v>0</v>
      </c>
      <c r="AW426" s="37"/>
    </row>
    <row r="427" spans="1:49" ht="15.75" customHeight="1" x14ac:dyDescent="0.25">
      <c r="A427" s="6" t="s">
        <v>3849</v>
      </c>
      <c r="B427" s="21" t="s">
        <v>4063</v>
      </c>
      <c r="C427" s="7">
        <v>2</v>
      </c>
      <c r="D427" s="39" t="s">
        <v>3415</v>
      </c>
      <c r="E427" s="7">
        <v>4312</v>
      </c>
      <c r="F427" s="7" t="s">
        <v>3789</v>
      </c>
      <c r="G427" s="23">
        <v>28.3</v>
      </c>
      <c r="H427" s="34">
        <f>Tabela1[[#This Row],[PESO UNI]]*Tabela1[[#This Row],[QTE]]</f>
        <v>56.6</v>
      </c>
      <c r="I427" s="7">
        <v>1</v>
      </c>
      <c r="J427" s="8" t="s">
        <v>3790</v>
      </c>
      <c r="K427" s="8" t="s">
        <v>327</v>
      </c>
      <c r="L427" s="9" t="s">
        <v>2069</v>
      </c>
      <c r="M427" s="10">
        <v>46181</v>
      </c>
      <c r="N427" s="8" t="s">
        <v>327</v>
      </c>
      <c r="O427" s="12"/>
      <c r="P427" s="13"/>
      <c r="Q427" s="14">
        <f>Tabela1[[#This Row],[QTDE/ Fabricação]]-Tabela1[[#This Row],[QTE]]</f>
        <v>-2</v>
      </c>
      <c r="R427" s="18">
        <f t="shared" si="68"/>
        <v>41.034999999999997</v>
      </c>
      <c r="S427" s="18">
        <f t="shared" si="66"/>
        <v>0</v>
      </c>
      <c r="T427" s="19">
        <f t="shared" si="70"/>
        <v>-56.6</v>
      </c>
      <c r="U427" s="16">
        <f>IFERROR(SUMIF('LISTA DE EMBARQUE'!B:B,MICRO!E:E,'LISTA DE EMBARQUE'!G:G),"")</f>
        <v>0</v>
      </c>
      <c r="V427" s="12" t="str">
        <f>IFERROR(VLOOKUP(Tabela1[[#This Row],[COD.MDE]],'LISTA DE EMBARQUE'!B:L,11,0),"")</f>
        <v/>
      </c>
      <c r="W427" s="13" t="str">
        <f>IFERROR(VLOOKUP(Tabela1[[#This Row],[COD.MDE]],'LISTA DE EMBARQUE'!B:M,12,0),"")</f>
        <v/>
      </c>
      <c r="X427" s="14">
        <f>IFERROR(Tabela1[[#This Row],[QIANTIDADE EXPEDIDA]]*Tabela1[[#This Row],[PESO UNI]],"")</f>
        <v>0</v>
      </c>
      <c r="Y427" s="14">
        <f t="shared" si="71"/>
        <v>-2</v>
      </c>
      <c r="Z427" s="20">
        <f>Tabela1[[#This Row],[PESO TOTAL]]-Tabela1[[#This Row],[Peso Expedido]]</f>
        <v>56.6</v>
      </c>
      <c r="AA427" s="17">
        <v>1</v>
      </c>
      <c r="AB427" s="33"/>
      <c r="AC427" s="33">
        <v>1</v>
      </c>
      <c r="AD427" s="33">
        <v>1</v>
      </c>
      <c r="AE427" s="33">
        <v>0</v>
      </c>
      <c r="AF427" s="33">
        <v>0</v>
      </c>
      <c r="AG427" s="33">
        <v>0</v>
      </c>
      <c r="AH427" s="33"/>
      <c r="AI427" s="33" t="str">
        <f t="shared" si="69"/>
        <v/>
      </c>
      <c r="AJ427" s="5"/>
      <c r="AK427" t="str">
        <f>Tabela1[[#This Row],[Coluna1]]&amp;Tabela1[[#This Row],[PEDIDO]]</f>
        <v>P-188</v>
      </c>
      <c r="AL427"/>
      <c r="AM427"/>
      <c r="AN427"/>
      <c r="AO427" t="str">
        <f t="shared" si="67"/>
        <v>T-072966-1/1073-TC-006/007</v>
      </c>
      <c r="AP427" t="str">
        <f>Tabela1[[#This Row],[TAG]]&amp;Tabela1[[#This Row],[PEDIDO]]&amp;Tabela1[[#This Row],[PRODUTO]]</f>
        <v>1073-TC-006/007P-188RMF</v>
      </c>
      <c r="AQ427" s="22" t="str">
        <f>Tabela1[[#This Row],[PRODUTO]]&amp;Tabela1[[#This Row],[TAG]]</f>
        <v>RMF1073-TC-006/007</v>
      </c>
      <c r="AR427" s="24" t="str">
        <f>Tabela1[[#This Row],[PEDIDO]]&amp;Tabela1[[#This Row],[PRODUTO]]</f>
        <v>P-188RMF</v>
      </c>
      <c r="AS427" s="37">
        <f>IF(AF427="",0,IF(ISTEXT(AF427),H427*VALUE(SUBSTITUTE(AF427,"%",""))/100,H427*AF427))-Tabela1[[#This Row],[PRONTO ACABADO2]]</f>
        <v>0</v>
      </c>
      <c r="AT427" s="37">
        <f>IF(AG427="",0,IF(ISTEXT(AG427),H427*VALUE(SUBSTITUTE(AG427,"%",""))/100,H427*AG427))-Tabela1[[#This Row],[PESO EXPEDIDO2]]</f>
        <v>0</v>
      </c>
      <c r="AU427" s="37">
        <f t="shared" si="72"/>
        <v>0</v>
      </c>
      <c r="AV427" s="37">
        <f t="shared" si="73"/>
        <v>0</v>
      </c>
      <c r="AW427" s="37"/>
    </row>
    <row r="428" spans="1:49" ht="15.75" customHeight="1" x14ac:dyDescent="0.25">
      <c r="A428" s="6" t="s">
        <v>4064</v>
      </c>
      <c r="B428" s="21" t="s">
        <v>3774</v>
      </c>
      <c r="C428" s="7">
        <v>1</v>
      </c>
      <c r="D428" s="39" t="s">
        <v>3777</v>
      </c>
      <c r="E428" s="7">
        <v>4313</v>
      </c>
      <c r="F428" s="7" t="s">
        <v>4065</v>
      </c>
      <c r="G428" s="23">
        <v>43.8</v>
      </c>
      <c r="H428" s="34">
        <f>Tabela1[[#This Row],[PESO UNI]]*Tabela1[[#This Row],[QTE]]</f>
        <v>43.8</v>
      </c>
      <c r="I428" s="7">
        <v>0</v>
      </c>
      <c r="J428" s="8" t="s">
        <v>2274</v>
      </c>
      <c r="K428" s="8" t="s">
        <v>327</v>
      </c>
      <c r="L428" s="9" t="s">
        <v>2069</v>
      </c>
      <c r="M428" s="10">
        <v>46181</v>
      </c>
      <c r="N428" s="8" t="s">
        <v>327</v>
      </c>
      <c r="O428" s="12"/>
      <c r="P428" s="13"/>
      <c r="Q428" s="14">
        <f>Tabela1[[#This Row],[QTDE/ Fabricação]]-Tabela1[[#This Row],[QTE]]</f>
        <v>-1</v>
      </c>
      <c r="R428" s="18">
        <f t="shared" si="68"/>
        <v>20.804999999999996</v>
      </c>
      <c r="S428" s="18">
        <f t="shared" si="66"/>
        <v>0</v>
      </c>
      <c r="T428" s="19">
        <f t="shared" si="70"/>
        <v>-43.8</v>
      </c>
      <c r="U428" s="16">
        <f>IFERROR(SUMIF('LISTA DE EMBARQUE'!B:B,MICRO!E:E,'LISTA DE EMBARQUE'!G:G),"")</f>
        <v>0</v>
      </c>
      <c r="V428" s="12" t="str">
        <f>IFERROR(VLOOKUP(Tabela1[[#This Row],[COD.MDE]],'LISTA DE EMBARQUE'!B:L,11,0),"")</f>
        <v/>
      </c>
      <c r="W428" s="13" t="str">
        <f>IFERROR(VLOOKUP(Tabela1[[#This Row],[COD.MDE]],'LISTA DE EMBARQUE'!B:M,12,0),"")</f>
        <v/>
      </c>
      <c r="X428" s="14">
        <f>IFERROR(Tabela1[[#This Row],[QIANTIDADE EXPEDIDA]]*Tabela1[[#This Row],[PESO UNI]],"")</f>
        <v>0</v>
      </c>
      <c r="Y428" s="14">
        <f t="shared" si="71"/>
        <v>-1</v>
      </c>
      <c r="Z428" s="20">
        <f>Tabela1[[#This Row],[PESO TOTAL]]-Tabela1[[#This Row],[Peso Expedido]]</f>
        <v>43.8</v>
      </c>
      <c r="AA428" s="17">
        <v>0</v>
      </c>
      <c r="AB428" s="33"/>
      <c r="AC428" s="33">
        <v>1</v>
      </c>
      <c r="AD428" s="33">
        <v>1</v>
      </c>
      <c r="AE428" s="33">
        <v>0</v>
      </c>
      <c r="AF428" s="33">
        <v>0</v>
      </c>
      <c r="AG428" s="33">
        <v>0</v>
      </c>
      <c r="AH428" s="33"/>
      <c r="AI428" s="33" t="str">
        <f t="shared" si="69"/>
        <v/>
      </c>
      <c r="AJ428" s="5"/>
      <c r="AK428" t="str">
        <f>Tabela1[[#This Row],[Coluna1]]&amp;Tabela1[[#This Row],[PEDIDO]]</f>
        <v>P-188</v>
      </c>
      <c r="AL428"/>
      <c r="AM428"/>
      <c r="AN428"/>
      <c r="AO428" t="str">
        <f t="shared" si="67"/>
        <v>T-073005-1/1073-TC-006</v>
      </c>
      <c r="AP428" t="str">
        <f>Tabela1[[#This Row],[TAG]]&amp;Tabela1[[#This Row],[PEDIDO]]&amp;Tabela1[[#This Row],[PRODUTO]]</f>
        <v>1073-TC-006P-188RMF</v>
      </c>
      <c r="AQ428" s="22" t="str">
        <f>Tabela1[[#This Row],[PRODUTO]]&amp;Tabela1[[#This Row],[TAG]]</f>
        <v>RMF1073-TC-006</v>
      </c>
      <c r="AR428" s="24" t="str">
        <f>Tabela1[[#This Row],[PEDIDO]]&amp;Tabela1[[#This Row],[PRODUTO]]</f>
        <v>P-188RMF</v>
      </c>
      <c r="AS428" s="37">
        <f>IF(AF428="",0,IF(ISTEXT(AF428),H428*VALUE(SUBSTITUTE(AF428,"%",""))/100,H428*AF428))-Tabela1[[#This Row],[PRONTO ACABADO2]]</f>
        <v>0</v>
      </c>
      <c r="AT428" s="37">
        <f>IF(AG428="",0,IF(ISTEXT(AG428),H428*VALUE(SUBSTITUTE(AG428,"%",""))/100,H428*AG428))-Tabela1[[#This Row],[PESO EXPEDIDO2]]</f>
        <v>0</v>
      </c>
      <c r="AU428" s="37">
        <f t="shared" si="72"/>
        <v>0</v>
      </c>
      <c r="AV428" s="37">
        <f t="shared" si="73"/>
        <v>0</v>
      </c>
      <c r="AW428" s="37"/>
    </row>
    <row r="429" spans="1:49" ht="15.75" customHeight="1" x14ac:dyDescent="0.25">
      <c r="A429" s="6" t="s">
        <v>4064</v>
      </c>
      <c r="B429" s="21" t="s">
        <v>3776</v>
      </c>
      <c r="C429" s="7">
        <v>4</v>
      </c>
      <c r="D429" s="39" t="s">
        <v>4066</v>
      </c>
      <c r="E429" s="7">
        <v>4314</v>
      </c>
      <c r="F429" s="7" t="s">
        <v>4065</v>
      </c>
      <c r="G429" s="23">
        <v>0.4</v>
      </c>
      <c r="H429" s="34">
        <f>Tabela1[[#This Row],[PESO UNI]]*Tabela1[[#This Row],[QTE]]</f>
        <v>1.6</v>
      </c>
      <c r="I429" s="7">
        <v>0</v>
      </c>
      <c r="J429" s="8" t="s">
        <v>2274</v>
      </c>
      <c r="K429" s="8" t="s">
        <v>327</v>
      </c>
      <c r="L429" s="9" t="s">
        <v>2069</v>
      </c>
      <c r="M429" s="10">
        <v>46181</v>
      </c>
      <c r="N429" s="8" t="s">
        <v>327</v>
      </c>
      <c r="O429" s="12"/>
      <c r="P429" s="13"/>
      <c r="Q429" s="14">
        <f>Tabela1[[#This Row],[QTDE/ Fabricação]]-Tabela1[[#This Row],[QTE]]</f>
        <v>-4</v>
      </c>
      <c r="R429" s="18">
        <f t="shared" si="68"/>
        <v>1.2000000000000002</v>
      </c>
      <c r="S429" s="18">
        <f t="shared" si="66"/>
        <v>0</v>
      </c>
      <c r="T429" s="19">
        <f t="shared" si="70"/>
        <v>-1.6</v>
      </c>
      <c r="U429" s="16">
        <f>IFERROR(SUMIF('LISTA DE EMBARQUE'!B:B,MICRO!E:E,'LISTA DE EMBARQUE'!G:G),"")</f>
        <v>0</v>
      </c>
      <c r="V429" s="12" t="str">
        <f>IFERROR(VLOOKUP(Tabela1[[#This Row],[COD.MDE]],'LISTA DE EMBARQUE'!B:L,11,0),"")</f>
        <v/>
      </c>
      <c r="W429" s="13" t="str">
        <f>IFERROR(VLOOKUP(Tabela1[[#This Row],[COD.MDE]],'LISTA DE EMBARQUE'!B:M,12,0),"")</f>
        <v/>
      </c>
      <c r="X429" s="14">
        <f>IFERROR(Tabela1[[#This Row],[QIANTIDADE EXPEDIDA]]*Tabela1[[#This Row],[PESO UNI]],"")</f>
        <v>0</v>
      </c>
      <c r="Y429" s="14">
        <f t="shared" si="71"/>
        <v>-4</v>
      </c>
      <c r="Z429" s="20">
        <f>Tabela1[[#This Row],[PESO TOTAL]]-Tabela1[[#This Row],[Peso Expedido]]</f>
        <v>1.6</v>
      </c>
      <c r="AA429" s="17">
        <v>0</v>
      </c>
      <c r="AB429" s="33"/>
      <c r="AC429" s="33">
        <v>1</v>
      </c>
      <c r="AD429" s="33">
        <v>1</v>
      </c>
      <c r="AE429" s="33">
        <v>1</v>
      </c>
      <c r="AF429" s="33">
        <v>1</v>
      </c>
      <c r="AG429" s="33">
        <v>0</v>
      </c>
      <c r="AH429" s="33"/>
      <c r="AI429" s="33" t="str">
        <f t="shared" si="69"/>
        <v/>
      </c>
      <c r="AJ429" s="5"/>
      <c r="AK429" t="str">
        <f>Tabela1[[#This Row],[Coluna1]]&amp;Tabela1[[#This Row],[PEDIDO]]</f>
        <v>P-188</v>
      </c>
      <c r="AL429"/>
      <c r="AM429"/>
      <c r="AN429"/>
      <c r="AO429" t="str">
        <f t="shared" si="67"/>
        <v>T-073005-1/1073-TC-006</v>
      </c>
      <c r="AP429" t="str">
        <f>Tabela1[[#This Row],[TAG]]&amp;Tabela1[[#This Row],[PEDIDO]]&amp;Tabela1[[#This Row],[PRODUTO]]</f>
        <v>1073-TC-006P-188RMF</v>
      </c>
      <c r="AQ429" s="22" t="str">
        <f>Tabela1[[#This Row],[PRODUTO]]&amp;Tabela1[[#This Row],[TAG]]</f>
        <v>RMF1073-TC-006</v>
      </c>
      <c r="AR429" s="24" t="str">
        <f>Tabela1[[#This Row],[PEDIDO]]&amp;Tabela1[[#This Row],[PRODUTO]]</f>
        <v>P-188RMF</v>
      </c>
      <c r="AS429" s="37">
        <f>IF(AF429="",0,IF(ISTEXT(AF429),H429*VALUE(SUBSTITUTE(AF429,"%",""))/100,H429*AF429))-Tabela1[[#This Row],[PRONTO ACABADO2]]</f>
        <v>1.6</v>
      </c>
      <c r="AT429" s="37">
        <f>IF(AG429="",0,IF(ISTEXT(AG429),H429*VALUE(SUBSTITUTE(AG429,"%",""))/100,H429*AG429))-Tabela1[[#This Row],[PESO EXPEDIDO2]]</f>
        <v>0</v>
      </c>
      <c r="AU429" s="37">
        <f t="shared" si="72"/>
        <v>0</v>
      </c>
      <c r="AV429" s="37">
        <f t="shared" si="73"/>
        <v>0</v>
      </c>
      <c r="AW429" s="37"/>
    </row>
    <row r="430" spans="1:49" ht="15.75" customHeight="1" x14ac:dyDescent="0.25">
      <c r="A430" s="6" t="s">
        <v>4064</v>
      </c>
      <c r="B430" s="21" t="s">
        <v>3778</v>
      </c>
      <c r="C430" s="7">
        <v>4</v>
      </c>
      <c r="D430" s="39" t="s">
        <v>4067</v>
      </c>
      <c r="E430" s="7">
        <v>4315</v>
      </c>
      <c r="F430" s="7" t="s">
        <v>4065</v>
      </c>
      <c r="G430" s="23">
        <v>0.9</v>
      </c>
      <c r="H430" s="34">
        <f>Tabela1[[#This Row],[PESO UNI]]*Tabela1[[#This Row],[QTE]]</f>
        <v>3.6</v>
      </c>
      <c r="I430" s="7">
        <v>0</v>
      </c>
      <c r="J430" s="8" t="s">
        <v>2274</v>
      </c>
      <c r="K430" s="8" t="s">
        <v>327</v>
      </c>
      <c r="L430" s="9" t="s">
        <v>2069</v>
      </c>
      <c r="M430" s="10">
        <v>46181</v>
      </c>
      <c r="N430" s="8" t="s">
        <v>327</v>
      </c>
      <c r="O430" s="12"/>
      <c r="P430" s="13"/>
      <c r="Q430" s="14">
        <f>Tabela1[[#This Row],[QTDE/ Fabricação]]-Tabela1[[#This Row],[QTE]]</f>
        <v>-4</v>
      </c>
      <c r="R430" s="18">
        <f t="shared" si="68"/>
        <v>2.7</v>
      </c>
      <c r="S430" s="18">
        <f t="shared" si="66"/>
        <v>0</v>
      </c>
      <c r="T430" s="19">
        <f t="shared" si="70"/>
        <v>-3.6</v>
      </c>
      <c r="U430" s="16">
        <f>IFERROR(SUMIF('LISTA DE EMBARQUE'!B:B,MICRO!E:E,'LISTA DE EMBARQUE'!G:G),"")</f>
        <v>0</v>
      </c>
      <c r="V430" s="12" t="str">
        <f>IFERROR(VLOOKUP(Tabela1[[#This Row],[COD.MDE]],'LISTA DE EMBARQUE'!B:L,11,0),"")</f>
        <v/>
      </c>
      <c r="W430" s="13" t="str">
        <f>IFERROR(VLOOKUP(Tabela1[[#This Row],[COD.MDE]],'LISTA DE EMBARQUE'!B:M,12,0),"")</f>
        <v/>
      </c>
      <c r="X430" s="14">
        <f>IFERROR(Tabela1[[#This Row],[QIANTIDADE EXPEDIDA]]*Tabela1[[#This Row],[PESO UNI]],"")</f>
        <v>0</v>
      </c>
      <c r="Y430" s="14">
        <f t="shared" si="71"/>
        <v>-4</v>
      </c>
      <c r="Z430" s="20">
        <f>Tabela1[[#This Row],[PESO TOTAL]]-Tabela1[[#This Row],[Peso Expedido]]</f>
        <v>3.6</v>
      </c>
      <c r="AA430" s="17">
        <v>0</v>
      </c>
      <c r="AB430" s="33"/>
      <c r="AC430" s="33">
        <v>1</v>
      </c>
      <c r="AD430" s="33">
        <v>1</v>
      </c>
      <c r="AE430" s="33">
        <v>1</v>
      </c>
      <c r="AF430" s="33">
        <v>1</v>
      </c>
      <c r="AG430" s="33">
        <v>0</v>
      </c>
      <c r="AH430" s="33"/>
      <c r="AI430" s="33" t="str">
        <f t="shared" si="69"/>
        <v/>
      </c>
      <c r="AJ430" s="5"/>
      <c r="AK430" t="str">
        <f>Tabela1[[#This Row],[Coluna1]]&amp;Tabela1[[#This Row],[PEDIDO]]</f>
        <v>P-188</v>
      </c>
      <c r="AL430"/>
      <c r="AM430"/>
      <c r="AN430"/>
      <c r="AO430" t="str">
        <f t="shared" si="67"/>
        <v>T-073005-1/1073-TC-006</v>
      </c>
      <c r="AP430" t="str">
        <f>Tabela1[[#This Row],[TAG]]&amp;Tabela1[[#This Row],[PEDIDO]]&amp;Tabela1[[#This Row],[PRODUTO]]</f>
        <v>1073-TC-006P-188RMF</v>
      </c>
      <c r="AQ430" s="22" t="str">
        <f>Tabela1[[#This Row],[PRODUTO]]&amp;Tabela1[[#This Row],[TAG]]</f>
        <v>RMF1073-TC-006</v>
      </c>
      <c r="AR430" s="24" t="str">
        <f>Tabela1[[#This Row],[PEDIDO]]&amp;Tabela1[[#This Row],[PRODUTO]]</f>
        <v>P-188RMF</v>
      </c>
      <c r="AS430" s="37">
        <f>IF(AF430="",0,IF(ISTEXT(AF430),H430*VALUE(SUBSTITUTE(AF430,"%",""))/100,H430*AF430))-Tabela1[[#This Row],[PRONTO ACABADO2]]</f>
        <v>3.6</v>
      </c>
      <c r="AT430" s="37">
        <f>IF(AG430="",0,IF(ISTEXT(AG430),H430*VALUE(SUBSTITUTE(AG430,"%",""))/100,H430*AG430))-Tabela1[[#This Row],[PESO EXPEDIDO2]]</f>
        <v>0</v>
      </c>
      <c r="AU430" s="37">
        <f t="shared" si="72"/>
        <v>0</v>
      </c>
      <c r="AV430" s="37">
        <f t="shared" si="73"/>
        <v>0</v>
      </c>
      <c r="AW430" s="37"/>
    </row>
    <row r="431" spans="1:49" ht="15.75" customHeight="1" x14ac:dyDescent="0.25">
      <c r="A431" s="6" t="s">
        <v>4064</v>
      </c>
      <c r="B431" s="21" t="s">
        <v>3983</v>
      </c>
      <c r="C431" s="7">
        <v>1</v>
      </c>
      <c r="D431" s="39" t="s">
        <v>4068</v>
      </c>
      <c r="E431" s="7">
        <v>4316</v>
      </c>
      <c r="F431" s="7" t="s">
        <v>4065</v>
      </c>
      <c r="G431" s="23">
        <v>4.4000000000000004</v>
      </c>
      <c r="H431" s="34">
        <f>Tabela1[[#This Row],[PESO UNI]]*Tabela1[[#This Row],[QTE]]</f>
        <v>4.4000000000000004</v>
      </c>
      <c r="I431" s="7">
        <v>0</v>
      </c>
      <c r="J431" s="8" t="s">
        <v>2274</v>
      </c>
      <c r="K431" s="8" t="s">
        <v>327</v>
      </c>
      <c r="L431" s="9" t="s">
        <v>2069</v>
      </c>
      <c r="M431" s="10">
        <v>46181</v>
      </c>
      <c r="N431" s="8" t="s">
        <v>327</v>
      </c>
      <c r="O431" s="12"/>
      <c r="P431" s="13"/>
      <c r="Q431" s="14">
        <f>Tabela1[[#This Row],[QTDE/ Fabricação]]-Tabela1[[#This Row],[QTE]]</f>
        <v>-1</v>
      </c>
      <c r="R431" s="18">
        <f t="shared" si="68"/>
        <v>3.3000000000000003</v>
      </c>
      <c r="S431" s="18">
        <f t="shared" si="66"/>
        <v>0</v>
      </c>
      <c r="T431" s="19">
        <f t="shared" si="70"/>
        <v>-4.4000000000000004</v>
      </c>
      <c r="U431" s="16">
        <f>IFERROR(SUMIF('LISTA DE EMBARQUE'!B:B,MICRO!E:E,'LISTA DE EMBARQUE'!G:G),"")</f>
        <v>0</v>
      </c>
      <c r="V431" s="12" t="str">
        <f>IFERROR(VLOOKUP(Tabela1[[#This Row],[COD.MDE]],'LISTA DE EMBARQUE'!B:L,11,0),"")</f>
        <v/>
      </c>
      <c r="W431" s="13" t="str">
        <f>IFERROR(VLOOKUP(Tabela1[[#This Row],[COD.MDE]],'LISTA DE EMBARQUE'!B:M,12,0),"")</f>
        <v/>
      </c>
      <c r="X431" s="14">
        <f>IFERROR(Tabela1[[#This Row],[QIANTIDADE EXPEDIDA]]*Tabela1[[#This Row],[PESO UNI]],"")</f>
        <v>0</v>
      </c>
      <c r="Y431" s="14">
        <f t="shared" si="71"/>
        <v>-1</v>
      </c>
      <c r="Z431" s="20">
        <f>Tabela1[[#This Row],[PESO TOTAL]]-Tabela1[[#This Row],[Peso Expedido]]</f>
        <v>4.4000000000000004</v>
      </c>
      <c r="AA431" s="17">
        <v>0</v>
      </c>
      <c r="AB431" s="33"/>
      <c r="AC431" s="33">
        <v>1</v>
      </c>
      <c r="AD431" s="33">
        <v>1</v>
      </c>
      <c r="AE431" s="33">
        <v>1</v>
      </c>
      <c r="AF431" s="33">
        <v>1</v>
      </c>
      <c r="AG431" s="33">
        <v>0</v>
      </c>
      <c r="AH431" s="33"/>
      <c r="AI431" s="33" t="str">
        <f t="shared" si="69"/>
        <v/>
      </c>
      <c r="AJ431" s="5"/>
      <c r="AK431" t="str">
        <f>Tabela1[[#This Row],[Coluna1]]&amp;Tabela1[[#This Row],[PEDIDO]]</f>
        <v>P-188</v>
      </c>
      <c r="AL431"/>
      <c r="AM431"/>
      <c r="AN431"/>
      <c r="AO431" t="str">
        <f t="shared" si="67"/>
        <v>T-073005-1/1073-TC-006</v>
      </c>
      <c r="AP431" t="str">
        <f>Tabela1[[#This Row],[TAG]]&amp;Tabela1[[#This Row],[PEDIDO]]&amp;Tabela1[[#This Row],[PRODUTO]]</f>
        <v>1073-TC-006P-188RMF</v>
      </c>
      <c r="AQ431" s="22" t="str">
        <f>Tabela1[[#This Row],[PRODUTO]]&amp;Tabela1[[#This Row],[TAG]]</f>
        <v>RMF1073-TC-006</v>
      </c>
      <c r="AR431" s="24" t="str">
        <f>Tabela1[[#This Row],[PEDIDO]]&amp;Tabela1[[#This Row],[PRODUTO]]</f>
        <v>P-188RMF</v>
      </c>
      <c r="AS431" s="37">
        <f>IF(AF431="",0,IF(ISTEXT(AF431),H431*VALUE(SUBSTITUTE(AF431,"%",""))/100,H431*AF431))-Tabela1[[#This Row],[PRONTO ACABADO2]]</f>
        <v>4.4000000000000004</v>
      </c>
      <c r="AT431" s="37">
        <f>IF(AG431="",0,IF(ISTEXT(AG431),H431*VALUE(SUBSTITUTE(AG431,"%",""))/100,H431*AG431))-Tabela1[[#This Row],[PESO EXPEDIDO2]]</f>
        <v>0</v>
      </c>
      <c r="AU431" s="37">
        <f t="shared" si="72"/>
        <v>0</v>
      </c>
      <c r="AV431" s="37">
        <f t="shared" si="73"/>
        <v>0</v>
      </c>
      <c r="AW431" s="37"/>
    </row>
    <row r="432" spans="1:49" ht="15.75" customHeight="1" x14ac:dyDescent="0.25">
      <c r="A432" s="6" t="s">
        <v>4064</v>
      </c>
      <c r="B432" s="21" t="s">
        <v>4002</v>
      </c>
      <c r="C432" s="7">
        <v>1</v>
      </c>
      <c r="D432" s="39" t="s">
        <v>4068</v>
      </c>
      <c r="E432" s="7">
        <v>4317</v>
      </c>
      <c r="F432" s="7" t="s">
        <v>4065</v>
      </c>
      <c r="G432" s="23">
        <v>3.9</v>
      </c>
      <c r="H432" s="34">
        <f>Tabela1[[#This Row],[PESO UNI]]*Tabela1[[#This Row],[QTE]]</f>
        <v>3.9</v>
      </c>
      <c r="I432" s="7">
        <v>0</v>
      </c>
      <c r="J432" s="8" t="s">
        <v>2274</v>
      </c>
      <c r="K432" s="8" t="s">
        <v>327</v>
      </c>
      <c r="L432" s="9" t="s">
        <v>2069</v>
      </c>
      <c r="M432" s="10">
        <v>46181</v>
      </c>
      <c r="N432" s="8" t="s">
        <v>327</v>
      </c>
      <c r="O432" s="12"/>
      <c r="P432" s="13"/>
      <c r="Q432" s="14">
        <f>Tabela1[[#This Row],[QTDE/ Fabricação]]-Tabela1[[#This Row],[QTE]]</f>
        <v>-1</v>
      </c>
      <c r="R432" s="18">
        <f t="shared" si="68"/>
        <v>2.9249999999999998</v>
      </c>
      <c r="S432" s="18">
        <f t="shared" si="66"/>
        <v>0</v>
      </c>
      <c r="T432" s="19">
        <f t="shared" si="70"/>
        <v>-3.9</v>
      </c>
      <c r="U432" s="16">
        <f>IFERROR(SUMIF('LISTA DE EMBARQUE'!B:B,MICRO!E:E,'LISTA DE EMBARQUE'!G:G),"")</f>
        <v>0</v>
      </c>
      <c r="V432" s="12" t="str">
        <f>IFERROR(VLOOKUP(Tabela1[[#This Row],[COD.MDE]],'LISTA DE EMBARQUE'!B:L,11,0),"")</f>
        <v/>
      </c>
      <c r="W432" s="13" t="str">
        <f>IFERROR(VLOOKUP(Tabela1[[#This Row],[COD.MDE]],'LISTA DE EMBARQUE'!B:M,12,0),"")</f>
        <v/>
      </c>
      <c r="X432" s="14">
        <f>IFERROR(Tabela1[[#This Row],[QIANTIDADE EXPEDIDA]]*Tabela1[[#This Row],[PESO UNI]],"")</f>
        <v>0</v>
      </c>
      <c r="Y432" s="14">
        <f t="shared" si="71"/>
        <v>-1</v>
      </c>
      <c r="Z432" s="20">
        <f>Tabela1[[#This Row],[PESO TOTAL]]-Tabela1[[#This Row],[Peso Expedido]]</f>
        <v>3.9</v>
      </c>
      <c r="AA432" s="17">
        <v>0</v>
      </c>
      <c r="AB432" s="33"/>
      <c r="AC432" s="33">
        <v>1</v>
      </c>
      <c r="AD432" s="33">
        <v>1</v>
      </c>
      <c r="AE432" s="33">
        <v>1</v>
      </c>
      <c r="AF432" s="33">
        <v>1</v>
      </c>
      <c r="AG432" s="33">
        <v>0</v>
      </c>
      <c r="AH432" s="33"/>
      <c r="AI432" s="33" t="str">
        <f t="shared" si="69"/>
        <v/>
      </c>
      <c r="AJ432" s="5"/>
      <c r="AK432" t="str">
        <f>Tabela1[[#This Row],[Coluna1]]&amp;Tabela1[[#This Row],[PEDIDO]]</f>
        <v>P-188</v>
      </c>
      <c r="AL432"/>
      <c r="AM432"/>
      <c r="AN432"/>
      <c r="AO432" t="str">
        <f t="shared" si="67"/>
        <v>T-073005-1/1073-TC-006</v>
      </c>
      <c r="AP432" t="str">
        <f>Tabela1[[#This Row],[TAG]]&amp;Tabela1[[#This Row],[PEDIDO]]&amp;Tabela1[[#This Row],[PRODUTO]]</f>
        <v>1073-TC-006P-188RMF</v>
      </c>
      <c r="AQ432" s="22" t="str">
        <f>Tabela1[[#This Row],[PRODUTO]]&amp;Tabela1[[#This Row],[TAG]]</f>
        <v>RMF1073-TC-006</v>
      </c>
      <c r="AR432" s="24" t="str">
        <f>Tabela1[[#This Row],[PEDIDO]]&amp;Tabela1[[#This Row],[PRODUTO]]</f>
        <v>P-188RMF</v>
      </c>
      <c r="AS432" s="37">
        <f>IF(AF432="",0,IF(ISTEXT(AF432),H432*VALUE(SUBSTITUTE(AF432,"%",""))/100,H432*AF432))-Tabela1[[#This Row],[PRONTO ACABADO2]]</f>
        <v>3.9</v>
      </c>
      <c r="AT432" s="37">
        <f>IF(AG432="",0,IF(ISTEXT(AG432),H432*VALUE(SUBSTITUTE(AG432,"%",""))/100,H432*AG432))-Tabela1[[#This Row],[PESO EXPEDIDO2]]</f>
        <v>0</v>
      </c>
      <c r="AU432" s="37">
        <f t="shared" si="72"/>
        <v>0</v>
      </c>
      <c r="AV432" s="37">
        <f t="shared" si="73"/>
        <v>0</v>
      </c>
      <c r="AW432" s="37"/>
    </row>
    <row r="433" spans="1:49" ht="15.75" customHeight="1" x14ac:dyDescent="0.25">
      <c r="A433" s="6" t="s">
        <v>4064</v>
      </c>
      <c r="B433" s="21" t="s">
        <v>3774</v>
      </c>
      <c r="C433" s="7">
        <v>1</v>
      </c>
      <c r="D433" s="39" t="s">
        <v>3777</v>
      </c>
      <c r="E433" s="7">
        <v>4318</v>
      </c>
      <c r="F433" s="7" t="s">
        <v>4065</v>
      </c>
      <c r="G433" s="23">
        <v>43.8</v>
      </c>
      <c r="H433" s="34">
        <f>Tabela1[[#This Row],[PESO UNI]]*Tabela1[[#This Row],[QTE]]</f>
        <v>43.8</v>
      </c>
      <c r="I433" s="7">
        <v>0</v>
      </c>
      <c r="J433" s="8" t="s">
        <v>2276</v>
      </c>
      <c r="K433" s="8" t="s">
        <v>327</v>
      </c>
      <c r="L433" s="9" t="s">
        <v>2069</v>
      </c>
      <c r="M433" s="10">
        <v>46181</v>
      </c>
      <c r="N433" s="8" t="s">
        <v>327</v>
      </c>
      <c r="O433" s="12"/>
      <c r="P433" s="13"/>
      <c r="Q433" s="14">
        <f>Tabela1[[#This Row],[QTDE/ Fabricação]]-Tabela1[[#This Row],[QTE]]</f>
        <v>-1</v>
      </c>
      <c r="R433" s="18">
        <f t="shared" si="68"/>
        <v>20.804999999999996</v>
      </c>
      <c r="S433" s="18">
        <f t="shared" si="66"/>
        <v>0</v>
      </c>
      <c r="T433" s="19">
        <f t="shared" si="70"/>
        <v>-43.8</v>
      </c>
      <c r="U433" s="16">
        <f>IFERROR(SUMIF('LISTA DE EMBARQUE'!B:B,MICRO!E:E,'LISTA DE EMBARQUE'!G:G),"")</f>
        <v>0</v>
      </c>
      <c r="V433" s="12" t="str">
        <f>IFERROR(VLOOKUP(Tabela1[[#This Row],[COD.MDE]],'LISTA DE EMBARQUE'!B:L,11,0),"")</f>
        <v/>
      </c>
      <c r="W433" s="13" t="str">
        <f>IFERROR(VLOOKUP(Tabela1[[#This Row],[COD.MDE]],'LISTA DE EMBARQUE'!B:M,12,0),"")</f>
        <v/>
      </c>
      <c r="X433" s="14">
        <f>IFERROR(Tabela1[[#This Row],[QIANTIDADE EXPEDIDA]]*Tabela1[[#This Row],[PESO UNI]],"")</f>
        <v>0</v>
      </c>
      <c r="Y433" s="14">
        <f t="shared" si="71"/>
        <v>-1</v>
      </c>
      <c r="Z433" s="20">
        <f>Tabela1[[#This Row],[PESO TOTAL]]-Tabela1[[#This Row],[Peso Expedido]]</f>
        <v>43.8</v>
      </c>
      <c r="AA433" s="17">
        <v>0</v>
      </c>
      <c r="AB433" s="33"/>
      <c r="AC433" s="33">
        <v>1</v>
      </c>
      <c r="AD433" s="33">
        <v>1</v>
      </c>
      <c r="AE433" s="33">
        <v>0</v>
      </c>
      <c r="AF433" s="33">
        <v>0</v>
      </c>
      <c r="AG433" s="33">
        <v>0</v>
      </c>
      <c r="AH433" s="33"/>
      <c r="AI433" s="33" t="str">
        <f t="shared" si="69"/>
        <v/>
      </c>
      <c r="AJ433" s="5"/>
      <c r="AK433" t="str">
        <f>Tabela1[[#This Row],[Coluna1]]&amp;Tabela1[[#This Row],[PEDIDO]]</f>
        <v>P-188</v>
      </c>
      <c r="AL433"/>
      <c r="AM433"/>
      <c r="AN433"/>
      <c r="AO433" t="str">
        <f t="shared" si="67"/>
        <v>T-073005-1/1073-TC-007</v>
      </c>
      <c r="AP433" t="str">
        <f>Tabela1[[#This Row],[TAG]]&amp;Tabela1[[#This Row],[PEDIDO]]&amp;Tabela1[[#This Row],[PRODUTO]]</f>
        <v>1073-TC-007P-188RMF</v>
      </c>
      <c r="AQ433" s="22" t="str">
        <f>Tabela1[[#This Row],[PRODUTO]]&amp;Tabela1[[#This Row],[TAG]]</f>
        <v>RMF1073-TC-007</v>
      </c>
      <c r="AR433" s="24" t="str">
        <f>Tabela1[[#This Row],[PEDIDO]]&amp;Tabela1[[#This Row],[PRODUTO]]</f>
        <v>P-188RMF</v>
      </c>
      <c r="AS433" s="37">
        <f>IF(AF433="",0,IF(ISTEXT(AF433),H433*VALUE(SUBSTITUTE(AF433,"%",""))/100,H433*AF433))-Tabela1[[#This Row],[PRONTO ACABADO2]]</f>
        <v>0</v>
      </c>
      <c r="AT433" s="37">
        <f>IF(AG433="",0,IF(ISTEXT(AG433),H433*VALUE(SUBSTITUTE(AG433,"%",""))/100,H433*AG433))-Tabela1[[#This Row],[PESO EXPEDIDO2]]</f>
        <v>0</v>
      </c>
      <c r="AU433" s="37">
        <f t="shared" si="72"/>
        <v>0</v>
      </c>
      <c r="AV433" s="37">
        <f t="shared" si="73"/>
        <v>0</v>
      </c>
      <c r="AW433" s="37"/>
    </row>
    <row r="434" spans="1:49" ht="15.75" customHeight="1" x14ac:dyDescent="0.25">
      <c r="A434" s="6" t="s">
        <v>4064</v>
      </c>
      <c r="B434" s="21" t="s">
        <v>3776</v>
      </c>
      <c r="C434" s="7">
        <v>4</v>
      </c>
      <c r="D434" s="39" t="s">
        <v>4066</v>
      </c>
      <c r="E434" s="7">
        <v>4319</v>
      </c>
      <c r="F434" s="7" t="s">
        <v>4065</v>
      </c>
      <c r="G434" s="23">
        <v>0.4</v>
      </c>
      <c r="H434" s="34">
        <f>Tabela1[[#This Row],[PESO UNI]]*Tabela1[[#This Row],[QTE]]</f>
        <v>1.6</v>
      </c>
      <c r="I434" s="7">
        <v>0</v>
      </c>
      <c r="J434" s="8" t="s">
        <v>2276</v>
      </c>
      <c r="K434" s="8" t="s">
        <v>327</v>
      </c>
      <c r="L434" s="9" t="s">
        <v>2069</v>
      </c>
      <c r="M434" s="10">
        <v>46181</v>
      </c>
      <c r="N434" s="8" t="s">
        <v>327</v>
      </c>
      <c r="O434" s="12"/>
      <c r="P434" s="13"/>
      <c r="Q434" s="14">
        <f>Tabela1[[#This Row],[QTDE/ Fabricação]]-Tabela1[[#This Row],[QTE]]</f>
        <v>-4</v>
      </c>
      <c r="R434" s="18">
        <f t="shared" si="68"/>
        <v>1.6</v>
      </c>
      <c r="S434" s="18">
        <f t="shared" si="66"/>
        <v>0</v>
      </c>
      <c r="T434" s="19">
        <f t="shared" si="70"/>
        <v>-1.6</v>
      </c>
      <c r="U434" s="16">
        <f>IFERROR(SUMIF('LISTA DE EMBARQUE'!B:B,MICRO!E:E,'LISTA DE EMBARQUE'!G:G),"")</f>
        <v>0</v>
      </c>
      <c r="V434" s="12" t="str">
        <f>IFERROR(VLOOKUP(Tabela1[[#This Row],[COD.MDE]],'LISTA DE EMBARQUE'!B:L,11,0),"")</f>
        <v/>
      </c>
      <c r="W434" s="13" t="str">
        <f>IFERROR(VLOOKUP(Tabela1[[#This Row],[COD.MDE]],'LISTA DE EMBARQUE'!B:M,12,0),"")</f>
        <v/>
      </c>
      <c r="X434" s="14">
        <f>IFERROR(Tabela1[[#This Row],[QIANTIDADE EXPEDIDA]]*Tabela1[[#This Row],[PESO UNI]],"")</f>
        <v>0</v>
      </c>
      <c r="Y434" s="14">
        <f t="shared" si="71"/>
        <v>-4</v>
      </c>
      <c r="Z434" s="20">
        <f>Tabela1[[#This Row],[PESO TOTAL]]-Tabela1[[#This Row],[Peso Expedido]]</f>
        <v>1.6</v>
      </c>
      <c r="AA434" s="17">
        <v>1</v>
      </c>
      <c r="AB434" s="33"/>
      <c r="AC434" s="33">
        <v>1</v>
      </c>
      <c r="AD434" s="33">
        <v>1</v>
      </c>
      <c r="AE434" s="33">
        <v>1</v>
      </c>
      <c r="AF434" s="33">
        <v>1</v>
      </c>
      <c r="AG434" s="33">
        <v>0</v>
      </c>
      <c r="AH434" s="33"/>
      <c r="AI434" s="33" t="str">
        <f t="shared" si="69"/>
        <v/>
      </c>
      <c r="AJ434" s="5"/>
      <c r="AK434" t="str">
        <f>Tabela1[[#This Row],[Coluna1]]&amp;Tabela1[[#This Row],[PEDIDO]]</f>
        <v>P-188</v>
      </c>
      <c r="AL434"/>
      <c r="AM434"/>
      <c r="AN434"/>
      <c r="AO434" t="str">
        <f t="shared" si="67"/>
        <v>T-073005-1/1073-TC-007</v>
      </c>
      <c r="AP434" t="str">
        <f>Tabela1[[#This Row],[TAG]]&amp;Tabela1[[#This Row],[PEDIDO]]&amp;Tabela1[[#This Row],[PRODUTO]]</f>
        <v>1073-TC-007P-188RMF</v>
      </c>
      <c r="AQ434" s="22" t="str">
        <f>Tabela1[[#This Row],[PRODUTO]]&amp;Tabela1[[#This Row],[TAG]]</f>
        <v>RMF1073-TC-007</v>
      </c>
      <c r="AR434" s="24" t="str">
        <f>Tabela1[[#This Row],[PEDIDO]]&amp;Tabela1[[#This Row],[PRODUTO]]</f>
        <v>P-188RMF</v>
      </c>
      <c r="AS434" s="37">
        <f>IF(AF434="",0,IF(ISTEXT(AF434),H434*VALUE(SUBSTITUTE(AF434,"%",""))/100,H434*AF434))-Tabela1[[#This Row],[PRONTO ACABADO2]]</f>
        <v>1.6</v>
      </c>
      <c r="AT434" s="37">
        <f>IF(AG434="",0,IF(ISTEXT(AG434),H434*VALUE(SUBSTITUTE(AG434,"%",""))/100,H434*AG434))-Tabela1[[#This Row],[PESO EXPEDIDO2]]</f>
        <v>0</v>
      </c>
      <c r="AU434" s="37">
        <f t="shared" si="72"/>
        <v>0</v>
      </c>
      <c r="AV434" s="37">
        <f t="shared" si="73"/>
        <v>0</v>
      </c>
      <c r="AW434" s="37"/>
    </row>
    <row r="435" spans="1:49" ht="15.75" customHeight="1" x14ac:dyDescent="0.25">
      <c r="A435" s="6" t="s">
        <v>4064</v>
      </c>
      <c r="B435" s="21" t="s">
        <v>3778</v>
      </c>
      <c r="C435" s="7">
        <v>4</v>
      </c>
      <c r="D435" s="39" t="s">
        <v>4067</v>
      </c>
      <c r="E435" s="7">
        <v>4320</v>
      </c>
      <c r="F435" s="7" t="s">
        <v>4065</v>
      </c>
      <c r="G435" s="23">
        <v>0.9</v>
      </c>
      <c r="H435" s="34">
        <f>Tabela1[[#This Row],[PESO UNI]]*Tabela1[[#This Row],[QTE]]</f>
        <v>3.6</v>
      </c>
      <c r="I435" s="7">
        <v>0</v>
      </c>
      <c r="J435" s="8" t="s">
        <v>2276</v>
      </c>
      <c r="K435" s="8" t="s">
        <v>327</v>
      </c>
      <c r="L435" s="9" t="s">
        <v>2069</v>
      </c>
      <c r="M435" s="10">
        <v>46181</v>
      </c>
      <c r="N435" s="8" t="s">
        <v>327</v>
      </c>
      <c r="O435" s="12"/>
      <c r="P435" s="13"/>
      <c r="Q435" s="14">
        <f>Tabela1[[#This Row],[QTDE/ Fabricação]]-Tabela1[[#This Row],[QTE]]</f>
        <v>-4</v>
      </c>
      <c r="R435" s="18">
        <f t="shared" si="68"/>
        <v>3.6</v>
      </c>
      <c r="S435" s="18">
        <f t="shared" si="66"/>
        <v>0</v>
      </c>
      <c r="T435" s="19">
        <f t="shared" si="70"/>
        <v>-3.6</v>
      </c>
      <c r="U435" s="16">
        <f>IFERROR(SUMIF('LISTA DE EMBARQUE'!B:B,MICRO!E:E,'LISTA DE EMBARQUE'!G:G),"")</f>
        <v>0</v>
      </c>
      <c r="V435" s="12" t="str">
        <f>IFERROR(VLOOKUP(Tabela1[[#This Row],[COD.MDE]],'LISTA DE EMBARQUE'!B:L,11,0),"")</f>
        <v/>
      </c>
      <c r="W435" s="13" t="str">
        <f>IFERROR(VLOOKUP(Tabela1[[#This Row],[COD.MDE]],'LISTA DE EMBARQUE'!B:M,12,0),"")</f>
        <v/>
      </c>
      <c r="X435" s="14">
        <f>IFERROR(Tabela1[[#This Row],[QIANTIDADE EXPEDIDA]]*Tabela1[[#This Row],[PESO UNI]],"")</f>
        <v>0</v>
      </c>
      <c r="Y435" s="14">
        <f t="shared" si="71"/>
        <v>-4</v>
      </c>
      <c r="Z435" s="20">
        <f>Tabela1[[#This Row],[PESO TOTAL]]-Tabela1[[#This Row],[Peso Expedido]]</f>
        <v>3.6</v>
      </c>
      <c r="AA435" s="17">
        <v>1</v>
      </c>
      <c r="AB435" s="33"/>
      <c r="AC435" s="33">
        <v>1</v>
      </c>
      <c r="AD435" s="33">
        <v>1</v>
      </c>
      <c r="AE435" s="33">
        <v>1</v>
      </c>
      <c r="AF435" s="33">
        <v>1</v>
      </c>
      <c r="AG435" s="33">
        <v>0</v>
      </c>
      <c r="AH435" s="33"/>
      <c r="AI435" s="33" t="str">
        <f t="shared" si="69"/>
        <v/>
      </c>
      <c r="AJ435" s="5"/>
      <c r="AK435" t="str">
        <f>Tabela1[[#This Row],[Coluna1]]&amp;Tabela1[[#This Row],[PEDIDO]]</f>
        <v>P-188</v>
      </c>
      <c r="AL435"/>
      <c r="AM435"/>
      <c r="AN435"/>
      <c r="AO435" t="str">
        <f t="shared" si="67"/>
        <v>T-073005-1/1073-TC-007</v>
      </c>
      <c r="AP435" t="str">
        <f>Tabela1[[#This Row],[TAG]]&amp;Tabela1[[#This Row],[PEDIDO]]&amp;Tabela1[[#This Row],[PRODUTO]]</f>
        <v>1073-TC-007P-188RMF</v>
      </c>
      <c r="AQ435" s="22" t="str">
        <f>Tabela1[[#This Row],[PRODUTO]]&amp;Tabela1[[#This Row],[TAG]]</f>
        <v>RMF1073-TC-007</v>
      </c>
      <c r="AR435" s="24" t="str">
        <f>Tabela1[[#This Row],[PEDIDO]]&amp;Tabela1[[#This Row],[PRODUTO]]</f>
        <v>P-188RMF</v>
      </c>
      <c r="AS435" s="37">
        <f>IF(AF435="",0,IF(ISTEXT(AF435),H435*VALUE(SUBSTITUTE(AF435,"%",""))/100,H435*AF435))-Tabela1[[#This Row],[PRONTO ACABADO2]]</f>
        <v>3.6</v>
      </c>
      <c r="AT435" s="37">
        <f>IF(AG435="",0,IF(ISTEXT(AG435),H435*VALUE(SUBSTITUTE(AG435,"%",""))/100,H435*AG435))-Tabela1[[#This Row],[PESO EXPEDIDO2]]</f>
        <v>0</v>
      </c>
      <c r="AU435" s="37">
        <f t="shared" si="72"/>
        <v>0</v>
      </c>
      <c r="AV435" s="37">
        <f t="shared" si="73"/>
        <v>0</v>
      </c>
      <c r="AW435" s="37"/>
    </row>
    <row r="436" spans="1:49" ht="15.75" customHeight="1" x14ac:dyDescent="0.25">
      <c r="A436" s="6" t="s">
        <v>4064</v>
      </c>
      <c r="B436" s="21" t="s">
        <v>3983</v>
      </c>
      <c r="C436" s="7">
        <v>1</v>
      </c>
      <c r="D436" s="39" t="s">
        <v>4068</v>
      </c>
      <c r="E436" s="7">
        <v>4321</v>
      </c>
      <c r="F436" s="7" t="s">
        <v>4065</v>
      </c>
      <c r="G436" s="23">
        <v>4.4000000000000004</v>
      </c>
      <c r="H436" s="34">
        <f>Tabela1[[#This Row],[PESO UNI]]*Tabela1[[#This Row],[QTE]]</f>
        <v>4.4000000000000004</v>
      </c>
      <c r="I436" s="7">
        <v>0</v>
      </c>
      <c r="J436" s="8" t="s">
        <v>2276</v>
      </c>
      <c r="K436" s="8" t="s">
        <v>327</v>
      </c>
      <c r="L436" s="9" t="s">
        <v>2069</v>
      </c>
      <c r="M436" s="10">
        <v>46181</v>
      </c>
      <c r="N436" s="8" t="s">
        <v>327</v>
      </c>
      <c r="O436" s="12"/>
      <c r="P436" s="13"/>
      <c r="Q436" s="14">
        <f>Tabela1[[#This Row],[QTDE/ Fabricação]]-Tabela1[[#This Row],[QTE]]</f>
        <v>-1</v>
      </c>
      <c r="R436" s="18">
        <f t="shared" si="68"/>
        <v>3.3000000000000003</v>
      </c>
      <c r="S436" s="18">
        <f t="shared" si="66"/>
        <v>0</v>
      </c>
      <c r="T436" s="19">
        <f t="shared" si="70"/>
        <v>-4.4000000000000004</v>
      </c>
      <c r="U436" s="16">
        <f>IFERROR(SUMIF('LISTA DE EMBARQUE'!B:B,MICRO!E:E,'LISTA DE EMBARQUE'!G:G),"")</f>
        <v>0</v>
      </c>
      <c r="V436" s="12" t="str">
        <f>IFERROR(VLOOKUP(Tabela1[[#This Row],[COD.MDE]],'LISTA DE EMBARQUE'!B:L,11,0),"")</f>
        <v/>
      </c>
      <c r="W436" s="13" t="str">
        <f>IFERROR(VLOOKUP(Tabela1[[#This Row],[COD.MDE]],'LISTA DE EMBARQUE'!B:M,12,0),"")</f>
        <v/>
      </c>
      <c r="X436" s="14">
        <f>IFERROR(Tabela1[[#This Row],[QIANTIDADE EXPEDIDA]]*Tabela1[[#This Row],[PESO UNI]],"")</f>
        <v>0</v>
      </c>
      <c r="Y436" s="14">
        <f t="shared" si="71"/>
        <v>-1</v>
      </c>
      <c r="Z436" s="20">
        <f>Tabela1[[#This Row],[PESO TOTAL]]-Tabela1[[#This Row],[Peso Expedido]]</f>
        <v>4.4000000000000004</v>
      </c>
      <c r="AA436" s="17">
        <v>0</v>
      </c>
      <c r="AB436" s="33"/>
      <c r="AC436" s="33">
        <v>1</v>
      </c>
      <c r="AD436" s="33">
        <v>1</v>
      </c>
      <c r="AE436" s="33">
        <v>1</v>
      </c>
      <c r="AF436" s="33">
        <v>1</v>
      </c>
      <c r="AG436" s="33">
        <v>0</v>
      </c>
      <c r="AH436" s="33"/>
      <c r="AI436" s="33" t="str">
        <f t="shared" si="69"/>
        <v/>
      </c>
      <c r="AJ436" s="5"/>
      <c r="AK436" t="str">
        <f>Tabela1[[#This Row],[Coluna1]]&amp;Tabela1[[#This Row],[PEDIDO]]</f>
        <v>P-188</v>
      </c>
      <c r="AL436"/>
      <c r="AM436"/>
      <c r="AN436"/>
      <c r="AO436" t="str">
        <f t="shared" si="67"/>
        <v>T-073005-1/1073-TC-007</v>
      </c>
      <c r="AP436" t="str">
        <f>Tabela1[[#This Row],[TAG]]&amp;Tabela1[[#This Row],[PEDIDO]]&amp;Tabela1[[#This Row],[PRODUTO]]</f>
        <v>1073-TC-007P-188RMF</v>
      </c>
      <c r="AQ436" s="22" t="str">
        <f>Tabela1[[#This Row],[PRODUTO]]&amp;Tabela1[[#This Row],[TAG]]</f>
        <v>RMF1073-TC-007</v>
      </c>
      <c r="AR436" s="24" t="str">
        <f>Tabela1[[#This Row],[PEDIDO]]&amp;Tabela1[[#This Row],[PRODUTO]]</f>
        <v>P-188RMF</v>
      </c>
      <c r="AS436" s="37">
        <f>IF(AF436="",0,IF(ISTEXT(AF436),H436*VALUE(SUBSTITUTE(AF436,"%",""))/100,H436*AF436))-Tabela1[[#This Row],[PRONTO ACABADO2]]</f>
        <v>4.4000000000000004</v>
      </c>
      <c r="AT436" s="37">
        <f>IF(AG436="",0,IF(ISTEXT(AG436),H436*VALUE(SUBSTITUTE(AG436,"%",""))/100,H436*AG436))-Tabela1[[#This Row],[PESO EXPEDIDO2]]</f>
        <v>0</v>
      </c>
      <c r="AU436" s="37">
        <f t="shared" si="72"/>
        <v>0</v>
      </c>
      <c r="AV436" s="37">
        <f t="shared" si="73"/>
        <v>0</v>
      </c>
      <c r="AW436" s="37"/>
    </row>
    <row r="437" spans="1:49" ht="15.75" customHeight="1" x14ac:dyDescent="0.25">
      <c r="A437" s="6" t="s">
        <v>4064</v>
      </c>
      <c r="B437" s="21" t="s">
        <v>4002</v>
      </c>
      <c r="C437" s="7">
        <v>1</v>
      </c>
      <c r="D437" s="39" t="s">
        <v>4068</v>
      </c>
      <c r="E437" s="7">
        <v>4322</v>
      </c>
      <c r="F437" s="7" t="s">
        <v>4065</v>
      </c>
      <c r="G437" s="23">
        <v>3.9</v>
      </c>
      <c r="H437" s="34">
        <f>Tabela1[[#This Row],[PESO UNI]]*Tabela1[[#This Row],[QTE]]</f>
        <v>3.9</v>
      </c>
      <c r="I437" s="7">
        <v>0</v>
      </c>
      <c r="J437" s="8" t="s">
        <v>2276</v>
      </c>
      <c r="K437" s="8" t="s">
        <v>327</v>
      </c>
      <c r="L437" s="9" t="s">
        <v>2069</v>
      </c>
      <c r="M437" s="10">
        <v>46181</v>
      </c>
      <c r="N437" s="8" t="s">
        <v>327</v>
      </c>
      <c r="O437" s="12"/>
      <c r="P437" s="13"/>
      <c r="Q437" s="14">
        <f>Tabela1[[#This Row],[QTDE/ Fabricação]]-Tabela1[[#This Row],[QTE]]</f>
        <v>-1</v>
      </c>
      <c r="R437" s="18">
        <f t="shared" si="68"/>
        <v>2.9249999999999998</v>
      </c>
      <c r="S437" s="18">
        <f t="shared" si="66"/>
        <v>0</v>
      </c>
      <c r="T437" s="19">
        <f t="shared" si="70"/>
        <v>-3.9</v>
      </c>
      <c r="U437" s="16">
        <f>IFERROR(SUMIF('LISTA DE EMBARQUE'!B:B,MICRO!E:E,'LISTA DE EMBARQUE'!G:G),"")</f>
        <v>0</v>
      </c>
      <c r="V437" s="12" t="str">
        <f>IFERROR(VLOOKUP(Tabela1[[#This Row],[COD.MDE]],'LISTA DE EMBARQUE'!B:L,11,0),"")</f>
        <v/>
      </c>
      <c r="W437" s="13" t="str">
        <f>IFERROR(VLOOKUP(Tabela1[[#This Row],[COD.MDE]],'LISTA DE EMBARQUE'!B:M,12,0),"")</f>
        <v/>
      </c>
      <c r="X437" s="14">
        <f>IFERROR(Tabela1[[#This Row],[QIANTIDADE EXPEDIDA]]*Tabela1[[#This Row],[PESO UNI]],"")</f>
        <v>0</v>
      </c>
      <c r="Y437" s="14">
        <f t="shared" si="71"/>
        <v>-1</v>
      </c>
      <c r="Z437" s="20">
        <f>Tabela1[[#This Row],[PESO TOTAL]]-Tabela1[[#This Row],[Peso Expedido]]</f>
        <v>3.9</v>
      </c>
      <c r="AA437" s="17">
        <v>0</v>
      </c>
      <c r="AB437" s="33"/>
      <c r="AC437" s="33">
        <v>1</v>
      </c>
      <c r="AD437" s="33">
        <v>1</v>
      </c>
      <c r="AE437" s="33">
        <v>1</v>
      </c>
      <c r="AF437" s="33">
        <v>1</v>
      </c>
      <c r="AG437" s="33">
        <v>0</v>
      </c>
      <c r="AH437" s="33"/>
      <c r="AI437" s="33" t="str">
        <f t="shared" si="69"/>
        <v/>
      </c>
      <c r="AJ437" s="5"/>
      <c r="AK437" t="str">
        <f>Tabela1[[#This Row],[Coluna1]]&amp;Tabela1[[#This Row],[PEDIDO]]</f>
        <v>P-188</v>
      </c>
      <c r="AL437"/>
      <c r="AM437"/>
      <c r="AN437"/>
      <c r="AO437" t="str">
        <f t="shared" si="67"/>
        <v>T-073005-1/1073-TC-007</v>
      </c>
      <c r="AP437" t="str">
        <f>Tabela1[[#This Row],[TAG]]&amp;Tabela1[[#This Row],[PEDIDO]]&amp;Tabela1[[#This Row],[PRODUTO]]</f>
        <v>1073-TC-007P-188RMF</v>
      </c>
      <c r="AQ437" s="22" t="str">
        <f>Tabela1[[#This Row],[PRODUTO]]&amp;Tabela1[[#This Row],[TAG]]</f>
        <v>RMF1073-TC-007</v>
      </c>
      <c r="AR437" s="24" t="str">
        <f>Tabela1[[#This Row],[PEDIDO]]&amp;Tabela1[[#This Row],[PRODUTO]]</f>
        <v>P-188RMF</v>
      </c>
      <c r="AS437" s="37">
        <f>IF(AF437="",0,IF(ISTEXT(AF437),H437*VALUE(SUBSTITUTE(AF437,"%",""))/100,H437*AF437))-Tabela1[[#This Row],[PRONTO ACABADO2]]</f>
        <v>3.9</v>
      </c>
      <c r="AT437" s="37">
        <f>IF(AG437="",0,IF(ISTEXT(AG437),H437*VALUE(SUBSTITUTE(AG437,"%",""))/100,H437*AG437))-Tabela1[[#This Row],[PESO EXPEDIDO2]]</f>
        <v>0</v>
      </c>
      <c r="AU437" s="37">
        <f t="shared" si="72"/>
        <v>0</v>
      </c>
      <c r="AV437" s="37">
        <f t="shared" si="73"/>
        <v>0</v>
      </c>
      <c r="AW437" s="37"/>
    </row>
    <row r="438" spans="1:49" ht="15.75" customHeight="1" x14ac:dyDescent="0.25">
      <c r="A438" s="6" t="s">
        <v>3864</v>
      </c>
      <c r="B438" s="21" t="s">
        <v>4069</v>
      </c>
      <c r="C438" s="7">
        <v>2</v>
      </c>
      <c r="D438" s="39" t="s">
        <v>4070</v>
      </c>
      <c r="E438" s="7">
        <v>4323</v>
      </c>
      <c r="F438" s="7" t="s">
        <v>3789</v>
      </c>
      <c r="G438" s="23">
        <v>4.4800000000000004</v>
      </c>
      <c r="H438" s="34">
        <f>Tabela1[[#This Row],[PESO UNI]]*Tabela1[[#This Row],[QTE]]</f>
        <v>8.9600000000000009</v>
      </c>
      <c r="I438" s="7">
        <v>3</v>
      </c>
      <c r="J438" s="8" t="s">
        <v>3790</v>
      </c>
      <c r="K438" s="8" t="s">
        <v>327</v>
      </c>
      <c r="L438" s="9" t="s">
        <v>2069</v>
      </c>
      <c r="M438" s="10">
        <v>46192</v>
      </c>
      <c r="N438" s="8" t="s">
        <v>327</v>
      </c>
      <c r="O438" s="12"/>
      <c r="P438" s="13"/>
      <c r="Q438" s="14">
        <f>Tabela1[[#This Row],[QTDE/ Fabricação]]-Tabela1[[#This Row],[QTE]]</f>
        <v>-2</v>
      </c>
      <c r="R438" s="18">
        <f t="shared" si="68"/>
        <v>6.4960000000000004</v>
      </c>
      <c r="S438" s="18">
        <f t="shared" ref="S438:S509" si="74">IFERROR(H438*AG438,"")</f>
        <v>0</v>
      </c>
      <c r="T438" s="19">
        <f t="shared" si="70"/>
        <v>-8.9600000000000009</v>
      </c>
      <c r="U438" s="16">
        <f>IFERROR(SUMIF('LISTA DE EMBARQUE'!B:B,MICRO!E:E,'LISTA DE EMBARQUE'!G:G),"")</f>
        <v>0</v>
      </c>
      <c r="V438" s="12" t="str">
        <f>IFERROR(VLOOKUP(Tabela1[[#This Row],[COD.MDE]],'LISTA DE EMBARQUE'!B:L,11,0),"")</f>
        <v/>
      </c>
      <c r="W438" s="13" t="str">
        <f>IFERROR(VLOOKUP(Tabela1[[#This Row],[COD.MDE]],'LISTA DE EMBARQUE'!B:M,12,0),"")</f>
        <v/>
      </c>
      <c r="X438" s="14">
        <f>IFERROR(Tabela1[[#This Row],[QIANTIDADE EXPEDIDA]]*Tabela1[[#This Row],[PESO UNI]],"")</f>
        <v>0</v>
      </c>
      <c r="Y438" s="14">
        <f t="shared" si="71"/>
        <v>-2</v>
      </c>
      <c r="Z438" s="20">
        <f>Tabela1[[#This Row],[PESO TOTAL]]-Tabela1[[#This Row],[Peso Expedido]]</f>
        <v>8.9600000000000009</v>
      </c>
      <c r="AA438" s="17">
        <v>1</v>
      </c>
      <c r="AB438" s="33"/>
      <c r="AC438" s="33">
        <v>1</v>
      </c>
      <c r="AD438" s="33">
        <v>1</v>
      </c>
      <c r="AE438" s="33">
        <v>0</v>
      </c>
      <c r="AF438" s="33">
        <v>0</v>
      </c>
      <c r="AG438" s="33">
        <v>0</v>
      </c>
      <c r="AH438" s="33"/>
      <c r="AI438" s="33" t="str">
        <f t="shared" si="69"/>
        <v/>
      </c>
      <c r="AJ438" s="5"/>
      <c r="AK438" t="str">
        <f>Tabela1[[#This Row],[Coluna1]]&amp;Tabela1[[#This Row],[PEDIDO]]</f>
        <v>P-188</v>
      </c>
      <c r="AL438"/>
      <c r="AM438"/>
      <c r="AN438"/>
      <c r="AO438" t="str">
        <f t="shared" si="67"/>
        <v>T-072962-1/1073-TC-006/007</v>
      </c>
      <c r="AP438" t="str">
        <f>Tabela1[[#This Row],[TAG]]&amp;Tabela1[[#This Row],[PEDIDO]]&amp;Tabela1[[#This Row],[PRODUTO]]</f>
        <v>1073-TC-006/007P-188RMF</v>
      </c>
      <c r="AQ438" s="22" t="str">
        <f>Tabela1[[#This Row],[PRODUTO]]&amp;Tabela1[[#This Row],[TAG]]</f>
        <v>RMF1073-TC-006/007</v>
      </c>
      <c r="AR438" s="24" t="str">
        <f>Tabela1[[#This Row],[PEDIDO]]&amp;Tabela1[[#This Row],[PRODUTO]]</f>
        <v>P-188RMF</v>
      </c>
      <c r="AS438" s="37">
        <f>IF(AF438="",0,IF(ISTEXT(AF438),H438*VALUE(SUBSTITUTE(AF438,"%",""))/100,H438*AF438))-Tabela1[[#This Row],[PRONTO ACABADO2]]</f>
        <v>0</v>
      </c>
      <c r="AT438" s="37">
        <f>IF(AG438="",0,IF(ISTEXT(AG438),H438*VALUE(SUBSTITUTE(AG438,"%",""))/100,H438*AG438))-Tabela1[[#This Row],[PESO EXPEDIDO2]]</f>
        <v>0</v>
      </c>
      <c r="AU438" s="37">
        <f t="shared" si="72"/>
        <v>0</v>
      </c>
      <c r="AV438" s="37">
        <f t="shared" si="73"/>
        <v>0</v>
      </c>
      <c r="AW438" s="37"/>
    </row>
    <row r="439" spans="1:49" ht="15.75" customHeight="1" x14ac:dyDescent="0.25">
      <c r="A439" s="6" t="s">
        <v>3864</v>
      </c>
      <c r="B439" s="21" t="s">
        <v>4071</v>
      </c>
      <c r="C439" s="7">
        <v>2</v>
      </c>
      <c r="D439" s="39" t="s">
        <v>4072</v>
      </c>
      <c r="E439" s="7">
        <v>4324</v>
      </c>
      <c r="F439" s="7" t="s">
        <v>3789</v>
      </c>
      <c r="G439" s="23">
        <v>58.694200000000002</v>
      </c>
      <c r="H439" s="34">
        <f>Tabela1[[#This Row],[PESO UNI]]*Tabela1[[#This Row],[QTE]]</f>
        <v>117.3884</v>
      </c>
      <c r="I439" s="7">
        <v>3</v>
      </c>
      <c r="J439" s="8" t="s">
        <v>3790</v>
      </c>
      <c r="K439" s="8" t="s">
        <v>327</v>
      </c>
      <c r="L439" s="9" t="s">
        <v>2069</v>
      </c>
      <c r="M439" s="10">
        <v>46192</v>
      </c>
      <c r="N439" s="8" t="s">
        <v>327</v>
      </c>
      <c r="O439" s="12"/>
      <c r="P439" s="13"/>
      <c r="Q439" s="14">
        <f>Tabela1[[#This Row],[QTDE/ Fabricação]]-Tabela1[[#This Row],[QTE]]</f>
        <v>-2</v>
      </c>
      <c r="R439" s="18">
        <f t="shared" si="68"/>
        <v>85.106589999999997</v>
      </c>
      <c r="S439" s="18">
        <f t="shared" si="74"/>
        <v>0</v>
      </c>
      <c r="T439" s="19">
        <f t="shared" si="70"/>
        <v>-117.3884</v>
      </c>
      <c r="U439" s="16">
        <f>IFERROR(SUMIF('LISTA DE EMBARQUE'!B:B,MICRO!E:E,'LISTA DE EMBARQUE'!G:G),"")</f>
        <v>0</v>
      </c>
      <c r="V439" s="12" t="str">
        <f>IFERROR(VLOOKUP(Tabela1[[#This Row],[COD.MDE]],'LISTA DE EMBARQUE'!B:L,11,0),"")</f>
        <v/>
      </c>
      <c r="W439" s="13" t="str">
        <f>IFERROR(VLOOKUP(Tabela1[[#This Row],[COD.MDE]],'LISTA DE EMBARQUE'!B:M,12,0),"")</f>
        <v/>
      </c>
      <c r="X439" s="14">
        <f>IFERROR(Tabela1[[#This Row],[QIANTIDADE EXPEDIDA]]*Tabela1[[#This Row],[PESO UNI]],"")</f>
        <v>0</v>
      </c>
      <c r="Y439" s="14">
        <f t="shared" si="71"/>
        <v>-2</v>
      </c>
      <c r="Z439" s="20">
        <f>Tabela1[[#This Row],[PESO TOTAL]]-Tabela1[[#This Row],[Peso Expedido]]</f>
        <v>117.3884</v>
      </c>
      <c r="AA439" s="17">
        <v>1</v>
      </c>
      <c r="AB439" s="33"/>
      <c r="AC439" s="33">
        <v>1</v>
      </c>
      <c r="AD439" s="33">
        <v>1</v>
      </c>
      <c r="AE439" s="33">
        <v>0</v>
      </c>
      <c r="AF439" s="33">
        <v>0</v>
      </c>
      <c r="AG439" s="33">
        <v>0</v>
      </c>
      <c r="AH439" s="33"/>
      <c r="AI439" s="33" t="str">
        <f t="shared" si="69"/>
        <v/>
      </c>
      <c r="AJ439" s="5"/>
      <c r="AK439" t="str">
        <f>Tabela1[[#This Row],[Coluna1]]&amp;Tabela1[[#This Row],[PEDIDO]]</f>
        <v>P-188</v>
      </c>
      <c r="AL439"/>
      <c r="AM439"/>
      <c r="AN439"/>
      <c r="AO439" t="str">
        <f t="shared" si="67"/>
        <v>T-072962-1/1073-TC-006/007</v>
      </c>
      <c r="AP439" t="str">
        <f>Tabela1[[#This Row],[TAG]]&amp;Tabela1[[#This Row],[PEDIDO]]&amp;Tabela1[[#This Row],[PRODUTO]]</f>
        <v>1073-TC-006/007P-188RMF</v>
      </c>
      <c r="AQ439" s="22" t="str">
        <f>Tabela1[[#This Row],[PRODUTO]]&amp;Tabela1[[#This Row],[TAG]]</f>
        <v>RMF1073-TC-006/007</v>
      </c>
      <c r="AR439" s="24" t="str">
        <f>Tabela1[[#This Row],[PEDIDO]]&amp;Tabela1[[#This Row],[PRODUTO]]</f>
        <v>P-188RMF</v>
      </c>
      <c r="AS439" s="37">
        <f>IF(AF439="",0,IF(ISTEXT(AF439),H439*VALUE(SUBSTITUTE(AF439,"%",""))/100,H439*AF439))-Tabela1[[#This Row],[PRONTO ACABADO2]]</f>
        <v>0</v>
      </c>
      <c r="AT439" s="37">
        <f>IF(AG439="",0,IF(ISTEXT(AG439),H439*VALUE(SUBSTITUTE(AG439,"%",""))/100,H439*AG439))-Tabela1[[#This Row],[PESO EXPEDIDO2]]</f>
        <v>0</v>
      </c>
      <c r="AU439" s="37">
        <f t="shared" si="72"/>
        <v>0</v>
      </c>
      <c r="AV439" s="37">
        <f t="shared" si="73"/>
        <v>0</v>
      </c>
      <c r="AW439" s="37"/>
    </row>
    <row r="440" spans="1:49" ht="15.75" customHeight="1" x14ac:dyDescent="0.25">
      <c r="A440" s="6" t="s">
        <v>79</v>
      </c>
      <c r="B440" s="21"/>
      <c r="C440" s="7">
        <v>6</v>
      </c>
      <c r="D440" s="39" t="s">
        <v>4298</v>
      </c>
      <c r="E440" s="7">
        <v>4325</v>
      </c>
      <c r="F440" s="7">
        <v>1</v>
      </c>
      <c r="G440" s="23">
        <v>10</v>
      </c>
      <c r="H440" s="34">
        <f>Tabela1[[#This Row],[PESO UNI]]*Tabela1[[#This Row],[QTE]]</f>
        <v>60</v>
      </c>
      <c r="I440" s="7">
        <v>0</v>
      </c>
      <c r="J440" s="8" t="s">
        <v>4299</v>
      </c>
      <c r="K440" s="8" t="s">
        <v>23</v>
      </c>
      <c r="L440" s="9" t="s">
        <v>4300</v>
      </c>
      <c r="M440" s="10">
        <v>46212</v>
      </c>
      <c r="N440" s="8" t="s">
        <v>38</v>
      </c>
      <c r="O440" s="12"/>
      <c r="P440" s="13"/>
      <c r="Q440" s="14">
        <f>Tabela1[[#This Row],[QTDE/ Fabricação]]-Tabela1[[#This Row],[QTE]]</f>
        <v>-6</v>
      </c>
      <c r="R440" s="18">
        <f t="shared" ref="R440" si="75">IFERROR(H440*((AA440*0.25)+(AC440*0.25)+(AD440*0.225)+(AE440*0.225)+(AF440*0.05)),"")</f>
        <v>51.75</v>
      </c>
      <c r="S440" s="18">
        <f t="shared" si="74"/>
        <v>30</v>
      </c>
      <c r="T440" s="19">
        <f t="shared" ref="T440" si="76">IFERROR(S440-H440,"")</f>
        <v>-30</v>
      </c>
      <c r="U440" s="16">
        <f>IFERROR(SUMIF('LISTA DE EMBARQUE'!B:B,MICRO!E:E,'LISTA DE EMBARQUE'!G:G),"")</f>
        <v>0</v>
      </c>
      <c r="V440" s="12" t="str">
        <f>IFERROR(VLOOKUP(Tabela1[[#This Row],[COD.MDE]],'LISTA DE EMBARQUE'!B:L,11,0),"")</f>
        <v/>
      </c>
      <c r="W440" s="13" t="str">
        <f>IFERROR(COUNTIF(#REF!,Tabela1[[#This Row],[Colunas5]]),"")</f>
        <v/>
      </c>
      <c r="X440" s="14">
        <f>Tabela1[[#This Row],[QIANTIDADE EXPEDIDA]]*Tabela1[[#This Row],[PESO UNI]]</f>
        <v>0</v>
      </c>
      <c r="Y440" s="14">
        <f t="shared" ref="Y440" si="77">U440-C440</f>
        <v>-6</v>
      </c>
      <c r="Z440" s="20">
        <f>Tabela1[[#This Row],[PESO TOTAL]]-Tabela1[[#This Row],[Peso Expedido]]</f>
        <v>60</v>
      </c>
      <c r="AA440" s="17">
        <v>1</v>
      </c>
      <c r="AB440" s="33"/>
      <c r="AC440" s="33">
        <v>1</v>
      </c>
      <c r="AD440" s="33">
        <v>1</v>
      </c>
      <c r="AE440" s="33">
        <v>0.5</v>
      </c>
      <c r="AF440" s="33">
        <v>0.5</v>
      </c>
      <c r="AG440" s="33">
        <v>0.5</v>
      </c>
      <c r="AH440" s="33"/>
      <c r="AI440" s="33" t="str">
        <f t="shared" si="69"/>
        <v/>
      </c>
      <c r="AJ440" s="5"/>
      <c r="AK440" t="str">
        <f>Tabela1[[#This Row],[Coluna1]]&amp;Tabela1[[#This Row],[PEDIDO]]</f>
        <v>P-208</v>
      </c>
      <c r="AL440"/>
      <c r="AM440"/>
      <c r="AN440"/>
      <c r="AO440" t="str">
        <f t="shared" ref="AO440" si="78">A440&amp;"/"&amp;J440</f>
        <v>R-1-4-10993/P208</v>
      </c>
      <c r="AP440" t="str">
        <f>Tabela1[[#This Row],[TAG]]&amp;Tabela1[[#This Row],[PEDIDO]]&amp;Tabela1[[#This Row],[PRODUTO]]</f>
        <v>P208P-208ROLOS</v>
      </c>
      <c r="AQ440" s="22" t="str">
        <f>Tabela1[[#This Row],[PRODUTO]]&amp;Tabela1[[#This Row],[TAG]]</f>
        <v>ROLOSP208</v>
      </c>
      <c r="AR440" s="24" t="str">
        <f>Tabela1[[#This Row],[PEDIDO]]&amp;Tabela1[[#This Row],[PRODUTO]]</f>
        <v>P-208ROLOS</v>
      </c>
      <c r="AS440" s="37">
        <f>IF(AF440="",0,IF(ISTEXT(AF440),H440*VALUE(SUBSTITUTE(AF440,"%",""))/100,H440*AF440))-Tabela1[[#This Row],[PRONTO ACABADO2]]</f>
        <v>0</v>
      </c>
      <c r="AT440" s="37">
        <f>IF(AG440="",0,IF(ISTEXT(AG440),H440*VALUE(SUBSTITUTE(AG440,"%",""))/100,H440*AG440))-Tabela1[[#This Row],[PESO EXPEDIDO2]]</f>
        <v>30</v>
      </c>
      <c r="AU440" s="37">
        <f t="shared" ref="AU440" si="79">IF(AH440="",0,IF(ISTEXT(AH440),H440*VALUE(SUBSTITUTE(AH440,"%",""))/100,H440*AH440))</f>
        <v>0</v>
      </c>
      <c r="AV440" s="37">
        <f t="shared" ref="AV440" si="80">IF(AG440="",0,IF(ISTEXT(AG440),H440*VALUE(SUBSTITUTE(AG440,"%",""))/100,H440*AG440))</f>
        <v>30</v>
      </c>
      <c r="AW440" s="37"/>
    </row>
    <row r="441" spans="1:49" ht="15.75" customHeight="1" x14ac:dyDescent="0.25">
      <c r="A441" s="6" t="s">
        <v>80</v>
      </c>
      <c r="B441" s="21"/>
      <c r="C441" s="7">
        <v>6</v>
      </c>
      <c r="D441" s="39" t="s">
        <v>4301</v>
      </c>
      <c r="E441" s="7">
        <v>4326</v>
      </c>
      <c r="F441" s="7">
        <v>1</v>
      </c>
      <c r="G441" s="23">
        <v>12.5</v>
      </c>
      <c r="H441" s="34">
        <f>Tabela1[[#This Row],[PESO UNI]]*Tabela1[[#This Row],[QTE]]</f>
        <v>75</v>
      </c>
      <c r="I441" s="7">
        <v>0</v>
      </c>
      <c r="J441" s="8" t="s">
        <v>4299</v>
      </c>
      <c r="K441" s="8" t="s">
        <v>23</v>
      </c>
      <c r="L441" s="9" t="s">
        <v>4300</v>
      </c>
      <c r="M441" s="10">
        <v>46212</v>
      </c>
      <c r="N441" s="8" t="s">
        <v>38</v>
      </c>
      <c r="O441" s="12"/>
      <c r="P441" s="13"/>
      <c r="Q441" s="14">
        <f>Tabela1[[#This Row],[QTDE/ Fabricação]]-Tabela1[[#This Row],[QTE]]</f>
        <v>-6</v>
      </c>
      <c r="R441" s="18">
        <f t="shared" ref="R441:R512" si="81">IFERROR(H441*((AA441*0.25)+(AC441*0.25)+(AD441*0.225)+(AE441*0.225)+(AF441*0.05)),"")</f>
        <v>64.6875</v>
      </c>
      <c r="S441" s="18">
        <f t="shared" si="74"/>
        <v>37.5</v>
      </c>
      <c r="T441" s="19">
        <f t="shared" ref="T441:T512" si="82">IFERROR(S441-H441,"")</f>
        <v>-37.5</v>
      </c>
      <c r="U441" s="16">
        <f>IFERROR(SUMIF('LISTA DE EMBARQUE'!B:B,MICRO!E:E,'LISTA DE EMBARQUE'!G:G),"")</f>
        <v>0</v>
      </c>
      <c r="V441" s="12" t="str">
        <f>IFERROR(VLOOKUP(Tabela1[[#This Row],[COD.MDE]],'LISTA DE EMBARQUE'!B:L,11,0),"")</f>
        <v/>
      </c>
      <c r="W441" s="13" t="str">
        <f>IFERROR(COUNTIF(#REF!,Tabela1[[#This Row],[Colunas5]]),"")</f>
        <v/>
      </c>
      <c r="X441" s="14">
        <f>Tabela1[[#This Row],[QIANTIDADE EXPEDIDA]]*Tabela1[[#This Row],[PESO UNI]]</f>
        <v>0</v>
      </c>
      <c r="Y441" s="14">
        <f t="shared" ref="Y441:Y512" si="83">U441-C441</f>
        <v>-6</v>
      </c>
      <c r="Z441" s="20">
        <f>Tabela1[[#This Row],[PESO TOTAL]]-Tabela1[[#This Row],[Peso Expedido]]</f>
        <v>75</v>
      </c>
      <c r="AA441" s="17">
        <v>1</v>
      </c>
      <c r="AB441" s="33"/>
      <c r="AC441" s="33">
        <v>1</v>
      </c>
      <c r="AD441" s="33">
        <v>1</v>
      </c>
      <c r="AE441" s="33">
        <v>0.5</v>
      </c>
      <c r="AF441" s="33">
        <v>0.5</v>
      </c>
      <c r="AG441" s="33">
        <v>0.5</v>
      </c>
      <c r="AH441" s="33"/>
      <c r="AI441" s="33" t="str">
        <f t="shared" si="69"/>
        <v/>
      </c>
      <c r="AJ441" s="5"/>
      <c r="AK441" t="str">
        <f>Tabela1[[#This Row],[Coluna1]]&amp;Tabela1[[#This Row],[PEDIDO]]</f>
        <v>P-208</v>
      </c>
      <c r="AL441"/>
      <c r="AM441"/>
      <c r="AN441"/>
      <c r="AO441" t="str">
        <f t="shared" ref="AO441:AO512" si="84">A441&amp;"/"&amp;J441</f>
        <v>R-1-4-10996/P208</v>
      </c>
      <c r="AP441" t="str">
        <f>Tabela1[[#This Row],[TAG]]&amp;Tabela1[[#This Row],[PEDIDO]]&amp;Tabela1[[#This Row],[PRODUTO]]</f>
        <v>P208P-208ROLOS</v>
      </c>
      <c r="AQ441" s="22" t="str">
        <f>Tabela1[[#This Row],[PRODUTO]]&amp;Tabela1[[#This Row],[TAG]]</f>
        <v>ROLOSP208</v>
      </c>
      <c r="AR441" s="24" t="str">
        <f>Tabela1[[#This Row],[PEDIDO]]&amp;Tabela1[[#This Row],[PRODUTO]]</f>
        <v>P-208ROLOS</v>
      </c>
      <c r="AS441" s="37">
        <f>IF(AF441="",0,IF(ISTEXT(AF441),H441*VALUE(SUBSTITUTE(AF441,"%",""))/100,H441*AF441))-Tabela1[[#This Row],[PRONTO ACABADO2]]</f>
        <v>0</v>
      </c>
      <c r="AT441" s="37">
        <f>IF(AG441="",0,IF(ISTEXT(AG441),H441*VALUE(SUBSTITUTE(AG441,"%",""))/100,H441*AG441))-Tabela1[[#This Row],[PESO EXPEDIDO2]]</f>
        <v>37.5</v>
      </c>
      <c r="AU441" s="37">
        <f t="shared" ref="AU441:AU512" si="85">IF(AH441="",0,IF(ISTEXT(AH441),H441*VALUE(SUBSTITUTE(AH441,"%",""))/100,H441*AH441))</f>
        <v>0</v>
      </c>
      <c r="AV441" s="37">
        <f t="shared" ref="AV441:AV512" si="86">IF(AG441="",0,IF(ISTEXT(AG441),H441*VALUE(SUBSTITUTE(AG441,"%",""))/100,H441*AG441))</f>
        <v>37.5</v>
      </c>
      <c r="AW441" s="37"/>
    </row>
    <row r="442" spans="1:49" ht="15.75" customHeight="1" x14ac:dyDescent="0.25">
      <c r="A442" s="6" t="s">
        <v>4303</v>
      </c>
      <c r="B442" s="21" t="s">
        <v>4304</v>
      </c>
      <c r="C442" s="7">
        <v>4</v>
      </c>
      <c r="D442" s="39" t="s">
        <v>4305</v>
      </c>
      <c r="E442" s="7">
        <v>4327</v>
      </c>
      <c r="F442" s="7">
        <v>1</v>
      </c>
      <c r="G442" s="23">
        <v>29.9</v>
      </c>
      <c r="H442" s="34">
        <f>Tabela1[[#This Row],[PESO UNI]]*Tabela1[[#This Row],[QTE]]</f>
        <v>119.6</v>
      </c>
      <c r="I442" s="7">
        <v>0</v>
      </c>
      <c r="J442" s="8" t="s">
        <v>4306</v>
      </c>
      <c r="K442" s="8" t="s">
        <v>32</v>
      </c>
      <c r="L442" s="9" t="s">
        <v>4307</v>
      </c>
      <c r="M442" s="10">
        <v>46212</v>
      </c>
      <c r="N442" s="8" t="s">
        <v>38</v>
      </c>
      <c r="O442" s="12"/>
      <c r="P442" s="13"/>
      <c r="Q442" s="14">
        <f>Tabela1[[#This Row],[QTDE/ Fabricação]]-Tabela1[[#This Row],[QTE]]</f>
        <v>-4</v>
      </c>
      <c r="R442" s="18">
        <f t="shared" si="81"/>
        <v>0</v>
      </c>
      <c r="S442" s="18">
        <f t="shared" si="74"/>
        <v>0</v>
      </c>
      <c r="T442" s="19">
        <f t="shared" si="82"/>
        <v>-119.6</v>
      </c>
      <c r="U442" s="16">
        <f>IFERROR(SUMIF('LISTA DE EMBARQUE'!B:B,MICRO!E:E,'LISTA DE EMBARQUE'!G:G),"")</f>
        <v>0</v>
      </c>
      <c r="V442" s="12" t="str">
        <f>IFERROR(VLOOKUP(Tabela1[[#This Row],[COD.MDE]],'LISTA DE EMBARQUE'!B:L,11,0),"")</f>
        <v/>
      </c>
      <c r="W442" s="13" t="str">
        <f>IFERROR(COUNTIF(#REF!,Tabela1[[#This Row],[Colunas5]]),"")</f>
        <v/>
      </c>
      <c r="X442" s="14">
        <f>Tabela1[[#This Row],[QIANTIDADE EXPEDIDA]]*Tabela1[[#This Row],[PESO UNI]]</f>
        <v>0</v>
      </c>
      <c r="Y442" s="14">
        <f t="shared" si="83"/>
        <v>-4</v>
      </c>
      <c r="Z442" s="20">
        <f>Tabela1[[#This Row],[PESO TOTAL]]-Tabela1[[#This Row],[Peso Expedido]]</f>
        <v>119.6</v>
      </c>
      <c r="AA442" s="17"/>
      <c r="AB442" s="33"/>
      <c r="AC442" s="33"/>
      <c r="AD442" s="33"/>
      <c r="AE442" s="33"/>
      <c r="AF442" s="33"/>
      <c r="AG442" s="33"/>
      <c r="AH442" s="33"/>
      <c r="AI442" s="33" t="str">
        <f t="shared" si="69"/>
        <v/>
      </c>
      <c r="AJ442" s="5"/>
      <c r="AK442" t="str">
        <f>Tabela1[[#This Row],[Coluna1]]&amp;Tabela1[[#This Row],[PEDIDO]]</f>
        <v>P-209</v>
      </c>
      <c r="AL442"/>
      <c r="AM442"/>
      <c r="AN442"/>
      <c r="AO442" t="str">
        <f t="shared" si="84"/>
        <v>T-009591-1/P209</v>
      </c>
      <c r="AP442" t="str">
        <f>Tabela1[[#This Row],[TAG]]&amp;Tabela1[[#This Row],[PEDIDO]]&amp;Tabela1[[#This Row],[PRODUTO]]</f>
        <v>P209P-209USINAGEM</v>
      </c>
      <c r="AQ442" s="22" t="str">
        <f>Tabela1[[#This Row],[PRODUTO]]&amp;Tabela1[[#This Row],[TAG]]</f>
        <v>USINAGEMP209</v>
      </c>
      <c r="AR442" s="24" t="str">
        <f>Tabela1[[#This Row],[PEDIDO]]&amp;Tabela1[[#This Row],[PRODUTO]]</f>
        <v>P-209USINAGEM</v>
      </c>
      <c r="AS442" s="37">
        <f>IF(AF442="",0,IF(ISTEXT(AF442),H442*VALUE(SUBSTITUTE(AF442,"%",""))/100,H442*AF442))-Tabela1[[#This Row],[PRONTO ACABADO2]]</f>
        <v>0</v>
      </c>
      <c r="AT442" s="37">
        <f>IF(AG442="",0,IF(ISTEXT(AG442),H442*VALUE(SUBSTITUTE(AG442,"%",""))/100,H442*AG442))-Tabela1[[#This Row],[PESO EXPEDIDO2]]</f>
        <v>0</v>
      </c>
      <c r="AU442" s="37">
        <f t="shared" si="85"/>
        <v>0</v>
      </c>
      <c r="AV442" s="37">
        <f t="shared" si="86"/>
        <v>0</v>
      </c>
      <c r="AW442" s="37"/>
    </row>
    <row r="443" spans="1:49" ht="15.75" customHeight="1" x14ac:dyDescent="0.25">
      <c r="A443" s="6" t="s">
        <v>4311</v>
      </c>
      <c r="B443" s="21" t="s">
        <v>4312</v>
      </c>
      <c r="C443" s="7">
        <v>8</v>
      </c>
      <c r="D443" s="39" t="s">
        <v>4314</v>
      </c>
      <c r="E443" s="7">
        <v>4328</v>
      </c>
      <c r="F443" s="7">
        <v>32</v>
      </c>
      <c r="G443" s="23">
        <v>1.2</v>
      </c>
      <c r="H443" s="34">
        <f>Tabela1[[#This Row],[PESO UNI]]*Tabela1[[#This Row],[QTE]]</f>
        <v>9.6</v>
      </c>
      <c r="I443" s="7" t="s">
        <v>4302</v>
      </c>
      <c r="J443" s="8" t="s">
        <v>3045</v>
      </c>
      <c r="K443" s="8" t="s">
        <v>4323</v>
      </c>
      <c r="L443" s="9" t="s">
        <v>2984</v>
      </c>
      <c r="M443" s="10">
        <v>46211</v>
      </c>
      <c r="N443" s="8" t="s">
        <v>38</v>
      </c>
      <c r="O443" s="12"/>
      <c r="P443" s="13"/>
      <c r="Q443" s="14">
        <f>Tabela1[[#This Row],[QTDE/ Fabricação]]-Tabela1[[#This Row],[QTE]]</f>
        <v>-8</v>
      </c>
      <c r="R443" s="18">
        <f t="shared" si="81"/>
        <v>6.96</v>
      </c>
      <c r="S443" s="18">
        <f t="shared" si="74"/>
        <v>0</v>
      </c>
      <c r="T443" s="19">
        <f t="shared" si="82"/>
        <v>-9.6</v>
      </c>
      <c r="U443" s="16">
        <f>IFERROR(SUMIF('LISTA DE EMBARQUE'!B:B,MICRO!E:E,'LISTA DE EMBARQUE'!G:G),"")</f>
        <v>0</v>
      </c>
      <c r="V443" s="12" t="str">
        <f>IFERROR(VLOOKUP(Tabela1[[#This Row],[COD.MDE]],'LISTA DE EMBARQUE'!B:L,11,0),"")</f>
        <v/>
      </c>
      <c r="W443" s="13" t="str">
        <f>IFERROR(COUNTIF(#REF!,Tabela1[[#This Row],[Colunas5]]),"")</f>
        <v/>
      </c>
      <c r="X443" s="14">
        <f>Tabela1[[#This Row],[QIANTIDADE EXPEDIDA]]*Tabela1[[#This Row],[PESO UNI]]</f>
        <v>0</v>
      </c>
      <c r="Y443" s="14">
        <f t="shared" si="83"/>
        <v>-8</v>
      </c>
      <c r="Z443" s="20">
        <f>Tabela1[[#This Row],[PESO TOTAL]]-Tabela1[[#This Row],[Peso Expedido]]</f>
        <v>9.6</v>
      </c>
      <c r="AA443" s="17">
        <v>1</v>
      </c>
      <c r="AB443" s="33"/>
      <c r="AC443" s="33">
        <v>1</v>
      </c>
      <c r="AD443" s="33">
        <v>1</v>
      </c>
      <c r="AE443" s="33"/>
      <c r="AF443" s="33"/>
      <c r="AG443" s="33"/>
      <c r="AH443" s="33"/>
      <c r="AI443" s="33" t="str">
        <f t="shared" si="69"/>
        <v/>
      </c>
      <c r="AJ443" s="5"/>
      <c r="AK443" t="str">
        <f>Tabela1[[#This Row],[Coluna1]]&amp;Tabela1[[#This Row],[PEDIDO]]</f>
        <v>P-198</v>
      </c>
      <c r="AL443"/>
      <c r="AM443"/>
      <c r="AN443"/>
      <c r="AO443" t="str">
        <f t="shared" si="84"/>
        <v>T-073242-1/14-CV-0001</v>
      </c>
      <c r="AP443" t="str">
        <f>Tabela1[[#This Row],[TAG]]&amp;Tabela1[[#This Row],[PEDIDO]]&amp;Tabela1[[#This Row],[PRODUTO]]</f>
        <v xml:space="preserve">14-CV-0001P-198ESTRUTURA </v>
      </c>
      <c r="AQ443" s="22" t="str">
        <f>Tabela1[[#This Row],[PRODUTO]]&amp;Tabela1[[#This Row],[TAG]]</f>
        <v>ESTRUTURA 14-CV-0001</v>
      </c>
      <c r="AR443" s="24" t="str">
        <f>Tabela1[[#This Row],[PEDIDO]]&amp;Tabela1[[#This Row],[PRODUTO]]</f>
        <v xml:space="preserve">P-198ESTRUTURA </v>
      </c>
      <c r="AS443" s="37">
        <f>IF(AF443="",0,IF(ISTEXT(AF443),H443*VALUE(SUBSTITUTE(AF443,"%",""))/100,H443*AF443))-Tabela1[[#This Row],[PRONTO ACABADO2]]</f>
        <v>0</v>
      </c>
      <c r="AT443" s="37">
        <f>IF(AG443="",0,IF(ISTEXT(AG443),H443*VALUE(SUBSTITUTE(AG443,"%",""))/100,H443*AG443))-Tabela1[[#This Row],[PESO EXPEDIDO2]]</f>
        <v>0</v>
      </c>
      <c r="AU443" s="37">
        <f t="shared" si="85"/>
        <v>0</v>
      </c>
      <c r="AV443" s="37">
        <f t="shared" si="86"/>
        <v>0</v>
      </c>
      <c r="AW443" s="37"/>
    </row>
    <row r="444" spans="1:49" ht="15.75" customHeight="1" x14ac:dyDescent="0.25">
      <c r="A444" s="6" t="s">
        <v>4311</v>
      </c>
      <c r="B444" s="21" t="s">
        <v>4312</v>
      </c>
      <c r="C444" s="7">
        <v>8</v>
      </c>
      <c r="D444" s="39" t="s">
        <v>4313</v>
      </c>
      <c r="E444" s="7">
        <v>4329</v>
      </c>
      <c r="F444" s="7">
        <v>32</v>
      </c>
      <c r="G444" s="23">
        <v>11.4</v>
      </c>
      <c r="H444" s="34">
        <f>Tabela1[[#This Row],[PESO UNI]]*Tabela1[[#This Row],[QTE]]</f>
        <v>91.2</v>
      </c>
      <c r="I444" s="7" t="s">
        <v>4302</v>
      </c>
      <c r="J444" s="8" t="s">
        <v>3045</v>
      </c>
      <c r="K444" s="8" t="s">
        <v>4323</v>
      </c>
      <c r="L444" s="9" t="s">
        <v>2984</v>
      </c>
      <c r="M444" s="10">
        <v>46211</v>
      </c>
      <c r="N444" s="8" t="s">
        <v>38</v>
      </c>
      <c r="O444" s="12"/>
      <c r="P444" s="13"/>
      <c r="Q444" s="14">
        <f>Tabela1[[#This Row],[QTDE/ Fabricação]]-Tabela1[[#This Row],[QTE]]</f>
        <v>-8</v>
      </c>
      <c r="R444" s="18">
        <f t="shared" si="81"/>
        <v>66.12</v>
      </c>
      <c r="S444" s="18">
        <f t="shared" si="74"/>
        <v>0</v>
      </c>
      <c r="T444" s="19">
        <f t="shared" si="82"/>
        <v>-91.2</v>
      </c>
      <c r="U444" s="16">
        <f>IFERROR(SUMIF('LISTA DE EMBARQUE'!B:B,MICRO!E:E,'LISTA DE EMBARQUE'!G:G),"")</f>
        <v>0</v>
      </c>
      <c r="V444" s="12" t="str">
        <f>IFERROR(VLOOKUP(Tabela1[[#This Row],[COD.MDE]],'LISTA DE EMBARQUE'!B:L,11,0),"")</f>
        <v/>
      </c>
      <c r="W444" s="13" t="str">
        <f>IFERROR(COUNTIF(#REF!,Tabela1[[#This Row],[Colunas5]]),"")</f>
        <v/>
      </c>
      <c r="X444" s="14">
        <f>Tabela1[[#This Row],[QIANTIDADE EXPEDIDA]]*Tabela1[[#This Row],[PESO UNI]]</f>
        <v>0</v>
      </c>
      <c r="Y444" s="14">
        <f t="shared" si="83"/>
        <v>-8</v>
      </c>
      <c r="Z444" s="20">
        <f>Tabela1[[#This Row],[PESO TOTAL]]-Tabela1[[#This Row],[Peso Expedido]]</f>
        <v>91.2</v>
      </c>
      <c r="AA444" s="17">
        <v>1</v>
      </c>
      <c r="AB444" s="33"/>
      <c r="AC444" s="33">
        <v>1</v>
      </c>
      <c r="AD444" s="33">
        <v>1</v>
      </c>
      <c r="AE444" s="33"/>
      <c r="AF444" s="33"/>
      <c r="AG444" s="33"/>
      <c r="AH444" s="33"/>
      <c r="AI444" s="33" t="str">
        <f t="shared" si="69"/>
        <v/>
      </c>
      <c r="AJ444" s="5"/>
      <c r="AK444" t="str">
        <f>Tabela1[[#This Row],[Coluna1]]&amp;Tabela1[[#This Row],[PEDIDO]]</f>
        <v>P-198</v>
      </c>
      <c r="AL444"/>
      <c r="AM444"/>
      <c r="AN444"/>
      <c r="AO444" t="str">
        <f t="shared" si="84"/>
        <v>T-073242-1/14-CV-0001</v>
      </c>
      <c r="AP444" t="str">
        <f>Tabela1[[#This Row],[TAG]]&amp;Tabela1[[#This Row],[PEDIDO]]&amp;Tabela1[[#This Row],[PRODUTO]]</f>
        <v xml:space="preserve">14-CV-0001P-198ESTRUTURA </v>
      </c>
      <c r="AQ444" s="22" t="str">
        <f>Tabela1[[#This Row],[PRODUTO]]&amp;Tabela1[[#This Row],[TAG]]</f>
        <v>ESTRUTURA 14-CV-0001</v>
      </c>
      <c r="AR444" s="24" t="str">
        <f>Tabela1[[#This Row],[PEDIDO]]&amp;Tabela1[[#This Row],[PRODUTO]]</f>
        <v xml:space="preserve">P-198ESTRUTURA </v>
      </c>
      <c r="AS444" s="37">
        <f>IF(AF444="",0,IF(ISTEXT(AF444),H444*VALUE(SUBSTITUTE(AF444,"%",""))/100,H444*AF444))-Tabela1[[#This Row],[PRONTO ACABADO2]]</f>
        <v>0</v>
      </c>
      <c r="AT444" s="37">
        <f>IF(AG444="",0,IF(ISTEXT(AG444),H444*VALUE(SUBSTITUTE(AG444,"%",""))/100,H444*AG444))-Tabela1[[#This Row],[PESO EXPEDIDO2]]</f>
        <v>0</v>
      </c>
      <c r="AU444" s="37">
        <f t="shared" si="85"/>
        <v>0</v>
      </c>
      <c r="AV444" s="37">
        <f t="shared" si="86"/>
        <v>0</v>
      </c>
      <c r="AW444" s="37"/>
    </row>
    <row r="445" spans="1:49" ht="15.75" customHeight="1" x14ac:dyDescent="0.25">
      <c r="A445" s="6" t="s">
        <v>4311</v>
      </c>
      <c r="B445" s="21" t="s">
        <v>4312</v>
      </c>
      <c r="C445" s="7">
        <v>4</v>
      </c>
      <c r="D445" s="39" t="s">
        <v>4315</v>
      </c>
      <c r="E445" s="7">
        <v>4330</v>
      </c>
      <c r="F445" s="7">
        <v>32</v>
      </c>
      <c r="G445" s="23">
        <v>51.3</v>
      </c>
      <c r="H445" s="34">
        <f>Tabela1[[#This Row],[PESO UNI]]*Tabela1[[#This Row],[QTE]]</f>
        <v>205.2</v>
      </c>
      <c r="I445" s="7" t="s">
        <v>4302</v>
      </c>
      <c r="J445" s="8" t="s">
        <v>3045</v>
      </c>
      <c r="K445" s="8" t="s">
        <v>4323</v>
      </c>
      <c r="L445" s="9" t="s">
        <v>2984</v>
      </c>
      <c r="M445" s="10">
        <v>46211</v>
      </c>
      <c r="N445" s="8" t="s">
        <v>38</v>
      </c>
      <c r="O445" s="12"/>
      <c r="P445" s="13"/>
      <c r="Q445" s="14">
        <f>Tabela1[[#This Row],[QTDE/ Fabricação]]-Tabela1[[#This Row],[QTE]]</f>
        <v>-4</v>
      </c>
      <c r="R445" s="18">
        <f t="shared" si="81"/>
        <v>51.3</v>
      </c>
      <c r="S445" s="18">
        <f t="shared" si="74"/>
        <v>0</v>
      </c>
      <c r="T445" s="19">
        <f t="shared" si="82"/>
        <v>-205.2</v>
      </c>
      <c r="U445" s="16">
        <f>IFERROR(SUMIF('LISTA DE EMBARQUE'!B:B,MICRO!E:E,'LISTA DE EMBARQUE'!G:G),"")</f>
        <v>0</v>
      </c>
      <c r="V445" s="12" t="str">
        <f>IFERROR(VLOOKUP(Tabela1[[#This Row],[COD.MDE]],'LISTA DE EMBARQUE'!B:L,11,0),"")</f>
        <v/>
      </c>
      <c r="W445" s="13" t="str">
        <f>IFERROR(COUNTIF(#REF!,Tabela1[[#This Row],[Colunas5]]),"")</f>
        <v/>
      </c>
      <c r="X445" s="14">
        <f>Tabela1[[#This Row],[QIANTIDADE EXPEDIDA]]*Tabela1[[#This Row],[PESO UNI]]</f>
        <v>0</v>
      </c>
      <c r="Y445" s="14">
        <f t="shared" si="83"/>
        <v>-4</v>
      </c>
      <c r="Z445" s="20">
        <f>Tabela1[[#This Row],[PESO TOTAL]]-Tabela1[[#This Row],[Peso Expedido]]</f>
        <v>205.2</v>
      </c>
      <c r="AA445" s="17">
        <v>1</v>
      </c>
      <c r="AB445" s="33"/>
      <c r="AC445" s="33"/>
      <c r="AD445" s="33"/>
      <c r="AE445" s="33"/>
      <c r="AF445" s="33"/>
      <c r="AG445" s="33"/>
      <c r="AH445" s="33"/>
      <c r="AI445" s="33" t="str">
        <f t="shared" si="69"/>
        <v/>
      </c>
      <c r="AJ445" s="5"/>
      <c r="AK445" t="str">
        <f>Tabela1[[#This Row],[Coluna1]]&amp;Tabela1[[#This Row],[PEDIDO]]</f>
        <v>P-198</v>
      </c>
      <c r="AL445"/>
      <c r="AM445"/>
      <c r="AN445"/>
      <c r="AO445" t="str">
        <f t="shared" si="84"/>
        <v>T-073242-1/14-CV-0001</v>
      </c>
      <c r="AP445" t="str">
        <f>Tabela1[[#This Row],[TAG]]&amp;Tabela1[[#This Row],[PEDIDO]]&amp;Tabela1[[#This Row],[PRODUTO]]</f>
        <v xml:space="preserve">14-CV-0001P-198ESTRUTURA </v>
      </c>
      <c r="AQ445" s="22" t="str">
        <f>Tabela1[[#This Row],[PRODUTO]]&amp;Tabela1[[#This Row],[TAG]]</f>
        <v>ESTRUTURA 14-CV-0001</v>
      </c>
      <c r="AR445" s="24" t="str">
        <f>Tabela1[[#This Row],[PEDIDO]]&amp;Tabela1[[#This Row],[PRODUTO]]</f>
        <v xml:space="preserve">P-198ESTRUTURA </v>
      </c>
      <c r="AS445" s="37">
        <f>IF(AF445="",0,IF(ISTEXT(AF445),H445*VALUE(SUBSTITUTE(AF445,"%",""))/100,H445*AF445))-Tabela1[[#This Row],[PRONTO ACABADO2]]</f>
        <v>0</v>
      </c>
      <c r="AT445" s="37">
        <f>IF(AG445="",0,IF(ISTEXT(AG445),H445*VALUE(SUBSTITUTE(AG445,"%",""))/100,H445*AG445))-Tabela1[[#This Row],[PESO EXPEDIDO2]]</f>
        <v>0</v>
      </c>
      <c r="AU445" s="37">
        <f t="shared" si="85"/>
        <v>0</v>
      </c>
      <c r="AV445" s="37">
        <f t="shared" si="86"/>
        <v>0</v>
      </c>
      <c r="AW445" s="37"/>
    </row>
    <row r="446" spans="1:49" ht="15.75" customHeight="1" x14ac:dyDescent="0.25">
      <c r="A446" s="6" t="s">
        <v>4311</v>
      </c>
      <c r="B446" s="21" t="s">
        <v>4312</v>
      </c>
      <c r="C446" s="7">
        <v>8</v>
      </c>
      <c r="D446" s="39" t="s">
        <v>4316</v>
      </c>
      <c r="E446" s="7">
        <v>4331</v>
      </c>
      <c r="F446" s="7">
        <v>32</v>
      </c>
      <c r="G446" s="23">
        <v>4.8</v>
      </c>
      <c r="H446" s="34">
        <f>Tabela1[[#This Row],[PESO UNI]]*Tabela1[[#This Row],[QTE]]</f>
        <v>38.4</v>
      </c>
      <c r="I446" s="7" t="s">
        <v>4302</v>
      </c>
      <c r="J446" s="8" t="s">
        <v>3045</v>
      </c>
      <c r="K446" s="8" t="s">
        <v>4323</v>
      </c>
      <c r="L446" s="9" t="s">
        <v>2984</v>
      </c>
      <c r="M446" s="10">
        <v>46211</v>
      </c>
      <c r="N446" s="8" t="s">
        <v>38</v>
      </c>
      <c r="O446" s="12"/>
      <c r="P446" s="13"/>
      <c r="Q446" s="14">
        <f>Tabela1[[#This Row],[QTDE/ Fabricação]]-Tabela1[[#This Row],[QTE]]</f>
        <v>-8</v>
      </c>
      <c r="R446" s="18">
        <f t="shared" si="81"/>
        <v>27.84</v>
      </c>
      <c r="S446" s="18">
        <f t="shared" si="74"/>
        <v>0</v>
      </c>
      <c r="T446" s="19">
        <f t="shared" si="82"/>
        <v>-38.4</v>
      </c>
      <c r="U446" s="16">
        <f>IFERROR(SUMIF('LISTA DE EMBARQUE'!B:B,MICRO!E:E,'LISTA DE EMBARQUE'!G:G),"")</f>
        <v>0</v>
      </c>
      <c r="V446" s="12" t="str">
        <f>IFERROR(VLOOKUP(Tabela1[[#This Row],[COD.MDE]],'LISTA DE EMBARQUE'!B:L,11,0),"")</f>
        <v/>
      </c>
      <c r="W446" s="13" t="str">
        <f>IFERROR(COUNTIF(#REF!,Tabela1[[#This Row],[Colunas5]]),"")</f>
        <v/>
      </c>
      <c r="X446" s="14">
        <f>Tabela1[[#This Row],[QIANTIDADE EXPEDIDA]]*Tabela1[[#This Row],[PESO UNI]]</f>
        <v>0</v>
      </c>
      <c r="Y446" s="14">
        <f t="shared" si="83"/>
        <v>-8</v>
      </c>
      <c r="Z446" s="20">
        <f>Tabela1[[#This Row],[PESO TOTAL]]-Tabela1[[#This Row],[Peso Expedido]]</f>
        <v>38.4</v>
      </c>
      <c r="AA446" s="17">
        <v>1</v>
      </c>
      <c r="AB446" s="33"/>
      <c r="AC446" s="33">
        <v>1</v>
      </c>
      <c r="AD446" s="33">
        <v>1</v>
      </c>
      <c r="AE446" s="33"/>
      <c r="AF446" s="33"/>
      <c r="AG446" s="33"/>
      <c r="AH446" s="33"/>
      <c r="AI446" s="33" t="str">
        <f t="shared" si="69"/>
        <v/>
      </c>
      <c r="AJ446" s="5"/>
      <c r="AK446" t="str">
        <f>Tabela1[[#This Row],[Coluna1]]&amp;Tabela1[[#This Row],[PEDIDO]]</f>
        <v>P-198</v>
      </c>
      <c r="AL446"/>
      <c r="AM446"/>
      <c r="AN446"/>
      <c r="AO446" t="str">
        <f t="shared" si="84"/>
        <v>T-073242-1/14-CV-0001</v>
      </c>
      <c r="AP446" t="str">
        <f>Tabela1[[#This Row],[TAG]]&amp;Tabela1[[#This Row],[PEDIDO]]&amp;Tabela1[[#This Row],[PRODUTO]]</f>
        <v xml:space="preserve">14-CV-0001P-198ESTRUTURA </v>
      </c>
      <c r="AQ446" s="22" t="str">
        <f>Tabela1[[#This Row],[PRODUTO]]&amp;Tabela1[[#This Row],[TAG]]</f>
        <v>ESTRUTURA 14-CV-0001</v>
      </c>
      <c r="AR446" s="24" t="str">
        <f>Tabela1[[#This Row],[PEDIDO]]&amp;Tabela1[[#This Row],[PRODUTO]]</f>
        <v xml:space="preserve">P-198ESTRUTURA </v>
      </c>
      <c r="AS446" s="37">
        <f>IF(AF446="",0,IF(ISTEXT(AF446),H446*VALUE(SUBSTITUTE(AF446,"%",""))/100,H446*AF446))-Tabela1[[#This Row],[PRONTO ACABADO2]]</f>
        <v>0</v>
      </c>
      <c r="AT446" s="37">
        <f>IF(AG446="",0,IF(ISTEXT(AG446),H446*VALUE(SUBSTITUTE(AG446,"%",""))/100,H446*AG446))-Tabela1[[#This Row],[PESO EXPEDIDO2]]</f>
        <v>0</v>
      </c>
      <c r="AU446" s="37">
        <f t="shared" si="85"/>
        <v>0</v>
      </c>
      <c r="AV446" s="37">
        <f t="shared" si="86"/>
        <v>0</v>
      </c>
      <c r="AW446" s="37"/>
    </row>
    <row r="447" spans="1:49" ht="15.75" customHeight="1" x14ac:dyDescent="0.25">
      <c r="A447" s="6" t="s">
        <v>4311</v>
      </c>
      <c r="B447" s="21" t="s">
        <v>4312</v>
      </c>
      <c r="C447" s="7">
        <v>4</v>
      </c>
      <c r="D447" s="39" t="s">
        <v>4317</v>
      </c>
      <c r="E447" s="7">
        <v>4332</v>
      </c>
      <c r="F447" s="7">
        <v>32</v>
      </c>
      <c r="G447" s="23">
        <v>6.7</v>
      </c>
      <c r="H447" s="34">
        <f>Tabela1[[#This Row],[PESO UNI]]*Tabela1[[#This Row],[QTE]]</f>
        <v>26.8</v>
      </c>
      <c r="I447" s="7" t="s">
        <v>4302</v>
      </c>
      <c r="J447" s="8" t="s">
        <v>3045</v>
      </c>
      <c r="K447" s="8" t="s">
        <v>4323</v>
      </c>
      <c r="L447" s="9" t="s">
        <v>2984</v>
      </c>
      <c r="M447" s="10">
        <v>46211</v>
      </c>
      <c r="N447" s="8" t="s">
        <v>38</v>
      </c>
      <c r="O447" s="12"/>
      <c r="P447" s="13"/>
      <c r="Q447" s="14">
        <f>Tabela1[[#This Row],[QTDE/ Fabricação]]-Tabela1[[#This Row],[QTE]]</f>
        <v>-4</v>
      </c>
      <c r="R447" s="18">
        <f t="shared" si="81"/>
        <v>0</v>
      </c>
      <c r="S447" s="18">
        <f t="shared" si="74"/>
        <v>0</v>
      </c>
      <c r="T447" s="19">
        <f t="shared" si="82"/>
        <v>-26.8</v>
      </c>
      <c r="U447" s="16">
        <f>IFERROR(SUMIF('LISTA DE EMBARQUE'!B:B,MICRO!E:E,'LISTA DE EMBARQUE'!G:G),"")</f>
        <v>0</v>
      </c>
      <c r="V447" s="12" t="str">
        <f>IFERROR(VLOOKUP(Tabela1[[#This Row],[COD.MDE]],'LISTA DE EMBARQUE'!B:L,11,0),"")</f>
        <v/>
      </c>
      <c r="W447" s="13" t="str">
        <f>IFERROR(COUNTIF(#REF!,Tabela1[[#This Row],[Colunas5]]),"")</f>
        <v/>
      </c>
      <c r="X447" s="14">
        <f>Tabela1[[#This Row],[QIANTIDADE EXPEDIDA]]*Tabela1[[#This Row],[PESO UNI]]</f>
        <v>0</v>
      </c>
      <c r="Y447" s="14">
        <f t="shared" si="83"/>
        <v>-4</v>
      </c>
      <c r="Z447" s="20">
        <f>Tabela1[[#This Row],[PESO TOTAL]]-Tabela1[[#This Row],[Peso Expedido]]</f>
        <v>26.8</v>
      </c>
      <c r="AA447" s="17"/>
      <c r="AB447" s="33"/>
      <c r="AC447" s="33"/>
      <c r="AD447" s="33"/>
      <c r="AE447" s="33"/>
      <c r="AF447" s="33"/>
      <c r="AG447" s="33"/>
      <c r="AH447" s="33"/>
      <c r="AI447" s="33" t="str">
        <f t="shared" si="69"/>
        <v/>
      </c>
      <c r="AJ447" s="5"/>
      <c r="AK447" t="str">
        <f>Tabela1[[#This Row],[Coluna1]]&amp;Tabela1[[#This Row],[PEDIDO]]</f>
        <v>P-198</v>
      </c>
      <c r="AL447"/>
      <c r="AM447"/>
      <c r="AN447"/>
      <c r="AO447" t="str">
        <f t="shared" si="84"/>
        <v>T-073242-1/14-CV-0001</v>
      </c>
      <c r="AP447" t="str">
        <f>Tabela1[[#This Row],[TAG]]&amp;Tabela1[[#This Row],[PEDIDO]]&amp;Tabela1[[#This Row],[PRODUTO]]</f>
        <v xml:space="preserve">14-CV-0001P-198ESTRUTURA </v>
      </c>
      <c r="AQ447" s="22" t="str">
        <f>Tabela1[[#This Row],[PRODUTO]]&amp;Tabela1[[#This Row],[TAG]]</f>
        <v>ESTRUTURA 14-CV-0001</v>
      </c>
      <c r="AR447" s="24" t="str">
        <f>Tabela1[[#This Row],[PEDIDO]]&amp;Tabela1[[#This Row],[PRODUTO]]</f>
        <v xml:space="preserve">P-198ESTRUTURA </v>
      </c>
      <c r="AS447" s="37">
        <f>IF(AF447="",0,IF(ISTEXT(AF447),H447*VALUE(SUBSTITUTE(AF447,"%",""))/100,H447*AF447))-Tabela1[[#This Row],[PRONTO ACABADO2]]</f>
        <v>0</v>
      </c>
      <c r="AT447" s="37">
        <f>IF(AG447="",0,IF(ISTEXT(AG447),H447*VALUE(SUBSTITUTE(AG447,"%",""))/100,H447*AG447))-Tabela1[[#This Row],[PESO EXPEDIDO2]]</f>
        <v>0</v>
      </c>
      <c r="AU447" s="37">
        <f t="shared" si="85"/>
        <v>0</v>
      </c>
      <c r="AV447" s="37">
        <f t="shared" si="86"/>
        <v>0</v>
      </c>
      <c r="AW447" s="37"/>
    </row>
    <row r="448" spans="1:49" ht="15.75" customHeight="1" x14ac:dyDescent="0.25">
      <c r="A448" s="6" t="s">
        <v>4311</v>
      </c>
      <c r="B448" s="21" t="s">
        <v>4312</v>
      </c>
      <c r="C448" s="7">
        <v>24</v>
      </c>
      <c r="D448" s="39" t="s">
        <v>4318</v>
      </c>
      <c r="E448" s="7">
        <v>4333</v>
      </c>
      <c r="F448" s="7">
        <v>32</v>
      </c>
      <c r="G448" s="23">
        <v>0.8</v>
      </c>
      <c r="H448" s="34">
        <f>Tabela1[[#This Row],[PESO UNI]]*Tabela1[[#This Row],[QTE]]</f>
        <v>19.200000000000003</v>
      </c>
      <c r="I448" s="7" t="s">
        <v>4302</v>
      </c>
      <c r="J448" s="8" t="s">
        <v>3045</v>
      </c>
      <c r="K448" s="8" t="s">
        <v>4323</v>
      </c>
      <c r="L448" s="9" t="s">
        <v>2984</v>
      </c>
      <c r="M448" s="10">
        <v>46211</v>
      </c>
      <c r="N448" s="8" t="s">
        <v>38</v>
      </c>
      <c r="O448" s="12"/>
      <c r="P448" s="13"/>
      <c r="Q448" s="14">
        <f>Tabela1[[#This Row],[QTDE/ Fabricação]]-Tabela1[[#This Row],[QTE]]</f>
        <v>-24</v>
      </c>
      <c r="R448" s="18">
        <f t="shared" si="81"/>
        <v>0</v>
      </c>
      <c r="S448" s="18">
        <f t="shared" si="74"/>
        <v>0</v>
      </c>
      <c r="T448" s="19">
        <f t="shared" si="82"/>
        <v>-19.200000000000003</v>
      </c>
      <c r="U448" s="16">
        <f>IFERROR(SUMIF('LISTA DE EMBARQUE'!B:B,MICRO!E:E,'LISTA DE EMBARQUE'!G:G),"")</f>
        <v>0</v>
      </c>
      <c r="V448" s="12" t="str">
        <f>IFERROR(VLOOKUP(Tabela1[[#This Row],[COD.MDE]],'LISTA DE EMBARQUE'!B:L,11,0),"")</f>
        <v/>
      </c>
      <c r="W448" s="13" t="str">
        <f>IFERROR(COUNTIF(#REF!,Tabela1[[#This Row],[Colunas5]]),"")</f>
        <v/>
      </c>
      <c r="X448" s="14">
        <f>Tabela1[[#This Row],[QIANTIDADE EXPEDIDA]]*Tabela1[[#This Row],[PESO UNI]]</f>
        <v>0</v>
      </c>
      <c r="Y448" s="14">
        <f t="shared" si="83"/>
        <v>-24</v>
      </c>
      <c r="Z448" s="20">
        <f>Tabela1[[#This Row],[PESO TOTAL]]-Tabela1[[#This Row],[Peso Expedido]]</f>
        <v>19.200000000000003</v>
      </c>
      <c r="AA448" s="17"/>
      <c r="AB448" s="33"/>
      <c r="AC448" s="33"/>
      <c r="AD448" s="33"/>
      <c r="AE448" s="33"/>
      <c r="AF448" s="33"/>
      <c r="AG448" s="33"/>
      <c r="AH448" s="33"/>
      <c r="AI448" s="33" t="str">
        <f t="shared" si="69"/>
        <v/>
      </c>
      <c r="AJ448" s="5"/>
      <c r="AK448" t="str">
        <f>Tabela1[[#This Row],[Coluna1]]&amp;Tabela1[[#This Row],[PEDIDO]]</f>
        <v>P-198</v>
      </c>
      <c r="AL448"/>
      <c r="AM448"/>
      <c r="AN448"/>
      <c r="AO448" t="str">
        <f t="shared" si="84"/>
        <v>T-073242-1/14-CV-0001</v>
      </c>
      <c r="AP448" t="str">
        <f>Tabela1[[#This Row],[TAG]]&amp;Tabela1[[#This Row],[PEDIDO]]&amp;Tabela1[[#This Row],[PRODUTO]]</f>
        <v xml:space="preserve">14-CV-0001P-198ESTRUTURA </v>
      </c>
      <c r="AQ448" s="22" t="str">
        <f>Tabela1[[#This Row],[PRODUTO]]&amp;Tabela1[[#This Row],[TAG]]</f>
        <v>ESTRUTURA 14-CV-0001</v>
      </c>
      <c r="AR448" s="24" t="str">
        <f>Tabela1[[#This Row],[PEDIDO]]&amp;Tabela1[[#This Row],[PRODUTO]]</f>
        <v xml:space="preserve">P-198ESTRUTURA </v>
      </c>
      <c r="AS448" s="37">
        <f>IF(AF448="",0,IF(ISTEXT(AF448),H448*VALUE(SUBSTITUTE(AF448,"%",""))/100,H448*AF448))-Tabela1[[#This Row],[PRONTO ACABADO2]]</f>
        <v>0</v>
      </c>
      <c r="AT448" s="37">
        <f>IF(AG448="",0,IF(ISTEXT(AG448),H448*VALUE(SUBSTITUTE(AG448,"%",""))/100,H448*AG448))-Tabela1[[#This Row],[PESO EXPEDIDO2]]</f>
        <v>0</v>
      </c>
      <c r="AU448" s="37">
        <f t="shared" si="85"/>
        <v>0</v>
      </c>
      <c r="AV448" s="37">
        <f t="shared" si="86"/>
        <v>0</v>
      </c>
      <c r="AW448" s="37"/>
    </row>
    <row r="449" spans="1:49" ht="15.75" customHeight="1" x14ac:dyDescent="0.25">
      <c r="A449" s="6" t="s">
        <v>4311</v>
      </c>
      <c r="B449" s="21" t="s">
        <v>4312</v>
      </c>
      <c r="C449" s="7">
        <v>1</v>
      </c>
      <c r="D449" s="39" t="s">
        <v>4319</v>
      </c>
      <c r="E449" s="7">
        <v>4334</v>
      </c>
      <c r="F449" s="7">
        <v>32</v>
      </c>
      <c r="G449" s="23">
        <v>26.3</v>
      </c>
      <c r="H449" s="34">
        <f>Tabela1[[#This Row],[PESO UNI]]*Tabela1[[#This Row],[QTE]]</f>
        <v>26.3</v>
      </c>
      <c r="I449" s="7" t="s">
        <v>4302</v>
      </c>
      <c r="J449" s="8" t="s">
        <v>3045</v>
      </c>
      <c r="K449" s="8" t="s">
        <v>4323</v>
      </c>
      <c r="L449" s="9" t="s">
        <v>2984</v>
      </c>
      <c r="M449" s="10">
        <v>46211</v>
      </c>
      <c r="N449" s="8" t="s">
        <v>38</v>
      </c>
      <c r="O449" s="12"/>
      <c r="P449" s="13"/>
      <c r="Q449" s="14">
        <f>Tabela1[[#This Row],[QTDE/ Fabricação]]-Tabela1[[#This Row],[QTE]]</f>
        <v>-1</v>
      </c>
      <c r="R449" s="18">
        <f t="shared" si="81"/>
        <v>0</v>
      </c>
      <c r="S449" s="18">
        <f t="shared" si="74"/>
        <v>0</v>
      </c>
      <c r="T449" s="19">
        <f t="shared" si="82"/>
        <v>-26.3</v>
      </c>
      <c r="U449" s="16">
        <f>IFERROR(SUMIF('LISTA DE EMBARQUE'!B:B,MICRO!E:E,'LISTA DE EMBARQUE'!G:G),"")</f>
        <v>0</v>
      </c>
      <c r="V449" s="12" t="str">
        <f>IFERROR(VLOOKUP(Tabela1[[#This Row],[COD.MDE]],'LISTA DE EMBARQUE'!B:L,11,0),"")</f>
        <v/>
      </c>
      <c r="W449" s="13" t="str">
        <f>IFERROR(COUNTIF(#REF!,Tabela1[[#This Row],[Colunas5]]),"")</f>
        <v/>
      </c>
      <c r="X449" s="14">
        <f>Tabela1[[#This Row],[QIANTIDADE EXPEDIDA]]*Tabela1[[#This Row],[PESO UNI]]</f>
        <v>0</v>
      </c>
      <c r="Y449" s="14">
        <f t="shared" si="83"/>
        <v>-1</v>
      </c>
      <c r="Z449" s="20">
        <f>Tabela1[[#This Row],[PESO TOTAL]]-Tabela1[[#This Row],[Peso Expedido]]</f>
        <v>26.3</v>
      </c>
      <c r="AA449" s="17"/>
      <c r="AB449" s="33"/>
      <c r="AC449" s="33"/>
      <c r="AD449" s="33"/>
      <c r="AE449" s="33"/>
      <c r="AF449" s="33"/>
      <c r="AG449" s="33"/>
      <c r="AH449" s="33"/>
      <c r="AI449" s="33" t="str">
        <f t="shared" si="69"/>
        <v/>
      </c>
      <c r="AJ449" s="5"/>
      <c r="AK449" t="str">
        <f>Tabela1[[#This Row],[Coluna1]]&amp;Tabela1[[#This Row],[PEDIDO]]</f>
        <v>P-198</v>
      </c>
      <c r="AL449"/>
      <c r="AM449"/>
      <c r="AN449"/>
      <c r="AO449" t="str">
        <f t="shared" si="84"/>
        <v>T-073242-1/14-CV-0001</v>
      </c>
      <c r="AP449" t="str">
        <f>Tabela1[[#This Row],[TAG]]&amp;Tabela1[[#This Row],[PEDIDO]]&amp;Tabela1[[#This Row],[PRODUTO]]</f>
        <v xml:space="preserve">14-CV-0001P-198ESTRUTURA </v>
      </c>
      <c r="AQ449" s="22" t="str">
        <f>Tabela1[[#This Row],[PRODUTO]]&amp;Tabela1[[#This Row],[TAG]]</f>
        <v>ESTRUTURA 14-CV-0001</v>
      </c>
      <c r="AR449" s="24" t="str">
        <f>Tabela1[[#This Row],[PEDIDO]]&amp;Tabela1[[#This Row],[PRODUTO]]</f>
        <v xml:space="preserve">P-198ESTRUTURA </v>
      </c>
      <c r="AS449" s="37">
        <f>IF(AF449="",0,IF(ISTEXT(AF449),H449*VALUE(SUBSTITUTE(AF449,"%",""))/100,H449*AF449))-Tabela1[[#This Row],[PRONTO ACABADO2]]</f>
        <v>0</v>
      </c>
      <c r="AT449" s="37">
        <f>IF(AG449="",0,IF(ISTEXT(AG449),H449*VALUE(SUBSTITUTE(AG449,"%",""))/100,H449*AG449))-Tabela1[[#This Row],[PESO EXPEDIDO2]]</f>
        <v>0</v>
      </c>
      <c r="AU449" s="37">
        <f t="shared" si="85"/>
        <v>0</v>
      </c>
      <c r="AV449" s="37">
        <f t="shared" si="86"/>
        <v>0</v>
      </c>
      <c r="AW449" s="37"/>
    </row>
    <row r="450" spans="1:49" ht="15.75" customHeight="1" x14ac:dyDescent="0.25">
      <c r="A450" s="6" t="s">
        <v>4311</v>
      </c>
      <c r="B450" s="21" t="s">
        <v>4312</v>
      </c>
      <c r="C450" s="7">
        <v>1</v>
      </c>
      <c r="D450" s="39" t="s">
        <v>4320</v>
      </c>
      <c r="E450" s="7">
        <v>4335</v>
      </c>
      <c r="F450" s="7">
        <v>32</v>
      </c>
      <c r="G450" s="23">
        <v>2.6</v>
      </c>
      <c r="H450" s="34">
        <f>Tabela1[[#This Row],[PESO UNI]]*Tabela1[[#This Row],[QTE]]</f>
        <v>2.6</v>
      </c>
      <c r="I450" s="7" t="s">
        <v>4302</v>
      </c>
      <c r="J450" s="8" t="s">
        <v>3045</v>
      </c>
      <c r="K450" s="8" t="s">
        <v>4323</v>
      </c>
      <c r="L450" s="9" t="s">
        <v>2984</v>
      </c>
      <c r="M450" s="10">
        <v>46211</v>
      </c>
      <c r="N450" s="8" t="s">
        <v>38</v>
      </c>
      <c r="O450" s="12"/>
      <c r="P450" s="13"/>
      <c r="Q450" s="14">
        <f>Tabela1[[#This Row],[QTDE/ Fabricação]]-Tabela1[[#This Row],[QTE]]</f>
        <v>-1</v>
      </c>
      <c r="R450" s="18">
        <f t="shared" si="81"/>
        <v>1.885</v>
      </c>
      <c r="S450" s="18">
        <f t="shared" si="74"/>
        <v>0</v>
      </c>
      <c r="T450" s="19">
        <f t="shared" si="82"/>
        <v>-2.6</v>
      </c>
      <c r="U450" s="16">
        <f>IFERROR(SUMIF('LISTA DE EMBARQUE'!B:B,MICRO!E:E,'LISTA DE EMBARQUE'!G:G),"")</f>
        <v>0</v>
      </c>
      <c r="V450" s="12" t="str">
        <f>IFERROR(VLOOKUP(Tabela1[[#This Row],[COD.MDE]],'LISTA DE EMBARQUE'!B:L,11,0),"")</f>
        <v/>
      </c>
      <c r="W450" s="13" t="str">
        <f>IFERROR(COUNTIF(#REF!,Tabela1[[#This Row],[Colunas5]]),"")</f>
        <v/>
      </c>
      <c r="X450" s="14">
        <f>Tabela1[[#This Row],[QIANTIDADE EXPEDIDA]]*Tabela1[[#This Row],[PESO UNI]]</f>
        <v>0</v>
      </c>
      <c r="Y450" s="14">
        <f t="shared" si="83"/>
        <v>-1</v>
      </c>
      <c r="Z450" s="20">
        <f>Tabela1[[#This Row],[PESO TOTAL]]-Tabela1[[#This Row],[Peso Expedido]]</f>
        <v>2.6</v>
      </c>
      <c r="AA450" s="17">
        <v>1</v>
      </c>
      <c r="AB450" s="33"/>
      <c r="AC450" s="33">
        <v>1</v>
      </c>
      <c r="AD450" s="33">
        <v>1</v>
      </c>
      <c r="AE450" s="33"/>
      <c r="AF450" s="33"/>
      <c r="AG450" s="33"/>
      <c r="AH450" s="33"/>
      <c r="AI450" s="33" t="str">
        <f t="shared" si="69"/>
        <v/>
      </c>
      <c r="AJ450" s="5"/>
      <c r="AK450" t="str">
        <f>Tabela1[[#This Row],[Coluna1]]&amp;Tabela1[[#This Row],[PEDIDO]]</f>
        <v>P-198</v>
      </c>
      <c r="AL450"/>
      <c r="AM450"/>
      <c r="AN450"/>
      <c r="AO450" t="str">
        <f t="shared" si="84"/>
        <v>T-073242-1/14-CV-0001</v>
      </c>
      <c r="AP450" t="str">
        <f>Tabela1[[#This Row],[TAG]]&amp;Tabela1[[#This Row],[PEDIDO]]&amp;Tabela1[[#This Row],[PRODUTO]]</f>
        <v xml:space="preserve">14-CV-0001P-198ESTRUTURA </v>
      </c>
      <c r="AQ450" s="22" t="str">
        <f>Tabela1[[#This Row],[PRODUTO]]&amp;Tabela1[[#This Row],[TAG]]</f>
        <v>ESTRUTURA 14-CV-0001</v>
      </c>
      <c r="AR450" s="24" t="str">
        <f>Tabela1[[#This Row],[PEDIDO]]&amp;Tabela1[[#This Row],[PRODUTO]]</f>
        <v xml:space="preserve">P-198ESTRUTURA </v>
      </c>
      <c r="AS450" s="37">
        <f>IF(AF450="",0,IF(ISTEXT(AF450),H450*VALUE(SUBSTITUTE(AF450,"%",""))/100,H450*AF450))-Tabela1[[#This Row],[PRONTO ACABADO2]]</f>
        <v>0</v>
      </c>
      <c r="AT450" s="37">
        <f>IF(AG450="",0,IF(ISTEXT(AG450),H450*VALUE(SUBSTITUTE(AG450,"%",""))/100,H450*AG450))-Tabela1[[#This Row],[PESO EXPEDIDO2]]</f>
        <v>0</v>
      </c>
      <c r="AU450" s="37">
        <f t="shared" si="85"/>
        <v>0</v>
      </c>
      <c r="AV450" s="37">
        <f t="shared" si="86"/>
        <v>0</v>
      </c>
      <c r="AW450" s="37"/>
    </row>
    <row r="451" spans="1:49" ht="15.75" customHeight="1" x14ac:dyDescent="0.25">
      <c r="A451" s="6" t="s">
        <v>4311</v>
      </c>
      <c r="B451" s="21" t="s">
        <v>4312</v>
      </c>
      <c r="C451" s="7">
        <v>1</v>
      </c>
      <c r="D451" s="39" t="s">
        <v>4321</v>
      </c>
      <c r="E451" s="7">
        <v>4336</v>
      </c>
      <c r="F451" s="7">
        <v>32</v>
      </c>
      <c r="G451" s="23">
        <v>3.1</v>
      </c>
      <c r="H451" s="34">
        <f>Tabela1[[#This Row],[PESO UNI]]*Tabela1[[#This Row],[QTE]]</f>
        <v>3.1</v>
      </c>
      <c r="I451" s="7" t="s">
        <v>4302</v>
      </c>
      <c r="J451" s="8" t="s">
        <v>3045</v>
      </c>
      <c r="K451" s="8" t="s">
        <v>4323</v>
      </c>
      <c r="L451" s="9" t="s">
        <v>2984</v>
      </c>
      <c r="M451" s="10">
        <v>46211</v>
      </c>
      <c r="N451" s="8" t="s">
        <v>38</v>
      </c>
      <c r="O451" s="12"/>
      <c r="P451" s="13"/>
      <c r="Q451" s="14">
        <f>Tabela1[[#This Row],[QTDE/ Fabricação]]-Tabela1[[#This Row],[QTE]]</f>
        <v>-1</v>
      </c>
      <c r="R451" s="18">
        <f t="shared" si="81"/>
        <v>0</v>
      </c>
      <c r="S451" s="18">
        <f>IFERROR(H451*AG451,"")</f>
        <v>0</v>
      </c>
      <c r="T451" s="19">
        <f>IFERROR(S451-H451,"")</f>
        <v>-3.1</v>
      </c>
      <c r="U451" s="16">
        <f>IFERROR(SUMIF('LISTA DE EMBARQUE'!B:B,MICRO!E:E,'LISTA DE EMBARQUE'!G:G),"")</f>
        <v>0</v>
      </c>
      <c r="V451" s="12" t="str">
        <f>IFERROR(VLOOKUP(Tabela1[[#This Row],[COD.MDE]],'LISTA DE EMBARQUE'!B:L,11,0),"")</f>
        <v/>
      </c>
      <c r="W451" s="13" t="str">
        <f>IFERROR(COUNTIF(#REF!,Tabela1[[#This Row],[Colunas5]]),"")</f>
        <v/>
      </c>
      <c r="X451" s="14">
        <f>Tabela1[[#This Row],[QIANTIDADE EXPEDIDA]]*Tabela1[[#This Row],[PESO UNI]]</f>
        <v>0</v>
      </c>
      <c r="Y451" s="14">
        <f>U451-C451</f>
        <v>-1</v>
      </c>
      <c r="Z451" s="20">
        <f>Tabela1[[#This Row],[PESO TOTAL]]-Tabela1[[#This Row],[Peso Expedido]]</f>
        <v>3.1</v>
      </c>
      <c r="AA451" s="17"/>
      <c r="AB451" s="33"/>
      <c r="AC451" s="33"/>
      <c r="AD451" s="33"/>
      <c r="AE451" s="33"/>
      <c r="AF451" s="33"/>
      <c r="AG451" s="33"/>
      <c r="AH451" s="33"/>
      <c r="AI451" s="33" t="str">
        <f t="shared" si="69"/>
        <v/>
      </c>
      <c r="AJ451" s="5"/>
      <c r="AK451" t="str">
        <f>Tabela1[[#This Row],[Coluna1]]&amp;Tabela1[[#This Row],[PEDIDO]]</f>
        <v>P-198</v>
      </c>
      <c r="AL451"/>
      <c r="AM451"/>
      <c r="AN451"/>
      <c r="AO451" t="str">
        <f>A451&amp;"/"&amp;J451</f>
        <v>T-073242-1/14-CV-0001</v>
      </c>
      <c r="AP451" t="str">
        <f>Tabela1[[#This Row],[TAG]]&amp;Tabela1[[#This Row],[PEDIDO]]&amp;Tabela1[[#This Row],[PRODUTO]]</f>
        <v xml:space="preserve">14-CV-0001P-198ESTRUTURA </v>
      </c>
      <c r="AQ451" s="22" t="str">
        <f>Tabela1[[#This Row],[PRODUTO]]&amp;Tabela1[[#This Row],[TAG]]</f>
        <v>ESTRUTURA 14-CV-0001</v>
      </c>
      <c r="AR451" s="24" t="str">
        <f>Tabela1[[#This Row],[PEDIDO]]&amp;Tabela1[[#This Row],[PRODUTO]]</f>
        <v xml:space="preserve">P-198ESTRUTURA </v>
      </c>
      <c r="AS451" s="37">
        <f>IF(AF451="",0,IF(ISTEXT(AF451),H451*VALUE(SUBSTITUTE(AF451,"%",""))/100,H451*AF451))-Tabela1[[#This Row],[PRONTO ACABADO2]]</f>
        <v>0</v>
      </c>
      <c r="AT451" s="37">
        <f>IF(AG451="",0,IF(ISTEXT(AG451),H451*VALUE(SUBSTITUTE(AG451,"%",""))/100,H451*AG451))-Tabela1[[#This Row],[PESO EXPEDIDO2]]</f>
        <v>0</v>
      </c>
      <c r="AU451" s="37">
        <f>IF(AH451="",0,IF(ISTEXT(AH451),H451*VALUE(SUBSTITUTE(AH451,"%",""))/100,H451*AH451))</f>
        <v>0</v>
      </c>
      <c r="AV451" s="37">
        <f>IF(AG451="",0,IF(ISTEXT(AG451),H451*VALUE(SUBSTITUTE(AG451,"%",""))/100,H451*AG451))</f>
        <v>0</v>
      </c>
      <c r="AW451" s="37"/>
    </row>
    <row r="452" spans="1:49" ht="15.75" customHeight="1" x14ac:dyDescent="0.25">
      <c r="A452" s="6" t="s">
        <v>4311</v>
      </c>
      <c r="B452" s="21" t="s">
        <v>4312</v>
      </c>
      <c r="C452" s="7">
        <v>2</v>
      </c>
      <c r="D452" s="39" t="s">
        <v>4322</v>
      </c>
      <c r="E452" s="7">
        <v>4337</v>
      </c>
      <c r="F452" s="7">
        <v>32</v>
      </c>
      <c r="G452" s="23">
        <v>1.7</v>
      </c>
      <c r="H452" s="34">
        <f>Tabela1[[#This Row],[PESO UNI]]*Tabela1[[#This Row],[QTE]]</f>
        <v>3.4</v>
      </c>
      <c r="I452" s="7" t="s">
        <v>4302</v>
      </c>
      <c r="J452" s="8" t="s">
        <v>3045</v>
      </c>
      <c r="K452" s="8" t="s">
        <v>4323</v>
      </c>
      <c r="L452" s="9" t="s">
        <v>2984</v>
      </c>
      <c r="M452" s="10">
        <v>46211</v>
      </c>
      <c r="N452" s="8" t="s">
        <v>38</v>
      </c>
      <c r="O452" s="12"/>
      <c r="P452" s="13"/>
      <c r="Q452" s="14">
        <f>Tabela1[[#This Row],[QTDE/ Fabricação]]-Tabela1[[#This Row],[QTE]]</f>
        <v>-2</v>
      </c>
      <c r="R452" s="18">
        <f t="shared" si="81"/>
        <v>0</v>
      </c>
      <c r="S452" s="18">
        <f>IFERROR(H452*AG452,"")</f>
        <v>0</v>
      </c>
      <c r="T452" s="19">
        <f>IFERROR(S452-H452,"")</f>
        <v>-3.4</v>
      </c>
      <c r="U452" s="16">
        <f>IFERROR(SUMIF('LISTA DE EMBARQUE'!B:B,MICRO!E:E,'LISTA DE EMBARQUE'!G:G),"")</f>
        <v>0</v>
      </c>
      <c r="V452" s="12" t="str">
        <f>IFERROR(VLOOKUP(Tabela1[[#This Row],[COD.MDE]],'LISTA DE EMBARQUE'!B:L,11,0),"")</f>
        <v/>
      </c>
      <c r="W452" s="13" t="str">
        <f>IFERROR(COUNTIF(#REF!,Tabela1[[#This Row],[Colunas5]]),"")</f>
        <v/>
      </c>
      <c r="X452" s="14">
        <f>Tabela1[[#This Row],[QIANTIDADE EXPEDIDA]]*Tabela1[[#This Row],[PESO UNI]]</f>
        <v>0</v>
      </c>
      <c r="Y452" s="14">
        <f>U452-C452</f>
        <v>-2</v>
      </c>
      <c r="Z452" s="20">
        <f>Tabela1[[#This Row],[PESO TOTAL]]-Tabela1[[#This Row],[Peso Expedido]]</f>
        <v>3.4</v>
      </c>
      <c r="AA452" s="17"/>
      <c r="AB452" s="33"/>
      <c r="AC452" s="33"/>
      <c r="AD452" s="33"/>
      <c r="AE452" s="33"/>
      <c r="AF452" s="33"/>
      <c r="AG452" s="33"/>
      <c r="AH452" s="33"/>
      <c r="AI452" s="33" t="str">
        <f t="shared" si="69"/>
        <v/>
      </c>
      <c r="AJ452" s="5"/>
      <c r="AK452" t="str">
        <f>Tabela1[[#This Row],[Coluna1]]&amp;Tabela1[[#This Row],[PEDIDO]]</f>
        <v>P-198</v>
      </c>
      <c r="AL452"/>
      <c r="AM452"/>
      <c r="AN452"/>
      <c r="AO452" t="str">
        <f>A452&amp;"/"&amp;J452</f>
        <v>T-073242-1/14-CV-0001</v>
      </c>
      <c r="AP452" t="str">
        <f>Tabela1[[#This Row],[TAG]]&amp;Tabela1[[#This Row],[PEDIDO]]&amp;Tabela1[[#This Row],[PRODUTO]]</f>
        <v xml:space="preserve">14-CV-0001P-198ESTRUTURA </v>
      </c>
      <c r="AQ452" s="22" t="str">
        <f>Tabela1[[#This Row],[PRODUTO]]&amp;Tabela1[[#This Row],[TAG]]</f>
        <v>ESTRUTURA 14-CV-0001</v>
      </c>
      <c r="AR452" s="24" t="str">
        <f>Tabela1[[#This Row],[PEDIDO]]&amp;Tabela1[[#This Row],[PRODUTO]]</f>
        <v xml:space="preserve">P-198ESTRUTURA </v>
      </c>
      <c r="AS452" s="37">
        <f>IF(AF452="",0,IF(ISTEXT(AF452),H452*VALUE(SUBSTITUTE(AF452,"%",""))/100,H452*AF452))-Tabela1[[#This Row],[PRONTO ACABADO2]]</f>
        <v>0</v>
      </c>
      <c r="AT452" s="37">
        <f>IF(AG452="",0,IF(ISTEXT(AG452),H452*VALUE(SUBSTITUTE(AG452,"%",""))/100,H452*AG452))-Tabela1[[#This Row],[PESO EXPEDIDO2]]</f>
        <v>0</v>
      </c>
      <c r="AU452" s="37">
        <f>IF(AH452="",0,IF(ISTEXT(AH452),H452*VALUE(SUBSTITUTE(AH452,"%",""))/100,H452*AH452))</f>
        <v>0</v>
      </c>
      <c r="AV452" s="37">
        <f>IF(AG452="",0,IF(ISTEXT(AG452),H452*VALUE(SUBSTITUTE(AG452,"%",""))/100,H452*AG452))</f>
        <v>0</v>
      </c>
      <c r="AW452" s="37"/>
    </row>
    <row r="453" spans="1:49" ht="15.75" customHeight="1" x14ac:dyDescent="0.25">
      <c r="A453" s="6" t="s">
        <v>4420</v>
      </c>
      <c r="B453" s="21" t="s">
        <v>4421</v>
      </c>
      <c r="C453" s="7">
        <v>1</v>
      </c>
      <c r="D453" s="39" t="s">
        <v>4422</v>
      </c>
      <c r="E453" s="7">
        <v>4338</v>
      </c>
      <c r="F453" s="7">
        <v>35</v>
      </c>
      <c r="G453" s="23">
        <v>748.2</v>
      </c>
      <c r="H453" s="34">
        <f>Tabela1[[#This Row],[PESO UNI]]*Tabela1[[#This Row],[QTE]]</f>
        <v>748.2</v>
      </c>
      <c r="I453" s="7" t="s">
        <v>4513</v>
      </c>
      <c r="J453" s="8" t="s">
        <v>3045</v>
      </c>
      <c r="K453" s="8" t="s">
        <v>31</v>
      </c>
      <c r="L453" s="9" t="s">
        <v>2984</v>
      </c>
      <c r="M453" s="10">
        <v>46218</v>
      </c>
      <c r="N453" s="8" t="s">
        <v>38</v>
      </c>
      <c r="O453" s="14"/>
      <c r="P453" s="18"/>
      <c r="Q453" s="14">
        <f>Tabela1[[#This Row],[QTDE/ Fabricação]]-Tabela1[[#This Row],[QTE]]</f>
        <v>-1</v>
      </c>
      <c r="R453" s="18">
        <f t="shared" si="81"/>
        <v>491.94150000000002</v>
      </c>
      <c r="S453" s="18">
        <f t="shared" ref="S453:S461" si="87">IFERROR(H453*AG453,"")</f>
        <v>0</v>
      </c>
      <c r="T453" s="19">
        <f t="shared" ref="T453:T461" si="88">IFERROR(S453-H453,"")</f>
        <v>-748.2</v>
      </c>
      <c r="U453" s="16">
        <f>IFERROR(SUMIF('LISTA DE EMBARQUE'!B:B,MICRO!E:E,'LISTA DE EMBARQUE'!G:G),"")</f>
        <v>0</v>
      </c>
      <c r="V453" s="12" t="str">
        <f>IFERROR(VLOOKUP(Tabela1[[#This Row],[COD.MDE]],'LISTA DE EMBARQUE'!B:L,11,0),"")</f>
        <v/>
      </c>
      <c r="W453" s="13"/>
      <c r="X453" s="14">
        <f>IFERROR(Tabela1[[#This Row],[QIANTIDADE EXPEDIDA]]*Tabela1[[#This Row],[PESO UNI]],"")</f>
        <v>0</v>
      </c>
      <c r="Y453" s="14">
        <f t="shared" ref="Y453:Y461" si="89">U453-C453</f>
        <v>-1</v>
      </c>
      <c r="Z453" s="20">
        <f>Tabela1[[#This Row],[PESO TOTAL]]-Tabela1[[#This Row],[Peso Expedido]]</f>
        <v>748.2</v>
      </c>
      <c r="AA453" s="33">
        <v>1</v>
      </c>
      <c r="AB453" s="33"/>
      <c r="AC453" s="33">
        <v>1</v>
      </c>
      <c r="AD453" s="33">
        <v>0.7</v>
      </c>
      <c r="AE453" s="33"/>
      <c r="AF453" s="33"/>
      <c r="AG453" s="33"/>
      <c r="AH453" s="28"/>
      <c r="AI453" s="33" t="str">
        <f t="shared" si="69"/>
        <v/>
      </c>
    </row>
    <row r="454" spans="1:49" ht="15.75" customHeight="1" x14ac:dyDescent="0.25">
      <c r="A454" s="6" t="s">
        <v>4423</v>
      </c>
      <c r="B454" s="21" t="s">
        <v>4424</v>
      </c>
      <c r="C454" s="7">
        <v>5</v>
      </c>
      <c r="D454" s="39" t="s">
        <v>4425</v>
      </c>
      <c r="E454" s="7">
        <v>4339</v>
      </c>
      <c r="F454" s="7">
        <v>35</v>
      </c>
      <c r="G454" s="23">
        <v>730.2</v>
      </c>
      <c r="H454" s="34">
        <f>Tabela1[[#This Row],[PESO UNI]]*Tabela1[[#This Row],[QTE]]</f>
        <v>3651</v>
      </c>
      <c r="I454" s="7" t="s">
        <v>4444</v>
      </c>
      <c r="J454" s="8" t="s">
        <v>3045</v>
      </c>
      <c r="K454" s="8" t="s">
        <v>31</v>
      </c>
      <c r="L454" s="9" t="s">
        <v>2984</v>
      </c>
      <c r="M454" s="10">
        <v>46218</v>
      </c>
      <c r="N454" s="8" t="s">
        <v>38</v>
      </c>
      <c r="O454" s="14"/>
      <c r="P454" s="18"/>
      <c r="Q454" s="14">
        <f>Tabela1[[#This Row],[QTDE/ Fabricação]]-Tabela1[[#This Row],[QTE]]</f>
        <v>-5</v>
      </c>
      <c r="R454" s="18">
        <f t="shared" si="81"/>
        <v>2400.5324999999998</v>
      </c>
      <c r="S454" s="18">
        <f t="shared" si="87"/>
        <v>0</v>
      </c>
      <c r="T454" s="19">
        <f t="shared" si="88"/>
        <v>-3651</v>
      </c>
      <c r="U454" s="16">
        <f>IFERROR(SUMIF('LISTA DE EMBARQUE'!B:B,MICRO!E:E,'LISTA DE EMBARQUE'!G:G),"")</f>
        <v>0</v>
      </c>
      <c r="V454" s="12" t="str">
        <f>IFERROR(VLOOKUP(Tabela1[[#This Row],[COD.MDE]],'LISTA DE EMBARQUE'!B:L,11,0),"")</f>
        <v/>
      </c>
      <c r="W454" s="13"/>
      <c r="X454" s="14">
        <f>IFERROR(Tabela1[[#This Row],[QIANTIDADE EXPEDIDA]]*Tabela1[[#This Row],[PESO UNI]],"")</f>
        <v>0</v>
      </c>
      <c r="Y454" s="14">
        <f t="shared" si="89"/>
        <v>-5</v>
      </c>
      <c r="Z454" s="20">
        <f>Tabela1[[#This Row],[PESO TOTAL]]-Tabela1[[#This Row],[Peso Expedido]]</f>
        <v>3651</v>
      </c>
      <c r="AA454" s="33">
        <v>1</v>
      </c>
      <c r="AB454" s="33"/>
      <c r="AC454" s="33">
        <v>1</v>
      </c>
      <c r="AD454" s="33">
        <v>0.7</v>
      </c>
      <c r="AE454" s="33"/>
      <c r="AF454" s="33"/>
      <c r="AG454" s="33"/>
      <c r="AH454" s="28"/>
      <c r="AI454" s="33" t="str">
        <f t="shared" si="69"/>
        <v/>
      </c>
    </row>
    <row r="455" spans="1:49" ht="15.75" customHeight="1" x14ac:dyDescent="0.25">
      <c r="A455" s="6" t="s">
        <v>101</v>
      </c>
      <c r="B455" s="21"/>
      <c r="C455" s="7">
        <v>18</v>
      </c>
      <c r="D455" s="39" t="s">
        <v>146</v>
      </c>
      <c r="E455" s="7">
        <v>4340</v>
      </c>
      <c r="F455" s="7">
        <v>1</v>
      </c>
      <c r="G455" s="23">
        <v>1</v>
      </c>
      <c r="H455" s="34">
        <f>Tabela1[[#This Row],[PESO UNI]]*Tabela1[[#This Row],[QTE]]</f>
        <v>18</v>
      </c>
      <c r="I455" s="7" t="s">
        <v>2</v>
      </c>
      <c r="J455" s="8" t="s">
        <v>4426</v>
      </c>
      <c r="K455" s="8" t="s">
        <v>23</v>
      </c>
      <c r="L455" s="9" t="s">
        <v>4427</v>
      </c>
      <c r="M455" s="10">
        <v>46218</v>
      </c>
      <c r="N455" s="8" t="s">
        <v>38</v>
      </c>
      <c r="O455" s="14"/>
      <c r="P455" s="18"/>
      <c r="Q455" s="14">
        <f>Tabela1[[#This Row],[QTDE/ Fabricação]]-Tabela1[[#This Row],[QTE]]</f>
        <v>-18</v>
      </c>
      <c r="R455" s="18">
        <f t="shared" si="81"/>
        <v>8.01</v>
      </c>
      <c r="S455" s="18">
        <f t="shared" si="87"/>
        <v>5.3999999999999995</v>
      </c>
      <c r="T455" s="19">
        <f t="shared" si="88"/>
        <v>-12.600000000000001</v>
      </c>
      <c r="U455" s="16">
        <f>IFERROR(SUMIF('LISTA DE EMBARQUE'!B:B,MICRO!E:E,'LISTA DE EMBARQUE'!G:G),"")</f>
        <v>0</v>
      </c>
      <c r="V455" s="12" t="str">
        <f>IFERROR(VLOOKUP(Tabela1[[#This Row],[COD.MDE]],'LISTA DE EMBARQUE'!B:L,11,0),"")</f>
        <v/>
      </c>
      <c r="W455" s="13"/>
      <c r="X455" s="14">
        <f>IFERROR(Tabela1[[#This Row],[QIANTIDADE EXPEDIDA]]*Tabela1[[#This Row],[PESO UNI]],"")</f>
        <v>0</v>
      </c>
      <c r="Y455" s="14">
        <f t="shared" si="89"/>
        <v>-18</v>
      </c>
      <c r="Z455" s="20">
        <f>Tabela1[[#This Row],[PESO TOTAL]]-Tabela1[[#This Row],[Peso Expedido]]</f>
        <v>18</v>
      </c>
      <c r="AA455" s="33">
        <v>0.5</v>
      </c>
      <c r="AB455" s="33"/>
      <c r="AC455" s="33">
        <v>0.5</v>
      </c>
      <c r="AD455" s="33">
        <v>0.5</v>
      </c>
      <c r="AE455" s="33">
        <v>0.3</v>
      </c>
      <c r="AF455" s="33">
        <v>0.3</v>
      </c>
      <c r="AG455" s="33">
        <v>0.3</v>
      </c>
      <c r="AH455" s="28"/>
      <c r="AI455" s="33" t="str">
        <f t="shared" si="69"/>
        <v/>
      </c>
    </row>
    <row r="456" spans="1:49" ht="15.75" customHeight="1" x14ac:dyDescent="0.25">
      <c r="A456" s="6" t="s">
        <v>814</v>
      </c>
      <c r="B456" s="21"/>
      <c r="C456" s="7">
        <v>53</v>
      </c>
      <c r="D456" s="39" t="s">
        <v>4428</v>
      </c>
      <c r="E456" s="7">
        <v>4341</v>
      </c>
      <c r="F456" s="7">
        <v>1</v>
      </c>
      <c r="G456" s="23">
        <v>5.2</v>
      </c>
      <c r="H456" s="34">
        <f>Tabela1[[#This Row],[PESO UNI]]*Tabela1[[#This Row],[QTE]]</f>
        <v>275.60000000000002</v>
      </c>
      <c r="I456" s="7" t="s">
        <v>2</v>
      </c>
      <c r="J456" s="8" t="s">
        <v>4426</v>
      </c>
      <c r="K456" s="8" t="s">
        <v>23</v>
      </c>
      <c r="L456" s="9" t="s">
        <v>4427</v>
      </c>
      <c r="M456" s="10">
        <v>46218</v>
      </c>
      <c r="N456" s="8" t="s">
        <v>38</v>
      </c>
      <c r="O456" s="14"/>
      <c r="P456" s="18"/>
      <c r="Q456" s="14">
        <f>Tabela1[[#This Row],[QTDE/ Fabricação]]-Tabela1[[#This Row],[QTE]]</f>
        <v>-53</v>
      </c>
      <c r="R456" s="18">
        <f>IFERROR(H456*((AA456*0.25)+(AC456*0.25)+(AD456*0.225)+(AE456*0.225)+(AF456*0.05)),"")</f>
        <v>122.64200000000001</v>
      </c>
      <c r="S456" s="18">
        <f t="shared" si="87"/>
        <v>82.68</v>
      </c>
      <c r="T456" s="19">
        <f t="shared" si="88"/>
        <v>-192.92000000000002</v>
      </c>
      <c r="U456" s="16">
        <f>IFERROR(SUMIF('LISTA DE EMBARQUE'!B:B,MICRO!E:E,'LISTA DE EMBARQUE'!G:G),"")</f>
        <v>0</v>
      </c>
      <c r="V456" s="12" t="str">
        <f>IFERROR(VLOOKUP(Tabela1[[#This Row],[COD.MDE]],'LISTA DE EMBARQUE'!B:L,11,0),"")</f>
        <v/>
      </c>
      <c r="W456" s="13"/>
      <c r="X456" s="14">
        <f>IFERROR(Tabela1[[#This Row],[QIANTIDADE EXPEDIDA]]*Tabela1[[#This Row],[PESO UNI]],"")</f>
        <v>0</v>
      </c>
      <c r="Y456" s="14">
        <f t="shared" si="89"/>
        <v>-53</v>
      </c>
      <c r="Z456" s="20">
        <f>Tabela1[[#This Row],[PESO TOTAL]]-Tabela1[[#This Row],[Peso Expedido]]</f>
        <v>275.60000000000002</v>
      </c>
      <c r="AA456" s="33">
        <v>0.5</v>
      </c>
      <c r="AB456" s="33"/>
      <c r="AC456" s="33">
        <v>0.5</v>
      </c>
      <c r="AD456" s="33">
        <v>0.5</v>
      </c>
      <c r="AE456" s="33">
        <v>0.3</v>
      </c>
      <c r="AF456" s="33">
        <v>0.3</v>
      </c>
      <c r="AG456" s="33">
        <v>0.3</v>
      </c>
      <c r="AH456" s="28"/>
      <c r="AI456" s="33" t="str">
        <f t="shared" si="69"/>
        <v/>
      </c>
    </row>
    <row r="457" spans="1:49" ht="15.75" customHeight="1" x14ac:dyDescent="0.25">
      <c r="A457" s="6" t="s">
        <v>4429</v>
      </c>
      <c r="B457" s="21" t="s">
        <v>4430</v>
      </c>
      <c r="C457" s="7">
        <v>7</v>
      </c>
      <c r="D457" s="39" t="s">
        <v>4431</v>
      </c>
      <c r="E457" s="7">
        <v>4342</v>
      </c>
      <c r="F457" s="7">
        <v>1</v>
      </c>
      <c r="G457" s="23">
        <v>19.100000000000001</v>
      </c>
      <c r="H457" s="34">
        <f>Tabela1[[#This Row],[PESO UNI]]*Tabela1[[#This Row],[QTE]]</f>
        <v>133.70000000000002</v>
      </c>
      <c r="I457" s="7" t="s">
        <v>746</v>
      </c>
      <c r="J457" s="8" t="s">
        <v>4426</v>
      </c>
      <c r="K457" s="8" t="s">
        <v>33</v>
      </c>
      <c r="L457" s="9" t="s">
        <v>4427</v>
      </c>
      <c r="M457" s="10">
        <v>46218</v>
      </c>
      <c r="N457" s="8" t="s">
        <v>38</v>
      </c>
      <c r="O457" s="14"/>
      <c r="P457" s="18"/>
      <c r="Q457" s="14">
        <f>Tabela1[[#This Row],[QTDE/ Fabricação]]-Tabela1[[#This Row],[QTE]]</f>
        <v>-7</v>
      </c>
      <c r="R457" s="18">
        <f>IFERROR(H457*((AA457*0.25)+(AC457*0.25)+(AD457*0.225)+(AE457*0.225)+(AF457*0.05)),"")</f>
        <v>59.496500000000012</v>
      </c>
      <c r="S457" s="18">
        <f t="shared" si="87"/>
        <v>40.110000000000007</v>
      </c>
      <c r="T457" s="19">
        <f t="shared" si="88"/>
        <v>-93.59</v>
      </c>
      <c r="U457" s="16">
        <f>IFERROR(SUMIF('LISTA DE EMBARQUE'!B:B,MICRO!E:E,'LISTA DE EMBARQUE'!G:G),"")</f>
        <v>0</v>
      </c>
      <c r="V457" s="12" t="str">
        <f>IFERROR(VLOOKUP(Tabela1[[#This Row],[COD.MDE]],'LISTA DE EMBARQUE'!B:L,11,0),"")</f>
        <v/>
      </c>
      <c r="W457" s="13"/>
      <c r="X457" s="14">
        <f>IFERROR(Tabela1[[#This Row],[QIANTIDADE EXPEDIDA]]*Tabela1[[#This Row],[PESO UNI]],"")</f>
        <v>0</v>
      </c>
      <c r="Y457" s="14">
        <f t="shared" si="89"/>
        <v>-7</v>
      </c>
      <c r="Z457" s="20">
        <f>Tabela1[[#This Row],[PESO TOTAL]]-Tabela1[[#This Row],[Peso Expedido]]</f>
        <v>133.70000000000002</v>
      </c>
      <c r="AA457" s="33">
        <v>0.5</v>
      </c>
      <c r="AB457" s="33"/>
      <c r="AC457" s="33">
        <v>0.5</v>
      </c>
      <c r="AD457" s="33">
        <v>0.5</v>
      </c>
      <c r="AE457" s="33">
        <v>0.3</v>
      </c>
      <c r="AF457" s="33">
        <v>0.3</v>
      </c>
      <c r="AG457" s="33">
        <v>0.3</v>
      </c>
      <c r="AH457" s="28"/>
      <c r="AI457" s="33" t="str">
        <f t="shared" si="69"/>
        <v/>
      </c>
    </row>
    <row r="458" spans="1:49" ht="15.75" customHeight="1" x14ac:dyDescent="0.25">
      <c r="A458" s="6" t="s">
        <v>4432</v>
      </c>
      <c r="B458" s="21" t="s">
        <v>4433</v>
      </c>
      <c r="C458" s="7">
        <v>6</v>
      </c>
      <c r="D458" s="39" t="s">
        <v>4434</v>
      </c>
      <c r="E458" s="7">
        <v>4343</v>
      </c>
      <c r="F458" s="7">
        <v>1</v>
      </c>
      <c r="G458" s="23">
        <v>18.2</v>
      </c>
      <c r="H458" s="34">
        <f>Tabela1[[#This Row],[PESO UNI]]*Tabela1[[#This Row],[QTE]]</f>
        <v>109.19999999999999</v>
      </c>
      <c r="I458" s="7" t="s">
        <v>746</v>
      </c>
      <c r="J458" s="8" t="s">
        <v>4426</v>
      </c>
      <c r="K458" s="8" t="s">
        <v>33</v>
      </c>
      <c r="L458" s="9" t="s">
        <v>4427</v>
      </c>
      <c r="M458" s="10">
        <v>46218</v>
      </c>
      <c r="N458" s="8" t="s">
        <v>38</v>
      </c>
      <c r="O458" s="14"/>
      <c r="P458" s="18"/>
      <c r="Q458" s="14">
        <f>Tabela1[[#This Row],[QTDE/ Fabricação]]-Tabela1[[#This Row],[QTE]]</f>
        <v>-6</v>
      </c>
      <c r="R458" s="18">
        <f>IFERROR(H458*((AA458*0.25)+(AC458*0.25)+(AD458*0.225)+(AE458*0.225)+(AF458*0.05)),"")</f>
        <v>48.593999999999994</v>
      </c>
      <c r="S458" s="18">
        <f t="shared" si="87"/>
        <v>32.76</v>
      </c>
      <c r="T458" s="19">
        <f t="shared" si="88"/>
        <v>-76.44</v>
      </c>
      <c r="U458" s="16">
        <f>IFERROR(SUMIF('LISTA DE EMBARQUE'!B:B,MICRO!E:E,'LISTA DE EMBARQUE'!G:G),"")</f>
        <v>0</v>
      </c>
      <c r="V458" s="12" t="str">
        <f>IFERROR(VLOOKUP(Tabela1[[#This Row],[COD.MDE]],'LISTA DE EMBARQUE'!B:L,11,0),"")</f>
        <v/>
      </c>
      <c r="W458" s="13"/>
      <c r="X458" s="14">
        <f>IFERROR(Tabela1[[#This Row],[QIANTIDADE EXPEDIDA]]*Tabela1[[#This Row],[PESO UNI]],"")</f>
        <v>0</v>
      </c>
      <c r="Y458" s="14">
        <f t="shared" si="89"/>
        <v>-6</v>
      </c>
      <c r="Z458" s="20">
        <f>Tabela1[[#This Row],[PESO TOTAL]]-Tabela1[[#This Row],[Peso Expedido]]</f>
        <v>109.19999999999999</v>
      </c>
      <c r="AA458" s="33">
        <v>0.5</v>
      </c>
      <c r="AB458" s="33"/>
      <c r="AC458" s="33">
        <v>0.5</v>
      </c>
      <c r="AD458" s="33">
        <v>0.5</v>
      </c>
      <c r="AE458" s="33">
        <v>0.3</v>
      </c>
      <c r="AF458" s="33">
        <v>0.3</v>
      </c>
      <c r="AG458" s="33">
        <v>0.3</v>
      </c>
      <c r="AH458" s="28"/>
      <c r="AI458" s="33" t="str">
        <f t="shared" si="69"/>
        <v/>
      </c>
    </row>
    <row r="459" spans="1:49" ht="15.75" customHeight="1" x14ac:dyDescent="0.25">
      <c r="A459" s="6" t="s">
        <v>4435</v>
      </c>
      <c r="B459" s="21" t="s">
        <v>4436</v>
      </c>
      <c r="C459" s="7">
        <v>8</v>
      </c>
      <c r="D459" s="39" t="s">
        <v>4440</v>
      </c>
      <c r="E459" s="7">
        <v>4344</v>
      </c>
      <c r="F459" s="7">
        <v>1</v>
      </c>
      <c r="G459" s="23">
        <v>6</v>
      </c>
      <c r="H459" s="34">
        <f>Tabela1[[#This Row],[PESO UNI]]*Tabela1[[#This Row],[QTE]]</f>
        <v>48</v>
      </c>
      <c r="I459" s="7" t="s">
        <v>746</v>
      </c>
      <c r="J459" s="8" t="s">
        <v>4426</v>
      </c>
      <c r="K459" s="8" t="s">
        <v>33</v>
      </c>
      <c r="L459" s="9" t="s">
        <v>4427</v>
      </c>
      <c r="M459" s="10">
        <v>46218</v>
      </c>
      <c r="N459" s="8" t="s">
        <v>38</v>
      </c>
      <c r="O459" s="14"/>
      <c r="P459" s="18"/>
      <c r="Q459" s="14">
        <f>Tabela1[[#This Row],[QTDE/ Fabricação]]-Tabela1[[#This Row],[QTE]]</f>
        <v>-8</v>
      </c>
      <c r="R459" s="18">
        <f>IFERROR(H459*((AA459*0.25)+(AC459*0.25)+(AD459*0.225)+(AE459*0.225)+(AF459*0.05)),"")</f>
        <v>21.36</v>
      </c>
      <c r="S459" s="18">
        <f t="shared" si="87"/>
        <v>14.399999999999999</v>
      </c>
      <c r="T459" s="19">
        <f t="shared" si="88"/>
        <v>-33.6</v>
      </c>
      <c r="U459" s="16">
        <f>IFERROR(SUMIF('LISTA DE EMBARQUE'!B:B,MICRO!E:E,'LISTA DE EMBARQUE'!G:G),"")</f>
        <v>0</v>
      </c>
      <c r="V459" s="12" t="str">
        <f>IFERROR(VLOOKUP(Tabela1[[#This Row],[COD.MDE]],'LISTA DE EMBARQUE'!B:L,11,0),"")</f>
        <v/>
      </c>
      <c r="W459" s="13"/>
      <c r="X459" s="14">
        <f>IFERROR(Tabela1[[#This Row],[QIANTIDADE EXPEDIDA]]*Tabela1[[#This Row],[PESO UNI]],"")</f>
        <v>0</v>
      </c>
      <c r="Y459" s="14">
        <f t="shared" si="89"/>
        <v>-8</v>
      </c>
      <c r="Z459" s="20">
        <f>Tabela1[[#This Row],[PESO TOTAL]]-Tabela1[[#This Row],[Peso Expedido]]</f>
        <v>48</v>
      </c>
      <c r="AA459" s="33">
        <v>0.5</v>
      </c>
      <c r="AB459" s="33"/>
      <c r="AC459" s="33">
        <v>0.5</v>
      </c>
      <c r="AD459" s="33">
        <v>0.5</v>
      </c>
      <c r="AE459" s="33">
        <v>0.3</v>
      </c>
      <c r="AF459" s="33">
        <v>0.3</v>
      </c>
      <c r="AG459" s="33">
        <v>0.3</v>
      </c>
      <c r="AH459" s="28"/>
      <c r="AI459" s="33" t="str">
        <f t="shared" si="69"/>
        <v/>
      </c>
    </row>
    <row r="460" spans="1:49" ht="15.75" customHeight="1" x14ac:dyDescent="0.25">
      <c r="A460" s="6" t="s">
        <v>4437</v>
      </c>
      <c r="B460" s="21" t="s">
        <v>4438</v>
      </c>
      <c r="C460" s="7">
        <v>14</v>
      </c>
      <c r="D460" s="39" t="s">
        <v>4439</v>
      </c>
      <c r="E460" s="7">
        <v>4345</v>
      </c>
      <c r="F460" s="7">
        <v>1</v>
      </c>
      <c r="G460" s="23">
        <v>5</v>
      </c>
      <c r="H460" s="34">
        <f>Tabela1[[#This Row],[PESO UNI]]*Tabela1[[#This Row],[QTE]]</f>
        <v>70</v>
      </c>
      <c r="I460" s="7" t="s">
        <v>746</v>
      </c>
      <c r="J460" s="8" t="s">
        <v>4426</v>
      </c>
      <c r="K460" s="8" t="s">
        <v>33</v>
      </c>
      <c r="L460" s="9" t="s">
        <v>4427</v>
      </c>
      <c r="M460" s="10">
        <v>46218</v>
      </c>
      <c r="N460" s="8" t="s">
        <v>38</v>
      </c>
      <c r="O460" s="14"/>
      <c r="P460" s="18"/>
      <c r="Q460" s="16">
        <f>Tabela1[[#This Row],[QTDE/ Fabricação]]-Tabela1[[#This Row],[QTE]]</f>
        <v>-14</v>
      </c>
      <c r="R460" s="18">
        <f>IFERROR(H460*((AA460*0.25)+(AC460*0.25)+(AD460*0.225)+(AE460*0.225)+(AF460*0.05)),"")</f>
        <v>31.150000000000002</v>
      </c>
      <c r="S460" s="18">
        <f t="shared" si="87"/>
        <v>21</v>
      </c>
      <c r="T460" s="19">
        <f t="shared" si="88"/>
        <v>-49</v>
      </c>
      <c r="U460" s="16">
        <f>IFERROR(SUMIF('LISTA DE EMBARQUE'!B:B,MICRO!E:E,'LISTA DE EMBARQUE'!G:G),"")</f>
        <v>0</v>
      </c>
      <c r="V460" s="12" t="str">
        <f>IFERROR(VLOOKUP(Tabela1[[#This Row],[COD.MDE]],'LISTA DE EMBARQUE'!B:L,11,0),"")</f>
        <v/>
      </c>
      <c r="W460" s="13"/>
      <c r="X460" s="14">
        <f>IFERROR(Tabela1[[#This Row],[QIANTIDADE EXPEDIDA]]*Tabela1[[#This Row],[PESO UNI]],"")</f>
        <v>0</v>
      </c>
      <c r="Y460" s="14">
        <f t="shared" si="89"/>
        <v>-14</v>
      </c>
      <c r="Z460" s="20">
        <f>Tabela1[[#This Row],[PESO TOTAL]]-Tabela1[[#This Row],[Peso Expedido]]</f>
        <v>70</v>
      </c>
      <c r="AA460" s="33">
        <v>0.5</v>
      </c>
      <c r="AB460" s="33"/>
      <c r="AC460" s="33">
        <v>0.5</v>
      </c>
      <c r="AD460" s="33">
        <v>0.5</v>
      </c>
      <c r="AE460" s="33">
        <v>0.3</v>
      </c>
      <c r="AF460" s="33">
        <v>0.3</v>
      </c>
      <c r="AG460" s="33">
        <v>0.3</v>
      </c>
      <c r="AH460" s="28"/>
      <c r="AI460" s="33" t="str">
        <f t="shared" si="69"/>
        <v/>
      </c>
    </row>
    <row r="461" spans="1:49" ht="15.75" customHeight="1" x14ac:dyDescent="0.25">
      <c r="A461" s="6" t="s">
        <v>4441</v>
      </c>
      <c r="B461" s="21" t="s">
        <v>4442</v>
      </c>
      <c r="C461" s="7">
        <v>23</v>
      </c>
      <c r="D461" s="39" t="s">
        <v>4443</v>
      </c>
      <c r="E461" s="7">
        <v>4346</v>
      </c>
      <c r="F461" s="7">
        <v>1</v>
      </c>
      <c r="G461" s="23">
        <v>6</v>
      </c>
      <c r="H461" s="34">
        <f>Tabela1[[#This Row],[PESO UNI]]*Tabela1[[#This Row],[QTE]]</f>
        <v>138</v>
      </c>
      <c r="I461" s="7" t="s">
        <v>746</v>
      </c>
      <c r="J461" s="8" t="s">
        <v>4426</v>
      </c>
      <c r="K461" s="8" t="s">
        <v>33</v>
      </c>
      <c r="L461" s="9" t="s">
        <v>4427</v>
      </c>
      <c r="M461" s="10">
        <v>46218</v>
      </c>
      <c r="N461" s="8" t="s">
        <v>38</v>
      </c>
      <c r="O461" s="14"/>
      <c r="P461" s="18"/>
      <c r="Q461" s="16">
        <f>Tabela1[[#This Row],[QTDE/ Fabricação]]-Tabela1[[#This Row],[QTE]]</f>
        <v>-23</v>
      </c>
      <c r="R461" s="18" t="str">
        <f>IFERROR(H461*((AA461*0.25)+(AC461*0.25)+(AD461*0.225)+(#REF!*0.225)+(AF461*0.05)),"")</f>
        <v/>
      </c>
      <c r="S461" s="18">
        <f t="shared" si="87"/>
        <v>41.4</v>
      </c>
      <c r="T461" s="19">
        <f t="shared" si="88"/>
        <v>-96.6</v>
      </c>
      <c r="U461" s="16">
        <f>IFERROR(SUMIF('LISTA DE EMBARQUE'!B:B,MICRO!E:E,'LISTA DE EMBARQUE'!G:G),"")</f>
        <v>0</v>
      </c>
      <c r="V461" s="12" t="str">
        <f>IFERROR(VLOOKUP(Tabela1[[#This Row],[COD.MDE]],'LISTA DE EMBARQUE'!B:L,11,0),"")</f>
        <v/>
      </c>
      <c r="W461" s="13"/>
      <c r="X461" s="14">
        <f>IFERROR(Tabela1[[#This Row],[QIANTIDADE EXPEDIDA]]*Tabela1[[#This Row],[PESO UNI]],"")</f>
        <v>0</v>
      </c>
      <c r="Y461" s="14">
        <f t="shared" si="89"/>
        <v>-23</v>
      </c>
      <c r="Z461" s="20">
        <f>Tabela1[[#This Row],[PESO TOTAL]]-Tabela1[[#This Row],[Peso Expedido]]</f>
        <v>138</v>
      </c>
      <c r="AA461" s="33">
        <v>0.5</v>
      </c>
      <c r="AB461" s="33"/>
      <c r="AC461" s="33">
        <v>0.5</v>
      </c>
      <c r="AD461" s="33">
        <v>0.5</v>
      </c>
      <c r="AE461" s="219">
        <v>0.3</v>
      </c>
      <c r="AF461" s="33">
        <v>0.3</v>
      </c>
      <c r="AG461" s="33">
        <v>0.3</v>
      </c>
      <c r="AH461" s="28"/>
      <c r="AI461" s="33" t="str">
        <f t="shared" si="69"/>
        <v/>
      </c>
    </row>
    <row r="462" spans="1:49" ht="15.75" customHeight="1" x14ac:dyDescent="0.25">
      <c r="A462" s="6" t="s">
        <v>2546</v>
      </c>
      <c r="B462" s="21"/>
      <c r="C462" s="7">
        <v>1</v>
      </c>
      <c r="D462" s="39" t="s">
        <v>2547</v>
      </c>
      <c r="E462" s="7">
        <v>3419</v>
      </c>
      <c r="F462" s="7">
        <v>27</v>
      </c>
      <c r="G462" s="23">
        <v>13.1</v>
      </c>
      <c r="H462" s="34">
        <f>Tabela1[[#This Row],[PESO UNI]]*Tabela1[[#This Row],[QTE]]</f>
        <v>13.1</v>
      </c>
      <c r="I462" s="7">
        <v>0</v>
      </c>
      <c r="J462" s="8" t="s">
        <v>2550</v>
      </c>
      <c r="K462" s="8" t="s">
        <v>46</v>
      </c>
      <c r="L462" s="9" t="s">
        <v>2551</v>
      </c>
      <c r="M462" s="10">
        <v>46125</v>
      </c>
      <c r="N462" s="11" t="s">
        <v>38</v>
      </c>
      <c r="O462" s="12"/>
      <c r="P462" s="13"/>
      <c r="Q462" s="14">
        <f>Tabela1[[#This Row],[QTDE/ Fabricação]]-Tabela1[[#This Row],[QTE]]</f>
        <v>-1</v>
      </c>
      <c r="R462" s="18">
        <f t="shared" si="81"/>
        <v>13.1</v>
      </c>
      <c r="S462" s="18">
        <f t="shared" si="74"/>
        <v>13.1</v>
      </c>
      <c r="T462" s="19">
        <f t="shared" si="82"/>
        <v>0</v>
      </c>
      <c r="U462" s="16">
        <v>1</v>
      </c>
      <c r="V462" s="12">
        <f>IFERROR(VLOOKUP(Tabela1[[#This Row],[COD.MDE]],'LISTA DE EMBARQUE'!B:L,11,0),"")</f>
        <v>4</v>
      </c>
      <c r="W462" s="13" t="str">
        <f>IFERROR(COUNTIF(#REF!,Tabela1[[#This Row],[Colunas5]]),"")</f>
        <v/>
      </c>
      <c r="X462" s="14">
        <f>Tabela1[[#This Row],[QIANTIDADE EXPEDIDA]]*Tabela1[[#This Row],[PESO UNI]]</f>
        <v>13.1</v>
      </c>
      <c r="Y462" s="14">
        <f t="shared" si="83"/>
        <v>0</v>
      </c>
      <c r="Z462" s="20">
        <f>Tabela1[[#This Row],[PESO TOTAL]]-Tabela1[[#This Row],[Peso Expedido]]</f>
        <v>0</v>
      </c>
      <c r="AA462" s="17">
        <v>1</v>
      </c>
      <c r="AB462" s="33"/>
      <c r="AC462" s="33">
        <v>1</v>
      </c>
      <c r="AD462" s="33">
        <v>1</v>
      </c>
      <c r="AE462" s="33">
        <v>1</v>
      </c>
      <c r="AF462" s="33">
        <v>1</v>
      </c>
      <c r="AG462" s="33">
        <v>1</v>
      </c>
      <c r="AH462" s="33">
        <v>1</v>
      </c>
      <c r="AI462" s="33" t="s">
        <v>4512</v>
      </c>
      <c r="AJ462"/>
      <c r="AK462" t="str">
        <f>Tabela1[[#This Row],[Coluna1]]&amp;Tabela1[[#This Row],[PEDIDO]]</f>
        <v>P-190</v>
      </c>
      <c r="AL462"/>
      <c r="AM462"/>
      <c r="AN462"/>
      <c r="AO462" t="str">
        <f t="shared" si="84"/>
        <v>P-073081-1/P190</v>
      </c>
      <c r="AP462" t="str">
        <f>Tabela1[[#This Row],[TAG]]&amp;Tabela1[[#This Row],[PEDIDO]]&amp;Tabela1[[#This Row],[PRODUTO]]</f>
        <v>P190P-190TECMETAL</v>
      </c>
      <c r="AQ462" s="22" t="str">
        <f>Tabela1[[#This Row],[PRODUTO]]&amp;Tabela1[[#This Row],[TAG]]</f>
        <v>TECMETALP190</v>
      </c>
      <c r="AR462" s="24" t="str">
        <f>Tabela1[[#This Row],[PEDIDO]]&amp;Tabela1[[#This Row],[PRODUTO]]</f>
        <v>P-190TECMETAL</v>
      </c>
      <c r="AS462" s="37">
        <f>IF(AF462="",0,IF(ISTEXT(AF462),H462*VALUE(SUBSTITUTE(AF462,"%",""))/100,H462*AF462))-Tabela1[[#This Row],[PRONTO ACABADO2]]</f>
        <v>0</v>
      </c>
      <c r="AT462" s="37">
        <f>IF(AG462="",0,IF(ISTEXT(AG462),H462*VALUE(SUBSTITUTE(AG462,"%",""))/100,H462*AG462))-Tabela1[[#This Row],[PESO EXPEDIDO2]]</f>
        <v>0</v>
      </c>
      <c r="AU462" s="37">
        <f t="shared" si="85"/>
        <v>13.1</v>
      </c>
      <c r="AV462" s="37">
        <f t="shared" si="86"/>
        <v>13.1</v>
      </c>
      <c r="AW462" s="37"/>
    </row>
    <row r="463" spans="1:49" ht="15.75" customHeight="1" x14ac:dyDescent="0.25">
      <c r="A463" s="6" t="s">
        <v>2546</v>
      </c>
      <c r="B463" s="21"/>
      <c r="C463" s="7">
        <v>1</v>
      </c>
      <c r="D463" s="39" t="s">
        <v>2548</v>
      </c>
      <c r="E463" s="7">
        <v>3420</v>
      </c>
      <c r="F463" s="7">
        <v>27</v>
      </c>
      <c r="G463" s="23">
        <v>13.1</v>
      </c>
      <c r="H463" s="34">
        <f>Tabela1[[#This Row],[PESO UNI]]*Tabela1[[#This Row],[QTE]]</f>
        <v>13.1</v>
      </c>
      <c r="I463" s="7">
        <v>0</v>
      </c>
      <c r="J463" s="8" t="s">
        <v>2550</v>
      </c>
      <c r="K463" s="8" t="s">
        <v>46</v>
      </c>
      <c r="L463" s="9" t="s">
        <v>2551</v>
      </c>
      <c r="M463" s="10">
        <v>46125</v>
      </c>
      <c r="N463" s="11" t="s">
        <v>38</v>
      </c>
      <c r="O463" s="12"/>
      <c r="P463" s="13"/>
      <c r="Q463" s="14">
        <f>Tabela1[[#This Row],[QTDE/ Fabricação]]-Tabela1[[#This Row],[QTE]]</f>
        <v>-1</v>
      </c>
      <c r="R463" s="18">
        <f t="shared" si="81"/>
        <v>13.1</v>
      </c>
      <c r="S463" s="18">
        <f t="shared" si="74"/>
        <v>13.1</v>
      </c>
      <c r="T463" s="19">
        <f t="shared" si="82"/>
        <v>0</v>
      </c>
      <c r="U463" s="16">
        <f>IFERROR(SUMIF('LISTA DE EMBARQUE'!B:B,MICRO!E:E,'LISTA DE EMBARQUE'!G:G),"")</f>
        <v>1</v>
      </c>
      <c r="V463" s="12">
        <f>IFERROR(VLOOKUP(Tabela1[[#This Row],[COD.MDE]],'LISTA DE EMBARQUE'!B:L,11,0),"")</f>
        <v>4</v>
      </c>
      <c r="W463" s="13" t="str">
        <f>IFERROR(COUNTIF(#REF!,Tabela1[[#This Row],[Colunas5]]),"")</f>
        <v/>
      </c>
      <c r="X463" s="14">
        <f>Tabela1[[#This Row],[QIANTIDADE EXPEDIDA]]*Tabela1[[#This Row],[PESO UNI]]</f>
        <v>13.1</v>
      </c>
      <c r="Y463" s="14">
        <f t="shared" si="83"/>
        <v>0</v>
      </c>
      <c r="Z463" s="20">
        <f>Tabela1[[#This Row],[PESO TOTAL]]-Tabela1[[#This Row],[Peso Expedido]]</f>
        <v>0</v>
      </c>
      <c r="AA463" s="17">
        <v>1</v>
      </c>
      <c r="AB463" s="33"/>
      <c r="AC463" s="33">
        <v>1</v>
      </c>
      <c r="AD463" s="33">
        <v>1</v>
      </c>
      <c r="AE463" s="33">
        <v>1</v>
      </c>
      <c r="AF463" s="33">
        <v>1</v>
      </c>
      <c r="AG463" s="33">
        <v>1</v>
      </c>
      <c r="AH463" s="33">
        <v>1</v>
      </c>
      <c r="AI463" s="33" t="s">
        <v>4512</v>
      </c>
      <c r="AJ463"/>
      <c r="AK463" t="str">
        <f>Tabela1[[#This Row],[Coluna1]]&amp;Tabela1[[#This Row],[PEDIDO]]</f>
        <v>P-190</v>
      </c>
      <c r="AL463"/>
      <c r="AM463"/>
      <c r="AN463"/>
      <c r="AO463" t="str">
        <f t="shared" si="84"/>
        <v>P-073081-1/P190</v>
      </c>
      <c r="AP463" t="str">
        <f>Tabela1[[#This Row],[TAG]]&amp;Tabela1[[#This Row],[PEDIDO]]&amp;Tabela1[[#This Row],[PRODUTO]]</f>
        <v>P190P-190TECMETAL</v>
      </c>
      <c r="AQ463" s="22" t="str">
        <f>Tabela1[[#This Row],[PRODUTO]]&amp;Tabela1[[#This Row],[TAG]]</f>
        <v>TECMETALP190</v>
      </c>
      <c r="AR463" s="24" t="str">
        <f>Tabela1[[#This Row],[PEDIDO]]&amp;Tabela1[[#This Row],[PRODUTO]]</f>
        <v>P-190TECMETAL</v>
      </c>
      <c r="AS463" s="37">
        <f>IF(AF463="",0,IF(ISTEXT(AF463),H463*VALUE(SUBSTITUTE(AF463,"%",""))/100,H463*AF463))-Tabela1[[#This Row],[PRONTO ACABADO2]]</f>
        <v>0</v>
      </c>
      <c r="AT463" s="37">
        <f>IF(AG463="",0,IF(ISTEXT(AG463),H463*VALUE(SUBSTITUTE(AG463,"%",""))/100,H463*AG463))-Tabela1[[#This Row],[PESO EXPEDIDO2]]</f>
        <v>0</v>
      </c>
      <c r="AU463" s="37">
        <f t="shared" si="85"/>
        <v>13.1</v>
      </c>
      <c r="AV463" s="37">
        <f t="shared" si="86"/>
        <v>13.1</v>
      </c>
      <c r="AW463" s="37"/>
    </row>
    <row r="464" spans="1:49" ht="15.75" customHeight="1" x14ac:dyDescent="0.25">
      <c r="A464" s="6" t="s">
        <v>2546</v>
      </c>
      <c r="B464" s="21"/>
      <c r="C464" s="7">
        <v>1</v>
      </c>
      <c r="D464" s="39" t="s">
        <v>2549</v>
      </c>
      <c r="E464" s="7">
        <v>3421</v>
      </c>
      <c r="F464" s="7">
        <v>27</v>
      </c>
      <c r="G464" s="23">
        <v>6.2</v>
      </c>
      <c r="H464" s="34">
        <f>Tabela1[[#This Row],[PESO UNI]]*Tabela1[[#This Row],[QTE]]</f>
        <v>6.2</v>
      </c>
      <c r="I464" s="7">
        <v>0</v>
      </c>
      <c r="J464" s="8" t="s">
        <v>2550</v>
      </c>
      <c r="K464" s="8" t="s">
        <v>46</v>
      </c>
      <c r="L464" s="9" t="s">
        <v>2551</v>
      </c>
      <c r="M464" s="10">
        <v>46125</v>
      </c>
      <c r="N464" s="11" t="s">
        <v>38</v>
      </c>
      <c r="O464" s="12"/>
      <c r="P464" s="13"/>
      <c r="Q464" s="14">
        <f>Tabela1[[#This Row],[QTDE/ Fabricação]]-Tabela1[[#This Row],[QTE]]</f>
        <v>-1</v>
      </c>
      <c r="R464" s="18">
        <f t="shared" si="81"/>
        <v>6.2</v>
      </c>
      <c r="S464" s="18">
        <f t="shared" si="74"/>
        <v>6.2</v>
      </c>
      <c r="T464" s="19">
        <f t="shared" si="82"/>
        <v>0</v>
      </c>
      <c r="U464" s="16">
        <f>IFERROR(SUMIF('LISTA DE EMBARQUE'!B:B,MICRO!E:E,'LISTA DE EMBARQUE'!G:G),"")</f>
        <v>1</v>
      </c>
      <c r="V464" s="12">
        <f>IFERROR(VLOOKUP(Tabela1[[#This Row],[COD.MDE]],'LISTA DE EMBARQUE'!B:L,11,0),"")</f>
        <v>4</v>
      </c>
      <c r="W464" s="13" t="str">
        <f>IFERROR(COUNTIF(#REF!,Tabela1[[#This Row],[Colunas5]]),"")</f>
        <v/>
      </c>
      <c r="X464" s="14">
        <f>Tabela1[[#This Row],[QIANTIDADE EXPEDIDA]]*Tabela1[[#This Row],[PESO UNI]]</f>
        <v>6.2</v>
      </c>
      <c r="Y464" s="14">
        <f t="shared" si="83"/>
        <v>0</v>
      </c>
      <c r="Z464" s="20">
        <f>Tabela1[[#This Row],[PESO TOTAL]]-Tabela1[[#This Row],[Peso Expedido]]</f>
        <v>0</v>
      </c>
      <c r="AA464" s="17">
        <v>1</v>
      </c>
      <c r="AB464" s="33"/>
      <c r="AC464" s="33">
        <v>1</v>
      </c>
      <c r="AD464" s="33">
        <v>1</v>
      </c>
      <c r="AE464" s="33">
        <v>1</v>
      </c>
      <c r="AF464" s="33">
        <v>1</v>
      </c>
      <c r="AG464" s="33">
        <v>1</v>
      </c>
      <c r="AH464" s="33">
        <v>1</v>
      </c>
      <c r="AI464" s="33" t="s">
        <v>4512</v>
      </c>
      <c r="AJ464"/>
      <c r="AK464" t="str">
        <f>Tabela1[[#This Row],[Coluna1]]&amp;Tabela1[[#This Row],[PEDIDO]]</f>
        <v>P-190</v>
      </c>
      <c r="AL464"/>
      <c r="AM464"/>
      <c r="AN464"/>
      <c r="AO464" t="str">
        <f t="shared" si="84"/>
        <v>P-073081-1/P190</v>
      </c>
      <c r="AP464" t="str">
        <f>Tabela1[[#This Row],[TAG]]&amp;Tabela1[[#This Row],[PEDIDO]]&amp;Tabela1[[#This Row],[PRODUTO]]</f>
        <v>P190P-190TECMETAL</v>
      </c>
      <c r="AQ464" s="22" t="str">
        <f>Tabela1[[#This Row],[PRODUTO]]&amp;Tabela1[[#This Row],[TAG]]</f>
        <v>TECMETALP190</v>
      </c>
      <c r="AR464" s="24" t="str">
        <f>Tabela1[[#This Row],[PEDIDO]]&amp;Tabela1[[#This Row],[PRODUTO]]</f>
        <v>P-190TECMETAL</v>
      </c>
      <c r="AS464" s="37">
        <f>IF(AF464="",0,IF(ISTEXT(AF464),H464*VALUE(SUBSTITUTE(AF464,"%",""))/100,H464*AF464))-Tabela1[[#This Row],[PRONTO ACABADO2]]</f>
        <v>0</v>
      </c>
      <c r="AT464" s="37">
        <f>IF(AG464="",0,IF(ISTEXT(AG464),H464*VALUE(SUBSTITUTE(AG464,"%",""))/100,H464*AG464))-Tabela1[[#This Row],[PESO EXPEDIDO2]]</f>
        <v>0</v>
      </c>
      <c r="AU464" s="37">
        <f t="shared" si="85"/>
        <v>6.2</v>
      </c>
      <c r="AV464" s="37">
        <f t="shared" si="86"/>
        <v>6.2</v>
      </c>
      <c r="AW464" s="37"/>
    </row>
    <row r="465" spans="1:49" ht="15.75" customHeight="1" x14ac:dyDescent="0.25">
      <c r="A465" s="6" t="s">
        <v>4330</v>
      </c>
      <c r="B465" s="21"/>
      <c r="C465" s="7">
        <v>1</v>
      </c>
      <c r="D465" s="39" t="s">
        <v>4331</v>
      </c>
      <c r="E465" s="7">
        <v>3422</v>
      </c>
      <c r="F465" s="7">
        <v>26</v>
      </c>
      <c r="G465" s="23">
        <v>17.5</v>
      </c>
      <c r="H465" s="34">
        <f>Tabela1[[#This Row],[PESO UNI]]*Tabela1[[#This Row],[QTE]]</f>
        <v>17.5</v>
      </c>
      <c r="I465" s="7">
        <v>0</v>
      </c>
      <c r="J465" s="8" t="s">
        <v>2550</v>
      </c>
      <c r="K465" s="8" t="s">
        <v>31</v>
      </c>
      <c r="L465" s="9" t="s">
        <v>2551</v>
      </c>
      <c r="M465" s="10">
        <v>46125</v>
      </c>
      <c r="N465" s="11" t="s">
        <v>38</v>
      </c>
      <c r="O465" s="12"/>
      <c r="P465" s="13"/>
      <c r="Q465" s="14">
        <f>Tabela1[[#This Row],[QTDE/ Fabricação]]-Tabela1[[#This Row],[QTE]]</f>
        <v>-1</v>
      </c>
      <c r="R465" s="18">
        <f t="shared" si="81"/>
        <v>17.5</v>
      </c>
      <c r="S465" s="18">
        <f t="shared" si="74"/>
        <v>17.5</v>
      </c>
      <c r="T465" s="19">
        <f t="shared" si="82"/>
        <v>0</v>
      </c>
      <c r="U465" s="16">
        <v>1</v>
      </c>
      <c r="V465" s="12">
        <f>IFERROR(VLOOKUP(Tabela1[[#This Row],[COD.MDE]],'LISTA DE EMBARQUE'!B:L,11,0),"")</f>
        <v>4</v>
      </c>
      <c r="W465" s="13" t="str">
        <f>IFERROR(COUNTIF(#REF!,Tabela1[[#This Row],[Colunas5]]),"")</f>
        <v/>
      </c>
      <c r="X465" s="14">
        <f>Tabela1[[#This Row],[QIANTIDADE EXPEDIDA]]*Tabela1[[#This Row],[PESO UNI]]</f>
        <v>17.5</v>
      </c>
      <c r="Y465" s="14">
        <f t="shared" si="83"/>
        <v>0</v>
      </c>
      <c r="Z465" s="20">
        <f>Tabela1[[#This Row],[PESO TOTAL]]-Tabela1[[#This Row],[Peso Expedido]]</f>
        <v>0</v>
      </c>
      <c r="AA465" s="17">
        <v>1</v>
      </c>
      <c r="AB465" s="33"/>
      <c r="AC465" s="33">
        <v>1</v>
      </c>
      <c r="AD465" s="33">
        <v>1</v>
      </c>
      <c r="AE465" s="33">
        <v>1</v>
      </c>
      <c r="AF465" s="33">
        <v>1</v>
      </c>
      <c r="AG465" s="33">
        <v>1</v>
      </c>
      <c r="AH465" s="33">
        <v>1</v>
      </c>
      <c r="AI465" s="33" t="s">
        <v>4512</v>
      </c>
      <c r="AJ465"/>
      <c r="AK465" t="str">
        <f>Tabela1[[#This Row],[Coluna1]]&amp;Tabela1[[#This Row],[PEDIDO]]</f>
        <v>P-190</v>
      </c>
      <c r="AL465"/>
      <c r="AM465"/>
      <c r="AN465"/>
      <c r="AO465" t="str">
        <f t="shared" si="84"/>
        <v>P-073080-1/P190</v>
      </c>
      <c r="AP465" t="str">
        <f>Tabela1[[#This Row],[TAG]]&amp;Tabela1[[#This Row],[PEDIDO]]&amp;Tabela1[[#This Row],[PRODUTO]]</f>
        <v>P190P-190ESTRUTURA</v>
      </c>
      <c r="AQ465" s="22" t="str">
        <f>Tabela1[[#This Row],[PRODUTO]]&amp;Tabela1[[#This Row],[TAG]]</f>
        <v>ESTRUTURAP190</v>
      </c>
      <c r="AR465" s="24" t="str">
        <f>Tabela1[[#This Row],[PEDIDO]]&amp;Tabela1[[#This Row],[PRODUTO]]</f>
        <v>P-190ESTRUTURA</v>
      </c>
      <c r="AS465" s="37">
        <f>IF(AF465="",0,IF(ISTEXT(AF465),H465*VALUE(SUBSTITUTE(AF465,"%",""))/100,H465*AF465))-Tabela1[[#This Row],[PRONTO ACABADO2]]</f>
        <v>0</v>
      </c>
      <c r="AT465" s="37">
        <f>IF(AG465="",0,IF(ISTEXT(AG465),H465*VALUE(SUBSTITUTE(AG465,"%",""))/100,H465*AG465))-Tabela1[[#This Row],[PESO EXPEDIDO2]]</f>
        <v>0</v>
      </c>
      <c r="AU465" s="37">
        <f t="shared" si="85"/>
        <v>17.5</v>
      </c>
      <c r="AV465" s="37">
        <f t="shared" si="86"/>
        <v>17.5</v>
      </c>
      <c r="AW465" s="37"/>
    </row>
    <row r="466" spans="1:49" ht="15.75" customHeight="1" x14ac:dyDescent="0.25">
      <c r="A466" s="6" t="s">
        <v>2552</v>
      </c>
      <c r="B466" s="21"/>
      <c r="C466" s="7">
        <v>4</v>
      </c>
      <c r="D466" s="39" t="s">
        <v>4332</v>
      </c>
      <c r="E466" s="7">
        <v>3424</v>
      </c>
      <c r="F466" s="7">
        <v>23</v>
      </c>
      <c r="G466" s="23">
        <v>86.1</v>
      </c>
      <c r="H466" s="34">
        <f>Tabela1[[#This Row],[PESO UNI]]*Tabela1[[#This Row],[QTE]]</f>
        <v>344.4</v>
      </c>
      <c r="I466" s="7" t="s">
        <v>2</v>
      </c>
      <c r="J466" s="8" t="s">
        <v>2550</v>
      </c>
      <c r="K466" s="8" t="s">
        <v>31</v>
      </c>
      <c r="L466" s="9" t="s">
        <v>2551</v>
      </c>
      <c r="M466" s="10">
        <v>46120</v>
      </c>
      <c r="N466" s="11" t="s">
        <v>38</v>
      </c>
      <c r="O466" s="12"/>
      <c r="P466" s="13"/>
      <c r="Q466" s="14">
        <f>Tabela1[[#This Row],[QTDE/ Fabricação]]-Tabela1[[#This Row],[QTE]]</f>
        <v>-4</v>
      </c>
      <c r="R466" s="18">
        <f t="shared" si="81"/>
        <v>344.4</v>
      </c>
      <c r="S466" s="18">
        <f t="shared" si="74"/>
        <v>344.4</v>
      </c>
      <c r="T466" s="19">
        <f t="shared" si="82"/>
        <v>0</v>
      </c>
      <c r="U466" s="16">
        <v>4</v>
      </c>
      <c r="V466" s="12">
        <f>IFERROR(VLOOKUP(Tabela1[[#This Row],[COD.MDE]],'LISTA DE EMBARQUE'!B:L,11,0),"")</f>
        <v>3</v>
      </c>
      <c r="W466" s="13" t="str">
        <f>IFERROR(COUNTIF(#REF!,Tabela1[[#This Row],[Colunas5]]),"")</f>
        <v/>
      </c>
      <c r="X466" s="14">
        <f>Tabela1[[#This Row],[QIANTIDADE EXPEDIDA]]*Tabela1[[#This Row],[PESO UNI]]</f>
        <v>344.4</v>
      </c>
      <c r="Y466" s="14">
        <f t="shared" si="83"/>
        <v>0</v>
      </c>
      <c r="Z466" s="20">
        <f>Tabela1[[#This Row],[PESO TOTAL]]-Tabela1[[#This Row],[Peso Expedido]]</f>
        <v>0</v>
      </c>
      <c r="AA466" s="17">
        <v>1</v>
      </c>
      <c r="AB466" s="33"/>
      <c r="AC466" s="33">
        <v>1</v>
      </c>
      <c r="AD466" s="33">
        <v>1</v>
      </c>
      <c r="AE466" s="33">
        <v>1</v>
      </c>
      <c r="AF466" s="33">
        <v>1</v>
      </c>
      <c r="AG466" s="33">
        <v>1</v>
      </c>
      <c r="AH466" s="33">
        <v>1</v>
      </c>
      <c r="AI466" s="33" t="s">
        <v>4512</v>
      </c>
      <c r="AJ466"/>
      <c r="AK466" t="str">
        <f>Tabela1[[#This Row],[Coluna1]]&amp;Tabela1[[#This Row],[PEDIDO]]</f>
        <v>P-190</v>
      </c>
      <c r="AL466"/>
      <c r="AM466"/>
      <c r="AN466"/>
      <c r="AO466" t="str">
        <f t="shared" si="84"/>
        <v>P-073061-1/P190</v>
      </c>
      <c r="AP466" t="str">
        <f>Tabela1[[#This Row],[TAG]]&amp;Tabela1[[#This Row],[PEDIDO]]&amp;Tabela1[[#This Row],[PRODUTO]]</f>
        <v>P190P-190ESTRUTURA</v>
      </c>
      <c r="AQ466" s="22" t="str">
        <f>Tabela1[[#This Row],[PRODUTO]]&amp;Tabela1[[#This Row],[TAG]]</f>
        <v>ESTRUTURAP190</v>
      </c>
      <c r="AR466" s="24" t="str">
        <f>Tabela1[[#This Row],[PEDIDO]]&amp;Tabela1[[#This Row],[PRODUTO]]</f>
        <v>P-190ESTRUTURA</v>
      </c>
      <c r="AS466" s="37">
        <f>IF(AF466="",0,IF(ISTEXT(AF466),H466*VALUE(SUBSTITUTE(AF466,"%",""))/100,H466*AF466))-Tabela1[[#This Row],[PRONTO ACABADO2]]</f>
        <v>0</v>
      </c>
      <c r="AT466" s="37">
        <f>IF(AG466="",0,IF(ISTEXT(AG466),H466*VALUE(SUBSTITUTE(AG466,"%",""))/100,H466*AG466))-Tabela1[[#This Row],[PESO EXPEDIDO2]]</f>
        <v>0</v>
      </c>
      <c r="AU466" s="37">
        <f t="shared" si="85"/>
        <v>344.4</v>
      </c>
      <c r="AV466" s="37">
        <f t="shared" si="86"/>
        <v>344.4</v>
      </c>
      <c r="AW466" s="37"/>
    </row>
    <row r="467" spans="1:49" ht="15.75" customHeight="1" x14ac:dyDescent="0.25">
      <c r="A467" s="6" t="s">
        <v>2552</v>
      </c>
      <c r="B467" s="21"/>
      <c r="C467" s="7">
        <v>1</v>
      </c>
      <c r="D467" s="39" t="s">
        <v>4333</v>
      </c>
      <c r="E467" s="7">
        <v>3425</v>
      </c>
      <c r="F467" s="7">
        <v>23</v>
      </c>
      <c r="G467" s="23">
        <v>1.4</v>
      </c>
      <c r="H467" s="34">
        <f>Tabela1[[#This Row],[PESO UNI]]*Tabela1[[#This Row],[QTE]]</f>
        <v>1.4</v>
      </c>
      <c r="I467" s="7" t="s">
        <v>2</v>
      </c>
      <c r="J467" s="8" t="s">
        <v>2550</v>
      </c>
      <c r="K467" s="8" t="s">
        <v>31</v>
      </c>
      <c r="L467" s="9" t="s">
        <v>2551</v>
      </c>
      <c r="M467" s="10">
        <v>46120</v>
      </c>
      <c r="N467" s="11" t="s">
        <v>38</v>
      </c>
      <c r="O467" s="12"/>
      <c r="P467" s="13"/>
      <c r="Q467" s="14">
        <f>Tabela1[[#This Row],[QTDE/ Fabricação]]-Tabela1[[#This Row],[QTE]]</f>
        <v>-1</v>
      </c>
      <c r="R467" s="18">
        <f t="shared" si="81"/>
        <v>1.4</v>
      </c>
      <c r="S467" s="18">
        <f t="shared" si="74"/>
        <v>1.4</v>
      </c>
      <c r="T467" s="19">
        <f t="shared" si="82"/>
        <v>0</v>
      </c>
      <c r="U467" s="16">
        <v>1</v>
      </c>
      <c r="V467" s="12" t="str">
        <f>IFERROR(VLOOKUP(Tabela1[[#This Row],[COD.MDE]],'LISTA DE EMBARQUE'!B:L,11,0),"")</f>
        <v/>
      </c>
      <c r="W467" s="13" t="str">
        <f>IFERROR(COUNTIF(#REF!,Tabela1[[#This Row],[Colunas5]]),"")</f>
        <v/>
      </c>
      <c r="X467" s="14">
        <f>Tabela1[[#This Row],[QIANTIDADE EXPEDIDA]]*Tabela1[[#This Row],[PESO UNI]]</f>
        <v>1.4</v>
      </c>
      <c r="Y467" s="14">
        <f t="shared" si="83"/>
        <v>0</v>
      </c>
      <c r="Z467" s="20">
        <f>Tabela1[[#This Row],[PESO TOTAL]]-Tabela1[[#This Row],[Peso Expedido]]</f>
        <v>0</v>
      </c>
      <c r="AA467" s="17">
        <v>1</v>
      </c>
      <c r="AB467" s="33"/>
      <c r="AC467" s="33">
        <v>1</v>
      </c>
      <c r="AD467" s="33">
        <v>1</v>
      </c>
      <c r="AE467" s="33">
        <v>1</v>
      </c>
      <c r="AF467" s="33">
        <v>1</v>
      </c>
      <c r="AG467" s="33">
        <v>1</v>
      </c>
      <c r="AH467" s="33">
        <v>1</v>
      </c>
      <c r="AI467" s="33" t="s">
        <v>4512</v>
      </c>
      <c r="AJ467"/>
      <c r="AK467" t="str">
        <f>Tabela1[[#This Row],[Coluna1]]&amp;Tabela1[[#This Row],[PEDIDO]]</f>
        <v>P-190</v>
      </c>
      <c r="AL467"/>
      <c r="AM467"/>
      <c r="AN467"/>
      <c r="AO467" t="str">
        <f t="shared" si="84"/>
        <v>P-073061-1/P190</v>
      </c>
      <c r="AP467" t="str">
        <f>Tabela1[[#This Row],[TAG]]&amp;Tabela1[[#This Row],[PEDIDO]]&amp;Tabela1[[#This Row],[PRODUTO]]</f>
        <v>P190P-190ESTRUTURA</v>
      </c>
      <c r="AQ467" s="22" t="str">
        <f>Tabela1[[#This Row],[PRODUTO]]&amp;Tabela1[[#This Row],[TAG]]</f>
        <v>ESTRUTURAP190</v>
      </c>
      <c r="AR467" s="24" t="str">
        <f>Tabela1[[#This Row],[PEDIDO]]&amp;Tabela1[[#This Row],[PRODUTO]]</f>
        <v>P-190ESTRUTURA</v>
      </c>
      <c r="AS467" s="37">
        <f>IF(AF467="",0,IF(ISTEXT(AF467),H467*VALUE(SUBSTITUTE(AF467,"%",""))/100,H467*AF467))-Tabela1[[#This Row],[PRONTO ACABADO2]]</f>
        <v>0</v>
      </c>
      <c r="AT467" s="37">
        <f>IF(AG467="",0,IF(ISTEXT(AG467),H467*VALUE(SUBSTITUTE(AG467,"%",""))/100,H467*AG467))-Tabela1[[#This Row],[PESO EXPEDIDO2]]</f>
        <v>0</v>
      </c>
      <c r="AU467" s="37">
        <f t="shared" si="85"/>
        <v>1.4</v>
      </c>
      <c r="AV467" s="37">
        <f t="shared" si="86"/>
        <v>1.4</v>
      </c>
      <c r="AW467" s="37"/>
    </row>
    <row r="468" spans="1:49" ht="15.75" customHeight="1" x14ac:dyDescent="0.25">
      <c r="A468" s="6" t="s">
        <v>2553</v>
      </c>
      <c r="B468" s="21"/>
      <c r="C468" s="7">
        <v>1</v>
      </c>
      <c r="D468" s="39" t="s">
        <v>4334</v>
      </c>
      <c r="E468" s="7">
        <v>3426</v>
      </c>
      <c r="F468" s="7">
        <v>22</v>
      </c>
      <c r="G468" s="23">
        <v>4.5999999999999996</v>
      </c>
      <c r="H468" s="34">
        <f>Tabela1[[#This Row],[PESO UNI]]*Tabela1[[#This Row],[QTE]]</f>
        <v>4.5999999999999996</v>
      </c>
      <c r="I468" s="7">
        <v>0</v>
      </c>
      <c r="J468" s="8" t="s">
        <v>2550</v>
      </c>
      <c r="K468" s="8" t="s">
        <v>31</v>
      </c>
      <c r="L468" s="9" t="s">
        <v>2551</v>
      </c>
      <c r="M468" s="10">
        <v>46120</v>
      </c>
      <c r="N468" s="11" t="s">
        <v>38</v>
      </c>
      <c r="O468" s="12"/>
      <c r="P468" s="13"/>
      <c r="Q468" s="14">
        <f>Tabela1[[#This Row],[QTDE/ Fabricação]]-Tabela1[[#This Row],[QTE]]</f>
        <v>-1</v>
      </c>
      <c r="R468" s="18">
        <f t="shared" si="81"/>
        <v>4.5999999999999996</v>
      </c>
      <c r="S468" s="18">
        <f t="shared" si="74"/>
        <v>4.5999999999999996</v>
      </c>
      <c r="T468" s="19">
        <f t="shared" si="82"/>
        <v>0</v>
      </c>
      <c r="U468" s="16">
        <f>IFERROR(SUMIF('LISTA DE EMBARQUE'!B:B,MICRO!E:E,'LISTA DE EMBARQUE'!G:G),"")</f>
        <v>1</v>
      </c>
      <c r="V468" s="12">
        <f>IFERROR(VLOOKUP(Tabela1[[#This Row],[COD.MDE]],'LISTA DE EMBARQUE'!B:L,11,0),"")</f>
        <v>4</v>
      </c>
      <c r="W468" s="13" t="str">
        <f>IFERROR(COUNTIF(#REF!,Tabela1[[#This Row],[Colunas5]]),"")</f>
        <v/>
      </c>
      <c r="X468" s="14">
        <f>Tabela1[[#This Row],[QIANTIDADE EXPEDIDA]]*Tabela1[[#This Row],[PESO UNI]]</f>
        <v>4.5999999999999996</v>
      </c>
      <c r="Y468" s="14">
        <f t="shared" si="83"/>
        <v>0</v>
      </c>
      <c r="Z468" s="20">
        <f>Tabela1[[#This Row],[PESO TOTAL]]-Tabela1[[#This Row],[Peso Expedido]]</f>
        <v>0</v>
      </c>
      <c r="AA468" s="17">
        <v>1</v>
      </c>
      <c r="AB468" s="33"/>
      <c r="AC468" s="33">
        <v>1</v>
      </c>
      <c r="AD468" s="33">
        <v>1</v>
      </c>
      <c r="AE468" s="33">
        <v>1</v>
      </c>
      <c r="AF468" s="33">
        <v>1</v>
      </c>
      <c r="AG468" s="33">
        <v>1</v>
      </c>
      <c r="AH468" s="33">
        <v>1</v>
      </c>
      <c r="AI468" s="33" t="s">
        <v>4512</v>
      </c>
      <c r="AJ468"/>
      <c r="AK468" t="str">
        <f>Tabela1[[#This Row],[Coluna1]]&amp;Tabela1[[#This Row],[PEDIDO]]</f>
        <v>P-190</v>
      </c>
      <c r="AL468"/>
      <c r="AM468"/>
      <c r="AN468"/>
      <c r="AO468" t="str">
        <f t="shared" si="84"/>
        <v>P-073076-1/P190</v>
      </c>
      <c r="AP468" t="str">
        <f>Tabela1[[#This Row],[TAG]]&amp;Tabela1[[#This Row],[PEDIDO]]&amp;Tabela1[[#This Row],[PRODUTO]]</f>
        <v>P190P-190ESTRUTURA</v>
      </c>
      <c r="AQ468" s="22" t="str">
        <f>Tabela1[[#This Row],[PRODUTO]]&amp;Tabela1[[#This Row],[TAG]]</f>
        <v>ESTRUTURAP190</v>
      </c>
      <c r="AR468" s="24" t="str">
        <f>Tabela1[[#This Row],[PEDIDO]]&amp;Tabela1[[#This Row],[PRODUTO]]</f>
        <v>P-190ESTRUTURA</v>
      </c>
      <c r="AS468" s="37">
        <f>IF(AF468="",0,IF(ISTEXT(AF468),H468*VALUE(SUBSTITUTE(AF468,"%",""))/100,H468*AF468))-Tabela1[[#This Row],[PRONTO ACABADO2]]</f>
        <v>0</v>
      </c>
      <c r="AT468" s="37">
        <f>IF(AG468="",0,IF(ISTEXT(AG468),H468*VALUE(SUBSTITUTE(AG468,"%",""))/100,H468*AG468))-Tabela1[[#This Row],[PESO EXPEDIDO2]]</f>
        <v>0</v>
      </c>
      <c r="AU468" s="37">
        <f t="shared" si="85"/>
        <v>4.5999999999999996</v>
      </c>
      <c r="AV468" s="37">
        <f t="shared" si="86"/>
        <v>4.5999999999999996</v>
      </c>
      <c r="AW468" s="37"/>
    </row>
    <row r="469" spans="1:49" ht="15.75" customHeight="1" x14ac:dyDescent="0.25">
      <c r="A469" s="6" t="s">
        <v>2553</v>
      </c>
      <c r="B469" s="21"/>
      <c r="C469" s="7">
        <v>1</v>
      </c>
      <c r="D469" s="39" t="s">
        <v>4335</v>
      </c>
      <c r="E469" s="7">
        <v>3427</v>
      </c>
      <c r="F469" s="7">
        <v>22</v>
      </c>
      <c r="G469" s="23">
        <v>50.8</v>
      </c>
      <c r="H469" s="34">
        <f>Tabela1[[#This Row],[PESO UNI]]*Tabela1[[#This Row],[QTE]]</f>
        <v>50.8</v>
      </c>
      <c r="I469" s="7">
        <v>0</v>
      </c>
      <c r="J469" s="8" t="s">
        <v>2550</v>
      </c>
      <c r="K469" s="8" t="s">
        <v>31</v>
      </c>
      <c r="L469" s="9" t="s">
        <v>2551</v>
      </c>
      <c r="M469" s="10">
        <v>46120</v>
      </c>
      <c r="N469" s="11" t="s">
        <v>38</v>
      </c>
      <c r="O469" s="12"/>
      <c r="P469" s="13"/>
      <c r="Q469" s="14">
        <f>Tabela1[[#This Row],[QTDE/ Fabricação]]-Tabela1[[#This Row],[QTE]]</f>
        <v>-1</v>
      </c>
      <c r="R469" s="18">
        <f t="shared" si="81"/>
        <v>50.8</v>
      </c>
      <c r="S469" s="18">
        <f t="shared" si="74"/>
        <v>50.8</v>
      </c>
      <c r="T469" s="19">
        <f t="shared" si="82"/>
        <v>0</v>
      </c>
      <c r="U469" s="16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>IFERROR(COUNTIF(#REF!,Tabela1[[#This Row],[Colunas5]]),"")</f>
        <v/>
      </c>
      <c r="X469" s="14">
        <f>Tabela1[[#This Row],[QIANTIDADE EXPEDIDA]]*Tabela1[[#This Row],[PESO UNI]]</f>
        <v>50.8</v>
      </c>
      <c r="Y469" s="14">
        <f t="shared" si="83"/>
        <v>0</v>
      </c>
      <c r="Z469" s="20">
        <f>Tabela1[[#This Row],[PESO TOTAL]]-Tabela1[[#This Row],[Peso Expedido]]</f>
        <v>0</v>
      </c>
      <c r="AA469" s="17">
        <v>1</v>
      </c>
      <c r="AB469" s="33"/>
      <c r="AC469" s="33">
        <v>1</v>
      </c>
      <c r="AD469" s="33">
        <v>1</v>
      </c>
      <c r="AE469" s="33">
        <v>1</v>
      </c>
      <c r="AF469" s="33">
        <v>1</v>
      </c>
      <c r="AG469" s="33">
        <v>1</v>
      </c>
      <c r="AH469" s="33">
        <v>1</v>
      </c>
      <c r="AI469" s="33" t="s">
        <v>4512</v>
      </c>
      <c r="AJ469"/>
      <c r="AK469" t="str">
        <f>Tabela1[[#This Row],[Coluna1]]&amp;Tabela1[[#This Row],[PEDIDO]]</f>
        <v>P-190</v>
      </c>
      <c r="AL469"/>
      <c r="AM469"/>
      <c r="AN469"/>
      <c r="AO469" t="str">
        <f t="shared" si="84"/>
        <v>P-073076-1/P190</v>
      </c>
      <c r="AP469" t="str">
        <f>Tabela1[[#This Row],[TAG]]&amp;Tabela1[[#This Row],[PEDIDO]]&amp;Tabela1[[#This Row],[PRODUTO]]</f>
        <v>P190P-190ESTRUTURA</v>
      </c>
      <c r="AQ469" s="22" t="str">
        <f>Tabela1[[#This Row],[PRODUTO]]&amp;Tabela1[[#This Row],[TAG]]</f>
        <v>ESTRUTURAP190</v>
      </c>
      <c r="AR469" s="24" t="str">
        <f>Tabela1[[#This Row],[PEDIDO]]&amp;Tabela1[[#This Row],[PRODUTO]]</f>
        <v>P-190ESTRUTURA</v>
      </c>
      <c r="AS469" s="37">
        <f>IF(AF469="",0,IF(ISTEXT(AF469),H469*VALUE(SUBSTITUTE(AF469,"%",""))/100,H469*AF469))-Tabela1[[#This Row],[PRONTO ACABADO2]]</f>
        <v>0</v>
      </c>
      <c r="AT469" s="37">
        <f>IF(AG469="",0,IF(ISTEXT(AG469),H469*VALUE(SUBSTITUTE(AG469,"%",""))/100,H469*AG469))-Tabela1[[#This Row],[PESO EXPEDIDO2]]</f>
        <v>0</v>
      </c>
      <c r="AU469" s="37">
        <f t="shared" si="85"/>
        <v>50.8</v>
      </c>
      <c r="AV469" s="37">
        <f t="shared" si="86"/>
        <v>50.8</v>
      </c>
      <c r="AW469" s="37"/>
    </row>
    <row r="470" spans="1:49" ht="15.75" customHeight="1" x14ac:dyDescent="0.25">
      <c r="A470" s="6" t="s">
        <v>2553</v>
      </c>
      <c r="B470" s="21"/>
      <c r="C470" s="7">
        <v>1</v>
      </c>
      <c r="D470" s="39" t="s">
        <v>4336</v>
      </c>
      <c r="E470" s="7">
        <v>3428</v>
      </c>
      <c r="F470" s="7">
        <v>22</v>
      </c>
      <c r="G470" s="23">
        <v>1.1000000000000001</v>
      </c>
      <c r="H470" s="34">
        <f>Tabela1[[#This Row],[PESO UNI]]*Tabela1[[#This Row],[QTE]]</f>
        <v>1.1000000000000001</v>
      </c>
      <c r="I470" s="7">
        <v>0</v>
      </c>
      <c r="J470" s="8" t="s">
        <v>2550</v>
      </c>
      <c r="K470" s="8" t="s">
        <v>31</v>
      </c>
      <c r="L470" s="9" t="s">
        <v>2551</v>
      </c>
      <c r="M470" s="10">
        <v>46120</v>
      </c>
      <c r="N470" s="11" t="s">
        <v>38</v>
      </c>
      <c r="O470" s="12"/>
      <c r="P470" s="13"/>
      <c r="Q470" s="14">
        <f>Tabela1[[#This Row],[QTDE/ Fabricação]]-Tabela1[[#This Row],[QTE]]</f>
        <v>-1</v>
      </c>
      <c r="R470" s="18">
        <f t="shared" si="81"/>
        <v>1.1000000000000001</v>
      </c>
      <c r="S470" s="18">
        <f t="shared" si="74"/>
        <v>1.1000000000000001</v>
      </c>
      <c r="T470" s="19">
        <f t="shared" si="82"/>
        <v>0</v>
      </c>
      <c r="U470" s="16">
        <f>IFERROR(SUMIF('LISTA DE EMBARQUE'!B:B,MICRO!E:E,'LISTA DE EMBARQUE'!G:G),"")</f>
        <v>1</v>
      </c>
      <c r="V470" s="12">
        <f>IFERROR(VLOOKUP(Tabela1[[#This Row],[COD.MDE]],'LISTA DE EMBARQUE'!B:L,11,0),"")</f>
        <v>4</v>
      </c>
      <c r="W470" s="13" t="str">
        <f>IFERROR(COUNTIF(#REF!,Tabela1[[#This Row],[Colunas5]]),"")</f>
        <v/>
      </c>
      <c r="X470" s="14">
        <f>Tabela1[[#This Row],[QIANTIDADE EXPEDIDA]]*Tabela1[[#This Row],[PESO UNI]]</f>
        <v>1.1000000000000001</v>
      </c>
      <c r="Y470" s="14">
        <f t="shared" si="83"/>
        <v>0</v>
      </c>
      <c r="Z470" s="20">
        <f>Tabela1[[#This Row],[PESO TOTAL]]-Tabela1[[#This Row],[Peso Expedido]]</f>
        <v>0</v>
      </c>
      <c r="AA470" s="17">
        <v>1</v>
      </c>
      <c r="AB470" s="33"/>
      <c r="AC470" s="33">
        <v>1</v>
      </c>
      <c r="AD470" s="33">
        <v>1</v>
      </c>
      <c r="AE470" s="33">
        <v>1</v>
      </c>
      <c r="AF470" s="33">
        <v>1</v>
      </c>
      <c r="AG470" s="33">
        <v>1</v>
      </c>
      <c r="AH470" s="33">
        <v>1</v>
      </c>
      <c r="AI470" s="33" t="s">
        <v>4512</v>
      </c>
      <c r="AJ470"/>
      <c r="AK470" t="str">
        <f>Tabela1[[#This Row],[Coluna1]]&amp;Tabela1[[#This Row],[PEDIDO]]</f>
        <v>P-190</v>
      </c>
      <c r="AL470"/>
      <c r="AM470"/>
      <c r="AN470"/>
      <c r="AO470" t="str">
        <f t="shared" si="84"/>
        <v>P-073076-1/P190</v>
      </c>
      <c r="AP470" t="str">
        <f>Tabela1[[#This Row],[TAG]]&amp;Tabela1[[#This Row],[PEDIDO]]&amp;Tabela1[[#This Row],[PRODUTO]]</f>
        <v>P190P-190ESTRUTURA</v>
      </c>
      <c r="AQ470" s="22" t="str">
        <f>Tabela1[[#This Row],[PRODUTO]]&amp;Tabela1[[#This Row],[TAG]]</f>
        <v>ESTRUTURAP190</v>
      </c>
      <c r="AR470" s="24" t="str">
        <f>Tabela1[[#This Row],[PEDIDO]]&amp;Tabela1[[#This Row],[PRODUTO]]</f>
        <v>P-190ESTRUTURA</v>
      </c>
      <c r="AS470" s="37">
        <f>IF(AF470="",0,IF(ISTEXT(AF470),H470*VALUE(SUBSTITUTE(AF470,"%",""))/100,H470*AF470))-Tabela1[[#This Row],[PRONTO ACABADO2]]</f>
        <v>0</v>
      </c>
      <c r="AT470" s="37">
        <f>IF(AG470="",0,IF(ISTEXT(AG470),H470*VALUE(SUBSTITUTE(AG470,"%",""))/100,H470*AG470))-Tabela1[[#This Row],[PESO EXPEDIDO2]]</f>
        <v>0</v>
      </c>
      <c r="AU470" s="37">
        <f t="shared" si="85"/>
        <v>1.1000000000000001</v>
      </c>
      <c r="AV470" s="37">
        <f t="shared" si="86"/>
        <v>1.1000000000000001</v>
      </c>
      <c r="AW470" s="37"/>
    </row>
    <row r="471" spans="1:49" ht="15.75" customHeight="1" x14ac:dyDescent="0.25">
      <c r="A471" s="6" t="s">
        <v>2553</v>
      </c>
      <c r="B471" s="21"/>
      <c r="C471" s="7">
        <v>1</v>
      </c>
      <c r="D471" s="39" t="s">
        <v>4337</v>
      </c>
      <c r="E471" s="7">
        <v>3429</v>
      </c>
      <c r="F471" s="7">
        <v>22</v>
      </c>
      <c r="G471" s="23">
        <v>23.6</v>
      </c>
      <c r="H471" s="34">
        <f>Tabela1[[#This Row],[PESO UNI]]*Tabela1[[#This Row],[QTE]]</f>
        <v>23.6</v>
      </c>
      <c r="I471" s="7">
        <v>0</v>
      </c>
      <c r="J471" s="8" t="s">
        <v>2550</v>
      </c>
      <c r="K471" s="8" t="s">
        <v>31</v>
      </c>
      <c r="L471" s="9" t="s">
        <v>2551</v>
      </c>
      <c r="M471" s="10">
        <v>46120</v>
      </c>
      <c r="N471" s="11" t="s">
        <v>38</v>
      </c>
      <c r="O471" s="12"/>
      <c r="P471" s="13"/>
      <c r="Q471" s="14">
        <f>Tabela1[[#This Row],[QTDE/ Fabricação]]-Tabela1[[#This Row],[QTE]]</f>
        <v>-1</v>
      </c>
      <c r="R471" s="18">
        <f t="shared" si="81"/>
        <v>23.6</v>
      </c>
      <c r="S471" s="18">
        <f t="shared" si="74"/>
        <v>23.6</v>
      </c>
      <c r="T471" s="19">
        <f t="shared" si="82"/>
        <v>0</v>
      </c>
      <c r="U471" s="16">
        <f>IFERROR(SUMIF('LISTA DE EMBARQUE'!B:B,MICRO!E:E,'LISTA DE EMBARQUE'!G:G),"")</f>
        <v>1</v>
      </c>
      <c r="V471" s="12">
        <f>IFERROR(VLOOKUP(Tabela1[[#This Row],[COD.MDE]],'LISTA DE EMBARQUE'!B:L,11,0),"")</f>
        <v>4</v>
      </c>
      <c r="W471" s="13" t="str">
        <f>IFERROR(COUNTIF(#REF!,Tabela1[[#This Row],[Colunas5]]),"")</f>
        <v/>
      </c>
      <c r="X471" s="14">
        <f>Tabela1[[#This Row],[QIANTIDADE EXPEDIDA]]*Tabela1[[#This Row],[PESO UNI]]</f>
        <v>23.6</v>
      </c>
      <c r="Y471" s="14">
        <f t="shared" si="83"/>
        <v>0</v>
      </c>
      <c r="Z471" s="20">
        <f>Tabela1[[#This Row],[PESO TOTAL]]-Tabela1[[#This Row],[Peso Expedido]]</f>
        <v>0</v>
      </c>
      <c r="AA471" s="17">
        <v>1</v>
      </c>
      <c r="AB471" s="33"/>
      <c r="AC471" s="33">
        <v>1</v>
      </c>
      <c r="AD471" s="33">
        <v>1</v>
      </c>
      <c r="AE471" s="33">
        <v>1</v>
      </c>
      <c r="AF471" s="33">
        <v>1</v>
      </c>
      <c r="AG471" s="33">
        <v>1</v>
      </c>
      <c r="AH471" s="33">
        <v>1</v>
      </c>
      <c r="AI471" s="33" t="s">
        <v>4512</v>
      </c>
      <c r="AJ471"/>
      <c r="AK471" t="str">
        <f>Tabela1[[#This Row],[Coluna1]]&amp;Tabela1[[#This Row],[PEDIDO]]</f>
        <v>P-190</v>
      </c>
      <c r="AL471"/>
      <c r="AM471"/>
      <c r="AN471"/>
      <c r="AO471" t="str">
        <f t="shared" si="84"/>
        <v>P-073076-1/P190</v>
      </c>
      <c r="AP471" t="str">
        <f>Tabela1[[#This Row],[TAG]]&amp;Tabela1[[#This Row],[PEDIDO]]&amp;Tabela1[[#This Row],[PRODUTO]]</f>
        <v>P190P-190ESTRUTURA</v>
      </c>
      <c r="AQ471" s="22" t="str">
        <f>Tabela1[[#This Row],[PRODUTO]]&amp;Tabela1[[#This Row],[TAG]]</f>
        <v>ESTRUTURAP190</v>
      </c>
      <c r="AR471" s="24" t="str">
        <f>Tabela1[[#This Row],[PEDIDO]]&amp;Tabela1[[#This Row],[PRODUTO]]</f>
        <v>P-190ESTRUTURA</v>
      </c>
      <c r="AS471" s="37">
        <f>IF(AF471="",0,IF(ISTEXT(AF471),H471*VALUE(SUBSTITUTE(AF471,"%",""))/100,H471*AF471))-Tabela1[[#This Row],[PRONTO ACABADO2]]</f>
        <v>0</v>
      </c>
      <c r="AT471" s="37">
        <f>IF(AG471="",0,IF(ISTEXT(AG471),H471*VALUE(SUBSTITUTE(AG471,"%",""))/100,H471*AG471))-Tabela1[[#This Row],[PESO EXPEDIDO2]]</f>
        <v>0</v>
      </c>
      <c r="AU471" s="37">
        <f t="shared" si="85"/>
        <v>23.6</v>
      </c>
      <c r="AV471" s="37">
        <f t="shared" si="86"/>
        <v>23.6</v>
      </c>
      <c r="AW471" s="37"/>
    </row>
    <row r="472" spans="1:49" ht="15.75" customHeight="1" x14ac:dyDescent="0.25">
      <c r="A472" s="6" t="s">
        <v>2553</v>
      </c>
      <c r="B472" s="21"/>
      <c r="C472" s="7">
        <v>1</v>
      </c>
      <c r="D472" s="39" t="s">
        <v>4338</v>
      </c>
      <c r="E472" s="7">
        <v>3430</v>
      </c>
      <c r="F472" s="7">
        <v>22</v>
      </c>
      <c r="G472" s="23">
        <v>1.1000000000000001</v>
      </c>
      <c r="H472" s="34">
        <f>Tabela1[[#This Row],[PESO UNI]]*Tabela1[[#This Row],[QTE]]</f>
        <v>1.1000000000000001</v>
      </c>
      <c r="I472" s="7">
        <v>0</v>
      </c>
      <c r="J472" s="8" t="s">
        <v>2550</v>
      </c>
      <c r="K472" s="8" t="s">
        <v>31</v>
      </c>
      <c r="L472" s="9" t="s">
        <v>2551</v>
      </c>
      <c r="M472" s="10">
        <v>46120</v>
      </c>
      <c r="N472" s="11" t="s">
        <v>38</v>
      </c>
      <c r="O472" s="12"/>
      <c r="P472" s="13"/>
      <c r="Q472" s="14">
        <f>Tabela1[[#This Row],[QTDE/ Fabricação]]-Tabela1[[#This Row],[QTE]]</f>
        <v>-1</v>
      </c>
      <c r="R472" s="18">
        <f t="shared" si="81"/>
        <v>1.1000000000000001</v>
      </c>
      <c r="S472" s="18">
        <f t="shared" si="74"/>
        <v>1.1000000000000001</v>
      </c>
      <c r="T472" s="19">
        <f t="shared" si="82"/>
        <v>0</v>
      </c>
      <c r="U472" s="16">
        <f>IFERROR(SUMIF('LISTA DE EMBARQUE'!B:B,MICRO!E:E,'LISTA DE EMBARQUE'!G:G),"")</f>
        <v>1</v>
      </c>
      <c r="V472" s="12">
        <f>IFERROR(VLOOKUP(Tabela1[[#This Row],[COD.MDE]],'LISTA DE EMBARQUE'!B:L,11,0),"")</f>
        <v>4</v>
      </c>
      <c r="W472" s="13" t="str">
        <f>IFERROR(COUNTIF(#REF!,Tabela1[[#This Row],[Colunas5]]),"")</f>
        <v/>
      </c>
      <c r="X472" s="14">
        <f>Tabela1[[#This Row],[QIANTIDADE EXPEDIDA]]*Tabela1[[#This Row],[PESO UNI]]</f>
        <v>1.1000000000000001</v>
      </c>
      <c r="Y472" s="14">
        <f t="shared" si="83"/>
        <v>0</v>
      </c>
      <c r="Z472" s="20">
        <f>Tabela1[[#This Row],[PESO TOTAL]]-Tabela1[[#This Row],[Peso Expedido]]</f>
        <v>0</v>
      </c>
      <c r="AA472" s="17">
        <v>1</v>
      </c>
      <c r="AB472" s="33"/>
      <c r="AC472" s="33">
        <v>1</v>
      </c>
      <c r="AD472" s="33">
        <v>1</v>
      </c>
      <c r="AE472" s="33">
        <v>1</v>
      </c>
      <c r="AF472" s="33">
        <v>1</v>
      </c>
      <c r="AG472" s="33">
        <v>1</v>
      </c>
      <c r="AH472" s="33">
        <v>1</v>
      </c>
      <c r="AI472" s="33" t="s">
        <v>4512</v>
      </c>
      <c r="AJ472"/>
      <c r="AK472" t="str">
        <f>Tabela1[[#This Row],[Coluna1]]&amp;Tabela1[[#This Row],[PEDIDO]]</f>
        <v>P-190</v>
      </c>
      <c r="AL472"/>
      <c r="AM472"/>
      <c r="AN472"/>
      <c r="AO472" t="str">
        <f t="shared" si="84"/>
        <v>P-073076-1/P190</v>
      </c>
      <c r="AP472" t="str">
        <f>Tabela1[[#This Row],[TAG]]&amp;Tabela1[[#This Row],[PEDIDO]]&amp;Tabela1[[#This Row],[PRODUTO]]</f>
        <v>P190P-190ESTRUTURA</v>
      </c>
      <c r="AQ472" s="22" t="str">
        <f>Tabela1[[#This Row],[PRODUTO]]&amp;Tabela1[[#This Row],[TAG]]</f>
        <v>ESTRUTURAP190</v>
      </c>
      <c r="AR472" s="24" t="str">
        <f>Tabela1[[#This Row],[PEDIDO]]&amp;Tabela1[[#This Row],[PRODUTO]]</f>
        <v>P-190ESTRUTURA</v>
      </c>
      <c r="AS472" s="37">
        <f>IF(AF472="",0,IF(ISTEXT(AF472),H472*VALUE(SUBSTITUTE(AF472,"%",""))/100,H472*AF472))-Tabela1[[#This Row],[PRONTO ACABADO2]]</f>
        <v>0</v>
      </c>
      <c r="AT472" s="37">
        <f>IF(AG472="",0,IF(ISTEXT(AG472),H472*VALUE(SUBSTITUTE(AG472,"%",""))/100,H472*AG472))-Tabela1[[#This Row],[PESO EXPEDIDO2]]</f>
        <v>0</v>
      </c>
      <c r="AU472" s="37">
        <f t="shared" si="85"/>
        <v>1.1000000000000001</v>
      </c>
      <c r="AV472" s="37">
        <f t="shared" si="86"/>
        <v>1.1000000000000001</v>
      </c>
      <c r="AW472" s="37"/>
    </row>
    <row r="473" spans="1:49" ht="15.75" customHeight="1" x14ac:dyDescent="0.25">
      <c r="A473" s="6" t="s">
        <v>2553</v>
      </c>
      <c r="B473" s="21"/>
      <c r="C473" s="7">
        <v>19</v>
      </c>
      <c r="D473" s="39" t="s">
        <v>2554</v>
      </c>
      <c r="E473" s="7">
        <v>3431</v>
      </c>
      <c r="F473" s="7">
        <v>22</v>
      </c>
      <c r="G473" s="23">
        <v>7</v>
      </c>
      <c r="H473" s="34">
        <f>Tabela1[[#This Row],[PESO UNI]]*Tabela1[[#This Row],[QTE]]</f>
        <v>133</v>
      </c>
      <c r="I473" s="7">
        <v>0</v>
      </c>
      <c r="J473" s="8" t="s">
        <v>2550</v>
      </c>
      <c r="K473" s="8" t="s">
        <v>31</v>
      </c>
      <c r="L473" s="9" t="s">
        <v>2551</v>
      </c>
      <c r="M473" s="10">
        <v>46120</v>
      </c>
      <c r="N473" s="11" t="s">
        <v>38</v>
      </c>
      <c r="O473" s="12"/>
      <c r="P473" s="13"/>
      <c r="Q473" s="14">
        <f>Tabela1[[#This Row],[QTDE/ Fabricação]]-Tabela1[[#This Row],[QTE]]</f>
        <v>-19</v>
      </c>
      <c r="R473" s="18">
        <f t="shared" si="81"/>
        <v>133</v>
      </c>
      <c r="S473" s="18">
        <f t="shared" si="74"/>
        <v>133</v>
      </c>
      <c r="T473" s="19">
        <f t="shared" si="82"/>
        <v>0</v>
      </c>
      <c r="U473" s="16">
        <f>IFERROR(SUMIF('LISTA DE EMBARQUE'!B:B,MICRO!E:E,'LISTA DE EMBARQUE'!G:G),"")</f>
        <v>19</v>
      </c>
      <c r="V473" s="12">
        <f>IFERROR(VLOOKUP(Tabela1[[#This Row],[COD.MDE]],'LISTA DE EMBARQUE'!B:L,11,0),"")</f>
        <v>3</v>
      </c>
      <c r="W473" s="13" t="str">
        <f>IFERROR(COUNTIF(#REF!,Tabela1[[#This Row],[Colunas5]]),"")</f>
        <v/>
      </c>
      <c r="X473" s="14">
        <f>Tabela1[[#This Row],[QIANTIDADE EXPEDIDA]]*Tabela1[[#This Row],[PESO UNI]]</f>
        <v>133</v>
      </c>
      <c r="Y473" s="14">
        <f t="shared" si="83"/>
        <v>0</v>
      </c>
      <c r="Z473" s="20">
        <f>Tabela1[[#This Row],[PESO TOTAL]]-Tabela1[[#This Row],[Peso Expedido]]</f>
        <v>0</v>
      </c>
      <c r="AA473" s="17">
        <v>1</v>
      </c>
      <c r="AB473" s="33"/>
      <c r="AC473" s="33">
        <v>1</v>
      </c>
      <c r="AD473" s="33">
        <v>1</v>
      </c>
      <c r="AE473" s="33">
        <v>1</v>
      </c>
      <c r="AF473" s="33">
        <v>1</v>
      </c>
      <c r="AG473" s="33">
        <v>1</v>
      </c>
      <c r="AH473" s="33">
        <v>1</v>
      </c>
      <c r="AI473" s="33" t="s">
        <v>4512</v>
      </c>
      <c r="AJ473"/>
      <c r="AK473" t="str">
        <f>Tabela1[[#This Row],[Coluna1]]&amp;Tabela1[[#This Row],[PEDIDO]]</f>
        <v>P-190</v>
      </c>
      <c r="AL473"/>
      <c r="AM473"/>
      <c r="AN473"/>
      <c r="AO473" t="str">
        <f t="shared" si="84"/>
        <v>P-073076-1/P190</v>
      </c>
      <c r="AP473" t="str">
        <f>Tabela1[[#This Row],[TAG]]&amp;Tabela1[[#This Row],[PEDIDO]]&amp;Tabela1[[#This Row],[PRODUTO]]</f>
        <v>P190P-190ESTRUTURA</v>
      </c>
      <c r="AQ473" s="22" t="str">
        <f>Tabela1[[#This Row],[PRODUTO]]&amp;Tabela1[[#This Row],[TAG]]</f>
        <v>ESTRUTURAP190</v>
      </c>
      <c r="AR473" s="24" t="str">
        <f>Tabela1[[#This Row],[PEDIDO]]&amp;Tabela1[[#This Row],[PRODUTO]]</f>
        <v>P-190ESTRUTURA</v>
      </c>
      <c r="AS473" s="37">
        <f>IF(AF473="",0,IF(ISTEXT(AF473),H473*VALUE(SUBSTITUTE(AF473,"%",""))/100,H473*AF473))-Tabela1[[#This Row],[PRONTO ACABADO2]]</f>
        <v>0</v>
      </c>
      <c r="AT473" s="37">
        <f>IF(AG473="",0,IF(ISTEXT(AG473),H473*VALUE(SUBSTITUTE(AG473,"%",""))/100,H473*AG473))-Tabela1[[#This Row],[PESO EXPEDIDO2]]</f>
        <v>0</v>
      </c>
      <c r="AU473" s="37">
        <f t="shared" si="85"/>
        <v>133</v>
      </c>
      <c r="AV473" s="37">
        <f t="shared" si="86"/>
        <v>133</v>
      </c>
      <c r="AW473" s="37"/>
    </row>
    <row r="474" spans="1:49" ht="15.75" customHeight="1" x14ac:dyDescent="0.25">
      <c r="A474" s="6" t="s">
        <v>2555</v>
      </c>
      <c r="B474" s="21"/>
      <c r="C474" s="7">
        <v>2</v>
      </c>
      <c r="D474" s="39" t="s">
        <v>2548</v>
      </c>
      <c r="E474" s="7">
        <v>3433</v>
      </c>
      <c r="F474" s="7">
        <v>21</v>
      </c>
      <c r="G474" s="23">
        <v>4</v>
      </c>
      <c r="H474" s="34">
        <f>Tabela1[[#This Row],[PESO UNI]]*Tabela1[[#This Row],[QTE]]</f>
        <v>8</v>
      </c>
      <c r="I474" s="7">
        <v>1</v>
      </c>
      <c r="J474" s="8" t="s">
        <v>2550</v>
      </c>
      <c r="K474" s="8" t="s">
        <v>31</v>
      </c>
      <c r="L474" s="9" t="s">
        <v>2551</v>
      </c>
      <c r="M474" s="10">
        <v>46120</v>
      </c>
      <c r="N474" s="11" t="s">
        <v>38</v>
      </c>
      <c r="O474" s="12"/>
      <c r="P474" s="13"/>
      <c r="Q474" s="14">
        <f>Tabela1[[#This Row],[QTDE/ Fabricação]]-Tabela1[[#This Row],[QTE]]</f>
        <v>-2</v>
      </c>
      <c r="R474" s="18">
        <f t="shared" si="81"/>
        <v>8</v>
      </c>
      <c r="S474" s="18">
        <f t="shared" si="74"/>
        <v>8</v>
      </c>
      <c r="T474" s="19">
        <f t="shared" si="82"/>
        <v>0</v>
      </c>
      <c r="U474" s="16">
        <v>2</v>
      </c>
      <c r="V474" s="12" t="str">
        <f>IFERROR(VLOOKUP(Tabela1[[#This Row],[COD.MDE]],'LISTA DE EMBARQUE'!B:L,11,0),"")</f>
        <v/>
      </c>
      <c r="W474" s="13" t="str">
        <f>IFERROR(COUNTIF(#REF!,Tabela1[[#This Row],[Colunas5]]),"")</f>
        <v/>
      </c>
      <c r="X474" s="14">
        <f>Tabela1[[#This Row],[QIANTIDADE EXPEDIDA]]*Tabela1[[#This Row],[PESO UNI]]</f>
        <v>8</v>
      </c>
      <c r="Y474" s="14">
        <f t="shared" si="83"/>
        <v>0</v>
      </c>
      <c r="Z474" s="20">
        <f>Tabela1[[#This Row],[PESO TOTAL]]-Tabela1[[#This Row],[Peso Expedido]]</f>
        <v>0</v>
      </c>
      <c r="AA474" s="17">
        <v>1</v>
      </c>
      <c r="AB474" s="33"/>
      <c r="AC474" s="33">
        <v>1</v>
      </c>
      <c r="AD474" s="33">
        <v>1</v>
      </c>
      <c r="AE474" s="33">
        <v>1</v>
      </c>
      <c r="AF474" s="33">
        <v>1</v>
      </c>
      <c r="AG474" s="33">
        <v>1</v>
      </c>
      <c r="AH474" s="33">
        <v>1</v>
      </c>
      <c r="AI474" s="33" t="s">
        <v>4512</v>
      </c>
      <c r="AJ474"/>
      <c r="AK474" t="str">
        <f>Tabela1[[#This Row],[Coluna1]]&amp;Tabela1[[#This Row],[PEDIDO]]</f>
        <v>P-190</v>
      </c>
      <c r="AL474"/>
      <c r="AM474"/>
      <c r="AN474"/>
      <c r="AO474" t="str">
        <f t="shared" si="84"/>
        <v>P-024507-1/P190</v>
      </c>
      <c r="AP474" t="str">
        <f>Tabela1[[#This Row],[TAG]]&amp;Tabela1[[#This Row],[PEDIDO]]&amp;Tabela1[[#This Row],[PRODUTO]]</f>
        <v>P190P-190ESTRUTURA</v>
      </c>
      <c r="AQ474" s="22" t="str">
        <f>Tabela1[[#This Row],[PRODUTO]]&amp;Tabela1[[#This Row],[TAG]]</f>
        <v>ESTRUTURAP190</v>
      </c>
      <c r="AR474" s="24" t="str">
        <f>Tabela1[[#This Row],[PEDIDO]]&amp;Tabela1[[#This Row],[PRODUTO]]</f>
        <v>P-190ESTRUTURA</v>
      </c>
      <c r="AS474" s="37">
        <f>IF(AF474="",0,IF(ISTEXT(AF474),H474*VALUE(SUBSTITUTE(AF474,"%",""))/100,H474*AF474))-Tabela1[[#This Row],[PRONTO ACABADO2]]</f>
        <v>0</v>
      </c>
      <c r="AT474" s="37">
        <f>IF(AG474="",0,IF(ISTEXT(AG474),H474*VALUE(SUBSTITUTE(AG474,"%",""))/100,H474*AG474))-Tabela1[[#This Row],[PESO EXPEDIDO2]]</f>
        <v>0</v>
      </c>
      <c r="AU474" s="37">
        <f t="shared" si="85"/>
        <v>8</v>
      </c>
      <c r="AV474" s="37">
        <f t="shared" si="86"/>
        <v>8</v>
      </c>
      <c r="AW474" s="37"/>
    </row>
    <row r="475" spans="1:49" ht="15.75" customHeight="1" x14ac:dyDescent="0.25">
      <c r="A475" s="6" t="s">
        <v>2555</v>
      </c>
      <c r="B475" s="21"/>
      <c r="C475" s="7">
        <v>4</v>
      </c>
      <c r="D475" s="39" t="s">
        <v>2549</v>
      </c>
      <c r="E475" s="7">
        <v>3434</v>
      </c>
      <c r="F475" s="7">
        <v>21</v>
      </c>
      <c r="G475" s="23">
        <v>4</v>
      </c>
      <c r="H475" s="34">
        <f>Tabela1[[#This Row],[PESO UNI]]*Tabela1[[#This Row],[QTE]]</f>
        <v>16</v>
      </c>
      <c r="I475" s="7">
        <v>1</v>
      </c>
      <c r="J475" s="8" t="s">
        <v>2550</v>
      </c>
      <c r="K475" s="8" t="s">
        <v>31</v>
      </c>
      <c r="L475" s="9" t="s">
        <v>2551</v>
      </c>
      <c r="M475" s="10">
        <v>46120</v>
      </c>
      <c r="N475" s="11" t="s">
        <v>38</v>
      </c>
      <c r="O475" s="12"/>
      <c r="P475" s="13"/>
      <c r="Q475" s="14">
        <f>Tabela1[[#This Row],[QTDE/ Fabricação]]-Tabela1[[#This Row],[QTE]]</f>
        <v>-4</v>
      </c>
      <c r="R475" s="18">
        <f t="shared" si="81"/>
        <v>16</v>
      </c>
      <c r="S475" s="18">
        <f t="shared" si="74"/>
        <v>16</v>
      </c>
      <c r="T475" s="19">
        <f t="shared" si="82"/>
        <v>0</v>
      </c>
      <c r="U475" s="16">
        <v>4</v>
      </c>
      <c r="V475" s="12" t="str">
        <f>IFERROR(VLOOKUP(Tabela1[[#This Row],[COD.MDE]],'LISTA DE EMBARQUE'!B:L,11,0),"")</f>
        <v/>
      </c>
      <c r="W475" s="13" t="str">
        <f>IFERROR(COUNTIF(#REF!,Tabela1[[#This Row],[Colunas5]]),"")</f>
        <v/>
      </c>
      <c r="X475" s="14">
        <f>Tabela1[[#This Row],[QIANTIDADE EXPEDIDA]]*Tabela1[[#This Row],[PESO UNI]]</f>
        <v>16</v>
      </c>
      <c r="Y475" s="14">
        <f t="shared" si="83"/>
        <v>0</v>
      </c>
      <c r="Z475" s="20">
        <f>Tabela1[[#This Row],[PESO TOTAL]]-Tabela1[[#This Row],[Peso Expedido]]</f>
        <v>0</v>
      </c>
      <c r="AA475" s="17">
        <v>1</v>
      </c>
      <c r="AB475" s="33"/>
      <c r="AC475" s="33">
        <v>1</v>
      </c>
      <c r="AD475" s="33">
        <v>1</v>
      </c>
      <c r="AE475" s="33">
        <v>1</v>
      </c>
      <c r="AF475" s="33">
        <v>1</v>
      </c>
      <c r="AG475" s="33">
        <v>1</v>
      </c>
      <c r="AH475" s="33">
        <v>1</v>
      </c>
      <c r="AI475" s="33" t="s">
        <v>4512</v>
      </c>
      <c r="AJ475"/>
      <c r="AK475" t="str">
        <f>Tabela1[[#This Row],[Coluna1]]&amp;Tabela1[[#This Row],[PEDIDO]]</f>
        <v>P-190</v>
      </c>
      <c r="AL475"/>
      <c r="AM475"/>
      <c r="AN475"/>
      <c r="AO475" t="str">
        <f t="shared" si="84"/>
        <v>P-024507-1/P190</v>
      </c>
      <c r="AP475" t="str">
        <f>Tabela1[[#This Row],[TAG]]&amp;Tabela1[[#This Row],[PEDIDO]]&amp;Tabela1[[#This Row],[PRODUTO]]</f>
        <v>P190P-190ESTRUTURA</v>
      </c>
      <c r="AQ475" s="22" t="str">
        <f>Tabela1[[#This Row],[PRODUTO]]&amp;Tabela1[[#This Row],[TAG]]</f>
        <v>ESTRUTURAP190</v>
      </c>
      <c r="AR475" s="24" t="str">
        <f>Tabela1[[#This Row],[PEDIDO]]&amp;Tabela1[[#This Row],[PRODUTO]]</f>
        <v>P-190ESTRUTURA</v>
      </c>
      <c r="AS475" s="37">
        <f>IF(AF475="",0,IF(ISTEXT(AF475),H475*VALUE(SUBSTITUTE(AF475,"%",""))/100,H475*AF475))-Tabela1[[#This Row],[PRONTO ACABADO2]]</f>
        <v>0</v>
      </c>
      <c r="AT475" s="37">
        <f>IF(AG475="",0,IF(ISTEXT(AG475),H475*VALUE(SUBSTITUTE(AG475,"%",""))/100,H475*AG475))-Tabela1[[#This Row],[PESO EXPEDIDO2]]</f>
        <v>0</v>
      </c>
      <c r="AU475" s="37">
        <f t="shared" si="85"/>
        <v>16</v>
      </c>
      <c r="AV475" s="37">
        <f t="shared" si="86"/>
        <v>16</v>
      </c>
      <c r="AW475" s="37"/>
    </row>
    <row r="476" spans="1:49" ht="15.75" customHeight="1" x14ac:dyDescent="0.25">
      <c r="A476" s="6" t="s">
        <v>4339</v>
      </c>
      <c r="B476" s="21"/>
      <c r="C476" s="7">
        <v>4</v>
      </c>
      <c r="D476" s="39" t="s">
        <v>4340</v>
      </c>
      <c r="E476" s="7">
        <v>3436</v>
      </c>
      <c r="F476" s="7">
        <v>20</v>
      </c>
      <c r="G476" s="23">
        <v>23.8</v>
      </c>
      <c r="H476" s="34">
        <f>Tabela1[[#This Row],[PESO UNI]]*Tabela1[[#This Row],[QTE]]</f>
        <v>95.2</v>
      </c>
      <c r="I476" s="7">
        <v>0</v>
      </c>
      <c r="J476" s="8" t="s">
        <v>2550</v>
      </c>
      <c r="K476" s="8" t="s">
        <v>31</v>
      </c>
      <c r="L476" s="9" t="s">
        <v>2551</v>
      </c>
      <c r="M476" s="10">
        <v>46112</v>
      </c>
      <c r="N476" s="11" t="s">
        <v>38</v>
      </c>
      <c r="O476" s="12"/>
      <c r="P476" s="13"/>
      <c r="Q476" s="14">
        <f>Tabela1[[#This Row],[QTDE/ Fabricação]]-Tabela1[[#This Row],[QTE]]</f>
        <v>-4</v>
      </c>
      <c r="R476" s="18">
        <f t="shared" si="81"/>
        <v>95.2</v>
      </c>
      <c r="S476" s="18">
        <f t="shared" si="74"/>
        <v>95.2</v>
      </c>
      <c r="T476" s="19">
        <f t="shared" si="82"/>
        <v>0</v>
      </c>
      <c r="U476" s="16">
        <v>4</v>
      </c>
      <c r="V476" s="12" t="str">
        <f>IFERROR(VLOOKUP(Tabela1[[#This Row],[COD.MDE]],'LISTA DE EMBARQUE'!B:L,11,0),"")</f>
        <v/>
      </c>
      <c r="W476" s="13" t="str">
        <f>IFERROR(COUNTIF(#REF!,Tabela1[[#This Row],[Colunas5]]),"")</f>
        <v/>
      </c>
      <c r="X476" s="14">
        <f>Tabela1[[#This Row],[QIANTIDADE EXPEDIDA]]*Tabela1[[#This Row],[PESO UNI]]</f>
        <v>95.2</v>
      </c>
      <c r="Y476" s="14">
        <f t="shared" si="83"/>
        <v>0</v>
      </c>
      <c r="Z476" s="20">
        <f>Tabela1[[#This Row],[PESO TOTAL]]-Tabela1[[#This Row],[Peso Expedido]]</f>
        <v>0</v>
      </c>
      <c r="AA476" s="17">
        <v>1</v>
      </c>
      <c r="AB476" s="33"/>
      <c r="AC476" s="33">
        <v>1</v>
      </c>
      <c r="AD476" s="33">
        <v>1</v>
      </c>
      <c r="AE476" s="33">
        <v>1</v>
      </c>
      <c r="AF476" s="33">
        <v>1</v>
      </c>
      <c r="AG476" s="33">
        <v>1</v>
      </c>
      <c r="AH476" s="33">
        <v>1</v>
      </c>
      <c r="AI476" s="33" t="s">
        <v>4512</v>
      </c>
      <c r="AJ476"/>
      <c r="AK476" t="str">
        <f>Tabela1[[#This Row],[Coluna1]]&amp;Tabela1[[#This Row],[PEDIDO]]</f>
        <v>P-190</v>
      </c>
      <c r="AL476"/>
      <c r="AM476"/>
      <c r="AN476"/>
      <c r="AO476" t="str">
        <f t="shared" si="84"/>
        <v>P-073074-1/P190</v>
      </c>
      <c r="AP476" t="str">
        <f>Tabela1[[#This Row],[TAG]]&amp;Tabela1[[#This Row],[PEDIDO]]&amp;Tabela1[[#This Row],[PRODUTO]]</f>
        <v>P190P-190ESTRUTURA</v>
      </c>
      <c r="AQ476" s="22" t="str">
        <f>Tabela1[[#This Row],[PRODUTO]]&amp;Tabela1[[#This Row],[TAG]]</f>
        <v>ESTRUTURAP190</v>
      </c>
      <c r="AR476" s="24" t="str">
        <f>Tabela1[[#This Row],[PEDIDO]]&amp;Tabela1[[#This Row],[PRODUTO]]</f>
        <v>P-190ESTRUTURA</v>
      </c>
      <c r="AS476" s="37">
        <f>IF(AF476="",0,IF(ISTEXT(AF476),H476*VALUE(SUBSTITUTE(AF476,"%",""))/100,H476*AF476))-Tabela1[[#This Row],[PRONTO ACABADO2]]</f>
        <v>0</v>
      </c>
      <c r="AT476" s="37">
        <f>IF(AG476="",0,IF(ISTEXT(AG476),H476*VALUE(SUBSTITUTE(AG476,"%",""))/100,H476*AG476))-Tabela1[[#This Row],[PESO EXPEDIDO2]]</f>
        <v>0</v>
      </c>
      <c r="AU476" s="37">
        <f t="shared" si="85"/>
        <v>95.2</v>
      </c>
      <c r="AV476" s="37">
        <f t="shared" si="86"/>
        <v>95.2</v>
      </c>
      <c r="AW476" s="37"/>
    </row>
    <row r="477" spans="1:49" ht="15.75" customHeight="1" x14ac:dyDescent="0.25">
      <c r="A477" s="6" t="s">
        <v>4341</v>
      </c>
      <c r="B477" s="21"/>
      <c r="C477" s="7">
        <v>2</v>
      </c>
      <c r="D477" s="39" t="s">
        <v>4342</v>
      </c>
      <c r="E477" s="7">
        <v>3437</v>
      </c>
      <c r="F477" s="7">
        <v>19</v>
      </c>
      <c r="G477" s="23">
        <v>57</v>
      </c>
      <c r="H477" s="34">
        <f>Tabela1[[#This Row],[PESO UNI]]*Tabela1[[#This Row],[QTE]]</f>
        <v>114</v>
      </c>
      <c r="I477" s="7">
        <v>0</v>
      </c>
      <c r="J477" s="8" t="s">
        <v>2550</v>
      </c>
      <c r="K477" s="8" t="s">
        <v>32</v>
      </c>
      <c r="L477" s="9" t="s">
        <v>2551</v>
      </c>
      <c r="M477" s="10">
        <v>46134</v>
      </c>
      <c r="N477" s="11" t="s">
        <v>38</v>
      </c>
      <c r="O477" s="12"/>
      <c r="P477" s="13"/>
      <c r="Q477" s="14">
        <f>Tabela1[[#This Row],[QTDE/ Fabricação]]-Tabela1[[#This Row],[QTE]]</f>
        <v>-2</v>
      </c>
      <c r="R477" s="18">
        <f t="shared" si="81"/>
        <v>114</v>
      </c>
      <c r="S477" s="18">
        <f t="shared" si="74"/>
        <v>114</v>
      </c>
      <c r="T477" s="19">
        <f t="shared" si="82"/>
        <v>0</v>
      </c>
      <c r="U477" s="16">
        <f>IFERROR(SUMIF('LISTA DE EMBARQUE'!B:B,MICRO!E:E,'LISTA DE EMBARQUE'!G:G),"")</f>
        <v>2</v>
      </c>
      <c r="V477" s="12">
        <f>IFERROR(VLOOKUP(Tabela1[[#This Row],[COD.MDE]],'LISTA DE EMBARQUE'!B:L,11,0),"")</f>
        <v>4</v>
      </c>
      <c r="W477" s="13" t="str">
        <f>IFERROR(COUNTIF(#REF!,Tabela1[[#This Row],[Colunas5]]),"")</f>
        <v/>
      </c>
      <c r="X477" s="14">
        <f>Tabela1[[#This Row],[QIANTIDADE EXPEDIDA]]*Tabela1[[#This Row],[PESO UNI]]</f>
        <v>114</v>
      </c>
      <c r="Y477" s="14">
        <f t="shared" si="83"/>
        <v>0</v>
      </c>
      <c r="Z477" s="20">
        <f>Tabela1[[#This Row],[PESO TOTAL]]-Tabela1[[#This Row],[Peso Expedido]]</f>
        <v>0</v>
      </c>
      <c r="AA477" s="17">
        <v>1</v>
      </c>
      <c r="AB477" s="33"/>
      <c r="AC477" s="33">
        <v>1</v>
      </c>
      <c r="AD477" s="33">
        <v>1</v>
      </c>
      <c r="AE477" s="33">
        <v>1</v>
      </c>
      <c r="AF477" s="33">
        <v>1</v>
      </c>
      <c r="AG477" s="33">
        <v>1</v>
      </c>
      <c r="AH477" s="33">
        <v>1</v>
      </c>
      <c r="AI477" s="33" t="s">
        <v>4512</v>
      </c>
      <c r="AJ477"/>
      <c r="AK477" t="str">
        <f>Tabela1[[#This Row],[Coluna1]]&amp;Tabela1[[#This Row],[PEDIDO]]</f>
        <v>P-190</v>
      </c>
      <c r="AL477"/>
      <c r="AM477"/>
      <c r="AN477"/>
      <c r="AO477" t="str">
        <f t="shared" si="84"/>
        <v>P-024502-1/P190</v>
      </c>
      <c r="AP477" t="str">
        <f>Tabela1[[#This Row],[TAG]]&amp;Tabela1[[#This Row],[PEDIDO]]&amp;Tabela1[[#This Row],[PRODUTO]]</f>
        <v>P190P-190USINAGEM</v>
      </c>
      <c r="AQ477" s="22" t="str">
        <f>Tabela1[[#This Row],[PRODUTO]]&amp;Tabela1[[#This Row],[TAG]]</f>
        <v>USINAGEMP190</v>
      </c>
      <c r="AR477" s="24" t="str">
        <f>Tabela1[[#This Row],[PEDIDO]]&amp;Tabela1[[#This Row],[PRODUTO]]</f>
        <v>P-190USINAGEM</v>
      </c>
      <c r="AS477" s="37">
        <f>IF(AF477="",0,IF(ISTEXT(AF477),H477*VALUE(SUBSTITUTE(AF477,"%",""))/100,H477*AF477))-Tabela1[[#This Row],[PRONTO ACABADO2]]</f>
        <v>0</v>
      </c>
      <c r="AT477" s="37">
        <f>IF(AG477="",0,IF(ISTEXT(AG477),H477*VALUE(SUBSTITUTE(AG477,"%",""))/100,H477*AG477))-Tabela1[[#This Row],[PESO EXPEDIDO2]]</f>
        <v>0</v>
      </c>
      <c r="AU477" s="37">
        <f t="shared" si="85"/>
        <v>114</v>
      </c>
      <c r="AV477" s="37">
        <f t="shared" si="86"/>
        <v>114</v>
      </c>
      <c r="AW477" s="37"/>
    </row>
    <row r="478" spans="1:49" ht="15.75" customHeight="1" x14ac:dyDescent="0.25">
      <c r="A478" s="6" t="s">
        <v>4343</v>
      </c>
      <c r="B478" s="21"/>
      <c r="C478" s="7">
        <v>1</v>
      </c>
      <c r="D478" s="39" t="s">
        <v>4344</v>
      </c>
      <c r="E478" s="7">
        <v>3438</v>
      </c>
      <c r="F478" s="7">
        <v>17</v>
      </c>
      <c r="G478" s="23">
        <v>29.1</v>
      </c>
      <c r="H478" s="34">
        <f>Tabela1[[#This Row],[PESO UNI]]*Tabela1[[#This Row],[QTE]]</f>
        <v>29.1</v>
      </c>
      <c r="I478" s="7">
        <v>1</v>
      </c>
      <c r="J478" s="8" t="s">
        <v>2550</v>
      </c>
      <c r="K478" s="8" t="s">
        <v>32</v>
      </c>
      <c r="L478" s="9" t="s">
        <v>2551</v>
      </c>
      <c r="M478" s="10">
        <v>46134</v>
      </c>
      <c r="N478" s="11" t="s">
        <v>38</v>
      </c>
      <c r="O478" s="12"/>
      <c r="P478" s="13"/>
      <c r="Q478" s="14">
        <f>Tabela1[[#This Row],[QTDE/ Fabricação]]-Tabela1[[#This Row],[QTE]]</f>
        <v>-1</v>
      </c>
      <c r="R478" s="18">
        <f t="shared" si="81"/>
        <v>29.1</v>
      </c>
      <c r="S478" s="18">
        <f t="shared" si="74"/>
        <v>29.1</v>
      </c>
      <c r="T478" s="19">
        <f t="shared" si="82"/>
        <v>0</v>
      </c>
      <c r="U478" s="16">
        <v>1</v>
      </c>
      <c r="V478" s="12">
        <f>IFERROR(VLOOKUP(Tabela1[[#This Row],[COD.MDE]],'LISTA DE EMBARQUE'!B:L,11,0),"")</f>
        <v>4</v>
      </c>
      <c r="W478" s="13" t="str">
        <f>IFERROR(COUNTIF(#REF!,Tabela1[[#This Row],[Colunas5]]),"")</f>
        <v/>
      </c>
      <c r="X478" s="14">
        <f>Tabela1[[#This Row],[QIANTIDADE EXPEDIDA]]*Tabela1[[#This Row],[PESO UNI]]</f>
        <v>29.1</v>
      </c>
      <c r="Y478" s="14">
        <f t="shared" si="83"/>
        <v>0</v>
      </c>
      <c r="Z478" s="20">
        <f>Tabela1[[#This Row],[PESO TOTAL]]-Tabela1[[#This Row],[Peso Expedido]]</f>
        <v>0</v>
      </c>
      <c r="AA478" s="17">
        <v>1</v>
      </c>
      <c r="AB478" s="33"/>
      <c r="AC478" s="33">
        <v>1</v>
      </c>
      <c r="AD478" s="33">
        <v>1</v>
      </c>
      <c r="AE478" s="33">
        <v>1</v>
      </c>
      <c r="AF478" s="33">
        <v>1</v>
      </c>
      <c r="AG478" s="33">
        <v>1</v>
      </c>
      <c r="AH478" s="33">
        <v>1</v>
      </c>
      <c r="AI478" s="33" t="s">
        <v>4512</v>
      </c>
      <c r="AJ478"/>
      <c r="AK478" t="str">
        <f>Tabela1[[#This Row],[Coluna1]]&amp;Tabela1[[#This Row],[PEDIDO]]</f>
        <v>P-190</v>
      </c>
      <c r="AL478"/>
      <c r="AM478"/>
      <c r="AN478"/>
      <c r="AO478" t="str">
        <f t="shared" si="84"/>
        <v>P-024504-1/P190</v>
      </c>
      <c r="AP478" t="str">
        <f>Tabela1[[#This Row],[TAG]]&amp;Tabela1[[#This Row],[PEDIDO]]&amp;Tabela1[[#This Row],[PRODUTO]]</f>
        <v>P190P-190USINAGEM</v>
      </c>
      <c r="AQ478" s="22" t="str">
        <f>Tabela1[[#This Row],[PRODUTO]]&amp;Tabela1[[#This Row],[TAG]]</f>
        <v>USINAGEMP190</v>
      </c>
      <c r="AR478" s="24" t="str">
        <f>Tabela1[[#This Row],[PEDIDO]]&amp;Tabela1[[#This Row],[PRODUTO]]</f>
        <v>P-190USINAGEM</v>
      </c>
      <c r="AS478" s="37">
        <f>IF(AF478="",0,IF(ISTEXT(AF478),H478*VALUE(SUBSTITUTE(AF478,"%",""))/100,H478*AF478))-Tabela1[[#This Row],[PRONTO ACABADO2]]</f>
        <v>0</v>
      </c>
      <c r="AT478" s="37">
        <f>IF(AG478="",0,IF(ISTEXT(AG478),H478*VALUE(SUBSTITUTE(AG478,"%",""))/100,H478*AG478))-Tabela1[[#This Row],[PESO EXPEDIDO2]]</f>
        <v>0</v>
      </c>
      <c r="AU478" s="37">
        <f t="shared" si="85"/>
        <v>29.1</v>
      </c>
      <c r="AV478" s="37">
        <f t="shared" si="86"/>
        <v>29.1</v>
      </c>
      <c r="AW478" s="37"/>
    </row>
    <row r="479" spans="1:49" ht="15.75" customHeight="1" x14ac:dyDescent="0.25">
      <c r="A479" s="6" t="s">
        <v>4345</v>
      </c>
      <c r="B479" s="21"/>
      <c r="C479" s="7">
        <v>1</v>
      </c>
      <c r="D479" s="39" t="s">
        <v>4346</v>
      </c>
      <c r="E479" s="7">
        <v>3439</v>
      </c>
      <c r="F479" s="7">
        <v>16</v>
      </c>
      <c r="G479" s="23">
        <v>0.5</v>
      </c>
      <c r="H479" s="34">
        <f>Tabela1[[#This Row],[PESO UNI]]*Tabela1[[#This Row],[QTE]]</f>
        <v>0.5</v>
      </c>
      <c r="I479" s="7">
        <v>0</v>
      </c>
      <c r="J479" s="8" t="s">
        <v>2550</v>
      </c>
      <c r="K479" s="8" t="s">
        <v>32</v>
      </c>
      <c r="L479" s="9" t="s">
        <v>2551</v>
      </c>
      <c r="M479" s="10">
        <v>46134</v>
      </c>
      <c r="N479" s="11" t="s">
        <v>38</v>
      </c>
      <c r="O479" s="12"/>
      <c r="P479" s="13"/>
      <c r="Q479" s="14">
        <f>Tabela1[[#This Row],[QTDE/ Fabricação]]-Tabela1[[#This Row],[QTE]]</f>
        <v>-1</v>
      </c>
      <c r="R479" s="18">
        <f t="shared" si="81"/>
        <v>0.5</v>
      </c>
      <c r="S479" s="18">
        <f t="shared" si="74"/>
        <v>0.5</v>
      </c>
      <c r="T479" s="19">
        <f t="shared" si="82"/>
        <v>0</v>
      </c>
      <c r="U479" s="16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>IFERROR(COUNTIF(#REF!,Tabela1[[#This Row],[Colunas5]]),"")</f>
        <v/>
      </c>
      <c r="X479" s="14">
        <f>Tabela1[[#This Row],[QIANTIDADE EXPEDIDA]]*Tabela1[[#This Row],[PESO UNI]]</f>
        <v>0.5</v>
      </c>
      <c r="Y479" s="14">
        <f t="shared" si="83"/>
        <v>0</v>
      </c>
      <c r="Z479" s="20">
        <f>Tabela1[[#This Row],[PESO TOTAL]]-Tabela1[[#This Row],[Peso Expedido]]</f>
        <v>0</v>
      </c>
      <c r="AA479" s="17">
        <v>1</v>
      </c>
      <c r="AB479" s="33"/>
      <c r="AC479" s="33">
        <v>1</v>
      </c>
      <c r="AD479" s="33">
        <v>1</v>
      </c>
      <c r="AE479" s="33">
        <v>1</v>
      </c>
      <c r="AF479" s="33">
        <v>1</v>
      </c>
      <c r="AG479" s="33">
        <v>1</v>
      </c>
      <c r="AH479" s="33">
        <v>1</v>
      </c>
      <c r="AI479" s="33" t="s">
        <v>4512</v>
      </c>
      <c r="AJ479"/>
      <c r="AK479" t="str">
        <f>Tabela1[[#This Row],[Coluna1]]&amp;Tabela1[[#This Row],[PEDIDO]]</f>
        <v>P-190</v>
      </c>
      <c r="AL479"/>
      <c r="AM479"/>
      <c r="AN479"/>
      <c r="AO479" t="str">
        <f t="shared" si="84"/>
        <v>P-024937-1/P190</v>
      </c>
      <c r="AP479" t="str">
        <f>Tabela1[[#This Row],[TAG]]&amp;Tabela1[[#This Row],[PEDIDO]]&amp;Tabela1[[#This Row],[PRODUTO]]</f>
        <v>P190P-190USINAGEM</v>
      </c>
      <c r="AQ479" s="22" t="str">
        <f>Tabela1[[#This Row],[PRODUTO]]&amp;Tabela1[[#This Row],[TAG]]</f>
        <v>USINAGEMP190</v>
      </c>
      <c r="AR479" s="24" t="str">
        <f>Tabela1[[#This Row],[PEDIDO]]&amp;Tabela1[[#This Row],[PRODUTO]]</f>
        <v>P-190USINAGEM</v>
      </c>
      <c r="AS479" s="37">
        <f>IF(AF479="",0,IF(ISTEXT(AF479),H479*VALUE(SUBSTITUTE(AF479,"%",""))/100,H479*AF479))-Tabela1[[#This Row],[PRONTO ACABADO2]]</f>
        <v>0</v>
      </c>
      <c r="AT479" s="37">
        <f>IF(AG479="",0,IF(ISTEXT(AG479),H479*VALUE(SUBSTITUTE(AG479,"%",""))/100,H479*AG479))-Tabela1[[#This Row],[PESO EXPEDIDO2]]</f>
        <v>0</v>
      </c>
      <c r="AU479" s="37">
        <f t="shared" si="85"/>
        <v>0.5</v>
      </c>
      <c r="AV479" s="37">
        <f t="shared" si="86"/>
        <v>0.5</v>
      </c>
      <c r="AW479" s="37"/>
    </row>
    <row r="480" spans="1:49" ht="15.75" customHeight="1" x14ac:dyDescent="0.25">
      <c r="A480" s="6" t="s">
        <v>4347</v>
      </c>
      <c r="B480" s="21"/>
      <c r="C480" s="7">
        <v>1</v>
      </c>
      <c r="D480" s="39" t="s">
        <v>4348</v>
      </c>
      <c r="E480" s="7">
        <v>3440</v>
      </c>
      <c r="F480" s="7">
        <v>16</v>
      </c>
      <c r="G480" s="23">
        <v>5</v>
      </c>
      <c r="H480" s="34">
        <f>Tabela1[[#This Row],[PESO UNI]]*Tabela1[[#This Row],[QTE]]</f>
        <v>5</v>
      </c>
      <c r="I480" s="7">
        <v>1</v>
      </c>
      <c r="J480" s="8" t="s">
        <v>2550</v>
      </c>
      <c r="K480" s="8" t="s">
        <v>31</v>
      </c>
      <c r="L480" s="9" t="s">
        <v>2551</v>
      </c>
      <c r="M480" s="10">
        <v>46112</v>
      </c>
      <c r="N480" s="11" t="s">
        <v>38</v>
      </c>
      <c r="O480" s="12"/>
      <c r="P480" s="13"/>
      <c r="Q480" s="14">
        <f>Tabela1[[#This Row],[QTDE/ Fabricação]]-Tabela1[[#This Row],[QTE]]</f>
        <v>-1</v>
      </c>
      <c r="R480" s="18">
        <f t="shared" si="81"/>
        <v>5</v>
      </c>
      <c r="S480" s="18">
        <f t="shared" si="74"/>
        <v>5</v>
      </c>
      <c r="T480" s="19">
        <f t="shared" si="82"/>
        <v>0</v>
      </c>
      <c r="U480" s="16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>IFERROR(COUNTIF(#REF!,Tabela1[[#This Row],[Colunas5]]),"")</f>
        <v/>
      </c>
      <c r="X480" s="14">
        <f>Tabela1[[#This Row],[QIANTIDADE EXPEDIDA]]*Tabela1[[#This Row],[PESO UNI]]</f>
        <v>5</v>
      </c>
      <c r="Y480" s="14">
        <f t="shared" si="83"/>
        <v>0</v>
      </c>
      <c r="Z480" s="20">
        <f>Tabela1[[#This Row],[PESO TOTAL]]-Tabela1[[#This Row],[Peso Expedido]]</f>
        <v>0</v>
      </c>
      <c r="AA480" s="17">
        <v>1</v>
      </c>
      <c r="AB480" s="33"/>
      <c r="AC480" s="33">
        <v>1</v>
      </c>
      <c r="AD480" s="33">
        <v>1</v>
      </c>
      <c r="AE480" s="33">
        <v>1</v>
      </c>
      <c r="AF480" s="33">
        <v>1</v>
      </c>
      <c r="AG480" s="33">
        <v>1</v>
      </c>
      <c r="AH480" s="33">
        <v>1</v>
      </c>
      <c r="AI480" s="33" t="s">
        <v>4512</v>
      </c>
      <c r="AJ480"/>
      <c r="AK480" t="str">
        <f>Tabela1[[#This Row],[Coluna1]]&amp;Tabela1[[#This Row],[PEDIDO]]</f>
        <v>P-190</v>
      </c>
      <c r="AL480"/>
      <c r="AM480"/>
      <c r="AN480"/>
      <c r="AO480" t="str">
        <f t="shared" si="84"/>
        <v>P-024936-1/P190</v>
      </c>
      <c r="AP480" t="str">
        <f>Tabela1[[#This Row],[TAG]]&amp;Tabela1[[#This Row],[PEDIDO]]&amp;Tabela1[[#This Row],[PRODUTO]]</f>
        <v>P190P-190ESTRUTURA</v>
      </c>
      <c r="AQ480" s="22" t="str">
        <f>Tabela1[[#This Row],[PRODUTO]]&amp;Tabela1[[#This Row],[TAG]]</f>
        <v>ESTRUTURAP190</v>
      </c>
      <c r="AR480" s="24" t="str">
        <f>Tabela1[[#This Row],[PEDIDO]]&amp;Tabela1[[#This Row],[PRODUTO]]</f>
        <v>P-190ESTRUTURA</v>
      </c>
      <c r="AS480" s="37">
        <f>IF(AF480="",0,IF(ISTEXT(AF480),H480*VALUE(SUBSTITUTE(AF480,"%",""))/100,H480*AF480))-Tabela1[[#This Row],[PRONTO ACABADO2]]</f>
        <v>0</v>
      </c>
      <c r="AT480" s="37">
        <f>IF(AG480="",0,IF(ISTEXT(AG480),H480*VALUE(SUBSTITUTE(AG480,"%",""))/100,H480*AG480))-Tabela1[[#This Row],[PESO EXPEDIDO2]]</f>
        <v>0</v>
      </c>
      <c r="AU480" s="37">
        <f t="shared" si="85"/>
        <v>5</v>
      </c>
      <c r="AV480" s="37">
        <f t="shared" si="86"/>
        <v>5</v>
      </c>
      <c r="AW480" s="37"/>
    </row>
    <row r="481" spans="1:49" ht="15.75" customHeight="1" x14ac:dyDescent="0.25">
      <c r="A481" s="6" t="s">
        <v>4347</v>
      </c>
      <c r="B481" s="21"/>
      <c r="C481" s="7">
        <v>1</v>
      </c>
      <c r="D481" s="39" t="s">
        <v>4349</v>
      </c>
      <c r="E481" s="7">
        <v>3441</v>
      </c>
      <c r="F481" s="7">
        <v>16</v>
      </c>
      <c r="G481" s="23">
        <v>2</v>
      </c>
      <c r="H481" s="34">
        <f>Tabela1[[#This Row],[PESO UNI]]*Tabela1[[#This Row],[QTE]]</f>
        <v>2</v>
      </c>
      <c r="I481" s="7">
        <v>1</v>
      </c>
      <c r="J481" s="8" t="s">
        <v>2550</v>
      </c>
      <c r="K481" s="8" t="s">
        <v>31</v>
      </c>
      <c r="L481" s="9" t="s">
        <v>2551</v>
      </c>
      <c r="M481" s="10">
        <v>46112</v>
      </c>
      <c r="N481" s="11" t="s">
        <v>38</v>
      </c>
      <c r="O481" s="12"/>
      <c r="P481" s="13"/>
      <c r="Q481" s="14">
        <f>Tabela1[[#This Row],[QTDE/ Fabricação]]-Tabela1[[#This Row],[QTE]]</f>
        <v>-1</v>
      </c>
      <c r="R481" s="18">
        <f t="shared" si="81"/>
        <v>2</v>
      </c>
      <c r="S481" s="18">
        <f t="shared" si="74"/>
        <v>2</v>
      </c>
      <c r="T481" s="19">
        <f t="shared" si="82"/>
        <v>0</v>
      </c>
      <c r="U481" s="16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>IFERROR(COUNTIF(#REF!,Tabela1[[#This Row],[Colunas5]]),"")</f>
        <v/>
      </c>
      <c r="X481" s="14">
        <f>Tabela1[[#This Row],[QIANTIDADE EXPEDIDA]]*Tabela1[[#This Row],[PESO UNI]]</f>
        <v>2</v>
      </c>
      <c r="Y481" s="14">
        <f t="shared" si="83"/>
        <v>0</v>
      </c>
      <c r="Z481" s="20">
        <f>Tabela1[[#This Row],[PESO TOTAL]]-Tabela1[[#This Row],[Peso Expedido]]</f>
        <v>0</v>
      </c>
      <c r="AA481" s="17">
        <v>1</v>
      </c>
      <c r="AB481" s="33"/>
      <c r="AC481" s="33">
        <v>1</v>
      </c>
      <c r="AD481" s="33">
        <v>1</v>
      </c>
      <c r="AE481" s="33">
        <v>1</v>
      </c>
      <c r="AF481" s="33">
        <v>1</v>
      </c>
      <c r="AG481" s="33">
        <v>1</v>
      </c>
      <c r="AH481" s="33">
        <v>1</v>
      </c>
      <c r="AI481" s="33" t="s">
        <v>4512</v>
      </c>
      <c r="AJ481"/>
      <c r="AK481" t="str">
        <f>Tabela1[[#This Row],[Coluna1]]&amp;Tabela1[[#This Row],[PEDIDO]]</f>
        <v>P-190</v>
      </c>
      <c r="AL481"/>
      <c r="AM481"/>
      <c r="AN481"/>
      <c r="AO481" t="str">
        <f t="shared" si="84"/>
        <v>P-024936-1/P190</v>
      </c>
      <c r="AP481" t="str">
        <f>Tabela1[[#This Row],[TAG]]&amp;Tabela1[[#This Row],[PEDIDO]]&amp;Tabela1[[#This Row],[PRODUTO]]</f>
        <v>P190P-190ESTRUTURA</v>
      </c>
      <c r="AQ481" s="22" t="str">
        <f>Tabela1[[#This Row],[PRODUTO]]&amp;Tabela1[[#This Row],[TAG]]</f>
        <v>ESTRUTURAP190</v>
      </c>
      <c r="AR481" s="24" t="str">
        <f>Tabela1[[#This Row],[PEDIDO]]&amp;Tabela1[[#This Row],[PRODUTO]]</f>
        <v>P-190ESTRUTURA</v>
      </c>
      <c r="AS481" s="37">
        <f>IF(AF481="",0,IF(ISTEXT(AF481),H481*VALUE(SUBSTITUTE(AF481,"%",""))/100,H481*AF481))-Tabela1[[#This Row],[PRONTO ACABADO2]]</f>
        <v>0</v>
      </c>
      <c r="AT481" s="37">
        <f>IF(AG481="",0,IF(ISTEXT(AG481),H481*VALUE(SUBSTITUTE(AG481,"%",""))/100,H481*AG481))-Tabela1[[#This Row],[PESO EXPEDIDO2]]</f>
        <v>0</v>
      </c>
      <c r="AU481" s="37">
        <f t="shared" si="85"/>
        <v>2</v>
      </c>
      <c r="AV481" s="37">
        <f t="shared" si="86"/>
        <v>2</v>
      </c>
      <c r="AW481" s="37"/>
    </row>
    <row r="482" spans="1:49" ht="15.75" customHeight="1" x14ac:dyDescent="0.25">
      <c r="A482" s="6" t="s">
        <v>4347</v>
      </c>
      <c r="B482" s="21"/>
      <c r="C482" s="7">
        <v>1</v>
      </c>
      <c r="D482" s="39" t="s">
        <v>4350</v>
      </c>
      <c r="E482" s="7">
        <v>3442</v>
      </c>
      <c r="F482" s="7">
        <v>16</v>
      </c>
      <c r="G482" s="23">
        <v>5.0999999999999996</v>
      </c>
      <c r="H482" s="34">
        <f>Tabela1[[#This Row],[PESO UNI]]*Tabela1[[#This Row],[QTE]]</f>
        <v>5.0999999999999996</v>
      </c>
      <c r="I482" s="7">
        <v>1</v>
      </c>
      <c r="J482" s="8" t="s">
        <v>2550</v>
      </c>
      <c r="K482" s="8" t="s">
        <v>31</v>
      </c>
      <c r="L482" s="9" t="s">
        <v>2551</v>
      </c>
      <c r="M482" s="10">
        <v>46112</v>
      </c>
      <c r="N482" s="11" t="s">
        <v>38</v>
      </c>
      <c r="O482" s="12"/>
      <c r="P482" s="13"/>
      <c r="Q482" s="14">
        <f>Tabela1[[#This Row],[QTDE/ Fabricação]]-Tabela1[[#This Row],[QTE]]</f>
        <v>-1</v>
      </c>
      <c r="R482" s="18">
        <f t="shared" si="81"/>
        <v>5.0999999999999996</v>
      </c>
      <c r="S482" s="18">
        <f t="shared" si="74"/>
        <v>5.0999999999999996</v>
      </c>
      <c r="T482" s="19">
        <f t="shared" si="82"/>
        <v>0</v>
      </c>
      <c r="U482" s="16">
        <f>IFERROR(SUMIF('LISTA DE EMBARQUE'!B:B,MICRO!E:E,'LISTA DE EMBARQUE'!G:G),"")</f>
        <v>1</v>
      </c>
      <c r="V482" s="12">
        <f>IFERROR(VLOOKUP(Tabela1[[#This Row],[COD.MDE]],'LISTA DE EMBARQUE'!B:L,11,0),"")</f>
        <v>4</v>
      </c>
      <c r="W482" s="13" t="str">
        <f>IFERROR(COUNTIF(#REF!,Tabela1[[#This Row],[Colunas5]]),"")</f>
        <v/>
      </c>
      <c r="X482" s="14">
        <f>Tabela1[[#This Row],[QIANTIDADE EXPEDIDA]]*Tabela1[[#This Row],[PESO UNI]]</f>
        <v>5.0999999999999996</v>
      </c>
      <c r="Y482" s="14">
        <f t="shared" si="83"/>
        <v>0</v>
      </c>
      <c r="Z482" s="20">
        <f>Tabela1[[#This Row],[PESO TOTAL]]-Tabela1[[#This Row],[Peso Expedido]]</f>
        <v>0</v>
      </c>
      <c r="AA482" s="17">
        <v>1</v>
      </c>
      <c r="AB482" s="33"/>
      <c r="AC482" s="33">
        <v>1</v>
      </c>
      <c r="AD482" s="33">
        <v>1</v>
      </c>
      <c r="AE482" s="33">
        <v>1</v>
      </c>
      <c r="AF482" s="33">
        <v>1</v>
      </c>
      <c r="AG482" s="33">
        <v>1</v>
      </c>
      <c r="AH482" s="33">
        <v>1</v>
      </c>
      <c r="AI482" s="33" t="s">
        <v>4512</v>
      </c>
      <c r="AJ482"/>
      <c r="AK482" t="str">
        <f>Tabela1[[#This Row],[Coluna1]]&amp;Tabela1[[#This Row],[PEDIDO]]</f>
        <v>P-190</v>
      </c>
      <c r="AL482"/>
      <c r="AM482"/>
      <c r="AN482"/>
      <c r="AO482" t="str">
        <f t="shared" si="84"/>
        <v>P-024936-1/P190</v>
      </c>
      <c r="AP482" t="str">
        <f>Tabela1[[#This Row],[TAG]]&amp;Tabela1[[#This Row],[PEDIDO]]&amp;Tabela1[[#This Row],[PRODUTO]]</f>
        <v>P190P-190ESTRUTURA</v>
      </c>
      <c r="AQ482" s="22" t="str">
        <f>Tabela1[[#This Row],[PRODUTO]]&amp;Tabela1[[#This Row],[TAG]]</f>
        <v>ESTRUTURAP190</v>
      </c>
      <c r="AR482" s="24" t="str">
        <f>Tabela1[[#This Row],[PEDIDO]]&amp;Tabela1[[#This Row],[PRODUTO]]</f>
        <v>P-190ESTRUTURA</v>
      </c>
      <c r="AS482" s="37">
        <f>IF(AF482="",0,IF(ISTEXT(AF482),H482*VALUE(SUBSTITUTE(AF482,"%",""))/100,H482*AF482))-Tabela1[[#This Row],[PRONTO ACABADO2]]</f>
        <v>0</v>
      </c>
      <c r="AT482" s="37">
        <f>IF(AG482="",0,IF(ISTEXT(AG482),H482*VALUE(SUBSTITUTE(AG482,"%",""))/100,H482*AG482))-Tabela1[[#This Row],[PESO EXPEDIDO2]]</f>
        <v>0</v>
      </c>
      <c r="AU482" s="37">
        <f t="shared" si="85"/>
        <v>5.0999999999999996</v>
      </c>
      <c r="AV482" s="37">
        <f t="shared" si="86"/>
        <v>5.0999999999999996</v>
      </c>
      <c r="AW482" s="37"/>
    </row>
    <row r="483" spans="1:49" ht="15.75" customHeight="1" x14ac:dyDescent="0.25">
      <c r="A483" s="6" t="s">
        <v>4351</v>
      </c>
      <c r="B483" s="21"/>
      <c r="C483" s="7">
        <v>1</v>
      </c>
      <c r="D483" s="39" t="s">
        <v>4352</v>
      </c>
      <c r="E483" s="7">
        <v>3443</v>
      </c>
      <c r="F483" s="7">
        <v>15</v>
      </c>
      <c r="G483" s="23">
        <v>628.70000000000005</v>
      </c>
      <c r="H483" s="34">
        <f>Tabela1[[#This Row],[PESO UNI]]*Tabela1[[#This Row],[QTE]]</f>
        <v>628.70000000000005</v>
      </c>
      <c r="I483" s="7">
        <v>1</v>
      </c>
      <c r="J483" s="8" t="s">
        <v>2550</v>
      </c>
      <c r="K483" s="8" t="s">
        <v>22</v>
      </c>
      <c r="L483" s="9" t="s">
        <v>2551</v>
      </c>
      <c r="M483" s="10">
        <v>46119</v>
      </c>
      <c r="N483" s="11" t="s">
        <v>38</v>
      </c>
      <c r="O483" s="12"/>
      <c r="P483" s="13"/>
      <c r="Q483" s="14">
        <f>Tabela1[[#This Row],[QTDE/ Fabricação]]-Tabela1[[#This Row],[QTE]]</f>
        <v>-1</v>
      </c>
      <c r="R483" s="18">
        <f t="shared" si="81"/>
        <v>628.70000000000005</v>
      </c>
      <c r="S483" s="18">
        <f t="shared" si="74"/>
        <v>628.70000000000005</v>
      </c>
      <c r="T483" s="19">
        <f t="shared" si="82"/>
        <v>0</v>
      </c>
      <c r="U483" s="16">
        <f>IFERROR(SUMIF('LISTA DE EMBARQUE'!B:B,MICRO!E:E,'LISTA DE EMBARQUE'!G:G),"")</f>
        <v>1</v>
      </c>
      <c r="V483" s="12">
        <f>IFERROR(VLOOKUP(Tabela1[[#This Row],[COD.MDE]],'LISTA DE EMBARQUE'!B:L,11,0),"")</f>
        <v>4</v>
      </c>
      <c r="W483" s="13" t="str">
        <f>IFERROR(COUNTIF(#REF!,Tabela1[[#This Row],[Colunas5]]),"")</f>
        <v/>
      </c>
      <c r="X483" s="14">
        <f>Tabela1[[#This Row],[QIANTIDADE EXPEDIDA]]*Tabela1[[#This Row],[PESO UNI]]</f>
        <v>628.70000000000005</v>
      </c>
      <c r="Y483" s="14">
        <f t="shared" si="83"/>
        <v>0</v>
      </c>
      <c r="Z483" s="20">
        <f>Tabela1[[#This Row],[PESO TOTAL]]-Tabela1[[#This Row],[Peso Expedido]]</f>
        <v>0</v>
      </c>
      <c r="AA483" s="17">
        <v>1</v>
      </c>
      <c r="AB483" s="33"/>
      <c r="AC483" s="33">
        <v>1</v>
      </c>
      <c r="AD483" s="33">
        <v>1</v>
      </c>
      <c r="AE483" s="33">
        <v>1</v>
      </c>
      <c r="AF483" s="33">
        <v>1</v>
      </c>
      <c r="AG483" s="33">
        <v>1</v>
      </c>
      <c r="AH483" s="33">
        <v>1</v>
      </c>
      <c r="AI483" s="33" t="s">
        <v>4512</v>
      </c>
      <c r="AJ483"/>
      <c r="AK483" t="str">
        <f>Tabela1[[#This Row],[Coluna1]]&amp;Tabela1[[#This Row],[PEDIDO]]</f>
        <v>P-190</v>
      </c>
      <c r="AL483"/>
      <c r="AM483"/>
      <c r="AN483"/>
      <c r="AO483" t="str">
        <f t="shared" si="84"/>
        <v>P-073062-1/P190</v>
      </c>
      <c r="AP483" t="str">
        <f>Tabela1[[#This Row],[TAG]]&amp;Tabela1[[#This Row],[PEDIDO]]&amp;Tabela1[[#This Row],[PRODUTO]]</f>
        <v>P190P-190TAMBOR</v>
      </c>
      <c r="AQ483" s="22" t="str">
        <f>Tabela1[[#This Row],[PRODUTO]]&amp;Tabela1[[#This Row],[TAG]]</f>
        <v>TAMBORP190</v>
      </c>
      <c r="AR483" s="24" t="str">
        <f>Tabela1[[#This Row],[PEDIDO]]&amp;Tabela1[[#This Row],[PRODUTO]]</f>
        <v>P-190TAMBOR</v>
      </c>
      <c r="AS483" s="37">
        <f>IF(AF483="",0,IF(ISTEXT(AF483),H483*VALUE(SUBSTITUTE(AF483,"%",""))/100,H483*AF483))-Tabela1[[#This Row],[PRONTO ACABADO2]]</f>
        <v>0</v>
      </c>
      <c r="AT483" s="37">
        <f>IF(AG483="",0,IF(ISTEXT(AG483),H483*VALUE(SUBSTITUTE(AG483,"%",""))/100,H483*AG483))-Tabela1[[#This Row],[PESO EXPEDIDO2]]</f>
        <v>0</v>
      </c>
      <c r="AU483" s="37">
        <f t="shared" si="85"/>
        <v>628.70000000000005</v>
      </c>
      <c r="AV483" s="37">
        <f t="shared" si="86"/>
        <v>628.70000000000005</v>
      </c>
      <c r="AW483" s="37"/>
    </row>
    <row r="484" spans="1:49" ht="15.75" customHeight="1" x14ac:dyDescent="0.25">
      <c r="A484" s="6" t="s">
        <v>4351</v>
      </c>
      <c r="B484" s="21"/>
      <c r="C484" s="7">
        <v>1</v>
      </c>
      <c r="D484" s="39" t="s">
        <v>4353</v>
      </c>
      <c r="E484" s="7">
        <v>3444</v>
      </c>
      <c r="F484" s="7">
        <v>15</v>
      </c>
      <c r="G484" s="23">
        <v>11.1</v>
      </c>
      <c r="H484" s="34">
        <f>Tabela1[[#This Row],[PESO UNI]]*Tabela1[[#This Row],[QTE]]</f>
        <v>11.1</v>
      </c>
      <c r="I484" s="7">
        <v>1</v>
      </c>
      <c r="J484" s="8" t="s">
        <v>2550</v>
      </c>
      <c r="K484" s="8" t="s">
        <v>22</v>
      </c>
      <c r="L484" s="9" t="s">
        <v>2551</v>
      </c>
      <c r="M484" s="10">
        <v>46119</v>
      </c>
      <c r="N484" s="11" t="s">
        <v>38</v>
      </c>
      <c r="O484" s="12"/>
      <c r="P484" s="13"/>
      <c r="Q484" s="14">
        <f>Tabela1[[#This Row],[QTDE/ Fabricação]]-Tabela1[[#This Row],[QTE]]</f>
        <v>-1</v>
      </c>
      <c r="R484" s="18">
        <f t="shared" si="81"/>
        <v>11.1</v>
      </c>
      <c r="S484" s="18">
        <f t="shared" si="74"/>
        <v>11.1</v>
      </c>
      <c r="T484" s="19">
        <f t="shared" si="82"/>
        <v>0</v>
      </c>
      <c r="U484" s="16">
        <f>IFERROR(SUMIF('LISTA DE EMBARQUE'!B:B,MICRO!E:E,'LISTA DE EMBARQUE'!G:G),"")</f>
        <v>1</v>
      </c>
      <c r="V484" s="12">
        <f>IFERROR(VLOOKUP(Tabela1[[#This Row],[COD.MDE]],'LISTA DE EMBARQUE'!B:L,11,0),"")</f>
        <v>4</v>
      </c>
      <c r="W484" s="13" t="str">
        <f>IFERROR(COUNTIF(#REF!,Tabela1[[#This Row],[Colunas5]]),"")</f>
        <v/>
      </c>
      <c r="X484" s="14">
        <f>Tabela1[[#This Row],[QIANTIDADE EXPEDIDA]]*Tabela1[[#This Row],[PESO UNI]]</f>
        <v>11.1</v>
      </c>
      <c r="Y484" s="14">
        <f t="shared" si="83"/>
        <v>0</v>
      </c>
      <c r="Z484" s="20">
        <f>Tabela1[[#This Row],[PESO TOTAL]]-Tabela1[[#This Row],[Peso Expedido]]</f>
        <v>0</v>
      </c>
      <c r="AA484" s="17">
        <v>1</v>
      </c>
      <c r="AB484" s="33"/>
      <c r="AC484" s="33">
        <v>1</v>
      </c>
      <c r="AD484" s="33">
        <v>1</v>
      </c>
      <c r="AE484" s="33">
        <v>1</v>
      </c>
      <c r="AF484" s="33">
        <v>1</v>
      </c>
      <c r="AG484" s="33">
        <v>1</v>
      </c>
      <c r="AH484" s="33">
        <v>1</v>
      </c>
      <c r="AI484" s="33" t="s">
        <v>4512</v>
      </c>
      <c r="AJ484"/>
      <c r="AK484" t="str">
        <f>Tabela1[[#This Row],[Coluna1]]&amp;Tabela1[[#This Row],[PEDIDO]]</f>
        <v>P-190</v>
      </c>
      <c r="AL484"/>
      <c r="AM484"/>
      <c r="AN484"/>
      <c r="AO484" t="str">
        <f t="shared" si="84"/>
        <v>P-073062-1/P190</v>
      </c>
      <c r="AP484" t="str">
        <f>Tabela1[[#This Row],[TAG]]&amp;Tabela1[[#This Row],[PEDIDO]]&amp;Tabela1[[#This Row],[PRODUTO]]</f>
        <v>P190P-190TAMBOR</v>
      </c>
      <c r="AQ484" s="22" t="str">
        <f>Tabela1[[#This Row],[PRODUTO]]&amp;Tabela1[[#This Row],[TAG]]</f>
        <v>TAMBORP190</v>
      </c>
      <c r="AR484" s="24" t="str">
        <f>Tabela1[[#This Row],[PEDIDO]]&amp;Tabela1[[#This Row],[PRODUTO]]</f>
        <v>P-190TAMBOR</v>
      </c>
      <c r="AS484" s="37">
        <f>IF(AF484="",0,IF(ISTEXT(AF484),H484*VALUE(SUBSTITUTE(AF484,"%",""))/100,H484*AF484))-Tabela1[[#This Row],[PRONTO ACABADO2]]</f>
        <v>0</v>
      </c>
      <c r="AT484" s="37">
        <f>IF(AG484="",0,IF(ISTEXT(AG484),H484*VALUE(SUBSTITUTE(AG484,"%",""))/100,H484*AG484))-Tabela1[[#This Row],[PESO EXPEDIDO2]]</f>
        <v>0</v>
      </c>
      <c r="AU484" s="37">
        <f t="shared" si="85"/>
        <v>11.1</v>
      </c>
      <c r="AV484" s="37">
        <f t="shared" si="86"/>
        <v>11.1</v>
      </c>
      <c r="AW484" s="37"/>
    </row>
    <row r="485" spans="1:49" ht="15.75" customHeight="1" x14ac:dyDescent="0.25">
      <c r="A485" s="6" t="s">
        <v>4354</v>
      </c>
      <c r="B485" s="21"/>
      <c r="C485" s="7">
        <v>1</v>
      </c>
      <c r="D485" s="39" t="s">
        <v>4355</v>
      </c>
      <c r="E485" s="7">
        <v>3445</v>
      </c>
      <c r="F485" s="7">
        <v>13</v>
      </c>
      <c r="G485" s="23">
        <v>25.3</v>
      </c>
      <c r="H485" s="34">
        <f>Tabela1[[#This Row],[PESO UNI]]*Tabela1[[#This Row],[QTE]]</f>
        <v>25.3</v>
      </c>
      <c r="I485" s="7">
        <v>1</v>
      </c>
      <c r="J485" s="8" t="s">
        <v>2550</v>
      </c>
      <c r="K485" s="8" t="s">
        <v>31</v>
      </c>
      <c r="L485" s="9" t="s">
        <v>2551</v>
      </c>
      <c r="M485" s="10">
        <v>46123</v>
      </c>
      <c r="N485" s="11" t="s">
        <v>38</v>
      </c>
      <c r="O485" s="12"/>
      <c r="P485" s="13"/>
      <c r="Q485" s="14">
        <f>Tabela1[[#This Row],[QTDE/ Fabricação]]-Tabela1[[#This Row],[QTE]]</f>
        <v>-1</v>
      </c>
      <c r="R485" s="18">
        <f t="shared" si="81"/>
        <v>25.3</v>
      </c>
      <c r="S485" s="18">
        <f t="shared" si="74"/>
        <v>25.3</v>
      </c>
      <c r="T485" s="19">
        <f t="shared" si="82"/>
        <v>0</v>
      </c>
      <c r="U485" s="16">
        <v>1</v>
      </c>
      <c r="V485" s="12" t="str">
        <f>IFERROR(VLOOKUP(Tabela1[[#This Row],[COD.MDE]],'LISTA DE EMBARQUE'!B:L,11,0),"")</f>
        <v/>
      </c>
      <c r="W485" s="13" t="str">
        <f>IFERROR(COUNTIF(#REF!,Tabela1[[#This Row],[Colunas5]]),"")</f>
        <v/>
      </c>
      <c r="X485" s="14">
        <f>Tabela1[[#This Row],[QIANTIDADE EXPEDIDA]]*Tabela1[[#This Row],[PESO UNI]]</f>
        <v>25.3</v>
      </c>
      <c r="Y485" s="14">
        <f t="shared" si="83"/>
        <v>0</v>
      </c>
      <c r="Z485" s="20">
        <f>Tabela1[[#This Row],[PESO TOTAL]]-Tabela1[[#This Row],[Peso Expedido]]</f>
        <v>0</v>
      </c>
      <c r="AA485" s="17">
        <v>1</v>
      </c>
      <c r="AB485" s="33"/>
      <c r="AC485" s="33">
        <v>1</v>
      </c>
      <c r="AD485" s="33">
        <v>1</v>
      </c>
      <c r="AE485" s="33">
        <v>1</v>
      </c>
      <c r="AF485" s="33">
        <v>1</v>
      </c>
      <c r="AG485" s="33">
        <v>1</v>
      </c>
      <c r="AH485" s="33">
        <v>1</v>
      </c>
      <c r="AI485" s="33" t="s">
        <v>4512</v>
      </c>
      <c r="AJ485"/>
      <c r="AK485" t="str">
        <f>Tabela1[[#This Row],[Coluna1]]&amp;Tabela1[[#This Row],[PEDIDO]]</f>
        <v>P-190</v>
      </c>
      <c r="AL485"/>
      <c r="AM485"/>
      <c r="AN485"/>
      <c r="AO485" t="str">
        <f t="shared" si="84"/>
        <v>P-024506-1/P190</v>
      </c>
      <c r="AP485" t="str">
        <f>Tabela1[[#This Row],[TAG]]&amp;Tabela1[[#This Row],[PEDIDO]]&amp;Tabela1[[#This Row],[PRODUTO]]</f>
        <v>P190P-190ESTRUTURA</v>
      </c>
      <c r="AQ485" s="22" t="str">
        <f>Tabela1[[#This Row],[PRODUTO]]&amp;Tabela1[[#This Row],[TAG]]</f>
        <v>ESTRUTURAP190</v>
      </c>
      <c r="AR485" s="24" t="str">
        <f>Tabela1[[#This Row],[PEDIDO]]&amp;Tabela1[[#This Row],[PRODUTO]]</f>
        <v>P-190ESTRUTURA</v>
      </c>
      <c r="AS485" s="37">
        <f>IF(AF485="",0,IF(ISTEXT(AF485),H485*VALUE(SUBSTITUTE(AF485,"%",""))/100,H485*AF485))-Tabela1[[#This Row],[PRONTO ACABADO2]]</f>
        <v>0</v>
      </c>
      <c r="AT485" s="37">
        <f>IF(AG485="",0,IF(ISTEXT(AG485),H485*VALUE(SUBSTITUTE(AG485,"%",""))/100,H485*AG485))-Tabela1[[#This Row],[PESO EXPEDIDO2]]</f>
        <v>0</v>
      </c>
      <c r="AU485" s="37">
        <f t="shared" si="85"/>
        <v>25.3</v>
      </c>
      <c r="AV485" s="37">
        <f t="shared" si="86"/>
        <v>25.3</v>
      </c>
      <c r="AW485" s="37"/>
    </row>
    <row r="486" spans="1:49" ht="15.75" customHeight="1" x14ac:dyDescent="0.25">
      <c r="A486" s="6" t="s">
        <v>4354</v>
      </c>
      <c r="B486" s="21"/>
      <c r="C486" s="7">
        <v>1</v>
      </c>
      <c r="D486" s="39" t="s">
        <v>4356</v>
      </c>
      <c r="E486" s="7">
        <v>3446</v>
      </c>
      <c r="F486" s="7">
        <v>13</v>
      </c>
      <c r="G486" s="23">
        <v>12.3</v>
      </c>
      <c r="H486" s="34">
        <f>Tabela1[[#This Row],[PESO UNI]]*Tabela1[[#This Row],[QTE]]</f>
        <v>12.3</v>
      </c>
      <c r="I486" s="7">
        <v>1</v>
      </c>
      <c r="J486" s="8" t="s">
        <v>2550</v>
      </c>
      <c r="K486" s="8" t="s">
        <v>31</v>
      </c>
      <c r="L486" s="9" t="s">
        <v>2551</v>
      </c>
      <c r="M486" s="10">
        <v>46123</v>
      </c>
      <c r="N486" s="11" t="s">
        <v>38</v>
      </c>
      <c r="O486" s="12"/>
      <c r="P486" s="13"/>
      <c r="Q486" s="14">
        <f>Tabela1[[#This Row],[QTDE/ Fabricação]]-Tabela1[[#This Row],[QTE]]</f>
        <v>-1</v>
      </c>
      <c r="R486" s="18">
        <f t="shared" si="81"/>
        <v>12.3</v>
      </c>
      <c r="S486" s="18">
        <f t="shared" si="74"/>
        <v>12.3</v>
      </c>
      <c r="T486" s="19">
        <f t="shared" si="82"/>
        <v>0</v>
      </c>
      <c r="U486" s="16">
        <v>1</v>
      </c>
      <c r="V486" s="12" t="str">
        <f>IFERROR(VLOOKUP(Tabela1[[#This Row],[COD.MDE]],'LISTA DE EMBARQUE'!B:L,11,0),"")</f>
        <v/>
      </c>
      <c r="W486" s="13" t="str">
        <f>IFERROR(COUNTIF(#REF!,Tabela1[[#This Row],[Colunas5]]),"")</f>
        <v/>
      </c>
      <c r="X486" s="14">
        <f>Tabela1[[#This Row],[QIANTIDADE EXPEDIDA]]*Tabela1[[#This Row],[PESO UNI]]</f>
        <v>12.3</v>
      </c>
      <c r="Y486" s="14">
        <f t="shared" si="83"/>
        <v>0</v>
      </c>
      <c r="Z486" s="20">
        <f>Tabela1[[#This Row],[PESO TOTAL]]-Tabela1[[#This Row],[Peso Expedido]]</f>
        <v>0</v>
      </c>
      <c r="AA486" s="17">
        <v>1</v>
      </c>
      <c r="AB486" s="33"/>
      <c r="AC486" s="33">
        <v>1</v>
      </c>
      <c r="AD486" s="33">
        <v>1</v>
      </c>
      <c r="AE486" s="33">
        <v>1</v>
      </c>
      <c r="AF486" s="33">
        <v>1</v>
      </c>
      <c r="AG486" s="33">
        <v>1</v>
      </c>
      <c r="AH486" s="33">
        <v>1</v>
      </c>
      <c r="AI486" s="33" t="s">
        <v>4512</v>
      </c>
      <c r="AJ486"/>
      <c r="AK486" t="str">
        <f>Tabela1[[#This Row],[Coluna1]]&amp;Tabela1[[#This Row],[PEDIDO]]</f>
        <v>P-190</v>
      </c>
      <c r="AL486"/>
      <c r="AM486"/>
      <c r="AN486"/>
      <c r="AO486" t="str">
        <f t="shared" si="84"/>
        <v>P-024506-1/P190</v>
      </c>
      <c r="AP486" t="str">
        <f>Tabela1[[#This Row],[TAG]]&amp;Tabela1[[#This Row],[PEDIDO]]&amp;Tabela1[[#This Row],[PRODUTO]]</f>
        <v>P190P-190ESTRUTURA</v>
      </c>
      <c r="AQ486" s="22" t="str">
        <f>Tabela1[[#This Row],[PRODUTO]]&amp;Tabela1[[#This Row],[TAG]]</f>
        <v>ESTRUTURAP190</v>
      </c>
      <c r="AR486" s="24" t="str">
        <f>Tabela1[[#This Row],[PEDIDO]]&amp;Tabela1[[#This Row],[PRODUTO]]</f>
        <v>P-190ESTRUTURA</v>
      </c>
      <c r="AS486" s="37">
        <f>IF(AF486="",0,IF(ISTEXT(AF486),H486*VALUE(SUBSTITUTE(AF486,"%",""))/100,H486*AF486))-Tabela1[[#This Row],[PRONTO ACABADO2]]</f>
        <v>0</v>
      </c>
      <c r="AT486" s="37">
        <f>IF(AG486="",0,IF(ISTEXT(AG486),H486*VALUE(SUBSTITUTE(AG486,"%",""))/100,H486*AG486))-Tabela1[[#This Row],[PESO EXPEDIDO2]]</f>
        <v>0</v>
      </c>
      <c r="AU486" s="37">
        <f t="shared" si="85"/>
        <v>12.3</v>
      </c>
      <c r="AV486" s="37">
        <f t="shared" si="86"/>
        <v>12.3</v>
      </c>
      <c r="AW486" s="37"/>
    </row>
    <row r="487" spans="1:49" ht="15.75" customHeight="1" x14ac:dyDescent="0.25">
      <c r="A487" s="6" t="s">
        <v>4354</v>
      </c>
      <c r="B487" s="21"/>
      <c r="C487" s="7">
        <v>1</v>
      </c>
      <c r="D487" s="39" t="s">
        <v>4357</v>
      </c>
      <c r="E487" s="7">
        <v>3447</v>
      </c>
      <c r="F487" s="7">
        <v>13</v>
      </c>
      <c r="G487" s="23">
        <v>4.2</v>
      </c>
      <c r="H487" s="34">
        <f>Tabela1[[#This Row],[PESO UNI]]*Tabela1[[#This Row],[QTE]]</f>
        <v>4.2</v>
      </c>
      <c r="I487" s="7">
        <v>1</v>
      </c>
      <c r="J487" s="8" t="s">
        <v>2550</v>
      </c>
      <c r="K487" s="8" t="s">
        <v>31</v>
      </c>
      <c r="L487" s="9" t="s">
        <v>2551</v>
      </c>
      <c r="M487" s="10">
        <v>46123</v>
      </c>
      <c r="N487" s="11" t="s">
        <v>38</v>
      </c>
      <c r="O487" s="12"/>
      <c r="P487" s="13"/>
      <c r="Q487" s="14">
        <f>Tabela1[[#This Row],[QTDE/ Fabricação]]-Tabela1[[#This Row],[QTE]]</f>
        <v>-1</v>
      </c>
      <c r="R487" s="18">
        <f t="shared" si="81"/>
        <v>4.2</v>
      </c>
      <c r="S487" s="18">
        <f t="shared" si="74"/>
        <v>4.2</v>
      </c>
      <c r="T487" s="19">
        <f t="shared" si="82"/>
        <v>0</v>
      </c>
      <c r="U487" s="16">
        <v>1</v>
      </c>
      <c r="V487" s="12" t="str">
        <f>IFERROR(VLOOKUP(Tabela1[[#This Row],[COD.MDE]],'LISTA DE EMBARQUE'!B:L,11,0),"")</f>
        <v/>
      </c>
      <c r="W487" s="13" t="str">
        <f>IFERROR(COUNTIF(#REF!,Tabela1[[#This Row],[Colunas5]]),"")</f>
        <v/>
      </c>
      <c r="X487" s="14">
        <f>Tabela1[[#This Row],[QIANTIDADE EXPEDIDA]]*Tabela1[[#This Row],[PESO UNI]]</f>
        <v>4.2</v>
      </c>
      <c r="Y487" s="14">
        <f t="shared" si="83"/>
        <v>0</v>
      </c>
      <c r="Z487" s="20">
        <f>Tabela1[[#This Row],[PESO TOTAL]]-Tabela1[[#This Row],[Peso Expedido]]</f>
        <v>0</v>
      </c>
      <c r="AA487" s="17">
        <v>1</v>
      </c>
      <c r="AB487" s="33"/>
      <c r="AC487" s="33">
        <v>1</v>
      </c>
      <c r="AD487" s="33">
        <v>1</v>
      </c>
      <c r="AE487" s="33">
        <v>1</v>
      </c>
      <c r="AF487" s="33">
        <v>1</v>
      </c>
      <c r="AG487" s="33">
        <v>1</v>
      </c>
      <c r="AH487" s="33">
        <v>1</v>
      </c>
      <c r="AI487" s="33" t="s">
        <v>4512</v>
      </c>
      <c r="AJ487"/>
      <c r="AK487" t="str">
        <f>Tabela1[[#This Row],[Coluna1]]&amp;Tabela1[[#This Row],[PEDIDO]]</f>
        <v>P-190</v>
      </c>
      <c r="AL487"/>
      <c r="AM487"/>
      <c r="AN487"/>
      <c r="AO487" t="str">
        <f t="shared" si="84"/>
        <v>P-024506-1/P190</v>
      </c>
      <c r="AP487" t="str">
        <f>Tabela1[[#This Row],[TAG]]&amp;Tabela1[[#This Row],[PEDIDO]]&amp;Tabela1[[#This Row],[PRODUTO]]</f>
        <v>P190P-190ESTRUTURA</v>
      </c>
      <c r="AQ487" s="22" t="str">
        <f>Tabela1[[#This Row],[PRODUTO]]&amp;Tabela1[[#This Row],[TAG]]</f>
        <v>ESTRUTURAP190</v>
      </c>
      <c r="AR487" s="24" t="str">
        <f>Tabela1[[#This Row],[PEDIDO]]&amp;Tabela1[[#This Row],[PRODUTO]]</f>
        <v>P-190ESTRUTURA</v>
      </c>
      <c r="AS487" s="37">
        <f>IF(AF487="",0,IF(ISTEXT(AF487),H487*VALUE(SUBSTITUTE(AF487,"%",""))/100,H487*AF487))-Tabela1[[#This Row],[PRONTO ACABADO2]]</f>
        <v>0</v>
      </c>
      <c r="AT487" s="37">
        <f>IF(AG487="",0,IF(ISTEXT(AG487),H487*VALUE(SUBSTITUTE(AG487,"%",""))/100,H487*AG487))-Tabela1[[#This Row],[PESO EXPEDIDO2]]</f>
        <v>0</v>
      </c>
      <c r="AU487" s="37">
        <f t="shared" si="85"/>
        <v>4.2</v>
      </c>
      <c r="AV487" s="37">
        <f t="shared" si="86"/>
        <v>4.2</v>
      </c>
      <c r="AW487" s="37"/>
    </row>
    <row r="488" spans="1:49" ht="15.75" customHeight="1" x14ac:dyDescent="0.25">
      <c r="A488" s="6" t="s">
        <v>4354</v>
      </c>
      <c r="B488" s="21"/>
      <c r="C488" s="7">
        <v>1</v>
      </c>
      <c r="D488" s="39" t="s">
        <v>4358</v>
      </c>
      <c r="E488" s="7">
        <v>3448</v>
      </c>
      <c r="F488" s="7">
        <v>13</v>
      </c>
      <c r="G488" s="23">
        <v>0.5</v>
      </c>
      <c r="H488" s="34">
        <f>Tabela1[[#This Row],[PESO UNI]]*Tabela1[[#This Row],[QTE]]</f>
        <v>0.5</v>
      </c>
      <c r="I488" s="7">
        <v>1</v>
      </c>
      <c r="J488" s="8" t="s">
        <v>2550</v>
      </c>
      <c r="K488" s="8" t="s">
        <v>31</v>
      </c>
      <c r="L488" s="9" t="s">
        <v>2551</v>
      </c>
      <c r="M488" s="10">
        <v>46123</v>
      </c>
      <c r="N488" s="11" t="s">
        <v>38</v>
      </c>
      <c r="O488" s="12"/>
      <c r="P488" s="13"/>
      <c r="Q488" s="14">
        <f>Tabela1[[#This Row],[QTDE/ Fabricação]]-Tabela1[[#This Row],[QTE]]</f>
        <v>-1</v>
      </c>
      <c r="R488" s="18">
        <f t="shared" si="81"/>
        <v>0.5</v>
      </c>
      <c r="S488" s="18">
        <f t="shared" si="74"/>
        <v>0.5</v>
      </c>
      <c r="T488" s="19">
        <f t="shared" si="82"/>
        <v>0</v>
      </c>
      <c r="U488" s="16">
        <v>1</v>
      </c>
      <c r="V488" s="12" t="str">
        <f>IFERROR(VLOOKUP(Tabela1[[#This Row],[COD.MDE]],'LISTA DE EMBARQUE'!B:L,11,0),"")</f>
        <v/>
      </c>
      <c r="W488" s="13" t="str">
        <f>IFERROR(COUNTIF(#REF!,Tabela1[[#This Row],[Colunas5]]),"")</f>
        <v/>
      </c>
      <c r="X488" s="14">
        <f>Tabela1[[#This Row],[QIANTIDADE EXPEDIDA]]*Tabela1[[#This Row],[PESO UNI]]</f>
        <v>0.5</v>
      </c>
      <c r="Y488" s="14">
        <f t="shared" si="83"/>
        <v>0</v>
      </c>
      <c r="Z488" s="20">
        <f>Tabela1[[#This Row],[PESO TOTAL]]-Tabela1[[#This Row],[Peso Expedido]]</f>
        <v>0</v>
      </c>
      <c r="AA488" s="17">
        <v>1</v>
      </c>
      <c r="AB488" s="33"/>
      <c r="AC488" s="33">
        <v>1</v>
      </c>
      <c r="AD488" s="33">
        <v>1</v>
      </c>
      <c r="AE488" s="33">
        <v>1</v>
      </c>
      <c r="AF488" s="33">
        <v>1</v>
      </c>
      <c r="AG488" s="33">
        <v>1</v>
      </c>
      <c r="AH488" s="33">
        <v>1</v>
      </c>
      <c r="AI488" s="33" t="s">
        <v>4512</v>
      </c>
      <c r="AJ488"/>
      <c r="AK488" t="str">
        <f>Tabela1[[#This Row],[Coluna1]]&amp;Tabela1[[#This Row],[PEDIDO]]</f>
        <v>P-190</v>
      </c>
      <c r="AL488"/>
      <c r="AM488"/>
      <c r="AN488"/>
      <c r="AO488" t="str">
        <f t="shared" si="84"/>
        <v>P-024506-1/P190</v>
      </c>
      <c r="AP488" t="str">
        <f>Tabela1[[#This Row],[TAG]]&amp;Tabela1[[#This Row],[PEDIDO]]&amp;Tabela1[[#This Row],[PRODUTO]]</f>
        <v>P190P-190ESTRUTURA</v>
      </c>
      <c r="AQ488" s="22" t="str">
        <f>Tabela1[[#This Row],[PRODUTO]]&amp;Tabela1[[#This Row],[TAG]]</f>
        <v>ESTRUTURAP190</v>
      </c>
      <c r="AR488" s="24" t="str">
        <f>Tabela1[[#This Row],[PEDIDO]]&amp;Tabela1[[#This Row],[PRODUTO]]</f>
        <v>P-190ESTRUTURA</v>
      </c>
      <c r="AS488" s="37">
        <f>IF(AF488="",0,IF(ISTEXT(AF488),H488*VALUE(SUBSTITUTE(AF488,"%",""))/100,H488*AF488))-Tabela1[[#This Row],[PRONTO ACABADO2]]</f>
        <v>0</v>
      </c>
      <c r="AT488" s="37">
        <f>IF(AG488="",0,IF(ISTEXT(AG488),H488*VALUE(SUBSTITUTE(AG488,"%",""))/100,H488*AG488))-Tabela1[[#This Row],[PESO EXPEDIDO2]]</f>
        <v>0</v>
      </c>
      <c r="AU488" s="37">
        <f t="shared" si="85"/>
        <v>0.5</v>
      </c>
      <c r="AV488" s="37">
        <f t="shared" si="86"/>
        <v>0.5</v>
      </c>
      <c r="AW488" s="37"/>
    </row>
    <row r="489" spans="1:49" ht="15.75" customHeight="1" x14ac:dyDescent="0.25">
      <c r="A489" s="6" t="s">
        <v>4354</v>
      </c>
      <c r="B489" s="21"/>
      <c r="C489" s="7">
        <v>1</v>
      </c>
      <c r="D489" s="39" t="s">
        <v>4359</v>
      </c>
      <c r="E489" s="7">
        <v>3449</v>
      </c>
      <c r="F489" s="7">
        <v>13</v>
      </c>
      <c r="G489" s="23">
        <v>0.2</v>
      </c>
      <c r="H489" s="34">
        <f>Tabela1[[#This Row],[PESO UNI]]*Tabela1[[#This Row],[QTE]]</f>
        <v>0.2</v>
      </c>
      <c r="I489" s="7">
        <v>1</v>
      </c>
      <c r="J489" s="8" t="s">
        <v>2550</v>
      </c>
      <c r="K489" s="8" t="s">
        <v>31</v>
      </c>
      <c r="L489" s="9" t="s">
        <v>2551</v>
      </c>
      <c r="M489" s="10">
        <v>46123</v>
      </c>
      <c r="N489" s="11" t="s">
        <v>38</v>
      </c>
      <c r="O489" s="12"/>
      <c r="P489" s="13"/>
      <c r="Q489" s="14">
        <f>Tabela1[[#This Row],[QTDE/ Fabricação]]-Tabela1[[#This Row],[QTE]]</f>
        <v>-1</v>
      </c>
      <c r="R489" s="18">
        <f t="shared" si="81"/>
        <v>0.2</v>
      </c>
      <c r="S489" s="18">
        <f t="shared" si="74"/>
        <v>0.2</v>
      </c>
      <c r="T489" s="19">
        <f t="shared" si="82"/>
        <v>0</v>
      </c>
      <c r="U489" s="16">
        <v>1</v>
      </c>
      <c r="V489" s="12" t="str">
        <f>IFERROR(VLOOKUP(Tabela1[[#This Row],[COD.MDE]],'LISTA DE EMBARQUE'!B:L,11,0),"")</f>
        <v/>
      </c>
      <c r="W489" s="13" t="str">
        <f>IFERROR(COUNTIF(#REF!,Tabela1[[#This Row],[Colunas5]]),"")</f>
        <v/>
      </c>
      <c r="X489" s="14">
        <f>Tabela1[[#This Row],[QIANTIDADE EXPEDIDA]]*Tabela1[[#This Row],[PESO UNI]]</f>
        <v>0.2</v>
      </c>
      <c r="Y489" s="14">
        <f t="shared" si="83"/>
        <v>0</v>
      </c>
      <c r="Z489" s="20">
        <f>Tabela1[[#This Row],[PESO TOTAL]]-Tabela1[[#This Row],[Peso Expedido]]</f>
        <v>0</v>
      </c>
      <c r="AA489" s="17">
        <v>1</v>
      </c>
      <c r="AB489" s="33"/>
      <c r="AC489" s="33">
        <v>1</v>
      </c>
      <c r="AD489" s="33">
        <v>1</v>
      </c>
      <c r="AE489" s="33">
        <v>1</v>
      </c>
      <c r="AF489" s="33">
        <v>1</v>
      </c>
      <c r="AG489" s="33">
        <v>1</v>
      </c>
      <c r="AH489" s="33">
        <v>1</v>
      </c>
      <c r="AI489" s="33" t="s">
        <v>4512</v>
      </c>
      <c r="AJ489"/>
      <c r="AK489" t="str">
        <f>Tabela1[[#This Row],[Coluna1]]&amp;Tabela1[[#This Row],[PEDIDO]]</f>
        <v>P-190</v>
      </c>
      <c r="AL489"/>
      <c r="AM489"/>
      <c r="AN489"/>
      <c r="AO489" t="str">
        <f t="shared" si="84"/>
        <v>P-024506-1/P190</v>
      </c>
      <c r="AP489" t="str">
        <f>Tabela1[[#This Row],[TAG]]&amp;Tabela1[[#This Row],[PEDIDO]]&amp;Tabela1[[#This Row],[PRODUTO]]</f>
        <v>P190P-190ESTRUTURA</v>
      </c>
      <c r="AQ489" s="22" t="str">
        <f>Tabela1[[#This Row],[PRODUTO]]&amp;Tabela1[[#This Row],[TAG]]</f>
        <v>ESTRUTURAP190</v>
      </c>
      <c r="AR489" s="24" t="str">
        <f>Tabela1[[#This Row],[PEDIDO]]&amp;Tabela1[[#This Row],[PRODUTO]]</f>
        <v>P-190ESTRUTURA</v>
      </c>
      <c r="AS489" s="37">
        <f>IF(AF489="",0,IF(ISTEXT(AF489),H489*VALUE(SUBSTITUTE(AF489,"%",""))/100,H489*AF489))-Tabela1[[#This Row],[PRONTO ACABADO2]]</f>
        <v>0</v>
      </c>
      <c r="AT489" s="37">
        <f>IF(AG489="",0,IF(ISTEXT(AG489),H489*VALUE(SUBSTITUTE(AG489,"%",""))/100,H489*AG489))-Tabela1[[#This Row],[PESO EXPEDIDO2]]</f>
        <v>0</v>
      </c>
      <c r="AU489" s="37">
        <f t="shared" si="85"/>
        <v>0.2</v>
      </c>
      <c r="AV489" s="37">
        <f t="shared" si="86"/>
        <v>0.2</v>
      </c>
      <c r="AW489" s="37"/>
    </row>
    <row r="490" spans="1:49" ht="15.75" customHeight="1" x14ac:dyDescent="0.25">
      <c r="A490" s="6" t="s">
        <v>4354</v>
      </c>
      <c r="B490" s="21"/>
      <c r="C490" s="7">
        <v>2</v>
      </c>
      <c r="D490" s="39" t="s">
        <v>4360</v>
      </c>
      <c r="E490" s="7">
        <v>3450</v>
      </c>
      <c r="F490" s="7">
        <v>13</v>
      </c>
      <c r="G490" s="23">
        <v>7</v>
      </c>
      <c r="H490" s="34">
        <f>Tabela1[[#This Row],[PESO UNI]]*Tabela1[[#This Row],[QTE]]</f>
        <v>14</v>
      </c>
      <c r="I490" s="7">
        <v>1</v>
      </c>
      <c r="J490" s="8" t="s">
        <v>2550</v>
      </c>
      <c r="K490" s="8" t="s">
        <v>31</v>
      </c>
      <c r="L490" s="9" t="s">
        <v>2551</v>
      </c>
      <c r="M490" s="10">
        <v>46123</v>
      </c>
      <c r="N490" s="11" t="s">
        <v>38</v>
      </c>
      <c r="O490" s="12"/>
      <c r="P490" s="13"/>
      <c r="Q490" s="14">
        <f>Tabela1[[#This Row],[QTDE/ Fabricação]]-Tabela1[[#This Row],[QTE]]</f>
        <v>-2</v>
      </c>
      <c r="R490" s="18">
        <f t="shared" si="81"/>
        <v>14</v>
      </c>
      <c r="S490" s="18">
        <f t="shared" si="74"/>
        <v>14</v>
      </c>
      <c r="T490" s="19">
        <f t="shared" si="82"/>
        <v>0</v>
      </c>
      <c r="U490" s="16">
        <v>2</v>
      </c>
      <c r="V490" s="12" t="str">
        <f>IFERROR(VLOOKUP(Tabela1[[#This Row],[COD.MDE]],'LISTA DE EMBARQUE'!B:L,11,0),"")</f>
        <v/>
      </c>
      <c r="W490" s="13" t="str">
        <f>IFERROR(COUNTIF(#REF!,Tabela1[[#This Row],[Colunas5]]),"")</f>
        <v/>
      </c>
      <c r="X490" s="14">
        <f>Tabela1[[#This Row],[QIANTIDADE EXPEDIDA]]*Tabela1[[#This Row],[PESO UNI]]</f>
        <v>14</v>
      </c>
      <c r="Y490" s="14">
        <f t="shared" si="83"/>
        <v>0</v>
      </c>
      <c r="Z490" s="20">
        <f>Tabela1[[#This Row],[PESO TOTAL]]-Tabela1[[#This Row],[Peso Expedido]]</f>
        <v>0</v>
      </c>
      <c r="AA490" s="17">
        <v>1</v>
      </c>
      <c r="AB490" s="33"/>
      <c r="AC490" s="33">
        <v>1</v>
      </c>
      <c r="AD490" s="33">
        <v>1</v>
      </c>
      <c r="AE490" s="33">
        <v>1</v>
      </c>
      <c r="AF490" s="33">
        <v>1</v>
      </c>
      <c r="AG490" s="33">
        <v>1</v>
      </c>
      <c r="AH490" s="33">
        <v>1</v>
      </c>
      <c r="AI490" s="33" t="s">
        <v>4512</v>
      </c>
      <c r="AJ490"/>
      <c r="AK490" t="str">
        <f>Tabela1[[#This Row],[Coluna1]]&amp;Tabela1[[#This Row],[PEDIDO]]</f>
        <v>P-190</v>
      </c>
      <c r="AL490"/>
      <c r="AM490"/>
      <c r="AN490"/>
      <c r="AO490" t="str">
        <f t="shared" si="84"/>
        <v>P-024506-1/P190</v>
      </c>
      <c r="AP490" t="str">
        <f>Tabela1[[#This Row],[TAG]]&amp;Tabela1[[#This Row],[PEDIDO]]&amp;Tabela1[[#This Row],[PRODUTO]]</f>
        <v>P190P-190ESTRUTURA</v>
      </c>
      <c r="AQ490" s="22" t="str">
        <f>Tabela1[[#This Row],[PRODUTO]]&amp;Tabela1[[#This Row],[TAG]]</f>
        <v>ESTRUTURAP190</v>
      </c>
      <c r="AR490" s="24" t="str">
        <f>Tabela1[[#This Row],[PEDIDO]]&amp;Tabela1[[#This Row],[PRODUTO]]</f>
        <v>P-190ESTRUTURA</v>
      </c>
      <c r="AS490" s="37">
        <f>IF(AF490="",0,IF(ISTEXT(AF490),H490*VALUE(SUBSTITUTE(AF490,"%",""))/100,H490*AF490))-Tabela1[[#This Row],[PRONTO ACABADO2]]</f>
        <v>0</v>
      </c>
      <c r="AT490" s="37">
        <f>IF(AG490="",0,IF(ISTEXT(AG490),H490*VALUE(SUBSTITUTE(AG490,"%",""))/100,H490*AG490))-Tabela1[[#This Row],[PESO EXPEDIDO2]]</f>
        <v>0</v>
      </c>
      <c r="AU490" s="37">
        <f t="shared" si="85"/>
        <v>14</v>
      </c>
      <c r="AV490" s="37">
        <f t="shared" si="86"/>
        <v>14</v>
      </c>
      <c r="AW490" s="37"/>
    </row>
    <row r="491" spans="1:49" ht="15.75" customHeight="1" x14ac:dyDescent="0.25">
      <c r="A491" s="6" t="s">
        <v>4354</v>
      </c>
      <c r="B491" s="21"/>
      <c r="C491" s="7">
        <v>2</v>
      </c>
      <c r="D491" s="39" t="s">
        <v>4361</v>
      </c>
      <c r="E491" s="7">
        <v>3451</v>
      </c>
      <c r="F491" s="7">
        <v>13</v>
      </c>
      <c r="G491" s="23">
        <v>0.8</v>
      </c>
      <c r="H491" s="34">
        <f>Tabela1[[#This Row],[PESO UNI]]*Tabela1[[#This Row],[QTE]]</f>
        <v>1.6</v>
      </c>
      <c r="I491" s="7">
        <v>1</v>
      </c>
      <c r="J491" s="8" t="s">
        <v>2550</v>
      </c>
      <c r="K491" s="8" t="s">
        <v>31</v>
      </c>
      <c r="L491" s="9" t="s">
        <v>2551</v>
      </c>
      <c r="M491" s="10">
        <v>46123</v>
      </c>
      <c r="N491" s="11" t="s">
        <v>38</v>
      </c>
      <c r="O491" s="12"/>
      <c r="P491" s="13"/>
      <c r="Q491" s="14">
        <f>Tabela1[[#This Row],[QTDE/ Fabricação]]-Tabela1[[#This Row],[QTE]]</f>
        <v>-2</v>
      </c>
      <c r="R491" s="18">
        <f t="shared" si="81"/>
        <v>1.6</v>
      </c>
      <c r="S491" s="18">
        <f t="shared" si="74"/>
        <v>1.6</v>
      </c>
      <c r="T491" s="19">
        <f t="shared" si="82"/>
        <v>0</v>
      </c>
      <c r="U491" s="16">
        <v>2</v>
      </c>
      <c r="V491" s="12" t="str">
        <f>IFERROR(VLOOKUP(Tabela1[[#This Row],[COD.MDE]],'LISTA DE EMBARQUE'!B:L,11,0),"")</f>
        <v/>
      </c>
      <c r="W491" s="13" t="str">
        <f>IFERROR(COUNTIF(#REF!,Tabela1[[#This Row],[Colunas5]]),"")</f>
        <v/>
      </c>
      <c r="X491" s="14">
        <f>Tabela1[[#This Row],[QIANTIDADE EXPEDIDA]]*Tabela1[[#This Row],[PESO UNI]]</f>
        <v>1.6</v>
      </c>
      <c r="Y491" s="14">
        <f t="shared" si="83"/>
        <v>0</v>
      </c>
      <c r="Z491" s="20">
        <f>Tabela1[[#This Row],[PESO TOTAL]]-Tabela1[[#This Row],[Peso Expedido]]</f>
        <v>0</v>
      </c>
      <c r="AA491" s="17">
        <v>1</v>
      </c>
      <c r="AB491" s="33"/>
      <c r="AC491" s="33">
        <v>1</v>
      </c>
      <c r="AD491" s="33">
        <v>1</v>
      </c>
      <c r="AE491" s="33">
        <v>1</v>
      </c>
      <c r="AF491" s="33">
        <v>1</v>
      </c>
      <c r="AG491" s="33">
        <v>1</v>
      </c>
      <c r="AH491" s="33">
        <v>1</v>
      </c>
      <c r="AI491" s="33" t="s">
        <v>4512</v>
      </c>
      <c r="AJ491"/>
      <c r="AK491" t="str">
        <f>Tabela1[[#This Row],[Coluna1]]&amp;Tabela1[[#This Row],[PEDIDO]]</f>
        <v>P-190</v>
      </c>
      <c r="AL491"/>
      <c r="AM491"/>
      <c r="AN491"/>
      <c r="AO491" t="str">
        <f t="shared" si="84"/>
        <v>P-024506-1/P190</v>
      </c>
      <c r="AP491" t="str">
        <f>Tabela1[[#This Row],[TAG]]&amp;Tabela1[[#This Row],[PEDIDO]]&amp;Tabela1[[#This Row],[PRODUTO]]</f>
        <v>P190P-190ESTRUTURA</v>
      </c>
      <c r="AQ491" s="22" t="str">
        <f>Tabela1[[#This Row],[PRODUTO]]&amp;Tabela1[[#This Row],[TAG]]</f>
        <v>ESTRUTURAP190</v>
      </c>
      <c r="AR491" s="24" t="str">
        <f>Tabela1[[#This Row],[PEDIDO]]&amp;Tabela1[[#This Row],[PRODUTO]]</f>
        <v>P-190ESTRUTURA</v>
      </c>
      <c r="AS491" s="37">
        <f>IF(AF491="",0,IF(ISTEXT(AF491),H491*VALUE(SUBSTITUTE(AF491,"%",""))/100,H491*AF491))-Tabela1[[#This Row],[PRONTO ACABADO2]]</f>
        <v>0</v>
      </c>
      <c r="AT491" s="37">
        <f>IF(AG491="",0,IF(ISTEXT(AG491),H491*VALUE(SUBSTITUTE(AG491,"%",""))/100,H491*AG491))-Tabela1[[#This Row],[PESO EXPEDIDO2]]</f>
        <v>0</v>
      </c>
      <c r="AU491" s="37">
        <f t="shared" si="85"/>
        <v>1.6</v>
      </c>
      <c r="AV491" s="37">
        <f t="shared" si="86"/>
        <v>1.6</v>
      </c>
      <c r="AW491" s="37"/>
    </row>
    <row r="492" spans="1:49" ht="15.75" customHeight="1" x14ac:dyDescent="0.25">
      <c r="A492" s="6" t="s">
        <v>4354</v>
      </c>
      <c r="B492" s="21"/>
      <c r="C492" s="7">
        <v>1</v>
      </c>
      <c r="D492" s="39" t="s">
        <v>4362</v>
      </c>
      <c r="E492" s="7">
        <v>3452</v>
      </c>
      <c r="F492" s="7">
        <v>13</v>
      </c>
      <c r="G492" s="23">
        <v>0.6</v>
      </c>
      <c r="H492" s="34">
        <f>Tabela1[[#This Row],[PESO UNI]]*Tabela1[[#This Row],[QTE]]</f>
        <v>0.6</v>
      </c>
      <c r="I492" s="7">
        <v>1</v>
      </c>
      <c r="J492" s="8" t="s">
        <v>2550</v>
      </c>
      <c r="K492" s="8" t="s">
        <v>31</v>
      </c>
      <c r="L492" s="9" t="s">
        <v>2551</v>
      </c>
      <c r="M492" s="10">
        <v>46123</v>
      </c>
      <c r="N492" s="11" t="s">
        <v>38</v>
      </c>
      <c r="O492" s="12"/>
      <c r="P492" s="13"/>
      <c r="Q492" s="14">
        <f>Tabela1[[#This Row],[QTDE/ Fabricação]]-Tabela1[[#This Row],[QTE]]</f>
        <v>-1</v>
      </c>
      <c r="R492" s="18">
        <f t="shared" si="81"/>
        <v>0.6</v>
      </c>
      <c r="S492" s="18">
        <f t="shared" si="74"/>
        <v>0.6</v>
      </c>
      <c r="T492" s="19">
        <f t="shared" si="82"/>
        <v>0</v>
      </c>
      <c r="U492" s="16">
        <v>1</v>
      </c>
      <c r="V492" s="12" t="str">
        <f>IFERROR(VLOOKUP(Tabela1[[#This Row],[COD.MDE]],'LISTA DE EMBARQUE'!B:L,11,0),"")</f>
        <v/>
      </c>
      <c r="W492" s="13" t="str">
        <f>IFERROR(COUNTIF(#REF!,Tabela1[[#This Row],[Colunas5]]),"")</f>
        <v/>
      </c>
      <c r="X492" s="14">
        <f>Tabela1[[#This Row],[QIANTIDADE EXPEDIDA]]*Tabela1[[#This Row],[PESO UNI]]</f>
        <v>0.6</v>
      </c>
      <c r="Y492" s="14">
        <f t="shared" si="83"/>
        <v>0</v>
      </c>
      <c r="Z492" s="20">
        <f>Tabela1[[#This Row],[PESO TOTAL]]-Tabela1[[#This Row],[Peso Expedido]]</f>
        <v>0</v>
      </c>
      <c r="AA492" s="17">
        <v>1</v>
      </c>
      <c r="AB492" s="33"/>
      <c r="AC492" s="33">
        <v>1</v>
      </c>
      <c r="AD492" s="33">
        <v>1</v>
      </c>
      <c r="AE492" s="33">
        <v>1</v>
      </c>
      <c r="AF492" s="33">
        <v>1</v>
      </c>
      <c r="AG492" s="33">
        <v>1</v>
      </c>
      <c r="AH492" s="33">
        <v>1</v>
      </c>
      <c r="AI492" s="33" t="s">
        <v>4512</v>
      </c>
      <c r="AJ492"/>
      <c r="AK492" t="str">
        <f>Tabela1[[#This Row],[Coluna1]]&amp;Tabela1[[#This Row],[PEDIDO]]</f>
        <v>P-190</v>
      </c>
      <c r="AL492"/>
      <c r="AM492"/>
      <c r="AN492"/>
      <c r="AO492" t="str">
        <f t="shared" si="84"/>
        <v>P-024506-1/P190</v>
      </c>
      <c r="AP492" t="str">
        <f>Tabela1[[#This Row],[TAG]]&amp;Tabela1[[#This Row],[PEDIDO]]&amp;Tabela1[[#This Row],[PRODUTO]]</f>
        <v>P190P-190ESTRUTURA</v>
      </c>
      <c r="AQ492" s="22" t="str">
        <f>Tabela1[[#This Row],[PRODUTO]]&amp;Tabela1[[#This Row],[TAG]]</f>
        <v>ESTRUTURAP190</v>
      </c>
      <c r="AR492" s="24" t="str">
        <f>Tabela1[[#This Row],[PEDIDO]]&amp;Tabela1[[#This Row],[PRODUTO]]</f>
        <v>P-190ESTRUTURA</v>
      </c>
      <c r="AS492" s="37">
        <f>IF(AF492="",0,IF(ISTEXT(AF492),H492*VALUE(SUBSTITUTE(AF492,"%",""))/100,H492*AF492))-Tabela1[[#This Row],[PRONTO ACABADO2]]</f>
        <v>0</v>
      </c>
      <c r="AT492" s="37">
        <f>IF(AG492="",0,IF(ISTEXT(AG492),H492*VALUE(SUBSTITUTE(AG492,"%",""))/100,H492*AG492))-Tabela1[[#This Row],[PESO EXPEDIDO2]]</f>
        <v>0</v>
      </c>
      <c r="AU492" s="37">
        <f t="shared" si="85"/>
        <v>0.6</v>
      </c>
      <c r="AV492" s="37">
        <f t="shared" si="86"/>
        <v>0.6</v>
      </c>
      <c r="AW492" s="37"/>
    </row>
    <row r="493" spans="1:49" ht="15.75" customHeight="1" x14ac:dyDescent="0.25">
      <c r="A493" s="6" t="s">
        <v>4354</v>
      </c>
      <c r="B493" s="21"/>
      <c r="C493" s="7">
        <v>1</v>
      </c>
      <c r="D493" s="39" t="s">
        <v>4363</v>
      </c>
      <c r="E493" s="7">
        <v>3453</v>
      </c>
      <c r="F493" s="7">
        <v>13</v>
      </c>
      <c r="G493" s="23">
        <v>0.1</v>
      </c>
      <c r="H493" s="34">
        <f>Tabela1[[#This Row],[PESO UNI]]*Tabela1[[#This Row],[QTE]]</f>
        <v>0.1</v>
      </c>
      <c r="I493" s="7">
        <v>1</v>
      </c>
      <c r="J493" s="8" t="s">
        <v>2550</v>
      </c>
      <c r="K493" s="8" t="s">
        <v>31</v>
      </c>
      <c r="L493" s="9" t="s">
        <v>2551</v>
      </c>
      <c r="M493" s="10">
        <v>46123</v>
      </c>
      <c r="N493" s="11" t="s">
        <v>38</v>
      </c>
      <c r="O493" s="12"/>
      <c r="P493" s="13"/>
      <c r="Q493" s="14">
        <f>Tabela1[[#This Row],[QTDE/ Fabricação]]-Tabela1[[#This Row],[QTE]]</f>
        <v>-1</v>
      </c>
      <c r="R493" s="18">
        <f t="shared" si="81"/>
        <v>0.1</v>
      </c>
      <c r="S493" s="18">
        <f t="shared" si="74"/>
        <v>0.1</v>
      </c>
      <c r="T493" s="19">
        <f t="shared" si="82"/>
        <v>0</v>
      </c>
      <c r="U493" s="16">
        <v>1</v>
      </c>
      <c r="V493" s="12" t="str">
        <f>IFERROR(VLOOKUP(Tabela1[[#This Row],[COD.MDE]],'LISTA DE EMBARQUE'!B:L,11,0),"")</f>
        <v/>
      </c>
      <c r="W493" s="13" t="str">
        <f>IFERROR(COUNTIF(#REF!,Tabela1[[#This Row],[Colunas5]]),"")</f>
        <v/>
      </c>
      <c r="X493" s="14">
        <f>Tabela1[[#This Row],[QIANTIDADE EXPEDIDA]]*Tabela1[[#This Row],[PESO UNI]]</f>
        <v>0.1</v>
      </c>
      <c r="Y493" s="14">
        <f t="shared" si="83"/>
        <v>0</v>
      </c>
      <c r="Z493" s="20">
        <f>Tabela1[[#This Row],[PESO TOTAL]]-Tabela1[[#This Row],[Peso Expedido]]</f>
        <v>0</v>
      </c>
      <c r="AA493" s="17">
        <v>1</v>
      </c>
      <c r="AB493" s="33"/>
      <c r="AC493" s="33">
        <v>1</v>
      </c>
      <c r="AD493" s="33">
        <v>1</v>
      </c>
      <c r="AE493" s="33">
        <v>1</v>
      </c>
      <c r="AF493" s="33">
        <v>1</v>
      </c>
      <c r="AG493" s="33">
        <v>1</v>
      </c>
      <c r="AH493" s="33">
        <v>1</v>
      </c>
      <c r="AI493" s="33" t="s">
        <v>4512</v>
      </c>
      <c r="AJ493"/>
      <c r="AK493" t="str">
        <f>Tabela1[[#This Row],[Coluna1]]&amp;Tabela1[[#This Row],[PEDIDO]]</f>
        <v>P-190</v>
      </c>
      <c r="AL493"/>
      <c r="AM493"/>
      <c r="AN493"/>
      <c r="AO493" t="str">
        <f t="shared" si="84"/>
        <v>P-024506-1/P190</v>
      </c>
      <c r="AP493" t="str">
        <f>Tabela1[[#This Row],[TAG]]&amp;Tabela1[[#This Row],[PEDIDO]]&amp;Tabela1[[#This Row],[PRODUTO]]</f>
        <v>P190P-190ESTRUTURA</v>
      </c>
      <c r="AQ493" s="22" t="str">
        <f>Tabela1[[#This Row],[PRODUTO]]&amp;Tabela1[[#This Row],[TAG]]</f>
        <v>ESTRUTURAP190</v>
      </c>
      <c r="AR493" s="24" t="str">
        <f>Tabela1[[#This Row],[PEDIDO]]&amp;Tabela1[[#This Row],[PRODUTO]]</f>
        <v>P-190ESTRUTURA</v>
      </c>
      <c r="AS493" s="37">
        <f>IF(AF493="",0,IF(ISTEXT(AF493),H493*VALUE(SUBSTITUTE(AF493,"%",""))/100,H493*AF493))-Tabela1[[#This Row],[PRONTO ACABADO2]]</f>
        <v>0</v>
      </c>
      <c r="AT493" s="37">
        <f>IF(AG493="",0,IF(ISTEXT(AG493),H493*VALUE(SUBSTITUTE(AG493,"%",""))/100,H493*AG493))-Tabela1[[#This Row],[PESO EXPEDIDO2]]</f>
        <v>0</v>
      </c>
      <c r="AU493" s="37">
        <f t="shared" si="85"/>
        <v>0.1</v>
      </c>
      <c r="AV493" s="37">
        <f t="shared" si="86"/>
        <v>0.1</v>
      </c>
      <c r="AW493" s="37"/>
    </row>
    <row r="494" spans="1:49" ht="15.75" customHeight="1" x14ac:dyDescent="0.25">
      <c r="A494" s="6" t="s">
        <v>4354</v>
      </c>
      <c r="B494" s="21"/>
      <c r="C494" s="7">
        <v>1</v>
      </c>
      <c r="D494" s="39" t="s">
        <v>4364</v>
      </c>
      <c r="E494" s="7">
        <v>3454</v>
      </c>
      <c r="F494" s="7">
        <v>13</v>
      </c>
      <c r="G494" s="23">
        <v>0.1</v>
      </c>
      <c r="H494" s="34">
        <f>Tabela1[[#This Row],[PESO UNI]]*Tabela1[[#This Row],[QTE]]</f>
        <v>0.1</v>
      </c>
      <c r="I494" s="7">
        <v>1</v>
      </c>
      <c r="J494" s="8" t="s">
        <v>2550</v>
      </c>
      <c r="K494" s="8" t="s">
        <v>31</v>
      </c>
      <c r="L494" s="9" t="s">
        <v>2551</v>
      </c>
      <c r="M494" s="10">
        <v>46123</v>
      </c>
      <c r="N494" s="11" t="s">
        <v>38</v>
      </c>
      <c r="O494" s="12"/>
      <c r="P494" s="13"/>
      <c r="Q494" s="14">
        <f>Tabela1[[#This Row],[QTDE/ Fabricação]]-Tabela1[[#This Row],[QTE]]</f>
        <v>-1</v>
      </c>
      <c r="R494" s="18">
        <f t="shared" si="81"/>
        <v>0.1</v>
      </c>
      <c r="S494" s="18">
        <f t="shared" si="74"/>
        <v>0.1</v>
      </c>
      <c r="T494" s="19">
        <f t="shared" si="82"/>
        <v>0</v>
      </c>
      <c r="U494" s="16">
        <v>1</v>
      </c>
      <c r="V494" s="12" t="str">
        <f>IFERROR(VLOOKUP(Tabela1[[#This Row],[COD.MDE]],'LISTA DE EMBARQUE'!B:L,11,0),"")</f>
        <v/>
      </c>
      <c r="W494" s="13" t="str">
        <f>IFERROR(COUNTIF(#REF!,Tabela1[[#This Row],[Colunas5]]),"")</f>
        <v/>
      </c>
      <c r="X494" s="14">
        <f>Tabela1[[#This Row],[QIANTIDADE EXPEDIDA]]*Tabela1[[#This Row],[PESO UNI]]</f>
        <v>0.1</v>
      </c>
      <c r="Y494" s="14">
        <f t="shared" si="83"/>
        <v>0</v>
      </c>
      <c r="Z494" s="20">
        <f>Tabela1[[#This Row],[PESO TOTAL]]-Tabela1[[#This Row],[Peso Expedido]]</f>
        <v>0</v>
      </c>
      <c r="AA494" s="17">
        <v>1</v>
      </c>
      <c r="AB494" s="33"/>
      <c r="AC494" s="33">
        <v>1</v>
      </c>
      <c r="AD494" s="33">
        <v>1</v>
      </c>
      <c r="AE494" s="33">
        <v>1</v>
      </c>
      <c r="AF494" s="33">
        <v>1</v>
      </c>
      <c r="AG494" s="33">
        <v>1</v>
      </c>
      <c r="AH494" s="33">
        <v>1</v>
      </c>
      <c r="AI494" s="33" t="s">
        <v>4512</v>
      </c>
      <c r="AJ494"/>
      <c r="AK494" t="str">
        <f>Tabela1[[#This Row],[Coluna1]]&amp;Tabela1[[#This Row],[PEDIDO]]</f>
        <v>P-190</v>
      </c>
      <c r="AL494"/>
      <c r="AM494"/>
      <c r="AN494"/>
      <c r="AO494" t="str">
        <f t="shared" si="84"/>
        <v>P-024506-1/P190</v>
      </c>
      <c r="AP494" t="str">
        <f>Tabela1[[#This Row],[TAG]]&amp;Tabela1[[#This Row],[PEDIDO]]&amp;Tabela1[[#This Row],[PRODUTO]]</f>
        <v>P190P-190ESTRUTURA</v>
      </c>
      <c r="AQ494" s="22" t="str">
        <f>Tabela1[[#This Row],[PRODUTO]]&amp;Tabela1[[#This Row],[TAG]]</f>
        <v>ESTRUTURAP190</v>
      </c>
      <c r="AR494" s="24" t="str">
        <f>Tabela1[[#This Row],[PEDIDO]]&amp;Tabela1[[#This Row],[PRODUTO]]</f>
        <v>P-190ESTRUTURA</v>
      </c>
      <c r="AS494" s="37">
        <f>IF(AF494="",0,IF(ISTEXT(AF494),H494*VALUE(SUBSTITUTE(AF494,"%",""))/100,H494*AF494))-Tabela1[[#This Row],[PRONTO ACABADO2]]</f>
        <v>0</v>
      </c>
      <c r="AT494" s="37">
        <f>IF(AG494="",0,IF(ISTEXT(AG494),H494*VALUE(SUBSTITUTE(AG494,"%",""))/100,H494*AG494))-Tabela1[[#This Row],[PESO EXPEDIDO2]]</f>
        <v>0</v>
      </c>
      <c r="AU494" s="37">
        <f t="shared" si="85"/>
        <v>0.1</v>
      </c>
      <c r="AV494" s="37">
        <f t="shared" si="86"/>
        <v>0.1</v>
      </c>
      <c r="AW494" s="37"/>
    </row>
    <row r="495" spans="1:49" ht="15.75" customHeight="1" x14ac:dyDescent="0.25">
      <c r="A495" s="6" t="s">
        <v>4354</v>
      </c>
      <c r="B495" s="21"/>
      <c r="C495" s="7">
        <v>1</v>
      </c>
      <c r="D495" s="39" t="s">
        <v>4365</v>
      </c>
      <c r="E495" s="7">
        <v>3455</v>
      </c>
      <c r="F495" s="7">
        <v>13</v>
      </c>
      <c r="G495" s="23">
        <v>0.1</v>
      </c>
      <c r="H495" s="34">
        <f>Tabela1[[#This Row],[PESO UNI]]*Tabela1[[#This Row],[QTE]]</f>
        <v>0.1</v>
      </c>
      <c r="I495" s="7">
        <v>1</v>
      </c>
      <c r="J495" s="8" t="s">
        <v>2550</v>
      </c>
      <c r="K495" s="8" t="s">
        <v>31</v>
      </c>
      <c r="L495" s="9" t="s">
        <v>2551</v>
      </c>
      <c r="M495" s="10">
        <v>46123</v>
      </c>
      <c r="N495" s="11" t="s">
        <v>38</v>
      </c>
      <c r="O495" s="12"/>
      <c r="P495" s="13"/>
      <c r="Q495" s="14">
        <f>Tabela1[[#This Row],[QTDE/ Fabricação]]-Tabela1[[#This Row],[QTE]]</f>
        <v>-1</v>
      </c>
      <c r="R495" s="18">
        <f t="shared" si="81"/>
        <v>0.1</v>
      </c>
      <c r="S495" s="18">
        <f t="shared" si="74"/>
        <v>0.1</v>
      </c>
      <c r="T495" s="19">
        <f t="shared" si="82"/>
        <v>0</v>
      </c>
      <c r="U495" s="16">
        <v>1</v>
      </c>
      <c r="V495" s="12" t="str">
        <f>IFERROR(VLOOKUP(Tabela1[[#This Row],[COD.MDE]],'LISTA DE EMBARQUE'!B:L,11,0),"")</f>
        <v/>
      </c>
      <c r="W495" s="13" t="str">
        <f>IFERROR(COUNTIF(#REF!,Tabela1[[#This Row],[Colunas5]]),"")</f>
        <v/>
      </c>
      <c r="X495" s="14">
        <f>Tabela1[[#This Row],[QIANTIDADE EXPEDIDA]]*Tabela1[[#This Row],[PESO UNI]]</f>
        <v>0.1</v>
      </c>
      <c r="Y495" s="14">
        <f t="shared" si="83"/>
        <v>0</v>
      </c>
      <c r="Z495" s="20">
        <f>Tabela1[[#This Row],[PESO TOTAL]]-Tabela1[[#This Row],[Peso Expedido]]</f>
        <v>0</v>
      </c>
      <c r="AA495" s="17">
        <v>1</v>
      </c>
      <c r="AB495" s="33"/>
      <c r="AC495" s="33">
        <v>1</v>
      </c>
      <c r="AD495" s="33">
        <v>1</v>
      </c>
      <c r="AE495" s="33">
        <v>1</v>
      </c>
      <c r="AF495" s="33">
        <v>1</v>
      </c>
      <c r="AG495" s="33">
        <v>1</v>
      </c>
      <c r="AH495" s="33">
        <v>1</v>
      </c>
      <c r="AI495" s="33" t="s">
        <v>4512</v>
      </c>
      <c r="AJ495"/>
      <c r="AK495" t="str">
        <f>Tabela1[[#This Row],[Coluna1]]&amp;Tabela1[[#This Row],[PEDIDO]]</f>
        <v>P-190</v>
      </c>
      <c r="AL495"/>
      <c r="AM495"/>
      <c r="AN495"/>
      <c r="AO495" t="str">
        <f t="shared" si="84"/>
        <v>P-024506-1/P190</v>
      </c>
      <c r="AP495" t="str">
        <f>Tabela1[[#This Row],[TAG]]&amp;Tabela1[[#This Row],[PEDIDO]]&amp;Tabela1[[#This Row],[PRODUTO]]</f>
        <v>P190P-190ESTRUTURA</v>
      </c>
      <c r="AQ495" s="22" t="str">
        <f>Tabela1[[#This Row],[PRODUTO]]&amp;Tabela1[[#This Row],[TAG]]</f>
        <v>ESTRUTURAP190</v>
      </c>
      <c r="AR495" s="24" t="str">
        <f>Tabela1[[#This Row],[PEDIDO]]&amp;Tabela1[[#This Row],[PRODUTO]]</f>
        <v>P-190ESTRUTURA</v>
      </c>
      <c r="AS495" s="37">
        <f>IF(AF495="",0,IF(ISTEXT(AF495),H495*VALUE(SUBSTITUTE(AF495,"%",""))/100,H495*AF495))-Tabela1[[#This Row],[PRONTO ACABADO2]]</f>
        <v>0</v>
      </c>
      <c r="AT495" s="37">
        <f>IF(AG495="",0,IF(ISTEXT(AG495),H495*VALUE(SUBSTITUTE(AG495,"%",""))/100,H495*AG495))-Tabela1[[#This Row],[PESO EXPEDIDO2]]</f>
        <v>0</v>
      </c>
      <c r="AU495" s="37">
        <f t="shared" si="85"/>
        <v>0.1</v>
      </c>
      <c r="AV495" s="37">
        <f t="shared" si="86"/>
        <v>0.1</v>
      </c>
      <c r="AW495" s="37"/>
    </row>
    <row r="496" spans="1:49" ht="15.75" customHeight="1" x14ac:dyDescent="0.25">
      <c r="A496" s="6" t="s">
        <v>4366</v>
      </c>
      <c r="B496" s="21"/>
      <c r="C496" s="7">
        <v>1</v>
      </c>
      <c r="D496" s="39" t="s">
        <v>4367</v>
      </c>
      <c r="E496" s="7">
        <v>3456</v>
      </c>
      <c r="F496" s="7">
        <v>12</v>
      </c>
      <c r="G496" s="23">
        <v>0.2</v>
      </c>
      <c r="H496" s="34">
        <f>Tabela1[[#This Row],[PESO UNI]]*Tabela1[[#This Row],[QTE]]</f>
        <v>0.2</v>
      </c>
      <c r="I496" s="7">
        <v>12</v>
      </c>
      <c r="J496" s="8" t="s">
        <v>2550</v>
      </c>
      <c r="K496" s="8" t="s">
        <v>45</v>
      </c>
      <c r="L496" s="9" t="s">
        <v>2551</v>
      </c>
      <c r="M496" s="10">
        <v>46123</v>
      </c>
      <c r="N496" s="11" t="s">
        <v>38</v>
      </c>
      <c r="O496" s="12"/>
      <c r="P496" s="13"/>
      <c r="Q496" s="14">
        <f>Tabela1[[#This Row],[QTDE/ Fabricação]]-Tabela1[[#This Row],[QTE]]</f>
        <v>-1</v>
      </c>
      <c r="R496" s="18">
        <f t="shared" si="81"/>
        <v>0.2</v>
      </c>
      <c r="S496" s="18">
        <f t="shared" si="74"/>
        <v>0.2</v>
      </c>
      <c r="T496" s="19">
        <f t="shared" si="82"/>
        <v>0</v>
      </c>
      <c r="U496" s="16">
        <v>1</v>
      </c>
      <c r="V496" s="12" t="str">
        <f>IFERROR(VLOOKUP(Tabela1[[#This Row],[COD.MDE]],'LISTA DE EMBARQUE'!B:L,11,0),"")</f>
        <v/>
      </c>
      <c r="W496" s="13" t="str">
        <f>IFERROR(COUNTIF(#REF!,Tabela1[[#This Row],[Colunas5]]),"")</f>
        <v/>
      </c>
      <c r="X496" s="14">
        <f>Tabela1[[#This Row],[QIANTIDADE EXPEDIDA]]*Tabela1[[#This Row],[PESO UNI]]</f>
        <v>0.2</v>
      </c>
      <c r="Y496" s="14">
        <f t="shared" si="83"/>
        <v>0</v>
      </c>
      <c r="Z496" s="20">
        <f>Tabela1[[#This Row],[PESO TOTAL]]-Tabela1[[#This Row],[Peso Expedido]]</f>
        <v>0</v>
      </c>
      <c r="AA496" s="17">
        <v>1</v>
      </c>
      <c r="AB496" s="33"/>
      <c r="AC496" s="33">
        <v>1</v>
      </c>
      <c r="AD496" s="33">
        <v>1</v>
      </c>
      <c r="AE496" s="33">
        <v>1</v>
      </c>
      <c r="AF496" s="33">
        <v>1</v>
      </c>
      <c r="AG496" s="33">
        <v>1</v>
      </c>
      <c r="AH496" s="33">
        <v>1</v>
      </c>
      <c r="AI496" s="33" t="s">
        <v>4512</v>
      </c>
      <c r="AJ496"/>
      <c r="AK496" t="str">
        <f>Tabela1[[#This Row],[Coluna1]]&amp;Tabela1[[#This Row],[PEDIDO]]</f>
        <v>P-190</v>
      </c>
      <c r="AL496"/>
      <c r="AM496"/>
      <c r="AN496"/>
      <c r="AO496" t="str">
        <f t="shared" si="84"/>
        <v>P-024527-1/P190</v>
      </c>
      <c r="AP496" t="str">
        <f>Tabela1[[#This Row],[TAG]]&amp;Tabela1[[#This Row],[PEDIDO]]&amp;Tabela1[[#This Row],[PRODUTO]]</f>
        <v>P190P-190COMERCIAL</v>
      </c>
      <c r="AQ496" s="22" t="str">
        <f>Tabela1[[#This Row],[PRODUTO]]&amp;Tabela1[[#This Row],[TAG]]</f>
        <v>COMERCIALP190</v>
      </c>
      <c r="AR496" s="24" t="str">
        <f>Tabela1[[#This Row],[PEDIDO]]&amp;Tabela1[[#This Row],[PRODUTO]]</f>
        <v>P-190COMERCIAL</v>
      </c>
      <c r="AS496" s="37">
        <f>IF(AF496="",0,IF(ISTEXT(AF496),H496*VALUE(SUBSTITUTE(AF496,"%",""))/100,H496*AF496))-Tabela1[[#This Row],[PRONTO ACABADO2]]</f>
        <v>0</v>
      </c>
      <c r="AT496" s="37">
        <f>IF(AG496="",0,IF(ISTEXT(AG496),H496*VALUE(SUBSTITUTE(AG496,"%",""))/100,H496*AG496))-Tabela1[[#This Row],[PESO EXPEDIDO2]]</f>
        <v>0</v>
      </c>
      <c r="AU496" s="37">
        <f t="shared" si="85"/>
        <v>0.2</v>
      </c>
      <c r="AV496" s="37">
        <f t="shared" si="86"/>
        <v>0.2</v>
      </c>
      <c r="AW496" s="37"/>
    </row>
    <row r="497" spans="1:49" ht="15.75" customHeight="1" x14ac:dyDescent="0.25">
      <c r="A497" s="6" t="s">
        <v>4366</v>
      </c>
      <c r="B497" s="21"/>
      <c r="C497" s="7">
        <v>1</v>
      </c>
      <c r="D497" s="39" t="s">
        <v>4368</v>
      </c>
      <c r="E497" s="7">
        <v>3457</v>
      </c>
      <c r="F497" s="7">
        <v>12</v>
      </c>
      <c r="G497" s="23">
        <v>0.4</v>
      </c>
      <c r="H497" s="34">
        <f>Tabela1[[#This Row],[PESO UNI]]*Tabela1[[#This Row],[QTE]]</f>
        <v>0.4</v>
      </c>
      <c r="I497" s="7">
        <v>12</v>
      </c>
      <c r="J497" s="8" t="s">
        <v>2550</v>
      </c>
      <c r="K497" s="8" t="s">
        <v>31</v>
      </c>
      <c r="L497" s="9" t="s">
        <v>2551</v>
      </c>
      <c r="M497" s="10">
        <v>46123</v>
      </c>
      <c r="N497" s="11" t="s">
        <v>38</v>
      </c>
      <c r="O497" s="12"/>
      <c r="P497" s="13"/>
      <c r="Q497" s="14">
        <f>Tabela1[[#This Row],[QTDE/ Fabricação]]-Tabela1[[#This Row],[QTE]]</f>
        <v>-1</v>
      </c>
      <c r="R497" s="18">
        <f t="shared" si="81"/>
        <v>0.4</v>
      </c>
      <c r="S497" s="18">
        <f t="shared" si="74"/>
        <v>0.4</v>
      </c>
      <c r="T497" s="19">
        <f t="shared" si="82"/>
        <v>0</v>
      </c>
      <c r="U497" s="16">
        <v>1</v>
      </c>
      <c r="V497" s="12" t="str">
        <f>IFERROR(VLOOKUP(Tabela1[[#This Row],[COD.MDE]],'LISTA DE EMBARQUE'!B:L,11,0),"")</f>
        <v/>
      </c>
      <c r="W497" s="13" t="str">
        <f>IFERROR(COUNTIF(#REF!,Tabela1[[#This Row],[Colunas5]]),"")</f>
        <v/>
      </c>
      <c r="X497" s="14">
        <f>Tabela1[[#This Row],[QIANTIDADE EXPEDIDA]]*Tabela1[[#This Row],[PESO UNI]]</f>
        <v>0.4</v>
      </c>
      <c r="Y497" s="14">
        <f t="shared" si="83"/>
        <v>0</v>
      </c>
      <c r="Z497" s="20">
        <f>Tabela1[[#This Row],[PESO TOTAL]]-Tabela1[[#This Row],[Peso Expedido]]</f>
        <v>0</v>
      </c>
      <c r="AA497" s="17">
        <v>1</v>
      </c>
      <c r="AB497" s="33"/>
      <c r="AC497" s="33">
        <v>1</v>
      </c>
      <c r="AD497" s="33">
        <v>1</v>
      </c>
      <c r="AE497" s="33">
        <v>1</v>
      </c>
      <c r="AF497" s="33">
        <v>1</v>
      </c>
      <c r="AG497" s="33">
        <v>1</v>
      </c>
      <c r="AH497" s="33">
        <v>1</v>
      </c>
      <c r="AI497" s="33" t="s">
        <v>4512</v>
      </c>
      <c r="AJ497"/>
      <c r="AK497" t="str">
        <f>Tabela1[[#This Row],[Coluna1]]&amp;Tabela1[[#This Row],[PEDIDO]]</f>
        <v>P-190</v>
      </c>
      <c r="AL497"/>
      <c r="AM497"/>
      <c r="AN497"/>
      <c r="AO497" t="str">
        <f t="shared" si="84"/>
        <v>P-024527-1/P190</v>
      </c>
      <c r="AP497" t="str">
        <f>Tabela1[[#This Row],[TAG]]&amp;Tabela1[[#This Row],[PEDIDO]]&amp;Tabela1[[#This Row],[PRODUTO]]</f>
        <v>P190P-190ESTRUTURA</v>
      </c>
      <c r="AQ497" s="22" t="str">
        <f>Tabela1[[#This Row],[PRODUTO]]&amp;Tabela1[[#This Row],[TAG]]</f>
        <v>ESTRUTURAP190</v>
      </c>
      <c r="AR497" s="24" t="str">
        <f>Tabela1[[#This Row],[PEDIDO]]&amp;Tabela1[[#This Row],[PRODUTO]]</f>
        <v>P-190ESTRUTURA</v>
      </c>
      <c r="AS497" s="37">
        <f>IF(AF497="",0,IF(ISTEXT(AF497),H497*VALUE(SUBSTITUTE(AF497,"%",""))/100,H497*AF497))-Tabela1[[#This Row],[PRONTO ACABADO2]]</f>
        <v>0</v>
      </c>
      <c r="AT497" s="37">
        <f>IF(AG497="",0,IF(ISTEXT(AG497),H497*VALUE(SUBSTITUTE(AG497,"%",""))/100,H497*AG497))-Tabela1[[#This Row],[PESO EXPEDIDO2]]</f>
        <v>0</v>
      </c>
      <c r="AU497" s="37">
        <f t="shared" si="85"/>
        <v>0.4</v>
      </c>
      <c r="AV497" s="37">
        <f t="shared" si="86"/>
        <v>0.4</v>
      </c>
      <c r="AW497" s="37"/>
    </row>
    <row r="498" spans="1:49" ht="15.75" customHeight="1" x14ac:dyDescent="0.25">
      <c r="A498" s="6" t="s">
        <v>4366</v>
      </c>
      <c r="B498" s="21"/>
      <c r="C498" s="7">
        <v>1</v>
      </c>
      <c r="D498" s="39" t="s">
        <v>2557</v>
      </c>
      <c r="E498" s="7">
        <v>3458</v>
      </c>
      <c r="F498" s="7">
        <v>12</v>
      </c>
      <c r="G498" s="23">
        <v>0.6</v>
      </c>
      <c r="H498" s="34">
        <f>Tabela1[[#This Row],[PESO UNI]]*Tabela1[[#This Row],[QTE]]</f>
        <v>0.6</v>
      </c>
      <c r="I498" s="7">
        <v>12</v>
      </c>
      <c r="J498" s="8" t="s">
        <v>2550</v>
      </c>
      <c r="K498" s="8" t="s">
        <v>31</v>
      </c>
      <c r="L498" s="9" t="s">
        <v>2551</v>
      </c>
      <c r="M498" s="10">
        <v>46123</v>
      </c>
      <c r="N498" s="11" t="s">
        <v>38</v>
      </c>
      <c r="O498" s="12"/>
      <c r="P498" s="13"/>
      <c r="Q498" s="14">
        <f>Tabela1[[#This Row],[QTDE/ Fabricação]]-Tabela1[[#This Row],[QTE]]</f>
        <v>-1</v>
      </c>
      <c r="R498" s="18">
        <f t="shared" si="81"/>
        <v>0.6</v>
      </c>
      <c r="S498" s="18">
        <f t="shared" si="74"/>
        <v>0.6</v>
      </c>
      <c r="T498" s="19">
        <f t="shared" si="82"/>
        <v>0</v>
      </c>
      <c r="U498" s="16">
        <v>1</v>
      </c>
      <c r="V498" s="12" t="str">
        <f>IFERROR(VLOOKUP(Tabela1[[#This Row],[COD.MDE]],'LISTA DE EMBARQUE'!B:L,11,0),"")</f>
        <v/>
      </c>
      <c r="W498" s="13" t="str">
        <f>IFERROR(COUNTIF(#REF!,Tabela1[[#This Row],[Colunas5]]),"")</f>
        <v/>
      </c>
      <c r="X498" s="14">
        <f>Tabela1[[#This Row],[QIANTIDADE EXPEDIDA]]*Tabela1[[#This Row],[PESO UNI]]</f>
        <v>0.6</v>
      </c>
      <c r="Y498" s="14">
        <f t="shared" si="83"/>
        <v>0</v>
      </c>
      <c r="Z498" s="20">
        <f>Tabela1[[#This Row],[PESO TOTAL]]-Tabela1[[#This Row],[Peso Expedido]]</f>
        <v>0</v>
      </c>
      <c r="AA498" s="17">
        <v>1</v>
      </c>
      <c r="AB498" s="33"/>
      <c r="AC498" s="33">
        <v>1</v>
      </c>
      <c r="AD498" s="33">
        <v>1</v>
      </c>
      <c r="AE498" s="33">
        <v>1</v>
      </c>
      <c r="AF498" s="33">
        <v>1</v>
      </c>
      <c r="AG498" s="33">
        <v>1</v>
      </c>
      <c r="AH498" s="33">
        <v>1</v>
      </c>
      <c r="AI498" s="33" t="s">
        <v>4512</v>
      </c>
      <c r="AJ498"/>
      <c r="AK498" t="str">
        <f>Tabela1[[#This Row],[Coluna1]]&amp;Tabela1[[#This Row],[PEDIDO]]</f>
        <v>P-190</v>
      </c>
      <c r="AL498"/>
      <c r="AM498"/>
      <c r="AN498"/>
      <c r="AO498" t="str">
        <f t="shared" si="84"/>
        <v>P-024527-1/P190</v>
      </c>
      <c r="AP498" t="str">
        <f>Tabela1[[#This Row],[TAG]]&amp;Tabela1[[#This Row],[PEDIDO]]&amp;Tabela1[[#This Row],[PRODUTO]]</f>
        <v>P190P-190ESTRUTURA</v>
      </c>
      <c r="AQ498" s="22" t="str">
        <f>Tabela1[[#This Row],[PRODUTO]]&amp;Tabela1[[#This Row],[TAG]]</f>
        <v>ESTRUTURAP190</v>
      </c>
      <c r="AR498" s="24" t="str">
        <f>Tabela1[[#This Row],[PEDIDO]]&amp;Tabela1[[#This Row],[PRODUTO]]</f>
        <v>P-190ESTRUTURA</v>
      </c>
      <c r="AS498" s="37">
        <f>IF(AF498="",0,IF(ISTEXT(AF498),H498*VALUE(SUBSTITUTE(AF498,"%",""))/100,H498*AF498))-Tabela1[[#This Row],[PRONTO ACABADO2]]</f>
        <v>0</v>
      </c>
      <c r="AT498" s="37">
        <f>IF(AG498="",0,IF(ISTEXT(AG498),H498*VALUE(SUBSTITUTE(AG498,"%",""))/100,H498*AG498))-Tabela1[[#This Row],[PESO EXPEDIDO2]]</f>
        <v>0</v>
      </c>
      <c r="AU498" s="37">
        <f t="shared" si="85"/>
        <v>0.6</v>
      </c>
      <c r="AV498" s="37">
        <f t="shared" si="86"/>
        <v>0.6</v>
      </c>
      <c r="AW498" s="37"/>
    </row>
    <row r="499" spans="1:49" ht="15.75" customHeight="1" x14ac:dyDescent="0.25">
      <c r="A499" s="6" t="s">
        <v>4366</v>
      </c>
      <c r="B499" s="21"/>
      <c r="C499" s="7">
        <v>1</v>
      </c>
      <c r="D499" s="39" t="s">
        <v>4369</v>
      </c>
      <c r="E499" s="7">
        <v>3459</v>
      </c>
      <c r="F499" s="7">
        <v>12</v>
      </c>
      <c r="G499" s="23">
        <v>0.4</v>
      </c>
      <c r="H499" s="34">
        <f>Tabela1[[#This Row],[PESO UNI]]*Tabela1[[#This Row],[QTE]]</f>
        <v>0.4</v>
      </c>
      <c r="I499" s="7">
        <v>12</v>
      </c>
      <c r="J499" s="8" t="s">
        <v>2550</v>
      </c>
      <c r="K499" s="8" t="s">
        <v>31</v>
      </c>
      <c r="L499" s="9" t="s">
        <v>2551</v>
      </c>
      <c r="M499" s="10">
        <v>46123</v>
      </c>
      <c r="N499" s="11" t="s">
        <v>38</v>
      </c>
      <c r="O499" s="12"/>
      <c r="P499" s="13"/>
      <c r="Q499" s="14">
        <f>Tabela1[[#This Row],[QTDE/ Fabricação]]-Tabela1[[#This Row],[QTE]]</f>
        <v>-1</v>
      </c>
      <c r="R499" s="18">
        <f t="shared" si="81"/>
        <v>0.4</v>
      </c>
      <c r="S499" s="18">
        <f t="shared" si="74"/>
        <v>0.4</v>
      </c>
      <c r="T499" s="19">
        <f t="shared" si="82"/>
        <v>0</v>
      </c>
      <c r="U499" s="16">
        <v>1</v>
      </c>
      <c r="V499" s="12" t="str">
        <f>IFERROR(VLOOKUP(Tabela1[[#This Row],[COD.MDE]],'LISTA DE EMBARQUE'!B:L,11,0),"")</f>
        <v/>
      </c>
      <c r="W499" s="13" t="str">
        <f>IFERROR(COUNTIF(#REF!,Tabela1[[#This Row],[Colunas5]]),"")</f>
        <v/>
      </c>
      <c r="X499" s="14">
        <f>Tabela1[[#This Row],[QIANTIDADE EXPEDIDA]]*Tabela1[[#This Row],[PESO UNI]]</f>
        <v>0.4</v>
      </c>
      <c r="Y499" s="14">
        <f t="shared" si="83"/>
        <v>0</v>
      </c>
      <c r="Z499" s="20">
        <f>Tabela1[[#This Row],[PESO TOTAL]]-Tabela1[[#This Row],[Peso Expedido]]</f>
        <v>0</v>
      </c>
      <c r="AA499" s="17">
        <v>1</v>
      </c>
      <c r="AB499" s="33"/>
      <c r="AC499" s="33">
        <v>1</v>
      </c>
      <c r="AD499" s="33">
        <v>1</v>
      </c>
      <c r="AE499" s="33">
        <v>1</v>
      </c>
      <c r="AF499" s="33">
        <v>1</v>
      </c>
      <c r="AG499" s="33">
        <v>1</v>
      </c>
      <c r="AH499" s="33">
        <v>1</v>
      </c>
      <c r="AI499" s="33" t="s">
        <v>4512</v>
      </c>
      <c r="AJ499"/>
      <c r="AK499" t="str">
        <f>Tabela1[[#This Row],[Coluna1]]&amp;Tabela1[[#This Row],[PEDIDO]]</f>
        <v>P-190</v>
      </c>
      <c r="AL499"/>
      <c r="AM499"/>
      <c r="AN499"/>
      <c r="AO499" t="str">
        <f t="shared" si="84"/>
        <v>P-024527-1/P190</v>
      </c>
      <c r="AP499" t="str">
        <f>Tabela1[[#This Row],[TAG]]&amp;Tabela1[[#This Row],[PEDIDO]]&amp;Tabela1[[#This Row],[PRODUTO]]</f>
        <v>P190P-190ESTRUTURA</v>
      </c>
      <c r="AQ499" s="22" t="str">
        <f>Tabela1[[#This Row],[PRODUTO]]&amp;Tabela1[[#This Row],[TAG]]</f>
        <v>ESTRUTURAP190</v>
      </c>
      <c r="AR499" s="24" t="str">
        <f>Tabela1[[#This Row],[PEDIDO]]&amp;Tabela1[[#This Row],[PRODUTO]]</f>
        <v>P-190ESTRUTURA</v>
      </c>
      <c r="AS499" s="37">
        <f>IF(AF499="",0,IF(ISTEXT(AF499),H499*VALUE(SUBSTITUTE(AF499,"%",""))/100,H499*AF499))-Tabela1[[#This Row],[PRONTO ACABADO2]]</f>
        <v>0</v>
      </c>
      <c r="AT499" s="37">
        <f>IF(AG499="",0,IF(ISTEXT(AG499),H499*VALUE(SUBSTITUTE(AG499,"%",""))/100,H499*AG499))-Tabela1[[#This Row],[PESO EXPEDIDO2]]</f>
        <v>0</v>
      </c>
      <c r="AU499" s="37">
        <f t="shared" si="85"/>
        <v>0.4</v>
      </c>
      <c r="AV499" s="37">
        <f t="shared" si="86"/>
        <v>0.4</v>
      </c>
      <c r="AW499" s="37"/>
    </row>
    <row r="500" spans="1:49" ht="15.75" customHeight="1" x14ac:dyDescent="0.25">
      <c r="A500" s="6" t="s">
        <v>4366</v>
      </c>
      <c r="B500" s="21"/>
      <c r="C500" s="7">
        <v>1</v>
      </c>
      <c r="D500" s="39" t="s">
        <v>4370</v>
      </c>
      <c r="E500" s="7">
        <v>3460</v>
      </c>
      <c r="F500" s="7">
        <v>12</v>
      </c>
      <c r="G500" s="23">
        <v>9</v>
      </c>
      <c r="H500" s="34">
        <f>Tabela1[[#This Row],[PESO UNI]]*Tabela1[[#This Row],[QTE]]</f>
        <v>9</v>
      </c>
      <c r="I500" s="7">
        <v>12</v>
      </c>
      <c r="J500" s="8" t="s">
        <v>2550</v>
      </c>
      <c r="K500" s="8" t="s">
        <v>31</v>
      </c>
      <c r="L500" s="9" t="s">
        <v>2551</v>
      </c>
      <c r="M500" s="10">
        <v>46123</v>
      </c>
      <c r="N500" s="11" t="s">
        <v>38</v>
      </c>
      <c r="O500" s="12"/>
      <c r="P500" s="13"/>
      <c r="Q500" s="14">
        <f>Tabela1[[#This Row],[QTDE/ Fabricação]]-Tabela1[[#This Row],[QTE]]</f>
        <v>-1</v>
      </c>
      <c r="R500" s="18">
        <f t="shared" si="81"/>
        <v>9</v>
      </c>
      <c r="S500" s="18">
        <f t="shared" si="74"/>
        <v>9</v>
      </c>
      <c r="T500" s="19">
        <f t="shared" si="82"/>
        <v>0</v>
      </c>
      <c r="U500" s="16">
        <v>1</v>
      </c>
      <c r="V500" s="12" t="str">
        <f>IFERROR(VLOOKUP(Tabela1[[#This Row],[COD.MDE]],'LISTA DE EMBARQUE'!B:L,11,0),"")</f>
        <v/>
      </c>
      <c r="W500" s="13" t="str">
        <f>IFERROR(COUNTIF(#REF!,Tabela1[[#This Row],[Colunas5]]),"")</f>
        <v/>
      </c>
      <c r="X500" s="14">
        <f>Tabela1[[#This Row],[QIANTIDADE EXPEDIDA]]*Tabela1[[#This Row],[PESO UNI]]</f>
        <v>9</v>
      </c>
      <c r="Y500" s="14">
        <f t="shared" si="83"/>
        <v>0</v>
      </c>
      <c r="Z500" s="20">
        <f>Tabela1[[#This Row],[PESO TOTAL]]-Tabela1[[#This Row],[Peso Expedido]]</f>
        <v>0</v>
      </c>
      <c r="AA500" s="17">
        <v>1</v>
      </c>
      <c r="AB500" s="33"/>
      <c r="AC500" s="33">
        <v>1</v>
      </c>
      <c r="AD500" s="33">
        <v>1</v>
      </c>
      <c r="AE500" s="33">
        <v>1</v>
      </c>
      <c r="AF500" s="33">
        <v>1</v>
      </c>
      <c r="AG500" s="33">
        <v>1</v>
      </c>
      <c r="AH500" s="33">
        <v>1</v>
      </c>
      <c r="AI500" s="33" t="s">
        <v>4512</v>
      </c>
      <c r="AJ500"/>
      <c r="AK500" t="str">
        <f>Tabela1[[#This Row],[Coluna1]]&amp;Tabela1[[#This Row],[PEDIDO]]</f>
        <v>P-190</v>
      </c>
      <c r="AL500"/>
      <c r="AM500"/>
      <c r="AN500"/>
      <c r="AO500" t="str">
        <f t="shared" si="84"/>
        <v>P-024527-1/P190</v>
      </c>
      <c r="AP500" t="str">
        <f>Tabela1[[#This Row],[TAG]]&amp;Tabela1[[#This Row],[PEDIDO]]&amp;Tabela1[[#This Row],[PRODUTO]]</f>
        <v>P190P-190ESTRUTURA</v>
      </c>
      <c r="AQ500" s="22" t="str">
        <f>Tabela1[[#This Row],[PRODUTO]]&amp;Tabela1[[#This Row],[TAG]]</f>
        <v>ESTRUTURAP190</v>
      </c>
      <c r="AR500" s="24" t="str">
        <f>Tabela1[[#This Row],[PEDIDO]]&amp;Tabela1[[#This Row],[PRODUTO]]</f>
        <v>P-190ESTRUTURA</v>
      </c>
      <c r="AS500" s="37">
        <f>IF(AF500="",0,IF(ISTEXT(AF500),H500*VALUE(SUBSTITUTE(AF500,"%",""))/100,H500*AF500))-Tabela1[[#This Row],[PRONTO ACABADO2]]</f>
        <v>0</v>
      </c>
      <c r="AT500" s="37">
        <f>IF(AG500="",0,IF(ISTEXT(AG500),H500*VALUE(SUBSTITUTE(AG500,"%",""))/100,H500*AG500))-Tabela1[[#This Row],[PESO EXPEDIDO2]]</f>
        <v>0</v>
      </c>
      <c r="AU500" s="37">
        <f t="shared" si="85"/>
        <v>9</v>
      </c>
      <c r="AV500" s="37">
        <f t="shared" si="86"/>
        <v>9</v>
      </c>
      <c r="AW500" s="37"/>
    </row>
    <row r="501" spans="1:49" ht="15.75" customHeight="1" x14ac:dyDescent="0.25">
      <c r="A501" s="6" t="s">
        <v>4366</v>
      </c>
      <c r="B501" s="21"/>
      <c r="C501" s="7">
        <v>2</v>
      </c>
      <c r="D501" s="39" t="s">
        <v>4371</v>
      </c>
      <c r="E501" s="7">
        <v>3461</v>
      </c>
      <c r="F501" s="7">
        <v>12</v>
      </c>
      <c r="G501" s="23">
        <v>5</v>
      </c>
      <c r="H501" s="34">
        <f>Tabela1[[#This Row],[PESO UNI]]*Tabela1[[#This Row],[QTE]]</f>
        <v>10</v>
      </c>
      <c r="I501" s="7">
        <v>12</v>
      </c>
      <c r="J501" s="8" t="s">
        <v>2550</v>
      </c>
      <c r="K501" s="8" t="s">
        <v>31</v>
      </c>
      <c r="L501" s="9" t="s">
        <v>2551</v>
      </c>
      <c r="M501" s="10">
        <v>46123</v>
      </c>
      <c r="N501" s="11" t="s">
        <v>38</v>
      </c>
      <c r="O501" s="12"/>
      <c r="P501" s="13"/>
      <c r="Q501" s="14">
        <f>Tabela1[[#This Row],[QTDE/ Fabricação]]-Tabela1[[#This Row],[QTE]]</f>
        <v>-2</v>
      </c>
      <c r="R501" s="18">
        <f t="shared" si="81"/>
        <v>10</v>
      </c>
      <c r="S501" s="18">
        <f t="shared" si="74"/>
        <v>10</v>
      </c>
      <c r="T501" s="19">
        <f t="shared" si="82"/>
        <v>0</v>
      </c>
      <c r="U501" s="16">
        <v>2</v>
      </c>
      <c r="V501" s="12" t="str">
        <f>IFERROR(VLOOKUP(Tabela1[[#This Row],[COD.MDE]],'LISTA DE EMBARQUE'!B:L,11,0),"")</f>
        <v/>
      </c>
      <c r="W501" s="13" t="str">
        <f>IFERROR(COUNTIF(#REF!,Tabela1[[#This Row],[Colunas5]]),"")</f>
        <v/>
      </c>
      <c r="X501" s="14">
        <f>Tabela1[[#This Row],[QIANTIDADE EXPEDIDA]]*Tabela1[[#This Row],[PESO UNI]]</f>
        <v>10</v>
      </c>
      <c r="Y501" s="14">
        <f t="shared" si="83"/>
        <v>0</v>
      </c>
      <c r="Z501" s="20">
        <f>Tabela1[[#This Row],[PESO TOTAL]]-Tabela1[[#This Row],[Peso Expedido]]</f>
        <v>0</v>
      </c>
      <c r="AA501" s="17">
        <v>1</v>
      </c>
      <c r="AB501" s="33"/>
      <c r="AC501" s="33">
        <v>1</v>
      </c>
      <c r="AD501" s="33">
        <v>1</v>
      </c>
      <c r="AE501" s="33">
        <v>1</v>
      </c>
      <c r="AF501" s="33">
        <v>1</v>
      </c>
      <c r="AG501" s="33">
        <v>1</v>
      </c>
      <c r="AH501" s="33">
        <v>1</v>
      </c>
      <c r="AI501" s="33" t="s">
        <v>4512</v>
      </c>
      <c r="AJ501"/>
      <c r="AK501" t="str">
        <f>Tabela1[[#This Row],[Coluna1]]&amp;Tabela1[[#This Row],[PEDIDO]]</f>
        <v>P-190</v>
      </c>
      <c r="AL501"/>
      <c r="AM501"/>
      <c r="AN501"/>
      <c r="AO501" t="str">
        <f t="shared" si="84"/>
        <v>P-024527-1/P190</v>
      </c>
      <c r="AP501" t="str">
        <f>Tabela1[[#This Row],[TAG]]&amp;Tabela1[[#This Row],[PEDIDO]]&amp;Tabela1[[#This Row],[PRODUTO]]</f>
        <v>P190P-190ESTRUTURA</v>
      </c>
      <c r="AQ501" s="22" t="str">
        <f>Tabela1[[#This Row],[PRODUTO]]&amp;Tabela1[[#This Row],[TAG]]</f>
        <v>ESTRUTURAP190</v>
      </c>
      <c r="AR501" s="24" t="str">
        <f>Tabela1[[#This Row],[PEDIDO]]&amp;Tabela1[[#This Row],[PRODUTO]]</f>
        <v>P-190ESTRUTURA</v>
      </c>
      <c r="AS501" s="37">
        <f>IF(AF501="",0,IF(ISTEXT(AF501),H501*VALUE(SUBSTITUTE(AF501,"%",""))/100,H501*AF501))-Tabela1[[#This Row],[PRONTO ACABADO2]]</f>
        <v>0</v>
      </c>
      <c r="AT501" s="37">
        <f>IF(AG501="",0,IF(ISTEXT(AG501),H501*VALUE(SUBSTITUTE(AG501,"%",""))/100,H501*AG501))-Tabela1[[#This Row],[PESO EXPEDIDO2]]</f>
        <v>0</v>
      </c>
      <c r="AU501" s="37">
        <f t="shared" si="85"/>
        <v>10</v>
      </c>
      <c r="AV501" s="37">
        <f t="shared" si="86"/>
        <v>10</v>
      </c>
      <c r="AW501" s="37"/>
    </row>
    <row r="502" spans="1:49" ht="15.75" customHeight="1" x14ac:dyDescent="0.25">
      <c r="A502" s="6" t="s">
        <v>4366</v>
      </c>
      <c r="B502" s="21"/>
      <c r="C502" s="7">
        <v>1</v>
      </c>
      <c r="D502" s="39" t="s">
        <v>4372</v>
      </c>
      <c r="E502" s="7">
        <v>3462</v>
      </c>
      <c r="F502" s="7">
        <v>12</v>
      </c>
      <c r="G502" s="23">
        <v>23.4</v>
      </c>
      <c r="H502" s="34">
        <f>Tabela1[[#This Row],[PESO UNI]]*Tabela1[[#This Row],[QTE]]</f>
        <v>23.4</v>
      </c>
      <c r="I502" s="7">
        <v>12</v>
      </c>
      <c r="J502" s="8" t="s">
        <v>2550</v>
      </c>
      <c r="K502" s="8" t="s">
        <v>31</v>
      </c>
      <c r="L502" s="9" t="s">
        <v>2551</v>
      </c>
      <c r="M502" s="10">
        <v>46123</v>
      </c>
      <c r="N502" s="11" t="s">
        <v>38</v>
      </c>
      <c r="O502" s="12"/>
      <c r="P502" s="13"/>
      <c r="Q502" s="14">
        <f>Tabela1[[#This Row],[QTDE/ Fabricação]]-Tabela1[[#This Row],[QTE]]</f>
        <v>-1</v>
      </c>
      <c r="R502" s="18">
        <f t="shared" si="81"/>
        <v>23.4</v>
      </c>
      <c r="S502" s="18">
        <f t="shared" si="74"/>
        <v>23.4</v>
      </c>
      <c r="T502" s="19">
        <f t="shared" si="82"/>
        <v>0</v>
      </c>
      <c r="U502" s="16">
        <v>1</v>
      </c>
      <c r="V502" s="12" t="str">
        <f>IFERROR(VLOOKUP(Tabela1[[#This Row],[COD.MDE]],'LISTA DE EMBARQUE'!B:L,11,0),"")</f>
        <v/>
      </c>
      <c r="W502" s="13" t="str">
        <f>IFERROR(COUNTIF(#REF!,Tabela1[[#This Row],[Colunas5]]),"")</f>
        <v/>
      </c>
      <c r="X502" s="14">
        <f>Tabela1[[#This Row],[QIANTIDADE EXPEDIDA]]*Tabela1[[#This Row],[PESO UNI]]</f>
        <v>23.4</v>
      </c>
      <c r="Y502" s="14">
        <f t="shared" si="83"/>
        <v>0</v>
      </c>
      <c r="Z502" s="20">
        <f>Tabela1[[#This Row],[PESO TOTAL]]-Tabela1[[#This Row],[Peso Expedido]]</f>
        <v>0</v>
      </c>
      <c r="AA502" s="17">
        <v>1</v>
      </c>
      <c r="AB502" s="33"/>
      <c r="AC502" s="33">
        <v>1</v>
      </c>
      <c r="AD502" s="33">
        <v>1</v>
      </c>
      <c r="AE502" s="33">
        <v>1</v>
      </c>
      <c r="AF502" s="33">
        <v>1</v>
      </c>
      <c r="AG502" s="33">
        <v>1</v>
      </c>
      <c r="AH502" s="33">
        <v>1</v>
      </c>
      <c r="AI502" s="33" t="s">
        <v>4512</v>
      </c>
      <c r="AJ502"/>
      <c r="AK502" t="str">
        <f>Tabela1[[#This Row],[Coluna1]]&amp;Tabela1[[#This Row],[PEDIDO]]</f>
        <v>P-190</v>
      </c>
      <c r="AL502"/>
      <c r="AM502"/>
      <c r="AN502"/>
      <c r="AO502" t="str">
        <f t="shared" si="84"/>
        <v>P-024527-1/P190</v>
      </c>
      <c r="AP502" t="str">
        <f>Tabela1[[#This Row],[TAG]]&amp;Tabela1[[#This Row],[PEDIDO]]&amp;Tabela1[[#This Row],[PRODUTO]]</f>
        <v>P190P-190ESTRUTURA</v>
      </c>
      <c r="AQ502" s="22" t="str">
        <f>Tabela1[[#This Row],[PRODUTO]]&amp;Tabela1[[#This Row],[TAG]]</f>
        <v>ESTRUTURAP190</v>
      </c>
      <c r="AR502" s="24" t="str">
        <f>Tabela1[[#This Row],[PEDIDO]]&amp;Tabela1[[#This Row],[PRODUTO]]</f>
        <v>P-190ESTRUTURA</v>
      </c>
      <c r="AS502" s="37">
        <f>IF(AF502="",0,IF(ISTEXT(AF502),H502*VALUE(SUBSTITUTE(AF502,"%",""))/100,H502*AF502))-Tabela1[[#This Row],[PRONTO ACABADO2]]</f>
        <v>0</v>
      </c>
      <c r="AT502" s="37">
        <f>IF(AG502="",0,IF(ISTEXT(AG502),H502*VALUE(SUBSTITUTE(AG502,"%",""))/100,H502*AG502))-Tabela1[[#This Row],[PESO EXPEDIDO2]]</f>
        <v>0</v>
      </c>
      <c r="AU502" s="37">
        <f t="shared" si="85"/>
        <v>23.4</v>
      </c>
      <c r="AV502" s="37">
        <f t="shared" si="86"/>
        <v>23.4</v>
      </c>
      <c r="AW502" s="37"/>
    </row>
    <row r="503" spans="1:49" ht="15.75" customHeight="1" x14ac:dyDescent="0.25">
      <c r="A503" s="6" t="s">
        <v>4373</v>
      </c>
      <c r="B503" s="21"/>
      <c r="C503" s="7">
        <v>1</v>
      </c>
      <c r="D503" s="39" t="s">
        <v>4374</v>
      </c>
      <c r="E503" s="7">
        <v>3464</v>
      </c>
      <c r="F503" s="7">
        <v>13</v>
      </c>
      <c r="G503" s="23">
        <v>51.7</v>
      </c>
      <c r="H503" s="34">
        <f>Tabela1[[#This Row],[PESO UNI]]*Tabela1[[#This Row],[QTE]]</f>
        <v>51.7</v>
      </c>
      <c r="I503" s="7">
        <v>0</v>
      </c>
      <c r="J503" s="8" t="s">
        <v>2550</v>
      </c>
      <c r="K503" s="8" t="s">
        <v>31</v>
      </c>
      <c r="L503" s="9" t="s">
        <v>2551</v>
      </c>
      <c r="M503" s="10"/>
      <c r="N503" s="11" t="s">
        <v>38</v>
      </c>
      <c r="O503" s="12"/>
      <c r="P503" s="13"/>
      <c r="Q503" s="14">
        <f>Tabela1[[#This Row],[QTDE/ Fabricação]]-Tabela1[[#This Row],[QTE]]</f>
        <v>-1</v>
      </c>
      <c r="R503" s="18">
        <f t="shared" si="81"/>
        <v>51.7</v>
      </c>
      <c r="S503" s="18">
        <f t="shared" si="74"/>
        <v>51.7</v>
      </c>
      <c r="T503" s="19">
        <f t="shared" si="82"/>
        <v>0</v>
      </c>
      <c r="U503" s="16">
        <f>IFERROR(SUMIF('LISTA DE EMBARQUE'!B:B,MICRO!E:E,'LISTA DE EMBARQUE'!G:G),"")</f>
        <v>1</v>
      </c>
      <c r="V503" s="12">
        <f>IFERROR(VLOOKUP(Tabela1[[#This Row],[COD.MDE]],'LISTA DE EMBARQUE'!B:L,11,0),"")</f>
        <v>4</v>
      </c>
      <c r="W503" s="13" t="str">
        <f>IFERROR(COUNTIF(#REF!,Tabela1[[#This Row],[Colunas5]]),"")</f>
        <v/>
      </c>
      <c r="X503" s="14">
        <f>Tabela1[[#This Row],[QIANTIDADE EXPEDIDA]]*Tabela1[[#This Row],[PESO UNI]]</f>
        <v>51.7</v>
      </c>
      <c r="Y503" s="14">
        <f t="shared" si="83"/>
        <v>0</v>
      </c>
      <c r="Z503" s="20">
        <f>Tabela1[[#This Row],[PESO TOTAL]]-Tabela1[[#This Row],[Peso Expedido]]</f>
        <v>0</v>
      </c>
      <c r="AA503" s="17">
        <v>1</v>
      </c>
      <c r="AB503" s="33"/>
      <c r="AC503" s="33">
        <v>1</v>
      </c>
      <c r="AD503" s="33">
        <v>1</v>
      </c>
      <c r="AE503" s="33">
        <v>1</v>
      </c>
      <c r="AF503" s="33">
        <v>1</v>
      </c>
      <c r="AG503" s="33">
        <v>1</v>
      </c>
      <c r="AH503" s="33">
        <v>1</v>
      </c>
      <c r="AI503" s="33" t="s">
        <v>4512</v>
      </c>
      <c r="AJ503"/>
      <c r="AK503" t="str">
        <f>Tabela1[[#This Row],[Coluna1]]&amp;Tabela1[[#This Row],[PEDIDO]]</f>
        <v>P-190</v>
      </c>
      <c r="AL503"/>
      <c r="AM503"/>
      <c r="AN503"/>
      <c r="AO503" t="str">
        <f t="shared" si="84"/>
        <v>P-073059-1/P190</v>
      </c>
      <c r="AP503" t="str">
        <f>Tabela1[[#This Row],[TAG]]&amp;Tabela1[[#This Row],[PEDIDO]]&amp;Tabela1[[#This Row],[PRODUTO]]</f>
        <v>P190P-190ESTRUTURA</v>
      </c>
      <c r="AQ503" s="22" t="str">
        <f>Tabela1[[#This Row],[PRODUTO]]&amp;Tabela1[[#This Row],[TAG]]</f>
        <v>ESTRUTURAP190</v>
      </c>
      <c r="AR503" s="24" t="str">
        <f>Tabela1[[#This Row],[PEDIDO]]&amp;Tabela1[[#This Row],[PRODUTO]]</f>
        <v>P-190ESTRUTURA</v>
      </c>
      <c r="AS503" s="37">
        <f>IF(AF503="",0,IF(ISTEXT(AF503),H503*VALUE(SUBSTITUTE(AF503,"%",""))/100,H503*AF503))-Tabela1[[#This Row],[PRONTO ACABADO2]]</f>
        <v>0</v>
      </c>
      <c r="AT503" s="37">
        <f>IF(AG503="",0,IF(ISTEXT(AG503),H503*VALUE(SUBSTITUTE(AG503,"%",""))/100,H503*AG503))-Tabela1[[#This Row],[PESO EXPEDIDO2]]</f>
        <v>0</v>
      </c>
      <c r="AU503" s="37">
        <f t="shared" si="85"/>
        <v>51.7</v>
      </c>
      <c r="AV503" s="37">
        <f t="shared" si="86"/>
        <v>51.7</v>
      </c>
      <c r="AW503" s="37"/>
    </row>
    <row r="504" spans="1:49" ht="15.75" customHeight="1" x14ac:dyDescent="0.25">
      <c r="A504" s="6" t="s">
        <v>4375</v>
      </c>
      <c r="B504" s="21"/>
      <c r="C504" s="7">
        <v>1</v>
      </c>
      <c r="D504" s="39" t="s">
        <v>4376</v>
      </c>
      <c r="E504" s="7">
        <v>3465</v>
      </c>
      <c r="F504" s="7">
        <v>12</v>
      </c>
      <c r="G504" s="23">
        <v>232.8</v>
      </c>
      <c r="H504" s="34">
        <f>Tabela1[[#This Row],[PESO UNI]]*Tabela1[[#This Row],[QTE]]</f>
        <v>232.8</v>
      </c>
      <c r="I504" s="7">
        <v>0</v>
      </c>
      <c r="J504" s="8" t="s">
        <v>2550</v>
      </c>
      <c r="K504" s="8" t="s">
        <v>31</v>
      </c>
      <c r="L504" s="9" t="s">
        <v>2551</v>
      </c>
      <c r="M504" s="10"/>
      <c r="N504" s="11" t="s">
        <v>38</v>
      </c>
      <c r="O504" s="12"/>
      <c r="P504" s="13"/>
      <c r="Q504" s="14">
        <f>Tabela1[[#This Row],[QTDE/ Fabricação]]-Tabela1[[#This Row],[QTE]]</f>
        <v>-1</v>
      </c>
      <c r="R504" s="18">
        <f t="shared" si="81"/>
        <v>232.8</v>
      </c>
      <c r="S504" s="18">
        <f t="shared" si="74"/>
        <v>232.8</v>
      </c>
      <c r="T504" s="19">
        <f t="shared" si="82"/>
        <v>0</v>
      </c>
      <c r="U504" s="16">
        <f>IFERROR(SUMIF('LISTA DE EMBARQUE'!B:B,MICRO!E:E,'LISTA DE EMBARQUE'!G:G),"")</f>
        <v>1</v>
      </c>
      <c r="V504" s="12">
        <f>IFERROR(VLOOKUP(Tabela1[[#This Row],[COD.MDE]],'LISTA DE EMBARQUE'!B:L,11,0),"")</f>
        <v>4</v>
      </c>
      <c r="W504" s="13" t="str">
        <f>IFERROR(COUNTIF(#REF!,Tabela1[[#This Row],[Colunas5]]),"")</f>
        <v/>
      </c>
      <c r="X504" s="14">
        <f>Tabela1[[#This Row],[QIANTIDADE EXPEDIDA]]*Tabela1[[#This Row],[PESO UNI]]</f>
        <v>232.8</v>
      </c>
      <c r="Y504" s="14">
        <f t="shared" si="83"/>
        <v>0</v>
      </c>
      <c r="Z504" s="20">
        <f>Tabela1[[#This Row],[PESO TOTAL]]-Tabela1[[#This Row],[Peso Expedido]]</f>
        <v>0</v>
      </c>
      <c r="AA504" s="17">
        <v>1</v>
      </c>
      <c r="AB504" s="33"/>
      <c r="AC504" s="33">
        <v>1</v>
      </c>
      <c r="AD504" s="33">
        <v>1</v>
      </c>
      <c r="AE504" s="33">
        <v>1</v>
      </c>
      <c r="AF504" s="33">
        <v>1</v>
      </c>
      <c r="AG504" s="33">
        <v>1</v>
      </c>
      <c r="AH504" s="33">
        <v>1</v>
      </c>
      <c r="AI504" s="33" t="s">
        <v>4512</v>
      </c>
      <c r="AJ504"/>
      <c r="AK504" t="str">
        <f>Tabela1[[#This Row],[Coluna1]]&amp;Tabela1[[#This Row],[PEDIDO]]</f>
        <v>P-190</v>
      </c>
      <c r="AL504"/>
      <c r="AM504"/>
      <c r="AN504"/>
      <c r="AO504" t="str">
        <f t="shared" si="84"/>
        <v>P-073058-1/P190</v>
      </c>
      <c r="AP504" t="str">
        <f>Tabela1[[#This Row],[TAG]]&amp;Tabela1[[#This Row],[PEDIDO]]&amp;Tabela1[[#This Row],[PRODUTO]]</f>
        <v>P190P-190ESTRUTURA</v>
      </c>
      <c r="AQ504" s="22" t="str">
        <f>Tabela1[[#This Row],[PRODUTO]]&amp;Tabela1[[#This Row],[TAG]]</f>
        <v>ESTRUTURAP190</v>
      </c>
      <c r="AR504" s="24" t="str">
        <f>Tabela1[[#This Row],[PEDIDO]]&amp;Tabela1[[#This Row],[PRODUTO]]</f>
        <v>P-190ESTRUTURA</v>
      </c>
      <c r="AS504" s="37">
        <f>IF(AF504="",0,IF(ISTEXT(AF504),H504*VALUE(SUBSTITUTE(AF504,"%",""))/100,H504*AF504))-Tabela1[[#This Row],[PRONTO ACABADO2]]</f>
        <v>0</v>
      </c>
      <c r="AT504" s="37">
        <f>IF(AG504="",0,IF(ISTEXT(AG504),H504*VALUE(SUBSTITUTE(AG504,"%",""))/100,H504*AG504))-Tabela1[[#This Row],[PESO EXPEDIDO2]]</f>
        <v>0</v>
      </c>
      <c r="AU504" s="37">
        <f t="shared" si="85"/>
        <v>232.8</v>
      </c>
      <c r="AV504" s="37">
        <f t="shared" si="86"/>
        <v>232.8</v>
      </c>
      <c r="AW504" s="37"/>
    </row>
    <row r="505" spans="1:49" ht="15.75" customHeight="1" x14ac:dyDescent="0.25">
      <c r="A505" s="6" t="s">
        <v>4377</v>
      </c>
      <c r="B505" s="21"/>
      <c r="C505" s="7">
        <v>2</v>
      </c>
      <c r="D505" s="39" t="s">
        <v>4378</v>
      </c>
      <c r="E505" s="7">
        <v>3466</v>
      </c>
      <c r="F505" s="7">
        <v>12</v>
      </c>
      <c r="G505" s="23">
        <v>31</v>
      </c>
      <c r="H505" s="34">
        <f>Tabela1[[#This Row],[PESO UNI]]*Tabela1[[#This Row],[QTE]]</f>
        <v>62</v>
      </c>
      <c r="I505" s="7">
        <v>1</v>
      </c>
      <c r="J505" s="8" t="s">
        <v>2550</v>
      </c>
      <c r="K505" s="8" t="s">
        <v>31</v>
      </c>
      <c r="L505" s="9" t="s">
        <v>2551</v>
      </c>
      <c r="M505" s="10"/>
      <c r="N505" s="11" t="s">
        <v>38</v>
      </c>
      <c r="O505" s="12"/>
      <c r="P505" s="13"/>
      <c r="Q505" s="14">
        <f>Tabela1[[#This Row],[QTDE/ Fabricação]]-Tabela1[[#This Row],[QTE]]</f>
        <v>-2</v>
      </c>
      <c r="R505" s="18">
        <f t="shared" si="81"/>
        <v>62</v>
      </c>
      <c r="S505" s="18">
        <f t="shared" si="74"/>
        <v>62</v>
      </c>
      <c r="T505" s="19">
        <f t="shared" si="82"/>
        <v>0</v>
      </c>
      <c r="U505" s="16">
        <v>2</v>
      </c>
      <c r="V505" s="12" t="str">
        <f>IFERROR(VLOOKUP(Tabela1[[#This Row],[COD.MDE]],'LISTA DE EMBARQUE'!B:L,11,0),"")</f>
        <v/>
      </c>
      <c r="W505" s="13" t="str">
        <f>IFERROR(COUNTIF(#REF!,Tabela1[[#This Row],[Colunas5]]),"")</f>
        <v/>
      </c>
      <c r="X505" s="14">
        <f>Tabela1[[#This Row],[QIANTIDADE EXPEDIDA]]*Tabela1[[#This Row],[PESO UNI]]</f>
        <v>62</v>
      </c>
      <c r="Y505" s="14">
        <f t="shared" si="83"/>
        <v>0</v>
      </c>
      <c r="Z505" s="20">
        <f>Tabela1[[#This Row],[PESO TOTAL]]-Tabela1[[#This Row],[Peso Expedido]]</f>
        <v>0</v>
      </c>
      <c r="AA505" s="17">
        <v>1</v>
      </c>
      <c r="AB505" s="33"/>
      <c r="AC505" s="33">
        <v>1</v>
      </c>
      <c r="AD505" s="33">
        <v>1</v>
      </c>
      <c r="AE505" s="33">
        <v>1</v>
      </c>
      <c r="AF505" s="33">
        <v>1</v>
      </c>
      <c r="AG505" s="33">
        <v>1</v>
      </c>
      <c r="AH505" s="33">
        <v>1</v>
      </c>
      <c r="AI505" s="33" t="s">
        <v>4512</v>
      </c>
      <c r="AJ505"/>
      <c r="AK505" t="str">
        <f>Tabela1[[#This Row],[Coluna1]]&amp;Tabela1[[#This Row],[PEDIDO]]</f>
        <v>P-190</v>
      </c>
      <c r="AL505"/>
      <c r="AM505"/>
      <c r="AN505"/>
      <c r="AO505" t="str">
        <f t="shared" si="84"/>
        <v>P-024529-1/P190</v>
      </c>
      <c r="AP505" t="str">
        <f>Tabela1[[#This Row],[TAG]]&amp;Tabela1[[#This Row],[PEDIDO]]&amp;Tabela1[[#This Row],[PRODUTO]]</f>
        <v>P190P-190ESTRUTURA</v>
      </c>
      <c r="AQ505" s="22" t="str">
        <f>Tabela1[[#This Row],[PRODUTO]]&amp;Tabela1[[#This Row],[TAG]]</f>
        <v>ESTRUTURAP190</v>
      </c>
      <c r="AR505" s="24" t="str">
        <f>Tabela1[[#This Row],[PEDIDO]]&amp;Tabela1[[#This Row],[PRODUTO]]</f>
        <v>P-190ESTRUTURA</v>
      </c>
      <c r="AS505" s="37">
        <f>IF(AF505="",0,IF(ISTEXT(AF505),H505*VALUE(SUBSTITUTE(AF505,"%",""))/100,H505*AF505))-Tabela1[[#This Row],[PRONTO ACABADO2]]</f>
        <v>0</v>
      </c>
      <c r="AT505" s="37">
        <f>IF(AG505="",0,IF(ISTEXT(AG505),H505*VALUE(SUBSTITUTE(AG505,"%",""))/100,H505*AG505))-Tabela1[[#This Row],[PESO EXPEDIDO2]]</f>
        <v>0</v>
      </c>
      <c r="AU505" s="37">
        <f t="shared" si="85"/>
        <v>62</v>
      </c>
      <c r="AV505" s="37">
        <f t="shared" si="86"/>
        <v>62</v>
      </c>
      <c r="AW505" s="37"/>
    </row>
    <row r="506" spans="1:49" ht="15.75" customHeight="1" x14ac:dyDescent="0.25">
      <c r="A506" s="6" t="s">
        <v>4379</v>
      </c>
      <c r="B506" s="21"/>
      <c r="C506" s="7">
        <v>1</v>
      </c>
      <c r="D506" s="39" t="s">
        <v>4380</v>
      </c>
      <c r="E506" s="7">
        <v>3467</v>
      </c>
      <c r="F506" s="7">
        <v>12</v>
      </c>
      <c r="G506" s="23">
        <v>45.4</v>
      </c>
      <c r="H506" s="34">
        <f>Tabela1[[#This Row],[PESO UNI]]*Tabela1[[#This Row],[QTE]]</f>
        <v>45.4</v>
      </c>
      <c r="I506" s="7">
        <v>1</v>
      </c>
      <c r="J506" s="8" t="s">
        <v>2550</v>
      </c>
      <c r="K506" s="8" t="s">
        <v>31</v>
      </c>
      <c r="L506" s="9" t="s">
        <v>2551</v>
      </c>
      <c r="M506" s="10"/>
      <c r="N506" s="11" t="s">
        <v>38</v>
      </c>
      <c r="O506" s="12"/>
      <c r="P506" s="13"/>
      <c r="Q506" s="14">
        <f>Tabela1[[#This Row],[QTDE/ Fabricação]]-Tabela1[[#This Row],[QTE]]</f>
        <v>-1</v>
      </c>
      <c r="R506" s="18">
        <f t="shared" si="81"/>
        <v>45.4</v>
      </c>
      <c r="S506" s="18">
        <f t="shared" si="74"/>
        <v>45.4</v>
      </c>
      <c r="T506" s="19">
        <f t="shared" si="82"/>
        <v>0</v>
      </c>
      <c r="U506" s="16">
        <v>1</v>
      </c>
      <c r="V506" s="12" t="str">
        <f>IFERROR(VLOOKUP(Tabela1[[#This Row],[COD.MDE]],'LISTA DE EMBARQUE'!B:L,11,0),"")</f>
        <v/>
      </c>
      <c r="W506" s="13" t="str">
        <f>IFERROR(COUNTIF(#REF!,Tabela1[[#This Row],[Colunas5]]),"")</f>
        <v/>
      </c>
      <c r="X506" s="14">
        <f>Tabela1[[#This Row],[QIANTIDADE EXPEDIDA]]*Tabela1[[#This Row],[PESO UNI]]</f>
        <v>45.4</v>
      </c>
      <c r="Y506" s="14">
        <f t="shared" si="83"/>
        <v>0</v>
      </c>
      <c r="Z506" s="20">
        <f>Tabela1[[#This Row],[PESO TOTAL]]-Tabela1[[#This Row],[Peso Expedido]]</f>
        <v>0</v>
      </c>
      <c r="AA506" s="17">
        <v>1</v>
      </c>
      <c r="AB506" s="33"/>
      <c r="AC506" s="33">
        <v>1</v>
      </c>
      <c r="AD506" s="33">
        <v>1</v>
      </c>
      <c r="AE506" s="33">
        <v>1</v>
      </c>
      <c r="AF506" s="33">
        <v>1</v>
      </c>
      <c r="AG506" s="33">
        <v>1</v>
      </c>
      <c r="AH506" s="33">
        <v>1</v>
      </c>
      <c r="AI506" s="33" t="s">
        <v>4512</v>
      </c>
      <c r="AJ506"/>
      <c r="AK506" t="str">
        <f>Tabela1[[#This Row],[Coluna1]]&amp;Tabela1[[#This Row],[PEDIDO]]</f>
        <v>P-190</v>
      </c>
      <c r="AL506"/>
      <c r="AM506"/>
      <c r="AN506"/>
      <c r="AO506" t="str">
        <f t="shared" si="84"/>
        <v>P-024526-1/P190</v>
      </c>
      <c r="AP506" t="str">
        <f>Tabela1[[#This Row],[TAG]]&amp;Tabela1[[#This Row],[PEDIDO]]&amp;Tabela1[[#This Row],[PRODUTO]]</f>
        <v>P190P-190ESTRUTURA</v>
      </c>
      <c r="AQ506" s="22" t="str">
        <f>Tabela1[[#This Row],[PRODUTO]]&amp;Tabela1[[#This Row],[TAG]]</f>
        <v>ESTRUTURAP190</v>
      </c>
      <c r="AR506" s="24" t="str">
        <f>Tabela1[[#This Row],[PEDIDO]]&amp;Tabela1[[#This Row],[PRODUTO]]</f>
        <v>P-190ESTRUTURA</v>
      </c>
      <c r="AS506" s="37">
        <f>IF(AF506="",0,IF(ISTEXT(AF506),H506*VALUE(SUBSTITUTE(AF506,"%",""))/100,H506*AF506))-Tabela1[[#This Row],[PRONTO ACABADO2]]</f>
        <v>0</v>
      </c>
      <c r="AT506" s="37">
        <f>IF(AG506="",0,IF(ISTEXT(AG506),H506*VALUE(SUBSTITUTE(AG506,"%",""))/100,H506*AG506))-Tabela1[[#This Row],[PESO EXPEDIDO2]]</f>
        <v>0</v>
      </c>
      <c r="AU506" s="37">
        <f t="shared" si="85"/>
        <v>45.4</v>
      </c>
      <c r="AV506" s="37">
        <f t="shared" si="86"/>
        <v>45.4</v>
      </c>
      <c r="AW506" s="37"/>
    </row>
    <row r="507" spans="1:49" ht="15.75" customHeight="1" x14ac:dyDescent="0.25">
      <c r="A507" s="6" t="s">
        <v>4381</v>
      </c>
      <c r="B507" s="21"/>
      <c r="C507" s="7">
        <v>2</v>
      </c>
      <c r="D507" s="39" t="s">
        <v>4382</v>
      </c>
      <c r="E507" s="7">
        <v>3468</v>
      </c>
      <c r="F507" s="7"/>
      <c r="G507" s="23">
        <v>24</v>
      </c>
      <c r="H507" s="34">
        <f>Tabela1[[#This Row],[PESO UNI]]*Tabela1[[#This Row],[QTE]]</f>
        <v>48</v>
      </c>
      <c r="I507" s="7">
        <v>1</v>
      </c>
      <c r="J507" s="8" t="s">
        <v>2550</v>
      </c>
      <c r="K507" s="8" t="s">
        <v>31</v>
      </c>
      <c r="L507" s="9" t="s">
        <v>2551</v>
      </c>
      <c r="M507" s="10"/>
      <c r="N507" s="11" t="s">
        <v>38</v>
      </c>
      <c r="O507" s="12"/>
      <c r="P507" s="13"/>
      <c r="Q507" s="14">
        <f>Tabela1[[#This Row],[QTDE/ Fabricação]]-Tabela1[[#This Row],[QTE]]</f>
        <v>-2</v>
      </c>
      <c r="R507" s="18">
        <f t="shared" si="81"/>
        <v>48</v>
      </c>
      <c r="S507" s="18">
        <f t="shared" si="74"/>
        <v>48</v>
      </c>
      <c r="T507" s="19">
        <f t="shared" si="82"/>
        <v>0</v>
      </c>
      <c r="U507" s="16">
        <v>2</v>
      </c>
      <c r="V507" s="12" t="str">
        <f>IFERROR(VLOOKUP(Tabela1[[#This Row],[COD.MDE]],'LISTA DE EMBARQUE'!B:L,11,0),"")</f>
        <v/>
      </c>
      <c r="W507" s="13" t="str">
        <f>IFERROR(COUNTIF(#REF!,Tabela1[[#This Row],[Colunas5]]),"")</f>
        <v/>
      </c>
      <c r="X507" s="14">
        <f>Tabela1[[#This Row],[QIANTIDADE EXPEDIDA]]*Tabela1[[#This Row],[PESO UNI]]</f>
        <v>48</v>
      </c>
      <c r="Y507" s="14">
        <f t="shared" si="83"/>
        <v>0</v>
      </c>
      <c r="Z507" s="20">
        <f>Tabela1[[#This Row],[PESO TOTAL]]-Tabela1[[#This Row],[Peso Expedido]]</f>
        <v>0</v>
      </c>
      <c r="AA507" s="17">
        <v>1</v>
      </c>
      <c r="AB507" s="33"/>
      <c r="AC507" s="33">
        <v>1</v>
      </c>
      <c r="AD507" s="33">
        <v>1</v>
      </c>
      <c r="AE507" s="33">
        <v>1</v>
      </c>
      <c r="AF507" s="33">
        <v>1</v>
      </c>
      <c r="AG507" s="33">
        <v>1</v>
      </c>
      <c r="AH507" s="33">
        <v>1</v>
      </c>
      <c r="AI507" s="33" t="s">
        <v>4512</v>
      </c>
      <c r="AJ507"/>
      <c r="AK507" t="str">
        <f>Tabela1[[#This Row],[Coluna1]]&amp;Tabela1[[#This Row],[PEDIDO]]</f>
        <v>P-190</v>
      </c>
      <c r="AL507"/>
      <c r="AM507"/>
      <c r="AN507"/>
      <c r="AO507" t="str">
        <f t="shared" si="84"/>
        <v>P-024528-1/P190</v>
      </c>
      <c r="AP507" t="str">
        <f>Tabela1[[#This Row],[TAG]]&amp;Tabela1[[#This Row],[PEDIDO]]&amp;Tabela1[[#This Row],[PRODUTO]]</f>
        <v>P190P-190ESTRUTURA</v>
      </c>
      <c r="AQ507" s="22" t="str">
        <f>Tabela1[[#This Row],[PRODUTO]]&amp;Tabela1[[#This Row],[TAG]]</f>
        <v>ESTRUTURAP190</v>
      </c>
      <c r="AR507" s="24" t="str">
        <f>Tabela1[[#This Row],[PEDIDO]]&amp;Tabela1[[#This Row],[PRODUTO]]</f>
        <v>P-190ESTRUTURA</v>
      </c>
      <c r="AS507" s="37">
        <f>IF(AF507="",0,IF(ISTEXT(AF507),H507*VALUE(SUBSTITUTE(AF507,"%",""))/100,H507*AF507))-Tabela1[[#This Row],[PRONTO ACABADO2]]</f>
        <v>0</v>
      </c>
      <c r="AT507" s="37">
        <f>IF(AG507="",0,IF(ISTEXT(AG507),H507*VALUE(SUBSTITUTE(AG507,"%",""))/100,H507*AG507))-Tabela1[[#This Row],[PESO EXPEDIDO2]]</f>
        <v>0</v>
      </c>
      <c r="AU507" s="37">
        <f t="shared" si="85"/>
        <v>48</v>
      </c>
      <c r="AV507" s="37">
        <f t="shared" si="86"/>
        <v>48</v>
      </c>
      <c r="AW507" s="37"/>
    </row>
    <row r="508" spans="1:49" ht="15.75" customHeight="1" x14ac:dyDescent="0.25">
      <c r="A508" s="6" t="s">
        <v>4383</v>
      </c>
      <c r="B508" s="21"/>
      <c r="C508" s="7">
        <v>1</v>
      </c>
      <c r="D508" s="39" t="s">
        <v>4384</v>
      </c>
      <c r="E508" s="7">
        <v>3469</v>
      </c>
      <c r="F508" s="7">
        <v>10</v>
      </c>
      <c r="G508" s="23">
        <v>28.1</v>
      </c>
      <c r="H508" s="34">
        <f>Tabela1[[#This Row],[PESO UNI]]*Tabela1[[#This Row],[QTE]]</f>
        <v>28.1</v>
      </c>
      <c r="I508" s="7">
        <v>0</v>
      </c>
      <c r="J508" s="8" t="s">
        <v>2550</v>
      </c>
      <c r="K508" s="8" t="s">
        <v>31</v>
      </c>
      <c r="L508" s="9" t="s">
        <v>2551</v>
      </c>
      <c r="M508" s="10"/>
      <c r="N508" s="11" t="s">
        <v>38</v>
      </c>
      <c r="O508" s="12"/>
      <c r="P508" s="13"/>
      <c r="Q508" s="14">
        <f>Tabela1[[#This Row],[QTDE/ Fabricação]]-Tabela1[[#This Row],[QTE]]</f>
        <v>-1</v>
      </c>
      <c r="R508" s="18">
        <f t="shared" si="81"/>
        <v>28.1</v>
      </c>
      <c r="S508" s="18">
        <f t="shared" si="74"/>
        <v>28.1</v>
      </c>
      <c r="T508" s="19">
        <f t="shared" si="82"/>
        <v>0</v>
      </c>
      <c r="U508" s="16">
        <v>1</v>
      </c>
      <c r="V508" s="12">
        <f>IFERROR(VLOOKUP(Tabela1[[#This Row],[COD.MDE]],'LISTA DE EMBARQUE'!B:L,11,0),"")</f>
        <v>4</v>
      </c>
      <c r="W508" s="13" t="str">
        <f>IFERROR(COUNTIF(#REF!,Tabela1[[#This Row],[Colunas5]]),"")</f>
        <v/>
      </c>
      <c r="X508" s="14">
        <f>Tabela1[[#This Row],[QIANTIDADE EXPEDIDA]]*Tabela1[[#This Row],[PESO UNI]]</f>
        <v>28.1</v>
      </c>
      <c r="Y508" s="14">
        <f t="shared" si="83"/>
        <v>0</v>
      </c>
      <c r="Z508" s="20">
        <f>Tabela1[[#This Row],[PESO TOTAL]]-Tabela1[[#This Row],[Peso Expedido]]</f>
        <v>0</v>
      </c>
      <c r="AA508" s="17">
        <v>1</v>
      </c>
      <c r="AB508" s="33"/>
      <c r="AC508" s="33">
        <v>1</v>
      </c>
      <c r="AD508" s="33">
        <v>1</v>
      </c>
      <c r="AE508" s="33">
        <v>1</v>
      </c>
      <c r="AF508" s="33">
        <v>1</v>
      </c>
      <c r="AG508" s="33">
        <v>1</v>
      </c>
      <c r="AH508" s="33">
        <v>1</v>
      </c>
      <c r="AI508" s="33" t="s">
        <v>4512</v>
      </c>
      <c r="AJ508"/>
      <c r="AK508" t="str">
        <f>Tabela1[[#This Row],[Coluna1]]&amp;Tabela1[[#This Row],[PEDIDO]]</f>
        <v>P-190</v>
      </c>
      <c r="AL508"/>
      <c r="AM508"/>
      <c r="AN508"/>
      <c r="AO508" t="str">
        <f t="shared" si="84"/>
        <v>P-024518-1/P190</v>
      </c>
      <c r="AP508" t="str">
        <f>Tabela1[[#This Row],[TAG]]&amp;Tabela1[[#This Row],[PEDIDO]]&amp;Tabela1[[#This Row],[PRODUTO]]</f>
        <v>P190P-190ESTRUTURA</v>
      </c>
      <c r="AQ508" s="22" t="str">
        <f>Tabela1[[#This Row],[PRODUTO]]&amp;Tabela1[[#This Row],[TAG]]</f>
        <v>ESTRUTURAP190</v>
      </c>
      <c r="AR508" s="24" t="str">
        <f>Tabela1[[#This Row],[PEDIDO]]&amp;Tabela1[[#This Row],[PRODUTO]]</f>
        <v>P-190ESTRUTURA</v>
      </c>
      <c r="AS508" s="37">
        <f>IF(AF508="",0,IF(ISTEXT(AF508),H508*VALUE(SUBSTITUTE(AF508,"%",""))/100,H508*AF508))-Tabela1[[#This Row],[PRONTO ACABADO2]]</f>
        <v>0</v>
      </c>
      <c r="AT508" s="37">
        <f>IF(AG508="",0,IF(ISTEXT(AG508),H508*VALUE(SUBSTITUTE(AG508,"%",""))/100,H508*AG508))-Tabela1[[#This Row],[PESO EXPEDIDO2]]</f>
        <v>0</v>
      </c>
      <c r="AU508" s="37">
        <f t="shared" si="85"/>
        <v>28.1</v>
      </c>
      <c r="AV508" s="37">
        <f t="shared" si="86"/>
        <v>28.1</v>
      </c>
      <c r="AW508" s="37"/>
    </row>
    <row r="509" spans="1:49" ht="15.75" customHeight="1" x14ac:dyDescent="0.25">
      <c r="A509" s="6" t="s">
        <v>4383</v>
      </c>
      <c r="B509" s="21"/>
      <c r="C509" s="7">
        <v>1</v>
      </c>
      <c r="D509" s="39" t="s">
        <v>4385</v>
      </c>
      <c r="E509" s="7">
        <v>3470</v>
      </c>
      <c r="F509" s="7">
        <v>10</v>
      </c>
      <c r="G509" s="23">
        <v>2.9</v>
      </c>
      <c r="H509" s="34">
        <f>Tabela1[[#This Row],[PESO UNI]]*Tabela1[[#This Row],[QTE]]</f>
        <v>2.9</v>
      </c>
      <c r="I509" s="7">
        <v>0</v>
      </c>
      <c r="J509" s="8" t="s">
        <v>2550</v>
      </c>
      <c r="K509" s="8" t="s">
        <v>31</v>
      </c>
      <c r="L509" s="9" t="s">
        <v>2551</v>
      </c>
      <c r="M509" s="10"/>
      <c r="N509" s="11" t="s">
        <v>38</v>
      </c>
      <c r="O509" s="12"/>
      <c r="P509" s="13"/>
      <c r="Q509" s="14">
        <f>Tabela1[[#This Row],[QTDE/ Fabricação]]-Tabela1[[#This Row],[QTE]]</f>
        <v>-1</v>
      </c>
      <c r="R509" s="18">
        <f t="shared" si="81"/>
        <v>2.9</v>
      </c>
      <c r="S509" s="18">
        <f t="shared" si="74"/>
        <v>2.9</v>
      </c>
      <c r="T509" s="19">
        <f t="shared" si="82"/>
        <v>0</v>
      </c>
      <c r="U509" s="16">
        <f>IFERROR(SUMIF('LISTA DE EMBARQUE'!B:B,MICRO!E:E,'LISTA DE EMBARQUE'!G:G),"")</f>
        <v>1</v>
      </c>
      <c r="V509" s="12">
        <f>IFERROR(VLOOKUP(Tabela1[[#This Row],[COD.MDE]],'LISTA DE EMBARQUE'!B:L,11,0),"")</f>
        <v>4</v>
      </c>
      <c r="W509" s="13" t="str">
        <f>IFERROR(COUNTIF(#REF!,Tabela1[[#This Row],[Colunas5]]),"")</f>
        <v/>
      </c>
      <c r="X509" s="14">
        <f>Tabela1[[#This Row],[QIANTIDADE EXPEDIDA]]*Tabela1[[#This Row],[PESO UNI]]</f>
        <v>2.9</v>
      </c>
      <c r="Y509" s="14">
        <f t="shared" si="83"/>
        <v>0</v>
      </c>
      <c r="Z509" s="20">
        <f>Tabela1[[#This Row],[PESO TOTAL]]-Tabela1[[#This Row],[Peso Expedido]]</f>
        <v>0</v>
      </c>
      <c r="AA509" s="17">
        <v>1</v>
      </c>
      <c r="AB509" s="33"/>
      <c r="AC509" s="33">
        <v>1</v>
      </c>
      <c r="AD509" s="33">
        <v>1</v>
      </c>
      <c r="AE509" s="33">
        <v>1</v>
      </c>
      <c r="AF509" s="33">
        <v>1</v>
      </c>
      <c r="AG509" s="33">
        <v>1</v>
      </c>
      <c r="AH509" s="33">
        <v>1</v>
      </c>
      <c r="AI509" s="33" t="s">
        <v>4512</v>
      </c>
      <c r="AJ509"/>
      <c r="AK509" t="str">
        <f>Tabela1[[#This Row],[Coluna1]]&amp;Tabela1[[#This Row],[PEDIDO]]</f>
        <v>P-190</v>
      </c>
      <c r="AL509"/>
      <c r="AM509"/>
      <c r="AN509"/>
      <c r="AO509" t="str">
        <f t="shared" si="84"/>
        <v>P-024518-1/P190</v>
      </c>
      <c r="AP509" t="str">
        <f>Tabela1[[#This Row],[TAG]]&amp;Tabela1[[#This Row],[PEDIDO]]&amp;Tabela1[[#This Row],[PRODUTO]]</f>
        <v>P190P-190ESTRUTURA</v>
      </c>
      <c r="AQ509" s="22" t="str">
        <f>Tabela1[[#This Row],[PRODUTO]]&amp;Tabela1[[#This Row],[TAG]]</f>
        <v>ESTRUTURAP190</v>
      </c>
      <c r="AR509" s="24" t="str">
        <f>Tabela1[[#This Row],[PEDIDO]]&amp;Tabela1[[#This Row],[PRODUTO]]</f>
        <v>P-190ESTRUTURA</v>
      </c>
      <c r="AS509" s="37">
        <f>IF(AF509="",0,IF(ISTEXT(AF509),H509*VALUE(SUBSTITUTE(AF509,"%",""))/100,H509*AF509))-Tabela1[[#This Row],[PRONTO ACABADO2]]</f>
        <v>0</v>
      </c>
      <c r="AT509" s="37">
        <f>IF(AG509="",0,IF(ISTEXT(AG509),H509*VALUE(SUBSTITUTE(AG509,"%",""))/100,H509*AG509))-Tabela1[[#This Row],[PESO EXPEDIDO2]]</f>
        <v>0</v>
      </c>
      <c r="AU509" s="37">
        <f t="shared" si="85"/>
        <v>2.9</v>
      </c>
      <c r="AV509" s="37">
        <f t="shared" si="86"/>
        <v>2.9</v>
      </c>
      <c r="AW509" s="37"/>
    </row>
    <row r="510" spans="1:49" ht="15.75" customHeight="1" x14ac:dyDescent="0.25">
      <c r="A510" s="6" t="s">
        <v>4383</v>
      </c>
      <c r="B510" s="21"/>
      <c r="C510" s="7">
        <v>1</v>
      </c>
      <c r="D510" s="39" t="s">
        <v>4386</v>
      </c>
      <c r="E510" s="7">
        <v>3471</v>
      </c>
      <c r="F510" s="7">
        <v>10</v>
      </c>
      <c r="G510" s="23">
        <v>3.3</v>
      </c>
      <c r="H510" s="34">
        <f>Tabela1[[#This Row],[PESO UNI]]*Tabela1[[#This Row],[QTE]]</f>
        <v>3.3</v>
      </c>
      <c r="I510" s="7">
        <v>0</v>
      </c>
      <c r="J510" s="8" t="s">
        <v>2550</v>
      </c>
      <c r="K510" s="8" t="s">
        <v>31</v>
      </c>
      <c r="L510" s="9" t="s">
        <v>2551</v>
      </c>
      <c r="M510" s="10"/>
      <c r="N510" s="11" t="s">
        <v>38</v>
      </c>
      <c r="O510" s="12"/>
      <c r="P510" s="13"/>
      <c r="Q510" s="14">
        <f>Tabela1[[#This Row],[QTDE/ Fabricação]]-Tabela1[[#This Row],[QTE]]</f>
        <v>-1</v>
      </c>
      <c r="R510" s="18">
        <f t="shared" si="81"/>
        <v>3.3</v>
      </c>
      <c r="S510" s="18">
        <f t="shared" ref="S510:S573" si="90">IFERROR(H510*AG510,"")</f>
        <v>3.3</v>
      </c>
      <c r="T510" s="19">
        <f t="shared" si="82"/>
        <v>0</v>
      </c>
      <c r="U510" s="16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>IFERROR(COUNTIF(#REF!,Tabela1[[#This Row],[Colunas5]]),"")</f>
        <v/>
      </c>
      <c r="X510" s="14">
        <f>Tabela1[[#This Row],[QIANTIDADE EXPEDIDA]]*Tabela1[[#This Row],[PESO UNI]]</f>
        <v>3.3</v>
      </c>
      <c r="Y510" s="14">
        <f t="shared" si="83"/>
        <v>0</v>
      </c>
      <c r="Z510" s="20">
        <f>Tabela1[[#This Row],[PESO TOTAL]]-Tabela1[[#This Row],[Peso Expedido]]</f>
        <v>0</v>
      </c>
      <c r="AA510" s="17">
        <v>1</v>
      </c>
      <c r="AB510" s="33"/>
      <c r="AC510" s="33">
        <v>1</v>
      </c>
      <c r="AD510" s="33">
        <v>1</v>
      </c>
      <c r="AE510" s="33">
        <v>1</v>
      </c>
      <c r="AF510" s="33">
        <v>1</v>
      </c>
      <c r="AG510" s="33">
        <v>1</v>
      </c>
      <c r="AH510" s="33">
        <v>1</v>
      </c>
      <c r="AI510" s="33" t="s">
        <v>4512</v>
      </c>
      <c r="AJ510"/>
      <c r="AK510" t="str">
        <f>Tabela1[[#This Row],[Coluna1]]&amp;Tabela1[[#This Row],[PEDIDO]]</f>
        <v>P-190</v>
      </c>
      <c r="AL510"/>
      <c r="AM510"/>
      <c r="AN510"/>
      <c r="AO510" t="str">
        <f t="shared" si="84"/>
        <v>P-024518-1/P190</v>
      </c>
      <c r="AP510" t="str">
        <f>Tabela1[[#This Row],[TAG]]&amp;Tabela1[[#This Row],[PEDIDO]]&amp;Tabela1[[#This Row],[PRODUTO]]</f>
        <v>P190P-190ESTRUTURA</v>
      </c>
      <c r="AQ510" s="22" t="str">
        <f>Tabela1[[#This Row],[PRODUTO]]&amp;Tabela1[[#This Row],[TAG]]</f>
        <v>ESTRUTURAP190</v>
      </c>
      <c r="AR510" s="24" t="str">
        <f>Tabela1[[#This Row],[PEDIDO]]&amp;Tabela1[[#This Row],[PRODUTO]]</f>
        <v>P-190ESTRUTURA</v>
      </c>
      <c r="AS510" s="37">
        <f>IF(AF510="",0,IF(ISTEXT(AF510),H510*VALUE(SUBSTITUTE(AF510,"%",""))/100,H510*AF510))-Tabela1[[#This Row],[PRONTO ACABADO2]]</f>
        <v>0</v>
      </c>
      <c r="AT510" s="37">
        <f>IF(AG510="",0,IF(ISTEXT(AG510),H510*VALUE(SUBSTITUTE(AG510,"%",""))/100,H510*AG510))-Tabela1[[#This Row],[PESO EXPEDIDO2]]</f>
        <v>0</v>
      </c>
      <c r="AU510" s="37">
        <f t="shared" si="85"/>
        <v>3.3</v>
      </c>
      <c r="AV510" s="37">
        <f t="shared" si="86"/>
        <v>3.3</v>
      </c>
      <c r="AW510" s="37"/>
    </row>
    <row r="511" spans="1:49" ht="15.75" customHeight="1" x14ac:dyDescent="0.25">
      <c r="A511" s="6" t="s">
        <v>4383</v>
      </c>
      <c r="B511" s="21"/>
      <c r="C511" s="7">
        <v>1</v>
      </c>
      <c r="D511" s="39" t="s">
        <v>4387</v>
      </c>
      <c r="E511" s="7">
        <v>3472</v>
      </c>
      <c r="F511" s="7">
        <v>10</v>
      </c>
      <c r="G511" s="23">
        <v>0.1</v>
      </c>
      <c r="H511" s="34">
        <f>Tabela1[[#This Row],[PESO UNI]]*Tabela1[[#This Row],[QTE]]</f>
        <v>0.1</v>
      </c>
      <c r="I511" s="7">
        <v>0</v>
      </c>
      <c r="J511" s="8" t="s">
        <v>2550</v>
      </c>
      <c r="K511" s="8" t="s">
        <v>31</v>
      </c>
      <c r="L511" s="9" t="s">
        <v>2551</v>
      </c>
      <c r="M511" s="10"/>
      <c r="N511" s="11" t="s">
        <v>38</v>
      </c>
      <c r="O511" s="12"/>
      <c r="P511" s="13"/>
      <c r="Q511" s="14">
        <f>Tabela1[[#This Row],[QTDE/ Fabricação]]-Tabela1[[#This Row],[QTE]]</f>
        <v>-1</v>
      </c>
      <c r="R511" s="18">
        <f t="shared" si="81"/>
        <v>0.1</v>
      </c>
      <c r="S511" s="18">
        <f t="shared" si="90"/>
        <v>0.1</v>
      </c>
      <c r="T511" s="19">
        <f t="shared" si="82"/>
        <v>0</v>
      </c>
      <c r="U511" s="16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>IFERROR(COUNTIF(#REF!,Tabela1[[#This Row],[Colunas5]]),"")</f>
        <v/>
      </c>
      <c r="X511" s="14">
        <f>Tabela1[[#This Row],[QIANTIDADE EXPEDIDA]]*Tabela1[[#This Row],[PESO UNI]]</f>
        <v>0.1</v>
      </c>
      <c r="Y511" s="14">
        <f t="shared" si="83"/>
        <v>0</v>
      </c>
      <c r="Z511" s="20">
        <f>Tabela1[[#This Row],[PESO TOTAL]]-Tabela1[[#This Row],[Peso Expedido]]</f>
        <v>0</v>
      </c>
      <c r="AA511" s="17">
        <v>1</v>
      </c>
      <c r="AB511" s="33"/>
      <c r="AC511" s="33">
        <v>1</v>
      </c>
      <c r="AD511" s="33">
        <v>1</v>
      </c>
      <c r="AE511" s="33">
        <v>1</v>
      </c>
      <c r="AF511" s="33">
        <v>1</v>
      </c>
      <c r="AG511" s="33">
        <v>1</v>
      </c>
      <c r="AH511" s="33">
        <v>1</v>
      </c>
      <c r="AI511" s="33" t="s">
        <v>4512</v>
      </c>
      <c r="AJ511"/>
      <c r="AK511" t="str">
        <f>Tabela1[[#This Row],[Coluna1]]&amp;Tabela1[[#This Row],[PEDIDO]]</f>
        <v>P-190</v>
      </c>
      <c r="AL511"/>
      <c r="AM511"/>
      <c r="AN511"/>
      <c r="AO511" t="str">
        <f t="shared" si="84"/>
        <v>P-024518-1/P190</v>
      </c>
      <c r="AP511" t="str">
        <f>Tabela1[[#This Row],[TAG]]&amp;Tabela1[[#This Row],[PEDIDO]]&amp;Tabela1[[#This Row],[PRODUTO]]</f>
        <v>P190P-190ESTRUTURA</v>
      </c>
      <c r="AQ511" s="22" t="str">
        <f>Tabela1[[#This Row],[PRODUTO]]&amp;Tabela1[[#This Row],[TAG]]</f>
        <v>ESTRUTURAP190</v>
      </c>
      <c r="AR511" s="24" t="str">
        <f>Tabela1[[#This Row],[PEDIDO]]&amp;Tabela1[[#This Row],[PRODUTO]]</f>
        <v>P-190ESTRUTURA</v>
      </c>
      <c r="AS511" s="37">
        <f>IF(AF511="",0,IF(ISTEXT(AF511),H511*VALUE(SUBSTITUTE(AF511,"%",""))/100,H511*AF511))-Tabela1[[#This Row],[PRONTO ACABADO2]]</f>
        <v>0</v>
      </c>
      <c r="AT511" s="37">
        <f>IF(AG511="",0,IF(ISTEXT(AG511),H511*VALUE(SUBSTITUTE(AG511,"%",""))/100,H511*AG511))-Tabela1[[#This Row],[PESO EXPEDIDO2]]</f>
        <v>0</v>
      </c>
      <c r="AU511" s="37">
        <f t="shared" si="85"/>
        <v>0.1</v>
      </c>
      <c r="AV511" s="37">
        <f t="shared" si="86"/>
        <v>0.1</v>
      </c>
      <c r="AW511" s="37"/>
    </row>
    <row r="512" spans="1:49" ht="15.75" customHeight="1" x14ac:dyDescent="0.25">
      <c r="A512" s="6" t="s">
        <v>4383</v>
      </c>
      <c r="B512" s="21"/>
      <c r="C512" s="7">
        <v>1</v>
      </c>
      <c r="D512" s="39" t="s">
        <v>4388</v>
      </c>
      <c r="E512" s="7">
        <v>3473</v>
      </c>
      <c r="F512" s="7">
        <v>10</v>
      </c>
      <c r="G512" s="23">
        <v>0.1</v>
      </c>
      <c r="H512" s="34">
        <f>Tabela1[[#This Row],[PESO UNI]]*Tabela1[[#This Row],[QTE]]</f>
        <v>0.1</v>
      </c>
      <c r="I512" s="7">
        <v>0</v>
      </c>
      <c r="J512" s="8" t="s">
        <v>2550</v>
      </c>
      <c r="K512" s="8" t="s">
        <v>31</v>
      </c>
      <c r="L512" s="9" t="s">
        <v>2551</v>
      </c>
      <c r="M512" s="10"/>
      <c r="N512" s="11" t="s">
        <v>38</v>
      </c>
      <c r="O512" s="12"/>
      <c r="P512" s="13"/>
      <c r="Q512" s="14">
        <f>Tabela1[[#This Row],[QTDE/ Fabricação]]-Tabela1[[#This Row],[QTE]]</f>
        <v>-1</v>
      </c>
      <c r="R512" s="18">
        <f t="shared" si="81"/>
        <v>0.1</v>
      </c>
      <c r="S512" s="18">
        <f t="shared" si="90"/>
        <v>0.1</v>
      </c>
      <c r="T512" s="19">
        <f t="shared" si="82"/>
        <v>0</v>
      </c>
      <c r="U512" s="16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>IFERROR(COUNTIF(#REF!,Tabela1[[#This Row],[Colunas5]]),"")</f>
        <v/>
      </c>
      <c r="X512" s="14">
        <f>Tabela1[[#This Row],[QIANTIDADE EXPEDIDA]]*Tabela1[[#This Row],[PESO UNI]]</f>
        <v>0.1</v>
      </c>
      <c r="Y512" s="14">
        <f t="shared" si="83"/>
        <v>0</v>
      </c>
      <c r="Z512" s="20">
        <f>Tabela1[[#This Row],[PESO TOTAL]]-Tabela1[[#This Row],[Peso Expedido]]</f>
        <v>0</v>
      </c>
      <c r="AA512" s="17">
        <v>1</v>
      </c>
      <c r="AB512" s="33"/>
      <c r="AC512" s="33">
        <v>1</v>
      </c>
      <c r="AD512" s="33">
        <v>1</v>
      </c>
      <c r="AE512" s="33">
        <v>1</v>
      </c>
      <c r="AF512" s="33">
        <v>1</v>
      </c>
      <c r="AG512" s="33">
        <v>1</v>
      </c>
      <c r="AH512" s="33">
        <v>1</v>
      </c>
      <c r="AI512" s="33" t="s">
        <v>4512</v>
      </c>
      <c r="AJ512"/>
      <c r="AK512" t="str">
        <f>Tabela1[[#This Row],[Coluna1]]&amp;Tabela1[[#This Row],[PEDIDO]]</f>
        <v>P-190</v>
      </c>
      <c r="AL512"/>
      <c r="AM512"/>
      <c r="AN512"/>
      <c r="AO512" t="str">
        <f t="shared" si="84"/>
        <v>P-024518-1/P190</v>
      </c>
      <c r="AP512" t="str">
        <f>Tabela1[[#This Row],[TAG]]&amp;Tabela1[[#This Row],[PEDIDO]]&amp;Tabela1[[#This Row],[PRODUTO]]</f>
        <v>P190P-190ESTRUTURA</v>
      </c>
      <c r="AQ512" s="22" t="str">
        <f>Tabela1[[#This Row],[PRODUTO]]&amp;Tabela1[[#This Row],[TAG]]</f>
        <v>ESTRUTURAP190</v>
      </c>
      <c r="AR512" s="24" t="str">
        <f>Tabela1[[#This Row],[PEDIDO]]&amp;Tabela1[[#This Row],[PRODUTO]]</f>
        <v>P-190ESTRUTURA</v>
      </c>
      <c r="AS512" s="37">
        <f>IF(AF512="",0,IF(ISTEXT(AF512),H512*VALUE(SUBSTITUTE(AF512,"%",""))/100,H512*AF512))-Tabela1[[#This Row],[PRONTO ACABADO2]]</f>
        <v>0</v>
      </c>
      <c r="AT512" s="37">
        <f>IF(AG512="",0,IF(ISTEXT(AG512),H512*VALUE(SUBSTITUTE(AG512,"%",""))/100,H512*AG512))-Tabela1[[#This Row],[PESO EXPEDIDO2]]</f>
        <v>0</v>
      </c>
      <c r="AU512" s="37">
        <f t="shared" si="85"/>
        <v>0.1</v>
      </c>
      <c r="AV512" s="37">
        <f t="shared" si="86"/>
        <v>0.1</v>
      </c>
      <c r="AW512" s="37"/>
    </row>
    <row r="513" spans="1:49" ht="15.75" customHeight="1" x14ac:dyDescent="0.25">
      <c r="A513" s="6" t="s">
        <v>4383</v>
      </c>
      <c r="B513" s="21"/>
      <c r="C513" s="7">
        <v>1</v>
      </c>
      <c r="D513" s="39" t="s">
        <v>4389</v>
      </c>
      <c r="E513" s="7">
        <v>3474</v>
      </c>
      <c r="F513" s="7">
        <v>10</v>
      </c>
      <c r="G513" s="23">
        <v>0.1</v>
      </c>
      <c r="H513" s="34">
        <f>Tabela1[[#This Row],[PESO UNI]]*Tabela1[[#This Row],[QTE]]</f>
        <v>0.1</v>
      </c>
      <c r="I513" s="7">
        <v>0</v>
      </c>
      <c r="J513" s="8" t="s">
        <v>2550</v>
      </c>
      <c r="K513" s="8" t="s">
        <v>31</v>
      </c>
      <c r="L513" s="9" t="s">
        <v>2551</v>
      </c>
      <c r="M513" s="10"/>
      <c r="N513" s="11" t="s">
        <v>38</v>
      </c>
      <c r="O513" s="12"/>
      <c r="P513" s="13"/>
      <c r="Q513" s="14">
        <f>Tabela1[[#This Row],[QTDE/ Fabricação]]-Tabela1[[#This Row],[QTE]]</f>
        <v>-1</v>
      </c>
      <c r="R513" s="18">
        <f t="shared" ref="R513:R576" si="91">IFERROR(H513*((AA513*0.25)+(AC513*0.25)+(AD513*0.225)+(AE513*0.225)+(AF513*0.05)),"")</f>
        <v>0.1</v>
      </c>
      <c r="S513" s="18">
        <f t="shared" si="90"/>
        <v>0.1</v>
      </c>
      <c r="T513" s="19">
        <f t="shared" ref="T513:T576" si="92">IFERROR(S513-H513,"")</f>
        <v>0</v>
      </c>
      <c r="U513" s="16">
        <f>IFERROR(SUMIF('LISTA DE EMBARQUE'!B:B,MICRO!E:E,'LISTA DE EMBARQUE'!G:G),"")</f>
        <v>1</v>
      </c>
      <c r="V513" s="12">
        <f>IFERROR(VLOOKUP(Tabela1[[#This Row],[COD.MDE]],'LISTA DE EMBARQUE'!B:L,11,0),"")</f>
        <v>4</v>
      </c>
      <c r="W513" s="13" t="str">
        <f>IFERROR(COUNTIF(#REF!,Tabela1[[#This Row],[Colunas5]]),"")</f>
        <v/>
      </c>
      <c r="X513" s="14">
        <f>Tabela1[[#This Row],[QIANTIDADE EXPEDIDA]]*Tabela1[[#This Row],[PESO UNI]]</f>
        <v>0.1</v>
      </c>
      <c r="Y513" s="14">
        <f t="shared" ref="Y513:Y576" si="93">U513-C513</f>
        <v>0</v>
      </c>
      <c r="Z513" s="20">
        <f>Tabela1[[#This Row],[PESO TOTAL]]-Tabela1[[#This Row],[Peso Expedido]]</f>
        <v>0</v>
      </c>
      <c r="AA513" s="17">
        <v>1</v>
      </c>
      <c r="AB513" s="33"/>
      <c r="AC513" s="33">
        <v>1</v>
      </c>
      <c r="AD513" s="33">
        <v>1</v>
      </c>
      <c r="AE513" s="33">
        <v>1</v>
      </c>
      <c r="AF513" s="33">
        <v>1</v>
      </c>
      <c r="AG513" s="33">
        <v>1</v>
      </c>
      <c r="AH513" s="33">
        <v>1</v>
      </c>
      <c r="AI513" s="33" t="s">
        <v>4512</v>
      </c>
      <c r="AJ513"/>
      <c r="AK513" t="str">
        <f>Tabela1[[#This Row],[Coluna1]]&amp;Tabela1[[#This Row],[PEDIDO]]</f>
        <v>P-190</v>
      </c>
      <c r="AL513"/>
      <c r="AM513"/>
      <c r="AN513"/>
      <c r="AO513" t="str">
        <f t="shared" ref="AO513:AO576" si="94">A513&amp;"/"&amp;J513</f>
        <v>P-024518-1/P190</v>
      </c>
      <c r="AP513" t="str">
        <f>Tabela1[[#This Row],[TAG]]&amp;Tabela1[[#This Row],[PEDIDO]]&amp;Tabela1[[#This Row],[PRODUTO]]</f>
        <v>P190P-190ESTRUTURA</v>
      </c>
      <c r="AQ513" s="22" t="str">
        <f>Tabela1[[#This Row],[PRODUTO]]&amp;Tabela1[[#This Row],[TAG]]</f>
        <v>ESTRUTURAP190</v>
      </c>
      <c r="AR513" s="24" t="str">
        <f>Tabela1[[#This Row],[PEDIDO]]&amp;Tabela1[[#This Row],[PRODUTO]]</f>
        <v>P-190ESTRUTURA</v>
      </c>
      <c r="AS513" s="37">
        <f>IF(AF513="",0,IF(ISTEXT(AF513),H513*VALUE(SUBSTITUTE(AF513,"%",""))/100,H513*AF513))-Tabela1[[#This Row],[PRONTO ACABADO2]]</f>
        <v>0</v>
      </c>
      <c r="AT513" s="37">
        <f>IF(AG513="",0,IF(ISTEXT(AG513),H513*VALUE(SUBSTITUTE(AG513,"%",""))/100,H513*AG513))-Tabela1[[#This Row],[PESO EXPEDIDO2]]</f>
        <v>0</v>
      </c>
      <c r="AU513" s="37">
        <f t="shared" ref="AU513:AU576" si="95">IF(AH513="",0,IF(ISTEXT(AH513),H513*VALUE(SUBSTITUTE(AH513,"%",""))/100,H513*AH513))</f>
        <v>0.1</v>
      </c>
      <c r="AV513" s="37">
        <f t="shared" ref="AV513:AV576" si="96">IF(AG513="",0,IF(ISTEXT(AG513),H513*VALUE(SUBSTITUTE(AG513,"%",""))/100,H513*AG513))</f>
        <v>0.1</v>
      </c>
      <c r="AW513" s="37"/>
    </row>
    <row r="514" spans="1:49" ht="15.75" customHeight="1" x14ac:dyDescent="0.25">
      <c r="A514" s="6" t="s">
        <v>4383</v>
      </c>
      <c r="B514" s="21"/>
      <c r="C514" s="7">
        <v>1</v>
      </c>
      <c r="D514" s="39" t="s">
        <v>4390</v>
      </c>
      <c r="E514" s="7">
        <v>3475</v>
      </c>
      <c r="F514" s="7">
        <v>10</v>
      </c>
      <c r="G514" s="23">
        <v>0.1</v>
      </c>
      <c r="H514" s="34">
        <f>Tabela1[[#This Row],[PESO UNI]]*Tabela1[[#This Row],[QTE]]</f>
        <v>0.1</v>
      </c>
      <c r="I514" s="7">
        <v>0</v>
      </c>
      <c r="J514" s="8" t="s">
        <v>2550</v>
      </c>
      <c r="K514" s="8" t="s">
        <v>31</v>
      </c>
      <c r="L514" s="9" t="s">
        <v>2551</v>
      </c>
      <c r="M514" s="10"/>
      <c r="N514" s="11" t="s">
        <v>38</v>
      </c>
      <c r="O514" s="12"/>
      <c r="P514" s="13"/>
      <c r="Q514" s="14">
        <f>Tabela1[[#This Row],[QTDE/ Fabricação]]-Tabela1[[#This Row],[QTE]]</f>
        <v>-1</v>
      </c>
      <c r="R514" s="18">
        <f t="shared" si="91"/>
        <v>0.1</v>
      </c>
      <c r="S514" s="18">
        <f t="shared" si="90"/>
        <v>0.1</v>
      </c>
      <c r="T514" s="19">
        <f t="shared" si="92"/>
        <v>0</v>
      </c>
      <c r="U514" s="16">
        <f>IFERROR(SUMIF('LISTA DE EMBARQUE'!B:B,MICRO!E:E,'LISTA DE EMBARQUE'!G:G),"")</f>
        <v>1</v>
      </c>
      <c r="V514" s="12">
        <f>IFERROR(VLOOKUP(Tabela1[[#This Row],[COD.MDE]],'LISTA DE EMBARQUE'!B:L,11,0),"")</f>
        <v>4</v>
      </c>
      <c r="W514" s="13" t="str">
        <f>IFERROR(COUNTIF(#REF!,Tabela1[[#This Row],[Colunas5]]),"")</f>
        <v/>
      </c>
      <c r="X514" s="14">
        <f>Tabela1[[#This Row],[QIANTIDADE EXPEDIDA]]*Tabela1[[#This Row],[PESO UNI]]</f>
        <v>0.1</v>
      </c>
      <c r="Y514" s="14">
        <f t="shared" si="93"/>
        <v>0</v>
      </c>
      <c r="Z514" s="20">
        <f>Tabela1[[#This Row],[PESO TOTAL]]-Tabela1[[#This Row],[Peso Expedido]]</f>
        <v>0</v>
      </c>
      <c r="AA514" s="17">
        <v>1</v>
      </c>
      <c r="AB514" s="33"/>
      <c r="AC514" s="33">
        <v>1</v>
      </c>
      <c r="AD514" s="33">
        <v>1</v>
      </c>
      <c r="AE514" s="33">
        <v>1</v>
      </c>
      <c r="AF514" s="33">
        <v>1</v>
      </c>
      <c r="AG514" s="33">
        <v>1</v>
      </c>
      <c r="AH514" s="33">
        <v>1</v>
      </c>
      <c r="AI514" s="33" t="s">
        <v>4512</v>
      </c>
      <c r="AJ514"/>
      <c r="AK514" t="str">
        <f>Tabela1[[#This Row],[Coluna1]]&amp;Tabela1[[#This Row],[PEDIDO]]</f>
        <v>P-190</v>
      </c>
      <c r="AL514"/>
      <c r="AM514"/>
      <c r="AN514"/>
      <c r="AO514" t="str">
        <f t="shared" si="94"/>
        <v>P-024518-1/P190</v>
      </c>
      <c r="AP514" t="str">
        <f>Tabela1[[#This Row],[TAG]]&amp;Tabela1[[#This Row],[PEDIDO]]&amp;Tabela1[[#This Row],[PRODUTO]]</f>
        <v>P190P-190ESTRUTURA</v>
      </c>
      <c r="AQ514" s="22" t="str">
        <f>Tabela1[[#This Row],[PRODUTO]]&amp;Tabela1[[#This Row],[TAG]]</f>
        <v>ESTRUTURAP190</v>
      </c>
      <c r="AR514" s="24" t="str">
        <f>Tabela1[[#This Row],[PEDIDO]]&amp;Tabela1[[#This Row],[PRODUTO]]</f>
        <v>P-190ESTRUTURA</v>
      </c>
      <c r="AS514" s="37">
        <f>IF(AF514="",0,IF(ISTEXT(AF514),H514*VALUE(SUBSTITUTE(AF514,"%",""))/100,H514*AF514))-Tabela1[[#This Row],[PRONTO ACABADO2]]</f>
        <v>0</v>
      </c>
      <c r="AT514" s="37">
        <f>IF(AG514="",0,IF(ISTEXT(AG514),H514*VALUE(SUBSTITUTE(AG514,"%",""))/100,H514*AG514))-Tabela1[[#This Row],[PESO EXPEDIDO2]]</f>
        <v>0</v>
      </c>
      <c r="AU514" s="37">
        <f t="shared" si="95"/>
        <v>0.1</v>
      </c>
      <c r="AV514" s="37">
        <f t="shared" si="96"/>
        <v>0.1</v>
      </c>
      <c r="AW514" s="37"/>
    </row>
    <row r="515" spans="1:49" ht="15.75" customHeight="1" x14ac:dyDescent="0.25">
      <c r="A515" s="6" t="s">
        <v>4383</v>
      </c>
      <c r="B515" s="21"/>
      <c r="C515" s="7">
        <v>1</v>
      </c>
      <c r="D515" s="39" t="s">
        <v>4391</v>
      </c>
      <c r="E515" s="7">
        <v>3476</v>
      </c>
      <c r="F515" s="7">
        <v>10</v>
      </c>
      <c r="G515" s="23">
        <v>0.1</v>
      </c>
      <c r="H515" s="34">
        <f>Tabela1[[#This Row],[PESO UNI]]*Tabela1[[#This Row],[QTE]]</f>
        <v>0.1</v>
      </c>
      <c r="I515" s="7">
        <v>0</v>
      </c>
      <c r="J515" s="8" t="s">
        <v>2550</v>
      </c>
      <c r="K515" s="8" t="s">
        <v>31</v>
      </c>
      <c r="L515" s="9" t="s">
        <v>2551</v>
      </c>
      <c r="M515" s="10"/>
      <c r="N515" s="11" t="s">
        <v>38</v>
      </c>
      <c r="O515" s="12"/>
      <c r="P515" s="13"/>
      <c r="Q515" s="14">
        <f>Tabela1[[#This Row],[QTDE/ Fabricação]]-Tabela1[[#This Row],[QTE]]</f>
        <v>-1</v>
      </c>
      <c r="R515" s="18">
        <f t="shared" si="91"/>
        <v>0.1</v>
      </c>
      <c r="S515" s="18">
        <f t="shared" si="90"/>
        <v>0.1</v>
      </c>
      <c r="T515" s="19">
        <f t="shared" si="92"/>
        <v>0</v>
      </c>
      <c r="U515" s="16">
        <f>IFERROR(SUMIF('LISTA DE EMBARQUE'!B:B,MICRO!E:E,'LISTA DE EMBARQUE'!G:G),"")</f>
        <v>1</v>
      </c>
      <c r="V515" s="12">
        <f>IFERROR(VLOOKUP(Tabela1[[#This Row],[COD.MDE]],'LISTA DE EMBARQUE'!B:L,11,0),"")</f>
        <v>4</v>
      </c>
      <c r="W515" s="13" t="str">
        <f>IFERROR(COUNTIF(#REF!,Tabela1[[#This Row],[Colunas5]]),"")</f>
        <v/>
      </c>
      <c r="X515" s="14">
        <f>Tabela1[[#This Row],[QIANTIDADE EXPEDIDA]]*Tabela1[[#This Row],[PESO UNI]]</f>
        <v>0.1</v>
      </c>
      <c r="Y515" s="14">
        <f t="shared" si="93"/>
        <v>0</v>
      </c>
      <c r="Z515" s="20">
        <f>Tabela1[[#This Row],[PESO TOTAL]]-Tabela1[[#This Row],[Peso Expedido]]</f>
        <v>0</v>
      </c>
      <c r="AA515" s="17">
        <v>1</v>
      </c>
      <c r="AB515" s="33"/>
      <c r="AC515" s="33">
        <v>1</v>
      </c>
      <c r="AD515" s="33">
        <v>1</v>
      </c>
      <c r="AE515" s="33">
        <v>1</v>
      </c>
      <c r="AF515" s="33">
        <v>1</v>
      </c>
      <c r="AG515" s="33">
        <v>1</v>
      </c>
      <c r="AH515" s="33">
        <v>1</v>
      </c>
      <c r="AI515" s="33" t="s">
        <v>4512</v>
      </c>
      <c r="AJ515"/>
      <c r="AK515" t="str">
        <f>Tabela1[[#This Row],[Coluna1]]&amp;Tabela1[[#This Row],[PEDIDO]]</f>
        <v>P-190</v>
      </c>
      <c r="AL515"/>
      <c r="AM515"/>
      <c r="AN515"/>
      <c r="AO515" t="str">
        <f t="shared" si="94"/>
        <v>P-024518-1/P190</v>
      </c>
      <c r="AP515" t="str">
        <f>Tabela1[[#This Row],[TAG]]&amp;Tabela1[[#This Row],[PEDIDO]]&amp;Tabela1[[#This Row],[PRODUTO]]</f>
        <v>P190P-190ESTRUTURA</v>
      </c>
      <c r="AQ515" s="22" t="str">
        <f>Tabela1[[#This Row],[PRODUTO]]&amp;Tabela1[[#This Row],[TAG]]</f>
        <v>ESTRUTURAP190</v>
      </c>
      <c r="AR515" s="24" t="str">
        <f>Tabela1[[#This Row],[PEDIDO]]&amp;Tabela1[[#This Row],[PRODUTO]]</f>
        <v>P-190ESTRUTURA</v>
      </c>
      <c r="AS515" s="37">
        <f>IF(AF515="",0,IF(ISTEXT(AF515),H515*VALUE(SUBSTITUTE(AF515,"%",""))/100,H515*AF515))-Tabela1[[#This Row],[PRONTO ACABADO2]]</f>
        <v>0</v>
      </c>
      <c r="AT515" s="37">
        <f>IF(AG515="",0,IF(ISTEXT(AG515),H515*VALUE(SUBSTITUTE(AG515,"%",""))/100,H515*AG515))-Tabela1[[#This Row],[PESO EXPEDIDO2]]</f>
        <v>0</v>
      </c>
      <c r="AU515" s="37">
        <f t="shared" si="95"/>
        <v>0.1</v>
      </c>
      <c r="AV515" s="37">
        <f t="shared" si="96"/>
        <v>0.1</v>
      </c>
      <c r="AW515" s="37"/>
    </row>
    <row r="516" spans="1:49" ht="15.75" customHeight="1" x14ac:dyDescent="0.25">
      <c r="A516" s="6" t="s">
        <v>4383</v>
      </c>
      <c r="B516" s="21"/>
      <c r="C516" s="7">
        <v>1</v>
      </c>
      <c r="D516" s="39" t="s">
        <v>4392</v>
      </c>
      <c r="E516" s="7">
        <v>3477</v>
      </c>
      <c r="F516" s="7">
        <v>10</v>
      </c>
      <c r="G516" s="23">
        <v>0.1</v>
      </c>
      <c r="H516" s="34">
        <f>Tabela1[[#This Row],[PESO UNI]]*Tabela1[[#This Row],[QTE]]</f>
        <v>0.1</v>
      </c>
      <c r="I516" s="7">
        <v>0</v>
      </c>
      <c r="J516" s="8" t="s">
        <v>2550</v>
      </c>
      <c r="K516" s="8" t="s">
        <v>31</v>
      </c>
      <c r="L516" s="9" t="s">
        <v>2551</v>
      </c>
      <c r="M516" s="10"/>
      <c r="N516" s="11" t="s">
        <v>38</v>
      </c>
      <c r="O516" s="12"/>
      <c r="P516" s="13"/>
      <c r="Q516" s="14">
        <f>Tabela1[[#This Row],[QTDE/ Fabricação]]-Tabela1[[#This Row],[QTE]]</f>
        <v>-1</v>
      </c>
      <c r="R516" s="18">
        <f t="shared" si="91"/>
        <v>0.1</v>
      </c>
      <c r="S516" s="18">
        <f t="shared" si="90"/>
        <v>0.1</v>
      </c>
      <c r="T516" s="19">
        <f t="shared" si="92"/>
        <v>0</v>
      </c>
      <c r="U516" s="16">
        <f>IFERROR(SUMIF('LISTA DE EMBARQUE'!B:B,MICRO!E:E,'LISTA DE EMBARQUE'!G:G),"")</f>
        <v>1</v>
      </c>
      <c r="V516" s="12">
        <f>IFERROR(VLOOKUP(Tabela1[[#This Row],[COD.MDE]],'LISTA DE EMBARQUE'!B:L,11,0),"")</f>
        <v>4</v>
      </c>
      <c r="W516" s="13" t="str">
        <f>IFERROR(COUNTIF(#REF!,Tabela1[[#This Row],[Colunas5]]),"")</f>
        <v/>
      </c>
      <c r="X516" s="14">
        <f>Tabela1[[#This Row],[QIANTIDADE EXPEDIDA]]*Tabela1[[#This Row],[PESO UNI]]</f>
        <v>0.1</v>
      </c>
      <c r="Y516" s="14">
        <f t="shared" si="93"/>
        <v>0</v>
      </c>
      <c r="Z516" s="20">
        <f>Tabela1[[#This Row],[PESO TOTAL]]-Tabela1[[#This Row],[Peso Expedido]]</f>
        <v>0</v>
      </c>
      <c r="AA516" s="17">
        <v>1</v>
      </c>
      <c r="AB516" s="33"/>
      <c r="AC516" s="33">
        <v>1</v>
      </c>
      <c r="AD516" s="33">
        <v>1</v>
      </c>
      <c r="AE516" s="33">
        <v>1</v>
      </c>
      <c r="AF516" s="33">
        <v>1</v>
      </c>
      <c r="AG516" s="33">
        <v>1</v>
      </c>
      <c r="AH516" s="33">
        <v>1</v>
      </c>
      <c r="AI516" s="33" t="s">
        <v>4512</v>
      </c>
      <c r="AJ516"/>
      <c r="AK516" t="str">
        <f>Tabela1[[#This Row],[Coluna1]]&amp;Tabela1[[#This Row],[PEDIDO]]</f>
        <v>P-190</v>
      </c>
      <c r="AL516"/>
      <c r="AM516"/>
      <c r="AN516"/>
      <c r="AO516" t="str">
        <f t="shared" si="94"/>
        <v>P-024518-1/P190</v>
      </c>
      <c r="AP516" t="str">
        <f>Tabela1[[#This Row],[TAG]]&amp;Tabela1[[#This Row],[PEDIDO]]&amp;Tabela1[[#This Row],[PRODUTO]]</f>
        <v>P190P-190ESTRUTURA</v>
      </c>
      <c r="AQ516" s="22" t="str">
        <f>Tabela1[[#This Row],[PRODUTO]]&amp;Tabela1[[#This Row],[TAG]]</f>
        <v>ESTRUTURAP190</v>
      </c>
      <c r="AR516" s="24" t="str">
        <f>Tabela1[[#This Row],[PEDIDO]]&amp;Tabela1[[#This Row],[PRODUTO]]</f>
        <v>P-190ESTRUTURA</v>
      </c>
      <c r="AS516" s="37">
        <f>IF(AF516="",0,IF(ISTEXT(AF516),H516*VALUE(SUBSTITUTE(AF516,"%",""))/100,H516*AF516))-Tabela1[[#This Row],[PRONTO ACABADO2]]</f>
        <v>0</v>
      </c>
      <c r="AT516" s="37">
        <f>IF(AG516="",0,IF(ISTEXT(AG516),H516*VALUE(SUBSTITUTE(AG516,"%",""))/100,H516*AG516))-Tabela1[[#This Row],[PESO EXPEDIDO2]]</f>
        <v>0</v>
      </c>
      <c r="AU516" s="37">
        <f t="shared" si="95"/>
        <v>0.1</v>
      </c>
      <c r="AV516" s="37">
        <f t="shared" si="96"/>
        <v>0.1</v>
      </c>
      <c r="AW516" s="37"/>
    </row>
    <row r="517" spans="1:49" ht="15.75" customHeight="1" x14ac:dyDescent="0.25">
      <c r="A517" s="6" t="s">
        <v>4383</v>
      </c>
      <c r="B517" s="21"/>
      <c r="C517" s="7">
        <v>2</v>
      </c>
      <c r="D517" s="39" t="s">
        <v>4393</v>
      </c>
      <c r="E517" s="7">
        <v>3478</v>
      </c>
      <c r="F517" s="7">
        <v>10</v>
      </c>
      <c r="G517" s="23">
        <v>0.1</v>
      </c>
      <c r="H517" s="34">
        <f>Tabela1[[#This Row],[PESO UNI]]*Tabela1[[#This Row],[QTE]]</f>
        <v>0.2</v>
      </c>
      <c r="I517" s="7">
        <v>0</v>
      </c>
      <c r="J517" s="8" t="s">
        <v>2550</v>
      </c>
      <c r="K517" s="8" t="s">
        <v>31</v>
      </c>
      <c r="L517" s="9" t="s">
        <v>2551</v>
      </c>
      <c r="M517" s="10"/>
      <c r="N517" s="11" t="s">
        <v>38</v>
      </c>
      <c r="O517" s="12"/>
      <c r="P517" s="13"/>
      <c r="Q517" s="14">
        <f>Tabela1[[#This Row],[QTDE/ Fabricação]]-Tabela1[[#This Row],[QTE]]</f>
        <v>-2</v>
      </c>
      <c r="R517" s="18">
        <f t="shared" si="91"/>
        <v>0.2</v>
      </c>
      <c r="S517" s="18">
        <f t="shared" si="90"/>
        <v>0.2</v>
      </c>
      <c r="T517" s="19">
        <f t="shared" si="92"/>
        <v>0</v>
      </c>
      <c r="U517" s="16">
        <f>IFERROR(SUMIF('LISTA DE EMBARQUE'!B:B,MICRO!E:E,'LISTA DE EMBARQUE'!G:G),"")</f>
        <v>2</v>
      </c>
      <c r="V517" s="12">
        <f>IFERROR(VLOOKUP(Tabela1[[#This Row],[COD.MDE]],'LISTA DE EMBARQUE'!B:L,11,0),"")</f>
        <v>4</v>
      </c>
      <c r="W517" s="13" t="str">
        <f>IFERROR(COUNTIF(#REF!,Tabela1[[#This Row],[Colunas5]]),"")</f>
        <v/>
      </c>
      <c r="X517" s="14">
        <f>Tabela1[[#This Row],[QIANTIDADE EXPEDIDA]]*Tabela1[[#This Row],[PESO UNI]]</f>
        <v>0.2</v>
      </c>
      <c r="Y517" s="14">
        <f t="shared" si="93"/>
        <v>0</v>
      </c>
      <c r="Z517" s="20">
        <f>Tabela1[[#This Row],[PESO TOTAL]]-Tabela1[[#This Row],[Peso Expedido]]</f>
        <v>0</v>
      </c>
      <c r="AA517" s="17">
        <v>1</v>
      </c>
      <c r="AB517" s="33"/>
      <c r="AC517" s="33">
        <v>1</v>
      </c>
      <c r="AD517" s="33">
        <v>1</v>
      </c>
      <c r="AE517" s="33">
        <v>1</v>
      </c>
      <c r="AF517" s="33">
        <v>1</v>
      </c>
      <c r="AG517" s="33">
        <v>1</v>
      </c>
      <c r="AH517" s="33">
        <v>1</v>
      </c>
      <c r="AI517" s="33" t="s">
        <v>4512</v>
      </c>
      <c r="AJ517"/>
      <c r="AK517" t="str">
        <f>Tabela1[[#This Row],[Coluna1]]&amp;Tabela1[[#This Row],[PEDIDO]]</f>
        <v>P-190</v>
      </c>
      <c r="AL517"/>
      <c r="AM517"/>
      <c r="AN517"/>
      <c r="AO517" t="str">
        <f t="shared" si="94"/>
        <v>P-024518-1/P190</v>
      </c>
      <c r="AP517" t="str">
        <f>Tabela1[[#This Row],[TAG]]&amp;Tabela1[[#This Row],[PEDIDO]]&amp;Tabela1[[#This Row],[PRODUTO]]</f>
        <v>P190P-190ESTRUTURA</v>
      </c>
      <c r="AQ517" s="22" t="str">
        <f>Tabela1[[#This Row],[PRODUTO]]&amp;Tabela1[[#This Row],[TAG]]</f>
        <v>ESTRUTURAP190</v>
      </c>
      <c r="AR517" s="24" t="str">
        <f>Tabela1[[#This Row],[PEDIDO]]&amp;Tabela1[[#This Row],[PRODUTO]]</f>
        <v>P-190ESTRUTURA</v>
      </c>
      <c r="AS517" s="37">
        <f>IF(AF517="",0,IF(ISTEXT(AF517),H517*VALUE(SUBSTITUTE(AF517,"%",""))/100,H517*AF517))-Tabela1[[#This Row],[PRONTO ACABADO2]]</f>
        <v>0</v>
      </c>
      <c r="AT517" s="37">
        <f>IF(AG517="",0,IF(ISTEXT(AG517),H517*VALUE(SUBSTITUTE(AG517,"%",""))/100,H517*AG517))-Tabela1[[#This Row],[PESO EXPEDIDO2]]</f>
        <v>0</v>
      </c>
      <c r="AU517" s="37">
        <f t="shared" si="95"/>
        <v>0.2</v>
      </c>
      <c r="AV517" s="37">
        <f t="shared" si="96"/>
        <v>0.2</v>
      </c>
      <c r="AW517" s="37"/>
    </row>
    <row r="518" spans="1:49" ht="15.75" customHeight="1" x14ac:dyDescent="0.25">
      <c r="A518" s="6" t="s">
        <v>4394</v>
      </c>
      <c r="B518" s="21"/>
      <c r="C518" s="7">
        <v>1</v>
      </c>
      <c r="D518" s="39" t="s">
        <v>4395</v>
      </c>
      <c r="E518" s="7">
        <v>3479</v>
      </c>
      <c r="F518" s="7">
        <v>9</v>
      </c>
      <c r="G518" s="23">
        <v>2.4</v>
      </c>
      <c r="H518" s="34">
        <f>Tabela1[[#This Row],[PESO UNI]]*Tabela1[[#This Row],[QTE]]</f>
        <v>2.4</v>
      </c>
      <c r="I518" s="7">
        <v>1</v>
      </c>
      <c r="J518" s="8" t="s">
        <v>2550</v>
      </c>
      <c r="K518" s="8" t="s">
        <v>31</v>
      </c>
      <c r="L518" s="9" t="s">
        <v>2551</v>
      </c>
      <c r="M518" s="10"/>
      <c r="N518" s="11" t="s">
        <v>38</v>
      </c>
      <c r="O518" s="12"/>
      <c r="P518" s="13"/>
      <c r="Q518" s="14">
        <f>Tabela1[[#This Row],[QTDE/ Fabricação]]-Tabela1[[#This Row],[QTE]]</f>
        <v>-1</v>
      </c>
      <c r="R518" s="18">
        <f t="shared" si="91"/>
        <v>2.4</v>
      </c>
      <c r="S518" s="18">
        <f t="shared" si="90"/>
        <v>2.4</v>
      </c>
      <c r="T518" s="19">
        <f t="shared" si="92"/>
        <v>0</v>
      </c>
      <c r="U518" s="16">
        <f>IFERROR(SUMIF('LISTA DE EMBARQUE'!B:B,MICRO!E:E,'LISTA DE EMBARQUE'!G:G),"")</f>
        <v>1</v>
      </c>
      <c r="V518" s="12">
        <f>IFERROR(VLOOKUP(Tabela1[[#This Row],[COD.MDE]],'LISTA DE EMBARQUE'!B:L,11,0),"")</f>
        <v>4</v>
      </c>
      <c r="W518" s="13" t="str">
        <f>IFERROR(COUNTIF(#REF!,Tabela1[[#This Row],[Colunas5]]),"")</f>
        <v/>
      </c>
      <c r="X518" s="14">
        <f>Tabela1[[#This Row],[QIANTIDADE EXPEDIDA]]*Tabela1[[#This Row],[PESO UNI]]</f>
        <v>2.4</v>
      </c>
      <c r="Y518" s="14">
        <f t="shared" si="93"/>
        <v>0</v>
      </c>
      <c r="Z518" s="20">
        <f>Tabela1[[#This Row],[PESO TOTAL]]-Tabela1[[#This Row],[Peso Expedido]]</f>
        <v>0</v>
      </c>
      <c r="AA518" s="17">
        <v>1</v>
      </c>
      <c r="AB518" s="33"/>
      <c r="AC518" s="33">
        <v>1</v>
      </c>
      <c r="AD518" s="33">
        <v>1</v>
      </c>
      <c r="AE518" s="33">
        <v>1</v>
      </c>
      <c r="AF518" s="33">
        <v>1</v>
      </c>
      <c r="AG518" s="33">
        <v>1</v>
      </c>
      <c r="AH518" s="33">
        <v>1</v>
      </c>
      <c r="AI518" s="33" t="s">
        <v>4512</v>
      </c>
      <c r="AJ518"/>
      <c r="AK518" t="str">
        <f>Tabela1[[#This Row],[Coluna1]]&amp;Tabela1[[#This Row],[PEDIDO]]</f>
        <v>P-190</v>
      </c>
      <c r="AL518"/>
      <c r="AM518"/>
      <c r="AN518"/>
      <c r="AO518" t="str">
        <f t="shared" si="94"/>
        <v>P-024533-1/P190</v>
      </c>
      <c r="AP518" t="str">
        <f>Tabela1[[#This Row],[TAG]]&amp;Tabela1[[#This Row],[PEDIDO]]&amp;Tabela1[[#This Row],[PRODUTO]]</f>
        <v>P190P-190ESTRUTURA</v>
      </c>
      <c r="AQ518" s="22" t="str">
        <f>Tabela1[[#This Row],[PRODUTO]]&amp;Tabela1[[#This Row],[TAG]]</f>
        <v>ESTRUTURAP190</v>
      </c>
      <c r="AR518" s="24" t="str">
        <f>Tabela1[[#This Row],[PEDIDO]]&amp;Tabela1[[#This Row],[PRODUTO]]</f>
        <v>P-190ESTRUTURA</v>
      </c>
      <c r="AS518" s="37">
        <f>IF(AF518="",0,IF(ISTEXT(AF518),H518*VALUE(SUBSTITUTE(AF518,"%",""))/100,H518*AF518))-Tabela1[[#This Row],[PRONTO ACABADO2]]</f>
        <v>0</v>
      </c>
      <c r="AT518" s="37">
        <f>IF(AG518="",0,IF(ISTEXT(AG518),H518*VALUE(SUBSTITUTE(AG518,"%",""))/100,H518*AG518))-Tabela1[[#This Row],[PESO EXPEDIDO2]]</f>
        <v>0</v>
      </c>
      <c r="AU518" s="37">
        <f t="shared" si="95"/>
        <v>2.4</v>
      </c>
      <c r="AV518" s="37">
        <f t="shared" si="96"/>
        <v>2.4</v>
      </c>
      <c r="AW518" s="37"/>
    </row>
    <row r="519" spans="1:49" ht="15.75" customHeight="1" x14ac:dyDescent="0.25">
      <c r="A519" s="6" t="s">
        <v>4396</v>
      </c>
      <c r="B519" s="21"/>
      <c r="C519" s="7">
        <v>4</v>
      </c>
      <c r="D519" s="39" t="s">
        <v>4397</v>
      </c>
      <c r="E519" s="7">
        <v>3480</v>
      </c>
      <c r="F519" s="7">
        <v>8</v>
      </c>
      <c r="G519" s="23">
        <v>6</v>
      </c>
      <c r="H519" s="34">
        <f>Tabela1[[#This Row],[PESO UNI]]*Tabela1[[#This Row],[QTE]]</f>
        <v>24</v>
      </c>
      <c r="I519" s="7">
        <v>1</v>
      </c>
      <c r="J519" s="8" t="s">
        <v>2550</v>
      </c>
      <c r="K519" s="8" t="s">
        <v>31</v>
      </c>
      <c r="L519" s="9" t="s">
        <v>2551</v>
      </c>
      <c r="M519" s="10"/>
      <c r="N519" s="11" t="s">
        <v>38</v>
      </c>
      <c r="O519" s="12"/>
      <c r="P519" s="13"/>
      <c r="Q519" s="14">
        <f>Tabela1[[#This Row],[QTDE/ Fabricação]]-Tabela1[[#This Row],[QTE]]</f>
        <v>-4</v>
      </c>
      <c r="R519" s="18">
        <f t="shared" si="91"/>
        <v>24</v>
      </c>
      <c r="S519" s="18">
        <f t="shared" si="90"/>
        <v>24</v>
      </c>
      <c r="T519" s="19">
        <f t="shared" si="92"/>
        <v>0</v>
      </c>
      <c r="U519" s="16">
        <v>4</v>
      </c>
      <c r="V519" s="12" t="str">
        <f>IFERROR(VLOOKUP(Tabela1[[#This Row],[COD.MDE]],'LISTA DE EMBARQUE'!B:L,11,0),"")</f>
        <v/>
      </c>
      <c r="W519" s="13" t="str">
        <f>IFERROR(COUNTIF(#REF!,Tabela1[[#This Row],[Colunas5]]),"")</f>
        <v/>
      </c>
      <c r="X519" s="14">
        <f>Tabela1[[#This Row],[QIANTIDADE EXPEDIDA]]*Tabela1[[#This Row],[PESO UNI]]</f>
        <v>24</v>
      </c>
      <c r="Y519" s="14">
        <f t="shared" si="93"/>
        <v>0</v>
      </c>
      <c r="Z519" s="20">
        <f>Tabela1[[#This Row],[PESO TOTAL]]-Tabela1[[#This Row],[Peso Expedido]]</f>
        <v>0</v>
      </c>
      <c r="AA519" s="17">
        <v>1</v>
      </c>
      <c r="AB519" s="33"/>
      <c r="AC519" s="33">
        <v>1</v>
      </c>
      <c r="AD519" s="33">
        <v>1</v>
      </c>
      <c r="AE519" s="33">
        <v>1</v>
      </c>
      <c r="AF519" s="33">
        <v>1</v>
      </c>
      <c r="AG519" s="33">
        <v>1</v>
      </c>
      <c r="AH519" s="33">
        <v>1</v>
      </c>
      <c r="AI519" s="33" t="s">
        <v>4512</v>
      </c>
      <c r="AJ519"/>
      <c r="AK519" t="str">
        <f>Tabela1[[#This Row],[Coluna1]]&amp;Tabela1[[#This Row],[PEDIDO]]</f>
        <v>P-190</v>
      </c>
      <c r="AL519"/>
      <c r="AM519"/>
      <c r="AN519"/>
      <c r="AO519" t="str">
        <f t="shared" si="94"/>
        <v>P-024530-1/P190</v>
      </c>
      <c r="AP519" t="str">
        <f>Tabela1[[#This Row],[TAG]]&amp;Tabela1[[#This Row],[PEDIDO]]&amp;Tabela1[[#This Row],[PRODUTO]]</f>
        <v>P190P-190ESTRUTURA</v>
      </c>
      <c r="AQ519" s="22" t="str">
        <f>Tabela1[[#This Row],[PRODUTO]]&amp;Tabela1[[#This Row],[TAG]]</f>
        <v>ESTRUTURAP190</v>
      </c>
      <c r="AR519" s="24" t="str">
        <f>Tabela1[[#This Row],[PEDIDO]]&amp;Tabela1[[#This Row],[PRODUTO]]</f>
        <v>P-190ESTRUTURA</v>
      </c>
      <c r="AS519" s="37">
        <f>IF(AF519="",0,IF(ISTEXT(AF519),H519*VALUE(SUBSTITUTE(AF519,"%",""))/100,H519*AF519))-Tabela1[[#This Row],[PRONTO ACABADO2]]</f>
        <v>0</v>
      </c>
      <c r="AT519" s="37">
        <f>IF(AG519="",0,IF(ISTEXT(AG519),H519*VALUE(SUBSTITUTE(AG519,"%",""))/100,H519*AG519))-Tabela1[[#This Row],[PESO EXPEDIDO2]]</f>
        <v>0</v>
      </c>
      <c r="AU519" s="37">
        <f t="shared" si="95"/>
        <v>24</v>
      </c>
      <c r="AV519" s="37">
        <f t="shared" si="96"/>
        <v>24</v>
      </c>
      <c r="AW519" s="37"/>
    </row>
    <row r="520" spans="1:49" ht="15.75" customHeight="1" x14ac:dyDescent="0.25">
      <c r="A520" s="6" t="s">
        <v>4398</v>
      </c>
      <c r="B520" s="21"/>
      <c r="C520" s="7">
        <v>4</v>
      </c>
      <c r="D520" s="39" t="s">
        <v>4399</v>
      </c>
      <c r="E520" s="7">
        <v>3481</v>
      </c>
      <c r="F520" s="7">
        <v>7</v>
      </c>
      <c r="G520" s="23">
        <v>4.0999999999999996</v>
      </c>
      <c r="H520" s="34">
        <f>Tabela1[[#This Row],[PESO UNI]]*Tabela1[[#This Row],[QTE]]</f>
        <v>16.399999999999999</v>
      </c>
      <c r="I520" s="7">
        <v>1</v>
      </c>
      <c r="J520" s="8" t="s">
        <v>2550</v>
      </c>
      <c r="K520" s="8" t="s">
        <v>31</v>
      </c>
      <c r="L520" s="9" t="s">
        <v>2551</v>
      </c>
      <c r="M520" s="10"/>
      <c r="N520" s="11" t="s">
        <v>38</v>
      </c>
      <c r="O520" s="12"/>
      <c r="P520" s="13"/>
      <c r="Q520" s="14">
        <f>Tabela1[[#This Row],[QTDE/ Fabricação]]-Tabela1[[#This Row],[QTE]]</f>
        <v>-4</v>
      </c>
      <c r="R520" s="18">
        <f t="shared" si="91"/>
        <v>16.399999999999999</v>
      </c>
      <c r="S520" s="18">
        <f t="shared" si="90"/>
        <v>16.399999999999999</v>
      </c>
      <c r="T520" s="19">
        <f t="shared" si="92"/>
        <v>0</v>
      </c>
      <c r="U520" s="16">
        <f>IFERROR(SUMIF('LISTA DE EMBARQUE'!B:B,MICRO!E:E,'LISTA DE EMBARQUE'!G:G),"")</f>
        <v>4</v>
      </c>
      <c r="V520" s="12">
        <f>IFERROR(VLOOKUP(Tabela1[[#This Row],[COD.MDE]],'LISTA DE EMBARQUE'!B:L,11,0),"")</f>
        <v>4</v>
      </c>
      <c r="W520" s="13" t="str">
        <f>IFERROR(COUNTIF(#REF!,Tabela1[[#This Row],[Colunas5]]),"")</f>
        <v/>
      </c>
      <c r="X520" s="14">
        <f>Tabela1[[#This Row],[QIANTIDADE EXPEDIDA]]*Tabela1[[#This Row],[PESO UNI]]</f>
        <v>16.399999999999999</v>
      </c>
      <c r="Y520" s="14">
        <f t="shared" si="93"/>
        <v>0</v>
      </c>
      <c r="Z520" s="20">
        <f>Tabela1[[#This Row],[PESO TOTAL]]-Tabela1[[#This Row],[Peso Expedido]]</f>
        <v>0</v>
      </c>
      <c r="AA520" s="17">
        <v>1</v>
      </c>
      <c r="AB520" s="33"/>
      <c r="AC520" s="33">
        <v>1</v>
      </c>
      <c r="AD520" s="33">
        <v>1</v>
      </c>
      <c r="AE520" s="33">
        <v>1</v>
      </c>
      <c r="AF520" s="33">
        <v>1</v>
      </c>
      <c r="AG520" s="33">
        <v>1</v>
      </c>
      <c r="AH520" s="33">
        <v>1</v>
      </c>
      <c r="AI520" s="33" t="s">
        <v>4512</v>
      </c>
      <c r="AJ520"/>
      <c r="AK520" t="str">
        <f>Tabela1[[#This Row],[Coluna1]]&amp;Tabela1[[#This Row],[PEDIDO]]</f>
        <v>P-190</v>
      </c>
      <c r="AL520"/>
      <c r="AM520"/>
      <c r="AN520"/>
      <c r="AO520" t="str">
        <f t="shared" si="94"/>
        <v>P-024531-1/P190</v>
      </c>
      <c r="AP520" t="str">
        <f>Tabela1[[#This Row],[TAG]]&amp;Tabela1[[#This Row],[PEDIDO]]&amp;Tabela1[[#This Row],[PRODUTO]]</f>
        <v>P190P-190ESTRUTURA</v>
      </c>
      <c r="AQ520" s="22" t="str">
        <f>Tabela1[[#This Row],[PRODUTO]]&amp;Tabela1[[#This Row],[TAG]]</f>
        <v>ESTRUTURAP190</v>
      </c>
      <c r="AR520" s="24" t="str">
        <f>Tabela1[[#This Row],[PEDIDO]]&amp;Tabela1[[#This Row],[PRODUTO]]</f>
        <v>P-190ESTRUTURA</v>
      </c>
      <c r="AS520" s="37">
        <f>IF(AF520="",0,IF(ISTEXT(AF520),H520*VALUE(SUBSTITUTE(AF520,"%",""))/100,H520*AF520))-Tabela1[[#This Row],[PRONTO ACABADO2]]</f>
        <v>0</v>
      </c>
      <c r="AT520" s="37">
        <f>IF(AG520="",0,IF(ISTEXT(AG520),H520*VALUE(SUBSTITUTE(AG520,"%",""))/100,H520*AG520))-Tabela1[[#This Row],[PESO EXPEDIDO2]]</f>
        <v>0</v>
      </c>
      <c r="AU520" s="37">
        <f t="shared" si="95"/>
        <v>16.399999999999999</v>
      </c>
      <c r="AV520" s="37">
        <f t="shared" si="96"/>
        <v>16.399999999999999</v>
      </c>
      <c r="AW520" s="37"/>
    </row>
    <row r="521" spans="1:49" ht="15.75" customHeight="1" x14ac:dyDescent="0.25">
      <c r="A521" s="6" t="s">
        <v>2558</v>
      </c>
      <c r="B521" s="21"/>
      <c r="C521" s="7">
        <v>2</v>
      </c>
      <c r="D521" s="39" t="s">
        <v>2559</v>
      </c>
      <c r="E521" s="7">
        <v>3482</v>
      </c>
      <c r="F521" s="7">
        <v>6</v>
      </c>
      <c r="G521" s="23">
        <v>426</v>
      </c>
      <c r="H521" s="34">
        <f>Tabela1[[#This Row],[PESO UNI]]*Tabela1[[#This Row],[QTE]]</f>
        <v>852</v>
      </c>
      <c r="I521" s="7">
        <v>2</v>
      </c>
      <c r="J521" s="8" t="s">
        <v>2550</v>
      </c>
      <c r="K521" s="8" t="s">
        <v>31</v>
      </c>
      <c r="L521" s="9" t="s">
        <v>2551</v>
      </c>
      <c r="M521" s="10"/>
      <c r="N521" s="11" t="s">
        <v>38</v>
      </c>
      <c r="O521" s="12"/>
      <c r="P521" s="13"/>
      <c r="Q521" s="14">
        <f>Tabela1[[#This Row],[QTDE/ Fabricação]]-Tabela1[[#This Row],[QTE]]</f>
        <v>-2</v>
      </c>
      <c r="R521" s="18">
        <f t="shared" si="91"/>
        <v>852</v>
      </c>
      <c r="S521" s="18">
        <f t="shared" si="90"/>
        <v>852</v>
      </c>
      <c r="T521" s="19">
        <f t="shared" si="92"/>
        <v>0</v>
      </c>
      <c r="U521" s="16">
        <f>IFERROR(SUMIF('LISTA DE EMBARQUE'!B:B,MICRO!E:E,'LISTA DE EMBARQUE'!G:G),"")</f>
        <v>2</v>
      </c>
      <c r="V521" s="12">
        <f>IFERROR(VLOOKUP(Tabela1[[#This Row],[COD.MDE]],'LISTA DE EMBARQUE'!B:L,11,0),"")</f>
        <v>2</v>
      </c>
      <c r="W521" s="13" t="str">
        <f>IFERROR(COUNTIF(#REF!,Tabela1[[#This Row],[Colunas5]]),"")</f>
        <v/>
      </c>
      <c r="X521" s="14">
        <f>Tabela1[[#This Row],[QIANTIDADE EXPEDIDA]]*Tabela1[[#This Row],[PESO UNI]]</f>
        <v>852</v>
      </c>
      <c r="Y521" s="14">
        <f t="shared" si="93"/>
        <v>0</v>
      </c>
      <c r="Z521" s="20">
        <f>Tabela1[[#This Row],[PESO TOTAL]]-Tabela1[[#This Row],[Peso Expedido]]</f>
        <v>0</v>
      </c>
      <c r="AA521" s="17">
        <v>1</v>
      </c>
      <c r="AB521" s="33"/>
      <c r="AC521" s="33">
        <v>1</v>
      </c>
      <c r="AD521" s="33">
        <v>1</v>
      </c>
      <c r="AE521" s="33">
        <v>1</v>
      </c>
      <c r="AF521" s="33">
        <v>1</v>
      </c>
      <c r="AG521" s="33">
        <v>1</v>
      </c>
      <c r="AH521" s="33">
        <v>1</v>
      </c>
      <c r="AI521" s="33" t="s">
        <v>4512</v>
      </c>
      <c r="AJ521"/>
      <c r="AK521" t="str">
        <f>Tabela1[[#This Row],[Coluna1]]&amp;Tabela1[[#This Row],[PEDIDO]]</f>
        <v>P-190</v>
      </c>
      <c r="AL521"/>
      <c r="AM521"/>
      <c r="AN521"/>
      <c r="AO521" t="str">
        <f t="shared" si="94"/>
        <v>P-024514-1/P190</v>
      </c>
      <c r="AP521" t="str">
        <f>Tabela1[[#This Row],[TAG]]&amp;Tabela1[[#This Row],[PEDIDO]]&amp;Tabela1[[#This Row],[PRODUTO]]</f>
        <v>P190P-190ESTRUTURA</v>
      </c>
      <c r="AQ521" s="22" t="str">
        <f>Tabela1[[#This Row],[PRODUTO]]&amp;Tabela1[[#This Row],[TAG]]</f>
        <v>ESTRUTURAP190</v>
      </c>
      <c r="AR521" s="24" t="str">
        <f>Tabela1[[#This Row],[PEDIDO]]&amp;Tabela1[[#This Row],[PRODUTO]]</f>
        <v>P-190ESTRUTURA</v>
      </c>
      <c r="AS521" s="37">
        <f>IF(AF521="",0,IF(ISTEXT(AF521),H521*VALUE(SUBSTITUTE(AF521,"%",""))/100,H521*AF521))-Tabela1[[#This Row],[PRONTO ACABADO2]]</f>
        <v>0</v>
      </c>
      <c r="AT521" s="37">
        <f>IF(AG521="",0,IF(ISTEXT(AG521),H521*VALUE(SUBSTITUTE(AG521,"%",""))/100,H521*AG521))-Tabela1[[#This Row],[PESO EXPEDIDO2]]</f>
        <v>0</v>
      </c>
      <c r="AU521" s="37">
        <f t="shared" si="95"/>
        <v>852</v>
      </c>
      <c r="AV521" s="37">
        <f t="shared" si="96"/>
        <v>852</v>
      </c>
      <c r="AW521" s="37"/>
    </row>
    <row r="522" spans="1:49" ht="15.75" customHeight="1" x14ac:dyDescent="0.25">
      <c r="A522" s="6" t="s">
        <v>4400</v>
      </c>
      <c r="B522" s="21"/>
      <c r="C522" s="7">
        <v>1</v>
      </c>
      <c r="D522" s="39" t="s">
        <v>4401</v>
      </c>
      <c r="E522" s="7">
        <v>3483</v>
      </c>
      <c r="F522" s="7">
        <v>3</v>
      </c>
      <c r="G522" s="23">
        <v>24</v>
      </c>
      <c r="H522" s="34">
        <f>Tabela1[[#This Row],[PESO UNI]]*Tabela1[[#This Row],[QTE]]</f>
        <v>24</v>
      </c>
      <c r="I522" s="7">
        <v>0</v>
      </c>
      <c r="J522" s="8" t="s">
        <v>2550</v>
      </c>
      <c r="K522" s="8" t="s">
        <v>31</v>
      </c>
      <c r="L522" s="9" t="s">
        <v>2551</v>
      </c>
      <c r="M522" s="10"/>
      <c r="N522" s="11" t="s">
        <v>38</v>
      </c>
      <c r="O522" s="12"/>
      <c r="P522" s="13"/>
      <c r="Q522" s="14">
        <f>Tabela1[[#This Row],[QTDE/ Fabricação]]-Tabela1[[#This Row],[QTE]]</f>
        <v>-1</v>
      </c>
      <c r="R522" s="18">
        <f t="shared" si="91"/>
        <v>24</v>
      </c>
      <c r="S522" s="18">
        <f t="shared" si="90"/>
        <v>24</v>
      </c>
      <c r="T522" s="19">
        <f t="shared" si="92"/>
        <v>0</v>
      </c>
      <c r="U522" s="16">
        <v>1</v>
      </c>
      <c r="V522" s="12" t="str">
        <f>IFERROR(VLOOKUP(Tabela1[[#This Row],[COD.MDE]],'LISTA DE EMBARQUE'!B:L,11,0),"")</f>
        <v/>
      </c>
      <c r="W522" s="13" t="str">
        <f>IFERROR(COUNTIF(#REF!,Tabela1[[#This Row],[Colunas5]]),"")</f>
        <v/>
      </c>
      <c r="X522" s="14">
        <f>Tabela1[[#This Row],[QIANTIDADE EXPEDIDA]]*Tabela1[[#This Row],[PESO UNI]]</f>
        <v>24</v>
      </c>
      <c r="Y522" s="14">
        <f t="shared" si="93"/>
        <v>0</v>
      </c>
      <c r="Z522" s="20">
        <f>Tabela1[[#This Row],[PESO TOTAL]]-Tabela1[[#This Row],[Peso Expedido]]</f>
        <v>0</v>
      </c>
      <c r="AA522" s="17">
        <v>1</v>
      </c>
      <c r="AB522" s="33"/>
      <c r="AC522" s="33">
        <v>1</v>
      </c>
      <c r="AD522" s="33">
        <v>1</v>
      </c>
      <c r="AE522" s="33">
        <v>1</v>
      </c>
      <c r="AF522" s="33">
        <v>1</v>
      </c>
      <c r="AG522" s="33">
        <v>1</v>
      </c>
      <c r="AH522" s="33">
        <v>1</v>
      </c>
      <c r="AI522" s="33" t="s">
        <v>4512</v>
      </c>
      <c r="AJ522"/>
      <c r="AK522" t="str">
        <f>Tabela1[[#This Row],[Coluna1]]&amp;Tabela1[[#This Row],[PEDIDO]]</f>
        <v>P-190</v>
      </c>
      <c r="AL522"/>
      <c r="AM522"/>
      <c r="AN522"/>
      <c r="AO522" t="str">
        <f t="shared" si="94"/>
        <v>P-024500-1/P190</v>
      </c>
      <c r="AP522" t="str">
        <f>Tabela1[[#This Row],[TAG]]&amp;Tabela1[[#This Row],[PEDIDO]]&amp;Tabela1[[#This Row],[PRODUTO]]</f>
        <v>P190P-190ESTRUTURA</v>
      </c>
      <c r="AQ522" s="22" t="str">
        <f>Tabela1[[#This Row],[PRODUTO]]&amp;Tabela1[[#This Row],[TAG]]</f>
        <v>ESTRUTURAP190</v>
      </c>
      <c r="AR522" s="24" t="str">
        <f>Tabela1[[#This Row],[PEDIDO]]&amp;Tabela1[[#This Row],[PRODUTO]]</f>
        <v>P-190ESTRUTURA</v>
      </c>
      <c r="AS522" s="37">
        <f>IF(AF522="",0,IF(ISTEXT(AF522),H522*VALUE(SUBSTITUTE(AF522,"%",""))/100,H522*AF522))-Tabela1[[#This Row],[PRONTO ACABADO2]]</f>
        <v>0</v>
      </c>
      <c r="AT522" s="37">
        <f>IF(AG522="",0,IF(ISTEXT(AG522),H522*VALUE(SUBSTITUTE(AG522,"%",""))/100,H522*AG522))-Tabela1[[#This Row],[PESO EXPEDIDO2]]</f>
        <v>0</v>
      </c>
      <c r="AU522" s="37">
        <f t="shared" si="95"/>
        <v>24</v>
      </c>
      <c r="AV522" s="37">
        <f t="shared" si="96"/>
        <v>24</v>
      </c>
      <c r="AW522" s="37"/>
    </row>
    <row r="523" spans="1:49" ht="15.75" customHeight="1" x14ac:dyDescent="0.25">
      <c r="A523" s="6" t="s">
        <v>4400</v>
      </c>
      <c r="B523" s="21"/>
      <c r="C523" s="7">
        <v>1</v>
      </c>
      <c r="D523" s="39" t="s">
        <v>4402</v>
      </c>
      <c r="E523" s="7">
        <v>3484</v>
      </c>
      <c r="F523" s="7">
        <v>3</v>
      </c>
      <c r="G523" s="23">
        <v>20</v>
      </c>
      <c r="H523" s="34">
        <f>Tabela1[[#This Row],[PESO UNI]]*Tabela1[[#This Row],[QTE]]</f>
        <v>20</v>
      </c>
      <c r="I523" s="7">
        <v>0</v>
      </c>
      <c r="J523" s="8" t="s">
        <v>2550</v>
      </c>
      <c r="K523" s="8" t="s">
        <v>31</v>
      </c>
      <c r="L523" s="9" t="s">
        <v>2551</v>
      </c>
      <c r="M523" s="10"/>
      <c r="N523" s="11" t="s">
        <v>38</v>
      </c>
      <c r="O523" s="12"/>
      <c r="P523" s="13"/>
      <c r="Q523" s="14">
        <f>Tabela1[[#This Row],[QTDE/ Fabricação]]-Tabela1[[#This Row],[QTE]]</f>
        <v>-1</v>
      </c>
      <c r="R523" s="18">
        <f t="shared" si="91"/>
        <v>20</v>
      </c>
      <c r="S523" s="18">
        <f t="shared" si="90"/>
        <v>20</v>
      </c>
      <c r="T523" s="19">
        <f t="shared" si="92"/>
        <v>0</v>
      </c>
      <c r="U523" s="16">
        <v>1</v>
      </c>
      <c r="V523" s="12" t="str">
        <f>IFERROR(VLOOKUP(Tabela1[[#This Row],[COD.MDE]],'LISTA DE EMBARQUE'!B:L,11,0),"")</f>
        <v/>
      </c>
      <c r="W523" s="13" t="str">
        <f>IFERROR(COUNTIF(#REF!,Tabela1[[#This Row],[Colunas5]]),"")</f>
        <v/>
      </c>
      <c r="X523" s="14">
        <f>Tabela1[[#This Row],[QIANTIDADE EXPEDIDA]]*Tabela1[[#This Row],[PESO UNI]]</f>
        <v>20</v>
      </c>
      <c r="Y523" s="14">
        <f t="shared" si="93"/>
        <v>0</v>
      </c>
      <c r="Z523" s="20">
        <f>Tabela1[[#This Row],[PESO TOTAL]]-Tabela1[[#This Row],[Peso Expedido]]</f>
        <v>0</v>
      </c>
      <c r="AA523" s="17">
        <v>1</v>
      </c>
      <c r="AB523" s="33"/>
      <c r="AC523" s="33">
        <v>1</v>
      </c>
      <c r="AD523" s="33">
        <v>1</v>
      </c>
      <c r="AE523" s="33">
        <v>1</v>
      </c>
      <c r="AF523" s="33">
        <v>1</v>
      </c>
      <c r="AG523" s="33">
        <v>1</v>
      </c>
      <c r="AH523" s="33">
        <v>1</v>
      </c>
      <c r="AI523" s="33" t="s">
        <v>4512</v>
      </c>
      <c r="AJ523"/>
      <c r="AK523" t="str">
        <f>Tabela1[[#This Row],[Coluna1]]&amp;Tabela1[[#This Row],[PEDIDO]]</f>
        <v>P-190</v>
      </c>
      <c r="AL523"/>
      <c r="AM523"/>
      <c r="AN523"/>
      <c r="AO523" t="str">
        <f t="shared" si="94"/>
        <v>P-024500-1/P190</v>
      </c>
      <c r="AP523" t="str">
        <f>Tabela1[[#This Row],[TAG]]&amp;Tabela1[[#This Row],[PEDIDO]]&amp;Tabela1[[#This Row],[PRODUTO]]</f>
        <v>P190P-190ESTRUTURA</v>
      </c>
      <c r="AQ523" s="22" t="str">
        <f>Tabela1[[#This Row],[PRODUTO]]&amp;Tabela1[[#This Row],[TAG]]</f>
        <v>ESTRUTURAP190</v>
      </c>
      <c r="AR523" s="24" t="str">
        <f>Tabela1[[#This Row],[PEDIDO]]&amp;Tabela1[[#This Row],[PRODUTO]]</f>
        <v>P-190ESTRUTURA</v>
      </c>
      <c r="AS523" s="37">
        <f>IF(AF523="",0,IF(ISTEXT(AF523),H523*VALUE(SUBSTITUTE(AF523,"%",""))/100,H523*AF523))-Tabela1[[#This Row],[PRONTO ACABADO2]]</f>
        <v>0</v>
      </c>
      <c r="AT523" s="37">
        <f>IF(AG523="",0,IF(ISTEXT(AG523),H523*VALUE(SUBSTITUTE(AG523,"%",""))/100,H523*AG523))-Tabela1[[#This Row],[PESO EXPEDIDO2]]</f>
        <v>0</v>
      </c>
      <c r="AU523" s="37">
        <f t="shared" si="95"/>
        <v>20</v>
      </c>
      <c r="AV523" s="37">
        <f t="shared" si="96"/>
        <v>20</v>
      </c>
      <c r="AW523" s="37"/>
    </row>
    <row r="524" spans="1:49" ht="15.75" customHeight="1" x14ac:dyDescent="0.25">
      <c r="A524" s="6" t="s">
        <v>4400</v>
      </c>
      <c r="B524" s="21"/>
      <c r="C524" s="7">
        <v>2</v>
      </c>
      <c r="D524" s="39" t="s">
        <v>4403</v>
      </c>
      <c r="E524" s="7">
        <v>3485</v>
      </c>
      <c r="F524" s="7">
        <v>3</v>
      </c>
      <c r="G524" s="23">
        <v>3</v>
      </c>
      <c r="H524" s="34">
        <f>Tabela1[[#This Row],[PESO UNI]]*Tabela1[[#This Row],[QTE]]</f>
        <v>6</v>
      </c>
      <c r="I524" s="7">
        <v>0</v>
      </c>
      <c r="J524" s="8" t="s">
        <v>2550</v>
      </c>
      <c r="K524" s="8" t="s">
        <v>31</v>
      </c>
      <c r="L524" s="9" t="s">
        <v>2551</v>
      </c>
      <c r="M524" s="10"/>
      <c r="N524" s="11" t="s">
        <v>38</v>
      </c>
      <c r="O524" s="12"/>
      <c r="P524" s="13"/>
      <c r="Q524" s="14">
        <f>Tabela1[[#This Row],[QTDE/ Fabricação]]-Tabela1[[#This Row],[QTE]]</f>
        <v>-2</v>
      </c>
      <c r="R524" s="18">
        <f t="shared" si="91"/>
        <v>6</v>
      </c>
      <c r="S524" s="18">
        <f t="shared" si="90"/>
        <v>6</v>
      </c>
      <c r="T524" s="19">
        <f t="shared" si="92"/>
        <v>0</v>
      </c>
      <c r="U524" s="16">
        <v>2</v>
      </c>
      <c r="V524" s="12" t="str">
        <f>IFERROR(VLOOKUP(Tabela1[[#This Row],[COD.MDE]],'LISTA DE EMBARQUE'!B:L,11,0),"")</f>
        <v/>
      </c>
      <c r="W524" s="13" t="str">
        <f>IFERROR(COUNTIF(#REF!,Tabela1[[#This Row],[Colunas5]]),"")</f>
        <v/>
      </c>
      <c r="X524" s="14">
        <f>Tabela1[[#This Row],[QIANTIDADE EXPEDIDA]]*Tabela1[[#This Row],[PESO UNI]]</f>
        <v>6</v>
      </c>
      <c r="Y524" s="14">
        <f t="shared" si="93"/>
        <v>0</v>
      </c>
      <c r="Z524" s="20">
        <f>Tabela1[[#This Row],[PESO TOTAL]]-Tabela1[[#This Row],[Peso Expedido]]</f>
        <v>0</v>
      </c>
      <c r="AA524" s="17">
        <v>1</v>
      </c>
      <c r="AB524" s="33"/>
      <c r="AC524" s="33">
        <v>1</v>
      </c>
      <c r="AD524" s="33">
        <v>1</v>
      </c>
      <c r="AE524" s="33">
        <v>1</v>
      </c>
      <c r="AF524" s="33">
        <v>1</v>
      </c>
      <c r="AG524" s="33">
        <v>1</v>
      </c>
      <c r="AH524" s="33">
        <v>1</v>
      </c>
      <c r="AI524" s="33" t="s">
        <v>4512</v>
      </c>
      <c r="AJ524"/>
      <c r="AK524" t="str">
        <f>Tabela1[[#This Row],[Coluna1]]&amp;Tabela1[[#This Row],[PEDIDO]]</f>
        <v>P-190</v>
      </c>
      <c r="AL524"/>
      <c r="AM524"/>
      <c r="AN524"/>
      <c r="AO524" t="str">
        <f t="shared" si="94"/>
        <v>P-024500-1/P190</v>
      </c>
      <c r="AP524" t="str">
        <f>Tabela1[[#This Row],[TAG]]&amp;Tabela1[[#This Row],[PEDIDO]]&amp;Tabela1[[#This Row],[PRODUTO]]</f>
        <v>P190P-190ESTRUTURA</v>
      </c>
      <c r="AQ524" s="22" t="str">
        <f>Tabela1[[#This Row],[PRODUTO]]&amp;Tabela1[[#This Row],[TAG]]</f>
        <v>ESTRUTURAP190</v>
      </c>
      <c r="AR524" s="24" t="str">
        <f>Tabela1[[#This Row],[PEDIDO]]&amp;Tabela1[[#This Row],[PRODUTO]]</f>
        <v>P-190ESTRUTURA</v>
      </c>
      <c r="AS524" s="37">
        <f>IF(AF524="",0,IF(ISTEXT(AF524),H524*VALUE(SUBSTITUTE(AF524,"%",""))/100,H524*AF524))-Tabela1[[#This Row],[PRONTO ACABADO2]]</f>
        <v>0</v>
      </c>
      <c r="AT524" s="37">
        <f>IF(AG524="",0,IF(ISTEXT(AG524),H524*VALUE(SUBSTITUTE(AG524,"%",""))/100,H524*AG524))-Tabela1[[#This Row],[PESO EXPEDIDO2]]</f>
        <v>0</v>
      </c>
      <c r="AU524" s="37">
        <f t="shared" si="95"/>
        <v>6</v>
      </c>
      <c r="AV524" s="37">
        <f t="shared" si="96"/>
        <v>6</v>
      </c>
      <c r="AW524" s="37"/>
    </row>
    <row r="525" spans="1:49" ht="15.75" customHeight="1" x14ac:dyDescent="0.25">
      <c r="A525" s="6" t="s">
        <v>4400</v>
      </c>
      <c r="B525" s="21"/>
      <c r="C525" s="7">
        <v>2</v>
      </c>
      <c r="D525" s="39" t="s">
        <v>4404</v>
      </c>
      <c r="E525" s="7">
        <v>3486</v>
      </c>
      <c r="F525" s="7">
        <v>3</v>
      </c>
      <c r="G525" s="23">
        <v>3</v>
      </c>
      <c r="H525" s="34">
        <f>Tabela1[[#This Row],[PESO UNI]]*Tabela1[[#This Row],[QTE]]</f>
        <v>6</v>
      </c>
      <c r="I525" s="7">
        <v>0</v>
      </c>
      <c r="J525" s="8" t="s">
        <v>2550</v>
      </c>
      <c r="K525" s="8" t="s">
        <v>31</v>
      </c>
      <c r="L525" s="9" t="s">
        <v>2551</v>
      </c>
      <c r="M525" s="10"/>
      <c r="N525" s="11" t="s">
        <v>38</v>
      </c>
      <c r="O525" s="12"/>
      <c r="P525" s="13"/>
      <c r="Q525" s="14">
        <f>Tabela1[[#This Row],[QTDE/ Fabricação]]-Tabela1[[#This Row],[QTE]]</f>
        <v>-2</v>
      </c>
      <c r="R525" s="18">
        <f t="shared" si="91"/>
        <v>6</v>
      </c>
      <c r="S525" s="18">
        <f t="shared" si="90"/>
        <v>6</v>
      </c>
      <c r="T525" s="19">
        <f t="shared" si="92"/>
        <v>0</v>
      </c>
      <c r="U525" s="16">
        <v>2</v>
      </c>
      <c r="V525" s="12" t="str">
        <f>IFERROR(VLOOKUP(Tabela1[[#This Row],[COD.MDE]],'LISTA DE EMBARQUE'!B:L,11,0),"")</f>
        <v/>
      </c>
      <c r="W525" s="13" t="str">
        <f>IFERROR(COUNTIF(#REF!,Tabela1[[#This Row],[Colunas5]]),"")</f>
        <v/>
      </c>
      <c r="X525" s="14">
        <f>Tabela1[[#This Row],[QIANTIDADE EXPEDIDA]]*Tabela1[[#This Row],[PESO UNI]]</f>
        <v>6</v>
      </c>
      <c r="Y525" s="14">
        <f t="shared" si="93"/>
        <v>0</v>
      </c>
      <c r="Z525" s="20">
        <f>Tabela1[[#This Row],[PESO TOTAL]]-Tabela1[[#This Row],[Peso Expedido]]</f>
        <v>0</v>
      </c>
      <c r="AA525" s="17">
        <v>1</v>
      </c>
      <c r="AB525" s="33"/>
      <c r="AC525" s="33">
        <v>1</v>
      </c>
      <c r="AD525" s="33">
        <v>1</v>
      </c>
      <c r="AE525" s="33">
        <v>1</v>
      </c>
      <c r="AF525" s="33">
        <v>1</v>
      </c>
      <c r="AG525" s="33">
        <v>1</v>
      </c>
      <c r="AH525" s="33">
        <v>1</v>
      </c>
      <c r="AI525" s="33" t="s">
        <v>4512</v>
      </c>
      <c r="AJ525"/>
      <c r="AK525" t="str">
        <f>Tabela1[[#This Row],[Coluna1]]&amp;Tabela1[[#This Row],[PEDIDO]]</f>
        <v>P-190</v>
      </c>
      <c r="AL525"/>
      <c r="AM525"/>
      <c r="AN525"/>
      <c r="AO525" t="str">
        <f t="shared" si="94"/>
        <v>P-024500-1/P190</v>
      </c>
      <c r="AP525" t="str">
        <f>Tabela1[[#This Row],[TAG]]&amp;Tabela1[[#This Row],[PEDIDO]]&amp;Tabela1[[#This Row],[PRODUTO]]</f>
        <v>P190P-190ESTRUTURA</v>
      </c>
      <c r="AQ525" s="22" t="str">
        <f>Tabela1[[#This Row],[PRODUTO]]&amp;Tabela1[[#This Row],[TAG]]</f>
        <v>ESTRUTURAP190</v>
      </c>
      <c r="AR525" s="24" t="str">
        <f>Tabela1[[#This Row],[PEDIDO]]&amp;Tabela1[[#This Row],[PRODUTO]]</f>
        <v>P-190ESTRUTURA</v>
      </c>
      <c r="AS525" s="37">
        <f>IF(AF525="",0,IF(ISTEXT(AF525),H525*VALUE(SUBSTITUTE(AF525,"%",""))/100,H525*AF525))-Tabela1[[#This Row],[PRONTO ACABADO2]]</f>
        <v>0</v>
      </c>
      <c r="AT525" s="37">
        <f>IF(AG525="",0,IF(ISTEXT(AG525),H525*VALUE(SUBSTITUTE(AG525,"%",""))/100,H525*AG525))-Tabela1[[#This Row],[PESO EXPEDIDO2]]</f>
        <v>0</v>
      </c>
      <c r="AU525" s="37">
        <f t="shared" si="95"/>
        <v>6</v>
      </c>
      <c r="AV525" s="37">
        <f t="shared" si="96"/>
        <v>6</v>
      </c>
      <c r="AW525" s="37"/>
    </row>
    <row r="526" spans="1:49" ht="15.75" customHeight="1" x14ac:dyDescent="0.25">
      <c r="A526" s="6" t="s">
        <v>4400</v>
      </c>
      <c r="B526" s="21"/>
      <c r="C526" s="7">
        <v>1</v>
      </c>
      <c r="D526" s="39" t="s">
        <v>4405</v>
      </c>
      <c r="E526" s="7">
        <v>3487</v>
      </c>
      <c r="F526" s="7">
        <v>3</v>
      </c>
      <c r="G526" s="23">
        <v>0.2</v>
      </c>
      <c r="H526" s="34">
        <f>Tabela1[[#This Row],[PESO UNI]]*Tabela1[[#This Row],[QTE]]</f>
        <v>0.2</v>
      </c>
      <c r="I526" s="7">
        <v>0</v>
      </c>
      <c r="J526" s="8" t="s">
        <v>2550</v>
      </c>
      <c r="K526" s="8" t="s">
        <v>31</v>
      </c>
      <c r="L526" s="9" t="s">
        <v>2551</v>
      </c>
      <c r="M526" s="10"/>
      <c r="N526" s="11" t="s">
        <v>38</v>
      </c>
      <c r="O526" s="12"/>
      <c r="P526" s="13"/>
      <c r="Q526" s="14">
        <f>Tabela1[[#This Row],[QTDE/ Fabricação]]-Tabela1[[#This Row],[QTE]]</f>
        <v>-1</v>
      </c>
      <c r="R526" s="18">
        <f t="shared" si="91"/>
        <v>0.2</v>
      </c>
      <c r="S526" s="18">
        <f t="shared" si="90"/>
        <v>0.2</v>
      </c>
      <c r="T526" s="19">
        <f t="shared" si="92"/>
        <v>0</v>
      </c>
      <c r="U526" s="16">
        <v>1</v>
      </c>
      <c r="V526" s="12" t="str">
        <f>IFERROR(VLOOKUP(Tabela1[[#This Row],[COD.MDE]],'LISTA DE EMBARQUE'!B:L,11,0),"")</f>
        <v/>
      </c>
      <c r="W526" s="13" t="str">
        <f>IFERROR(COUNTIF(#REF!,Tabela1[[#This Row],[Colunas5]]),"")</f>
        <v/>
      </c>
      <c r="X526" s="14">
        <f>Tabela1[[#This Row],[QIANTIDADE EXPEDIDA]]*Tabela1[[#This Row],[PESO UNI]]</f>
        <v>0.2</v>
      </c>
      <c r="Y526" s="14">
        <f t="shared" si="93"/>
        <v>0</v>
      </c>
      <c r="Z526" s="20">
        <f>Tabela1[[#This Row],[PESO TOTAL]]-Tabela1[[#This Row],[Peso Expedido]]</f>
        <v>0</v>
      </c>
      <c r="AA526" s="17">
        <v>1</v>
      </c>
      <c r="AB526" s="33"/>
      <c r="AC526" s="33">
        <v>1</v>
      </c>
      <c r="AD526" s="33">
        <v>1</v>
      </c>
      <c r="AE526" s="33">
        <v>1</v>
      </c>
      <c r="AF526" s="33">
        <v>1</v>
      </c>
      <c r="AG526" s="33">
        <v>1</v>
      </c>
      <c r="AH526" s="33">
        <v>1</v>
      </c>
      <c r="AI526" s="33" t="s">
        <v>4512</v>
      </c>
      <c r="AJ526"/>
      <c r="AK526" t="str">
        <f>Tabela1[[#This Row],[Coluna1]]&amp;Tabela1[[#This Row],[PEDIDO]]</f>
        <v>P-190</v>
      </c>
      <c r="AL526"/>
      <c r="AM526"/>
      <c r="AN526"/>
      <c r="AO526" t="str">
        <f t="shared" si="94"/>
        <v>P-024500-1/P190</v>
      </c>
      <c r="AP526" t="str">
        <f>Tabela1[[#This Row],[TAG]]&amp;Tabela1[[#This Row],[PEDIDO]]&amp;Tabela1[[#This Row],[PRODUTO]]</f>
        <v>P190P-190ESTRUTURA</v>
      </c>
      <c r="AQ526" s="22" t="str">
        <f>Tabela1[[#This Row],[PRODUTO]]&amp;Tabela1[[#This Row],[TAG]]</f>
        <v>ESTRUTURAP190</v>
      </c>
      <c r="AR526" s="24" t="str">
        <f>Tabela1[[#This Row],[PEDIDO]]&amp;Tabela1[[#This Row],[PRODUTO]]</f>
        <v>P-190ESTRUTURA</v>
      </c>
      <c r="AS526" s="37">
        <f>IF(AF526="",0,IF(ISTEXT(AF526),H526*VALUE(SUBSTITUTE(AF526,"%",""))/100,H526*AF526))-Tabela1[[#This Row],[PRONTO ACABADO2]]</f>
        <v>0</v>
      </c>
      <c r="AT526" s="37">
        <f>IF(AG526="",0,IF(ISTEXT(AG526),H526*VALUE(SUBSTITUTE(AG526,"%",""))/100,H526*AG526))-Tabela1[[#This Row],[PESO EXPEDIDO2]]</f>
        <v>0</v>
      </c>
      <c r="AU526" s="37">
        <f t="shared" si="95"/>
        <v>0.2</v>
      </c>
      <c r="AV526" s="37">
        <f t="shared" si="96"/>
        <v>0.2</v>
      </c>
      <c r="AW526" s="37"/>
    </row>
    <row r="527" spans="1:49" ht="15.75" customHeight="1" x14ac:dyDescent="0.25">
      <c r="A527" s="6" t="s">
        <v>4400</v>
      </c>
      <c r="B527" s="21"/>
      <c r="C527" s="7">
        <v>2</v>
      </c>
      <c r="D527" s="39" t="s">
        <v>4406</v>
      </c>
      <c r="E527" s="7">
        <v>3488</v>
      </c>
      <c r="F527" s="7">
        <v>3</v>
      </c>
      <c r="G527" s="23">
        <v>0.2</v>
      </c>
      <c r="H527" s="34">
        <f>Tabela1[[#This Row],[PESO UNI]]*Tabela1[[#This Row],[QTE]]</f>
        <v>0.4</v>
      </c>
      <c r="I527" s="7">
        <v>0</v>
      </c>
      <c r="J527" s="8" t="s">
        <v>2550</v>
      </c>
      <c r="K527" s="8" t="s">
        <v>31</v>
      </c>
      <c r="L527" s="9" t="s">
        <v>2551</v>
      </c>
      <c r="M527" s="10"/>
      <c r="N527" s="11" t="s">
        <v>38</v>
      </c>
      <c r="O527" s="12"/>
      <c r="P527" s="13"/>
      <c r="Q527" s="14">
        <f>Tabela1[[#This Row],[QTDE/ Fabricação]]-Tabela1[[#This Row],[QTE]]</f>
        <v>-2</v>
      </c>
      <c r="R527" s="18">
        <f t="shared" si="91"/>
        <v>0.4</v>
      </c>
      <c r="S527" s="18">
        <f t="shared" si="90"/>
        <v>0.4</v>
      </c>
      <c r="T527" s="19">
        <f t="shared" si="92"/>
        <v>0</v>
      </c>
      <c r="U527" s="16">
        <v>2</v>
      </c>
      <c r="V527" s="12" t="str">
        <f>IFERROR(VLOOKUP(Tabela1[[#This Row],[COD.MDE]],'LISTA DE EMBARQUE'!B:L,11,0),"")</f>
        <v/>
      </c>
      <c r="W527" s="13" t="str">
        <f>IFERROR(COUNTIF(#REF!,Tabela1[[#This Row],[Colunas5]]),"")</f>
        <v/>
      </c>
      <c r="X527" s="14">
        <f>Tabela1[[#This Row],[QIANTIDADE EXPEDIDA]]*Tabela1[[#This Row],[PESO UNI]]</f>
        <v>0.4</v>
      </c>
      <c r="Y527" s="14">
        <f t="shared" si="93"/>
        <v>0</v>
      </c>
      <c r="Z527" s="20">
        <f>Tabela1[[#This Row],[PESO TOTAL]]-Tabela1[[#This Row],[Peso Expedido]]</f>
        <v>0</v>
      </c>
      <c r="AA527" s="17">
        <v>1</v>
      </c>
      <c r="AB527" s="33"/>
      <c r="AC527" s="33">
        <v>1</v>
      </c>
      <c r="AD527" s="33">
        <v>1</v>
      </c>
      <c r="AE527" s="33">
        <v>1</v>
      </c>
      <c r="AF527" s="33">
        <v>1</v>
      </c>
      <c r="AG527" s="33">
        <v>1</v>
      </c>
      <c r="AH527" s="33">
        <v>1</v>
      </c>
      <c r="AI527" s="33" t="s">
        <v>4512</v>
      </c>
      <c r="AJ527"/>
      <c r="AK527" t="str">
        <f>Tabela1[[#This Row],[Coluna1]]&amp;Tabela1[[#This Row],[PEDIDO]]</f>
        <v>P-190</v>
      </c>
      <c r="AL527"/>
      <c r="AM527"/>
      <c r="AN527"/>
      <c r="AO527" t="str">
        <f t="shared" si="94"/>
        <v>P-024500-1/P190</v>
      </c>
      <c r="AP527" t="str">
        <f>Tabela1[[#This Row],[TAG]]&amp;Tabela1[[#This Row],[PEDIDO]]&amp;Tabela1[[#This Row],[PRODUTO]]</f>
        <v>P190P-190ESTRUTURA</v>
      </c>
      <c r="AQ527" s="22" t="str">
        <f>Tabela1[[#This Row],[PRODUTO]]&amp;Tabela1[[#This Row],[TAG]]</f>
        <v>ESTRUTURAP190</v>
      </c>
      <c r="AR527" s="24" t="str">
        <f>Tabela1[[#This Row],[PEDIDO]]&amp;Tabela1[[#This Row],[PRODUTO]]</f>
        <v>P-190ESTRUTURA</v>
      </c>
      <c r="AS527" s="37">
        <f>IF(AF527="",0,IF(ISTEXT(AF527),H527*VALUE(SUBSTITUTE(AF527,"%",""))/100,H527*AF527))-Tabela1[[#This Row],[PRONTO ACABADO2]]</f>
        <v>0</v>
      </c>
      <c r="AT527" s="37">
        <f>IF(AG527="",0,IF(ISTEXT(AG527),H527*VALUE(SUBSTITUTE(AG527,"%",""))/100,H527*AG527))-Tabela1[[#This Row],[PESO EXPEDIDO2]]</f>
        <v>0</v>
      </c>
      <c r="AU527" s="37">
        <f t="shared" si="95"/>
        <v>0.4</v>
      </c>
      <c r="AV527" s="37">
        <f t="shared" si="96"/>
        <v>0.4</v>
      </c>
      <c r="AW527" s="37"/>
    </row>
    <row r="528" spans="1:49" ht="15.75" customHeight="1" x14ac:dyDescent="0.25">
      <c r="A528" s="6" t="s">
        <v>4400</v>
      </c>
      <c r="B528" s="21"/>
      <c r="C528" s="7">
        <v>2</v>
      </c>
      <c r="D528" s="39" t="s">
        <v>4407</v>
      </c>
      <c r="E528" s="7">
        <v>3489</v>
      </c>
      <c r="F528" s="7">
        <v>3</v>
      </c>
      <c r="G528" s="23">
        <v>0.2</v>
      </c>
      <c r="H528" s="34">
        <f>Tabela1[[#This Row],[PESO UNI]]*Tabela1[[#This Row],[QTE]]</f>
        <v>0.4</v>
      </c>
      <c r="I528" s="7">
        <v>0</v>
      </c>
      <c r="J528" s="8" t="s">
        <v>2550</v>
      </c>
      <c r="K528" s="8" t="s">
        <v>31</v>
      </c>
      <c r="L528" s="9" t="s">
        <v>2551</v>
      </c>
      <c r="M528" s="10"/>
      <c r="N528" s="11" t="s">
        <v>38</v>
      </c>
      <c r="O528" s="12"/>
      <c r="P528" s="13"/>
      <c r="Q528" s="14">
        <f>Tabela1[[#This Row],[QTDE/ Fabricação]]-Tabela1[[#This Row],[QTE]]</f>
        <v>-2</v>
      </c>
      <c r="R528" s="18">
        <f t="shared" si="91"/>
        <v>0.4</v>
      </c>
      <c r="S528" s="18">
        <f t="shared" si="90"/>
        <v>0.4</v>
      </c>
      <c r="T528" s="19">
        <f t="shared" si="92"/>
        <v>0</v>
      </c>
      <c r="U528" s="16">
        <v>2</v>
      </c>
      <c r="V528" s="12" t="str">
        <f>IFERROR(VLOOKUP(Tabela1[[#This Row],[COD.MDE]],'LISTA DE EMBARQUE'!B:L,11,0),"")</f>
        <v/>
      </c>
      <c r="W528" s="13" t="str">
        <f>IFERROR(COUNTIF(#REF!,Tabela1[[#This Row],[Colunas5]]),"")</f>
        <v/>
      </c>
      <c r="X528" s="14">
        <f>Tabela1[[#This Row],[QIANTIDADE EXPEDIDA]]*Tabela1[[#This Row],[PESO UNI]]</f>
        <v>0.4</v>
      </c>
      <c r="Y528" s="14">
        <f t="shared" si="93"/>
        <v>0</v>
      </c>
      <c r="Z528" s="20">
        <f>Tabela1[[#This Row],[PESO TOTAL]]-Tabela1[[#This Row],[Peso Expedido]]</f>
        <v>0</v>
      </c>
      <c r="AA528" s="17">
        <v>1</v>
      </c>
      <c r="AB528" s="33"/>
      <c r="AC528" s="33">
        <v>1</v>
      </c>
      <c r="AD528" s="33">
        <v>1</v>
      </c>
      <c r="AE528" s="33">
        <v>1</v>
      </c>
      <c r="AF528" s="33">
        <v>1</v>
      </c>
      <c r="AG528" s="33">
        <v>1</v>
      </c>
      <c r="AH528" s="33">
        <v>1</v>
      </c>
      <c r="AI528" s="33" t="s">
        <v>4512</v>
      </c>
      <c r="AJ528"/>
      <c r="AK528" t="str">
        <f>Tabela1[[#This Row],[Coluna1]]&amp;Tabela1[[#This Row],[PEDIDO]]</f>
        <v>P-190</v>
      </c>
      <c r="AL528"/>
      <c r="AM528"/>
      <c r="AN528"/>
      <c r="AO528" t="str">
        <f t="shared" si="94"/>
        <v>P-024500-1/P190</v>
      </c>
      <c r="AP528" t="str">
        <f>Tabela1[[#This Row],[TAG]]&amp;Tabela1[[#This Row],[PEDIDO]]&amp;Tabela1[[#This Row],[PRODUTO]]</f>
        <v>P190P-190ESTRUTURA</v>
      </c>
      <c r="AQ528" s="22" t="str">
        <f>Tabela1[[#This Row],[PRODUTO]]&amp;Tabela1[[#This Row],[TAG]]</f>
        <v>ESTRUTURAP190</v>
      </c>
      <c r="AR528" s="24" t="str">
        <f>Tabela1[[#This Row],[PEDIDO]]&amp;Tabela1[[#This Row],[PRODUTO]]</f>
        <v>P-190ESTRUTURA</v>
      </c>
      <c r="AS528" s="37">
        <f>IF(AF528="",0,IF(ISTEXT(AF528),H528*VALUE(SUBSTITUTE(AF528,"%",""))/100,H528*AF528))-Tabela1[[#This Row],[PRONTO ACABADO2]]</f>
        <v>0</v>
      </c>
      <c r="AT528" s="37">
        <f>IF(AG528="",0,IF(ISTEXT(AG528),H528*VALUE(SUBSTITUTE(AG528,"%",""))/100,H528*AG528))-Tabela1[[#This Row],[PESO EXPEDIDO2]]</f>
        <v>0</v>
      </c>
      <c r="AU528" s="37">
        <f t="shared" si="95"/>
        <v>0.4</v>
      </c>
      <c r="AV528" s="37">
        <f t="shared" si="96"/>
        <v>0.4</v>
      </c>
      <c r="AW528" s="37"/>
    </row>
    <row r="529" spans="1:49" ht="15.75" customHeight="1" x14ac:dyDescent="0.25">
      <c r="A529" s="6" t="s">
        <v>4400</v>
      </c>
      <c r="B529" s="21"/>
      <c r="C529" s="7">
        <v>2</v>
      </c>
      <c r="D529" s="39" t="s">
        <v>4408</v>
      </c>
      <c r="E529" s="7">
        <v>3490</v>
      </c>
      <c r="F529" s="7">
        <v>3</v>
      </c>
      <c r="G529" s="23">
        <v>14.2</v>
      </c>
      <c r="H529" s="34">
        <f>Tabela1[[#This Row],[PESO UNI]]*Tabela1[[#This Row],[QTE]]</f>
        <v>28.4</v>
      </c>
      <c r="I529" s="7">
        <v>0</v>
      </c>
      <c r="J529" s="8" t="s">
        <v>2550</v>
      </c>
      <c r="K529" s="8" t="s">
        <v>31</v>
      </c>
      <c r="L529" s="9" t="s">
        <v>2551</v>
      </c>
      <c r="M529" s="10"/>
      <c r="N529" s="11" t="s">
        <v>38</v>
      </c>
      <c r="O529" s="12"/>
      <c r="P529" s="13"/>
      <c r="Q529" s="14">
        <f>Tabela1[[#This Row],[QTDE/ Fabricação]]-Tabela1[[#This Row],[QTE]]</f>
        <v>-2</v>
      </c>
      <c r="R529" s="18">
        <f t="shared" si="91"/>
        <v>28.4</v>
      </c>
      <c r="S529" s="18">
        <f t="shared" si="90"/>
        <v>28.4</v>
      </c>
      <c r="T529" s="19">
        <f t="shared" si="92"/>
        <v>0</v>
      </c>
      <c r="U529" s="16">
        <v>2</v>
      </c>
      <c r="V529" s="12" t="str">
        <f>IFERROR(VLOOKUP(Tabela1[[#This Row],[COD.MDE]],'LISTA DE EMBARQUE'!B:L,11,0),"")</f>
        <v/>
      </c>
      <c r="W529" s="13" t="str">
        <f>IFERROR(COUNTIF(#REF!,Tabela1[[#This Row],[Colunas5]]),"")</f>
        <v/>
      </c>
      <c r="X529" s="14">
        <f>Tabela1[[#This Row],[QIANTIDADE EXPEDIDA]]*Tabela1[[#This Row],[PESO UNI]]</f>
        <v>28.4</v>
      </c>
      <c r="Y529" s="14">
        <f t="shared" si="93"/>
        <v>0</v>
      </c>
      <c r="Z529" s="20">
        <f>Tabela1[[#This Row],[PESO TOTAL]]-Tabela1[[#This Row],[Peso Expedido]]</f>
        <v>0</v>
      </c>
      <c r="AA529" s="17">
        <v>1</v>
      </c>
      <c r="AB529" s="33"/>
      <c r="AC529" s="33">
        <v>1</v>
      </c>
      <c r="AD529" s="33">
        <v>1</v>
      </c>
      <c r="AE529" s="33">
        <v>1</v>
      </c>
      <c r="AF529" s="33">
        <v>1</v>
      </c>
      <c r="AG529" s="33">
        <v>1</v>
      </c>
      <c r="AH529" s="33">
        <v>1</v>
      </c>
      <c r="AI529" s="33" t="s">
        <v>4512</v>
      </c>
      <c r="AJ529"/>
      <c r="AK529" t="str">
        <f>Tabela1[[#This Row],[Coluna1]]&amp;Tabela1[[#This Row],[PEDIDO]]</f>
        <v>P-190</v>
      </c>
      <c r="AL529"/>
      <c r="AM529"/>
      <c r="AN529"/>
      <c r="AO529" t="str">
        <f t="shared" si="94"/>
        <v>P-024500-1/P190</v>
      </c>
      <c r="AP529" t="str">
        <f>Tabela1[[#This Row],[TAG]]&amp;Tabela1[[#This Row],[PEDIDO]]&amp;Tabela1[[#This Row],[PRODUTO]]</f>
        <v>P190P-190ESTRUTURA</v>
      </c>
      <c r="AQ529" s="22" t="str">
        <f>Tabela1[[#This Row],[PRODUTO]]&amp;Tabela1[[#This Row],[TAG]]</f>
        <v>ESTRUTURAP190</v>
      </c>
      <c r="AR529" s="24" t="str">
        <f>Tabela1[[#This Row],[PEDIDO]]&amp;Tabela1[[#This Row],[PRODUTO]]</f>
        <v>P-190ESTRUTURA</v>
      </c>
      <c r="AS529" s="37">
        <f>IF(AF529="",0,IF(ISTEXT(AF529),H529*VALUE(SUBSTITUTE(AF529,"%",""))/100,H529*AF529))-Tabela1[[#This Row],[PRONTO ACABADO2]]</f>
        <v>0</v>
      </c>
      <c r="AT529" s="37">
        <f>IF(AG529="",0,IF(ISTEXT(AG529),H529*VALUE(SUBSTITUTE(AG529,"%",""))/100,H529*AG529))-Tabela1[[#This Row],[PESO EXPEDIDO2]]</f>
        <v>0</v>
      </c>
      <c r="AU529" s="37">
        <f t="shared" si="95"/>
        <v>28.4</v>
      </c>
      <c r="AV529" s="37">
        <f t="shared" si="96"/>
        <v>28.4</v>
      </c>
      <c r="AW529" s="37"/>
    </row>
    <row r="530" spans="1:49" ht="15.75" customHeight="1" x14ac:dyDescent="0.25">
      <c r="A530" s="6" t="s">
        <v>2560</v>
      </c>
      <c r="B530" s="21"/>
      <c r="C530" s="7">
        <v>2</v>
      </c>
      <c r="D530" s="39" t="s">
        <v>2561</v>
      </c>
      <c r="E530" s="7">
        <v>3491</v>
      </c>
      <c r="F530" s="7">
        <v>3</v>
      </c>
      <c r="G530" s="23">
        <v>71.599999999999994</v>
      </c>
      <c r="H530" s="34">
        <f>Tabela1[[#This Row],[PESO UNI]]*Tabela1[[#This Row],[QTE]]</f>
        <v>143.19999999999999</v>
      </c>
      <c r="I530" s="7">
        <v>1</v>
      </c>
      <c r="J530" s="8" t="s">
        <v>2550</v>
      </c>
      <c r="K530" s="8" t="s">
        <v>31</v>
      </c>
      <c r="L530" s="9" t="s">
        <v>2551</v>
      </c>
      <c r="M530" s="10"/>
      <c r="N530" s="11" t="s">
        <v>38</v>
      </c>
      <c r="O530" s="12"/>
      <c r="P530" s="13"/>
      <c r="Q530" s="14">
        <f>Tabela1[[#This Row],[QTDE/ Fabricação]]-Tabela1[[#This Row],[QTE]]</f>
        <v>-2</v>
      </c>
      <c r="R530" s="18">
        <f t="shared" si="91"/>
        <v>143.19999999999999</v>
      </c>
      <c r="S530" s="18">
        <f t="shared" si="90"/>
        <v>143.19999999999999</v>
      </c>
      <c r="T530" s="19">
        <f t="shared" si="92"/>
        <v>0</v>
      </c>
      <c r="U530" s="16">
        <f>IFERROR(SUMIF('LISTA DE EMBARQUE'!B:B,MICRO!E:E,'LISTA DE EMBARQUE'!G:G),"")</f>
        <v>2</v>
      </c>
      <c r="V530" s="12">
        <f>IFERROR(VLOOKUP(Tabela1[[#This Row],[COD.MDE]],'LISTA DE EMBARQUE'!B:L,11,0),"")</f>
        <v>2</v>
      </c>
      <c r="W530" s="13" t="str">
        <f>IFERROR(COUNTIF(#REF!,Tabela1[[#This Row],[Colunas5]]),"")</f>
        <v/>
      </c>
      <c r="X530" s="14">
        <f>Tabela1[[#This Row],[QIANTIDADE EXPEDIDA]]*Tabela1[[#This Row],[PESO UNI]]</f>
        <v>143.19999999999999</v>
      </c>
      <c r="Y530" s="14">
        <f t="shared" si="93"/>
        <v>0</v>
      </c>
      <c r="Z530" s="20">
        <f>Tabela1[[#This Row],[PESO TOTAL]]-Tabela1[[#This Row],[Peso Expedido]]</f>
        <v>0</v>
      </c>
      <c r="AA530" s="17">
        <v>1</v>
      </c>
      <c r="AB530" s="33"/>
      <c r="AC530" s="33">
        <v>1</v>
      </c>
      <c r="AD530" s="33">
        <v>1</v>
      </c>
      <c r="AE530" s="33">
        <v>1</v>
      </c>
      <c r="AF530" s="33">
        <v>1</v>
      </c>
      <c r="AG530" s="33">
        <v>1</v>
      </c>
      <c r="AH530" s="33">
        <v>1</v>
      </c>
      <c r="AI530" s="33" t="s">
        <v>4512</v>
      </c>
      <c r="AJ530"/>
      <c r="AK530" t="str">
        <f>Tabela1[[#This Row],[Coluna1]]&amp;Tabela1[[#This Row],[PEDIDO]]</f>
        <v>P-190</v>
      </c>
      <c r="AL530"/>
      <c r="AM530"/>
      <c r="AN530"/>
      <c r="AO530" t="str">
        <f t="shared" si="94"/>
        <v>P-024499-1/P190</v>
      </c>
      <c r="AP530" t="str">
        <f>Tabela1[[#This Row],[TAG]]&amp;Tabela1[[#This Row],[PEDIDO]]&amp;Tabela1[[#This Row],[PRODUTO]]</f>
        <v>P190P-190ESTRUTURA</v>
      </c>
      <c r="AQ530" s="22" t="str">
        <f>Tabela1[[#This Row],[PRODUTO]]&amp;Tabela1[[#This Row],[TAG]]</f>
        <v>ESTRUTURAP190</v>
      </c>
      <c r="AR530" s="24" t="str">
        <f>Tabela1[[#This Row],[PEDIDO]]&amp;Tabela1[[#This Row],[PRODUTO]]</f>
        <v>P-190ESTRUTURA</v>
      </c>
      <c r="AS530" s="37">
        <f>IF(AF530="",0,IF(ISTEXT(AF530),H530*VALUE(SUBSTITUTE(AF530,"%",""))/100,H530*AF530))-Tabela1[[#This Row],[PRONTO ACABADO2]]</f>
        <v>0</v>
      </c>
      <c r="AT530" s="37">
        <f>IF(AG530="",0,IF(ISTEXT(AG530),H530*VALUE(SUBSTITUTE(AG530,"%",""))/100,H530*AG530))-Tabela1[[#This Row],[PESO EXPEDIDO2]]</f>
        <v>0</v>
      </c>
      <c r="AU530" s="37">
        <f t="shared" si="95"/>
        <v>143.19999999999999</v>
      </c>
      <c r="AV530" s="37">
        <f t="shared" si="96"/>
        <v>143.19999999999999</v>
      </c>
      <c r="AW530" s="37"/>
    </row>
    <row r="531" spans="1:49" ht="15.75" customHeight="1" x14ac:dyDescent="0.25">
      <c r="A531" s="6" t="s">
        <v>4409</v>
      </c>
      <c r="B531" s="21"/>
      <c r="C531" s="7">
        <v>1</v>
      </c>
      <c r="D531" s="39" t="s">
        <v>4410</v>
      </c>
      <c r="E531" s="7">
        <v>3492</v>
      </c>
      <c r="F531" s="7">
        <v>3</v>
      </c>
      <c r="G531" s="23">
        <v>24</v>
      </c>
      <c r="H531" s="34">
        <f>Tabela1[[#This Row],[PESO UNI]]*Tabela1[[#This Row],[QTE]]</f>
        <v>24</v>
      </c>
      <c r="I531" s="7">
        <v>1</v>
      </c>
      <c r="J531" s="8" t="s">
        <v>2550</v>
      </c>
      <c r="K531" s="8" t="s">
        <v>31</v>
      </c>
      <c r="L531" s="9" t="s">
        <v>2551</v>
      </c>
      <c r="M531" s="10"/>
      <c r="N531" s="11" t="s">
        <v>38</v>
      </c>
      <c r="O531" s="12"/>
      <c r="P531" s="13"/>
      <c r="Q531" s="14">
        <f>Tabela1[[#This Row],[QTDE/ Fabricação]]-Tabela1[[#This Row],[QTE]]</f>
        <v>-1</v>
      </c>
      <c r="R531" s="18">
        <f t="shared" si="91"/>
        <v>24</v>
      </c>
      <c r="S531" s="18">
        <f t="shared" si="90"/>
        <v>24</v>
      </c>
      <c r="T531" s="19">
        <f t="shared" si="92"/>
        <v>0</v>
      </c>
      <c r="U531" s="16">
        <v>1</v>
      </c>
      <c r="V531" s="12" t="str">
        <f>IFERROR(VLOOKUP(Tabela1[[#This Row],[COD.MDE]],'LISTA DE EMBARQUE'!B:L,11,0),"")</f>
        <v/>
      </c>
      <c r="W531" s="13" t="str">
        <f>IFERROR(COUNTIF(#REF!,Tabela1[[#This Row],[Colunas5]]),"")</f>
        <v/>
      </c>
      <c r="X531" s="14">
        <f>Tabela1[[#This Row],[QIANTIDADE EXPEDIDA]]*Tabela1[[#This Row],[PESO UNI]]</f>
        <v>24</v>
      </c>
      <c r="Y531" s="14">
        <f t="shared" si="93"/>
        <v>0</v>
      </c>
      <c r="Z531" s="20">
        <f>Tabela1[[#This Row],[PESO TOTAL]]-Tabela1[[#This Row],[Peso Expedido]]</f>
        <v>0</v>
      </c>
      <c r="AA531" s="17">
        <v>1</v>
      </c>
      <c r="AB531" s="33"/>
      <c r="AC531" s="33">
        <v>1</v>
      </c>
      <c r="AD531" s="33">
        <v>1</v>
      </c>
      <c r="AE531" s="33">
        <v>1</v>
      </c>
      <c r="AF531" s="33">
        <v>1</v>
      </c>
      <c r="AG531" s="33">
        <v>1</v>
      </c>
      <c r="AH531" s="33">
        <v>1</v>
      </c>
      <c r="AI531" s="33" t="s">
        <v>4512</v>
      </c>
      <c r="AJ531"/>
      <c r="AK531" t="str">
        <f>Tabela1[[#This Row],[Coluna1]]&amp;Tabela1[[#This Row],[PEDIDO]]</f>
        <v>P-190</v>
      </c>
      <c r="AL531"/>
      <c r="AM531"/>
      <c r="AN531"/>
      <c r="AO531" t="str">
        <f t="shared" si="94"/>
        <v>P-024498-1/P190</v>
      </c>
      <c r="AP531" t="str">
        <f>Tabela1[[#This Row],[TAG]]&amp;Tabela1[[#This Row],[PEDIDO]]&amp;Tabela1[[#This Row],[PRODUTO]]</f>
        <v>P190P-190ESTRUTURA</v>
      </c>
      <c r="AQ531" s="22" t="str">
        <f>Tabela1[[#This Row],[PRODUTO]]&amp;Tabela1[[#This Row],[TAG]]</f>
        <v>ESTRUTURAP190</v>
      </c>
      <c r="AR531" s="24" t="str">
        <f>Tabela1[[#This Row],[PEDIDO]]&amp;Tabela1[[#This Row],[PRODUTO]]</f>
        <v>P-190ESTRUTURA</v>
      </c>
      <c r="AS531" s="37">
        <f>IF(AF531="",0,IF(ISTEXT(AF531),H531*VALUE(SUBSTITUTE(AF531,"%",""))/100,H531*AF531))-Tabela1[[#This Row],[PRONTO ACABADO2]]</f>
        <v>0</v>
      </c>
      <c r="AT531" s="37">
        <f>IF(AG531="",0,IF(ISTEXT(AG531),H531*VALUE(SUBSTITUTE(AG531,"%",""))/100,H531*AG531))-Tabela1[[#This Row],[PESO EXPEDIDO2]]</f>
        <v>0</v>
      </c>
      <c r="AU531" s="37">
        <f t="shared" si="95"/>
        <v>24</v>
      </c>
      <c r="AV531" s="37">
        <f t="shared" si="96"/>
        <v>24</v>
      </c>
      <c r="AW531" s="37"/>
    </row>
    <row r="532" spans="1:49" ht="15.75" customHeight="1" x14ac:dyDescent="0.25">
      <c r="A532" s="6" t="s">
        <v>4409</v>
      </c>
      <c r="B532" s="21"/>
      <c r="C532" s="7">
        <v>1</v>
      </c>
      <c r="D532" s="39" t="s">
        <v>4402</v>
      </c>
      <c r="E532" s="7">
        <v>3493</v>
      </c>
      <c r="F532" s="7">
        <v>3</v>
      </c>
      <c r="G532" s="23">
        <v>27</v>
      </c>
      <c r="H532" s="34">
        <f>Tabela1[[#This Row],[PESO UNI]]*Tabela1[[#This Row],[QTE]]</f>
        <v>27</v>
      </c>
      <c r="I532" s="7">
        <v>1</v>
      </c>
      <c r="J532" s="8" t="s">
        <v>2550</v>
      </c>
      <c r="K532" s="8" t="s">
        <v>31</v>
      </c>
      <c r="L532" s="9" t="s">
        <v>2551</v>
      </c>
      <c r="M532" s="10"/>
      <c r="N532" s="11" t="s">
        <v>38</v>
      </c>
      <c r="O532" s="12"/>
      <c r="P532" s="13"/>
      <c r="Q532" s="14">
        <f>Tabela1[[#This Row],[QTDE/ Fabricação]]-Tabela1[[#This Row],[QTE]]</f>
        <v>-1</v>
      </c>
      <c r="R532" s="18">
        <f t="shared" si="91"/>
        <v>27</v>
      </c>
      <c r="S532" s="18">
        <f t="shared" si="90"/>
        <v>27</v>
      </c>
      <c r="T532" s="19">
        <f t="shared" si="92"/>
        <v>0</v>
      </c>
      <c r="U532" s="16">
        <v>1</v>
      </c>
      <c r="V532" s="12" t="str">
        <f>IFERROR(VLOOKUP(Tabela1[[#This Row],[COD.MDE]],'LISTA DE EMBARQUE'!B:L,11,0),"")</f>
        <v/>
      </c>
      <c r="W532" s="13" t="str">
        <f>IFERROR(COUNTIF(#REF!,Tabela1[[#This Row],[Colunas5]]),"")</f>
        <v/>
      </c>
      <c r="X532" s="14">
        <f>Tabela1[[#This Row],[QIANTIDADE EXPEDIDA]]*Tabela1[[#This Row],[PESO UNI]]</f>
        <v>27</v>
      </c>
      <c r="Y532" s="14">
        <f t="shared" si="93"/>
        <v>0</v>
      </c>
      <c r="Z532" s="20">
        <f>Tabela1[[#This Row],[PESO TOTAL]]-Tabela1[[#This Row],[Peso Expedido]]</f>
        <v>0</v>
      </c>
      <c r="AA532" s="17">
        <v>1</v>
      </c>
      <c r="AB532" s="33"/>
      <c r="AC532" s="33">
        <v>1</v>
      </c>
      <c r="AD532" s="33">
        <v>1</v>
      </c>
      <c r="AE532" s="33">
        <v>1</v>
      </c>
      <c r="AF532" s="33">
        <v>1</v>
      </c>
      <c r="AG532" s="33">
        <v>1</v>
      </c>
      <c r="AH532" s="33">
        <v>1</v>
      </c>
      <c r="AI532" s="33" t="s">
        <v>4512</v>
      </c>
      <c r="AJ532"/>
      <c r="AK532" t="str">
        <f>Tabela1[[#This Row],[Coluna1]]&amp;Tabela1[[#This Row],[PEDIDO]]</f>
        <v>P-190</v>
      </c>
      <c r="AL532"/>
      <c r="AM532"/>
      <c r="AN532"/>
      <c r="AO532" t="str">
        <f t="shared" si="94"/>
        <v>P-024498-1/P190</v>
      </c>
      <c r="AP532" t="str">
        <f>Tabela1[[#This Row],[TAG]]&amp;Tabela1[[#This Row],[PEDIDO]]&amp;Tabela1[[#This Row],[PRODUTO]]</f>
        <v>P190P-190ESTRUTURA</v>
      </c>
      <c r="AQ532" s="22" t="str">
        <f>Tabela1[[#This Row],[PRODUTO]]&amp;Tabela1[[#This Row],[TAG]]</f>
        <v>ESTRUTURAP190</v>
      </c>
      <c r="AR532" s="24" t="str">
        <f>Tabela1[[#This Row],[PEDIDO]]&amp;Tabela1[[#This Row],[PRODUTO]]</f>
        <v>P-190ESTRUTURA</v>
      </c>
      <c r="AS532" s="37">
        <f>IF(AF532="",0,IF(ISTEXT(AF532),H532*VALUE(SUBSTITUTE(AF532,"%",""))/100,H532*AF532))-Tabela1[[#This Row],[PRONTO ACABADO2]]</f>
        <v>0</v>
      </c>
      <c r="AT532" s="37">
        <f>IF(AG532="",0,IF(ISTEXT(AG532),H532*VALUE(SUBSTITUTE(AG532,"%",""))/100,H532*AG532))-Tabela1[[#This Row],[PESO EXPEDIDO2]]</f>
        <v>0</v>
      </c>
      <c r="AU532" s="37">
        <f t="shared" si="95"/>
        <v>27</v>
      </c>
      <c r="AV532" s="37">
        <f t="shared" si="96"/>
        <v>27</v>
      </c>
      <c r="AW532" s="37"/>
    </row>
    <row r="533" spans="1:49" ht="15.75" customHeight="1" x14ac:dyDescent="0.25">
      <c r="A533" s="6" t="s">
        <v>4409</v>
      </c>
      <c r="B533" s="21"/>
      <c r="C533" s="7">
        <v>1</v>
      </c>
      <c r="D533" s="39" t="s">
        <v>4411</v>
      </c>
      <c r="E533" s="7">
        <v>3494</v>
      </c>
      <c r="F533" s="7">
        <v>3</v>
      </c>
      <c r="G533" s="23">
        <v>1.5</v>
      </c>
      <c r="H533" s="34">
        <f>Tabela1[[#This Row],[PESO UNI]]*Tabela1[[#This Row],[QTE]]</f>
        <v>1.5</v>
      </c>
      <c r="I533" s="7">
        <v>1</v>
      </c>
      <c r="J533" s="8" t="s">
        <v>2550</v>
      </c>
      <c r="K533" s="8" t="s">
        <v>31</v>
      </c>
      <c r="L533" s="9" t="s">
        <v>2551</v>
      </c>
      <c r="M533" s="10"/>
      <c r="N533" s="11" t="s">
        <v>38</v>
      </c>
      <c r="O533" s="12"/>
      <c r="P533" s="13"/>
      <c r="Q533" s="14">
        <f>Tabela1[[#This Row],[QTDE/ Fabricação]]-Tabela1[[#This Row],[QTE]]</f>
        <v>-1</v>
      </c>
      <c r="R533" s="18">
        <f t="shared" si="91"/>
        <v>1.5</v>
      </c>
      <c r="S533" s="18">
        <f t="shared" si="90"/>
        <v>1.5</v>
      </c>
      <c r="T533" s="19">
        <f t="shared" si="92"/>
        <v>0</v>
      </c>
      <c r="U533" s="16">
        <v>1</v>
      </c>
      <c r="V533" s="12" t="str">
        <f>IFERROR(VLOOKUP(Tabela1[[#This Row],[COD.MDE]],'LISTA DE EMBARQUE'!B:L,11,0),"")</f>
        <v/>
      </c>
      <c r="W533" s="13" t="str">
        <f>IFERROR(COUNTIF(#REF!,Tabela1[[#This Row],[Colunas5]]),"")</f>
        <v/>
      </c>
      <c r="X533" s="14">
        <f>Tabela1[[#This Row],[QIANTIDADE EXPEDIDA]]*Tabela1[[#This Row],[PESO UNI]]</f>
        <v>1.5</v>
      </c>
      <c r="Y533" s="14">
        <f t="shared" si="93"/>
        <v>0</v>
      </c>
      <c r="Z533" s="20">
        <f>Tabela1[[#This Row],[PESO TOTAL]]-Tabela1[[#This Row],[Peso Expedido]]</f>
        <v>0</v>
      </c>
      <c r="AA533" s="17">
        <v>1</v>
      </c>
      <c r="AB533" s="33"/>
      <c r="AC533" s="33">
        <v>1</v>
      </c>
      <c r="AD533" s="33">
        <v>1</v>
      </c>
      <c r="AE533" s="33">
        <v>1</v>
      </c>
      <c r="AF533" s="33">
        <v>1</v>
      </c>
      <c r="AG533" s="33">
        <v>1</v>
      </c>
      <c r="AH533" s="33">
        <v>1</v>
      </c>
      <c r="AI533" s="33" t="s">
        <v>4512</v>
      </c>
      <c r="AJ533"/>
      <c r="AK533" t="str">
        <f>Tabela1[[#This Row],[Coluna1]]&amp;Tabela1[[#This Row],[PEDIDO]]</f>
        <v>P-190</v>
      </c>
      <c r="AL533"/>
      <c r="AM533"/>
      <c r="AN533"/>
      <c r="AO533" t="str">
        <f t="shared" si="94"/>
        <v>P-024498-1/P190</v>
      </c>
      <c r="AP533" t="str">
        <f>Tabela1[[#This Row],[TAG]]&amp;Tabela1[[#This Row],[PEDIDO]]&amp;Tabela1[[#This Row],[PRODUTO]]</f>
        <v>P190P-190ESTRUTURA</v>
      </c>
      <c r="AQ533" s="22" t="str">
        <f>Tabela1[[#This Row],[PRODUTO]]&amp;Tabela1[[#This Row],[TAG]]</f>
        <v>ESTRUTURAP190</v>
      </c>
      <c r="AR533" s="24" t="str">
        <f>Tabela1[[#This Row],[PEDIDO]]&amp;Tabela1[[#This Row],[PRODUTO]]</f>
        <v>P-190ESTRUTURA</v>
      </c>
      <c r="AS533" s="37">
        <f>IF(AF533="",0,IF(ISTEXT(AF533),H533*VALUE(SUBSTITUTE(AF533,"%",""))/100,H533*AF533))-Tabela1[[#This Row],[PRONTO ACABADO2]]</f>
        <v>0</v>
      </c>
      <c r="AT533" s="37">
        <f>IF(AG533="",0,IF(ISTEXT(AG533),H533*VALUE(SUBSTITUTE(AG533,"%",""))/100,H533*AG533))-Tabela1[[#This Row],[PESO EXPEDIDO2]]</f>
        <v>0</v>
      </c>
      <c r="AU533" s="37">
        <f t="shared" si="95"/>
        <v>1.5</v>
      </c>
      <c r="AV533" s="37">
        <f t="shared" si="96"/>
        <v>1.5</v>
      </c>
      <c r="AW533" s="37"/>
    </row>
    <row r="534" spans="1:49" ht="15.75" customHeight="1" x14ac:dyDescent="0.25">
      <c r="A534" s="6" t="s">
        <v>4409</v>
      </c>
      <c r="B534" s="21"/>
      <c r="C534" s="7">
        <v>1</v>
      </c>
      <c r="D534" s="39" t="s">
        <v>4403</v>
      </c>
      <c r="E534" s="7">
        <v>3495</v>
      </c>
      <c r="F534" s="7">
        <v>3</v>
      </c>
      <c r="G534" s="23">
        <v>1.5</v>
      </c>
      <c r="H534" s="34">
        <f>Tabela1[[#This Row],[PESO UNI]]*Tabela1[[#This Row],[QTE]]</f>
        <v>1.5</v>
      </c>
      <c r="I534" s="7">
        <v>1</v>
      </c>
      <c r="J534" s="8" t="s">
        <v>2550</v>
      </c>
      <c r="K534" s="8" t="s">
        <v>31</v>
      </c>
      <c r="L534" s="9" t="s">
        <v>2551</v>
      </c>
      <c r="M534" s="10"/>
      <c r="N534" s="11" t="s">
        <v>38</v>
      </c>
      <c r="O534" s="12"/>
      <c r="P534" s="13"/>
      <c r="Q534" s="14">
        <f>Tabela1[[#This Row],[QTDE/ Fabricação]]-Tabela1[[#This Row],[QTE]]</f>
        <v>-1</v>
      </c>
      <c r="R534" s="18">
        <f t="shared" si="91"/>
        <v>1.5</v>
      </c>
      <c r="S534" s="18">
        <f t="shared" si="90"/>
        <v>1.5</v>
      </c>
      <c r="T534" s="19">
        <f t="shared" si="92"/>
        <v>0</v>
      </c>
      <c r="U534" s="16">
        <v>1</v>
      </c>
      <c r="V534" s="12" t="str">
        <f>IFERROR(VLOOKUP(Tabela1[[#This Row],[COD.MDE]],'LISTA DE EMBARQUE'!B:L,11,0),"")</f>
        <v/>
      </c>
      <c r="W534" s="13" t="str">
        <f>IFERROR(COUNTIF(#REF!,Tabela1[[#This Row],[Colunas5]]),"")</f>
        <v/>
      </c>
      <c r="X534" s="14">
        <f>Tabela1[[#This Row],[QIANTIDADE EXPEDIDA]]*Tabela1[[#This Row],[PESO UNI]]</f>
        <v>1.5</v>
      </c>
      <c r="Y534" s="14">
        <f t="shared" si="93"/>
        <v>0</v>
      </c>
      <c r="Z534" s="20">
        <f>Tabela1[[#This Row],[PESO TOTAL]]-Tabela1[[#This Row],[Peso Expedido]]</f>
        <v>0</v>
      </c>
      <c r="AA534" s="17">
        <v>1</v>
      </c>
      <c r="AB534" s="33"/>
      <c r="AC534" s="33">
        <v>1</v>
      </c>
      <c r="AD534" s="33">
        <v>1</v>
      </c>
      <c r="AE534" s="33">
        <v>1</v>
      </c>
      <c r="AF534" s="33">
        <v>1</v>
      </c>
      <c r="AG534" s="33">
        <v>1</v>
      </c>
      <c r="AH534" s="33">
        <v>1</v>
      </c>
      <c r="AI534" s="33" t="s">
        <v>4512</v>
      </c>
      <c r="AJ534"/>
      <c r="AK534" t="str">
        <f>Tabela1[[#This Row],[Coluna1]]&amp;Tabela1[[#This Row],[PEDIDO]]</f>
        <v>P-190</v>
      </c>
      <c r="AL534"/>
      <c r="AM534"/>
      <c r="AN534"/>
      <c r="AO534" t="str">
        <f t="shared" si="94"/>
        <v>P-024498-1/P190</v>
      </c>
      <c r="AP534" t="str">
        <f>Tabela1[[#This Row],[TAG]]&amp;Tabela1[[#This Row],[PEDIDO]]&amp;Tabela1[[#This Row],[PRODUTO]]</f>
        <v>P190P-190ESTRUTURA</v>
      </c>
      <c r="AQ534" s="22" t="str">
        <f>Tabela1[[#This Row],[PRODUTO]]&amp;Tabela1[[#This Row],[TAG]]</f>
        <v>ESTRUTURAP190</v>
      </c>
      <c r="AR534" s="24" t="str">
        <f>Tabela1[[#This Row],[PEDIDO]]&amp;Tabela1[[#This Row],[PRODUTO]]</f>
        <v>P-190ESTRUTURA</v>
      </c>
      <c r="AS534" s="37">
        <f>IF(AF534="",0,IF(ISTEXT(AF534),H534*VALUE(SUBSTITUTE(AF534,"%",""))/100,H534*AF534))-Tabela1[[#This Row],[PRONTO ACABADO2]]</f>
        <v>0</v>
      </c>
      <c r="AT534" s="37">
        <f>IF(AG534="",0,IF(ISTEXT(AG534),H534*VALUE(SUBSTITUTE(AG534,"%",""))/100,H534*AG534))-Tabela1[[#This Row],[PESO EXPEDIDO2]]</f>
        <v>0</v>
      </c>
      <c r="AU534" s="37">
        <f t="shared" si="95"/>
        <v>1.5</v>
      </c>
      <c r="AV534" s="37">
        <f t="shared" si="96"/>
        <v>1.5</v>
      </c>
      <c r="AW534" s="37"/>
    </row>
    <row r="535" spans="1:49" ht="15.75" customHeight="1" x14ac:dyDescent="0.25">
      <c r="A535" s="6" t="s">
        <v>4409</v>
      </c>
      <c r="B535" s="21"/>
      <c r="C535" s="7">
        <v>2</v>
      </c>
      <c r="D535" s="39" t="s">
        <v>4404</v>
      </c>
      <c r="E535" s="7">
        <v>3496</v>
      </c>
      <c r="F535" s="7">
        <v>3</v>
      </c>
      <c r="G535" s="23">
        <v>3</v>
      </c>
      <c r="H535" s="34">
        <f>Tabela1[[#This Row],[PESO UNI]]*Tabela1[[#This Row],[QTE]]</f>
        <v>6</v>
      </c>
      <c r="I535" s="7">
        <v>1</v>
      </c>
      <c r="J535" s="8" t="s">
        <v>2550</v>
      </c>
      <c r="K535" s="8" t="s">
        <v>31</v>
      </c>
      <c r="L535" s="9" t="s">
        <v>2551</v>
      </c>
      <c r="M535" s="10"/>
      <c r="N535" s="11" t="s">
        <v>38</v>
      </c>
      <c r="O535" s="12"/>
      <c r="P535" s="13"/>
      <c r="Q535" s="14">
        <f>Tabela1[[#This Row],[QTDE/ Fabricação]]-Tabela1[[#This Row],[QTE]]</f>
        <v>-2</v>
      </c>
      <c r="R535" s="18">
        <f t="shared" si="91"/>
        <v>6</v>
      </c>
      <c r="S535" s="18">
        <f t="shared" si="90"/>
        <v>6</v>
      </c>
      <c r="T535" s="19">
        <f t="shared" si="92"/>
        <v>0</v>
      </c>
      <c r="U535" s="16">
        <v>2</v>
      </c>
      <c r="V535" s="12" t="str">
        <f>IFERROR(VLOOKUP(Tabela1[[#This Row],[COD.MDE]],'LISTA DE EMBARQUE'!B:L,11,0),"")</f>
        <v/>
      </c>
      <c r="W535" s="13" t="str">
        <f>IFERROR(COUNTIF(#REF!,Tabela1[[#This Row],[Colunas5]]),"")</f>
        <v/>
      </c>
      <c r="X535" s="14">
        <f>Tabela1[[#This Row],[QIANTIDADE EXPEDIDA]]*Tabela1[[#This Row],[PESO UNI]]</f>
        <v>6</v>
      </c>
      <c r="Y535" s="14">
        <f t="shared" si="93"/>
        <v>0</v>
      </c>
      <c r="Z535" s="20">
        <f>Tabela1[[#This Row],[PESO TOTAL]]-Tabela1[[#This Row],[Peso Expedido]]</f>
        <v>0</v>
      </c>
      <c r="AA535" s="17">
        <v>1</v>
      </c>
      <c r="AB535" s="33"/>
      <c r="AC535" s="33">
        <v>1</v>
      </c>
      <c r="AD535" s="33">
        <v>1</v>
      </c>
      <c r="AE535" s="33">
        <v>1</v>
      </c>
      <c r="AF535" s="33">
        <v>1</v>
      </c>
      <c r="AG535" s="33">
        <v>1</v>
      </c>
      <c r="AH535" s="33">
        <v>1</v>
      </c>
      <c r="AI535" s="33" t="s">
        <v>4512</v>
      </c>
      <c r="AJ535"/>
      <c r="AK535" t="str">
        <f>Tabela1[[#This Row],[Coluna1]]&amp;Tabela1[[#This Row],[PEDIDO]]</f>
        <v>P-190</v>
      </c>
      <c r="AL535"/>
      <c r="AM535"/>
      <c r="AN535"/>
      <c r="AO535" t="str">
        <f t="shared" si="94"/>
        <v>P-024498-1/P190</v>
      </c>
      <c r="AP535" t="str">
        <f>Tabela1[[#This Row],[TAG]]&amp;Tabela1[[#This Row],[PEDIDO]]&amp;Tabela1[[#This Row],[PRODUTO]]</f>
        <v>P190P-190ESTRUTURA</v>
      </c>
      <c r="AQ535" s="22" t="str">
        <f>Tabela1[[#This Row],[PRODUTO]]&amp;Tabela1[[#This Row],[TAG]]</f>
        <v>ESTRUTURAP190</v>
      </c>
      <c r="AR535" s="24" t="str">
        <f>Tabela1[[#This Row],[PEDIDO]]&amp;Tabela1[[#This Row],[PRODUTO]]</f>
        <v>P-190ESTRUTURA</v>
      </c>
      <c r="AS535" s="37">
        <f>IF(AF535="",0,IF(ISTEXT(AF535),H535*VALUE(SUBSTITUTE(AF535,"%",""))/100,H535*AF535))-Tabela1[[#This Row],[PRONTO ACABADO2]]</f>
        <v>0</v>
      </c>
      <c r="AT535" s="37">
        <f>IF(AG535="",0,IF(ISTEXT(AG535),H535*VALUE(SUBSTITUTE(AG535,"%",""))/100,H535*AG535))-Tabela1[[#This Row],[PESO EXPEDIDO2]]</f>
        <v>0</v>
      </c>
      <c r="AU535" s="37">
        <f t="shared" si="95"/>
        <v>6</v>
      </c>
      <c r="AV535" s="37">
        <f t="shared" si="96"/>
        <v>6</v>
      </c>
      <c r="AW535" s="37"/>
    </row>
    <row r="536" spans="1:49" ht="15.75" customHeight="1" x14ac:dyDescent="0.25">
      <c r="A536" s="6" t="s">
        <v>4409</v>
      </c>
      <c r="B536" s="21"/>
      <c r="C536" s="7">
        <v>1</v>
      </c>
      <c r="D536" s="39" t="s">
        <v>4412</v>
      </c>
      <c r="E536" s="7">
        <v>3497</v>
      </c>
      <c r="F536" s="7">
        <v>3</v>
      </c>
      <c r="G536" s="23">
        <v>0.1</v>
      </c>
      <c r="H536" s="34">
        <f>Tabela1[[#This Row],[PESO UNI]]*Tabela1[[#This Row],[QTE]]</f>
        <v>0.1</v>
      </c>
      <c r="I536" s="7">
        <v>1</v>
      </c>
      <c r="J536" s="8" t="s">
        <v>2550</v>
      </c>
      <c r="K536" s="8" t="s">
        <v>31</v>
      </c>
      <c r="L536" s="9" t="s">
        <v>2551</v>
      </c>
      <c r="M536" s="10"/>
      <c r="N536" s="11" t="s">
        <v>38</v>
      </c>
      <c r="O536" s="12"/>
      <c r="P536" s="13"/>
      <c r="Q536" s="14">
        <f>Tabela1[[#This Row],[QTDE/ Fabricação]]-Tabela1[[#This Row],[QTE]]</f>
        <v>-1</v>
      </c>
      <c r="R536" s="18">
        <f t="shared" si="91"/>
        <v>0.1</v>
      </c>
      <c r="S536" s="18">
        <f t="shared" si="90"/>
        <v>0.1</v>
      </c>
      <c r="T536" s="19">
        <f t="shared" si="92"/>
        <v>0</v>
      </c>
      <c r="U536" s="16">
        <v>1</v>
      </c>
      <c r="V536" s="12" t="str">
        <f>IFERROR(VLOOKUP(Tabela1[[#This Row],[COD.MDE]],'LISTA DE EMBARQUE'!B:L,11,0),"")</f>
        <v/>
      </c>
      <c r="W536" s="13" t="str">
        <f>IFERROR(COUNTIF(#REF!,Tabela1[[#This Row],[Colunas5]]),"")</f>
        <v/>
      </c>
      <c r="X536" s="14">
        <f>Tabela1[[#This Row],[QIANTIDADE EXPEDIDA]]*Tabela1[[#This Row],[PESO UNI]]</f>
        <v>0.1</v>
      </c>
      <c r="Y536" s="14">
        <f t="shared" si="93"/>
        <v>0</v>
      </c>
      <c r="Z536" s="20">
        <f>Tabela1[[#This Row],[PESO TOTAL]]-Tabela1[[#This Row],[Peso Expedido]]</f>
        <v>0</v>
      </c>
      <c r="AA536" s="17">
        <v>1</v>
      </c>
      <c r="AB536" s="33"/>
      <c r="AC536" s="33">
        <v>1</v>
      </c>
      <c r="AD536" s="33">
        <v>1</v>
      </c>
      <c r="AE536" s="33">
        <v>1</v>
      </c>
      <c r="AF536" s="33">
        <v>1</v>
      </c>
      <c r="AG536" s="33">
        <v>1</v>
      </c>
      <c r="AH536" s="33">
        <v>1</v>
      </c>
      <c r="AI536" s="33" t="s">
        <v>4512</v>
      </c>
      <c r="AJ536"/>
      <c r="AK536" t="str">
        <f>Tabela1[[#This Row],[Coluna1]]&amp;Tabela1[[#This Row],[PEDIDO]]</f>
        <v>P-190</v>
      </c>
      <c r="AL536"/>
      <c r="AM536"/>
      <c r="AN536"/>
      <c r="AO536" t="str">
        <f t="shared" si="94"/>
        <v>P-024498-1/P190</v>
      </c>
      <c r="AP536" t="str">
        <f>Tabela1[[#This Row],[TAG]]&amp;Tabela1[[#This Row],[PEDIDO]]&amp;Tabela1[[#This Row],[PRODUTO]]</f>
        <v>P190P-190ESTRUTURA</v>
      </c>
      <c r="AQ536" s="22" t="str">
        <f>Tabela1[[#This Row],[PRODUTO]]&amp;Tabela1[[#This Row],[TAG]]</f>
        <v>ESTRUTURAP190</v>
      </c>
      <c r="AR536" s="24" t="str">
        <f>Tabela1[[#This Row],[PEDIDO]]&amp;Tabela1[[#This Row],[PRODUTO]]</f>
        <v>P-190ESTRUTURA</v>
      </c>
      <c r="AS536" s="37">
        <f>IF(AF536="",0,IF(ISTEXT(AF536),H536*VALUE(SUBSTITUTE(AF536,"%",""))/100,H536*AF536))-Tabela1[[#This Row],[PRONTO ACABADO2]]</f>
        <v>0</v>
      </c>
      <c r="AT536" s="37">
        <f>IF(AG536="",0,IF(ISTEXT(AG536),H536*VALUE(SUBSTITUTE(AG536,"%",""))/100,H536*AG536))-Tabela1[[#This Row],[PESO EXPEDIDO2]]</f>
        <v>0</v>
      </c>
      <c r="AU536" s="37">
        <f t="shared" si="95"/>
        <v>0.1</v>
      </c>
      <c r="AV536" s="37">
        <f t="shared" si="96"/>
        <v>0.1</v>
      </c>
      <c r="AW536" s="37"/>
    </row>
    <row r="537" spans="1:49" ht="15.75" customHeight="1" x14ac:dyDescent="0.25">
      <c r="A537" s="6" t="s">
        <v>4409</v>
      </c>
      <c r="B537" s="21"/>
      <c r="C537" s="7">
        <v>1</v>
      </c>
      <c r="D537" s="39" t="s">
        <v>4405</v>
      </c>
      <c r="E537" s="7">
        <v>3498</v>
      </c>
      <c r="F537" s="7">
        <v>3</v>
      </c>
      <c r="G537" s="23">
        <v>0.2</v>
      </c>
      <c r="H537" s="34">
        <f>Tabela1[[#This Row],[PESO UNI]]*Tabela1[[#This Row],[QTE]]</f>
        <v>0.2</v>
      </c>
      <c r="I537" s="7">
        <v>1</v>
      </c>
      <c r="J537" s="8" t="s">
        <v>2550</v>
      </c>
      <c r="K537" s="8" t="s">
        <v>31</v>
      </c>
      <c r="L537" s="9" t="s">
        <v>2551</v>
      </c>
      <c r="M537" s="10"/>
      <c r="N537" s="11" t="s">
        <v>38</v>
      </c>
      <c r="O537" s="12"/>
      <c r="P537" s="13"/>
      <c r="Q537" s="14">
        <f>Tabela1[[#This Row],[QTDE/ Fabricação]]-Tabela1[[#This Row],[QTE]]</f>
        <v>-1</v>
      </c>
      <c r="R537" s="18">
        <f t="shared" si="91"/>
        <v>0.2</v>
      </c>
      <c r="S537" s="18">
        <f t="shared" si="90"/>
        <v>0.2</v>
      </c>
      <c r="T537" s="19">
        <f t="shared" si="92"/>
        <v>0</v>
      </c>
      <c r="U537" s="16">
        <v>1</v>
      </c>
      <c r="V537" s="12" t="str">
        <f>IFERROR(VLOOKUP(Tabela1[[#This Row],[COD.MDE]],'LISTA DE EMBARQUE'!B:L,11,0),"")</f>
        <v/>
      </c>
      <c r="W537" s="13" t="str">
        <f>IFERROR(COUNTIF(#REF!,Tabela1[[#This Row],[Colunas5]]),"")</f>
        <v/>
      </c>
      <c r="X537" s="14">
        <f>Tabela1[[#This Row],[QIANTIDADE EXPEDIDA]]*Tabela1[[#This Row],[PESO UNI]]</f>
        <v>0.2</v>
      </c>
      <c r="Y537" s="14">
        <f t="shared" si="93"/>
        <v>0</v>
      </c>
      <c r="Z537" s="20">
        <f>Tabela1[[#This Row],[PESO TOTAL]]-Tabela1[[#This Row],[Peso Expedido]]</f>
        <v>0</v>
      </c>
      <c r="AA537" s="17">
        <v>1</v>
      </c>
      <c r="AB537" s="33"/>
      <c r="AC537" s="33">
        <v>1</v>
      </c>
      <c r="AD537" s="33">
        <v>1</v>
      </c>
      <c r="AE537" s="33">
        <v>1</v>
      </c>
      <c r="AF537" s="33">
        <v>1</v>
      </c>
      <c r="AG537" s="33">
        <v>1</v>
      </c>
      <c r="AH537" s="33">
        <v>1</v>
      </c>
      <c r="AI537" s="33" t="s">
        <v>4512</v>
      </c>
      <c r="AJ537"/>
      <c r="AK537" t="str">
        <f>Tabela1[[#This Row],[Coluna1]]&amp;Tabela1[[#This Row],[PEDIDO]]</f>
        <v>P-190</v>
      </c>
      <c r="AL537"/>
      <c r="AM537"/>
      <c r="AN537"/>
      <c r="AO537" t="str">
        <f t="shared" si="94"/>
        <v>P-024498-1/P190</v>
      </c>
      <c r="AP537" t="str">
        <f>Tabela1[[#This Row],[TAG]]&amp;Tabela1[[#This Row],[PEDIDO]]&amp;Tabela1[[#This Row],[PRODUTO]]</f>
        <v>P190P-190ESTRUTURA</v>
      </c>
      <c r="AQ537" s="22" t="str">
        <f>Tabela1[[#This Row],[PRODUTO]]&amp;Tabela1[[#This Row],[TAG]]</f>
        <v>ESTRUTURAP190</v>
      </c>
      <c r="AR537" s="24" t="str">
        <f>Tabela1[[#This Row],[PEDIDO]]&amp;Tabela1[[#This Row],[PRODUTO]]</f>
        <v>P-190ESTRUTURA</v>
      </c>
      <c r="AS537" s="37">
        <f>IF(AF537="",0,IF(ISTEXT(AF537),H537*VALUE(SUBSTITUTE(AF537,"%",""))/100,H537*AF537))-Tabela1[[#This Row],[PRONTO ACABADO2]]</f>
        <v>0</v>
      </c>
      <c r="AT537" s="37">
        <f>IF(AG537="",0,IF(ISTEXT(AG537),H537*VALUE(SUBSTITUTE(AG537,"%",""))/100,H537*AG537))-Tabela1[[#This Row],[PESO EXPEDIDO2]]</f>
        <v>0</v>
      </c>
      <c r="AU537" s="37">
        <f t="shared" si="95"/>
        <v>0.2</v>
      </c>
      <c r="AV537" s="37">
        <f t="shared" si="96"/>
        <v>0.2</v>
      </c>
      <c r="AW537" s="37"/>
    </row>
    <row r="538" spans="1:49" ht="15.75" customHeight="1" x14ac:dyDescent="0.25">
      <c r="A538" s="6" t="s">
        <v>4409</v>
      </c>
      <c r="B538" s="21"/>
      <c r="C538" s="7">
        <v>1</v>
      </c>
      <c r="D538" s="39" t="s">
        <v>4406</v>
      </c>
      <c r="E538" s="7">
        <v>3499</v>
      </c>
      <c r="F538" s="7">
        <v>3</v>
      </c>
      <c r="G538" s="23">
        <v>0.1</v>
      </c>
      <c r="H538" s="34">
        <f>Tabela1[[#This Row],[PESO UNI]]*Tabela1[[#This Row],[QTE]]</f>
        <v>0.1</v>
      </c>
      <c r="I538" s="7">
        <v>1</v>
      </c>
      <c r="J538" s="8" t="s">
        <v>2550</v>
      </c>
      <c r="K538" s="8" t="s">
        <v>31</v>
      </c>
      <c r="L538" s="9" t="s">
        <v>2551</v>
      </c>
      <c r="M538" s="10"/>
      <c r="N538" s="11" t="s">
        <v>38</v>
      </c>
      <c r="O538" s="12"/>
      <c r="P538" s="13"/>
      <c r="Q538" s="14">
        <f>Tabela1[[#This Row],[QTDE/ Fabricação]]-Tabela1[[#This Row],[QTE]]</f>
        <v>-1</v>
      </c>
      <c r="R538" s="18">
        <f t="shared" si="91"/>
        <v>0.1</v>
      </c>
      <c r="S538" s="18">
        <f t="shared" si="90"/>
        <v>0.1</v>
      </c>
      <c r="T538" s="19">
        <f t="shared" si="92"/>
        <v>0</v>
      </c>
      <c r="U538" s="16">
        <v>1</v>
      </c>
      <c r="V538" s="12" t="str">
        <f>IFERROR(VLOOKUP(Tabela1[[#This Row],[COD.MDE]],'LISTA DE EMBARQUE'!B:L,11,0),"")</f>
        <v/>
      </c>
      <c r="W538" s="13" t="str">
        <f>IFERROR(COUNTIF(#REF!,Tabela1[[#This Row],[Colunas5]]),"")</f>
        <v/>
      </c>
      <c r="X538" s="14">
        <f>Tabela1[[#This Row],[QIANTIDADE EXPEDIDA]]*Tabela1[[#This Row],[PESO UNI]]</f>
        <v>0.1</v>
      </c>
      <c r="Y538" s="14">
        <f t="shared" si="93"/>
        <v>0</v>
      </c>
      <c r="Z538" s="20">
        <f>Tabela1[[#This Row],[PESO TOTAL]]-Tabela1[[#This Row],[Peso Expedido]]</f>
        <v>0</v>
      </c>
      <c r="AA538" s="17">
        <v>1</v>
      </c>
      <c r="AB538" s="33"/>
      <c r="AC538" s="33">
        <v>1</v>
      </c>
      <c r="AD538" s="33">
        <v>1</v>
      </c>
      <c r="AE538" s="33">
        <v>1</v>
      </c>
      <c r="AF538" s="33">
        <v>1</v>
      </c>
      <c r="AG538" s="33">
        <v>1</v>
      </c>
      <c r="AH538" s="33">
        <v>1</v>
      </c>
      <c r="AI538" s="33" t="s">
        <v>4512</v>
      </c>
      <c r="AJ538"/>
      <c r="AK538" t="str">
        <f>Tabela1[[#This Row],[Coluna1]]&amp;Tabela1[[#This Row],[PEDIDO]]</f>
        <v>P-190</v>
      </c>
      <c r="AL538"/>
      <c r="AM538"/>
      <c r="AN538"/>
      <c r="AO538" t="str">
        <f t="shared" si="94"/>
        <v>P-024498-1/P190</v>
      </c>
      <c r="AP538" t="str">
        <f>Tabela1[[#This Row],[TAG]]&amp;Tabela1[[#This Row],[PEDIDO]]&amp;Tabela1[[#This Row],[PRODUTO]]</f>
        <v>P190P-190ESTRUTURA</v>
      </c>
      <c r="AQ538" s="22" t="str">
        <f>Tabela1[[#This Row],[PRODUTO]]&amp;Tabela1[[#This Row],[TAG]]</f>
        <v>ESTRUTURAP190</v>
      </c>
      <c r="AR538" s="24" t="str">
        <f>Tabela1[[#This Row],[PEDIDO]]&amp;Tabela1[[#This Row],[PRODUTO]]</f>
        <v>P-190ESTRUTURA</v>
      </c>
      <c r="AS538" s="37">
        <f>IF(AF538="",0,IF(ISTEXT(AF538),H538*VALUE(SUBSTITUTE(AF538,"%",""))/100,H538*AF538))-Tabela1[[#This Row],[PRONTO ACABADO2]]</f>
        <v>0</v>
      </c>
      <c r="AT538" s="37">
        <f>IF(AG538="",0,IF(ISTEXT(AG538),H538*VALUE(SUBSTITUTE(AG538,"%",""))/100,H538*AG538))-Tabela1[[#This Row],[PESO EXPEDIDO2]]</f>
        <v>0</v>
      </c>
      <c r="AU538" s="37">
        <f t="shared" si="95"/>
        <v>0.1</v>
      </c>
      <c r="AV538" s="37">
        <f t="shared" si="96"/>
        <v>0.1</v>
      </c>
      <c r="AW538" s="37"/>
    </row>
    <row r="539" spans="1:49" ht="15.75" customHeight="1" x14ac:dyDescent="0.25">
      <c r="A539" s="6" t="s">
        <v>4409</v>
      </c>
      <c r="B539" s="21"/>
      <c r="C539" s="7">
        <v>1</v>
      </c>
      <c r="D539" s="39" t="s">
        <v>4407</v>
      </c>
      <c r="E539" s="7">
        <v>3500</v>
      </c>
      <c r="F539" s="7">
        <v>3</v>
      </c>
      <c r="G539" s="23">
        <v>0.1</v>
      </c>
      <c r="H539" s="34">
        <f>Tabela1[[#This Row],[PESO UNI]]*Tabela1[[#This Row],[QTE]]</f>
        <v>0.1</v>
      </c>
      <c r="I539" s="7">
        <v>1</v>
      </c>
      <c r="J539" s="8" t="s">
        <v>2550</v>
      </c>
      <c r="K539" s="8" t="s">
        <v>31</v>
      </c>
      <c r="L539" s="9" t="s">
        <v>2551</v>
      </c>
      <c r="M539" s="10"/>
      <c r="N539" s="11" t="s">
        <v>38</v>
      </c>
      <c r="O539" s="12"/>
      <c r="P539" s="13"/>
      <c r="Q539" s="14">
        <f>Tabela1[[#This Row],[QTDE/ Fabricação]]-Tabela1[[#This Row],[QTE]]</f>
        <v>-1</v>
      </c>
      <c r="R539" s="18">
        <f t="shared" si="91"/>
        <v>0.1</v>
      </c>
      <c r="S539" s="18">
        <f t="shared" si="90"/>
        <v>0.1</v>
      </c>
      <c r="T539" s="19">
        <f t="shared" si="92"/>
        <v>0</v>
      </c>
      <c r="U539" s="16">
        <v>1</v>
      </c>
      <c r="V539" s="12" t="str">
        <f>IFERROR(VLOOKUP(Tabela1[[#This Row],[COD.MDE]],'LISTA DE EMBARQUE'!B:L,11,0),"")</f>
        <v/>
      </c>
      <c r="W539" s="13" t="str">
        <f>IFERROR(COUNTIF(#REF!,Tabela1[[#This Row],[Colunas5]]),"")</f>
        <v/>
      </c>
      <c r="X539" s="14">
        <f>Tabela1[[#This Row],[QIANTIDADE EXPEDIDA]]*Tabela1[[#This Row],[PESO UNI]]</f>
        <v>0.1</v>
      </c>
      <c r="Y539" s="14">
        <f t="shared" si="93"/>
        <v>0</v>
      </c>
      <c r="Z539" s="20">
        <f>Tabela1[[#This Row],[PESO TOTAL]]-Tabela1[[#This Row],[Peso Expedido]]</f>
        <v>0</v>
      </c>
      <c r="AA539" s="17">
        <v>1</v>
      </c>
      <c r="AB539" s="33"/>
      <c r="AC539" s="33">
        <v>1</v>
      </c>
      <c r="AD539" s="33">
        <v>1</v>
      </c>
      <c r="AE539" s="33">
        <v>1</v>
      </c>
      <c r="AF539" s="33">
        <v>1</v>
      </c>
      <c r="AG539" s="33">
        <v>1</v>
      </c>
      <c r="AH539" s="33">
        <v>1</v>
      </c>
      <c r="AI539" s="33" t="s">
        <v>4512</v>
      </c>
      <c r="AJ539"/>
      <c r="AK539" t="str">
        <f>Tabela1[[#This Row],[Coluna1]]&amp;Tabela1[[#This Row],[PEDIDO]]</f>
        <v>P-190</v>
      </c>
      <c r="AL539"/>
      <c r="AM539"/>
      <c r="AN539"/>
      <c r="AO539" t="str">
        <f t="shared" si="94"/>
        <v>P-024498-1/P190</v>
      </c>
      <c r="AP539" t="str">
        <f>Tabela1[[#This Row],[TAG]]&amp;Tabela1[[#This Row],[PEDIDO]]&amp;Tabela1[[#This Row],[PRODUTO]]</f>
        <v>P190P-190ESTRUTURA</v>
      </c>
      <c r="AQ539" s="22" t="str">
        <f>Tabela1[[#This Row],[PRODUTO]]&amp;Tabela1[[#This Row],[TAG]]</f>
        <v>ESTRUTURAP190</v>
      </c>
      <c r="AR539" s="24" t="str">
        <f>Tabela1[[#This Row],[PEDIDO]]&amp;Tabela1[[#This Row],[PRODUTO]]</f>
        <v>P-190ESTRUTURA</v>
      </c>
      <c r="AS539" s="37">
        <f>IF(AF539="",0,IF(ISTEXT(AF539),H539*VALUE(SUBSTITUTE(AF539,"%",""))/100,H539*AF539))-Tabela1[[#This Row],[PRONTO ACABADO2]]</f>
        <v>0</v>
      </c>
      <c r="AT539" s="37">
        <f>IF(AG539="",0,IF(ISTEXT(AG539),H539*VALUE(SUBSTITUTE(AG539,"%",""))/100,H539*AG539))-Tabela1[[#This Row],[PESO EXPEDIDO2]]</f>
        <v>0</v>
      </c>
      <c r="AU539" s="37">
        <f t="shared" si="95"/>
        <v>0.1</v>
      </c>
      <c r="AV539" s="37">
        <f t="shared" si="96"/>
        <v>0.1</v>
      </c>
      <c r="AW539" s="37"/>
    </row>
    <row r="540" spans="1:49" ht="15.75" customHeight="1" x14ac:dyDescent="0.25">
      <c r="A540" s="6" t="s">
        <v>4409</v>
      </c>
      <c r="B540" s="21"/>
      <c r="C540" s="7">
        <v>2</v>
      </c>
      <c r="D540" s="39" t="s">
        <v>4408</v>
      </c>
      <c r="E540" s="7">
        <v>3501</v>
      </c>
      <c r="F540" s="7">
        <v>3</v>
      </c>
      <c r="G540" s="23">
        <v>7.1</v>
      </c>
      <c r="H540" s="34">
        <f>Tabela1[[#This Row],[PESO UNI]]*Tabela1[[#This Row],[QTE]]</f>
        <v>14.2</v>
      </c>
      <c r="I540" s="7">
        <v>1</v>
      </c>
      <c r="J540" s="8" t="s">
        <v>2550</v>
      </c>
      <c r="K540" s="8" t="s">
        <v>31</v>
      </c>
      <c r="L540" s="9" t="s">
        <v>2551</v>
      </c>
      <c r="M540" s="10"/>
      <c r="N540" s="11" t="s">
        <v>38</v>
      </c>
      <c r="O540" s="12"/>
      <c r="P540" s="13"/>
      <c r="Q540" s="14">
        <f>Tabela1[[#This Row],[QTDE/ Fabricação]]-Tabela1[[#This Row],[QTE]]</f>
        <v>-2</v>
      </c>
      <c r="R540" s="18">
        <f t="shared" si="91"/>
        <v>14.2</v>
      </c>
      <c r="S540" s="18">
        <f t="shared" si="90"/>
        <v>14.2</v>
      </c>
      <c r="T540" s="19">
        <f t="shared" si="92"/>
        <v>0</v>
      </c>
      <c r="U540" s="16">
        <v>2</v>
      </c>
      <c r="V540" s="12" t="str">
        <f>IFERROR(VLOOKUP(Tabela1[[#This Row],[COD.MDE]],'LISTA DE EMBARQUE'!B:L,11,0),"")</f>
        <v/>
      </c>
      <c r="W540" s="13" t="str">
        <f>IFERROR(COUNTIF(#REF!,Tabela1[[#This Row],[Colunas5]]),"")</f>
        <v/>
      </c>
      <c r="X540" s="14">
        <f>Tabela1[[#This Row],[QIANTIDADE EXPEDIDA]]*Tabela1[[#This Row],[PESO UNI]]</f>
        <v>14.2</v>
      </c>
      <c r="Y540" s="14">
        <f t="shared" si="93"/>
        <v>0</v>
      </c>
      <c r="Z540" s="20">
        <f>Tabela1[[#This Row],[PESO TOTAL]]-Tabela1[[#This Row],[Peso Expedido]]</f>
        <v>0</v>
      </c>
      <c r="AA540" s="17">
        <v>1</v>
      </c>
      <c r="AB540" s="33"/>
      <c r="AC540" s="33">
        <v>1</v>
      </c>
      <c r="AD540" s="33">
        <v>1</v>
      </c>
      <c r="AE540" s="33">
        <v>1</v>
      </c>
      <c r="AF540" s="33">
        <v>1</v>
      </c>
      <c r="AG540" s="33">
        <v>1</v>
      </c>
      <c r="AH540" s="33">
        <v>1</v>
      </c>
      <c r="AI540" s="33" t="s">
        <v>4512</v>
      </c>
      <c r="AJ540"/>
      <c r="AK540" t="str">
        <f>Tabela1[[#This Row],[Coluna1]]&amp;Tabela1[[#This Row],[PEDIDO]]</f>
        <v>P-190</v>
      </c>
      <c r="AL540"/>
      <c r="AM540"/>
      <c r="AN540"/>
      <c r="AO540" t="str">
        <f t="shared" si="94"/>
        <v>P-024498-1/P190</v>
      </c>
      <c r="AP540" t="str">
        <f>Tabela1[[#This Row],[TAG]]&amp;Tabela1[[#This Row],[PEDIDO]]&amp;Tabela1[[#This Row],[PRODUTO]]</f>
        <v>P190P-190ESTRUTURA</v>
      </c>
      <c r="AQ540" s="22" t="str">
        <f>Tabela1[[#This Row],[PRODUTO]]&amp;Tabela1[[#This Row],[TAG]]</f>
        <v>ESTRUTURAP190</v>
      </c>
      <c r="AR540" s="24" t="str">
        <f>Tabela1[[#This Row],[PEDIDO]]&amp;Tabela1[[#This Row],[PRODUTO]]</f>
        <v>P-190ESTRUTURA</v>
      </c>
      <c r="AS540" s="37">
        <f>IF(AF540="",0,IF(ISTEXT(AF540),H540*VALUE(SUBSTITUTE(AF540,"%",""))/100,H540*AF540))-Tabela1[[#This Row],[PRONTO ACABADO2]]</f>
        <v>0</v>
      </c>
      <c r="AT540" s="37">
        <f>IF(AG540="",0,IF(ISTEXT(AG540),H540*VALUE(SUBSTITUTE(AG540,"%",""))/100,H540*AG540))-Tabela1[[#This Row],[PESO EXPEDIDO2]]</f>
        <v>0</v>
      </c>
      <c r="AU540" s="37">
        <f t="shared" si="95"/>
        <v>14.2</v>
      </c>
      <c r="AV540" s="37">
        <f t="shared" si="96"/>
        <v>14.2</v>
      </c>
      <c r="AW540" s="37"/>
    </row>
    <row r="541" spans="1:49" ht="15.75" customHeight="1" x14ac:dyDescent="0.25">
      <c r="A541" s="6" t="s">
        <v>4409</v>
      </c>
      <c r="B541" s="21"/>
      <c r="C541" s="7">
        <v>1</v>
      </c>
      <c r="D541" s="39" t="s">
        <v>4413</v>
      </c>
      <c r="E541" s="7">
        <v>3502</v>
      </c>
      <c r="F541" s="7">
        <v>3</v>
      </c>
      <c r="G541" s="23">
        <v>0.1</v>
      </c>
      <c r="H541" s="34">
        <f>Tabela1[[#This Row],[PESO UNI]]*Tabela1[[#This Row],[QTE]]</f>
        <v>0.1</v>
      </c>
      <c r="I541" s="7">
        <v>1</v>
      </c>
      <c r="J541" s="8" t="s">
        <v>2550</v>
      </c>
      <c r="K541" s="8" t="s">
        <v>31</v>
      </c>
      <c r="L541" s="9" t="s">
        <v>2551</v>
      </c>
      <c r="M541" s="10"/>
      <c r="N541" s="11" t="s">
        <v>38</v>
      </c>
      <c r="O541" s="12"/>
      <c r="P541" s="13"/>
      <c r="Q541" s="14">
        <f>Tabela1[[#This Row],[QTDE/ Fabricação]]-Tabela1[[#This Row],[QTE]]</f>
        <v>-1</v>
      </c>
      <c r="R541" s="18">
        <f t="shared" si="91"/>
        <v>0.1</v>
      </c>
      <c r="S541" s="18">
        <f t="shared" si="90"/>
        <v>0.1</v>
      </c>
      <c r="T541" s="19">
        <f t="shared" si="92"/>
        <v>0</v>
      </c>
      <c r="U541" s="16">
        <v>1</v>
      </c>
      <c r="V541" s="12" t="str">
        <f>IFERROR(VLOOKUP(Tabela1[[#This Row],[COD.MDE]],'LISTA DE EMBARQUE'!B:L,11,0),"")</f>
        <v/>
      </c>
      <c r="W541" s="13" t="str">
        <f>IFERROR(COUNTIF(#REF!,Tabela1[[#This Row],[Colunas5]]),"")</f>
        <v/>
      </c>
      <c r="X541" s="14">
        <f>Tabela1[[#This Row],[QIANTIDADE EXPEDIDA]]*Tabela1[[#This Row],[PESO UNI]]</f>
        <v>0.1</v>
      </c>
      <c r="Y541" s="14">
        <f t="shared" si="93"/>
        <v>0</v>
      </c>
      <c r="Z541" s="20">
        <f>Tabela1[[#This Row],[PESO TOTAL]]-Tabela1[[#This Row],[Peso Expedido]]</f>
        <v>0</v>
      </c>
      <c r="AA541" s="17">
        <v>1</v>
      </c>
      <c r="AB541" s="33"/>
      <c r="AC541" s="33">
        <v>1</v>
      </c>
      <c r="AD541" s="33">
        <v>1</v>
      </c>
      <c r="AE541" s="33">
        <v>1</v>
      </c>
      <c r="AF541" s="33">
        <v>1</v>
      </c>
      <c r="AG541" s="33">
        <v>1</v>
      </c>
      <c r="AH541" s="33">
        <v>1</v>
      </c>
      <c r="AI541" s="33" t="s">
        <v>4512</v>
      </c>
      <c r="AJ541"/>
      <c r="AK541" t="str">
        <f>Tabela1[[#This Row],[Coluna1]]&amp;Tabela1[[#This Row],[PEDIDO]]</f>
        <v>P-190</v>
      </c>
      <c r="AL541"/>
      <c r="AM541"/>
      <c r="AN541"/>
      <c r="AO541" t="str">
        <f t="shared" si="94"/>
        <v>P-024498-1/P190</v>
      </c>
      <c r="AP541" t="str">
        <f>Tabela1[[#This Row],[TAG]]&amp;Tabela1[[#This Row],[PEDIDO]]&amp;Tabela1[[#This Row],[PRODUTO]]</f>
        <v>P190P-190ESTRUTURA</v>
      </c>
      <c r="AQ541" s="22" t="str">
        <f>Tabela1[[#This Row],[PRODUTO]]&amp;Tabela1[[#This Row],[TAG]]</f>
        <v>ESTRUTURAP190</v>
      </c>
      <c r="AR541" s="24" t="str">
        <f>Tabela1[[#This Row],[PEDIDO]]&amp;Tabela1[[#This Row],[PRODUTO]]</f>
        <v>P-190ESTRUTURA</v>
      </c>
      <c r="AS541" s="37">
        <f>IF(AF541="",0,IF(ISTEXT(AF541),H541*VALUE(SUBSTITUTE(AF541,"%",""))/100,H541*AF541))-Tabela1[[#This Row],[PRONTO ACABADO2]]</f>
        <v>0</v>
      </c>
      <c r="AT541" s="37">
        <f>IF(AG541="",0,IF(ISTEXT(AG541),H541*VALUE(SUBSTITUTE(AG541,"%",""))/100,H541*AG541))-Tabela1[[#This Row],[PESO EXPEDIDO2]]</f>
        <v>0</v>
      </c>
      <c r="AU541" s="37">
        <f t="shared" si="95"/>
        <v>0.1</v>
      </c>
      <c r="AV541" s="37">
        <f t="shared" si="96"/>
        <v>0.1</v>
      </c>
      <c r="AW541" s="37"/>
    </row>
    <row r="542" spans="1:49" ht="15.75" customHeight="1" x14ac:dyDescent="0.25">
      <c r="A542" s="6" t="s">
        <v>2562</v>
      </c>
      <c r="B542" s="21"/>
      <c r="C542" s="7">
        <v>2</v>
      </c>
      <c r="D542" s="39" t="s">
        <v>2563</v>
      </c>
      <c r="E542" s="7">
        <v>3503</v>
      </c>
      <c r="F542" s="7">
        <v>3</v>
      </c>
      <c r="G542" s="23">
        <v>24</v>
      </c>
      <c r="H542" s="34">
        <f>Tabela1[[#This Row],[PESO UNI]]*Tabela1[[#This Row],[QTE]]</f>
        <v>48</v>
      </c>
      <c r="I542" s="7">
        <v>1</v>
      </c>
      <c r="J542" s="8" t="s">
        <v>2550</v>
      </c>
      <c r="K542" s="8" t="s">
        <v>31</v>
      </c>
      <c r="L542" s="9" t="s">
        <v>2551</v>
      </c>
      <c r="M542" s="10"/>
      <c r="N542" s="11" t="s">
        <v>38</v>
      </c>
      <c r="O542" s="12"/>
      <c r="P542" s="13"/>
      <c r="Q542" s="14">
        <f>Tabela1[[#This Row],[QTDE/ Fabricação]]-Tabela1[[#This Row],[QTE]]</f>
        <v>-2</v>
      </c>
      <c r="R542" s="18">
        <f t="shared" si="91"/>
        <v>48</v>
      </c>
      <c r="S542" s="18">
        <f t="shared" si="90"/>
        <v>48</v>
      </c>
      <c r="T542" s="19">
        <f t="shared" si="92"/>
        <v>0</v>
      </c>
      <c r="U542" s="16">
        <f>IFERROR(SUMIF('LISTA DE EMBARQUE'!B:B,MICRO!E:E,'LISTA DE EMBARQUE'!G:G),"")</f>
        <v>2</v>
      </c>
      <c r="V542" s="12">
        <f>IFERROR(VLOOKUP(Tabela1[[#This Row],[COD.MDE]],'LISTA DE EMBARQUE'!B:L,11,0),"")</f>
        <v>2</v>
      </c>
      <c r="W542" s="13" t="str">
        <f>IFERROR(COUNTIF(#REF!,Tabela1[[#This Row],[Colunas5]]),"")</f>
        <v/>
      </c>
      <c r="X542" s="14">
        <f>Tabela1[[#This Row],[QIANTIDADE EXPEDIDA]]*Tabela1[[#This Row],[PESO UNI]]</f>
        <v>48</v>
      </c>
      <c r="Y542" s="14">
        <f t="shared" si="93"/>
        <v>0</v>
      </c>
      <c r="Z542" s="20">
        <f>Tabela1[[#This Row],[PESO TOTAL]]-Tabela1[[#This Row],[Peso Expedido]]</f>
        <v>0</v>
      </c>
      <c r="AA542" s="17">
        <v>1</v>
      </c>
      <c r="AB542" s="33"/>
      <c r="AC542" s="33">
        <v>1</v>
      </c>
      <c r="AD542" s="33">
        <v>1</v>
      </c>
      <c r="AE542" s="33">
        <v>1</v>
      </c>
      <c r="AF542" s="33">
        <v>1</v>
      </c>
      <c r="AG542" s="33">
        <v>1</v>
      </c>
      <c r="AH542" s="33">
        <v>1</v>
      </c>
      <c r="AI542" s="33" t="s">
        <v>4512</v>
      </c>
      <c r="AJ542"/>
      <c r="AK542" t="str">
        <f>Tabela1[[#This Row],[Coluna1]]&amp;Tabela1[[#This Row],[PEDIDO]]</f>
        <v>P-190</v>
      </c>
      <c r="AL542"/>
      <c r="AM542"/>
      <c r="AN542"/>
      <c r="AO542" t="str">
        <f t="shared" si="94"/>
        <v>P-024497-1/P190</v>
      </c>
      <c r="AP542" t="str">
        <f>Tabela1[[#This Row],[TAG]]&amp;Tabela1[[#This Row],[PEDIDO]]&amp;Tabela1[[#This Row],[PRODUTO]]</f>
        <v>P190P-190ESTRUTURA</v>
      </c>
      <c r="AQ542" s="22" t="str">
        <f>Tabela1[[#This Row],[PRODUTO]]&amp;Tabela1[[#This Row],[TAG]]</f>
        <v>ESTRUTURAP190</v>
      </c>
      <c r="AR542" s="24" t="str">
        <f>Tabela1[[#This Row],[PEDIDO]]&amp;Tabela1[[#This Row],[PRODUTO]]</f>
        <v>P-190ESTRUTURA</v>
      </c>
      <c r="AS542" s="37">
        <f>IF(AF542="",0,IF(ISTEXT(AF542),H542*VALUE(SUBSTITUTE(AF542,"%",""))/100,H542*AF542))-Tabela1[[#This Row],[PRONTO ACABADO2]]</f>
        <v>0</v>
      </c>
      <c r="AT542" s="37">
        <f>IF(AG542="",0,IF(ISTEXT(AG542),H542*VALUE(SUBSTITUTE(AG542,"%",""))/100,H542*AG542))-Tabela1[[#This Row],[PESO EXPEDIDO2]]</f>
        <v>0</v>
      </c>
      <c r="AU542" s="37">
        <f t="shared" si="95"/>
        <v>48</v>
      </c>
      <c r="AV542" s="37">
        <f t="shared" si="96"/>
        <v>48</v>
      </c>
      <c r="AW542" s="37"/>
    </row>
    <row r="543" spans="1:49" ht="15.75" customHeight="1" x14ac:dyDescent="0.25">
      <c r="A543" s="6" t="s">
        <v>2564</v>
      </c>
      <c r="B543" s="21"/>
      <c r="C543" s="7">
        <v>1</v>
      </c>
      <c r="D543" s="39" t="s">
        <v>2565</v>
      </c>
      <c r="E543" s="7">
        <v>3504</v>
      </c>
      <c r="F543" s="7">
        <v>2</v>
      </c>
      <c r="G543" s="23">
        <v>951.2</v>
      </c>
      <c r="H543" s="34">
        <f>Tabela1[[#This Row],[PESO UNI]]*Tabela1[[#This Row],[QTE]]</f>
        <v>951.2</v>
      </c>
      <c r="I543" s="7">
        <v>1</v>
      </c>
      <c r="J543" s="8" t="s">
        <v>2550</v>
      </c>
      <c r="K543" s="8" t="s">
        <v>31</v>
      </c>
      <c r="L543" s="9" t="s">
        <v>2551</v>
      </c>
      <c r="M543" s="10"/>
      <c r="N543" s="11" t="s">
        <v>38</v>
      </c>
      <c r="O543" s="12"/>
      <c r="P543" s="13"/>
      <c r="Q543" s="14">
        <f>Tabela1[[#This Row],[QTDE/ Fabricação]]-Tabela1[[#This Row],[QTE]]</f>
        <v>-1</v>
      </c>
      <c r="R543" s="18">
        <f t="shared" si="91"/>
        <v>951.2</v>
      </c>
      <c r="S543" s="18">
        <f t="shared" si="90"/>
        <v>951.2</v>
      </c>
      <c r="T543" s="19">
        <f t="shared" si="92"/>
        <v>0</v>
      </c>
      <c r="U543" s="16">
        <f>IFERROR(SUMIF('LISTA DE EMBARQUE'!B:B,MICRO!E:E,'LISTA DE EMBARQUE'!G:G),"")</f>
        <v>1</v>
      </c>
      <c r="V543" s="12">
        <f>IFERROR(VLOOKUP(Tabela1[[#This Row],[COD.MDE]],'LISTA DE EMBARQUE'!B:L,11,0),"")</f>
        <v>2</v>
      </c>
      <c r="W543" s="13" t="str">
        <f>IFERROR(COUNTIF(#REF!,Tabela1[[#This Row],[Colunas5]]),"")</f>
        <v/>
      </c>
      <c r="X543" s="14">
        <f>Tabela1[[#This Row],[QIANTIDADE EXPEDIDA]]*Tabela1[[#This Row],[PESO UNI]]</f>
        <v>951.2</v>
      </c>
      <c r="Y543" s="14">
        <f t="shared" si="93"/>
        <v>0</v>
      </c>
      <c r="Z543" s="20">
        <f>Tabela1[[#This Row],[PESO TOTAL]]-Tabela1[[#This Row],[Peso Expedido]]</f>
        <v>0</v>
      </c>
      <c r="AA543" s="17">
        <v>1</v>
      </c>
      <c r="AB543" s="33"/>
      <c r="AC543" s="33">
        <v>1</v>
      </c>
      <c r="AD543" s="33">
        <v>1</v>
      </c>
      <c r="AE543" s="33">
        <v>1</v>
      </c>
      <c r="AF543" s="33">
        <v>1</v>
      </c>
      <c r="AG543" s="33">
        <v>1</v>
      </c>
      <c r="AH543" s="33">
        <v>1</v>
      </c>
      <c r="AI543" s="33" t="s">
        <v>4512</v>
      </c>
      <c r="AJ543"/>
      <c r="AK543" t="str">
        <f>Tabela1[[#This Row],[Coluna1]]&amp;Tabela1[[#This Row],[PEDIDO]]</f>
        <v>P-190</v>
      </c>
      <c r="AL543"/>
      <c r="AM543"/>
      <c r="AN543"/>
      <c r="AO543" t="str">
        <f t="shared" si="94"/>
        <v>P-024513-1/P190</v>
      </c>
      <c r="AP543" t="str">
        <f>Tabela1[[#This Row],[TAG]]&amp;Tabela1[[#This Row],[PEDIDO]]&amp;Tabela1[[#This Row],[PRODUTO]]</f>
        <v>P190P-190ESTRUTURA</v>
      </c>
      <c r="AQ543" s="22" t="str">
        <f>Tabela1[[#This Row],[PRODUTO]]&amp;Tabela1[[#This Row],[TAG]]</f>
        <v>ESTRUTURAP190</v>
      </c>
      <c r="AR543" s="24" t="str">
        <f>Tabela1[[#This Row],[PEDIDO]]&amp;Tabela1[[#This Row],[PRODUTO]]</f>
        <v>P-190ESTRUTURA</v>
      </c>
      <c r="AS543" s="37">
        <f>IF(AF543="",0,IF(ISTEXT(AF543),H543*VALUE(SUBSTITUTE(AF543,"%",""))/100,H543*AF543))-Tabela1[[#This Row],[PRONTO ACABADO2]]</f>
        <v>0</v>
      </c>
      <c r="AT543" s="37">
        <f>IF(AG543="",0,IF(ISTEXT(AG543),H543*VALUE(SUBSTITUTE(AG543,"%",""))/100,H543*AG543))-Tabela1[[#This Row],[PESO EXPEDIDO2]]</f>
        <v>0</v>
      </c>
      <c r="AU543" s="37">
        <f t="shared" si="95"/>
        <v>951.2</v>
      </c>
      <c r="AV543" s="37">
        <f t="shared" si="96"/>
        <v>951.2</v>
      </c>
      <c r="AW543" s="37"/>
    </row>
    <row r="544" spans="1:49" ht="15.75" customHeight="1" x14ac:dyDescent="0.25">
      <c r="A544" s="6" t="s">
        <v>2564</v>
      </c>
      <c r="B544" s="21"/>
      <c r="C544" s="7">
        <v>2</v>
      </c>
      <c r="D544" s="39" t="s">
        <v>2566</v>
      </c>
      <c r="E544" s="7">
        <v>3505</v>
      </c>
      <c r="F544" s="7">
        <v>2</v>
      </c>
      <c r="G544" s="23">
        <v>3.4</v>
      </c>
      <c r="H544" s="34">
        <f>Tabela1[[#This Row],[PESO UNI]]*Tabela1[[#This Row],[QTE]]</f>
        <v>6.8</v>
      </c>
      <c r="I544" s="7">
        <v>1</v>
      </c>
      <c r="J544" s="8" t="s">
        <v>2550</v>
      </c>
      <c r="K544" s="8" t="s">
        <v>31</v>
      </c>
      <c r="L544" s="9" t="s">
        <v>2551</v>
      </c>
      <c r="M544" s="10"/>
      <c r="N544" s="11" t="s">
        <v>38</v>
      </c>
      <c r="O544" s="12"/>
      <c r="P544" s="13"/>
      <c r="Q544" s="14">
        <f>Tabela1[[#This Row],[QTDE/ Fabricação]]-Tabela1[[#This Row],[QTE]]</f>
        <v>-2</v>
      </c>
      <c r="R544" s="18">
        <f t="shared" si="91"/>
        <v>6.8</v>
      </c>
      <c r="S544" s="18">
        <f t="shared" si="90"/>
        <v>6.8</v>
      </c>
      <c r="T544" s="19">
        <f t="shared" si="92"/>
        <v>0</v>
      </c>
      <c r="U544" s="16">
        <v>2</v>
      </c>
      <c r="V544" s="12" t="str">
        <f>IFERROR(VLOOKUP(Tabela1[[#This Row],[COD.MDE]],'LISTA DE EMBARQUE'!B:L,11,0),"")</f>
        <v/>
      </c>
      <c r="W544" s="13" t="str">
        <f>IFERROR(COUNTIF(#REF!,Tabela1[[#This Row],[Colunas5]]),"")</f>
        <v/>
      </c>
      <c r="X544" s="14">
        <f>Tabela1[[#This Row],[QIANTIDADE EXPEDIDA]]*Tabela1[[#This Row],[PESO UNI]]</f>
        <v>6.8</v>
      </c>
      <c r="Y544" s="14">
        <f t="shared" si="93"/>
        <v>0</v>
      </c>
      <c r="Z544" s="20">
        <f>Tabela1[[#This Row],[PESO TOTAL]]-Tabela1[[#This Row],[Peso Expedido]]</f>
        <v>0</v>
      </c>
      <c r="AA544" s="17">
        <v>1</v>
      </c>
      <c r="AB544" s="33"/>
      <c r="AC544" s="33">
        <v>1</v>
      </c>
      <c r="AD544" s="33">
        <v>1</v>
      </c>
      <c r="AE544" s="33">
        <v>1</v>
      </c>
      <c r="AF544" s="33">
        <v>1</v>
      </c>
      <c r="AG544" s="33">
        <v>1</v>
      </c>
      <c r="AH544" s="33">
        <v>1</v>
      </c>
      <c r="AI544" s="33" t="s">
        <v>4512</v>
      </c>
      <c r="AJ544"/>
      <c r="AK544" t="str">
        <f>Tabela1[[#This Row],[Coluna1]]&amp;Tabela1[[#This Row],[PEDIDO]]</f>
        <v>P-190</v>
      </c>
      <c r="AL544"/>
      <c r="AM544"/>
      <c r="AN544"/>
      <c r="AO544" t="str">
        <f t="shared" si="94"/>
        <v>P-024513-1/P190</v>
      </c>
      <c r="AP544" t="str">
        <f>Tabela1[[#This Row],[TAG]]&amp;Tabela1[[#This Row],[PEDIDO]]&amp;Tabela1[[#This Row],[PRODUTO]]</f>
        <v>P190P-190ESTRUTURA</v>
      </c>
      <c r="AQ544" s="22" t="str">
        <f>Tabela1[[#This Row],[PRODUTO]]&amp;Tabela1[[#This Row],[TAG]]</f>
        <v>ESTRUTURAP190</v>
      </c>
      <c r="AR544" s="24" t="str">
        <f>Tabela1[[#This Row],[PEDIDO]]&amp;Tabela1[[#This Row],[PRODUTO]]</f>
        <v>P-190ESTRUTURA</v>
      </c>
      <c r="AS544" s="37">
        <f>IF(AF544="",0,IF(ISTEXT(AF544),H544*VALUE(SUBSTITUTE(AF544,"%",""))/100,H544*AF544))-Tabela1[[#This Row],[PRONTO ACABADO2]]</f>
        <v>0</v>
      </c>
      <c r="AT544" s="37">
        <f>IF(AG544="",0,IF(ISTEXT(AG544),H544*VALUE(SUBSTITUTE(AG544,"%",""))/100,H544*AG544))-Tabela1[[#This Row],[PESO EXPEDIDO2]]</f>
        <v>0</v>
      </c>
      <c r="AU544" s="37">
        <f t="shared" si="95"/>
        <v>6.8</v>
      </c>
      <c r="AV544" s="37">
        <f t="shared" si="96"/>
        <v>6.8</v>
      </c>
      <c r="AW544" s="37"/>
    </row>
    <row r="545" spans="1:49" ht="15.75" customHeight="1" x14ac:dyDescent="0.25">
      <c r="A545" s="6" t="s">
        <v>2564</v>
      </c>
      <c r="B545" s="21"/>
      <c r="C545" s="7">
        <v>2</v>
      </c>
      <c r="D545" s="39" t="s">
        <v>2567</v>
      </c>
      <c r="E545" s="7">
        <v>3506</v>
      </c>
      <c r="F545" s="7">
        <v>2</v>
      </c>
      <c r="G545" s="23">
        <v>3</v>
      </c>
      <c r="H545" s="34">
        <f>Tabela1[[#This Row],[PESO UNI]]*Tabela1[[#This Row],[QTE]]</f>
        <v>6</v>
      </c>
      <c r="I545" s="7">
        <v>1</v>
      </c>
      <c r="J545" s="8" t="s">
        <v>2550</v>
      </c>
      <c r="K545" s="8" t="s">
        <v>31</v>
      </c>
      <c r="L545" s="9" t="s">
        <v>2551</v>
      </c>
      <c r="M545" s="10"/>
      <c r="N545" s="11" t="s">
        <v>38</v>
      </c>
      <c r="O545" s="12"/>
      <c r="P545" s="13"/>
      <c r="Q545" s="14">
        <f>Tabela1[[#This Row],[QTDE/ Fabricação]]-Tabela1[[#This Row],[QTE]]</f>
        <v>-2</v>
      </c>
      <c r="R545" s="18">
        <f t="shared" si="91"/>
        <v>6</v>
      </c>
      <c r="S545" s="18">
        <f t="shared" si="90"/>
        <v>6</v>
      </c>
      <c r="T545" s="19">
        <f t="shared" si="92"/>
        <v>0</v>
      </c>
      <c r="U545" s="16">
        <v>2</v>
      </c>
      <c r="V545" s="12" t="str">
        <f>IFERROR(VLOOKUP(Tabela1[[#This Row],[COD.MDE]],'LISTA DE EMBARQUE'!B:L,11,0),"")</f>
        <v/>
      </c>
      <c r="W545" s="13" t="str">
        <f>IFERROR(COUNTIF(#REF!,Tabela1[[#This Row],[Colunas5]]),"")</f>
        <v/>
      </c>
      <c r="X545" s="14">
        <f>Tabela1[[#This Row],[QIANTIDADE EXPEDIDA]]*Tabela1[[#This Row],[PESO UNI]]</f>
        <v>6</v>
      </c>
      <c r="Y545" s="14">
        <f t="shared" si="93"/>
        <v>0</v>
      </c>
      <c r="Z545" s="20">
        <f>Tabela1[[#This Row],[PESO TOTAL]]-Tabela1[[#This Row],[Peso Expedido]]</f>
        <v>0</v>
      </c>
      <c r="AA545" s="17">
        <v>1</v>
      </c>
      <c r="AB545" s="33"/>
      <c r="AC545" s="33">
        <v>1</v>
      </c>
      <c r="AD545" s="33">
        <v>1</v>
      </c>
      <c r="AE545" s="33">
        <v>1</v>
      </c>
      <c r="AF545" s="33">
        <v>1</v>
      </c>
      <c r="AG545" s="33">
        <v>1</v>
      </c>
      <c r="AH545" s="33">
        <v>1</v>
      </c>
      <c r="AI545" s="33" t="s">
        <v>4512</v>
      </c>
      <c r="AJ545"/>
      <c r="AK545" t="str">
        <f>Tabela1[[#This Row],[Coluna1]]&amp;Tabela1[[#This Row],[PEDIDO]]</f>
        <v>P-190</v>
      </c>
      <c r="AL545"/>
      <c r="AM545"/>
      <c r="AN545"/>
      <c r="AO545" t="str">
        <f t="shared" si="94"/>
        <v>P-024513-1/P190</v>
      </c>
      <c r="AP545" t="str">
        <f>Tabela1[[#This Row],[TAG]]&amp;Tabela1[[#This Row],[PEDIDO]]&amp;Tabela1[[#This Row],[PRODUTO]]</f>
        <v>P190P-190ESTRUTURA</v>
      </c>
      <c r="AQ545" s="22" t="str">
        <f>Tabela1[[#This Row],[PRODUTO]]&amp;Tabela1[[#This Row],[TAG]]</f>
        <v>ESTRUTURAP190</v>
      </c>
      <c r="AR545" s="24" t="str">
        <f>Tabela1[[#This Row],[PEDIDO]]&amp;Tabela1[[#This Row],[PRODUTO]]</f>
        <v>P-190ESTRUTURA</v>
      </c>
      <c r="AS545" s="37">
        <f>IF(AF545="",0,IF(ISTEXT(AF545),H545*VALUE(SUBSTITUTE(AF545,"%",""))/100,H545*AF545))-Tabela1[[#This Row],[PRONTO ACABADO2]]</f>
        <v>0</v>
      </c>
      <c r="AT545" s="37">
        <f>IF(AG545="",0,IF(ISTEXT(AG545),H545*VALUE(SUBSTITUTE(AG545,"%",""))/100,H545*AG545))-Tabela1[[#This Row],[PESO EXPEDIDO2]]</f>
        <v>0</v>
      </c>
      <c r="AU545" s="37">
        <f t="shared" si="95"/>
        <v>6</v>
      </c>
      <c r="AV545" s="37">
        <f t="shared" si="96"/>
        <v>6</v>
      </c>
      <c r="AW545" s="37"/>
    </row>
    <row r="546" spans="1:49" ht="15.75" customHeight="1" x14ac:dyDescent="0.25">
      <c r="A546" s="6" t="s">
        <v>2564</v>
      </c>
      <c r="B546" s="21"/>
      <c r="C546" s="7">
        <v>12</v>
      </c>
      <c r="D546" s="39" t="s">
        <v>2568</v>
      </c>
      <c r="E546" s="7">
        <v>3507</v>
      </c>
      <c r="F546" s="7">
        <v>2</v>
      </c>
      <c r="G546" s="23">
        <v>22.8</v>
      </c>
      <c r="H546" s="34">
        <f>Tabela1[[#This Row],[PESO UNI]]*Tabela1[[#This Row],[QTE]]</f>
        <v>273.60000000000002</v>
      </c>
      <c r="I546" s="7">
        <v>1</v>
      </c>
      <c r="J546" s="8" t="s">
        <v>2550</v>
      </c>
      <c r="K546" s="8" t="s">
        <v>31</v>
      </c>
      <c r="L546" s="9" t="s">
        <v>2551</v>
      </c>
      <c r="M546" s="10"/>
      <c r="N546" s="11" t="s">
        <v>38</v>
      </c>
      <c r="O546" s="12"/>
      <c r="P546" s="13"/>
      <c r="Q546" s="14">
        <f>Tabela1[[#This Row],[QTDE/ Fabricação]]-Tabela1[[#This Row],[QTE]]</f>
        <v>-12</v>
      </c>
      <c r="R546" s="18">
        <f t="shared" si="91"/>
        <v>273.60000000000002</v>
      </c>
      <c r="S546" s="18">
        <f t="shared" si="90"/>
        <v>273.60000000000002</v>
      </c>
      <c r="T546" s="19">
        <f t="shared" si="92"/>
        <v>0</v>
      </c>
      <c r="U546" s="16">
        <v>12</v>
      </c>
      <c r="V546" s="12" t="str">
        <f>IFERROR(VLOOKUP(Tabela1[[#This Row],[COD.MDE]],'LISTA DE EMBARQUE'!B:L,11,0),"")</f>
        <v/>
      </c>
      <c r="W546" s="13" t="str">
        <f>IFERROR(COUNTIF(#REF!,Tabela1[[#This Row],[Colunas5]]),"")</f>
        <v/>
      </c>
      <c r="X546" s="14">
        <f>Tabela1[[#This Row],[QIANTIDADE EXPEDIDA]]*Tabela1[[#This Row],[PESO UNI]]</f>
        <v>273.60000000000002</v>
      </c>
      <c r="Y546" s="14">
        <f t="shared" si="93"/>
        <v>0</v>
      </c>
      <c r="Z546" s="20">
        <f>Tabela1[[#This Row],[PESO TOTAL]]-Tabela1[[#This Row],[Peso Expedido]]</f>
        <v>0</v>
      </c>
      <c r="AA546" s="17">
        <v>1</v>
      </c>
      <c r="AB546" s="33"/>
      <c r="AC546" s="33">
        <v>1</v>
      </c>
      <c r="AD546" s="33">
        <v>1</v>
      </c>
      <c r="AE546" s="33">
        <v>1</v>
      </c>
      <c r="AF546" s="33">
        <v>1</v>
      </c>
      <c r="AG546" s="33">
        <v>1</v>
      </c>
      <c r="AH546" s="33">
        <v>1</v>
      </c>
      <c r="AI546" s="33" t="s">
        <v>4512</v>
      </c>
      <c r="AJ546"/>
      <c r="AK546" t="str">
        <f>Tabela1[[#This Row],[Coluna1]]&amp;Tabela1[[#This Row],[PEDIDO]]</f>
        <v>P-190</v>
      </c>
      <c r="AL546"/>
      <c r="AM546"/>
      <c r="AN546"/>
      <c r="AO546" t="str">
        <f t="shared" si="94"/>
        <v>P-024513-1/P190</v>
      </c>
      <c r="AP546" t="str">
        <f>Tabela1[[#This Row],[TAG]]&amp;Tabela1[[#This Row],[PEDIDO]]&amp;Tabela1[[#This Row],[PRODUTO]]</f>
        <v>P190P-190ESTRUTURA</v>
      </c>
      <c r="AQ546" s="22" t="str">
        <f>Tabela1[[#This Row],[PRODUTO]]&amp;Tabela1[[#This Row],[TAG]]</f>
        <v>ESTRUTURAP190</v>
      </c>
      <c r="AR546" s="24" t="str">
        <f>Tabela1[[#This Row],[PEDIDO]]&amp;Tabela1[[#This Row],[PRODUTO]]</f>
        <v>P-190ESTRUTURA</v>
      </c>
      <c r="AS546" s="37">
        <f>IF(AF546="",0,IF(ISTEXT(AF546),H546*VALUE(SUBSTITUTE(AF546,"%",""))/100,H546*AF546))-Tabela1[[#This Row],[PRONTO ACABADO2]]</f>
        <v>0</v>
      </c>
      <c r="AT546" s="37">
        <f>IF(AG546="",0,IF(ISTEXT(AG546),H546*VALUE(SUBSTITUTE(AG546,"%",""))/100,H546*AG546))-Tabela1[[#This Row],[PESO EXPEDIDO2]]</f>
        <v>0</v>
      </c>
      <c r="AU546" s="37">
        <f t="shared" si="95"/>
        <v>273.60000000000002</v>
      </c>
      <c r="AV546" s="37">
        <f t="shared" si="96"/>
        <v>273.60000000000002</v>
      </c>
      <c r="AW546" s="37"/>
    </row>
    <row r="547" spans="1:49" ht="15.75" customHeight="1" x14ac:dyDescent="0.25">
      <c r="A547" s="6" t="s">
        <v>2564</v>
      </c>
      <c r="B547" s="21"/>
      <c r="C547" s="7">
        <v>12</v>
      </c>
      <c r="D547" s="39" t="s">
        <v>2569</v>
      </c>
      <c r="E547" s="7">
        <v>3508</v>
      </c>
      <c r="F547" s="7">
        <v>2</v>
      </c>
      <c r="G547" s="23">
        <v>20.399999999999999</v>
      </c>
      <c r="H547" s="34">
        <f>Tabela1[[#This Row],[PESO UNI]]*Tabela1[[#This Row],[QTE]]</f>
        <v>244.79999999999998</v>
      </c>
      <c r="I547" s="7">
        <v>1</v>
      </c>
      <c r="J547" s="8" t="s">
        <v>2550</v>
      </c>
      <c r="K547" s="8" t="s">
        <v>31</v>
      </c>
      <c r="L547" s="9" t="s">
        <v>2551</v>
      </c>
      <c r="M547" s="10"/>
      <c r="N547" s="11" t="s">
        <v>38</v>
      </c>
      <c r="O547" s="12"/>
      <c r="P547" s="13"/>
      <c r="Q547" s="14">
        <f>Tabela1[[#This Row],[QTDE/ Fabricação]]-Tabela1[[#This Row],[QTE]]</f>
        <v>-12</v>
      </c>
      <c r="R547" s="18">
        <f t="shared" si="91"/>
        <v>244.79999999999998</v>
      </c>
      <c r="S547" s="18">
        <f t="shared" si="90"/>
        <v>244.79999999999998</v>
      </c>
      <c r="T547" s="19">
        <f t="shared" si="92"/>
        <v>0</v>
      </c>
      <c r="U547" s="16">
        <v>12</v>
      </c>
      <c r="V547" s="12" t="str">
        <f>IFERROR(VLOOKUP(Tabela1[[#This Row],[COD.MDE]],'LISTA DE EMBARQUE'!B:L,11,0),"")</f>
        <v/>
      </c>
      <c r="W547" s="13" t="str">
        <f>IFERROR(COUNTIF(#REF!,Tabela1[[#This Row],[Colunas5]]),"")</f>
        <v/>
      </c>
      <c r="X547" s="14">
        <f>Tabela1[[#This Row],[QIANTIDADE EXPEDIDA]]*Tabela1[[#This Row],[PESO UNI]]</f>
        <v>244.79999999999998</v>
      </c>
      <c r="Y547" s="14">
        <f t="shared" si="93"/>
        <v>0</v>
      </c>
      <c r="Z547" s="20">
        <f>Tabela1[[#This Row],[PESO TOTAL]]-Tabela1[[#This Row],[Peso Expedido]]</f>
        <v>0</v>
      </c>
      <c r="AA547" s="17">
        <v>1</v>
      </c>
      <c r="AB547" s="33"/>
      <c r="AC547" s="33">
        <v>1</v>
      </c>
      <c r="AD547" s="33">
        <v>1</v>
      </c>
      <c r="AE547" s="33">
        <v>1</v>
      </c>
      <c r="AF547" s="33">
        <v>1</v>
      </c>
      <c r="AG547" s="33">
        <v>1</v>
      </c>
      <c r="AH547" s="33">
        <v>1</v>
      </c>
      <c r="AI547" s="33" t="s">
        <v>4512</v>
      </c>
      <c r="AJ547"/>
      <c r="AK547" t="str">
        <f>Tabela1[[#This Row],[Coluna1]]&amp;Tabela1[[#This Row],[PEDIDO]]</f>
        <v>P-190</v>
      </c>
      <c r="AL547"/>
      <c r="AM547"/>
      <c r="AN547"/>
      <c r="AO547" t="str">
        <f t="shared" si="94"/>
        <v>P-024513-1/P190</v>
      </c>
      <c r="AP547" t="str">
        <f>Tabela1[[#This Row],[TAG]]&amp;Tabela1[[#This Row],[PEDIDO]]&amp;Tabela1[[#This Row],[PRODUTO]]</f>
        <v>P190P-190ESTRUTURA</v>
      </c>
      <c r="AQ547" s="22" t="str">
        <f>Tabela1[[#This Row],[PRODUTO]]&amp;Tabela1[[#This Row],[TAG]]</f>
        <v>ESTRUTURAP190</v>
      </c>
      <c r="AR547" s="24" t="str">
        <f>Tabela1[[#This Row],[PEDIDO]]&amp;Tabela1[[#This Row],[PRODUTO]]</f>
        <v>P-190ESTRUTURA</v>
      </c>
      <c r="AS547" s="37">
        <f>IF(AF547="",0,IF(ISTEXT(AF547),H547*VALUE(SUBSTITUTE(AF547,"%",""))/100,H547*AF547))-Tabela1[[#This Row],[PRONTO ACABADO2]]</f>
        <v>0</v>
      </c>
      <c r="AT547" s="37">
        <f>IF(AG547="",0,IF(ISTEXT(AG547),H547*VALUE(SUBSTITUTE(AG547,"%",""))/100,H547*AG547))-Tabela1[[#This Row],[PESO EXPEDIDO2]]</f>
        <v>0</v>
      </c>
      <c r="AU547" s="37">
        <f t="shared" si="95"/>
        <v>244.79999999999998</v>
      </c>
      <c r="AV547" s="37">
        <f t="shared" si="96"/>
        <v>244.79999999999998</v>
      </c>
      <c r="AW547" s="37"/>
    </row>
    <row r="548" spans="1:49" ht="15.75" customHeight="1" x14ac:dyDescent="0.25">
      <c r="A548" s="6" t="s">
        <v>2570</v>
      </c>
      <c r="B548" s="21"/>
      <c r="C548" s="7">
        <v>1</v>
      </c>
      <c r="D548" s="39" t="s">
        <v>2571</v>
      </c>
      <c r="E548" s="7">
        <v>3509</v>
      </c>
      <c r="F548" s="7">
        <v>2</v>
      </c>
      <c r="G548" s="23">
        <v>961</v>
      </c>
      <c r="H548" s="34">
        <f>Tabela1[[#This Row],[PESO UNI]]*Tabela1[[#This Row],[QTE]]</f>
        <v>961</v>
      </c>
      <c r="I548" s="7">
        <v>1</v>
      </c>
      <c r="J548" s="8" t="s">
        <v>2550</v>
      </c>
      <c r="K548" s="8" t="s">
        <v>31</v>
      </c>
      <c r="L548" s="9" t="s">
        <v>2551</v>
      </c>
      <c r="M548" s="10"/>
      <c r="N548" s="11" t="s">
        <v>38</v>
      </c>
      <c r="O548" s="12"/>
      <c r="P548" s="13"/>
      <c r="Q548" s="14">
        <f>Tabela1[[#This Row],[QTDE/ Fabricação]]-Tabela1[[#This Row],[QTE]]</f>
        <v>-1</v>
      </c>
      <c r="R548" s="18">
        <f t="shared" si="91"/>
        <v>961</v>
      </c>
      <c r="S548" s="18">
        <f t="shared" si="90"/>
        <v>961</v>
      </c>
      <c r="T548" s="19">
        <f t="shared" si="92"/>
        <v>0</v>
      </c>
      <c r="U548" s="16">
        <f>IFERROR(SUMIF('LISTA DE EMBARQUE'!B:B,MICRO!E:E,'LISTA DE EMBARQUE'!G:G),"")</f>
        <v>1</v>
      </c>
      <c r="V548" s="12">
        <f>IFERROR(VLOOKUP(Tabela1[[#This Row],[COD.MDE]],'LISTA DE EMBARQUE'!B:L,11,0),"")</f>
        <v>3</v>
      </c>
      <c r="W548" s="13" t="str">
        <f>IFERROR(COUNTIF(#REF!,Tabela1[[#This Row],[Colunas5]]),"")</f>
        <v/>
      </c>
      <c r="X548" s="14">
        <f>Tabela1[[#This Row],[QIANTIDADE EXPEDIDA]]*Tabela1[[#This Row],[PESO UNI]]</f>
        <v>961</v>
      </c>
      <c r="Y548" s="14">
        <f t="shared" si="93"/>
        <v>0</v>
      </c>
      <c r="Z548" s="20">
        <f>Tabela1[[#This Row],[PESO TOTAL]]-Tabela1[[#This Row],[Peso Expedido]]</f>
        <v>0</v>
      </c>
      <c r="AA548" s="17">
        <v>1</v>
      </c>
      <c r="AB548" s="33"/>
      <c r="AC548" s="33">
        <v>1</v>
      </c>
      <c r="AD548" s="33">
        <v>1</v>
      </c>
      <c r="AE548" s="33">
        <v>1</v>
      </c>
      <c r="AF548" s="33">
        <v>1</v>
      </c>
      <c r="AG548" s="33">
        <v>1</v>
      </c>
      <c r="AH548" s="33">
        <v>1</v>
      </c>
      <c r="AI548" s="33" t="s">
        <v>4512</v>
      </c>
      <c r="AJ548"/>
      <c r="AK548" t="str">
        <f>Tabela1[[#This Row],[Coluna1]]&amp;Tabela1[[#This Row],[PEDIDO]]</f>
        <v>P-190</v>
      </c>
      <c r="AL548"/>
      <c r="AM548"/>
      <c r="AN548"/>
      <c r="AO548" t="str">
        <f t="shared" si="94"/>
        <v>P-024512-1/P190</v>
      </c>
      <c r="AP548" t="str">
        <f>Tabela1[[#This Row],[TAG]]&amp;Tabela1[[#This Row],[PEDIDO]]&amp;Tabela1[[#This Row],[PRODUTO]]</f>
        <v>P190P-190ESTRUTURA</v>
      </c>
      <c r="AQ548" s="22" t="str">
        <f>Tabela1[[#This Row],[PRODUTO]]&amp;Tabela1[[#This Row],[TAG]]</f>
        <v>ESTRUTURAP190</v>
      </c>
      <c r="AR548" s="24" t="str">
        <f>Tabela1[[#This Row],[PEDIDO]]&amp;Tabela1[[#This Row],[PRODUTO]]</f>
        <v>P-190ESTRUTURA</v>
      </c>
      <c r="AS548" s="37">
        <f>IF(AF548="",0,IF(ISTEXT(AF548),H548*VALUE(SUBSTITUTE(AF548,"%",""))/100,H548*AF548))-Tabela1[[#This Row],[PRONTO ACABADO2]]</f>
        <v>0</v>
      </c>
      <c r="AT548" s="37">
        <f>IF(AG548="",0,IF(ISTEXT(AG548),H548*VALUE(SUBSTITUTE(AG548,"%",""))/100,H548*AG548))-Tabela1[[#This Row],[PESO EXPEDIDO2]]</f>
        <v>0</v>
      </c>
      <c r="AU548" s="37">
        <f t="shared" si="95"/>
        <v>961</v>
      </c>
      <c r="AV548" s="37">
        <f t="shared" si="96"/>
        <v>961</v>
      </c>
      <c r="AW548" s="37"/>
    </row>
    <row r="549" spans="1:49" ht="15.75" customHeight="1" x14ac:dyDescent="0.25">
      <c r="A549" s="6" t="s">
        <v>2570</v>
      </c>
      <c r="B549" s="21"/>
      <c r="C549" s="7">
        <v>4</v>
      </c>
      <c r="D549" s="39" t="s">
        <v>2566</v>
      </c>
      <c r="E549" s="7">
        <v>3510</v>
      </c>
      <c r="F549" s="7">
        <v>2</v>
      </c>
      <c r="G549" s="23">
        <v>6.8</v>
      </c>
      <c r="H549" s="34">
        <f>Tabela1[[#This Row],[PESO UNI]]*Tabela1[[#This Row],[QTE]]</f>
        <v>27.2</v>
      </c>
      <c r="I549" s="7">
        <v>1</v>
      </c>
      <c r="J549" s="8" t="s">
        <v>2550</v>
      </c>
      <c r="K549" s="8" t="s">
        <v>31</v>
      </c>
      <c r="L549" s="9" t="s">
        <v>2551</v>
      </c>
      <c r="M549" s="10"/>
      <c r="N549" s="11" t="s">
        <v>38</v>
      </c>
      <c r="O549" s="12"/>
      <c r="P549" s="13"/>
      <c r="Q549" s="14">
        <f>Tabela1[[#This Row],[QTDE/ Fabricação]]-Tabela1[[#This Row],[QTE]]</f>
        <v>-4</v>
      </c>
      <c r="R549" s="18">
        <f t="shared" si="91"/>
        <v>27.2</v>
      </c>
      <c r="S549" s="18">
        <f t="shared" si="90"/>
        <v>27.2</v>
      </c>
      <c r="T549" s="19">
        <f t="shared" si="92"/>
        <v>0</v>
      </c>
      <c r="U549" s="16">
        <v>4</v>
      </c>
      <c r="V549" s="12" t="str">
        <f>IFERROR(VLOOKUP(Tabela1[[#This Row],[COD.MDE]],'LISTA DE EMBARQUE'!B:L,11,0),"")</f>
        <v/>
      </c>
      <c r="W549" s="13" t="str">
        <f>IFERROR(COUNTIF(#REF!,Tabela1[[#This Row],[Colunas5]]),"")</f>
        <v/>
      </c>
      <c r="X549" s="14">
        <f>Tabela1[[#This Row],[QIANTIDADE EXPEDIDA]]*Tabela1[[#This Row],[PESO UNI]]</f>
        <v>27.2</v>
      </c>
      <c r="Y549" s="14">
        <f t="shared" si="93"/>
        <v>0</v>
      </c>
      <c r="Z549" s="20">
        <f>Tabela1[[#This Row],[PESO TOTAL]]-Tabela1[[#This Row],[Peso Expedido]]</f>
        <v>0</v>
      </c>
      <c r="AA549" s="17">
        <v>1</v>
      </c>
      <c r="AB549" s="33"/>
      <c r="AC549" s="33">
        <v>1</v>
      </c>
      <c r="AD549" s="33">
        <v>1</v>
      </c>
      <c r="AE549" s="33">
        <v>1</v>
      </c>
      <c r="AF549" s="33">
        <v>1</v>
      </c>
      <c r="AG549" s="33">
        <v>1</v>
      </c>
      <c r="AH549" s="33">
        <v>1</v>
      </c>
      <c r="AI549" s="33" t="s">
        <v>4512</v>
      </c>
      <c r="AJ549"/>
      <c r="AK549" t="str">
        <f>Tabela1[[#This Row],[Coluna1]]&amp;Tabela1[[#This Row],[PEDIDO]]</f>
        <v>P-190</v>
      </c>
      <c r="AL549"/>
      <c r="AM549"/>
      <c r="AN549"/>
      <c r="AO549" t="str">
        <f t="shared" si="94"/>
        <v>P-024512-1/P190</v>
      </c>
      <c r="AP549" t="str">
        <f>Tabela1[[#This Row],[TAG]]&amp;Tabela1[[#This Row],[PEDIDO]]&amp;Tabela1[[#This Row],[PRODUTO]]</f>
        <v>P190P-190ESTRUTURA</v>
      </c>
      <c r="AQ549" s="22" t="str">
        <f>Tabela1[[#This Row],[PRODUTO]]&amp;Tabela1[[#This Row],[TAG]]</f>
        <v>ESTRUTURAP190</v>
      </c>
      <c r="AR549" s="24" t="str">
        <f>Tabela1[[#This Row],[PEDIDO]]&amp;Tabela1[[#This Row],[PRODUTO]]</f>
        <v>P-190ESTRUTURA</v>
      </c>
      <c r="AS549" s="37">
        <f>IF(AF549="",0,IF(ISTEXT(AF549),H549*VALUE(SUBSTITUTE(AF549,"%",""))/100,H549*AF549))-Tabela1[[#This Row],[PRONTO ACABADO2]]</f>
        <v>0</v>
      </c>
      <c r="AT549" s="37">
        <f>IF(AG549="",0,IF(ISTEXT(AG549),H549*VALUE(SUBSTITUTE(AG549,"%",""))/100,H549*AG549))-Tabela1[[#This Row],[PESO EXPEDIDO2]]</f>
        <v>0</v>
      </c>
      <c r="AU549" s="37">
        <f t="shared" si="95"/>
        <v>27.2</v>
      </c>
      <c r="AV549" s="37">
        <f t="shared" si="96"/>
        <v>27.2</v>
      </c>
      <c r="AW549" s="37"/>
    </row>
    <row r="550" spans="1:49" ht="15.75" customHeight="1" x14ac:dyDescent="0.25">
      <c r="A550" s="6" t="s">
        <v>2570</v>
      </c>
      <c r="B550" s="21"/>
      <c r="C550" s="7">
        <v>12</v>
      </c>
      <c r="D550" s="39" t="s">
        <v>2567</v>
      </c>
      <c r="E550" s="7">
        <v>3511</v>
      </c>
      <c r="F550" s="7">
        <v>2</v>
      </c>
      <c r="G550" s="23">
        <v>22.8</v>
      </c>
      <c r="H550" s="34">
        <f>Tabela1[[#This Row],[PESO UNI]]*Tabela1[[#This Row],[QTE]]</f>
        <v>273.60000000000002</v>
      </c>
      <c r="I550" s="7">
        <v>1</v>
      </c>
      <c r="J550" s="8" t="s">
        <v>2550</v>
      </c>
      <c r="K550" s="8" t="s">
        <v>31</v>
      </c>
      <c r="L550" s="9" t="s">
        <v>2551</v>
      </c>
      <c r="M550" s="10"/>
      <c r="N550" s="11" t="s">
        <v>38</v>
      </c>
      <c r="O550" s="12"/>
      <c r="P550" s="13"/>
      <c r="Q550" s="14">
        <f>Tabela1[[#This Row],[QTDE/ Fabricação]]-Tabela1[[#This Row],[QTE]]</f>
        <v>-12</v>
      </c>
      <c r="R550" s="18">
        <f t="shared" si="91"/>
        <v>273.60000000000002</v>
      </c>
      <c r="S550" s="18">
        <f t="shared" si="90"/>
        <v>273.60000000000002</v>
      </c>
      <c r="T550" s="19">
        <f t="shared" si="92"/>
        <v>0</v>
      </c>
      <c r="U550" s="16">
        <v>12</v>
      </c>
      <c r="V550" s="12" t="str">
        <f>IFERROR(VLOOKUP(Tabela1[[#This Row],[COD.MDE]],'LISTA DE EMBARQUE'!B:L,11,0),"")</f>
        <v/>
      </c>
      <c r="W550" s="13" t="str">
        <f>IFERROR(COUNTIF(#REF!,Tabela1[[#This Row],[Colunas5]]),"")</f>
        <v/>
      </c>
      <c r="X550" s="14">
        <f>Tabela1[[#This Row],[QIANTIDADE EXPEDIDA]]*Tabela1[[#This Row],[PESO UNI]]</f>
        <v>273.60000000000002</v>
      </c>
      <c r="Y550" s="14">
        <f t="shared" si="93"/>
        <v>0</v>
      </c>
      <c r="Z550" s="20">
        <f>Tabela1[[#This Row],[PESO TOTAL]]-Tabela1[[#This Row],[Peso Expedido]]</f>
        <v>0</v>
      </c>
      <c r="AA550" s="17">
        <v>1</v>
      </c>
      <c r="AB550" s="33"/>
      <c r="AC550" s="33">
        <v>1</v>
      </c>
      <c r="AD550" s="33">
        <v>1</v>
      </c>
      <c r="AE550" s="33">
        <v>1</v>
      </c>
      <c r="AF550" s="33">
        <v>1</v>
      </c>
      <c r="AG550" s="33">
        <v>1</v>
      </c>
      <c r="AH550" s="33">
        <v>1</v>
      </c>
      <c r="AI550" s="33" t="s">
        <v>4512</v>
      </c>
      <c r="AJ550"/>
      <c r="AK550" t="str">
        <f>Tabela1[[#This Row],[Coluna1]]&amp;Tabela1[[#This Row],[PEDIDO]]</f>
        <v>P-190</v>
      </c>
      <c r="AL550"/>
      <c r="AM550"/>
      <c r="AN550"/>
      <c r="AO550" t="str">
        <f t="shared" si="94"/>
        <v>P-024512-1/P190</v>
      </c>
      <c r="AP550" t="str">
        <f>Tabela1[[#This Row],[TAG]]&amp;Tabela1[[#This Row],[PEDIDO]]&amp;Tabela1[[#This Row],[PRODUTO]]</f>
        <v>P190P-190ESTRUTURA</v>
      </c>
      <c r="AQ550" s="22" t="str">
        <f>Tabela1[[#This Row],[PRODUTO]]&amp;Tabela1[[#This Row],[TAG]]</f>
        <v>ESTRUTURAP190</v>
      </c>
      <c r="AR550" s="24" t="str">
        <f>Tabela1[[#This Row],[PEDIDO]]&amp;Tabela1[[#This Row],[PRODUTO]]</f>
        <v>P-190ESTRUTURA</v>
      </c>
      <c r="AS550" s="37">
        <f>IF(AF550="",0,IF(ISTEXT(AF550),H550*VALUE(SUBSTITUTE(AF550,"%",""))/100,H550*AF550))-Tabela1[[#This Row],[PRONTO ACABADO2]]</f>
        <v>0</v>
      </c>
      <c r="AT550" s="37">
        <f>IF(AG550="",0,IF(ISTEXT(AG550),H550*VALUE(SUBSTITUTE(AG550,"%",""))/100,H550*AG550))-Tabela1[[#This Row],[PESO EXPEDIDO2]]</f>
        <v>0</v>
      </c>
      <c r="AU550" s="37">
        <f t="shared" si="95"/>
        <v>273.60000000000002</v>
      </c>
      <c r="AV550" s="37">
        <f t="shared" si="96"/>
        <v>273.60000000000002</v>
      </c>
      <c r="AW550" s="37"/>
    </row>
    <row r="551" spans="1:49" ht="15.75" customHeight="1" x14ac:dyDescent="0.25">
      <c r="A551" s="6" t="s">
        <v>2570</v>
      </c>
      <c r="B551" s="21"/>
      <c r="C551" s="7">
        <v>12</v>
      </c>
      <c r="D551" s="39" t="s">
        <v>2568</v>
      </c>
      <c r="E551" s="7">
        <v>3512</v>
      </c>
      <c r="F551" s="7">
        <v>2</v>
      </c>
      <c r="G551" s="23">
        <v>24</v>
      </c>
      <c r="H551" s="34">
        <f>Tabela1[[#This Row],[PESO UNI]]*Tabela1[[#This Row],[QTE]]</f>
        <v>288</v>
      </c>
      <c r="I551" s="7">
        <v>1</v>
      </c>
      <c r="J551" s="8" t="s">
        <v>2550</v>
      </c>
      <c r="K551" s="8" t="s">
        <v>31</v>
      </c>
      <c r="L551" s="9" t="s">
        <v>2551</v>
      </c>
      <c r="M551" s="10"/>
      <c r="N551" s="11" t="s">
        <v>38</v>
      </c>
      <c r="O551" s="12"/>
      <c r="P551" s="13"/>
      <c r="Q551" s="14">
        <f>Tabela1[[#This Row],[QTDE/ Fabricação]]-Tabela1[[#This Row],[QTE]]</f>
        <v>-12</v>
      </c>
      <c r="R551" s="18">
        <f t="shared" si="91"/>
        <v>288</v>
      </c>
      <c r="S551" s="18">
        <f t="shared" si="90"/>
        <v>288</v>
      </c>
      <c r="T551" s="19">
        <f t="shared" si="92"/>
        <v>0</v>
      </c>
      <c r="U551" s="16">
        <v>12</v>
      </c>
      <c r="V551" s="12" t="str">
        <f>IFERROR(VLOOKUP(Tabela1[[#This Row],[COD.MDE]],'LISTA DE EMBARQUE'!B:L,11,0),"")</f>
        <v/>
      </c>
      <c r="W551" s="13" t="str">
        <f>IFERROR(COUNTIF(#REF!,Tabela1[[#This Row],[Colunas5]]),"")</f>
        <v/>
      </c>
      <c r="X551" s="14">
        <f>Tabela1[[#This Row],[QIANTIDADE EXPEDIDA]]*Tabela1[[#This Row],[PESO UNI]]</f>
        <v>288</v>
      </c>
      <c r="Y551" s="14">
        <f t="shared" si="93"/>
        <v>0</v>
      </c>
      <c r="Z551" s="20">
        <f>Tabela1[[#This Row],[PESO TOTAL]]-Tabela1[[#This Row],[Peso Expedido]]</f>
        <v>0</v>
      </c>
      <c r="AA551" s="17">
        <v>1</v>
      </c>
      <c r="AB551" s="33"/>
      <c r="AC551" s="33">
        <v>1</v>
      </c>
      <c r="AD551" s="33">
        <v>1</v>
      </c>
      <c r="AE551" s="33">
        <v>1</v>
      </c>
      <c r="AF551" s="33">
        <v>1</v>
      </c>
      <c r="AG551" s="33">
        <v>1</v>
      </c>
      <c r="AH551" s="33">
        <v>1</v>
      </c>
      <c r="AI551" s="33" t="s">
        <v>4512</v>
      </c>
      <c r="AJ551"/>
      <c r="AK551" t="str">
        <f>Tabela1[[#This Row],[Coluna1]]&amp;Tabela1[[#This Row],[PEDIDO]]</f>
        <v>P-190</v>
      </c>
      <c r="AL551"/>
      <c r="AM551"/>
      <c r="AN551"/>
      <c r="AO551" t="str">
        <f t="shared" si="94"/>
        <v>P-024512-1/P190</v>
      </c>
      <c r="AP551" t="str">
        <f>Tabela1[[#This Row],[TAG]]&amp;Tabela1[[#This Row],[PEDIDO]]&amp;Tabela1[[#This Row],[PRODUTO]]</f>
        <v>P190P-190ESTRUTURA</v>
      </c>
      <c r="AQ551" s="22" t="str">
        <f>Tabela1[[#This Row],[PRODUTO]]&amp;Tabela1[[#This Row],[TAG]]</f>
        <v>ESTRUTURAP190</v>
      </c>
      <c r="AR551" s="24" t="str">
        <f>Tabela1[[#This Row],[PEDIDO]]&amp;Tabela1[[#This Row],[PRODUTO]]</f>
        <v>P-190ESTRUTURA</v>
      </c>
      <c r="AS551" s="37">
        <f>IF(AF551="",0,IF(ISTEXT(AF551),H551*VALUE(SUBSTITUTE(AF551,"%",""))/100,H551*AF551))-Tabela1[[#This Row],[PRONTO ACABADO2]]</f>
        <v>0</v>
      </c>
      <c r="AT551" s="37">
        <f>IF(AG551="",0,IF(ISTEXT(AG551),H551*VALUE(SUBSTITUTE(AG551,"%",""))/100,H551*AG551))-Tabela1[[#This Row],[PESO EXPEDIDO2]]</f>
        <v>0</v>
      </c>
      <c r="AU551" s="37">
        <f t="shared" si="95"/>
        <v>288</v>
      </c>
      <c r="AV551" s="37">
        <f t="shared" si="96"/>
        <v>288</v>
      </c>
      <c r="AW551" s="37"/>
    </row>
    <row r="552" spans="1:49" ht="15.75" customHeight="1" x14ac:dyDescent="0.25">
      <c r="A552" s="6" t="s">
        <v>2572</v>
      </c>
      <c r="B552" s="21"/>
      <c r="C552" s="7">
        <v>2</v>
      </c>
      <c r="D552" s="39" t="s">
        <v>2573</v>
      </c>
      <c r="E552" s="7">
        <v>3513</v>
      </c>
      <c r="F552" s="7">
        <v>1</v>
      </c>
      <c r="G552" s="23">
        <v>1898.7</v>
      </c>
      <c r="H552" s="34">
        <f>Tabela1[[#This Row],[PESO UNI]]*Tabela1[[#This Row],[QTE]]</f>
        <v>3797.4</v>
      </c>
      <c r="I552" s="7">
        <v>1</v>
      </c>
      <c r="J552" s="8" t="s">
        <v>2550</v>
      </c>
      <c r="K552" s="8" t="s">
        <v>31</v>
      </c>
      <c r="L552" s="9" t="s">
        <v>2551</v>
      </c>
      <c r="M552" s="10"/>
      <c r="N552" s="11" t="s">
        <v>38</v>
      </c>
      <c r="O552" s="12"/>
      <c r="P552" s="13"/>
      <c r="Q552" s="14">
        <f>Tabela1[[#This Row],[QTDE/ Fabricação]]-Tabela1[[#This Row],[QTE]]</f>
        <v>-2</v>
      </c>
      <c r="R552" s="18">
        <f t="shared" si="91"/>
        <v>3797.4</v>
      </c>
      <c r="S552" s="18">
        <f t="shared" si="90"/>
        <v>3797.4</v>
      </c>
      <c r="T552" s="19">
        <f t="shared" si="92"/>
        <v>0</v>
      </c>
      <c r="U552" s="16">
        <f>IFERROR(SUMIF('LISTA DE EMBARQUE'!B:B,MICRO!E:E,'LISTA DE EMBARQUE'!G:G),"")</f>
        <v>2</v>
      </c>
      <c r="V552" s="12">
        <f>IFERROR(VLOOKUP(Tabela1[[#This Row],[COD.MDE]],'LISTA DE EMBARQUE'!B:L,11,0),"")</f>
        <v>2</v>
      </c>
      <c r="W552" s="13" t="str">
        <f>IFERROR(COUNTIF(#REF!,Tabela1[[#This Row],[Colunas5]]),"")</f>
        <v/>
      </c>
      <c r="X552" s="14">
        <f>Tabela1[[#This Row],[QIANTIDADE EXPEDIDA]]*Tabela1[[#This Row],[PESO UNI]]</f>
        <v>3797.4</v>
      </c>
      <c r="Y552" s="14">
        <f t="shared" si="93"/>
        <v>0</v>
      </c>
      <c r="Z552" s="20">
        <f>Tabela1[[#This Row],[PESO TOTAL]]-Tabela1[[#This Row],[Peso Expedido]]</f>
        <v>0</v>
      </c>
      <c r="AA552" s="17">
        <v>1</v>
      </c>
      <c r="AB552" s="33"/>
      <c r="AC552" s="33">
        <v>1</v>
      </c>
      <c r="AD552" s="33">
        <v>1</v>
      </c>
      <c r="AE552" s="33">
        <v>1</v>
      </c>
      <c r="AF552" s="33">
        <v>1</v>
      </c>
      <c r="AG552" s="33">
        <v>1</v>
      </c>
      <c r="AH552" s="33">
        <v>1</v>
      </c>
      <c r="AI552" s="33" t="s">
        <v>4512</v>
      </c>
      <c r="AJ552"/>
      <c r="AK552" t="str">
        <f>Tabela1[[#This Row],[Coluna1]]&amp;Tabela1[[#This Row],[PEDIDO]]</f>
        <v>P-190</v>
      </c>
      <c r="AL552"/>
      <c r="AM552"/>
      <c r="AN552"/>
      <c r="AO552" t="str">
        <f t="shared" si="94"/>
        <v>P-024511-1/P190</v>
      </c>
      <c r="AP552" t="str">
        <f>Tabela1[[#This Row],[TAG]]&amp;Tabela1[[#This Row],[PEDIDO]]&amp;Tabela1[[#This Row],[PRODUTO]]</f>
        <v>P190P-190ESTRUTURA</v>
      </c>
      <c r="AQ552" s="22" t="str">
        <f>Tabela1[[#This Row],[PRODUTO]]&amp;Tabela1[[#This Row],[TAG]]</f>
        <v>ESTRUTURAP190</v>
      </c>
      <c r="AR552" s="24" t="str">
        <f>Tabela1[[#This Row],[PEDIDO]]&amp;Tabela1[[#This Row],[PRODUTO]]</f>
        <v>P-190ESTRUTURA</v>
      </c>
      <c r="AS552" s="37">
        <f>IF(AF552="",0,IF(ISTEXT(AF552),H552*VALUE(SUBSTITUTE(AF552,"%",""))/100,H552*AF552))-Tabela1[[#This Row],[PRONTO ACABADO2]]</f>
        <v>0</v>
      </c>
      <c r="AT552" s="37">
        <f>IF(AG552="",0,IF(ISTEXT(AG552),H552*VALUE(SUBSTITUTE(AG552,"%",""))/100,H552*AG552))-Tabela1[[#This Row],[PESO EXPEDIDO2]]</f>
        <v>0</v>
      </c>
      <c r="AU552" s="37">
        <f t="shared" si="95"/>
        <v>3797.4</v>
      </c>
      <c r="AV552" s="37">
        <f t="shared" si="96"/>
        <v>3797.4</v>
      </c>
      <c r="AW552" s="37"/>
    </row>
    <row r="553" spans="1:49" ht="15.75" customHeight="1" x14ac:dyDescent="0.25">
      <c r="A553" s="6" t="s">
        <v>2546</v>
      </c>
      <c r="B553" s="21"/>
      <c r="C553" s="7">
        <v>1</v>
      </c>
      <c r="D553" s="39" t="s">
        <v>2547</v>
      </c>
      <c r="E553" s="7">
        <v>3514</v>
      </c>
      <c r="F553" s="7">
        <v>27</v>
      </c>
      <c r="G553" s="23">
        <v>13</v>
      </c>
      <c r="H553" s="34">
        <f>Tabela1[[#This Row],[PESO UNI]]*Tabela1[[#This Row],[QTE]]</f>
        <v>13</v>
      </c>
      <c r="I553" s="7">
        <v>0</v>
      </c>
      <c r="J553" s="8" t="s">
        <v>2550</v>
      </c>
      <c r="K553" s="8" t="s">
        <v>31</v>
      </c>
      <c r="L553" s="9" t="s">
        <v>2551</v>
      </c>
      <c r="M553" s="10">
        <v>46119</v>
      </c>
      <c r="N553" s="11" t="s">
        <v>38</v>
      </c>
      <c r="O553" s="12"/>
      <c r="P553" s="13"/>
      <c r="Q553" s="14">
        <f>Tabela1[[#This Row],[QTDE/ Fabricação]]-Tabela1[[#This Row],[QTE]]</f>
        <v>-1</v>
      </c>
      <c r="R553" s="18">
        <f t="shared" si="91"/>
        <v>13</v>
      </c>
      <c r="S553" s="18">
        <f t="shared" si="90"/>
        <v>13</v>
      </c>
      <c r="T553" s="19">
        <f t="shared" si="92"/>
        <v>0</v>
      </c>
      <c r="U553" s="16">
        <v>1</v>
      </c>
      <c r="V553" s="12" t="str">
        <f>IFERROR(VLOOKUP(Tabela1[[#This Row],[COD.MDE]],'LISTA DE EMBARQUE'!B:L,11,0),"")</f>
        <v/>
      </c>
      <c r="W553" s="13" t="str">
        <f>IFERROR(COUNTIF(#REF!,Tabela1[[#This Row],[Colunas5]]),"")</f>
        <v/>
      </c>
      <c r="X553" s="14">
        <f>Tabela1[[#This Row],[QIANTIDADE EXPEDIDA]]*Tabela1[[#This Row],[PESO UNI]]</f>
        <v>13</v>
      </c>
      <c r="Y553" s="14">
        <f t="shared" si="93"/>
        <v>0</v>
      </c>
      <c r="Z553" s="20">
        <f>Tabela1[[#This Row],[PESO TOTAL]]-Tabela1[[#This Row],[Peso Expedido]]</f>
        <v>0</v>
      </c>
      <c r="AA553" s="17">
        <v>1</v>
      </c>
      <c r="AB553" s="33"/>
      <c r="AC553" s="33">
        <v>1</v>
      </c>
      <c r="AD553" s="33">
        <v>1</v>
      </c>
      <c r="AE553" s="33">
        <v>1</v>
      </c>
      <c r="AF553" s="33">
        <v>1</v>
      </c>
      <c r="AG553" s="33">
        <v>1</v>
      </c>
      <c r="AH553" s="33">
        <v>1</v>
      </c>
      <c r="AI553" s="33" t="s">
        <v>4512</v>
      </c>
      <c r="AJ553"/>
      <c r="AK553" t="str">
        <f>Tabela1[[#This Row],[Coluna1]]&amp;Tabela1[[#This Row],[PEDIDO]]</f>
        <v>P-190</v>
      </c>
      <c r="AL553"/>
      <c r="AM553"/>
      <c r="AN553"/>
      <c r="AO553" t="str">
        <f t="shared" si="94"/>
        <v>P-073081-1/P190</v>
      </c>
      <c r="AP553" t="str">
        <f>Tabela1[[#This Row],[TAG]]&amp;Tabela1[[#This Row],[PEDIDO]]&amp;Tabela1[[#This Row],[PRODUTO]]</f>
        <v>P190P-190ESTRUTURA</v>
      </c>
      <c r="AQ553" s="22" t="str">
        <f>Tabela1[[#This Row],[PRODUTO]]&amp;Tabela1[[#This Row],[TAG]]</f>
        <v>ESTRUTURAP190</v>
      </c>
      <c r="AR553" s="24" t="str">
        <f>Tabela1[[#This Row],[PEDIDO]]&amp;Tabela1[[#This Row],[PRODUTO]]</f>
        <v>P-190ESTRUTURA</v>
      </c>
      <c r="AS553" s="37">
        <f>IF(AF553="",0,IF(ISTEXT(AF553),H553*VALUE(SUBSTITUTE(AF553,"%",""))/100,H553*AF553))-Tabela1[[#This Row],[PRONTO ACABADO2]]</f>
        <v>0</v>
      </c>
      <c r="AT553" s="37">
        <f>IF(AG553="",0,IF(ISTEXT(AG553),H553*VALUE(SUBSTITUTE(AG553,"%",""))/100,H553*AG553))-Tabela1[[#This Row],[PESO EXPEDIDO2]]</f>
        <v>0</v>
      </c>
      <c r="AU553" s="37">
        <f t="shared" si="95"/>
        <v>13</v>
      </c>
      <c r="AV553" s="37">
        <f t="shared" si="96"/>
        <v>13</v>
      </c>
      <c r="AW553" s="37"/>
    </row>
    <row r="554" spans="1:49" ht="15.75" customHeight="1" x14ac:dyDescent="0.25">
      <c r="A554" s="6" t="s">
        <v>2546</v>
      </c>
      <c r="B554" s="21"/>
      <c r="C554" s="7">
        <v>1</v>
      </c>
      <c r="D554" s="39" t="s">
        <v>2548</v>
      </c>
      <c r="E554" s="7">
        <v>3515</v>
      </c>
      <c r="F554" s="7">
        <v>27</v>
      </c>
      <c r="G554" s="23">
        <v>13</v>
      </c>
      <c r="H554" s="34">
        <f>Tabela1[[#This Row],[PESO UNI]]*Tabela1[[#This Row],[QTE]]</f>
        <v>13</v>
      </c>
      <c r="I554" s="7">
        <v>0</v>
      </c>
      <c r="J554" s="8" t="s">
        <v>2550</v>
      </c>
      <c r="K554" s="8" t="s">
        <v>31</v>
      </c>
      <c r="L554" s="9" t="s">
        <v>2551</v>
      </c>
      <c r="M554" s="10"/>
      <c r="N554" s="11" t="s">
        <v>38</v>
      </c>
      <c r="O554" s="12"/>
      <c r="P554" s="13"/>
      <c r="Q554" s="14">
        <f>Tabela1[[#This Row],[QTDE/ Fabricação]]-Tabela1[[#This Row],[QTE]]</f>
        <v>-1</v>
      </c>
      <c r="R554" s="18">
        <f t="shared" si="91"/>
        <v>13</v>
      </c>
      <c r="S554" s="18">
        <f t="shared" si="90"/>
        <v>13</v>
      </c>
      <c r="T554" s="19">
        <f t="shared" si="92"/>
        <v>0</v>
      </c>
      <c r="U554" s="16">
        <v>1</v>
      </c>
      <c r="V554" s="12" t="str">
        <f>IFERROR(VLOOKUP(Tabela1[[#This Row],[COD.MDE]],'LISTA DE EMBARQUE'!B:L,11,0),"")</f>
        <v/>
      </c>
      <c r="W554" s="13" t="str">
        <f>IFERROR(COUNTIF(#REF!,Tabela1[[#This Row],[Colunas5]]),"")</f>
        <v/>
      </c>
      <c r="X554" s="14">
        <f>Tabela1[[#This Row],[QIANTIDADE EXPEDIDA]]*Tabela1[[#This Row],[PESO UNI]]</f>
        <v>13</v>
      </c>
      <c r="Y554" s="14">
        <f t="shared" si="93"/>
        <v>0</v>
      </c>
      <c r="Z554" s="20">
        <f>Tabela1[[#This Row],[PESO TOTAL]]-Tabela1[[#This Row],[Peso Expedido]]</f>
        <v>0</v>
      </c>
      <c r="AA554" s="17">
        <v>1</v>
      </c>
      <c r="AB554" s="33"/>
      <c r="AC554" s="33">
        <v>1</v>
      </c>
      <c r="AD554" s="33">
        <v>1</v>
      </c>
      <c r="AE554" s="33">
        <v>1</v>
      </c>
      <c r="AF554" s="33">
        <v>1</v>
      </c>
      <c r="AG554" s="33">
        <v>1</v>
      </c>
      <c r="AH554" s="33">
        <v>1</v>
      </c>
      <c r="AI554" s="33" t="s">
        <v>4512</v>
      </c>
      <c r="AJ554"/>
      <c r="AK554" t="str">
        <f>Tabela1[[#This Row],[Coluna1]]&amp;Tabela1[[#This Row],[PEDIDO]]</f>
        <v>P-190</v>
      </c>
      <c r="AL554"/>
      <c r="AM554"/>
      <c r="AN554"/>
      <c r="AO554" t="str">
        <f t="shared" si="94"/>
        <v>P-073081-1/P190</v>
      </c>
      <c r="AP554" t="str">
        <f>Tabela1[[#This Row],[TAG]]&amp;Tabela1[[#This Row],[PEDIDO]]&amp;Tabela1[[#This Row],[PRODUTO]]</f>
        <v>P190P-190ESTRUTURA</v>
      </c>
      <c r="AQ554" s="22" t="str">
        <f>Tabela1[[#This Row],[PRODUTO]]&amp;Tabela1[[#This Row],[TAG]]</f>
        <v>ESTRUTURAP190</v>
      </c>
      <c r="AR554" s="24" t="str">
        <f>Tabela1[[#This Row],[PEDIDO]]&amp;Tabela1[[#This Row],[PRODUTO]]</f>
        <v>P-190ESTRUTURA</v>
      </c>
      <c r="AS554" s="37">
        <f>IF(AF554="",0,IF(ISTEXT(AF554),H554*VALUE(SUBSTITUTE(AF554,"%",""))/100,H554*AF554))-Tabela1[[#This Row],[PRONTO ACABADO2]]</f>
        <v>0</v>
      </c>
      <c r="AT554" s="37">
        <f>IF(AG554="",0,IF(ISTEXT(AG554),H554*VALUE(SUBSTITUTE(AG554,"%",""))/100,H554*AG554))-Tabela1[[#This Row],[PESO EXPEDIDO2]]</f>
        <v>0</v>
      </c>
      <c r="AU554" s="37">
        <f t="shared" si="95"/>
        <v>13</v>
      </c>
      <c r="AV554" s="37">
        <f t="shared" si="96"/>
        <v>13</v>
      </c>
      <c r="AW554" s="37"/>
    </row>
    <row r="555" spans="1:49" ht="15.75" customHeight="1" x14ac:dyDescent="0.25">
      <c r="A555" s="6" t="s">
        <v>2546</v>
      </c>
      <c r="B555" s="21"/>
      <c r="C555" s="7">
        <v>1</v>
      </c>
      <c r="D555" s="39" t="s">
        <v>2549</v>
      </c>
      <c r="E555" s="7">
        <v>3515</v>
      </c>
      <c r="F555" s="7">
        <v>27</v>
      </c>
      <c r="G555" s="23">
        <v>6</v>
      </c>
      <c r="H555" s="34">
        <f>Tabela1[[#This Row],[PESO UNI]]*Tabela1[[#This Row],[QTE]]</f>
        <v>6</v>
      </c>
      <c r="I555" s="7">
        <v>0</v>
      </c>
      <c r="J555" s="8" t="s">
        <v>2550</v>
      </c>
      <c r="K555" s="8" t="s">
        <v>31</v>
      </c>
      <c r="L555" s="9" t="s">
        <v>2551</v>
      </c>
      <c r="M555" s="10"/>
      <c r="N555" s="11" t="s">
        <v>38</v>
      </c>
      <c r="O555" s="12"/>
      <c r="P555" s="13"/>
      <c r="Q555" s="14">
        <f>Tabela1[[#This Row],[QTDE/ Fabricação]]-Tabela1[[#This Row],[QTE]]</f>
        <v>-1</v>
      </c>
      <c r="R555" s="18">
        <f t="shared" si="91"/>
        <v>6</v>
      </c>
      <c r="S555" s="18">
        <f t="shared" si="90"/>
        <v>6</v>
      </c>
      <c r="T555" s="19">
        <f t="shared" si="92"/>
        <v>0</v>
      </c>
      <c r="U555" s="16">
        <v>1</v>
      </c>
      <c r="V555" s="12" t="str">
        <f>IFERROR(VLOOKUP(Tabela1[[#This Row],[COD.MDE]],'LISTA DE EMBARQUE'!B:L,11,0),"")</f>
        <v/>
      </c>
      <c r="W555" s="13" t="str">
        <f>IFERROR(COUNTIF(#REF!,Tabela1[[#This Row],[Colunas5]]),"")</f>
        <v/>
      </c>
      <c r="X555" s="14">
        <f>Tabela1[[#This Row],[QIANTIDADE EXPEDIDA]]*Tabela1[[#This Row],[PESO UNI]]</f>
        <v>6</v>
      </c>
      <c r="Y555" s="14">
        <f t="shared" si="93"/>
        <v>0</v>
      </c>
      <c r="Z555" s="20">
        <f>Tabela1[[#This Row],[PESO TOTAL]]-Tabela1[[#This Row],[Peso Expedido]]</f>
        <v>0</v>
      </c>
      <c r="AA555" s="17">
        <v>1</v>
      </c>
      <c r="AB555" s="33"/>
      <c r="AC555" s="33">
        <v>1</v>
      </c>
      <c r="AD555" s="33">
        <v>1</v>
      </c>
      <c r="AE555" s="33">
        <v>1</v>
      </c>
      <c r="AF555" s="33">
        <v>1</v>
      </c>
      <c r="AG555" s="33">
        <v>1</v>
      </c>
      <c r="AH555" s="33">
        <v>1</v>
      </c>
      <c r="AI555" s="33" t="s">
        <v>4512</v>
      </c>
      <c r="AJ555"/>
      <c r="AK555" t="str">
        <f>Tabela1[[#This Row],[Coluna1]]&amp;Tabela1[[#This Row],[PEDIDO]]</f>
        <v>P-190</v>
      </c>
      <c r="AL555"/>
      <c r="AM555"/>
      <c r="AN555"/>
      <c r="AO555" t="str">
        <f t="shared" si="94"/>
        <v>P-073081-1/P190</v>
      </c>
      <c r="AP555" t="str">
        <f>Tabela1[[#This Row],[TAG]]&amp;Tabela1[[#This Row],[PEDIDO]]&amp;Tabela1[[#This Row],[PRODUTO]]</f>
        <v>P190P-190ESTRUTURA</v>
      </c>
      <c r="AQ555" s="22" t="str">
        <f>Tabela1[[#This Row],[PRODUTO]]&amp;Tabela1[[#This Row],[TAG]]</f>
        <v>ESTRUTURAP190</v>
      </c>
      <c r="AR555" s="24" t="str">
        <f>Tabela1[[#This Row],[PEDIDO]]&amp;Tabela1[[#This Row],[PRODUTO]]</f>
        <v>P-190ESTRUTURA</v>
      </c>
      <c r="AS555" s="37">
        <f>IF(AF555="",0,IF(ISTEXT(AF555),H555*VALUE(SUBSTITUTE(AF555,"%",""))/100,H555*AF555))-Tabela1[[#This Row],[PRONTO ACABADO2]]</f>
        <v>0</v>
      </c>
      <c r="AT555" s="37">
        <f>IF(AG555="",0,IF(ISTEXT(AG555),H555*VALUE(SUBSTITUTE(AG555,"%",""))/100,H555*AG555))-Tabela1[[#This Row],[PESO EXPEDIDO2]]</f>
        <v>0</v>
      </c>
      <c r="AU555" s="37">
        <f t="shared" si="95"/>
        <v>6</v>
      </c>
      <c r="AV555" s="37">
        <f t="shared" si="96"/>
        <v>6</v>
      </c>
      <c r="AW555" s="37"/>
    </row>
    <row r="556" spans="1:49" ht="15.75" customHeight="1" x14ac:dyDescent="0.25">
      <c r="A556" s="6" t="s">
        <v>2555</v>
      </c>
      <c r="B556" s="21" t="s">
        <v>3170</v>
      </c>
      <c r="C556" s="7">
        <v>1</v>
      </c>
      <c r="D556" s="39" t="s">
        <v>2556</v>
      </c>
      <c r="E556" s="7">
        <v>3517</v>
      </c>
      <c r="F556" s="7">
        <v>21</v>
      </c>
      <c r="G556" s="23">
        <v>192.3</v>
      </c>
      <c r="H556" s="34">
        <f>Tabela1[[#This Row],[PESO UNI]]*Tabela1[[#This Row],[QTE]]</f>
        <v>192.3</v>
      </c>
      <c r="I556" s="7">
        <v>1</v>
      </c>
      <c r="J556" s="8" t="s">
        <v>2550</v>
      </c>
      <c r="K556" s="8" t="s">
        <v>46</v>
      </c>
      <c r="L556" s="9" t="s">
        <v>2551</v>
      </c>
      <c r="M556" s="10"/>
      <c r="N556" s="11" t="s">
        <v>38</v>
      </c>
      <c r="O556" s="12"/>
      <c r="P556" s="13"/>
      <c r="Q556" s="14">
        <f>Tabela1[[#This Row],[QTDE/ Fabricação]]-Tabela1[[#This Row],[QTE]]</f>
        <v>-1</v>
      </c>
      <c r="R556" s="18">
        <f t="shared" si="91"/>
        <v>192.3</v>
      </c>
      <c r="S556" s="18">
        <f t="shared" si="90"/>
        <v>192.3</v>
      </c>
      <c r="T556" s="19">
        <f t="shared" si="92"/>
        <v>0</v>
      </c>
      <c r="U556" s="16">
        <v>1</v>
      </c>
      <c r="V556" s="12" t="str">
        <f>IFERROR(VLOOKUP(Tabela1[[#This Row],[COD.MDE]],'LISTA DE EMBARQUE'!B:L,11,0),"")</f>
        <v/>
      </c>
      <c r="W556" s="13" t="str">
        <f>IFERROR(COUNTIF(#REF!,Tabela1[[#This Row],[Colunas5]]),"")</f>
        <v/>
      </c>
      <c r="X556" s="14">
        <f>Tabela1[[#This Row],[QIANTIDADE EXPEDIDA]]*Tabela1[[#This Row],[PESO UNI]]</f>
        <v>192.3</v>
      </c>
      <c r="Y556" s="14">
        <f t="shared" si="93"/>
        <v>0</v>
      </c>
      <c r="Z556" s="20">
        <f>Tabela1[[#This Row],[PESO TOTAL]]-Tabela1[[#This Row],[Peso Expedido]]</f>
        <v>0</v>
      </c>
      <c r="AA556" s="17">
        <v>1</v>
      </c>
      <c r="AB556" s="33"/>
      <c r="AC556" s="33">
        <v>1</v>
      </c>
      <c r="AD556" s="33">
        <v>1</v>
      </c>
      <c r="AE556" s="33">
        <v>1</v>
      </c>
      <c r="AF556" s="33">
        <v>1</v>
      </c>
      <c r="AG556" s="33">
        <v>1</v>
      </c>
      <c r="AH556" s="33">
        <v>1</v>
      </c>
      <c r="AI556" s="33" t="s">
        <v>4512</v>
      </c>
      <c r="AJ556"/>
      <c r="AK556" t="str">
        <f>Tabela1[[#This Row],[Coluna1]]&amp;Tabela1[[#This Row],[PEDIDO]]</f>
        <v>P-190</v>
      </c>
      <c r="AL556"/>
      <c r="AM556"/>
      <c r="AN556"/>
      <c r="AO556" t="str">
        <f t="shared" si="94"/>
        <v>P-024507-1/P190</v>
      </c>
      <c r="AP556" t="str">
        <f>Tabela1[[#This Row],[TAG]]&amp;Tabela1[[#This Row],[PEDIDO]]&amp;Tabela1[[#This Row],[PRODUTO]]</f>
        <v>P190P-190TECMETAL</v>
      </c>
      <c r="AQ556" s="22" t="str">
        <f>Tabela1[[#This Row],[PRODUTO]]&amp;Tabela1[[#This Row],[TAG]]</f>
        <v>TECMETALP190</v>
      </c>
      <c r="AR556" s="24" t="str">
        <f>Tabela1[[#This Row],[PEDIDO]]&amp;Tabela1[[#This Row],[PRODUTO]]</f>
        <v>P-190TECMETAL</v>
      </c>
      <c r="AS556" s="37">
        <f>IF(AF556="",0,IF(ISTEXT(AF556),H556*VALUE(SUBSTITUTE(AF556,"%",""))/100,H556*AF556))-Tabela1[[#This Row],[PRONTO ACABADO2]]</f>
        <v>0</v>
      </c>
      <c r="AT556" s="37">
        <f>IF(AG556="",0,IF(ISTEXT(AG556),H556*VALUE(SUBSTITUTE(AG556,"%",""))/100,H556*AG556))-Tabela1[[#This Row],[PESO EXPEDIDO2]]</f>
        <v>0</v>
      </c>
      <c r="AU556" s="37">
        <f t="shared" si="95"/>
        <v>192.3</v>
      </c>
      <c r="AV556" s="37">
        <f t="shared" si="96"/>
        <v>192.3</v>
      </c>
      <c r="AW556" s="37"/>
    </row>
    <row r="557" spans="1:49" ht="15.75" customHeight="1" x14ac:dyDescent="0.25">
      <c r="A557" s="6" t="s">
        <v>2555</v>
      </c>
      <c r="B557" s="21"/>
      <c r="C557" s="7">
        <v>1</v>
      </c>
      <c r="D557" s="39" t="s">
        <v>2981</v>
      </c>
      <c r="E557" s="7">
        <v>3517</v>
      </c>
      <c r="F557" s="7">
        <v>21</v>
      </c>
      <c r="G557" s="23">
        <v>4</v>
      </c>
      <c r="H557" s="34">
        <f>Tabela1[[#This Row],[PESO UNI]]*Tabela1[[#This Row],[QTE]]</f>
        <v>4</v>
      </c>
      <c r="I557" s="7">
        <v>1</v>
      </c>
      <c r="J557" s="8" t="s">
        <v>2550</v>
      </c>
      <c r="K557" s="8" t="s">
        <v>46</v>
      </c>
      <c r="L557" s="9" t="s">
        <v>2551</v>
      </c>
      <c r="M557" s="10"/>
      <c r="N557" s="11" t="s">
        <v>38</v>
      </c>
      <c r="O557" s="12"/>
      <c r="P557" s="13"/>
      <c r="Q557" s="14">
        <f>Tabela1[[#This Row],[QTDE/ Fabricação]]-Tabela1[[#This Row],[QTE]]</f>
        <v>-1</v>
      </c>
      <c r="R557" s="18">
        <f t="shared" si="91"/>
        <v>4</v>
      </c>
      <c r="S557" s="18">
        <f t="shared" si="90"/>
        <v>4</v>
      </c>
      <c r="T557" s="19">
        <f t="shared" si="92"/>
        <v>0</v>
      </c>
      <c r="U557" s="16">
        <v>1</v>
      </c>
      <c r="V557" s="12" t="str">
        <f>IFERROR(VLOOKUP(Tabela1[[#This Row],[COD.MDE]],'LISTA DE EMBARQUE'!B:L,11,0),"")</f>
        <v/>
      </c>
      <c r="W557" s="13" t="str">
        <f>IFERROR(COUNTIF(#REF!,Tabela1[[#This Row],[Colunas5]]),"")</f>
        <v/>
      </c>
      <c r="X557" s="14">
        <f>Tabela1[[#This Row],[QIANTIDADE EXPEDIDA]]*Tabela1[[#This Row],[PESO UNI]]</f>
        <v>4</v>
      </c>
      <c r="Y557" s="14">
        <f t="shared" si="93"/>
        <v>0</v>
      </c>
      <c r="Z557" s="20">
        <f>Tabela1[[#This Row],[PESO TOTAL]]-Tabela1[[#This Row],[Peso Expedido]]</f>
        <v>0</v>
      </c>
      <c r="AA557" s="17">
        <v>1</v>
      </c>
      <c r="AB557" s="33"/>
      <c r="AC557" s="33">
        <v>1</v>
      </c>
      <c r="AD557" s="33">
        <v>1</v>
      </c>
      <c r="AE557" s="33">
        <v>1</v>
      </c>
      <c r="AF557" s="33">
        <v>1</v>
      </c>
      <c r="AG557" s="33">
        <v>1</v>
      </c>
      <c r="AH557" s="33">
        <v>1</v>
      </c>
      <c r="AI557" s="33" t="s">
        <v>4512</v>
      </c>
      <c r="AJ557"/>
      <c r="AK557" t="str">
        <f>Tabela1[[#This Row],[Coluna1]]&amp;Tabela1[[#This Row],[PEDIDO]]</f>
        <v>P-190</v>
      </c>
      <c r="AL557"/>
      <c r="AM557"/>
      <c r="AN557"/>
      <c r="AO557" t="str">
        <f t="shared" si="94"/>
        <v>P-024507-1/P190</v>
      </c>
      <c r="AP557" t="str">
        <f>Tabela1[[#This Row],[TAG]]&amp;Tabela1[[#This Row],[PEDIDO]]&amp;Tabela1[[#This Row],[PRODUTO]]</f>
        <v>P190P-190TECMETAL</v>
      </c>
      <c r="AQ557" s="22" t="str">
        <f>Tabela1[[#This Row],[PRODUTO]]&amp;Tabela1[[#This Row],[TAG]]</f>
        <v>TECMETALP190</v>
      </c>
      <c r="AR557" s="24" t="str">
        <f>Tabela1[[#This Row],[PEDIDO]]&amp;Tabela1[[#This Row],[PRODUTO]]</f>
        <v>P-190TECMETAL</v>
      </c>
      <c r="AS557" s="37">
        <f>IF(AF557="",0,IF(ISTEXT(AF557),H557*VALUE(SUBSTITUTE(AF557,"%",""))/100,H557*AF557))-Tabela1[[#This Row],[PRONTO ACABADO2]]</f>
        <v>0</v>
      </c>
      <c r="AT557" s="37">
        <f>IF(AG557="",0,IF(ISTEXT(AG557),H557*VALUE(SUBSTITUTE(AG557,"%",""))/100,H557*AG557))-Tabela1[[#This Row],[PESO EXPEDIDO2]]</f>
        <v>0</v>
      </c>
      <c r="AU557" s="37">
        <f t="shared" si="95"/>
        <v>4</v>
      </c>
      <c r="AV557" s="37">
        <f t="shared" si="96"/>
        <v>4</v>
      </c>
      <c r="AW557" s="37"/>
    </row>
    <row r="558" spans="1:49" ht="15.75" customHeight="1" x14ac:dyDescent="0.25">
      <c r="A558" s="6" t="s">
        <v>2555</v>
      </c>
      <c r="B558" s="21"/>
      <c r="C558" s="7">
        <v>1</v>
      </c>
      <c r="D558" s="39" t="s">
        <v>2982</v>
      </c>
      <c r="E558" s="7">
        <v>3517</v>
      </c>
      <c r="F558" s="7">
        <v>21</v>
      </c>
      <c r="G558" s="23">
        <v>4</v>
      </c>
      <c r="H558" s="34">
        <f>Tabela1[[#This Row],[PESO UNI]]*Tabela1[[#This Row],[QTE]]</f>
        <v>4</v>
      </c>
      <c r="I558" s="7">
        <v>1</v>
      </c>
      <c r="J558" s="8" t="s">
        <v>2550</v>
      </c>
      <c r="K558" s="8" t="s">
        <v>46</v>
      </c>
      <c r="L558" s="9" t="s">
        <v>2551</v>
      </c>
      <c r="M558" s="10"/>
      <c r="N558" s="11" t="s">
        <v>38</v>
      </c>
      <c r="O558" s="12"/>
      <c r="P558" s="13"/>
      <c r="Q558" s="14">
        <f>Tabela1[[#This Row],[QTDE/ Fabricação]]-Tabela1[[#This Row],[QTE]]</f>
        <v>-1</v>
      </c>
      <c r="R558" s="18">
        <f t="shared" si="91"/>
        <v>4</v>
      </c>
      <c r="S558" s="18">
        <f t="shared" si="90"/>
        <v>4</v>
      </c>
      <c r="T558" s="19">
        <f t="shared" si="92"/>
        <v>0</v>
      </c>
      <c r="U558" s="16">
        <v>1</v>
      </c>
      <c r="V558" s="12" t="str">
        <f>IFERROR(VLOOKUP(Tabela1[[#This Row],[COD.MDE]],'LISTA DE EMBARQUE'!B:L,11,0),"")</f>
        <v/>
      </c>
      <c r="W558" s="13" t="str">
        <f>IFERROR(COUNTIF(#REF!,Tabela1[[#This Row],[Colunas5]]),"")</f>
        <v/>
      </c>
      <c r="X558" s="14">
        <f>Tabela1[[#This Row],[QIANTIDADE EXPEDIDA]]*Tabela1[[#This Row],[PESO UNI]]</f>
        <v>4</v>
      </c>
      <c r="Y558" s="14">
        <f t="shared" si="93"/>
        <v>0</v>
      </c>
      <c r="Z558" s="20">
        <f>Tabela1[[#This Row],[PESO TOTAL]]-Tabela1[[#This Row],[Peso Expedido]]</f>
        <v>0</v>
      </c>
      <c r="AA558" s="17">
        <v>1</v>
      </c>
      <c r="AB558" s="33"/>
      <c r="AC558" s="33">
        <v>1</v>
      </c>
      <c r="AD558" s="33">
        <v>1</v>
      </c>
      <c r="AE558" s="33">
        <v>1</v>
      </c>
      <c r="AF558" s="33">
        <v>1</v>
      </c>
      <c r="AG558" s="33">
        <v>1</v>
      </c>
      <c r="AH558" s="33">
        <v>1</v>
      </c>
      <c r="AI558" s="33" t="s">
        <v>4512</v>
      </c>
      <c r="AJ558"/>
      <c r="AK558" t="str">
        <f>Tabela1[[#This Row],[Coluna1]]&amp;Tabela1[[#This Row],[PEDIDO]]</f>
        <v>P-190</v>
      </c>
      <c r="AL558"/>
      <c r="AM558"/>
      <c r="AN558"/>
      <c r="AO558" t="str">
        <f t="shared" si="94"/>
        <v>P-024507-1/P190</v>
      </c>
      <c r="AP558" t="str">
        <f>Tabela1[[#This Row],[TAG]]&amp;Tabela1[[#This Row],[PEDIDO]]&amp;Tabela1[[#This Row],[PRODUTO]]</f>
        <v>P190P-190TECMETAL</v>
      </c>
      <c r="AQ558" s="22" t="str">
        <f>Tabela1[[#This Row],[PRODUTO]]&amp;Tabela1[[#This Row],[TAG]]</f>
        <v>TECMETALP190</v>
      </c>
      <c r="AR558" s="24" t="str">
        <f>Tabela1[[#This Row],[PEDIDO]]&amp;Tabela1[[#This Row],[PRODUTO]]</f>
        <v>P-190TECMETAL</v>
      </c>
      <c r="AS558" s="37">
        <f>IF(AF558="",0,IF(ISTEXT(AF558),H558*VALUE(SUBSTITUTE(AF558,"%",""))/100,H558*AF558))-Tabela1[[#This Row],[PRONTO ACABADO2]]</f>
        <v>0</v>
      </c>
      <c r="AT558" s="37">
        <f>IF(AG558="",0,IF(ISTEXT(AG558),H558*VALUE(SUBSTITUTE(AG558,"%",""))/100,H558*AG558))-Tabela1[[#This Row],[PESO EXPEDIDO2]]</f>
        <v>0</v>
      </c>
      <c r="AU558" s="37">
        <f t="shared" si="95"/>
        <v>4</v>
      </c>
      <c r="AV558" s="37">
        <f t="shared" si="96"/>
        <v>4</v>
      </c>
      <c r="AW558" s="37"/>
    </row>
    <row r="559" spans="1:49" ht="15.75" customHeight="1" x14ac:dyDescent="0.25">
      <c r="A559" s="1" t="s">
        <v>4458</v>
      </c>
      <c r="B559" s="21"/>
      <c r="C559" s="1">
        <v>2</v>
      </c>
      <c r="D559" s="1" t="s">
        <v>4459</v>
      </c>
      <c r="E559" s="7">
        <v>4347</v>
      </c>
      <c r="F559" s="7" t="s">
        <v>4414</v>
      </c>
      <c r="G559" s="1">
        <v>45</v>
      </c>
      <c r="H559" s="34">
        <f>Tabela1[[#This Row],[PESO UNI]]*Tabela1[[#This Row],[QTE]]</f>
        <v>90</v>
      </c>
      <c r="I559" s="7"/>
      <c r="J559" s="8" t="s">
        <v>2550</v>
      </c>
      <c r="K559" s="8" t="s">
        <v>45</v>
      </c>
      <c r="L559" s="9" t="s">
        <v>2551</v>
      </c>
      <c r="M559" s="10"/>
      <c r="N559" s="11" t="s">
        <v>38</v>
      </c>
      <c r="O559" s="12"/>
      <c r="P559" s="13"/>
      <c r="Q559" s="14">
        <f>Tabela1[[#This Row],[QTDE/ Fabricação]]-Tabela1[[#This Row],[QTE]]</f>
        <v>-2</v>
      </c>
      <c r="R559" s="18">
        <f t="shared" si="91"/>
        <v>90</v>
      </c>
      <c r="S559" s="18">
        <f t="shared" si="90"/>
        <v>90</v>
      </c>
      <c r="T559" s="19">
        <f t="shared" si="92"/>
        <v>0</v>
      </c>
      <c r="U559" s="16">
        <f>IFERROR(SUMIF('LISTA DE EMBARQUE'!B:B,MICRO!E:E,'LISTA DE EMBARQUE'!G:G),"")</f>
        <v>2</v>
      </c>
      <c r="V559" s="12">
        <f>IFERROR(VLOOKUP(Tabela1[[#This Row],[COD.MDE]],'LISTA DE EMBARQUE'!B:L,11,0),"")</f>
        <v>4</v>
      </c>
      <c r="W559" s="13" t="str">
        <f>IFERROR(COUNTIF(#REF!,Tabela1[[#This Row],[Colunas5]]),"")</f>
        <v/>
      </c>
      <c r="X559" s="14">
        <f>Tabela1[[#This Row],[QIANTIDADE EXPEDIDA]]*Tabela1[[#This Row],[PESO UNI]]</f>
        <v>90</v>
      </c>
      <c r="Y559" s="14">
        <f t="shared" si="93"/>
        <v>0</v>
      </c>
      <c r="Z559" s="20">
        <f>Tabela1[[#This Row],[PESO TOTAL]]-Tabela1[[#This Row],[Peso Expedido]]</f>
        <v>0</v>
      </c>
      <c r="AA559" s="17">
        <v>1</v>
      </c>
      <c r="AB559" s="33"/>
      <c r="AC559" s="33">
        <v>1</v>
      </c>
      <c r="AD559" s="33">
        <v>1</v>
      </c>
      <c r="AE559" s="33">
        <v>1</v>
      </c>
      <c r="AF559" s="33">
        <v>1</v>
      </c>
      <c r="AG559" s="33">
        <v>1</v>
      </c>
      <c r="AH559" s="33">
        <v>1</v>
      </c>
      <c r="AI559" s="33" t="s">
        <v>4512</v>
      </c>
      <c r="AJ559"/>
      <c r="AK559" t="str">
        <f>Tabela1[[#This Row],[Coluna1]]&amp;Tabela1[[#This Row],[PEDIDO]]</f>
        <v>P-190</v>
      </c>
      <c r="AL559"/>
      <c r="AM559"/>
      <c r="AN559"/>
      <c r="AO559" t="str">
        <f t="shared" si="94"/>
        <v>P-073057/P190</v>
      </c>
      <c r="AP559" t="str">
        <f>Tabela1[[#This Row],[TAG]]&amp;Tabela1[[#This Row],[PEDIDO]]&amp;Tabela1[[#This Row],[PRODUTO]]</f>
        <v>P190P-190COMERCIAL</v>
      </c>
      <c r="AQ559" s="22" t="str">
        <f>Tabela1[[#This Row],[PRODUTO]]&amp;Tabela1[[#This Row],[TAG]]</f>
        <v>COMERCIALP190</v>
      </c>
      <c r="AR559" s="24" t="str">
        <f>Tabela1[[#This Row],[PEDIDO]]&amp;Tabela1[[#This Row],[PRODUTO]]</f>
        <v>P-190COMERCIAL</v>
      </c>
      <c r="AS559" s="37">
        <f>IF(AF559="",0,IF(ISTEXT(AF559),H559*VALUE(SUBSTITUTE(AF559,"%",""))/100,H559*AF559))-Tabela1[[#This Row],[PRONTO ACABADO2]]</f>
        <v>0</v>
      </c>
      <c r="AT559" s="37">
        <f>IF(AG559="",0,IF(ISTEXT(AG559),H559*VALUE(SUBSTITUTE(AG559,"%",""))/100,H559*AG559))-Tabela1[[#This Row],[PESO EXPEDIDO2]]</f>
        <v>0</v>
      </c>
      <c r="AU559" s="37">
        <f t="shared" si="95"/>
        <v>90</v>
      </c>
      <c r="AV559" s="37">
        <f t="shared" si="96"/>
        <v>90</v>
      </c>
      <c r="AW559" s="37"/>
    </row>
    <row r="560" spans="1:49" ht="15.75" customHeight="1" x14ac:dyDescent="0.25">
      <c r="A560" s="1" t="s">
        <v>4458</v>
      </c>
      <c r="B560" s="21"/>
      <c r="C560" s="1">
        <v>1</v>
      </c>
      <c r="D560" s="1" t="s">
        <v>4460</v>
      </c>
      <c r="E560" s="7">
        <v>4348</v>
      </c>
      <c r="F560" s="7" t="s">
        <v>4414</v>
      </c>
      <c r="G560" s="1">
        <v>85</v>
      </c>
      <c r="H560" s="34">
        <f>Tabela1[[#This Row],[PESO UNI]]*Tabela1[[#This Row],[QTE]]</f>
        <v>85</v>
      </c>
      <c r="I560" s="7"/>
      <c r="J560" s="8" t="s">
        <v>2550</v>
      </c>
      <c r="K560" s="8" t="s">
        <v>45</v>
      </c>
      <c r="L560" s="9" t="s">
        <v>2551</v>
      </c>
      <c r="M560" s="10"/>
      <c r="N560" s="11" t="s">
        <v>38</v>
      </c>
      <c r="O560" s="12"/>
      <c r="P560" s="13"/>
      <c r="Q560" s="14">
        <f>Tabela1[[#This Row],[QTDE/ Fabricação]]-Tabela1[[#This Row],[QTE]]</f>
        <v>-1</v>
      </c>
      <c r="R560" s="18">
        <f t="shared" si="91"/>
        <v>85</v>
      </c>
      <c r="S560" s="18">
        <f t="shared" si="90"/>
        <v>85</v>
      </c>
      <c r="T560" s="19">
        <f t="shared" si="92"/>
        <v>0</v>
      </c>
      <c r="U560" s="16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>IFERROR(COUNTIF(#REF!,Tabela1[[#This Row],[Colunas5]]),"")</f>
        <v/>
      </c>
      <c r="X560" s="14">
        <f>Tabela1[[#This Row],[QIANTIDADE EXPEDIDA]]*Tabela1[[#This Row],[PESO UNI]]</f>
        <v>85</v>
      </c>
      <c r="Y560" s="14">
        <f t="shared" si="93"/>
        <v>0</v>
      </c>
      <c r="Z560" s="20">
        <f>Tabela1[[#This Row],[PESO TOTAL]]-Tabela1[[#This Row],[Peso Expedido]]</f>
        <v>0</v>
      </c>
      <c r="AA560" s="17">
        <v>1</v>
      </c>
      <c r="AB560" s="33"/>
      <c r="AC560" s="33">
        <v>1</v>
      </c>
      <c r="AD560" s="33">
        <v>1</v>
      </c>
      <c r="AE560" s="33">
        <v>1</v>
      </c>
      <c r="AF560" s="33">
        <v>1</v>
      </c>
      <c r="AG560" s="33">
        <v>1</v>
      </c>
      <c r="AH560" s="33">
        <v>1</v>
      </c>
      <c r="AI560" s="33" t="s">
        <v>4512</v>
      </c>
      <c r="AJ560"/>
      <c r="AK560" t="str">
        <f>Tabela1[[#This Row],[Coluna1]]&amp;Tabela1[[#This Row],[PEDIDO]]</f>
        <v>P-190</v>
      </c>
      <c r="AL560"/>
      <c r="AM560"/>
      <c r="AN560"/>
      <c r="AO560" t="str">
        <f t="shared" si="94"/>
        <v>P-073057/P190</v>
      </c>
      <c r="AP560" t="str">
        <f>Tabela1[[#This Row],[TAG]]&amp;Tabela1[[#This Row],[PEDIDO]]&amp;Tabela1[[#This Row],[PRODUTO]]</f>
        <v>P190P-190COMERCIAL</v>
      </c>
      <c r="AQ560" s="22" t="str">
        <f>Tabela1[[#This Row],[PRODUTO]]&amp;Tabela1[[#This Row],[TAG]]</f>
        <v>COMERCIALP190</v>
      </c>
      <c r="AR560" s="24" t="str">
        <f>Tabela1[[#This Row],[PEDIDO]]&amp;Tabela1[[#This Row],[PRODUTO]]</f>
        <v>P-190COMERCIAL</v>
      </c>
      <c r="AS560" s="37">
        <f>IF(AF560="",0,IF(ISTEXT(AF560),H560*VALUE(SUBSTITUTE(AF560,"%",""))/100,H560*AF560))-Tabela1[[#This Row],[PRONTO ACABADO2]]</f>
        <v>0</v>
      </c>
      <c r="AT560" s="37">
        <f>IF(AG560="",0,IF(ISTEXT(AG560),H560*VALUE(SUBSTITUTE(AG560,"%",""))/100,H560*AG560))-Tabela1[[#This Row],[PESO EXPEDIDO2]]</f>
        <v>0</v>
      </c>
      <c r="AU560" s="37">
        <f t="shared" si="95"/>
        <v>85</v>
      </c>
      <c r="AV560" s="37">
        <f t="shared" si="96"/>
        <v>85</v>
      </c>
      <c r="AW560" s="37"/>
    </row>
    <row r="561" spans="1:49" ht="15.75" customHeight="1" x14ac:dyDescent="0.25">
      <c r="A561" s="1" t="s">
        <v>4458</v>
      </c>
      <c r="B561" s="21"/>
      <c r="C561" s="1">
        <v>1</v>
      </c>
      <c r="D561" s="1" t="s">
        <v>4461</v>
      </c>
      <c r="E561" s="7">
        <v>4349</v>
      </c>
      <c r="F561" s="7" t="s">
        <v>4414</v>
      </c>
      <c r="G561" s="1">
        <v>65</v>
      </c>
      <c r="H561" s="34">
        <f>Tabela1[[#This Row],[PESO UNI]]*Tabela1[[#This Row],[QTE]]</f>
        <v>65</v>
      </c>
      <c r="I561" s="7"/>
      <c r="J561" s="8" t="s">
        <v>2550</v>
      </c>
      <c r="K561" s="8" t="s">
        <v>45</v>
      </c>
      <c r="L561" s="9" t="s">
        <v>2551</v>
      </c>
      <c r="M561" s="10"/>
      <c r="N561" s="11" t="s">
        <v>38</v>
      </c>
      <c r="O561" s="12"/>
      <c r="P561" s="13"/>
      <c r="Q561" s="14">
        <f>Tabela1[[#This Row],[QTDE/ Fabricação]]-Tabela1[[#This Row],[QTE]]</f>
        <v>-1</v>
      </c>
      <c r="R561" s="18">
        <f t="shared" si="91"/>
        <v>65</v>
      </c>
      <c r="S561" s="18">
        <f t="shared" si="90"/>
        <v>65</v>
      </c>
      <c r="T561" s="19">
        <f t="shared" si="92"/>
        <v>0</v>
      </c>
      <c r="U561" s="16">
        <f>IFERROR(SUMIF('LISTA DE EMBARQUE'!B:B,MICRO!E:E,'LISTA DE EMBARQUE'!G:G),"")</f>
        <v>1</v>
      </c>
      <c r="V561" s="12">
        <f>IFERROR(VLOOKUP(Tabela1[[#This Row],[COD.MDE]],'LISTA DE EMBARQUE'!B:L,11,0),"")</f>
        <v>4</v>
      </c>
      <c r="W561" s="13" t="str">
        <f>IFERROR(COUNTIF(#REF!,Tabela1[[#This Row],[Colunas5]]),"")</f>
        <v/>
      </c>
      <c r="X561" s="14">
        <f>Tabela1[[#This Row],[QIANTIDADE EXPEDIDA]]*Tabela1[[#This Row],[PESO UNI]]</f>
        <v>65</v>
      </c>
      <c r="Y561" s="14">
        <f t="shared" si="93"/>
        <v>0</v>
      </c>
      <c r="Z561" s="20">
        <f>Tabela1[[#This Row],[PESO TOTAL]]-Tabela1[[#This Row],[Peso Expedido]]</f>
        <v>0</v>
      </c>
      <c r="AA561" s="17">
        <v>1</v>
      </c>
      <c r="AB561" s="33"/>
      <c r="AC561" s="33">
        <v>1</v>
      </c>
      <c r="AD561" s="33">
        <v>1</v>
      </c>
      <c r="AE561" s="33">
        <v>1</v>
      </c>
      <c r="AF561" s="33">
        <v>1</v>
      </c>
      <c r="AG561" s="33">
        <v>1</v>
      </c>
      <c r="AH561" s="33">
        <v>1</v>
      </c>
      <c r="AI561" s="33" t="s">
        <v>4512</v>
      </c>
      <c r="AJ561"/>
      <c r="AK561" t="str">
        <f>Tabela1[[#This Row],[Coluna1]]&amp;Tabela1[[#This Row],[PEDIDO]]</f>
        <v>P-190</v>
      </c>
      <c r="AL561"/>
      <c r="AM561"/>
      <c r="AN561"/>
      <c r="AO561" t="str">
        <f t="shared" si="94"/>
        <v>P-073057/P190</v>
      </c>
      <c r="AP561" t="str">
        <f>Tabela1[[#This Row],[TAG]]&amp;Tabela1[[#This Row],[PEDIDO]]&amp;Tabela1[[#This Row],[PRODUTO]]</f>
        <v>P190P-190COMERCIAL</v>
      </c>
      <c r="AQ561" s="22" t="str">
        <f>Tabela1[[#This Row],[PRODUTO]]&amp;Tabela1[[#This Row],[TAG]]</f>
        <v>COMERCIALP190</v>
      </c>
      <c r="AR561" s="24" t="str">
        <f>Tabela1[[#This Row],[PEDIDO]]&amp;Tabela1[[#This Row],[PRODUTO]]</f>
        <v>P-190COMERCIAL</v>
      </c>
      <c r="AS561" s="37">
        <f>IF(AF561="",0,IF(ISTEXT(AF561),H561*VALUE(SUBSTITUTE(AF561,"%",""))/100,H561*AF561))-Tabela1[[#This Row],[PRONTO ACABADO2]]</f>
        <v>0</v>
      </c>
      <c r="AT561" s="37">
        <f>IF(AG561="",0,IF(ISTEXT(AG561),H561*VALUE(SUBSTITUTE(AG561,"%",""))/100,H561*AG561))-Tabela1[[#This Row],[PESO EXPEDIDO2]]</f>
        <v>0</v>
      </c>
      <c r="AU561" s="37">
        <f t="shared" si="95"/>
        <v>65</v>
      </c>
      <c r="AV561" s="37">
        <f t="shared" si="96"/>
        <v>65</v>
      </c>
      <c r="AW561" s="37"/>
    </row>
    <row r="562" spans="1:49" ht="15.75" customHeight="1" x14ac:dyDescent="0.25">
      <c r="A562" s="1" t="s">
        <v>4462</v>
      </c>
      <c r="B562" s="21"/>
      <c r="C562" s="1">
        <v>1</v>
      </c>
      <c r="D562" s="1" t="s">
        <v>4463</v>
      </c>
      <c r="E562" s="7">
        <v>4350</v>
      </c>
      <c r="F562" s="7" t="s">
        <v>4414</v>
      </c>
      <c r="G562" s="1">
        <v>7.2</v>
      </c>
      <c r="H562" s="34">
        <f>Tabela1[[#This Row],[PESO UNI]]*Tabela1[[#This Row],[QTE]]</f>
        <v>7.2</v>
      </c>
      <c r="I562" s="7"/>
      <c r="J562" s="8" t="s">
        <v>2550</v>
      </c>
      <c r="K562" s="8" t="s">
        <v>45</v>
      </c>
      <c r="L562" s="9" t="s">
        <v>2551</v>
      </c>
      <c r="M562" s="10"/>
      <c r="N562" s="11" t="s">
        <v>38</v>
      </c>
      <c r="O562" s="12"/>
      <c r="P562" s="13"/>
      <c r="Q562" s="14">
        <f>Tabela1[[#This Row],[QTDE/ Fabricação]]-Tabela1[[#This Row],[QTE]]</f>
        <v>-1</v>
      </c>
      <c r="R562" s="18">
        <f t="shared" si="91"/>
        <v>7.2</v>
      </c>
      <c r="S562" s="18">
        <f t="shared" si="90"/>
        <v>7.2</v>
      </c>
      <c r="T562" s="19">
        <f t="shared" si="92"/>
        <v>0</v>
      </c>
      <c r="U562" s="16">
        <f>IFERROR(SUMIF('LISTA DE EMBARQUE'!B:B,MICRO!E:E,'LISTA DE EMBARQUE'!G:G),"")</f>
        <v>1</v>
      </c>
      <c r="V562" s="12">
        <f>IFERROR(VLOOKUP(Tabela1[[#This Row],[COD.MDE]],'LISTA DE EMBARQUE'!B:L,11,0),"")</f>
        <v>4</v>
      </c>
      <c r="W562" s="13" t="str">
        <f>IFERROR(COUNTIF(#REF!,Tabela1[[#This Row],[Colunas5]]),"")</f>
        <v/>
      </c>
      <c r="X562" s="14">
        <f>Tabela1[[#This Row],[QIANTIDADE EXPEDIDA]]*Tabela1[[#This Row],[PESO UNI]]</f>
        <v>7.2</v>
      </c>
      <c r="Y562" s="14">
        <f t="shared" si="93"/>
        <v>0</v>
      </c>
      <c r="Z562" s="20">
        <f>Tabela1[[#This Row],[PESO TOTAL]]-Tabela1[[#This Row],[Peso Expedido]]</f>
        <v>0</v>
      </c>
      <c r="AA562" s="17">
        <v>1</v>
      </c>
      <c r="AB562" s="33"/>
      <c r="AC562" s="33">
        <v>1</v>
      </c>
      <c r="AD562" s="33">
        <v>1</v>
      </c>
      <c r="AE562" s="33">
        <v>1</v>
      </c>
      <c r="AF562" s="33">
        <v>1</v>
      </c>
      <c r="AG562" s="33">
        <v>1</v>
      </c>
      <c r="AH562" s="33">
        <v>1</v>
      </c>
      <c r="AI562" s="33" t="s">
        <v>4512</v>
      </c>
      <c r="AJ562"/>
      <c r="AK562" t="str">
        <f>Tabela1[[#This Row],[Coluna1]]&amp;Tabela1[[#This Row],[PEDIDO]]</f>
        <v>P-190</v>
      </c>
      <c r="AL562"/>
      <c r="AM562"/>
      <c r="AN562"/>
      <c r="AO562" t="str">
        <f t="shared" si="94"/>
        <v>P-073057-1/P190</v>
      </c>
      <c r="AP562" t="str">
        <f>Tabela1[[#This Row],[TAG]]&amp;Tabela1[[#This Row],[PEDIDO]]&amp;Tabela1[[#This Row],[PRODUTO]]</f>
        <v>P190P-190COMERCIAL</v>
      </c>
      <c r="AQ562" s="22" t="str">
        <f>Tabela1[[#This Row],[PRODUTO]]&amp;Tabela1[[#This Row],[TAG]]</f>
        <v>COMERCIALP190</v>
      </c>
      <c r="AR562" s="24" t="str">
        <f>Tabela1[[#This Row],[PEDIDO]]&amp;Tabela1[[#This Row],[PRODUTO]]</f>
        <v>P-190COMERCIAL</v>
      </c>
      <c r="AS562" s="37">
        <f>IF(AF562="",0,IF(ISTEXT(AF562),H562*VALUE(SUBSTITUTE(AF562,"%",""))/100,H562*AF562))-Tabela1[[#This Row],[PRONTO ACABADO2]]</f>
        <v>0</v>
      </c>
      <c r="AT562" s="37">
        <f>IF(AG562="",0,IF(ISTEXT(AG562),H562*VALUE(SUBSTITUTE(AG562,"%",""))/100,H562*AG562))-Tabela1[[#This Row],[PESO EXPEDIDO2]]</f>
        <v>0</v>
      </c>
      <c r="AU562" s="37">
        <f t="shared" si="95"/>
        <v>7.2</v>
      </c>
      <c r="AV562" s="37">
        <f t="shared" si="96"/>
        <v>7.2</v>
      </c>
      <c r="AW562" s="37"/>
    </row>
    <row r="563" spans="1:49" ht="15.75" customHeight="1" x14ac:dyDescent="0.25">
      <c r="A563" s="1" t="s">
        <v>4394</v>
      </c>
      <c r="B563" s="21"/>
      <c r="C563" s="1">
        <v>1</v>
      </c>
      <c r="D563" s="1" t="s">
        <v>4464</v>
      </c>
      <c r="E563" s="7">
        <v>4351</v>
      </c>
      <c r="F563" s="7" t="s">
        <v>4414</v>
      </c>
      <c r="G563" s="1">
        <v>0.03</v>
      </c>
      <c r="H563" s="34">
        <f>Tabela1[[#This Row],[PESO UNI]]*Tabela1[[#This Row],[QTE]]</f>
        <v>0.03</v>
      </c>
      <c r="I563" s="7"/>
      <c r="J563" s="8" t="s">
        <v>2550</v>
      </c>
      <c r="K563" s="8" t="s">
        <v>45</v>
      </c>
      <c r="L563" s="9" t="s">
        <v>2551</v>
      </c>
      <c r="M563" s="10"/>
      <c r="N563" s="11" t="s">
        <v>38</v>
      </c>
      <c r="O563" s="12"/>
      <c r="P563" s="13"/>
      <c r="Q563" s="14">
        <f>Tabela1[[#This Row],[QTDE/ Fabricação]]-Tabela1[[#This Row],[QTE]]</f>
        <v>-1</v>
      </c>
      <c r="R563" s="18">
        <f t="shared" si="91"/>
        <v>0.03</v>
      </c>
      <c r="S563" s="18">
        <f t="shared" si="90"/>
        <v>0.03</v>
      </c>
      <c r="T563" s="19">
        <f t="shared" si="92"/>
        <v>0</v>
      </c>
      <c r="U563" s="16">
        <f>IFERROR(SUMIF('LISTA DE EMBARQUE'!B:B,MICRO!E:E,'LISTA DE EMBARQUE'!G:G),"")</f>
        <v>1</v>
      </c>
      <c r="V563" s="12">
        <f>IFERROR(VLOOKUP(Tabela1[[#This Row],[COD.MDE]],'LISTA DE EMBARQUE'!B:L,11,0),"")</f>
        <v>4</v>
      </c>
      <c r="W563" s="13" t="str">
        <f>IFERROR(COUNTIF(#REF!,Tabela1[[#This Row],[Colunas5]]),"")</f>
        <v/>
      </c>
      <c r="X563" s="14">
        <f>Tabela1[[#This Row],[QIANTIDADE EXPEDIDA]]*Tabela1[[#This Row],[PESO UNI]]</f>
        <v>0.03</v>
      </c>
      <c r="Y563" s="14">
        <f t="shared" si="93"/>
        <v>0</v>
      </c>
      <c r="Z563" s="20">
        <f>Tabela1[[#This Row],[PESO TOTAL]]-Tabela1[[#This Row],[Peso Expedido]]</f>
        <v>0</v>
      </c>
      <c r="AA563" s="17">
        <v>1</v>
      </c>
      <c r="AB563" s="33"/>
      <c r="AC563" s="33">
        <v>1</v>
      </c>
      <c r="AD563" s="33">
        <v>1</v>
      </c>
      <c r="AE563" s="33">
        <v>1</v>
      </c>
      <c r="AF563" s="33">
        <v>1</v>
      </c>
      <c r="AG563" s="33">
        <v>1</v>
      </c>
      <c r="AH563" s="33">
        <v>1</v>
      </c>
      <c r="AI563" s="33" t="s">
        <v>4512</v>
      </c>
      <c r="AJ563"/>
      <c r="AK563" t="str">
        <f>Tabela1[[#This Row],[Coluna1]]&amp;Tabela1[[#This Row],[PEDIDO]]</f>
        <v>P-190</v>
      </c>
      <c r="AL563"/>
      <c r="AM563"/>
      <c r="AN563"/>
      <c r="AO563" t="str">
        <f t="shared" si="94"/>
        <v>P-024533-1/P190</v>
      </c>
      <c r="AP563" t="str">
        <f>Tabela1[[#This Row],[TAG]]&amp;Tabela1[[#This Row],[PEDIDO]]&amp;Tabela1[[#This Row],[PRODUTO]]</f>
        <v>P190P-190COMERCIAL</v>
      </c>
      <c r="AQ563" s="22" t="str">
        <f>Tabela1[[#This Row],[PRODUTO]]&amp;Tabela1[[#This Row],[TAG]]</f>
        <v>COMERCIALP190</v>
      </c>
      <c r="AR563" s="24" t="str">
        <f>Tabela1[[#This Row],[PEDIDO]]&amp;Tabela1[[#This Row],[PRODUTO]]</f>
        <v>P-190COMERCIAL</v>
      </c>
      <c r="AS563" s="37">
        <f>IF(AF563="",0,IF(ISTEXT(AF563),H563*VALUE(SUBSTITUTE(AF563,"%",""))/100,H563*AF563))-Tabela1[[#This Row],[PRONTO ACABADO2]]</f>
        <v>0</v>
      </c>
      <c r="AT563" s="37">
        <f>IF(AG563="",0,IF(ISTEXT(AG563),H563*VALUE(SUBSTITUTE(AG563,"%",""))/100,H563*AG563))-Tabela1[[#This Row],[PESO EXPEDIDO2]]</f>
        <v>0</v>
      </c>
      <c r="AU563" s="37">
        <f t="shared" si="95"/>
        <v>0.03</v>
      </c>
      <c r="AV563" s="37">
        <f t="shared" si="96"/>
        <v>0.03</v>
      </c>
      <c r="AW563" s="37"/>
    </row>
    <row r="564" spans="1:49" ht="15.75" customHeight="1" x14ac:dyDescent="0.25">
      <c r="A564" s="1" t="s">
        <v>4394</v>
      </c>
      <c r="B564" s="21"/>
      <c r="C564" s="1">
        <v>4</v>
      </c>
      <c r="D564" s="1" t="s">
        <v>4465</v>
      </c>
      <c r="E564" s="7">
        <v>4352</v>
      </c>
      <c r="F564" s="7" t="s">
        <v>4414</v>
      </c>
      <c r="G564" s="1">
        <v>0.02</v>
      </c>
      <c r="H564" s="34">
        <f>Tabela1[[#This Row],[PESO UNI]]*Tabela1[[#This Row],[QTE]]</f>
        <v>0.08</v>
      </c>
      <c r="I564" s="7"/>
      <c r="J564" s="8" t="s">
        <v>2550</v>
      </c>
      <c r="K564" s="8" t="s">
        <v>45</v>
      </c>
      <c r="L564" s="9" t="s">
        <v>2551</v>
      </c>
      <c r="M564" s="10"/>
      <c r="N564" s="11" t="s">
        <v>38</v>
      </c>
      <c r="O564" s="12"/>
      <c r="P564" s="13"/>
      <c r="Q564" s="14">
        <f>Tabela1[[#This Row],[QTDE/ Fabricação]]-Tabela1[[#This Row],[QTE]]</f>
        <v>-4</v>
      </c>
      <c r="R564" s="18">
        <f t="shared" si="91"/>
        <v>0.08</v>
      </c>
      <c r="S564" s="18">
        <f t="shared" si="90"/>
        <v>0.08</v>
      </c>
      <c r="T564" s="19">
        <f t="shared" si="92"/>
        <v>0</v>
      </c>
      <c r="U564" s="16">
        <f>IFERROR(SUMIF('LISTA DE EMBARQUE'!B:B,MICRO!E:E,'LISTA DE EMBARQUE'!G:G),"")</f>
        <v>4</v>
      </c>
      <c r="V564" s="12">
        <f>IFERROR(VLOOKUP(Tabela1[[#This Row],[COD.MDE]],'LISTA DE EMBARQUE'!B:L,11,0),"")</f>
        <v>4</v>
      </c>
      <c r="W564" s="13" t="str">
        <f>IFERROR(COUNTIF(#REF!,Tabela1[[#This Row],[Colunas5]]),"")</f>
        <v/>
      </c>
      <c r="X564" s="14">
        <f>Tabela1[[#This Row],[QIANTIDADE EXPEDIDA]]*Tabela1[[#This Row],[PESO UNI]]</f>
        <v>0.08</v>
      </c>
      <c r="Y564" s="14">
        <f t="shared" si="93"/>
        <v>0</v>
      </c>
      <c r="Z564" s="20">
        <f>Tabela1[[#This Row],[PESO TOTAL]]-Tabela1[[#This Row],[Peso Expedido]]</f>
        <v>0</v>
      </c>
      <c r="AA564" s="17">
        <v>1</v>
      </c>
      <c r="AB564" s="33"/>
      <c r="AC564" s="33">
        <v>1</v>
      </c>
      <c r="AD564" s="33">
        <v>1</v>
      </c>
      <c r="AE564" s="33">
        <v>1</v>
      </c>
      <c r="AF564" s="33">
        <v>1</v>
      </c>
      <c r="AG564" s="33">
        <v>1</v>
      </c>
      <c r="AH564" s="33">
        <v>1</v>
      </c>
      <c r="AI564" s="33" t="s">
        <v>4512</v>
      </c>
      <c r="AJ564"/>
      <c r="AK564" t="str">
        <f>Tabela1[[#This Row],[Coluna1]]&amp;Tabela1[[#This Row],[PEDIDO]]</f>
        <v>P-190</v>
      </c>
      <c r="AL564"/>
      <c r="AM564"/>
      <c r="AN564"/>
      <c r="AO564" t="str">
        <f t="shared" si="94"/>
        <v>P-024533-1/P190</v>
      </c>
      <c r="AP564" t="str">
        <f>Tabela1[[#This Row],[TAG]]&amp;Tabela1[[#This Row],[PEDIDO]]&amp;Tabela1[[#This Row],[PRODUTO]]</f>
        <v>P190P-190COMERCIAL</v>
      </c>
      <c r="AQ564" s="22" t="str">
        <f>Tabela1[[#This Row],[PRODUTO]]&amp;Tabela1[[#This Row],[TAG]]</f>
        <v>COMERCIALP190</v>
      </c>
      <c r="AR564" s="24" t="str">
        <f>Tabela1[[#This Row],[PEDIDO]]&amp;Tabela1[[#This Row],[PRODUTO]]</f>
        <v>P-190COMERCIAL</v>
      </c>
      <c r="AS564" s="37">
        <f>IF(AF564="",0,IF(ISTEXT(AF564),H564*VALUE(SUBSTITUTE(AF564,"%",""))/100,H564*AF564))-Tabela1[[#This Row],[PRONTO ACABADO2]]</f>
        <v>0</v>
      </c>
      <c r="AT564" s="37">
        <f>IF(AG564="",0,IF(ISTEXT(AG564),H564*VALUE(SUBSTITUTE(AG564,"%",""))/100,H564*AG564))-Tabela1[[#This Row],[PESO EXPEDIDO2]]</f>
        <v>0</v>
      </c>
      <c r="AU564" s="37">
        <f t="shared" si="95"/>
        <v>0.08</v>
      </c>
      <c r="AV564" s="37">
        <f t="shared" si="96"/>
        <v>0.08</v>
      </c>
      <c r="AW564" s="37"/>
    </row>
    <row r="565" spans="1:49" ht="15.75" customHeight="1" x14ac:dyDescent="0.25">
      <c r="A565" s="1" t="s">
        <v>4394</v>
      </c>
      <c r="B565" s="21"/>
      <c r="C565" s="1">
        <v>2</v>
      </c>
      <c r="D565" s="1" t="s">
        <v>4466</v>
      </c>
      <c r="E565" s="7">
        <v>4353</v>
      </c>
      <c r="F565" s="7" t="s">
        <v>4414</v>
      </c>
      <c r="G565" s="1">
        <v>0.02</v>
      </c>
      <c r="H565" s="34">
        <f>Tabela1[[#This Row],[PESO UNI]]*Tabela1[[#This Row],[QTE]]</f>
        <v>0.04</v>
      </c>
      <c r="I565" s="7"/>
      <c r="J565" s="8" t="s">
        <v>2550</v>
      </c>
      <c r="K565" s="8" t="s">
        <v>45</v>
      </c>
      <c r="L565" s="9" t="s">
        <v>2551</v>
      </c>
      <c r="M565" s="10"/>
      <c r="N565" s="11" t="s">
        <v>38</v>
      </c>
      <c r="O565" s="12"/>
      <c r="P565" s="13"/>
      <c r="Q565" s="14">
        <f>Tabela1[[#This Row],[QTDE/ Fabricação]]-Tabela1[[#This Row],[QTE]]</f>
        <v>-2</v>
      </c>
      <c r="R565" s="18">
        <f t="shared" si="91"/>
        <v>0.04</v>
      </c>
      <c r="S565" s="18">
        <f t="shared" si="90"/>
        <v>0.04</v>
      </c>
      <c r="T565" s="19">
        <f t="shared" si="92"/>
        <v>0</v>
      </c>
      <c r="U565" s="16">
        <f>IFERROR(SUMIF('LISTA DE EMBARQUE'!B:B,MICRO!E:E,'LISTA DE EMBARQUE'!G:G),"")</f>
        <v>2</v>
      </c>
      <c r="V565" s="12">
        <f>IFERROR(VLOOKUP(Tabela1[[#This Row],[COD.MDE]],'LISTA DE EMBARQUE'!B:L,11,0),"")</f>
        <v>4</v>
      </c>
      <c r="W565" s="13" t="str">
        <f>IFERROR(COUNTIF(#REF!,Tabela1[[#This Row],[Colunas5]]),"")</f>
        <v/>
      </c>
      <c r="X565" s="14">
        <f>Tabela1[[#This Row],[QIANTIDADE EXPEDIDA]]*Tabela1[[#This Row],[PESO UNI]]</f>
        <v>0.04</v>
      </c>
      <c r="Y565" s="14">
        <f t="shared" si="93"/>
        <v>0</v>
      </c>
      <c r="Z565" s="20">
        <f>Tabela1[[#This Row],[PESO TOTAL]]-Tabela1[[#This Row],[Peso Expedido]]</f>
        <v>0</v>
      </c>
      <c r="AA565" s="17">
        <v>1</v>
      </c>
      <c r="AB565" s="33"/>
      <c r="AC565" s="33">
        <v>1</v>
      </c>
      <c r="AD565" s="33">
        <v>1</v>
      </c>
      <c r="AE565" s="33">
        <v>1</v>
      </c>
      <c r="AF565" s="33">
        <v>1</v>
      </c>
      <c r="AG565" s="33">
        <v>1</v>
      </c>
      <c r="AH565" s="33">
        <v>1</v>
      </c>
      <c r="AI565" s="33" t="s">
        <v>4512</v>
      </c>
      <c r="AJ565"/>
      <c r="AK565" t="str">
        <f>Tabela1[[#This Row],[Coluna1]]&amp;Tabela1[[#This Row],[PEDIDO]]</f>
        <v>P-190</v>
      </c>
      <c r="AL565"/>
      <c r="AM565"/>
      <c r="AN565"/>
      <c r="AO565" t="str">
        <f t="shared" si="94"/>
        <v>P-024533-1/P190</v>
      </c>
      <c r="AP565" t="str">
        <f>Tabela1[[#This Row],[TAG]]&amp;Tabela1[[#This Row],[PEDIDO]]&amp;Tabela1[[#This Row],[PRODUTO]]</f>
        <v>P190P-190COMERCIAL</v>
      </c>
      <c r="AQ565" s="22" t="str">
        <f>Tabela1[[#This Row],[PRODUTO]]&amp;Tabela1[[#This Row],[TAG]]</f>
        <v>COMERCIALP190</v>
      </c>
      <c r="AR565" s="24" t="str">
        <f>Tabela1[[#This Row],[PEDIDO]]&amp;Tabela1[[#This Row],[PRODUTO]]</f>
        <v>P-190COMERCIAL</v>
      </c>
      <c r="AS565" s="37">
        <f>IF(AF565="",0,IF(ISTEXT(AF565),H565*VALUE(SUBSTITUTE(AF565,"%",""))/100,H565*AF565))-Tabela1[[#This Row],[PRONTO ACABADO2]]</f>
        <v>0</v>
      </c>
      <c r="AT565" s="37">
        <f>IF(AG565="",0,IF(ISTEXT(AG565),H565*VALUE(SUBSTITUTE(AG565,"%",""))/100,H565*AG565))-Tabela1[[#This Row],[PESO EXPEDIDO2]]</f>
        <v>0</v>
      </c>
      <c r="AU565" s="37">
        <f t="shared" si="95"/>
        <v>0.04</v>
      </c>
      <c r="AV565" s="37">
        <f t="shared" si="96"/>
        <v>0.04</v>
      </c>
      <c r="AW565" s="37"/>
    </row>
    <row r="566" spans="1:49" ht="15.75" customHeight="1" x14ac:dyDescent="0.25">
      <c r="A566" s="1" t="s">
        <v>4462</v>
      </c>
      <c r="B566" s="21"/>
      <c r="C566" s="1">
        <v>110</v>
      </c>
      <c r="D566" s="1" t="s">
        <v>4467</v>
      </c>
      <c r="E566" s="7">
        <v>4354</v>
      </c>
      <c r="F566" s="7" t="s">
        <v>4414</v>
      </c>
      <c r="G566" s="1">
        <v>1.55</v>
      </c>
      <c r="H566" s="34">
        <f>Tabela1[[#This Row],[PESO UNI]]*Tabela1[[#This Row],[QTE]]</f>
        <v>170.5</v>
      </c>
      <c r="I566" s="7"/>
      <c r="J566" s="8" t="s">
        <v>2550</v>
      </c>
      <c r="K566" s="8" t="s">
        <v>45</v>
      </c>
      <c r="L566" s="9" t="s">
        <v>2551</v>
      </c>
      <c r="M566" s="10"/>
      <c r="N566" s="11" t="s">
        <v>38</v>
      </c>
      <c r="O566" s="12"/>
      <c r="P566" s="13"/>
      <c r="Q566" s="14">
        <f>Tabela1[[#This Row],[QTDE/ Fabricação]]-Tabela1[[#This Row],[QTE]]</f>
        <v>-110</v>
      </c>
      <c r="R566" s="18">
        <f t="shared" si="91"/>
        <v>170.5</v>
      </c>
      <c r="S566" s="18">
        <f t="shared" si="90"/>
        <v>170.5</v>
      </c>
      <c r="T566" s="19">
        <f t="shared" si="92"/>
        <v>0</v>
      </c>
      <c r="U566" s="16">
        <f>IFERROR(SUMIF('LISTA DE EMBARQUE'!B:B,MICRO!E:E,'LISTA DE EMBARQUE'!G:G),"")</f>
        <v>110</v>
      </c>
      <c r="V566" s="12">
        <f>IFERROR(VLOOKUP(Tabela1[[#This Row],[COD.MDE]],'LISTA DE EMBARQUE'!B:L,11,0),"")</f>
        <v>4</v>
      </c>
      <c r="W566" s="13" t="str">
        <f>IFERROR(COUNTIF(#REF!,Tabela1[[#This Row],[Colunas5]]),"")</f>
        <v/>
      </c>
      <c r="X566" s="14">
        <f>Tabela1[[#This Row],[QIANTIDADE EXPEDIDA]]*Tabela1[[#This Row],[PESO UNI]]</f>
        <v>170.5</v>
      </c>
      <c r="Y566" s="14">
        <f t="shared" si="93"/>
        <v>0</v>
      </c>
      <c r="Z566" s="20">
        <f>Tabela1[[#This Row],[PESO TOTAL]]-Tabela1[[#This Row],[Peso Expedido]]</f>
        <v>0</v>
      </c>
      <c r="AA566" s="17">
        <v>1</v>
      </c>
      <c r="AB566" s="33"/>
      <c r="AC566" s="33">
        <v>1</v>
      </c>
      <c r="AD566" s="33">
        <v>1</v>
      </c>
      <c r="AE566" s="33">
        <v>1</v>
      </c>
      <c r="AF566" s="33">
        <v>1</v>
      </c>
      <c r="AG566" s="33">
        <v>1</v>
      </c>
      <c r="AH566" s="33">
        <v>1</v>
      </c>
      <c r="AI566" s="33" t="s">
        <v>4512</v>
      </c>
      <c r="AJ566"/>
      <c r="AK566" t="str">
        <f>Tabela1[[#This Row],[Coluna1]]&amp;Tabela1[[#This Row],[PEDIDO]]</f>
        <v>P-190</v>
      </c>
      <c r="AL566"/>
      <c r="AM566"/>
      <c r="AN566"/>
      <c r="AO566" t="str">
        <f t="shared" si="94"/>
        <v>P-073057-1/P190</v>
      </c>
      <c r="AP566" t="str">
        <f>Tabela1[[#This Row],[TAG]]&amp;Tabela1[[#This Row],[PEDIDO]]&amp;Tabela1[[#This Row],[PRODUTO]]</f>
        <v>P190P-190COMERCIAL</v>
      </c>
      <c r="AQ566" s="22" t="str">
        <f>Tabela1[[#This Row],[PRODUTO]]&amp;Tabela1[[#This Row],[TAG]]</f>
        <v>COMERCIALP190</v>
      </c>
      <c r="AR566" s="24" t="str">
        <f>Tabela1[[#This Row],[PEDIDO]]&amp;Tabela1[[#This Row],[PRODUTO]]</f>
        <v>P-190COMERCIAL</v>
      </c>
      <c r="AS566" s="37">
        <f>IF(AF566="",0,IF(ISTEXT(AF566),H566*VALUE(SUBSTITUTE(AF566,"%",""))/100,H566*AF566))-Tabela1[[#This Row],[PRONTO ACABADO2]]</f>
        <v>0</v>
      </c>
      <c r="AT566" s="37">
        <f>IF(AG566="",0,IF(ISTEXT(AG566),H566*VALUE(SUBSTITUTE(AG566,"%",""))/100,H566*AG566))-Tabela1[[#This Row],[PESO EXPEDIDO2]]</f>
        <v>0</v>
      </c>
      <c r="AU566" s="37">
        <f t="shared" si="95"/>
        <v>170.5</v>
      </c>
      <c r="AV566" s="37">
        <f t="shared" si="96"/>
        <v>170.5</v>
      </c>
      <c r="AW566" s="37"/>
    </row>
    <row r="567" spans="1:49" ht="15.75" customHeight="1" x14ac:dyDescent="0.25">
      <c r="A567" s="1" t="s">
        <v>4468</v>
      </c>
      <c r="B567" s="21"/>
      <c r="C567" s="1">
        <v>40</v>
      </c>
      <c r="D567" s="1" t="s">
        <v>4469</v>
      </c>
      <c r="E567" s="7">
        <v>4355</v>
      </c>
      <c r="F567" s="7" t="s">
        <v>4414</v>
      </c>
      <c r="G567" s="1">
        <v>0.28999999999999998</v>
      </c>
      <c r="H567" s="34">
        <f>Tabela1[[#This Row],[PESO UNI]]*Tabela1[[#This Row],[QTE]]</f>
        <v>11.6</v>
      </c>
      <c r="I567" s="7"/>
      <c r="J567" s="8" t="s">
        <v>2550</v>
      </c>
      <c r="K567" s="8" t="s">
        <v>45</v>
      </c>
      <c r="L567" s="9" t="s">
        <v>2551</v>
      </c>
      <c r="M567" s="10"/>
      <c r="N567" s="11" t="s">
        <v>38</v>
      </c>
      <c r="O567" s="12"/>
      <c r="P567" s="13"/>
      <c r="Q567" s="14">
        <f>Tabela1[[#This Row],[QTDE/ Fabricação]]-Tabela1[[#This Row],[QTE]]</f>
        <v>-40</v>
      </c>
      <c r="R567" s="18">
        <f t="shared" si="91"/>
        <v>11.6</v>
      </c>
      <c r="S567" s="18">
        <f t="shared" si="90"/>
        <v>11.6</v>
      </c>
      <c r="T567" s="19">
        <f t="shared" si="92"/>
        <v>0</v>
      </c>
      <c r="U567" s="16">
        <f>IFERROR(SUMIF('LISTA DE EMBARQUE'!B:B,MICRO!E:E,'LISTA DE EMBARQUE'!G:G),"")</f>
        <v>40</v>
      </c>
      <c r="V567" s="12">
        <f>IFERROR(VLOOKUP(Tabela1[[#This Row],[COD.MDE]],'LISTA DE EMBARQUE'!B:L,11,0),"")</f>
        <v>4</v>
      </c>
      <c r="W567" s="13" t="str">
        <f>IFERROR(COUNTIF(#REF!,Tabela1[[#This Row],[Colunas5]]),"")</f>
        <v/>
      </c>
      <c r="X567" s="14">
        <f>Tabela1[[#This Row],[QIANTIDADE EXPEDIDA]]*Tabela1[[#This Row],[PESO UNI]]</f>
        <v>11.6</v>
      </c>
      <c r="Y567" s="14">
        <f t="shared" si="93"/>
        <v>0</v>
      </c>
      <c r="Z567" s="20">
        <f>Tabela1[[#This Row],[PESO TOTAL]]-Tabela1[[#This Row],[Peso Expedido]]</f>
        <v>0</v>
      </c>
      <c r="AA567" s="17">
        <v>1</v>
      </c>
      <c r="AB567" s="33"/>
      <c r="AC567" s="33">
        <v>1</v>
      </c>
      <c r="AD567" s="33">
        <v>1</v>
      </c>
      <c r="AE567" s="33">
        <v>1</v>
      </c>
      <c r="AF567" s="33">
        <v>1</v>
      </c>
      <c r="AG567" s="33">
        <v>1</v>
      </c>
      <c r="AH567" s="33">
        <v>1</v>
      </c>
      <c r="AI567" s="33" t="s">
        <v>4512</v>
      </c>
      <c r="AJ567"/>
      <c r="AK567" t="str">
        <f>Tabela1[[#This Row],[Coluna1]]&amp;Tabela1[[#This Row],[PEDIDO]]</f>
        <v>P-190</v>
      </c>
      <c r="AL567"/>
      <c r="AM567"/>
      <c r="AN567"/>
      <c r="AO567" t="str">
        <f t="shared" si="94"/>
        <v>P-073056-1/P190</v>
      </c>
      <c r="AP567" t="str">
        <f>Tabela1[[#This Row],[TAG]]&amp;Tabela1[[#This Row],[PEDIDO]]&amp;Tabela1[[#This Row],[PRODUTO]]</f>
        <v>P190P-190COMERCIAL</v>
      </c>
      <c r="AQ567" s="22" t="str">
        <f>Tabela1[[#This Row],[PRODUTO]]&amp;Tabela1[[#This Row],[TAG]]</f>
        <v>COMERCIALP190</v>
      </c>
      <c r="AR567" s="24" t="str">
        <f>Tabela1[[#This Row],[PEDIDO]]&amp;Tabela1[[#This Row],[PRODUTO]]</f>
        <v>P-190COMERCIAL</v>
      </c>
      <c r="AS567" s="37">
        <f>IF(AF567="",0,IF(ISTEXT(AF567),H567*VALUE(SUBSTITUTE(AF567,"%",""))/100,H567*AF567))-Tabela1[[#This Row],[PRONTO ACABADO2]]</f>
        <v>0</v>
      </c>
      <c r="AT567" s="37">
        <f>IF(AG567="",0,IF(ISTEXT(AG567),H567*VALUE(SUBSTITUTE(AG567,"%",""))/100,H567*AG567))-Tabela1[[#This Row],[PESO EXPEDIDO2]]</f>
        <v>0</v>
      </c>
      <c r="AU567" s="37">
        <f t="shared" si="95"/>
        <v>11.6</v>
      </c>
      <c r="AV567" s="37">
        <f t="shared" si="96"/>
        <v>11.6</v>
      </c>
      <c r="AW567" s="37"/>
    </row>
    <row r="568" spans="1:49" ht="15.75" customHeight="1" x14ac:dyDescent="0.25">
      <c r="A568" s="1" t="s">
        <v>4468</v>
      </c>
      <c r="B568" s="21"/>
      <c r="C568" s="1">
        <v>40</v>
      </c>
      <c r="D568" s="1" t="s">
        <v>4470</v>
      </c>
      <c r="E568" s="7">
        <v>4356</v>
      </c>
      <c r="F568" s="7" t="s">
        <v>4414</v>
      </c>
      <c r="G568" s="1">
        <v>0.02</v>
      </c>
      <c r="H568" s="34">
        <f>Tabela1[[#This Row],[PESO UNI]]*Tabela1[[#This Row],[QTE]]</f>
        <v>0.8</v>
      </c>
      <c r="I568" s="7"/>
      <c r="J568" s="8" t="s">
        <v>2550</v>
      </c>
      <c r="K568" s="8" t="s">
        <v>45</v>
      </c>
      <c r="L568" s="9" t="s">
        <v>2551</v>
      </c>
      <c r="M568" s="10"/>
      <c r="N568" s="11" t="s">
        <v>38</v>
      </c>
      <c r="O568" s="12"/>
      <c r="P568" s="13"/>
      <c r="Q568" s="14">
        <f>Tabela1[[#This Row],[QTDE/ Fabricação]]-Tabela1[[#This Row],[QTE]]</f>
        <v>-40</v>
      </c>
      <c r="R568" s="18">
        <f t="shared" si="91"/>
        <v>0.8</v>
      </c>
      <c r="S568" s="18">
        <f t="shared" si="90"/>
        <v>0.8</v>
      </c>
      <c r="T568" s="19">
        <f t="shared" si="92"/>
        <v>0</v>
      </c>
      <c r="U568" s="16">
        <f>IFERROR(SUMIF('LISTA DE EMBARQUE'!B:B,MICRO!E:E,'LISTA DE EMBARQUE'!G:G),"")</f>
        <v>40</v>
      </c>
      <c r="V568" s="12">
        <f>IFERROR(VLOOKUP(Tabela1[[#This Row],[COD.MDE]],'LISTA DE EMBARQUE'!B:L,11,0),"")</f>
        <v>4</v>
      </c>
      <c r="W568" s="13" t="str">
        <f>IFERROR(COUNTIF(#REF!,Tabela1[[#This Row],[Colunas5]]),"")</f>
        <v/>
      </c>
      <c r="X568" s="14">
        <f>Tabela1[[#This Row],[QIANTIDADE EXPEDIDA]]*Tabela1[[#This Row],[PESO UNI]]</f>
        <v>0.8</v>
      </c>
      <c r="Y568" s="14">
        <f t="shared" si="93"/>
        <v>0</v>
      </c>
      <c r="Z568" s="20">
        <f>Tabela1[[#This Row],[PESO TOTAL]]-Tabela1[[#This Row],[Peso Expedido]]</f>
        <v>0</v>
      </c>
      <c r="AA568" s="17">
        <v>1</v>
      </c>
      <c r="AB568" s="33"/>
      <c r="AC568" s="33">
        <v>1</v>
      </c>
      <c r="AD568" s="33">
        <v>1</v>
      </c>
      <c r="AE568" s="33">
        <v>1</v>
      </c>
      <c r="AF568" s="33">
        <v>1</v>
      </c>
      <c r="AG568" s="33">
        <v>1</v>
      </c>
      <c r="AH568" s="33">
        <v>1</v>
      </c>
      <c r="AI568" s="33" t="s">
        <v>4512</v>
      </c>
      <c r="AJ568"/>
      <c r="AK568" t="str">
        <f>Tabela1[[#This Row],[Coluna1]]&amp;Tabela1[[#This Row],[PEDIDO]]</f>
        <v>P-190</v>
      </c>
      <c r="AL568"/>
      <c r="AM568"/>
      <c r="AN568"/>
      <c r="AO568" t="str">
        <f t="shared" si="94"/>
        <v>P-073056-1/P190</v>
      </c>
      <c r="AP568" t="str">
        <f>Tabela1[[#This Row],[TAG]]&amp;Tabela1[[#This Row],[PEDIDO]]&amp;Tabela1[[#This Row],[PRODUTO]]</f>
        <v>P190P-190COMERCIAL</v>
      </c>
      <c r="AQ568" s="22" t="str">
        <f>Tabela1[[#This Row],[PRODUTO]]&amp;Tabela1[[#This Row],[TAG]]</f>
        <v>COMERCIALP190</v>
      </c>
      <c r="AR568" s="24" t="str">
        <f>Tabela1[[#This Row],[PEDIDO]]&amp;Tabela1[[#This Row],[PRODUTO]]</f>
        <v>P-190COMERCIAL</v>
      </c>
      <c r="AS568" s="37">
        <f>IF(AF568="",0,IF(ISTEXT(AF568),H568*VALUE(SUBSTITUTE(AF568,"%",""))/100,H568*AF568))-Tabela1[[#This Row],[PRONTO ACABADO2]]</f>
        <v>0</v>
      </c>
      <c r="AT568" s="37">
        <f>IF(AG568="",0,IF(ISTEXT(AG568),H568*VALUE(SUBSTITUTE(AG568,"%",""))/100,H568*AG568))-Tabela1[[#This Row],[PESO EXPEDIDO2]]</f>
        <v>0</v>
      </c>
      <c r="AU568" s="37">
        <f t="shared" si="95"/>
        <v>0.8</v>
      </c>
      <c r="AV568" s="37">
        <f t="shared" si="96"/>
        <v>0.8</v>
      </c>
      <c r="AW568" s="37"/>
    </row>
    <row r="569" spans="1:49" ht="15.75" customHeight="1" x14ac:dyDescent="0.25">
      <c r="A569" s="1" t="s">
        <v>4468</v>
      </c>
      <c r="B569" s="21"/>
      <c r="C569" s="1">
        <v>40</v>
      </c>
      <c r="D569" s="1" t="s">
        <v>4471</v>
      </c>
      <c r="E569" s="7">
        <v>4357</v>
      </c>
      <c r="F569" s="7" t="s">
        <v>4414</v>
      </c>
      <c r="G569" s="1">
        <v>5.5E-2</v>
      </c>
      <c r="H569" s="34">
        <f>Tabela1[[#This Row],[PESO UNI]]*Tabela1[[#This Row],[QTE]]</f>
        <v>2.2000000000000002</v>
      </c>
      <c r="I569" s="7"/>
      <c r="J569" s="8" t="s">
        <v>2550</v>
      </c>
      <c r="K569" s="8" t="s">
        <v>45</v>
      </c>
      <c r="L569" s="9" t="s">
        <v>2551</v>
      </c>
      <c r="M569" s="10"/>
      <c r="N569" s="11" t="s">
        <v>38</v>
      </c>
      <c r="O569" s="12"/>
      <c r="P569" s="13"/>
      <c r="Q569" s="14">
        <f>Tabela1[[#This Row],[QTDE/ Fabricação]]-Tabela1[[#This Row],[QTE]]</f>
        <v>-40</v>
      </c>
      <c r="R569" s="18">
        <f t="shared" si="91"/>
        <v>2.2000000000000002</v>
      </c>
      <c r="S569" s="18">
        <f t="shared" si="90"/>
        <v>2.2000000000000002</v>
      </c>
      <c r="T569" s="19">
        <f t="shared" si="92"/>
        <v>0</v>
      </c>
      <c r="U569" s="16">
        <f>IFERROR(SUMIF('LISTA DE EMBARQUE'!B:B,MICRO!E:E,'LISTA DE EMBARQUE'!G:G),"")</f>
        <v>40</v>
      </c>
      <c r="V569" s="12">
        <f>IFERROR(VLOOKUP(Tabela1[[#This Row],[COD.MDE]],'LISTA DE EMBARQUE'!B:L,11,0),"")</f>
        <v>4</v>
      </c>
      <c r="W569" s="13" t="str">
        <f>IFERROR(COUNTIF(#REF!,Tabela1[[#This Row],[Colunas5]]),"")</f>
        <v/>
      </c>
      <c r="X569" s="14">
        <f>Tabela1[[#This Row],[QIANTIDADE EXPEDIDA]]*Tabela1[[#This Row],[PESO UNI]]</f>
        <v>2.2000000000000002</v>
      </c>
      <c r="Y569" s="14">
        <f t="shared" si="93"/>
        <v>0</v>
      </c>
      <c r="Z569" s="20">
        <f>Tabela1[[#This Row],[PESO TOTAL]]-Tabela1[[#This Row],[Peso Expedido]]</f>
        <v>0</v>
      </c>
      <c r="AA569" s="17">
        <v>1</v>
      </c>
      <c r="AB569" s="33"/>
      <c r="AC569" s="33">
        <v>1</v>
      </c>
      <c r="AD569" s="33">
        <v>1</v>
      </c>
      <c r="AE569" s="33">
        <v>1</v>
      </c>
      <c r="AF569" s="33">
        <v>1</v>
      </c>
      <c r="AG569" s="33">
        <v>1</v>
      </c>
      <c r="AH569" s="33">
        <v>1</v>
      </c>
      <c r="AI569" s="33" t="s">
        <v>4512</v>
      </c>
      <c r="AJ569"/>
      <c r="AK569" t="str">
        <f>Tabela1[[#This Row],[Coluna1]]&amp;Tabela1[[#This Row],[PEDIDO]]</f>
        <v>P-190</v>
      </c>
      <c r="AL569"/>
      <c r="AM569"/>
      <c r="AN569"/>
      <c r="AO569" t="str">
        <f t="shared" si="94"/>
        <v>P-073056-1/P190</v>
      </c>
      <c r="AP569" t="str">
        <f>Tabela1[[#This Row],[TAG]]&amp;Tabela1[[#This Row],[PEDIDO]]&amp;Tabela1[[#This Row],[PRODUTO]]</f>
        <v>P190P-190COMERCIAL</v>
      </c>
      <c r="AQ569" s="22" t="str">
        <f>Tabela1[[#This Row],[PRODUTO]]&amp;Tabela1[[#This Row],[TAG]]</f>
        <v>COMERCIALP190</v>
      </c>
      <c r="AR569" s="24" t="str">
        <f>Tabela1[[#This Row],[PEDIDO]]&amp;Tabela1[[#This Row],[PRODUTO]]</f>
        <v>P-190COMERCIAL</v>
      </c>
      <c r="AS569" s="37">
        <f>IF(AF569="",0,IF(ISTEXT(AF569),H569*VALUE(SUBSTITUTE(AF569,"%",""))/100,H569*AF569))-Tabela1[[#This Row],[PRONTO ACABADO2]]</f>
        <v>0</v>
      </c>
      <c r="AT569" s="37">
        <f>IF(AG569="",0,IF(ISTEXT(AG569),H569*VALUE(SUBSTITUTE(AG569,"%",""))/100,H569*AG569))-Tabela1[[#This Row],[PESO EXPEDIDO2]]</f>
        <v>0</v>
      </c>
      <c r="AU569" s="37">
        <f t="shared" si="95"/>
        <v>2.2000000000000002</v>
      </c>
      <c r="AV569" s="37">
        <f t="shared" si="96"/>
        <v>2.2000000000000002</v>
      </c>
      <c r="AW569" s="37"/>
    </row>
    <row r="570" spans="1:49" ht="15.75" customHeight="1" x14ac:dyDescent="0.25">
      <c r="A570" s="1" t="s">
        <v>4472</v>
      </c>
      <c r="B570" s="21"/>
      <c r="C570" s="1">
        <v>1</v>
      </c>
      <c r="D570" s="1" t="s">
        <v>4473</v>
      </c>
      <c r="E570" s="7">
        <v>4358</v>
      </c>
      <c r="F570" s="7" t="s">
        <v>4414</v>
      </c>
      <c r="G570" s="1">
        <v>6.5</v>
      </c>
      <c r="H570" s="34">
        <f>Tabela1[[#This Row],[PESO UNI]]*Tabela1[[#This Row],[QTE]]</f>
        <v>6.5</v>
      </c>
      <c r="I570" s="7"/>
      <c r="J570" s="8" t="s">
        <v>2550</v>
      </c>
      <c r="K570" s="8" t="s">
        <v>45</v>
      </c>
      <c r="L570" s="9" t="s">
        <v>2551</v>
      </c>
      <c r="M570" s="10"/>
      <c r="N570" s="11" t="s">
        <v>38</v>
      </c>
      <c r="O570" s="12"/>
      <c r="P570" s="13"/>
      <c r="Q570" s="14">
        <f>Tabela1[[#This Row],[QTDE/ Fabricação]]-Tabela1[[#This Row],[QTE]]</f>
        <v>-1</v>
      </c>
      <c r="R570" s="18">
        <f t="shared" si="91"/>
        <v>6.5</v>
      </c>
      <c r="S570" s="18">
        <f t="shared" si="90"/>
        <v>6.5</v>
      </c>
      <c r="T570" s="19">
        <f t="shared" si="92"/>
        <v>0</v>
      </c>
      <c r="U570" s="16">
        <f>IFERROR(SUMIF('LISTA DE EMBARQUE'!B:B,MICRO!E:E,'LISTA DE EMBARQUE'!G:G),"")</f>
        <v>1</v>
      </c>
      <c r="V570" s="12">
        <f>IFERROR(VLOOKUP(Tabela1[[#This Row],[COD.MDE]],'LISTA DE EMBARQUE'!B:L,11,0),"")</f>
        <v>4</v>
      </c>
      <c r="W570" s="13" t="str">
        <f>IFERROR(COUNTIF(#REF!,Tabela1[[#This Row],[Colunas5]]),"")</f>
        <v/>
      </c>
      <c r="X570" s="14">
        <f>Tabela1[[#This Row],[QIANTIDADE EXPEDIDA]]*Tabela1[[#This Row],[PESO UNI]]</f>
        <v>6.5</v>
      </c>
      <c r="Y570" s="14">
        <f t="shared" si="93"/>
        <v>0</v>
      </c>
      <c r="Z570" s="20">
        <f>Tabela1[[#This Row],[PESO TOTAL]]-Tabela1[[#This Row],[Peso Expedido]]</f>
        <v>0</v>
      </c>
      <c r="AA570" s="17">
        <v>1</v>
      </c>
      <c r="AB570" s="33"/>
      <c r="AC570" s="33">
        <v>1</v>
      </c>
      <c r="AD570" s="33">
        <v>1</v>
      </c>
      <c r="AE570" s="33">
        <v>1</v>
      </c>
      <c r="AF570" s="33">
        <v>1</v>
      </c>
      <c r="AG570" s="33">
        <v>1</v>
      </c>
      <c r="AH570" s="33">
        <v>1</v>
      </c>
      <c r="AI570" s="33" t="s">
        <v>4512</v>
      </c>
      <c r="AJ570"/>
      <c r="AK570" t="str">
        <f>Tabela1[[#This Row],[Coluna1]]&amp;Tabela1[[#This Row],[PEDIDO]]</f>
        <v>P-190</v>
      </c>
      <c r="AL570"/>
      <c r="AM570"/>
      <c r="AN570"/>
      <c r="AO570" t="str">
        <f t="shared" si="94"/>
        <v xml:space="preserve"> P-073060-1/P190</v>
      </c>
      <c r="AP570" t="str">
        <f>Tabela1[[#This Row],[TAG]]&amp;Tabela1[[#This Row],[PEDIDO]]&amp;Tabela1[[#This Row],[PRODUTO]]</f>
        <v>P190P-190COMERCIAL</v>
      </c>
      <c r="AQ570" s="22" t="str">
        <f>Tabela1[[#This Row],[PRODUTO]]&amp;Tabela1[[#This Row],[TAG]]</f>
        <v>COMERCIALP190</v>
      </c>
      <c r="AR570" s="24" t="str">
        <f>Tabela1[[#This Row],[PEDIDO]]&amp;Tabela1[[#This Row],[PRODUTO]]</f>
        <v>P-190COMERCIAL</v>
      </c>
      <c r="AS570" s="37">
        <f>IF(AF570="",0,IF(ISTEXT(AF570),H570*VALUE(SUBSTITUTE(AF570,"%",""))/100,H570*AF570))-Tabela1[[#This Row],[PRONTO ACABADO2]]</f>
        <v>0</v>
      </c>
      <c r="AT570" s="37">
        <f>IF(AG570="",0,IF(ISTEXT(AG570),H570*VALUE(SUBSTITUTE(AG570,"%",""))/100,H570*AG570))-Tabela1[[#This Row],[PESO EXPEDIDO2]]</f>
        <v>0</v>
      </c>
      <c r="AU570" s="37">
        <f t="shared" si="95"/>
        <v>6.5</v>
      </c>
      <c r="AV570" s="37">
        <f t="shared" si="96"/>
        <v>6.5</v>
      </c>
      <c r="AW570" s="37"/>
    </row>
    <row r="571" spans="1:49" ht="15.75" customHeight="1" x14ac:dyDescent="0.25">
      <c r="A571" s="1" t="s">
        <v>4474</v>
      </c>
      <c r="B571" s="21"/>
      <c r="C571" s="1">
        <v>18</v>
      </c>
      <c r="D571" s="1" t="s">
        <v>4475</v>
      </c>
      <c r="E571" s="7">
        <v>4359</v>
      </c>
      <c r="F571" s="7" t="s">
        <v>4414</v>
      </c>
      <c r="G571" s="1">
        <v>0.02</v>
      </c>
      <c r="H571" s="34">
        <f>Tabela1[[#This Row],[PESO UNI]]*Tabela1[[#This Row],[QTE]]</f>
        <v>0.36</v>
      </c>
      <c r="I571" s="7"/>
      <c r="J571" s="8" t="s">
        <v>2550</v>
      </c>
      <c r="K571" s="8" t="s">
        <v>45</v>
      </c>
      <c r="L571" s="9" t="s">
        <v>2551</v>
      </c>
      <c r="M571" s="10"/>
      <c r="N571" s="11" t="s">
        <v>38</v>
      </c>
      <c r="O571" s="12"/>
      <c r="P571" s="13"/>
      <c r="Q571" s="14">
        <f>Tabela1[[#This Row],[QTDE/ Fabricação]]-Tabela1[[#This Row],[QTE]]</f>
        <v>-18</v>
      </c>
      <c r="R571" s="18">
        <f t="shared" si="91"/>
        <v>0.36</v>
      </c>
      <c r="S571" s="18">
        <f t="shared" si="90"/>
        <v>0.36</v>
      </c>
      <c r="T571" s="19">
        <f t="shared" si="92"/>
        <v>0</v>
      </c>
      <c r="U571" s="16">
        <f>IFERROR(SUMIF('LISTA DE EMBARQUE'!B:B,MICRO!E:E,'LISTA DE EMBARQUE'!G:G),"")</f>
        <v>18</v>
      </c>
      <c r="V571" s="12">
        <f>IFERROR(VLOOKUP(Tabela1[[#This Row],[COD.MDE]],'LISTA DE EMBARQUE'!B:L,11,0),"")</f>
        <v>4</v>
      </c>
      <c r="W571" s="13" t="str">
        <f>IFERROR(COUNTIF(#REF!,Tabela1[[#This Row],[Colunas5]]),"")</f>
        <v/>
      </c>
      <c r="X571" s="14">
        <f>Tabela1[[#This Row],[QIANTIDADE EXPEDIDA]]*Tabela1[[#This Row],[PESO UNI]]</f>
        <v>0.36</v>
      </c>
      <c r="Y571" s="14">
        <f t="shared" si="93"/>
        <v>0</v>
      </c>
      <c r="Z571" s="20">
        <f>Tabela1[[#This Row],[PESO TOTAL]]-Tabela1[[#This Row],[Peso Expedido]]</f>
        <v>0</v>
      </c>
      <c r="AA571" s="17">
        <v>1</v>
      </c>
      <c r="AB571" s="33"/>
      <c r="AC571" s="33">
        <v>1</v>
      </c>
      <c r="AD571" s="33">
        <v>1</v>
      </c>
      <c r="AE571" s="33">
        <v>1</v>
      </c>
      <c r="AF571" s="33">
        <v>1</v>
      </c>
      <c r="AG571" s="33">
        <v>1</v>
      </c>
      <c r="AH571" s="33">
        <v>1</v>
      </c>
      <c r="AI571" s="33" t="s">
        <v>4512</v>
      </c>
      <c r="AJ571"/>
      <c r="AK571" t="str">
        <f>Tabela1[[#This Row],[Coluna1]]&amp;Tabela1[[#This Row],[PEDIDO]]</f>
        <v>P-190</v>
      </c>
      <c r="AL571"/>
      <c r="AM571"/>
      <c r="AN571"/>
      <c r="AO571" t="str">
        <f t="shared" si="94"/>
        <v>(CONFORME ET:BBR-D-DF-1073-MDE-K-0017)/P190</v>
      </c>
      <c r="AP571" t="str">
        <f>Tabela1[[#This Row],[TAG]]&amp;Tabela1[[#This Row],[PEDIDO]]&amp;Tabela1[[#This Row],[PRODUTO]]</f>
        <v>P190P-190COMERCIAL</v>
      </c>
      <c r="AQ571" s="22" t="str">
        <f>Tabela1[[#This Row],[PRODUTO]]&amp;Tabela1[[#This Row],[TAG]]</f>
        <v>COMERCIALP190</v>
      </c>
      <c r="AR571" s="24" t="str">
        <f>Tabela1[[#This Row],[PEDIDO]]&amp;Tabela1[[#This Row],[PRODUTO]]</f>
        <v>P-190COMERCIAL</v>
      </c>
      <c r="AS571" s="37">
        <f>IF(AF571="",0,IF(ISTEXT(AF571),H571*VALUE(SUBSTITUTE(AF571,"%",""))/100,H571*AF571))-Tabela1[[#This Row],[PRONTO ACABADO2]]</f>
        <v>0</v>
      </c>
      <c r="AT571" s="37">
        <f>IF(AG571="",0,IF(ISTEXT(AG571),H571*VALUE(SUBSTITUTE(AG571,"%",""))/100,H571*AG571))-Tabela1[[#This Row],[PESO EXPEDIDO2]]</f>
        <v>0</v>
      </c>
      <c r="AU571" s="37">
        <f t="shared" si="95"/>
        <v>0.36</v>
      </c>
      <c r="AV571" s="37">
        <f t="shared" si="96"/>
        <v>0.36</v>
      </c>
      <c r="AW571" s="37"/>
    </row>
    <row r="572" spans="1:49" ht="15.75" customHeight="1" x14ac:dyDescent="0.25">
      <c r="A572" s="1" t="s">
        <v>4474</v>
      </c>
      <c r="B572" s="21"/>
      <c r="C572" s="1">
        <v>18</v>
      </c>
      <c r="D572" s="1" t="s">
        <v>4476</v>
      </c>
      <c r="E572" s="7">
        <v>4360</v>
      </c>
      <c r="F572" s="7" t="s">
        <v>4414</v>
      </c>
      <c r="G572" s="1">
        <v>0.03</v>
      </c>
      <c r="H572" s="34">
        <f>Tabela1[[#This Row],[PESO UNI]]*Tabela1[[#This Row],[QTE]]</f>
        <v>0.54</v>
      </c>
      <c r="I572" s="7"/>
      <c r="J572" s="8" t="s">
        <v>2550</v>
      </c>
      <c r="K572" s="8" t="s">
        <v>45</v>
      </c>
      <c r="L572" s="9" t="s">
        <v>2551</v>
      </c>
      <c r="M572" s="10"/>
      <c r="N572" s="11" t="s">
        <v>38</v>
      </c>
      <c r="O572" s="12"/>
      <c r="P572" s="13"/>
      <c r="Q572" s="14">
        <f>Tabela1[[#This Row],[QTDE/ Fabricação]]-Tabela1[[#This Row],[QTE]]</f>
        <v>-18</v>
      </c>
      <c r="R572" s="18">
        <f t="shared" si="91"/>
        <v>0.54</v>
      </c>
      <c r="S572" s="18">
        <f t="shared" si="90"/>
        <v>0.54</v>
      </c>
      <c r="T572" s="19">
        <f t="shared" si="92"/>
        <v>0</v>
      </c>
      <c r="U572" s="16">
        <f>IFERROR(SUMIF('LISTA DE EMBARQUE'!B:B,MICRO!E:E,'LISTA DE EMBARQUE'!G:G),"")</f>
        <v>18</v>
      </c>
      <c r="V572" s="12">
        <f>IFERROR(VLOOKUP(Tabela1[[#This Row],[COD.MDE]],'LISTA DE EMBARQUE'!B:L,11,0),"")</f>
        <v>4</v>
      </c>
      <c r="W572" s="13" t="str">
        <f>IFERROR(COUNTIF(#REF!,Tabela1[[#This Row],[Colunas5]]),"")</f>
        <v/>
      </c>
      <c r="X572" s="14">
        <f>Tabela1[[#This Row],[QIANTIDADE EXPEDIDA]]*Tabela1[[#This Row],[PESO UNI]]</f>
        <v>0.54</v>
      </c>
      <c r="Y572" s="14">
        <f t="shared" si="93"/>
        <v>0</v>
      </c>
      <c r="Z572" s="20">
        <f>Tabela1[[#This Row],[PESO TOTAL]]-Tabela1[[#This Row],[Peso Expedido]]</f>
        <v>0</v>
      </c>
      <c r="AA572" s="17">
        <v>1</v>
      </c>
      <c r="AB572" s="33"/>
      <c r="AC572" s="33">
        <v>1</v>
      </c>
      <c r="AD572" s="33">
        <v>1</v>
      </c>
      <c r="AE572" s="33">
        <v>1</v>
      </c>
      <c r="AF572" s="33">
        <v>1</v>
      </c>
      <c r="AG572" s="33">
        <v>1</v>
      </c>
      <c r="AH572" s="33">
        <v>1</v>
      </c>
      <c r="AI572" s="33" t="s">
        <v>4512</v>
      </c>
      <c r="AJ572"/>
      <c r="AK572" t="str">
        <f>Tabela1[[#This Row],[Coluna1]]&amp;Tabela1[[#This Row],[PEDIDO]]</f>
        <v>P-190</v>
      </c>
      <c r="AL572"/>
      <c r="AM572"/>
      <c r="AN572"/>
      <c r="AO572" t="str">
        <f t="shared" si="94"/>
        <v>(CONFORME ET:BBR-D-DF-1073-MDE-K-0017)/P190</v>
      </c>
      <c r="AP572" t="str">
        <f>Tabela1[[#This Row],[TAG]]&amp;Tabela1[[#This Row],[PEDIDO]]&amp;Tabela1[[#This Row],[PRODUTO]]</f>
        <v>P190P-190COMERCIAL</v>
      </c>
      <c r="AQ572" s="22" t="str">
        <f>Tabela1[[#This Row],[PRODUTO]]&amp;Tabela1[[#This Row],[TAG]]</f>
        <v>COMERCIALP190</v>
      </c>
      <c r="AR572" s="24" t="str">
        <f>Tabela1[[#This Row],[PEDIDO]]&amp;Tabela1[[#This Row],[PRODUTO]]</f>
        <v>P-190COMERCIAL</v>
      </c>
      <c r="AS572" s="37">
        <f>IF(AF572="",0,IF(ISTEXT(AF572),H572*VALUE(SUBSTITUTE(AF572,"%",""))/100,H572*AF572))-Tabela1[[#This Row],[PRONTO ACABADO2]]</f>
        <v>0</v>
      </c>
      <c r="AT572" s="37">
        <f>IF(AG572="",0,IF(ISTEXT(AG572),H572*VALUE(SUBSTITUTE(AG572,"%",""))/100,H572*AG572))-Tabela1[[#This Row],[PESO EXPEDIDO2]]</f>
        <v>0</v>
      </c>
      <c r="AU572" s="37">
        <f t="shared" si="95"/>
        <v>0.54</v>
      </c>
      <c r="AV572" s="37">
        <f t="shared" si="96"/>
        <v>0.54</v>
      </c>
      <c r="AW572" s="37"/>
    </row>
    <row r="573" spans="1:49" ht="15.75" customHeight="1" x14ac:dyDescent="0.25">
      <c r="A573" s="1" t="s">
        <v>4474</v>
      </c>
      <c r="B573" s="21"/>
      <c r="C573" s="1">
        <v>5</v>
      </c>
      <c r="D573" s="1" t="s">
        <v>4477</v>
      </c>
      <c r="E573" s="7">
        <v>4361</v>
      </c>
      <c r="F573" s="7" t="s">
        <v>4414</v>
      </c>
      <c r="G573" s="1">
        <v>0.02</v>
      </c>
      <c r="H573" s="34">
        <f>Tabela1[[#This Row],[PESO UNI]]*Tabela1[[#This Row],[QTE]]</f>
        <v>0.1</v>
      </c>
      <c r="I573" s="7"/>
      <c r="J573" s="8" t="s">
        <v>2550</v>
      </c>
      <c r="K573" s="8" t="s">
        <v>45</v>
      </c>
      <c r="L573" s="9" t="s">
        <v>2551</v>
      </c>
      <c r="M573" s="10"/>
      <c r="N573" s="11" t="s">
        <v>38</v>
      </c>
      <c r="O573" s="12"/>
      <c r="P573" s="13"/>
      <c r="Q573" s="14">
        <f>Tabela1[[#This Row],[QTDE/ Fabricação]]-Tabela1[[#This Row],[QTE]]</f>
        <v>-5</v>
      </c>
      <c r="R573" s="18">
        <f t="shared" si="91"/>
        <v>0.1</v>
      </c>
      <c r="S573" s="18">
        <f t="shared" si="90"/>
        <v>0.1</v>
      </c>
      <c r="T573" s="19">
        <f t="shared" si="92"/>
        <v>0</v>
      </c>
      <c r="U573" s="16">
        <f>IFERROR(SUMIF('LISTA DE EMBARQUE'!B:B,MICRO!E:E,'LISTA DE EMBARQUE'!G:G),"")</f>
        <v>5</v>
      </c>
      <c r="V573" s="12">
        <f>IFERROR(VLOOKUP(Tabela1[[#This Row],[COD.MDE]],'LISTA DE EMBARQUE'!B:L,11,0),"")</f>
        <v>4</v>
      </c>
      <c r="W573" s="13" t="str">
        <f>IFERROR(COUNTIF(#REF!,Tabela1[[#This Row],[Colunas5]]),"")</f>
        <v/>
      </c>
      <c r="X573" s="14">
        <f>Tabela1[[#This Row],[QIANTIDADE EXPEDIDA]]*Tabela1[[#This Row],[PESO UNI]]</f>
        <v>0.1</v>
      </c>
      <c r="Y573" s="14">
        <f t="shared" si="93"/>
        <v>0</v>
      </c>
      <c r="Z573" s="20">
        <f>Tabela1[[#This Row],[PESO TOTAL]]-Tabela1[[#This Row],[Peso Expedido]]</f>
        <v>0</v>
      </c>
      <c r="AA573" s="17">
        <v>1</v>
      </c>
      <c r="AB573" s="33"/>
      <c r="AC573" s="33">
        <v>1</v>
      </c>
      <c r="AD573" s="33">
        <v>1</v>
      </c>
      <c r="AE573" s="33">
        <v>1</v>
      </c>
      <c r="AF573" s="33">
        <v>1</v>
      </c>
      <c r="AG573" s="33">
        <v>1</v>
      </c>
      <c r="AH573" s="33">
        <v>1</v>
      </c>
      <c r="AI573" s="33" t="s">
        <v>4512</v>
      </c>
      <c r="AJ573"/>
      <c r="AK573" t="str">
        <f>Tabela1[[#This Row],[Coluna1]]&amp;Tabela1[[#This Row],[PEDIDO]]</f>
        <v>P-190</v>
      </c>
      <c r="AL573"/>
      <c r="AM573"/>
      <c r="AN573"/>
      <c r="AO573" t="str">
        <f t="shared" si="94"/>
        <v>(CONFORME ET:BBR-D-DF-1073-MDE-K-0017)/P190</v>
      </c>
      <c r="AP573" t="str">
        <f>Tabela1[[#This Row],[TAG]]&amp;Tabela1[[#This Row],[PEDIDO]]&amp;Tabela1[[#This Row],[PRODUTO]]</f>
        <v>P190P-190COMERCIAL</v>
      </c>
      <c r="AQ573" s="22" t="str">
        <f>Tabela1[[#This Row],[PRODUTO]]&amp;Tabela1[[#This Row],[TAG]]</f>
        <v>COMERCIALP190</v>
      </c>
      <c r="AR573" s="24" t="str">
        <f>Tabela1[[#This Row],[PEDIDO]]&amp;Tabela1[[#This Row],[PRODUTO]]</f>
        <v>P-190COMERCIAL</v>
      </c>
      <c r="AS573" s="37">
        <f>IF(AF573="",0,IF(ISTEXT(AF573),H573*VALUE(SUBSTITUTE(AF573,"%",""))/100,H573*AF573))-Tabela1[[#This Row],[PRONTO ACABADO2]]</f>
        <v>0</v>
      </c>
      <c r="AT573" s="37">
        <f>IF(AG573="",0,IF(ISTEXT(AG573),H573*VALUE(SUBSTITUTE(AG573,"%",""))/100,H573*AG573))-Tabela1[[#This Row],[PESO EXPEDIDO2]]</f>
        <v>0</v>
      </c>
      <c r="AU573" s="37">
        <f t="shared" si="95"/>
        <v>0.1</v>
      </c>
      <c r="AV573" s="37">
        <f t="shared" si="96"/>
        <v>0.1</v>
      </c>
      <c r="AW573" s="37"/>
    </row>
    <row r="574" spans="1:49" ht="15.75" customHeight="1" x14ac:dyDescent="0.25">
      <c r="A574" s="1" t="s">
        <v>4474</v>
      </c>
      <c r="B574" s="21"/>
      <c r="C574" s="1">
        <v>3</v>
      </c>
      <c r="D574" s="1" t="s">
        <v>4478</v>
      </c>
      <c r="E574" s="7">
        <v>4362</v>
      </c>
      <c r="F574" s="7" t="s">
        <v>4414</v>
      </c>
      <c r="G574" s="1">
        <v>0.04</v>
      </c>
      <c r="H574" s="34">
        <f>Tabela1[[#This Row],[PESO UNI]]*Tabela1[[#This Row],[QTE]]</f>
        <v>0.12</v>
      </c>
      <c r="I574" s="7"/>
      <c r="J574" s="8" t="s">
        <v>2550</v>
      </c>
      <c r="K574" s="8" t="s">
        <v>45</v>
      </c>
      <c r="L574" s="9" t="s">
        <v>2551</v>
      </c>
      <c r="M574" s="10"/>
      <c r="N574" s="11" t="s">
        <v>38</v>
      </c>
      <c r="O574" s="12"/>
      <c r="P574" s="13"/>
      <c r="Q574" s="14">
        <f>Tabela1[[#This Row],[QTDE/ Fabricação]]-Tabela1[[#This Row],[QTE]]</f>
        <v>-3</v>
      </c>
      <c r="R574" s="18">
        <f t="shared" si="91"/>
        <v>0.12</v>
      </c>
      <c r="S574" s="18">
        <f t="shared" ref="S574:S607" si="97">IFERROR(H574*AG574,"")</f>
        <v>0.12</v>
      </c>
      <c r="T574" s="19">
        <f t="shared" si="92"/>
        <v>0</v>
      </c>
      <c r="U574" s="16">
        <f>IFERROR(SUMIF('LISTA DE EMBARQUE'!B:B,MICRO!E:E,'LISTA DE EMBARQUE'!G:G),"")</f>
        <v>3</v>
      </c>
      <c r="V574" s="12">
        <f>IFERROR(VLOOKUP(Tabela1[[#This Row],[COD.MDE]],'LISTA DE EMBARQUE'!B:L,11,0),"")</f>
        <v>4</v>
      </c>
      <c r="W574" s="13" t="str">
        <f>IFERROR(COUNTIF(#REF!,Tabela1[[#This Row],[Colunas5]]),"")</f>
        <v/>
      </c>
      <c r="X574" s="14">
        <f>Tabela1[[#This Row],[QIANTIDADE EXPEDIDA]]*Tabela1[[#This Row],[PESO UNI]]</f>
        <v>0.12</v>
      </c>
      <c r="Y574" s="14">
        <f t="shared" si="93"/>
        <v>0</v>
      </c>
      <c r="Z574" s="20">
        <f>Tabela1[[#This Row],[PESO TOTAL]]-Tabela1[[#This Row],[Peso Expedido]]</f>
        <v>0</v>
      </c>
      <c r="AA574" s="17">
        <v>1</v>
      </c>
      <c r="AB574" s="33"/>
      <c r="AC574" s="33">
        <v>1</v>
      </c>
      <c r="AD574" s="33">
        <v>1</v>
      </c>
      <c r="AE574" s="33">
        <v>1</v>
      </c>
      <c r="AF574" s="33">
        <v>1</v>
      </c>
      <c r="AG574" s="33">
        <v>1</v>
      </c>
      <c r="AH574" s="33">
        <v>1</v>
      </c>
      <c r="AI574" s="33" t="s">
        <v>4512</v>
      </c>
      <c r="AJ574"/>
      <c r="AK574" t="str">
        <f>Tabela1[[#This Row],[Coluna1]]&amp;Tabela1[[#This Row],[PEDIDO]]</f>
        <v>P-190</v>
      </c>
      <c r="AL574"/>
      <c r="AM574"/>
      <c r="AN574"/>
      <c r="AO574" t="str">
        <f t="shared" si="94"/>
        <v>(CONFORME ET:BBR-D-DF-1073-MDE-K-0017)/P190</v>
      </c>
      <c r="AP574" t="str">
        <f>Tabela1[[#This Row],[TAG]]&amp;Tabela1[[#This Row],[PEDIDO]]&amp;Tabela1[[#This Row],[PRODUTO]]</f>
        <v>P190P-190COMERCIAL</v>
      </c>
      <c r="AQ574" s="22" t="str">
        <f>Tabela1[[#This Row],[PRODUTO]]&amp;Tabela1[[#This Row],[TAG]]</f>
        <v>COMERCIALP190</v>
      </c>
      <c r="AR574" s="24" t="str">
        <f>Tabela1[[#This Row],[PEDIDO]]&amp;Tabela1[[#This Row],[PRODUTO]]</f>
        <v>P-190COMERCIAL</v>
      </c>
      <c r="AS574" s="37">
        <f>IF(AF574="",0,IF(ISTEXT(AF574),H574*VALUE(SUBSTITUTE(AF574,"%",""))/100,H574*AF574))-Tabela1[[#This Row],[PRONTO ACABADO2]]</f>
        <v>0</v>
      </c>
      <c r="AT574" s="37">
        <f>IF(AG574="",0,IF(ISTEXT(AG574),H574*VALUE(SUBSTITUTE(AG574,"%",""))/100,H574*AG574))-Tabela1[[#This Row],[PESO EXPEDIDO2]]</f>
        <v>0</v>
      </c>
      <c r="AU574" s="37">
        <f t="shared" si="95"/>
        <v>0.12</v>
      </c>
      <c r="AV574" s="37">
        <f t="shared" si="96"/>
        <v>0.12</v>
      </c>
      <c r="AW574" s="37"/>
    </row>
    <row r="575" spans="1:49" ht="15.75" customHeight="1" x14ac:dyDescent="0.25">
      <c r="A575" s="1" t="s">
        <v>4474</v>
      </c>
      <c r="B575" s="21"/>
      <c r="C575" s="1">
        <v>3</v>
      </c>
      <c r="D575" s="1" t="s">
        <v>4479</v>
      </c>
      <c r="E575" s="7">
        <v>4363</v>
      </c>
      <c r="F575" s="7" t="s">
        <v>4414</v>
      </c>
      <c r="G575" s="1">
        <v>0.05</v>
      </c>
      <c r="H575" s="34">
        <f>Tabela1[[#This Row],[PESO UNI]]*Tabela1[[#This Row],[QTE]]</f>
        <v>0.15000000000000002</v>
      </c>
      <c r="I575" s="7"/>
      <c r="J575" s="8" t="s">
        <v>2550</v>
      </c>
      <c r="K575" s="8" t="s">
        <v>45</v>
      </c>
      <c r="L575" s="9" t="s">
        <v>2551</v>
      </c>
      <c r="M575" s="10"/>
      <c r="N575" s="11" t="s">
        <v>38</v>
      </c>
      <c r="O575" s="12"/>
      <c r="P575" s="13"/>
      <c r="Q575" s="14">
        <f>Tabela1[[#This Row],[QTDE/ Fabricação]]-Tabela1[[#This Row],[QTE]]</f>
        <v>-3</v>
      </c>
      <c r="R575" s="18">
        <f t="shared" si="91"/>
        <v>0.15000000000000002</v>
      </c>
      <c r="S575" s="18">
        <f t="shared" si="97"/>
        <v>0.15000000000000002</v>
      </c>
      <c r="T575" s="19">
        <f t="shared" si="92"/>
        <v>0</v>
      </c>
      <c r="U575" s="16">
        <f>IFERROR(SUMIF('LISTA DE EMBARQUE'!B:B,MICRO!E:E,'LISTA DE EMBARQUE'!G:G),"")</f>
        <v>3</v>
      </c>
      <c r="V575" s="12">
        <f>IFERROR(VLOOKUP(Tabela1[[#This Row],[COD.MDE]],'LISTA DE EMBARQUE'!B:L,11,0),"")</f>
        <v>4</v>
      </c>
      <c r="W575" s="13" t="str">
        <f>IFERROR(COUNTIF(#REF!,Tabela1[[#This Row],[Colunas5]]),"")</f>
        <v/>
      </c>
      <c r="X575" s="14">
        <f>Tabela1[[#This Row],[QIANTIDADE EXPEDIDA]]*Tabela1[[#This Row],[PESO UNI]]</f>
        <v>0.15000000000000002</v>
      </c>
      <c r="Y575" s="14">
        <f t="shared" si="93"/>
        <v>0</v>
      </c>
      <c r="Z575" s="20">
        <f>Tabela1[[#This Row],[PESO TOTAL]]-Tabela1[[#This Row],[Peso Expedido]]</f>
        <v>0</v>
      </c>
      <c r="AA575" s="17">
        <v>1</v>
      </c>
      <c r="AB575" s="33"/>
      <c r="AC575" s="33">
        <v>1</v>
      </c>
      <c r="AD575" s="33">
        <v>1</v>
      </c>
      <c r="AE575" s="33">
        <v>1</v>
      </c>
      <c r="AF575" s="33">
        <v>1</v>
      </c>
      <c r="AG575" s="33">
        <v>1</v>
      </c>
      <c r="AH575" s="33">
        <v>1</v>
      </c>
      <c r="AI575" s="33" t="s">
        <v>4512</v>
      </c>
      <c r="AJ575"/>
      <c r="AK575" t="str">
        <f>Tabela1[[#This Row],[Coluna1]]&amp;Tabela1[[#This Row],[PEDIDO]]</f>
        <v>P-190</v>
      </c>
      <c r="AL575"/>
      <c r="AM575"/>
      <c r="AN575"/>
      <c r="AO575" t="str">
        <f t="shared" si="94"/>
        <v>(CONFORME ET:BBR-D-DF-1073-MDE-K-0017)/P190</v>
      </c>
      <c r="AP575" t="str">
        <f>Tabela1[[#This Row],[TAG]]&amp;Tabela1[[#This Row],[PEDIDO]]&amp;Tabela1[[#This Row],[PRODUTO]]</f>
        <v>P190P-190COMERCIAL</v>
      </c>
      <c r="AQ575" s="22" t="str">
        <f>Tabela1[[#This Row],[PRODUTO]]&amp;Tabela1[[#This Row],[TAG]]</f>
        <v>COMERCIALP190</v>
      </c>
      <c r="AR575" s="24" t="str">
        <f>Tabela1[[#This Row],[PEDIDO]]&amp;Tabela1[[#This Row],[PRODUTO]]</f>
        <v>P-190COMERCIAL</v>
      </c>
      <c r="AS575" s="37">
        <f>IF(AF575="",0,IF(ISTEXT(AF575),H575*VALUE(SUBSTITUTE(AF575,"%",""))/100,H575*AF575))-Tabela1[[#This Row],[PRONTO ACABADO2]]</f>
        <v>0</v>
      </c>
      <c r="AT575" s="37">
        <f>IF(AG575="",0,IF(ISTEXT(AG575),H575*VALUE(SUBSTITUTE(AG575,"%",""))/100,H575*AG575))-Tabela1[[#This Row],[PESO EXPEDIDO2]]</f>
        <v>0</v>
      </c>
      <c r="AU575" s="37">
        <f t="shared" si="95"/>
        <v>0.15000000000000002</v>
      </c>
      <c r="AV575" s="37">
        <f t="shared" si="96"/>
        <v>0.15000000000000002</v>
      </c>
      <c r="AW575" s="37"/>
    </row>
    <row r="576" spans="1:49" ht="15.75" customHeight="1" x14ac:dyDescent="0.25">
      <c r="A576" s="1" t="s">
        <v>4474</v>
      </c>
      <c r="B576" s="21"/>
      <c r="C576" s="1">
        <v>10</v>
      </c>
      <c r="D576" s="1" t="s">
        <v>4480</v>
      </c>
      <c r="E576" s="7">
        <v>4364</v>
      </c>
      <c r="F576" s="7" t="s">
        <v>4414</v>
      </c>
      <c r="G576" s="1">
        <v>0.05</v>
      </c>
      <c r="H576" s="34">
        <f>Tabela1[[#This Row],[PESO UNI]]*Tabela1[[#This Row],[QTE]]</f>
        <v>0.5</v>
      </c>
      <c r="I576" s="7"/>
      <c r="J576" s="8" t="s">
        <v>2550</v>
      </c>
      <c r="K576" s="8" t="s">
        <v>45</v>
      </c>
      <c r="L576" s="9" t="s">
        <v>2551</v>
      </c>
      <c r="M576" s="10"/>
      <c r="N576" s="11" t="s">
        <v>38</v>
      </c>
      <c r="O576" s="12"/>
      <c r="P576" s="13"/>
      <c r="Q576" s="14">
        <f>Tabela1[[#This Row],[QTDE/ Fabricação]]-Tabela1[[#This Row],[QTE]]</f>
        <v>-10</v>
      </c>
      <c r="R576" s="18">
        <f t="shared" si="91"/>
        <v>0.5</v>
      </c>
      <c r="S576" s="18">
        <f t="shared" si="97"/>
        <v>0.5</v>
      </c>
      <c r="T576" s="19">
        <f t="shared" si="92"/>
        <v>0</v>
      </c>
      <c r="U576" s="16">
        <f>IFERROR(SUMIF('LISTA DE EMBARQUE'!B:B,MICRO!E:E,'LISTA DE EMBARQUE'!G:G),"")</f>
        <v>10</v>
      </c>
      <c r="V576" s="12">
        <f>IFERROR(VLOOKUP(Tabela1[[#This Row],[COD.MDE]],'LISTA DE EMBARQUE'!B:L,11,0),"")</f>
        <v>4</v>
      </c>
      <c r="W576" s="13" t="str">
        <f>IFERROR(COUNTIF(#REF!,Tabela1[[#This Row],[Colunas5]]),"")</f>
        <v/>
      </c>
      <c r="X576" s="14">
        <f>Tabela1[[#This Row],[QIANTIDADE EXPEDIDA]]*Tabela1[[#This Row],[PESO UNI]]</f>
        <v>0.5</v>
      </c>
      <c r="Y576" s="14">
        <f t="shared" si="93"/>
        <v>0</v>
      </c>
      <c r="Z576" s="20">
        <f>Tabela1[[#This Row],[PESO TOTAL]]-Tabela1[[#This Row],[Peso Expedido]]</f>
        <v>0</v>
      </c>
      <c r="AA576" s="17">
        <v>1</v>
      </c>
      <c r="AB576" s="33"/>
      <c r="AC576" s="33">
        <v>1</v>
      </c>
      <c r="AD576" s="33">
        <v>1</v>
      </c>
      <c r="AE576" s="33">
        <v>1</v>
      </c>
      <c r="AF576" s="33">
        <v>1</v>
      </c>
      <c r="AG576" s="33">
        <v>1</v>
      </c>
      <c r="AH576" s="33">
        <v>1</v>
      </c>
      <c r="AI576" s="33" t="s">
        <v>4512</v>
      </c>
      <c r="AJ576"/>
      <c r="AK576" t="str">
        <f>Tabela1[[#This Row],[Coluna1]]&amp;Tabela1[[#This Row],[PEDIDO]]</f>
        <v>P-190</v>
      </c>
      <c r="AL576"/>
      <c r="AM576"/>
      <c r="AN576"/>
      <c r="AO576" t="str">
        <f t="shared" si="94"/>
        <v>(CONFORME ET:BBR-D-DF-1073-MDE-K-0017)/P190</v>
      </c>
      <c r="AP576" t="str">
        <f>Tabela1[[#This Row],[TAG]]&amp;Tabela1[[#This Row],[PEDIDO]]&amp;Tabela1[[#This Row],[PRODUTO]]</f>
        <v>P190P-190COMERCIAL</v>
      </c>
      <c r="AQ576" s="22" t="str">
        <f>Tabela1[[#This Row],[PRODUTO]]&amp;Tabela1[[#This Row],[TAG]]</f>
        <v>COMERCIALP190</v>
      </c>
      <c r="AR576" s="24" t="str">
        <f>Tabela1[[#This Row],[PEDIDO]]&amp;Tabela1[[#This Row],[PRODUTO]]</f>
        <v>P-190COMERCIAL</v>
      </c>
      <c r="AS576" s="37">
        <f>IF(AF576="",0,IF(ISTEXT(AF576),H576*VALUE(SUBSTITUTE(AF576,"%",""))/100,H576*AF576))-Tabela1[[#This Row],[PRONTO ACABADO2]]</f>
        <v>0</v>
      </c>
      <c r="AT576" s="37">
        <f>IF(AG576="",0,IF(ISTEXT(AG576),H576*VALUE(SUBSTITUTE(AG576,"%",""))/100,H576*AG576))-Tabela1[[#This Row],[PESO EXPEDIDO2]]</f>
        <v>0</v>
      </c>
      <c r="AU576" s="37">
        <f t="shared" si="95"/>
        <v>0.5</v>
      </c>
      <c r="AV576" s="37">
        <f t="shared" si="96"/>
        <v>0.5</v>
      </c>
      <c r="AW576" s="37"/>
    </row>
    <row r="577" spans="1:49" ht="15.75" customHeight="1" x14ac:dyDescent="0.25">
      <c r="A577" s="1" t="s">
        <v>4474</v>
      </c>
      <c r="B577" s="21"/>
      <c r="C577" s="1">
        <v>10</v>
      </c>
      <c r="D577" s="1" t="s">
        <v>4481</v>
      </c>
      <c r="E577" s="7">
        <v>4365</v>
      </c>
      <c r="F577" s="7" t="s">
        <v>4414</v>
      </c>
      <c r="G577" s="1">
        <v>0.06</v>
      </c>
      <c r="H577" s="34">
        <f>Tabela1[[#This Row],[PESO UNI]]*Tabela1[[#This Row],[QTE]]</f>
        <v>0.6</v>
      </c>
      <c r="I577" s="7"/>
      <c r="J577" s="8" t="s">
        <v>2550</v>
      </c>
      <c r="K577" s="8" t="s">
        <v>45</v>
      </c>
      <c r="L577" s="9" t="s">
        <v>2551</v>
      </c>
      <c r="M577" s="10"/>
      <c r="N577" s="11" t="s">
        <v>38</v>
      </c>
      <c r="O577" s="12"/>
      <c r="P577" s="13"/>
      <c r="Q577" s="14">
        <f>Tabela1[[#This Row],[QTDE/ Fabricação]]-Tabela1[[#This Row],[QTE]]</f>
        <v>-10</v>
      </c>
      <c r="R577" s="18">
        <f t="shared" ref="R577:R607" si="98">IFERROR(H577*((AA577*0.25)+(AC577*0.25)+(AD577*0.225)+(AE577*0.225)+(AF577*0.05)),"")</f>
        <v>0.6</v>
      </c>
      <c r="S577" s="18">
        <f t="shared" si="97"/>
        <v>0.6</v>
      </c>
      <c r="T577" s="19">
        <f t="shared" ref="T577:T607" si="99">IFERROR(S577-H577,"")</f>
        <v>0</v>
      </c>
      <c r="U577" s="16">
        <f>IFERROR(SUMIF('LISTA DE EMBARQUE'!B:B,MICRO!E:E,'LISTA DE EMBARQUE'!G:G),"")</f>
        <v>10</v>
      </c>
      <c r="V577" s="12">
        <f>IFERROR(VLOOKUP(Tabela1[[#This Row],[COD.MDE]],'LISTA DE EMBARQUE'!B:L,11,0),"")</f>
        <v>4</v>
      </c>
      <c r="W577" s="13" t="str">
        <f>IFERROR(COUNTIF(#REF!,Tabela1[[#This Row],[Colunas5]]),"")</f>
        <v/>
      </c>
      <c r="X577" s="14">
        <f>Tabela1[[#This Row],[QIANTIDADE EXPEDIDA]]*Tabela1[[#This Row],[PESO UNI]]</f>
        <v>0.6</v>
      </c>
      <c r="Y577" s="14">
        <f t="shared" ref="Y577:Y607" si="100">U577-C577</f>
        <v>0</v>
      </c>
      <c r="Z577" s="20">
        <f>Tabela1[[#This Row],[PESO TOTAL]]-Tabela1[[#This Row],[Peso Expedido]]</f>
        <v>0</v>
      </c>
      <c r="AA577" s="17">
        <v>1</v>
      </c>
      <c r="AB577" s="33"/>
      <c r="AC577" s="33">
        <v>1</v>
      </c>
      <c r="AD577" s="33">
        <v>1</v>
      </c>
      <c r="AE577" s="33">
        <v>1</v>
      </c>
      <c r="AF577" s="33">
        <v>1</v>
      </c>
      <c r="AG577" s="33">
        <v>1</v>
      </c>
      <c r="AH577" s="33">
        <v>1</v>
      </c>
      <c r="AI577" s="33" t="s">
        <v>4512</v>
      </c>
      <c r="AJ577"/>
      <c r="AK577" t="str">
        <f>Tabela1[[#This Row],[Coluna1]]&amp;Tabela1[[#This Row],[PEDIDO]]</f>
        <v>P-190</v>
      </c>
      <c r="AL577"/>
      <c r="AM577"/>
      <c r="AN577"/>
      <c r="AO577" t="str">
        <f t="shared" ref="AO577:AO607" si="101">A577&amp;"/"&amp;J577</f>
        <v>(CONFORME ET:BBR-D-DF-1073-MDE-K-0017)/P190</v>
      </c>
      <c r="AP577" t="str">
        <f>Tabela1[[#This Row],[TAG]]&amp;Tabela1[[#This Row],[PEDIDO]]&amp;Tabela1[[#This Row],[PRODUTO]]</f>
        <v>P190P-190COMERCIAL</v>
      </c>
      <c r="AQ577" s="22" t="str">
        <f>Tabela1[[#This Row],[PRODUTO]]&amp;Tabela1[[#This Row],[TAG]]</f>
        <v>COMERCIALP190</v>
      </c>
      <c r="AR577" s="24" t="str">
        <f>Tabela1[[#This Row],[PEDIDO]]&amp;Tabela1[[#This Row],[PRODUTO]]</f>
        <v>P-190COMERCIAL</v>
      </c>
      <c r="AS577" s="37">
        <f>IF(AF577="",0,IF(ISTEXT(AF577),H577*VALUE(SUBSTITUTE(AF577,"%",""))/100,H577*AF577))-Tabela1[[#This Row],[PRONTO ACABADO2]]</f>
        <v>0</v>
      </c>
      <c r="AT577" s="37">
        <f>IF(AG577="",0,IF(ISTEXT(AG577),H577*VALUE(SUBSTITUTE(AG577,"%",""))/100,H577*AG577))-Tabela1[[#This Row],[PESO EXPEDIDO2]]</f>
        <v>0</v>
      </c>
      <c r="AU577" s="37">
        <f t="shared" ref="AU577:AU607" si="102">IF(AH577="",0,IF(ISTEXT(AH577),H577*VALUE(SUBSTITUTE(AH577,"%",""))/100,H577*AH577))</f>
        <v>0.6</v>
      </c>
      <c r="AV577" s="37">
        <f t="shared" ref="AV577:AV607" si="103">IF(AG577="",0,IF(ISTEXT(AG577),H577*VALUE(SUBSTITUTE(AG577,"%",""))/100,H577*AG577))</f>
        <v>0.6</v>
      </c>
      <c r="AW577" s="37"/>
    </row>
    <row r="578" spans="1:49" ht="15.75" customHeight="1" x14ac:dyDescent="0.25">
      <c r="A578" s="1" t="s">
        <v>4474</v>
      </c>
      <c r="B578" s="21"/>
      <c r="C578" s="1">
        <v>2</v>
      </c>
      <c r="D578" s="1" t="s">
        <v>4482</v>
      </c>
      <c r="E578" s="7">
        <v>4366</v>
      </c>
      <c r="F578" s="7" t="s">
        <v>4414</v>
      </c>
      <c r="G578" s="1">
        <v>0.03</v>
      </c>
      <c r="H578" s="34">
        <f>Tabela1[[#This Row],[PESO UNI]]*Tabela1[[#This Row],[QTE]]</f>
        <v>0.06</v>
      </c>
      <c r="I578" s="7"/>
      <c r="J578" s="8" t="s">
        <v>2550</v>
      </c>
      <c r="K578" s="8" t="s">
        <v>45</v>
      </c>
      <c r="L578" s="9" t="s">
        <v>2551</v>
      </c>
      <c r="M578" s="10"/>
      <c r="N578" s="11" t="s">
        <v>38</v>
      </c>
      <c r="O578" s="12"/>
      <c r="P578" s="13"/>
      <c r="Q578" s="14">
        <f>Tabela1[[#This Row],[QTDE/ Fabricação]]-Tabela1[[#This Row],[QTE]]</f>
        <v>-2</v>
      </c>
      <c r="R578" s="18">
        <f t="shared" si="98"/>
        <v>0.06</v>
      </c>
      <c r="S578" s="18">
        <f t="shared" si="97"/>
        <v>0.06</v>
      </c>
      <c r="T578" s="19">
        <f t="shared" si="99"/>
        <v>0</v>
      </c>
      <c r="U578" s="16">
        <f>IFERROR(SUMIF('LISTA DE EMBARQUE'!B:B,MICRO!E:E,'LISTA DE EMBARQUE'!G:G),"")</f>
        <v>2</v>
      </c>
      <c r="V578" s="12">
        <f>IFERROR(VLOOKUP(Tabela1[[#This Row],[COD.MDE]],'LISTA DE EMBARQUE'!B:L,11,0),"")</f>
        <v>4</v>
      </c>
      <c r="W578" s="13" t="str">
        <f>IFERROR(COUNTIF(#REF!,Tabela1[[#This Row],[Colunas5]]),"")</f>
        <v/>
      </c>
      <c r="X578" s="14">
        <f>Tabela1[[#This Row],[QIANTIDADE EXPEDIDA]]*Tabela1[[#This Row],[PESO UNI]]</f>
        <v>0.06</v>
      </c>
      <c r="Y578" s="14">
        <f t="shared" si="100"/>
        <v>0</v>
      </c>
      <c r="Z578" s="20">
        <f>Tabela1[[#This Row],[PESO TOTAL]]-Tabela1[[#This Row],[Peso Expedido]]</f>
        <v>0</v>
      </c>
      <c r="AA578" s="17">
        <v>1</v>
      </c>
      <c r="AB578" s="33"/>
      <c r="AC578" s="33">
        <v>1</v>
      </c>
      <c r="AD578" s="33">
        <v>1</v>
      </c>
      <c r="AE578" s="33">
        <v>1</v>
      </c>
      <c r="AF578" s="33">
        <v>1</v>
      </c>
      <c r="AG578" s="33">
        <v>1</v>
      </c>
      <c r="AH578" s="33">
        <v>1</v>
      </c>
      <c r="AI578" s="33" t="s">
        <v>4512</v>
      </c>
      <c r="AJ578"/>
      <c r="AK578" t="str">
        <f>Tabela1[[#This Row],[Coluna1]]&amp;Tabela1[[#This Row],[PEDIDO]]</f>
        <v>P-190</v>
      </c>
      <c r="AL578"/>
      <c r="AM578"/>
      <c r="AN578"/>
      <c r="AO578" t="str">
        <f t="shared" si="101"/>
        <v>(CONFORME ET:BBR-D-DF-1073-MDE-K-0017)/P190</v>
      </c>
      <c r="AP578" t="str">
        <f>Tabela1[[#This Row],[TAG]]&amp;Tabela1[[#This Row],[PEDIDO]]&amp;Tabela1[[#This Row],[PRODUTO]]</f>
        <v>P190P-190COMERCIAL</v>
      </c>
      <c r="AQ578" s="22" t="str">
        <f>Tabela1[[#This Row],[PRODUTO]]&amp;Tabela1[[#This Row],[TAG]]</f>
        <v>COMERCIALP190</v>
      </c>
      <c r="AR578" s="24" t="str">
        <f>Tabela1[[#This Row],[PEDIDO]]&amp;Tabela1[[#This Row],[PRODUTO]]</f>
        <v>P-190COMERCIAL</v>
      </c>
      <c r="AS578" s="37">
        <f>IF(AF578="",0,IF(ISTEXT(AF578),H578*VALUE(SUBSTITUTE(AF578,"%",""))/100,H578*AF578))-Tabela1[[#This Row],[PRONTO ACABADO2]]</f>
        <v>0</v>
      </c>
      <c r="AT578" s="37">
        <f>IF(AG578="",0,IF(ISTEXT(AG578),H578*VALUE(SUBSTITUTE(AG578,"%",""))/100,H578*AG578))-Tabela1[[#This Row],[PESO EXPEDIDO2]]</f>
        <v>0</v>
      </c>
      <c r="AU578" s="37">
        <f t="shared" si="102"/>
        <v>0.06</v>
      </c>
      <c r="AV578" s="37">
        <f t="shared" si="103"/>
        <v>0.06</v>
      </c>
      <c r="AW578" s="37"/>
    </row>
    <row r="579" spans="1:49" ht="15.75" customHeight="1" x14ac:dyDescent="0.25">
      <c r="A579" s="1" t="s">
        <v>4474</v>
      </c>
      <c r="B579" s="21"/>
      <c r="C579" s="1">
        <v>4</v>
      </c>
      <c r="D579" s="1" t="s">
        <v>4483</v>
      </c>
      <c r="E579" s="7">
        <v>4367</v>
      </c>
      <c r="F579" s="7" t="s">
        <v>4414</v>
      </c>
      <c r="G579" s="1">
        <v>0.04</v>
      </c>
      <c r="H579" s="34">
        <f>Tabela1[[#This Row],[PESO UNI]]*Tabela1[[#This Row],[QTE]]</f>
        <v>0.16</v>
      </c>
      <c r="I579" s="7"/>
      <c r="J579" s="8" t="s">
        <v>2550</v>
      </c>
      <c r="K579" s="8" t="s">
        <v>45</v>
      </c>
      <c r="L579" s="9" t="s">
        <v>2551</v>
      </c>
      <c r="M579" s="10"/>
      <c r="N579" s="11" t="s">
        <v>38</v>
      </c>
      <c r="O579" s="12"/>
      <c r="P579" s="13"/>
      <c r="Q579" s="14">
        <f>Tabela1[[#This Row],[QTDE/ Fabricação]]-Tabela1[[#This Row],[QTE]]</f>
        <v>-4</v>
      </c>
      <c r="R579" s="18">
        <f t="shared" si="98"/>
        <v>0.16</v>
      </c>
      <c r="S579" s="18">
        <f t="shared" si="97"/>
        <v>0.16</v>
      </c>
      <c r="T579" s="19">
        <f t="shared" si="99"/>
        <v>0</v>
      </c>
      <c r="U579" s="16">
        <f>IFERROR(SUMIF('LISTA DE EMBARQUE'!B:B,MICRO!E:E,'LISTA DE EMBARQUE'!G:G),"")</f>
        <v>4</v>
      </c>
      <c r="V579" s="12">
        <f>IFERROR(VLOOKUP(Tabela1[[#This Row],[COD.MDE]],'LISTA DE EMBARQUE'!B:L,11,0),"")</f>
        <v>4</v>
      </c>
      <c r="W579" s="13" t="str">
        <f>IFERROR(COUNTIF(#REF!,Tabela1[[#This Row],[Colunas5]]),"")</f>
        <v/>
      </c>
      <c r="X579" s="14">
        <f>Tabela1[[#This Row],[QIANTIDADE EXPEDIDA]]*Tabela1[[#This Row],[PESO UNI]]</f>
        <v>0.16</v>
      </c>
      <c r="Y579" s="14">
        <f t="shared" si="100"/>
        <v>0</v>
      </c>
      <c r="Z579" s="20">
        <f>Tabela1[[#This Row],[PESO TOTAL]]-Tabela1[[#This Row],[Peso Expedido]]</f>
        <v>0</v>
      </c>
      <c r="AA579" s="17">
        <v>1</v>
      </c>
      <c r="AB579" s="33"/>
      <c r="AC579" s="33">
        <v>1</v>
      </c>
      <c r="AD579" s="33">
        <v>1</v>
      </c>
      <c r="AE579" s="33">
        <v>1</v>
      </c>
      <c r="AF579" s="33">
        <v>1</v>
      </c>
      <c r="AG579" s="33">
        <v>1</v>
      </c>
      <c r="AH579" s="33">
        <v>1</v>
      </c>
      <c r="AI579" s="33" t="s">
        <v>4512</v>
      </c>
      <c r="AJ579"/>
      <c r="AK579" t="str">
        <f>Tabela1[[#This Row],[Coluna1]]&amp;Tabela1[[#This Row],[PEDIDO]]</f>
        <v>P-190</v>
      </c>
      <c r="AL579"/>
      <c r="AM579"/>
      <c r="AN579"/>
      <c r="AO579" t="str">
        <f t="shared" si="101"/>
        <v>(CONFORME ET:BBR-D-DF-1073-MDE-K-0017)/P190</v>
      </c>
      <c r="AP579" t="str">
        <f>Tabela1[[#This Row],[TAG]]&amp;Tabela1[[#This Row],[PEDIDO]]&amp;Tabela1[[#This Row],[PRODUTO]]</f>
        <v>P190P-190COMERCIAL</v>
      </c>
      <c r="AQ579" s="22" t="str">
        <f>Tabela1[[#This Row],[PRODUTO]]&amp;Tabela1[[#This Row],[TAG]]</f>
        <v>COMERCIALP190</v>
      </c>
      <c r="AR579" s="24" t="str">
        <f>Tabela1[[#This Row],[PEDIDO]]&amp;Tabela1[[#This Row],[PRODUTO]]</f>
        <v>P-190COMERCIAL</v>
      </c>
      <c r="AS579" s="37">
        <f>IF(AF579="",0,IF(ISTEXT(AF579),H579*VALUE(SUBSTITUTE(AF579,"%",""))/100,H579*AF579))-Tabela1[[#This Row],[PRONTO ACABADO2]]</f>
        <v>0</v>
      </c>
      <c r="AT579" s="37">
        <f>IF(AG579="",0,IF(ISTEXT(AG579),H579*VALUE(SUBSTITUTE(AG579,"%",""))/100,H579*AG579))-Tabela1[[#This Row],[PESO EXPEDIDO2]]</f>
        <v>0</v>
      </c>
      <c r="AU579" s="37">
        <f t="shared" si="102"/>
        <v>0.16</v>
      </c>
      <c r="AV579" s="37">
        <f t="shared" si="103"/>
        <v>0.16</v>
      </c>
      <c r="AW579" s="37"/>
    </row>
    <row r="580" spans="1:49" ht="15.75" customHeight="1" x14ac:dyDescent="0.25">
      <c r="A580" s="1" t="s">
        <v>4474</v>
      </c>
      <c r="B580" s="21"/>
      <c r="C580" s="1">
        <v>2</v>
      </c>
      <c r="D580" s="1" t="s">
        <v>4484</v>
      </c>
      <c r="E580" s="7">
        <v>4368</v>
      </c>
      <c r="F580" s="7" t="s">
        <v>4414</v>
      </c>
      <c r="G580" s="1">
        <v>0.02</v>
      </c>
      <c r="H580" s="34">
        <f>Tabela1[[#This Row],[PESO UNI]]*Tabela1[[#This Row],[QTE]]</f>
        <v>0.04</v>
      </c>
      <c r="I580" s="7"/>
      <c r="J580" s="8" t="s">
        <v>2550</v>
      </c>
      <c r="K580" s="8" t="s">
        <v>45</v>
      </c>
      <c r="L580" s="9" t="s">
        <v>2551</v>
      </c>
      <c r="M580" s="10"/>
      <c r="N580" s="11" t="s">
        <v>38</v>
      </c>
      <c r="O580" s="12"/>
      <c r="P580" s="13"/>
      <c r="Q580" s="14">
        <f>Tabela1[[#This Row],[QTDE/ Fabricação]]-Tabela1[[#This Row],[QTE]]</f>
        <v>-2</v>
      </c>
      <c r="R580" s="18">
        <f t="shared" si="98"/>
        <v>0.04</v>
      </c>
      <c r="S580" s="18">
        <f t="shared" si="97"/>
        <v>0.04</v>
      </c>
      <c r="T580" s="19">
        <f t="shared" si="99"/>
        <v>0</v>
      </c>
      <c r="U580" s="16">
        <f>IFERROR(SUMIF('LISTA DE EMBARQUE'!B:B,MICRO!E:E,'LISTA DE EMBARQUE'!G:G),"")</f>
        <v>2</v>
      </c>
      <c r="V580" s="12">
        <f>IFERROR(VLOOKUP(Tabela1[[#This Row],[COD.MDE]],'LISTA DE EMBARQUE'!B:L,11,0),"")</f>
        <v>4</v>
      </c>
      <c r="W580" s="13" t="str">
        <f>IFERROR(COUNTIF(#REF!,Tabela1[[#This Row],[Colunas5]]),"")</f>
        <v/>
      </c>
      <c r="X580" s="14">
        <f>Tabela1[[#This Row],[QIANTIDADE EXPEDIDA]]*Tabela1[[#This Row],[PESO UNI]]</f>
        <v>0.04</v>
      </c>
      <c r="Y580" s="14">
        <f t="shared" si="100"/>
        <v>0</v>
      </c>
      <c r="Z580" s="20">
        <f>Tabela1[[#This Row],[PESO TOTAL]]-Tabela1[[#This Row],[Peso Expedido]]</f>
        <v>0</v>
      </c>
      <c r="AA580" s="17">
        <v>1</v>
      </c>
      <c r="AB580" s="33"/>
      <c r="AC580" s="33">
        <v>1</v>
      </c>
      <c r="AD580" s="33">
        <v>1</v>
      </c>
      <c r="AE580" s="33">
        <v>1</v>
      </c>
      <c r="AF580" s="33">
        <v>1</v>
      </c>
      <c r="AG580" s="33">
        <v>1</v>
      </c>
      <c r="AH580" s="33">
        <v>1</v>
      </c>
      <c r="AI580" s="33" t="s">
        <v>4512</v>
      </c>
      <c r="AJ580"/>
      <c r="AK580" t="str">
        <f>Tabela1[[#This Row],[Coluna1]]&amp;Tabela1[[#This Row],[PEDIDO]]</f>
        <v>P-190</v>
      </c>
      <c r="AL580"/>
      <c r="AM580"/>
      <c r="AN580"/>
      <c r="AO580" t="str">
        <f t="shared" si="101"/>
        <v>(CONFORME ET:BBR-D-DF-1073-MDE-K-0017)/P190</v>
      </c>
      <c r="AP580" t="str">
        <f>Tabela1[[#This Row],[TAG]]&amp;Tabela1[[#This Row],[PEDIDO]]&amp;Tabela1[[#This Row],[PRODUTO]]</f>
        <v>P190P-190COMERCIAL</v>
      </c>
      <c r="AQ580" s="22" t="str">
        <f>Tabela1[[#This Row],[PRODUTO]]&amp;Tabela1[[#This Row],[TAG]]</f>
        <v>COMERCIALP190</v>
      </c>
      <c r="AR580" s="24" t="str">
        <f>Tabela1[[#This Row],[PEDIDO]]&amp;Tabela1[[#This Row],[PRODUTO]]</f>
        <v>P-190COMERCIAL</v>
      </c>
      <c r="AS580" s="37">
        <f>IF(AF580="",0,IF(ISTEXT(AF580),H580*VALUE(SUBSTITUTE(AF580,"%",""))/100,H580*AF580))-Tabela1[[#This Row],[PRONTO ACABADO2]]</f>
        <v>0</v>
      </c>
      <c r="AT580" s="37">
        <f>IF(AG580="",0,IF(ISTEXT(AG580),H580*VALUE(SUBSTITUTE(AG580,"%",""))/100,H580*AG580))-Tabela1[[#This Row],[PESO EXPEDIDO2]]</f>
        <v>0</v>
      </c>
      <c r="AU580" s="37">
        <f t="shared" si="102"/>
        <v>0.04</v>
      </c>
      <c r="AV580" s="37">
        <f t="shared" si="103"/>
        <v>0.04</v>
      </c>
      <c r="AW580" s="37"/>
    </row>
    <row r="581" spans="1:49" ht="15.75" customHeight="1" x14ac:dyDescent="0.25">
      <c r="A581" s="1" t="s">
        <v>4474</v>
      </c>
      <c r="B581" s="21"/>
      <c r="C581" s="1">
        <v>8</v>
      </c>
      <c r="D581" s="1" t="s">
        <v>4485</v>
      </c>
      <c r="E581" s="7">
        <v>4369</v>
      </c>
      <c r="F581" s="7" t="s">
        <v>4414</v>
      </c>
      <c r="G581" s="1">
        <v>0.04</v>
      </c>
      <c r="H581" s="34">
        <f>Tabela1[[#This Row],[PESO UNI]]*Tabela1[[#This Row],[QTE]]</f>
        <v>0.32</v>
      </c>
      <c r="I581" s="7"/>
      <c r="J581" s="8" t="s">
        <v>2550</v>
      </c>
      <c r="K581" s="8" t="s">
        <v>45</v>
      </c>
      <c r="L581" s="9" t="s">
        <v>2551</v>
      </c>
      <c r="M581" s="10"/>
      <c r="N581" s="11" t="s">
        <v>38</v>
      </c>
      <c r="O581" s="12"/>
      <c r="P581" s="13"/>
      <c r="Q581" s="14">
        <f>Tabela1[[#This Row],[QTDE/ Fabricação]]-Tabela1[[#This Row],[QTE]]</f>
        <v>-8</v>
      </c>
      <c r="R581" s="18">
        <f t="shared" si="98"/>
        <v>0.32</v>
      </c>
      <c r="S581" s="18">
        <f t="shared" si="97"/>
        <v>0.32</v>
      </c>
      <c r="T581" s="19">
        <f t="shared" si="99"/>
        <v>0</v>
      </c>
      <c r="U581" s="16">
        <f>IFERROR(SUMIF('LISTA DE EMBARQUE'!B:B,MICRO!E:E,'LISTA DE EMBARQUE'!G:G),"")</f>
        <v>8</v>
      </c>
      <c r="V581" s="12">
        <f>IFERROR(VLOOKUP(Tabela1[[#This Row],[COD.MDE]],'LISTA DE EMBARQUE'!B:L,11,0),"")</f>
        <v>4</v>
      </c>
      <c r="W581" s="13" t="str">
        <f>IFERROR(COUNTIF(#REF!,Tabela1[[#This Row],[Colunas5]]),"")</f>
        <v/>
      </c>
      <c r="X581" s="14">
        <f>Tabela1[[#This Row],[QIANTIDADE EXPEDIDA]]*Tabela1[[#This Row],[PESO UNI]]</f>
        <v>0.32</v>
      </c>
      <c r="Y581" s="14">
        <f t="shared" si="100"/>
        <v>0</v>
      </c>
      <c r="Z581" s="20">
        <f>Tabela1[[#This Row],[PESO TOTAL]]-Tabela1[[#This Row],[Peso Expedido]]</f>
        <v>0</v>
      </c>
      <c r="AA581" s="17">
        <v>1</v>
      </c>
      <c r="AB581" s="33"/>
      <c r="AC581" s="33">
        <v>1</v>
      </c>
      <c r="AD581" s="33">
        <v>1</v>
      </c>
      <c r="AE581" s="33">
        <v>1</v>
      </c>
      <c r="AF581" s="33">
        <v>1</v>
      </c>
      <c r="AG581" s="33">
        <v>1</v>
      </c>
      <c r="AH581" s="33">
        <v>1</v>
      </c>
      <c r="AI581" s="33" t="s">
        <v>4512</v>
      </c>
      <c r="AJ581"/>
      <c r="AK581" t="str">
        <f>Tabela1[[#This Row],[Coluna1]]&amp;Tabela1[[#This Row],[PEDIDO]]</f>
        <v>P-190</v>
      </c>
      <c r="AL581"/>
      <c r="AM581"/>
      <c r="AN581"/>
      <c r="AO581" t="str">
        <f t="shared" si="101"/>
        <v>(CONFORME ET:BBR-D-DF-1073-MDE-K-0017)/P190</v>
      </c>
      <c r="AP581" t="str">
        <f>Tabela1[[#This Row],[TAG]]&amp;Tabela1[[#This Row],[PEDIDO]]&amp;Tabela1[[#This Row],[PRODUTO]]</f>
        <v>P190P-190COMERCIAL</v>
      </c>
      <c r="AQ581" s="22" t="str">
        <f>Tabela1[[#This Row],[PRODUTO]]&amp;Tabela1[[#This Row],[TAG]]</f>
        <v>COMERCIALP190</v>
      </c>
      <c r="AR581" s="24" t="str">
        <f>Tabela1[[#This Row],[PEDIDO]]&amp;Tabela1[[#This Row],[PRODUTO]]</f>
        <v>P-190COMERCIAL</v>
      </c>
      <c r="AS581" s="37">
        <f>IF(AF581="",0,IF(ISTEXT(AF581),H581*VALUE(SUBSTITUTE(AF581,"%",""))/100,H581*AF581))-Tabela1[[#This Row],[PRONTO ACABADO2]]</f>
        <v>0</v>
      </c>
      <c r="AT581" s="37">
        <f>IF(AG581="",0,IF(ISTEXT(AG581),H581*VALUE(SUBSTITUTE(AG581,"%",""))/100,H581*AG581))-Tabela1[[#This Row],[PESO EXPEDIDO2]]</f>
        <v>0</v>
      </c>
      <c r="AU581" s="37">
        <f t="shared" si="102"/>
        <v>0.32</v>
      </c>
      <c r="AV581" s="37">
        <f t="shared" si="103"/>
        <v>0.32</v>
      </c>
      <c r="AW581" s="37"/>
    </row>
    <row r="582" spans="1:49" ht="15.75" customHeight="1" x14ac:dyDescent="0.25">
      <c r="A582" s="1" t="s">
        <v>4474</v>
      </c>
      <c r="B582" s="21"/>
      <c r="C582" s="1">
        <v>1</v>
      </c>
      <c r="D582" s="1" t="s">
        <v>4486</v>
      </c>
      <c r="E582" s="7">
        <v>4370</v>
      </c>
      <c r="F582" s="7" t="s">
        <v>4414</v>
      </c>
      <c r="G582" s="1">
        <v>2.2000000000000002</v>
      </c>
      <c r="H582" s="34">
        <f>Tabela1[[#This Row],[PESO UNI]]*Tabela1[[#This Row],[QTE]]</f>
        <v>2.2000000000000002</v>
      </c>
      <c r="I582" s="7"/>
      <c r="J582" s="8" t="s">
        <v>2550</v>
      </c>
      <c r="K582" s="8" t="s">
        <v>45</v>
      </c>
      <c r="L582" s="9" t="s">
        <v>2551</v>
      </c>
      <c r="M582" s="10"/>
      <c r="N582" s="11" t="s">
        <v>38</v>
      </c>
      <c r="O582" s="12"/>
      <c r="P582" s="13"/>
      <c r="Q582" s="14">
        <f>Tabela1[[#This Row],[QTDE/ Fabricação]]-Tabela1[[#This Row],[QTE]]</f>
        <v>-1</v>
      </c>
      <c r="R582" s="18">
        <f t="shared" si="98"/>
        <v>2.2000000000000002</v>
      </c>
      <c r="S582" s="18">
        <f t="shared" si="97"/>
        <v>2.2000000000000002</v>
      </c>
      <c r="T582" s="19">
        <f t="shared" si="99"/>
        <v>0</v>
      </c>
      <c r="U582" s="16">
        <f>IFERROR(SUMIF('LISTA DE EMBARQUE'!B:B,MICRO!E:E,'LISTA DE EMBARQUE'!G:G),"")</f>
        <v>1</v>
      </c>
      <c r="V582" s="12">
        <f>IFERROR(VLOOKUP(Tabela1[[#This Row],[COD.MDE]],'LISTA DE EMBARQUE'!B:L,11,0),"")</f>
        <v>4</v>
      </c>
      <c r="W582" s="13" t="str">
        <f>IFERROR(COUNTIF(#REF!,Tabela1[[#This Row],[Colunas5]]),"")</f>
        <v/>
      </c>
      <c r="X582" s="14">
        <f>Tabela1[[#This Row],[QIANTIDADE EXPEDIDA]]*Tabela1[[#This Row],[PESO UNI]]</f>
        <v>2.2000000000000002</v>
      </c>
      <c r="Y582" s="14">
        <f t="shared" si="100"/>
        <v>0</v>
      </c>
      <c r="Z582" s="20">
        <f>Tabela1[[#This Row],[PESO TOTAL]]-Tabela1[[#This Row],[Peso Expedido]]</f>
        <v>0</v>
      </c>
      <c r="AA582" s="17">
        <v>1</v>
      </c>
      <c r="AB582" s="33"/>
      <c r="AC582" s="33">
        <v>1</v>
      </c>
      <c r="AD582" s="33">
        <v>1</v>
      </c>
      <c r="AE582" s="33">
        <v>1</v>
      </c>
      <c r="AF582" s="33">
        <v>1</v>
      </c>
      <c r="AG582" s="33">
        <v>1</v>
      </c>
      <c r="AH582" s="33">
        <v>1</v>
      </c>
      <c r="AI582" s="33" t="s">
        <v>4512</v>
      </c>
      <c r="AJ582"/>
      <c r="AK582" t="str">
        <f>Tabela1[[#This Row],[Coluna1]]&amp;Tabela1[[#This Row],[PEDIDO]]</f>
        <v>P-190</v>
      </c>
      <c r="AL582"/>
      <c r="AM582"/>
      <c r="AN582"/>
      <c r="AO582" t="str">
        <f t="shared" si="101"/>
        <v>(CONFORME ET:BBR-D-DF-1073-MDE-K-0017)/P190</v>
      </c>
      <c r="AP582" t="str">
        <f>Tabela1[[#This Row],[TAG]]&amp;Tabela1[[#This Row],[PEDIDO]]&amp;Tabela1[[#This Row],[PRODUTO]]</f>
        <v>P190P-190COMERCIAL</v>
      </c>
      <c r="AQ582" s="22" t="str">
        <f>Tabela1[[#This Row],[PRODUTO]]&amp;Tabela1[[#This Row],[TAG]]</f>
        <v>COMERCIALP190</v>
      </c>
      <c r="AR582" s="24" t="str">
        <f>Tabela1[[#This Row],[PEDIDO]]&amp;Tabela1[[#This Row],[PRODUTO]]</f>
        <v>P-190COMERCIAL</v>
      </c>
      <c r="AS582" s="37">
        <f>IF(AF582="",0,IF(ISTEXT(AF582),H582*VALUE(SUBSTITUTE(AF582,"%",""))/100,H582*AF582))-Tabela1[[#This Row],[PRONTO ACABADO2]]</f>
        <v>0</v>
      </c>
      <c r="AT582" s="37">
        <f>IF(AG582="",0,IF(ISTEXT(AG582),H582*VALUE(SUBSTITUTE(AG582,"%",""))/100,H582*AG582))-Tabela1[[#This Row],[PESO EXPEDIDO2]]</f>
        <v>0</v>
      </c>
      <c r="AU582" s="37">
        <f t="shared" si="102"/>
        <v>2.2000000000000002</v>
      </c>
      <c r="AV582" s="37">
        <f t="shared" si="103"/>
        <v>2.2000000000000002</v>
      </c>
      <c r="AW582" s="37"/>
    </row>
    <row r="583" spans="1:49" ht="15.75" customHeight="1" x14ac:dyDescent="0.25">
      <c r="A583" s="1" t="s">
        <v>4474</v>
      </c>
      <c r="B583" s="21"/>
      <c r="C583" s="1">
        <v>71</v>
      </c>
      <c r="D583" s="1" t="s">
        <v>4487</v>
      </c>
      <c r="E583" s="7">
        <v>4371</v>
      </c>
      <c r="F583" s="7" t="s">
        <v>4414</v>
      </c>
      <c r="G583" s="1">
        <v>0.127</v>
      </c>
      <c r="H583" s="34">
        <f>Tabela1[[#This Row],[PESO UNI]]*Tabela1[[#This Row],[QTE]]</f>
        <v>9.0169999999999995</v>
      </c>
      <c r="I583" s="7"/>
      <c r="J583" s="8" t="s">
        <v>2550</v>
      </c>
      <c r="K583" s="8" t="s">
        <v>45</v>
      </c>
      <c r="L583" s="9" t="s">
        <v>2551</v>
      </c>
      <c r="M583" s="10"/>
      <c r="N583" s="11" t="s">
        <v>38</v>
      </c>
      <c r="O583" s="12"/>
      <c r="P583" s="13"/>
      <c r="Q583" s="14">
        <f>Tabela1[[#This Row],[QTDE/ Fabricação]]-Tabela1[[#This Row],[QTE]]</f>
        <v>-71</v>
      </c>
      <c r="R583" s="18">
        <f t="shared" si="98"/>
        <v>9.0169999999999995</v>
      </c>
      <c r="S583" s="18">
        <f t="shared" si="97"/>
        <v>9.0169999999999995</v>
      </c>
      <c r="T583" s="19">
        <f t="shared" si="99"/>
        <v>0</v>
      </c>
      <c r="U583" s="16">
        <f>IFERROR(SUMIF('LISTA DE EMBARQUE'!B:B,MICRO!E:E,'LISTA DE EMBARQUE'!G:G),"")</f>
        <v>71</v>
      </c>
      <c r="V583" s="12">
        <f>IFERROR(VLOOKUP(Tabela1[[#This Row],[COD.MDE]],'LISTA DE EMBARQUE'!B:L,11,0),"")</f>
        <v>4</v>
      </c>
      <c r="W583" s="13" t="str">
        <f>IFERROR(COUNTIF(#REF!,Tabela1[[#This Row],[Colunas5]]),"")</f>
        <v/>
      </c>
      <c r="X583" s="14">
        <f>Tabela1[[#This Row],[QIANTIDADE EXPEDIDA]]*Tabela1[[#This Row],[PESO UNI]]</f>
        <v>9.0169999999999995</v>
      </c>
      <c r="Y583" s="14">
        <f t="shared" si="100"/>
        <v>0</v>
      </c>
      <c r="Z583" s="20">
        <f>Tabela1[[#This Row],[PESO TOTAL]]-Tabela1[[#This Row],[Peso Expedido]]</f>
        <v>0</v>
      </c>
      <c r="AA583" s="17">
        <v>1</v>
      </c>
      <c r="AB583" s="33"/>
      <c r="AC583" s="33">
        <v>1</v>
      </c>
      <c r="AD583" s="33">
        <v>1</v>
      </c>
      <c r="AE583" s="33">
        <v>1</v>
      </c>
      <c r="AF583" s="33">
        <v>1</v>
      </c>
      <c r="AG583" s="33">
        <v>1</v>
      </c>
      <c r="AH583" s="33">
        <v>1</v>
      </c>
      <c r="AI583" s="33" t="s">
        <v>4512</v>
      </c>
      <c r="AJ583"/>
      <c r="AK583" t="str">
        <f>Tabela1[[#This Row],[Coluna1]]&amp;Tabela1[[#This Row],[PEDIDO]]</f>
        <v>P-190</v>
      </c>
      <c r="AL583"/>
      <c r="AM583"/>
      <c r="AN583"/>
      <c r="AO583" t="str">
        <f t="shared" si="101"/>
        <v>(CONFORME ET:BBR-D-DF-1073-MDE-K-0017)/P190</v>
      </c>
      <c r="AP583" t="str">
        <f>Tabela1[[#This Row],[TAG]]&amp;Tabela1[[#This Row],[PEDIDO]]&amp;Tabela1[[#This Row],[PRODUTO]]</f>
        <v>P190P-190COMERCIAL</v>
      </c>
      <c r="AQ583" s="22" t="str">
        <f>Tabela1[[#This Row],[PRODUTO]]&amp;Tabela1[[#This Row],[TAG]]</f>
        <v>COMERCIALP190</v>
      </c>
      <c r="AR583" s="24" t="str">
        <f>Tabela1[[#This Row],[PEDIDO]]&amp;Tabela1[[#This Row],[PRODUTO]]</f>
        <v>P-190COMERCIAL</v>
      </c>
      <c r="AS583" s="37">
        <f>IF(AF583="",0,IF(ISTEXT(AF583),H583*VALUE(SUBSTITUTE(AF583,"%",""))/100,H583*AF583))-Tabela1[[#This Row],[PRONTO ACABADO2]]</f>
        <v>0</v>
      </c>
      <c r="AT583" s="37">
        <f>IF(AG583="",0,IF(ISTEXT(AG583),H583*VALUE(SUBSTITUTE(AG583,"%",""))/100,H583*AG583))-Tabela1[[#This Row],[PESO EXPEDIDO2]]</f>
        <v>0</v>
      </c>
      <c r="AU583" s="37">
        <f t="shared" si="102"/>
        <v>9.0169999999999995</v>
      </c>
      <c r="AV583" s="37">
        <f t="shared" si="103"/>
        <v>9.0169999999999995</v>
      </c>
      <c r="AW583" s="37"/>
    </row>
    <row r="584" spans="1:49" ht="15.75" customHeight="1" x14ac:dyDescent="0.25">
      <c r="A584" s="1" t="s">
        <v>4474</v>
      </c>
      <c r="B584" s="21"/>
      <c r="C584" s="1">
        <v>10</v>
      </c>
      <c r="D584" s="1" t="s">
        <v>4489</v>
      </c>
      <c r="E584" s="7">
        <v>4372</v>
      </c>
      <c r="F584" s="7" t="s">
        <v>4414</v>
      </c>
      <c r="G584" s="1">
        <v>0.14000000000000001</v>
      </c>
      <c r="H584" s="34">
        <f>Tabela1[[#This Row],[PESO UNI]]*Tabela1[[#This Row],[QTE]]</f>
        <v>1.4000000000000001</v>
      </c>
      <c r="I584" s="7"/>
      <c r="J584" s="8" t="s">
        <v>2550</v>
      </c>
      <c r="K584" s="8" t="s">
        <v>45</v>
      </c>
      <c r="L584" s="9" t="s">
        <v>2551</v>
      </c>
      <c r="M584" s="10"/>
      <c r="N584" s="11" t="s">
        <v>38</v>
      </c>
      <c r="O584" s="12"/>
      <c r="P584" s="13"/>
      <c r="Q584" s="14">
        <f>Tabela1[[#This Row],[QTDE/ Fabricação]]-Tabela1[[#This Row],[QTE]]</f>
        <v>-10</v>
      </c>
      <c r="R584" s="18">
        <f t="shared" si="98"/>
        <v>1.4000000000000001</v>
      </c>
      <c r="S584" s="18">
        <f t="shared" si="97"/>
        <v>1.4000000000000001</v>
      </c>
      <c r="T584" s="19">
        <f t="shared" si="99"/>
        <v>0</v>
      </c>
      <c r="U584" s="16">
        <f>IFERROR(SUMIF('LISTA DE EMBARQUE'!B:B,MICRO!E:E,'LISTA DE EMBARQUE'!G:G),"")</f>
        <v>10</v>
      </c>
      <c r="V584" s="12">
        <f>IFERROR(VLOOKUP(Tabela1[[#This Row],[COD.MDE]],'LISTA DE EMBARQUE'!B:L,11,0),"")</f>
        <v>4</v>
      </c>
      <c r="W584" s="13" t="str">
        <f>IFERROR(COUNTIF(#REF!,Tabela1[[#This Row],[Colunas5]]),"")</f>
        <v/>
      </c>
      <c r="X584" s="14">
        <f>Tabela1[[#This Row],[QIANTIDADE EXPEDIDA]]*Tabela1[[#This Row],[PESO UNI]]</f>
        <v>1.4000000000000001</v>
      </c>
      <c r="Y584" s="14">
        <f t="shared" si="100"/>
        <v>0</v>
      </c>
      <c r="Z584" s="20">
        <f>Tabela1[[#This Row],[PESO TOTAL]]-Tabela1[[#This Row],[Peso Expedido]]</f>
        <v>0</v>
      </c>
      <c r="AA584" s="17">
        <v>1</v>
      </c>
      <c r="AB584" s="33"/>
      <c r="AC584" s="33">
        <v>1</v>
      </c>
      <c r="AD584" s="33">
        <v>1</v>
      </c>
      <c r="AE584" s="33">
        <v>1</v>
      </c>
      <c r="AF584" s="33">
        <v>1</v>
      </c>
      <c r="AG584" s="33">
        <v>1</v>
      </c>
      <c r="AH584" s="33">
        <v>1</v>
      </c>
      <c r="AI584" s="33" t="s">
        <v>4512</v>
      </c>
      <c r="AJ584"/>
      <c r="AK584" t="str">
        <f>Tabela1[[#This Row],[Coluna1]]&amp;Tabela1[[#This Row],[PEDIDO]]</f>
        <v>P-190</v>
      </c>
      <c r="AL584"/>
      <c r="AM584"/>
      <c r="AN584"/>
      <c r="AO584" t="str">
        <f t="shared" si="101"/>
        <v>(CONFORME ET:BBR-D-DF-1073-MDE-K-0017)/P190</v>
      </c>
      <c r="AP584" t="str">
        <f>Tabela1[[#This Row],[TAG]]&amp;Tabela1[[#This Row],[PEDIDO]]&amp;Tabela1[[#This Row],[PRODUTO]]</f>
        <v>P190P-190COMERCIAL</v>
      </c>
      <c r="AQ584" s="22" t="str">
        <f>Tabela1[[#This Row],[PRODUTO]]&amp;Tabela1[[#This Row],[TAG]]</f>
        <v>COMERCIALP190</v>
      </c>
      <c r="AR584" s="24" t="str">
        <f>Tabela1[[#This Row],[PEDIDO]]&amp;Tabela1[[#This Row],[PRODUTO]]</f>
        <v>P-190COMERCIAL</v>
      </c>
      <c r="AS584" s="37">
        <f>IF(AF584="",0,IF(ISTEXT(AF584),H584*VALUE(SUBSTITUTE(AF584,"%",""))/100,H584*AF584))-Tabela1[[#This Row],[PRONTO ACABADO2]]</f>
        <v>0</v>
      </c>
      <c r="AT584" s="37">
        <f>IF(AG584="",0,IF(ISTEXT(AG584),H584*VALUE(SUBSTITUTE(AG584,"%",""))/100,H584*AG584))-Tabela1[[#This Row],[PESO EXPEDIDO2]]</f>
        <v>0</v>
      </c>
      <c r="AU584" s="37">
        <f t="shared" si="102"/>
        <v>1.4000000000000001</v>
      </c>
      <c r="AV584" s="37">
        <f t="shared" si="103"/>
        <v>1.4000000000000001</v>
      </c>
      <c r="AW584" s="37"/>
    </row>
    <row r="585" spans="1:49" ht="15.75" customHeight="1" x14ac:dyDescent="0.25">
      <c r="A585" s="1" t="s">
        <v>4474</v>
      </c>
      <c r="B585" s="21"/>
      <c r="C585" s="1">
        <v>18</v>
      </c>
      <c r="D585" s="1" t="s">
        <v>4490</v>
      </c>
      <c r="E585" s="7">
        <v>4373</v>
      </c>
      <c r="F585" s="7" t="s">
        <v>4414</v>
      </c>
      <c r="G585" s="1">
        <v>0.36699999999999999</v>
      </c>
      <c r="H585" s="34">
        <f>Tabela1[[#This Row],[PESO UNI]]*Tabela1[[#This Row],[QTE]]</f>
        <v>6.6059999999999999</v>
      </c>
      <c r="I585" s="7"/>
      <c r="J585" s="8" t="s">
        <v>2550</v>
      </c>
      <c r="K585" s="8" t="s">
        <v>45</v>
      </c>
      <c r="L585" s="9" t="s">
        <v>2551</v>
      </c>
      <c r="M585" s="10"/>
      <c r="N585" s="11" t="s">
        <v>38</v>
      </c>
      <c r="O585" s="12"/>
      <c r="P585" s="13"/>
      <c r="Q585" s="14">
        <f>Tabela1[[#This Row],[QTDE/ Fabricação]]-Tabela1[[#This Row],[QTE]]</f>
        <v>-18</v>
      </c>
      <c r="R585" s="18">
        <f t="shared" si="98"/>
        <v>6.6059999999999999</v>
      </c>
      <c r="S585" s="18">
        <f t="shared" si="97"/>
        <v>6.6059999999999999</v>
      </c>
      <c r="T585" s="19">
        <f t="shared" si="99"/>
        <v>0</v>
      </c>
      <c r="U585" s="16">
        <f>IFERROR(SUMIF('LISTA DE EMBARQUE'!B:B,MICRO!E:E,'LISTA DE EMBARQUE'!G:G),"")</f>
        <v>18</v>
      </c>
      <c r="V585" s="12">
        <f>IFERROR(VLOOKUP(Tabela1[[#This Row],[COD.MDE]],'LISTA DE EMBARQUE'!B:L,11,0),"")</f>
        <v>4</v>
      </c>
      <c r="W585" s="13" t="str">
        <f>IFERROR(COUNTIF(#REF!,Tabela1[[#This Row],[Colunas5]]),"")</f>
        <v/>
      </c>
      <c r="X585" s="14">
        <f>Tabela1[[#This Row],[QIANTIDADE EXPEDIDA]]*Tabela1[[#This Row],[PESO UNI]]</f>
        <v>6.6059999999999999</v>
      </c>
      <c r="Y585" s="14">
        <f t="shared" si="100"/>
        <v>0</v>
      </c>
      <c r="Z585" s="20">
        <f>Tabela1[[#This Row],[PESO TOTAL]]-Tabela1[[#This Row],[Peso Expedido]]</f>
        <v>0</v>
      </c>
      <c r="AA585" s="17">
        <v>1</v>
      </c>
      <c r="AB585" s="33"/>
      <c r="AC585" s="33">
        <v>1</v>
      </c>
      <c r="AD585" s="33">
        <v>1</v>
      </c>
      <c r="AE585" s="33">
        <v>1</v>
      </c>
      <c r="AF585" s="33">
        <v>1</v>
      </c>
      <c r="AG585" s="33">
        <v>1</v>
      </c>
      <c r="AH585" s="33">
        <v>1</v>
      </c>
      <c r="AI585" s="33" t="s">
        <v>4512</v>
      </c>
      <c r="AJ585"/>
      <c r="AK585" t="str">
        <f>Tabela1[[#This Row],[Coluna1]]&amp;Tabela1[[#This Row],[PEDIDO]]</f>
        <v>P-190</v>
      </c>
      <c r="AL585"/>
      <c r="AM585"/>
      <c r="AN585"/>
      <c r="AO585" t="str">
        <f t="shared" si="101"/>
        <v>(CONFORME ET:BBR-D-DF-1073-MDE-K-0017)/P190</v>
      </c>
      <c r="AP585" t="str">
        <f>Tabela1[[#This Row],[TAG]]&amp;Tabela1[[#This Row],[PEDIDO]]&amp;Tabela1[[#This Row],[PRODUTO]]</f>
        <v>P190P-190COMERCIAL</v>
      </c>
      <c r="AQ585" s="22" t="str">
        <f>Tabela1[[#This Row],[PRODUTO]]&amp;Tabela1[[#This Row],[TAG]]</f>
        <v>COMERCIALP190</v>
      </c>
      <c r="AR585" s="24" t="str">
        <f>Tabela1[[#This Row],[PEDIDO]]&amp;Tabela1[[#This Row],[PRODUTO]]</f>
        <v>P-190COMERCIAL</v>
      </c>
      <c r="AS585" s="37">
        <f>IF(AF585="",0,IF(ISTEXT(AF585),H585*VALUE(SUBSTITUTE(AF585,"%",""))/100,H585*AF585))-Tabela1[[#This Row],[PRONTO ACABADO2]]</f>
        <v>0</v>
      </c>
      <c r="AT585" s="37">
        <f>IF(AG585="",0,IF(ISTEXT(AG585),H585*VALUE(SUBSTITUTE(AG585,"%",""))/100,H585*AG585))-Tabela1[[#This Row],[PESO EXPEDIDO2]]</f>
        <v>0</v>
      </c>
      <c r="AU585" s="37">
        <f t="shared" si="102"/>
        <v>6.6059999999999999</v>
      </c>
      <c r="AV585" s="37">
        <f t="shared" si="103"/>
        <v>6.6059999999999999</v>
      </c>
      <c r="AW585" s="37"/>
    </row>
    <row r="586" spans="1:49" ht="15.75" customHeight="1" x14ac:dyDescent="0.25">
      <c r="A586" s="1" t="s">
        <v>4474</v>
      </c>
      <c r="B586" s="21"/>
      <c r="C586" s="1">
        <v>50</v>
      </c>
      <c r="D586" s="1" t="s">
        <v>4491</v>
      </c>
      <c r="E586" s="7">
        <v>4374</v>
      </c>
      <c r="F586" s="7" t="s">
        <v>4414</v>
      </c>
      <c r="G586" s="1">
        <v>0.56999999999999995</v>
      </c>
      <c r="H586" s="34">
        <f>Tabela1[[#This Row],[PESO UNI]]*Tabela1[[#This Row],[QTE]]</f>
        <v>28.499999999999996</v>
      </c>
      <c r="I586" s="7"/>
      <c r="J586" s="8" t="s">
        <v>2550</v>
      </c>
      <c r="K586" s="8" t="s">
        <v>45</v>
      </c>
      <c r="L586" s="9" t="s">
        <v>2551</v>
      </c>
      <c r="M586" s="10"/>
      <c r="N586" s="11" t="s">
        <v>38</v>
      </c>
      <c r="O586" s="12"/>
      <c r="P586" s="13"/>
      <c r="Q586" s="14">
        <f>Tabela1[[#This Row],[QTDE/ Fabricação]]-Tabela1[[#This Row],[QTE]]</f>
        <v>-50</v>
      </c>
      <c r="R586" s="18">
        <f t="shared" si="98"/>
        <v>28.499999999999996</v>
      </c>
      <c r="S586" s="18">
        <f t="shared" si="97"/>
        <v>28.499999999999996</v>
      </c>
      <c r="T586" s="19">
        <f t="shared" si="99"/>
        <v>0</v>
      </c>
      <c r="U586" s="16">
        <f>IFERROR(SUMIF('LISTA DE EMBARQUE'!B:B,MICRO!E:E,'LISTA DE EMBARQUE'!G:G),"")</f>
        <v>50</v>
      </c>
      <c r="V586" s="12">
        <f>IFERROR(VLOOKUP(Tabela1[[#This Row],[COD.MDE]],'LISTA DE EMBARQUE'!B:L,11,0),"")</f>
        <v>4</v>
      </c>
      <c r="W586" s="13" t="str">
        <f>IFERROR(COUNTIF(#REF!,Tabela1[[#This Row],[Colunas5]]),"")</f>
        <v/>
      </c>
      <c r="X586" s="14">
        <f>Tabela1[[#This Row],[QIANTIDADE EXPEDIDA]]*Tabela1[[#This Row],[PESO UNI]]</f>
        <v>28.499999999999996</v>
      </c>
      <c r="Y586" s="14">
        <f t="shared" si="100"/>
        <v>0</v>
      </c>
      <c r="Z586" s="20">
        <f>Tabela1[[#This Row],[PESO TOTAL]]-Tabela1[[#This Row],[Peso Expedido]]</f>
        <v>0</v>
      </c>
      <c r="AA586" s="17">
        <v>1</v>
      </c>
      <c r="AB586" s="33"/>
      <c r="AC586" s="33">
        <v>1</v>
      </c>
      <c r="AD586" s="33">
        <v>1</v>
      </c>
      <c r="AE586" s="33">
        <v>1</v>
      </c>
      <c r="AF586" s="33">
        <v>1</v>
      </c>
      <c r="AG586" s="33">
        <v>1</v>
      </c>
      <c r="AH586" s="33">
        <v>1</v>
      </c>
      <c r="AI586" s="33" t="s">
        <v>4512</v>
      </c>
      <c r="AJ586"/>
      <c r="AK586" t="str">
        <f>Tabela1[[#This Row],[Coluna1]]&amp;Tabela1[[#This Row],[PEDIDO]]</f>
        <v>P-190</v>
      </c>
      <c r="AL586"/>
      <c r="AM586"/>
      <c r="AN586"/>
      <c r="AO586" t="str">
        <f t="shared" si="101"/>
        <v>(CONFORME ET:BBR-D-DF-1073-MDE-K-0017)/P190</v>
      </c>
      <c r="AP586" t="str">
        <f>Tabela1[[#This Row],[TAG]]&amp;Tabela1[[#This Row],[PEDIDO]]&amp;Tabela1[[#This Row],[PRODUTO]]</f>
        <v>P190P-190COMERCIAL</v>
      </c>
      <c r="AQ586" s="22" t="str">
        <f>Tabela1[[#This Row],[PRODUTO]]&amp;Tabela1[[#This Row],[TAG]]</f>
        <v>COMERCIALP190</v>
      </c>
      <c r="AR586" s="24" t="str">
        <f>Tabela1[[#This Row],[PEDIDO]]&amp;Tabela1[[#This Row],[PRODUTO]]</f>
        <v>P-190COMERCIAL</v>
      </c>
      <c r="AS586" s="37">
        <f>IF(AF586="",0,IF(ISTEXT(AF586),H586*VALUE(SUBSTITUTE(AF586,"%",""))/100,H586*AF586))-Tabela1[[#This Row],[PRONTO ACABADO2]]</f>
        <v>0</v>
      </c>
      <c r="AT586" s="37">
        <f>IF(AG586="",0,IF(ISTEXT(AG586),H586*VALUE(SUBSTITUTE(AG586,"%",""))/100,H586*AG586))-Tabela1[[#This Row],[PESO EXPEDIDO2]]</f>
        <v>0</v>
      </c>
      <c r="AU586" s="37">
        <f t="shared" si="102"/>
        <v>28.499999999999996</v>
      </c>
      <c r="AV586" s="37">
        <f t="shared" si="103"/>
        <v>28.499999999999996</v>
      </c>
      <c r="AW586" s="37"/>
    </row>
    <row r="587" spans="1:49" ht="15.75" customHeight="1" x14ac:dyDescent="0.25">
      <c r="A587" s="1" t="s">
        <v>4474</v>
      </c>
      <c r="B587" s="21"/>
      <c r="C587" s="1">
        <v>60</v>
      </c>
      <c r="D587" s="1" t="s">
        <v>4492</v>
      </c>
      <c r="E587" s="7">
        <v>4375</v>
      </c>
      <c r="F587" s="7" t="s">
        <v>4414</v>
      </c>
      <c r="G587" s="1">
        <v>0.1666</v>
      </c>
      <c r="H587" s="34">
        <f>Tabela1[[#This Row],[PESO UNI]]*Tabela1[[#This Row],[QTE]]</f>
        <v>9.9960000000000004</v>
      </c>
      <c r="I587" s="7"/>
      <c r="J587" s="8" t="s">
        <v>2550</v>
      </c>
      <c r="K587" s="8" t="s">
        <v>45</v>
      </c>
      <c r="L587" s="9" t="s">
        <v>2551</v>
      </c>
      <c r="M587" s="10"/>
      <c r="N587" s="11" t="s">
        <v>38</v>
      </c>
      <c r="O587" s="12"/>
      <c r="P587" s="13"/>
      <c r="Q587" s="14">
        <f>Tabela1[[#This Row],[QTDE/ Fabricação]]-Tabela1[[#This Row],[QTE]]</f>
        <v>-60</v>
      </c>
      <c r="R587" s="18">
        <f t="shared" si="98"/>
        <v>9.9960000000000004</v>
      </c>
      <c r="S587" s="18">
        <f t="shared" si="97"/>
        <v>9.9960000000000004</v>
      </c>
      <c r="T587" s="19">
        <f t="shared" si="99"/>
        <v>0</v>
      </c>
      <c r="U587" s="16">
        <f>IFERROR(SUMIF('LISTA DE EMBARQUE'!B:B,MICRO!E:E,'LISTA DE EMBARQUE'!G:G),"")</f>
        <v>60</v>
      </c>
      <c r="V587" s="12">
        <f>IFERROR(VLOOKUP(Tabela1[[#This Row],[COD.MDE]],'LISTA DE EMBARQUE'!B:L,11,0),"")</f>
        <v>4</v>
      </c>
      <c r="W587" s="13" t="str">
        <f>IFERROR(COUNTIF(#REF!,Tabela1[[#This Row],[Colunas5]]),"")</f>
        <v/>
      </c>
      <c r="X587" s="14">
        <f>Tabela1[[#This Row],[QIANTIDADE EXPEDIDA]]*Tabela1[[#This Row],[PESO UNI]]</f>
        <v>9.9960000000000004</v>
      </c>
      <c r="Y587" s="14">
        <f t="shared" si="100"/>
        <v>0</v>
      </c>
      <c r="Z587" s="20">
        <f>Tabela1[[#This Row],[PESO TOTAL]]-Tabela1[[#This Row],[Peso Expedido]]</f>
        <v>0</v>
      </c>
      <c r="AA587" s="17">
        <v>1</v>
      </c>
      <c r="AB587" s="33"/>
      <c r="AC587" s="33">
        <v>1</v>
      </c>
      <c r="AD587" s="33">
        <v>1</v>
      </c>
      <c r="AE587" s="33">
        <v>1</v>
      </c>
      <c r="AF587" s="33">
        <v>1</v>
      </c>
      <c r="AG587" s="33">
        <v>1</v>
      </c>
      <c r="AH587" s="33">
        <v>1</v>
      </c>
      <c r="AI587" s="33" t="s">
        <v>4512</v>
      </c>
      <c r="AJ587"/>
      <c r="AK587" t="str">
        <f>Tabela1[[#This Row],[Coluna1]]&amp;Tabela1[[#This Row],[PEDIDO]]</f>
        <v>P-190</v>
      </c>
      <c r="AL587"/>
      <c r="AM587"/>
      <c r="AN587"/>
      <c r="AO587" t="str">
        <f t="shared" si="101"/>
        <v>(CONFORME ET:BBR-D-DF-1073-MDE-K-0017)/P190</v>
      </c>
      <c r="AP587" t="str">
        <f>Tabela1[[#This Row],[TAG]]&amp;Tabela1[[#This Row],[PEDIDO]]&amp;Tabela1[[#This Row],[PRODUTO]]</f>
        <v>P190P-190COMERCIAL</v>
      </c>
      <c r="AQ587" s="22" t="str">
        <f>Tabela1[[#This Row],[PRODUTO]]&amp;Tabela1[[#This Row],[TAG]]</f>
        <v>COMERCIALP190</v>
      </c>
      <c r="AR587" s="24" t="str">
        <f>Tabela1[[#This Row],[PEDIDO]]&amp;Tabela1[[#This Row],[PRODUTO]]</f>
        <v>P-190COMERCIAL</v>
      </c>
      <c r="AS587" s="37">
        <f>IF(AF587="",0,IF(ISTEXT(AF587),H587*VALUE(SUBSTITUTE(AF587,"%",""))/100,H587*AF587))-Tabela1[[#This Row],[PRONTO ACABADO2]]</f>
        <v>0</v>
      </c>
      <c r="AT587" s="37">
        <f>IF(AG587="",0,IF(ISTEXT(AG587),H587*VALUE(SUBSTITUTE(AG587,"%",""))/100,H587*AG587))-Tabela1[[#This Row],[PESO EXPEDIDO2]]</f>
        <v>0</v>
      </c>
      <c r="AU587" s="37">
        <f t="shared" si="102"/>
        <v>9.9960000000000004</v>
      </c>
      <c r="AV587" s="37">
        <f t="shared" si="103"/>
        <v>9.9960000000000004</v>
      </c>
      <c r="AW587" s="37"/>
    </row>
    <row r="588" spans="1:49" ht="15.75" customHeight="1" x14ac:dyDescent="0.25">
      <c r="A588" s="1" t="s">
        <v>4474</v>
      </c>
      <c r="B588" s="21"/>
      <c r="C588" s="1">
        <v>15</v>
      </c>
      <c r="D588" s="1" t="s">
        <v>4493</v>
      </c>
      <c r="E588" s="7">
        <v>4376</v>
      </c>
      <c r="F588" s="7" t="s">
        <v>4414</v>
      </c>
      <c r="G588" s="1">
        <v>0.16</v>
      </c>
      <c r="H588" s="34">
        <f>Tabela1[[#This Row],[PESO UNI]]*Tabela1[[#This Row],[QTE]]</f>
        <v>2.4</v>
      </c>
      <c r="I588" s="7"/>
      <c r="J588" s="8" t="s">
        <v>2550</v>
      </c>
      <c r="K588" s="8" t="s">
        <v>45</v>
      </c>
      <c r="L588" s="9" t="s">
        <v>2551</v>
      </c>
      <c r="M588" s="10"/>
      <c r="N588" s="11" t="s">
        <v>38</v>
      </c>
      <c r="O588" s="12"/>
      <c r="P588" s="13"/>
      <c r="Q588" s="14">
        <f>Tabela1[[#This Row],[QTDE/ Fabricação]]-Tabela1[[#This Row],[QTE]]</f>
        <v>-15</v>
      </c>
      <c r="R588" s="18">
        <f t="shared" si="98"/>
        <v>2.4</v>
      </c>
      <c r="S588" s="18">
        <f t="shared" si="97"/>
        <v>2.4</v>
      </c>
      <c r="T588" s="19">
        <f t="shared" si="99"/>
        <v>0</v>
      </c>
      <c r="U588" s="16">
        <f>IFERROR(SUMIF('LISTA DE EMBARQUE'!B:B,MICRO!E:E,'LISTA DE EMBARQUE'!G:G),"")</f>
        <v>15</v>
      </c>
      <c r="V588" s="12">
        <f>IFERROR(VLOOKUP(Tabela1[[#This Row],[COD.MDE]],'LISTA DE EMBARQUE'!B:L,11,0),"")</f>
        <v>4</v>
      </c>
      <c r="W588" s="13" t="str">
        <f>IFERROR(COUNTIF(#REF!,Tabela1[[#This Row],[Colunas5]]),"")</f>
        <v/>
      </c>
      <c r="X588" s="14">
        <f>Tabela1[[#This Row],[QIANTIDADE EXPEDIDA]]*Tabela1[[#This Row],[PESO UNI]]</f>
        <v>2.4</v>
      </c>
      <c r="Y588" s="14">
        <f t="shared" si="100"/>
        <v>0</v>
      </c>
      <c r="Z588" s="20">
        <f>Tabela1[[#This Row],[PESO TOTAL]]-Tabela1[[#This Row],[Peso Expedido]]</f>
        <v>0</v>
      </c>
      <c r="AA588" s="17">
        <v>1</v>
      </c>
      <c r="AB588" s="33"/>
      <c r="AC588" s="33">
        <v>1</v>
      </c>
      <c r="AD588" s="33">
        <v>1</v>
      </c>
      <c r="AE588" s="33">
        <v>1</v>
      </c>
      <c r="AF588" s="33">
        <v>1</v>
      </c>
      <c r="AG588" s="33">
        <v>1</v>
      </c>
      <c r="AH588" s="33">
        <v>1</v>
      </c>
      <c r="AI588" s="33" t="s">
        <v>4512</v>
      </c>
      <c r="AJ588"/>
      <c r="AK588" t="str">
        <f>Tabela1[[#This Row],[Coluna1]]&amp;Tabela1[[#This Row],[PEDIDO]]</f>
        <v>P-190</v>
      </c>
      <c r="AL588"/>
      <c r="AM588"/>
      <c r="AN588"/>
      <c r="AO588" t="str">
        <f t="shared" si="101"/>
        <v>(CONFORME ET:BBR-D-DF-1073-MDE-K-0017)/P190</v>
      </c>
      <c r="AP588" t="str">
        <f>Tabela1[[#This Row],[TAG]]&amp;Tabela1[[#This Row],[PEDIDO]]&amp;Tabela1[[#This Row],[PRODUTO]]</f>
        <v>P190P-190COMERCIAL</v>
      </c>
      <c r="AQ588" s="22" t="str">
        <f>Tabela1[[#This Row],[PRODUTO]]&amp;Tabela1[[#This Row],[TAG]]</f>
        <v>COMERCIALP190</v>
      </c>
      <c r="AR588" s="24" t="str">
        <f>Tabela1[[#This Row],[PEDIDO]]&amp;Tabela1[[#This Row],[PRODUTO]]</f>
        <v>P-190COMERCIAL</v>
      </c>
      <c r="AS588" s="37">
        <f>IF(AF588="",0,IF(ISTEXT(AF588),H588*VALUE(SUBSTITUTE(AF588,"%",""))/100,H588*AF588))-Tabela1[[#This Row],[PRONTO ACABADO2]]</f>
        <v>0</v>
      </c>
      <c r="AT588" s="37">
        <f>IF(AG588="",0,IF(ISTEXT(AG588),H588*VALUE(SUBSTITUTE(AG588,"%",""))/100,H588*AG588))-Tabela1[[#This Row],[PESO EXPEDIDO2]]</f>
        <v>0</v>
      </c>
      <c r="AU588" s="37">
        <f t="shared" si="102"/>
        <v>2.4</v>
      </c>
      <c r="AV588" s="37">
        <f t="shared" si="103"/>
        <v>2.4</v>
      </c>
      <c r="AW588" s="37"/>
    </row>
    <row r="589" spans="1:49" ht="15.75" customHeight="1" x14ac:dyDescent="0.25">
      <c r="A589" s="1" t="s">
        <v>4474</v>
      </c>
      <c r="B589" s="21"/>
      <c r="C589" s="1">
        <v>52</v>
      </c>
      <c r="D589" s="1" t="s">
        <v>4494</v>
      </c>
      <c r="E589" s="7">
        <v>4377</v>
      </c>
      <c r="F589" s="7" t="s">
        <v>4414</v>
      </c>
      <c r="G589" s="1">
        <v>0.44600000000000001</v>
      </c>
      <c r="H589" s="34">
        <f>Tabela1[[#This Row],[PESO UNI]]*Tabela1[[#This Row],[QTE]]</f>
        <v>23.192</v>
      </c>
      <c r="I589" s="7"/>
      <c r="J589" s="8" t="s">
        <v>2550</v>
      </c>
      <c r="K589" s="8" t="s">
        <v>45</v>
      </c>
      <c r="L589" s="9" t="s">
        <v>2551</v>
      </c>
      <c r="M589" s="10"/>
      <c r="N589" s="11" t="s">
        <v>38</v>
      </c>
      <c r="O589" s="12"/>
      <c r="P589" s="13"/>
      <c r="Q589" s="14">
        <f>Tabela1[[#This Row],[QTDE/ Fabricação]]-Tabela1[[#This Row],[QTE]]</f>
        <v>-52</v>
      </c>
      <c r="R589" s="18">
        <f t="shared" si="98"/>
        <v>23.192</v>
      </c>
      <c r="S589" s="18">
        <f t="shared" si="97"/>
        <v>23.192</v>
      </c>
      <c r="T589" s="19">
        <f t="shared" si="99"/>
        <v>0</v>
      </c>
      <c r="U589" s="16">
        <f>IFERROR(SUMIF('LISTA DE EMBARQUE'!B:B,MICRO!E:E,'LISTA DE EMBARQUE'!G:G),"")</f>
        <v>52</v>
      </c>
      <c r="V589" s="12">
        <f>IFERROR(VLOOKUP(Tabela1[[#This Row],[COD.MDE]],'LISTA DE EMBARQUE'!B:L,11,0),"")</f>
        <v>4</v>
      </c>
      <c r="W589" s="13" t="str">
        <f>IFERROR(COUNTIF(#REF!,Tabela1[[#This Row],[Colunas5]]),"")</f>
        <v/>
      </c>
      <c r="X589" s="14">
        <f>Tabela1[[#This Row],[QIANTIDADE EXPEDIDA]]*Tabela1[[#This Row],[PESO UNI]]</f>
        <v>23.192</v>
      </c>
      <c r="Y589" s="14">
        <f t="shared" si="100"/>
        <v>0</v>
      </c>
      <c r="Z589" s="20">
        <f>Tabela1[[#This Row],[PESO TOTAL]]-Tabela1[[#This Row],[Peso Expedido]]</f>
        <v>0</v>
      </c>
      <c r="AA589" s="17">
        <v>1</v>
      </c>
      <c r="AB589" s="33"/>
      <c r="AC589" s="33">
        <v>1</v>
      </c>
      <c r="AD589" s="33">
        <v>1</v>
      </c>
      <c r="AE589" s="33">
        <v>1</v>
      </c>
      <c r="AF589" s="33">
        <v>1</v>
      </c>
      <c r="AG589" s="33">
        <v>1</v>
      </c>
      <c r="AH589" s="33">
        <v>1</v>
      </c>
      <c r="AI589" s="33" t="s">
        <v>4512</v>
      </c>
      <c r="AJ589"/>
      <c r="AK589" t="str">
        <f>Tabela1[[#This Row],[Coluna1]]&amp;Tabela1[[#This Row],[PEDIDO]]</f>
        <v>P-190</v>
      </c>
      <c r="AL589"/>
      <c r="AM589"/>
      <c r="AN589"/>
      <c r="AO589" t="str">
        <f t="shared" si="101"/>
        <v>(CONFORME ET:BBR-D-DF-1073-MDE-K-0017)/P190</v>
      </c>
      <c r="AP589" t="str">
        <f>Tabela1[[#This Row],[TAG]]&amp;Tabela1[[#This Row],[PEDIDO]]&amp;Tabela1[[#This Row],[PRODUTO]]</f>
        <v>P190P-190COMERCIAL</v>
      </c>
      <c r="AQ589" s="22" t="str">
        <f>Tabela1[[#This Row],[PRODUTO]]&amp;Tabela1[[#This Row],[TAG]]</f>
        <v>COMERCIALP190</v>
      </c>
      <c r="AR589" s="24" t="str">
        <f>Tabela1[[#This Row],[PEDIDO]]&amp;Tabela1[[#This Row],[PRODUTO]]</f>
        <v>P-190COMERCIAL</v>
      </c>
      <c r="AS589" s="37">
        <f>IF(AF589="",0,IF(ISTEXT(AF589),H589*VALUE(SUBSTITUTE(AF589,"%",""))/100,H589*AF589))-Tabela1[[#This Row],[PRONTO ACABADO2]]</f>
        <v>0</v>
      </c>
      <c r="AT589" s="37">
        <f>IF(AG589="",0,IF(ISTEXT(AG589),H589*VALUE(SUBSTITUTE(AG589,"%",""))/100,H589*AG589))-Tabela1[[#This Row],[PESO EXPEDIDO2]]</f>
        <v>0</v>
      </c>
      <c r="AU589" s="37">
        <f t="shared" si="102"/>
        <v>23.192</v>
      </c>
      <c r="AV589" s="37">
        <f t="shared" si="103"/>
        <v>23.192</v>
      </c>
      <c r="AW589" s="37"/>
    </row>
    <row r="590" spans="1:49" ht="15.75" customHeight="1" x14ac:dyDescent="0.25">
      <c r="A590" s="1" t="s">
        <v>4474</v>
      </c>
      <c r="B590" s="21"/>
      <c r="C590" s="1">
        <v>78</v>
      </c>
      <c r="D590" s="1" t="s">
        <v>4495</v>
      </c>
      <c r="E590" s="7">
        <v>4378</v>
      </c>
      <c r="F590" s="7" t="s">
        <v>4414</v>
      </c>
      <c r="G590" s="1">
        <v>0.14799999999999999</v>
      </c>
      <c r="H590" s="34">
        <f>Tabela1[[#This Row],[PESO UNI]]*Tabela1[[#This Row],[QTE]]</f>
        <v>11.543999999999999</v>
      </c>
      <c r="I590" s="7"/>
      <c r="J590" s="8" t="s">
        <v>2550</v>
      </c>
      <c r="K590" s="8" t="s">
        <v>45</v>
      </c>
      <c r="L590" s="9" t="s">
        <v>2551</v>
      </c>
      <c r="M590" s="10"/>
      <c r="N590" s="11" t="s">
        <v>38</v>
      </c>
      <c r="O590" s="12"/>
      <c r="P590" s="13"/>
      <c r="Q590" s="14">
        <f>Tabela1[[#This Row],[QTDE/ Fabricação]]-Tabela1[[#This Row],[QTE]]</f>
        <v>-78</v>
      </c>
      <c r="R590" s="18">
        <f t="shared" si="98"/>
        <v>11.543999999999999</v>
      </c>
      <c r="S590" s="18">
        <f t="shared" si="97"/>
        <v>11.543999999999999</v>
      </c>
      <c r="T590" s="19">
        <f t="shared" si="99"/>
        <v>0</v>
      </c>
      <c r="U590" s="16">
        <f>IFERROR(SUMIF('LISTA DE EMBARQUE'!B:B,MICRO!E:E,'LISTA DE EMBARQUE'!G:G),"")</f>
        <v>78</v>
      </c>
      <c r="V590" s="12">
        <f>IFERROR(VLOOKUP(Tabela1[[#This Row],[COD.MDE]],'LISTA DE EMBARQUE'!B:L,11,0),"")</f>
        <v>4</v>
      </c>
      <c r="W590" s="13" t="str">
        <f>IFERROR(COUNTIF(#REF!,Tabela1[[#This Row],[Colunas5]]),"")</f>
        <v/>
      </c>
      <c r="X590" s="14">
        <f>Tabela1[[#This Row],[QIANTIDADE EXPEDIDA]]*Tabela1[[#This Row],[PESO UNI]]</f>
        <v>11.543999999999999</v>
      </c>
      <c r="Y590" s="14">
        <f t="shared" si="100"/>
        <v>0</v>
      </c>
      <c r="Z590" s="20">
        <f>Tabela1[[#This Row],[PESO TOTAL]]-Tabela1[[#This Row],[Peso Expedido]]</f>
        <v>0</v>
      </c>
      <c r="AA590" s="17">
        <v>1</v>
      </c>
      <c r="AB590" s="33"/>
      <c r="AC590" s="33">
        <v>1</v>
      </c>
      <c r="AD590" s="33">
        <v>1</v>
      </c>
      <c r="AE590" s="33">
        <v>1</v>
      </c>
      <c r="AF590" s="33">
        <v>1</v>
      </c>
      <c r="AG590" s="33">
        <v>1</v>
      </c>
      <c r="AH590" s="33">
        <v>1</v>
      </c>
      <c r="AI590" s="33" t="s">
        <v>4512</v>
      </c>
      <c r="AJ590"/>
      <c r="AK590" t="str">
        <f>Tabela1[[#This Row],[Coluna1]]&amp;Tabela1[[#This Row],[PEDIDO]]</f>
        <v>P-190</v>
      </c>
      <c r="AL590"/>
      <c r="AM590"/>
      <c r="AN590"/>
      <c r="AO590" t="str">
        <f t="shared" si="101"/>
        <v>(CONFORME ET:BBR-D-DF-1073-MDE-K-0017)/P190</v>
      </c>
      <c r="AP590" t="str">
        <f>Tabela1[[#This Row],[TAG]]&amp;Tabela1[[#This Row],[PEDIDO]]&amp;Tabela1[[#This Row],[PRODUTO]]</f>
        <v>P190P-190COMERCIAL</v>
      </c>
      <c r="AQ590" s="22" t="str">
        <f>Tabela1[[#This Row],[PRODUTO]]&amp;Tabela1[[#This Row],[TAG]]</f>
        <v>COMERCIALP190</v>
      </c>
      <c r="AR590" s="24" t="str">
        <f>Tabela1[[#This Row],[PEDIDO]]&amp;Tabela1[[#This Row],[PRODUTO]]</f>
        <v>P-190COMERCIAL</v>
      </c>
      <c r="AS590" s="37">
        <f>IF(AF590="",0,IF(ISTEXT(AF590),H590*VALUE(SUBSTITUTE(AF590,"%",""))/100,H590*AF590))-Tabela1[[#This Row],[PRONTO ACABADO2]]</f>
        <v>0</v>
      </c>
      <c r="AT590" s="37">
        <f>IF(AG590="",0,IF(ISTEXT(AG590),H590*VALUE(SUBSTITUTE(AG590,"%",""))/100,H590*AG590))-Tabela1[[#This Row],[PESO EXPEDIDO2]]</f>
        <v>0</v>
      </c>
      <c r="AU590" s="37">
        <f t="shared" si="102"/>
        <v>11.543999999999999</v>
      </c>
      <c r="AV590" s="37">
        <f t="shared" si="103"/>
        <v>11.543999999999999</v>
      </c>
      <c r="AW590" s="37"/>
    </row>
    <row r="591" spans="1:49" ht="15.75" customHeight="1" x14ac:dyDescent="0.25">
      <c r="A591" s="1" t="s">
        <v>4474</v>
      </c>
      <c r="B591" s="21"/>
      <c r="C591" s="1">
        <v>26</v>
      </c>
      <c r="D591" s="1" t="s">
        <v>4496</v>
      </c>
      <c r="E591" s="7">
        <v>4379</v>
      </c>
      <c r="F591" s="7" t="s">
        <v>4414</v>
      </c>
      <c r="G591" s="1">
        <v>0.16900000000000001</v>
      </c>
      <c r="H591" s="34">
        <f>Tabela1[[#This Row],[PESO UNI]]*Tabela1[[#This Row],[QTE]]</f>
        <v>4.3940000000000001</v>
      </c>
      <c r="I591" s="7"/>
      <c r="J591" s="8" t="s">
        <v>2550</v>
      </c>
      <c r="K591" s="8" t="s">
        <v>45</v>
      </c>
      <c r="L591" s="9" t="s">
        <v>2551</v>
      </c>
      <c r="M591" s="10"/>
      <c r="N591" s="11" t="s">
        <v>38</v>
      </c>
      <c r="O591" s="12"/>
      <c r="P591" s="13"/>
      <c r="Q591" s="14">
        <f>Tabela1[[#This Row],[QTDE/ Fabricação]]-Tabela1[[#This Row],[QTE]]</f>
        <v>-26</v>
      </c>
      <c r="R591" s="18">
        <f t="shared" si="98"/>
        <v>4.3940000000000001</v>
      </c>
      <c r="S591" s="18">
        <f t="shared" si="97"/>
        <v>4.3940000000000001</v>
      </c>
      <c r="T591" s="19">
        <f t="shared" si="99"/>
        <v>0</v>
      </c>
      <c r="U591" s="16">
        <f>IFERROR(SUMIF('LISTA DE EMBARQUE'!B:B,MICRO!E:E,'LISTA DE EMBARQUE'!G:G),"")</f>
        <v>26</v>
      </c>
      <c r="V591" s="12">
        <f>IFERROR(VLOOKUP(Tabela1[[#This Row],[COD.MDE]],'LISTA DE EMBARQUE'!B:L,11,0),"")</f>
        <v>4</v>
      </c>
      <c r="W591" s="13" t="str">
        <f>IFERROR(COUNTIF(#REF!,Tabela1[[#This Row],[Colunas5]]),"")</f>
        <v/>
      </c>
      <c r="X591" s="14">
        <f>Tabela1[[#This Row],[QIANTIDADE EXPEDIDA]]*Tabela1[[#This Row],[PESO UNI]]</f>
        <v>4.3940000000000001</v>
      </c>
      <c r="Y591" s="14">
        <f t="shared" si="100"/>
        <v>0</v>
      </c>
      <c r="Z591" s="20">
        <f>Tabela1[[#This Row],[PESO TOTAL]]-Tabela1[[#This Row],[Peso Expedido]]</f>
        <v>0</v>
      </c>
      <c r="AA591" s="17">
        <v>1</v>
      </c>
      <c r="AB591" s="33"/>
      <c r="AC591" s="33">
        <v>1</v>
      </c>
      <c r="AD591" s="33">
        <v>1</v>
      </c>
      <c r="AE591" s="33">
        <v>1</v>
      </c>
      <c r="AF591" s="33">
        <v>1</v>
      </c>
      <c r="AG591" s="33">
        <v>1</v>
      </c>
      <c r="AH591" s="33">
        <v>1</v>
      </c>
      <c r="AI591" s="33" t="s">
        <v>4512</v>
      </c>
      <c r="AJ591"/>
      <c r="AK591" t="str">
        <f>Tabela1[[#This Row],[Coluna1]]&amp;Tabela1[[#This Row],[PEDIDO]]</f>
        <v>P-190</v>
      </c>
      <c r="AL591"/>
      <c r="AM591"/>
      <c r="AN591"/>
      <c r="AO591" t="str">
        <f t="shared" si="101"/>
        <v>(CONFORME ET:BBR-D-DF-1073-MDE-K-0017)/P190</v>
      </c>
      <c r="AP591" t="str">
        <f>Tabela1[[#This Row],[TAG]]&amp;Tabela1[[#This Row],[PEDIDO]]&amp;Tabela1[[#This Row],[PRODUTO]]</f>
        <v>P190P-190COMERCIAL</v>
      </c>
      <c r="AQ591" s="22" t="str">
        <f>Tabela1[[#This Row],[PRODUTO]]&amp;Tabela1[[#This Row],[TAG]]</f>
        <v>COMERCIALP190</v>
      </c>
      <c r="AR591" s="24" t="str">
        <f>Tabela1[[#This Row],[PEDIDO]]&amp;Tabela1[[#This Row],[PRODUTO]]</f>
        <v>P-190COMERCIAL</v>
      </c>
      <c r="AS591" s="37">
        <f>IF(AF591="",0,IF(ISTEXT(AF591),H591*VALUE(SUBSTITUTE(AF591,"%",""))/100,H591*AF591))-Tabela1[[#This Row],[PRONTO ACABADO2]]</f>
        <v>0</v>
      </c>
      <c r="AT591" s="37">
        <f>IF(AG591="",0,IF(ISTEXT(AG591),H591*VALUE(SUBSTITUTE(AG591,"%",""))/100,H591*AG591))-Tabela1[[#This Row],[PESO EXPEDIDO2]]</f>
        <v>0</v>
      </c>
      <c r="AU591" s="37">
        <f t="shared" si="102"/>
        <v>4.3940000000000001</v>
      </c>
      <c r="AV591" s="37">
        <f t="shared" si="103"/>
        <v>4.3940000000000001</v>
      </c>
      <c r="AW591" s="37"/>
    </row>
    <row r="592" spans="1:49" ht="15.75" customHeight="1" x14ac:dyDescent="0.25">
      <c r="A592" s="1" t="s">
        <v>4474</v>
      </c>
      <c r="B592" s="21"/>
      <c r="C592" s="1">
        <v>60</v>
      </c>
      <c r="D592" s="1" t="s">
        <v>4497</v>
      </c>
      <c r="E592" s="7">
        <v>4380</v>
      </c>
      <c r="F592" s="7" t="s">
        <v>4414</v>
      </c>
      <c r="G592" s="1">
        <v>0.66600000000000004</v>
      </c>
      <c r="H592" s="34">
        <f>Tabela1[[#This Row],[PESO UNI]]*Tabela1[[#This Row],[QTE]]</f>
        <v>39.96</v>
      </c>
      <c r="I592" s="7"/>
      <c r="J592" s="8" t="s">
        <v>2550</v>
      </c>
      <c r="K592" s="8" t="s">
        <v>45</v>
      </c>
      <c r="L592" s="9" t="s">
        <v>2551</v>
      </c>
      <c r="M592" s="10"/>
      <c r="N592" s="11" t="s">
        <v>38</v>
      </c>
      <c r="O592" s="12"/>
      <c r="P592" s="13"/>
      <c r="Q592" s="14">
        <f>Tabela1[[#This Row],[QTDE/ Fabricação]]-Tabela1[[#This Row],[QTE]]</f>
        <v>-60</v>
      </c>
      <c r="R592" s="18">
        <f t="shared" si="98"/>
        <v>39.96</v>
      </c>
      <c r="S592" s="18">
        <f t="shared" si="97"/>
        <v>39.96</v>
      </c>
      <c r="T592" s="19">
        <f t="shared" si="99"/>
        <v>0</v>
      </c>
      <c r="U592" s="16">
        <f>IFERROR(SUMIF('LISTA DE EMBARQUE'!B:B,MICRO!E:E,'LISTA DE EMBARQUE'!G:G),"")</f>
        <v>60</v>
      </c>
      <c r="V592" s="12">
        <f>IFERROR(VLOOKUP(Tabela1[[#This Row],[COD.MDE]],'LISTA DE EMBARQUE'!B:L,11,0),"")</f>
        <v>4</v>
      </c>
      <c r="W592" s="13" t="str">
        <f>IFERROR(COUNTIF(#REF!,Tabela1[[#This Row],[Colunas5]]),"")</f>
        <v/>
      </c>
      <c r="X592" s="14">
        <f>Tabela1[[#This Row],[QIANTIDADE EXPEDIDA]]*Tabela1[[#This Row],[PESO UNI]]</f>
        <v>39.96</v>
      </c>
      <c r="Y592" s="14">
        <f t="shared" si="100"/>
        <v>0</v>
      </c>
      <c r="Z592" s="20">
        <f>Tabela1[[#This Row],[PESO TOTAL]]-Tabela1[[#This Row],[Peso Expedido]]</f>
        <v>0</v>
      </c>
      <c r="AA592" s="17">
        <v>1</v>
      </c>
      <c r="AB592" s="33"/>
      <c r="AC592" s="33">
        <v>1</v>
      </c>
      <c r="AD592" s="33">
        <v>1</v>
      </c>
      <c r="AE592" s="33">
        <v>1</v>
      </c>
      <c r="AF592" s="33">
        <v>1</v>
      </c>
      <c r="AG592" s="33">
        <v>1</v>
      </c>
      <c r="AH592" s="33">
        <v>1</v>
      </c>
      <c r="AI592" s="33" t="s">
        <v>4512</v>
      </c>
      <c r="AJ592"/>
      <c r="AK592" t="str">
        <f>Tabela1[[#This Row],[Coluna1]]&amp;Tabela1[[#This Row],[PEDIDO]]</f>
        <v>P-190</v>
      </c>
      <c r="AL592"/>
      <c r="AM592"/>
      <c r="AN592"/>
      <c r="AO592" t="str">
        <f t="shared" si="101"/>
        <v>(CONFORME ET:BBR-D-DF-1073-MDE-K-0017)/P190</v>
      </c>
      <c r="AP592" t="str">
        <f>Tabela1[[#This Row],[TAG]]&amp;Tabela1[[#This Row],[PEDIDO]]&amp;Tabela1[[#This Row],[PRODUTO]]</f>
        <v>P190P-190COMERCIAL</v>
      </c>
      <c r="AQ592" s="22" t="str">
        <f>Tabela1[[#This Row],[PRODUTO]]&amp;Tabela1[[#This Row],[TAG]]</f>
        <v>COMERCIALP190</v>
      </c>
      <c r="AR592" s="24" t="str">
        <f>Tabela1[[#This Row],[PEDIDO]]&amp;Tabela1[[#This Row],[PRODUTO]]</f>
        <v>P-190COMERCIAL</v>
      </c>
      <c r="AS592" s="37">
        <f>IF(AF592="",0,IF(ISTEXT(AF592),H592*VALUE(SUBSTITUTE(AF592,"%",""))/100,H592*AF592))-Tabela1[[#This Row],[PRONTO ACABADO2]]</f>
        <v>0</v>
      </c>
      <c r="AT592" s="37">
        <f>IF(AG592="",0,IF(ISTEXT(AG592),H592*VALUE(SUBSTITUTE(AG592,"%",""))/100,H592*AG592))-Tabela1[[#This Row],[PESO EXPEDIDO2]]</f>
        <v>0</v>
      </c>
      <c r="AU592" s="37">
        <f t="shared" si="102"/>
        <v>39.96</v>
      </c>
      <c r="AV592" s="37">
        <f t="shared" si="103"/>
        <v>39.96</v>
      </c>
      <c r="AW592" s="37"/>
    </row>
    <row r="593" spans="1:49" ht="15.75" customHeight="1" x14ac:dyDescent="0.25">
      <c r="A593" s="1" t="s">
        <v>4474</v>
      </c>
      <c r="B593" s="21"/>
      <c r="C593" s="1">
        <v>52</v>
      </c>
      <c r="D593" s="1" t="s">
        <v>4498</v>
      </c>
      <c r="E593" s="7">
        <v>4381</v>
      </c>
      <c r="F593" s="7" t="s">
        <v>4414</v>
      </c>
      <c r="G593" s="1">
        <v>0.21099999999999999</v>
      </c>
      <c r="H593" s="34">
        <f>Tabela1[[#This Row],[PESO UNI]]*Tabela1[[#This Row],[QTE]]</f>
        <v>10.972</v>
      </c>
      <c r="I593" s="7"/>
      <c r="J593" s="8" t="s">
        <v>2550</v>
      </c>
      <c r="K593" s="8" t="s">
        <v>45</v>
      </c>
      <c r="L593" s="9" t="s">
        <v>2551</v>
      </c>
      <c r="M593" s="10"/>
      <c r="N593" s="11" t="s">
        <v>38</v>
      </c>
      <c r="O593" s="12"/>
      <c r="P593" s="13"/>
      <c r="Q593" s="14">
        <f>Tabela1[[#This Row],[QTDE/ Fabricação]]-Tabela1[[#This Row],[QTE]]</f>
        <v>-52</v>
      </c>
      <c r="R593" s="18">
        <f t="shared" si="98"/>
        <v>10.972</v>
      </c>
      <c r="S593" s="18">
        <f t="shared" si="97"/>
        <v>10.972</v>
      </c>
      <c r="T593" s="19">
        <f t="shared" si="99"/>
        <v>0</v>
      </c>
      <c r="U593" s="16">
        <f>IFERROR(SUMIF('LISTA DE EMBARQUE'!B:B,MICRO!E:E,'LISTA DE EMBARQUE'!G:G),"")</f>
        <v>52</v>
      </c>
      <c r="V593" s="12">
        <f>IFERROR(VLOOKUP(Tabela1[[#This Row],[COD.MDE]],'LISTA DE EMBARQUE'!B:L,11,0),"")</f>
        <v>4</v>
      </c>
      <c r="W593" s="13" t="str">
        <f>IFERROR(COUNTIF(#REF!,Tabela1[[#This Row],[Colunas5]]),"")</f>
        <v/>
      </c>
      <c r="X593" s="14">
        <f>Tabela1[[#This Row],[QIANTIDADE EXPEDIDA]]*Tabela1[[#This Row],[PESO UNI]]</f>
        <v>10.972</v>
      </c>
      <c r="Y593" s="14">
        <f t="shared" si="100"/>
        <v>0</v>
      </c>
      <c r="Z593" s="20">
        <f>Tabela1[[#This Row],[PESO TOTAL]]-Tabela1[[#This Row],[Peso Expedido]]</f>
        <v>0</v>
      </c>
      <c r="AA593" s="17">
        <v>1</v>
      </c>
      <c r="AB593" s="33"/>
      <c r="AC593" s="33">
        <v>1</v>
      </c>
      <c r="AD593" s="33">
        <v>1</v>
      </c>
      <c r="AE593" s="33">
        <v>1</v>
      </c>
      <c r="AF593" s="33">
        <v>1</v>
      </c>
      <c r="AG593" s="33">
        <v>1</v>
      </c>
      <c r="AH593" s="33">
        <v>1</v>
      </c>
      <c r="AI593" s="33" t="s">
        <v>4512</v>
      </c>
      <c r="AJ593"/>
      <c r="AK593" t="str">
        <f>Tabela1[[#This Row],[Coluna1]]&amp;Tabela1[[#This Row],[PEDIDO]]</f>
        <v>P-190</v>
      </c>
      <c r="AL593"/>
      <c r="AM593"/>
      <c r="AN593"/>
      <c r="AO593" t="str">
        <f t="shared" si="101"/>
        <v>(CONFORME ET:BBR-D-DF-1073-MDE-K-0017)/P190</v>
      </c>
      <c r="AP593" t="str">
        <f>Tabela1[[#This Row],[TAG]]&amp;Tabela1[[#This Row],[PEDIDO]]&amp;Tabela1[[#This Row],[PRODUTO]]</f>
        <v>P190P-190COMERCIAL</v>
      </c>
      <c r="AQ593" s="22" t="str">
        <f>Tabela1[[#This Row],[PRODUTO]]&amp;Tabela1[[#This Row],[TAG]]</f>
        <v>COMERCIALP190</v>
      </c>
      <c r="AR593" s="24" t="str">
        <f>Tabela1[[#This Row],[PEDIDO]]&amp;Tabela1[[#This Row],[PRODUTO]]</f>
        <v>P-190COMERCIAL</v>
      </c>
      <c r="AS593" s="37">
        <f>IF(AF593="",0,IF(ISTEXT(AF593),H593*VALUE(SUBSTITUTE(AF593,"%",""))/100,H593*AF593))-Tabela1[[#This Row],[PRONTO ACABADO2]]</f>
        <v>0</v>
      </c>
      <c r="AT593" s="37">
        <f>IF(AG593="",0,IF(ISTEXT(AG593),H593*VALUE(SUBSTITUTE(AG593,"%",""))/100,H593*AG593))-Tabela1[[#This Row],[PESO EXPEDIDO2]]</f>
        <v>0</v>
      </c>
      <c r="AU593" s="37">
        <f t="shared" si="102"/>
        <v>10.972</v>
      </c>
      <c r="AV593" s="37">
        <f t="shared" si="103"/>
        <v>10.972</v>
      </c>
      <c r="AW593" s="37"/>
    </row>
    <row r="594" spans="1:49" ht="15.75" customHeight="1" x14ac:dyDescent="0.25">
      <c r="A594" s="1" t="s">
        <v>4474</v>
      </c>
      <c r="B594" s="21"/>
      <c r="C594" s="1">
        <v>26</v>
      </c>
      <c r="D594" s="1" t="s">
        <v>4499</v>
      </c>
      <c r="E594" s="7">
        <v>4382</v>
      </c>
      <c r="F594" s="7" t="s">
        <v>4414</v>
      </c>
      <c r="G594" s="1">
        <v>0.42299999999999999</v>
      </c>
      <c r="H594" s="34">
        <f>Tabela1[[#This Row],[PESO UNI]]*Tabela1[[#This Row],[QTE]]</f>
        <v>10.997999999999999</v>
      </c>
      <c r="I594" s="7"/>
      <c r="J594" s="8" t="s">
        <v>2550</v>
      </c>
      <c r="K594" s="8" t="s">
        <v>45</v>
      </c>
      <c r="L594" s="9" t="s">
        <v>2551</v>
      </c>
      <c r="M594" s="10"/>
      <c r="N594" s="11" t="s">
        <v>38</v>
      </c>
      <c r="O594" s="12"/>
      <c r="P594" s="13"/>
      <c r="Q594" s="14">
        <f>Tabela1[[#This Row],[QTDE/ Fabricação]]-Tabela1[[#This Row],[QTE]]</f>
        <v>-26</v>
      </c>
      <c r="R594" s="18">
        <f t="shared" si="98"/>
        <v>10.997999999999999</v>
      </c>
      <c r="S594" s="18">
        <f t="shared" si="97"/>
        <v>10.997999999999999</v>
      </c>
      <c r="T594" s="19">
        <f t="shared" si="99"/>
        <v>0</v>
      </c>
      <c r="U594" s="16">
        <f>IFERROR(SUMIF('LISTA DE EMBARQUE'!B:B,MICRO!E:E,'LISTA DE EMBARQUE'!G:G),"")</f>
        <v>26</v>
      </c>
      <c r="V594" s="12">
        <f>IFERROR(VLOOKUP(Tabela1[[#This Row],[COD.MDE]],'LISTA DE EMBARQUE'!B:L,11,0),"")</f>
        <v>4</v>
      </c>
      <c r="W594" s="13" t="str">
        <f>IFERROR(COUNTIF(#REF!,Tabela1[[#This Row],[Colunas5]]),"")</f>
        <v/>
      </c>
      <c r="X594" s="14">
        <f>Tabela1[[#This Row],[QIANTIDADE EXPEDIDA]]*Tabela1[[#This Row],[PESO UNI]]</f>
        <v>10.997999999999999</v>
      </c>
      <c r="Y594" s="14">
        <f t="shared" si="100"/>
        <v>0</v>
      </c>
      <c r="Z594" s="20">
        <f>Tabela1[[#This Row],[PESO TOTAL]]-Tabela1[[#This Row],[Peso Expedido]]</f>
        <v>0</v>
      </c>
      <c r="AA594" s="17">
        <v>1</v>
      </c>
      <c r="AB594" s="33"/>
      <c r="AC594" s="33">
        <v>1</v>
      </c>
      <c r="AD594" s="33">
        <v>1</v>
      </c>
      <c r="AE594" s="33">
        <v>1</v>
      </c>
      <c r="AF594" s="33">
        <v>1</v>
      </c>
      <c r="AG594" s="33">
        <v>1</v>
      </c>
      <c r="AH594" s="33">
        <v>1</v>
      </c>
      <c r="AI594" s="33" t="s">
        <v>4512</v>
      </c>
      <c r="AJ594"/>
      <c r="AK594" t="str">
        <f>Tabela1[[#This Row],[Coluna1]]&amp;Tabela1[[#This Row],[PEDIDO]]</f>
        <v>P-190</v>
      </c>
      <c r="AL594"/>
      <c r="AM594"/>
      <c r="AN594"/>
      <c r="AO594" t="str">
        <f t="shared" si="101"/>
        <v>(CONFORME ET:BBR-D-DF-1073-MDE-K-0017)/P190</v>
      </c>
      <c r="AP594" t="str">
        <f>Tabela1[[#This Row],[TAG]]&amp;Tabela1[[#This Row],[PEDIDO]]&amp;Tabela1[[#This Row],[PRODUTO]]</f>
        <v>P190P-190COMERCIAL</v>
      </c>
      <c r="AQ594" s="22" t="str">
        <f>Tabela1[[#This Row],[PRODUTO]]&amp;Tabela1[[#This Row],[TAG]]</f>
        <v>COMERCIALP190</v>
      </c>
      <c r="AR594" s="24" t="str">
        <f>Tabela1[[#This Row],[PEDIDO]]&amp;Tabela1[[#This Row],[PRODUTO]]</f>
        <v>P-190COMERCIAL</v>
      </c>
      <c r="AS594" s="37">
        <f>IF(AF594="",0,IF(ISTEXT(AF594),H594*VALUE(SUBSTITUTE(AF594,"%",""))/100,H594*AF594))-Tabela1[[#This Row],[PRONTO ACABADO2]]</f>
        <v>0</v>
      </c>
      <c r="AT594" s="37">
        <f>IF(AG594="",0,IF(ISTEXT(AG594),H594*VALUE(SUBSTITUTE(AG594,"%",""))/100,H594*AG594))-Tabela1[[#This Row],[PESO EXPEDIDO2]]</f>
        <v>0</v>
      </c>
      <c r="AU594" s="37">
        <f t="shared" si="102"/>
        <v>10.997999999999999</v>
      </c>
      <c r="AV594" s="37">
        <f t="shared" si="103"/>
        <v>10.997999999999999</v>
      </c>
      <c r="AW594" s="37"/>
    </row>
    <row r="595" spans="1:49" ht="15.75" customHeight="1" x14ac:dyDescent="0.25">
      <c r="A595" s="1" t="s">
        <v>4474</v>
      </c>
      <c r="B595" s="21"/>
      <c r="C595" s="1">
        <v>3</v>
      </c>
      <c r="D595" s="1" t="s">
        <v>4500</v>
      </c>
      <c r="E595" s="7">
        <v>4383</v>
      </c>
      <c r="F595" s="7" t="s">
        <v>4414</v>
      </c>
      <c r="G595" s="1">
        <v>3.5</v>
      </c>
      <c r="H595" s="34">
        <f>Tabela1[[#This Row],[PESO UNI]]*Tabela1[[#This Row],[QTE]]</f>
        <v>10.5</v>
      </c>
      <c r="I595" s="7"/>
      <c r="J595" s="8" t="s">
        <v>2550</v>
      </c>
      <c r="K595" s="8" t="s">
        <v>45</v>
      </c>
      <c r="L595" s="9" t="s">
        <v>2551</v>
      </c>
      <c r="M595" s="10"/>
      <c r="N595" s="11" t="s">
        <v>38</v>
      </c>
      <c r="O595" s="12"/>
      <c r="P595" s="13"/>
      <c r="Q595" s="14">
        <f>Tabela1[[#This Row],[QTDE/ Fabricação]]-Tabela1[[#This Row],[QTE]]</f>
        <v>-3</v>
      </c>
      <c r="R595" s="18">
        <f t="shared" si="98"/>
        <v>10.5</v>
      </c>
      <c r="S595" s="18">
        <f t="shared" si="97"/>
        <v>10.5</v>
      </c>
      <c r="T595" s="19">
        <f t="shared" si="99"/>
        <v>0</v>
      </c>
      <c r="U595" s="16">
        <f>IFERROR(SUMIF('LISTA DE EMBARQUE'!B:B,MICRO!E:E,'LISTA DE EMBARQUE'!G:G),"")</f>
        <v>3</v>
      </c>
      <c r="V595" s="12">
        <f>IFERROR(VLOOKUP(Tabela1[[#This Row],[COD.MDE]],'LISTA DE EMBARQUE'!B:L,11,0),"")</f>
        <v>4</v>
      </c>
      <c r="W595" s="13" t="str">
        <f>IFERROR(COUNTIF(#REF!,Tabela1[[#This Row],[Colunas5]]),"")</f>
        <v/>
      </c>
      <c r="X595" s="14">
        <f>Tabela1[[#This Row],[QIANTIDADE EXPEDIDA]]*Tabela1[[#This Row],[PESO UNI]]</f>
        <v>10.5</v>
      </c>
      <c r="Y595" s="14">
        <f t="shared" si="100"/>
        <v>0</v>
      </c>
      <c r="Z595" s="20">
        <f>Tabela1[[#This Row],[PESO TOTAL]]-Tabela1[[#This Row],[Peso Expedido]]</f>
        <v>0</v>
      </c>
      <c r="AA595" s="17">
        <v>1</v>
      </c>
      <c r="AB595" s="33"/>
      <c r="AC595" s="33">
        <v>1</v>
      </c>
      <c r="AD595" s="33">
        <v>1</v>
      </c>
      <c r="AE595" s="33">
        <v>1</v>
      </c>
      <c r="AF595" s="33">
        <v>1</v>
      </c>
      <c r="AG595" s="33">
        <v>1</v>
      </c>
      <c r="AH595" s="33">
        <v>1</v>
      </c>
      <c r="AI595" s="33" t="s">
        <v>4512</v>
      </c>
      <c r="AJ595"/>
      <c r="AK595" t="str">
        <f>Tabela1[[#This Row],[Coluna1]]&amp;Tabela1[[#This Row],[PEDIDO]]</f>
        <v>P-190</v>
      </c>
      <c r="AL595"/>
      <c r="AM595"/>
      <c r="AN595"/>
      <c r="AO595" t="str">
        <f t="shared" si="101"/>
        <v>(CONFORME ET:BBR-D-DF-1073-MDE-K-0017)/P190</v>
      </c>
      <c r="AP595" t="str">
        <f>Tabela1[[#This Row],[TAG]]&amp;Tabela1[[#This Row],[PEDIDO]]&amp;Tabela1[[#This Row],[PRODUTO]]</f>
        <v>P190P-190COMERCIAL</v>
      </c>
      <c r="AQ595" s="22" t="str">
        <f>Tabela1[[#This Row],[PRODUTO]]&amp;Tabela1[[#This Row],[TAG]]</f>
        <v>COMERCIALP190</v>
      </c>
      <c r="AR595" s="24" t="str">
        <f>Tabela1[[#This Row],[PEDIDO]]&amp;Tabela1[[#This Row],[PRODUTO]]</f>
        <v>P-190COMERCIAL</v>
      </c>
      <c r="AS595" s="37">
        <f>IF(AF595="",0,IF(ISTEXT(AF595),H595*VALUE(SUBSTITUTE(AF595,"%",""))/100,H595*AF595))-Tabela1[[#This Row],[PRONTO ACABADO2]]</f>
        <v>0</v>
      </c>
      <c r="AT595" s="37">
        <f>IF(AG595="",0,IF(ISTEXT(AG595),H595*VALUE(SUBSTITUTE(AG595,"%",""))/100,H595*AG595))-Tabela1[[#This Row],[PESO EXPEDIDO2]]</f>
        <v>0</v>
      </c>
      <c r="AU595" s="37">
        <f t="shared" si="102"/>
        <v>10.5</v>
      </c>
      <c r="AV595" s="37">
        <f t="shared" si="103"/>
        <v>10.5</v>
      </c>
      <c r="AW595" s="37"/>
    </row>
    <row r="596" spans="1:49" ht="15.75" customHeight="1" x14ac:dyDescent="0.25">
      <c r="A596" s="1" t="s">
        <v>4474</v>
      </c>
      <c r="B596" s="21"/>
      <c r="C596" s="1">
        <v>20</v>
      </c>
      <c r="D596" s="1" t="s">
        <v>4501</v>
      </c>
      <c r="E596" s="7">
        <v>4384</v>
      </c>
      <c r="F596" s="7" t="s">
        <v>4414</v>
      </c>
      <c r="G596" s="1">
        <v>0.3</v>
      </c>
      <c r="H596" s="34">
        <f>Tabela1[[#This Row],[PESO UNI]]*Tabela1[[#This Row],[QTE]]</f>
        <v>6</v>
      </c>
      <c r="I596" s="7"/>
      <c r="J596" s="8" t="s">
        <v>2550</v>
      </c>
      <c r="K596" s="8" t="s">
        <v>45</v>
      </c>
      <c r="L596" s="9" t="s">
        <v>2551</v>
      </c>
      <c r="M596" s="10"/>
      <c r="N596" s="11" t="s">
        <v>38</v>
      </c>
      <c r="O596" s="12"/>
      <c r="P596" s="13"/>
      <c r="Q596" s="14">
        <f>Tabela1[[#This Row],[QTDE/ Fabricação]]-Tabela1[[#This Row],[QTE]]</f>
        <v>-20</v>
      </c>
      <c r="R596" s="18">
        <f t="shared" si="98"/>
        <v>6</v>
      </c>
      <c r="S596" s="18">
        <f t="shared" si="97"/>
        <v>6</v>
      </c>
      <c r="T596" s="19">
        <f t="shared" si="99"/>
        <v>0</v>
      </c>
      <c r="U596" s="16">
        <f>IFERROR(SUMIF('LISTA DE EMBARQUE'!B:B,MICRO!E:E,'LISTA DE EMBARQUE'!G:G),"")</f>
        <v>20</v>
      </c>
      <c r="V596" s="12">
        <f>IFERROR(VLOOKUP(Tabela1[[#This Row],[COD.MDE]],'LISTA DE EMBARQUE'!B:L,11,0),"")</f>
        <v>4</v>
      </c>
      <c r="W596" s="13" t="str">
        <f>IFERROR(COUNTIF(#REF!,Tabela1[[#This Row],[Colunas5]]),"")</f>
        <v/>
      </c>
      <c r="X596" s="14">
        <f>Tabela1[[#This Row],[QIANTIDADE EXPEDIDA]]*Tabela1[[#This Row],[PESO UNI]]</f>
        <v>6</v>
      </c>
      <c r="Y596" s="14">
        <f t="shared" si="100"/>
        <v>0</v>
      </c>
      <c r="Z596" s="20">
        <f>Tabela1[[#This Row],[PESO TOTAL]]-Tabela1[[#This Row],[Peso Expedido]]</f>
        <v>0</v>
      </c>
      <c r="AA596" s="17">
        <v>1</v>
      </c>
      <c r="AB596" s="33"/>
      <c r="AC596" s="33">
        <v>1</v>
      </c>
      <c r="AD596" s="33">
        <v>1</v>
      </c>
      <c r="AE596" s="33">
        <v>1</v>
      </c>
      <c r="AF596" s="33">
        <v>1</v>
      </c>
      <c r="AG596" s="33">
        <v>1</v>
      </c>
      <c r="AH596" s="33">
        <v>1</v>
      </c>
      <c r="AI596" s="33" t="s">
        <v>4512</v>
      </c>
      <c r="AJ596"/>
      <c r="AK596" t="str">
        <f>Tabela1[[#This Row],[Coluna1]]&amp;Tabela1[[#This Row],[PEDIDO]]</f>
        <v>P-190</v>
      </c>
      <c r="AL596"/>
      <c r="AM596"/>
      <c r="AN596"/>
      <c r="AO596" t="str">
        <f t="shared" si="101"/>
        <v>(CONFORME ET:BBR-D-DF-1073-MDE-K-0017)/P190</v>
      </c>
      <c r="AP596" t="str">
        <f>Tabela1[[#This Row],[TAG]]&amp;Tabela1[[#This Row],[PEDIDO]]&amp;Tabela1[[#This Row],[PRODUTO]]</f>
        <v>P190P-190COMERCIAL</v>
      </c>
      <c r="AQ596" s="22" t="str">
        <f>Tabela1[[#This Row],[PRODUTO]]&amp;Tabela1[[#This Row],[TAG]]</f>
        <v>COMERCIALP190</v>
      </c>
      <c r="AR596" s="24" t="str">
        <f>Tabela1[[#This Row],[PEDIDO]]&amp;Tabela1[[#This Row],[PRODUTO]]</f>
        <v>P-190COMERCIAL</v>
      </c>
      <c r="AS596" s="37">
        <f>IF(AF596="",0,IF(ISTEXT(AF596),H596*VALUE(SUBSTITUTE(AF596,"%",""))/100,H596*AF596))-Tabela1[[#This Row],[PRONTO ACABADO2]]</f>
        <v>0</v>
      </c>
      <c r="AT596" s="37">
        <f>IF(AG596="",0,IF(ISTEXT(AG596),H596*VALUE(SUBSTITUTE(AG596,"%",""))/100,H596*AG596))-Tabela1[[#This Row],[PESO EXPEDIDO2]]</f>
        <v>0</v>
      </c>
      <c r="AU596" s="37">
        <f t="shared" si="102"/>
        <v>6</v>
      </c>
      <c r="AV596" s="37">
        <f t="shared" si="103"/>
        <v>6</v>
      </c>
      <c r="AW596" s="37"/>
    </row>
    <row r="597" spans="1:49" ht="15.75" customHeight="1" x14ac:dyDescent="0.25">
      <c r="A597" s="1" t="s">
        <v>4474</v>
      </c>
      <c r="B597" s="21"/>
      <c r="C597" s="1">
        <v>6</v>
      </c>
      <c r="D597" s="1" t="s">
        <v>4502</v>
      </c>
      <c r="E597" s="7">
        <v>4385</v>
      </c>
      <c r="F597" s="7" t="s">
        <v>4414</v>
      </c>
      <c r="G597" s="1">
        <v>0.01</v>
      </c>
      <c r="H597" s="34">
        <f>Tabela1[[#This Row],[PESO UNI]]*Tabela1[[#This Row],[QTE]]</f>
        <v>0.06</v>
      </c>
      <c r="I597" s="7"/>
      <c r="J597" s="8" t="s">
        <v>2550</v>
      </c>
      <c r="K597" s="8" t="s">
        <v>45</v>
      </c>
      <c r="L597" s="9" t="s">
        <v>2551</v>
      </c>
      <c r="M597" s="10"/>
      <c r="N597" s="11" t="s">
        <v>38</v>
      </c>
      <c r="O597" s="12"/>
      <c r="P597" s="13"/>
      <c r="Q597" s="14">
        <f>Tabela1[[#This Row],[QTDE/ Fabricação]]-Tabela1[[#This Row],[QTE]]</f>
        <v>-6</v>
      </c>
      <c r="R597" s="18">
        <f t="shared" si="98"/>
        <v>0.06</v>
      </c>
      <c r="S597" s="18">
        <f t="shared" si="97"/>
        <v>0.06</v>
      </c>
      <c r="T597" s="19">
        <f t="shared" si="99"/>
        <v>0</v>
      </c>
      <c r="U597" s="16">
        <f>IFERROR(SUMIF('LISTA DE EMBARQUE'!B:B,MICRO!E:E,'LISTA DE EMBARQUE'!G:G),"")</f>
        <v>6</v>
      </c>
      <c r="V597" s="12">
        <f>IFERROR(VLOOKUP(Tabela1[[#This Row],[COD.MDE]],'LISTA DE EMBARQUE'!B:L,11,0),"")</f>
        <v>4</v>
      </c>
      <c r="W597" s="13" t="str">
        <f>IFERROR(COUNTIF(#REF!,Tabela1[[#This Row],[Colunas5]]),"")</f>
        <v/>
      </c>
      <c r="X597" s="14">
        <f>Tabela1[[#This Row],[QIANTIDADE EXPEDIDA]]*Tabela1[[#This Row],[PESO UNI]]</f>
        <v>0.06</v>
      </c>
      <c r="Y597" s="14">
        <f t="shared" si="100"/>
        <v>0</v>
      </c>
      <c r="Z597" s="20">
        <f>Tabela1[[#This Row],[PESO TOTAL]]-Tabela1[[#This Row],[Peso Expedido]]</f>
        <v>0</v>
      </c>
      <c r="AA597" s="17">
        <v>1</v>
      </c>
      <c r="AB597" s="33"/>
      <c r="AC597" s="33">
        <v>1</v>
      </c>
      <c r="AD597" s="33">
        <v>1</v>
      </c>
      <c r="AE597" s="33">
        <v>1</v>
      </c>
      <c r="AF597" s="33">
        <v>1</v>
      </c>
      <c r="AG597" s="33">
        <v>1</v>
      </c>
      <c r="AH597" s="33">
        <v>1</v>
      </c>
      <c r="AI597" s="33" t="s">
        <v>4512</v>
      </c>
      <c r="AJ597"/>
      <c r="AK597" t="str">
        <f>Tabela1[[#This Row],[Coluna1]]&amp;Tabela1[[#This Row],[PEDIDO]]</f>
        <v>P-190</v>
      </c>
      <c r="AL597"/>
      <c r="AM597"/>
      <c r="AN597"/>
      <c r="AO597" t="str">
        <f t="shared" si="101"/>
        <v>(CONFORME ET:BBR-D-DF-1073-MDE-K-0017)/P190</v>
      </c>
      <c r="AP597" t="str">
        <f>Tabela1[[#This Row],[TAG]]&amp;Tabela1[[#This Row],[PEDIDO]]&amp;Tabela1[[#This Row],[PRODUTO]]</f>
        <v>P190P-190COMERCIAL</v>
      </c>
      <c r="AQ597" s="22" t="str">
        <f>Tabela1[[#This Row],[PRODUTO]]&amp;Tabela1[[#This Row],[TAG]]</f>
        <v>COMERCIALP190</v>
      </c>
      <c r="AR597" s="24" t="str">
        <f>Tabela1[[#This Row],[PEDIDO]]&amp;Tabela1[[#This Row],[PRODUTO]]</f>
        <v>P-190COMERCIAL</v>
      </c>
      <c r="AS597" s="37">
        <f>IF(AF597="",0,IF(ISTEXT(AF597),H597*VALUE(SUBSTITUTE(AF597,"%",""))/100,H597*AF597))-Tabela1[[#This Row],[PRONTO ACABADO2]]</f>
        <v>0</v>
      </c>
      <c r="AT597" s="37">
        <f>IF(AG597="",0,IF(ISTEXT(AG597),H597*VALUE(SUBSTITUTE(AG597,"%",""))/100,H597*AG597))-Tabela1[[#This Row],[PESO EXPEDIDO2]]</f>
        <v>0</v>
      </c>
      <c r="AU597" s="37">
        <f t="shared" si="102"/>
        <v>0.06</v>
      </c>
      <c r="AV597" s="37">
        <f t="shared" si="103"/>
        <v>0.06</v>
      </c>
      <c r="AW597" s="37"/>
    </row>
    <row r="598" spans="1:49" ht="15.75" customHeight="1" x14ac:dyDescent="0.25">
      <c r="A598" s="1" t="s">
        <v>4474</v>
      </c>
      <c r="B598" s="21"/>
      <c r="C598" s="1">
        <v>3</v>
      </c>
      <c r="D598" s="1" t="s">
        <v>4503</v>
      </c>
      <c r="E598" s="7">
        <v>4386</v>
      </c>
      <c r="F598" s="7" t="s">
        <v>4414</v>
      </c>
      <c r="G598" s="1">
        <v>0.02</v>
      </c>
      <c r="H598" s="34">
        <f>Tabela1[[#This Row],[PESO UNI]]*Tabela1[[#This Row],[QTE]]</f>
        <v>0.06</v>
      </c>
      <c r="I598" s="7"/>
      <c r="J598" s="8" t="s">
        <v>2550</v>
      </c>
      <c r="K598" s="8" t="s">
        <v>45</v>
      </c>
      <c r="L598" s="9" t="s">
        <v>2551</v>
      </c>
      <c r="M598" s="10"/>
      <c r="N598" s="11" t="s">
        <v>38</v>
      </c>
      <c r="O598" s="12"/>
      <c r="P598" s="13"/>
      <c r="Q598" s="14">
        <f>Tabela1[[#This Row],[QTDE/ Fabricação]]-Tabela1[[#This Row],[QTE]]</f>
        <v>-3</v>
      </c>
      <c r="R598" s="18">
        <f t="shared" si="98"/>
        <v>0.06</v>
      </c>
      <c r="S598" s="18">
        <f t="shared" si="97"/>
        <v>0.06</v>
      </c>
      <c r="T598" s="19">
        <f t="shared" si="99"/>
        <v>0</v>
      </c>
      <c r="U598" s="16">
        <f>IFERROR(SUMIF('LISTA DE EMBARQUE'!B:B,MICRO!E:E,'LISTA DE EMBARQUE'!G:G),"")</f>
        <v>3</v>
      </c>
      <c r="V598" s="12">
        <f>IFERROR(VLOOKUP(Tabela1[[#This Row],[COD.MDE]],'LISTA DE EMBARQUE'!B:L,11,0),"")</f>
        <v>4</v>
      </c>
      <c r="W598" s="13" t="str">
        <f>IFERROR(COUNTIF(#REF!,Tabela1[[#This Row],[Colunas5]]),"")</f>
        <v/>
      </c>
      <c r="X598" s="14">
        <f>Tabela1[[#This Row],[QIANTIDADE EXPEDIDA]]*Tabela1[[#This Row],[PESO UNI]]</f>
        <v>0.06</v>
      </c>
      <c r="Y598" s="14">
        <f t="shared" si="100"/>
        <v>0</v>
      </c>
      <c r="Z598" s="20">
        <f>Tabela1[[#This Row],[PESO TOTAL]]-Tabela1[[#This Row],[Peso Expedido]]</f>
        <v>0</v>
      </c>
      <c r="AA598" s="17">
        <v>1</v>
      </c>
      <c r="AB598" s="33"/>
      <c r="AC598" s="33">
        <v>1</v>
      </c>
      <c r="AD598" s="33">
        <v>1</v>
      </c>
      <c r="AE598" s="33">
        <v>1</v>
      </c>
      <c r="AF598" s="33">
        <v>1</v>
      </c>
      <c r="AG598" s="33">
        <v>1</v>
      </c>
      <c r="AH598" s="33">
        <v>1</v>
      </c>
      <c r="AI598" s="33" t="s">
        <v>4512</v>
      </c>
      <c r="AJ598"/>
      <c r="AK598" t="str">
        <f>Tabela1[[#This Row],[Coluna1]]&amp;Tabela1[[#This Row],[PEDIDO]]</f>
        <v>P-190</v>
      </c>
      <c r="AL598"/>
      <c r="AM598"/>
      <c r="AN598"/>
      <c r="AO598" t="str">
        <f t="shared" si="101"/>
        <v>(CONFORME ET:BBR-D-DF-1073-MDE-K-0017)/P190</v>
      </c>
      <c r="AP598" t="str">
        <f>Tabela1[[#This Row],[TAG]]&amp;Tabela1[[#This Row],[PEDIDO]]&amp;Tabela1[[#This Row],[PRODUTO]]</f>
        <v>P190P-190COMERCIAL</v>
      </c>
      <c r="AQ598" s="22" t="str">
        <f>Tabela1[[#This Row],[PRODUTO]]&amp;Tabela1[[#This Row],[TAG]]</f>
        <v>COMERCIALP190</v>
      </c>
      <c r="AR598" s="24" t="str">
        <f>Tabela1[[#This Row],[PEDIDO]]&amp;Tabela1[[#This Row],[PRODUTO]]</f>
        <v>P-190COMERCIAL</v>
      </c>
      <c r="AS598" s="37">
        <f>IF(AF598="",0,IF(ISTEXT(AF598),H598*VALUE(SUBSTITUTE(AF598,"%",""))/100,H598*AF598))-Tabela1[[#This Row],[PRONTO ACABADO2]]</f>
        <v>0</v>
      </c>
      <c r="AT598" s="37">
        <f>IF(AG598="",0,IF(ISTEXT(AG598),H598*VALUE(SUBSTITUTE(AG598,"%",""))/100,H598*AG598))-Tabela1[[#This Row],[PESO EXPEDIDO2]]</f>
        <v>0</v>
      </c>
      <c r="AU598" s="37">
        <f t="shared" si="102"/>
        <v>0.06</v>
      </c>
      <c r="AV598" s="37">
        <f t="shared" si="103"/>
        <v>0.06</v>
      </c>
      <c r="AW598" s="37"/>
    </row>
    <row r="599" spans="1:49" ht="15.75" customHeight="1" x14ac:dyDescent="0.25">
      <c r="A599" s="1" t="s">
        <v>4474</v>
      </c>
      <c r="B599" s="21"/>
      <c r="C599" s="1">
        <v>6</v>
      </c>
      <c r="D599" s="1" t="s">
        <v>4504</v>
      </c>
      <c r="E599" s="7">
        <v>4387</v>
      </c>
      <c r="F599" s="7" t="s">
        <v>4414</v>
      </c>
      <c r="G599" s="1">
        <v>0.01</v>
      </c>
      <c r="H599" s="34">
        <f>Tabela1[[#This Row],[PESO UNI]]*Tabela1[[#This Row],[QTE]]</f>
        <v>0.06</v>
      </c>
      <c r="I599" s="7"/>
      <c r="J599" s="8" t="s">
        <v>2550</v>
      </c>
      <c r="K599" s="8" t="s">
        <v>45</v>
      </c>
      <c r="L599" s="9" t="s">
        <v>2551</v>
      </c>
      <c r="M599" s="10"/>
      <c r="N599" s="11" t="s">
        <v>38</v>
      </c>
      <c r="O599" s="12"/>
      <c r="P599" s="13"/>
      <c r="Q599" s="14">
        <f>Tabela1[[#This Row],[QTDE/ Fabricação]]-Tabela1[[#This Row],[QTE]]</f>
        <v>-6</v>
      </c>
      <c r="R599" s="18">
        <f t="shared" si="98"/>
        <v>0.06</v>
      </c>
      <c r="S599" s="18">
        <f t="shared" si="97"/>
        <v>0.06</v>
      </c>
      <c r="T599" s="19">
        <f t="shared" si="99"/>
        <v>0</v>
      </c>
      <c r="U599" s="16">
        <f>IFERROR(SUMIF('LISTA DE EMBARQUE'!B:B,MICRO!E:E,'LISTA DE EMBARQUE'!G:G),"")</f>
        <v>6</v>
      </c>
      <c r="V599" s="12">
        <f>IFERROR(VLOOKUP(Tabela1[[#This Row],[COD.MDE]],'LISTA DE EMBARQUE'!B:L,11,0),"")</f>
        <v>4</v>
      </c>
      <c r="W599" s="13" t="str">
        <f>IFERROR(COUNTIF(#REF!,Tabela1[[#This Row],[Colunas5]]),"")</f>
        <v/>
      </c>
      <c r="X599" s="14">
        <f>Tabela1[[#This Row],[QIANTIDADE EXPEDIDA]]*Tabela1[[#This Row],[PESO UNI]]</f>
        <v>0.06</v>
      </c>
      <c r="Y599" s="14">
        <f t="shared" si="100"/>
        <v>0</v>
      </c>
      <c r="Z599" s="20">
        <f>Tabela1[[#This Row],[PESO TOTAL]]-Tabela1[[#This Row],[Peso Expedido]]</f>
        <v>0</v>
      </c>
      <c r="AA599" s="17">
        <v>1</v>
      </c>
      <c r="AB599" s="33"/>
      <c r="AC599" s="33">
        <v>1</v>
      </c>
      <c r="AD599" s="33">
        <v>1</v>
      </c>
      <c r="AE599" s="33">
        <v>1</v>
      </c>
      <c r="AF599" s="33">
        <v>1</v>
      </c>
      <c r="AG599" s="33">
        <v>1</v>
      </c>
      <c r="AH599" s="33">
        <v>1</v>
      </c>
      <c r="AI599" s="33" t="s">
        <v>4512</v>
      </c>
      <c r="AJ599"/>
      <c r="AK599" t="str">
        <f>Tabela1[[#This Row],[Coluna1]]&amp;Tabela1[[#This Row],[PEDIDO]]</f>
        <v>P-190</v>
      </c>
      <c r="AL599"/>
      <c r="AM599"/>
      <c r="AN599"/>
      <c r="AO599" t="str">
        <f t="shared" si="101"/>
        <v>(CONFORME ET:BBR-D-DF-1073-MDE-K-0017)/P190</v>
      </c>
      <c r="AP599" t="str">
        <f>Tabela1[[#This Row],[TAG]]&amp;Tabela1[[#This Row],[PEDIDO]]&amp;Tabela1[[#This Row],[PRODUTO]]</f>
        <v>P190P-190COMERCIAL</v>
      </c>
      <c r="AQ599" s="22" t="str">
        <f>Tabela1[[#This Row],[PRODUTO]]&amp;Tabela1[[#This Row],[TAG]]</f>
        <v>COMERCIALP190</v>
      </c>
      <c r="AR599" s="24" t="str">
        <f>Tabela1[[#This Row],[PEDIDO]]&amp;Tabela1[[#This Row],[PRODUTO]]</f>
        <v>P-190COMERCIAL</v>
      </c>
      <c r="AS599" s="37">
        <f>IF(AF599="",0,IF(ISTEXT(AF599),H599*VALUE(SUBSTITUTE(AF599,"%",""))/100,H599*AF599))-Tabela1[[#This Row],[PRONTO ACABADO2]]</f>
        <v>0</v>
      </c>
      <c r="AT599" s="37">
        <f>IF(AG599="",0,IF(ISTEXT(AG599),H599*VALUE(SUBSTITUTE(AG599,"%",""))/100,H599*AG599))-Tabela1[[#This Row],[PESO EXPEDIDO2]]</f>
        <v>0</v>
      </c>
      <c r="AU599" s="37">
        <f t="shared" si="102"/>
        <v>0.06</v>
      </c>
      <c r="AV599" s="37">
        <f t="shared" si="103"/>
        <v>0.06</v>
      </c>
      <c r="AW599" s="37"/>
    </row>
    <row r="600" spans="1:49" ht="15.75" customHeight="1" x14ac:dyDescent="0.25">
      <c r="A600" s="1" t="s">
        <v>4474</v>
      </c>
      <c r="B600" s="21"/>
      <c r="C600" s="1">
        <v>15</v>
      </c>
      <c r="D600" s="1" t="s">
        <v>4505</v>
      </c>
      <c r="E600" s="7">
        <v>4388</v>
      </c>
      <c r="F600" s="7" t="s">
        <v>4414</v>
      </c>
      <c r="G600" s="1">
        <v>0.34599999999999997</v>
      </c>
      <c r="H600" s="34">
        <f>Tabela1[[#This Row],[PESO UNI]]*Tabela1[[#This Row],[QTE]]</f>
        <v>5.1899999999999995</v>
      </c>
      <c r="I600" s="7"/>
      <c r="J600" s="8" t="s">
        <v>2550</v>
      </c>
      <c r="K600" s="8" t="s">
        <v>45</v>
      </c>
      <c r="L600" s="9" t="s">
        <v>2551</v>
      </c>
      <c r="M600" s="10"/>
      <c r="N600" s="11" t="s">
        <v>38</v>
      </c>
      <c r="O600" s="12"/>
      <c r="P600" s="13"/>
      <c r="Q600" s="14">
        <f>Tabela1[[#This Row],[QTDE/ Fabricação]]-Tabela1[[#This Row],[QTE]]</f>
        <v>-15</v>
      </c>
      <c r="R600" s="18">
        <f t="shared" si="98"/>
        <v>5.1899999999999995</v>
      </c>
      <c r="S600" s="18">
        <f t="shared" si="97"/>
        <v>5.1899999999999995</v>
      </c>
      <c r="T600" s="19">
        <f t="shared" si="99"/>
        <v>0</v>
      </c>
      <c r="U600" s="16">
        <f>IFERROR(SUMIF('LISTA DE EMBARQUE'!B:B,MICRO!E:E,'LISTA DE EMBARQUE'!G:G),"")</f>
        <v>15</v>
      </c>
      <c r="V600" s="12">
        <f>IFERROR(VLOOKUP(Tabela1[[#This Row],[COD.MDE]],'LISTA DE EMBARQUE'!B:L,11,0),"")</f>
        <v>4</v>
      </c>
      <c r="W600" s="13" t="str">
        <f>IFERROR(COUNTIF(#REF!,Tabela1[[#This Row],[Colunas5]]),"")</f>
        <v/>
      </c>
      <c r="X600" s="14">
        <f>Tabela1[[#This Row],[QIANTIDADE EXPEDIDA]]*Tabela1[[#This Row],[PESO UNI]]</f>
        <v>5.1899999999999995</v>
      </c>
      <c r="Y600" s="14">
        <f t="shared" si="100"/>
        <v>0</v>
      </c>
      <c r="Z600" s="20">
        <f>Tabela1[[#This Row],[PESO TOTAL]]-Tabela1[[#This Row],[Peso Expedido]]</f>
        <v>0</v>
      </c>
      <c r="AA600" s="17">
        <v>1</v>
      </c>
      <c r="AB600" s="33"/>
      <c r="AC600" s="33">
        <v>1</v>
      </c>
      <c r="AD600" s="33">
        <v>1</v>
      </c>
      <c r="AE600" s="33">
        <v>1</v>
      </c>
      <c r="AF600" s="33">
        <v>1</v>
      </c>
      <c r="AG600" s="33">
        <v>1</v>
      </c>
      <c r="AH600" s="33">
        <v>1</v>
      </c>
      <c r="AI600" s="33" t="s">
        <v>4512</v>
      </c>
      <c r="AJ600"/>
      <c r="AK600" t="str">
        <f>Tabela1[[#This Row],[Coluna1]]&amp;Tabela1[[#This Row],[PEDIDO]]</f>
        <v>P-190</v>
      </c>
      <c r="AL600"/>
      <c r="AM600"/>
      <c r="AN600"/>
      <c r="AO600" t="str">
        <f t="shared" si="101"/>
        <v>(CONFORME ET:BBR-D-DF-1073-MDE-K-0017)/P190</v>
      </c>
      <c r="AP600" t="str">
        <f>Tabela1[[#This Row],[TAG]]&amp;Tabela1[[#This Row],[PEDIDO]]&amp;Tabela1[[#This Row],[PRODUTO]]</f>
        <v>P190P-190COMERCIAL</v>
      </c>
      <c r="AQ600" s="22" t="str">
        <f>Tabela1[[#This Row],[PRODUTO]]&amp;Tabela1[[#This Row],[TAG]]</f>
        <v>COMERCIALP190</v>
      </c>
      <c r="AR600" s="24" t="str">
        <f>Tabela1[[#This Row],[PEDIDO]]&amp;Tabela1[[#This Row],[PRODUTO]]</f>
        <v>P-190COMERCIAL</v>
      </c>
      <c r="AS600" s="37">
        <f>IF(AF600="",0,IF(ISTEXT(AF600),H600*VALUE(SUBSTITUTE(AF600,"%",""))/100,H600*AF600))-Tabela1[[#This Row],[PRONTO ACABADO2]]</f>
        <v>0</v>
      </c>
      <c r="AT600" s="37">
        <f>IF(AG600="",0,IF(ISTEXT(AG600),H600*VALUE(SUBSTITUTE(AG600,"%",""))/100,H600*AG600))-Tabela1[[#This Row],[PESO EXPEDIDO2]]</f>
        <v>0</v>
      </c>
      <c r="AU600" s="37">
        <f t="shared" si="102"/>
        <v>5.1899999999999995</v>
      </c>
      <c r="AV600" s="37">
        <f t="shared" si="103"/>
        <v>5.1899999999999995</v>
      </c>
      <c r="AW600" s="37"/>
    </row>
    <row r="601" spans="1:49" ht="15.75" customHeight="1" x14ac:dyDescent="0.25">
      <c r="A601" s="1" t="s">
        <v>4474</v>
      </c>
      <c r="B601" s="21"/>
      <c r="C601" s="1">
        <v>12</v>
      </c>
      <c r="D601" s="1" t="s">
        <v>4506</v>
      </c>
      <c r="E601" s="7">
        <v>4389</v>
      </c>
      <c r="F601" s="7" t="s">
        <v>4414</v>
      </c>
      <c r="G601" s="1">
        <v>0.11700000000000001</v>
      </c>
      <c r="H601" s="34">
        <f>Tabela1[[#This Row],[PESO UNI]]*Tabela1[[#This Row],[QTE]]</f>
        <v>1.4040000000000001</v>
      </c>
      <c r="I601" s="7"/>
      <c r="J601" s="8" t="s">
        <v>2550</v>
      </c>
      <c r="K601" s="8" t="s">
        <v>45</v>
      </c>
      <c r="L601" s="9" t="s">
        <v>2551</v>
      </c>
      <c r="M601" s="10"/>
      <c r="N601" s="11" t="s">
        <v>38</v>
      </c>
      <c r="O601" s="12"/>
      <c r="P601" s="13"/>
      <c r="Q601" s="14">
        <f>Tabela1[[#This Row],[QTDE/ Fabricação]]-Tabela1[[#This Row],[QTE]]</f>
        <v>-12</v>
      </c>
      <c r="R601" s="18">
        <f t="shared" si="98"/>
        <v>1.4040000000000001</v>
      </c>
      <c r="S601" s="18">
        <f t="shared" si="97"/>
        <v>1.4040000000000001</v>
      </c>
      <c r="T601" s="19">
        <f t="shared" si="99"/>
        <v>0</v>
      </c>
      <c r="U601" s="16">
        <f>IFERROR(SUMIF('LISTA DE EMBARQUE'!B:B,MICRO!E:E,'LISTA DE EMBARQUE'!G:G),"")</f>
        <v>12</v>
      </c>
      <c r="V601" s="12">
        <f>IFERROR(VLOOKUP(Tabela1[[#This Row],[COD.MDE]],'LISTA DE EMBARQUE'!B:L,11,0),"")</f>
        <v>4</v>
      </c>
      <c r="W601" s="13" t="str">
        <f>IFERROR(COUNTIF(#REF!,Tabela1[[#This Row],[Colunas5]]),"")</f>
        <v/>
      </c>
      <c r="X601" s="14">
        <f>Tabela1[[#This Row],[QIANTIDADE EXPEDIDA]]*Tabela1[[#This Row],[PESO UNI]]</f>
        <v>1.4040000000000001</v>
      </c>
      <c r="Y601" s="14">
        <f t="shared" si="100"/>
        <v>0</v>
      </c>
      <c r="Z601" s="20">
        <f>Tabela1[[#This Row],[PESO TOTAL]]-Tabela1[[#This Row],[Peso Expedido]]</f>
        <v>0</v>
      </c>
      <c r="AA601" s="17">
        <v>1</v>
      </c>
      <c r="AB601" s="33"/>
      <c r="AC601" s="33">
        <v>1</v>
      </c>
      <c r="AD601" s="33">
        <v>1</v>
      </c>
      <c r="AE601" s="33">
        <v>1</v>
      </c>
      <c r="AF601" s="33">
        <v>1</v>
      </c>
      <c r="AG601" s="33">
        <v>1</v>
      </c>
      <c r="AH601" s="33">
        <v>1</v>
      </c>
      <c r="AI601" s="33" t="s">
        <v>4512</v>
      </c>
      <c r="AJ601"/>
      <c r="AK601" t="str">
        <f>Tabela1[[#This Row],[Coluna1]]&amp;Tabela1[[#This Row],[PEDIDO]]</f>
        <v>P-190</v>
      </c>
      <c r="AL601"/>
      <c r="AM601"/>
      <c r="AN601"/>
      <c r="AO601" t="str">
        <f t="shared" si="101"/>
        <v>(CONFORME ET:BBR-D-DF-1073-MDE-K-0017)/P190</v>
      </c>
      <c r="AP601" t="str">
        <f>Tabela1[[#This Row],[TAG]]&amp;Tabela1[[#This Row],[PEDIDO]]&amp;Tabela1[[#This Row],[PRODUTO]]</f>
        <v>P190P-190COMERCIAL</v>
      </c>
      <c r="AQ601" s="22" t="str">
        <f>Tabela1[[#This Row],[PRODUTO]]&amp;Tabela1[[#This Row],[TAG]]</f>
        <v>COMERCIALP190</v>
      </c>
      <c r="AR601" s="24" t="str">
        <f>Tabela1[[#This Row],[PEDIDO]]&amp;Tabela1[[#This Row],[PRODUTO]]</f>
        <v>P-190COMERCIAL</v>
      </c>
      <c r="AS601" s="37">
        <f>IF(AF601="",0,IF(ISTEXT(AF601),H601*VALUE(SUBSTITUTE(AF601,"%",""))/100,H601*AF601))-Tabela1[[#This Row],[PRONTO ACABADO2]]</f>
        <v>0</v>
      </c>
      <c r="AT601" s="37">
        <f>IF(AG601="",0,IF(ISTEXT(AG601),H601*VALUE(SUBSTITUTE(AG601,"%",""))/100,H601*AG601))-Tabela1[[#This Row],[PESO EXPEDIDO2]]</f>
        <v>0</v>
      </c>
      <c r="AU601" s="37">
        <f t="shared" si="102"/>
        <v>1.4040000000000001</v>
      </c>
      <c r="AV601" s="37">
        <f t="shared" si="103"/>
        <v>1.4040000000000001</v>
      </c>
      <c r="AW601" s="37"/>
    </row>
    <row r="602" spans="1:49" ht="15.75" customHeight="1" x14ac:dyDescent="0.25">
      <c r="A602" s="1" t="s">
        <v>4462</v>
      </c>
      <c r="B602" s="21"/>
      <c r="C602" s="1">
        <v>4</v>
      </c>
      <c r="D602" s="1" t="s">
        <v>4507</v>
      </c>
      <c r="E602" s="7">
        <v>4390</v>
      </c>
      <c r="F602" s="7" t="s">
        <v>4414</v>
      </c>
      <c r="G602" s="1">
        <v>1</v>
      </c>
      <c r="H602" s="34">
        <f>Tabela1[[#This Row],[PESO UNI]]*Tabela1[[#This Row],[QTE]]</f>
        <v>4</v>
      </c>
      <c r="I602" s="7"/>
      <c r="J602" s="8" t="s">
        <v>2550</v>
      </c>
      <c r="K602" s="8" t="s">
        <v>45</v>
      </c>
      <c r="L602" s="9" t="s">
        <v>2551</v>
      </c>
      <c r="M602" s="10"/>
      <c r="N602" s="11" t="s">
        <v>38</v>
      </c>
      <c r="O602" s="12"/>
      <c r="P602" s="13"/>
      <c r="Q602" s="14">
        <f>Tabela1[[#This Row],[QTDE/ Fabricação]]-Tabela1[[#This Row],[QTE]]</f>
        <v>-4</v>
      </c>
      <c r="R602" s="18">
        <f t="shared" si="98"/>
        <v>4</v>
      </c>
      <c r="S602" s="18">
        <f t="shared" si="97"/>
        <v>4</v>
      </c>
      <c r="T602" s="19">
        <f t="shared" si="99"/>
        <v>0</v>
      </c>
      <c r="U602" s="16">
        <f>IFERROR(SUMIF('LISTA DE EMBARQUE'!B:B,MICRO!E:E,'LISTA DE EMBARQUE'!G:G),"")</f>
        <v>4</v>
      </c>
      <c r="V602" s="12">
        <f>IFERROR(VLOOKUP(Tabela1[[#This Row],[COD.MDE]],'LISTA DE EMBARQUE'!B:L,11,0),"")</f>
        <v>4</v>
      </c>
      <c r="W602" s="13" t="str">
        <f>IFERROR(COUNTIF(#REF!,Tabela1[[#This Row],[Colunas5]]),"")</f>
        <v/>
      </c>
      <c r="X602" s="14">
        <f>Tabela1[[#This Row],[QIANTIDADE EXPEDIDA]]*Tabela1[[#This Row],[PESO UNI]]</f>
        <v>4</v>
      </c>
      <c r="Y602" s="14">
        <f t="shared" si="100"/>
        <v>0</v>
      </c>
      <c r="Z602" s="20">
        <f>Tabela1[[#This Row],[PESO TOTAL]]-Tabela1[[#This Row],[Peso Expedido]]</f>
        <v>0</v>
      </c>
      <c r="AA602" s="17">
        <v>1</v>
      </c>
      <c r="AB602" s="33"/>
      <c r="AC602" s="33">
        <v>1</v>
      </c>
      <c r="AD602" s="33">
        <v>1</v>
      </c>
      <c r="AE602" s="33">
        <v>1</v>
      </c>
      <c r="AF602" s="33">
        <v>1</v>
      </c>
      <c r="AG602" s="33">
        <v>1</v>
      </c>
      <c r="AH602" s="33">
        <v>1</v>
      </c>
      <c r="AI602" s="33" t="s">
        <v>4512</v>
      </c>
      <c r="AJ602"/>
      <c r="AK602" t="str">
        <f>Tabela1[[#This Row],[Coluna1]]&amp;Tabela1[[#This Row],[PEDIDO]]</f>
        <v>P-190</v>
      </c>
      <c r="AL602"/>
      <c r="AM602"/>
      <c r="AN602"/>
      <c r="AO602" t="str">
        <f t="shared" si="101"/>
        <v>P-073057-1/P190</v>
      </c>
      <c r="AP602" t="str">
        <f>Tabela1[[#This Row],[TAG]]&amp;Tabela1[[#This Row],[PEDIDO]]&amp;Tabela1[[#This Row],[PRODUTO]]</f>
        <v>P190P-190COMERCIAL</v>
      </c>
      <c r="AQ602" s="22" t="str">
        <f>Tabela1[[#This Row],[PRODUTO]]&amp;Tabela1[[#This Row],[TAG]]</f>
        <v>COMERCIALP190</v>
      </c>
      <c r="AR602" s="24" t="str">
        <f>Tabela1[[#This Row],[PEDIDO]]&amp;Tabela1[[#This Row],[PRODUTO]]</f>
        <v>P-190COMERCIAL</v>
      </c>
      <c r="AS602" s="37">
        <f>IF(AF602="",0,IF(ISTEXT(AF602),H602*VALUE(SUBSTITUTE(AF602,"%",""))/100,H602*AF602))-Tabela1[[#This Row],[PRONTO ACABADO2]]</f>
        <v>0</v>
      </c>
      <c r="AT602" s="37">
        <f>IF(AG602="",0,IF(ISTEXT(AG602),H602*VALUE(SUBSTITUTE(AG602,"%",""))/100,H602*AG602))-Tabela1[[#This Row],[PESO EXPEDIDO2]]</f>
        <v>0</v>
      </c>
      <c r="AU602" s="37">
        <f t="shared" si="102"/>
        <v>4</v>
      </c>
      <c r="AV602" s="37">
        <f t="shared" si="103"/>
        <v>4</v>
      </c>
      <c r="AW602" s="37"/>
    </row>
    <row r="603" spans="1:49" ht="15.75" customHeight="1" x14ac:dyDescent="0.25">
      <c r="A603" s="1" t="s">
        <v>4474</v>
      </c>
      <c r="B603" s="21"/>
      <c r="C603" s="1">
        <v>1</v>
      </c>
      <c r="D603" s="1" t="s">
        <v>4508</v>
      </c>
      <c r="E603" s="7">
        <v>4391</v>
      </c>
      <c r="F603" s="7" t="s">
        <v>4414</v>
      </c>
      <c r="G603" s="1">
        <v>1.2</v>
      </c>
      <c r="H603" s="34">
        <f>Tabela1[[#This Row],[PESO UNI]]*Tabela1[[#This Row],[QTE]]</f>
        <v>1.2</v>
      </c>
      <c r="I603" s="7"/>
      <c r="J603" s="8" t="s">
        <v>2550</v>
      </c>
      <c r="K603" s="8" t="s">
        <v>45</v>
      </c>
      <c r="L603" s="9" t="s">
        <v>2551</v>
      </c>
      <c r="M603" s="10"/>
      <c r="N603" s="11" t="s">
        <v>38</v>
      </c>
      <c r="O603" s="12"/>
      <c r="P603" s="13"/>
      <c r="Q603" s="14">
        <f>Tabela1[[#This Row],[QTDE/ Fabricação]]-Tabela1[[#This Row],[QTE]]</f>
        <v>-1</v>
      </c>
      <c r="R603" s="18">
        <f t="shared" si="98"/>
        <v>1.2</v>
      </c>
      <c r="S603" s="18">
        <f t="shared" si="97"/>
        <v>1.2</v>
      </c>
      <c r="T603" s="19">
        <f t="shared" si="99"/>
        <v>0</v>
      </c>
      <c r="U603" s="16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>IFERROR(COUNTIF(#REF!,Tabela1[[#This Row],[Colunas5]]),"")</f>
        <v/>
      </c>
      <c r="X603" s="14">
        <f>Tabela1[[#This Row],[QIANTIDADE EXPEDIDA]]*Tabela1[[#This Row],[PESO UNI]]</f>
        <v>1.2</v>
      </c>
      <c r="Y603" s="14">
        <f t="shared" si="100"/>
        <v>0</v>
      </c>
      <c r="Z603" s="20">
        <f>Tabela1[[#This Row],[PESO TOTAL]]-Tabela1[[#This Row],[Peso Expedido]]</f>
        <v>0</v>
      </c>
      <c r="AA603" s="17">
        <v>1</v>
      </c>
      <c r="AB603" s="33"/>
      <c r="AC603" s="33">
        <v>1</v>
      </c>
      <c r="AD603" s="33">
        <v>1</v>
      </c>
      <c r="AE603" s="33">
        <v>1</v>
      </c>
      <c r="AF603" s="33">
        <v>1</v>
      </c>
      <c r="AG603" s="33">
        <v>1</v>
      </c>
      <c r="AH603" s="33">
        <v>1</v>
      </c>
      <c r="AI603" s="33" t="s">
        <v>4512</v>
      </c>
      <c r="AJ603"/>
      <c r="AK603" t="str">
        <f>Tabela1[[#This Row],[Coluna1]]&amp;Tabela1[[#This Row],[PEDIDO]]</f>
        <v>P-190</v>
      </c>
      <c r="AL603"/>
      <c r="AM603"/>
      <c r="AN603"/>
      <c r="AO603" t="str">
        <f t="shared" si="101"/>
        <v>(CONFORME ET:BBR-D-DF-1073-MDE-K-0017)/P190</v>
      </c>
      <c r="AP603" t="str">
        <f>Tabela1[[#This Row],[TAG]]&amp;Tabela1[[#This Row],[PEDIDO]]&amp;Tabela1[[#This Row],[PRODUTO]]</f>
        <v>P190P-190COMERCIAL</v>
      </c>
      <c r="AQ603" s="22" t="str">
        <f>Tabela1[[#This Row],[PRODUTO]]&amp;Tabela1[[#This Row],[TAG]]</f>
        <v>COMERCIALP190</v>
      </c>
      <c r="AR603" s="24" t="str">
        <f>Tabela1[[#This Row],[PEDIDO]]&amp;Tabela1[[#This Row],[PRODUTO]]</f>
        <v>P-190COMERCIAL</v>
      </c>
      <c r="AS603" s="37">
        <f>IF(AF603="",0,IF(ISTEXT(AF603),H603*VALUE(SUBSTITUTE(AF603,"%",""))/100,H603*AF603))-Tabela1[[#This Row],[PRONTO ACABADO2]]</f>
        <v>0</v>
      </c>
      <c r="AT603" s="37">
        <f>IF(AG603="",0,IF(ISTEXT(AG603),H603*VALUE(SUBSTITUTE(AG603,"%",""))/100,H603*AG603))-Tabela1[[#This Row],[PESO EXPEDIDO2]]</f>
        <v>0</v>
      </c>
      <c r="AU603" s="37">
        <f t="shared" si="102"/>
        <v>1.2</v>
      </c>
      <c r="AV603" s="37">
        <f t="shared" si="103"/>
        <v>1.2</v>
      </c>
      <c r="AW603" s="37"/>
    </row>
    <row r="604" spans="1:49" ht="15.75" customHeight="1" x14ac:dyDescent="0.25">
      <c r="A604" s="1" t="s">
        <v>4474</v>
      </c>
      <c r="B604" s="21"/>
      <c r="C604" s="1">
        <v>1</v>
      </c>
      <c r="D604" s="1" t="s">
        <v>4450</v>
      </c>
      <c r="E604" s="7">
        <v>4392</v>
      </c>
      <c r="F604" s="7" t="s">
        <v>4414</v>
      </c>
      <c r="G604" s="1">
        <v>2.5</v>
      </c>
      <c r="H604" s="34">
        <f>Tabela1[[#This Row],[PESO UNI]]*Tabela1[[#This Row],[QTE]]</f>
        <v>2.5</v>
      </c>
      <c r="I604" s="7"/>
      <c r="J604" s="8" t="s">
        <v>2550</v>
      </c>
      <c r="K604" s="8" t="s">
        <v>45</v>
      </c>
      <c r="L604" s="9" t="s">
        <v>2551</v>
      </c>
      <c r="M604" s="10"/>
      <c r="N604" s="11" t="s">
        <v>38</v>
      </c>
      <c r="O604" s="12"/>
      <c r="P604" s="13"/>
      <c r="Q604" s="14">
        <f>Tabela1[[#This Row],[QTDE/ Fabricação]]-Tabela1[[#This Row],[QTE]]</f>
        <v>-1</v>
      </c>
      <c r="R604" s="18">
        <f t="shared" si="98"/>
        <v>2.5</v>
      </c>
      <c r="S604" s="18">
        <f t="shared" si="97"/>
        <v>2.5</v>
      </c>
      <c r="T604" s="19">
        <f t="shared" si="99"/>
        <v>0</v>
      </c>
      <c r="U604" s="16">
        <f>IFERROR(SUMIF('LISTA DE EMBARQUE'!B:B,MICRO!E:E,'LISTA DE EMBARQUE'!G:G),"")</f>
        <v>1</v>
      </c>
      <c r="V604" s="12">
        <f>IFERROR(VLOOKUP(Tabela1[[#This Row],[COD.MDE]],'LISTA DE EMBARQUE'!B:L,11,0),"")</f>
        <v>4</v>
      </c>
      <c r="W604" s="13" t="str">
        <f>IFERROR(COUNTIF(#REF!,Tabela1[[#This Row],[Colunas5]]),"")</f>
        <v/>
      </c>
      <c r="X604" s="14">
        <f>Tabela1[[#This Row],[QIANTIDADE EXPEDIDA]]*Tabela1[[#This Row],[PESO UNI]]</f>
        <v>2.5</v>
      </c>
      <c r="Y604" s="14">
        <f t="shared" si="100"/>
        <v>0</v>
      </c>
      <c r="Z604" s="20">
        <f>Tabela1[[#This Row],[PESO TOTAL]]-Tabela1[[#This Row],[Peso Expedido]]</f>
        <v>0</v>
      </c>
      <c r="AA604" s="17">
        <v>1</v>
      </c>
      <c r="AB604" s="33"/>
      <c r="AC604" s="33">
        <v>1</v>
      </c>
      <c r="AD604" s="33">
        <v>1</v>
      </c>
      <c r="AE604" s="33">
        <v>1</v>
      </c>
      <c r="AF604" s="33">
        <v>1</v>
      </c>
      <c r="AG604" s="33">
        <v>1</v>
      </c>
      <c r="AH604" s="33">
        <v>1</v>
      </c>
      <c r="AI604" s="33" t="s">
        <v>4512</v>
      </c>
      <c r="AJ604"/>
      <c r="AK604" t="str">
        <f>Tabela1[[#This Row],[Coluna1]]&amp;Tabela1[[#This Row],[PEDIDO]]</f>
        <v>P-190</v>
      </c>
      <c r="AL604"/>
      <c r="AM604"/>
      <c r="AN604"/>
      <c r="AO604" t="str">
        <f t="shared" si="101"/>
        <v>(CONFORME ET:BBR-D-DF-1073-MDE-K-0017)/P190</v>
      </c>
      <c r="AP604" t="str">
        <f>Tabela1[[#This Row],[TAG]]&amp;Tabela1[[#This Row],[PEDIDO]]&amp;Tabela1[[#This Row],[PRODUTO]]</f>
        <v>P190P-190COMERCIAL</v>
      </c>
      <c r="AQ604" s="22" t="str">
        <f>Tabela1[[#This Row],[PRODUTO]]&amp;Tabela1[[#This Row],[TAG]]</f>
        <v>COMERCIALP190</v>
      </c>
      <c r="AR604" s="24" t="str">
        <f>Tabela1[[#This Row],[PEDIDO]]&amp;Tabela1[[#This Row],[PRODUTO]]</f>
        <v>P-190COMERCIAL</v>
      </c>
      <c r="AS604" s="37">
        <f>IF(AF604="",0,IF(ISTEXT(AF604),H604*VALUE(SUBSTITUTE(AF604,"%",""))/100,H604*AF604))-Tabela1[[#This Row],[PRONTO ACABADO2]]</f>
        <v>0</v>
      </c>
      <c r="AT604" s="37">
        <f>IF(AG604="",0,IF(ISTEXT(AG604),H604*VALUE(SUBSTITUTE(AG604,"%",""))/100,H604*AG604))-Tabela1[[#This Row],[PESO EXPEDIDO2]]</f>
        <v>0</v>
      </c>
      <c r="AU604" s="37">
        <f t="shared" si="102"/>
        <v>2.5</v>
      </c>
      <c r="AV604" s="37">
        <f t="shared" si="103"/>
        <v>2.5</v>
      </c>
      <c r="AW604" s="37"/>
    </row>
    <row r="605" spans="1:49" ht="15.75" customHeight="1" x14ac:dyDescent="0.25">
      <c r="A605" s="1" t="s">
        <v>4509</v>
      </c>
      <c r="B605" s="21"/>
      <c r="C605" s="1">
        <v>1</v>
      </c>
      <c r="D605" s="1" t="s">
        <v>4510</v>
      </c>
      <c r="E605" s="7">
        <v>4393</v>
      </c>
      <c r="F605" s="7" t="s">
        <v>4414</v>
      </c>
      <c r="G605" s="1">
        <v>120</v>
      </c>
      <c r="H605" s="34">
        <f>Tabela1[[#This Row],[PESO UNI]]*Tabela1[[#This Row],[QTE]]</f>
        <v>120</v>
      </c>
      <c r="I605" s="7"/>
      <c r="J605" s="8" t="s">
        <v>2550</v>
      </c>
      <c r="K605" s="8" t="s">
        <v>45</v>
      </c>
      <c r="L605" s="9" t="s">
        <v>2551</v>
      </c>
      <c r="M605" s="10"/>
      <c r="N605" s="11" t="s">
        <v>38</v>
      </c>
      <c r="O605" s="12"/>
      <c r="P605" s="13"/>
      <c r="Q605" s="14">
        <f>Tabela1[[#This Row],[QTDE/ Fabricação]]-Tabela1[[#This Row],[QTE]]</f>
        <v>-1</v>
      </c>
      <c r="R605" s="18">
        <f t="shared" si="98"/>
        <v>120</v>
      </c>
      <c r="S605" s="18">
        <f t="shared" si="97"/>
        <v>120</v>
      </c>
      <c r="T605" s="19">
        <f t="shared" si="99"/>
        <v>0</v>
      </c>
      <c r="U605" s="16">
        <f>IFERROR(SUMIF('LISTA DE EMBARQUE'!B:B,MICRO!E:E,'LISTA DE EMBARQUE'!G:G),"")</f>
        <v>1</v>
      </c>
      <c r="V605" s="12">
        <f>IFERROR(VLOOKUP(Tabela1[[#This Row],[COD.MDE]],'LISTA DE EMBARQUE'!B:L,11,0),"")</f>
        <v>4</v>
      </c>
      <c r="W605" s="13" t="str">
        <f>IFERROR(COUNTIF(#REF!,Tabela1[[#This Row],[Colunas5]]),"")</f>
        <v/>
      </c>
      <c r="X605" s="14">
        <f>Tabela1[[#This Row],[QIANTIDADE EXPEDIDA]]*Tabela1[[#This Row],[PESO UNI]]</f>
        <v>120</v>
      </c>
      <c r="Y605" s="14">
        <f t="shared" si="100"/>
        <v>0</v>
      </c>
      <c r="Z605" s="20">
        <f>Tabela1[[#This Row],[PESO TOTAL]]-Tabela1[[#This Row],[Peso Expedido]]</f>
        <v>0</v>
      </c>
      <c r="AA605" s="17">
        <v>1</v>
      </c>
      <c r="AB605" s="33"/>
      <c r="AC605" s="33">
        <v>1</v>
      </c>
      <c r="AD605" s="33">
        <v>1</v>
      </c>
      <c r="AE605" s="33">
        <v>1</v>
      </c>
      <c r="AF605" s="33">
        <v>1</v>
      </c>
      <c r="AG605" s="33">
        <v>1</v>
      </c>
      <c r="AH605" s="33">
        <v>1</v>
      </c>
      <c r="AI605" s="33" t="s">
        <v>4512</v>
      </c>
      <c r="AJ605"/>
      <c r="AK605" t="str">
        <f>Tabela1[[#This Row],[Coluna1]]&amp;Tabela1[[#This Row],[PEDIDO]]</f>
        <v>P-190</v>
      </c>
      <c r="AL605"/>
      <c r="AM605"/>
      <c r="AN605"/>
      <c r="AO605" t="str">
        <f t="shared" si="101"/>
        <v>PAINEL ELÉTRICO CONF. OV-260385-PTC-02/P190</v>
      </c>
      <c r="AP605" t="str">
        <f>Tabela1[[#This Row],[TAG]]&amp;Tabela1[[#This Row],[PEDIDO]]&amp;Tabela1[[#This Row],[PRODUTO]]</f>
        <v>P190P-190COMERCIAL</v>
      </c>
      <c r="AQ605" s="22" t="str">
        <f>Tabela1[[#This Row],[PRODUTO]]&amp;Tabela1[[#This Row],[TAG]]</f>
        <v>COMERCIALP190</v>
      </c>
      <c r="AR605" s="24" t="str">
        <f>Tabela1[[#This Row],[PEDIDO]]&amp;Tabela1[[#This Row],[PRODUTO]]</f>
        <v>P-190COMERCIAL</v>
      </c>
      <c r="AS605" s="37">
        <f>IF(AF605="",0,IF(ISTEXT(AF605),H605*VALUE(SUBSTITUTE(AF605,"%",""))/100,H605*AF605))-Tabela1[[#This Row],[PRONTO ACABADO2]]</f>
        <v>0</v>
      </c>
      <c r="AT605" s="37">
        <f>IF(AG605="",0,IF(ISTEXT(AG605),H605*VALUE(SUBSTITUTE(AG605,"%",""))/100,H605*AG605))-Tabela1[[#This Row],[PESO EXPEDIDO2]]</f>
        <v>0</v>
      </c>
      <c r="AU605" s="37">
        <f t="shared" si="102"/>
        <v>120</v>
      </c>
      <c r="AV605" s="37">
        <f t="shared" si="103"/>
        <v>120</v>
      </c>
      <c r="AW605" s="37"/>
    </row>
    <row r="606" spans="1:49" ht="15.75" customHeight="1" x14ac:dyDescent="0.25">
      <c r="A606" s="1" t="s">
        <v>4509</v>
      </c>
      <c r="B606" s="21"/>
      <c r="C606" s="1">
        <v>1</v>
      </c>
      <c r="D606" s="1" t="s">
        <v>4511</v>
      </c>
      <c r="E606" s="7">
        <v>4394</v>
      </c>
      <c r="F606" s="7" t="s">
        <v>4414</v>
      </c>
      <c r="G606" s="1">
        <v>0.5</v>
      </c>
      <c r="H606" s="34">
        <f>Tabela1[[#This Row],[PESO UNI]]*Tabela1[[#This Row],[QTE]]</f>
        <v>0.5</v>
      </c>
      <c r="I606" s="7"/>
      <c r="J606" s="8" t="s">
        <v>2550</v>
      </c>
      <c r="K606" s="8" t="s">
        <v>45</v>
      </c>
      <c r="L606" s="9" t="s">
        <v>2551</v>
      </c>
      <c r="M606" s="10"/>
      <c r="N606" s="11" t="s">
        <v>38</v>
      </c>
      <c r="O606" s="12"/>
      <c r="P606" s="13"/>
      <c r="Q606" s="14">
        <f>Tabela1[[#This Row],[QTDE/ Fabricação]]-Tabela1[[#This Row],[QTE]]</f>
        <v>-1</v>
      </c>
      <c r="R606" s="18">
        <f t="shared" si="98"/>
        <v>0.5</v>
      </c>
      <c r="S606" s="18">
        <f t="shared" si="97"/>
        <v>0.5</v>
      </c>
      <c r="T606" s="19">
        <f t="shared" si="99"/>
        <v>0</v>
      </c>
      <c r="U606" s="16">
        <f>IFERROR(SUMIF('LISTA DE EMBARQUE'!B:B,MICRO!E:E,'LISTA DE EMBARQUE'!G:G),"")</f>
        <v>1</v>
      </c>
      <c r="V606" s="12">
        <f>IFERROR(VLOOKUP(Tabela1[[#This Row],[COD.MDE]],'LISTA DE EMBARQUE'!B:L,11,0),"")</f>
        <v>4</v>
      </c>
      <c r="W606" s="13" t="str">
        <f>IFERROR(COUNTIF(#REF!,Tabela1[[#This Row],[Colunas5]]),"")</f>
        <v/>
      </c>
      <c r="X606" s="14">
        <f>Tabela1[[#This Row],[QIANTIDADE EXPEDIDA]]*Tabela1[[#This Row],[PESO UNI]]</f>
        <v>0.5</v>
      </c>
      <c r="Y606" s="14">
        <f t="shared" si="100"/>
        <v>0</v>
      </c>
      <c r="Z606" s="20">
        <f>Tabela1[[#This Row],[PESO TOTAL]]-Tabela1[[#This Row],[Peso Expedido]]</f>
        <v>0</v>
      </c>
      <c r="AA606" s="17">
        <v>1</v>
      </c>
      <c r="AB606" s="33"/>
      <c r="AC606" s="33">
        <v>1</v>
      </c>
      <c r="AD606" s="33">
        <v>1</v>
      </c>
      <c r="AE606" s="33">
        <v>1</v>
      </c>
      <c r="AF606" s="33">
        <v>1</v>
      </c>
      <c r="AG606" s="33">
        <v>1</v>
      </c>
      <c r="AH606" s="33">
        <v>1</v>
      </c>
      <c r="AI606" s="33" t="s">
        <v>4512</v>
      </c>
      <c r="AJ606"/>
      <c r="AK606" t="str">
        <f>Tabela1[[#This Row],[Coluna1]]&amp;Tabela1[[#This Row],[PEDIDO]]</f>
        <v>P-190</v>
      </c>
      <c r="AL606"/>
      <c r="AM606"/>
      <c r="AN606"/>
      <c r="AO606" t="str">
        <f t="shared" si="101"/>
        <v>PAINEL ELÉTRICO CONF. OV-260385-PTC-02/P190</v>
      </c>
      <c r="AP606" t="str">
        <f>Tabela1[[#This Row],[TAG]]&amp;Tabela1[[#This Row],[PEDIDO]]&amp;Tabela1[[#This Row],[PRODUTO]]</f>
        <v>P190P-190COMERCIAL</v>
      </c>
      <c r="AQ606" s="22" t="str">
        <f>Tabela1[[#This Row],[PRODUTO]]&amp;Tabela1[[#This Row],[TAG]]</f>
        <v>COMERCIALP190</v>
      </c>
      <c r="AR606" s="24" t="str">
        <f>Tabela1[[#This Row],[PEDIDO]]&amp;Tabela1[[#This Row],[PRODUTO]]</f>
        <v>P-190COMERCIAL</v>
      </c>
      <c r="AS606" s="37">
        <f>IF(AF606="",0,IF(ISTEXT(AF606),H606*VALUE(SUBSTITUTE(AF606,"%",""))/100,H606*AF606))-Tabela1[[#This Row],[PRONTO ACABADO2]]</f>
        <v>0</v>
      </c>
      <c r="AT606" s="37">
        <f>IF(AG606="",0,IF(ISTEXT(AG606),H606*VALUE(SUBSTITUTE(AG606,"%",""))/100,H606*AG606))-Tabela1[[#This Row],[PESO EXPEDIDO2]]</f>
        <v>0</v>
      </c>
      <c r="AU606" s="37">
        <f t="shared" si="102"/>
        <v>0.5</v>
      </c>
      <c r="AV606" s="37">
        <f t="shared" si="103"/>
        <v>0.5</v>
      </c>
      <c r="AW606" s="37"/>
    </row>
    <row r="607" spans="1:49" ht="15.75" customHeight="1" x14ac:dyDescent="0.25">
      <c r="A607" s="6" t="s">
        <v>4514</v>
      </c>
      <c r="B607" s="21" t="s">
        <v>4515</v>
      </c>
      <c r="C607" s="7">
        <v>1</v>
      </c>
      <c r="D607" s="39" t="s">
        <v>4516</v>
      </c>
      <c r="E607" s="7">
        <v>4395</v>
      </c>
      <c r="F607" s="7">
        <v>36</v>
      </c>
      <c r="G607" s="37">
        <v>748.2</v>
      </c>
      <c r="H607" s="34">
        <f>Tabela1[[#This Row],[PESO UNI]]*Tabela1[[#This Row],[QTE]]</f>
        <v>748.2</v>
      </c>
      <c r="I607" s="7">
        <v>0</v>
      </c>
      <c r="J607" s="8" t="s">
        <v>3045</v>
      </c>
      <c r="K607" s="8" t="s">
        <v>31</v>
      </c>
      <c r="L607" s="9" t="s">
        <v>2984</v>
      </c>
      <c r="M607" s="10">
        <v>46220</v>
      </c>
      <c r="N607" s="8" t="s">
        <v>38</v>
      </c>
      <c r="O607" s="12"/>
      <c r="P607" s="13"/>
      <c r="Q607" s="14">
        <f>Tabela1[[#This Row],[QTDE/ Fabricação]]-Tabela1[[#This Row],[QTE]]</f>
        <v>-1</v>
      </c>
      <c r="R607" s="18">
        <f t="shared" si="98"/>
        <v>0</v>
      </c>
      <c r="S607" s="18">
        <f t="shared" si="97"/>
        <v>0</v>
      </c>
      <c r="T607" s="19">
        <f t="shared" si="99"/>
        <v>-748.2</v>
      </c>
      <c r="U607" s="16">
        <f>IFERROR(SUMIF('LISTA DE EMBARQUE'!B:B,MICRO!E:E,'LISTA DE EMBARQUE'!G:G),"")</f>
        <v>0</v>
      </c>
      <c r="V607" s="12" t="str">
        <f>IFERROR(VLOOKUP(Tabela1[[#This Row],[COD.MDE]],'LISTA DE EMBARQUE'!B:L,11,0),"")</f>
        <v/>
      </c>
      <c r="W607" s="13" t="str">
        <f>IFERROR(COUNTIF(#REF!,Tabela1[[#This Row],[Colunas5]]),"")</f>
        <v/>
      </c>
      <c r="X607" s="14">
        <f>Tabela1[[#This Row],[QIANTIDADE EXPEDIDA]]*Tabela1[[#This Row],[PESO UNI]]</f>
        <v>0</v>
      </c>
      <c r="Y607" s="14">
        <f t="shared" si="100"/>
        <v>-1</v>
      </c>
      <c r="Z607" s="20">
        <f>Tabela1[[#This Row],[PESO TOTAL]]-Tabela1[[#This Row],[Peso Expedido]]</f>
        <v>748.2</v>
      </c>
      <c r="AA607" s="17"/>
      <c r="AB607" s="33"/>
      <c r="AC607" s="33"/>
      <c r="AD607" s="33"/>
      <c r="AE607" s="33"/>
      <c r="AF607" s="33"/>
      <c r="AG607" s="33"/>
      <c r="AH607" s="33"/>
      <c r="AI607" s="33" t="str">
        <f t="shared" ref="AI607" si="104">IF(Z607&lt;=0,"ok","")</f>
        <v/>
      </c>
      <c r="AJ607"/>
      <c r="AK607" t="str">
        <f>Tabela1[[#This Row],[Coluna1]]&amp;Tabela1[[#This Row],[PEDIDO]]</f>
        <v>P-198</v>
      </c>
      <c r="AL607"/>
      <c r="AM607"/>
      <c r="AN607"/>
      <c r="AO607" t="str">
        <f t="shared" si="101"/>
        <v>T-073245-1/14-CV-0001</v>
      </c>
      <c r="AP607" t="str">
        <f>Tabela1[[#This Row],[TAG]]&amp;Tabela1[[#This Row],[PEDIDO]]&amp;Tabela1[[#This Row],[PRODUTO]]</f>
        <v>14-CV-0001P-198ESTRUTURA</v>
      </c>
      <c r="AQ607" s="22" t="str">
        <f>Tabela1[[#This Row],[PRODUTO]]&amp;Tabela1[[#This Row],[TAG]]</f>
        <v>ESTRUTURA14-CV-0001</v>
      </c>
      <c r="AR607" s="24" t="str">
        <f>Tabela1[[#This Row],[PEDIDO]]&amp;Tabela1[[#This Row],[PRODUTO]]</f>
        <v>P-198ESTRUTURA</v>
      </c>
      <c r="AS607" s="37">
        <f>IF(AF607="",0,IF(ISTEXT(AF607),H607*VALUE(SUBSTITUTE(AF607,"%",""))/100,H607*AF607))-Tabela1[[#This Row],[PRONTO ACABADO2]]</f>
        <v>0</v>
      </c>
      <c r="AT607" s="37">
        <f>IF(AG607="",0,IF(ISTEXT(AG607),H607*VALUE(SUBSTITUTE(AG607,"%",""))/100,H607*AG607))-Tabela1[[#This Row],[PESO EXPEDIDO2]]</f>
        <v>0</v>
      </c>
      <c r="AU607" s="37">
        <f t="shared" si="102"/>
        <v>0</v>
      </c>
      <c r="AV607" s="37">
        <f t="shared" si="103"/>
        <v>0</v>
      </c>
      <c r="AW607" s="37"/>
    </row>
    <row r="608" spans="1:49" ht="15.75" customHeight="1" x14ac:dyDescent="0.25">
      <c r="A608" s="1" t="s">
        <v>2552</v>
      </c>
      <c r="B608" s="196"/>
      <c r="C608" s="198">
        <v>47</v>
      </c>
      <c r="D608" s="209" t="s">
        <v>3736</v>
      </c>
      <c r="E608" s="195" t="s">
        <v>4449</v>
      </c>
      <c r="F608" s="198" t="s">
        <v>4414</v>
      </c>
      <c r="G608" s="199">
        <v>121.38</v>
      </c>
      <c r="H608" s="34">
        <f>Tabela1[[#This Row],[PESO UNI]]*Tabela1[[#This Row],[QTE]]</f>
        <v>5704.86</v>
      </c>
      <c r="I608" s="199">
        <v>0</v>
      </c>
      <c r="J608" s="8" t="s">
        <v>2550</v>
      </c>
      <c r="K608" s="8" t="s">
        <v>4323</v>
      </c>
      <c r="L608" s="9" t="s">
        <v>2551</v>
      </c>
      <c r="M608" s="200"/>
      <c r="N608" s="206"/>
      <c r="O608" s="201"/>
      <c r="P608" s="202"/>
      <c r="Q608" s="14">
        <f>Tabela1[[#This Row],[QTDE/ Fabricação]]-Tabela1[[#This Row],[QTE]]</f>
        <v>-47</v>
      </c>
      <c r="R608" s="18">
        <f t="shared" ref="R608:R624" si="105">IFERROR(H608*((AA608*0.25)+(AC608*0.25)+(AD608*0.225)+(AE608*0.225)+(AF608*0.05)),"")</f>
        <v>5704.86</v>
      </c>
      <c r="S608" s="158">
        <f>IFERROR(H608*AG608,"")</f>
        <v>5704.86</v>
      </c>
      <c r="T608" s="19">
        <f t="shared" ref="T608:T624" si="106">IFERROR(S608-H608,"")</f>
        <v>0</v>
      </c>
      <c r="U608" s="16">
        <v>47</v>
      </c>
      <c r="V608" s="12" t="str">
        <f>IFERROR(VLOOKUP(Tabela1[[#This Row],[COD.MDE]],'LISTA DE EMBARQUE'!B:L,11,0),"")</f>
        <v/>
      </c>
      <c r="W608" s="13" t="str">
        <f>IFERROR(COUNTIF(#REF!,Tabela1[[#This Row],[Colunas5]]),"")</f>
        <v/>
      </c>
      <c r="X608" s="14">
        <f>Tabela1[[#This Row],[QIANTIDADE EXPEDIDA]]*Tabela1[[#This Row],[PESO UNI]]</f>
        <v>5704.86</v>
      </c>
      <c r="Y608" s="14">
        <f t="shared" ref="Y608:Y624" si="107">U608-C608</f>
        <v>0</v>
      </c>
      <c r="Z608" s="20">
        <f>Tabela1[[#This Row],[PESO TOTAL]]-Tabela1[[#This Row],[Peso Expedido]]</f>
        <v>0</v>
      </c>
      <c r="AA608" s="17">
        <v>1</v>
      </c>
      <c r="AB608" s="33"/>
      <c r="AC608" s="33">
        <v>1</v>
      </c>
      <c r="AD608" s="33">
        <v>1</v>
      </c>
      <c r="AE608" s="33">
        <v>1</v>
      </c>
      <c r="AF608" s="33">
        <v>1</v>
      </c>
      <c r="AG608" s="33">
        <v>1</v>
      </c>
      <c r="AH608" s="33">
        <v>1</v>
      </c>
      <c r="AI608" s="33" t="s">
        <v>4512</v>
      </c>
      <c r="AQ608" s="203"/>
      <c r="AR608" s="158"/>
      <c r="AS608" s="158"/>
      <c r="AT608" s="158"/>
      <c r="AU608" s="158"/>
      <c r="AV608" s="158"/>
      <c r="AW608" s="158"/>
    </row>
    <row r="609" spans="1:49" ht="15.75" customHeight="1" x14ac:dyDescent="0.25">
      <c r="A609" s="1" t="s">
        <v>4519</v>
      </c>
      <c r="B609" s="21" t="s">
        <v>4520</v>
      </c>
      <c r="C609" s="1">
        <v>1</v>
      </c>
      <c r="D609" s="1" t="s">
        <v>4521</v>
      </c>
      <c r="E609" s="7">
        <v>4396</v>
      </c>
      <c r="F609" s="7">
        <v>37</v>
      </c>
      <c r="G609" s="1">
        <v>1284.3</v>
      </c>
      <c r="H609" s="34">
        <f>Tabela1[[#This Row],[PESO UNI]]*Tabela1[[#This Row],[QTE]]</f>
        <v>1284.3</v>
      </c>
      <c r="I609" s="7">
        <v>0</v>
      </c>
      <c r="J609" s="8" t="s">
        <v>3140</v>
      </c>
      <c r="K609" s="8" t="s">
        <v>4323</v>
      </c>
      <c r="L609" s="9" t="s">
        <v>2984</v>
      </c>
      <c r="M609" s="10">
        <v>46220</v>
      </c>
      <c r="N609" s="8" t="s">
        <v>38</v>
      </c>
      <c r="O609" s="12"/>
      <c r="P609" s="13"/>
      <c r="Q609" s="14">
        <f>Tabela1[[#This Row],[QTDE/ Fabricação]]-Tabela1[[#This Row],[QTE]]</f>
        <v>-1</v>
      </c>
      <c r="R609" s="18">
        <f t="shared" si="105"/>
        <v>0</v>
      </c>
      <c r="S609" s="18">
        <f t="shared" ref="S609:S624" si="108">IFERROR(H609*AG609,"")</f>
        <v>0</v>
      </c>
      <c r="T609" s="19">
        <f t="shared" si="106"/>
        <v>-1284.3</v>
      </c>
      <c r="U609" s="16">
        <f>IFERROR(SUMIF('LISTA DE EMBARQUE'!B:B,MICRO!E:E,'LISTA DE EMBARQUE'!G:G),"")</f>
        <v>0</v>
      </c>
      <c r="V609" s="12" t="str">
        <f>IFERROR(VLOOKUP(Tabela1[[#This Row],[COD.MDE]],'LISTA DE EMBARQUE'!B:L,11,0),"")</f>
        <v/>
      </c>
      <c r="W609" s="13" t="str">
        <f>IFERROR(COUNTIF(#REF!,Tabela1[[#This Row],[Colunas5]]),"")</f>
        <v/>
      </c>
      <c r="X609" s="14">
        <f>Tabela1[[#This Row],[QIANTIDADE EXPEDIDA]]*Tabela1[[#This Row],[PESO UNI]]</f>
        <v>0</v>
      </c>
      <c r="Y609" s="14">
        <f t="shared" si="107"/>
        <v>-1</v>
      </c>
      <c r="Z609" s="20">
        <f>Tabela1[[#This Row],[PESO TOTAL]]-Tabela1[[#This Row],[Peso Expedido]]</f>
        <v>1284.3</v>
      </c>
      <c r="AA609" s="17"/>
      <c r="AB609" s="33"/>
      <c r="AC609" s="33"/>
      <c r="AD609" s="33"/>
      <c r="AE609" s="33"/>
      <c r="AF609" s="33"/>
      <c r="AG609" s="33"/>
      <c r="AH609" s="33"/>
      <c r="AI609" s="33" t="s">
        <v>4512</v>
      </c>
      <c r="AJ609"/>
      <c r="AK609"/>
      <c r="AL609"/>
      <c r="AM609"/>
      <c r="AN609"/>
      <c r="AO609"/>
      <c r="AP609"/>
      <c r="AQ609" s="22"/>
      <c r="AR609" s="24"/>
      <c r="AS609" s="37"/>
      <c r="AT609" s="37"/>
      <c r="AU609" s="37"/>
      <c r="AV609" s="37"/>
      <c r="AW609" s="37"/>
    </row>
    <row r="610" spans="1:49" ht="15.75" customHeight="1" x14ac:dyDescent="0.25">
      <c r="A610" s="1" t="s">
        <v>4522</v>
      </c>
      <c r="B610" s="21" t="s">
        <v>4523</v>
      </c>
      <c r="C610" s="1">
        <v>1</v>
      </c>
      <c r="D610" s="1" t="s">
        <v>4524</v>
      </c>
      <c r="E610" s="7">
        <v>4397</v>
      </c>
      <c r="F610" s="7">
        <v>37</v>
      </c>
      <c r="G610" s="1">
        <v>385.4</v>
      </c>
      <c r="H610" s="34">
        <f>Tabela1[[#This Row],[PESO UNI]]*Tabela1[[#This Row],[QTE]]</f>
        <v>385.4</v>
      </c>
      <c r="I610" s="7">
        <v>0</v>
      </c>
      <c r="J610" s="8" t="s">
        <v>3140</v>
      </c>
      <c r="K610" s="8" t="s">
        <v>4323</v>
      </c>
      <c r="L610" s="9" t="s">
        <v>2984</v>
      </c>
      <c r="M610" s="10">
        <v>46220</v>
      </c>
      <c r="N610" s="8" t="s">
        <v>38</v>
      </c>
      <c r="O610" s="12"/>
      <c r="P610" s="13"/>
      <c r="Q610" s="14">
        <f>Tabela1[[#This Row],[QTDE/ Fabricação]]-Tabela1[[#This Row],[QTE]]</f>
        <v>-1</v>
      </c>
      <c r="R610" s="18">
        <f t="shared" si="105"/>
        <v>0</v>
      </c>
      <c r="S610" s="18">
        <f t="shared" si="108"/>
        <v>0</v>
      </c>
      <c r="T610" s="19">
        <f t="shared" si="106"/>
        <v>-385.4</v>
      </c>
      <c r="U610" s="16">
        <f>IFERROR(SUMIF('LISTA DE EMBARQUE'!B:B,MICRO!E:E,'LISTA DE EMBARQUE'!G:G),"")</f>
        <v>0</v>
      </c>
      <c r="V610" s="12" t="str">
        <f>IFERROR(VLOOKUP(Tabela1[[#This Row],[COD.MDE]],'LISTA DE EMBARQUE'!B:L,11,0),"")</f>
        <v/>
      </c>
      <c r="W610" s="13" t="str">
        <f>IFERROR(COUNTIF(#REF!,Tabela1[[#This Row],[Colunas5]]),"")</f>
        <v/>
      </c>
      <c r="X610" s="14">
        <f>Tabela1[[#This Row],[QIANTIDADE EXPEDIDA]]*Tabela1[[#This Row],[PESO UNI]]</f>
        <v>0</v>
      </c>
      <c r="Y610" s="14">
        <f t="shared" si="107"/>
        <v>-1</v>
      </c>
      <c r="Z610" s="20">
        <f>Tabela1[[#This Row],[PESO TOTAL]]-Tabela1[[#This Row],[Peso Expedido]]</f>
        <v>385.4</v>
      </c>
      <c r="AA610" s="17"/>
      <c r="AB610" s="33"/>
      <c r="AC610" s="33"/>
      <c r="AD610" s="33"/>
      <c r="AE610" s="33"/>
      <c r="AF610" s="33"/>
      <c r="AG610" s="33"/>
      <c r="AH610" s="33"/>
      <c r="AI610" s="33" t="s">
        <v>4512</v>
      </c>
      <c r="AJ610"/>
      <c r="AK610"/>
      <c r="AL610"/>
      <c r="AM610"/>
      <c r="AN610"/>
      <c r="AO610"/>
      <c r="AP610"/>
      <c r="AQ610" s="22"/>
      <c r="AR610" s="24"/>
      <c r="AS610" s="37"/>
      <c r="AT610" s="37"/>
      <c r="AU610" s="37"/>
      <c r="AV610" s="37"/>
      <c r="AW610" s="37"/>
    </row>
    <row r="611" spans="1:49" ht="15.75" customHeight="1" x14ac:dyDescent="0.25">
      <c r="A611" s="1" t="s">
        <v>4525</v>
      </c>
      <c r="B611" s="21" t="s">
        <v>4526</v>
      </c>
      <c r="C611" s="1">
        <v>1</v>
      </c>
      <c r="D611" s="1" t="s">
        <v>4527</v>
      </c>
      <c r="E611" s="7">
        <v>4398</v>
      </c>
      <c r="F611" s="7">
        <v>37</v>
      </c>
      <c r="G611" s="1">
        <v>159.80000000000001</v>
      </c>
      <c r="H611" s="34">
        <f>Tabela1[[#This Row],[PESO UNI]]*Tabela1[[#This Row],[QTE]]</f>
        <v>159.80000000000001</v>
      </c>
      <c r="I611" s="7">
        <v>0</v>
      </c>
      <c r="J611" s="8" t="s">
        <v>3140</v>
      </c>
      <c r="K611" s="8" t="s">
        <v>4323</v>
      </c>
      <c r="L611" s="9" t="s">
        <v>2984</v>
      </c>
      <c r="M611" s="10">
        <v>46220</v>
      </c>
      <c r="N611" s="8" t="s">
        <v>38</v>
      </c>
      <c r="O611" s="12"/>
      <c r="P611" s="13"/>
      <c r="Q611" s="14">
        <f>Tabela1[[#This Row],[QTDE/ Fabricação]]-Tabela1[[#This Row],[QTE]]</f>
        <v>-1</v>
      </c>
      <c r="R611" s="18">
        <f t="shared" si="105"/>
        <v>0</v>
      </c>
      <c r="S611" s="18">
        <f t="shared" si="108"/>
        <v>0</v>
      </c>
      <c r="T611" s="19">
        <f t="shared" si="106"/>
        <v>-159.80000000000001</v>
      </c>
      <c r="U611" s="16">
        <f>IFERROR(SUMIF('LISTA DE EMBARQUE'!B:B,MICRO!E:E,'LISTA DE EMBARQUE'!G:G),"")</f>
        <v>0</v>
      </c>
      <c r="V611" s="12" t="str">
        <f>IFERROR(VLOOKUP(Tabela1[[#This Row],[COD.MDE]],'LISTA DE EMBARQUE'!B:L,11,0),"")</f>
        <v/>
      </c>
      <c r="W611" s="13" t="str">
        <f>IFERROR(COUNTIF(#REF!,Tabela1[[#This Row],[Colunas5]]),"")</f>
        <v/>
      </c>
      <c r="X611" s="14">
        <f>Tabela1[[#This Row],[QIANTIDADE EXPEDIDA]]*Tabela1[[#This Row],[PESO UNI]]</f>
        <v>0</v>
      </c>
      <c r="Y611" s="14">
        <f t="shared" si="107"/>
        <v>-1</v>
      </c>
      <c r="Z611" s="20">
        <f>Tabela1[[#This Row],[PESO TOTAL]]-Tabela1[[#This Row],[Peso Expedido]]</f>
        <v>159.80000000000001</v>
      </c>
      <c r="AA611" s="17"/>
      <c r="AB611" s="33"/>
      <c r="AC611" s="33"/>
      <c r="AD611" s="33"/>
      <c r="AE611" s="33"/>
      <c r="AF611" s="33"/>
      <c r="AG611" s="33"/>
      <c r="AH611" s="33"/>
      <c r="AI611" s="33" t="s">
        <v>4512</v>
      </c>
      <c r="AJ611"/>
      <c r="AK611"/>
      <c r="AL611"/>
      <c r="AM611"/>
      <c r="AN611"/>
      <c r="AO611"/>
      <c r="AP611"/>
      <c r="AQ611" s="22"/>
      <c r="AR611" s="24"/>
      <c r="AS611" s="37"/>
      <c r="AT611" s="37"/>
      <c r="AU611" s="37"/>
      <c r="AV611" s="37"/>
      <c r="AW611" s="37"/>
    </row>
    <row r="612" spans="1:49" ht="15.75" customHeight="1" x14ac:dyDescent="0.25">
      <c r="A612" s="1" t="s">
        <v>4525</v>
      </c>
      <c r="B612" s="21" t="s">
        <v>4526</v>
      </c>
      <c r="C612" s="1">
        <v>1</v>
      </c>
      <c r="D612" s="1" t="s">
        <v>4528</v>
      </c>
      <c r="E612" s="7">
        <v>4399</v>
      </c>
      <c r="F612" s="7">
        <v>37</v>
      </c>
      <c r="G612" s="1">
        <v>28.6</v>
      </c>
      <c r="H612" s="34">
        <f>Tabela1[[#This Row],[PESO UNI]]*Tabela1[[#This Row],[QTE]]</f>
        <v>28.6</v>
      </c>
      <c r="I612" s="7">
        <v>0</v>
      </c>
      <c r="J612" s="8" t="s">
        <v>3140</v>
      </c>
      <c r="K612" s="8" t="s">
        <v>4323</v>
      </c>
      <c r="L612" s="9" t="s">
        <v>2984</v>
      </c>
      <c r="M612" s="10">
        <v>46220</v>
      </c>
      <c r="N612" s="8" t="s">
        <v>38</v>
      </c>
      <c r="O612" s="12"/>
      <c r="P612" s="13"/>
      <c r="Q612" s="14">
        <f>Tabela1[[#This Row],[QTDE/ Fabricação]]-Tabela1[[#This Row],[QTE]]</f>
        <v>-1</v>
      </c>
      <c r="R612" s="18">
        <f t="shared" si="105"/>
        <v>0</v>
      </c>
      <c r="S612" s="18">
        <f t="shared" si="108"/>
        <v>0</v>
      </c>
      <c r="T612" s="19">
        <f t="shared" si="106"/>
        <v>-28.6</v>
      </c>
      <c r="U612" s="16">
        <f>IFERROR(SUMIF('LISTA DE EMBARQUE'!B:B,MICRO!E:E,'LISTA DE EMBARQUE'!G:G),"")</f>
        <v>0</v>
      </c>
      <c r="V612" s="12" t="str">
        <f>IFERROR(VLOOKUP(Tabela1[[#This Row],[COD.MDE]],'LISTA DE EMBARQUE'!B:L,11,0),"")</f>
        <v/>
      </c>
      <c r="W612" s="13" t="str">
        <f>IFERROR(COUNTIF(#REF!,Tabela1[[#This Row],[Colunas5]]),"")</f>
        <v/>
      </c>
      <c r="X612" s="14">
        <f>Tabela1[[#This Row],[QIANTIDADE EXPEDIDA]]*Tabela1[[#This Row],[PESO UNI]]</f>
        <v>0</v>
      </c>
      <c r="Y612" s="14">
        <f t="shared" si="107"/>
        <v>-1</v>
      </c>
      <c r="Z612" s="20">
        <f>Tabela1[[#This Row],[PESO TOTAL]]-Tabela1[[#This Row],[Peso Expedido]]</f>
        <v>28.6</v>
      </c>
      <c r="AA612" s="17"/>
      <c r="AB612" s="33"/>
      <c r="AC612" s="33"/>
      <c r="AD612" s="33"/>
      <c r="AE612" s="33"/>
      <c r="AF612" s="33"/>
      <c r="AG612" s="33"/>
      <c r="AH612" s="33"/>
      <c r="AI612" s="33" t="s">
        <v>4512</v>
      </c>
      <c r="AJ612"/>
      <c r="AK612"/>
      <c r="AL612"/>
      <c r="AM612"/>
      <c r="AN612"/>
      <c r="AO612"/>
      <c r="AP612"/>
      <c r="AQ612" s="22"/>
      <c r="AR612" s="24"/>
      <c r="AS612" s="37"/>
      <c r="AT612" s="37"/>
      <c r="AU612" s="37"/>
      <c r="AV612" s="37"/>
      <c r="AW612" s="37"/>
    </row>
    <row r="613" spans="1:49" ht="15.75" customHeight="1" x14ac:dyDescent="0.25">
      <c r="A613" s="1" t="s">
        <v>4529</v>
      </c>
      <c r="B613" s="21" t="s">
        <v>4530</v>
      </c>
      <c r="C613" s="1">
        <v>1</v>
      </c>
      <c r="D613" s="1" t="s">
        <v>4531</v>
      </c>
      <c r="E613" s="7">
        <v>4400</v>
      </c>
      <c r="F613" s="7">
        <v>37</v>
      </c>
      <c r="G613" s="1">
        <v>126.7</v>
      </c>
      <c r="H613" s="34">
        <f>Tabela1[[#This Row],[PESO UNI]]*Tabela1[[#This Row],[QTE]]</f>
        <v>126.7</v>
      </c>
      <c r="I613" s="7">
        <v>0</v>
      </c>
      <c r="J613" s="8" t="s">
        <v>3140</v>
      </c>
      <c r="K613" s="8" t="s">
        <v>4323</v>
      </c>
      <c r="L613" s="9" t="s">
        <v>2984</v>
      </c>
      <c r="M613" s="10">
        <v>46220</v>
      </c>
      <c r="N613" s="8" t="s">
        <v>38</v>
      </c>
      <c r="O613" s="12"/>
      <c r="P613" s="13"/>
      <c r="Q613" s="14">
        <f>Tabela1[[#This Row],[QTDE/ Fabricação]]-Tabela1[[#This Row],[QTE]]</f>
        <v>-1</v>
      </c>
      <c r="R613" s="18">
        <f t="shared" si="105"/>
        <v>0</v>
      </c>
      <c r="S613" s="18">
        <f t="shared" si="108"/>
        <v>0</v>
      </c>
      <c r="T613" s="19">
        <f t="shared" si="106"/>
        <v>-126.7</v>
      </c>
      <c r="U613" s="16">
        <f>IFERROR(SUMIF('LISTA DE EMBARQUE'!B:B,MICRO!E:E,'LISTA DE EMBARQUE'!G:G),"")</f>
        <v>0</v>
      </c>
      <c r="V613" s="12" t="str">
        <f>IFERROR(VLOOKUP(Tabela1[[#This Row],[COD.MDE]],'LISTA DE EMBARQUE'!B:L,11,0),"")</f>
        <v/>
      </c>
      <c r="W613" s="13" t="str">
        <f>IFERROR(COUNTIF(#REF!,Tabela1[[#This Row],[Colunas5]]),"")</f>
        <v/>
      </c>
      <c r="X613" s="14">
        <f>Tabela1[[#This Row],[QIANTIDADE EXPEDIDA]]*Tabela1[[#This Row],[PESO UNI]]</f>
        <v>0</v>
      </c>
      <c r="Y613" s="14">
        <f t="shared" si="107"/>
        <v>-1</v>
      </c>
      <c r="Z613" s="20">
        <f>Tabela1[[#This Row],[PESO TOTAL]]-Tabela1[[#This Row],[Peso Expedido]]</f>
        <v>126.7</v>
      </c>
      <c r="AA613" s="17"/>
      <c r="AB613" s="33"/>
      <c r="AC613" s="33"/>
      <c r="AD613" s="33"/>
      <c r="AE613" s="33"/>
      <c r="AF613" s="33"/>
      <c r="AG613" s="33"/>
      <c r="AH613" s="33"/>
      <c r="AI613" s="33" t="s">
        <v>4512</v>
      </c>
      <c r="AJ613"/>
      <c r="AK613"/>
      <c r="AL613"/>
      <c r="AM613"/>
      <c r="AN613"/>
      <c r="AO613"/>
      <c r="AP613"/>
      <c r="AQ613" s="22"/>
      <c r="AR613" s="24"/>
      <c r="AS613" s="37"/>
      <c r="AT613" s="37"/>
      <c r="AU613" s="37"/>
      <c r="AV613" s="37"/>
      <c r="AW613" s="37"/>
    </row>
    <row r="614" spans="1:49" ht="15.75" customHeight="1" x14ac:dyDescent="0.25">
      <c r="A614" s="1" t="s">
        <v>4529</v>
      </c>
      <c r="B614" s="21" t="s">
        <v>4530</v>
      </c>
      <c r="C614" s="1">
        <v>1</v>
      </c>
      <c r="D614" s="1" t="s">
        <v>4532</v>
      </c>
      <c r="E614" s="7">
        <v>4401</v>
      </c>
      <c r="F614" s="7">
        <v>37</v>
      </c>
      <c r="G614" s="1">
        <v>126.7</v>
      </c>
      <c r="H614" s="34">
        <f>Tabela1[[#This Row],[PESO UNI]]*Tabela1[[#This Row],[QTE]]</f>
        <v>126.7</v>
      </c>
      <c r="I614" s="7">
        <v>0</v>
      </c>
      <c r="J614" s="8" t="s">
        <v>3140</v>
      </c>
      <c r="K614" s="8" t="s">
        <v>4323</v>
      </c>
      <c r="L614" s="9" t="s">
        <v>2984</v>
      </c>
      <c r="M614" s="10">
        <v>46220</v>
      </c>
      <c r="N614" s="8" t="s">
        <v>38</v>
      </c>
      <c r="O614" s="12"/>
      <c r="P614" s="13"/>
      <c r="Q614" s="14">
        <f>Tabela1[[#This Row],[QTDE/ Fabricação]]-Tabela1[[#This Row],[QTE]]</f>
        <v>-1</v>
      </c>
      <c r="R614" s="18">
        <f t="shared" si="105"/>
        <v>0</v>
      </c>
      <c r="S614" s="18">
        <f t="shared" si="108"/>
        <v>0</v>
      </c>
      <c r="T614" s="19">
        <f t="shared" si="106"/>
        <v>-126.7</v>
      </c>
      <c r="U614" s="16">
        <f>IFERROR(SUMIF('LISTA DE EMBARQUE'!B:B,MICRO!E:E,'LISTA DE EMBARQUE'!G:G),"")</f>
        <v>0</v>
      </c>
      <c r="V614" s="12" t="str">
        <f>IFERROR(VLOOKUP(Tabela1[[#This Row],[COD.MDE]],'LISTA DE EMBARQUE'!B:L,11,0),"")</f>
        <v/>
      </c>
      <c r="W614" s="13" t="str">
        <f>IFERROR(COUNTIF(#REF!,Tabela1[[#This Row],[Colunas5]]),"")</f>
        <v/>
      </c>
      <c r="X614" s="14">
        <f>Tabela1[[#This Row],[QIANTIDADE EXPEDIDA]]*Tabela1[[#This Row],[PESO UNI]]</f>
        <v>0</v>
      </c>
      <c r="Y614" s="14">
        <f t="shared" si="107"/>
        <v>-1</v>
      </c>
      <c r="Z614" s="20">
        <f>Tabela1[[#This Row],[PESO TOTAL]]-Tabela1[[#This Row],[Peso Expedido]]</f>
        <v>126.7</v>
      </c>
      <c r="AA614" s="17"/>
      <c r="AB614" s="33"/>
      <c r="AC614" s="33"/>
      <c r="AD614" s="33"/>
      <c r="AE614" s="33"/>
      <c r="AF614" s="33"/>
      <c r="AG614" s="33"/>
      <c r="AH614" s="33"/>
      <c r="AI614" s="33" t="s">
        <v>4512</v>
      </c>
      <c r="AJ614"/>
      <c r="AK614"/>
      <c r="AL614"/>
      <c r="AM614"/>
      <c r="AN614"/>
      <c r="AO614"/>
      <c r="AP614"/>
      <c r="AQ614" s="22"/>
      <c r="AR614" s="24"/>
      <c r="AS614" s="37"/>
      <c r="AT614" s="37"/>
      <c r="AU614" s="37"/>
      <c r="AV614" s="37"/>
      <c r="AW614" s="37"/>
    </row>
    <row r="615" spans="1:49" ht="15.75" customHeight="1" x14ac:dyDescent="0.25">
      <c r="A615" s="1" t="s">
        <v>4533</v>
      </c>
      <c r="B615" s="21" t="s">
        <v>4534</v>
      </c>
      <c r="C615" s="1">
        <v>1</v>
      </c>
      <c r="D615" s="1" t="s">
        <v>4535</v>
      </c>
      <c r="E615" s="7">
        <v>4402</v>
      </c>
      <c r="F615" s="7">
        <v>37</v>
      </c>
      <c r="G615" s="1">
        <v>100.9</v>
      </c>
      <c r="H615" s="34">
        <f>Tabela1[[#This Row],[PESO UNI]]*Tabela1[[#This Row],[QTE]]</f>
        <v>100.9</v>
      </c>
      <c r="I615" s="7">
        <v>0</v>
      </c>
      <c r="J615" s="8" t="s">
        <v>3140</v>
      </c>
      <c r="K615" s="8" t="s">
        <v>4323</v>
      </c>
      <c r="L615" s="9" t="s">
        <v>2984</v>
      </c>
      <c r="M615" s="10">
        <v>46220</v>
      </c>
      <c r="N615" s="8" t="s">
        <v>38</v>
      </c>
      <c r="O615" s="12"/>
      <c r="P615" s="13"/>
      <c r="Q615" s="14">
        <f>Tabela1[[#This Row],[QTDE/ Fabricação]]-Tabela1[[#This Row],[QTE]]</f>
        <v>-1</v>
      </c>
      <c r="R615" s="18">
        <f t="shared" si="105"/>
        <v>0</v>
      </c>
      <c r="S615" s="18">
        <f t="shared" si="108"/>
        <v>0</v>
      </c>
      <c r="T615" s="19">
        <f t="shared" si="106"/>
        <v>-100.9</v>
      </c>
      <c r="U615" s="16">
        <f>IFERROR(SUMIF('LISTA DE EMBARQUE'!B:B,MICRO!E:E,'LISTA DE EMBARQUE'!G:G),"")</f>
        <v>0</v>
      </c>
      <c r="V615" s="12" t="str">
        <f>IFERROR(VLOOKUP(Tabela1[[#This Row],[COD.MDE]],'LISTA DE EMBARQUE'!B:L,11,0),"")</f>
        <v/>
      </c>
      <c r="W615" s="13" t="str">
        <f>IFERROR(COUNTIF(#REF!,Tabela1[[#This Row],[Colunas5]]),"")</f>
        <v/>
      </c>
      <c r="X615" s="14">
        <f>Tabela1[[#This Row],[QIANTIDADE EXPEDIDA]]*Tabela1[[#This Row],[PESO UNI]]</f>
        <v>0</v>
      </c>
      <c r="Y615" s="14">
        <f t="shared" si="107"/>
        <v>-1</v>
      </c>
      <c r="Z615" s="20">
        <f>Tabela1[[#This Row],[PESO TOTAL]]-Tabela1[[#This Row],[Peso Expedido]]</f>
        <v>100.9</v>
      </c>
      <c r="AA615" s="17"/>
      <c r="AB615" s="33"/>
      <c r="AC615" s="33"/>
      <c r="AD615" s="33"/>
      <c r="AE615" s="33"/>
      <c r="AF615" s="33"/>
      <c r="AG615" s="33"/>
      <c r="AH615" s="33"/>
      <c r="AI615" s="33" t="s">
        <v>4512</v>
      </c>
      <c r="AJ615"/>
      <c r="AK615"/>
      <c r="AL615"/>
      <c r="AM615"/>
      <c r="AN615"/>
      <c r="AO615"/>
      <c r="AP615"/>
      <c r="AQ615" s="22"/>
      <c r="AR615" s="24"/>
      <c r="AS615" s="37"/>
      <c r="AT615" s="37"/>
      <c r="AU615" s="37"/>
      <c r="AV615" s="37"/>
      <c r="AW615" s="37"/>
    </row>
    <row r="616" spans="1:49" ht="15.75" customHeight="1" x14ac:dyDescent="0.25">
      <c r="A616" s="1" t="s">
        <v>4533</v>
      </c>
      <c r="B616" s="21" t="s">
        <v>4534</v>
      </c>
      <c r="C616" s="1">
        <v>2</v>
      </c>
      <c r="D616" s="1" t="s">
        <v>4536</v>
      </c>
      <c r="E616" s="7">
        <v>4403</v>
      </c>
      <c r="F616" s="7">
        <v>37</v>
      </c>
      <c r="G616" s="1">
        <v>83.4</v>
      </c>
      <c r="H616" s="34">
        <f>Tabela1[[#This Row],[PESO UNI]]*Tabela1[[#This Row],[QTE]]</f>
        <v>166.8</v>
      </c>
      <c r="I616" s="7">
        <v>0</v>
      </c>
      <c r="J616" s="8" t="s">
        <v>3140</v>
      </c>
      <c r="K616" s="8" t="s">
        <v>4323</v>
      </c>
      <c r="L616" s="9" t="s">
        <v>2984</v>
      </c>
      <c r="M616" s="10">
        <v>46220</v>
      </c>
      <c r="N616" s="8" t="s">
        <v>38</v>
      </c>
      <c r="O616" s="12"/>
      <c r="P616" s="13"/>
      <c r="Q616" s="14">
        <f>Tabela1[[#This Row],[QTDE/ Fabricação]]-Tabela1[[#This Row],[QTE]]</f>
        <v>-2</v>
      </c>
      <c r="R616" s="18">
        <f t="shared" si="105"/>
        <v>0</v>
      </c>
      <c r="S616" s="18">
        <f t="shared" si="108"/>
        <v>0</v>
      </c>
      <c r="T616" s="19">
        <f t="shared" si="106"/>
        <v>-166.8</v>
      </c>
      <c r="U616" s="16">
        <f>IFERROR(SUMIF('LISTA DE EMBARQUE'!B:B,MICRO!E:E,'LISTA DE EMBARQUE'!G:G),"")</f>
        <v>0</v>
      </c>
      <c r="V616" s="12" t="str">
        <f>IFERROR(VLOOKUP(Tabela1[[#This Row],[COD.MDE]],'LISTA DE EMBARQUE'!B:L,11,0),"")</f>
        <v/>
      </c>
      <c r="W616" s="13" t="str">
        <f>IFERROR(COUNTIF(#REF!,Tabela1[[#This Row],[Colunas5]]),"")</f>
        <v/>
      </c>
      <c r="X616" s="14">
        <f>Tabela1[[#This Row],[QIANTIDADE EXPEDIDA]]*Tabela1[[#This Row],[PESO UNI]]</f>
        <v>0</v>
      </c>
      <c r="Y616" s="14">
        <f t="shared" si="107"/>
        <v>-2</v>
      </c>
      <c r="Z616" s="20">
        <f>Tabela1[[#This Row],[PESO TOTAL]]-Tabela1[[#This Row],[Peso Expedido]]</f>
        <v>166.8</v>
      </c>
      <c r="AA616" s="17"/>
      <c r="AB616" s="33"/>
      <c r="AC616" s="33"/>
      <c r="AD616" s="33"/>
      <c r="AE616" s="33"/>
      <c r="AF616" s="33"/>
      <c r="AG616" s="33"/>
      <c r="AH616" s="33"/>
      <c r="AI616" s="33" t="s">
        <v>4512</v>
      </c>
      <c r="AJ616"/>
      <c r="AK616"/>
      <c r="AL616"/>
      <c r="AM616"/>
      <c r="AN616"/>
      <c r="AO616"/>
      <c r="AP616"/>
      <c r="AQ616" s="22"/>
      <c r="AR616" s="24"/>
      <c r="AS616" s="37"/>
      <c r="AT616" s="37"/>
      <c r="AU616" s="37"/>
      <c r="AV616" s="37"/>
      <c r="AW616" s="37"/>
    </row>
    <row r="617" spans="1:49" ht="15.75" customHeight="1" x14ac:dyDescent="0.25">
      <c r="A617" s="1" t="s">
        <v>4533</v>
      </c>
      <c r="B617" s="21" t="s">
        <v>4534</v>
      </c>
      <c r="C617" s="1">
        <v>1</v>
      </c>
      <c r="D617" s="1" t="s">
        <v>4537</v>
      </c>
      <c r="E617" s="7">
        <v>4404</v>
      </c>
      <c r="F617" s="7">
        <v>37</v>
      </c>
      <c r="G617" s="1">
        <v>120.2</v>
      </c>
      <c r="H617" s="34">
        <f>Tabela1[[#This Row],[PESO UNI]]*Tabela1[[#This Row],[QTE]]</f>
        <v>120.2</v>
      </c>
      <c r="I617" s="7">
        <v>0</v>
      </c>
      <c r="J617" s="8" t="s">
        <v>3140</v>
      </c>
      <c r="K617" s="8" t="s">
        <v>4323</v>
      </c>
      <c r="L617" s="9" t="s">
        <v>2984</v>
      </c>
      <c r="M617" s="10">
        <v>46220</v>
      </c>
      <c r="N617" s="8" t="s">
        <v>38</v>
      </c>
      <c r="O617" s="12"/>
      <c r="P617" s="13"/>
      <c r="Q617" s="14">
        <f>Tabela1[[#This Row],[QTDE/ Fabricação]]-Tabela1[[#This Row],[QTE]]</f>
        <v>-1</v>
      </c>
      <c r="R617" s="18">
        <f t="shared" si="105"/>
        <v>0</v>
      </c>
      <c r="S617" s="18">
        <f t="shared" si="108"/>
        <v>0</v>
      </c>
      <c r="T617" s="19">
        <f t="shared" si="106"/>
        <v>-120.2</v>
      </c>
      <c r="U617" s="16">
        <f>IFERROR(SUMIF('LISTA DE EMBARQUE'!B:B,MICRO!E:E,'LISTA DE EMBARQUE'!G:G),"")</f>
        <v>0</v>
      </c>
      <c r="V617" s="12" t="str">
        <f>IFERROR(VLOOKUP(Tabela1[[#This Row],[COD.MDE]],'LISTA DE EMBARQUE'!B:L,11,0),"")</f>
        <v/>
      </c>
      <c r="W617" s="13" t="str">
        <f>IFERROR(COUNTIF(#REF!,Tabela1[[#This Row],[Colunas5]]),"")</f>
        <v/>
      </c>
      <c r="X617" s="14">
        <f>Tabela1[[#This Row],[QIANTIDADE EXPEDIDA]]*Tabela1[[#This Row],[PESO UNI]]</f>
        <v>0</v>
      </c>
      <c r="Y617" s="14">
        <f t="shared" si="107"/>
        <v>-1</v>
      </c>
      <c r="Z617" s="20">
        <f>Tabela1[[#This Row],[PESO TOTAL]]-Tabela1[[#This Row],[Peso Expedido]]</f>
        <v>120.2</v>
      </c>
      <c r="AA617" s="17"/>
      <c r="AB617" s="33"/>
      <c r="AC617" s="33"/>
      <c r="AD617" s="33"/>
      <c r="AE617" s="33"/>
      <c r="AF617" s="33"/>
      <c r="AG617" s="33"/>
      <c r="AH617" s="33"/>
      <c r="AI617" s="33" t="s">
        <v>4512</v>
      </c>
      <c r="AJ617"/>
      <c r="AK617"/>
      <c r="AL617"/>
      <c r="AM617"/>
      <c r="AN617"/>
      <c r="AO617"/>
      <c r="AP617"/>
      <c r="AQ617" s="22"/>
      <c r="AR617" s="24"/>
      <c r="AS617" s="37"/>
      <c r="AT617" s="37"/>
      <c r="AU617" s="37"/>
      <c r="AV617" s="37"/>
      <c r="AW617" s="37"/>
    </row>
    <row r="618" spans="1:49" ht="15.75" customHeight="1" x14ac:dyDescent="0.25">
      <c r="A618" s="1" t="s">
        <v>4533</v>
      </c>
      <c r="B618" s="21" t="s">
        <v>4534</v>
      </c>
      <c r="C618" s="1">
        <v>1</v>
      </c>
      <c r="D618" s="1" t="s">
        <v>4538</v>
      </c>
      <c r="E618" s="7">
        <v>4405</v>
      </c>
      <c r="F618" s="7">
        <v>37</v>
      </c>
      <c r="G618" s="1">
        <v>63.6</v>
      </c>
      <c r="H618" s="34">
        <f>Tabela1[[#This Row],[PESO UNI]]*Tabela1[[#This Row],[QTE]]</f>
        <v>63.6</v>
      </c>
      <c r="I618" s="7">
        <v>0</v>
      </c>
      <c r="J618" s="8" t="s">
        <v>3140</v>
      </c>
      <c r="K618" s="8" t="s">
        <v>4323</v>
      </c>
      <c r="L618" s="9" t="s">
        <v>2984</v>
      </c>
      <c r="M618" s="10">
        <v>46220</v>
      </c>
      <c r="N618" s="8" t="s">
        <v>38</v>
      </c>
      <c r="O618" s="12"/>
      <c r="P618" s="13"/>
      <c r="Q618" s="14">
        <f>Tabela1[[#This Row],[QTDE/ Fabricação]]-Tabela1[[#This Row],[QTE]]</f>
        <v>-1</v>
      </c>
      <c r="R618" s="18">
        <f t="shared" si="105"/>
        <v>0</v>
      </c>
      <c r="S618" s="18">
        <f t="shared" si="108"/>
        <v>0</v>
      </c>
      <c r="T618" s="19">
        <f t="shared" si="106"/>
        <v>-63.6</v>
      </c>
      <c r="U618" s="16">
        <f>IFERROR(SUMIF('LISTA DE EMBARQUE'!B:B,MICRO!E:E,'LISTA DE EMBARQUE'!G:G),"")</f>
        <v>0</v>
      </c>
      <c r="V618" s="12" t="str">
        <f>IFERROR(VLOOKUP(Tabela1[[#This Row],[COD.MDE]],'LISTA DE EMBARQUE'!B:L,11,0),"")</f>
        <v/>
      </c>
      <c r="W618" s="13" t="str">
        <f>IFERROR(COUNTIF(#REF!,Tabela1[[#This Row],[Colunas5]]),"")</f>
        <v/>
      </c>
      <c r="X618" s="14">
        <f>Tabela1[[#This Row],[QIANTIDADE EXPEDIDA]]*Tabela1[[#This Row],[PESO UNI]]</f>
        <v>0</v>
      </c>
      <c r="Y618" s="14">
        <f t="shared" si="107"/>
        <v>-1</v>
      </c>
      <c r="Z618" s="20">
        <f>Tabela1[[#This Row],[PESO TOTAL]]-Tabela1[[#This Row],[Peso Expedido]]</f>
        <v>63.6</v>
      </c>
      <c r="AA618" s="17"/>
      <c r="AB618" s="33"/>
      <c r="AC618" s="33"/>
      <c r="AD618" s="33"/>
      <c r="AE618" s="33"/>
      <c r="AF618" s="33"/>
      <c r="AG618" s="33"/>
      <c r="AH618" s="33"/>
      <c r="AI618" s="33" t="s">
        <v>4512</v>
      </c>
      <c r="AJ618"/>
      <c r="AK618"/>
      <c r="AL618"/>
      <c r="AM618"/>
      <c r="AN618"/>
      <c r="AO618"/>
      <c r="AP618"/>
      <c r="AQ618" s="22"/>
      <c r="AR618" s="24"/>
      <c r="AS618" s="37"/>
      <c r="AT618" s="37"/>
      <c r="AU618" s="37"/>
      <c r="AV618" s="37"/>
      <c r="AW618" s="37"/>
    </row>
    <row r="619" spans="1:49" ht="15.75" customHeight="1" x14ac:dyDescent="0.25">
      <c r="A619" s="1" t="s">
        <v>4533</v>
      </c>
      <c r="B619" s="21" t="s">
        <v>4534</v>
      </c>
      <c r="C619" s="1">
        <v>1</v>
      </c>
      <c r="D619" s="1" t="s">
        <v>4539</v>
      </c>
      <c r="E619" s="7">
        <v>4406</v>
      </c>
      <c r="F619" s="7">
        <v>37</v>
      </c>
      <c r="G619" s="1">
        <v>73.3</v>
      </c>
      <c r="H619" s="34">
        <f>Tabela1[[#This Row],[PESO UNI]]*Tabela1[[#This Row],[QTE]]</f>
        <v>73.3</v>
      </c>
      <c r="I619" s="7">
        <v>0</v>
      </c>
      <c r="J619" s="8" t="s">
        <v>3140</v>
      </c>
      <c r="K619" s="8" t="s">
        <v>4323</v>
      </c>
      <c r="L619" s="9" t="s">
        <v>2984</v>
      </c>
      <c r="M619" s="10">
        <v>46220</v>
      </c>
      <c r="N619" s="8" t="s">
        <v>38</v>
      </c>
      <c r="O619" s="12"/>
      <c r="P619" s="13"/>
      <c r="Q619" s="14">
        <f>Tabela1[[#This Row],[QTDE/ Fabricação]]-Tabela1[[#This Row],[QTE]]</f>
        <v>-1</v>
      </c>
      <c r="R619" s="18">
        <f t="shared" si="105"/>
        <v>0</v>
      </c>
      <c r="S619" s="18">
        <f t="shared" si="108"/>
        <v>0</v>
      </c>
      <c r="T619" s="19">
        <f t="shared" si="106"/>
        <v>-73.3</v>
      </c>
      <c r="U619" s="16">
        <f>IFERROR(SUMIF('LISTA DE EMBARQUE'!B:B,MICRO!E:E,'LISTA DE EMBARQUE'!G:G),"")</f>
        <v>0</v>
      </c>
      <c r="V619" s="12" t="str">
        <f>IFERROR(VLOOKUP(Tabela1[[#This Row],[COD.MDE]],'LISTA DE EMBARQUE'!B:L,11,0),"")</f>
        <v/>
      </c>
      <c r="W619" s="13" t="str">
        <f>IFERROR(COUNTIF(#REF!,Tabela1[[#This Row],[Colunas5]]),"")</f>
        <v/>
      </c>
      <c r="X619" s="14">
        <f>Tabela1[[#This Row],[QIANTIDADE EXPEDIDA]]*Tabela1[[#This Row],[PESO UNI]]</f>
        <v>0</v>
      </c>
      <c r="Y619" s="14">
        <f t="shared" si="107"/>
        <v>-1</v>
      </c>
      <c r="Z619" s="20">
        <f>Tabela1[[#This Row],[PESO TOTAL]]-Tabela1[[#This Row],[Peso Expedido]]</f>
        <v>73.3</v>
      </c>
      <c r="AA619" s="17"/>
      <c r="AB619" s="33"/>
      <c r="AC619" s="33"/>
      <c r="AD619" s="33"/>
      <c r="AE619" s="33"/>
      <c r="AF619" s="33"/>
      <c r="AG619" s="33"/>
      <c r="AH619" s="33"/>
      <c r="AI619" s="33" t="s">
        <v>4512</v>
      </c>
      <c r="AJ619"/>
      <c r="AK619"/>
      <c r="AL619"/>
      <c r="AM619"/>
      <c r="AN619"/>
      <c r="AO619"/>
      <c r="AP619"/>
      <c r="AQ619" s="22"/>
      <c r="AR619" s="24"/>
      <c r="AS619" s="37"/>
      <c r="AT619" s="37"/>
      <c r="AU619" s="37"/>
      <c r="AV619" s="37"/>
      <c r="AW619" s="37"/>
    </row>
    <row r="620" spans="1:49" ht="15.75" customHeight="1" x14ac:dyDescent="0.25">
      <c r="A620" s="1" t="s">
        <v>4541</v>
      </c>
      <c r="B620" s="21" t="s">
        <v>4542</v>
      </c>
      <c r="C620" s="1">
        <v>1</v>
      </c>
      <c r="D620" s="1" t="s">
        <v>4543</v>
      </c>
      <c r="E620" s="7">
        <v>4407</v>
      </c>
      <c r="F620" s="7">
        <v>38</v>
      </c>
      <c r="G620" s="1">
        <v>753.9</v>
      </c>
      <c r="H620" s="34">
        <f>Tabela1[[#This Row],[PESO UNI]]*Tabela1[[#This Row],[QTE]]</f>
        <v>753.9</v>
      </c>
      <c r="I620" s="7">
        <v>0</v>
      </c>
      <c r="J620" s="8" t="s">
        <v>3140</v>
      </c>
      <c r="K620" s="8" t="s">
        <v>4323</v>
      </c>
      <c r="L620" s="9" t="s">
        <v>2984</v>
      </c>
      <c r="M620" s="10">
        <v>46223</v>
      </c>
      <c r="N620" s="8" t="s">
        <v>38</v>
      </c>
      <c r="O620" s="12"/>
      <c r="P620" s="13"/>
      <c r="Q620" s="14">
        <f>Tabela1[[#This Row],[QTDE/ Fabricação]]-Tabela1[[#This Row],[QTE]]</f>
        <v>-1</v>
      </c>
      <c r="R620" s="18">
        <f t="shared" si="105"/>
        <v>0</v>
      </c>
      <c r="S620" s="18">
        <f t="shared" si="108"/>
        <v>0</v>
      </c>
      <c r="T620" s="19">
        <f t="shared" si="106"/>
        <v>-753.9</v>
      </c>
      <c r="U620" s="16">
        <f>IFERROR(SUMIF('LISTA DE EMBARQUE'!B:B,MICRO!E:E,'LISTA DE EMBARQUE'!G:G),"")</f>
        <v>0</v>
      </c>
      <c r="V620" s="12" t="str">
        <f>IFERROR(VLOOKUP(Tabela1[[#This Row],[COD.MDE]],'LISTA DE EMBARQUE'!B:L,11,0),"")</f>
        <v/>
      </c>
      <c r="W620" s="13" t="str">
        <f>IFERROR(COUNTIF(#REF!,Tabela1[[#This Row],[Colunas5]]),"")</f>
        <v/>
      </c>
      <c r="X620" s="14">
        <f>Tabela1[[#This Row],[QIANTIDADE EXPEDIDA]]*Tabela1[[#This Row],[PESO UNI]]</f>
        <v>0</v>
      </c>
      <c r="Y620" s="14">
        <f t="shared" si="107"/>
        <v>-1</v>
      </c>
      <c r="Z620" s="20">
        <f>Tabela1[[#This Row],[PESO TOTAL]]-Tabela1[[#This Row],[Peso Expedido]]</f>
        <v>753.9</v>
      </c>
      <c r="AA620" s="17"/>
      <c r="AB620" s="33"/>
      <c r="AC620" s="33"/>
      <c r="AD620" s="33"/>
      <c r="AE620" s="33"/>
      <c r="AF620" s="33"/>
      <c r="AG620" s="33"/>
      <c r="AH620" s="33"/>
      <c r="AI620" s="33" t="s">
        <v>4512</v>
      </c>
      <c r="AJ620"/>
      <c r="AK620"/>
      <c r="AL620"/>
      <c r="AM620"/>
      <c r="AN620"/>
      <c r="AO620"/>
      <c r="AP620"/>
      <c r="AQ620" s="22"/>
      <c r="AR620" s="24"/>
      <c r="AS620" s="37"/>
      <c r="AT620" s="37"/>
      <c r="AU620" s="37"/>
      <c r="AV620" s="37"/>
      <c r="AW620" s="37"/>
    </row>
    <row r="621" spans="1:49" ht="15.75" customHeight="1" x14ac:dyDescent="0.25">
      <c r="A621" s="1" t="s">
        <v>4541</v>
      </c>
      <c r="B621" s="21" t="s">
        <v>4542</v>
      </c>
      <c r="C621" s="1">
        <v>2</v>
      </c>
      <c r="D621" s="1" t="s">
        <v>4544</v>
      </c>
      <c r="E621" s="7">
        <v>4408</v>
      </c>
      <c r="F621" s="7">
        <v>38</v>
      </c>
      <c r="G621" s="1">
        <v>81.099999999999994</v>
      </c>
      <c r="H621" s="34">
        <f>Tabela1[[#This Row],[PESO UNI]]*Tabela1[[#This Row],[QTE]]</f>
        <v>162.19999999999999</v>
      </c>
      <c r="I621" s="7">
        <v>0</v>
      </c>
      <c r="J621" s="8" t="s">
        <v>3140</v>
      </c>
      <c r="K621" s="8" t="s">
        <v>4323</v>
      </c>
      <c r="L621" s="9" t="s">
        <v>2984</v>
      </c>
      <c r="M621" s="10">
        <v>46223</v>
      </c>
      <c r="N621" s="8" t="s">
        <v>38</v>
      </c>
      <c r="O621" s="12"/>
      <c r="P621" s="13"/>
      <c r="Q621" s="14">
        <f>Tabela1[[#This Row],[QTDE/ Fabricação]]-Tabela1[[#This Row],[QTE]]</f>
        <v>-2</v>
      </c>
      <c r="R621" s="18">
        <f t="shared" si="105"/>
        <v>0</v>
      </c>
      <c r="S621" s="18">
        <f t="shared" si="108"/>
        <v>0</v>
      </c>
      <c r="T621" s="19">
        <f t="shared" si="106"/>
        <v>-162.19999999999999</v>
      </c>
      <c r="U621" s="16">
        <f>IFERROR(SUMIF('LISTA DE EMBARQUE'!B:B,MICRO!E:E,'LISTA DE EMBARQUE'!G:G),"")</f>
        <v>0</v>
      </c>
      <c r="V621" s="12" t="str">
        <f>IFERROR(VLOOKUP(Tabela1[[#This Row],[COD.MDE]],'LISTA DE EMBARQUE'!B:L,11,0),"")</f>
        <v/>
      </c>
      <c r="W621" s="13" t="str">
        <f>IFERROR(COUNTIF(#REF!,Tabela1[[#This Row],[Colunas5]]),"")</f>
        <v/>
      </c>
      <c r="X621" s="14">
        <f>Tabela1[[#This Row],[QIANTIDADE EXPEDIDA]]*Tabela1[[#This Row],[PESO UNI]]</f>
        <v>0</v>
      </c>
      <c r="Y621" s="14">
        <f t="shared" si="107"/>
        <v>-2</v>
      </c>
      <c r="Z621" s="20">
        <f>Tabela1[[#This Row],[PESO TOTAL]]-Tabela1[[#This Row],[Peso Expedido]]</f>
        <v>162.19999999999999</v>
      </c>
      <c r="AA621" s="17"/>
      <c r="AB621" s="33"/>
      <c r="AC621" s="33"/>
      <c r="AD621" s="33"/>
      <c r="AE621" s="33"/>
      <c r="AF621" s="33"/>
      <c r="AG621" s="33"/>
      <c r="AH621" s="33"/>
      <c r="AI621" s="33" t="s">
        <v>4512</v>
      </c>
      <c r="AJ621"/>
      <c r="AK621"/>
      <c r="AL621"/>
      <c r="AM621"/>
      <c r="AN621"/>
      <c r="AO621"/>
      <c r="AP621"/>
      <c r="AQ621" s="22"/>
      <c r="AR621" s="24"/>
      <c r="AS621" s="37"/>
      <c r="AT621" s="37"/>
      <c r="AU621" s="37"/>
      <c r="AV621" s="37"/>
      <c r="AW621" s="37"/>
    </row>
    <row r="622" spans="1:49" ht="15.75" customHeight="1" x14ac:dyDescent="0.25">
      <c r="A622" s="1" t="s">
        <v>4541</v>
      </c>
      <c r="B622" s="21" t="s">
        <v>4542</v>
      </c>
      <c r="C622" s="1">
        <v>2</v>
      </c>
      <c r="D622" s="1" t="s">
        <v>4545</v>
      </c>
      <c r="E622" s="7">
        <v>4409</v>
      </c>
      <c r="F622" s="7">
        <v>38</v>
      </c>
      <c r="G622" s="1">
        <v>51.8</v>
      </c>
      <c r="H622" s="34">
        <f>Tabela1[[#This Row],[PESO UNI]]*Tabela1[[#This Row],[QTE]]</f>
        <v>103.6</v>
      </c>
      <c r="I622" s="7">
        <v>0</v>
      </c>
      <c r="J622" s="8" t="s">
        <v>3140</v>
      </c>
      <c r="K622" s="8" t="s">
        <v>4323</v>
      </c>
      <c r="L622" s="9" t="s">
        <v>2984</v>
      </c>
      <c r="M622" s="10">
        <v>46223</v>
      </c>
      <c r="N622" s="8" t="s">
        <v>38</v>
      </c>
      <c r="O622" s="12"/>
      <c r="P622" s="13"/>
      <c r="Q622" s="14">
        <f>Tabela1[[#This Row],[QTDE/ Fabricação]]-Tabela1[[#This Row],[QTE]]</f>
        <v>-2</v>
      </c>
      <c r="R622" s="18">
        <f t="shared" si="105"/>
        <v>0</v>
      </c>
      <c r="S622" s="18">
        <f t="shared" si="108"/>
        <v>0</v>
      </c>
      <c r="T622" s="19">
        <f t="shared" si="106"/>
        <v>-103.6</v>
      </c>
      <c r="U622" s="16">
        <f>IFERROR(SUMIF('LISTA DE EMBARQUE'!B:B,MICRO!E:E,'LISTA DE EMBARQUE'!G:G),"")</f>
        <v>0</v>
      </c>
      <c r="V622" s="12" t="str">
        <f>IFERROR(VLOOKUP(Tabela1[[#This Row],[COD.MDE]],'LISTA DE EMBARQUE'!B:L,11,0),"")</f>
        <v/>
      </c>
      <c r="W622" s="13" t="str">
        <f>IFERROR(COUNTIF(#REF!,Tabela1[[#This Row],[Colunas5]]),"")</f>
        <v/>
      </c>
      <c r="X622" s="14">
        <f>Tabela1[[#This Row],[QIANTIDADE EXPEDIDA]]*Tabela1[[#This Row],[PESO UNI]]</f>
        <v>0</v>
      </c>
      <c r="Y622" s="14">
        <f t="shared" si="107"/>
        <v>-2</v>
      </c>
      <c r="Z622" s="20">
        <f>Tabela1[[#This Row],[PESO TOTAL]]-Tabela1[[#This Row],[Peso Expedido]]</f>
        <v>103.6</v>
      </c>
      <c r="AA622" s="17"/>
      <c r="AB622" s="33"/>
      <c r="AC622" s="33"/>
      <c r="AD622" s="33"/>
      <c r="AE622" s="33"/>
      <c r="AF622" s="33"/>
      <c r="AG622" s="33"/>
      <c r="AH622" s="33"/>
      <c r="AI622" s="33" t="s">
        <v>4512</v>
      </c>
      <c r="AJ622"/>
      <c r="AK622"/>
      <c r="AL622"/>
      <c r="AM622"/>
      <c r="AN622"/>
      <c r="AO622"/>
      <c r="AP622"/>
      <c r="AQ622" s="22"/>
      <c r="AR622" s="24"/>
      <c r="AS622" s="37"/>
      <c r="AT622" s="37"/>
      <c r="AU622" s="37"/>
      <c r="AV622" s="37"/>
      <c r="AW622" s="37"/>
    </row>
    <row r="623" spans="1:49" ht="15.75" customHeight="1" x14ac:dyDescent="0.25">
      <c r="A623" s="1" t="s">
        <v>4541</v>
      </c>
      <c r="B623" s="21" t="s">
        <v>4542</v>
      </c>
      <c r="C623" s="1">
        <v>2</v>
      </c>
      <c r="D623" s="1" t="s">
        <v>4546</v>
      </c>
      <c r="E623" s="7">
        <v>4410</v>
      </c>
      <c r="F623" s="7">
        <v>38</v>
      </c>
      <c r="G623" s="1">
        <v>2.7</v>
      </c>
      <c r="H623" s="34">
        <f>Tabela1[[#This Row],[PESO UNI]]*Tabela1[[#This Row],[QTE]]</f>
        <v>5.4</v>
      </c>
      <c r="I623" s="7">
        <v>0</v>
      </c>
      <c r="J623" s="8" t="s">
        <v>3140</v>
      </c>
      <c r="K623" s="8" t="s">
        <v>4323</v>
      </c>
      <c r="L623" s="9" t="s">
        <v>2984</v>
      </c>
      <c r="M623" s="10">
        <v>46223</v>
      </c>
      <c r="N623" s="8" t="s">
        <v>38</v>
      </c>
      <c r="O623" s="12"/>
      <c r="P623" s="13"/>
      <c r="Q623" s="14">
        <f>Tabela1[[#This Row],[QTDE/ Fabricação]]-Tabela1[[#This Row],[QTE]]</f>
        <v>-2</v>
      </c>
      <c r="R623" s="18">
        <f t="shared" si="105"/>
        <v>0</v>
      </c>
      <c r="S623" s="18">
        <f t="shared" si="108"/>
        <v>0</v>
      </c>
      <c r="T623" s="19">
        <f t="shared" si="106"/>
        <v>-5.4</v>
      </c>
      <c r="U623" s="16">
        <f>IFERROR(SUMIF('LISTA DE EMBARQUE'!B:B,MICRO!E:E,'LISTA DE EMBARQUE'!G:G),"")</f>
        <v>0</v>
      </c>
      <c r="V623" s="12" t="str">
        <f>IFERROR(VLOOKUP(Tabela1[[#This Row],[COD.MDE]],'LISTA DE EMBARQUE'!B:L,11,0),"")</f>
        <v/>
      </c>
      <c r="W623" s="13" t="str">
        <f>IFERROR(COUNTIF(#REF!,Tabela1[[#This Row],[Colunas5]]),"")</f>
        <v/>
      </c>
      <c r="X623" s="14">
        <f>Tabela1[[#This Row],[QIANTIDADE EXPEDIDA]]*Tabela1[[#This Row],[PESO UNI]]</f>
        <v>0</v>
      </c>
      <c r="Y623" s="14">
        <f t="shared" si="107"/>
        <v>-2</v>
      </c>
      <c r="Z623" s="20">
        <f>Tabela1[[#This Row],[PESO TOTAL]]-Tabela1[[#This Row],[Peso Expedido]]</f>
        <v>5.4</v>
      </c>
      <c r="AA623" s="17"/>
      <c r="AB623" s="33"/>
      <c r="AC623" s="33"/>
      <c r="AD623" s="33"/>
      <c r="AE623" s="33"/>
      <c r="AF623" s="33"/>
      <c r="AG623" s="33"/>
      <c r="AH623" s="33"/>
      <c r="AI623" s="33" t="s">
        <v>4512</v>
      </c>
      <c r="AJ623"/>
      <c r="AK623"/>
      <c r="AL623"/>
      <c r="AM623"/>
      <c r="AN623"/>
      <c r="AO623"/>
      <c r="AP623"/>
      <c r="AQ623" s="22"/>
      <c r="AR623" s="24"/>
      <c r="AS623" s="37"/>
      <c r="AT623" s="37"/>
      <c r="AU623" s="37"/>
      <c r="AV623" s="37"/>
      <c r="AW623" s="37"/>
    </row>
    <row r="624" spans="1:49" ht="15.75" customHeight="1" x14ac:dyDescent="0.25">
      <c r="A624" s="1" t="s">
        <v>4541</v>
      </c>
      <c r="B624" s="21" t="s">
        <v>4542</v>
      </c>
      <c r="C624" s="1">
        <v>2</v>
      </c>
      <c r="D624" s="1" t="s">
        <v>4547</v>
      </c>
      <c r="E624" s="7">
        <v>4411</v>
      </c>
      <c r="F624" s="7">
        <v>38</v>
      </c>
      <c r="G624" s="1">
        <v>0.75</v>
      </c>
      <c r="H624" s="34">
        <f>Tabela1[[#This Row],[PESO UNI]]*Tabela1[[#This Row],[QTE]]</f>
        <v>1.5</v>
      </c>
      <c r="I624" s="7">
        <v>0</v>
      </c>
      <c r="J624" s="8" t="s">
        <v>3140</v>
      </c>
      <c r="K624" s="8" t="s">
        <v>4323</v>
      </c>
      <c r="L624" s="9" t="s">
        <v>2984</v>
      </c>
      <c r="M624" s="10">
        <v>46223</v>
      </c>
      <c r="N624" s="8" t="s">
        <v>38</v>
      </c>
      <c r="O624" s="12"/>
      <c r="P624" s="13"/>
      <c r="Q624" s="14">
        <f>Tabela1[[#This Row],[QTDE/ Fabricação]]-Tabela1[[#This Row],[QTE]]</f>
        <v>-2</v>
      </c>
      <c r="R624" s="18">
        <f t="shared" si="105"/>
        <v>0</v>
      </c>
      <c r="S624" s="18">
        <f t="shared" si="108"/>
        <v>0</v>
      </c>
      <c r="T624" s="19">
        <f t="shared" si="106"/>
        <v>-1.5</v>
      </c>
      <c r="U624" s="16">
        <f>IFERROR(SUMIF('LISTA DE EMBARQUE'!B:B,MICRO!E:E,'LISTA DE EMBARQUE'!G:G),"")</f>
        <v>0</v>
      </c>
      <c r="V624" s="12" t="str">
        <f>IFERROR(VLOOKUP(Tabela1[[#This Row],[COD.MDE]],'LISTA DE EMBARQUE'!B:L,11,0),"")</f>
        <v/>
      </c>
      <c r="W624" s="13" t="str">
        <f>IFERROR(COUNTIF(#REF!,Tabela1[[#This Row],[Colunas5]]),"")</f>
        <v/>
      </c>
      <c r="X624" s="14">
        <f>Tabela1[[#This Row],[QIANTIDADE EXPEDIDA]]*Tabela1[[#This Row],[PESO UNI]]</f>
        <v>0</v>
      </c>
      <c r="Y624" s="14">
        <f t="shared" si="107"/>
        <v>-2</v>
      </c>
      <c r="Z624" s="20">
        <f>Tabela1[[#This Row],[PESO TOTAL]]-Tabela1[[#This Row],[Peso Expedido]]</f>
        <v>1.5</v>
      </c>
      <c r="AA624" s="17"/>
      <c r="AB624" s="33"/>
      <c r="AC624" s="33"/>
      <c r="AD624" s="33"/>
      <c r="AE624" s="33"/>
      <c r="AF624" s="33"/>
      <c r="AG624" s="33"/>
      <c r="AH624" s="33"/>
      <c r="AI624" s="33" t="s">
        <v>4512</v>
      </c>
      <c r="AJ624"/>
      <c r="AK624"/>
      <c r="AL624"/>
      <c r="AM624"/>
      <c r="AN624"/>
      <c r="AO624"/>
      <c r="AP624"/>
      <c r="AQ624" s="22"/>
      <c r="AR624" s="24"/>
      <c r="AS624" s="37"/>
      <c r="AT624" s="37"/>
      <c r="AU624" s="37"/>
      <c r="AV624" s="37"/>
      <c r="AW624" s="37"/>
    </row>
    <row r="625" spans="1:49" ht="15.75" customHeight="1" x14ac:dyDescent="0.25">
      <c r="A625" s="1" t="s">
        <v>4541</v>
      </c>
      <c r="B625" s="21" t="s">
        <v>4542</v>
      </c>
      <c r="C625" s="1">
        <v>2</v>
      </c>
      <c r="D625" s="1" t="s">
        <v>4548</v>
      </c>
      <c r="E625" s="7">
        <v>4412</v>
      </c>
      <c r="F625" s="7">
        <v>38</v>
      </c>
      <c r="G625" s="1">
        <v>0.8</v>
      </c>
      <c r="H625" s="34">
        <f>Tabela1[[#This Row],[PESO UNI]]*Tabela1[[#This Row],[QTE]]</f>
        <v>1.6</v>
      </c>
      <c r="I625" s="7">
        <v>0</v>
      </c>
      <c r="J625" s="8" t="s">
        <v>3140</v>
      </c>
      <c r="K625" s="8" t="s">
        <v>4323</v>
      </c>
      <c r="L625" s="9" t="s">
        <v>2984</v>
      </c>
      <c r="M625" s="10">
        <v>46223</v>
      </c>
      <c r="N625" s="8" t="s">
        <v>38</v>
      </c>
      <c r="O625" s="12"/>
      <c r="P625" s="13"/>
      <c r="Q625" s="14">
        <f>Tabela1[[#This Row],[QTDE/ Fabricação]]-Tabela1[[#This Row],[QTE]]</f>
        <v>-2</v>
      </c>
      <c r="R625" s="18">
        <f>IFERROR(H625*((AA625*0.25)+(AC625*0.25)+(AD625*0.225)+(AE625*0.225)+(AF625*0.05)),"")</f>
        <v>0</v>
      </c>
      <c r="S625" s="18">
        <f>IFERROR(H625*AG625,"")</f>
        <v>0</v>
      </c>
      <c r="T625" s="19">
        <f>IFERROR(S625-H625,"")</f>
        <v>-1.6</v>
      </c>
      <c r="U625" s="16">
        <f>IFERROR(SUMIF('LISTA DE EMBARQUE'!B:B,MICRO!E:E,'LISTA DE EMBARQUE'!G:G),"")</f>
        <v>0</v>
      </c>
      <c r="V625" s="12" t="str">
        <f>IFERROR(VLOOKUP(Tabela1[[#This Row],[COD.MDE]],'LISTA DE EMBARQUE'!B:L,11,0),"")</f>
        <v/>
      </c>
      <c r="W625" s="13" t="str">
        <f>IFERROR(COUNTIF(#REF!,Tabela1[[#This Row],[Colunas5]]),"")</f>
        <v/>
      </c>
      <c r="X625" s="14">
        <f>Tabela1[[#This Row],[QIANTIDADE EXPEDIDA]]*Tabela1[[#This Row],[PESO UNI]]</f>
        <v>0</v>
      </c>
      <c r="Y625" s="14">
        <f>U625-C625</f>
        <v>-2</v>
      </c>
      <c r="Z625" s="20">
        <f>Tabela1[[#This Row],[PESO TOTAL]]-Tabela1[[#This Row],[Peso Expedido]]</f>
        <v>1.6</v>
      </c>
      <c r="AA625" s="17"/>
      <c r="AB625" s="33"/>
      <c r="AC625" s="33"/>
      <c r="AD625" s="33"/>
      <c r="AE625" s="33"/>
      <c r="AF625" s="33"/>
      <c r="AG625" s="33"/>
      <c r="AH625" s="33"/>
      <c r="AI625" s="33" t="s">
        <v>4512</v>
      </c>
      <c r="AJ625"/>
      <c r="AK625"/>
      <c r="AL625"/>
      <c r="AM625"/>
      <c r="AN625"/>
      <c r="AO625"/>
      <c r="AP625"/>
      <c r="AQ625" s="22"/>
      <c r="AR625" s="24"/>
      <c r="AS625" s="37"/>
      <c r="AT625" s="37"/>
      <c r="AU625" s="37"/>
      <c r="AV625" s="37"/>
      <c r="AW625" s="37"/>
    </row>
    <row r="626" spans="1:49" ht="15.75" customHeight="1" x14ac:dyDescent="0.25">
      <c r="A626" s="1" t="s">
        <v>4549</v>
      </c>
      <c r="B626" s="21" t="s">
        <v>4550</v>
      </c>
      <c r="C626" s="1">
        <v>1</v>
      </c>
      <c r="D626" s="1" t="s">
        <v>4551</v>
      </c>
      <c r="E626" s="7">
        <v>4413</v>
      </c>
      <c r="F626" s="7">
        <v>39</v>
      </c>
      <c r="G626" s="1">
        <v>514.29999999999995</v>
      </c>
      <c r="H626" s="34">
        <f>Tabela1[[#This Row],[PESO UNI]]*Tabela1[[#This Row],[QTE]]</f>
        <v>514.29999999999995</v>
      </c>
      <c r="I626" s="7">
        <v>1</v>
      </c>
      <c r="J626" s="8" t="s">
        <v>3045</v>
      </c>
      <c r="K626" s="8" t="s">
        <v>4323</v>
      </c>
      <c r="L626" s="9" t="s">
        <v>2984</v>
      </c>
      <c r="M626" s="10">
        <v>46224</v>
      </c>
      <c r="N626" s="8" t="s">
        <v>38</v>
      </c>
      <c r="O626" s="12"/>
      <c r="P626" s="13"/>
      <c r="Q626" s="14">
        <f>Tabela1[[#This Row],[QTDE/ Fabricação]]-Tabela1[[#This Row],[QTE]]</f>
        <v>-1</v>
      </c>
      <c r="R626" s="18">
        <f>IFERROR(H626*((AA626*0.25)+(AC626*0.25)+(AD626*0.225)+(AE626*0.225)+(AF626*0.05)),"")</f>
        <v>0</v>
      </c>
      <c r="S626" s="18">
        <f>IFERROR(H626*AG626,"")</f>
        <v>0</v>
      </c>
      <c r="T626" s="19">
        <f>IFERROR(S626-H626,"")</f>
        <v>-514.29999999999995</v>
      </c>
      <c r="U626" s="16">
        <f>IFERROR(SUMIF('LISTA DE EMBARQUE'!B:B,MICRO!E:E,'LISTA DE EMBARQUE'!G:G),"")</f>
        <v>0</v>
      </c>
      <c r="V626" s="12" t="str">
        <f>IFERROR(VLOOKUP(Tabela1[[#This Row],[COD.MDE]],'LISTA DE EMBARQUE'!B:L,11,0),"")</f>
        <v/>
      </c>
      <c r="W626" s="13" t="str">
        <f>IFERROR(COUNTIF(#REF!,Tabela1[[#This Row],[Colunas5]]),"")</f>
        <v/>
      </c>
      <c r="X626" s="14">
        <f>Tabela1[[#This Row],[QIANTIDADE EXPEDIDA]]*Tabela1[[#This Row],[PESO UNI]]</f>
        <v>0</v>
      </c>
      <c r="Y626" s="14">
        <f>U626-C626</f>
        <v>-1</v>
      </c>
      <c r="Z626" s="20">
        <f>Tabela1[[#This Row],[PESO TOTAL]]-Tabela1[[#This Row],[Peso Expedido]]</f>
        <v>514.29999999999995</v>
      </c>
      <c r="AA626" s="17"/>
      <c r="AB626" s="33"/>
      <c r="AC626" s="33"/>
      <c r="AD626" s="33"/>
      <c r="AE626" s="33"/>
      <c r="AF626" s="33"/>
      <c r="AG626" s="33"/>
      <c r="AH626" s="33"/>
      <c r="AI626" s="33" t="s">
        <v>4512</v>
      </c>
      <c r="AJ626"/>
      <c r="AK626"/>
      <c r="AL626"/>
      <c r="AM626"/>
      <c r="AN626"/>
      <c r="AO626"/>
      <c r="AP626"/>
      <c r="AQ626" s="22"/>
      <c r="AR626" s="24"/>
      <c r="AS626" s="37"/>
      <c r="AT626" s="37"/>
      <c r="AU626" s="37"/>
      <c r="AV626" s="37"/>
      <c r="AW626" s="37"/>
    </row>
    <row r="627" spans="1:49" ht="15.75" customHeight="1" x14ac:dyDescent="0.25">
      <c r="A627" s="1" t="s">
        <v>4553</v>
      </c>
      <c r="B627" s="21"/>
      <c r="C627" s="1">
        <v>30</v>
      </c>
      <c r="D627" s="1" t="s">
        <v>4552</v>
      </c>
      <c r="E627" s="7">
        <v>4414</v>
      </c>
      <c r="F627" s="7">
        <v>1</v>
      </c>
      <c r="G627" s="1">
        <v>11.5</v>
      </c>
      <c r="H627" s="34">
        <f>Tabela1[[#This Row],[PESO UNI]]*Tabela1[[#This Row],[QTE]]</f>
        <v>345</v>
      </c>
      <c r="I627" s="7">
        <v>0</v>
      </c>
      <c r="J627" s="8" t="s">
        <v>4554</v>
      </c>
      <c r="K627" s="8" t="s">
        <v>23</v>
      </c>
      <c r="L627" s="9" t="s">
        <v>4555</v>
      </c>
      <c r="M627" s="10">
        <v>46271</v>
      </c>
      <c r="N627" s="8" t="s">
        <v>38</v>
      </c>
      <c r="O627" s="12"/>
      <c r="P627" s="13"/>
      <c r="Q627" s="14">
        <f>Tabela1[[#This Row],[QTDE/ Fabricação]]-Tabela1[[#This Row],[QTE]]</f>
        <v>-30</v>
      </c>
      <c r="R627" s="18">
        <f>IFERROR(H627*((AA627*0.25)+(AC627*0.25)+(AD627*0.225)+(AE627*0.225)+(AF627*0.05)),"")</f>
        <v>345</v>
      </c>
      <c r="S627" s="18">
        <f>IFERROR(H627*AG627,"")</f>
        <v>345</v>
      </c>
      <c r="T627" s="19">
        <f>IFERROR(S627-H627,"")</f>
        <v>0</v>
      </c>
      <c r="U627" s="16">
        <f>IFERROR(SUMIF('LISTA DE EMBARQUE'!B:B,MICRO!E:E,'LISTA DE EMBARQUE'!G:G),"")</f>
        <v>0</v>
      </c>
      <c r="V627" s="12" t="str">
        <f>IFERROR(VLOOKUP(Tabela1[[#This Row],[COD.MDE]],'LISTA DE EMBARQUE'!B:L,11,0),"")</f>
        <v/>
      </c>
      <c r="W627" s="13" t="str">
        <f>IFERROR(COUNTIF(#REF!,Tabela1[[#This Row],[Colunas5]]),"")</f>
        <v/>
      </c>
      <c r="X627" s="14">
        <f>Tabela1[[#This Row],[QIANTIDADE EXPEDIDA]]*Tabela1[[#This Row],[PESO UNI]]</f>
        <v>0</v>
      </c>
      <c r="Y627" s="14">
        <f>U627-C627</f>
        <v>-30</v>
      </c>
      <c r="Z627" s="20">
        <f>Tabela1[[#This Row],[PESO TOTAL]]-Tabela1[[#This Row],[Peso Expedido]]</f>
        <v>345</v>
      </c>
      <c r="AA627" s="17">
        <v>1</v>
      </c>
      <c r="AB627" s="17">
        <v>1</v>
      </c>
      <c r="AC627" s="17">
        <v>1</v>
      </c>
      <c r="AD627" s="17">
        <v>1</v>
      </c>
      <c r="AE627" s="17">
        <v>1</v>
      </c>
      <c r="AF627" s="17">
        <v>1</v>
      </c>
      <c r="AG627" s="17">
        <v>1</v>
      </c>
      <c r="AH627" s="33"/>
      <c r="AI627" s="33"/>
      <c r="AJ627"/>
      <c r="AK627"/>
      <c r="AL627"/>
      <c r="AM627"/>
      <c r="AN627"/>
      <c r="AO627"/>
      <c r="AP627"/>
      <c r="AQ627" s="22"/>
      <c r="AR627" s="24"/>
      <c r="AS627" s="37"/>
      <c r="AT627" s="37"/>
      <c r="AU627" s="37"/>
      <c r="AV627" s="37"/>
      <c r="AW627" s="37"/>
    </row>
    <row r="628" spans="1:49" ht="15.75" customHeight="1" x14ac:dyDescent="0.25">
      <c r="A628" s="212" t="s">
        <v>653</v>
      </c>
      <c r="B628" s="21"/>
      <c r="C628" s="198">
        <v>2</v>
      </c>
      <c r="D628" s="209" t="s">
        <v>4559</v>
      </c>
      <c r="E628" s="210">
        <v>4415</v>
      </c>
      <c r="F628" s="198">
        <v>43</v>
      </c>
      <c r="G628" s="199">
        <v>2.39</v>
      </c>
      <c r="H628" s="34">
        <f>Tabela1[[#This Row],[PESO UNI]]*Tabela1[[#This Row],[QTE]]</f>
        <v>4.78</v>
      </c>
      <c r="I628" s="199">
        <v>0</v>
      </c>
      <c r="J628" s="8" t="s">
        <v>4694</v>
      </c>
      <c r="K628" s="8" t="s">
        <v>23</v>
      </c>
      <c r="L628" s="214" t="s">
        <v>2069</v>
      </c>
      <c r="M628" s="200">
        <v>46199</v>
      </c>
      <c r="N628" s="8" t="s">
        <v>38</v>
      </c>
      <c r="O628" s="215"/>
      <c r="P628" s="216"/>
      <c r="Q628" s="14">
        <f>Tabela1[[#This Row],[QTDE/ Fabricação]]-Tabela1[[#This Row],[QTE]]</f>
        <v>-2</v>
      </c>
      <c r="R628" s="18">
        <f t="shared" ref="R628:R629" si="109">IFERROR(H628*((AA628*0.25)+(AC628*0.25)+(AD628*0.225)+(AE628*0.225)+(AF628*0.05)),"")</f>
        <v>4.78</v>
      </c>
      <c r="S628" s="18">
        <f t="shared" ref="S628:S629" si="110">IFERROR(H628*AG628,"")</f>
        <v>4.78</v>
      </c>
      <c r="T628" s="19">
        <f t="shared" ref="T628:T629" si="111">IFERROR(S628-H628,"")</f>
        <v>0</v>
      </c>
      <c r="U628" s="16">
        <f>IFERROR(SUMIF('LISTA DE EMBARQUE'!B:B,MICRO!E:E,'LISTA DE EMBARQUE'!G:G),"")</f>
        <v>2</v>
      </c>
      <c r="V628" s="12">
        <f>IFERROR(VLOOKUP(Tabela1[[#This Row],[COD.MDE]],'LISTA DE EMBARQUE'!B:L,11,0),"")</f>
        <v>12</v>
      </c>
      <c r="W628" s="13" t="str">
        <f>IFERROR(COUNTIF(#REF!,Tabela1[[#This Row],[Colunas5]]),"")</f>
        <v/>
      </c>
      <c r="X628" s="14">
        <f>Tabela1[[#This Row],[QIANTIDADE EXPEDIDA]]*Tabela1[[#This Row],[PESO UNI]]</f>
        <v>4.78</v>
      </c>
      <c r="Y628" s="14">
        <f t="shared" ref="Y628:Y629" si="112">U628-C628</f>
        <v>0</v>
      </c>
      <c r="Z628" s="20">
        <f>Tabela1[[#This Row],[PESO TOTAL]]-Tabela1[[#This Row],[Peso Expedido]]</f>
        <v>0</v>
      </c>
      <c r="AA628" s="17">
        <v>1</v>
      </c>
      <c r="AB628" s="33"/>
      <c r="AC628" s="33">
        <v>1</v>
      </c>
      <c r="AD628" s="33">
        <v>1</v>
      </c>
      <c r="AE628" s="33">
        <v>1</v>
      </c>
      <c r="AF628" s="33">
        <v>1</v>
      </c>
      <c r="AG628" s="33">
        <v>1</v>
      </c>
      <c r="AH628" s="33">
        <v>1</v>
      </c>
      <c r="AI628" s="33" t="s">
        <v>4512</v>
      </c>
      <c r="AQ628" s="203"/>
      <c r="AR628" s="37"/>
      <c r="AS628" s="37"/>
      <c r="AT628" s="37"/>
      <c r="AU628" s="37"/>
      <c r="AV628" s="37"/>
      <c r="AW628" s="37"/>
    </row>
    <row r="629" spans="1:49" ht="15.75" customHeight="1" x14ac:dyDescent="0.25">
      <c r="A629" s="212" t="s">
        <v>653</v>
      </c>
      <c r="B629" s="196"/>
      <c r="C629" s="198">
        <v>2</v>
      </c>
      <c r="D629" s="209" t="s">
        <v>4559</v>
      </c>
      <c r="E629" s="210">
        <v>4416</v>
      </c>
      <c r="F629" s="198">
        <v>43</v>
      </c>
      <c r="G629" s="199">
        <v>2.39</v>
      </c>
      <c r="H629" s="34">
        <f>Tabela1[[#This Row],[PESO UNI]]*Tabela1[[#This Row],[QTE]]</f>
        <v>4.78</v>
      </c>
      <c r="I629" s="199">
        <v>0</v>
      </c>
      <c r="J629" s="8" t="s">
        <v>4695</v>
      </c>
      <c r="K629" s="8" t="s">
        <v>23</v>
      </c>
      <c r="L629" s="214" t="s">
        <v>2069</v>
      </c>
      <c r="M629" s="200">
        <v>46199</v>
      </c>
      <c r="N629" s="8" t="s">
        <v>38</v>
      </c>
      <c r="O629" s="201"/>
      <c r="P629" s="202"/>
      <c r="Q629" s="14">
        <f>Tabela1[[#This Row],[QTDE/ Fabricação]]-Tabela1[[#This Row],[QTE]]</f>
        <v>-2</v>
      </c>
      <c r="R629" s="18">
        <f t="shared" si="109"/>
        <v>4.78</v>
      </c>
      <c r="S629" s="18">
        <f t="shared" si="110"/>
        <v>4.78</v>
      </c>
      <c r="T629" s="19">
        <f t="shared" si="111"/>
        <v>0</v>
      </c>
      <c r="U629" s="16">
        <f>IFERROR(SUMIF('LISTA DE EMBARQUE'!B:B,MICRO!E:E,'LISTA DE EMBARQUE'!G:G),"")</f>
        <v>2</v>
      </c>
      <c r="V629" s="12">
        <f>IFERROR(VLOOKUP(Tabela1[[#This Row],[COD.MDE]],'LISTA DE EMBARQUE'!B:L,11,0),"")</f>
        <v>12</v>
      </c>
      <c r="W629" s="13" t="str">
        <f>IFERROR(COUNTIF(#REF!,Tabela1[[#This Row],[Colunas5]]),"")</f>
        <v/>
      </c>
      <c r="X629" s="14">
        <f>Tabela1[[#This Row],[QIANTIDADE EXPEDIDA]]*Tabela1[[#This Row],[PESO UNI]]</f>
        <v>4.78</v>
      </c>
      <c r="Y629" s="14">
        <f t="shared" si="112"/>
        <v>0</v>
      </c>
      <c r="Z629" s="20">
        <f>Tabela1[[#This Row],[PESO TOTAL]]-Tabela1[[#This Row],[Peso Expedido]]</f>
        <v>0</v>
      </c>
      <c r="AA629" s="17">
        <v>1</v>
      </c>
      <c r="AB629" s="33"/>
      <c r="AC629" s="33">
        <v>1</v>
      </c>
      <c r="AD629" s="33">
        <v>1</v>
      </c>
      <c r="AE629" s="33">
        <v>1</v>
      </c>
      <c r="AF629" s="33">
        <v>1</v>
      </c>
      <c r="AG629" s="33">
        <v>1</v>
      </c>
      <c r="AH629" s="33">
        <v>1</v>
      </c>
      <c r="AI629" s="33" t="s">
        <v>4512</v>
      </c>
      <c r="AQ629" s="203"/>
      <c r="AR629" s="158"/>
      <c r="AS629" s="158"/>
      <c r="AT629" s="158"/>
      <c r="AU629" s="158"/>
      <c r="AV629" s="158"/>
      <c r="AW629" s="158"/>
    </row>
    <row r="630" spans="1:49" ht="15.75" customHeight="1" x14ac:dyDescent="0.25">
      <c r="A630" s="212"/>
      <c r="B630" s="21" t="s">
        <v>4560</v>
      </c>
      <c r="C630" s="198">
        <v>16</v>
      </c>
      <c r="D630" s="199" t="s">
        <v>4561</v>
      </c>
      <c r="E630" s="210" t="s">
        <v>4697</v>
      </c>
      <c r="F630" s="198" t="s">
        <v>4414</v>
      </c>
      <c r="G630" s="199">
        <v>1.2</v>
      </c>
      <c r="H630" s="213">
        <v>19.2</v>
      </c>
      <c r="I630" s="199"/>
      <c r="J630" s="217"/>
      <c r="K630" s="218" t="s">
        <v>45</v>
      </c>
      <c r="L630" s="214" t="s">
        <v>2069</v>
      </c>
      <c r="M630" s="200"/>
      <c r="N630" s="8" t="s">
        <v>38</v>
      </c>
      <c r="O630" s="215"/>
      <c r="P630" s="216"/>
      <c r="Q630" s="14">
        <f>Tabela1[[#This Row],[QTDE/ Fabricação]]-Tabela1[[#This Row],[QTE]]</f>
        <v>-16</v>
      </c>
      <c r="R630" s="18">
        <f t="shared" ref="R630:R693" si="113">IFERROR(H630*((AA630*0.25)+(AC630*0.25)+(AD630*0.225)+(AE630*0.225)+(AF630*0.05)),"")</f>
        <v>19.2</v>
      </c>
      <c r="S630" s="18">
        <f t="shared" ref="S630:S693" si="114">IFERROR(H630*AG630,"")</f>
        <v>19.2</v>
      </c>
      <c r="T630" s="19">
        <f t="shared" ref="T630:T693" si="115">IFERROR(S630-H630,"")</f>
        <v>0</v>
      </c>
      <c r="U630" s="16">
        <f>IFERROR(SUMIF('LISTA DE EMBARQUE'!B:B,MICRO!E:E,'LISTA DE EMBARQUE'!G:G),"")</f>
        <v>16</v>
      </c>
      <c r="V630" s="12">
        <f>IFERROR(VLOOKUP(Tabela1[[#This Row],[COD.MDE]],'LISTA DE EMBARQUE'!B:L,11,0),"")</f>
        <v>12</v>
      </c>
      <c r="W630" s="13" t="str">
        <f>IFERROR(COUNTIF(#REF!,Tabela1[[#This Row],[Colunas5]]),"")</f>
        <v/>
      </c>
      <c r="X630" s="14">
        <f>Tabela1[[#This Row],[QIANTIDADE EXPEDIDA]]*Tabela1[[#This Row],[PESO UNI]]</f>
        <v>19.2</v>
      </c>
      <c r="Y630" s="14">
        <f t="shared" ref="Y630:Y693" si="116">U630-C630</f>
        <v>0</v>
      </c>
      <c r="Z630" s="20">
        <f>Tabela1[[#This Row],[PESO TOTAL]]-Tabela1[[#This Row],[Peso Expedido]]</f>
        <v>0</v>
      </c>
      <c r="AA630" s="17">
        <v>1</v>
      </c>
      <c r="AB630" s="33"/>
      <c r="AC630" s="33">
        <v>1</v>
      </c>
      <c r="AD630" s="33">
        <v>1</v>
      </c>
      <c r="AE630" s="33">
        <v>1</v>
      </c>
      <c r="AF630" s="33">
        <v>1</v>
      </c>
      <c r="AG630" s="33">
        <v>1</v>
      </c>
      <c r="AH630" s="33">
        <v>1</v>
      </c>
      <c r="AI630" s="33" t="s">
        <v>4512</v>
      </c>
      <c r="AQ630" s="203"/>
      <c r="AR630" s="37"/>
      <c r="AS630" s="37"/>
      <c r="AT630" s="37"/>
      <c r="AU630" s="37"/>
      <c r="AV630" s="37"/>
      <c r="AW630" s="37"/>
    </row>
    <row r="631" spans="1:49" ht="15.75" customHeight="1" x14ac:dyDescent="0.25">
      <c r="A631" s="212"/>
      <c r="B631" s="21" t="s">
        <v>4560</v>
      </c>
      <c r="C631" s="198">
        <v>8</v>
      </c>
      <c r="D631" s="199" t="s">
        <v>4563</v>
      </c>
      <c r="E631" s="210" t="s">
        <v>4698</v>
      </c>
      <c r="F631" s="198" t="s">
        <v>4414</v>
      </c>
      <c r="G631" s="199">
        <v>1.8</v>
      </c>
      <c r="H631" s="213">
        <v>14.4</v>
      </c>
      <c r="I631" s="199"/>
      <c r="J631" s="217"/>
      <c r="K631" s="218" t="s">
        <v>45</v>
      </c>
      <c r="L631" s="214" t="s">
        <v>2069</v>
      </c>
      <c r="M631" s="200"/>
      <c r="N631" s="8" t="s">
        <v>38</v>
      </c>
      <c r="O631" s="215"/>
      <c r="P631" s="216"/>
      <c r="Q631" s="14">
        <f>Tabela1[[#This Row],[QTDE/ Fabricação]]-Tabela1[[#This Row],[QTE]]</f>
        <v>-8</v>
      </c>
      <c r="R631" s="18">
        <f t="shared" si="113"/>
        <v>14.4</v>
      </c>
      <c r="S631" s="18">
        <f t="shared" si="114"/>
        <v>14.4</v>
      </c>
      <c r="T631" s="19">
        <f t="shared" si="115"/>
        <v>0</v>
      </c>
      <c r="U631" s="16">
        <f>IFERROR(SUMIF('LISTA DE EMBARQUE'!B:B,MICRO!E:E,'LISTA DE EMBARQUE'!G:G),"")</f>
        <v>8</v>
      </c>
      <c r="V631" s="12">
        <f>IFERROR(VLOOKUP(Tabela1[[#This Row],[COD.MDE]],'LISTA DE EMBARQUE'!B:L,11,0),"")</f>
        <v>12</v>
      </c>
      <c r="W631" s="13" t="str">
        <f>IFERROR(COUNTIF(#REF!,Tabela1[[#This Row],[Colunas5]]),"")</f>
        <v/>
      </c>
      <c r="X631" s="14">
        <f>Tabela1[[#This Row],[QIANTIDADE EXPEDIDA]]*Tabela1[[#This Row],[PESO UNI]]</f>
        <v>14.4</v>
      </c>
      <c r="Y631" s="14">
        <f t="shared" si="116"/>
        <v>0</v>
      </c>
      <c r="Z631" s="20">
        <f>Tabela1[[#This Row],[PESO TOTAL]]-Tabela1[[#This Row],[Peso Expedido]]</f>
        <v>0</v>
      </c>
      <c r="AA631" s="17">
        <v>1</v>
      </c>
      <c r="AB631" s="33"/>
      <c r="AC631" s="33">
        <v>1</v>
      </c>
      <c r="AD631" s="33">
        <v>1</v>
      </c>
      <c r="AE631" s="33">
        <v>1</v>
      </c>
      <c r="AF631" s="33">
        <v>1</v>
      </c>
      <c r="AG631" s="33">
        <v>1</v>
      </c>
      <c r="AH631" s="33">
        <v>1</v>
      </c>
      <c r="AI631" s="33" t="s">
        <v>4512</v>
      </c>
      <c r="AQ631" s="203"/>
      <c r="AR631" s="37"/>
      <c r="AS631" s="37"/>
      <c r="AT631" s="37"/>
      <c r="AU631" s="37"/>
      <c r="AV631" s="37"/>
      <c r="AW631" s="37"/>
    </row>
    <row r="632" spans="1:49" ht="15.75" customHeight="1" x14ac:dyDescent="0.25">
      <c r="A632" s="212"/>
      <c r="B632" s="21" t="s">
        <v>4560</v>
      </c>
      <c r="C632" s="198">
        <v>7</v>
      </c>
      <c r="D632" s="199" t="s">
        <v>4564</v>
      </c>
      <c r="E632" s="210" t="s">
        <v>4699</v>
      </c>
      <c r="F632" s="198" t="s">
        <v>4414</v>
      </c>
      <c r="G632" s="199">
        <v>2.1</v>
      </c>
      <c r="H632" s="213">
        <v>14.700000000000001</v>
      </c>
      <c r="I632" s="199"/>
      <c r="J632" s="217"/>
      <c r="K632" s="218" t="s">
        <v>45</v>
      </c>
      <c r="L632" s="214" t="s">
        <v>2069</v>
      </c>
      <c r="M632" s="200"/>
      <c r="N632" s="8" t="s">
        <v>38</v>
      </c>
      <c r="O632" s="215"/>
      <c r="P632" s="216"/>
      <c r="Q632" s="14">
        <f>Tabela1[[#This Row],[QTDE/ Fabricação]]-Tabela1[[#This Row],[QTE]]</f>
        <v>-7</v>
      </c>
      <c r="R632" s="18">
        <f t="shared" si="113"/>
        <v>14.700000000000001</v>
      </c>
      <c r="S632" s="18">
        <f t="shared" si="114"/>
        <v>14.700000000000001</v>
      </c>
      <c r="T632" s="19">
        <f t="shared" si="115"/>
        <v>0</v>
      </c>
      <c r="U632" s="16">
        <f>IFERROR(SUMIF('LISTA DE EMBARQUE'!B:B,MICRO!E:E,'LISTA DE EMBARQUE'!G:G),"")</f>
        <v>7</v>
      </c>
      <c r="V632" s="12">
        <f>IFERROR(VLOOKUP(Tabela1[[#This Row],[COD.MDE]],'LISTA DE EMBARQUE'!B:L,11,0),"")</f>
        <v>12</v>
      </c>
      <c r="W632" s="13" t="str">
        <f>IFERROR(COUNTIF(#REF!,Tabela1[[#This Row],[Colunas5]]),"")</f>
        <v/>
      </c>
      <c r="X632" s="14">
        <f>Tabela1[[#This Row],[QIANTIDADE EXPEDIDA]]*Tabela1[[#This Row],[PESO UNI]]</f>
        <v>14.700000000000001</v>
      </c>
      <c r="Y632" s="14">
        <f t="shared" si="116"/>
        <v>0</v>
      </c>
      <c r="Z632" s="20">
        <f>Tabela1[[#This Row],[PESO TOTAL]]-Tabela1[[#This Row],[Peso Expedido]]</f>
        <v>0</v>
      </c>
      <c r="AA632" s="17">
        <v>1</v>
      </c>
      <c r="AB632" s="33"/>
      <c r="AC632" s="33">
        <v>1</v>
      </c>
      <c r="AD632" s="33">
        <v>1</v>
      </c>
      <c r="AE632" s="33">
        <v>1</v>
      </c>
      <c r="AF632" s="33">
        <v>1</v>
      </c>
      <c r="AG632" s="33">
        <v>1</v>
      </c>
      <c r="AH632" s="33">
        <v>1</v>
      </c>
      <c r="AI632" s="33" t="s">
        <v>4512</v>
      </c>
      <c r="AQ632" s="203"/>
      <c r="AR632" s="37"/>
      <c r="AS632" s="37"/>
      <c r="AT632" s="37"/>
      <c r="AU632" s="37"/>
      <c r="AV632" s="37"/>
      <c r="AW632" s="37"/>
    </row>
    <row r="633" spans="1:49" ht="15.75" customHeight="1" x14ac:dyDescent="0.25">
      <c r="A633" s="212"/>
      <c r="B633" s="21" t="s">
        <v>4560</v>
      </c>
      <c r="C633" s="198">
        <v>3</v>
      </c>
      <c r="D633" s="199" t="s">
        <v>4565</v>
      </c>
      <c r="E633" s="210" t="s">
        <v>4700</v>
      </c>
      <c r="F633" s="198" t="s">
        <v>4414</v>
      </c>
      <c r="G633" s="199">
        <v>0.05</v>
      </c>
      <c r="H633" s="213">
        <v>0.15000000000000002</v>
      </c>
      <c r="I633" s="199"/>
      <c r="J633" s="217"/>
      <c r="K633" s="218" t="s">
        <v>45</v>
      </c>
      <c r="L633" s="214" t="s">
        <v>2069</v>
      </c>
      <c r="M633" s="200"/>
      <c r="N633" s="8" t="s">
        <v>38</v>
      </c>
      <c r="O633" s="215"/>
      <c r="P633" s="216"/>
      <c r="Q633" s="14">
        <f>Tabela1[[#This Row],[QTDE/ Fabricação]]-Tabela1[[#This Row],[QTE]]</f>
        <v>-3</v>
      </c>
      <c r="R633" s="18">
        <f t="shared" si="113"/>
        <v>0.15000000000000002</v>
      </c>
      <c r="S633" s="18">
        <f t="shared" si="114"/>
        <v>0.15000000000000002</v>
      </c>
      <c r="T633" s="19">
        <f t="shared" si="115"/>
        <v>0</v>
      </c>
      <c r="U633" s="16">
        <f>IFERROR(SUMIF('LISTA DE EMBARQUE'!B:B,MICRO!E:E,'LISTA DE EMBARQUE'!G:G),"")</f>
        <v>3</v>
      </c>
      <c r="V633" s="12">
        <f>IFERROR(VLOOKUP(Tabela1[[#This Row],[COD.MDE]],'LISTA DE EMBARQUE'!B:L,11,0),"")</f>
        <v>12</v>
      </c>
      <c r="W633" s="13" t="str">
        <f>IFERROR(COUNTIF(#REF!,Tabela1[[#This Row],[Colunas5]]),"")</f>
        <v/>
      </c>
      <c r="X633" s="14">
        <f>Tabela1[[#This Row],[QIANTIDADE EXPEDIDA]]*Tabela1[[#This Row],[PESO UNI]]</f>
        <v>0.15000000000000002</v>
      </c>
      <c r="Y633" s="14">
        <f t="shared" si="116"/>
        <v>0</v>
      </c>
      <c r="Z633" s="20">
        <f>Tabela1[[#This Row],[PESO TOTAL]]-Tabela1[[#This Row],[Peso Expedido]]</f>
        <v>0</v>
      </c>
      <c r="AA633" s="17">
        <v>1</v>
      </c>
      <c r="AB633" s="33"/>
      <c r="AC633" s="33">
        <v>1</v>
      </c>
      <c r="AD633" s="33">
        <v>1</v>
      </c>
      <c r="AE633" s="33">
        <v>1</v>
      </c>
      <c r="AF633" s="33">
        <v>1</v>
      </c>
      <c r="AG633" s="33">
        <v>1</v>
      </c>
      <c r="AH633" s="33">
        <v>1</v>
      </c>
      <c r="AI633" s="33" t="s">
        <v>4512</v>
      </c>
      <c r="AQ633" s="203"/>
      <c r="AR633" s="37"/>
      <c r="AS633" s="37"/>
      <c r="AT633" s="37"/>
      <c r="AU633" s="37"/>
      <c r="AV633" s="37"/>
      <c r="AW633" s="37"/>
    </row>
    <row r="634" spans="1:49" ht="15.75" customHeight="1" x14ac:dyDescent="0.25">
      <c r="A634" s="212"/>
      <c r="B634" s="21" t="s">
        <v>4560</v>
      </c>
      <c r="C634" s="198">
        <v>3</v>
      </c>
      <c r="D634" s="199" t="s">
        <v>4567</v>
      </c>
      <c r="E634" s="210" t="s">
        <v>4701</v>
      </c>
      <c r="F634" s="198" t="s">
        <v>4414</v>
      </c>
      <c r="G634" s="199">
        <v>0.02</v>
      </c>
      <c r="H634" s="213">
        <v>0.06</v>
      </c>
      <c r="I634" s="199"/>
      <c r="J634" s="217"/>
      <c r="K634" s="218" t="s">
        <v>45</v>
      </c>
      <c r="L634" s="214" t="s">
        <v>2069</v>
      </c>
      <c r="M634" s="200"/>
      <c r="N634" s="8" t="s">
        <v>38</v>
      </c>
      <c r="O634" s="215"/>
      <c r="P634" s="216"/>
      <c r="Q634" s="14">
        <f>Tabela1[[#This Row],[QTDE/ Fabricação]]-Tabela1[[#This Row],[QTE]]</f>
        <v>-3</v>
      </c>
      <c r="R634" s="18">
        <f t="shared" si="113"/>
        <v>0.06</v>
      </c>
      <c r="S634" s="18">
        <f t="shared" si="114"/>
        <v>0.06</v>
      </c>
      <c r="T634" s="19">
        <f t="shared" si="115"/>
        <v>0</v>
      </c>
      <c r="U634" s="16">
        <f>IFERROR(SUMIF('LISTA DE EMBARQUE'!B:B,MICRO!E:E,'LISTA DE EMBARQUE'!G:G),"")</f>
        <v>3</v>
      </c>
      <c r="V634" s="12">
        <f>IFERROR(VLOOKUP(Tabela1[[#This Row],[COD.MDE]],'LISTA DE EMBARQUE'!B:L,11,0),"")</f>
        <v>12</v>
      </c>
      <c r="W634" s="13" t="str">
        <f>IFERROR(COUNTIF(#REF!,Tabela1[[#This Row],[Colunas5]]),"")</f>
        <v/>
      </c>
      <c r="X634" s="14">
        <f>Tabela1[[#This Row],[QIANTIDADE EXPEDIDA]]*Tabela1[[#This Row],[PESO UNI]]</f>
        <v>0.06</v>
      </c>
      <c r="Y634" s="14">
        <f t="shared" si="116"/>
        <v>0</v>
      </c>
      <c r="Z634" s="20">
        <f>Tabela1[[#This Row],[PESO TOTAL]]-Tabela1[[#This Row],[Peso Expedido]]</f>
        <v>0</v>
      </c>
      <c r="AA634" s="17">
        <v>1</v>
      </c>
      <c r="AB634" s="33"/>
      <c r="AC634" s="33">
        <v>1</v>
      </c>
      <c r="AD634" s="33">
        <v>1</v>
      </c>
      <c r="AE634" s="33">
        <v>1</v>
      </c>
      <c r="AF634" s="33">
        <v>1</v>
      </c>
      <c r="AG634" s="33">
        <v>1</v>
      </c>
      <c r="AH634" s="33">
        <v>1</v>
      </c>
      <c r="AI634" s="33" t="s">
        <v>4512</v>
      </c>
      <c r="AQ634" s="203"/>
      <c r="AR634" s="37"/>
      <c r="AS634" s="37"/>
      <c r="AT634" s="37"/>
      <c r="AU634" s="37"/>
      <c r="AV634" s="37"/>
      <c r="AW634" s="37"/>
    </row>
    <row r="635" spans="1:49" ht="15.75" customHeight="1" x14ac:dyDescent="0.25">
      <c r="A635" s="212"/>
      <c r="B635" s="21" t="s">
        <v>4560</v>
      </c>
      <c r="C635" s="198">
        <v>2</v>
      </c>
      <c r="D635" s="199" t="s">
        <v>4568</v>
      </c>
      <c r="E635" s="210" t="s">
        <v>4702</v>
      </c>
      <c r="F635" s="198" t="s">
        <v>4414</v>
      </c>
      <c r="G635" s="199">
        <v>0.8</v>
      </c>
      <c r="H635" s="213">
        <v>1.6</v>
      </c>
      <c r="I635" s="199"/>
      <c r="J635" s="217"/>
      <c r="K635" s="218" t="s">
        <v>45</v>
      </c>
      <c r="L635" s="214" t="s">
        <v>2069</v>
      </c>
      <c r="M635" s="200"/>
      <c r="N635" s="8" t="s">
        <v>38</v>
      </c>
      <c r="O635" s="215"/>
      <c r="P635" s="216"/>
      <c r="Q635" s="14">
        <f>Tabela1[[#This Row],[QTDE/ Fabricação]]-Tabela1[[#This Row],[QTE]]</f>
        <v>-2</v>
      </c>
      <c r="R635" s="18">
        <f t="shared" si="113"/>
        <v>1.6</v>
      </c>
      <c r="S635" s="18">
        <f t="shared" si="114"/>
        <v>1.6</v>
      </c>
      <c r="T635" s="19">
        <f t="shared" si="115"/>
        <v>0</v>
      </c>
      <c r="U635" s="16">
        <f>IFERROR(SUMIF('LISTA DE EMBARQUE'!B:B,MICRO!E:E,'LISTA DE EMBARQUE'!G:G),"")</f>
        <v>2</v>
      </c>
      <c r="V635" s="12">
        <f>IFERROR(VLOOKUP(Tabela1[[#This Row],[COD.MDE]],'LISTA DE EMBARQUE'!B:L,11,0),"")</f>
        <v>12</v>
      </c>
      <c r="W635" s="13" t="str">
        <f>IFERROR(COUNTIF(#REF!,Tabela1[[#This Row],[Colunas5]]),"")</f>
        <v/>
      </c>
      <c r="X635" s="14">
        <f>Tabela1[[#This Row],[QIANTIDADE EXPEDIDA]]*Tabela1[[#This Row],[PESO UNI]]</f>
        <v>1.6</v>
      </c>
      <c r="Y635" s="14">
        <f t="shared" si="116"/>
        <v>0</v>
      </c>
      <c r="Z635" s="20">
        <f>Tabela1[[#This Row],[PESO TOTAL]]-Tabela1[[#This Row],[Peso Expedido]]</f>
        <v>0</v>
      </c>
      <c r="AA635" s="17">
        <v>1</v>
      </c>
      <c r="AB635" s="33"/>
      <c r="AC635" s="33">
        <v>1</v>
      </c>
      <c r="AD635" s="33">
        <v>1</v>
      </c>
      <c r="AE635" s="33">
        <v>1</v>
      </c>
      <c r="AF635" s="33">
        <v>1</v>
      </c>
      <c r="AG635" s="33">
        <v>1</v>
      </c>
      <c r="AH635" s="33">
        <v>1</v>
      </c>
      <c r="AI635" s="33" t="s">
        <v>4512</v>
      </c>
      <c r="AQ635" s="203"/>
      <c r="AR635" s="37"/>
      <c r="AS635" s="37"/>
      <c r="AT635" s="37"/>
      <c r="AU635" s="37"/>
      <c r="AV635" s="37"/>
      <c r="AW635" s="37"/>
    </row>
    <row r="636" spans="1:49" ht="15.75" customHeight="1" x14ac:dyDescent="0.25">
      <c r="A636" s="212"/>
      <c r="B636" s="21" t="s">
        <v>4560</v>
      </c>
      <c r="C636" s="198">
        <v>6</v>
      </c>
      <c r="D636" s="199" t="s">
        <v>4569</v>
      </c>
      <c r="E636" s="210" t="s">
        <v>4703</v>
      </c>
      <c r="F636" s="198" t="s">
        <v>4414</v>
      </c>
      <c r="G636" s="199">
        <v>0.04</v>
      </c>
      <c r="H636" s="213">
        <v>0.24</v>
      </c>
      <c r="I636" s="199"/>
      <c r="J636" s="217"/>
      <c r="K636" s="218" t="s">
        <v>45</v>
      </c>
      <c r="L636" s="214" t="s">
        <v>2069</v>
      </c>
      <c r="M636" s="200"/>
      <c r="N636" s="8" t="s">
        <v>38</v>
      </c>
      <c r="O636" s="215"/>
      <c r="P636" s="216"/>
      <c r="Q636" s="14">
        <f>Tabela1[[#This Row],[QTDE/ Fabricação]]-Tabela1[[#This Row],[QTE]]</f>
        <v>-6</v>
      </c>
      <c r="R636" s="18">
        <f t="shared" si="113"/>
        <v>0.24</v>
      </c>
      <c r="S636" s="18">
        <f t="shared" si="114"/>
        <v>0.24</v>
      </c>
      <c r="T636" s="19">
        <f t="shared" si="115"/>
        <v>0</v>
      </c>
      <c r="U636" s="16">
        <f>IFERROR(SUMIF('LISTA DE EMBARQUE'!B:B,MICRO!E:E,'LISTA DE EMBARQUE'!G:G),"")</f>
        <v>6</v>
      </c>
      <c r="V636" s="12">
        <f>IFERROR(VLOOKUP(Tabela1[[#This Row],[COD.MDE]],'LISTA DE EMBARQUE'!B:L,11,0),"")</f>
        <v>12</v>
      </c>
      <c r="W636" s="13" t="str">
        <f>IFERROR(COUNTIF(#REF!,Tabela1[[#This Row],[Colunas5]]),"")</f>
        <v/>
      </c>
      <c r="X636" s="14">
        <f>Tabela1[[#This Row],[QIANTIDADE EXPEDIDA]]*Tabela1[[#This Row],[PESO UNI]]</f>
        <v>0.24</v>
      </c>
      <c r="Y636" s="14">
        <f t="shared" si="116"/>
        <v>0</v>
      </c>
      <c r="Z636" s="20">
        <f>Tabela1[[#This Row],[PESO TOTAL]]-Tabela1[[#This Row],[Peso Expedido]]</f>
        <v>0</v>
      </c>
      <c r="AA636" s="17">
        <v>1</v>
      </c>
      <c r="AB636" s="33"/>
      <c r="AC636" s="33">
        <v>1</v>
      </c>
      <c r="AD636" s="33">
        <v>1</v>
      </c>
      <c r="AE636" s="33">
        <v>1</v>
      </c>
      <c r="AF636" s="33">
        <v>1</v>
      </c>
      <c r="AG636" s="33">
        <v>1</v>
      </c>
      <c r="AH636" s="33">
        <v>1</v>
      </c>
      <c r="AI636" s="33" t="s">
        <v>4512</v>
      </c>
      <c r="AQ636" s="203"/>
      <c r="AR636" s="37"/>
      <c r="AS636" s="37"/>
      <c r="AT636" s="37"/>
      <c r="AU636" s="37"/>
      <c r="AV636" s="37"/>
      <c r="AW636" s="37"/>
    </row>
    <row r="637" spans="1:49" ht="15.75" customHeight="1" x14ac:dyDescent="0.25">
      <c r="A637" s="212"/>
      <c r="B637" s="21" t="s">
        <v>4560</v>
      </c>
      <c r="C637" s="198">
        <v>2</v>
      </c>
      <c r="D637" s="199" t="s">
        <v>4570</v>
      </c>
      <c r="E637" s="210" t="s">
        <v>4704</v>
      </c>
      <c r="F637" s="198" t="s">
        <v>4414</v>
      </c>
      <c r="G637" s="199">
        <v>0.05</v>
      </c>
      <c r="H637" s="213">
        <v>0.1</v>
      </c>
      <c r="I637" s="199"/>
      <c r="J637" s="217"/>
      <c r="K637" s="218" t="s">
        <v>45</v>
      </c>
      <c r="L637" s="214" t="s">
        <v>2069</v>
      </c>
      <c r="M637" s="200"/>
      <c r="N637" s="8" t="s">
        <v>38</v>
      </c>
      <c r="O637" s="215"/>
      <c r="P637" s="216"/>
      <c r="Q637" s="14">
        <f>Tabela1[[#This Row],[QTDE/ Fabricação]]-Tabela1[[#This Row],[QTE]]</f>
        <v>-2</v>
      </c>
      <c r="R637" s="18">
        <f t="shared" si="113"/>
        <v>0.1</v>
      </c>
      <c r="S637" s="18">
        <f t="shared" si="114"/>
        <v>0.1</v>
      </c>
      <c r="T637" s="19">
        <f t="shared" si="115"/>
        <v>0</v>
      </c>
      <c r="U637" s="16">
        <f>IFERROR(SUMIF('LISTA DE EMBARQUE'!B:B,MICRO!E:E,'LISTA DE EMBARQUE'!G:G),"")</f>
        <v>2</v>
      </c>
      <c r="V637" s="12">
        <f>IFERROR(VLOOKUP(Tabela1[[#This Row],[COD.MDE]],'LISTA DE EMBARQUE'!B:L,11,0),"")</f>
        <v>12</v>
      </c>
      <c r="W637" s="13" t="str">
        <f>IFERROR(COUNTIF(#REF!,Tabela1[[#This Row],[Colunas5]]),"")</f>
        <v/>
      </c>
      <c r="X637" s="14">
        <f>Tabela1[[#This Row],[QIANTIDADE EXPEDIDA]]*Tabela1[[#This Row],[PESO UNI]]</f>
        <v>0.1</v>
      </c>
      <c r="Y637" s="14">
        <f t="shared" si="116"/>
        <v>0</v>
      </c>
      <c r="Z637" s="20">
        <f>Tabela1[[#This Row],[PESO TOTAL]]-Tabela1[[#This Row],[Peso Expedido]]</f>
        <v>0</v>
      </c>
      <c r="AA637" s="17">
        <v>1</v>
      </c>
      <c r="AB637" s="33"/>
      <c r="AC637" s="33">
        <v>1</v>
      </c>
      <c r="AD637" s="33">
        <v>1</v>
      </c>
      <c r="AE637" s="33">
        <v>1</v>
      </c>
      <c r="AF637" s="33">
        <v>1</v>
      </c>
      <c r="AG637" s="33">
        <v>1</v>
      </c>
      <c r="AH637" s="33">
        <v>1</v>
      </c>
      <c r="AI637" s="33" t="s">
        <v>4512</v>
      </c>
      <c r="AQ637" s="203"/>
      <c r="AR637" s="37"/>
      <c r="AS637" s="37"/>
      <c r="AT637" s="37"/>
      <c r="AU637" s="37"/>
      <c r="AV637" s="37"/>
      <c r="AW637" s="37"/>
    </row>
    <row r="638" spans="1:49" ht="15.75" customHeight="1" x14ac:dyDescent="0.25">
      <c r="A638" s="212"/>
      <c r="B638" s="21" t="s">
        <v>4560</v>
      </c>
      <c r="C638" s="198">
        <v>6</v>
      </c>
      <c r="D638" s="199" t="s">
        <v>4571</v>
      </c>
      <c r="E638" s="210" t="s">
        <v>4705</v>
      </c>
      <c r="F638" s="198" t="s">
        <v>4414</v>
      </c>
      <c r="G638" s="199">
        <v>0.03</v>
      </c>
      <c r="H638" s="213">
        <v>0.18</v>
      </c>
      <c r="I638" s="199"/>
      <c r="J638" s="217"/>
      <c r="K638" s="218" t="s">
        <v>45</v>
      </c>
      <c r="L638" s="214" t="s">
        <v>2069</v>
      </c>
      <c r="M638" s="200"/>
      <c r="N638" s="8" t="s">
        <v>38</v>
      </c>
      <c r="O638" s="215"/>
      <c r="P638" s="216"/>
      <c r="Q638" s="14">
        <f>Tabela1[[#This Row],[QTDE/ Fabricação]]-Tabela1[[#This Row],[QTE]]</f>
        <v>-6</v>
      </c>
      <c r="R638" s="18">
        <f t="shared" si="113"/>
        <v>0.18</v>
      </c>
      <c r="S638" s="18">
        <f t="shared" si="114"/>
        <v>0.18</v>
      </c>
      <c r="T638" s="19">
        <f t="shared" si="115"/>
        <v>0</v>
      </c>
      <c r="U638" s="16">
        <f>IFERROR(SUMIF('LISTA DE EMBARQUE'!B:B,MICRO!E:E,'LISTA DE EMBARQUE'!G:G),"")</f>
        <v>6</v>
      </c>
      <c r="V638" s="12">
        <f>IFERROR(VLOOKUP(Tabela1[[#This Row],[COD.MDE]],'LISTA DE EMBARQUE'!B:L,11,0),"")</f>
        <v>12</v>
      </c>
      <c r="W638" s="13" t="str">
        <f>IFERROR(COUNTIF(#REF!,Tabela1[[#This Row],[Colunas5]]),"")</f>
        <v/>
      </c>
      <c r="X638" s="14">
        <f>Tabela1[[#This Row],[QIANTIDADE EXPEDIDA]]*Tabela1[[#This Row],[PESO UNI]]</f>
        <v>0.18</v>
      </c>
      <c r="Y638" s="14">
        <f t="shared" si="116"/>
        <v>0</v>
      </c>
      <c r="Z638" s="20">
        <f>Tabela1[[#This Row],[PESO TOTAL]]-Tabela1[[#This Row],[Peso Expedido]]</f>
        <v>0</v>
      </c>
      <c r="AA638" s="17">
        <v>1</v>
      </c>
      <c r="AB638" s="33"/>
      <c r="AC638" s="33">
        <v>1</v>
      </c>
      <c r="AD638" s="33">
        <v>1</v>
      </c>
      <c r="AE638" s="33">
        <v>1</v>
      </c>
      <c r="AF638" s="33">
        <v>1</v>
      </c>
      <c r="AG638" s="33">
        <v>1</v>
      </c>
      <c r="AH638" s="33">
        <v>1</v>
      </c>
      <c r="AI638" s="33" t="s">
        <v>4512</v>
      </c>
      <c r="AQ638" s="203"/>
      <c r="AR638" s="37"/>
      <c r="AS638" s="37"/>
      <c r="AT638" s="37"/>
      <c r="AU638" s="37"/>
      <c r="AV638" s="37"/>
      <c r="AW638" s="37"/>
    </row>
    <row r="639" spans="1:49" ht="15.75" customHeight="1" x14ac:dyDescent="0.25">
      <c r="A639" s="212"/>
      <c r="B639" s="21" t="s">
        <v>4560</v>
      </c>
      <c r="C639" s="198">
        <v>2</v>
      </c>
      <c r="D639" s="199" t="s">
        <v>4572</v>
      </c>
      <c r="E639" s="210" t="s">
        <v>4706</v>
      </c>
      <c r="F639" s="198" t="s">
        <v>4414</v>
      </c>
      <c r="G639" s="199">
        <v>0.05</v>
      </c>
      <c r="H639" s="213">
        <v>0.1</v>
      </c>
      <c r="I639" s="199"/>
      <c r="J639" s="217"/>
      <c r="K639" s="218" t="s">
        <v>45</v>
      </c>
      <c r="L639" s="214" t="s">
        <v>2069</v>
      </c>
      <c r="M639" s="200"/>
      <c r="N639" s="8" t="s">
        <v>38</v>
      </c>
      <c r="O639" s="215"/>
      <c r="P639" s="216"/>
      <c r="Q639" s="14">
        <f>Tabela1[[#This Row],[QTDE/ Fabricação]]-Tabela1[[#This Row],[QTE]]</f>
        <v>-2</v>
      </c>
      <c r="R639" s="18">
        <f t="shared" si="113"/>
        <v>0.1</v>
      </c>
      <c r="S639" s="18">
        <f t="shared" si="114"/>
        <v>0.1</v>
      </c>
      <c r="T639" s="19">
        <f t="shared" si="115"/>
        <v>0</v>
      </c>
      <c r="U639" s="16">
        <f>IFERROR(SUMIF('LISTA DE EMBARQUE'!B:B,MICRO!E:E,'LISTA DE EMBARQUE'!G:G),"")</f>
        <v>2</v>
      </c>
      <c r="V639" s="12">
        <f>IFERROR(VLOOKUP(Tabela1[[#This Row],[COD.MDE]],'LISTA DE EMBARQUE'!B:L,11,0),"")</f>
        <v>12</v>
      </c>
      <c r="W639" s="13" t="str">
        <f>IFERROR(COUNTIF(#REF!,Tabela1[[#This Row],[Colunas5]]),"")</f>
        <v/>
      </c>
      <c r="X639" s="14">
        <f>Tabela1[[#This Row],[QIANTIDADE EXPEDIDA]]*Tabela1[[#This Row],[PESO UNI]]</f>
        <v>0.1</v>
      </c>
      <c r="Y639" s="14">
        <f t="shared" si="116"/>
        <v>0</v>
      </c>
      <c r="Z639" s="20">
        <f>Tabela1[[#This Row],[PESO TOTAL]]-Tabela1[[#This Row],[Peso Expedido]]</f>
        <v>0</v>
      </c>
      <c r="AA639" s="17">
        <v>1</v>
      </c>
      <c r="AB639" s="33"/>
      <c r="AC639" s="33">
        <v>1</v>
      </c>
      <c r="AD639" s="33">
        <v>1</v>
      </c>
      <c r="AE639" s="33">
        <v>1</v>
      </c>
      <c r="AF639" s="33">
        <v>1</v>
      </c>
      <c r="AG639" s="33">
        <v>1</v>
      </c>
      <c r="AH639" s="33">
        <v>1</v>
      </c>
      <c r="AI639" s="33" t="s">
        <v>4512</v>
      </c>
      <c r="AQ639" s="203"/>
      <c r="AR639" s="37"/>
      <c r="AS639" s="37"/>
      <c r="AT639" s="37"/>
      <c r="AU639" s="37"/>
      <c r="AV639" s="37"/>
      <c r="AW639" s="37"/>
    </row>
    <row r="640" spans="1:49" ht="15.75" customHeight="1" x14ac:dyDescent="0.25">
      <c r="A640" s="212"/>
      <c r="B640" s="21" t="s">
        <v>4560</v>
      </c>
      <c r="C640" s="198">
        <v>2</v>
      </c>
      <c r="D640" s="199" t="s">
        <v>4573</v>
      </c>
      <c r="E640" s="210" t="s">
        <v>4707</v>
      </c>
      <c r="F640" s="198" t="s">
        <v>4414</v>
      </c>
      <c r="G640" s="199">
        <v>0.08</v>
      </c>
      <c r="H640" s="213">
        <v>0.16</v>
      </c>
      <c r="I640" s="199"/>
      <c r="J640" s="217"/>
      <c r="K640" s="218" t="s">
        <v>45</v>
      </c>
      <c r="L640" s="214" t="s">
        <v>2069</v>
      </c>
      <c r="M640" s="200"/>
      <c r="N640" s="8" t="s">
        <v>38</v>
      </c>
      <c r="O640" s="215"/>
      <c r="P640" s="216"/>
      <c r="Q640" s="14">
        <f>Tabela1[[#This Row],[QTDE/ Fabricação]]-Tabela1[[#This Row],[QTE]]</f>
        <v>-2</v>
      </c>
      <c r="R640" s="18">
        <f t="shared" si="113"/>
        <v>0.16</v>
      </c>
      <c r="S640" s="18">
        <f t="shared" si="114"/>
        <v>0.16</v>
      </c>
      <c r="T640" s="19">
        <f t="shared" si="115"/>
        <v>0</v>
      </c>
      <c r="U640" s="16">
        <f>IFERROR(SUMIF('LISTA DE EMBARQUE'!B:B,MICRO!E:E,'LISTA DE EMBARQUE'!G:G),"")</f>
        <v>2</v>
      </c>
      <c r="V640" s="12">
        <f>IFERROR(VLOOKUP(Tabela1[[#This Row],[COD.MDE]],'LISTA DE EMBARQUE'!B:L,11,0),"")</f>
        <v>12</v>
      </c>
      <c r="W640" s="13" t="str">
        <f>IFERROR(COUNTIF(#REF!,Tabela1[[#This Row],[Colunas5]]),"")</f>
        <v/>
      </c>
      <c r="X640" s="14">
        <f>Tabela1[[#This Row],[QIANTIDADE EXPEDIDA]]*Tabela1[[#This Row],[PESO UNI]]</f>
        <v>0.16</v>
      </c>
      <c r="Y640" s="14">
        <f t="shared" si="116"/>
        <v>0</v>
      </c>
      <c r="Z640" s="20">
        <f>Tabela1[[#This Row],[PESO TOTAL]]-Tabela1[[#This Row],[Peso Expedido]]</f>
        <v>0</v>
      </c>
      <c r="AA640" s="17">
        <v>1</v>
      </c>
      <c r="AB640" s="33"/>
      <c r="AC640" s="33">
        <v>1</v>
      </c>
      <c r="AD640" s="33">
        <v>1</v>
      </c>
      <c r="AE640" s="33">
        <v>1</v>
      </c>
      <c r="AF640" s="33">
        <v>1</v>
      </c>
      <c r="AG640" s="33">
        <v>1</v>
      </c>
      <c r="AH640" s="33">
        <v>1</v>
      </c>
      <c r="AI640" s="33" t="s">
        <v>4512</v>
      </c>
      <c r="AQ640" s="203"/>
      <c r="AR640" s="37"/>
      <c r="AS640" s="37"/>
      <c r="AT640" s="37"/>
      <c r="AU640" s="37"/>
      <c r="AV640" s="37"/>
      <c r="AW640" s="37"/>
    </row>
    <row r="641" spans="1:49" ht="15.75" customHeight="1" x14ac:dyDescent="0.25">
      <c r="A641" s="212"/>
      <c r="B641" s="21" t="s">
        <v>4560</v>
      </c>
      <c r="C641" s="198">
        <v>4</v>
      </c>
      <c r="D641" s="199" t="s">
        <v>4574</v>
      </c>
      <c r="E641" s="210" t="s">
        <v>4708</v>
      </c>
      <c r="F641" s="198" t="s">
        <v>4414</v>
      </c>
      <c r="G641" s="199">
        <v>0.03</v>
      </c>
      <c r="H641" s="213">
        <v>0.12</v>
      </c>
      <c r="I641" s="199"/>
      <c r="J641" s="217"/>
      <c r="K641" s="218" t="s">
        <v>45</v>
      </c>
      <c r="L641" s="214" t="s">
        <v>2069</v>
      </c>
      <c r="M641" s="200"/>
      <c r="N641" s="8" t="s">
        <v>38</v>
      </c>
      <c r="O641" s="215"/>
      <c r="P641" s="216"/>
      <c r="Q641" s="14">
        <f>Tabela1[[#This Row],[QTDE/ Fabricação]]-Tabela1[[#This Row],[QTE]]</f>
        <v>-4</v>
      </c>
      <c r="R641" s="18">
        <f t="shared" si="113"/>
        <v>0.12</v>
      </c>
      <c r="S641" s="18">
        <f t="shared" si="114"/>
        <v>0.12</v>
      </c>
      <c r="T641" s="19">
        <f t="shared" si="115"/>
        <v>0</v>
      </c>
      <c r="U641" s="16">
        <f>IFERROR(SUMIF('LISTA DE EMBARQUE'!B:B,MICRO!E:E,'LISTA DE EMBARQUE'!G:G),"")</f>
        <v>4</v>
      </c>
      <c r="V641" s="12">
        <f>IFERROR(VLOOKUP(Tabela1[[#This Row],[COD.MDE]],'LISTA DE EMBARQUE'!B:L,11,0),"")</f>
        <v>12</v>
      </c>
      <c r="W641" s="13" t="str">
        <f>IFERROR(COUNTIF(#REF!,Tabela1[[#This Row],[Colunas5]]),"")</f>
        <v/>
      </c>
      <c r="X641" s="14">
        <f>Tabela1[[#This Row],[QIANTIDADE EXPEDIDA]]*Tabela1[[#This Row],[PESO UNI]]</f>
        <v>0.12</v>
      </c>
      <c r="Y641" s="14">
        <f t="shared" si="116"/>
        <v>0</v>
      </c>
      <c r="Z641" s="20">
        <f>Tabela1[[#This Row],[PESO TOTAL]]-Tabela1[[#This Row],[Peso Expedido]]</f>
        <v>0</v>
      </c>
      <c r="AA641" s="17">
        <v>1</v>
      </c>
      <c r="AB641" s="33"/>
      <c r="AC641" s="33">
        <v>1</v>
      </c>
      <c r="AD641" s="33">
        <v>1</v>
      </c>
      <c r="AE641" s="33">
        <v>1</v>
      </c>
      <c r="AF641" s="33">
        <v>1</v>
      </c>
      <c r="AG641" s="33">
        <v>1</v>
      </c>
      <c r="AH641" s="33">
        <v>1</v>
      </c>
      <c r="AI641" s="33" t="s">
        <v>4512</v>
      </c>
      <c r="AQ641" s="203"/>
      <c r="AR641" s="37"/>
      <c r="AS641" s="37"/>
      <c r="AT641" s="37"/>
      <c r="AU641" s="37"/>
      <c r="AV641" s="37"/>
      <c r="AW641" s="37"/>
    </row>
    <row r="642" spans="1:49" ht="15.75" customHeight="1" x14ac:dyDescent="0.25">
      <c r="A642" s="212"/>
      <c r="B642" s="21" t="s">
        <v>4560</v>
      </c>
      <c r="C642" s="198">
        <v>2</v>
      </c>
      <c r="D642" s="199" t="s">
        <v>4575</v>
      </c>
      <c r="E642" s="210" t="s">
        <v>4709</v>
      </c>
      <c r="F642" s="198" t="s">
        <v>4414</v>
      </c>
      <c r="G642" s="199">
        <v>0.05</v>
      </c>
      <c r="H642" s="213">
        <v>0.1</v>
      </c>
      <c r="I642" s="199"/>
      <c r="J642" s="217"/>
      <c r="K642" s="218" t="s">
        <v>45</v>
      </c>
      <c r="L642" s="214" t="s">
        <v>2069</v>
      </c>
      <c r="M642" s="200"/>
      <c r="N642" s="8" t="s">
        <v>38</v>
      </c>
      <c r="O642" s="215"/>
      <c r="P642" s="216"/>
      <c r="Q642" s="14">
        <f>Tabela1[[#This Row],[QTDE/ Fabricação]]-Tabela1[[#This Row],[QTE]]</f>
        <v>-2</v>
      </c>
      <c r="R642" s="18">
        <f t="shared" si="113"/>
        <v>0.1</v>
      </c>
      <c r="S642" s="18">
        <f t="shared" si="114"/>
        <v>0.1</v>
      </c>
      <c r="T642" s="19">
        <f t="shared" si="115"/>
        <v>0</v>
      </c>
      <c r="U642" s="16">
        <f>IFERROR(SUMIF('LISTA DE EMBARQUE'!B:B,MICRO!E:E,'LISTA DE EMBARQUE'!G:G),"")</f>
        <v>2</v>
      </c>
      <c r="V642" s="12">
        <f>IFERROR(VLOOKUP(Tabela1[[#This Row],[COD.MDE]],'LISTA DE EMBARQUE'!B:L,11,0),"")</f>
        <v>12</v>
      </c>
      <c r="W642" s="13" t="str">
        <f>IFERROR(COUNTIF(#REF!,Tabela1[[#This Row],[Colunas5]]),"")</f>
        <v/>
      </c>
      <c r="X642" s="14">
        <f>Tabela1[[#This Row],[QIANTIDADE EXPEDIDA]]*Tabela1[[#This Row],[PESO UNI]]</f>
        <v>0.1</v>
      </c>
      <c r="Y642" s="14">
        <f t="shared" si="116"/>
        <v>0</v>
      </c>
      <c r="Z642" s="20">
        <f>Tabela1[[#This Row],[PESO TOTAL]]-Tabela1[[#This Row],[Peso Expedido]]</f>
        <v>0</v>
      </c>
      <c r="AA642" s="17">
        <v>1</v>
      </c>
      <c r="AB642" s="33"/>
      <c r="AC642" s="33">
        <v>1</v>
      </c>
      <c r="AD642" s="33">
        <v>1</v>
      </c>
      <c r="AE642" s="33">
        <v>1</v>
      </c>
      <c r="AF642" s="33">
        <v>1</v>
      </c>
      <c r="AG642" s="33">
        <v>1</v>
      </c>
      <c r="AH642" s="33">
        <v>1</v>
      </c>
      <c r="AI642" s="33" t="s">
        <v>4512</v>
      </c>
      <c r="AQ642" s="203"/>
      <c r="AR642" s="37"/>
      <c r="AS642" s="37"/>
      <c r="AT642" s="37"/>
      <c r="AU642" s="37"/>
      <c r="AV642" s="37"/>
      <c r="AW642" s="37"/>
    </row>
    <row r="643" spans="1:49" ht="15.75" customHeight="1" x14ac:dyDescent="0.25">
      <c r="A643" s="212"/>
      <c r="B643" s="21" t="s">
        <v>4560</v>
      </c>
      <c r="C643" s="198">
        <v>3</v>
      </c>
      <c r="D643" s="199" t="s">
        <v>4576</v>
      </c>
      <c r="E643" s="210" t="s">
        <v>4710</v>
      </c>
      <c r="F643" s="198" t="s">
        <v>4414</v>
      </c>
      <c r="G643" s="199">
        <v>0.08</v>
      </c>
      <c r="H643" s="213">
        <v>0.24</v>
      </c>
      <c r="I643" s="199"/>
      <c r="J643" s="217"/>
      <c r="K643" s="218" t="s">
        <v>45</v>
      </c>
      <c r="L643" s="214" t="s">
        <v>2069</v>
      </c>
      <c r="M643" s="200"/>
      <c r="N643" s="8" t="s">
        <v>38</v>
      </c>
      <c r="O643" s="215"/>
      <c r="P643" s="216"/>
      <c r="Q643" s="14">
        <f>Tabela1[[#This Row],[QTDE/ Fabricação]]-Tabela1[[#This Row],[QTE]]</f>
        <v>-3</v>
      </c>
      <c r="R643" s="18">
        <f t="shared" si="113"/>
        <v>0.24</v>
      </c>
      <c r="S643" s="18">
        <f t="shared" si="114"/>
        <v>0.24</v>
      </c>
      <c r="T643" s="19">
        <f t="shared" si="115"/>
        <v>0</v>
      </c>
      <c r="U643" s="16">
        <f>IFERROR(SUMIF('LISTA DE EMBARQUE'!B:B,MICRO!E:E,'LISTA DE EMBARQUE'!G:G),"")</f>
        <v>3</v>
      </c>
      <c r="V643" s="12">
        <f>IFERROR(VLOOKUP(Tabela1[[#This Row],[COD.MDE]],'LISTA DE EMBARQUE'!B:L,11,0),"")</f>
        <v>12</v>
      </c>
      <c r="W643" s="13" t="str">
        <f>IFERROR(COUNTIF(#REF!,Tabela1[[#This Row],[Colunas5]]),"")</f>
        <v/>
      </c>
      <c r="X643" s="14">
        <f>Tabela1[[#This Row],[QIANTIDADE EXPEDIDA]]*Tabela1[[#This Row],[PESO UNI]]</f>
        <v>0.24</v>
      </c>
      <c r="Y643" s="14">
        <f t="shared" si="116"/>
        <v>0</v>
      </c>
      <c r="Z643" s="20">
        <f>Tabela1[[#This Row],[PESO TOTAL]]-Tabela1[[#This Row],[Peso Expedido]]</f>
        <v>0</v>
      </c>
      <c r="AA643" s="17">
        <v>1</v>
      </c>
      <c r="AB643" s="33"/>
      <c r="AC643" s="33">
        <v>1</v>
      </c>
      <c r="AD643" s="33">
        <v>1</v>
      </c>
      <c r="AE643" s="33">
        <v>1</v>
      </c>
      <c r="AF643" s="33">
        <v>1</v>
      </c>
      <c r="AG643" s="33">
        <v>1</v>
      </c>
      <c r="AH643" s="33">
        <v>1</v>
      </c>
      <c r="AI643" s="33" t="s">
        <v>4512</v>
      </c>
      <c r="AQ643" s="203"/>
      <c r="AR643" s="37"/>
      <c r="AS643" s="37"/>
      <c r="AT643" s="37"/>
      <c r="AU643" s="37"/>
      <c r="AV643" s="37"/>
      <c r="AW643" s="37"/>
    </row>
    <row r="644" spans="1:49" ht="15.75" customHeight="1" x14ac:dyDescent="0.25">
      <c r="A644" s="212"/>
      <c r="B644" s="21" t="s">
        <v>4560</v>
      </c>
      <c r="C644" s="198">
        <v>5</v>
      </c>
      <c r="D644" s="199" t="s">
        <v>4577</v>
      </c>
      <c r="E644" s="210" t="s">
        <v>4711</v>
      </c>
      <c r="F644" s="198" t="s">
        <v>4414</v>
      </c>
      <c r="G644" s="199">
        <v>0.03</v>
      </c>
      <c r="H644" s="213">
        <v>0.15</v>
      </c>
      <c r="I644" s="199"/>
      <c r="J644" s="217"/>
      <c r="K644" s="218" t="s">
        <v>45</v>
      </c>
      <c r="L644" s="214" t="s">
        <v>2069</v>
      </c>
      <c r="M644" s="200"/>
      <c r="N644" s="8" t="s">
        <v>38</v>
      </c>
      <c r="O644" s="215"/>
      <c r="P644" s="216"/>
      <c r="Q644" s="14">
        <f>Tabela1[[#This Row],[QTDE/ Fabricação]]-Tabela1[[#This Row],[QTE]]</f>
        <v>-5</v>
      </c>
      <c r="R644" s="18">
        <f t="shared" si="113"/>
        <v>0.15</v>
      </c>
      <c r="S644" s="18">
        <f t="shared" si="114"/>
        <v>0.15</v>
      </c>
      <c r="T644" s="19">
        <f t="shared" si="115"/>
        <v>0</v>
      </c>
      <c r="U644" s="16">
        <f>IFERROR(SUMIF('LISTA DE EMBARQUE'!B:B,MICRO!E:E,'LISTA DE EMBARQUE'!G:G),"")</f>
        <v>5</v>
      </c>
      <c r="V644" s="12">
        <f>IFERROR(VLOOKUP(Tabela1[[#This Row],[COD.MDE]],'LISTA DE EMBARQUE'!B:L,11,0),"")</f>
        <v>12</v>
      </c>
      <c r="W644" s="13" t="str">
        <f>IFERROR(COUNTIF(#REF!,Tabela1[[#This Row],[Colunas5]]),"")</f>
        <v/>
      </c>
      <c r="X644" s="14">
        <f>Tabela1[[#This Row],[QIANTIDADE EXPEDIDA]]*Tabela1[[#This Row],[PESO UNI]]</f>
        <v>0.15</v>
      </c>
      <c r="Y644" s="14">
        <f t="shared" si="116"/>
        <v>0</v>
      </c>
      <c r="Z644" s="20">
        <f>Tabela1[[#This Row],[PESO TOTAL]]-Tabela1[[#This Row],[Peso Expedido]]</f>
        <v>0</v>
      </c>
      <c r="AA644" s="17">
        <v>1</v>
      </c>
      <c r="AB644" s="33"/>
      <c r="AC644" s="33">
        <v>1</v>
      </c>
      <c r="AD644" s="33">
        <v>1</v>
      </c>
      <c r="AE644" s="33">
        <v>1</v>
      </c>
      <c r="AF644" s="33">
        <v>1</v>
      </c>
      <c r="AG644" s="33">
        <v>1</v>
      </c>
      <c r="AH644" s="33">
        <v>1</v>
      </c>
      <c r="AI644" s="33" t="s">
        <v>4512</v>
      </c>
      <c r="AQ644" s="203"/>
      <c r="AR644" s="37"/>
      <c r="AS644" s="37"/>
      <c r="AT644" s="37"/>
      <c r="AU644" s="37"/>
      <c r="AV644" s="37"/>
      <c r="AW644" s="37"/>
    </row>
    <row r="645" spans="1:49" ht="15.75" customHeight="1" x14ac:dyDescent="0.25">
      <c r="A645" s="212"/>
      <c r="B645" s="21" t="s">
        <v>4560</v>
      </c>
      <c r="C645" s="198">
        <v>7</v>
      </c>
      <c r="D645" s="199" t="s">
        <v>4578</v>
      </c>
      <c r="E645" s="210" t="s">
        <v>4712</v>
      </c>
      <c r="F645" s="198" t="s">
        <v>4414</v>
      </c>
      <c r="G645" s="199">
        <v>0.02</v>
      </c>
      <c r="H645" s="213">
        <v>0.14000000000000001</v>
      </c>
      <c r="I645" s="199"/>
      <c r="J645" s="217"/>
      <c r="K645" s="218" t="s">
        <v>45</v>
      </c>
      <c r="L645" s="214" t="s">
        <v>2069</v>
      </c>
      <c r="M645" s="200"/>
      <c r="N645" s="8" t="s">
        <v>38</v>
      </c>
      <c r="O645" s="215"/>
      <c r="P645" s="216"/>
      <c r="Q645" s="14">
        <f>Tabela1[[#This Row],[QTDE/ Fabricação]]-Tabela1[[#This Row],[QTE]]</f>
        <v>-7</v>
      </c>
      <c r="R645" s="18">
        <f t="shared" si="113"/>
        <v>0.14000000000000001</v>
      </c>
      <c r="S645" s="18">
        <f t="shared" si="114"/>
        <v>0.14000000000000001</v>
      </c>
      <c r="T645" s="19">
        <f t="shared" si="115"/>
        <v>0</v>
      </c>
      <c r="U645" s="16">
        <f>IFERROR(SUMIF('LISTA DE EMBARQUE'!B:B,MICRO!E:E,'LISTA DE EMBARQUE'!G:G),"")</f>
        <v>7</v>
      </c>
      <c r="V645" s="12">
        <f>IFERROR(VLOOKUP(Tabela1[[#This Row],[COD.MDE]],'LISTA DE EMBARQUE'!B:L,11,0),"")</f>
        <v>12</v>
      </c>
      <c r="W645" s="13" t="str">
        <f>IFERROR(COUNTIF(#REF!,Tabela1[[#This Row],[Colunas5]]),"")</f>
        <v/>
      </c>
      <c r="X645" s="14">
        <f>Tabela1[[#This Row],[QIANTIDADE EXPEDIDA]]*Tabela1[[#This Row],[PESO UNI]]</f>
        <v>0.14000000000000001</v>
      </c>
      <c r="Y645" s="14">
        <f t="shared" si="116"/>
        <v>0</v>
      </c>
      <c r="Z645" s="20">
        <f>Tabela1[[#This Row],[PESO TOTAL]]-Tabela1[[#This Row],[Peso Expedido]]</f>
        <v>0</v>
      </c>
      <c r="AA645" s="17">
        <v>1</v>
      </c>
      <c r="AB645" s="33"/>
      <c r="AC645" s="33">
        <v>1</v>
      </c>
      <c r="AD645" s="33">
        <v>1</v>
      </c>
      <c r="AE645" s="33">
        <v>1</v>
      </c>
      <c r="AF645" s="33">
        <v>1</v>
      </c>
      <c r="AG645" s="33">
        <v>1</v>
      </c>
      <c r="AH645" s="33">
        <v>1</v>
      </c>
      <c r="AI645" s="33" t="s">
        <v>4512</v>
      </c>
      <c r="AQ645" s="203"/>
      <c r="AR645" s="37"/>
      <c r="AS645" s="37"/>
      <c r="AT645" s="37"/>
      <c r="AU645" s="37"/>
      <c r="AV645" s="37"/>
      <c r="AW645" s="37"/>
    </row>
    <row r="646" spans="1:49" ht="15.75" customHeight="1" x14ac:dyDescent="0.25">
      <c r="A646" s="212"/>
      <c r="B646" s="21" t="s">
        <v>4560</v>
      </c>
      <c r="C646" s="198">
        <v>32</v>
      </c>
      <c r="D646" s="199" t="s">
        <v>4579</v>
      </c>
      <c r="E646" s="210" t="s">
        <v>4713</v>
      </c>
      <c r="F646" s="198" t="s">
        <v>4414</v>
      </c>
      <c r="G646" s="199">
        <v>0.02</v>
      </c>
      <c r="H646" s="213">
        <v>0.64</v>
      </c>
      <c r="I646" s="199"/>
      <c r="J646" s="217"/>
      <c r="K646" s="218" t="s">
        <v>45</v>
      </c>
      <c r="L646" s="214" t="s">
        <v>2069</v>
      </c>
      <c r="M646" s="200"/>
      <c r="N646" s="8" t="s">
        <v>38</v>
      </c>
      <c r="O646" s="215"/>
      <c r="P646" s="216"/>
      <c r="Q646" s="14">
        <f>Tabela1[[#This Row],[QTDE/ Fabricação]]-Tabela1[[#This Row],[QTE]]</f>
        <v>-32</v>
      </c>
      <c r="R646" s="18">
        <f t="shared" si="113"/>
        <v>0.64</v>
      </c>
      <c r="S646" s="18">
        <f t="shared" si="114"/>
        <v>0.64</v>
      </c>
      <c r="T646" s="19">
        <f t="shared" si="115"/>
        <v>0</v>
      </c>
      <c r="U646" s="16">
        <f>IFERROR(SUMIF('LISTA DE EMBARQUE'!B:B,MICRO!E:E,'LISTA DE EMBARQUE'!G:G),"")</f>
        <v>32</v>
      </c>
      <c r="V646" s="12">
        <f>IFERROR(VLOOKUP(Tabela1[[#This Row],[COD.MDE]],'LISTA DE EMBARQUE'!B:L,11,0),"")</f>
        <v>12</v>
      </c>
      <c r="W646" s="13" t="str">
        <f>IFERROR(COUNTIF(#REF!,Tabela1[[#This Row],[Colunas5]]),"")</f>
        <v/>
      </c>
      <c r="X646" s="14">
        <f>Tabela1[[#This Row],[QIANTIDADE EXPEDIDA]]*Tabela1[[#This Row],[PESO UNI]]</f>
        <v>0.64</v>
      </c>
      <c r="Y646" s="14">
        <f t="shared" si="116"/>
        <v>0</v>
      </c>
      <c r="Z646" s="20">
        <f>Tabela1[[#This Row],[PESO TOTAL]]-Tabela1[[#This Row],[Peso Expedido]]</f>
        <v>0</v>
      </c>
      <c r="AA646" s="17">
        <v>1</v>
      </c>
      <c r="AB646" s="33"/>
      <c r="AC646" s="33">
        <v>1</v>
      </c>
      <c r="AD646" s="33">
        <v>1</v>
      </c>
      <c r="AE646" s="33">
        <v>1</v>
      </c>
      <c r="AF646" s="33">
        <v>1</v>
      </c>
      <c r="AG646" s="33">
        <v>1</v>
      </c>
      <c r="AH646" s="33">
        <v>1</v>
      </c>
      <c r="AI646" s="33" t="s">
        <v>4512</v>
      </c>
      <c r="AQ646" s="203"/>
      <c r="AR646" s="37"/>
      <c r="AS646" s="37"/>
      <c r="AT646" s="37"/>
      <c r="AU646" s="37"/>
      <c r="AV646" s="37"/>
      <c r="AW646" s="37"/>
    </row>
    <row r="647" spans="1:49" ht="15.75" customHeight="1" x14ac:dyDescent="0.25">
      <c r="A647" s="212"/>
      <c r="B647" s="21" t="s">
        <v>4560</v>
      </c>
      <c r="C647" s="198">
        <v>16</v>
      </c>
      <c r="D647" s="199" t="s">
        <v>4580</v>
      </c>
      <c r="E647" s="210" t="s">
        <v>4714</v>
      </c>
      <c r="F647" s="198" t="s">
        <v>4414</v>
      </c>
      <c r="G647" s="199">
        <v>0.04</v>
      </c>
      <c r="H647" s="213">
        <v>0.64</v>
      </c>
      <c r="I647" s="199"/>
      <c r="J647" s="217"/>
      <c r="K647" s="218" t="s">
        <v>45</v>
      </c>
      <c r="L647" s="214" t="s">
        <v>2069</v>
      </c>
      <c r="M647" s="200"/>
      <c r="N647" s="8" t="s">
        <v>38</v>
      </c>
      <c r="O647" s="215"/>
      <c r="P647" s="216"/>
      <c r="Q647" s="14">
        <f>Tabela1[[#This Row],[QTDE/ Fabricação]]-Tabela1[[#This Row],[QTE]]</f>
        <v>-16</v>
      </c>
      <c r="R647" s="18">
        <f t="shared" si="113"/>
        <v>0.64</v>
      </c>
      <c r="S647" s="18">
        <f t="shared" si="114"/>
        <v>0.64</v>
      </c>
      <c r="T647" s="19">
        <f t="shared" si="115"/>
        <v>0</v>
      </c>
      <c r="U647" s="16">
        <f>IFERROR(SUMIF('LISTA DE EMBARQUE'!B:B,MICRO!E:E,'LISTA DE EMBARQUE'!G:G),"")</f>
        <v>16</v>
      </c>
      <c r="V647" s="12">
        <f>IFERROR(VLOOKUP(Tabela1[[#This Row],[COD.MDE]],'LISTA DE EMBARQUE'!B:L,11,0),"")</f>
        <v>12</v>
      </c>
      <c r="W647" s="13" t="str">
        <f>IFERROR(COUNTIF(#REF!,Tabela1[[#This Row],[Colunas5]]),"")</f>
        <v/>
      </c>
      <c r="X647" s="14">
        <f>Tabela1[[#This Row],[QIANTIDADE EXPEDIDA]]*Tabela1[[#This Row],[PESO UNI]]</f>
        <v>0.64</v>
      </c>
      <c r="Y647" s="14">
        <f t="shared" si="116"/>
        <v>0</v>
      </c>
      <c r="Z647" s="20">
        <f>Tabela1[[#This Row],[PESO TOTAL]]-Tabela1[[#This Row],[Peso Expedido]]</f>
        <v>0</v>
      </c>
      <c r="AA647" s="17">
        <v>1</v>
      </c>
      <c r="AB647" s="33"/>
      <c r="AC647" s="33">
        <v>1</v>
      </c>
      <c r="AD647" s="33">
        <v>1</v>
      </c>
      <c r="AE647" s="33">
        <v>1</v>
      </c>
      <c r="AF647" s="33">
        <v>1</v>
      </c>
      <c r="AG647" s="33">
        <v>1</v>
      </c>
      <c r="AH647" s="33">
        <v>1</v>
      </c>
      <c r="AI647" s="33" t="s">
        <v>4512</v>
      </c>
      <c r="AQ647" s="203"/>
      <c r="AR647" s="37"/>
      <c r="AS647" s="37"/>
      <c r="AT647" s="37"/>
      <c r="AU647" s="37"/>
      <c r="AV647" s="37"/>
      <c r="AW647" s="37"/>
    </row>
    <row r="648" spans="1:49" ht="15.75" customHeight="1" x14ac:dyDescent="0.25">
      <c r="A648" s="212"/>
      <c r="B648" s="21" t="s">
        <v>4560</v>
      </c>
      <c r="C648" s="198">
        <v>14</v>
      </c>
      <c r="D648" s="199" t="s">
        <v>4581</v>
      </c>
      <c r="E648" s="210" t="s">
        <v>4715</v>
      </c>
      <c r="F648" s="198" t="s">
        <v>4414</v>
      </c>
      <c r="G648" s="199">
        <v>0.06</v>
      </c>
      <c r="H648" s="213">
        <v>0.84</v>
      </c>
      <c r="I648" s="199"/>
      <c r="J648" s="217"/>
      <c r="K648" s="218" t="s">
        <v>45</v>
      </c>
      <c r="L648" s="214" t="s">
        <v>2069</v>
      </c>
      <c r="M648" s="200"/>
      <c r="N648" s="8" t="s">
        <v>38</v>
      </c>
      <c r="O648" s="215"/>
      <c r="P648" s="216"/>
      <c r="Q648" s="14">
        <f>Tabela1[[#This Row],[QTDE/ Fabricação]]-Tabela1[[#This Row],[QTE]]</f>
        <v>-14</v>
      </c>
      <c r="R648" s="18">
        <f t="shared" si="113"/>
        <v>0.84</v>
      </c>
      <c r="S648" s="18">
        <f t="shared" si="114"/>
        <v>0.84</v>
      </c>
      <c r="T648" s="19">
        <f t="shared" si="115"/>
        <v>0</v>
      </c>
      <c r="U648" s="16">
        <f>IFERROR(SUMIF('LISTA DE EMBARQUE'!B:B,MICRO!E:E,'LISTA DE EMBARQUE'!G:G),"")</f>
        <v>14</v>
      </c>
      <c r="V648" s="12">
        <f>IFERROR(VLOOKUP(Tabela1[[#This Row],[COD.MDE]],'LISTA DE EMBARQUE'!B:L,11,0),"")</f>
        <v>12</v>
      </c>
      <c r="W648" s="13" t="str">
        <f>IFERROR(COUNTIF(#REF!,Tabela1[[#This Row],[Colunas5]]),"")</f>
        <v/>
      </c>
      <c r="X648" s="14">
        <f>Tabela1[[#This Row],[QIANTIDADE EXPEDIDA]]*Tabela1[[#This Row],[PESO UNI]]</f>
        <v>0.84</v>
      </c>
      <c r="Y648" s="14">
        <f t="shared" si="116"/>
        <v>0</v>
      </c>
      <c r="Z648" s="20">
        <f>Tabela1[[#This Row],[PESO TOTAL]]-Tabela1[[#This Row],[Peso Expedido]]</f>
        <v>0</v>
      </c>
      <c r="AA648" s="17">
        <v>1</v>
      </c>
      <c r="AB648" s="33"/>
      <c r="AC648" s="33">
        <v>1</v>
      </c>
      <c r="AD648" s="33">
        <v>1</v>
      </c>
      <c r="AE648" s="33">
        <v>1</v>
      </c>
      <c r="AF648" s="33">
        <v>1</v>
      </c>
      <c r="AG648" s="33">
        <v>1</v>
      </c>
      <c r="AH648" s="33">
        <v>1</v>
      </c>
      <c r="AI648" s="33" t="s">
        <v>4512</v>
      </c>
      <c r="AQ648" s="203"/>
      <c r="AR648" s="37"/>
      <c r="AS648" s="37"/>
      <c r="AT648" s="37"/>
      <c r="AU648" s="37"/>
      <c r="AV648" s="37"/>
      <c r="AW648" s="37"/>
    </row>
    <row r="649" spans="1:49" ht="15.75" customHeight="1" x14ac:dyDescent="0.25">
      <c r="A649" s="212"/>
      <c r="B649" s="21" t="s">
        <v>4582</v>
      </c>
      <c r="C649" s="198">
        <v>16</v>
      </c>
      <c r="D649" s="199" t="s">
        <v>4583</v>
      </c>
      <c r="E649" s="210" t="s">
        <v>4716</v>
      </c>
      <c r="F649" s="198" t="s">
        <v>4414</v>
      </c>
      <c r="G649" s="199">
        <v>1.2</v>
      </c>
      <c r="H649" s="213">
        <v>19.2</v>
      </c>
      <c r="I649" s="199"/>
      <c r="J649" s="217"/>
      <c r="K649" s="218" t="s">
        <v>45</v>
      </c>
      <c r="L649" s="214" t="s">
        <v>2069</v>
      </c>
      <c r="M649" s="200"/>
      <c r="N649" s="8" t="s">
        <v>38</v>
      </c>
      <c r="O649" s="215"/>
      <c r="P649" s="216"/>
      <c r="Q649" s="14">
        <f>Tabela1[[#This Row],[QTDE/ Fabricação]]-Tabela1[[#This Row],[QTE]]</f>
        <v>-16</v>
      </c>
      <c r="R649" s="18">
        <f t="shared" si="113"/>
        <v>19.2</v>
      </c>
      <c r="S649" s="18">
        <f t="shared" si="114"/>
        <v>19.2</v>
      </c>
      <c r="T649" s="19">
        <f t="shared" si="115"/>
        <v>0</v>
      </c>
      <c r="U649" s="16">
        <f>IFERROR(SUMIF('LISTA DE EMBARQUE'!B:B,MICRO!E:E,'LISTA DE EMBARQUE'!G:G),"")</f>
        <v>16</v>
      </c>
      <c r="V649" s="12">
        <f>IFERROR(VLOOKUP(Tabela1[[#This Row],[COD.MDE]],'LISTA DE EMBARQUE'!B:L,11,0),"")</f>
        <v>12</v>
      </c>
      <c r="W649" s="13" t="str">
        <f>IFERROR(COUNTIF(#REF!,Tabela1[[#This Row],[Colunas5]]),"")</f>
        <v/>
      </c>
      <c r="X649" s="14">
        <f>Tabela1[[#This Row],[QIANTIDADE EXPEDIDA]]*Tabela1[[#This Row],[PESO UNI]]</f>
        <v>19.2</v>
      </c>
      <c r="Y649" s="14">
        <f t="shared" si="116"/>
        <v>0</v>
      </c>
      <c r="Z649" s="20">
        <f>Tabela1[[#This Row],[PESO TOTAL]]-Tabela1[[#This Row],[Peso Expedido]]</f>
        <v>0</v>
      </c>
      <c r="AA649" s="17">
        <v>1</v>
      </c>
      <c r="AB649" s="33"/>
      <c r="AC649" s="33">
        <v>1</v>
      </c>
      <c r="AD649" s="33">
        <v>1</v>
      </c>
      <c r="AE649" s="33">
        <v>1</v>
      </c>
      <c r="AF649" s="33">
        <v>1</v>
      </c>
      <c r="AG649" s="33">
        <v>1</v>
      </c>
      <c r="AH649" s="33">
        <v>1</v>
      </c>
      <c r="AI649" s="33" t="s">
        <v>4512</v>
      </c>
      <c r="AQ649" s="203"/>
      <c r="AR649" s="37"/>
      <c r="AS649" s="37"/>
      <c r="AT649" s="37"/>
      <c r="AU649" s="37"/>
      <c r="AV649" s="37"/>
      <c r="AW649" s="37"/>
    </row>
    <row r="650" spans="1:49" ht="15.75" customHeight="1" x14ac:dyDescent="0.25">
      <c r="A650" s="212"/>
      <c r="B650" s="21" t="s">
        <v>4582</v>
      </c>
      <c r="C650" s="198">
        <v>8</v>
      </c>
      <c r="D650" s="199" t="s">
        <v>4584</v>
      </c>
      <c r="E650" s="210" t="s">
        <v>4717</v>
      </c>
      <c r="F650" s="198" t="s">
        <v>4414</v>
      </c>
      <c r="G650" s="199">
        <v>1.8</v>
      </c>
      <c r="H650" s="213">
        <v>14.4</v>
      </c>
      <c r="I650" s="199"/>
      <c r="J650" s="217"/>
      <c r="K650" s="218" t="s">
        <v>45</v>
      </c>
      <c r="L650" s="214" t="s">
        <v>2069</v>
      </c>
      <c r="M650" s="200"/>
      <c r="N650" s="8" t="s">
        <v>38</v>
      </c>
      <c r="O650" s="215"/>
      <c r="P650" s="216"/>
      <c r="Q650" s="14">
        <f>Tabela1[[#This Row],[QTDE/ Fabricação]]-Tabela1[[#This Row],[QTE]]</f>
        <v>-8</v>
      </c>
      <c r="R650" s="18">
        <f t="shared" si="113"/>
        <v>14.4</v>
      </c>
      <c r="S650" s="18">
        <f t="shared" si="114"/>
        <v>14.4</v>
      </c>
      <c r="T650" s="19">
        <f t="shared" si="115"/>
        <v>0</v>
      </c>
      <c r="U650" s="16">
        <f>IFERROR(SUMIF('LISTA DE EMBARQUE'!B:B,MICRO!E:E,'LISTA DE EMBARQUE'!G:G),"")</f>
        <v>8</v>
      </c>
      <c r="V650" s="12">
        <f>IFERROR(VLOOKUP(Tabela1[[#This Row],[COD.MDE]],'LISTA DE EMBARQUE'!B:L,11,0),"")</f>
        <v>12</v>
      </c>
      <c r="W650" s="13" t="str">
        <f>IFERROR(COUNTIF(#REF!,Tabela1[[#This Row],[Colunas5]]),"")</f>
        <v/>
      </c>
      <c r="X650" s="14">
        <f>Tabela1[[#This Row],[QIANTIDADE EXPEDIDA]]*Tabela1[[#This Row],[PESO UNI]]</f>
        <v>14.4</v>
      </c>
      <c r="Y650" s="14">
        <f t="shared" si="116"/>
        <v>0</v>
      </c>
      <c r="Z650" s="20">
        <f>Tabela1[[#This Row],[PESO TOTAL]]-Tabela1[[#This Row],[Peso Expedido]]</f>
        <v>0</v>
      </c>
      <c r="AA650" s="17">
        <v>1</v>
      </c>
      <c r="AB650" s="33"/>
      <c r="AC650" s="33">
        <v>1</v>
      </c>
      <c r="AD650" s="33">
        <v>1</v>
      </c>
      <c r="AE650" s="33">
        <v>1</v>
      </c>
      <c r="AF650" s="33">
        <v>1</v>
      </c>
      <c r="AG650" s="33">
        <v>1</v>
      </c>
      <c r="AH650" s="33">
        <v>1</v>
      </c>
      <c r="AI650" s="33" t="s">
        <v>4512</v>
      </c>
      <c r="AQ650" s="203"/>
      <c r="AR650" s="37"/>
      <c r="AS650" s="37"/>
      <c r="AT650" s="37"/>
      <c r="AU650" s="37"/>
      <c r="AV650" s="37"/>
      <c r="AW650" s="37"/>
    </row>
    <row r="651" spans="1:49" ht="15.75" customHeight="1" x14ac:dyDescent="0.25">
      <c r="A651" s="212"/>
      <c r="B651" s="21" t="s">
        <v>4582</v>
      </c>
      <c r="C651" s="198">
        <v>7</v>
      </c>
      <c r="D651" s="199" t="s">
        <v>4585</v>
      </c>
      <c r="E651" s="210" t="s">
        <v>4718</v>
      </c>
      <c r="F651" s="198" t="s">
        <v>4414</v>
      </c>
      <c r="G651" s="199">
        <v>2.1</v>
      </c>
      <c r="H651" s="213">
        <v>14.700000000000001</v>
      </c>
      <c r="I651" s="199"/>
      <c r="J651" s="217"/>
      <c r="K651" s="218" t="s">
        <v>45</v>
      </c>
      <c r="L651" s="214" t="s">
        <v>2069</v>
      </c>
      <c r="M651" s="200"/>
      <c r="N651" s="8" t="s">
        <v>38</v>
      </c>
      <c r="O651" s="215"/>
      <c r="P651" s="216"/>
      <c r="Q651" s="14">
        <f>Tabela1[[#This Row],[QTDE/ Fabricação]]-Tabela1[[#This Row],[QTE]]</f>
        <v>-7</v>
      </c>
      <c r="R651" s="18">
        <f t="shared" si="113"/>
        <v>14.700000000000001</v>
      </c>
      <c r="S651" s="18">
        <f t="shared" si="114"/>
        <v>14.700000000000001</v>
      </c>
      <c r="T651" s="19">
        <f t="shared" si="115"/>
        <v>0</v>
      </c>
      <c r="U651" s="16">
        <f>IFERROR(SUMIF('LISTA DE EMBARQUE'!B:B,MICRO!E:E,'LISTA DE EMBARQUE'!G:G),"")</f>
        <v>7</v>
      </c>
      <c r="V651" s="12">
        <f>IFERROR(VLOOKUP(Tabela1[[#This Row],[COD.MDE]],'LISTA DE EMBARQUE'!B:L,11,0),"")</f>
        <v>12</v>
      </c>
      <c r="W651" s="13" t="str">
        <f>IFERROR(COUNTIF(#REF!,Tabela1[[#This Row],[Colunas5]]),"")</f>
        <v/>
      </c>
      <c r="X651" s="14">
        <f>Tabela1[[#This Row],[QIANTIDADE EXPEDIDA]]*Tabela1[[#This Row],[PESO UNI]]</f>
        <v>14.700000000000001</v>
      </c>
      <c r="Y651" s="14">
        <f t="shared" si="116"/>
        <v>0</v>
      </c>
      <c r="Z651" s="20">
        <f>Tabela1[[#This Row],[PESO TOTAL]]-Tabela1[[#This Row],[Peso Expedido]]</f>
        <v>0</v>
      </c>
      <c r="AA651" s="17">
        <v>1</v>
      </c>
      <c r="AB651" s="33"/>
      <c r="AC651" s="33">
        <v>1</v>
      </c>
      <c r="AD651" s="33">
        <v>1</v>
      </c>
      <c r="AE651" s="33">
        <v>1</v>
      </c>
      <c r="AF651" s="33">
        <v>1</v>
      </c>
      <c r="AG651" s="33">
        <v>1</v>
      </c>
      <c r="AH651" s="33">
        <v>1</v>
      </c>
      <c r="AI651" s="33" t="s">
        <v>4512</v>
      </c>
      <c r="AQ651" s="203"/>
      <c r="AR651" s="37"/>
      <c r="AS651" s="37"/>
      <c r="AT651" s="37"/>
      <c r="AU651" s="37"/>
      <c r="AV651" s="37"/>
      <c r="AW651" s="37"/>
    </row>
    <row r="652" spans="1:49" ht="15.75" customHeight="1" x14ac:dyDescent="0.25">
      <c r="A652" s="212"/>
      <c r="B652" s="21" t="s">
        <v>4582</v>
      </c>
      <c r="C652" s="198">
        <v>3</v>
      </c>
      <c r="D652" s="199" t="s">
        <v>4586</v>
      </c>
      <c r="E652" s="210" t="s">
        <v>4719</v>
      </c>
      <c r="F652" s="198" t="s">
        <v>4414</v>
      </c>
      <c r="G652" s="199">
        <v>0.05</v>
      </c>
      <c r="H652" s="213">
        <v>0.15000000000000002</v>
      </c>
      <c r="I652" s="199"/>
      <c r="J652" s="217"/>
      <c r="K652" s="218" t="s">
        <v>45</v>
      </c>
      <c r="L652" s="214" t="s">
        <v>2069</v>
      </c>
      <c r="M652" s="200"/>
      <c r="N652" s="8" t="s">
        <v>38</v>
      </c>
      <c r="O652" s="215"/>
      <c r="P652" s="216"/>
      <c r="Q652" s="14">
        <f>Tabela1[[#This Row],[QTDE/ Fabricação]]-Tabela1[[#This Row],[QTE]]</f>
        <v>-3</v>
      </c>
      <c r="R652" s="18">
        <f t="shared" si="113"/>
        <v>0.15000000000000002</v>
      </c>
      <c r="S652" s="18">
        <f t="shared" si="114"/>
        <v>0.15000000000000002</v>
      </c>
      <c r="T652" s="19">
        <f t="shared" si="115"/>
        <v>0</v>
      </c>
      <c r="U652" s="16">
        <f>IFERROR(SUMIF('LISTA DE EMBARQUE'!B:B,MICRO!E:E,'LISTA DE EMBARQUE'!G:G),"")</f>
        <v>3</v>
      </c>
      <c r="V652" s="12">
        <f>IFERROR(VLOOKUP(Tabela1[[#This Row],[COD.MDE]],'LISTA DE EMBARQUE'!B:L,11,0),"")</f>
        <v>12</v>
      </c>
      <c r="W652" s="13" t="str">
        <f>IFERROR(COUNTIF(#REF!,Tabela1[[#This Row],[Colunas5]]),"")</f>
        <v/>
      </c>
      <c r="X652" s="14">
        <f>Tabela1[[#This Row],[QIANTIDADE EXPEDIDA]]*Tabela1[[#This Row],[PESO UNI]]</f>
        <v>0.15000000000000002</v>
      </c>
      <c r="Y652" s="14">
        <f t="shared" si="116"/>
        <v>0</v>
      </c>
      <c r="Z652" s="20">
        <f>Tabela1[[#This Row],[PESO TOTAL]]-Tabela1[[#This Row],[Peso Expedido]]</f>
        <v>0</v>
      </c>
      <c r="AA652" s="17">
        <v>1</v>
      </c>
      <c r="AB652" s="33"/>
      <c r="AC652" s="33">
        <v>1</v>
      </c>
      <c r="AD652" s="33">
        <v>1</v>
      </c>
      <c r="AE652" s="33">
        <v>1</v>
      </c>
      <c r="AF652" s="33">
        <v>1</v>
      </c>
      <c r="AG652" s="33">
        <v>1</v>
      </c>
      <c r="AH652" s="33">
        <v>1</v>
      </c>
      <c r="AI652" s="33" t="s">
        <v>4512</v>
      </c>
      <c r="AQ652" s="203"/>
      <c r="AR652" s="37"/>
      <c r="AS652" s="37"/>
      <c r="AT652" s="37"/>
      <c r="AU652" s="37"/>
      <c r="AV652" s="37"/>
      <c r="AW652" s="37"/>
    </row>
    <row r="653" spans="1:49" ht="15.75" customHeight="1" x14ac:dyDescent="0.25">
      <c r="A653" s="212"/>
      <c r="B653" s="21" t="s">
        <v>4582</v>
      </c>
      <c r="C653" s="198">
        <v>3</v>
      </c>
      <c r="D653" s="199" t="s">
        <v>4587</v>
      </c>
      <c r="E653" s="210" t="s">
        <v>4720</v>
      </c>
      <c r="F653" s="198" t="s">
        <v>4414</v>
      </c>
      <c r="G653" s="199">
        <v>0.02</v>
      </c>
      <c r="H653" s="213">
        <v>0.06</v>
      </c>
      <c r="I653" s="199"/>
      <c r="J653" s="217"/>
      <c r="K653" s="218" t="s">
        <v>45</v>
      </c>
      <c r="L653" s="214" t="s">
        <v>2069</v>
      </c>
      <c r="M653" s="200"/>
      <c r="N653" s="8" t="s">
        <v>38</v>
      </c>
      <c r="O653" s="215"/>
      <c r="P653" s="216"/>
      <c r="Q653" s="14">
        <f>Tabela1[[#This Row],[QTDE/ Fabricação]]-Tabela1[[#This Row],[QTE]]</f>
        <v>-3</v>
      </c>
      <c r="R653" s="18">
        <f t="shared" si="113"/>
        <v>0.06</v>
      </c>
      <c r="S653" s="18">
        <f t="shared" si="114"/>
        <v>0.06</v>
      </c>
      <c r="T653" s="19">
        <f t="shared" si="115"/>
        <v>0</v>
      </c>
      <c r="U653" s="16">
        <f>IFERROR(SUMIF('LISTA DE EMBARQUE'!B:B,MICRO!E:E,'LISTA DE EMBARQUE'!G:G),"")</f>
        <v>3</v>
      </c>
      <c r="V653" s="12">
        <f>IFERROR(VLOOKUP(Tabela1[[#This Row],[COD.MDE]],'LISTA DE EMBARQUE'!B:L,11,0),"")</f>
        <v>12</v>
      </c>
      <c r="W653" s="13" t="str">
        <f>IFERROR(COUNTIF(#REF!,Tabela1[[#This Row],[Colunas5]]),"")</f>
        <v/>
      </c>
      <c r="X653" s="14">
        <f>Tabela1[[#This Row],[QIANTIDADE EXPEDIDA]]*Tabela1[[#This Row],[PESO UNI]]</f>
        <v>0.06</v>
      </c>
      <c r="Y653" s="14">
        <f t="shared" si="116"/>
        <v>0</v>
      </c>
      <c r="Z653" s="20">
        <f>Tabela1[[#This Row],[PESO TOTAL]]-Tabela1[[#This Row],[Peso Expedido]]</f>
        <v>0</v>
      </c>
      <c r="AA653" s="17">
        <v>1</v>
      </c>
      <c r="AB653" s="33"/>
      <c r="AC653" s="33">
        <v>1</v>
      </c>
      <c r="AD653" s="33">
        <v>1</v>
      </c>
      <c r="AE653" s="33">
        <v>1</v>
      </c>
      <c r="AF653" s="33">
        <v>1</v>
      </c>
      <c r="AG653" s="33">
        <v>1</v>
      </c>
      <c r="AH653" s="33">
        <v>1</v>
      </c>
      <c r="AI653" s="33" t="s">
        <v>4512</v>
      </c>
      <c r="AQ653" s="203"/>
      <c r="AR653" s="37"/>
      <c r="AS653" s="37"/>
      <c r="AT653" s="37"/>
      <c r="AU653" s="37"/>
      <c r="AV653" s="37"/>
      <c r="AW653" s="37"/>
    </row>
    <row r="654" spans="1:49" ht="15.75" customHeight="1" x14ac:dyDescent="0.25">
      <c r="A654" s="212"/>
      <c r="B654" s="21" t="s">
        <v>4582</v>
      </c>
      <c r="C654" s="198">
        <v>2</v>
      </c>
      <c r="D654" s="199" t="s">
        <v>4588</v>
      </c>
      <c r="E654" s="210" t="s">
        <v>4721</v>
      </c>
      <c r="F654" s="198" t="s">
        <v>4414</v>
      </c>
      <c r="G654" s="199">
        <v>0.8</v>
      </c>
      <c r="H654" s="213">
        <v>1.6</v>
      </c>
      <c r="I654" s="199"/>
      <c r="J654" s="217"/>
      <c r="K654" s="218" t="s">
        <v>45</v>
      </c>
      <c r="L654" s="214" t="s">
        <v>2069</v>
      </c>
      <c r="M654" s="200"/>
      <c r="N654" s="8" t="s">
        <v>38</v>
      </c>
      <c r="O654" s="215"/>
      <c r="P654" s="216"/>
      <c r="Q654" s="14">
        <f>Tabela1[[#This Row],[QTDE/ Fabricação]]-Tabela1[[#This Row],[QTE]]</f>
        <v>-2</v>
      </c>
      <c r="R654" s="18">
        <f t="shared" si="113"/>
        <v>1.6</v>
      </c>
      <c r="S654" s="18">
        <f t="shared" si="114"/>
        <v>1.6</v>
      </c>
      <c r="T654" s="19">
        <f t="shared" si="115"/>
        <v>0</v>
      </c>
      <c r="U654" s="16">
        <f>IFERROR(SUMIF('LISTA DE EMBARQUE'!B:B,MICRO!E:E,'LISTA DE EMBARQUE'!G:G),"")</f>
        <v>2</v>
      </c>
      <c r="V654" s="12">
        <f>IFERROR(VLOOKUP(Tabela1[[#This Row],[COD.MDE]],'LISTA DE EMBARQUE'!B:L,11,0),"")</f>
        <v>12</v>
      </c>
      <c r="W654" s="13" t="str">
        <f>IFERROR(COUNTIF(#REF!,Tabela1[[#This Row],[Colunas5]]),"")</f>
        <v/>
      </c>
      <c r="X654" s="14">
        <f>Tabela1[[#This Row],[QIANTIDADE EXPEDIDA]]*Tabela1[[#This Row],[PESO UNI]]</f>
        <v>1.6</v>
      </c>
      <c r="Y654" s="14">
        <f t="shared" si="116"/>
        <v>0</v>
      </c>
      <c r="Z654" s="20">
        <f>Tabela1[[#This Row],[PESO TOTAL]]-Tabela1[[#This Row],[Peso Expedido]]</f>
        <v>0</v>
      </c>
      <c r="AA654" s="17">
        <v>1</v>
      </c>
      <c r="AB654" s="33"/>
      <c r="AC654" s="33">
        <v>1</v>
      </c>
      <c r="AD654" s="33">
        <v>1</v>
      </c>
      <c r="AE654" s="33">
        <v>1</v>
      </c>
      <c r="AF654" s="33">
        <v>1</v>
      </c>
      <c r="AG654" s="33">
        <v>1</v>
      </c>
      <c r="AH654" s="33">
        <v>1</v>
      </c>
      <c r="AI654" s="33" t="s">
        <v>4512</v>
      </c>
      <c r="AQ654" s="203"/>
      <c r="AR654" s="37"/>
      <c r="AS654" s="37"/>
      <c r="AT654" s="37"/>
      <c r="AU654" s="37"/>
      <c r="AV654" s="37"/>
      <c r="AW654" s="37"/>
    </row>
    <row r="655" spans="1:49" ht="15.75" customHeight="1" x14ac:dyDescent="0.25">
      <c r="A655" s="212"/>
      <c r="B655" s="21" t="s">
        <v>4582</v>
      </c>
      <c r="C655" s="198">
        <v>6</v>
      </c>
      <c r="D655" s="199" t="s">
        <v>4589</v>
      </c>
      <c r="E655" s="210" t="s">
        <v>4722</v>
      </c>
      <c r="F655" s="198" t="s">
        <v>4414</v>
      </c>
      <c r="G655" s="199">
        <v>0.04</v>
      </c>
      <c r="H655" s="213">
        <v>0.24</v>
      </c>
      <c r="I655" s="199"/>
      <c r="J655" s="217"/>
      <c r="K655" s="218" t="s">
        <v>45</v>
      </c>
      <c r="L655" s="214" t="s">
        <v>2069</v>
      </c>
      <c r="M655" s="200"/>
      <c r="N655" s="8" t="s">
        <v>38</v>
      </c>
      <c r="O655" s="215"/>
      <c r="P655" s="216"/>
      <c r="Q655" s="14">
        <f>Tabela1[[#This Row],[QTDE/ Fabricação]]-Tabela1[[#This Row],[QTE]]</f>
        <v>-6</v>
      </c>
      <c r="R655" s="18">
        <f t="shared" si="113"/>
        <v>0.24</v>
      </c>
      <c r="S655" s="18">
        <f t="shared" si="114"/>
        <v>0.24</v>
      </c>
      <c r="T655" s="19">
        <f t="shared" si="115"/>
        <v>0</v>
      </c>
      <c r="U655" s="16">
        <f>IFERROR(SUMIF('LISTA DE EMBARQUE'!B:B,MICRO!E:E,'LISTA DE EMBARQUE'!G:G),"")</f>
        <v>6</v>
      </c>
      <c r="V655" s="12">
        <f>IFERROR(VLOOKUP(Tabela1[[#This Row],[COD.MDE]],'LISTA DE EMBARQUE'!B:L,11,0),"")</f>
        <v>12</v>
      </c>
      <c r="W655" s="13" t="str">
        <f>IFERROR(COUNTIF(#REF!,Tabela1[[#This Row],[Colunas5]]),"")</f>
        <v/>
      </c>
      <c r="X655" s="14">
        <f>Tabela1[[#This Row],[QIANTIDADE EXPEDIDA]]*Tabela1[[#This Row],[PESO UNI]]</f>
        <v>0.24</v>
      </c>
      <c r="Y655" s="14">
        <f t="shared" si="116"/>
        <v>0</v>
      </c>
      <c r="Z655" s="20">
        <f>Tabela1[[#This Row],[PESO TOTAL]]-Tabela1[[#This Row],[Peso Expedido]]</f>
        <v>0</v>
      </c>
      <c r="AA655" s="17">
        <v>1</v>
      </c>
      <c r="AB655" s="33"/>
      <c r="AC655" s="33">
        <v>1</v>
      </c>
      <c r="AD655" s="33">
        <v>1</v>
      </c>
      <c r="AE655" s="33">
        <v>1</v>
      </c>
      <c r="AF655" s="33">
        <v>1</v>
      </c>
      <c r="AG655" s="33">
        <v>1</v>
      </c>
      <c r="AH655" s="33">
        <v>1</v>
      </c>
      <c r="AI655" s="33" t="s">
        <v>4512</v>
      </c>
      <c r="AQ655" s="203"/>
      <c r="AR655" s="37"/>
      <c r="AS655" s="37"/>
      <c r="AT655" s="37"/>
      <c r="AU655" s="37"/>
      <c r="AV655" s="37"/>
      <c r="AW655" s="37"/>
    </row>
    <row r="656" spans="1:49" ht="15.75" customHeight="1" x14ac:dyDescent="0.25">
      <c r="A656" s="212"/>
      <c r="B656" s="21" t="s">
        <v>4582</v>
      </c>
      <c r="C656" s="198">
        <v>2</v>
      </c>
      <c r="D656" s="199" t="s">
        <v>4590</v>
      </c>
      <c r="E656" s="210" t="s">
        <v>4723</v>
      </c>
      <c r="F656" s="198" t="s">
        <v>4414</v>
      </c>
      <c r="G656" s="199">
        <v>0.05</v>
      </c>
      <c r="H656" s="213">
        <v>0.1</v>
      </c>
      <c r="I656" s="199"/>
      <c r="J656" s="217"/>
      <c r="K656" s="218" t="s">
        <v>45</v>
      </c>
      <c r="L656" s="214" t="s">
        <v>2069</v>
      </c>
      <c r="M656" s="200"/>
      <c r="N656" s="8" t="s">
        <v>38</v>
      </c>
      <c r="O656" s="215"/>
      <c r="P656" s="216"/>
      <c r="Q656" s="14">
        <f>Tabela1[[#This Row],[QTDE/ Fabricação]]-Tabela1[[#This Row],[QTE]]</f>
        <v>-2</v>
      </c>
      <c r="R656" s="18">
        <f t="shared" si="113"/>
        <v>0.1</v>
      </c>
      <c r="S656" s="18">
        <f t="shared" si="114"/>
        <v>0.1</v>
      </c>
      <c r="T656" s="19">
        <f t="shared" si="115"/>
        <v>0</v>
      </c>
      <c r="U656" s="16">
        <f>IFERROR(SUMIF('LISTA DE EMBARQUE'!B:B,MICRO!E:E,'LISTA DE EMBARQUE'!G:G),"")</f>
        <v>2</v>
      </c>
      <c r="V656" s="12">
        <f>IFERROR(VLOOKUP(Tabela1[[#This Row],[COD.MDE]],'LISTA DE EMBARQUE'!B:L,11,0),"")</f>
        <v>12</v>
      </c>
      <c r="W656" s="13" t="str">
        <f>IFERROR(COUNTIF(#REF!,Tabela1[[#This Row],[Colunas5]]),"")</f>
        <v/>
      </c>
      <c r="X656" s="14">
        <f>Tabela1[[#This Row],[QIANTIDADE EXPEDIDA]]*Tabela1[[#This Row],[PESO UNI]]</f>
        <v>0.1</v>
      </c>
      <c r="Y656" s="14">
        <f t="shared" si="116"/>
        <v>0</v>
      </c>
      <c r="Z656" s="20">
        <f>Tabela1[[#This Row],[PESO TOTAL]]-Tabela1[[#This Row],[Peso Expedido]]</f>
        <v>0</v>
      </c>
      <c r="AA656" s="17">
        <v>1</v>
      </c>
      <c r="AB656" s="33"/>
      <c r="AC656" s="33">
        <v>1</v>
      </c>
      <c r="AD656" s="33">
        <v>1</v>
      </c>
      <c r="AE656" s="33">
        <v>1</v>
      </c>
      <c r="AF656" s="33">
        <v>1</v>
      </c>
      <c r="AG656" s="33">
        <v>1</v>
      </c>
      <c r="AH656" s="33">
        <v>1</v>
      </c>
      <c r="AI656" s="33" t="s">
        <v>4512</v>
      </c>
      <c r="AQ656" s="203"/>
      <c r="AR656" s="37"/>
      <c r="AS656" s="37"/>
      <c r="AT656" s="37"/>
      <c r="AU656" s="37"/>
      <c r="AV656" s="37"/>
      <c r="AW656" s="37"/>
    </row>
    <row r="657" spans="1:49" ht="15.75" customHeight="1" x14ac:dyDescent="0.25">
      <c r="A657" s="212"/>
      <c r="B657" s="21" t="s">
        <v>4582</v>
      </c>
      <c r="C657" s="198">
        <v>6</v>
      </c>
      <c r="D657" s="199" t="s">
        <v>4591</v>
      </c>
      <c r="E657" s="210" t="s">
        <v>4724</v>
      </c>
      <c r="F657" s="198" t="s">
        <v>4414</v>
      </c>
      <c r="G657" s="199">
        <v>0.03</v>
      </c>
      <c r="H657" s="213">
        <v>0.18</v>
      </c>
      <c r="I657" s="199"/>
      <c r="J657" s="217"/>
      <c r="K657" s="218" t="s">
        <v>45</v>
      </c>
      <c r="L657" s="214" t="s">
        <v>2069</v>
      </c>
      <c r="M657" s="200"/>
      <c r="N657" s="8" t="s">
        <v>38</v>
      </c>
      <c r="O657" s="215"/>
      <c r="P657" s="216"/>
      <c r="Q657" s="14">
        <f>Tabela1[[#This Row],[QTDE/ Fabricação]]-Tabela1[[#This Row],[QTE]]</f>
        <v>-6</v>
      </c>
      <c r="R657" s="18">
        <f t="shared" si="113"/>
        <v>0.18</v>
      </c>
      <c r="S657" s="18">
        <f t="shared" si="114"/>
        <v>0.18</v>
      </c>
      <c r="T657" s="19">
        <f t="shared" si="115"/>
        <v>0</v>
      </c>
      <c r="U657" s="16">
        <f>IFERROR(SUMIF('LISTA DE EMBARQUE'!B:B,MICRO!E:E,'LISTA DE EMBARQUE'!G:G),"")</f>
        <v>6</v>
      </c>
      <c r="V657" s="12">
        <f>IFERROR(VLOOKUP(Tabela1[[#This Row],[COD.MDE]],'LISTA DE EMBARQUE'!B:L,11,0),"")</f>
        <v>12</v>
      </c>
      <c r="W657" s="13" t="str">
        <f>IFERROR(COUNTIF(#REF!,Tabela1[[#This Row],[Colunas5]]),"")</f>
        <v/>
      </c>
      <c r="X657" s="14">
        <f>Tabela1[[#This Row],[QIANTIDADE EXPEDIDA]]*Tabela1[[#This Row],[PESO UNI]]</f>
        <v>0.18</v>
      </c>
      <c r="Y657" s="14">
        <f t="shared" si="116"/>
        <v>0</v>
      </c>
      <c r="Z657" s="20">
        <f>Tabela1[[#This Row],[PESO TOTAL]]-Tabela1[[#This Row],[Peso Expedido]]</f>
        <v>0</v>
      </c>
      <c r="AA657" s="17">
        <v>1</v>
      </c>
      <c r="AB657" s="33"/>
      <c r="AC657" s="33">
        <v>1</v>
      </c>
      <c r="AD657" s="33">
        <v>1</v>
      </c>
      <c r="AE657" s="33">
        <v>1</v>
      </c>
      <c r="AF657" s="33">
        <v>1</v>
      </c>
      <c r="AG657" s="33">
        <v>1</v>
      </c>
      <c r="AH657" s="33">
        <v>1</v>
      </c>
      <c r="AI657" s="33" t="s">
        <v>4512</v>
      </c>
      <c r="AQ657" s="203"/>
      <c r="AR657" s="37"/>
      <c r="AS657" s="37"/>
      <c r="AT657" s="37"/>
      <c r="AU657" s="37"/>
      <c r="AV657" s="37"/>
      <c r="AW657" s="37"/>
    </row>
    <row r="658" spans="1:49" ht="15.75" customHeight="1" x14ac:dyDescent="0.25">
      <c r="A658" s="212"/>
      <c r="B658" s="21" t="s">
        <v>4582</v>
      </c>
      <c r="C658" s="198">
        <v>2</v>
      </c>
      <c r="D658" s="199" t="s">
        <v>4592</v>
      </c>
      <c r="E658" s="210" t="s">
        <v>4725</v>
      </c>
      <c r="F658" s="198" t="s">
        <v>4414</v>
      </c>
      <c r="G658" s="199">
        <v>0.05</v>
      </c>
      <c r="H658" s="213">
        <v>0.1</v>
      </c>
      <c r="I658" s="199"/>
      <c r="J658" s="217"/>
      <c r="K658" s="218" t="s">
        <v>45</v>
      </c>
      <c r="L658" s="214" t="s">
        <v>2069</v>
      </c>
      <c r="M658" s="200"/>
      <c r="N658" s="8" t="s">
        <v>38</v>
      </c>
      <c r="O658" s="215"/>
      <c r="P658" s="216"/>
      <c r="Q658" s="14">
        <f>Tabela1[[#This Row],[QTDE/ Fabricação]]-Tabela1[[#This Row],[QTE]]</f>
        <v>-2</v>
      </c>
      <c r="R658" s="18">
        <f t="shared" si="113"/>
        <v>0.1</v>
      </c>
      <c r="S658" s="18">
        <f t="shared" si="114"/>
        <v>0.1</v>
      </c>
      <c r="T658" s="19">
        <f t="shared" si="115"/>
        <v>0</v>
      </c>
      <c r="U658" s="16">
        <f>IFERROR(SUMIF('LISTA DE EMBARQUE'!B:B,MICRO!E:E,'LISTA DE EMBARQUE'!G:G),"")</f>
        <v>2</v>
      </c>
      <c r="V658" s="12">
        <f>IFERROR(VLOOKUP(Tabela1[[#This Row],[COD.MDE]],'LISTA DE EMBARQUE'!B:L,11,0),"")</f>
        <v>12</v>
      </c>
      <c r="W658" s="13" t="str">
        <f>IFERROR(COUNTIF(#REF!,Tabela1[[#This Row],[Colunas5]]),"")</f>
        <v/>
      </c>
      <c r="X658" s="14">
        <f>Tabela1[[#This Row],[QIANTIDADE EXPEDIDA]]*Tabela1[[#This Row],[PESO UNI]]</f>
        <v>0.1</v>
      </c>
      <c r="Y658" s="14">
        <f t="shared" si="116"/>
        <v>0</v>
      </c>
      <c r="Z658" s="20">
        <f>Tabela1[[#This Row],[PESO TOTAL]]-Tabela1[[#This Row],[Peso Expedido]]</f>
        <v>0</v>
      </c>
      <c r="AA658" s="17">
        <v>1</v>
      </c>
      <c r="AB658" s="33"/>
      <c r="AC658" s="33">
        <v>1</v>
      </c>
      <c r="AD658" s="33">
        <v>1</v>
      </c>
      <c r="AE658" s="33">
        <v>1</v>
      </c>
      <c r="AF658" s="33">
        <v>1</v>
      </c>
      <c r="AG658" s="33">
        <v>1</v>
      </c>
      <c r="AH658" s="33">
        <v>1</v>
      </c>
      <c r="AI658" s="33" t="s">
        <v>4512</v>
      </c>
      <c r="AQ658" s="203"/>
      <c r="AR658" s="37"/>
      <c r="AS658" s="37"/>
      <c r="AT658" s="37"/>
      <c r="AU658" s="37"/>
      <c r="AV658" s="37"/>
      <c r="AW658" s="37"/>
    </row>
    <row r="659" spans="1:49" ht="15.75" customHeight="1" x14ac:dyDescent="0.25">
      <c r="A659" s="212"/>
      <c r="B659" s="21" t="s">
        <v>4582</v>
      </c>
      <c r="C659" s="198">
        <v>2</v>
      </c>
      <c r="D659" s="199" t="s">
        <v>4593</v>
      </c>
      <c r="E659" s="210" t="s">
        <v>4726</v>
      </c>
      <c r="F659" s="198" t="s">
        <v>4414</v>
      </c>
      <c r="G659" s="199">
        <v>0.08</v>
      </c>
      <c r="H659" s="213">
        <v>0.16</v>
      </c>
      <c r="I659" s="199"/>
      <c r="J659" s="217"/>
      <c r="K659" s="218" t="s">
        <v>45</v>
      </c>
      <c r="L659" s="214" t="s">
        <v>2069</v>
      </c>
      <c r="M659" s="200"/>
      <c r="N659" s="8" t="s">
        <v>38</v>
      </c>
      <c r="O659" s="215"/>
      <c r="P659" s="216"/>
      <c r="Q659" s="14">
        <f>Tabela1[[#This Row],[QTDE/ Fabricação]]-Tabela1[[#This Row],[QTE]]</f>
        <v>-2</v>
      </c>
      <c r="R659" s="18">
        <f t="shared" si="113"/>
        <v>0.16</v>
      </c>
      <c r="S659" s="18">
        <f t="shared" si="114"/>
        <v>0.16</v>
      </c>
      <c r="T659" s="19">
        <f t="shared" si="115"/>
        <v>0</v>
      </c>
      <c r="U659" s="16">
        <f>IFERROR(SUMIF('LISTA DE EMBARQUE'!B:B,MICRO!E:E,'LISTA DE EMBARQUE'!G:G),"")</f>
        <v>2</v>
      </c>
      <c r="V659" s="12">
        <f>IFERROR(VLOOKUP(Tabela1[[#This Row],[COD.MDE]],'LISTA DE EMBARQUE'!B:L,11,0),"")</f>
        <v>12</v>
      </c>
      <c r="W659" s="13" t="str">
        <f>IFERROR(COUNTIF(#REF!,Tabela1[[#This Row],[Colunas5]]),"")</f>
        <v/>
      </c>
      <c r="X659" s="14">
        <f>Tabela1[[#This Row],[QIANTIDADE EXPEDIDA]]*Tabela1[[#This Row],[PESO UNI]]</f>
        <v>0.16</v>
      </c>
      <c r="Y659" s="14">
        <f t="shared" si="116"/>
        <v>0</v>
      </c>
      <c r="Z659" s="20">
        <f>Tabela1[[#This Row],[PESO TOTAL]]-Tabela1[[#This Row],[Peso Expedido]]</f>
        <v>0</v>
      </c>
      <c r="AA659" s="17">
        <v>1</v>
      </c>
      <c r="AB659" s="33"/>
      <c r="AC659" s="33">
        <v>1</v>
      </c>
      <c r="AD659" s="33">
        <v>1</v>
      </c>
      <c r="AE659" s="33">
        <v>1</v>
      </c>
      <c r="AF659" s="33">
        <v>1</v>
      </c>
      <c r="AG659" s="33">
        <v>1</v>
      </c>
      <c r="AH659" s="33">
        <v>1</v>
      </c>
      <c r="AI659" s="33" t="s">
        <v>4512</v>
      </c>
      <c r="AQ659" s="203"/>
      <c r="AR659" s="37"/>
      <c r="AS659" s="37"/>
      <c r="AT659" s="37"/>
      <c r="AU659" s="37"/>
      <c r="AV659" s="37"/>
      <c r="AW659" s="37"/>
    </row>
    <row r="660" spans="1:49" ht="15.75" customHeight="1" x14ac:dyDescent="0.25">
      <c r="A660" s="212"/>
      <c r="B660" s="21" t="s">
        <v>4582</v>
      </c>
      <c r="C660" s="198">
        <v>4</v>
      </c>
      <c r="D660" s="199" t="s">
        <v>4594</v>
      </c>
      <c r="E660" s="210" t="s">
        <v>4727</v>
      </c>
      <c r="F660" s="198" t="s">
        <v>4414</v>
      </c>
      <c r="G660" s="199">
        <v>0.03</v>
      </c>
      <c r="H660" s="213">
        <v>0.12</v>
      </c>
      <c r="I660" s="199"/>
      <c r="J660" s="217"/>
      <c r="K660" s="218" t="s">
        <v>45</v>
      </c>
      <c r="L660" s="214" t="s">
        <v>2069</v>
      </c>
      <c r="M660" s="200"/>
      <c r="N660" s="8" t="s">
        <v>38</v>
      </c>
      <c r="O660" s="215"/>
      <c r="P660" s="216"/>
      <c r="Q660" s="14">
        <f>Tabela1[[#This Row],[QTDE/ Fabricação]]-Tabela1[[#This Row],[QTE]]</f>
        <v>-4</v>
      </c>
      <c r="R660" s="18">
        <f t="shared" si="113"/>
        <v>0.12</v>
      </c>
      <c r="S660" s="18">
        <f t="shared" si="114"/>
        <v>0.12</v>
      </c>
      <c r="T660" s="19">
        <f t="shared" si="115"/>
        <v>0</v>
      </c>
      <c r="U660" s="16">
        <f>IFERROR(SUMIF('LISTA DE EMBARQUE'!B:B,MICRO!E:E,'LISTA DE EMBARQUE'!G:G),"")</f>
        <v>4</v>
      </c>
      <c r="V660" s="12">
        <f>IFERROR(VLOOKUP(Tabela1[[#This Row],[COD.MDE]],'LISTA DE EMBARQUE'!B:L,11,0),"")</f>
        <v>12</v>
      </c>
      <c r="W660" s="13" t="str">
        <f>IFERROR(COUNTIF(#REF!,Tabela1[[#This Row],[Colunas5]]),"")</f>
        <v/>
      </c>
      <c r="X660" s="14">
        <f>Tabela1[[#This Row],[QIANTIDADE EXPEDIDA]]*Tabela1[[#This Row],[PESO UNI]]</f>
        <v>0.12</v>
      </c>
      <c r="Y660" s="14">
        <f t="shared" si="116"/>
        <v>0</v>
      </c>
      <c r="Z660" s="20">
        <f>Tabela1[[#This Row],[PESO TOTAL]]-Tabela1[[#This Row],[Peso Expedido]]</f>
        <v>0</v>
      </c>
      <c r="AA660" s="17">
        <v>1</v>
      </c>
      <c r="AB660" s="33"/>
      <c r="AC660" s="33">
        <v>1</v>
      </c>
      <c r="AD660" s="33">
        <v>1</v>
      </c>
      <c r="AE660" s="33">
        <v>1</v>
      </c>
      <c r="AF660" s="33">
        <v>1</v>
      </c>
      <c r="AG660" s="33">
        <v>1</v>
      </c>
      <c r="AH660" s="33">
        <v>1</v>
      </c>
      <c r="AI660" s="33" t="s">
        <v>4512</v>
      </c>
      <c r="AQ660" s="203"/>
      <c r="AR660" s="37"/>
      <c r="AS660" s="37"/>
      <c r="AT660" s="37"/>
      <c r="AU660" s="37"/>
      <c r="AV660" s="37"/>
      <c r="AW660" s="37"/>
    </row>
    <row r="661" spans="1:49" ht="15.75" customHeight="1" x14ac:dyDescent="0.25">
      <c r="A661" s="212"/>
      <c r="B661" s="21" t="s">
        <v>4582</v>
      </c>
      <c r="C661" s="198">
        <v>2</v>
      </c>
      <c r="D661" s="199" t="s">
        <v>4595</v>
      </c>
      <c r="E661" s="210" t="s">
        <v>4728</v>
      </c>
      <c r="F661" s="198" t="s">
        <v>4414</v>
      </c>
      <c r="G661" s="199">
        <v>0.05</v>
      </c>
      <c r="H661" s="213">
        <v>0.1</v>
      </c>
      <c r="I661" s="199"/>
      <c r="J661" s="217"/>
      <c r="K661" s="218" t="s">
        <v>45</v>
      </c>
      <c r="L661" s="214" t="s">
        <v>2069</v>
      </c>
      <c r="M661" s="200"/>
      <c r="N661" s="8" t="s">
        <v>38</v>
      </c>
      <c r="O661" s="215"/>
      <c r="P661" s="216"/>
      <c r="Q661" s="14">
        <f>Tabela1[[#This Row],[QTDE/ Fabricação]]-Tabela1[[#This Row],[QTE]]</f>
        <v>-2</v>
      </c>
      <c r="R661" s="18">
        <f t="shared" si="113"/>
        <v>0.1</v>
      </c>
      <c r="S661" s="18">
        <f t="shared" si="114"/>
        <v>0.1</v>
      </c>
      <c r="T661" s="19">
        <f t="shared" si="115"/>
        <v>0</v>
      </c>
      <c r="U661" s="16">
        <f>IFERROR(SUMIF('LISTA DE EMBARQUE'!B:B,MICRO!E:E,'LISTA DE EMBARQUE'!G:G),"")</f>
        <v>2</v>
      </c>
      <c r="V661" s="12">
        <f>IFERROR(VLOOKUP(Tabela1[[#This Row],[COD.MDE]],'LISTA DE EMBARQUE'!B:L,11,0),"")</f>
        <v>12</v>
      </c>
      <c r="W661" s="13" t="str">
        <f>IFERROR(COUNTIF(#REF!,Tabela1[[#This Row],[Colunas5]]),"")</f>
        <v/>
      </c>
      <c r="X661" s="14">
        <f>Tabela1[[#This Row],[QIANTIDADE EXPEDIDA]]*Tabela1[[#This Row],[PESO UNI]]</f>
        <v>0.1</v>
      </c>
      <c r="Y661" s="14">
        <f t="shared" si="116"/>
        <v>0</v>
      </c>
      <c r="Z661" s="20">
        <f>Tabela1[[#This Row],[PESO TOTAL]]-Tabela1[[#This Row],[Peso Expedido]]</f>
        <v>0</v>
      </c>
      <c r="AA661" s="17">
        <v>1</v>
      </c>
      <c r="AB661" s="33"/>
      <c r="AC661" s="33">
        <v>1</v>
      </c>
      <c r="AD661" s="33">
        <v>1</v>
      </c>
      <c r="AE661" s="33">
        <v>1</v>
      </c>
      <c r="AF661" s="33">
        <v>1</v>
      </c>
      <c r="AG661" s="33">
        <v>1</v>
      </c>
      <c r="AH661" s="33">
        <v>1</v>
      </c>
      <c r="AI661" s="33" t="s">
        <v>4512</v>
      </c>
      <c r="AQ661" s="203"/>
      <c r="AR661" s="37"/>
      <c r="AS661" s="37"/>
      <c r="AT661" s="37"/>
      <c r="AU661" s="37"/>
      <c r="AV661" s="37"/>
      <c r="AW661" s="37"/>
    </row>
    <row r="662" spans="1:49" ht="15.75" customHeight="1" x14ac:dyDescent="0.25">
      <c r="A662" s="212"/>
      <c r="B662" s="21" t="s">
        <v>4582</v>
      </c>
      <c r="C662" s="198">
        <v>3</v>
      </c>
      <c r="D662" s="199" t="s">
        <v>4596</v>
      </c>
      <c r="E662" s="210" t="s">
        <v>4729</v>
      </c>
      <c r="F662" s="198" t="s">
        <v>4414</v>
      </c>
      <c r="G662" s="199">
        <v>0.08</v>
      </c>
      <c r="H662" s="213">
        <v>0.24</v>
      </c>
      <c r="I662" s="199"/>
      <c r="J662" s="217"/>
      <c r="K662" s="218" t="s">
        <v>45</v>
      </c>
      <c r="L662" s="214" t="s">
        <v>2069</v>
      </c>
      <c r="M662" s="200"/>
      <c r="N662" s="8" t="s">
        <v>38</v>
      </c>
      <c r="O662" s="215"/>
      <c r="P662" s="216"/>
      <c r="Q662" s="14">
        <f>Tabela1[[#This Row],[QTDE/ Fabricação]]-Tabela1[[#This Row],[QTE]]</f>
        <v>-3</v>
      </c>
      <c r="R662" s="18">
        <f t="shared" si="113"/>
        <v>0.24</v>
      </c>
      <c r="S662" s="18">
        <f t="shared" si="114"/>
        <v>0.24</v>
      </c>
      <c r="T662" s="19">
        <f t="shared" si="115"/>
        <v>0</v>
      </c>
      <c r="U662" s="16">
        <f>IFERROR(SUMIF('LISTA DE EMBARQUE'!B:B,MICRO!E:E,'LISTA DE EMBARQUE'!G:G),"")</f>
        <v>3</v>
      </c>
      <c r="V662" s="12">
        <f>IFERROR(VLOOKUP(Tabela1[[#This Row],[COD.MDE]],'LISTA DE EMBARQUE'!B:L,11,0),"")</f>
        <v>12</v>
      </c>
      <c r="W662" s="13" t="str">
        <f>IFERROR(COUNTIF(#REF!,Tabela1[[#This Row],[Colunas5]]),"")</f>
        <v/>
      </c>
      <c r="X662" s="14">
        <f>Tabela1[[#This Row],[QIANTIDADE EXPEDIDA]]*Tabela1[[#This Row],[PESO UNI]]</f>
        <v>0.24</v>
      </c>
      <c r="Y662" s="14">
        <f t="shared" si="116"/>
        <v>0</v>
      </c>
      <c r="Z662" s="20">
        <f>Tabela1[[#This Row],[PESO TOTAL]]-Tabela1[[#This Row],[Peso Expedido]]</f>
        <v>0</v>
      </c>
      <c r="AA662" s="17">
        <v>1</v>
      </c>
      <c r="AB662" s="33"/>
      <c r="AC662" s="33">
        <v>1</v>
      </c>
      <c r="AD662" s="33">
        <v>1</v>
      </c>
      <c r="AE662" s="33">
        <v>1</v>
      </c>
      <c r="AF662" s="33">
        <v>1</v>
      </c>
      <c r="AG662" s="33">
        <v>1</v>
      </c>
      <c r="AH662" s="33">
        <v>1</v>
      </c>
      <c r="AI662" s="33" t="s">
        <v>4512</v>
      </c>
      <c r="AQ662" s="203"/>
      <c r="AR662" s="37"/>
      <c r="AS662" s="37"/>
      <c r="AT662" s="37"/>
      <c r="AU662" s="37"/>
      <c r="AV662" s="37"/>
      <c r="AW662" s="37"/>
    </row>
    <row r="663" spans="1:49" ht="15.75" customHeight="1" x14ac:dyDescent="0.25">
      <c r="A663" s="212"/>
      <c r="B663" s="21" t="s">
        <v>4582</v>
      </c>
      <c r="C663" s="198">
        <v>5</v>
      </c>
      <c r="D663" s="199" t="s">
        <v>4597</v>
      </c>
      <c r="E663" s="210" t="s">
        <v>4730</v>
      </c>
      <c r="F663" s="198" t="s">
        <v>4414</v>
      </c>
      <c r="G663" s="199">
        <v>0.03</v>
      </c>
      <c r="H663" s="213">
        <v>0.15</v>
      </c>
      <c r="I663" s="199"/>
      <c r="J663" s="217"/>
      <c r="K663" s="218" t="s">
        <v>45</v>
      </c>
      <c r="L663" s="214" t="s">
        <v>2069</v>
      </c>
      <c r="M663" s="200"/>
      <c r="N663" s="8" t="s">
        <v>38</v>
      </c>
      <c r="O663" s="215"/>
      <c r="P663" s="216"/>
      <c r="Q663" s="14">
        <f>Tabela1[[#This Row],[QTDE/ Fabricação]]-Tabela1[[#This Row],[QTE]]</f>
        <v>-5</v>
      </c>
      <c r="R663" s="18">
        <f t="shared" si="113"/>
        <v>0.15</v>
      </c>
      <c r="S663" s="18">
        <f t="shared" si="114"/>
        <v>0.15</v>
      </c>
      <c r="T663" s="19">
        <f t="shared" si="115"/>
        <v>0</v>
      </c>
      <c r="U663" s="16">
        <f>IFERROR(SUMIF('LISTA DE EMBARQUE'!B:B,MICRO!E:E,'LISTA DE EMBARQUE'!G:G),"")</f>
        <v>5</v>
      </c>
      <c r="V663" s="12">
        <f>IFERROR(VLOOKUP(Tabela1[[#This Row],[COD.MDE]],'LISTA DE EMBARQUE'!B:L,11,0),"")</f>
        <v>12</v>
      </c>
      <c r="W663" s="13" t="str">
        <f>IFERROR(COUNTIF(#REF!,Tabela1[[#This Row],[Colunas5]]),"")</f>
        <v/>
      </c>
      <c r="X663" s="14">
        <f>Tabela1[[#This Row],[QIANTIDADE EXPEDIDA]]*Tabela1[[#This Row],[PESO UNI]]</f>
        <v>0.15</v>
      </c>
      <c r="Y663" s="14">
        <f t="shared" si="116"/>
        <v>0</v>
      </c>
      <c r="Z663" s="20">
        <f>Tabela1[[#This Row],[PESO TOTAL]]-Tabela1[[#This Row],[Peso Expedido]]</f>
        <v>0</v>
      </c>
      <c r="AA663" s="17">
        <v>1</v>
      </c>
      <c r="AB663" s="33"/>
      <c r="AC663" s="33">
        <v>1</v>
      </c>
      <c r="AD663" s="33">
        <v>1</v>
      </c>
      <c r="AE663" s="33">
        <v>1</v>
      </c>
      <c r="AF663" s="33">
        <v>1</v>
      </c>
      <c r="AG663" s="33">
        <v>1</v>
      </c>
      <c r="AH663" s="33">
        <v>1</v>
      </c>
      <c r="AI663" s="33" t="s">
        <v>4512</v>
      </c>
      <c r="AQ663" s="203"/>
      <c r="AR663" s="37"/>
      <c r="AS663" s="37"/>
      <c r="AT663" s="37"/>
      <c r="AU663" s="37"/>
      <c r="AV663" s="37"/>
      <c r="AW663" s="37"/>
    </row>
    <row r="664" spans="1:49" ht="15.75" customHeight="1" x14ac:dyDescent="0.25">
      <c r="A664" s="212"/>
      <c r="B664" s="21" t="s">
        <v>4582</v>
      </c>
      <c r="C664" s="198">
        <v>7</v>
      </c>
      <c r="D664" s="199" t="s">
        <v>4598</v>
      </c>
      <c r="E664" s="210" t="s">
        <v>4731</v>
      </c>
      <c r="F664" s="198" t="s">
        <v>4414</v>
      </c>
      <c r="G664" s="199">
        <v>0.02</v>
      </c>
      <c r="H664" s="213">
        <v>0.14000000000000001</v>
      </c>
      <c r="I664" s="199"/>
      <c r="J664" s="217"/>
      <c r="K664" s="218" t="s">
        <v>45</v>
      </c>
      <c r="L664" s="214" t="s">
        <v>2069</v>
      </c>
      <c r="M664" s="200"/>
      <c r="N664" s="8" t="s">
        <v>38</v>
      </c>
      <c r="O664" s="215"/>
      <c r="P664" s="216"/>
      <c r="Q664" s="14">
        <f>Tabela1[[#This Row],[QTDE/ Fabricação]]-Tabela1[[#This Row],[QTE]]</f>
        <v>-7</v>
      </c>
      <c r="R664" s="18">
        <f t="shared" si="113"/>
        <v>0.14000000000000001</v>
      </c>
      <c r="S664" s="18">
        <f t="shared" si="114"/>
        <v>0.14000000000000001</v>
      </c>
      <c r="T664" s="19">
        <f t="shared" si="115"/>
        <v>0</v>
      </c>
      <c r="U664" s="16">
        <f>IFERROR(SUMIF('LISTA DE EMBARQUE'!B:B,MICRO!E:E,'LISTA DE EMBARQUE'!G:G),"")</f>
        <v>7</v>
      </c>
      <c r="V664" s="12">
        <f>IFERROR(VLOOKUP(Tabela1[[#This Row],[COD.MDE]],'LISTA DE EMBARQUE'!B:L,11,0),"")</f>
        <v>12</v>
      </c>
      <c r="W664" s="13" t="str">
        <f>IFERROR(COUNTIF(#REF!,Tabela1[[#This Row],[Colunas5]]),"")</f>
        <v/>
      </c>
      <c r="X664" s="14">
        <f>Tabela1[[#This Row],[QIANTIDADE EXPEDIDA]]*Tabela1[[#This Row],[PESO UNI]]</f>
        <v>0.14000000000000001</v>
      </c>
      <c r="Y664" s="14">
        <f t="shared" si="116"/>
        <v>0</v>
      </c>
      <c r="Z664" s="20">
        <f>Tabela1[[#This Row],[PESO TOTAL]]-Tabela1[[#This Row],[Peso Expedido]]</f>
        <v>0</v>
      </c>
      <c r="AA664" s="17">
        <v>1</v>
      </c>
      <c r="AB664" s="33"/>
      <c r="AC664" s="33">
        <v>1</v>
      </c>
      <c r="AD664" s="33">
        <v>1</v>
      </c>
      <c r="AE664" s="33">
        <v>1</v>
      </c>
      <c r="AF664" s="33">
        <v>1</v>
      </c>
      <c r="AG664" s="33">
        <v>1</v>
      </c>
      <c r="AH664" s="33">
        <v>1</v>
      </c>
      <c r="AI664" s="33" t="s">
        <v>4512</v>
      </c>
      <c r="AQ664" s="203"/>
      <c r="AR664" s="37"/>
      <c r="AS664" s="37"/>
      <c r="AT664" s="37"/>
      <c r="AU664" s="37"/>
      <c r="AV664" s="37"/>
      <c r="AW664" s="37"/>
    </row>
    <row r="665" spans="1:49" ht="15.75" customHeight="1" x14ac:dyDescent="0.25">
      <c r="A665" s="212"/>
      <c r="B665" s="21" t="s">
        <v>4582</v>
      </c>
      <c r="C665" s="198">
        <v>32</v>
      </c>
      <c r="D665" s="199" t="s">
        <v>4599</v>
      </c>
      <c r="E665" s="210" t="s">
        <v>4732</v>
      </c>
      <c r="F665" s="198" t="s">
        <v>4414</v>
      </c>
      <c r="G665" s="199">
        <v>0.02</v>
      </c>
      <c r="H665" s="213">
        <v>0.64</v>
      </c>
      <c r="I665" s="199"/>
      <c r="J665" s="217"/>
      <c r="K665" s="218" t="s">
        <v>45</v>
      </c>
      <c r="L665" s="214" t="s">
        <v>2069</v>
      </c>
      <c r="M665" s="200"/>
      <c r="N665" s="8" t="s">
        <v>38</v>
      </c>
      <c r="O665" s="215"/>
      <c r="P665" s="216"/>
      <c r="Q665" s="14">
        <f>Tabela1[[#This Row],[QTDE/ Fabricação]]-Tabela1[[#This Row],[QTE]]</f>
        <v>-32</v>
      </c>
      <c r="R665" s="18">
        <f t="shared" si="113"/>
        <v>0.64</v>
      </c>
      <c r="S665" s="18">
        <f t="shared" si="114"/>
        <v>0.64</v>
      </c>
      <c r="T665" s="19">
        <f t="shared" si="115"/>
        <v>0</v>
      </c>
      <c r="U665" s="16">
        <f>IFERROR(SUMIF('LISTA DE EMBARQUE'!B:B,MICRO!E:E,'LISTA DE EMBARQUE'!G:G),"")</f>
        <v>32</v>
      </c>
      <c r="V665" s="12">
        <f>IFERROR(VLOOKUP(Tabela1[[#This Row],[COD.MDE]],'LISTA DE EMBARQUE'!B:L,11,0),"")</f>
        <v>12</v>
      </c>
      <c r="W665" s="13" t="str">
        <f>IFERROR(COUNTIF(#REF!,Tabela1[[#This Row],[Colunas5]]),"")</f>
        <v/>
      </c>
      <c r="X665" s="14">
        <f>Tabela1[[#This Row],[QIANTIDADE EXPEDIDA]]*Tabela1[[#This Row],[PESO UNI]]</f>
        <v>0.64</v>
      </c>
      <c r="Y665" s="14">
        <f t="shared" si="116"/>
        <v>0</v>
      </c>
      <c r="Z665" s="20">
        <f>Tabela1[[#This Row],[PESO TOTAL]]-Tabela1[[#This Row],[Peso Expedido]]</f>
        <v>0</v>
      </c>
      <c r="AA665" s="17">
        <v>1</v>
      </c>
      <c r="AB665" s="33"/>
      <c r="AC665" s="33">
        <v>1</v>
      </c>
      <c r="AD665" s="33">
        <v>1</v>
      </c>
      <c r="AE665" s="33">
        <v>1</v>
      </c>
      <c r="AF665" s="33">
        <v>1</v>
      </c>
      <c r="AG665" s="33">
        <v>1</v>
      </c>
      <c r="AH665" s="33">
        <v>1</v>
      </c>
      <c r="AI665" s="33" t="s">
        <v>4512</v>
      </c>
      <c r="AQ665" s="203"/>
      <c r="AR665" s="37"/>
      <c r="AS665" s="37"/>
      <c r="AT665" s="37"/>
      <c r="AU665" s="37"/>
      <c r="AV665" s="37"/>
      <c r="AW665" s="37"/>
    </row>
    <row r="666" spans="1:49" ht="15.75" customHeight="1" x14ac:dyDescent="0.25">
      <c r="A666" s="212"/>
      <c r="B666" s="21" t="s">
        <v>4582</v>
      </c>
      <c r="C666" s="198">
        <v>16</v>
      </c>
      <c r="D666" s="199" t="s">
        <v>4600</v>
      </c>
      <c r="E666" s="210" t="s">
        <v>4733</v>
      </c>
      <c r="F666" s="198" t="s">
        <v>4414</v>
      </c>
      <c r="G666" s="199">
        <v>0.04</v>
      </c>
      <c r="H666" s="213">
        <v>0.64</v>
      </c>
      <c r="I666" s="199"/>
      <c r="J666" s="217"/>
      <c r="K666" s="218" t="s">
        <v>45</v>
      </c>
      <c r="L666" s="214" t="s">
        <v>2069</v>
      </c>
      <c r="M666" s="200"/>
      <c r="N666" s="8" t="s">
        <v>38</v>
      </c>
      <c r="O666" s="215"/>
      <c r="P666" s="216"/>
      <c r="Q666" s="14">
        <f>Tabela1[[#This Row],[QTDE/ Fabricação]]-Tabela1[[#This Row],[QTE]]</f>
        <v>-16</v>
      </c>
      <c r="R666" s="18">
        <f t="shared" si="113"/>
        <v>0.64</v>
      </c>
      <c r="S666" s="18">
        <f t="shared" si="114"/>
        <v>0.64</v>
      </c>
      <c r="T666" s="19">
        <f t="shared" si="115"/>
        <v>0</v>
      </c>
      <c r="U666" s="16">
        <f>IFERROR(SUMIF('LISTA DE EMBARQUE'!B:B,MICRO!E:E,'LISTA DE EMBARQUE'!G:G),"")</f>
        <v>16</v>
      </c>
      <c r="V666" s="12">
        <f>IFERROR(VLOOKUP(Tabela1[[#This Row],[COD.MDE]],'LISTA DE EMBARQUE'!B:L,11,0),"")</f>
        <v>12</v>
      </c>
      <c r="W666" s="13" t="str">
        <f>IFERROR(COUNTIF(#REF!,Tabela1[[#This Row],[Colunas5]]),"")</f>
        <v/>
      </c>
      <c r="X666" s="14">
        <f>Tabela1[[#This Row],[QIANTIDADE EXPEDIDA]]*Tabela1[[#This Row],[PESO UNI]]</f>
        <v>0.64</v>
      </c>
      <c r="Y666" s="14">
        <f t="shared" si="116"/>
        <v>0</v>
      </c>
      <c r="Z666" s="20">
        <f>Tabela1[[#This Row],[PESO TOTAL]]-Tabela1[[#This Row],[Peso Expedido]]</f>
        <v>0</v>
      </c>
      <c r="AA666" s="17">
        <v>1</v>
      </c>
      <c r="AB666" s="33"/>
      <c r="AC666" s="33">
        <v>1</v>
      </c>
      <c r="AD666" s="33">
        <v>1</v>
      </c>
      <c r="AE666" s="33">
        <v>1</v>
      </c>
      <c r="AF666" s="33">
        <v>1</v>
      </c>
      <c r="AG666" s="33">
        <v>1</v>
      </c>
      <c r="AH666" s="33">
        <v>1</v>
      </c>
      <c r="AI666" s="33" t="s">
        <v>4512</v>
      </c>
      <c r="AQ666" s="203"/>
      <c r="AR666" s="37"/>
      <c r="AS666" s="37"/>
      <c r="AT666" s="37"/>
      <c r="AU666" s="37"/>
      <c r="AV666" s="37"/>
      <c r="AW666" s="37"/>
    </row>
    <row r="667" spans="1:49" ht="15.75" customHeight="1" x14ac:dyDescent="0.25">
      <c r="A667" s="212"/>
      <c r="B667" s="21" t="s">
        <v>4582</v>
      </c>
      <c r="C667" s="198">
        <v>14</v>
      </c>
      <c r="D667" s="199" t="s">
        <v>4601</v>
      </c>
      <c r="E667" s="210" t="s">
        <v>4734</v>
      </c>
      <c r="F667" s="198" t="s">
        <v>4414</v>
      </c>
      <c r="G667" s="199">
        <v>0.06</v>
      </c>
      <c r="H667" s="213">
        <v>0.84</v>
      </c>
      <c r="I667" s="199"/>
      <c r="J667" s="217"/>
      <c r="K667" s="218" t="s">
        <v>45</v>
      </c>
      <c r="L667" s="214" t="s">
        <v>2069</v>
      </c>
      <c r="M667" s="200"/>
      <c r="N667" s="8" t="s">
        <v>38</v>
      </c>
      <c r="O667" s="215"/>
      <c r="P667" s="216"/>
      <c r="Q667" s="14">
        <f>Tabela1[[#This Row],[QTDE/ Fabricação]]-Tabela1[[#This Row],[QTE]]</f>
        <v>-14</v>
      </c>
      <c r="R667" s="18">
        <f t="shared" si="113"/>
        <v>0.84</v>
      </c>
      <c r="S667" s="18">
        <f t="shared" si="114"/>
        <v>0.84</v>
      </c>
      <c r="T667" s="19">
        <f t="shared" si="115"/>
        <v>0</v>
      </c>
      <c r="U667" s="16">
        <f>IFERROR(SUMIF('LISTA DE EMBARQUE'!B:B,MICRO!E:E,'LISTA DE EMBARQUE'!G:G),"")</f>
        <v>14</v>
      </c>
      <c r="V667" s="12">
        <f>IFERROR(VLOOKUP(Tabela1[[#This Row],[COD.MDE]],'LISTA DE EMBARQUE'!B:L,11,0),"")</f>
        <v>12</v>
      </c>
      <c r="W667" s="13" t="str">
        <f>IFERROR(COUNTIF(#REF!,Tabela1[[#This Row],[Colunas5]]),"")</f>
        <v/>
      </c>
      <c r="X667" s="14">
        <f>Tabela1[[#This Row],[QIANTIDADE EXPEDIDA]]*Tabela1[[#This Row],[PESO UNI]]</f>
        <v>0.84</v>
      </c>
      <c r="Y667" s="14">
        <f t="shared" si="116"/>
        <v>0</v>
      </c>
      <c r="Z667" s="20">
        <f>Tabela1[[#This Row],[PESO TOTAL]]-Tabela1[[#This Row],[Peso Expedido]]</f>
        <v>0</v>
      </c>
      <c r="AA667" s="17">
        <v>1</v>
      </c>
      <c r="AB667" s="33"/>
      <c r="AC667" s="33">
        <v>1</v>
      </c>
      <c r="AD667" s="33">
        <v>1</v>
      </c>
      <c r="AE667" s="33">
        <v>1</v>
      </c>
      <c r="AF667" s="33">
        <v>1</v>
      </c>
      <c r="AG667" s="33">
        <v>1</v>
      </c>
      <c r="AH667" s="33">
        <v>1</v>
      </c>
      <c r="AI667" s="33" t="s">
        <v>4512</v>
      </c>
      <c r="AQ667" s="203"/>
      <c r="AR667" s="37"/>
      <c r="AS667" s="37"/>
      <c r="AT667" s="37"/>
      <c r="AU667" s="37"/>
      <c r="AV667" s="37"/>
      <c r="AW667" s="37"/>
    </row>
    <row r="668" spans="1:49" ht="15.75" customHeight="1" x14ac:dyDescent="0.25">
      <c r="A668" s="212"/>
      <c r="B668" s="21" t="s">
        <v>4582</v>
      </c>
      <c r="C668" s="198">
        <v>130</v>
      </c>
      <c r="D668" s="199" t="s">
        <v>4602</v>
      </c>
      <c r="E668" s="210" t="s">
        <v>4735</v>
      </c>
      <c r="F668" s="198" t="s">
        <v>4414</v>
      </c>
      <c r="G668" s="199">
        <v>0.35</v>
      </c>
      <c r="H668" s="213">
        <v>45.5</v>
      </c>
      <c r="I668" s="199"/>
      <c r="J668" s="217"/>
      <c r="K668" s="218" t="s">
        <v>45</v>
      </c>
      <c r="L668" s="214" t="s">
        <v>2069</v>
      </c>
      <c r="M668" s="200"/>
      <c r="N668" s="8" t="s">
        <v>38</v>
      </c>
      <c r="O668" s="215"/>
      <c r="P668" s="216"/>
      <c r="Q668" s="14">
        <f>Tabela1[[#This Row],[QTDE/ Fabricação]]-Tabela1[[#This Row],[QTE]]</f>
        <v>-130</v>
      </c>
      <c r="R668" s="18">
        <f t="shared" si="113"/>
        <v>45.5</v>
      </c>
      <c r="S668" s="18">
        <f t="shared" si="114"/>
        <v>45.5</v>
      </c>
      <c r="T668" s="19">
        <f t="shared" si="115"/>
        <v>0</v>
      </c>
      <c r="U668" s="16">
        <f>IFERROR(SUMIF('LISTA DE EMBARQUE'!B:B,MICRO!E:E,'LISTA DE EMBARQUE'!G:G),"")</f>
        <v>130</v>
      </c>
      <c r="V668" s="12">
        <f>IFERROR(VLOOKUP(Tabela1[[#This Row],[COD.MDE]],'LISTA DE EMBARQUE'!B:L,11,0),"")</f>
        <v>12</v>
      </c>
      <c r="W668" s="13" t="str">
        <f>IFERROR(COUNTIF(#REF!,Tabela1[[#This Row],[Colunas5]]),"")</f>
        <v/>
      </c>
      <c r="X668" s="14">
        <f>Tabela1[[#This Row],[QIANTIDADE EXPEDIDA]]*Tabela1[[#This Row],[PESO UNI]]</f>
        <v>45.5</v>
      </c>
      <c r="Y668" s="14">
        <f t="shared" si="116"/>
        <v>0</v>
      </c>
      <c r="Z668" s="20">
        <f>Tabela1[[#This Row],[PESO TOTAL]]-Tabela1[[#This Row],[Peso Expedido]]</f>
        <v>0</v>
      </c>
      <c r="AA668" s="17">
        <v>1</v>
      </c>
      <c r="AB668" s="33"/>
      <c r="AC668" s="33">
        <v>1</v>
      </c>
      <c r="AD668" s="33">
        <v>1</v>
      </c>
      <c r="AE668" s="33">
        <v>1</v>
      </c>
      <c r="AF668" s="33">
        <v>1</v>
      </c>
      <c r="AG668" s="33">
        <v>1</v>
      </c>
      <c r="AH668" s="33">
        <v>1</v>
      </c>
      <c r="AI668" s="33" t="s">
        <v>4512</v>
      </c>
      <c r="AQ668" s="203"/>
      <c r="AR668" s="37"/>
      <c r="AS668" s="37"/>
      <c r="AT668" s="37"/>
      <c r="AU668" s="37"/>
      <c r="AV668" s="37"/>
      <c r="AW668" s="37"/>
    </row>
    <row r="669" spans="1:49" ht="15.75" customHeight="1" x14ac:dyDescent="0.25">
      <c r="A669" s="212"/>
      <c r="B669" s="21" t="s">
        <v>4582</v>
      </c>
      <c r="C669" s="198">
        <v>250</v>
      </c>
      <c r="D669" s="199" t="s">
        <v>4603</v>
      </c>
      <c r="E669" s="210" t="s">
        <v>4736</v>
      </c>
      <c r="F669" s="198" t="s">
        <v>4414</v>
      </c>
      <c r="G669" s="199"/>
      <c r="H669" s="213">
        <v>0</v>
      </c>
      <c r="I669" s="199"/>
      <c r="J669" s="217"/>
      <c r="K669" s="218" t="s">
        <v>45</v>
      </c>
      <c r="L669" s="214" t="s">
        <v>2069</v>
      </c>
      <c r="M669" s="200"/>
      <c r="N669" s="8" t="s">
        <v>38</v>
      </c>
      <c r="O669" s="215"/>
      <c r="P669" s="216"/>
      <c r="Q669" s="14">
        <f>Tabela1[[#This Row],[QTDE/ Fabricação]]-Tabela1[[#This Row],[QTE]]</f>
        <v>-250</v>
      </c>
      <c r="R669" s="18">
        <f t="shared" si="113"/>
        <v>0</v>
      </c>
      <c r="S669" s="18">
        <f t="shared" si="114"/>
        <v>0</v>
      </c>
      <c r="T669" s="19">
        <f t="shared" si="115"/>
        <v>0</v>
      </c>
      <c r="U669" s="16">
        <f>IFERROR(SUMIF('LISTA DE EMBARQUE'!B:B,MICRO!E:E,'LISTA DE EMBARQUE'!G:G),"")</f>
        <v>250</v>
      </c>
      <c r="V669" s="12">
        <f>IFERROR(VLOOKUP(Tabela1[[#This Row],[COD.MDE]],'LISTA DE EMBARQUE'!B:L,11,0),"")</f>
        <v>12</v>
      </c>
      <c r="W669" s="13" t="str">
        <f>IFERROR(COUNTIF(#REF!,Tabela1[[#This Row],[Colunas5]]),"")</f>
        <v/>
      </c>
      <c r="X669" s="14">
        <f>Tabela1[[#This Row],[QIANTIDADE EXPEDIDA]]*Tabela1[[#This Row],[PESO UNI]]</f>
        <v>0</v>
      </c>
      <c r="Y669" s="14">
        <f t="shared" si="116"/>
        <v>0</v>
      </c>
      <c r="Z669" s="20">
        <f>Tabela1[[#This Row],[PESO TOTAL]]-Tabela1[[#This Row],[Peso Expedido]]</f>
        <v>0</v>
      </c>
      <c r="AA669" s="17">
        <v>1</v>
      </c>
      <c r="AB669" s="33"/>
      <c r="AC669" s="33">
        <v>1</v>
      </c>
      <c r="AD669" s="33">
        <v>1</v>
      </c>
      <c r="AE669" s="33">
        <v>1</v>
      </c>
      <c r="AF669" s="33">
        <v>1</v>
      </c>
      <c r="AG669" s="33">
        <v>1</v>
      </c>
      <c r="AH669" s="33">
        <v>1</v>
      </c>
      <c r="AI669" s="33" t="s">
        <v>4512</v>
      </c>
      <c r="AQ669" s="203"/>
      <c r="AR669" s="37"/>
      <c r="AS669" s="37"/>
      <c r="AT669" s="37"/>
      <c r="AU669" s="37"/>
      <c r="AV669" s="37"/>
      <c r="AW669" s="37"/>
    </row>
    <row r="670" spans="1:49" ht="15.75" customHeight="1" x14ac:dyDescent="0.25">
      <c r="A670" s="212"/>
      <c r="B670" s="21" t="s">
        <v>4582</v>
      </c>
      <c r="C670" s="198">
        <v>5</v>
      </c>
      <c r="D670" s="199" t="s">
        <v>4604</v>
      </c>
      <c r="E670" s="210" t="s">
        <v>4737</v>
      </c>
      <c r="F670" s="198" t="s">
        <v>4414</v>
      </c>
      <c r="G670" s="199">
        <v>0.3</v>
      </c>
      <c r="H670" s="213">
        <v>1.5</v>
      </c>
      <c r="I670" s="199"/>
      <c r="J670" s="217"/>
      <c r="K670" s="218" t="s">
        <v>45</v>
      </c>
      <c r="L670" s="214" t="s">
        <v>2069</v>
      </c>
      <c r="M670" s="200"/>
      <c r="N670" s="8" t="s">
        <v>38</v>
      </c>
      <c r="O670" s="215"/>
      <c r="P670" s="216"/>
      <c r="Q670" s="14">
        <f>Tabela1[[#This Row],[QTDE/ Fabricação]]-Tabela1[[#This Row],[QTE]]</f>
        <v>-5</v>
      </c>
      <c r="R670" s="18">
        <f t="shared" si="113"/>
        <v>1.5</v>
      </c>
      <c r="S670" s="18">
        <f t="shared" si="114"/>
        <v>1.5</v>
      </c>
      <c r="T670" s="19">
        <f t="shared" si="115"/>
        <v>0</v>
      </c>
      <c r="U670" s="16">
        <f>IFERROR(SUMIF('LISTA DE EMBARQUE'!B:B,MICRO!E:E,'LISTA DE EMBARQUE'!G:G),"")</f>
        <v>5</v>
      </c>
      <c r="V670" s="12">
        <f>IFERROR(VLOOKUP(Tabela1[[#This Row],[COD.MDE]],'LISTA DE EMBARQUE'!B:L,11,0),"")</f>
        <v>12</v>
      </c>
      <c r="W670" s="13" t="str">
        <f>IFERROR(COUNTIF(#REF!,Tabela1[[#This Row],[Colunas5]]),"")</f>
        <v/>
      </c>
      <c r="X670" s="14">
        <f>Tabela1[[#This Row],[QIANTIDADE EXPEDIDA]]*Tabela1[[#This Row],[PESO UNI]]</f>
        <v>1.5</v>
      </c>
      <c r="Y670" s="14">
        <f t="shared" si="116"/>
        <v>0</v>
      </c>
      <c r="Z670" s="20">
        <f>Tabela1[[#This Row],[PESO TOTAL]]-Tabela1[[#This Row],[Peso Expedido]]</f>
        <v>0</v>
      </c>
      <c r="AA670" s="17">
        <v>1</v>
      </c>
      <c r="AB670" s="33"/>
      <c r="AC670" s="33">
        <v>1</v>
      </c>
      <c r="AD670" s="33">
        <v>1</v>
      </c>
      <c r="AE670" s="33">
        <v>1</v>
      </c>
      <c r="AF670" s="33">
        <v>1</v>
      </c>
      <c r="AG670" s="33">
        <v>1</v>
      </c>
      <c r="AH670" s="33">
        <v>1</v>
      </c>
      <c r="AI670" s="33" t="s">
        <v>4512</v>
      </c>
      <c r="AQ670" s="203"/>
      <c r="AR670" s="37"/>
      <c r="AS670" s="37"/>
      <c r="AT670" s="37"/>
      <c r="AU670" s="37"/>
      <c r="AV670" s="37"/>
      <c r="AW670" s="37"/>
    </row>
    <row r="671" spans="1:49" ht="15.75" customHeight="1" x14ac:dyDescent="0.25">
      <c r="A671" s="212"/>
      <c r="B671" s="21" t="s">
        <v>4582</v>
      </c>
      <c r="C671" s="198">
        <v>6</v>
      </c>
      <c r="D671" s="199" t="s">
        <v>4605</v>
      </c>
      <c r="E671" s="210" t="s">
        <v>4738</v>
      </c>
      <c r="F671" s="198" t="s">
        <v>4414</v>
      </c>
      <c r="G671" s="199">
        <v>0.02</v>
      </c>
      <c r="H671" s="213">
        <v>0.12</v>
      </c>
      <c r="I671" s="199"/>
      <c r="J671" s="217"/>
      <c r="K671" s="218" t="s">
        <v>45</v>
      </c>
      <c r="L671" s="214" t="s">
        <v>2069</v>
      </c>
      <c r="M671" s="200"/>
      <c r="N671" s="8" t="s">
        <v>38</v>
      </c>
      <c r="O671" s="215"/>
      <c r="P671" s="216"/>
      <c r="Q671" s="14">
        <f>Tabela1[[#This Row],[QTDE/ Fabricação]]-Tabela1[[#This Row],[QTE]]</f>
        <v>-6</v>
      </c>
      <c r="R671" s="18">
        <f t="shared" si="113"/>
        <v>0.12</v>
      </c>
      <c r="S671" s="18">
        <f t="shared" si="114"/>
        <v>0.12</v>
      </c>
      <c r="T671" s="19">
        <f t="shared" si="115"/>
        <v>0</v>
      </c>
      <c r="U671" s="16">
        <f>IFERROR(SUMIF('LISTA DE EMBARQUE'!B:B,MICRO!E:E,'LISTA DE EMBARQUE'!G:G),"")</f>
        <v>6</v>
      </c>
      <c r="V671" s="12">
        <f>IFERROR(VLOOKUP(Tabela1[[#This Row],[COD.MDE]],'LISTA DE EMBARQUE'!B:L,11,0),"")</f>
        <v>12</v>
      </c>
      <c r="W671" s="13" t="str">
        <f>IFERROR(COUNTIF(#REF!,Tabela1[[#This Row],[Colunas5]]),"")</f>
        <v/>
      </c>
      <c r="X671" s="14">
        <f>Tabela1[[#This Row],[QIANTIDADE EXPEDIDA]]*Tabela1[[#This Row],[PESO UNI]]</f>
        <v>0.12</v>
      </c>
      <c r="Y671" s="14">
        <f t="shared" si="116"/>
        <v>0</v>
      </c>
      <c r="Z671" s="20">
        <f>Tabela1[[#This Row],[PESO TOTAL]]-Tabela1[[#This Row],[Peso Expedido]]</f>
        <v>0</v>
      </c>
      <c r="AA671" s="17">
        <v>1</v>
      </c>
      <c r="AB671" s="33"/>
      <c r="AC671" s="33">
        <v>1</v>
      </c>
      <c r="AD671" s="33">
        <v>1</v>
      </c>
      <c r="AE671" s="33">
        <v>1</v>
      </c>
      <c r="AF671" s="33">
        <v>1</v>
      </c>
      <c r="AG671" s="33">
        <v>1</v>
      </c>
      <c r="AH671" s="33">
        <v>1</v>
      </c>
      <c r="AI671" s="33" t="s">
        <v>4512</v>
      </c>
      <c r="AQ671" s="203"/>
      <c r="AR671" s="37"/>
      <c r="AS671" s="37"/>
      <c r="AT671" s="37"/>
      <c r="AU671" s="37"/>
      <c r="AV671" s="37"/>
      <c r="AW671" s="37"/>
    </row>
    <row r="672" spans="1:49" ht="15.75" customHeight="1" x14ac:dyDescent="0.25">
      <c r="A672" s="212"/>
      <c r="B672" s="21" t="s">
        <v>4582</v>
      </c>
      <c r="C672" s="198">
        <v>6</v>
      </c>
      <c r="D672" s="199" t="s">
        <v>4606</v>
      </c>
      <c r="E672" s="210" t="s">
        <v>4739</v>
      </c>
      <c r="F672" s="198" t="s">
        <v>4414</v>
      </c>
      <c r="G672" s="199">
        <v>0.03</v>
      </c>
      <c r="H672" s="213">
        <v>0.18</v>
      </c>
      <c r="I672" s="199"/>
      <c r="J672" s="217"/>
      <c r="K672" s="218" t="s">
        <v>45</v>
      </c>
      <c r="L672" s="214" t="s">
        <v>2069</v>
      </c>
      <c r="M672" s="200"/>
      <c r="N672" s="8" t="s">
        <v>38</v>
      </c>
      <c r="O672" s="215"/>
      <c r="P672" s="216"/>
      <c r="Q672" s="14">
        <f>Tabela1[[#This Row],[QTDE/ Fabricação]]-Tabela1[[#This Row],[QTE]]</f>
        <v>-6</v>
      </c>
      <c r="R672" s="18">
        <f t="shared" si="113"/>
        <v>0.18</v>
      </c>
      <c r="S672" s="18">
        <f t="shared" si="114"/>
        <v>0.18</v>
      </c>
      <c r="T672" s="19">
        <f t="shared" si="115"/>
        <v>0</v>
      </c>
      <c r="U672" s="16">
        <f>IFERROR(SUMIF('LISTA DE EMBARQUE'!B:B,MICRO!E:E,'LISTA DE EMBARQUE'!G:G),"")</f>
        <v>6</v>
      </c>
      <c r="V672" s="12">
        <f>IFERROR(VLOOKUP(Tabela1[[#This Row],[COD.MDE]],'LISTA DE EMBARQUE'!B:L,11,0),"")</f>
        <v>12</v>
      </c>
      <c r="W672" s="13" t="str">
        <f>IFERROR(COUNTIF(#REF!,Tabela1[[#This Row],[Colunas5]]),"")</f>
        <v/>
      </c>
      <c r="X672" s="14">
        <f>Tabela1[[#This Row],[QIANTIDADE EXPEDIDA]]*Tabela1[[#This Row],[PESO UNI]]</f>
        <v>0.18</v>
      </c>
      <c r="Y672" s="14">
        <f t="shared" si="116"/>
        <v>0</v>
      </c>
      <c r="Z672" s="20">
        <f>Tabela1[[#This Row],[PESO TOTAL]]-Tabela1[[#This Row],[Peso Expedido]]</f>
        <v>0</v>
      </c>
      <c r="AA672" s="17">
        <v>1</v>
      </c>
      <c r="AB672" s="33"/>
      <c r="AC672" s="33">
        <v>1</v>
      </c>
      <c r="AD672" s="33">
        <v>1</v>
      </c>
      <c r="AE672" s="33">
        <v>1</v>
      </c>
      <c r="AF672" s="33">
        <v>1</v>
      </c>
      <c r="AG672" s="33">
        <v>1</v>
      </c>
      <c r="AH672" s="33">
        <v>1</v>
      </c>
      <c r="AI672" s="33" t="s">
        <v>4512</v>
      </c>
      <c r="AQ672" s="203"/>
      <c r="AR672" s="37"/>
      <c r="AS672" s="37"/>
      <c r="AT672" s="37"/>
      <c r="AU672" s="37"/>
      <c r="AV672" s="37"/>
      <c r="AW672" s="37"/>
    </row>
    <row r="673" spans="1:49" ht="15.75" customHeight="1" x14ac:dyDescent="0.25">
      <c r="A673" s="212"/>
      <c r="B673" s="21" t="s">
        <v>4582</v>
      </c>
      <c r="C673" s="198">
        <v>4</v>
      </c>
      <c r="D673" s="199" t="s">
        <v>4607</v>
      </c>
      <c r="E673" s="210" t="s">
        <v>4740</v>
      </c>
      <c r="F673" s="198" t="s">
        <v>4414</v>
      </c>
      <c r="G673" s="199">
        <v>0.01</v>
      </c>
      <c r="H673" s="213">
        <v>0.04</v>
      </c>
      <c r="I673" s="199"/>
      <c r="J673" s="217"/>
      <c r="K673" s="218" t="s">
        <v>45</v>
      </c>
      <c r="L673" s="214" t="s">
        <v>2069</v>
      </c>
      <c r="M673" s="200"/>
      <c r="N673" s="8" t="s">
        <v>38</v>
      </c>
      <c r="O673" s="215"/>
      <c r="P673" s="216"/>
      <c r="Q673" s="14">
        <f>Tabela1[[#This Row],[QTDE/ Fabricação]]-Tabela1[[#This Row],[QTE]]</f>
        <v>-4</v>
      </c>
      <c r="R673" s="18">
        <f t="shared" si="113"/>
        <v>0.04</v>
      </c>
      <c r="S673" s="18">
        <f t="shared" si="114"/>
        <v>0.04</v>
      </c>
      <c r="T673" s="19">
        <f t="shared" si="115"/>
        <v>0</v>
      </c>
      <c r="U673" s="16">
        <f>IFERROR(SUMIF('LISTA DE EMBARQUE'!B:B,MICRO!E:E,'LISTA DE EMBARQUE'!G:G),"")</f>
        <v>4</v>
      </c>
      <c r="V673" s="12">
        <f>IFERROR(VLOOKUP(Tabela1[[#This Row],[COD.MDE]],'LISTA DE EMBARQUE'!B:L,11,0),"")</f>
        <v>12</v>
      </c>
      <c r="W673" s="13" t="str">
        <f>IFERROR(COUNTIF(#REF!,Tabela1[[#This Row],[Colunas5]]),"")</f>
        <v/>
      </c>
      <c r="X673" s="14">
        <f>Tabela1[[#This Row],[QIANTIDADE EXPEDIDA]]*Tabela1[[#This Row],[PESO UNI]]</f>
        <v>0.04</v>
      </c>
      <c r="Y673" s="14">
        <f t="shared" si="116"/>
        <v>0</v>
      </c>
      <c r="Z673" s="20">
        <f>Tabela1[[#This Row],[PESO TOTAL]]-Tabela1[[#This Row],[Peso Expedido]]</f>
        <v>0</v>
      </c>
      <c r="AA673" s="17">
        <v>1</v>
      </c>
      <c r="AB673" s="33"/>
      <c r="AC673" s="33">
        <v>1</v>
      </c>
      <c r="AD673" s="33">
        <v>1</v>
      </c>
      <c r="AE673" s="33">
        <v>1</v>
      </c>
      <c r="AF673" s="33">
        <v>1</v>
      </c>
      <c r="AG673" s="33">
        <v>1</v>
      </c>
      <c r="AH673" s="33">
        <v>1</v>
      </c>
      <c r="AI673" s="33" t="s">
        <v>4512</v>
      </c>
      <c r="AQ673" s="203"/>
      <c r="AR673" s="37"/>
      <c r="AS673" s="37"/>
      <c r="AT673" s="37"/>
      <c r="AU673" s="37"/>
      <c r="AV673" s="37"/>
      <c r="AW673" s="37"/>
    </row>
    <row r="674" spans="1:49" ht="15.75" customHeight="1" x14ac:dyDescent="0.25">
      <c r="A674" s="212"/>
      <c r="B674" s="21" t="s">
        <v>4582</v>
      </c>
      <c r="C674" s="198">
        <v>3</v>
      </c>
      <c r="D674" s="199" t="s">
        <v>4608</v>
      </c>
      <c r="E674" s="210" t="s">
        <v>4741</v>
      </c>
      <c r="F674" s="198" t="s">
        <v>4414</v>
      </c>
      <c r="G674" s="199">
        <v>0.05</v>
      </c>
      <c r="H674" s="213">
        <v>0.15000000000000002</v>
      </c>
      <c r="I674" s="199"/>
      <c r="J674" s="217"/>
      <c r="K674" s="218" t="s">
        <v>45</v>
      </c>
      <c r="L674" s="214" t="s">
        <v>2069</v>
      </c>
      <c r="M674" s="200"/>
      <c r="N674" s="8" t="s">
        <v>38</v>
      </c>
      <c r="O674" s="215"/>
      <c r="P674" s="216"/>
      <c r="Q674" s="14">
        <f>Tabela1[[#This Row],[QTDE/ Fabricação]]-Tabela1[[#This Row],[QTE]]</f>
        <v>-3</v>
      </c>
      <c r="R674" s="18">
        <f t="shared" si="113"/>
        <v>0.15000000000000002</v>
      </c>
      <c r="S674" s="18">
        <f t="shared" si="114"/>
        <v>0.15000000000000002</v>
      </c>
      <c r="T674" s="19">
        <f t="shared" si="115"/>
        <v>0</v>
      </c>
      <c r="U674" s="16">
        <f>IFERROR(SUMIF('LISTA DE EMBARQUE'!B:B,MICRO!E:E,'LISTA DE EMBARQUE'!G:G),"")</f>
        <v>3</v>
      </c>
      <c r="V674" s="12">
        <f>IFERROR(VLOOKUP(Tabela1[[#This Row],[COD.MDE]],'LISTA DE EMBARQUE'!B:L,11,0),"")</f>
        <v>12</v>
      </c>
      <c r="W674" s="13" t="str">
        <f>IFERROR(COUNTIF(#REF!,Tabela1[[#This Row],[Colunas5]]),"")</f>
        <v/>
      </c>
      <c r="X674" s="14">
        <f>Tabela1[[#This Row],[QIANTIDADE EXPEDIDA]]*Tabela1[[#This Row],[PESO UNI]]</f>
        <v>0.15000000000000002</v>
      </c>
      <c r="Y674" s="14">
        <f t="shared" si="116"/>
        <v>0</v>
      </c>
      <c r="Z674" s="20">
        <f>Tabela1[[#This Row],[PESO TOTAL]]-Tabela1[[#This Row],[Peso Expedido]]</f>
        <v>0</v>
      </c>
      <c r="AA674" s="17">
        <v>1</v>
      </c>
      <c r="AB674" s="33"/>
      <c r="AC674" s="33">
        <v>1</v>
      </c>
      <c r="AD674" s="33">
        <v>1</v>
      </c>
      <c r="AE674" s="33">
        <v>1</v>
      </c>
      <c r="AF674" s="33">
        <v>1</v>
      </c>
      <c r="AG674" s="33">
        <v>1</v>
      </c>
      <c r="AH674" s="33">
        <v>1</v>
      </c>
      <c r="AI674" s="33" t="s">
        <v>4512</v>
      </c>
      <c r="AQ674" s="203"/>
      <c r="AR674" s="37"/>
      <c r="AS674" s="37"/>
      <c r="AT674" s="37"/>
      <c r="AU674" s="37"/>
      <c r="AV674" s="37"/>
      <c r="AW674" s="37"/>
    </row>
    <row r="675" spans="1:49" ht="15.75" customHeight="1" x14ac:dyDescent="0.25">
      <c r="A675" s="212"/>
      <c r="B675" s="21" t="s">
        <v>4582</v>
      </c>
      <c r="C675" s="198">
        <v>3</v>
      </c>
      <c r="D675" s="199" t="s">
        <v>4609</v>
      </c>
      <c r="E675" s="210" t="s">
        <v>4742</v>
      </c>
      <c r="F675" s="198" t="s">
        <v>4414</v>
      </c>
      <c r="G675" s="199">
        <v>0.05</v>
      </c>
      <c r="H675" s="213">
        <v>0.15000000000000002</v>
      </c>
      <c r="I675" s="199"/>
      <c r="J675" s="217"/>
      <c r="K675" s="218" t="s">
        <v>45</v>
      </c>
      <c r="L675" s="214" t="s">
        <v>2069</v>
      </c>
      <c r="M675" s="200"/>
      <c r="N675" s="8" t="s">
        <v>38</v>
      </c>
      <c r="O675" s="215"/>
      <c r="P675" s="216"/>
      <c r="Q675" s="14">
        <f>Tabela1[[#This Row],[QTDE/ Fabricação]]-Tabela1[[#This Row],[QTE]]</f>
        <v>-3</v>
      </c>
      <c r="R675" s="18">
        <f t="shared" si="113"/>
        <v>0.15000000000000002</v>
      </c>
      <c r="S675" s="18">
        <f t="shared" si="114"/>
        <v>0.15000000000000002</v>
      </c>
      <c r="T675" s="19">
        <f t="shared" si="115"/>
        <v>0</v>
      </c>
      <c r="U675" s="16">
        <f>IFERROR(SUMIF('LISTA DE EMBARQUE'!B:B,MICRO!E:E,'LISTA DE EMBARQUE'!G:G),"")</f>
        <v>3</v>
      </c>
      <c r="V675" s="12">
        <f>IFERROR(VLOOKUP(Tabela1[[#This Row],[COD.MDE]],'LISTA DE EMBARQUE'!B:L,11,0),"")</f>
        <v>12</v>
      </c>
      <c r="W675" s="13" t="str">
        <f>IFERROR(COUNTIF(#REF!,Tabela1[[#This Row],[Colunas5]]),"")</f>
        <v/>
      </c>
      <c r="X675" s="14">
        <f>Tabela1[[#This Row],[QIANTIDADE EXPEDIDA]]*Tabela1[[#This Row],[PESO UNI]]</f>
        <v>0.15000000000000002</v>
      </c>
      <c r="Y675" s="14">
        <f t="shared" si="116"/>
        <v>0</v>
      </c>
      <c r="Z675" s="20">
        <f>Tabela1[[#This Row],[PESO TOTAL]]-Tabela1[[#This Row],[Peso Expedido]]</f>
        <v>0</v>
      </c>
      <c r="AA675" s="17">
        <v>1</v>
      </c>
      <c r="AB675" s="33"/>
      <c r="AC675" s="33">
        <v>1</v>
      </c>
      <c r="AD675" s="33">
        <v>1</v>
      </c>
      <c r="AE675" s="33">
        <v>1</v>
      </c>
      <c r="AF675" s="33">
        <v>1</v>
      </c>
      <c r="AG675" s="33">
        <v>1</v>
      </c>
      <c r="AH675" s="33">
        <v>1</v>
      </c>
      <c r="AI675" s="33" t="s">
        <v>4512</v>
      </c>
      <c r="AQ675" s="203"/>
      <c r="AR675" s="37"/>
      <c r="AS675" s="37"/>
      <c r="AT675" s="37"/>
      <c r="AU675" s="37"/>
      <c r="AV675" s="37"/>
      <c r="AW675" s="37"/>
    </row>
    <row r="676" spans="1:49" ht="15.75" customHeight="1" x14ac:dyDescent="0.25">
      <c r="A676" s="212"/>
      <c r="B676" s="21" t="s">
        <v>4582</v>
      </c>
      <c r="C676" s="198">
        <v>5</v>
      </c>
      <c r="D676" s="199" t="s">
        <v>4610</v>
      </c>
      <c r="E676" s="210" t="s">
        <v>4743</v>
      </c>
      <c r="F676" s="198" t="s">
        <v>4414</v>
      </c>
      <c r="G676" s="199">
        <v>0.02</v>
      </c>
      <c r="H676" s="213">
        <v>0.1</v>
      </c>
      <c r="I676" s="199"/>
      <c r="J676" s="217"/>
      <c r="K676" s="218" t="s">
        <v>45</v>
      </c>
      <c r="L676" s="214" t="s">
        <v>2069</v>
      </c>
      <c r="M676" s="200"/>
      <c r="N676" s="8" t="s">
        <v>38</v>
      </c>
      <c r="O676" s="215"/>
      <c r="P676" s="216"/>
      <c r="Q676" s="14">
        <f>Tabela1[[#This Row],[QTDE/ Fabricação]]-Tabela1[[#This Row],[QTE]]</f>
        <v>-5</v>
      </c>
      <c r="R676" s="18">
        <f t="shared" si="113"/>
        <v>0.1</v>
      </c>
      <c r="S676" s="18">
        <f t="shared" si="114"/>
        <v>0.1</v>
      </c>
      <c r="T676" s="19">
        <f t="shared" si="115"/>
        <v>0</v>
      </c>
      <c r="U676" s="16">
        <f>IFERROR(SUMIF('LISTA DE EMBARQUE'!B:B,MICRO!E:E,'LISTA DE EMBARQUE'!G:G),"")</f>
        <v>5</v>
      </c>
      <c r="V676" s="12">
        <f>IFERROR(VLOOKUP(Tabela1[[#This Row],[COD.MDE]],'LISTA DE EMBARQUE'!B:L,11,0),"")</f>
        <v>12</v>
      </c>
      <c r="W676" s="13" t="str">
        <f>IFERROR(COUNTIF(#REF!,Tabela1[[#This Row],[Colunas5]]),"")</f>
        <v/>
      </c>
      <c r="X676" s="14">
        <f>Tabela1[[#This Row],[QIANTIDADE EXPEDIDA]]*Tabela1[[#This Row],[PESO UNI]]</f>
        <v>0.1</v>
      </c>
      <c r="Y676" s="14">
        <f t="shared" si="116"/>
        <v>0</v>
      </c>
      <c r="Z676" s="20">
        <f>Tabela1[[#This Row],[PESO TOTAL]]-Tabela1[[#This Row],[Peso Expedido]]</f>
        <v>0</v>
      </c>
      <c r="AA676" s="17">
        <v>1</v>
      </c>
      <c r="AB676" s="33"/>
      <c r="AC676" s="33">
        <v>1</v>
      </c>
      <c r="AD676" s="33">
        <v>1</v>
      </c>
      <c r="AE676" s="33">
        <v>1</v>
      </c>
      <c r="AF676" s="33">
        <v>1</v>
      </c>
      <c r="AG676" s="33">
        <v>1</v>
      </c>
      <c r="AH676" s="33">
        <v>1</v>
      </c>
      <c r="AI676" s="33" t="s">
        <v>4512</v>
      </c>
      <c r="AQ676" s="203"/>
      <c r="AR676" s="37"/>
      <c r="AS676" s="37"/>
      <c r="AT676" s="37"/>
      <c r="AU676" s="37"/>
      <c r="AV676" s="37"/>
      <c r="AW676" s="37"/>
    </row>
    <row r="677" spans="1:49" ht="15.75" customHeight="1" x14ac:dyDescent="0.25">
      <c r="A677" s="212"/>
      <c r="B677" s="21" t="s">
        <v>4582</v>
      </c>
      <c r="C677" s="198">
        <v>2</v>
      </c>
      <c r="D677" s="199" t="s">
        <v>4611</v>
      </c>
      <c r="E677" s="210" t="s">
        <v>4744</v>
      </c>
      <c r="F677" s="198" t="s">
        <v>4414</v>
      </c>
      <c r="G677" s="199">
        <v>0.04</v>
      </c>
      <c r="H677" s="213">
        <v>0.08</v>
      </c>
      <c r="I677" s="199"/>
      <c r="J677" s="217"/>
      <c r="K677" s="218" t="s">
        <v>45</v>
      </c>
      <c r="L677" s="214" t="s">
        <v>2069</v>
      </c>
      <c r="M677" s="200"/>
      <c r="N677" s="8" t="s">
        <v>38</v>
      </c>
      <c r="O677" s="215"/>
      <c r="P677" s="216"/>
      <c r="Q677" s="14">
        <f>Tabela1[[#This Row],[QTDE/ Fabricação]]-Tabela1[[#This Row],[QTE]]</f>
        <v>-2</v>
      </c>
      <c r="R677" s="18">
        <f t="shared" si="113"/>
        <v>0.08</v>
      </c>
      <c r="S677" s="18">
        <f t="shared" si="114"/>
        <v>0.08</v>
      </c>
      <c r="T677" s="19">
        <f t="shared" si="115"/>
        <v>0</v>
      </c>
      <c r="U677" s="16">
        <f>IFERROR(SUMIF('LISTA DE EMBARQUE'!B:B,MICRO!E:E,'LISTA DE EMBARQUE'!G:G),"")</f>
        <v>2</v>
      </c>
      <c r="V677" s="12">
        <f>IFERROR(VLOOKUP(Tabela1[[#This Row],[COD.MDE]],'LISTA DE EMBARQUE'!B:L,11,0),"")</f>
        <v>12</v>
      </c>
      <c r="W677" s="13" t="str">
        <f>IFERROR(COUNTIF(#REF!,Tabela1[[#This Row],[Colunas5]]),"")</f>
        <v/>
      </c>
      <c r="X677" s="14">
        <f>Tabela1[[#This Row],[QIANTIDADE EXPEDIDA]]*Tabela1[[#This Row],[PESO UNI]]</f>
        <v>0.08</v>
      </c>
      <c r="Y677" s="14">
        <f t="shared" si="116"/>
        <v>0</v>
      </c>
      <c r="Z677" s="20">
        <f>Tabela1[[#This Row],[PESO TOTAL]]-Tabela1[[#This Row],[Peso Expedido]]</f>
        <v>0</v>
      </c>
      <c r="AA677" s="17">
        <v>1</v>
      </c>
      <c r="AB677" s="33"/>
      <c r="AC677" s="33">
        <v>1</v>
      </c>
      <c r="AD677" s="33">
        <v>1</v>
      </c>
      <c r="AE677" s="33">
        <v>1</v>
      </c>
      <c r="AF677" s="33">
        <v>1</v>
      </c>
      <c r="AG677" s="33">
        <v>1</v>
      </c>
      <c r="AH677" s="33">
        <v>1</v>
      </c>
      <c r="AI677" s="33" t="s">
        <v>4512</v>
      </c>
      <c r="AQ677" s="203"/>
      <c r="AR677" s="37"/>
      <c r="AS677" s="37"/>
      <c r="AT677" s="37"/>
      <c r="AU677" s="37"/>
      <c r="AV677" s="37"/>
      <c r="AW677" s="37"/>
    </row>
    <row r="678" spans="1:49" ht="15.75" customHeight="1" x14ac:dyDescent="0.25">
      <c r="A678" s="212"/>
      <c r="B678" s="21" t="s">
        <v>4582</v>
      </c>
      <c r="C678" s="198">
        <v>1</v>
      </c>
      <c r="D678" s="199" t="s">
        <v>4612</v>
      </c>
      <c r="E678" s="210" t="s">
        <v>4745</v>
      </c>
      <c r="F678" s="198" t="s">
        <v>4414</v>
      </c>
      <c r="G678" s="199">
        <v>1.2</v>
      </c>
      <c r="H678" s="213">
        <v>1.2</v>
      </c>
      <c r="I678" s="199"/>
      <c r="J678" s="217"/>
      <c r="K678" s="218" t="s">
        <v>45</v>
      </c>
      <c r="L678" s="214" t="s">
        <v>2069</v>
      </c>
      <c r="M678" s="200"/>
      <c r="N678" s="8" t="s">
        <v>38</v>
      </c>
      <c r="O678" s="215"/>
      <c r="P678" s="216"/>
      <c r="Q678" s="14">
        <f>Tabela1[[#This Row],[QTDE/ Fabricação]]-Tabela1[[#This Row],[QTE]]</f>
        <v>-1</v>
      </c>
      <c r="R678" s="18">
        <f t="shared" si="113"/>
        <v>1.2</v>
      </c>
      <c r="S678" s="18">
        <f t="shared" si="114"/>
        <v>1.2</v>
      </c>
      <c r="T678" s="19">
        <f t="shared" si="115"/>
        <v>0</v>
      </c>
      <c r="U678" s="16">
        <f>IFERROR(SUMIF('LISTA DE EMBARQUE'!B:B,MICRO!E:E,'LISTA DE EMBARQUE'!G:G),"")</f>
        <v>1</v>
      </c>
      <c r="V678" s="12">
        <f>IFERROR(VLOOKUP(Tabela1[[#This Row],[COD.MDE]],'LISTA DE EMBARQUE'!B:L,11,0),"")</f>
        <v>12</v>
      </c>
      <c r="W678" s="13" t="str">
        <f>IFERROR(COUNTIF(#REF!,Tabela1[[#This Row],[Colunas5]]),"")</f>
        <v/>
      </c>
      <c r="X678" s="14">
        <f>Tabela1[[#This Row],[QIANTIDADE EXPEDIDA]]*Tabela1[[#This Row],[PESO UNI]]</f>
        <v>1.2</v>
      </c>
      <c r="Y678" s="14">
        <f t="shared" si="116"/>
        <v>0</v>
      </c>
      <c r="Z678" s="20">
        <f>Tabela1[[#This Row],[PESO TOTAL]]-Tabela1[[#This Row],[Peso Expedido]]</f>
        <v>0</v>
      </c>
      <c r="AA678" s="17">
        <v>1</v>
      </c>
      <c r="AB678" s="33"/>
      <c r="AC678" s="33">
        <v>1</v>
      </c>
      <c r="AD678" s="33">
        <v>1</v>
      </c>
      <c r="AE678" s="33">
        <v>1</v>
      </c>
      <c r="AF678" s="33">
        <v>1</v>
      </c>
      <c r="AG678" s="33">
        <v>1</v>
      </c>
      <c r="AH678" s="33">
        <v>1</v>
      </c>
      <c r="AI678" s="33" t="s">
        <v>4512</v>
      </c>
      <c r="AQ678" s="203"/>
      <c r="AR678" s="37"/>
      <c r="AS678" s="37"/>
      <c r="AT678" s="37"/>
      <c r="AU678" s="37"/>
      <c r="AV678" s="37"/>
      <c r="AW678" s="37"/>
    </row>
    <row r="679" spans="1:49" ht="15.75" customHeight="1" x14ac:dyDescent="0.25">
      <c r="A679" s="212"/>
      <c r="B679" s="21" t="s">
        <v>4560</v>
      </c>
      <c r="C679" s="198">
        <v>130</v>
      </c>
      <c r="D679" s="199" t="s">
        <v>4613</v>
      </c>
      <c r="E679" s="210" t="s">
        <v>4746</v>
      </c>
      <c r="F679" s="198" t="s">
        <v>4414</v>
      </c>
      <c r="G679" s="199">
        <v>1.8</v>
      </c>
      <c r="H679" s="213">
        <v>234</v>
      </c>
      <c r="I679" s="199"/>
      <c r="J679" s="217"/>
      <c r="K679" s="218" t="s">
        <v>45</v>
      </c>
      <c r="L679" s="214" t="s">
        <v>2069</v>
      </c>
      <c r="M679" s="200"/>
      <c r="N679" s="8" t="s">
        <v>38</v>
      </c>
      <c r="O679" s="215"/>
      <c r="P679" s="216"/>
      <c r="Q679" s="14">
        <f>Tabela1[[#This Row],[QTDE/ Fabricação]]-Tabela1[[#This Row],[QTE]]</f>
        <v>-130</v>
      </c>
      <c r="R679" s="18">
        <f t="shared" si="113"/>
        <v>234</v>
      </c>
      <c r="S679" s="18">
        <f t="shared" si="114"/>
        <v>234</v>
      </c>
      <c r="T679" s="19">
        <f t="shared" si="115"/>
        <v>0</v>
      </c>
      <c r="U679" s="16">
        <f>IFERROR(SUMIF('LISTA DE EMBARQUE'!B:B,MICRO!E:E,'LISTA DE EMBARQUE'!G:G),"")</f>
        <v>130</v>
      </c>
      <c r="V679" s="12">
        <f>IFERROR(VLOOKUP(Tabela1[[#This Row],[COD.MDE]],'LISTA DE EMBARQUE'!B:L,11,0),"")</f>
        <v>12</v>
      </c>
      <c r="W679" s="13" t="str">
        <f>IFERROR(COUNTIF(#REF!,Tabela1[[#This Row],[Colunas5]]),"")</f>
        <v/>
      </c>
      <c r="X679" s="14">
        <f>Tabela1[[#This Row],[QIANTIDADE EXPEDIDA]]*Tabela1[[#This Row],[PESO UNI]]</f>
        <v>234</v>
      </c>
      <c r="Y679" s="14">
        <f t="shared" si="116"/>
        <v>0</v>
      </c>
      <c r="Z679" s="20">
        <f>Tabela1[[#This Row],[PESO TOTAL]]-Tabela1[[#This Row],[Peso Expedido]]</f>
        <v>0</v>
      </c>
      <c r="AA679" s="17">
        <v>1</v>
      </c>
      <c r="AB679" s="33"/>
      <c r="AC679" s="33">
        <v>1</v>
      </c>
      <c r="AD679" s="33">
        <v>1</v>
      </c>
      <c r="AE679" s="33">
        <v>1</v>
      </c>
      <c r="AF679" s="33">
        <v>1</v>
      </c>
      <c r="AG679" s="33">
        <v>1</v>
      </c>
      <c r="AH679" s="33">
        <v>1</v>
      </c>
      <c r="AI679" s="33" t="s">
        <v>4512</v>
      </c>
      <c r="AQ679" s="203"/>
      <c r="AR679" s="37"/>
      <c r="AS679" s="37"/>
      <c r="AT679" s="37"/>
      <c r="AU679" s="37"/>
      <c r="AV679" s="37"/>
      <c r="AW679" s="37"/>
    </row>
    <row r="680" spans="1:49" ht="15.75" customHeight="1" x14ac:dyDescent="0.25">
      <c r="A680" s="212"/>
      <c r="B680" s="21" t="s">
        <v>4560</v>
      </c>
      <c r="C680" s="198">
        <v>250</v>
      </c>
      <c r="D680" s="199" t="s">
        <v>4614</v>
      </c>
      <c r="E680" s="210" t="s">
        <v>4747</v>
      </c>
      <c r="F680" s="198" t="s">
        <v>4414</v>
      </c>
      <c r="G680" s="199">
        <v>1.8</v>
      </c>
      <c r="H680" s="213">
        <v>450</v>
      </c>
      <c r="I680" s="199"/>
      <c r="J680" s="217"/>
      <c r="K680" s="218" t="s">
        <v>45</v>
      </c>
      <c r="L680" s="214" t="s">
        <v>2069</v>
      </c>
      <c r="M680" s="200"/>
      <c r="N680" s="8" t="s">
        <v>38</v>
      </c>
      <c r="O680" s="215"/>
      <c r="P680" s="216"/>
      <c r="Q680" s="14">
        <f>Tabela1[[#This Row],[QTDE/ Fabricação]]-Tabela1[[#This Row],[QTE]]</f>
        <v>-250</v>
      </c>
      <c r="R680" s="18">
        <f t="shared" si="113"/>
        <v>450</v>
      </c>
      <c r="S680" s="18">
        <f t="shared" si="114"/>
        <v>450</v>
      </c>
      <c r="T680" s="19">
        <f t="shared" si="115"/>
        <v>0</v>
      </c>
      <c r="U680" s="16">
        <f>IFERROR(SUMIF('LISTA DE EMBARQUE'!B:B,MICRO!E:E,'LISTA DE EMBARQUE'!G:G),"")</f>
        <v>250</v>
      </c>
      <c r="V680" s="12">
        <f>IFERROR(VLOOKUP(Tabela1[[#This Row],[COD.MDE]],'LISTA DE EMBARQUE'!B:L,11,0),"")</f>
        <v>12</v>
      </c>
      <c r="W680" s="13" t="str">
        <f>IFERROR(COUNTIF(#REF!,Tabela1[[#This Row],[Colunas5]]),"")</f>
        <v/>
      </c>
      <c r="X680" s="14">
        <f>Tabela1[[#This Row],[QIANTIDADE EXPEDIDA]]*Tabela1[[#This Row],[PESO UNI]]</f>
        <v>450</v>
      </c>
      <c r="Y680" s="14">
        <f t="shared" si="116"/>
        <v>0</v>
      </c>
      <c r="Z680" s="20">
        <f>Tabela1[[#This Row],[PESO TOTAL]]-Tabela1[[#This Row],[Peso Expedido]]</f>
        <v>0</v>
      </c>
      <c r="AA680" s="17">
        <v>1</v>
      </c>
      <c r="AB680" s="33"/>
      <c r="AC680" s="33">
        <v>1</v>
      </c>
      <c r="AD680" s="33">
        <v>1</v>
      </c>
      <c r="AE680" s="33">
        <v>1</v>
      </c>
      <c r="AF680" s="33">
        <v>1</v>
      </c>
      <c r="AG680" s="33">
        <v>1</v>
      </c>
      <c r="AH680" s="33">
        <v>1</v>
      </c>
      <c r="AI680" s="33" t="s">
        <v>4512</v>
      </c>
      <c r="AQ680" s="203"/>
      <c r="AR680" s="37"/>
      <c r="AS680" s="37"/>
      <c r="AT680" s="37"/>
      <c r="AU680" s="37"/>
      <c r="AV680" s="37"/>
      <c r="AW680" s="37"/>
    </row>
    <row r="681" spans="1:49" ht="15.75" customHeight="1" x14ac:dyDescent="0.25">
      <c r="A681" s="212"/>
      <c r="B681" s="21" t="s">
        <v>4560</v>
      </c>
      <c r="C681" s="198">
        <v>5</v>
      </c>
      <c r="D681" s="199" t="s">
        <v>4615</v>
      </c>
      <c r="E681" s="210" t="s">
        <v>4748</v>
      </c>
      <c r="F681" s="198" t="s">
        <v>4414</v>
      </c>
      <c r="G681" s="199">
        <v>0.3</v>
      </c>
      <c r="H681" s="213">
        <v>1.5</v>
      </c>
      <c r="I681" s="199"/>
      <c r="J681" s="217"/>
      <c r="K681" s="218" t="s">
        <v>45</v>
      </c>
      <c r="L681" s="214" t="s">
        <v>2069</v>
      </c>
      <c r="M681" s="200"/>
      <c r="N681" s="8" t="s">
        <v>38</v>
      </c>
      <c r="O681" s="215"/>
      <c r="P681" s="216"/>
      <c r="Q681" s="14">
        <f>Tabela1[[#This Row],[QTDE/ Fabricação]]-Tabela1[[#This Row],[QTE]]</f>
        <v>-5</v>
      </c>
      <c r="R681" s="18">
        <f t="shared" si="113"/>
        <v>1.5</v>
      </c>
      <c r="S681" s="18">
        <f t="shared" si="114"/>
        <v>1.5</v>
      </c>
      <c r="T681" s="19">
        <f t="shared" si="115"/>
        <v>0</v>
      </c>
      <c r="U681" s="16">
        <f>IFERROR(SUMIF('LISTA DE EMBARQUE'!B:B,MICRO!E:E,'LISTA DE EMBARQUE'!G:G),"")</f>
        <v>5</v>
      </c>
      <c r="V681" s="12">
        <f>IFERROR(VLOOKUP(Tabela1[[#This Row],[COD.MDE]],'LISTA DE EMBARQUE'!B:L,11,0),"")</f>
        <v>12</v>
      </c>
      <c r="W681" s="13" t="str">
        <f>IFERROR(COUNTIF(#REF!,Tabela1[[#This Row],[Colunas5]]),"")</f>
        <v/>
      </c>
      <c r="X681" s="14">
        <f>Tabela1[[#This Row],[QIANTIDADE EXPEDIDA]]*Tabela1[[#This Row],[PESO UNI]]</f>
        <v>1.5</v>
      </c>
      <c r="Y681" s="14">
        <f t="shared" si="116"/>
        <v>0</v>
      </c>
      <c r="Z681" s="20">
        <f>Tabela1[[#This Row],[PESO TOTAL]]-Tabela1[[#This Row],[Peso Expedido]]</f>
        <v>0</v>
      </c>
      <c r="AA681" s="17">
        <v>1</v>
      </c>
      <c r="AB681" s="33"/>
      <c r="AC681" s="33">
        <v>1</v>
      </c>
      <c r="AD681" s="33">
        <v>1</v>
      </c>
      <c r="AE681" s="33">
        <v>1</v>
      </c>
      <c r="AF681" s="33">
        <v>1</v>
      </c>
      <c r="AG681" s="33">
        <v>1</v>
      </c>
      <c r="AH681" s="33">
        <v>1</v>
      </c>
      <c r="AI681" s="33" t="s">
        <v>4512</v>
      </c>
      <c r="AQ681" s="203"/>
      <c r="AR681" s="37"/>
      <c r="AS681" s="37"/>
      <c r="AT681" s="37"/>
      <c r="AU681" s="37"/>
      <c r="AV681" s="37"/>
      <c r="AW681" s="37"/>
    </row>
    <row r="682" spans="1:49" ht="15.75" customHeight="1" x14ac:dyDescent="0.25">
      <c r="A682" s="212"/>
      <c r="B682" s="21" t="s">
        <v>4560</v>
      </c>
      <c r="C682" s="198">
        <v>6</v>
      </c>
      <c r="D682" s="199" t="s">
        <v>4616</v>
      </c>
      <c r="E682" s="210" t="s">
        <v>4749</v>
      </c>
      <c r="F682" s="198" t="s">
        <v>4414</v>
      </c>
      <c r="G682" s="199">
        <v>0.02</v>
      </c>
      <c r="H682" s="213">
        <v>0.12</v>
      </c>
      <c r="I682" s="199"/>
      <c r="J682" s="217"/>
      <c r="K682" s="218" t="s">
        <v>45</v>
      </c>
      <c r="L682" s="214" t="s">
        <v>2069</v>
      </c>
      <c r="M682" s="200"/>
      <c r="N682" s="8" t="s">
        <v>38</v>
      </c>
      <c r="O682" s="215"/>
      <c r="P682" s="216"/>
      <c r="Q682" s="14">
        <f>Tabela1[[#This Row],[QTDE/ Fabricação]]-Tabela1[[#This Row],[QTE]]</f>
        <v>-6</v>
      </c>
      <c r="R682" s="18">
        <f t="shared" si="113"/>
        <v>0.12</v>
      </c>
      <c r="S682" s="18">
        <f t="shared" si="114"/>
        <v>0.12</v>
      </c>
      <c r="T682" s="19">
        <f t="shared" si="115"/>
        <v>0</v>
      </c>
      <c r="U682" s="16">
        <f>IFERROR(SUMIF('LISTA DE EMBARQUE'!B:B,MICRO!E:E,'LISTA DE EMBARQUE'!G:G),"")</f>
        <v>6</v>
      </c>
      <c r="V682" s="12">
        <f>IFERROR(VLOOKUP(Tabela1[[#This Row],[COD.MDE]],'LISTA DE EMBARQUE'!B:L,11,0),"")</f>
        <v>12</v>
      </c>
      <c r="W682" s="13" t="str">
        <f>IFERROR(COUNTIF(#REF!,Tabela1[[#This Row],[Colunas5]]),"")</f>
        <v/>
      </c>
      <c r="X682" s="14">
        <f>Tabela1[[#This Row],[QIANTIDADE EXPEDIDA]]*Tabela1[[#This Row],[PESO UNI]]</f>
        <v>0.12</v>
      </c>
      <c r="Y682" s="14">
        <f t="shared" si="116"/>
        <v>0</v>
      </c>
      <c r="Z682" s="20">
        <f>Tabela1[[#This Row],[PESO TOTAL]]-Tabela1[[#This Row],[Peso Expedido]]</f>
        <v>0</v>
      </c>
      <c r="AA682" s="17">
        <v>1</v>
      </c>
      <c r="AB682" s="33"/>
      <c r="AC682" s="33">
        <v>1</v>
      </c>
      <c r="AD682" s="33">
        <v>1</v>
      </c>
      <c r="AE682" s="33">
        <v>1</v>
      </c>
      <c r="AF682" s="33">
        <v>1</v>
      </c>
      <c r="AG682" s="33">
        <v>1</v>
      </c>
      <c r="AH682" s="33">
        <v>1</v>
      </c>
      <c r="AI682" s="33" t="s">
        <v>4512</v>
      </c>
      <c r="AQ682" s="203"/>
      <c r="AR682" s="37"/>
      <c r="AS682" s="37"/>
      <c r="AT682" s="37"/>
      <c r="AU682" s="37"/>
      <c r="AV682" s="37"/>
      <c r="AW682" s="37"/>
    </row>
    <row r="683" spans="1:49" ht="15.75" customHeight="1" x14ac:dyDescent="0.25">
      <c r="A683" s="212"/>
      <c r="B683" s="21" t="s">
        <v>4560</v>
      </c>
      <c r="C683" s="198">
        <v>6</v>
      </c>
      <c r="D683" s="199" t="s">
        <v>4617</v>
      </c>
      <c r="E683" s="210" t="s">
        <v>4750</v>
      </c>
      <c r="F683" s="198" t="s">
        <v>4414</v>
      </c>
      <c r="G683" s="199">
        <v>0.03</v>
      </c>
      <c r="H683" s="213">
        <v>0.18</v>
      </c>
      <c r="I683" s="199"/>
      <c r="J683" s="217"/>
      <c r="K683" s="218" t="s">
        <v>45</v>
      </c>
      <c r="L683" s="214" t="s">
        <v>2069</v>
      </c>
      <c r="M683" s="200"/>
      <c r="N683" s="8" t="s">
        <v>38</v>
      </c>
      <c r="O683" s="215"/>
      <c r="P683" s="216"/>
      <c r="Q683" s="14">
        <f>Tabela1[[#This Row],[QTDE/ Fabricação]]-Tabela1[[#This Row],[QTE]]</f>
        <v>-6</v>
      </c>
      <c r="R683" s="18">
        <f t="shared" si="113"/>
        <v>0.18</v>
      </c>
      <c r="S683" s="18">
        <f t="shared" si="114"/>
        <v>0.18</v>
      </c>
      <c r="T683" s="19">
        <f t="shared" si="115"/>
        <v>0</v>
      </c>
      <c r="U683" s="16">
        <f>IFERROR(SUMIF('LISTA DE EMBARQUE'!B:B,MICRO!E:E,'LISTA DE EMBARQUE'!G:G),"")</f>
        <v>6</v>
      </c>
      <c r="V683" s="12">
        <f>IFERROR(VLOOKUP(Tabela1[[#This Row],[COD.MDE]],'LISTA DE EMBARQUE'!B:L,11,0),"")</f>
        <v>12</v>
      </c>
      <c r="W683" s="13" t="str">
        <f>IFERROR(COUNTIF(#REF!,Tabela1[[#This Row],[Colunas5]]),"")</f>
        <v/>
      </c>
      <c r="X683" s="14">
        <f>Tabela1[[#This Row],[QIANTIDADE EXPEDIDA]]*Tabela1[[#This Row],[PESO UNI]]</f>
        <v>0.18</v>
      </c>
      <c r="Y683" s="14">
        <f t="shared" si="116"/>
        <v>0</v>
      </c>
      <c r="Z683" s="20">
        <f>Tabela1[[#This Row],[PESO TOTAL]]-Tabela1[[#This Row],[Peso Expedido]]</f>
        <v>0</v>
      </c>
      <c r="AA683" s="17">
        <v>1</v>
      </c>
      <c r="AB683" s="33"/>
      <c r="AC683" s="33">
        <v>1</v>
      </c>
      <c r="AD683" s="33">
        <v>1</v>
      </c>
      <c r="AE683" s="33">
        <v>1</v>
      </c>
      <c r="AF683" s="33">
        <v>1</v>
      </c>
      <c r="AG683" s="33">
        <v>1</v>
      </c>
      <c r="AH683" s="33">
        <v>1</v>
      </c>
      <c r="AI683" s="33" t="s">
        <v>4512</v>
      </c>
      <c r="AQ683" s="203"/>
      <c r="AR683" s="37"/>
      <c r="AS683" s="37"/>
      <c r="AT683" s="37"/>
      <c r="AU683" s="37"/>
      <c r="AV683" s="37"/>
      <c r="AW683" s="37"/>
    </row>
    <row r="684" spans="1:49" ht="15.75" customHeight="1" x14ac:dyDescent="0.25">
      <c r="A684" s="212"/>
      <c r="B684" s="21" t="s">
        <v>4560</v>
      </c>
      <c r="C684" s="198">
        <v>4</v>
      </c>
      <c r="D684" s="199" t="s">
        <v>4618</v>
      </c>
      <c r="E684" s="210" t="s">
        <v>4751</v>
      </c>
      <c r="F684" s="198" t="s">
        <v>4414</v>
      </c>
      <c r="G684" s="199">
        <v>0.01</v>
      </c>
      <c r="H684" s="213">
        <v>0.04</v>
      </c>
      <c r="I684" s="199"/>
      <c r="J684" s="217"/>
      <c r="K684" s="218" t="s">
        <v>45</v>
      </c>
      <c r="L684" s="214" t="s">
        <v>2069</v>
      </c>
      <c r="M684" s="200"/>
      <c r="N684" s="8" t="s">
        <v>38</v>
      </c>
      <c r="O684" s="215"/>
      <c r="P684" s="216"/>
      <c r="Q684" s="14">
        <f>Tabela1[[#This Row],[QTDE/ Fabricação]]-Tabela1[[#This Row],[QTE]]</f>
        <v>-4</v>
      </c>
      <c r="R684" s="18">
        <f t="shared" si="113"/>
        <v>0.04</v>
      </c>
      <c r="S684" s="18">
        <f t="shared" si="114"/>
        <v>0.04</v>
      </c>
      <c r="T684" s="19">
        <f t="shared" si="115"/>
        <v>0</v>
      </c>
      <c r="U684" s="16">
        <f>IFERROR(SUMIF('LISTA DE EMBARQUE'!B:B,MICRO!E:E,'LISTA DE EMBARQUE'!G:G),"")</f>
        <v>4</v>
      </c>
      <c r="V684" s="12">
        <f>IFERROR(VLOOKUP(Tabela1[[#This Row],[COD.MDE]],'LISTA DE EMBARQUE'!B:L,11,0),"")</f>
        <v>12</v>
      </c>
      <c r="W684" s="13" t="str">
        <f>IFERROR(COUNTIF(#REF!,Tabela1[[#This Row],[Colunas5]]),"")</f>
        <v/>
      </c>
      <c r="X684" s="14">
        <f>Tabela1[[#This Row],[QIANTIDADE EXPEDIDA]]*Tabela1[[#This Row],[PESO UNI]]</f>
        <v>0.04</v>
      </c>
      <c r="Y684" s="14">
        <f t="shared" si="116"/>
        <v>0</v>
      </c>
      <c r="Z684" s="20">
        <f>Tabela1[[#This Row],[PESO TOTAL]]-Tabela1[[#This Row],[Peso Expedido]]</f>
        <v>0</v>
      </c>
      <c r="AA684" s="17">
        <v>1</v>
      </c>
      <c r="AB684" s="33"/>
      <c r="AC684" s="33">
        <v>1</v>
      </c>
      <c r="AD684" s="33">
        <v>1</v>
      </c>
      <c r="AE684" s="33">
        <v>1</v>
      </c>
      <c r="AF684" s="33">
        <v>1</v>
      </c>
      <c r="AG684" s="33">
        <v>1</v>
      </c>
      <c r="AH684" s="33">
        <v>1</v>
      </c>
      <c r="AI684" s="33" t="s">
        <v>4512</v>
      </c>
      <c r="AQ684" s="203"/>
      <c r="AR684" s="37"/>
      <c r="AS684" s="37"/>
      <c r="AT684" s="37"/>
      <c r="AU684" s="37"/>
      <c r="AV684" s="37"/>
      <c r="AW684" s="37"/>
    </row>
    <row r="685" spans="1:49" ht="15.75" customHeight="1" x14ac:dyDescent="0.25">
      <c r="A685" s="212"/>
      <c r="B685" s="21" t="s">
        <v>4560</v>
      </c>
      <c r="C685" s="198">
        <v>3</v>
      </c>
      <c r="D685" s="199" t="s">
        <v>4619</v>
      </c>
      <c r="E685" s="210" t="s">
        <v>4752</v>
      </c>
      <c r="F685" s="198" t="s">
        <v>4414</v>
      </c>
      <c r="G685" s="199">
        <v>2</v>
      </c>
      <c r="H685" s="213">
        <v>6</v>
      </c>
      <c r="I685" s="199"/>
      <c r="J685" s="217"/>
      <c r="K685" s="218" t="s">
        <v>45</v>
      </c>
      <c r="L685" s="214" t="s">
        <v>2069</v>
      </c>
      <c r="M685" s="200"/>
      <c r="N685" s="8" t="s">
        <v>38</v>
      </c>
      <c r="O685" s="215"/>
      <c r="P685" s="216"/>
      <c r="Q685" s="14">
        <f>Tabela1[[#This Row],[QTDE/ Fabricação]]-Tabela1[[#This Row],[QTE]]</f>
        <v>-3</v>
      </c>
      <c r="R685" s="18">
        <f t="shared" si="113"/>
        <v>6</v>
      </c>
      <c r="S685" s="18">
        <f t="shared" si="114"/>
        <v>6</v>
      </c>
      <c r="T685" s="19">
        <f t="shared" si="115"/>
        <v>0</v>
      </c>
      <c r="U685" s="16">
        <f>IFERROR(SUMIF('LISTA DE EMBARQUE'!B:B,MICRO!E:E,'LISTA DE EMBARQUE'!G:G),"")</f>
        <v>3</v>
      </c>
      <c r="V685" s="12">
        <f>IFERROR(VLOOKUP(Tabela1[[#This Row],[COD.MDE]],'LISTA DE EMBARQUE'!B:L,11,0),"")</f>
        <v>12</v>
      </c>
      <c r="W685" s="13" t="str">
        <f>IFERROR(COUNTIF(#REF!,Tabela1[[#This Row],[Colunas5]]),"")</f>
        <v/>
      </c>
      <c r="X685" s="14">
        <f>Tabela1[[#This Row],[QIANTIDADE EXPEDIDA]]*Tabela1[[#This Row],[PESO UNI]]</f>
        <v>6</v>
      </c>
      <c r="Y685" s="14">
        <f t="shared" si="116"/>
        <v>0</v>
      </c>
      <c r="Z685" s="20">
        <f>Tabela1[[#This Row],[PESO TOTAL]]-Tabela1[[#This Row],[Peso Expedido]]</f>
        <v>0</v>
      </c>
      <c r="AA685" s="17">
        <v>1</v>
      </c>
      <c r="AB685" s="33"/>
      <c r="AC685" s="33">
        <v>1</v>
      </c>
      <c r="AD685" s="33">
        <v>1</v>
      </c>
      <c r="AE685" s="33">
        <v>1</v>
      </c>
      <c r="AF685" s="33">
        <v>1</v>
      </c>
      <c r="AG685" s="33">
        <v>1</v>
      </c>
      <c r="AH685" s="33">
        <v>1</v>
      </c>
      <c r="AI685" s="33" t="s">
        <v>4512</v>
      </c>
      <c r="AQ685" s="203"/>
      <c r="AR685" s="37"/>
      <c r="AS685" s="37"/>
      <c r="AT685" s="37"/>
      <c r="AU685" s="37"/>
      <c r="AV685" s="37"/>
      <c r="AW685" s="37"/>
    </row>
    <row r="686" spans="1:49" ht="15.75" customHeight="1" x14ac:dyDescent="0.25">
      <c r="A686" s="212"/>
      <c r="B686" s="21" t="s">
        <v>4560</v>
      </c>
      <c r="C686" s="198">
        <v>3</v>
      </c>
      <c r="D686" s="199" t="s">
        <v>4620</v>
      </c>
      <c r="E686" s="210" t="s">
        <v>4753</v>
      </c>
      <c r="F686" s="198" t="s">
        <v>4414</v>
      </c>
      <c r="G686" s="199">
        <v>1.5</v>
      </c>
      <c r="H686" s="213">
        <v>4.5</v>
      </c>
      <c r="I686" s="199"/>
      <c r="J686" s="217"/>
      <c r="K686" s="218" t="s">
        <v>45</v>
      </c>
      <c r="L686" s="214" t="s">
        <v>2069</v>
      </c>
      <c r="M686" s="200"/>
      <c r="N686" s="8" t="s">
        <v>38</v>
      </c>
      <c r="O686" s="215"/>
      <c r="P686" s="216"/>
      <c r="Q686" s="14">
        <f>Tabela1[[#This Row],[QTDE/ Fabricação]]-Tabela1[[#This Row],[QTE]]</f>
        <v>-3</v>
      </c>
      <c r="R686" s="18">
        <f t="shared" si="113"/>
        <v>4.5</v>
      </c>
      <c r="S686" s="18">
        <f t="shared" si="114"/>
        <v>4.5</v>
      </c>
      <c r="T686" s="19">
        <f t="shared" si="115"/>
        <v>0</v>
      </c>
      <c r="U686" s="16">
        <f>IFERROR(SUMIF('LISTA DE EMBARQUE'!B:B,MICRO!E:E,'LISTA DE EMBARQUE'!G:G),"")</f>
        <v>3</v>
      </c>
      <c r="V686" s="12">
        <f>IFERROR(VLOOKUP(Tabela1[[#This Row],[COD.MDE]],'LISTA DE EMBARQUE'!B:L,11,0),"")</f>
        <v>12</v>
      </c>
      <c r="W686" s="13" t="str">
        <f>IFERROR(COUNTIF(#REF!,Tabela1[[#This Row],[Colunas5]]),"")</f>
        <v/>
      </c>
      <c r="X686" s="14">
        <f>Tabela1[[#This Row],[QIANTIDADE EXPEDIDA]]*Tabela1[[#This Row],[PESO UNI]]</f>
        <v>4.5</v>
      </c>
      <c r="Y686" s="14">
        <f t="shared" si="116"/>
        <v>0</v>
      </c>
      <c r="Z686" s="20">
        <f>Tabela1[[#This Row],[PESO TOTAL]]-Tabela1[[#This Row],[Peso Expedido]]</f>
        <v>0</v>
      </c>
      <c r="AA686" s="17">
        <v>1</v>
      </c>
      <c r="AB686" s="33"/>
      <c r="AC686" s="33">
        <v>1</v>
      </c>
      <c r="AD686" s="33">
        <v>1</v>
      </c>
      <c r="AE686" s="33">
        <v>1</v>
      </c>
      <c r="AF686" s="33">
        <v>1</v>
      </c>
      <c r="AG686" s="33">
        <v>1</v>
      </c>
      <c r="AH686" s="33">
        <v>1</v>
      </c>
      <c r="AI686" s="33" t="s">
        <v>4512</v>
      </c>
      <c r="AQ686" s="203"/>
      <c r="AR686" s="37"/>
      <c r="AS686" s="37"/>
      <c r="AT686" s="37"/>
      <c r="AU686" s="37"/>
      <c r="AV686" s="37"/>
      <c r="AW686" s="37"/>
    </row>
    <row r="687" spans="1:49" ht="15.75" customHeight="1" x14ac:dyDescent="0.25">
      <c r="A687" s="212"/>
      <c r="B687" s="21" t="s">
        <v>4560</v>
      </c>
      <c r="C687" s="198">
        <v>5</v>
      </c>
      <c r="D687" s="199" t="s">
        <v>4621</v>
      </c>
      <c r="E687" s="210" t="s">
        <v>4754</v>
      </c>
      <c r="F687" s="198" t="s">
        <v>4414</v>
      </c>
      <c r="G687" s="199">
        <v>0.02</v>
      </c>
      <c r="H687" s="213">
        <v>0.1</v>
      </c>
      <c r="I687" s="199"/>
      <c r="J687" s="217"/>
      <c r="K687" s="218" t="s">
        <v>45</v>
      </c>
      <c r="L687" s="214" t="s">
        <v>2069</v>
      </c>
      <c r="M687" s="200"/>
      <c r="N687" s="8" t="s">
        <v>38</v>
      </c>
      <c r="O687" s="215"/>
      <c r="P687" s="216"/>
      <c r="Q687" s="14">
        <f>Tabela1[[#This Row],[QTDE/ Fabricação]]-Tabela1[[#This Row],[QTE]]</f>
        <v>-5</v>
      </c>
      <c r="R687" s="18">
        <f t="shared" si="113"/>
        <v>0.1</v>
      </c>
      <c r="S687" s="18">
        <f t="shared" si="114"/>
        <v>0.1</v>
      </c>
      <c r="T687" s="19">
        <f t="shared" si="115"/>
        <v>0</v>
      </c>
      <c r="U687" s="16">
        <f>IFERROR(SUMIF('LISTA DE EMBARQUE'!B:B,MICRO!E:E,'LISTA DE EMBARQUE'!G:G),"")</f>
        <v>5</v>
      </c>
      <c r="V687" s="12">
        <f>IFERROR(VLOOKUP(Tabela1[[#This Row],[COD.MDE]],'LISTA DE EMBARQUE'!B:L,11,0),"")</f>
        <v>12</v>
      </c>
      <c r="W687" s="13" t="str">
        <f>IFERROR(COUNTIF(#REF!,Tabela1[[#This Row],[Colunas5]]),"")</f>
        <v/>
      </c>
      <c r="X687" s="14">
        <f>Tabela1[[#This Row],[QIANTIDADE EXPEDIDA]]*Tabela1[[#This Row],[PESO UNI]]</f>
        <v>0.1</v>
      </c>
      <c r="Y687" s="14">
        <f t="shared" si="116"/>
        <v>0</v>
      </c>
      <c r="Z687" s="20">
        <f>Tabela1[[#This Row],[PESO TOTAL]]-Tabela1[[#This Row],[Peso Expedido]]</f>
        <v>0</v>
      </c>
      <c r="AA687" s="17">
        <v>1</v>
      </c>
      <c r="AB687" s="33"/>
      <c r="AC687" s="33">
        <v>1</v>
      </c>
      <c r="AD687" s="33">
        <v>1</v>
      </c>
      <c r="AE687" s="33">
        <v>1</v>
      </c>
      <c r="AF687" s="33">
        <v>1</v>
      </c>
      <c r="AG687" s="33">
        <v>1</v>
      </c>
      <c r="AH687" s="33">
        <v>1</v>
      </c>
      <c r="AI687" s="33" t="s">
        <v>4512</v>
      </c>
      <c r="AQ687" s="203"/>
      <c r="AR687" s="37"/>
      <c r="AS687" s="37"/>
      <c r="AT687" s="37"/>
      <c r="AU687" s="37"/>
      <c r="AV687" s="37"/>
      <c r="AW687" s="37"/>
    </row>
    <row r="688" spans="1:49" ht="15.75" customHeight="1" x14ac:dyDescent="0.25">
      <c r="A688" s="212"/>
      <c r="B688" s="21" t="s">
        <v>4560</v>
      </c>
      <c r="C688" s="198">
        <v>2</v>
      </c>
      <c r="D688" s="199" t="s">
        <v>4622</v>
      </c>
      <c r="E688" s="210" t="s">
        <v>4755</v>
      </c>
      <c r="F688" s="198" t="s">
        <v>4414</v>
      </c>
      <c r="G688" s="199">
        <v>0.04</v>
      </c>
      <c r="H688" s="213">
        <v>0.08</v>
      </c>
      <c r="I688" s="199"/>
      <c r="J688" s="217"/>
      <c r="K688" s="218" t="s">
        <v>45</v>
      </c>
      <c r="L688" s="214" t="s">
        <v>2069</v>
      </c>
      <c r="M688" s="200"/>
      <c r="N688" s="8" t="s">
        <v>38</v>
      </c>
      <c r="O688" s="215"/>
      <c r="P688" s="216"/>
      <c r="Q688" s="14">
        <f>Tabela1[[#This Row],[QTDE/ Fabricação]]-Tabela1[[#This Row],[QTE]]</f>
        <v>-2</v>
      </c>
      <c r="R688" s="18">
        <f t="shared" si="113"/>
        <v>0.08</v>
      </c>
      <c r="S688" s="18">
        <f t="shared" si="114"/>
        <v>0.08</v>
      </c>
      <c r="T688" s="19">
        <f t="shared" si="115"/>
        <v>0</v>
      </c>
      <c r="U688" s="16">
        <f>IFERROR(SUMIF('LISTA DE EMBARQUE'!B:B,MICRO!E:E,'LISTA DE EMBARQUE'!G:G),"")</f>
        <v>2</v>
      </c>
      <c r="V688" s="12">
        <f>IFERROR(VLOOKUP(Tabela1[[#This Row],[COD.MDE]],'LISTA DE EMBARQUE'!B:L,11,0),"")</f>
        <v>12</v>
      </c>
      <c r="W688" s="13" t="str">
        <f>IFERROR(COUNTIF(#REF!,Tabela1[[#This Row],[Colunas5]]),"")</f>
        <v/>
      </c>
      <c r="X688" s="14">
        <f>Tabela1[[#This Row],[QIANTIDADE EXPEDIDA]]*Tabela1[[#This Row],[PESO UNI]]</f>
        <v>0.08</v>
      </c>
      <c r="Y688" s="14">
        <f t="shared" si="116"/>
        <v>0</v>
      </c>
      <c r="Z688" s="20">
        <f>Tabela1[[#This Row],[PESO TOTAL]]-Tabela1[[#This Row],[Peso Expedido]]</f>
        <v>0</v>
      </c>
      <c r="AA688" s="17">
        <v>1</v>
      </c>
      <c r="AB688" s="33"/>
      <c r="AC688" s="33">
        <v>1</v>
      </c>
      <c r="AD688" s="33">
        <v>1</v>
      </c>
      <c r="AE688" s="33">
        <v>1</v>
      </c>
      <c r="AF688" s="33">
        <v>1</v>
      </c>
      <c r="AG688" s="33">
        <v>1</v>
      </c>
      <c r="AH688" s="33">
        <v>1</v>
      </c>
      <c r="AI688" s="33" t="s">
        <v>4512</v>
      </c>
      <c r="AQ688" s="203"/>
      <c r="AR688" s="37"/>
      <c r="AS688" s="37"/>
      <c r="AT688" s="37"/>
      <c r="AU688" s="37"/>
      <c r="AV688" s="37"/>
      <c r="AW688" s="37"/>
    </row>
    <row r="689" spans="1:49" ht="15.75" customHeight="1" x14ac:dyDescent="0.25">
      <c r="A689" s="212"/>
      <c r="B689" s="21" t="s">
        <v>4560</v>
      </c>
      <c r="C689" s="198">
        <v>1</v>
      </c>
      <c r="D689" s="199" t="s">
        <v>4623</v>
      </c>
      <c r="E689" s="210" t="s">
        <v>4756</v>
      </c>
      <c r="F689" s="198" t="s">
        <v>4414</v>
      </c>
      <c r="G689" s="199">
        <v>1.2</v>
      </c>
      <c r="H689" s="213">
        <v>1.2</v>
      </c>
      <c r="I689" s="199"/>
      <c r="J689" s="217"/>
      <c r="K689" s="218" t="s">
        <v>45</v>
      </c>
      <c r="L689" s="214" t="s">
        <v>2069</v>
      </c>
      <c r="M689" s="200"/>
      <c r="N689" s="8" t="s">
        <v>38</v>
      </c>
      <c r="O689" s="215"/>
      <c r="P689" s="216"/>
      <c r="Q689" s="14">
        <f>Tabela1[[#This Row],[QTDE/ Fabricação]]-Tabela1[[#This Row],[QTE]]</f>
        <v>-1</v>
      </c>
      <c r="R689" s="18">
        <f t="shared" si="113"/>
        <v>1.2</v>
      </c>
      <c r="S689" s="18">
        <f t="shared" si="114"/>
        <v>1.2</v>
      </c>
      <c r="T689" s="19">
        <f t="shared" si="115"/>
        <v>0</v>
      </c>
      <c r="U689" s="16">
        <f>IFERROR(SUMIF('LISTA DE EMBARQUE'!B:B,MICRO!E:E,'LISTA DE EMBARQUE'!G:G),"")</f>
        <v>1</v>
      </c>
      <c r="V689" s="12">
        <f>IFERROR(VLOOKUP(Tabela1[[#This Row],[COD.MDE]],'LISTA DE EMBARQUE'!B:L,11,0),"")</f>
        <v>12</v>
      </c>
      <c r="W689" s="13" t="str">
        <f>IFERROR(COUNTIF(#REF!,Tabela1[[#This Row],[Colunas5]]),"")</f>
        <v/>
      </c>
      <c r="X689" s="14">
        <f>Tabela1[[#This Row],[QIANTIDADE EXPEDIDA]]*Tabela1[[#This Row],[PESO UNI]]</f>
        <v>1.2</v>
      </c>
      <c r="Y689" s="14">
        <f t="shared" si="116"/>
        <v>0</v>
      </c>
      <c r="Z689" s="20">
        <f>Tabela1[[#This Row],[PESO TOTAL]]-Tabela1[[#This Row],[Peso Expedido]]</f>
        <v>0</v>
      </c>
      <c r="AA689" s="17">
        <v>1</v>
      </c>
      <c r="AB689" s="33"/>
      <c r="AC689" s="33">
        <v>1</v>
      </c>
      <c r="AD689" s="33">
        <v>1</v>
      </c>
      <c r="AE689" s="33">
        <v>1</v>
      </c>
      <c r="AF689" s="33">
        <v>1</v>
      </c>
      <c r="AG689" s="33">
        <v>1</v>
      </c>
      <c r="AH689" s="33">
        <v>1</v>
      </c>
      <c r="AI689" s="33" t="s">
        <v>4512</v>
      </c>
      <c r="AQ689" s="203"/>
      <c r="AR689" s="37"/>
      <c r="AS689" s="37"/>
      <c r="AT689" s="37"/>
      <c r="AU689" s="37"/>
      <c r="AV689" s="37"/>
      <c r="AW689" s="37"/>
    </row>
    <row r="690" spans="1:49" ht="15.75" customHeight="1" x14ac:dyDescent="0.25">
      <c r="A690" s="212"/>
      <c r="B690" s="21" t="s">
        <v>4582</v>
      </c>
      <c r="C690" s="198">
        <v>1</v>
      </c>
      <c r="D690" s="199" t="s">
        <v>4624</v>
      </c>
      <c r="E690" s="210" t="s">
        <v>4757</v>
      </c>
      <c r="F690" s="198" t="s">
        <v>4414</v>
      </c>
      <c r="G690" s="199">
        <v>1.8</v>
      </c>
      <c r="H690" s="213">
        <v>1.8</v>
      </c>
      <c r="I690" s="199"/>
      <c r="J690" s="217"/>
      <c r="K690" s="218" t="s">
        <v>45</v>
      </c>
      <c r="L690" s="214" t="s">
        <v>2069</v>
      </c>
      <c r="M690" s="200"/>
      <c r="N690" s="8" t="s">
        <v>38</v>
      </c>
      <c r="O690" s="215"/>
      <c r="P690" s="216"/>
      <c r="Q690" s="14">
        <f>Tabela1[[#This Row],[QTDE/ Fabricação]]-Tabela1[[#This Row],[QTE]]</f>
        <v>-1</v>
      </c>
      <c r="R690" s="18">
        <f t="shared" si="113"/>
        <v>1.8</v>
      </c>
      <c r="S690" s="18">
        <f t="shared" si="114"/>
        <v>1.8</v>
      </c>
      <c r="T690" s="19">
        <f t="shared" si="115"/>
        <v>0</v>
      </c>
      <c r="U690" s="16">
        <f>IFERROR(SUMIF('LISTA DE EMBARQUE'!B:B,MICRO!E:E,'LISTA DE EMBARQUE'!G:G),"")</f>
        <v>1</v>
      </c>
      <c r="V690" s="12">
        <f>IFERROR(VLOOKUP(Tabela1[[#This Row],[COD.MDE]],'LISTA DE EMBARQUE'!B:L,11,0),"")</f>
        <v>12</v>
      </c>
      <c r="W690" s="13" t="str">
        <f>IFERROR(COUNTIF(#REF!,Tabela1[[#This Row],[Colunas5]]),"")</f>
        <v/>
      </c>
      <c r="X690" s="14">
        <f>Tabela1[[#This Row],[QIANTIDADE EXPEDIDA]]*Tabela1[[#This Row],[PESO UNI]]</f>
        <v>1.8</v>
      </c>
      <c r="Y690" s="14">
        <f t="shared" si="116"/>
        <v>0</v>
      </c>
      <c r="Z690" s="20">
        <f>Tabela1[[#This Row],[PESO TOTAL]]-Tabela1[[#This Row],[Peso Expedido]]</f>
        <v>0</v>
      </c>
      <c r="AA690" s="17">
        <v>1</v>
      </c>
      <c r="AB690" s="33"/>
      <c r="AC690" s="33">
        <v>1</v>
      </c>
      <c r="AD690" s="33">
        <v>1</v>
      </c>
      <c r="AE690" s="33">
        <v>1</v>
      </c>
      <c r="AF690" s="33">
        <v>1</v>
      </c>
      <c r="AG690" s="33">
        <v>1</v>
      </c>
      <c r="AH690" s="33">
        <v>1</v>
      </c>
      <c r="AI690" s="33" t="s">
        <v>4512</v>
      </c>
      <c r="AQ690" s="203"/>
      <c r="AR690" s="37"/>
      <c r="AS690" s="37"/>
      <c r="AT690" s="37"/>
      <c r="AU690" s="37"/>
      <c r="AV690" s="37"/>
      <c r="AW690" s="37"/>
    </row>
    <row r="691" spans="1:49" ht="15.75" customHeight="1" x14ac:dyDescent="0.25">
      <c r="A691" s="212"/>
      <c r="B691" s="21" t="s">
        <v>4582</v>
      </c>
      <c r="C691" s="198">
        <v>2</v>
      </c>
      <c r="D691" s="199" t="s">
        <v>4625</v>
      </c>
      <c r="E691" s="210" t="s">
        <v>4758</v>
      </c>
      <c r="F691" s="198" t="s">
        <v>4414</v>
      </c>
      <c r="G691" s="199">
        <v>1.8</v>
      </c>
      <c r="H691" s="213">
        <v>3.6</v>
      </c>
      <c r="I691" s="199"/>
      <c r="J691" s="217"/>
      <c r="K691" s="218" t="s">
        <v>45</v>
      </c>
      <c r="L691" s="214" t="s">
        <v>2069</v>
      </c>
      <c r="M691" s="200"/>
      <c r="N691" s="8" t="s">
        <v>38</v>
      </c>
      <c r="O691" s="215"/>
      <c r="P691" s="216"/>
      <c r="Q691" s="14">
        <f>Tabela1[[#This Row],[QTDE/ Fabricação]]-Tabela1[[#This Row],[QTE]]</f>
        <v>-2</v>
      </c>
      <c r="R691" s="18">
        <f t="shared" si="113"/>
        <v>3.6</v>
      </c>
      <c r="S691" s="18">
        <f t="shared" si="114"/>
        <v>3.6</v>
      </c>
      <c r="T691" s="19">
        <f t="shared" si="115"/>
        <v>0</v>
      </c>
      <c r="U691" s="16">
        <f>IFERROR(SUMIF('LISTA DE EMBARQUE'!B:B,MICRO!E:E,'LISTA DE EMBARQUE'!G:G),"")</f>
        <v>2</v>
      </c>
      <c r="V691" s="12">
        <f>IFERROR(VLOOKUP(Tabela1[[#This Row],[COD.MDE]],'LISTA DE EMBARQUE'!B:L,11,0),"")</f>
        <v>12</v>
      </c>
      <c r="W691" s="13" t="str">
        <f>IFERROR(COUNTIF(#REF!,Tabela1[[#This Row],[Colunas5]]),"")</f>
        <v/>
      </c>
      <c r="X691" s="14">
        <f>Tabela1[[#This Row],[QIANTIDADE EXPEDIDA]]*Tabela1[[#This Row],[PESO UNI]]</f>
        <v>3.6</v>
      </c>
      <c r="Y691" s="14">
        <f t="shared" si="116"/>
        <v>0</v>
      </c>
      <c r="Z691" s="20">
        <f>Tabela1[[#This Row],[PESO TOTAL]]-Tabela1[[#This Row],[Peso Expedido]]</f>
        <v>0</v>
      </c>
      <c r="AA691" s="17">
        <v>1</v>
      </c>
      <c r="AB691" s="33"/>
      <c r="AC691" s="33">
        <v>1</v>
      </c>
      <c r="AD691" s="33">
        <v>1</v>
      </c>
      <c r="AE691" s="33">
        <v>1</v>
      </c>
      <c r="AF691" s="33">
        <v>1</v>
      </c>
      <c r="AG691" s="33">
        <v>1</v>
      </c>
      <c r="AH691" s="33">
        <v>1</v>
      </c>
      <c r="AI691" s="33" t="s">
        <v>4512</v>
      </c>
      <c r="AQ691" s="203"/>
      <c r="AR691" s="37"/>
      <c r="AS691" s="37"/>
      <c r="AT691" s="37"/>
      <c r="AU691" s="37"/>
      <c r="AV691" s="37"/>
      <c r="AW691" s="37"/>
    </row>
    <row r="692" spans="1:49" ht="15.75" customHeight="1" x14ac:dyDescent="0.25">
      <c r="A692" s="212"/>
      <c r="B692" s="21" t="s">
        <v>4582</v>
      </c>
      <c r="C692" s="198">
        <v>4</v>
      </c>
      <c r="D692" s="199" t="s">
        <v>4626</v>
      </c>
      <c r="E692" s="210" t="s">
        <v>4759</v>
      </c>
      <c r="F692" s="198" t="s">
        <v>4414</v>
      </c>
      <c r="G692" s="199">
        <v>2</v>
      </c>
      <c r="H692" s="213">
        <v>8</v>
      </c>
      <c r="I692" s="199"/>
      <c r="J692" s="217"/>
      <c r="K692" s="218" t="s">
        <v>45</v>
      </c>
      <c r="L692" s="214" t="s">
        <v>2069</v>
      </c>
      <c r="M692" s="200"/>
      <c r="N692" s="8" t="s">
        <v>38</v>
      </c>
      <c r="O692" s="215"/>
      <c r="P692" s="216"/>
      <c r="Q692" s="14">
        <f>Tabela1[[#This Row],[QTDE/ Fabricação]]-Tabela1[[#This Row],[QTE]]</f>
        <v>-4</v>
      </c>
      <c r="R692" s="18">
        <f t="shared" si="113"/>
        <v>8</v>
      </c>
      <c r="S692" s="18">
        <f t="shared" si="114"/>
        <v>8</v>
      </c>
      <c r="T692" s="19">
        <f t="shared" si="115"/>
        <v>0</v>
      </c>
      <c r="U692" s="16">
        <f>IFERROR(SUMIF('LISTA DE EMBARQUE'!B:B,MICRO!E:E,'LISTA DE EMBARQUE'!G:G),"")</f>
        <v>4</v>
      </c>
      <c r="V692" s="12">
        <f>IFERROR(VLOOKUP(Tabela1[[#This Row],[COD.MDE]],'LISTA DE EMBARQUE'!B:L,11,0),"")</f>
        <v>12</v>
      </c>
      <c r="W692" s="13" t="str">
        <f>IFERROR(COUNTIF(#REF!,Tabela1[[#This Row],[Colunas5]]),"")</f>
        <v/>
      </c>
      <c r="X692" s="14">
        <f>Tabela1[[#This Row],[QIANTIDADE EXPEDIDA]]*Tabela1[[#This Row],[PESO UNI]]</f>
        <v>8</v>
      </c>
      <c r="Y692" s="14">
        <f t="shared" si="116"/>
        <v>0</v>
      </c>
      <c r="Z692" s="20">
        <f>Tabela1[[#This Row],[PESO TOTAL]]-Tabela1[[#This Row],[Peso Expedido]]</f>
        <v>0</v>
      </c>
      <c r="AA692" s="17">
        <v>1</v>
      </c>
      <c r="AB692" s="33"/>
      <c r="AC692" s="33">
        <v>1</v>
      </c>
      <c r="AD692" s="33">
        <v>1</v>
      </c>
      <c r="AE692" s="33">
        <v>1</v>
      </c>
      <c r="AF692" s="33">
        <v>1</v>
      </c>
      <c r="AG692" s="33">
        <v>1</v>
      </c>
      <c r="AH692" s="33">
        <v>1</v>
      </c>
      <c r="AI692" s="33" t="s">
        <v>4512</v>
      </c>
      <c r="AQ692" s="203"/>
      <c r="AR692" s="37"/>
      <c r="AS692" s="37"/>
      <c r="AT692" s="37"/>
      <c r="AU692" s="37"/>
      <c r="AV692" s="37"/>
      <c r="AW692" s="37"/>
    </row>
    <row r="693" spans="1:49" ht="15.75" customHeight="1" x14ac:dyDescent="0.25">
      <c r="A693" s="212"/>
      <c r="B693" s="21" t="s">
        <v>4582</v>
      </c>
      <c r="C693" s="198">
        <v>1</v>
      </c>
      <c r="D693" s="199" t="s">
        <v>4627</v>
      </c>
      <c r="E693" s="210" t="s">
        <v>4760</v>
      </c>
      <c r="F693" s="198" t="s">
        <v>4414</v>
      </c>
      <c r="G693" s="199">
        <v>1.5</v>
      </c>
      <c r="H693" s="213">
        <v>1.5</v>
      </c>
      <c r="I693" s="199"/>
      <c r="J693" s="217"/>
      <c r="K693" s="218" t="s">
        <v>45</v>
      </c>
      <c r="L693" s="214" t="s">
        <v>2069</v>
      </c>
      <c r="M693" s="200"/>
      <c r="N693" s="8" t="s">
        <v>38</v>
      </c>
      <c r="O693" s="215"/>
      <c r="P693" s="216"/>
      <c r="Q693" s="14">
        <f>Tabela1[[#This Row],[QTDE/ Fabricação]]-Tabela1[[#This Row],[QTE]]</f>
        <v>-1</v>
      </c>
      <c r="R693" s="18">
        <f t="shared" si="113"/>
        <v>1.5</v>
      </c>
      <c r="S693" s="18">
        <f t="shared" si="114"/>
        <v>1.5</v>
      </c>
      <c r="T693" s="19">
        <f t="shared" si="115"/>
        <v>0</v>
      </c>
      <c r="U693" s="16">
        <f>IFERROR(SUMIF('LISTA DE EMBARQUE'!B:B,MICRO!E:E,'LISTA DE EMBARQUE'!G:G),"")</f>
        <v>1</v>
      </c>
      <c r="V693" s="12">
        <f>IFERROR(VLOOKUP(Tabela1[[#This Row],[COD.MDE]],'LISTA DE EMBARQUE'!B:L,11,0),"")</f>
        <v>12</v>
      </c>
      <c r="W693" s="13" t="str">
        <f>IFERROR(COUNTIF(#REF!,Tabela1[[#This Row],[Colunas5]]),"")</f>
        <v/>
      </c>
      <c r="X693" s="14">
        <f>Tabela1[[#This Row],[QIANTIDADE EXPEDIDA]]*Tabela1[[#This Row],[PESO UNI]]</f>
        <v>1.5</v>
      </c>
      <c r="Y693" s="14">
        <f t="shared" si="116"/>
        <v>0</v>
      </c>
      <c r="Z693" s="20">
        <f>Tabela1[[#This Row],[PESO TOTAL]]-Tabela1[[#This Row],[Peso Expedido]]</f>
        <v>0</v>
      </c>
      <c r="AA693" s="17">
        <v>1</v>
      </c>
      <c r="AB693" s="33"/>
      <c r="AC693" s="33">
        <v>1</v>
      </c>
      <c r="AD693" s="33">
        <v>1</v>
      </c>
      <c r="AE693" s="33">
        <v>1</v>
      </c>
      <c r="AF693" s="33">
        <v>1</v>
      </c>
      <c r="AG693" s="33">
        <v>1</v>
      </c>
      <c r="AH693" s="33">
        <v>1</v>
      </c>
      <c r="AI693" s="33" t="s">
        <v>4512</v>
      </c>
      <c r="AQ693" s="203"/>
      <c r="AR693" s="37"/>
      <c r="AS693" s="37"/>
      <c r="AT693" s="37"/>
      <c r="AU693" s="37"/>
      <c r="AV693" s="37"/>
      <c r="AW693" s="37"/>
    </row>
    <row r="694" spans="1:49" ht="15.75" customHeight="1" x14ac:dyDescent="0.25">
      <c r="A694" s="212"/>
      <c r="B694" s="21" t="s">
        <v>4582</v>
      </c>
      <c r="C694" s="198">
        <v>1</v>
      </c>
      <c r="D694" s="199" t="s">
        <v>4628</v>
      </c>
      <c r="E694" s="210" t="s">
        <v>4761</v>
      </c>
      <c r="F694" s="198" t="s">
        <v>4414</v>
      </c>
      <c r="G694" s="199">
        <v>2</v>
      </c>
      <c r="H694" s="213">
        <v>2</v>
      </c>
      <c r="I694" s="199"/>
      <c r="J694" s="217"/>
      <c r="K694" s="218" t="s">
        <v>45</v>
      </c>
      <c r="L694" s="214" t="s">
        <v>2069</v>
      </c>
      <c r="M694" s="200"/>
      <c r="N694" s="8" t="s">
        <v>38</v>
      </c>
      <c r="O694" s="215"/>
      <c r="P694" s="216"/>
      <c r="Q694" s="14">
        <f>Tabela1[[#This Row],[QTDE/ Fabricação]]-Tabela1[[#This Row],[QTE]]</f>
        <v>-1</v>
      </c>
      <c r="R694" s="18">
        <f t="shared" ref="R694:R757" si="117">IFERROR(H694*((AA694*0.25)+(AC694*0.25)+(AD694*0.225)+(AE694*0.225)+(AF694*0.05)),"")</f>
        <v>2</v>
      </c>
      <c r="S694" s="18">
        <f t="shared" ref="S694:S757" si="118">IFERROR(H694*AG694,"")</f>
        <v>2</v>
      </c>
      <c r="T694" s="19">
        <f t="shared" ref="T694:T757" si="119">IFERROR(S694-H694,"")</f>
        <v>0</v>
      </c>
      <c r="U694" s="16">
        <f>IFERROR(SUMIF('LISTA DE EMBARQUE'!B:B,MICRO!E:E,'LISTA DE EMBARQUE'!G:G),"")</f>
        <v>1</v>
      </c>
      <c r="V694" s="12">
        <f>IFERROR(VLOOKUP(Tabela1[[#This Row],[COD.MDE]],'LISTA DE EMBARQUE'!B:L,11,0),"")</f>
        <v>12</v>
      </c>
      <c r="W694" s="13" t="str">
        <f>IFERROR(COUNTIF(#REF!,Tabela1[[#This Row],[Colunas5]]),"")</f>
        <v/>
      </c>
      <c r="X694" s="14">
        <f>Tabela1[[#This Row],[QIANTIDADE EXPEDIDA]]*Tabela1[[#This Row],[PESO UNI]]</f>
        <v>2</v>
      </c>
      <c r="Y694" s="14">
        <f t="shared" ref="Y694:Y757" si="120">U694-C694</f>
        <v>0</v>
      </c>
      <c r="Z694" s="20">
        <f>Tabela1[[#This Row],[PESO TOTAL]]-Tabela1[[#This Row],[Peso Expedido]]</f>
        <v>0</v>
      </c>
      <c r="AA694" s="17">
        <v>1</v>
      </c>
      <c r="AB694" s="33"/>
      <c r="AC694" s="33">
        <v>1</v>
      </c>
      <c r="AD694" s="33">
        <v>1</v>
      </c>
      <c r="AE694" s="33">
        <v>1</v>
      </c>
      <c r="AF694" s="33">
        <v>1</v>
      </c>
      <c r="AG694" s="33">
        <v>1</v>
      </c>
      <c r="AH694" s="33">
        <v>1</v>
      </c>
      <c r="AI694" s="33" t="s">
        <v>4512</v>
      </c>
      <c r="AQ694" s="203"/>
      <c r="AR694" s="37"/>
      <c r="AS694" s="37"/>
      <c r="AT694" s="37"/>
      <c r="AU694" s="37"/>
      <c r="AV694" s="37"/>
      <c r="AW694" s="37"/>
    </row>
    <row r="695" spans="1:49" ht="15.75" customHeight="1" x14ac:dyDescent="0.25">
      <c r="A695" s="212"/>
      <c r="B695" s="21" t="s">
        <v>4582</v>
      </c>
      <c r="C695" s="198">
        <v>2</v>
      </c>
      <c r="D695" s="199" t="s">
        <v>4629</v>
      </c>
      <c r="E695" s="210" t="s">
        <v>4762</v>
      </c>
      <c r="F695" s="198" t="s">
        <v>4414</v>
      </c>
      <c r="G695" s="199">
        <v>1.8</v>
      </c>
      <c r="H695" s="213">
        <v>3.6</v>
      </c>
      <c r="I695" s="199"/>
      <c r="J695" s="217"/>
      <c r="K695" s="218" t="s">
        <v>45</v>
      </c>
      <c r="L695" s="214" t="s">
        <v>2069</v>
      </c>
      <c r="M695" s="200"/>
      <c r="N695" s="8" t="s">
        <v>38</v>
      </c>
      <c r="O695" s="215"/>
      <c r="P695" s="216"/>
      <c r="Q695" s="14">
        <f>Tabela1[[#This Row],[QTDE/ Fabricação]]-Tabela1[[#This Row],[QTE]]</f>
        <v>-2</v>
      </c>
      <c r="R695" s="18">
        <f t="shared" si="117"/>
        <v>3.6</v>
      </c>
      <c r="S695" s="18">
        <f t="shared" si="118"/>
        <v>3.6</v>
      </c>
      <c r="T695" s="19">
        <f t="shared" si="119"/>
        <v>0</v>
      </c>
      <c r="U695" s="16">
        <f>IFERROR(SUMIF('LISTA DE EMBARQUE'!B:B,MICRO!E:E,'LISTA DE EMBARQUE'!G:G),"")</f>
        <v>2</v>
      </c>
      <c r="V695" s="12">
        <f>IFERROR(VLOOKUP(Tabela1[[#This Row],[COD.MDE]],'LISTA DE EMBARQUE'!B:L,11,0),"")</f>
        <v>12</v>
      </c>
      <c r="W695" s="13" t="str">
        <f>IFERROR(COUNTIF(#REF!,Tabela1[[#This Row],[Colunas5]]),"")</f>
        <v/>
      </c>
      <c r="X695" s="14">
        <f>Tabela1[[#This Row],[QIANTIDADE EXPEDIDA]]*Tabela1[[#This Row],[PESO UNI]]</f>
        <v>3.6</v>
      </c>
      <c r="Y695" s="14">
        <f t="shared" si="120"/>
        <v>0</v>
      </c>
      <c r="Z695" s="20">
        <f>Tabela1[[#This Row],[PESO TOTAL]]-Tabela1[[#This Row],[Peso Expedido]]</f>
        <v>0</v>
      </c>
      <c r="AA695" s="17">
        <v>1</v>
      </c>
      <c r="AB695" s="33"/>
      <c r="AC695" s="33">
        <v>1</v>
      </c>
      <c r="AD695" s="33">
        <v>1</v>
      </c>
      <c r="AE695" s="33">
        <v>1</v>
      </c>
      <c r="AF695" s="33">
        <v>1</v>
      </c>
      <c r="AG695" s="33">
        <v>1</v>
      </c>
      <c r="AH695" s="33">
        <v>1</v>
      </c>
      <c r="AI695" s="33" t="s">
        <v>4512</v>
      </c>
      <c r="AQ695" s="203"/>
      <c r="AR695" s="37"/>
      <c r="AS695" s="37"/>
      <c r="AT695" s="37"/>
      <c r="AU695" s="37"/>
      <c r="AV695" s="37"/>
      <c r="AW695" s="37"/>
    </row>
    <row r="696" spans="1:49" ht="15.75" customHeight="1" x14ac:dyDescent="0.25">
      <c r="A696" s="212"/>
      <c r="B696" s="21" t="s">
        <v>4582</v>
      </c>
      <c r="C696" s="198">
        <v>4</v>
      </c>
      <c r="D696" s="199" t="s">
        <v>4630</v>
      </c>
      <c r="E696" s="210" t="s">
        <v>4763</v>
      </c>
      <c r="F696" s="198" t="s">
        <v>4414</v>
      </c>
      <c r="G696" s="199">
        <v>2</v>
      </c>
      <c r="H696" s="213">
        <v>8</v>
      </c>
      <c r="I696" s="199"/>
      <c r="J696" s="217"/>
      <c r="K696" s="218" t="s">
        <v>45</v>
      </c>
      <c r="L696" s="214" t="s">
        <v>2069</v>
      </c>
      <c r="M696" s="200"/>
      <c r="N696" s="8" t="s">
        <v>38</v>
      </c>
      <c r="O696" s="215"/>
      <c r="P696" s="216"/>
      <c r="Q696" s="14">
        <f>Tabela1[[#This Row],[QTDE/ Fabricação]]-Tabela1[[#This Row],[QTE]]</f>
        <v>-4</v>
      </c>
      <c r="R696" s="18">
        <f t="shared" si="117"/>
        <v>8</v>
      </c>
      <c r="S696" s="18">
        <f t="shared" si="118"/>
        <v>8</v>
      </c>
      <c r="T696" s="19">
        <f t="shared" si="119"/>
        <v>0</v>
      </c>
      <c r="U696" s="16">
        <f>IFERROR(SUMIF('LISTA DE EMBARQUE'!B:B,MICRO!E:E,'LISTA DE EMBARQUE'!G:G),"")</f>
        <v>4</v>
      </c>
      <c r="V696" s="12">
        <f>IFERROR(VLOOKUP(Tabela1[[#This Row],[COD.MDE]],'LISTA DE EMBARQUE'!B:L,11,0),"")</f>
        <v>12</v>
      </c>
      <c r="W696" s="13" t="str">
        <f>IFERROR(COUNTIF(#REF!,Tabela1[[#This Row],[Colunas5]]),"")</f>
        <v/>
      </c>
      <c r="X696" s="14">
        <f>Tabela1[[#This Row],[QIANTIDADE EXPEDIDA]]*Tabela1[[#This Row],[PESO UNI]]</f>
        <v>8</v>
      </c>
      <c r="Y696" s="14">
        <f t="shared" si="120"/>
        <v>0</v>
      </c>
      <c r="Z696" s="20">
        <f>Tabela1[[#This Row],[PESO TOTAL]]-Tabela1[[#This Row],[Peso Expedido]]</f>
        <v>0</v>
      </c>
      <c r="AA696" s="17">
        <v>1</v>
      </c>
      <c r="AB696" s="33"/>
      <c r="AC696" s="33">
        <v>1</v>
      </c>
      <c r="AD696" s="33">
        <v>1</v>
      </c>
      <c r="AE696" s="33">
        <v>1</v>
      </c>
      <c r="AF696" s="33">
        <v>1</v>
      </c>
      <c r="AG696" s="33">
        <v>1</v>
      </c>
      <c r="AH696" s="33">
        <v>1</v>
      </c>
      <c r="AI696" s="33" t="s">
        <v>4512</v>
      </c>
      <c r="AQ696" s="203"/>
      <c r="AR696" s="37"/>
      <c r="AS696" s="37"/>
      <c r="AT696" s="37"/>
      <c r="AU696" s="37"/>
      <c r="AV696" s="37"/>
      <c r="AW696" s="37"/>
    </row>
    <row r="697" spans="1:49" ht="15.75" customHeight="1" x14ac:dyDescent="0.25">
      <c r="A697" s="212"/>
      <c r="B697" s="21" t="s">
        <v>4582</v>
      </c>
      <c r="C697" s="198">
        <v>1</v>
      </c>
      <c r="D697" s="199" t="s">
        <v>4631</v>
      </c>
      <c r="E697" s="210" t="s">
        <v>4764</v>
      </c>
      <c r="F697" s="198" t="s">
        <v>4414</v>
      </c>
      <c r="G697" s="199">
        <v>1.5</v>
      </c>
      <c r="H697" s="213">
        <v>1.5</v>
      </c>
      <c r="I697" s="199"/>
      <c r="J697" s="217"/>
      <c r="K697" s="218" t="s">
        <v>45</v>
      </c>
      <c r="L697" s="214" t="s">
        <v>2069</v>
      </c>
      <c r="M697" s="200"/>
      <c r="N697" s="8" t="s">
        <v>38</v>
      </c>
      <c r="O697" s="215"/>
      <c r="P697" s="216"/>
      <c r="Q697" s="14">
        <f>Tabela1[[#This Row],[QTDE/ Fabricação]]-Tabela1[[#This Row],[QTE]]</f>
        <v>-1</v>
      </c>
      <c r="R697" s="18">
        <f t="shared" si="117"/>
        <v>1.5</v>
      </c>
      <c r="S697" s="18">
        <f t="shared" si="118"/>
        <v>1.5</v>
      </c>
      <c r="T697" s="19">
        <f t="shared" si="119"/>
        <v>0</v>
      </c>
      <c r="U697" s="16">
        <f>IFERROR(SUMIF('LISTA DE EMBARQUE'!B:B,MICRO!E:E,'LISTA DE EMBARQUE'!G:G),"")</f>
        <v>1</v>
      </c>
      <c r="V697" s="12">
        <f>IFERROR(VLOOKUP(Tabela1[[#This Row],[COD.MDE]],'LISTA DE EMBARQUE'!B:L,11,0),"")</f>
        <v>12</v>
      </c>
      <c r="W697" s="13" t="str">
        <f>IFERROR(COUNTIF(#REF!,Tabela1[[#This Row],[Colunas5]]),"")</f>
        <v/>
      </c>
      <c r="X697" s="14">
        <f>Tabela1[[#This Row],[QIANTIDADE EXPEDIDA]]*Tabela1[[#This Row],[PESO UNI]]</f>
        <v>1.5</v>
      </c>
      <c r="Y697" s="14">
        <f t="shared" si="120"/>
        <v>0</v>
      </c>
      <c r="Z697" s="20">
        <f>Tabela1[[#This Row],[PESO TOTAL]]-Tabela1[[#This Row],[Peso Expedido]]</f>
        <v>0</v>
      </c>
      <c r="AA697" s="17">
        <v>1</v>
      </c>
      <c r="AB697" s="33"/>
      <c r="AC697" s="33">
        <v>1</v>
      </c>
      <c r="AD697" s="33">
        <v>1</v>
      </c>
      <c r="AE697" s="33">
        <v>1</v>
      </c>
      <c r="AF697" s="33">
        <v>1</v>
      </c>
      <c r="AG697" s="33">
        <v>1</v>
      </c>
      <c r="AH697" s="33">
        <v>1</v>
      </c>
      <c r="AI697" s="33" t="s">
        <v>4512</v>
      </c>
      <c r="AQ697" s="203"/>
      <c r="AR697" s="37"/>
      <c r="AS697" s="37"/>
      <c r="AT697" s="37"/>
      <c r="AU697" s="37"/>
      <c r="AV697" s="37"/>
      <c r="AW697" s="37"/>
    </row>
    <row r="698" spans="1:49" ht="15.75" customHeight="1" x14ac:dyDescent="0.25">
      <c r="A698" s="212"/>
      <c r="B698" s="21" t="s">
        <v>4582</v>
      </c>
      <c r="C698" s="198">
        <v>2</v>
      </c>
      <c r="D698" s="199" t="s">
        <v>4632</v>
      </c>
      <c r="E698" s="210" t="s">
        <v>4765</v>
      </c>
      <c r="F698" s="198" t="s">
        <v>4414</v>
      </c>
      <c r="G698" s="199">
        <v>1.8</v>
      </c>
      <c r="H698" s="213">
        <v>3.6</v>
      </c>
      <c r="I698" s="199"/>
      <c r="J698" s="217"/>
      <c r="K698" s="218" t="s">
        <v>45</v>
      </c>
      <c r="L698" s="214" t="s">
        <v>2069</v>
      </c>
      <c r="M698" s="200"/>
      <c r="N698" s="8" t="s">
        <v>38</v>
      </c>
      <c r="O698" s="215"/>
      <c r="P698" s="216"/>
      <c r="Q698" s="14">
        <f>Tabela1[[#This Row],[QTDE/ Fabricação]]-Tabela1[[#This Row],[QTE]]</f>
        <v>-2</v>
      </c>
      <c r="R698" s="18">
        <f t="shared" si="117"/>
        <v>3.6</v>
      </c>
      <c r="S698" s="18">
        <f t="shared" si="118"/>
        <v>3.6</v>
      </c>
      <c r="T698" s="19">
        <f t="shared" si="119"/>
        <v>0</v>
      </c>
      <c r="U698" s="16">
        <f>IFERROR(SUMIF('LISTA DE EMBARQUE'!B:B,MICRO!E:E,'LISTA DE EMBARQUE'!G:G),"")</f>
        <v>2</v>
      </c>
      <c r="V698" s="12">
        <f>IFERROR(VLOOKUP(Tabela1[[#This Row],[COD.MDE]],'LISTA DE EMBARQUE'!B:L,11,0),"")</f>
        <v>12</v>
      </c>
      <c r="W698" s="13" t="str">
        <f>IFERROR(COUNTIF(#REF!,Tabela1[[#This Row],[Colunas5]]),"")</f>
        <v/>
      </c>
      <c r="X698" s="14">
        <f>Tabela1[[#This Row],[QIANTIDADE EXPEDIDA]]*Tabela1[[#This Row],[PESO UNI]]</f>
        <v>3.6</v>
      </c>
      <c r="Y698" s="14">
        <f t="shared" si="120"/>
        <v>0</v>
      </c>
      <c r="Z698" s="20">
        <f>Tabela1[[#This Row],[PESO TOTAL]]-Tabela1[[#This Row],[Peso Expedido]]</f>
        <v>0</v>
      </c>
      <c r="AA698" s="17">
        <v>1</v>
      </c>
      <c r="AB698" s="33"/>
      <c r="AC698" s="33">
        <v>1</v>
      </c>
      <c r="AD698" s="33">
        <v>1</v>
      </c>
      <c r="AE698" s="33">
        <v>1</v>
      </c>
      <c r="AF698" s="33">
        <v>1</v>
      </c>
      <c r="AG698" s="33">
        <v>1</v>
      </c>
      <c r="AH698" s="33">
        <v>1</v>
      </c>
      <c r="AI698" s="33" t="s">
        <v>4512</v>
      </c>
      <c r="AQ698" s="203"/>
      <c r="AR698" s="37"/>
      <c r="AS698" s="37"/>
      <c r="AT698" s="37"/>
      <c r="AU698" s="37"/>
      <c r="AV698" s="37"/>
      <c r="AW698" s="37"/>
    </row>
    <row r="699" spans="1:49" ht="15.75" customHeight="1" x14ac:dyDescent="0.25">
      <c r="A699" s="212"/>
      <c r="B699" s="21" t="s">
        <v>4582</v>
      </c>
      <c r="C699" s="198">
        <v>1</v>
      </c>
      <c r="D699" s="199" t="s">
        <v>4633</v>
      </c>
      <c r="E699" s="210" t="s">
        <v>4766</v>
      </c>
      <c r="F699" s="198" t="s">
        <v>4414</v>
      </c>
      <c r="G699" s="199">
        <v>0.01</v>
      </c>
      <c r="H699" s="213">
        <v>0.01</v>
      </c>
      <c r="I699" s="199"/>
      <c r="J699" s="217"/>
      <c r="K699" s="218" t="s">
        <v>45</v>
      </c>
      <c r="L699" s="214" t="s">
        <v>2069</v>
      </c>
      <c r="M699" s="200"/>
      <c r="N699" s="8" t="s">
        <v>38</v>
      </c>
      <c r="O699" s="215"/>
      <c r="P699" s="216"/>
      <c r="Q699" s="14">
        <f>Tabela1[[#This Row],[QTDE/ Fabricação]]-Tabela1[[#This Row],[QTE]]</f>
        <v>-1</v>
      </c>
      <c r="R699" s="18">
        <f t="shared" si="117"/>
        <v>0.01</v>
      </c>
      <c r="S699" s="18">
        <f t="shared" si="118"/>
        <v>0.01</v>
      </c>
      <c r="T699" s="19">
        <f t="shared" si="119"/>
        <v>0</v>
      </c>
      <c r="U699" s="16">
        <f>IFERROR(SUMIF('LISTA DE EMBARQUE'!B:B,MICRO!E:E,'LISTA DE EMBARQUE'!G:G),"")</f>
        <v>1</v>
      </c>
      <c r="V699" s="12">
        <f>IFERROR(VLOOKUP(Tabela1[[#This Row],[COD.MDE]],'LISTA DE EMBARQUE'!B:L,11,0),"")</f>
        <v>12</v>
      </c>
      <c r="W699" s="13" t="str">
        <f>IFERROR(COUNTIF(#REF!,Tabela1[[#This Row],[Colunas5]]),"")</f>
        <v/>
      </c>
      <c r="X699" s="14">
        <f>Tabela1[[#This Row],[QIANTIDADE EXPEDIDA]]*Tabela1[[#This Row],[PESO UNI]]</f>
        <v>0.01</v>
      </c>
      <c r="Y699" s="14">
        <f t="shared" si="120"/>
        <v>0</v>
      </c>
      <c r="Z699" s="20">
        <f>Tabela1[[#This Row],[PESO TOTAL]]-Tabela1[[#This Row],[Peso Expedido]]</f>
        <v>0</v>
      </c>
      <c r="AA699" s="17">
        <v>1</v>
      </c>
      <c r="AB699" s="33"/>
      <c r="AC699" s="33">
        <v>1</v>
      </c>
      <c r="AD699" s="33">
        <v>1</v>
      </c>
      <c r="AE699" s="33">
        <v>1</v>
      </c>
      <c r="AF699" s="33">
        <v>1</v>
      </c>
      <c r="AG699" s="33">
        <v>1</v>
      </c>
      <c r="AH699" s="33">
        <v>1</v>
      </c>
      <c r="AI699" s="33" t="s">
        <v>4512</v>
      </c>
      <c r="AQ699" s="203"/>
      <c r="AR699" s="37"/>
      <c r="AS699" s="37"/>
      <c r="AT699" s="37"/>
      <c r="AU699" s="37"/>
      <c r="AV699" s="37"/>
      <c r="AW699" s="37"/>
    </row>
    <row r="700" spans="1:49" ht="15.75" customHeight="1" x14ac:dyDescent="0.25">
      <c r="A700" s="212"/>
      <c r="B700" s="21" t="s">
        <v>4582</v>
      </c>
      <c r="C700" s="198">
        <v>2</v>
      </c>
      <c r="D700" s="199" t="s">
        <v>4632</v>
      </c>
      <c r="E700" s="210" t="s">
        <v>4767</v>
      </c>
      <c r="F700" s="198" t="s">
        <v>4414</v>
      </c>
      <c r="G700" s="199">
        <v>1.8</v>
      </c>
      <c r="H700" s="213">
        <v>3.6</v>
      </c>
      <c r="I700" s="199"/>
      <c r="J700" s="217"/>
      <c r="K700" s="218" t="s">
        <v>45</v>
      </c>
      <c r="L700" s="214" t="s">
        <v>2069</v>
      </c>
      <c r="M700" s="200"/>
      <c r="N700" s="8" t="s">
        <v>38</v>
      </c>
      <c r="O700" s="215"/>
      <c r="P700" s="216"/>
      <c r="Q700" s="14">
        <f>Tabela1[[#This Row],[QTDE/ Fabricação]]-Tabela1[[#This Row],[QTE]]</f>
        <v>-2</v>
      </c>
      <c r="R700" s="18">
        <f t="shared" si="117"/>
        <v>3.6</v>
      </c>
      <c r="S700" s="18">
        <f t="shared" si="118"/>
        <v>3.6</v>
      </c>
      <c r="T700" s="19">
        <f t="shared" si="119"/>
        <v>0</v>
      </c>
      <c r="U700" s="16">
        <f>IFERROR(SUMIF('LISTA DE EMBARQUE'!B:B,MICRO!E:E,'LISTA DE EMBARQUE'!G:G),"")</f>
        <v>2</v>
      </c>
      <c r="V700" s="12">
        <f>IFERROR(VLOOKUP(Tabela1[[#This Row],[COD.MDE]],'LISTA DE EMBARQUE'!B:L,11,0),"")</f>
        <v>12</v>
      </c>
      <c r="W700" s="13" t="str">
        <f>IFERROR(COUNTIF(#REF!,Tabela1[[#This Row],[Colunas5]]),"")</f>
        <v/>
      </c>
      <c r="X700" s="14">
        <f>Tabela1[[#This Row],[QIANTIDADE EXPEDIDA]]*Tabela1[[#This Row],[PESO UNI]]</f>
        <v>3.6</v>
      </c>
      <c r="Y700" s="14">
        <f t="shared" si="120"/>
        <v>0</v>
      </c>
      <c r="Z700" s="20">
        <f>Tabela1[[#This Row],[PESO TOTAL]]-Tabela1[[#This Row],[Peso Expedido]]</f>
        <v>0</v>
      </c>
      <c r="AA700" s="17">
        <v>1</v>
      </c>
      <c r="AB700" s="33"/>
      <c r="AC700" s="33">
        <v>1</v>
      </c>
      <c r="AD700" s="33">
        <v>1</v>
      </c>
      <c r="AE700" s="33">
        <v>1</v>
      </c>
      <c r="AF700" s="33">
        <v>1</v>
      </c>
      <c r="AG700" s="33">
        <v>1</v>
      </c>
      <c r="AH700" s="33">
        <v>1</v>
      </c>
      <c r="AI700" s="33" t="s">
        <v>4512</v>
      </c>
      <c r="AQ700" s="203"/>
      <c r="AR700" s="37"/>
      <c r="AS700" s="37"/>
      <c r="AT700" s="37"/>
      <c r="AU700" s="37"/>
      <c r="AV700" s="37"/>
      <c r="AW700" s="37"/>
    </row>
    <row r="701" spans="1:49" ht="15.75" customHeight="1" x14ac:dyDescent="0.25">
      <c r="A701" s="212"/>
      <c r="B701" s="21" t="s">
        <v>4582</v>
      </c>
      <c r="C701" s="198">
        <v>1</v>
      </c>
      <c r="D701" s="199" t="s">
        <v>4633</v>
      </c>
      <c r="E701" s="210" t="s">
        <v>4768</v>
      </c>
      <c r="F701" s="198" t="s">
        <v>4414</v>
      </c>
      <c r="G701" s="199">
        <v>0.01</v>
      </c>
      <c r="H701" s="213">
        <v>0.01</v>
      </c>
      <c r="I701" s="199"/>
      <c r="J701" s="217"/>
      <c r="K701" s="218" t="s">
        <v>45</v>
      </c>
      <c r="L701" s="214" t="s">
        <v>2069</v>
      </c>
      <c r="M701" s="200"/>
      <c r="N701" s="8" t="s">
        <v>38</v>
      </c>
      <c r="O701" s="215"/>
      <c r="P701" s="216"/>
      <c r="Q701" s="14">
        <f>Tabela1[[#This Row],[QTDE/ Fabricação]]-Tabela1[[#This Row],[QTE]]</f>
        <v>-1</v>
      </c>
      <c r="R701" s="18">
        <f t="shared" si="117"/>
        <v>0.01</v>
      </c>
      <c r="S701" s="18">
        <f t="shared" si="118"/>
        <v>0.01</v>
      </c>
      <c r="T701" s="19">
        <f t="shared" si="119"/>
        <v>0</v>
      </c>
      <c r="U701" s="16">
        <f>IFERROR(SUMIF('LISTA DE EMBARQUE'!B:B,MICRO!E:E,'LISTA DE EMBARQUE'!G:G),"")</f>
        <v>1</v>
      </c>
      <c r="V701" s="12">
        <f>IFERROR(VLOOKUP(Tabela1[[#This Row],[COD.MDE]],'LISTA DE EMBARQUE'!B:L,11,0),"")</f>
        <v>12</v>
      </c>
      <c r="W701" s="13" t="str">
        <f>IFERROR(COUNTIF(#REF!,Tabela1[[#This Row],[Colunas5]]),"")</f>
        <v/>
      </c>
      <c r="X701" s="14">
        <f>Tabela1[[#This Row],[QIANTIDADE EXPEDIDA]]*Tabela1[[#This Row],[PESO UNI]]</f>
        <v>0.01</v>
      </c>
      <c r="Y701" s="14">
        <f t="shared" si="120"/>
        <v>0</v>
      </c>
      <c r="Z701" s="20">
        <f>Tabela1[[#This Row],[PESO TOTAL]]-Tabela1[[#This Row],[Peso Expedido]]</f>
        <v>0</v>
      </c>
      <c r="AA701" s="17">
        <v>1</v>
      </c>
      <c r="AB701" s="33"/>
      <c r="AC701" s="33">
        <v>1</v>
      </c>
      <c r="AD701" s="33">
        <v>1</v>
      </c>
      <c r="AE701" s="33">
        <v>1</v>
      </c>
      <c r="AF701" s="33">
        <v>1</v>
      </c>
      <c r="AG701" s="33">
        <v>1</v>
      </c>
      <c r="AH701" s="33">
        <v>1</v>
      </c>
      <c r="AI701" s="33" t="s">
        <v>4512</v>
      </c>
      <c r="AQ701" s="203"/>
      <c r="AR701" s="37"/>
      <c r="AS701" s="37"/>
      <c r="AT701" s="37"/>
      <c r="AU701" s="37"/>
      <c r="AV701" s="37"/>
      <c r="AW701" s="37"/>
    </row>
    <row r="702" spans="1:49" ht="15.75" customHeight="1" x14ac:dyDescent="0.25">
      <c r="A702" s="212"/>
      <c r="B702" s="21" t="s">
        <v>3773</v>
      </c>
      <c r="C702" s="198">
        <v>32</v>
      </c>
      <c r="D702" s="199" t="s">
        <v>4634</v>
      </c>
      <c r="E702" s="210" t="s">
        <v>4769</v>
      </c>
      <c r="F702" s="198" t="s">
        <v>4414</v>
      </c>
      <c r="G702" s="199">
        <v>0.02</v>
      </c>
      <c r="H702" s="213">
        <v>0.64</v>
      </c>
      <c r="I702" s="199"/>
      <c r="J702" s="217"/>
      <c r="K702" s="218" t="s">
        <v>45</v>
      </c>
      <c r="L702" s="214" t="s">
        <v>2069</v>
      </c>
      <c r="M702" s="200"/>
      <c r="N702" s="8" t="s">
        <v>38</v>
      </c>
      <c r="O702" s="215"/>
      <c r="P702" s="216"/>
      <c r="Q702" s="14">
        <f>Tabela1[[#This Row],[QTDE/ Fabricação]]-Tabela1[[#This Row],[QTE]]</f>
        <v>-32</v>
      </c>
      <c r="R702" s="18">
        <f t="shared" si="117"/>
        <v>0.64</v>
      </c>
      <c r="S702" s="18">
        <f t="shared" si="118"/>
        <v>0.64</v>
      </c>
      <c r="T702" s="19">
        <f t="shared" si="119"/>
        <v>0</v>
      </c>
      <c r="U702" s="16">
        <f>IFERROR(SUMIF('LISTA DE EMBARQUE'!B:B,MICRO!E:E,'LISTA DE EMBARQUE'!G:G),"")</f>
        <v>32</v>
      </c>
      <c r="V702" s="12">
        <f>IFERROR(VLOOKUP(Tabela1[[#This Row],[COD.MDE]],'LISTA DE EMBARQUE'!B:L,11,0),"")</f>
        <v>12</v>
      </c>
      <c r="W702" s="13" t="str">
        <f>IFERROR(COUNTIF(#REF!,Tabela1[[#This Row],[Colunas5]]),"")</f>
        <v/>
      </c>
      <c r="X702" s="14">
        <f>Tabela1[[#This Row],[QIANTIDADE EXPEDIDA]]*Tabela1[[#This Row],[PESO UNI]]</f>
        <v>0.64</v>
      </c>
      <c r="Y702" s="14">
        <f t="shared" si="120"/>
        <v>0</v>
      </c>
      <c r="Z702" s="20">
        <f>Tabela1[[#This Row],[PESO TOTAL]]-Tabela1[[#This Row],[Peso Expedido]]</f>
        <v>0</v>
      </c>
      <c r="AA702" s="17">
        <v>1</v>
      </c>
      <c r="AB702" s="33"/>
      <c r="AC702" s="33">
        <v>1</v>
      </c>
      <c r="AD702" s="33">
        <v>1</v>
      </c>
      <c r="AE702" s="33">
        <v>1</v>
      </c>
      <c r="AF702" s="33">
        <v>1</v>
      </c>
      <c r="AG702" s="33">
        <v>1</v>
      </c>
      <c r="AH702" s="33">
        <v>1</v>
      </c>
      <c r="AI702" s="33" t="s">
        <v>4512</v>
      </c>
      <c r="AQ702" s="203"/>
      <c r="AR702" s="37"/>
      <c r="AS702" s="37"/>
      <c r="AT702" s="37"/>
      <c r="AU702" s="37"/>
      <c r="AV702" s="37"/>
      <c r="AW702" s="37"/>
    </row>
    <row r="703" spans="1:49" ht="15.75" customHeight="1" x14ac:dyDescent="0.25">
      <c r="A703" s="212"/>
      <c r="B703" s="21" t="s">
        <v>4166</v>
      </c>
      <c r="C703" s="198">
        <v>216</v>
      </c>
      <c r="D703" s="199" t="s">
        <v>4635</v>
      </c>
      <c r="E703" s="210" t="s">
        <v>4770</v>
      </c>
      <c r="F703" s="198" t="s">
        <v>4414</v>
      </c>
      <c r="G703" s="199">
        <v>0.05</v>
      </c>
      <c r="H703" s="213">
        <v>10.8</v>
      </c>
      <c r="I703" s="199"/>
      <c r="J703" s="217"/>
      <c r="K703" s="218" t="s">
        <v>45</v>
      </c>
      <c r="L703" s="214" t="s">
        <v>2069</v>
      </c>
      <c r="M703" s="200"/>
      <c r="N703" s="8" t="s">
        <v>38</v>
      </c>
      <c r="O703" s="215"/>
      <c r="P703" s="216"/>
      <c r="Q703" s="14">
        <f>Tabela1[[#This Row],[QTDE/ Fabricação]]-Tabela1[[#This Row],[QTE]]</f>
        <v>-216</v>
      </c>
      <c r="R703" s="18">
        <f t="shared" si="117"/>
        <v>10.8</v>
      </c>
      <c r="S703" s="18">
        <f t="shared" si="118"/>
        <v>10.8</v>
      </c>
      <c r="T703" s="19">
        <f t="shared" si="119"/>
        <v>0</v>
      </c>
      <c r="U703" s="16">
        <f>IFERROR(SUMIF('LISTA DE EMBARQUE'!B:B,MICRO!E:E,'LISTA DE EMBARQUE'!G:G),"")</f>
        <v>216</v>
      </c>
      <c r="V703" s="12">
        <f>IFERROR(VLOOKUP(Tabela1[[#This Row],[COD.MDE]],'LISTA DE EMBARQUE'!B:L,11,0),"")</f>
        <v>12</v>
      </c>
      <c r="W703" s="13" t="str">
        <f>IFERROR(COUNTIF(#REF!,Tabela1[[#This Row],[Colunas5]]),"")</f>
        <v/>
      </c>
      <c r="X703" s="14">
        <f>Tabela1[[#This Row],[QIANTIDADE EXPEDIDA]]*Tabela1[[#This Row],[PESO UNI]]</f>
        <v>10.8</v>
      </c>
      <c r="Y703" s="14">
        <f t="shared" si="120"/>
        <v>0</v>
      </c>
      <c r="Z703" s="20">
        <f>Tabela1[[#This Row],[PESO TOTAL]]-Tabela1[[#This Row],[Peso Expedido]]</f>
        <v>0</v>
      </c>
      <c r="AA703" s="17">
        <v>1</v>
      </c>
      <c r="AB703" s="33"/>
      <c r="AC703" s="33">
        <v>1</v>
      </c>
      <c r="AD703" s="33">
        <v>1</v>
      </c>
      <c r="AE703" s="33">
        <v>1</v>
      </c>
      <c r="AF703" s="33">
        <v>1</v>
      </c>
      <c r="AG703" s="33">
        <v>1</v>
      </c>
      <c r="AH703" s="33">
        <v>1</v>
      </c>
      <c r="AI703" s="33" t="s">
        <v>4512</v>
      </c>
      <c r="AQ703" s="203"/>
      <c r="AR703" s="37"/>
      <c r="AS703" s="37"/>
      <c r="AT703" s="37"/>
      <c r="AU703" s="37"/>
      <c r="AV703" s="37"/>
      <c r="AW703" s="37"/>
    </row>
    <row r="704" spans="1:49" ht="15.75" customHeight="1" x14ac:dyDescent="0.25">
      <c r="A704" s="212"/>
      <c r="B704" s="21" t="s">
        <v>4204</v>
      </c>
      <c r="C704" s="198">
        <v>208</v>
      </c>
      <c r="D704" s="199" t="s">
        <v>4635</v>
      </c>
      <c r="E704" s="210" t="s">
        <v>4771</v>
      </c>
      <c r="F704" s="198" t="s">
        <v>4414</v>
      </c>
      <c r="G704" s="199">
        <v>0.05</v>
      </c>
      <c r="H704" s="213">
        <v>10.4</v>
      </c>
      <c r="I704" s="199"/>
      <c r="J704" s="217"/>
      <c r="K704" s="218" t="s">
        <v>45</v>
      </c>
      <c r="L704" s="214" t="s">
        <v>2069</v>
      </c>
      <c r="M704" s="200"/>
      <c r="N704" s="8" t="s">
        <v>38</v>
      </c>
      <c r="O704" s="215"/>
      <c r="P704" s="216"/>
      <c r="Q704" s="14">
        <f>Tabela1[[#This Row],[QTDE/ Fabricação]]-Tabela1[[#This Row],[QTE]]</f>
        <v>-208</v>
      </c>
      <c r="R704" s="18">
        <f t="shared" si="117"/>
        <v>10.4</v>
      </c>
      <c r="S704" s="18">
        <f t="shared" si="118"/>
        <v>10.4</v>
      </c>
      <c r="T704" s="19">
        <f t="shared" si="119"/>
        <v>0</v>
      </c>
      <c r="U704" s="16">
        <f>IFERROR(SUMIF('LISTA DE EMBARQUE'!B:B,MICRO!E:E,'LISTA DE EMBARQUE'!G:G),"")</f>
        <v>208</v>
      </c>
      <c r="V704" s="12">
        <f>IFERROR(VLOOKUP(Tabela1[[#This Row],[COD.MDE]],'LISTA DE EMBARQUE'!B:L,11,0),"")</f>
        <v>12</v>
      </c>
      <c r="W704" s="13" t="str">
        <f>IFERROR(COUNTIF(#REF!,Tabela1[[#This Row],[Colunas5]]),"")</f>
        <v/>
      </c>
      <c r="X704" s="14">
        <f>Tabela1[[#This Row],[QIANTIDADE EXPEDIDA]]*Tabela1[[#This Row],[PESO UNI]]</f>
        <v>10.4</v>
      </c>
      <c r="Y704" s="14">
        <f t="shared" si="120"/>
        <v>0</v>
      </c>
      <c r="Z704" s="20">
        <f>Tabela1[[#This Row],[PESO TOTAL]]-Tabela1[[#This Row],[Peso Expedido]]</f>
        <v>0</v>
      </c>
      <c r="AA704" s="17">
        <v>1</v>
      </c>
      <c r="AB704" s="33"/>
      <c r="AC704" s="33">
        <v>1</v>
      </c>
      <c r="AD704" s="33">
        <v>1</v>
      </c>
      <c r="AE704" s="33">
        <v>1</v>
      </c>
      <c r="AF704" s="33">
        <v>1</v>
      </c>
      <c r="AG704" s="33">
        <v>1</v>
      </c>
      <c r="AH704" s="33">
        <v>1</v>
      </c>
      <c r="AI704" s="33" t="s">
        <v>4512</v>
      </c>
      <c r="AQ704" s="203"/>
      <c r="AR704" s="37"/>
      <c r="AS704" s="37"/>
      <c r="AT704" s="37"/>
      <c r="AU704" s="37"/>
      <c r="AV704" s="37"/>
      <c r="AW704" s="37"/>
    </row>
    <row r="705" spans="1:49" ht="15.75" customHeight="1" x14ac:dyDescent="0.25">
      <c r="A705" s="212"/>
      <c r="B705" s="21" t="s">
        <v>4636</v>
      </c>
      <c r="C705" s="198">
        <v>1</v>
      </c>
      <c r="D705" s="199" t="s">
        <v>4637</v>
      </c>
      <c r="E705" s="210" t="s">
        <v>4772</v>
      </c>
      <c r="F705" s="198" t="s">
        <v>4414</v>
      </c>
      <c r="G705" s="199"/>
      <c r="H705" s="213">
        <v>0</v>
      </c>
      <c r="I705" s="199"/>
      <c r="J705" s="217"/>
      <c r="K705" s="218" t="s">
        <v>45</v>
      </c>
      <c r="L705" s="214" t="s">
        <v>2069</v>
      </c>
      <c r="M705" s="200"/>
      <c r="N705" s="8" t="s">
        <v>38</v>
      </c>
      <c r="O705" s="215"/>
      <c r="P705" s="216"/>
      <c r="Q705" s="14">
        <f>Tabela1[[#This Row],[QTDE/ Fabricação]]-Tabela1[[#This Row],[QTE]]</f>
        <v>-1</v>
      </c>
      <c r="R705" s="18">
        <f t="shared" si="117"/>
        <v>0</v>
      </c>
      <c r="S705" s="18">
        <f t="shared" si="118"/>
        <v>0</v>
      </c>
      <c r="T705" s="19">
        <f t="shared" si="119"/>
        <v>0</v>
      </c>
      <c r="U705" s="16">
        <f>IFERROR(SUMIF('LISTA DE EMBARQUE'!B:B,MICRO!E:E,'LISTA DE EMBARQUE'!G:G),"")</f>
        <v>1</v>
      </c>
      <c r="V705" s="12">
        <f>IFERROR(VLOOKUP(Tabela1[[#This Row],[COD.MDE]],'LISTA DE EMBARQUE'!B:L,11,0),"")</f>
        <v>12</v>
      </c>
      <c r="W705" s="13" t="str">
        <f>IFERROR(COUNTIF(#REF!,Tabela1[[#This Row],[Colunas5]]),"")</f>
        <v/>
      </c>
      <c r="X705" s="14">
        <f>Tabela1[[#This Row],[QIANTIDADE EXPEDIDA]]*Tabela1[[#This Row],[PESO UNI]]</f>
        <v>0</v>
      </c>
      <c r="Y705" s="14">
        <f t="shared" si="120"/>
        <v>0</v>
      </c>
      <c r="Z705" s="20">
        <f>Tabela1[[#This Row],[PESO TOTAL]]-Tabela1[[#This Row],[Peso Expedido]]</f>
        <v>0</v>
      </c>
      <c r="AA705" s="17">
        <v>1</v>
      </c>
      <c r="AB705" s="33"/>
      <c r="AC705" s="33">
        <v>1</v>
      </c>
      <c r="AD705" s="33">
        <v>1</v>
      </c>
      <c r="AE705" s="33">
        <v>1</v>
      </c>
      <c r="AF705" s="33">
        <v>1</v>
      </c>
      <c r="AG705" s="33">
        <v>1</v>
      </c>
      <c r="AH705" s="33">
        <v>1</v>
      </c>
      <c r="AI705" s="33" t="s">
        <v>4512</v>
      </c>
      <c r="AQ705" s="203"/>
      <c r="AR705" s="37"/>
      <c r="AS705" s="37"/>
      <c r="AT705" s="37"/>
      <c r="AU705" s="37"/>
      <c r="AV705" s="37"/>
      <c r="AW705" s="37"/>
    </row>
    <row r="706" spans="1:49" ht="15.75" customHeight="1" x14ac:dyDescent="0.25">
      <c r="A706" s="212"/>
      <c r="B706" s="21" t="s">
        <v>4636</v>
      </c>
      <c r="C706" s="198">
        <v>1</v>
      </c>
      <c r="D706" s="199" t="s">
        <v>4637</v>
      </c>
      <c r="E706" s="210" t="s">
        <v>4773</v>
      </c>
      <c r="F706" s="198" t="s">
        <v>4414</v>
      </c>
      <c r="G706" s="199"/>
      <c r="H706" s="213">
        <v>0</v>
      </c>
      <c r="I706" s="199"/>
      <c r="J706" s="217"/>
      <c r="K706" s="218" t="s">
        <v>45</v>
      </c>
      <c r="L706" s="214" t="s">
        <v>2069</v>
      </c>
      <c r="M706" s="200"/>
      <c r="N706" s="8" t="s">
        <v>38</v>
      </c>
      <c r="O706" s="215"/>
      <c r="P706" s="216"/>
      <c r="Q706" s="14">
        <f>Tabela1[[#This Row],[QTDE/ Fabricação]]-Tabela1[[#This Row],[QTE]]</f>
        <v>-1</v>
      </c>
      <c r="R706" s="18">
        <f t="shared" si="117"/>
        <v>0</v>
      </c>
      <c r="S706" s="18">
        <f t="shared" si="118"/>
        <v>0</v>
      </c>
      <c r="T706" s="19">
        <f t="shared" si="119"/>
        <v>0</v>
      </c>
      <c r="U706" s="16">
        <f>IFERROR(SUMIF('LISTA DE EMBARQUE'!B:B,MICRO!E:E,'LISTA DE EMBARQUE'!G:G),"")</f>
        <v>1</v>
      </c>
      <c r="V706" s="12">
        <f>IFERROR(VLOOKUP(Tabela1[[#This Row],[COD.MDE]],'LISTA DE EMBARQUE'!B:L,11,0),"")</f>
        <v>12</v>
      </c>
      <c r="W706" s="13" t="str">
        <f>IFERROR(COUNTIF(#REF!,Tabela1[[#This Row],[Colunas5]]),"")</f>
        <v/>
      </c>
      <c r="X706" s="14">
        <f>Tabela1[[#This Row],[QIANTIDADE EXPEDIDA]]*Tabela1[[#This Row],[PESO UNI]]</f>
        <v>0</v>
      </c>
      <c r="Y706" s="14">
        <f t="shared" si="120"/>
        <v>0</v>
      </c>
      <c r="Z706" s="20">
        <f>Tabela1[[#This Row],[PESO TOTAL]]-Tabela1[[#This Row],[Peso Expedido]]</f>
        <v>0</v>
      </c>
      <c r="AA706" s="17">
        <v>1</v>
      </c>
      <c r="AB706" s="33"/>
      <c r="AC706" s="33">
        <v>1</v>
      </c>
      <c r="AD706" s="33">
        <v>1</v>
      </c>
      <c r="AE706" s="33">
        <v>1</v>
      </c>
      <c r="AF706" s="33">
        <v>1</v>
      </c>
      <c r="AG706" s="33">
        <v>1</v>
      </c>
      <c r="AH706" s="33">
        <v>1</v>
      </c>
      <c r="AI706" s="33" t="s">
        <v>4512</v>
      </c>
      <c r="AQ706" s="203"/>
      <c r="AR706" s="37"/>
      <c r="AS706" s="37"/>
      <c r="AT706" s="37"/>
      <c r="AU706" s="37"/>
      <c r="AV706" s="37"/>
      <c r="AW706" s="37"/>
    </row>
    <row r="707" spans="1:49" ht="15.75" customHeight="1" x14ac:dyDescent="0.25">
      <c r="A707" s="212"/>
      <c r="B707" s="21" t="s">
        <v>4636</v>
      </c>
      <c r="C707" s="198">
        <v>1</v>
      </c>
      <c r="D707" s="199" t="s">
        <v>4638</v>
      </c>
      <c r="E707" s="210" t="s">
        <v>4774</v>
      </c>
      <c r="F707" s="198" t="s">
        <v>4414</v>
      </c>
      <c r="G707" s="199">
        <v>1800</v>
      </c>
      <c r="H707" s="213">
        <v>1800</v>
      </c>
      <c r="I707" s="199"/>
      <c r="J707" s="217"/>
      <c r="K707" s="218" t="s">
        <v>45</v>
      </c>
      <c r="L707" s="214" t="s">
        <v>2069</v>
      </c>
      <c r="M707" s="200"/>
      <c r="N707" s="8" t="s">
        <v>38</v>
      </c>
      <c r="O707" s="215"/>
      <c r="P707" s="216"/>
      <c r="Q707" s="14">
        <f>Tabela1[[#This Row],[QTDE/ Fabricação]]-Tabela1[[#This Row],[QTE]]</f>
        <v>-1</v>
      </c>
      <c r="R707" s="18">
        <f t="shared" si="117"/>
        <v>1800</v>
      </c>
      <c r="S707" s="18">
        <f t="shared" si="118"/>
        <v>1800</v>
      </c>
      <c r="T707" s="19">
        <f t="shared" si="119"/>
        <v>0</v>
      </c>
      <c r="U707" s="16">
        <f>IFERROR(SUMIF('LISTA DE EMBARQUE'!B:B,MICRO!E:E,'LISTA DE EMBARQUE'!G:G),"")</f>
        <v>1</v>
      </c>
      <c r="V707" s="12">
        <f>IFERROR(VLOOKUP(Tabela1[[#This Row],[COD.MDE]],'LISTA DE EMBARQUE'!B:L,11,0),"")</f>
        <v>12</v>
      </c>
      <c r="W707" s="13" t="str">
        <f>IFERROR(COUNTIF(#REF!,Tabela1[[#This Row],[Colunas5]]),"")</f>
        <v/>
      </c>
      <c r="X707" s="14">
        <f>Tabela1[[#This Row],[QIANTIDADE EXPEDIDA]]*Tabela1[[#This Row],[PESO UNI]]</f>
        <v>1800</v>
      </c>
      <c r="Y707" s="14">
        <f t="shared" si="120"/>
        <v>0</v>
      </c>
      <c r="Z707" s="20">
        <f>Tabela1[[#This Row],[PESO TOTAL]]-Tabela1[[#This Row],[Peso Expedido]]</f>
        <v>0</v>
      </c>
      <c r="AA707" s="17">
        <v>1</v>
      </c>
      <c r="AB707" s="33"/>
      <c r="AC707" s="33">
        <v>1</v>
      </c>
      <c r="AD707" s="33">
        <v>1</v>
      </c>
      <c r="AE707" s="33">
        <v>1</v>
      </c>
      <c r="AF707" s="33">
        <v>1</v>
      </c>
      <c r="AG707" s="33">
        <v>1</v>
      </c>
      <c r="AH707" s="33">
        <v>1</v>
      </c>
      <c r="AI707" s="33" t="s">
        <v>4512</v>
      </c>
      <c r="AQ707" s="203"/>
      <c r="AR707" s="37"/>
      <c r="AS707" s="37"/>
      <c r="AT707" s="37"/>
      <c r="AU707" s="37"/>
      <c r="AV707" s="37"/>
      <c r="AW707" s="37"/>
    </row>
    <row r="708" spans="1:49" ht="15.75" customHeight="1" x14ac:dyDescent="0.25">
      <c r="A708" s="212"/>
      <c r="B708" s="21" t="s">
        <v>4636</v>
      </c>
      <c r="C708" s="198">
        <v>1</v>
      </c>
      <c r="D708" s="199" t="s">
        <v>4638</v>
      </c>
      <c r="E708" s="210" t="s">
        <v>4775</v>
      </c>
      <c r="F708" s="198" t="s">
        <v>4414</v>
      </c>
      <c r="G708" s="199">
        <v>1800</v>
      </c>
      <c r="H708" s="213">
        <v>1800</v>
      </c>
      <c r="I708" s="199"/>
      <c r="J708" s="217"/>
      <c r="K708" s="218" t="s">
        <v>45</v>
      </c>
      <c r="L708" s="214" t="s">
        <v>2069</v>
      </c>
      <c r="M708" s="200"/>
      <c r="N708" s="8" t="s">
        <v>38</v>
      </c>
      <c r="O708" s="215"/>
      <c r="P708" s="216"/>
      <c r="Q708" s="14">
        <f>Tabela1[[#This Row],[QTDE/ Fabricação]]-Tabela1[[#This Row],[QTE]]</f>
        <v>-1</v>
      </c>
      <c r="R708" s="18">
        <f t="shared" si="117"/>
        <v>1800</v>
      </c>
      <c r="S708" s="18">
        <f t="shared" si="118"/>
        <v>1800</v>
      </c>
      <c r="T708" s="19">
        <f t="shared" si="119"/>
        <v>0</v>
      </c>
      <c r="U708" s="16">
        <f>IFERROR(SUMIF('LISTA DE EMBARQUE'!B:B,MICRO!E:E,'LISTA DE EMBARQUE'!G:G),"")</f>
        <v>1</v>
      </c>
      <c r="V708" s="12">
        <f>IFERROR(VLOOKUP(Tabela1[[#This Row],[COD.MDE]],'LISTA DE EMBARQUE'!B:L,11,0),"")</f>
        <v>12</v>
      </c>
      <c r="W708" s="13" t="str">
        <f>IFERROR(COUNTIF(#REF!,Tabela1[[#This Row],[Colunas5]]),"")</f>
        <v/>
      </c>
      <c r="X708" s="14">
        <f>Tabela1[[#This Row],[QIANTIDADE EXPEDIDA]]*Tabela1[[#This Row],[PESO UNI]]</f>
        <v>1800</v>
      </c>
      <c r="Y708" s="14">
        <f t="shared" si="120"/>
        <v>0</v>
      </c>
      <c r="Z708" s="20">
        <f>Tabela1[[#This Row],[PESO TOTAL]]-Tabela1[[#This Row],[Peso Expedido]]</f>
        <v>0</v>
      </c>
      <c r="AA708" s="17">
        <v>1</v>
      </c>
      <c r="AB708" s="33"/>
      <c r="AC708" s="33">
        <v>1</v>
      </c>
      <c r="AD708" s="33">
        <v>1</v>
      </c>
      <c r="AE708" s="33">
        <v>1</v>
      </c>
      <c r="AF708" s="33">
        <v>1</v>
      </c>
      <c r="AG708" s="33">
        <v>1</v>
      </c>
      <c r="AH708" s="33">
        <v>1</v>
      </c>
      <c r="AI708" s="33" t="s">
        <v>4512</v>
      </c>
      <c r="AQ708" s="203"/>
      <c r="AR708" s="37"/>
      <c r="AS708" s="37"/>
      <c r="AT708" s="37"/>
      <c r="AU708" s="37"/>
      <c r="AV708" s="37"/>
      <c r="AW708" s="37"/>
    </row>
    <row r="709" spans="1:49" ht="15.75" customHeight="1" x14ac:dyDescent="0.25">
      <c r="A709" s="212"/>
      <c r="B709" s="21" t="s">
        <v>3802</v>
      </c>
      <c r="C709" s="198">
        <v>232</v>
      </c>
      <c r="D709" s="199" t="s">
        <v>4639</v>
      </c>
      <c r="E709" s="210" t="s">
        <v>4776</v>
      </c>
      <c r="F709" s="198" t="s">
        <v>4414</v>
      </c>
      <c r="G709" s="199">
        <v>0.188</v>
      </c>
      <c r="H709" s="213">
        <v>43.616</v>
      </c>
      <c r="I709" s="199"/>
      <c r="J709" s="217"/>
      <c r="K709" s="218" t="s">
        <v>45</v>
      </c>
      <c r="L709" s="214" t="s">
        <v>2069</v>
      </c>
      <c r="M709" s="200"/>
      <c r="N709" s="8" t="s">
        <v>38</v>
      </c>
      <c r="O709" s="215"/>
      <c r="P709" s="216"/>
      <c r="Q709" s="14">
        <f>Tabela1[[#This Row],[QTDE/ Fabricação]]-Tabela1[[#This Row],[QTE]]</f>
        <v>-232</v>
      </c>
      <c r="R709" s="18">
        <f t="shared" si="117"/>
        <v>43.616</v>
      </c>
      <c r="S709" s="18">
        <f t="shared" si="118"/>
        <v>43.616</v>
      </c>
      <c r="T709" s="19">
        <f t="shared" si="119"/>
        <v>0</v>
      </c>
      <c r="U709" s="16">
        <f>IFERROR(SUMIF('LISTA DE EMBARQUE'!B:B,MICRO!E:E,'LISTA DE EMBARQUE'!G:G),"")</f>
        <v>232</v>
      </c>
      <c r="V709" s="12">
        <f>IFERROR(VLOOKUP(Tabela1[[#This Row],[COD.MDE]],'LISTA DE EMBARQUE'!B:L,11,0),"")</f>
        <v>12</v>
      </c>
      <c r="W709" s="13" t="str">
        <f>IFERROR(COUNTIF(#REF!,Tabela1[[#This Row],[Colunas5]]),"")</f>
        <v/>
      </c>
      <c r="X709" s="14">
        <f>Tabela1[[#This Row],[QIANTIDADE EXPEDIDA]]*Tabela1[[#This Row],[PESO UNI]]</f>
        <v>43.616</v>
      </c>
      <c r="Y709" s="14">
        <f t="shared" si="120"/>
        <v>0</v>
      </c>
      <c r="Z709" s="20">
        <f>Tabela1[[#This Row],[PESO TOTAL]]-Tabela1[[#This Row],[Peso Expedido]]</f>
        <v>0</v>
      </c>
      <c r="AA709" s="17">
        <v>1</v>
      </c>
      <c r="AB709" s="33"/>
      <c r="AC709" s="33">
        <v>1</v>
      </c>
      <c r="AD709" s="33">
        <v>1</v>
      </c>
      <c r="AE709" s="33">
        <v>1</v>
      </c>
      <c r="AF709" s="33">
        <v>1</v>
      </c>
      <c r="AG709" s="33">
        <v>1</v>
      </c>
      <c r="AH709" s="33">
        <v>1</v>
      </c>
      <c r="AI709" s="33" t="s">
        <v>4512</v>
      </c>
      <c r="AQ709" s="203"/>
      <c r="AR709" s="37"/>
      <c r="AS709" s="37"/>
      <c r="AT709" s="37"/>
      <c r="AU709" s="37"/>
      <c r="AV709" s="37"/>
      <c r="AW709" s="37"/>
    </row>
    <row r="710" spans="1:49" ht="15.75" customHeight="1" x14ac:dyDescent="0.25">
      <c r="A710" s="212"/>
      <c r="B710" s="21" t="s">
        <v>3821</v>
      </c>
      <c r="C710" s="198">
        <v>96</v>
      </c>
      <c r="D710" s="199" t="s">
        <v>4640</v>
      </c>
      <c r="E710" s="210" t="s">
        <v>4777</v>
      </c>
      <c r="F710" s="198" t="s">
        <v>4414</v>
      </c>
      <c r="G710" s="199">
        <v>0.188</v>
      </c>
      <c r="H710" s="213">
        <v>18.048000000000002</v>
      </c>
      <c r="I710" s="199"/>
      <c r="J710" s="217"/>
      <c r="K710" s="218" t="s">
        <v>45</v>
      </c>
      <c r="L710" s="214" t="s">
        <v>2069</v>
      </c>
      <c r="M710" s="200"/>
      <c r="N710" s="8" t="s">
        <v>38</v>
      </c>
      <c r="O710" s="215"/>
      <c r="P710" s="216"/>
      <c r="Q710" s="14">
        <f>Tabela1[[#This Row],[QTDE/ Fabricação]]-Tabela1[[#This Row],[QTE]]</f>
        <v>-96</v>
      </c>
      <c r="R710" s="18">
        <f t="shared" si="117"/>
        <v>18.048000000000002</v>
      </c>
      <c r="S710" s="18">
        <f t="shared" si="118"/>
        <v>18.048000000000002</v>
      </c>
      <c r="T710" s="19">
        <f t="shared" si="119"/>
        <v>0</v>
      </c>
      <c r="U710" s="16">
        <f>IFERROR(SUMIF('LISTA DE EMBARQUE'!B:B,MICRO!E:E,'LISTA DE EMBARQUE'!G:G),"")</f>
        <v>96</v>
      </c>
      <c r="V710" s="12">
        <f>IFERROR(VLOOKUP(Tabela1[[#This Row],[COD.MDE]],'LISTA DE EMBARQUE'!B:L,11,0),"")</f>
        <v>12</v>
      </c>
      <c r="W710" s="13" t="str">
        <f>IFERROR(COUNTIF(#REF!,Tabela1[[#This Row],[Colunas5]]),"")</f>
        <v/>
      </c>
      <c r="X710" s="14">
        <f>Tabela1[[#This Row],[QIANTIDADE EXPEDIDA]]*Tabela1[[#This Row],[PESO UNI]]</f>
        <v>18.048000000000002</v>
      </c>
      <c r="Y710" s="14">
        <f t="shared" si="120"/>
        <v>0</v>
      </c>
      <c r="Z710" s="20">
        <f>Tabela1[[#This Row],[PESO TOTAL]]-Tabela1[[#This Row],[Peso Expedido]]</f>
        <v>0</v>
      </c>
      <c r="AA710" s="17">
        <v>1</v>
      </c>
      <c r="AB710" s="33"/>
      <c r="AC710" s="33">
        <v>1</v>
      </c>
      <c r="AD710" s="33">
        <v>1</v>
      </c>
      <c r="AE710" s="33">
        <v>1</v>
      </c>
      <c r="AF710" s="33">
        <v>1</v>
      </c>
      <c r="AG710" s="33">
        <v>1</v>
      </c>
      <c r="AH710" s="33">
        <v>1</v>
      </c>
      <c r="AI710" s="33" t="s">
        <v>4512</v>
      </c>
      <c r="AQ710" s="203"/>
      <c r="AR710" s="37"/>
      <c r="AS710" s="37"/>
      <c r="AT710" s="37"/>
      <c r="AU710" s="37"/>
      <c r="AV710" s="37"/>
      <c r="AW710" s="37"/>
    </row>
    <row r="711" spans="1:49" ht="15.75" customHeight="1" x14ac:dyDescent="0.25">
      <c r="A711" s="212"/>
      <c r="B711" s="21" t="s">
        <v>3858</v>
      </c>
      <c r="C711" s="198">
        <v>218</v>
      </c>
      <c r="D711" s="199" t="s">
        <v>4641</v>
      </c>
      <c r="E711" s="210" t="s">
        <v>4778</v>
      </c>
      <c r="F711" s="198" t="s">
        <v>4414</v>
      </c>
      <c r="G711" s="199">
        <v>0.188</v>
      </c>
      <c r="H711" s="213">
        <v>40.984000000000002</v>
      </c>
      <c r="I711" s="199"/>
      <c r="J711" s="217"/>
      <c r="K711" s="218" t="s">
        <v>45</v>
      </c>
      <c r="L711" s="214" t="s">
        <v>2069</v>
      </c>
      <c r="M711" s="200"/>
      <c r="N711" s="8" t="s">
        <v>38</v>
      </c>
      <c r="O711" s="215"/>
      <c r="P711" s="216"/>
      <c r="Q711" s="14">
        <f>Tabela1[[#This Row],[QTDE/ Fabricação]]-Tabela1[[#This Row],[QTE]]</f>
        <v>-218</v>
      </c>
      <c r="R711" s="18">
        <f t="shared" si="117"/>
        <v>40.984000000000002</v>
      </c>
      <c r="S711" s="18">
        <f t="shared" si="118"/>
        <v>40.984000000000002</v>
      </c>
      <c r="T711" s="19">
        <f t="shared" si="119"/>
        <v>0</v>
      </c>
      <c r="U711" s="16">
        <f>IFERROR(SUMIF('LISTA DE EMBARQUE'!B:B,MICRO!E:E,'LISTA DE EMBARQUE'!G:G),"")</f>
        <v>218</v>
      </c>
      <c r="V711" s="12">
        <f>IFERROR(VLOOKUP(Tabela1[[#This Row],[COD.MDE]],'LISTA DE EMBARQUE'!B:L,11,0),"")</f>
        <v>12</v>
      </c>
      <c r="W711" s="13" t="str">
        <f>IFERROR(COUNTIF(#REF!,Tabela1[[#This Row],[Colunas5]]),"")</f>
        <v/>
      </c>
      <c r="X711" s="14">
        <f>Tabela1[[#This Row],[QIANTIDADE EXPEDIDA]]*Tabela1[[#This Row],[PESO UNI]]</f>
        <v>40.984000000000002</v>
      </c>
      <c r="Y711" s="14">
        <f t="shared" si="120"/>
        <v>0</v>
      </c>
      <c r="Z711" s="20">
        <f>Tabela1[[#This Row],[PESO TOTAL]]-Tabela1[[#This Row],[Peso Expedido]]</f>
        <v>0</v>
      </c>
      <c r="AA711" s="17">
        <v>1</v>
      </c>
      <c r="AB711" s="33"/>
      <c r="AC711" s="33">
        <v>1</v>
      </c>
      <c r="AD711" s="33">
        <v>1</v>
      </c>
      <c r="AE711" s="33">
        <v>1</v>
      </c>
      <c r="AF711" s="33">
        <v>1</v>
      </c>
      <c r="AG711" s="33">
        <v>1</v>
      </c>
      <c r="AH711" s="33">
        <v>1</v>
      </c>
      <c r="AI711" s="33" t="s">
        <v>4512</v>
      </c>
      <c r="AQ711" s="203"/>
      <c r="AR711" s="37"/>
      <c r="AS711" s="37"/>
      <c r="AT711" s="37"/>
      <c r="AU711" s="37"/>
      <c r="AV711" s="37"/>
      <c r="AW711" s="37"/>
    </row>
    <row r="712" spans="1:49" ht="15.75" customHeight="1" x14ac:dyDescent="0.25">
      <c r="A712" s="212"/>
      <c r="B712" s="21" t="s">
        <v>4642</v>
      </c>
      <c r="C712" s="198">
        <v>58</v>
      </c>
      <c r="D712" s="199" t="s">
        <v>4643</v>
      </c>
      <c r="E712" s="210" t="s">
        <v>4779</v>
      </c>
      <c r="F712" s="198" t="s">
        <v>4414</v>
      </c>
      <c r="G712" s="199">
        <v>0.188</v>
      </c>
      <c r="H712" s="213">
        <v>10.904</v>
      </c>
      <c r="I712" s="199"/>
      <c r="J712" s="217"/>
      <c r="K712" s="218" t="s">
        <v>45</v>
      </c>
      <c r="L712" s="214" t="s">
        <v>2069</v>
      </c>
      <c r="M712" s="200"/>
      <c r="N712" s="8" t="s">
        <v>38</v>
      </c>
      <c r="O712" s="215"/>
      <c r="P712" s="216"/>
      <c r="Q712" s="14">
        <f>Tabela1[[#This Row],[QTDE/ Fabricação]]-Tabela1[[#This Row],[QTE]]</f>
        <v>-58</v>
      </c>
      <c r="R712" s="18">
        <f t="shared" si="117"/>
        <v>10.904</v>
      </c>
      <c r="S712" s="18">
        <f t="shared" si="118"/>
        <v>10.904</v>
      </c>
      <c r="T712" s="19">
        <f t="shared" si="119"/>
        <v>0</v>
      </c>
      <c r="U712" s="16">
        <f>IFERROR(SUMIF('LISTA DE EMBARQUE'!B:B,MICRO!E:E,'LISTA DE EMBARQUE'!G:G),"")</f>
        <v>58</v>
      </c>
      <c r="V712" s="12">
        <f>IFERROR(VLOOKUP(Tabela1[[#This Row],[COD.MDE]],'LISTA DE EMBARQUE'!B:L,11,0),"")</f>
        <v>12</v>
      </c>
      <c r="W712" s="13" t="str">
        <f>IFERROR(COUNTIF(#REF!,Tabela1[[#This Row],[Colunas5]]),"")</f>
        <v/>
      </c>
      <c r="X712" s="14">
        <f>Tabela1[[#This Row],[QIANTIDADE EXPEDIDA]]*Tabela1[[#This Row],[PESO UNI]]</f>
        <v>10.904</v>
      </c>
      <c r="Y712" s="14">
        <f t="shared" si="120"/>
        <v>0</v>
      </c>
      <c r="Z712" s="20">
        <f>Tabela1[[#This Row],[PESO TOTAL]]-Tabela1[[#This Row],[Peso Expedido]]</f>
        <v>0</v>
      </c>
      <c r="AA712" s="17">
        <v>1</v>
      </c>
      <c r="AB712" s="33"/>
      <c r="AC712" s="33">
        <v>1</v>
      </c>
      <c r="AD712" s="33">
        <v>1</v>
      </c>
      <c r="AE712" s="33">
        <v>1</v>
      </c>
      <c r="AF712" s="33">
        <v>1</v>
      </c>
      <c r="AG712" s="33">
        <v>1</v>
      </c>
      <c r="AH712" s="33">
        <v>1</v>
      </c>
      <c r="AI712" s="33" t="s">
        <v>4512</v>
      </c>
      <c r="AQ712" s="203"/>
      <c r="AR712" s="37"/>
      <c r="AS712" s="37"/>
      <c r="AT712" s="37"/>
      <c r="AU712" s="37"/>
      <c r="AV712" s="37"/>
      <c r="AW712" s="37"/>
    </row>
    <row r="713" spans="1:49" ht="15.75" customHeight="1" x14ac:dyDescent="0.25">
      <c r="A713" s="212"/>
      <c r="B713" s="21" t="s">
        <v>4642</v>
      </c>
      <c r="C713" s="198">
        <v>2</v>
      </c>
      <c r="D713" s="199" t="s">
        <v>4644</v>
      </c>
      <c r="E713" s="210" t="s">
        <v>4780</v>
      </c>
      <c r="F713" s="198" t="s">
        <v>4414</v>
      </c>
      <c r="G713" s="199">
        <v>14.361000000000001</v>
      </c>
      <c r="H713" s="213">
        <v>28.722000000000001</v>
      </c>
      <c r="I713" s="199"/>
      <c r="J713" s="217"/>
      <c r="K713" s="218" t="s">
        <v>45</v>
      </c>
      <c r="L713" s="214" t="s">
        <v>2069</v>
      </c>
      <c r="M713" s="200"/>
      <c r="N713" s="8" t="s">
        <v>38</v>
      </c>
      <c r="O713" s="215"/>
      <c r="P713" s="216"/>
      <c r="Q713" s="14">
        <f>Tabela1[[#This Row],[QTDE/ Fabricação]]-Tabela1[[#This Row],[QTE]]</f>
        <v>-2</v>
      </c>
      <c r="R713" s="18">
        <f t="shared" si="117"/>
        <v>28.722000000000001</v>
      </c>
      <c r="S713" s="18">
        <f t="shared" si="118"/>
        <v>28.722000000000001</v>
      </c>
      <c r="T713" s="19">
        <f t="shared" si="119"/>
        <v>0</v>
      </c>
      <c r="U713" s="16">
        <f>IFERROR(SUMIF('LISTA DE EMBARQUE'!B:B,MICRO!E:E,'LISTA DE EMBARQUE'!G:G),"")</f>
        <v>2</v>
      </c>
      <c r="V713" s="12">
        <f>IFERROR(VLOOKUP(Tabela1[[#This Row],[COD.MDE]],'LISTA DE EMBARQUE'!B:L,11,0),"")</f>
        <v>12</v>
      </c>
      <c r="W713" s="13" t="str">
        <f>IFERROR(COUNTIF(#REF!,Tabela1[[#This Row],[Colunas5]]),"")</f>
        <v/>
      </c>
      <c r="X713" s="14">
        <f>Tabela1[[#This Row],[QIANTIDADE EXPEDIDA]]*Tabela1[[#This Row],[PESO UNI]]</f>
        <v>28.722000000000001</v>
      </c>
      <c r="Y713" s="14">
        <f t="shared" si="120"/>
        <v>0</v>
      </c>
      <c r="Z713" s="20">
        <f>Tabela1[[#This Row],[PESO TOTAL]]-Tabela1[[#This Row],[Peso Expedido]]</f>
        <v>0</v>
      </c>
      <c r="AA713" s="17">
        <v>1</v>
      </c>
      <c r="AB713" s="33"/>
      <c r="AC713" s="33">
        <v>1</v>
      </c>
      <c r="AD713" s="33">
        <v>1</v>
      </c>
      <c r="AE713" s="33">
        <v>1</v>
      </c>
      <c r="AF713" s="33">
        <v>1</v>
      </c>
      <c r="AG713" s="33">
        <v>1</v>
      </c>
      <c r="AH713" s="33">
        <v>1</v>
      </c>
      <c r="AI713" s="33" t="s">
        <v>4512</v>
      </c>
      <c r="AQ713" s="203"/>
      <c r="AR713" s="37"/>
      <c r="AS713" s="37"/>
      <c r="AT713" s="37"/>
      <c r="AU713" s="37"/>
      <c r="AV713" s="37"/>
      <c r="AW713" s="37"/>
    </row>
    <row r="714" spans="1:49" ht="15.75" customHeight="1" x14ac:dyDescent="0.25">
      <c r="A714" s="212"/>
      <c r="B714" s="21" t="s">
        <v>4642</v>
      </c>
      <c r="C714" s="198">
        <v>2</v>
      </c>
      <c r="D714" s="199" t="s">
        <v>4645</v>
      </c>
      <c r="E714" s="210" t="s">
        <v>4781</v>
      </c>
      <c r="F714" s="198" t="s">
        <v>4414</v>
      </c>
      <c r="G714" s="199">
        <v>14.361000000000001</v>
      </c>
      <c r="H714" s="213">
        <v>28.722000000000001</v>
      </c>
      <c r="I714" s="199"/>
      <c r="J714" s="217"/>
      <c r="K714" s="218" t="s">
        <v>45</v>
      </c>
      <c r="L714" s="214" t="s">
        <v>2069</v>
      </c>
      <c r="M714" s="200"/>
      <c r="N714" s="8" t="s">
        <v>38</v>
      </c>
      <c r="O714" s="215"/>
      <c r="P714" s="216"/>
      <c r="Q714" s="14">
        <f>Tabela1[[#This Row],[QTDE/ Fabricação]]-Tabela1[[#This Row],[QTE]]</f>
        <v>-2</v>
      </c>
      <c r="R714" s="18">
        <f t="shared" si="117"/>
        <v>28.722000000000001</v>
      </c>
      <c r="S714" s="18">
        <f t="shared" si="118"/>
        <v>28.722000000000001</v>
      </c>
      <c r="T714" s="19">
        <f t="shared" si="119"/>
        <v>0</v>
      </c>
      <c r="U714" s="16">
        <f>IFERROR(SUMIF('LISTA DE EMBARQUE'!B:B,MICRO!E:E,'LISTA DE EMBARQUE'!G:G),"")</f>
        <v>2</v>
      </c>
      <c r="V714" s="12">
        <f>IFERROR(VLOOKUP(Tabela1[[#This Row],[COD.MDE]],'LISTA DE EMBARQUE'!B:L,11,0),"")</f>
        <v>12</v>
      </c>
      <c r="W714" s="13" t="str">
        <f>IFERROR(COUNTIF(#REF!,Tabela1[[#This Row],[Colunas5]]),"")</f>
        <v/>
      </c>
      <c r="X714" s="14">
        <f>Tabela1[[#This Row],[QIANTIDADE EXPEDIDA]]*Tabela1[[#This Row],[PESO UNI]]</f>
        <v>28.722000000000001</v>
      </c>
      <c r="Y714" s="14">
        <f t="shared" si="120"/>
        <v>0</v>
      </c>
      <c r="Z714" s="20">
        <f>Tabela1[[#This Row],[PESO TOTAL]]-Tabela1[[#This Row],[Peso Expedido]]</f>
        <v>0</v>
      </c>
      <c r="AA714" s="17">
        <v>1</v>
      </c>
      <c r="AB714" s="33"/>
      <c r="AC714" s="33">
        <v>1</v>
      </c>
      <c r="AD714" s="33">
        <v>1</v>
      </c>
      <c r="AE714" s="33">
        <v>1</v>
      </c>
      <c r="AF714" s="33">
        <v>1</v>
      </c>
      <c r="AG714" s="33">
        <v>1</v>
      </c>
      <c r="AH714" s="33">
        <v>1</v>
      </c>
      <c r="AI714" s="33" t="s">
        <v>4512</v>
      </c>
      <c r="AQ714" s="203"/>
      <c r="AR714" s="37"/>
      <c r="AS714" s="37"/>
      <c r="AT714" s="37"/>
      <c r="AU714" s="37"/>
      <c r="AV714" s="37"/>
      <c r="AW714" s="37"/>
    </row>
    <row r="715" spans="1:49" ht="15.75" customHeight="1" x14ac:dyDescent="0.25">
      <c r="A715" s="212"/>
      <c r="B715" s="21" t="s">
        <v>4642</v>
      </c>
      <c r="C715" s="198">
        <v>2</v>
      </c>
      <c r="D715" s="199" t="s">
        <v>4646</v>
      </c>
      <c r="E715" s="210" t="s">
        <v>4782</v>
      </c>
      <c r="F715" s="198" t="s">
        <v>4414</v>
      </c>
      <c r="G715" s="199">
        <v>14.361000000000001</v>
      </c>
      <c r="H715" s="213">
        <v>28.722000000000001</v>
      </c>
      <c r="I715" s="199"/>
      <c r="J715" s="217"/>
      <c r="K715" s="218" t="s">
        <v>45</v>
      </c>
      <c r="L715" s="214" t="s">
        <v>2069</v>
      </c>
      <c r="M715" s="200"/>
      <c r="N715" s="8" t="s">
        <v>38</v>
      </c>
      <c r="O715" s="215"/>
      <c r="P715" s="216"/>
      <c r="Q715" s="14">
        <f>Tabela1[[#This Row],[QTDE/ Fabricação]]-Tabela1[[#This Row],[QTE]]</f>
        <v>-2</v>
      </c>
      <c r="R715" s="18">
        <f t="shared" si="117"/>
        <v>28.722000000000001</v>
      </c>
      <c r="S715" s="18">
        <f t="shared" si="118"/>
        <v>28.722000000000001</v>
      </c>
      <c r="T715" s="19">
        <f t="shared" si="119"/>
        <v>0</v>
      </c>
      <c r="U715" s="16">
        <f>IFERROR(SUMIF('LISTA DE EMBARQUE'!B:B,MICRO!E:E,'LISTA DE EMBARQUE'!G:G),"")</f>
        <v>2</v>
      </c>
      <c r="V715" s="12">
        <f>IFERROR(VLOOKUP(Tabela1[[#This Row],[COD.MDE]],'LISTA DE EMBARQUE'!B:L,11,0),"")</f>
        <v>12</v>
      </c>
      <c r="W715" s="13" t="str">
        <f>IFERROR(COUNTIF(#REF!,Tabela1[[#This Row],[Colunas5]]),"")</f>
        <v/>
      </c>
      <c r="X715" s="14">
        <f>Tabela1[[#This Row],[QIANTIDADE EXPEDIDA]]*Tabela1[[#This Row],[PESO UNI]]</f>
        <v>28.722000000000001</v>
      </c>
      <c r="Y715" s="14">
        <f t="shared" si="120"/>
        <v>0</v>
      </c>
      <c r="Z715" s="20">
        <f>Tabela1[[#This Row],[PESO TOTAL]]-Tabela1[[#This Row],[Peso Expedido]]</f>
        <v>0</v>
      </c>
      <c r="AA715" s="17">
        <v>1</v>
      </c>
      <c r="AB715" s="33"/>
      <c r="AC715" s="33">
        <v>1</v>
      </c>
      <c r="AD715" s="33">
        <v>1</v>
      </c>
      <c r="AE715" s="33">
        <v>1</v>
      </c>
      <c r="AF715" s="33">
        <v>1</v>
      </c>
      <c r="AG715" s="33">
        <v>1</v>
      </c>
      <c r="AH715" s="33">
        <v>1</v>
      </c>
      <c r="AI715" s="33" t="s">
        <v>4512</v>
      </c>
      <c r="AQ715" s="203"/>
      <c r="AR715" s="37"/>
      <c r="AS715" s="37"/>
      <c r="AT715" s="37"/>
      <c r="AU715" s="37"/>
      <c r="AV715" s="37"/>
      <c r="AW715" s="37"/>
    </row>
    <row r="716" spans="1:49" ht="15.75" customHeight="1" x14ac:dyDescent="0.25">
      <c r="A716" s="212"/>
      <c r="B716" s="21" t="s">
        <v>4642</v>
      </c>
      <c r="C716" s="198">
        <v>2</v>
      </c>
      <c r="D716" s="199" t="s">
        <v>4647</v>
      </c>
      <c r="E716" s="210" t="s">
        <v>4783</v>
      </c>
      <c r="F716" s="198" t="s">
        <v>4414</v>
      </c>
      <c r="G716" s="199">
        <v>14.361000000000001</v>
      </c>
      <c r="H716" s="213">
        <v>28.722000000000001</v>
      </c>
      <c r="I716" s="199"/>
      <c r="J716" s="217"/>
      <c r="K716" s="218" t="s">
        <v>45</v>
      </c>
      <c r="L716" s="214" t="s">
        <v>2069</v>
      </c>
      <c r="M716" s="200"/>
      <c r="N716" s="8" t="s">
        <v>38</v>
      </c>
      <c r="O716" s="215"/>
      <c r="P716" s="216"/>
      <c r="Q716" s="14">
        <f>Tabela1[[#This Row],[QTDE/ Fabricação]]-Tabela1[[#This Row],[QTE]]</f>
        <v>-2</v>
      </c>
      <c r="R716" s="18">
        <f t="shared" si="117"/>
        <v>28.722000000000001</v>
      </c>
      <c r="S716" s="18">
        <f t="shared" si="118"/>
        <v>28.722000000000001</v>
      </c>
      <c r="T716" s="19">
        <f t="shared" si="119"/>
        <v>0</v>
      </c>
      <c r="U716" s="16">
        <f>IFERROR(SUMIF('LISTA DE EMBARQUE'!B:B,MICRO!E:E,'LISTA DE EMBARQUE'!G:G),"")</f>
        <v>2</v>
      </c>
      <c r="V716" s="12">
        <f>IFERROR(VLOOKUP(Tabela1[[#This Row],[COD.MDE]],'LISTA DE EMBARQUE'!B:L,11,0),"")</f>
        <v>12</v>
      </c>
      <c r="W716" s="13" t="str">
        <f>IFERROR(COUNTIF(#REF!,Tabela1[[#This Row],[Colunas5]]),"")</f>
        <v/>
      </c>
      <c r="X716" s="14">
        <f>Tabela1[[#This Row],[QIANTIDADE EXPEDIDA]]*Tabela1[[#This Row],[PESO UNI]]</f>
        <v>28.722000000000001</v>
      </c>
      <c r="Y716" s="14">
        <f t="shared" si="120"/>
        <v>0</v>
      </c>
      <c r="Z716" s="20">
        <f>Tabela1[[#This Row],[PESO TOTAL]]-Tabela1[[#This Row],[Peso Expedido]]</f>
        <v>0</v>
      </c>
      <c r="AA716" s="17">
        <v>1</v>
      </c>
      <c r="AB716" s="33"/>
      <c r="AC716" s="33">
        <v>1</v>
      </c>
      <c r="AD716" s="33">
        <v>1</v>
      </c>
      <c r="AE716" s="33">
        <v>1</v>
      </c>
      <c r="AF716" s="33">
        <v>1</v>
      </c>
      <c r="AG716" s="33">
        <v>1</v>
      </c>
      <c r="AH716" s="33">
        <v>1</v>
      </c>
      <c r="AI716" s="33" t="s">
        <v>4512</v>
      </c>
      <c r="AQ716" s="203"/>
      <c r="AR716" s="37"/>
      <c r="AS716" s="37"/>
      <c r="AT716" s="37"/>
      <c r="AU716" s="37"/>
      <c r="AV716" s="37"/>
      <c r="AW716" s="37"/>
    </row>
    <row r="717" spans="1:49" ht="15.75" customHeight="1" x14ac:dyDescent="0.25">
      <c r="A717" s="212"/>
      <c r="B717" s="21" t="s">
        <v>4642</v>
      </c>
      <c r="C717" s="198">
        <v>2</v>
      </c>
      <c r="D717" s="199" t="s">
        <v>4648</v>
      </c>
      <c r="E717" s="210" t="s">
        <v>4784</v>
      </c>
      <c r="F717" s="198" t="s">
        <v>4414</v>
      </c>
      <c r="G717" s="199">
        <v>14.361000000000001</v>
      </c>
      <c r="H717" s="213">
        <v>28.722000000000001</v>
      </c>
      <c r="I717" s="199"/>
      <c r="J717" s="217"/>
      <c r="K717" s="218" t="s">
        <v>45</v>
      </c>
      <c r="L717" s="214" t="s">
        <v>2069</v>
      </c>
      <c r="M717" s="200"/>
      <c r="N717" s="8" t="s">
        <v>38</v>
      </c>
      <c r="O717" s="215"/>
      <c r="P717" s="216"/>
      <c r="Q717" s="14">
        <f>Tabela1[[#This Row],[QTDE/ Fabricação]]-Tabela1[[#This Row],[QTE]]</f>
        <v>-2</v>
      </c>
      <c r="R717" s="18">
        <f t="shared" si="117"/>
        <v>28.722000000000001</v>
      </c>
      <c r="S717" s="18">
        <f t="shared" si="118"/>
        <v>28.722000000000001</v>
      </c>
      <c r="T717" s="19">
        <f t="shared" si="119"/>
        <v>0</v>
      </c>
      <c r="U717" s="16">
        <f>IFERROR(SUMIF('LISTA DE EMBARQUE'!B:B,MICRO!E:E,'LISTA DE EMBARQUE'!G:G),"")</f>
        <v>2</v>
      </c>
      <c r="V717" s="12">
        <f>IFERROR(VLOOKUP(Tabela1[[#This Row],[COD.MDE]],'LISTA DE EMBARQUE'!B:L,11,0),"")</f>
        <v>12</v>
      </c>
      <c r="W717" s="13" t="str">
        <f>IFERROR(COUNTIF(#REF!,Tabela1[[#This Row],[Colunas5]]),"")</f>
        <v/>
      </c>
      <c r="X717" s="14">
        <f>Tabela1[[#This Row],[QIANTIDADE EXPEDIDA]]*Tabela1[[#This Row],[PESO UNI]]</f>
        <v>28.722000000000001</v>
      </c>
      <c r="Y717" s="14">
        <f t="shared" si="120"/>
        <v>0</v>
      </c>
      <c r="Z717" s="20">
        <f>Tabela1[[#This Row],[PESO TOTAL]]-Tabela1[[#This Row],[Peso Expedido]]</f>
        <v>0</v>
      </c>
      <c r="AA717" s="17">
        <v>1</v>
      </c>
      <c r="AB717" s="33"/>
      <c r="AC717" s="33">
        <v>1</v>
      </c>
      <c r="AD717" s="33">
        <v>1</v>
      </c>
      <c r="AE717" s="33">
        <v>1</v>
      </c>
      <c r="AF717" s="33">
        <v>1</v>
      </c>
      <c r="AG717" s="33">
        <v>1</v>
      </c>
      <c r="AH717" s="33">
        <v>1</v>
      </c>
      <c r="AI717" s="33" t="s">
        <v>4512</v>
      </c>
      <c r="AQ717" s="203"/>
      <c r="AR717" s="37"/>
      <c r="AS717" s="37"/>
      <c r="AT717" s="37"/>
      <c r="AU717" s="37"/>
      <c r="AV717" s="37"/>
      <c r="AW717" s="37"/>
    </row>
    <row r="718" spans="1:49" ht="15.75" customHeight="1" x14ac:dyDescent="0.25">
      <c r="A718" s="212"/>
      <c r="B718" s="21" t="s">
        <v>4642</v>
      </c>
      <c r="C718" s="198">
        <v>2</v>
      </c>
      <c r="D718" s="199" t="s">
        <v>4649</v>
      </c>
      <c r="E718" s="210" t="s">
        <v>4785</v>
      </c>
      <c r="F718" s="198" t="s">
        <v>4414</v>
      </c>
      <c r="G718" s="199">
        <v>14.361000000000001</v>
      </c>
      <c r="H718" s="213">
        <v>28.722000000000001</v>
      </c>
      <c r="I718" s="199"/>
      <c r="J718" s="217"/>
      <c r="K718" s="218" t="s">
        <v>45</v>
      </c>
      <c r="L718" s="214" t="s">
        <v>2069</v>
      </c>
      <c r="M718" s="200"/>
      <c r="N718" s="8" t="s">
        <v>38</v>
      </c>
      <c r="O718" s="215"/>
      <c r="P718" s="216"/>
      <c r="Q718" s="14">
        <f>Tabela1[[#This Row],[QTDE/ Fabricação]]-Tabela1[[#This Row],[QTE]]</f>
        <v>-2</v>
      </c>
      <c r="R718" s="18">
        <f t="shared" si="117"/>
        <v>28.722000000000001</v>
      </c>
      <c r="S718" s="18">
        <f t="shared" si="118"/>
        <v>28.722000000000001</v>
      </c>
      <c r="T718" s="19">
        <f t="shared" si="119"/>
        <v>0</v>
      </c>
      <c r="U718" s="16">
        <f>IFERROR(SUMIF('LISTA DE EMBARQUE'!B:B,MICRO!E:E,'LISTA DE EMBARQUE'!G:G),"")</f>
        <v>2</v>
      </c>
      <c r="V718" s="12">
        <f>IFERROR(VLOOKUP(Tabela1[[#This Row],[COD.MDE]],'LISTA DE EMBARQUE'!B:L,11,0),"")</f>
        <v>12</v>
      </c>
      <c r="W718" s="13" t="str">
        <f>IFERROR(COUNTIF(#REF!,Tabela1[[#This Row],[Colunas5]]),"")</f>
        <v/>
      </c>
      <c r="X718" s="14">
        <f>Tabela1[[#This Row],[QIANTIDADE EXPEDIDA]]*Tabela1[[#This Row],[PESO UNI]]</f>
        <v>28.722000000000001</v>
      </c>
      <c r="Y718" s="14">
        <f t="shared" si="120"/>
        <v>0</v>
      </c>
      <c r="Z718" s="20">
        <f>Tabela1[[#This Row],[PESO TOTAL]]-Tabela1[[#This Row],[Peso Expedido]]</f>
        <v>0</v>
      </c>
      <c r="AA718" s="17">
        <v>1</v>
      </c>
      <c r="AB718" s="33"/>
      <c r="AC718" s="33">
        <v>1</v>
      </c>
      <c r="AD718" s="33">
        <v>1</v>
      </c>
      <c r="AE718" s="33">
        <v>1</v>
      </c>
      <c r="AF718" s="33">
        <v>1</v>
      </c>
      <c r="AG718" s="33">
        <v>1</v>
      </c>
      <c r="AH718" s="33">
        <v>1</v>
      </c>
      <c r="AI718" s="33" t="s">
        <v>4512</v>
      </c>
      <c r="AQ718" s="203"/>
      <c r="AR718" s="37"/>
      <c r="AS718" s="37"/>
      <c r="AT718" s="37"/>
      <c r="AU718" s="37"/>
      <c r="AV718" s="37"/>
      <c r="AW718" s="37"/>
    </row>
    <row r="719" spans="1:49" ht="15.75" customHeight="1" x14ac:dyDescent="0.25">
      <c r="A719" s="212"/>
      <c r="B719" s="21" t="s">
        <v>3802</v>
      </c>
      <c r="C719" s="198">
        <v>4</v>
      </c>
      <c r="D719" s="199" t="s">
        <v>4650</v>
      </c>
      <c r="E719" s="210" t="s">
        <v>4786</v>
      </c>
      <c r="F719" s="198" t="s">
        <v>4414</v>
      </c>
      <c r="G719" s="199">
        <v>14.361000000000001</v>
      </c>
      <c r="H719" s="213">
        <v>57.444000000000003</v>
      </c>
      <c r="I719" s="199"/>
      <c r="J719" s="217"/>
      <c r="K719" s="218" t="s">
        <v>45</v>
      </c>
      <c r="L719" s="214" t="s">
        <v>2069</v>
      </c>
      <c r="M719" s="200"/>
      <c r="N719" s="8" t="s">
        <v>38</v>
      </c>
      <c r="O719" s="215"/>
      <c r="P719" s="216"/>
      <c r="Q719" s="14">
        <f>Tabela1[[#This Row],[QTDE/ Fabricação]]-Tabela1[[#This Row],[QTE]]</f>
        <v>-4</v>
      </c>
      <c r="R719" s="18">
        <f t="shared" si="117"/>
        <v>57.444000000000003</v>
      </c>
      <c r="S719" s="18">
        <f t="shared" si="118"/>
        <v>57.444000000000003</v>
      </c>
      <c r="T719" s="19">
        <f t="shared" si="119"/>
        <v>0</v>
      </c>
      <c r="U719" s="16">
        <f>IFERROR(SUMIF('LISTA DE EMBARQUE'!B:B,MICRO!E:E,'LISTA DE EMBARQUE'!G:G),"")</f>
        <v>4</v>
      </c>
      <c r="V719" s="12">
        <f>IFERROR(VLOOKUP(Tabela1[[#This Row],[COD.MDE]],'LISTA DE EMBARQUE'!B:L,11,0),"")</f>
        <v>12</v>
      </c>
      <c r="W719" s="13" t="str">
        <f>IFERROR(COUNTIF(#REF!,Tabela1[[#This Row],[Colunas5]]),"")</f>
        <v/>
      </c>
      <c r="X719" s="14">
        <f>Tabela1[[#This Row],[QIANTIDADE EXPEDIDA]]*Tabela1[[#This Row],[PESO UNI]]</f>
        <v>57.444000000000003</v>
      </c>
      <c r="Y719" s="14">
        <f t="shared" si="120"/>
        <v>0</v>
      </c>
      <c r="Z719" s="20">
        <f>Tabela1[[#This Row],[PESO TOTAL]]-Tabela1[[#This Row],[Peso Expedido]]</f>
        <v>0</v>
      </c>
      <c r="AA719" s="17">
        <v>1</v>
      </c>
      <c r="AB719" s="33"/>
      <c r="AC719" s="33">
        <v>1</v>
      </c>
      <c r="AD719" s="33">
        <v>1</v>
      </c>
      <c r="AE719" s="33">
        <v>1</v>
      </c>
      <c r="AF719" s="33">
        <v>1</v>
      </c>
      <c r="AG719" s="33">
        <v>1</v>
      </c>
      <c r="AH719" s="33">
        <v>1</v>
      </c>
      <c r="AI719" s="33" t="s">
        <v>4512</v>
      </c>
      <c r="AQ719" s="203"/>
      <c r="AR719" s="37"/>
      <c r="AS719" s="37"/>
      <c r="AT719" s="37"/>
      <c r="AU719" s="37"/>
      <c r="AV719" s="37"/>
      <c r="AW719" s="37"/>
    </row>
    <row r="720" spans="1:49" ht="15.75" customHeight="1" x14ac:dyDescent="0.25">
      <c r="A720" s="212"/>
      <c r="B720" s="21" t="s">
        <v>3802</v>
      </c>
      <c r="C720" s="198">
        <v>4</v>
      </c>
      <c r="D720" s="199" t="s">
        <v>4651</v>
      </c>
      <c r="E720" s="210" t="s">
        <v>4787</v>
      </c>
      <c r="F720" s="198" t="s">
        <v>4414</v>
      </c>
      <c r="G720" s="199">
        <v>14.361000000000001</v>
      </c>
      <c r="H720" s="213">
        <v>57.444000000000003</v>
      </c>
      <c r="I720" s="199"/>
      <c r="J720" s="217"/>
      <c r="K720" s="218" t="s">
        <v>45</v>
      </c>
      <c r="L720" s="214" t="s">
        <v>2069</v>
      </c>
      <c r="M720" s="200"/>
      <c r="N720" s="8" t="s">
        <v>38</v>
      </c>
      <c r="O720" s="215"/>
      <c r="P720" s="216"/>
      <c r="Q720" s="14">
        <f>Tabela1[[#This Row],[QTDE/ Fabricação]]-Tabela1[[#This Row],[QTE]]</f>
        <v>-4</v>
      </c>
      <c r="R720" s="18">
        <f t="shared" si="117"/>
        <v>57.444000000000003</v>
      </c>
      <c r="S720" s="18">
        <f t="shared" si="118"/>
        <v>57.444000000000003</v>
      </c>
      <c r="T720" s="19">
        <f t="shared" si="119"/>
        <v>0</v>
      </c>
      <c r="U720" s="16">
        <f>IFERROR(SUMIF('LISTA DE EMBARQUE'!B:B,MICRO!E:E,'LISTA DE EMBARQUE'!G:G),"")</f>
        <v>4</v>
      </c>
      <c r="V720" s="12">
        <f>IFERROR(VLOOKUP(Tabela1[[#This Row],[COD.MDE]],'LISTA DE EMBARQUE'!B:L,11,0),"")</f>
        <v>12</v>
      </c>
      <c r="W720" s="13" t="str">
        <f>IFERROR(COUNTIF(#REF!,Tabela1[[#This Row],[Colunas5]]),"")</f>
        <v/>
      </c>
      <c r="X720" s="14">
        <f>Tabela1[[#This Row],[QIANTIDADE EXPEDIDA]]*Tabela1[[#This Row],[PESO UNI]]</f>
        <v>57.444000000000003</v>
      </c>
      <c r="Y720" s="14">
        <f t="shared" si="120"/>
        <v>0</v>
      </c>
      <c r="Z720" s="20">
        <f>Tabela1[[#This Row],[PESO TOTAL]]-Tabela1[[#This Row],[Peso Expedido]]</f>
        <v>0</v>
      </c>
      <c r="AA720" s="17">
        <v>1</v>
      </c>
      <c r="AB720" s="33"/>
      <c r="AC720" s="33">
        <v>1</v>
      </c>
      <c r="AD720" s="33">
        <v>1</v>
      </c>
      <c r="AE720" s="33">
        <v>1</v>
      </c>
      <c r="AF720" s="33">
        <v>1</v>
      </c>
      <c r="AG720" s="33">
        <v>1</v>
      </c>
      <c r="AH720" s="33">
        <v>1</v>
      </c>
      <c r="AI720" s="33" t="s">
        <v>4512</v>
      </c>
      <c r="AQ720" s="203"/>
      <c r="AR720" s="37"/>
      <c r="AS720" s="37"/>
      <c r="AT720" s="37"/>
      <c r="AU720" s="37"/>
      <c r="AV720" s="37"/>
      <c r="AW720" s="37"/>
    </row>
    <row r="721" spans="1:49" ht="15.75" customHeight="1" x14ac:dyDescent="0.25">
      <c r="A721" s="212"/>
      <c r="B721" s="21" t="s">
        <v>3802</v>
      </c>
      <c r="C721" s="198">
        <v>4</v>
      </c>
      <c r="D721" s="199" t="s">
        <v>4652</v>
      </c>
      <c r="E721" s="210" t="s">
        <v>4788</v>
      </c>
      <c r="F721" s="198" t="s">
        <v>4414</v>
      </c>
      <c r="G721" s="199">
        <v>14.361000000000001</v>
      </c>
      <c r="H721" s="213">
        <v>57.444000000000003</v>
      </c>
      <c r="I721" s="199"/>
      <c r="J721" s="217"/>
      <c r="K721" s="218" t="s">
        <v>45</v>
      </c>
      <c r="L721" s="214" t="s">
        <v>2069</v>
      </c>
      <c r="M721" s="200"/>
      <c r="N721" s="8" t="s">
        <v>38</v>
      </c>
      <c r="O721" s="215"/>
      <c r="P721" s="216"/>
      <c r="Q721" s="14">
        <f>Tabela1[[#This Row],[QTDE/ Fabricação]]-Tabela1[[#This Row],[QTE]]</f>
        <v>-4</v>
      </c>
      <c r="R721" s="18">
        <f t="shared" si="117"/>
        <v>57.444000000000003</v>
      </c>
      <c r="S721" s="18">
        <f t="shared" si="118"/>
        <v>57.444000000000003</v>
      </c>
      <c r="T721" s="19">
        <f t="shared" si="119"/>
        <v>0</v>
      </c>
      <c r="U721" s="16">
        <f>IFERROR(SUMIF('LISTA DE EMBARQUE'!B:B,MICRO!E:E,'LISTA DE EMBARQUE'!G:G),"")</f>
        <v>4</v>
      </c>
      <c r="V721" s="12">
        <f>IFERROR(VLOOKUP(Tabela1[[#This Row],[COD.MDE]],'LISTA DE EMBARQUE'!B:L,11,0),"")</f>
        <v>12</v>
      </c>
      <c r="W721" s="13" t="str">
        <f>IFERROR(COUNTIF(#REF!,Tabela1[[#This Row],[Colunas5]]),"")</f>
        <v/>
      </c>
      <c r="X721" s="14">
        <f>Tabela1[[#This Row],[QIANTIDADE EXPEDIDA]]*Tabela1[[#This Row],[PESO UNI]]</f>
        <v>57.444000000000003</v>
      </c>
      <c r="Y721" s="14">
        <f t="shared" si="120"/>
        <v>0</v>
      </c>
      <c r="Z721" s="20">
        <f>Tabela1[[#This Row],[PESO TOTAL]]-Tabela1[[#This Row],[Peso Expedido]]</f>
        <v>0</v>
      </c>
      <c r="AA721" s="17">
        <v>1</v>
      </c>
      <c r="AB721" s="33"/>
      <c r="AC721" s="33">
        <v>1</v>
      </c>
      <c r="AD721" s="33">
        <v>1</v>
      </c>
      <c r="AE721" s="33">
        <v>1</v>
      </c>
      <c r="AF721" s="33">
        <v>1</v>
      </c>
      <c r="AG721" s="33">
        <v>1</v>
      </c>
      <c r="AH721" s="33">
        <v>1</v>
      </c>
      <c r="AI721" s="33" t="s">
        <v>4512</v>
      </c>
      <c r="AQ721" s="203"/>
      <c r="AR721" s="37"/>
      <c r="AS721" s="37"/>
      <c r="AT721" s="37"/>
      <c r="AU721" s="37"/>
      <c r="AV721" s="37"/>
      <c r="AW721" s="37"/>
    </row>
    <row r="722" spans="1:49" ht="15.75" customHeight="1" x14ac:dyDescent="0.25">
      <c r="A722" s="212"/>
      <c r="B722" s="21" t="s">
        <v>3802</v>
      </c>
      <c r="C722" s="198">
        <v>4</v>
      </c>
      <c r="D722" s="199" t="s">
        <v>4653</v>
      </c>
      <c r="E722" s="210" t="s">
        <v>4789</v>
      </c>
      <c r="F722" s="198" t="s">
        <v>4414</v>
      </c>
      <c r="G722" s="199">
        <v>14.361000000000001</v>
      </c>
      <c r="H722" s="213">
        <v>57.444000000000003</v>
      </c>
      <c r="I722" s="199"/>
      <c r="J722" s="217"/>
      <c r="K722" s="218" t="s">
        <v>45</v>
      </c>
      <c r="L722" s="214" t="s">
        <v>2069</v>
      </c>
      <c r="M722" s="200"/>
      <c r="N722" s="8" t="s">
        <v>38</v>
      </c>
      <c r="O722" s="215"/>
      <c r="P722" s="216"/>
      <c r="Q722" s="14">
        <f>Tabela1[[#This Row],[QTDE/ Fabricação]]-Tabela1[[#This Row],[QTE]]</f>
        <v>-4</v>
      </c>
      <c r="R722" s="18">
        <f t="shared" si="117"/>
        <v>57.444000000000003</v>
      </c>
      <c r="S722" s="18">
        <f t="shared" si="118"/>
        <v>57.444000000000003</v>
      </c>
      <c r="T722" s="19">
        <f t="shared" si="119"/>
        <v>0</v>
      </c>
      <c r="U722" s="16">
        <f>IFERROR(SUMIF('LISTA DE EMBARQUE'!B:B,MICRO!E:E,'LISTA DE EMBARQUE'!G:G),"")</f>
        <v>4</v>
      </c>
      <c r="V722" s="12">
        <f>IFERROR(VLOOKUP(Tabela1[[#This Row],[COD.MDE]],'LISTA DE EMBARQUE'!B:L,11,0),"")</f>
        <v>12</v>
      </c>
      <c r="W722" s="13" t="str">
        <f>IFERROR(COUNTIF(#REF!,Tabela1[[#This Row],[Colunas5]]),"")</f>
        <v/>
      </c>
      <c r="X722" s="14">
        <f>Tabela1[[#This Row],[QIANTIDADE EXPEDIDA]]*Tabela1[[#This Row],[PESO UNI]]</f>
        <v>57.444000000000003</v>
      </c>
      <c r="Y722" s="14">
        <f t="shared" si="120"/>
        <v>0</v>
      </c>
      <c r="Z722" s="20">
        <f>Tabela1[[#This Row],[PESO TOTAL]]-Tabela1[[#This Row],[Peso Expedido]]</f>
        <v>0</v>
      </c>
      <c r="AA722" s="17">
        <v>1</v>
      </c>
      <c r="AB722" s="33"/>
      <c r="AC722" s="33">
        <v>1</v>
      </c>
      <c r="AD722" s="33">
        <v>1</v>
      </c>
      <c r="AE722" s="33">
        <v>1</v>
      </c>
      <c r="AF722" s="33">
        <v>1</v>
      </c>
      <c r="AG722" s="33">
        <v>1</v>
      </c>
      <c r="AH722" s="33">
        <v>1</v>
      </c>
      <c r="AI722" s="33" t="s">
        <v>4512</v>
      </c>
      <c r="AQ722" s="203"/>
      <c r="AR722" s="37"/>
      <c r="AS722" s="37"/>
      <c r="AT722" s="37"/>
      <c r="AU722" s="37"/>
      <c r="AV722" s="37"/>
      <c r="AW722" s="37"/>
    </row>
    <row r="723" spans="1:49" ht="15.75" customHeight="1" x14ac:dyDescent="0.25">
      <c r="A723" s="212"/>
      <c r="B723" s="21" t="s">
        <v>3802</v>
      </c>
      <c r="C723" s="198">
        <v>4</v>
      </c>
      <c r="D723" s="199" t="s">
        <v>4654</v>
      </c>
      <c r="E723" s="210" t="s">
        <v>4790</v>
      </c>
      <c r="F723" s="198" t="s">
        <v>4414</v>
      </c>
      <c r="G723" s="199">
        <v>14.361000000000001</v>
      </c>
      <c r="H723" s="213">
        <v>57.444000000000003</v>
      </c>
      <c r="I723" s="199"/>
      <c r="J723" s="217"/>
      <c r="K723" s="218" t="s">
        <v>45</v>
      </c>
      <c r="L723" s="214" t="s">
        <v>2069</v>
      </c>
      <c r="M723" s="200"/>
      <c r="N723" s="8" t="s">
        <v>38</v>
      </c>
      <c r="O723" s="215"/>
      <c r="P723" s="216"/>
      <c r="Q723" s="14">
        <f>Tabela1[[#This Row],[QTDE/ Fabricação]]-Tabela1[[#This Row],[QTE]]</f>
        <v>-4</v>
      </c>
      <c r="R723" s="18">
        <f t="shared" si="117"/>
        <v>57.444000000000003</v>
      </c>
      <c r="S723" s="18">
        <f t="shared" si="118"/>
        <v>57.444000000000003</v>
      </c>
      <c r="T723" s="19">
        <f t="shared" si="119"/>
        <v>0</v>
      </c>
      <c r="U723" s="16">
        <f>IFERROR(SUMIF('LISTA DE EMBARQUE'!B:B,MICRO!E:E,'LISTA DE EMBARQUE'!G:G),"")</f>
        <v>4</v>
      </c>
      <c r="V723" s="12">
        <f>IFERROR(VLOOKUP(Tabela1[[#This Row],[COD.MDE]],'LISTA DE EMBARQUE'!B:L,11,0),"")</f>
        <v>12</v>
      </c>
      <c r="W723" s="13" t="str">
        <f>IFERROR(COUNTIF(#REF!,Tabela1[[#This Row],[Colunas5]]),"")</f>
        <v/>
      </c>
      <c r="X723" s="14">
        <f>Tabela1[[#This Row],[QIANTIDADE EXPEDIDA]]*Tabela1[[#This Row],[PESO UNI]]</f>
        <v>57.444000000000003</v>
      </c>
      <c r="Y723" s="14">
        <f t="shared" si="120"/>
        <v>0</v>
      </c>
      <c r="Z723" s="20">
        <f>Tabela1[[#This Row],[PESO TOTAL]]-Tabela1[[#This Row],[Peso Expedido]]</f>
        <v>0</v>
      </c>
      <c r="AA723" s="17">
        <v>1</v>
      </c>
      <c r="AB723" s="33"/>
      <c r="AC723" s="33">
        <v>1</v>
      </c>
      <c r="AD723" s="33">
        <v>1</v>
      </c>
      <c r="AE723" s="33">
        <v>1</v>
      </c>
      <c r="AF723" s="33">
        <v>1</v>
      </c>
      <c r="AG723" s="33">
        <v>1</v>
      </c>
      <c r="AH723" s="33">
        <v>1</v>
      </c>
      <c r="AI723" s="33" t="s">
        <v>4512</v>
      </c>
      <c r="AQ723" s="203"/>
      <c r="AR723" s="37"/>
      <c r="AS723" s="37"/>
      <c r="AT723" s="37"/>
      <c r="AU723" s="37"/>
      <c r="AV723" s="37"/>
      <c r="AW723" s="37"/>
    </row>
    <row r="724" spans="1:49" ht="15.75" customHeight="1" x14ac:dyDescent="0.25">
      <c r="A724" s="212"/>
      <c r="B724" s="21" t="s">
        <v>3802</v>
      </c>
      <c r="C724" s="198">
        <v>8</v>
      </c>
      <c r="D724" s="199" t="s">
        <v>4655</v>
      </c>
      <c r="E724" s="210" t="s">
        <v>4791</v>
      </c>
      <c r="F724" s="198" t="s">
        <v>4414</v>
      </c>
      <c r="G724" s="199">
        <v>14.361000000000001</v>
      </c>
      <c r="H724" s="213">
        <v>114.88800000000001</v>
      </c>
      <c r="I724" s="199"/>
      <c r="J724" s="217"/>
      <c r="K724" s="218" t="s">
        <v>45</v>
      </c>
      <c r="L724" s="214" t="s">
        <v>2069</v>
      </c>
      <c r="M724" s="200"/>
      <c r="N724" s="8" t="s">
        <v>38</v>
      </c>
      <c r="O724" s="215"/>
      <c r="P724" s="216"/>
      <c r="Q724" s="14">
        <f>Tabela1[[#This Row],[QTDE/ Fabricação]]-Tabela1[[#This Row],[QTE]]</f>
        <v>-8</v>
      </c>
      <c r="R724" s="18">
        <f t="shared" si="117"/>
        <v>114.88800000000001</v>
      </c>
      <c r="S724" s="18">
        <f t="shared" si="118"/>
        <v>114.88800000000001</v>
      </c>
      <c r="T724" s="19">
        <f t="shared" si="119"/>
        <v>0</v>
      </c>
      <c r="U724" s="16">
        <f>IFERROR(SUMIF('LISTA DE EMBARQUE'!B:B,MICRO!E:E,'LISTA DE EMBARQUE'!G:G),"")</f>
        <v>8</v>
      </c>
      <c r="V724" s="12">
        <f>IFERROR(VLOOKUP(Tabela1[[#This Row],[COD.MDE]],'LISTA DE EMBARQUE'!B:L,11,0),"")</f>
        <v>12</v>
      </c>
      <c r="W724" s="13" t="str">
        <f>IFERROR(COUNTIF(#REF!,Tabela1[[#This Row],[Colunas5]]),"")</f>
        <v/>
      </c>
      <c r="X724" s="14">
        <f>Tabela1[[#This Row],[QIANTIDADE EXPEDIDA]]*Tabela1[[#This Row],[PESO UNI]]</f>
        <v>114.88800000000001</v>
      </c>
      <c r="Y724" s="14">
        <f t="shared" si="120"/>
        <v>0</v>
      </c>
      <c r="Z724" s="20">
        <f>Tabela1[[#This Row],[PESO TOTAL]]-Tabela1[[#This Row],[Peso Expedido]]</f>
        <v>0</v>
      </c>
      <c r="AA724" s="17">
        <v>1</v>
      </c>
      <c r="AB724" s="33"/>
      <c r="AC724" s="33">
        <v>1</v>
      </c>
      <c r="AD724" s="33">
        <v>1</v>
      </c>
      <c r="AE724" s="33">
        <v>1</v>
      </c>
      <c r="AF724" s="33">
        <v>1</v>
      </c>
      <c r="AG724" s="33">
        <v>1</v>
      </c>
      <c r="AH724" s="33">
        <v>1</v>
      </c>
      <c r="AI724" s="33" t="s">
        <v>4512</v>
      </c>
      <c r="AQ724" s="203"/>
      <c r="AR724" s="37"/>
      <c r="AS724" s="37"/>
      <c r="AT724" s="37"/>
      <c r="AU724" s="37"/>
      <c r="AV724" s="37"/>
      <c r="AW724" s="37"/>
    </row>
    <row r="725" spans="1:49" ht="15.75" customHeight="1" x14ac:dyDescent="0.25">
      <c r="A725" s="212"/>
      <c r="B725" s="21" t="s">
        <v>3821</v>
      </c>
      <c r="C725" s="198">
        <v>4</v>
      </c>
      <c r="D725" s="199" t="s">
        <v>4656</v>
      </c>
      <c r="E725" s="210" t="s">
        <v>4792</v>
      </c>
      <c r="F725" s="198" t="s">
        <v>4414</v>
      </c>
      <c r="G725" s="199">
        <v>14.361000000000001</v>
      </c>
      <c r="H725" s="213">
        <v>57.444000000000003</v>
      </c>
      <c r="I725" s="199"/>
      <c r="J725" s="217"/>
      <c r="K725" s="218" t="s">
        <v>45</v>
      </c>
      <c r="L725" s="214" t="s">
        <v>2069</v>
      </c>
      <c r="M725" s="200"/>
      <c r="N725" s="8" t="s">
        <v>38</v>
      </c>
      <c r="O725" s="215"/>
      <c r="P725" s="216"/>
      <c r="Q725" s="14">
        <f>Tabela1[[#This Row],[QTDE/ Fabricação]]-Tabela1[[#This Row],[QTE]]</f>
        <v>-4</v>
      </c>
      <c r="R725" s="18">
        <f t="shared" si="117"/>
        <v>57.444000000000003</v>
      </c>
      <c r="S725" s="18">
        <f t="shared" si="118"/>
        <v>57.444000000000003</v>
      </c>
      <c r="T725" s="19">
        <f t="shared" si="119"/>
        <v>0</v>
      </c>
      <c r="U725" s="16">
        <f>IFERROR(SUMIF('LISTA DE EMBARQUE'!B:B,MICRO!E:E,'LISTA DE EMBARQUE'!G:G),"")</f>
        <v>4</v>
      </c>
      <c r="V725" s="12">
        <f>IFERROR(VLOOKUP(Tabela1[[#This Row],[COD.MDE]],'LISTA DE EMBARQUE'!B:L,11,0),"")</f>
        <v>12</v>
      </c>
      <c r="W725" s="13" t="str">
        <f>IFERROR(COUNTIF(#REF!,Tabela1[[#This Row],[Colunas5]]),"")</f>
        <v/>
      </c>
      <c r="X725" s="14">
        <f>Tabela1[[#This Row],[QIANTIDADE EXPEDIDA]]*Tabela1[[#This Row],[PESO UNI]]</f>
        <v>57.444000000000003</v>
      </c>
      <c r="Y725" s="14">
        <f t="shared" si="120"/>
        <v>0</v>
      </c>
      <c r="Z725" s="20">
        <f>Tabela1[[#This Row],[PESO TOTAL]]-Tabela1[[#This Row],[Peso Expedido]]</f>
        <v>0</v>
      </c>
      <c r="AA725" s="17">
        <v>1</v>
      </c>
      <c r="AB725" s="33"/>
      <c r="AC725" s="33">
        <v>1</v>
      </c>
      <c r="AD725" s="33">
        <v>1</v>
      </c>
      <c r="AE725" s="33">
        <v>1</v>
      </c>
      <c r="AF725" s="33">
        <v>1</v>
      </c>
      <c r="AG725" s="33">
        <v>1</v>
      </c>
      <c r="AH725" s="33">
        <v>1</v>
      </c>
      <c r="AI725" s="33" t="s">
        <v>4512</v>
      </c>
      <c r="AQ725" s="203"/>
      <c r="AR725" s="37"/>
      <c r="AS725" s="37"/>
      <c r="AT725" s="37"/>
      <c r="AU725" s="37"/>
      <c r="AV725" s="37"/>
      <c r="AW725" s="37"/>
    </row>
    <row r="726" spans="1:49" ht="15.75" customHeight="1" x14ac:dyDescent="0.25">
      <c r="A726" s="212"/>
      <c r="B726" s="21" t="s">
        <v>3821</v>
      </c>
      <c r="C726" s="198">
        <v>12</v>
      </c>
      <c r="D726" s="199" t="s">
        <v>4657</v>
      </c>
      <c r="E726" s="210" t="s">
        <v>4793</v>
      </c>
      <c r="F726" s="198" t="s">
        <v>4414</v>
      </c>
      <c r="G726" s="199">
        <v>14.361000000000001</v>
      </c>
      <c r="H726" s="213">
        <v>172.33199999999999</v>
      </c>
      <c r="I726" s="199"/>
      <c r="J726" s="217"/>
      <c r="K726" s="218" t="s">
        <v>45</v>
      </c>
      <c r="L726" s="214" t="s">
        <v>2069</v>
      </c>
      <c r="M726" s="200"/>
      <c r="N726" s="8" t="s">
        <v>38</v>
      </c>
      <c r="O726" s="215"/>
      <c r="P726" s="216"/>
      <c r="Q726" s="14">
        <f>Tabela1[[#This Row],[QTDE/ Fabricação]]-Tabela1[[#This Row],[QTE]]</f>
        <v>-12</v>
      </c>
      <c r="R726" s="18">
        <f t="shared" si="117"/>
        <v>172.33199999999999</v>
      </c>
      <c r="S726" s="18">
        <f t="shared" si="118"/>
        <v>172.33199999999999</v>
      </c>
      <c r="T726" s="19">
        <f t="shared" si="119"/>
        <v>0</v>
      </c>
      <c r="U726" s="16">
        <f>IFERROR(SUMIF('LISTA DE EMBARQUE'!B:B,MICRO!E:E,'LISTA DE EMBARQUE'!G:G),"")</f>
        <v>12</v>
      </c>
      <c r="V726" s="12">
        <f>IFERROR(VLOOKUP(Tabela1[[#This Row],[COD.MDE]],'LISTA DE EMBARQUE'!B:L,11,0),"")</f>
        <v>12</v>
      </c>
      <c r="W726" s="13" t="str">
        <f>IFERROR(COUNTIF(#REF!,Tabela1[[#This Row],[Colunas5]]),"")</f>
        <v/>
      </c>
      <c r="X726" s="14">
        <f>Tabela1[[#This Row],[QIANTIDADE EXPEDIDA]]*Tabela1[[#This Row],[PESO UNI]]</f>
        <v>172.33199999999999</v>
      </c>
      <c r="Y726" s="14">
        <f t="shared" si="120"/>
        <v>0</v>
      </c>
      <c r="Z726" s="20">
        <f>Tabela1[[#This Row],[PESO TOTAL]]-Tabela1[[#This Row],[Peso Expedido]]</f>
        <v>0</v>
      </c>
      <c r="AA726" s="17">
        <v>1</v>
      </c>
      <c r="AB726" s="33"/>
      <c r="AC726" s="33">
        <v>1</v>
      </c>
      <c r="AD726" s="33">
        <v>1</v>
      </c>
      <c r="AE726" s="33">
        <v>1</v>
      </c>
      <c r="AF726" s="33">
        <v>1</v>
      </c>
      <c r="AG726" s="33">
        <v>1</v>
      </c>
      <c r="AH726" s="33">
        <v>1</v>
      </c>
      <c r="AI726" s="33" t="s">
        <v>4512</v>
      </c>
      <c r="AQ726" s="203"/>
      <c r="AR726" s="37"/>
      <c r="AS726" s="37"/>
      <c r="AT726" s="37"/>
      <c r="AU726" s="37"/>
      <c r="AV726" s="37"/>
      <c r="AW726" s="37"/>
    </row>
    <row r="727" spans="1:49" ht="15.75" customHeight="1" x14ac:dyDescent="0.25">
      <c r="A727" s="212"/>
      <c r="B727" s="21" t="s">
        <v>3821</v>
      </c>
      <c r="C727" s="198">
        <v>4</v>
      </c>
      <c r="D727" s="199" t="s">
        <v>4658</v>
      </c>
      <c r="E727" s="210" t="s">
        <v>4794</v>
      </c>
      <c r="F727" s="198" t="s">
        <v>4414</v>
      </c>
      <c r="G727" s="199">
        <v>14.361000000000001</v>
      </c>
      <c r="H727" s="213">
        <v>57.444000000000003</v>
      </c>
      <c r="I727" s="199"/>
      <c r="J727" s="217"/>
      <c r="K727" s="218" t="s">
        <v>45</v>
      </c>
      <c r="L727" s="214" t="s">
        <v>2069</v>
      </c>
      <c r="M727" s="200"/>
      <c r="N727" s="8" t="s">
        <v>38</v>
      </c>
      <c r="O727" s="215"/>
      <c r="P727" s="216"/>
      <c r="Q727" s="14">
        <f>Tabela1[[#This Row],[QTDE/ Fabricação]]-Tabela1[[#This Row],[QTE]]</f>
        <v>-4</v>
      </c>
      <c r="R727" s="18">
        <f t="shared" si="117"/>
        <v>57.444000000000003</v>
      </c>
      <c r="S727" s="18">
        <f t="shared" si="118"/>
        <v>57.444000000000003</v>
      </c>
      <c r="T727" s="19">
        <f t="shared" si="119"/>
        <v>0</v>
      </c>
      <c r="U727" s="16">
        <f>IFERROR(SUMIF('LISTA DE EMBARQUE'!B:B,MICRO!E:E,'LISTA DE EMBARQUE'!G:G),"")</f>
        <v>4</v>
      </c>
      <c r="V727" s="12">
        <f>IFERROR(VLOOKUP(Tabela1[[#This Row],[COD.MDE]],'LISTA DE EMBARQUE'!B:L,11,0),"")</f>
        <v>12</v>
      </c>
      <c r="W727" s="13" t="str">
        <f>IFERROR(COUNTIF(#REF!,Tabela1[[#This Row],[Colunas5]]),"")</f>
        <v/>
      </c>
      <c r="X727" s="14">
        <f>Tabela1[[#This Row],[QIANTIDADE EXPEDIDA]]*Tabela1[[#This Row],[PESO UNI]]</f>
        <v>57.444000000000003</v>
      </c>
      <c r="Y727" s="14">
        <f t="shared" si="120"/>
        <v>0</v>
      </c>
      <c r="Z727" s="20">
        <f>Tabela1[[#This Row],[PESO TOTAL]]-Tabela1[[#This Row],[Peso Expedido]]</f>
        <v>0</v>
      </c>
      <c r="AA727" s="17">
        <v>1</v>
      </c>
      <c r="AB727" s="33"/>
      <c r="AC727" s="33">
        <v>1</v>
      </c>
      <c r="AD727" s="33">
        <v>1</v>
      </c>
      <c r="AE727" s="33">
        <v>1</v>
      </c>
      <c r="AF727" s="33">
        <v>1</v>
      </c>
      <c r="AG727" s="33">
        <v>1</v>
      </c>
      <c r="AH727" s="33">
        <v>1</v>
      </c>
      <c r="AI727" s="33" t="s">
        <v>4512</v>
      </c>
      <c r="AQ727" s="203"/>
      <c r="AR727" s="37"/>
      <c r="AS727" s="37"/>
      <c r="AT727" s="37"/>
      <c r="AU727" s="37"/>
      <c r="AV727" s="37"/>
      <c r="AW727" s="37"/>
    </row>
    <row r="728" spans="1:49" ht="15.75" customHeight="1" x14ac:dyDescent="0.25">
      <c r="A728" s="212"/>
      <c r="B728" s="21" t="s">
        <v>3821</v>
      </c>
      <c r="C728" s="198">
        <v>4</v>
      </c>
      <c r="D728" s="199" t="s">
        <v>4658</v>
      </c>
      <c r="E728" s="210" t="s">
        <v>4795</v>
      </c>
      <c r="F728" s="198" t="s">
        <v>4414</v>
      </c>
      <c r="G728" s="199">
        <v>14.361000000000001</v>
      </c>
      <c r="H728" s="213">
        <v>57.444000000000003</v>
      </c>
      <c r="I728" s="199"/>
      <c r="J728" s="217"/>
      <c r="K728" s="218" t="s">
        <v>45</v>
      </c>
      <c r="L728" s="214" t="s">
        <v>2069</v>
      </c>
      <c r="M728" s="200"/>
      <c r="N728" s="8" t="s">
        <v>38</v>
      </c>
      <c r="O728" s="215"/>
      <c r="P728" s="216"/>
      <c r="Q728" s="14">
        <f>Tabela1[[#This Row],[QTDE/ Fabricação]]-Tabela1[[#This Row],[QTE]]</f>
        <v>-4</v>
      </c>
      <c r="R728" s="18">
        <f t="shared" si="117"/>
        <v>57.444000000000003</v>
      </c>
      <c r="S728" s="18">
        <f t="shared" si="118"/>
        <v>57.444000000000003</v>
      </c>
      <c r="T728" s="19">
        <f t="shared" si="119"/>
        <v>0</v>
      </c>
      <c r="U728" s="16">
        <f>IFERROR(SUMIF('LISTA DE EMBARQUE'!B:B,MICRO!E:E,'LISTA DE EMBARQUE'!G:G),"")</f>
        <v>4</v>
      </c>
      <c r="V728" s="12">
        <f>IFERROR(VLOOKUP(Tabela1[[#This Row],[COD.MDE]],'LISTA DE EMBARQUE'!B:L,11,0),"")</f>
        <v>12</v>
      </c>
      <c r="W728" s="13" t="str">
        <f>IFERROR(COUNTIF(#REF!,Tabela1[[#This Row],[Colunas5]]),"")</f>
        <v/>
      </c>
      <c r="X728" s="14">
        <f>Tabela1[[#This Row],[QIANTIDADE EXPEDIDA]]*Tabela1[[#This Row],[PESO UNI]]</f>
        <v>57.444000000000003</v>
      </c>
      <c r="Y728" s="14">
        <f t="shared" si="120"/>
        <v>0</v>
      </c>
      <c r="Z728" s="20">
        <f>Tabela1[[#This Row],[PESO TOTAL]]-Tabela1[[#This Row],[Peso Expedido]]</f>
        <v>0</v>
      </c>
      <c r="AA728" s="17">
        <v>1</v>
      </c>
      <c r="AB728" s="33"/>
      <c r="AC728" s="33">
        <v>1</v>
      </c>
      <c r="AD728" s="33">
        <v>1</v>
      </c>
      <c r="AE728" s="33">
        <v>1</v>
      </c>
      <c r="AF728" s="33">
        <v>1</v>
      </c>
      <c r="AG728" s="33">
        <v>1</v>
      </c>
      <c r="AH728" s="33">
        <v>1</v>
      </c>
      <c r="AI728" s="33" t="s">
        <v>4512</v>
      </c>
      <c r="AQ728" s="203"/>
      <c r="AR728" s="37"/>
      <c r="AS728" s="37"/>
      <c r="AT728" s="37"/>
      <c r="AU728" s="37"/>
      <c r="AV728" s="37"/>
      <c r="AW728" s="37"/>
    </row>
    <row r="729" spans="1:49" ht="15.75" customHeight="1" x14ac:dyDescent="0.25">
      <c r="A729" s="212"/>
      <c r="B729" s="21" t="s">
        <v>3875</v>
      </c>
      <c r="C729" s="198">
        <v>4</v>
      </c>
      <c r="D729" s="199" t="s">
        <v>4659</v>
      </c>
      <c r="E729" s="210" t="s">
        <v>4796</v>
      </c>
      <c r="F729" s="198" t="s">
        <v>4414</v>
      </c>
      <c r="G729" s="199">
        <v>14.361000000000001</v>
      </c>
      <c r="H729" s="213">
        <v>57.444000000000003</v>
      </c>
      <c r="I729" s="199"/>
      <c r="J729" s="217"/>
      <c r="K729" s="218" t="s">
        <v>45</v>
      </c>
      <c r="L729" s="214" t="s">
        <v>2069</v>
      </c>
      <c r="M729" s="200"/>
      <c r="N729" s="8" t="s">
        <v>38</v>
      </c>
      <c r="O729" s="215"/>
      <c r="P729" s="216"/>
      <c r="Q729" s="14">
        <f>Tabela1[[#This Row],[QTDE/ Fabricação]]-Tabela1[[#This Row],[QTE]]</f>
        <v>-4</v>
      </c>
      <c r="R729" s="18">
        <f t="shared" si="117"/>
        <v>57.444000000000003</v>
      </c>
      <c r="S729" s="18">
        <f t="shared" si="118"/>
        <v>57.444000000000003</v>
      </c>
      <c r="T729" s="19">
        <f t="shared" si="119"/>
        <v>0</v>
      </c>
      <c r="U729" s="16">
        <f>IFERROR(SUMIF('LISTA DE EMBARQUE'!B:B,MICRO!E:E,'LISTA DE EMBARQUE'!G:G),"")</f>
        <v>4</v>
      </c>
      <c r="V729" s="12">
        <f>IFERROR(VLOOKUP(Tabela1[[#This Row],[COD.MDE]],'LISTA DE EMBARQUE'!B:L,11,0),"")</f>
        <v>12</v>
      </c>
      <c r="W729" s="13" t="str">
        <f>IFERROR(COUNTIF(#REF!,Tabela1[[#This Row],[Colunas5]]),"")</f>
        <v/>
      </c>
      <c r="X729" s="14">
        <f>Tabela1[[#This Row],[QIANTIDADE EXPEDIDA]]*Tabela1[[#This Row],[PESO UNI]]</f>
        <v>57.444000000000003</v>
      </c>
      <c r="Y729" s="14">
        <f t="shared" si="120"/>
        <v>0</v>
      </c>
      <c r="Z729" s="20">
        <f>Tabela1[[#This Row],[PESO TOTAL]]-Tabela1[[#This Row],[Peso Expedido]]</f>
        <v>0</v>
      </c>
      <c r="AA729" s="17">
        <v>1</v>
      </c>
      <c r="AB729" s="33"/>
      <c r="AC729" s="33">
        <v>1</v>
      </c>
      <c r="AD729" s="33">
        <v>1</v>
      </c>
      <c r="AE729" s="33">
        <v>1</v>
      </c>
      <c r="AF729" s="33">
        <v>1</v>
      </c>
      <c r="AG729" s="33">
        <v>1</v>
      </c>
      <c r="AH729" s="33">
        <v>1</v>
      </c>
      <c r="AI729" s="33" t="s">
        <v>4512</v>
      </c>
      <c r="AQ729" s="203"/>
      <c r="AR729" s="37"/>
      <c r="AS729" s="37"/>
      <c r="AT729" s="37"/>
      <c r="AU729" s="37"/>
      <c r="AV729" s="37"/>
      <c r="AW729" s="37"/>
    </row>
    <row r="730" spans="1:49" ht="15.75" customHeight="1" x14ac:dyDescent="0.25">
      <c r="A730" s="212"/>
      <c r="B730" s="21" t="s">
        <v>3875</v>
      </c>
      <c r="C730" s="198">
        <v>20</v>
      </c>
      <c r="D730" s="199" t="s">
        <v>4660</v>
      </c>
      <c r="E730" s="210" t="s">
        <v>4797</v>
      </c>
      <c r="F730" s="198" t="s">
        <v>4414</v>
      </c>
      <c r="G730" s="199">
        <v>14.361000000000001</v>
      </c>
      <c r="H730" s="213">
        <v>287.22000000000003</v>
      </c>
      <c r="I730" s="199"/>
      <c r="J730" s="217"/>
      <c r="K730" s="218" t="s">
        <v>45</v>
      </c>
      <c r="L730" s="214" t="s">
        <v>2069</v>
      </c>
      <c r="M730" s="200"/>
      <c r="N730" s="8" t="s">
        <v>38</v>
      </c>
      <c r="O730" s="215"/>
      <c r="P730" s="216"/>
      <c r="Q730" s="14">
        <f>Tabela1[[#This Row],[QTDE/ Fabricação]]-Tabela1[[#This Row],[QTE]]</f>
        <v>-20</v>
      </c>
      <c r="R730" s="18">
        <f t="shared" si="117"/>
        <v>287.22000000000003</v>
      </c>
      <c r="S730" s="18">
        <f t="shared" si="118"/>
        <v>287.22000000000003</v>
      </c>
      <c r="T730" s="19">
        <f t="shared" si="119"/>
        <v>0</v>
      </c>
      <c r="U730" s="16">
        <f>IFERROR(SUMIF('LISTA DE EMBARQUE'!B:B,MICRO!E:E,'LISTA DE EMBARQUE'!G:G),"")</f>
        <v>20</v>
      </c>
      <c r="V730" s="12">
        <f>IFERROR(VLOOKUP(Tabela1[[#This Row],[COD.MDE]],'LISTA DE EMBARQUE'!B:L,11,0),"")</f>
        <v>12</v>
      </c>
      <c r="W730" s="13" t="str">
        <f>IFERROR(COUNTIF(#REF!,Tabela1[[#This Row],[Colunas5]]),"")</f>
        <v/>
      </c>
      <c r="X730" s="14">
        <f>Tabela1[[#This Row],[QIANTIDADE EXPEDIDA]]*Tabela1[[#This Row],[PESO UNI]]</f>
        <v>287.22000000000003</v>
      </c>
      <c r="Y730" s="14">
        <f t="shared" si="120"/>
        <v>0</v>
      </c>
      <c r="Z730" s="20">
        <f>Tabela1[[#This Row],[PESO TOTAL]]-Tabela1[[#This Row],[Peso Expedido]]</f>
        <v>0</v>
      </c>
      <c r="AA730" s="17">
        <v>1</v>
      </c>
      <c r="AB730" s="33"/>
      <c r="AC730" s="33">
        <v>1</v>
      </c>
      <c r="AD730" s="33">
        <v>1</v>
      </c>
      <c r="AE730" s="33">
        <v>1</v>
      </c>
      <c r="AF730" s="33">
        <v>1</v>
      </c>
      <c r="AG730" s="33">
        <v>1</v>
      </c>
      <c r="AH730" s="33">
        <v>1</v>
      </c>
      <c r="AI730" s="33" t="s">
        <v>4512</v>
      </c>
      <c r="AQ730" s="203"/>
      <c r="AR730" s="37"/>
      <c r="AS730" s="37"/>
      <c r="AT730" s="37"/>
      <c r="AU730" s="37"/>
      <c r="AV730" s="37"/>
      <c r="AW730" s="37"/>
    </row>
    <row r="731" spans="1:49" ht="15.75" customHeight="1" x14ac:dyDescent="0.25">
      <c r="A731" s="212"/>
      <c r="B731" s="21" t="s">
        <v>3858</v>
      </c>
      <c r="C731" s="198">
        <v>2</v>
      </c>
      <c r="D731" s="199" t="s">
        <v>4661</v>
      </c>
      <c r="E731" s="210" t="s">
        <v>4798</v>
      </c>
      <c r="F731" s="198" t="s">
        <v>4414</v>
      </c>
      <c r="G731" s="199">
        <v>14.361000000000001</v>
      </c>
      <c r="H731" s="213">
        <v>28.722000000000001</v>
      </c>
      <c r="I731" s="199"/>
      <c r="J731" s="217"/>
      <c r="K731" s="218" t="s">
        <v>45</v>
      </c>
      <c r="L731" s="214" t="s">
        <v>2069</v>
      </c>
      <c r="M731" s="200"/>
      <c r="N731" s="8" t="s">
        <v>38</v>
      </c>
      <c r="O731" s="215"/>
      <c r="P731" s="216"/>
      <c r="Q731" s="14">
        <f>Tabela1[[#This Row],[QTDE/ Fabricação]]-Tabela1[[#This Row],[QTE]]</f>
        <v>-2</v>
      </c>
      <c r="R731" s="18">
        <f t="shared" si="117"/>
        <v>28.722000000000001</v>
      </c>
      <c r="S731" s="18">
        <f t="shared" si="118"/>
        <v>28.722000000000001</v>
      </c>
      <c r="T731" s="19">
        <f t="shared" si="119"/>
        <v>0</v>
      </c>
      <c r="U731" s="16">
        <f>IFERROR(SUMIF('LISTA DE EMBARQUE'!B:B,MICRO!E:E,'LISTA DE EMBARQUE'!G:G),"")</f>
        <v>2</v>
      </c>
      <c r="V731" s="12">
        <f>IFERROR(VLOOKUP(Tabela1[[#This Row],[COD.MDE]],'LISTA DE EMBARQUE'!B:L,11,0),"")</f>
        <v>12</v>
      </c>
      <c r="W731" s="13" t="str">
        <f>IFERROR(COUNTIF(#REF!,Tabela1[[#This Row],[Colunas5]]),"")</f>
        <v/>
      </c>
      <c r="X731" s="14">
        <f>Tabela1[[#This Row],[QIANTIDADE EXPEDIDA]]*Tabela1[[#This Row],[PESO UNI]]</f>
        <v>28.722000000000001</v>
      </c>
      <c r="Y731" s="14">
        <f t="shared" si="120"/>
        <v>0</v>
      </c>
      <c r="Z731" s="20">
        <f>Tabela1[[#This Row],[PESO TOTAL]]-Tabela1[[#This Row],[Peso Expedido]]</f>
        <v>0</v>
      </c>
      <c r="AA731" s="17">
        <v>1</v>
      </c>
      <c r="AB731" s="33"/>
      <c r="AC731" s="33">
        <v>1</v>
      </c>
      <c r="AD731" s="33">
        <v>1</v>
      </c>
      <c r="AE731" s="33">
        <v>1</v>
      </c>
      <c r="AF731" s="33">
        <v>1</v>
      </c>
      <c r="AG731" s="33">
        <v>1</v>
      </c>
      <c r="AH731" s="33">
        <v>1</v>
      </c>
      <c r="AI731" s="33" t="s">
        <v>4512</v>
      </c>
      <c r="AQ731" s="203"/>
      <c r="AR731" s="37"/>
      <c r="AS731" s="37"/>
      <c r="AT731" s="37"/>
      <c r="AU731" s="37"/>
      <c r="AV731" s="37"/>
      <c r="AW731" s="37"/>
    </row>
    <row r="732" spans="1:49" ht="15.75" customHeight="1" x14ac:dyDescent="0.25">
      <c r="A732" s="212"/>
      <c r="B732" s="21" t="s">
        <v>3858</v>
      </c>
      <c r="C732" s="198">
        <v>22</v>
      </c>
      <c r="D732" s="199" t="s">
        <v>4661</v>
      </c>
      <c r="E732" s="210" t="s">
        <v>4799</v>
      </c>
      <c r="F732" s="198" t="s">
        <v>4414</v>
      </c>
      <c r="G732" s="199">
        <v>14.361000000000001</v>
      </c>
      <c r="H732" s="213">
        <v>315.94200000000001</v>
      </c>
      <c r="I732" s="199"/>
      <c r="J732" s="217"/>
      <c r="K732" s="218" t="s">
        <v>45</v>
      </c>
      <c r="L732" s="214" t="s">
        <v>2069</v>
      </c>
      <c r="M732" s="200"/>
      <c r="N732" s="8" t="s">
        <v>38</v>
      </c>
      <c r="O732" s="215"/>
      <c r="P732" s="216"/>
      <c r="Q732" s="14">
        <f>Tabela1[[#This Row],[QTDE/ Fabricação]]-Tabela1[[#This Row],[QTE]]</f>
        <v>-22</v>
      </c>
      <c r="R732" s="18">
        <f t="shared" si="117"/>
        <v>315.94200000000001</v>
      </c>
      <c r="S732" s="18">
        <f t="shared" si="118"/>
        <v>315.94200000000001</v>
      </c>
      <c r="T732" s="19">
        <f t="shared" si="119"/>
        <v>0</v>
      </c>
      <c r="U732" s="16">
        <f>IFERROR(SUMIF('LISTA DE EMBARQUE'!B:B,MICRO!E:E,'LISTA DE EMBARQUE'!G:G),"")</f>
        <v>22</v>
      </c>
      <c r="V732" s="12">
        <f>IFERROR(VLOOKUP(Tabela1[[#This Row],[COD.MDE]],'LISTA DE EMBARQUE'!B:L,11,0),"")</f>
        <v>12</v>
      </c>
      <c r="W732" s="13" t="str">
        <f>IFERROR(COUNTIF(#REF!,Tabela1[[#This Row],[Colunas5]]),"")</f>
        <v/>
      </c>
      <c r="X732" s="14">
        <f>Tabela1[[#This Row],[QIANTIDADE EXPEDIDA]]*Tabela1[[#This Row],[PESO UNI]]</f>
        <v>315.94200000000001</v>
      </c>
      <c r="Y732" s="14">
        <f t="shared" si="120"/>
        <v>0</v>
      </c>
      <c r="Z732" s="20">
        <f>Tabela1[[#This Row],[PESO TOTAL]]-Tabela1[[#This Row],[Peso Expedido]]</f>
        <v>0</v>
      </c>
      <c r="AA732" s="17">
        <v>1</v>
      </c>
      <c r="AB732" s="33"/>
      <c r="AC732" s="33">
        <v>1</v>
      </c>
      <c r="AD732" s="33">
        <v>1</v>
      </c>
      <c r="AE732" s="33">
        <v>1</v>
      </c>
      <c r="AF732" s="33">
        <v>1</v>
      </c>
      <c r="AG732" s="33">
        <v>1</v>
      </c>
      <c r="AH732" s="33">
        <v>1</v>
      </c>
      <c r="AI732" s="33" t="s">
        <v>4512</v>
      </c>
      <c r="AQ732" s="203"/>
      <c r="AR732" s="37"/>
      <c r="AS732" s="37"/>
      <c r="AT732" s="37"/>
      <c r="AU732" s="37"/>
      <c r="AV732" s="37"/>
      <c r="AW732" s="37"/>
    </row>
    <row r="733" spans="1:49" ht="15.75" customHeight="1" x14ac:dyDescent="0.25">
      <c r="A733" s="212"/>
      <c r="B733" s="21" t="s">
        <v>3858</v>
      </c>
      <c r="C733" s="198">
        <v>2</v>
      </c>
      <c r="D733" s="199" t="s">
        <v>4662</v>
      </c>
      <c r="E733" s="210" t="s">
        <v>4800</v>
      </c>
      <c r="F733" s="198" t="s">
        <v>4414</v>
      </c>
      <c r="G733" s="199">
        <v>14.361000000000001</v>
      </c>
      <c r="H733" s="213">
        <v>28.722000000000001</v>
      </c>
      <c r="I733" s="199"/>
      <c r="J733" s="217"/>
      <c r="K733" s="218" t="s">
        <v>45</v>
      </c>
      <c r="L733" s="214" t="s">
        <v>2069</v>
      </c>
      <c r="M733" s="200"/>
      <c r="N733" s="8" t="s">
        <v>38</v>
      </c>
      <c r="O733" s="215"/>
      <c r="P733" s="216"/>
      <c r="Q733" s="14">
        <f>Tabela1[[#This Row],[QTDE/ Fabricação]]-Tabela1[[#This Row],[QTE]]</f>
        <v>-2</v>
      </c>
      <c r="R733" s="18">
        <f t="shared" si="117"/>
        <v>28.722000000000001</v>
      </c>
      <c r="S733" s="18">
        <f t="shared" si="118"/>
        <v>28.722000000000001</v>
      </c>
      <c r="T733" s="19">
        <f t="shared" si="119"/>
        <v>0</v>
      </c>
      <c r="U733" s="16">
        <f>IFERROR(SUMIF('LISTA DE EMBARQUE'!B:B,MICRO!E:E,'LISTA DE EMBARQUE'!G:G),"")</f>
        <v>2</v>
      </c>
      <c r="V733" s="12">
        <f>IFERROR(VLOOKUP(Tabela1[[#This Row],[COD.MDE]],'LISTA DE EMBARQUE'!B:L,11,0),"")</f>
        <v>12</v>
      </c>
      <c r="W733" s="13" t="str">
        <f>IFERROR(COUNTIF(#REF!,Tabela1[[#This Row],[Colunas5]]),"")</f>
        <v/>
      </c>
      <c r="X733" s="14">
        <f>Tabela1[[#This Row],[QIANTIDADE EXPEDIDA]]*Tabela1[[#This Row],[PESO UNI]]</f>
        <v>28.722000000000001</v>
      </c>
      <c r="Y733" s="14">
        <f t="shared" si="120"/>
        <v>0</v>
      </c>
      <c r="Z733" s="20">
        <f>Tabela1[[#This Row],[PESO TOTAL]]-Tabela1[[#This Row],[Peso Expedido]]</f>
        <v>0</v>
      </c>
      <c r="AA733" s="17">
        <v>1</v>
      </c>
      <c r="AB733" s="33"/>
      <c r="AC733" s="33">
        <v>1</v>
      </c>
      <c r="AD733" s="33">
        <v>1</v>
      </c>
      <c r="AE733" s="33">
        <v>1</v>
      </c>
      <c r="AF733" s="33">
        <v>1</v>
      </c>
      <c r="AG733" s="33">
        <v>1</v>
      </c>
      <c r="AH733" s="33">
        <v>1</v>
      </c>
      <c r="AI733" s="33" t="s">
        <v>4512</v>
      </c>
      <c r="AQ733" s="203"/>
      <c r="AR733" s="37"/>
      <c r="AS733" s="37"/>
      <c r="AT733" s="37"/>
      <c r="AU733" s="37"/>
      <c r="AV733" s="37"/>
      <c r="AW733" s="37"/>
    </row>
    <row r="734" spans="1:49" ht="15.75" customHeight="1" x14ac:dyDescent="0.25">
      <c r="A734" s="212"/>
      <c r="B734" s="21" t="s">
        <v>3858</v>
      </c>
      <c r="C734" s="198">
        <v>2</v>
      </c>
      <c r="D734" s="199" t="s">
        <v>4662</v>
      </c>
      <c r="E734" s="210" t="s">
        <v>4801</v>
      </c>
      <c r="F734" s="198" t="s">
        <v>4414</v>
      </c>
      <c r="G734" s="199">
        <v>14.361000000000001</v>
      </c>
      <c r="H734" s="213">
        <v>28.722000000000001</v>
      </c>
      <c r="I734" s="199"/>
      <c r="J734" s="217"/>
      <c r="K734" s="218" t="s">
        <v>45</v>
      </c>
      <c r="L734" s="214" t="s">
        <v>2069</v>
      </c>
      <c r="M734" s="200"/>
      <c r="N734" s="8" t="s">
        <v>38</v>
      </c>
      <c r="O734" s="215"/>
      <c r="P734" s="216"/>
      <c r="Q734" s="14">
        <f>Tabela1[[#This Row],[QTDE/ Fabricação]]-Tabela1[[#This Row],[QTE]]</f>
        <v>-2</v>
      </c>
      <c r="R734" s="18">
        <f t="shared" si="117"/>
        <v>28.722000000000001</v>
      </c>
      <c r="S734" s="18">
        <f t="shared" si="118"/>
        <v>28.722000000000001</v>
      </c>
      <c r="T734" s="19">
        <f t="shared" si="119"/>
        <v>0</v>
      </c>
      <c r="U734" s="16">
        <f>IFERROR(SUMIF('LISTA DE EMBARQUE'!B:B,MICRO!E:E,'LISTA DE EMBARQUE'!G:G),"")</f>
        <v>2</v>
      </c>
      <c r="V734" s="12">
        <f>IFERROR(VLOOKUP(Tabela1[[#This Row],[COD.MDE]],'LISTA DE EMBARQUE'!B:L,11,0),"")</f>
        <v>12</v>
      </c>
      <c r="W734" s="13" t="str">
        <f>IFERROR(COUNTIF(#REF!,Tabela1[[#This Row],[Colunas5]]),"")</f>
        <v/>
      </c>
      <c r="X734" s="14">
        <f>Tabela1[[#This Row],[QIANTIDADE EXPEDIDA]]*Tabela1[[#This Row],[PESO UNI]]</f>
        <v>28.722000000000001</v>
      </c>
      <c r="Y734" s="14">
        <f t="shared" si="120"/>
        <v>0</v>
      </c>
      <c r="Z734" s="20">
        <f>Tabela1[[#This Row],[PESO TOTAL]]-Tabela1[[#This Row],[Peso Expedido]]</f>
        <v>0</v>
      </c>
      <c r="AA734" s="17">
        <v>1</v>
      </c>
      <c r="AB734" s="33"/>
      <c r="AC734" s="33">
        <v>1</v>
      </c>
      <c r="AD734" s="33">
        <v>1</v>
      </c>
      <c r="AE734" s="33">
        <v>1</v>
      </c>
      <c r="AF734" s="33">
        <v>1</v>
      </c>
      <c r="AG734" s="33">
        <v>1</v>
      </c>
      <c r="AH734" s="33">
        <v>1</v>
      </c>
      <c r="AI734" s="33" t="s">
        <v>4512</v>
      </c>
      <c r="AQ734" s="203"/>
      <c r="AR734" s="37"/>
      <c r="AS734" s="37"/>
      <c r="AT734" s="37"/>
      <c r="AU734" s="37"/>
      <c r="AV734" s="37"/>
      <c r="AW734" s="37"/>
    </row>
    <row r="735" spans="1:49" ht="15.75" customHeight="1" x14ac:dyDescent="0.25">
      <c r="A735" s="212"/>
      <c r="B735" s="21" t="s">
        <v>3864</v>
      </c>
      <c r="C735" s="198">
        <v>2</v>
      </c>
      <c r="D735" s="199" t="s">
        <v>4663</v>
      </c>
      <c r="E735" s="210" t="s">
        <v>4802</v>
      </c>
      <c r="F735" s="198" t="s">
        <v>4414</v>
      </c>
      <c r="G735" s="199">
        <v>14.361000000000001</v>
      </c>
      <c r="H735" s="213">
        <v>28.722000000000001</v>
      </c>
      <c r="I735" s="199"/>
      <c r="J735" s="217"/>
      <c r="K735" s="218" t="s">
        <v>45</v>
      </c>
      <c r="L735" s="214" t="s">
        <v>2069</v>
      </c>
      <c r="M735" s="200"/>
      <c r="N735" s="8" t="s">
        <v>38</v>
      </c>
      <c r="O735" s="215"/>
      <c r="P735" s="216"/>
      <c r="Q735" s="14">
        <f>Tabela1[[#This Row],[QTDE/ Fabricação]]-Tabela1[[#This Row],[QTE]]</f>
        <v>-2</v>
      </c>
      <c r="R735" s="18">
        <f t="shared" si="117"/>
        <v>28.722000000000001</v>
      </c>
      <c r="S735" s="18">
        <f t="shared" si="118"/>
        <v>28.722000000000001</v>
      </c>
      <c r="T735" s="19">
        <f t="shared" si="119"/>
        <v>0</v>
      </c>
      <c r="U735" s="16">
        <f>IFERROR(SUMIF('LISTA DE EMBARQUE'!B:B,MICRO!E:E,'LISTA DE EMBARQUE'!G:G),"")</f>
        <v>2</v>
      </c>
      <c r="V735" s="12">
        <f>IFERROR(VLOOKUP(Tabela1[[#This Row],[COD.MDE]],'LISTA DE EMBARQUE'!B:L,11,0),"")</f>
        <v>12</v>
      </c>
      <c r="W735" s="13" t="str">
        <f>IFERROR(COUNTIF(#REF!,Tabela1[[#This Row],[Colunas5]]),"")</f>
        <v/>
      </c>
      <c r="X735" s="14">
        <f>Tabela1[[#This Row],[QIANTIDADE EXPEDIDA]]*Tabela1[[#This Row],[PESO UNI]]</f>
        <v>28.722000000000001</v>
      </c>
      <c r="Y735" s="14">
        <f t="shared" si="120"/>
        <v>0</v>
      </c>
      <c r="Z735" s="20">
        <f>Tabela1[[#This Row],[PESO TOTAL]]-Tabela1[[#This Row],[Peso Expedido]]</f>
        <v>0</v>
      </c>
      <c r="AA735" s="17">
        <v>1</v>
      </c>
      <c r="AB735" s="33"/>
      <c r="AC735" s="33">
        <v>1</v>
      </c>
      <c r="AD735" s="33">
        <v>1</v>
      </c>
      <c r="AE735" s="33">
        <v>1</v>
      </c>
      <c r="AF735" s="33">
        <v>1</v>
      </c>
      <c r="AG735" s="33">
        <v>1</v>
      </c>
      <c r="AH735" s="33">
        <v>1</v>
      </c>
      <c r="AI735" s="33" t="s">
        <v>4512</v>
      </c>
      <c r="AQ735" s="203"/>
      <c r="AR735" s="37"/>
      <c r="AS735" s="37"/>
      <c r="AT735" s="37"/>
      <c r="AU735" s="37"/>
      <c r="AV735" s="37"/>
      <c r="AW735" s="37"/>
    </row>
    <row r="736" spans="1:49" ht="15.75" customHeight="1" x14ac:dyDescent="0.25">
      <c r="A736" s="212"/>
      <c r="B736" s="21" t="s">
        <v>3864</v>
      </c>
      <c r="C736" s="198">
        <v>2</v>
      </c>
      <c r="D736" s="199" t="s">
        <v>4664</v>
      </c>
      <c r="E736" s="210" t="s">
        <v>4803</v>
      </c>
      <c r="F736" s="198" t="s">
        <v>4414</v>
      </c>
      <c r="G736" s="199">
        <v>14.361000000000001</v>
      </c>
      <c r="H736" s="213">
        <v>28.722000000000001</v>
      </c>
      <c r="I736" s="199"/>
      <c r="J736" s="217"/>
      <c r="K736" s="218" t="s">
        <v>45</v>
      </c>
      <c r="L736" s="214" t="s">
        <v>2069</v>
      </c>
      <c r="M736" s="200"/>
      <c r="N736" s="8" t="s">
        <v>38</v>
      </c>
      <c r="O736" s="215"/>
      <c r="P736" s="216"/>
      <c r="Q736" s="14">
        <f>Tabela1[[#This Row],[QTDE/ Fabricação]]-Tabela1[[#This Row],[QTE]]</f>
        <v>-2</v>
      </c>
      <c r="R736" s="18">
        <f t="shared" si="117"/>
        <v>28.722000000000001</v>
      </c>
      <c r="S736" s="18">
        <f t="shared" si="118"/>
        <v>28.722000000000001</v>
      </c>
      <c r="T736" s="19">
        <f t="shared" si="119"/>
        <v>0</v>
      </c>
      <c r="U736" s="16">
        <f>IFERROR(SUMIF('LISTA DE EMBARQUE'!B:B,MICRO!E:E,'LISTA DE EMBARQUE'!G:G),"")</f>
        <v>2</v>
      </c>
      <c r="V736" s="12">
        <f>IFERROR(VLOOKUP(Tabela1[[#This Row],[COD.MDE]],'LISTA DE EMBARQUE'!B:L,11,0),"")</f>
        <v>12</v>
      </c>
      <c r="W736" s="13" t="str">
        <f>IFERROR(COUNTIF(#REF!,Tabela1[[#This Row],[Colunas5]]),"")</f>
        <v/>
      </c>
      <c r="X736" s="14">
        <f>Tabela1[[#This Row],[QIANTIDADE EXPEDIDA]]*Tabela1[[#This Row],[PESO UNI]]</f>
        <v>28.722000000000001</v>
      </c>
      <c r="Y736" s="14">
        <f t="shared" si="120"/>
        <v>0</v>
      </c>
      <c r="Z736" s="20">
        <f>Tabela1[[#This Row],[PESO TOTAL]]-Tabela1[[#This Row],[Peso Expedido]]</f>
        <v>0</v>
      </c>
      <c r="AA736" s="17">
        <v>1</v>
      </c>
      <c r="AB736" s="33"/>
      <c r="AC736" s="33">
        <v>1</v>
      </c>
      <c r="AD736" s="33">
        <v>1</v>
      </c>
      <c r="AE736" s="33">
        <v>1</v>
      </c>
      <c r="AF736" s="33">
        <v>1</v>
      </c>
      <c r="AG736" s="33">
        <v>1</v>
      </c>
      <c r="AH736" s="33">
        <v>1</v>
      </c>
      <c r="AI736" s="33" t="s">
        <v>4512</v>
      </c>
      <c r="AQ736" s="203"/>
      <c r="AR736" s="37"/>
      <c r="AS736" s="37"/>
      <c r="AT736" s="37"/>
      <c r="AU736" s="37"/>
      <c r="AV736" s="37"/>
      <c r="AW736" s="37"/>
    </row>
    <row r="737" spans="1:49" ht="15.75" customHeight="1" x14ac:dyDescent="0.25">
      <c r="A737" s="212"/>
      <c r="B737" s="21" t="s">
        <v>3864</v>
      </c>
      <c r="C737" s="198">
        <v>4</v>
      </c>
      <c r="D737" s="199" t="s">
        <v>4665</v>
      </c>
      <c r="E737" s="210" t="s">
        <v>4804</v>
      </c>
      <c r="F737" s="198" t="s">
        <v>4414</v>
      </c>
      <c r="G737" s="199">
        <v>14.361000000000001</v>
      </c>
      <c r="H737" s="213">
        <v>57.444000000000003</v>
      </c>
      <c r="I737" s="199"/>
      <c r="J737" s="217"/>
      <c r="K737" s="218" t="s">
        <v>45</v>
      </c>
      <c r="L737" s="214" t="s">
        <v>2069</v>
      </c>
      <c r="M737" s="200"/>
      <c r="N737" s="8" t="s">
        <v>38</v>
      </c>
      <c r="O737" s="215"/>
      <c r="P737" s="216"/>
      <c r="Q737" s="14">
        <f>Tabela1[[#This Row],[QTDE/ Fabricação]]-Tabela1[[#This Row],[QTE]]</f>
        <v>-4</v>
      </c>
      <c r="R737" s="18">
        <f t="shared" si="117"/>
        <v>57.444000000000003</v>
      </c>
      <c r="S737" s="18">
        <f t="shared" si="118"/>
        <v>57.444000000000003</v>
      </c>
      <c r="T737" s="19">
        <f t="shared" si="119"/>
        <v>0</v>
      </c>
      <c r="U737" s="16">
        <f>IFERROR(SUMIF('LISTA DE EMBARQUE'!B:B,MICRO!E:E,'LISTA DE EMBARQUE'!G:G),"")</f>
        <v>4</v>
      </c>
      <c r="V737" s="12">
        <f>IFERROR(VLOOKUP(Tabela1[[#This Row],[COD.MDE]],'LISTA DE EMBARQUE'!B:L,11,0),"")</f>
        <v>12</v>
      </c>
      <c r="W737" s="13" t="str">
        <f>IFERROR(COUNTIF(#REF!,Tabela1[[#This Row],[Colunas5]]),"")</f>
        <v/>
      </c>
      <c r="X737" s="14">
        <f>Tabela1[[#This Row],[QIANTIDADE EXPEDIDA]]*Tabela1[[#This Row],[PESO UNI]]</f>
        <v>57.444000000000003</v>
      </c>
      <c r="Y737" s="14">
        <f t="shared" si="120"/>
        <v>0</v>
      </c>
      <c r="Z737" s="20">
        <f>Tabela1[[#This Row],[PESO TOTAL]]-Tabela1[[#This Row],[Peso Expedido]]</f>
        <v>0</v>
      </c>
      <c r="AA737" s="17">
        <v>1</v>
      </c>
      <c r="AB737" s="33"/>
      <c r="AC737" s="33">
        <v>1</v>
      </c>
      <c r="AD737" s="33">
        <v>1</v>
      </c>
      <c r="AE737" s="33">
        <v>1</v>
      </c>
      <c r="AF737" s="33">
        <v>1</v>
      </c>
      <c r="AG737" s="33">
        <v>1</v>
      </c>
      <c r="AH737" s="33">
        <v>1</v>
      </c>
      <c r="AI737" s="33" t="s">
        <v>4512</v>
      </c>
      <c r="AQ737" s="203"/>
      <c r="AR737" s="37"/>
      <c r="AS737" s="37"/>
      <c r="AT737" s="37"/>
      <c r="AU737" s="37"/>
      <c r="AV737" s="37"/>
      <c r="AW737" s="37"/>
    </row>
    <row r="738" spans="1:49" ht="15.75" customHeight="1" x14ac:dyDescent="0.25">
      <c r="A738" s="212"/>
      <c r="B738" s="21" t="s">
        <v>3864</v>
      </c>
      <c r="C738" s="198">
        <v>4</v>
      </c>
      <c r="D738" s="199" t="s">
        <v>4666</v>
      </c>
      <c r="E738" s="210" t="s">
        <v>4805</v>
      </c>
      <c r="F738" s="198" t="s">
        <v>4414</v>
      </c>
      <c r="G738" s="199">
        <v>14.361000000000001</v>
      </c>
      <c r="H738" s="213">
        <v>57.444000000000003</v>
      </c>
      <c r="I738" s="199"/>
      <c r="J738" s="217"/>
      <c r="K738" s="218" t="s">
        <v>45</v>
      </c>
      <c r="L738" s="214" t="s">
        <v>2069</v>
      </c>
      <c r="M738" s="200"/>
      <c r="N738" s="8" t="s">
        <v>38</v>
      </c>
      <c r="O738" s="215"/>
      <c r="P738" s="216"/>
      <c r="Q738" s="14">
        <f>Tabela1[[#This Row],[QTDE/ Fabricação]]-Tabela1[[#This Row],[QTE]]</f>
        <v>-4</v>
      </c>
      <c r="R738" s="18">
        <f t="shared" si="117"/>
        <v>57.444000000000003</v>
      </c>
      <c r="S738" s="18">
        <f t="shared" si="118"/>
        <v>57.444000000000003</v>
      </c>
      <c r="T738" s="19">
        <f t="shared" si="119"/>
        <v>0</v>
      </c>
      <c r="U738" s="16">
        <f>IFERROR(SUMIF('LISTA DE EMBARQUE'!B:B,MICRO!E:E,'LISTA DE EMBARQUE'!G:G),"")</f>
        <v>4</v>
      </c>
      <c r="V738" s="12">
        <f>IFERROR(VLOOKUP(Tabela1[[#This Row],[COD.MDE]],'LISTA DE EMBARQUE'!B:L,11,0),"")</f>
        <v>12</v>
      </c>
      <c r="W738" s="13" t="str">
        <f>IFERROR(COUNTIF(#REF!,Tabela1[[#This Row],[Colunas5]]),"")</f>
        <v/>
      </c>
      <c r="X738" s="14">
        <f>Tabela1[[#This Row],[QIANTIDADE EXPEDIDA]]*Tabela1[[#This Row],[PESO UNI]]</f>
        <v>57.444000000000003</v>
      </c>
      <c r="Y738" s="14">
        <f t="shared" si="120"/>
        <v>0</v>
      </c>
      <c r="Z738" s="20">
        <f>Tabela1[[#This Row],[PESO TOTAL]]-Tabela1[[#This Row],[Peso Expedido]]</f>
        <v>0</v>
      </c>
      <c r="AA738" s="17">
        <v>1</v>
      </c>
      <c r="AB738" s="33"/>
      <c r="AC738" s="33">
        <v>1</v>
      </c>
      <c r="AD738" s="33">
        <v>1</v>
      </c>
      <c r="AE738" s="33">
        <v>1</v>
      </c>
      <c r="AF738" s="33">
        <v>1</v>
      </c>
      <c r="AG738" s="33">
        <v>1</v>
      </c>
      <c r="AH738" s="33">
        <v>1</v>
      </c>
      <c r="AI738" s="33" t="s">
        <v>4512</v>
      </c>
      <c r="AQ738" s="203"/>
      <c r="AR738" s="37"/>
      <c r="AS738" s="37"/>
      <c r="AT738" s="37"/>
      <c r="AU738" s="37"/>
      <c r="AV738" s="37"/>
      <c r="AW738" s="37"/>
    </row>
    <row r="739" spans="1:49" ht="15.75" customHeight="1" x14ac:dyDescent="0.25">
      <c r="A739" s="212"/>
      <c r="B739" s="21" t="s">
        <v>3864</v>
      </c>
      <c r="C739" s="198">
        <v>6</v>
      </c>
      <c r="D739" s="199" t="s">
        <v>4667</v>
      </c>
      <c r="E739" s="210" t="s">
        <v>4806</v>
      </c>
      <c r="F739" s="198" t="s">
        <v>4414</v>
      </c>
      <c r="G739" s="199">
        <v>14.361000000000001</v>
      </c>
      <c r="H739" s="213">
        <v>86.165999999999997</v>
      </c>
      <c r="I739" s="199"/>
      <c r="J739" s="217"/>
      <c r="K739" s="218" t="s">
        <v>45</v>
      </c>
      <c r="L739" s="214" t="s">
        <v>2069</v>
      </c>
      <c r="M739" s="200"/>
      <c r="N739" s="8" t="s">
        <v>38</v>
      </c>
      <c r="O739" s="215"/>
      <c r="P739" s="216"/>
      <c r="Q739" s="14">
        <f>Tabela1[[#This Row],[QTDE/ Fabricação]]-Tabela1[[#This Row],[QTE]]</f>
        <v>-6</v>
      </c>
      <c r="R739" s="18">
        <f t="shared" si="117"/>
        <v>86.165999999999997</v>
      </c>
      <c r="S739" s="18">
        <f t="shared" si="118"/>
        <v>86.165999999999997</v>
      </c>
      <c r="T739" s="19">
        <f t="shared" si="119"/>
        <v>0</v>
      </c>
      <c r="U739" s="16">
        <f>IFERROR(SUMIF('LISTA DE EMBARQUE'!B:B,MICRO!E:E,'LISTA DE EMBARQUE'!G:G),"")</f>
        <v>6</v>
      </c>
      <c r="V739" s="12">
        <f>IFERROR(VLOOKUP(Tabela1[[#This Row],[COD.MDE]],'LISTA DE EMBARQUE'!B:L,11,0),"")</f>
        <v>12</v>
      </c>
      <c r="W739" s="13" t="str">
        <f>IFERROR(COUNTIF(#REF!,Tabela1[[#This Row],[Colunas5]]),"")</f>
        <v/>
      </c>
      <c r="X739" s="14">
        <f>Tabela1[[#This Row],[QIANTIDADE EXPEDIDA]]*Tabela1[[#This Row],[PESO UNI]]</f>
        <v>86.165999999999997</v>
      </c>
      <c r="Y739" s="14">
        <f t="shared" si="120"/>
        <v>0</v>
      </c>
      <c r="Z739" s="20">
        <f>Tabela1[[#This Row],[PESO TOTAL]]-Tabela1[[#This Row],[Peso Expedido]]</f>
        <v>0</v>
      </c>
      <c r="AA739" s="17">
        <v>1</v>
      </c>
      <c r="AB739" s="33"/>
      <c r="AC739" s="33">
        <v>1</v>
      </c>
      <c r="AD739" s="33">
        <v>1</v>
      </c>
      <c r="AE739" s="33">
        <v>1</v>
      </c>
      <c r="AF739" s="33">
        <v>1</v>
      </c>
      <c r="AG739" s="33">
        <v>1</v>
      </c>
      <c r="AH739" s="33">
        <v>1</v>
      </c>
      <c r="AI739" s="33" t="s">
        <v>4512</v>
      </c>
      <c r="AQ739" s="203"/>
      <c r="AR739" s="37"/>
      <c r="AS739" s="37"/>
      <c r="AT739" s="37"/>
      <c r="AU739" s="37"/>
      <c r="AV739" s="37"/>
      <c r="AW739" s="37"/>
    </row>
    <row r="740" spans="1:49" ht="15.75" customHeight="1" x14ac:dyDescent="0.25">
      <c r="A740" s="212"/>
      <c r="B740" s="21" t="s">
        <v>3864</v>
      </c>
      <c r="C740" s="198">
        <v>2</v>
      </c>
      <c r="D740" s="199" t="s">
        <v>4668</v>
      </c>
      <c r="E740" s="210" t="s">
        <v>4807</v>
      </c>
      <c r="F740" s="198" t="s">
        <v>4414</v>
      </c>
      <c r="G740" s="199">
        <v>14.361000000000001</v>
      </c>
      <c r="H740" s="213">
        <v>28.722000000000001</v>
      </c>
      <c r="I740" s="199"/>
      <c r="J740" s="217"/>
      <c r="K740" s="218" t="s">
        <v>45</v>
      </c>
      <c r="L740" s="214" t="s">
        <v>2069</v>
      </c>
      <c r="M740" s="200"/>
      <c r="N740" s="8" t="s">
        <v>38</v>
      </c>
      <c r="O740" s="215"/>
      <c r="P740" s="216"/>
      <c r="Q740" s="14">
        <f>Tabela1[[#This Row],[QTDE/ Fabricação]]-Tabela1[[#This Row],[QTE]]</f>
        <v>-2</v>
      </c>
      <c r="R740" s="18">
        <f t="shared" si="117"/>
        <v>28.722000000000001</v>
      </c>
      <c r="S740" s="18">
        <f t="shared" si="118"/>
        <v>28.722000000000001</v>
      </c>
      <c r="T740" s="19">
        <f t="shared" si="119"/>
        <v>0</v>
      </c>
      <c r="U740" s="16">
        <f>IFERROR(SUMIF('LISTA DE EMBARQUE'!B:B,MICRO!E:E,'LISTA DE EMBARQUE'!G:G),"")</f>
        <v>2</v>
      </c>
      <c r="V740" s="12">
        <f>IFERROR(VLOOKUP(Tabela1[[#This Row],[COD.MDE]],'LISTA DE EMBARQUE'!B:L,11,0),"")</f>
        <v>12</v>
      </c>
      <c r="W740" s="13" t="str">
        <f>IFERROR(COUNTIF(#REF!,Tabela1[[#This Row],[Colunas5]]),"")</f>
        <v/>
      </c>
      <c r="X740" s="14">
        <f>Tabela1[[#This Row],[QIANTIDADE EXPEDIDA]]*Tabela1[[#This Row],[PESO UNI]]</f>
        <v>28.722000000000001</v>
      </c>
      <c r="Y740" s="14">
        <f t="shared" si="120"/>
        <v>0</v>
      </c>
      <c r="Z740" s="20">
        <f>Tabela1[[#This Row],[PESO TOTAL]]-Tabela1[[#This Row],[Peso Expedido]]</f>
        <v>0</v>
      </c>
      <c r="AA740" s="17">
        <v>1</v>
      </c>
      <c r="AB740" s="33"/>
      <c r="AC740" s="33">
        <v>1</v>
      </c>
      <c r="AD740" s="33">
        <v>1</v>
      </c>
      <c r="AE740" s="33">
        <v>1</v>
      </c>
      <c r="AF740" s="33">
        <v>1</v>
      </c>
      <c r="AG740" s="33">
        <v>1</v>
      </c>
      <c r="AH740" s="33">
        <v>1</v>
      </c>
      <c r="AI740" s="33" t="s">
        <v>4512</v>
      </c>
      <c r="AQ740" s="203"/>
      <c r="AR740" s="37"/>
      <c r="AS740" s="37"/>
      <c r="AT740" s="37"/>
      <c r="AU740" s="37"/>
      <c r="AV740" s="37"/>
      <c r="AW740" s="37"/>
    </row>
    <row r="741" spans="1:49" ht="15.75" customHeight="1" x14ac:dyDescent="0.25">
      <c r="A741" s="212"/>
      <c r="B741" s="21" t="s">
        <v>3855</v>
      </c>
      <c r="C741" s="198">
        <v>2</v>
      </c>
      <c r="D741" s="199" t="s">
        <v>4669</v>
      </c>
      <c r="E741" s="210" t="s">
        <v>4808</v>
      </c>
      <c r="F741" s="198" t="s">
        <v>4414</v>
      </c>
      <c r="G741" s="199">
        <v>14.361000000000001</v>
      </c>
      <c r="H741" s="213">
        <v>28.722000000000001</v>
      </c>
      <c r="I741" s="199"/>
      <c r="J741" s="217"/>
      <c r="K741" s="218" t="s">
        <v>45</v>
      </c>
      <c r="L741" s="214" t="s">
        <v>2069</v>
      </c>
      <c r="M741" s="200"/>
      <c r="N741" s="8" t="s">
        <v>38</v>
      </c>
      <c r="O741" s="215"/>
      <c r="P741" s="216"/>
      <c r="Q741" s="14">
        <f>Tabela1[[#This Row],[QTDE/ Fabricação]]-Tabela1[[#This Row],[QTE]]</f>
        <v>-2</v>
      </c>
      <c r="R741" s="18">
        <f t="shared" si="117"/>
        <v>28.722000000000001</v>
      </c>
      <c r="S741" s="18">
        <f t="shared" si="118"/>
        <v>28.722000000000001</v>
      </c>
      <c r="T741" s="19">
        <f t="shared" si="119"/>
        <v>0</v>
      </c>
      <c r="U741" s="16">
        <f>IFERROR(SUMIF('LISTA DE EMBARQUE'!B:B,MICRO!E:E,'LISTA DE EMBARQUE'!G:G),"")</f>
        <v>2</v>
      </c>
      <c r="V741" s="12">
        <f>IFERROR(VLOOKUP(Tabela1[[#This Row],[COD.MDE]],'LISTA DE EMBARQUE'!B:L,11,0),"")</f>
        <v>12</v>
      </c>
      <c r="W741" s="13" t="str">
        <f>IFERROR(COUNTIF(#REF!,Tabela1[[#This Row],[Colunas5]]),"")</f>
        <v/>
      </c>
      <c r="X741" s="14">
        <f>Tabela1[[#This Row],[QIANTIDADE EXPEDIDA]]*Tabela1[[#This Row],[PESO UNI]]</f>
        <v>28.722000000000001</v>
      </c>
      <c r="Y741" s="14">
        <f t="shared" si="120"/>
        <v>0</v>
      </c>
      <c r="Z741" s="20">
        <f>Tabela1[[#This Row],[PESO TOTAL]]-Tabela1[[#This Row],[Peso Expedido]]</f>
        <v>0</v>
      </c>
      <c r="AA741" s="17">
        <v>1</v>
      </c>
      <c r="AB741" s="33"/>
      <c r="AC741" s="33">
        <v>1</v>
      </c>
      <c r="AD741" s="33">
        <v>1</v>
      </c>
      <c r="AE741" s="33">
        <v>1</v>
      </c>
      <c r="AF741" s="33">
        <v>1</v>
      </c>
      <c r="AG741" s="33">
        <v>1</v>
      </c>
      <c r="AH741" s="33">
        <v>1</v>
      </c>
      <c r="AI741" s="33" t="s">
        <v>4512</v>
      </c>
      <c r="AQ741" s="203"/>
      <c r="AR741" s="37"/>
      <c r="AS741" s="37"/>
      <c r="AT741" s="37"/>
      <c r="AU741" s="37"/>
      <c r="AV741" s="37"/>
      <c r="AW741" s="37"/>
    </row>
    <row r="742" spans="1:49" ht="15.75" customHeight="1" x14ac:dyDescent="0.25">
      <c r="A742" s="212"/>
      <c r="B742" s="21" t="s">
        <v>3855</v>
      </c>
      <c r="C742" s="198">
        <v>26</v>
      </c>
      <c r="D742" s="199" t="s">
        <v>4670</v>
      </c>
      <c r="E742" s="210" t="s">
        <v>4809</v>
      </c>
      <c r="F742" s="198" t="s">
        <v>4414</v>
      </c>
      <c r="G742" s="199">
        <v>14.361000000000001</v>
      </c>
      <c r="H742" s="213">
        <v>373.38600000000002</v>
      </c>
      <c r="I742" s="199"/>
      <c r="J742" s="217"/>
      <c r="K742" s="218" t="s">
        <v>45</v>
      </c>
      <c r="L742" s="214" t="s">
        <v>2069</v>
      </c>
      <c r="M742" s="200"/>
      <c r="N742" s="8" t="s">
        <v>38</v>
      </c>
      <c r="O742" s="215"/>
      <c r="P742" s="216"/>
      <c r="Q742" s="14">
        <f>Tabela1[[#This Row],[QTDE/ Fabricação]]-Tabela1[[#This Row],[QTE]]</f>
        <v>-26</v>
      </c>
      <c r="R742" s="18">
        <f t="shared" si="117"/>
        <v>373.38600000000002</v>
      </c>
      <c r="S742" s="18">
        <f t="shared" si="118"/>
        <v>373.38600000000002</v>
      </c>
      <c r="T742" s="19">
        <f t="shared" si="119"/>
        <v>0</v>
      </c>
      <c r="U742" s="16">
        <f>IFERROR(SUMIF('LISTA DE EMBARQUE'!B:B,MICRO!E:E,'LISTA DE EMBARQUE'!G:G),"")</f>
        <v>26</v>
      </c>
      <c r="V742" s="12">
        <f>IFERROR(VLOOKUP(Tabela1[[#This Row],[COD.MDE]],'LISTA DE EMBARQUE'!B:L,11,0),"")</f>
        <v>12</v>
      </c>
      <c r="W742" s="13" t="str">
        <f>IFERROR(COUNTIF(#REF!,Tabela1[[#This Row],[Colunas5]]),"")</f>
        <v/>
      </c>
      <c r="X742" s="14">
        <f>Tabela1[[#This Row],[QIANTIDADE EXPEDIDA]]*Tabela1[[#This Row],[PESO UNI]]</f>
        <v>373.38600000000002</v>
      </c>
      <c r="Y742" s="14">
        <f t="shared" si="120"/>
        <v>0</v>
      </c>
      <c r="Z742" s="20">
        <f>Tabela1[[#This Row],[PESO TOTAL]]-Tabela1[[#This Row],[Peso Expedido]]</f>
        <v>0</v>
      </c>
      <c r="AA742" s="17">
        <v>1</v>
      </c>
      <c r="AB742" s="33"/>
      <c r="AC742" s="33">
        <v>1</v>
      </c>
      <c r="AD742" s="33">
        <v>1</v>
      </c>
      <c r="AE742" s="33">
        <v>1</v>
      </c>
      <c r="AF742" s="33">
        <v>1</v>
      </c>
      <c r="AG742" s="33">
        <v>1</v>
      </c>
      <c r="AH742" s="33">
        <v>1</v>
      </c>
      <c r="AI742" s="33" t="s">
        <v>4512</v>
      </c>
      <c r="AQ742" s="203"/>
      <c r="AR742" s="37"/>
      <c r="AS742" s="37"/>
      <c r="AT742" s="37"/>
      <c r="AU742" s="37"/>
      <c r="AV742" s="37"/>
      <c r="AW742" s="37"/>
    </row>
    <row r="743" spans="1:49" ht="15.75" customHeight="1" x14ac:dyDescent="0.25">
      <c r="A743" s="212"/>
      <c r="B743" s="21" t="s">
        <v>3873</v>
      </c>
      <c r="C743" s="198">
        <v>4</v>
      </c>
      <c r="D743" s="199" t="s">
        <v>4671</v>
      </c>
      <c r="E743" s="210" t="s">
        <v>4810</v>
      </c>
      <c r="F743" s="198" t="s">
        <v>4414</v>
      </c>
      <c r="G743" s="199">
        <v>14.361000000000001</v>
      </c>
      <c r="H743" s="213">
        <v>57.444000000000003</v>
      </c>
      <c r="I743" s="199"/>
      <c r="J743" s="217"/>
      <c r="K743" s="218" t="s">
        <v>45</v>
      </c>
      <c r="L743" s="214" t="s">
        <v>2069</v>
      </c>
      <c r="M743" s="200"/>
      <c r="N743" s="8" t="s">
        <v>38</v>
      </c>
      <c r="O743" s="215"/>
      <c r="P743" s="216"/>
      <c r="Q743" s="14">
        <f>Tabela1[[#This Row],[QTDE/ Fabricação]]-Tabela1[[#This Row],[QTE]]</f>
        <v>-4</v>
      </c>
      <c r="R743" s="18">
        <f t="shared" si="117"/>
        <v>57.444000000000003</v>
      </c>
      <c r="S743" s="18">
        <f t="shared" si="118"/>
        <v>57.444000000000003</v>
      </c>
      <c r="T743" s="19">
        <f t="shared" si="119"/>
        <v>0</v>
      </c>
      <c r="U743" s="16">
        <f>IFERROR(SUMIF('LISTA DE EMBARQUE'!B:B,MICRO!E:E,'LISTA DE EMBARQUE'!G:G),"")</f>
        <v>4</v>
      </c>
      <c r="V743" s="12">
        <f>IFERROR(VLOOKUP(Tabela1[[#This Row],[COD.MDE]],'LISTA DE EMBARQUE'!B:L,11,0),"")</f>
        <v>12</v>
      </c>
      <c r="W743" s="13" t="str">
        <f>IFERROR(COUNTIF(#REF!,Tabela1[[#This Row],[Colunas5]]),"")</f>
        <v/>
      </c>
      <c r="X743" s="14">
        <f>Tabela1[[#This Row],[QIANTIDADE EXPEDIDA]]*Tabela1[[#This Row],[PESO UNI]]</f>
        <v>57.444000000000003</v>
      </c>
      <c r="Y743" s="14">
        <f t="shared" si="120"/>
        <v>0</v>
      </c>
      <c r="Z743" s="20">
        <f>Tabela1[[#This Row],[PESO TOTAL]]-Tabela1[[#This Row],[Peso Expedido]]</f>
        <v>0</v>
      </c>
      <c r="AA743" s="17">
        <v>1</v>
      </c>
      <c r="AB743" s="33"/>
      <c r="AC743" s="33">
        <v>1</v>
      </c>
      <c r="AD743" s="33">
        <v>1</v>
      </c>
      <c r="AE743" s="33">
        <v>1</v>
      </c>
      <c r="AF743" s="33">
        <v>1</v>
      </c>
      <c r="AG743" s="33">
        <v>1</v>
      </c>
      <c r="AH743" s="33">
        <v>1</v>
      </c>
      <c r="AI743" s="33" t="s">
        <v>4512</v>
      </c>
      <c r="AQ743" s="203"/>
      <c r="AR743" s="37"/>
      <c r="AS743" s="37"/>
      <c r="AT743" s="37"/>
      <c r="AU743" s="37"/>
      <c r="AV743" s="37"/>
      <c r="AW743" s="37"/>
    </row>
    <row r="744" spans="1:49" ht="15.75" customHeight="1" x14ac:dyDescent="0.25">
      <c r="A744" s="212"/>
      <c r="B744" s="21" t="s">
        <v>3873</v>
      </c>
      <c r="C744" s="198">
        <v>20</v>
      </c>
      <c r="D744" s="199" t="s">
        <v>4672</v>
      </c>
      <c r="E744" s="210" t="s">
        <v>4811</v>
      </c>
      <c r="F744" s="198" t="s">
        <v>4414</v>
      </c>
      <c r="G744" s="199">
        <v>14.361000000000001</v>
      </c>
      <c r="H744" s="213">
        <v>287.22000000000003</v>
      </c>
      <c r="I744" s="199"/>
      <c r="J744" s="217"/>
      <c r="K744" s="218" t="s">
        <v>45</v>
      </c>
      <c r="L744" s="214" t="s">
        <v>2069</v>
      </c>
      <c r="M744" s="200"/>
      <c r="N744" s="8" t="s">
        <v>38</v>
      </c>
      <c r="O744" s="215"/>
      <c r="P744" s="216"/>
      <c r="Q744" s="14">
        <f>Tabela1[[#This Row],[QTDE/ Fabricação]]-Tabela1[[#This Row],[QTE]]</f>
        <v>-20</v>
      </c>
      <c r="R744" s="18">
        <f t="shared" si="117"/>
        <v>287.22000000000003</v>
      </c>
      <c r="S744" s="18">
        <f t="shared" si="118"/>
        <v>287.22000000000003</v>
      </c>
      <c r="T744" s="19">
        <f t="shared" si="119"/>
        <v>0</v>
      </c>
      <c r="U744" s="16">
        <f>IFERROR(SUMIF('LISTA DE EMBARQUE'!B:B,MICRO!E:E,'LISTA DE EMBARQUE'!G:G),"")</f>
        <v>20</v>
      </c>
      <c r="V744" s="12">
        <f>IFERROR(VLOOKUP(Tabela1[[#This Row],[COD.MDE]],'LISTA DE EMBARQUE'!B:L,11,0),"")</f>
        <v>12</v>
      </c>
      <c r="W744" s="13" t="str">
        <f>IFERROR(COUNTIF(#REF!,Tabela1[[#This Row],[Colunas5]]),"")</f>
        <v/>
      </c>
      <c r="X744" s="14">
        <f>Tabela1[[#This Row],[QIANTIDADE EXPEDIDA]]*Tabela1[[#This Row],[PESO UNI]]</f>
        <v>287.22000000000003</v>
      </c>
      <c r="Y744" s="14">
        <f t="shared" si="120"/>
        <v>0</v>
      </c>
      <c r="Z744" s="20">
        <f>Tabela1[[#This Row],[PESO TOTAL]]-Tabela1[[#This Row],[Peso Expedido]]</f>
        <v>0</v>
      </c>
      <c r="AA744" s="17">
        <v>1</v>
      </c>
      <c r="AB744" s="33"/>
      <c r="AC744" s="33">
        <v>1</v>
      </c>
      <c r="AD744" s="33">
        <v>1</v>
      </c>
      <c r="AE744" s="33">
        <v>1</v>
      </c>
      <c r="AF744" s="33">
        <v>1</v>
      </c>
      <c r="AG744" s="33">
        <v>1</v>
      </c>
      <c r="AH744" s="33">
        <v>1</v>
      </c>
      <c r="AI744" s="33" t="s">
        <v>4512</v>
      </c>
      <c r="AQ744" s="203"/>
      <c r="AR744" s="37"/>
      <c r="AS744" s="37"/>
      <c r="AT744" s="37"/>
      <c r="AU744" s="37"/>
      <c r="AV744" s="37"/>
      <c r="AW744" s="37"/>
    </row>
    <row r="745" spans="1:49" ht="15.75" customHeight="1" x14ac:dyDescent="0.25">
      <c r="A745" s="212"/>
      <c r="B745" s="21" t="s">
        <v>4673</v>
      </c>
      <c r="C745" s="198">
        <v>1</v>
      </c>
      <c r="D745" s="199" t="s">
        <v>4674</v>
      </c>
      <c r="E745" s="210" t="s">
        <v>4812</v>
      </c>
      <c r="F745" s="198" t="s">
        <v>4414</v>
      </c>
      <c r="G745" s="199">
        <v>12.6</v>
      </c>
      <c r="H745" s="213">
        <v>12.6</v>
      </c>
      <c r="I745" s="199"/>
      <c r="J745" s="217"/>
      <c r="K745" s="218" t="s">
        <v>45</v>
      </c>
      <c r="L745" s="214" t="s">
        <v>2069</v>
      </c>
      <c r="M745" s="200"/>
      <c r="N745" s="8" t="s">
        <v>38</v>
      </c>
      <c r="O745" s="215"/>
      <c r="P745" s="216"/>
      <c r="Q745" s="14">
        <f>Tabela1[[#This Row],[QTDE/ Fabricação]]-Tabela1[[#This Row],[QTE]]</f>
        <v>-1</v>
      </c>
      <c r="R745" s="18">
        <f t="shared" si="117"/>
        <v>12.6</v>
      </c>
      <c r="S745" s="18">
        <f t="shared" si="118"/>
        <v>12.6</v>
      </c>
      <c r="T745" s="19">
        <f t="shared" si="119"/>
        <v>0</v>
      </c>
      <c r="U745" s="16">
        <f>IFERROR(SUMIF('LISTA DE EMBARQUE'!B:B,MICRO!E:E,'LISTA DE EMBARQUE'!G:G),"")</f>
        <v>1</v>
      </c>
      <c r="V745" s="12">
        <f>IFERROR(VLOOKUP(Tabela1[[#This Row],[COD.MDE]],'LISTA DE EMBARQUE'!B:L,11,0),"")</f>
        <v>12</v>
      </c>
      <c r="W745" s="13" t="str">
        <f>IFERROR(COUNTIF(#REF!,Tabela1[[#This Row],[Colunas5]]),"")</f>
        <v/>
      </c>
      <c r="X745" s="14">
        <f>Tabela1[[#This Row],[QIANTIDADE EXPEDIDA]]*Tabela1[[#This Row],[PESO UNI]]</f>
        <v>12.6</v>
      </c>
      <c r="Y745" s="14">
        <f t="shared" si="120"/>
        <v>0</v>
      </c>
      <c r="Z745" s="20">
        <f>Tabela1[[#This Row],[PESO TOTAL]]-Tabela1[[#This Row],[Peso Expedido]]</f>
        <v>0</v>
      </c>
      <c r="AA745" s="17">
        <v>1</v>
      </c>
      <c r="AB745" s="33"/>
      <c r="AC745" s="33">
        <v>1</v>
      </c>
      <c r="AD745" s="33">
        <v>1</v>
      </c>
      <c r="AE745" s="33">
        <v>1</v>
      </c>
      <c r="AF745" s="33">
        <v>1</v>
      </c>
      <c r="AG745" s="33">
        <v>1</v>
      </c>
      <c r="AH745" s="33">
        <v>1</v>
      </c>
      <c r="AI745" s="33" t="s">
        <v>4512</v>
      </c>
      <c r="AQ745" s="203"/>
      <c r="AR745" s="37"/>
      <c r="AS745" s="37"/>
      <c r="AT745" s="37"/>
      <c r="AU745" s="37"/>
      <c r="AV745" s="37"/>
      <c r="AW745" s="37"/>
    </row>
    <row r="746" spans="1:49" ht="15.75" customHeight="1" x14ac:dyDescent="0.25">
      <c r="A746" s="212"/>
      <c r="B746" s="21" t="s">
        <v>4673</v>
      </c>
      <c r="C746" s="198">
        <v>1</v>
      </c>
      <c r="D746" s="199" t="s">
        <v>4676</v>
      </c>
      <c r="E746" s="210" t="s">
        <v>4813</v>
      </c>
      <c r="F746" s="198" t="s">
        <v>4414</v>
      </c>
      <c r="G746" s="199">
        <v>12.6</v>
      </c>
      <c r="H746" s="213">
        <v>12.6</v>
      </c>
      <c r="I746" s="199"/>
      <c r="J746" s="217"/>
      <c r="K746" s="218" t="s">
        <v>45</v>
      </c>
      <c r="L746" s="214" t="s">
        <v>2069</v>
      </c>
      <c r="M746" s="200"/>
      <c r="N746" s="8" t="s">
        <v>38</v>
      </c>
      <c r="O746" s="215"/>
      <c r="P746" s="216"/>
      <c r="Q746" s="14">
        <f>Tabela1[[#This Row],[QTDE/ Fabricação]]-Tabela1[[#This Row],[QTE]]</f>
        <v>-1</v>
      </c>
      <c r="R746" s="18">
        <f t="shared" si="117"/>
        <v>12.6</v>
      </c>
      <c r="S746" s="18">
        <f t="shared" si="118"/>
        <v>12.6</v>
      </c>
      <c r="T746" s="19">
        <f t="shared" si="119"/>
        <v>0</v>
      </c>
      <c r="U746" s="16">
        <f>IFERROR(SUMIF('LISTA DE EMBARQUE'!B:B,MICRO!E:E,'LISTA DE EMBARQUE'!G:G),"")</f>
        <v>1</v>
      </c>
      <c r="V746" s="12">
        <f>IFERROR(VLOOKUP(Tabela1[[#This Row],[COD.MDE]],'LISTA DE EMBARQUE'!B:L,11,0),"")</f>
        <v>12</v>
      </c>
      <c r="W746" s="13" t="str">
        <f>IFERROR(COUNTIF(#REF!,Tabela1[[#This Row],[Colunas5]]),"")</f>
        <v/>
      </c>
      <c r="X746" s="14">
        <f>Tabela1[[#This Row],[QIANTIDADE EXPEDIDA]]*Tabela1[[#This Row],[PESO UNI]]</f>
        <v>12.6</v>
      </c>
      <c r="Y746" s="14">
        <f t="shared" si="120"/>
        <v>0</v>
      </c>
      <c r="Z746" s="20">
        <f>Tabela1[[#This Row],[PESO TOTAL]]-Tabela1[[#This Row],[Peso Expedido]]</f>
        <v>0</v>
      </c>
      <c r="AA746" s="17">
        <v>1</v>
      </c>
      <c r="AB746" s="33"/>
      <c r="AC746" s="33">
        <v>1</v>
      </c>
      <c r="AD746" s="33">
        <v>1</v>
      </c>
      <c r="AE746" s="33">
        <v>1</v>
      </c>
      <c r="AF746" s="33">
        <v>1</v>
      </c>
      <c r="AG746" s="33">
        <v>1</v>
      </c>
      <c r="AH746" s="33">
        <v>1</v>
      </c>
      <c r="AI746" s="33" t="s">
        <v>4512</v>
      </c>
      <c r="AQ746" s="203"/>
      <c r="AR746" s="37"/>
      <c r="AS746" s="37"/>
      <c r="AT746" s="37"/>
      <c r="AU746" s="37"/>
      <c r="AV746" s="37"/>
      <c r="AW746" s="37"/>
    </row>
    <row r="747" spans="1:49" ht="15.75" customHeight="1" x14ac:dyDescent="0.25">
      <c r="A747" s="212"/>
      <c r="B747" s="21" t="s">
        <v>4673</v>
      </c>
      <c r="C747" s="198">
        <v>1</v>
      </c>
      <c r="D747" s="199" t="s">
        <v>4677</v>
      </c>
      <c r="E747" s="210" t="s">
        <v>4814</v>
      </c>
      <c r="F747" s="198" t="s">
        <v>4414</v>
      </c>
      <c r="G747" s="199">
        <v>12.6</v>
      </c>
      <c r="H747" s="213">
        <v>12.6</v>
      </c>
      <c r="I747" s="199"/>
      <c r="J747" s="217"/>
      <c r="K747" s="218" t="s">
        <v>45</v>
      </c>
      <c r="L747" s="214" t="s">
        <v>2069</v>
      </c>
      <c r="M747" s="200"/>
      <c r="N747" s="8" t="s">
        <v>38</v>
      </c>
      <c r="O747" s="215"/>
      <c r="P747" s="216"/>
      <c r="Q747" s="14">
        <f>Tabela1[[#This Row],[QTDE/ Fabricação]]-Tabela1[[#This Row],[QTE]]</f>
        <v>-1</v>
      </c>
      <c r="R747" s="18">
        <f t="shared" si="117"/>
        <v>12.6</v>
      </c>
      <c r="S747" s="18">
        <f t="shared" si="118"/>
        <v>12.6</v>
      </c>
      <c r="T747" s="19">
        <f t="shared" si="119"/>
        <v>0</v>
      </c>
      <c r="U747" s="16">
        <f>IFERROR(SUMIF('LISTA DE EMBARQUE'!B:B,MICRO!E:E,'LISTA DE EMBARQUE'!G:G),"")</f>
        <v>1</v>
      </c>
      <c r="V747" s="12">
        <f>IFERROR(VLOOKUP(Tabela1[[#This Row],[COD.MDE]],'LISTA DE EMBARQUE'!B:L,11,0),"")</f>
        <v>12</v>
      </c>
      <c r="W747" s="13" t="str">
        <f>IFERROR(COUNTIF(#REF!,Tabela1[[#This Row],[Colunas5]]),"")</f>
        <v/>
      </c>
      <c r="X747" s="14">
        <f>Tabela1[[#This Row],[QIANTIDADE EXPEDIDA]]*Tabela1[[#This Row],[PESO UNI]]</f>
        <v>12.6</v>
      </c>
      <c r="Y747" s="14">
        <f t="shared" si="120"/>
        <v>0</v>
      </c>
      <c r="Z747" s="20">
        <f>Tabela1[[#This Row],[PESO TOTAL]]-Tabela1[[#This Row],[Peso Expedido]]</f>
        <v>0</v>
      </c>
      <c r="AA747" s="17">
        <v>1</v>
      </c>
      <c r="AB747" s="33"/>
      <c r="AC747" s="33">
        <v>1</v>
      </c>
      <c r="AD747" s="33">
        <v>1</v>
      </c>
      <c r="AE747" s="33">
        <v>1</v>
      </c>
      <c r="AF747" s="33">
        <v>1</v>
      </c>
      <c r="AG747" s="33">
        <v>1</v>
      </c>
      <c r="AH747" s="33">
        <v>1</v>
      </c>
      <c r="AI747" s="33" t="s">
        <v>4512</v>
      </c>
      <c r="AQ747" s="203"/>
      <c r="AR747" s="37"/>
      <c r="AS747" s="37"/>
      <c r="AT747" s="37"/>
      <c r="AU747" s="37"/>
      <c r="AV747" s="37"/>
      <c r="AW747" s="37"/>
    </row>
    <row r="748" spans="1:49" ht="15.75" customHeight="1" x14ac:dyDescent="0.25">
      <c r="A748" s="212"/>
      <c r="B748" s="21" t="s">
        <v>4673</v>
      </c>
      <c r="C748" s="198">
        <v>1</v>
      </c>
      <c r="D748" s="199" t="s">
        <v>4678</v>
      </c>
      <c r="E748" s="210" t="s">
        <v>4815</v>
      </c>
      <c r="F748" s="198" t="s">
        <v>4414</v>
      </c>
      <c r="G748" s="199">
        <v>12.6</v>
      </c>
      <c r="H748" s="213">
        <v>12.6</v>
      </c>
      <c r="I748" s="199"/>
      <c r="J748" s="217"/>
      <c r="K748" s="218" t="s">
        <v>45</v>
      </c>
      <c r="L748" s="214" t="s">
        <v>2069</v>
      </c>
      <c r="M748" s="200"/>
      <c r="N748" s="8" t="s">
        <v>38</v>
      </c>
      <c r="O748" s="215"/>
      <c r="P748" s="216"/>
      <c r="Q748" s="14">
        <f>Tabela1[[#This Row],[QTDE/ Fabricação]]-Tabela1[[#This Row],[QTE]]</f>
        <v>-1</v>
      </c>
      <c r="R748" s="18">
        <f t="shared" si="117"/>
        <v>12.6</v>
      </c>
      <c r="S748" s="18">
        <f t="shared" si="118"/>
        <v>12.6</v>
      </c>
      <c r="T748" s="19">
        <f t="shared" si="119"/>
        <v>0</v>
      </c>
      <c r="U748" s="16">
        <f>IFERROR(SUMIF('LISTA DE EMBARQUE'!B:B,MICRO!E:E,'LISTA DE EMBARQUE'!G:G),"")</f>
        <v>1</v>
      </c>
      <c r="V748" s="12">
        <f>IFERROR(VLOOKUP(Tabela1[[#This Row],[COD.MDE]],'LISTA DE EMBARQUE'!B:L,11,0),"")</f>
        <v>12</v>
      </c>
      <c r="W748" s="13" t="str">
        <f>IFERROR(COUNTIF(#REF!,Tabela1[[#This Row],[Colunas5]]),"")</f>
        <v/>
      </c>
      <c r="X748" s="14">
        <f>Tabela1[[#This Row],[QIANTIDADE EXPEDIDA]]*Tabela1[[#This Row],[PESO UNI]]</f>
        <v>12.6</v>
      </c>
      <c r="Y748" s="14">
        <f t="shared" si="120"/>
        <v>0</v>
      </c>
      <c r="Z748" s="20">
        <f>Tabela1[[#This Row],[PESO TOTAL]]-Tabela1[[#This Row],[Peso Expedido]]</f>
        <v>0</v>
      </c>
      <c r="AA748" s="17">
        <v>1</v>
      </c>
      <c r="AB748" s="33"/>
      <c r="AC748" s="33">
        <v>1</v>
      </c>
      <c r="AD748" s="33">
        <v>1</v>
      </c>
      <c r="AE748" s="33">
        <v>1</v>
      </c>
      <c r="AF748" s="33">
        <v>1</v>
      </c>
      <c r="AG748" s="33">
        <v>1</v>
      </c>
      <c r="AH748" s="33">
        <v>1</v>
      </c>
      <c r="AI748" s="33" t="s">
        <v>4512</v>
      </c>
      <c r="AQ748" s="203"/>
      <c r="AR748" s="37"/>
      <c r="AS748" s="37"/>
      <c r="AT748" s="37"/>
      <c r="AU748" s="37"/>
      <c r="AV748" s="37"/>
      <c r="AW748" s="37"/>
    </row>
    <row r="749" spans="1:49" ht="15.75" customHeight="1" x14ac:dyDescent="0.25">
      <c r="A749" s="212"/>
      <c r="B749" s="21" t="s">
        <v>4673</v>
      </c>
      <c r="C749" s="198">
        <v>1</v>
      </c>
      <c r="D749" s="199" t="s">
        <v>4679</v>
      </c>
      <c r="E749" s="210" t="s">
        <v>4816</v>
      </c>
      <c r="F749" s="198" t="s">
        <v>4414</v>
      </c>
      <c r="G749" s="199">
        <v>12.6</v>
      </c>
      <c r="H749" s="213">
        <v>12.6</v>
      </c>
      <c r="I749" s="199"/>
      <c r="J749" s="217"/>
      <c r="K749" s="218" t="s">
        <v>45</v>
      </c>
      <c r="L749" s="214" t="s">
        <v>2069</v>
      </c>
      <c r="M749" s="200"/>
      <c r="N749" s="8" t="s">
        <v>38</v>
      </c>
      <c r="O749" s="215"/>
      <c r="P749" s="216"/>
      <c r="Q749" s="14">
        <f>Tabela1[[#This Row],[QTDE/ Fabricação]]-Tabela1[[#This Row],[QTE]]</f>
        <v>-1</v>
      </c>
      <c r="R749" s="18">
        <f t="shared" si="117"/>
        <v>12.6</v>
      </c>
      <c r="S749" s="18">
        <f t="shared" si="118"/>
        <v>12.6</v>
      </c>
      <c r="T749" s="19">
        <f t="shared" si="119"/>
        <v>0</v>
      </c>
      <c r="U749" s="16">
        <f>IFERROR(SUMIF('LISTA DE EMBARQUE'!B:B,MICRO!E:E,'LISTA DE EMBARQUE'!G:G),"")</f>
        <v>1</v>
      </c>
      <c r="V749" s="12">
        <f>IFERROR(VLOOKUP(Tabela1[[#This Row],[COD.MDE]],'LISTA DE EMBARQUE'!B:L,11,0),"")</f>
        <v>12</v>
      </c>
      <c r="W749" s="13" t="str">
        <f>IFERROR(COUNTIF(#REF!,Tabela1[[#This Row],[Colunas5]]),"")</f>
        <v/>
      </c>
      <c r="X749" s="14">
        <f>Tabela1[[#This Row],[QIANTIDADE EXPEDIDA]]*Tabela1[[#This Row],[PESO UNI]]</f>
        <v>12.6</v>
      </c>
      <c r="Y749" s="14">
        <f t="shared" si="120"/>
        <v>0</v>
      </c>
      <c r="Z749" s="20">
        <f>Tabela1[[#This Row],[PESO TOTAL]]-Tabela1[[#This Row],[Peso Expedido]]</f>
        <v>0</v>
      </c>
      <c r="AA749" s="17">
        <v>1</v>
      </c>
      <c r="AB749" s="33"/>
      <c r="AC749" s="33">
        <v>1</v>
      </c>
      <c r="AD749" s="33">
        <v>1</v>
      </c>
      <c r="AE749" s="33">
        <v>1</v>
      </c>
      <c r="AF749" s="33">
        <v>1</v>
      </c>
      <c r="AG749" s="33">
        <v>1</v>
      </c>
      <c r="AH749" s="33">
        <v>1</v>
      </c>
      <c r="AI749" s="33" t="s">
        <v>4512</v>
      </c>
      <c r="AQ749" s="203"/>
      <c r="AR749" s="37"/>
      <c r="AS749" s="37"/>
      <c r="AT749" s="37"/>
      <c r="AU749" s="37"/>
      <c r="AV749" s="37"/>
      <c r="AW749" s="37"/>
    </row>
    <row r="750" spans="1:49" ht="15.75" customHeight="1" x14ac:dyDescent="0.25">
      <c r="A750" s="212"/>
      <c r="B750" s="21" t="s">
        <v>4673</v>
      </c>
      <c r="C750" s="198">
        <v>1</v>
      </c>
      <c r="D750" s="199" t="s">
        <v>4680</v>
      </c>
      <c r="E750" s="210" t="s">
        <v>4817</v>
      </c>
      <c r="F750" s="198" t="s">
        <v>4414</v>
      </c>
      <c r="G750" s="199">
        <v>12.6</v>
      </c>
      <c r="H750" s="213">
        <v>12.6</v>
      </c>
      <c r="I750" s="199"/>
      <c r="J750" s="217"/>
      <c r="K750" s="218" t="s">
        <v>45</v>
      </c>
      <c r="L750" s="214" t="s">
        <v>2069</v>
      </c>
      <c r="M750" s="200"/>
      <c r="N750" s="8" t="s">
        <v>38</v>
      </c>
      <c r="O750" s="215"/>
      <c r="P750" s="216"/>
      <c r="Q750" s="14">
        <f>Tabela1[[#This Row],[QTDE/ Fabricação]]-Tabela1[[#This Row],[QTE]]</f>
        <v>-1</v>
      </c>
      <c r="R750" s="18">
        <f t="shared" si="117"/>
        <v>12.6</v>
      </c>
      <c r="S750" s="18">
        <f t="shared" si="118"/>
        <v>12.6</v>
      </c>
      <c r="T750" s="19">
        <f t="shared" si="119"/>
        <v>0</v>
      </c>
      <c r="U750" s="16">
        <f>IFERROR(SUMIF('LISTA DE EMBARQUE'!B:B,MICRO!E:E,'LISTA DE EMBARQUE'!G:G),"")</f>
        <v>1</v>
      </c>
      <c r="V750" s="12">
        <f>IFERROR(VLOOKUP(Tabela1[[#This Row],[COD.MDE]],'LISTA DE EMBARQUE'!B:L,11,0),"")</f>
        <v>12</v>
      </c>
      <c r="W750" s="13" t="str">
        <f>IFERROR(COUNTIF(#REF!,Tabela1[[#This Row],[Colunas5]]),"")</f>
        <v/>
      </c>
      <c r="X750" s="14">
        <f>Tabela1[[#This Row],[QIANTIDADE EXPEDIDA]]*Tabela1[[#This Row],[PESO UNI]]</f>
        <v>12.6</v>
      </c>
      <c r="Y750" s="14">
        <f t="shared" si="120"/>
        <v>0</v>
      </c>
      <c r="Z750" s="20">
        <f>Tabela1[[#This Row],[PESO TOTAL]]-Tabela1[[#This Row],[Peso Expedido]]</f>
        <v>0</v>
      </c>
      <c r="AA750" s="17">
        <v>1</v>
      </c>
      <c r="AB750" s="33"/>
      <c r="AC750" s="33">
        <v>1</v>
      </c>
      <c r="AD750" s="33">
        <v>1</v>
      </c>
      <c r="AE750" s="33">
        <v>1</v>
      </c>
      <c r="AF750" s="33">
        <v>1</v>
      </c>
      <c r="AG750" s="33">
        <v>1</v>
      </c>
      <c r="AH750" s="33">
        <v>1</v>
      </c>
      <c r="AI750" s="33" t="s">
        <v>4512</v>
      </c>
      <c r="AQ750" s="203"/>
      <c r="AR750" s="37"/>
      <c r="AS750" s="37"/>
      <c r="AT750" s="37"/>
      <c r="AU750" s="37"/>
      <c r="AV750" s="37"/>
      <c r="AW750" s="37"/>
    </row>
    <row r="751" spans="1:49" ht="15.75" customHeight="1" x14ac:dyDescent="0.25">
      <c r="A751" s="212"/>
      <c r="B751" s="21" t="s">
        <v>4673</v>
      </c>
      <c r="C751" s="198">
        <v>1</v>
      </c>
      <c r="D751" s="199" t="s">
        <v>4681</v>
      </c>
      <c r="E751" s="210" t="s">
        <v>4818</v>
      </c>
      <c r="F751" s="198" t="s">
        <v>4414</v>
      </c>
      <c r="G751" s="199">
        <v>12.6</v>
      </c>
      <c r="H751" s="213">
        <v>12.6</v>
      </c>
      <c r="I751" s="199"/>
      <c r="J751" s="217"/>
      <c r="K751" s="218" t="s">
        <v>45</v>
      </c>
      <c r="L751" s="214" t="s">
        <v>2069</v>
      </c>
      <c r="M751" s="200"/>
      <c r="N751" s="8" t="s">
        <v>38</v>
      </c>
      <c r="O751" s="215"/>
      <c r="P751" s="216"/>
      <c r="Q751" s="14">
        <f>Tabela1[[#This Row],[QTDE/ Fabricação]]-Tabela1[[#This Row],[QTE]]</f>
        <v>-1</v>
      </c>
      <c r="R751" s="18">
        <f t="shared" si="117"/>
        <v>12.6</v>
      </c>
      <c r="S751" s="18">
        <f t="shared" si="118"/>
        <v>12.6</v>
      </c>
      <c r="T751" s="19">
        <f t="shared" si="119"/>
        <v>0</v>
      </c>
      <c r="U751" s="16">
        <f>IFERROR(SUMIF('LISTA DE EMBARQUE'!B:B,MICRO!E:E,'LISTA DE EMBARQUE'!G:G),"")</f>
        <v>1</v>
      </c>
      <c r="V751" s="12">
        <f>IFERROR(VLOOKUP(Tabela1[[#This Row],[COD.MDE]],'LISTA DE EMBARQUE'!B:L,11,0),"")</f>
        <v>12</v>
      </c>
      <c r="W751" s="13" t="str">
        <f>IFERROR(COUNTIF(#REF!,Tabela1[[#This Row],[Colunas5]]),"")</f>
        <v/>
      </c>
      <c r="X751" s="14">
        <f>Tabela1[[#This Row],[QIANTIDADE EXPEDIDA]]*Tabela1[[#This Row],[PESO UNI]]</f>
        <v>12.6</v>
      </c>
      <c r="Y751" s="14">
        <f t="shared" si="120"/>
        <v>0</v>
      </c>
      <c r="Z751" s="20">
        <f>Tabela1[[#This Row],[PESO TOTAL]]-Tabela1[[#This Row],[Peso Expedido]]</f>
        <v>0</v>
      </c>
      <c r="AA751" s="17">
        <v>1</v>
      </c>
      <c r="AB751" s="33"/>
      <c r="AC751" s="33">
        <v>1</v>
      </c>
      <c r="AD751" s="33">
        <v>1</v>
      </c>
      <c r="AE751" s="33">
        <v>1</v>
      </c>
      <c r="AF751" s="33">
        <v>1</v>
      </c>
      <c r="AG751" s="33">
        <v>1</v>
      </c>
      <c r="AH751" s="33">
        <v>1</v>
      </c>
      <c r="AI751" s="33" t="s">
        <v>4512</v>
      </c>
      <c r="AQ751" s="203"/>
      <c r="AR751" s="37"/>
      <c r="AS751" s="37"/>
      <c r="AT751" s="37"/>
      <c r="AU751" s="37"/>
      <c r="AV751" s="37"/>
      <c r="AW751" s="37"/>
    </row>
    <row r="752" spans="1:49" ht="15.75" customHeight="1" x14ac:dyDescent="0.25">
      <c r="A752" s="212"/>
      <c r="B752" s="21" t="s">
        <v>4673</v>
      </c>
      <c r="C752" s="198">
        <v>1</v>
      </c>
      <c r="D752" s="199" t="s">
        <v>4682</v>
      </c>
      <c r="E752" s="210" t="s">
        <v>4819</v>
      </c>
      <c r="F752" s="198" t="s">
        <v>4414</v>
      </c>
      <c r="G752" s="199">
        <v>12.6</v>
      </c>
      <c r="H752" s="213">
        <v>12.6</v>
      </c>
      <c r="I752" s="199"/>
      <c r="J752" s="217"/>
      <c r="K752" s="218" t="s">
        <v>45</v>
      </c>
      <c r="L752" s="214" t="s">
        <v>2069</v>
      </c>
      <c r="M752" s="200"/>
      <c r="N752" s="8" t="s">
        <v>38</v>
      </c>
      <c r="O752" s="215"/>
      <c r="P752" s="216"/>
      <c r="Q752" s="14">
        <f>Tabela1[[#This Row],[QTDE/ Fabricação]]-Tabela1[[#This Row],[QTE]]</f>
        <v>-1</v>
      </c>
      <c r="R752" s="18">
        <f t="shared" si="117"/>
        <v>12.6</v>
      </c>
      <c r="S752" s="18">
        <f t="shared" si="118"/>
        <v>12.6</v>
      </c>
      <c r="T752" s="19">
        <f t="shared" si="119"/>
        <v>0</v>
      </c>
      <c r="U752" s="16">
        <f>IFERROR(SUMIF('LISTA DE EMBARQUE'!B:B,MICRO!E:E,'LISTA DE EMBARQUE'!G:G),"")</f>
        <v>1</v>
      </c>
      <c r="V752" s="12">
        <f>IFERROR(VLOOKUP(Tabela1[[#This Row],[COD.MDE]],'LISTA DE EMBARQUE'!B:L,11,0),"")</f>
        <v>12</v>
      </c>
      <c r="W752" s="13" t="str">
        <f>IFERROR(COUNTIF(#REF!,Tabela1[[#This Row],[Colunas5]]),"")</f>
        <v/>
      </c>
      <c r="X752" s="14">
        <f>Tabela1[[#This Row],[QIANTIDADE EXPEDIDA]]*Tabela1[[#This Row],[PESO UNI]]</f>
        <v>12.6</v>
      </c>
      <c r="Y752" s="14">
        <f t="shared" si="120"/>
        <v>0</v>
      </c>
      <c r="Z752" s="20">
        <f>Tabela1[[#This Row],[PESO TOTAL]]-Tabela1[[#This Row],[Peso Expedido]]</f>
        <v>0</v>
      </c>
      <c r="AA752" s="17">
        <v>1</v>
      </c>
      <c r="AB752" s="33"/>
      <c r="AC752" s="33">
        <v>1</v>
      </c>
      <c r="AD752" s="33">
        <v>1</v>
      </c>
      <c r="AE752" s="33">
        <v>1</v>
      </c>
      <c r="AF752" s="33">
        <v>1</v>
      </c>
      <c r="AG752" s="33">
        <v>1</v>
      </c>
      <c r="AH752" s="33">
        <v>1</v>
      </c>
      <c r="AI752" s="33" t="s">
        <v>4512</v>
      </c>
      <c r="AQ752" s="203"/>
      <c r="AR752" s="37"/>
      <c r="AS752" s="37"/>
      <c r="AT752" s="37"/>
      <c r="AU752" s="37"/>
      <c r="AV752" s="37"/>
      <c r="AW752" s="37"/>
    </row>
    <row r="753" spans="1:49" ht="15.75" customHeight="1" x14ac:dyDescent="0.25">
      <c r="A753" s="212"/>
      <c r="B753" s="21" t="s">
        <v>4673</v>
      </c>
      <c r="C753" s="198">
        <v>1</v>
      </c>
      <c r="D753" s="199" t="s">
        <v>4683</v>
      </c>
      <c r="E753" s="210" t="s">
        <v>4820</v>
      </c>
      <c r="F753" s="198" t="s">
        <v>4414</v>
      </c>
      <c r="G753" s="199">
        <v>12.6</v>
      </c>
      <c r="H753" s="213">
        <v>12.6</v>
      </c>
      <c r="I753" s="199"/>
      <c r="J753" s="217"/>
      <c r="K753" s="218" t="s">
        <v>45</v>
      </c>
      <c r="L753" s="214" t="s">
        <v>2069</v>
      </c>
      <c r="M753" s="200"/>
      <c r="N753" s="8" t="s">
        <v>38</v>
      </c>
      <c r="O753" s="215"/>
      <c r="P753" s="216"/>
      <c r="Q753" s="14">
        <f>Tabela1[[#This Row],[QTDE/ Fabricação]]-Tabela1[[#This Row],[QTE]]</f>
        <v>-1</v>
      </c>
      <c r="R753" s="18">
        <f t="shared" si="117"/>
        <v>12.6</v>
      </c>
      <c r="S753" s="18">
        <f t="shared" si="118"/>
        <v>12.6</v>
      </c>
      <c r="T753" s="19">
        <f t="shared" si="119"/>
        <v>0</v>
      </c>
      <c r="U753" s="16">
        <f>IFERROR(SUMIF('LISTA DE EMBARQUE'!B:B,MICRO!E:E,'LISTA DE EMBARQUE'!G:G),"")</f>
        <v>1</v>
      </c>
      <c r="V753" s="12">
        <f>IFERROR(VLOOKUP(Tabela1[[#This Row],[COD.MDE]],'LISTA DE EMBARQUE'!B:L,11,0),"")</f>
        <v>12</v>
      </c>
      <c r="W753" s="13" t="str">
        <f>IFERROR(COUNTIF(#REF!,Tabela1[[#This Row],[Colunas5]]),"")</f>
        <v/>
      </c>
      <c r="X753" s="14">
        <f>Tabela1[[#This Row],[QIANTIDADE EXPEDIDA]]*Tabela1[[#This Row],[PESO UNI]]</f>
        <v>12.6</v>
      </c>
      <c r="Y753" s="14">
        <f t="shared" si="120"/>
        <v>0</v>
      </c>
      <c r="Z753" s="20">
        <f>Tabela1[[#This Row],[PESO TOTAL]]-Tabela1[[#This Row],[Peso Expedido]]</f>
        <v>0</v>
      </c>
      <c r="AA753" s="17">
        <v>1</v>
      </c>
      <c r="AB753" s="33"/>
      <c r="AC753" s="33">
        <v>1</v>
      </c>
      <c r="AD753" s="33">
        <v>1</v>
      </c>
      <c r="AE753" s="33">
        <v>1</v>
      </c>
      <c r="AF753" s="33">
        <v>1</v>
      </c>
      <c r="AG753" s="33">
        <v>1</v>
      </c>
      <c r="AH753" s="33">
        <v>1</v>
      </c>
      <c r="AI753" s="33" t="s">
        <v>4512</v>
      </c>
      <c r="AQ753" s="203"/>
      <c r="AR753" s="37"/>
      <c r="AS753" s="37"/>
      <c r="AT753" s="37"/>
      <c r="AU753" s="37"/>
      <c r="AV753" s="37"/>
      <c r="AW753" s="37"/>
    </row>
    <row r="754" spans="1:49" ht="15.75" customHeight="1" x14ac:dyDescent="0.25">
      <c r="A754" s="212"/>
      <c r="B754" s="21" t="s">
        <v>4673</v>
      </c>
      <c r="C754" s="198">
        <v>1</v>
      </c>
      <c r="D754" s="199" t="s">
        <v>4684</v>
      </c>
      <c r="E754" s="210" t="s">
        <v>4821</v>
      </c>
      <c r="F754" s="198" t="s">
        <v>4414</v>
      </c>
      <c r="G754" s="199">
        <v>12.6</v>
      </c>
      <c r="H754" s="213">
        <v>12.6</v>
      </c>
      <c r="I754" s="199"/>
      <c r="J754" s="217"/>
      <c r="K754" s="218" t="s">
        <v>45</v>
      </c>
      <c r="L754" s="214" t="s">
        <v>2069</v>
      </c>
      <c r="M754" s="200"/>
      <c r="N754" s="8" t="s">
        <v>38</v>
      </c>
      <c r="O754" s="215"/>
      <c r="P754" s="216"/>
      <c r="Q754" s="14">
        <f>Tabela1[[#This Row],[QTDE/ Fabricação]]-Tabela1[[#This Row],[QTE]]</f>
        <v>-1</v>
      </c>
      <c r="R754" s="18">
        <f t="shared" si="117"/>
        <v>12.6</v>
      </c>
      <c r="S754" s="18">
        <f t="shared" si="118"/>
        <v>12.6</v>
      </c>
      <c r="T754" s="19">
        <f t="shared" si="119"/>
        <v>0</v>
      </c>
      <c r="U754" s="16">
        <f>IFERROR(SUMIF('LISTA DE EMBARQUE'!B:B,MICRO!E:E,'LISTA DE EMBARQUE'!G:G),"")</f>
        <v>1</v>
      </c>
      <c r="V754" s="12">
        <f>IFERROR(VLOOKUP(Tabela1[[#This Row],[COD.MDE]],'LISTA DE EMBARQUE'!B:L,11,0),"")</f>
        <v>12</v>
      </c>
      <c r="W754" s="13" t="str">
        <f>IFERROR(COUNTIF(#REF!,Tabela1[[#This Row],[Colunas5]]),"")</f>
        <v/>
      </c>
      <c r="X754" s="14">
        <f>Tabela1[[#This Row],[QIANTIDADE EXPEDIDA]]*Tabela1[[#This Row],[PESO UNI]]</f>
        <v>12.6</v>
      </c>
      <c r="Y754" s="14">
        <f t="shared" si="120"/>
        <v>0</v>
      </c>
      <c r="Z754" s="20">
        <f>Tabela1[[#This Row],[PESO TOTAL]]-Tabela1[[#This Row],[Peso Expedido]]</f>
        <v>0</v>
      </c>
      <c r="AA754" s="17">
        <v>1</v>
      </c>
      <c r="AB754" s="33"/>
      <c r="AC754" s="33">
        <v>1</v>
      </c>
      <c r="AD754" s="33">
        <v>1</v>
      </c>
      <c r="AE754" s="33">
        <v>1</v>
      </c>
      <c r="AF754" s="33">
        <v>1</v>
      </c>
      <c r="AG754" s="33">
        <v>1</v>
      </c>
      <c r="AH754" s="33">
        <v>1</v>
      </c>
      <c r="AI754" s="33" t="s">
        <v>4512</v>
      </c>
      <c r="AQ754" s="203"/>
      <c r="AR754" s="37"/>
      <c r="AS754" s="37"/>
      <c r="AT754" s="37"/>
      <c r="AU754" s="37"/>
      <c r="AV754" s="37"/>
      <c r="AW754" s="37"/>
    </row>
    <row r="755" spans="1:49" ht="15.75" customHeight="1" x14ac:dyDescent="0.25">
      <c r="A755" s="212"/>
      <c r="B755" s="21" t="s">
        <v>4673</v>
      </c>
      <c r="C755" s="198">
        <v>1</v>
      </c>
      <c r="D755" s="199" t="s">
        <v>4685</v>
      </c>
      <c r="E755" s="210" t="s">
        <v>4822</v>
      </c>
      <c r="F755" s="198" t="s">
        <v>4414</v>
      </c>
      <c r="G755" s="199">
        <v>12.6</v>
      </c>
      <c r="H755" s="213">
        <v>12.6</v>
      </c>
      <c r="I755" s="199"/>
      <c r="J755" s="217"/>
      <c r="K755" s="218" t="s">
        <v>45</v>
      </c>
      <c r="L755" s="214" t="s">
        <v>2069</v>
      </c>
      <c r="M755" s="200"/>
      <c r="N755" s="8" t="s">
        <v>38</v>
      </c>
      <c r="O755" s="215"/>
      <c r="P755" s="216"/>
      <c r="Q755" s="14">
        <f>Tabela1[[#This Row],[QTDE/ Fabricação]]-Tabela1[[#This Row],[QTE]]</f>
        <v>-1</v>
      </c>
      <c r="R755" s="18">
        <f t="shared" si="117"/>
        <v>12.6</v>
      </c>
      <c r="S755" s="18">
        <f t="shared" si="118"/>
        <v>12.6</v>
      </c>
      <c r="T755" s="19">
        <f t="shared" si="119"/>
        <v>0</v>
      </c>
      <c r="U755" s="16">
        <f>IFERROR(SUMIF('LISTA DE EMBARQUE'!B:B,MICRO!E:E,'LISTA DE EMBARQUE'!G:G),"")</f>
        <v>1</v>
      </c>
      <c r="V755" s="12">
        <f>IFERROR(VLOOKUP(Tabela1[[#This Row],[COD.MDE]],'LISTA DE EMBARQUE'!B:L,11,0),"")</f>
        <v>12</v>
      </c>
      <c r="W755" s="13" t="str">
        <f>IFERROR(COUNTIF(#REF!,Tabela1[[#This Row],[Colunas5]]),"")</f>
        <v/>
      </c>
      <c r="X755" s="14">
        <f>Tabela1[[#This Row],[QIANTIDADE EXPEDIDA]]*Tabela1[[#This Row],[PESO UNI]]</f>
        <v>12.6</v>
      </c>
      <c r="Y755" s="14">
        <f t="shared" si="120"/>
        <v>0</v>
      </c>
      <c r="Z755" s="20">
        <f>Tabela1[[#This Row],[PESO TOTAL]]-Tabela1[[#This Row],[Peso Expedido]]</f>
        <v>0</v>
      </c>
      <c r="AA755" s="17">
        <v>1</v>
      </c>
      <c r="AB755" s="33"/>
      <c r="AC755" s="33">
        <v>1</v>
      </c>
      <c r="AD755" s="33">
        <v>1</v>
      </c>
      <c r="AE755" s="33">
        <v>1</v>
      </c>
      <c r="AF755" s="33">
        <v>1</v>
      </c>
      <c r="AG755" s="33">
        <v>1</v>
      </c>
      <c r="AH755" s="33">
        <v>1</v>
      </c>
      <c r="AI755" s="33" t="s">
        <v>4512</v>
      </c>
      <c r="AQ755" s="203"/>
      <c r="AR755" s="37"/>
      <c r="AS755" s="37"/>
      <c r="AT755" s="37"/>
      <c r="AU755" s="37"/>
      <c r="AV755" s="37"/>
      <c r="AW755" s="37"/>
    </row>
    <row r="756" spans="1:49" ht="15.75" customHeight="1" x14ac:dyDescent="0.25">
      <c r="A756" s="212"/>
      <c r="B756" s="21" t="s">
        <v>4673</v>
      </c>
      <c r="C756" s="198">
        <v>1</v>
      </c>
      <c r="D756" s="199" t="s">
        <v>4686</v>
      </c>
      <c r="E756" s="210" t="s">
        <v>4823</v>
      </c>
      <c r="F756" s="198" t="s">
        <v>4414</v>
      </c>
      <c r="G756" s="199">
        <v>12.6</v>
      </c>
      <c r="H756" s="213">
        <v>12.6</v>
      </c>
      <c r="I756" s="199"/>
      <c r="J756" s="217"/>
      <c r="K756" s="218" t="s">
        <v>45</v>
      </c>
      <c r="L756" s="214" t="s">
        <v>2069</v>
      </c>
      <c r="M756" s="200"/>
      <c r="N756" s="8" t="s">
        <v>38</v>
      </c>
      <c r="O756" s="215"/>
      <c r="P756" s="216"/>
      <c r="Q756" s="14">
        <f>Tabela1[[#This Row],[QTDE/ Fabricação]]-Tabela1[[#This Row],[QTE]]</f>
        <v>-1</v>
      </c>
      <c r="R756" s="18">
        <f t="shared" si="117"/>
        <v>12.6</v>
      </c>
      <c r="S756" s="18">
        <f t="shared" si="118"/>
        <v>12.6</v>
      </c>
      <c r="T756" s="19">
        <f t="shared" si="119"/>
        <v>0</v>
      </c>
      <c r="U756" s="16">
        <f>IFERROR(SUMIF('LISTA DE EMBARQUE'!B:B,MICRO!E:E,'LISTA DE EMBARQUE'!G:G),"")</f>
        <v>1</v>
      </c>
      <c r="V756" s="12">
        <f>IFERROR(VLOOKUP(Tabela1[[#This Row],[COD.MDE]],'LISTA DE EMBARQUE'!B:L,11,0),"")</f>
        <v>12</v>
      </c>
      <c r="W756" s="13" t="str">
        <f>IFERROR(COUNTIF(#REF!,Tabela1[[#This Row],[Colunas5]]),"")</f>
        <v/>
      </c>
      <c r="X756" s="14">
        <f>Tabela1[[#This Row],[QIANTIDADE EXPEDIDA]]*Tabela1[[#This Row],[PESO UNI]]</f>
        <v>12.6</v>
      </c>
      <c r="Y756" s="14">
        <f t="shared" si="120"/>
        <v>0</v>
      </c>
      <c r="Z756" s="20">
        <f>Tabela1[[#This Row],[PESO TOTAL]]-Tabela1[[#This Row],[Peso Expedido]]</f>
        <v>0</v>
      </c>
      <c r="AA756" s="17">
        <v>1</v>
      </c>
      <c r="AB756" s="33"/>
      <c r="AC756" s="33">
        <v>1</v>
      </c>
      <c r="AD756" s="33">
        <v>1</v>
      </c>
      <c r="AE756" s="33">
        <v>1</v>
      </c>
      <c r="AF756" s="33">
        <v>1</v>
      </c>
      <c r="AG756" s="33">
        <v>1</v>
      </c>
      <c r="AH756" s="33">
        <v>1</v>
      </c>
      <c r="AI756" s="33" t="s">
        <v>4512</v>
      </c>
      <c r="AQ756" s="203"/>
      <c r="AR756" s="37"/>
      <c r="AS756" s="37"/>
      <c r="AT756" s="37"/>
      <c r="AU756" s="37"/>
      <c r="AV756" s="37"/>
      <c r="AW756" s="37"/>
    </row>
    <row r="757" spans="1:49" ht="15.75" customHeight="1" x14ac:dyDescent="0.25">
      <c r="A757" s="212"/>
      <c r="B757" s="21" t="s">
        <v>4673</v>
      </c>
      <c r="C757" s="198">
        <v>168</v>
      </c>
      <c r="D757" s="199" t="s">
        <v>4687</v>
      </c>
      <c r="E757" s="210" t="s">
        <v>4824</v>
      </c>
      <c r="F757" s="198" t="s">
        <v>4414</v>
      </c>
      <c r="G757" s="199">
        <v>0.188</v>
      </c>
      <c r="H757" s="213">
        <v>31.584</v>
      </c>
      <c r="I757" s="199"/>
      <c r="J757" s="217"/>
      <c r="K757" s="218" t="s">
        <v>45</v>
      </c>
      <c r="L757" s="214" t="s">
        <v>2069</v>
      </c>
      <c r="M757" s="200"/>
      <c r="N757" s="8" t="s">
        <v>38</v>
      </c>
      <c r="O757" s="215"/>
      <c r="P757" s="216"/>
      <c r="Q757" s="14">
        <f>Tabela1[[#This Row],[QTDE/ Fabricação]]-Tabela1[[#This Row],[QTE]]</f>
        <v>-168</v>
      </c>
      <c r="R757" s="18">
        <f t="shared" si="117"/>
        <v>31.584</v>
      </c>
      <c r="S757" s="18">
        <f t="shared" si="118"/>
        <v>31.584</v>
      </c>
      <c r="T757" s="19">
        <f t="shared" si="119"/>
        <v>0</v>
      </c>
      <c r="U757" s="16">
        <f>IFERROR(SUMIF('LISTA DE EMBARQUE'!B:B,MICRO!E:E,'LISTA DE EMBARQUE'!G:G),"")</f>
        <v>168</v>
      </c>
      <c r="V757" s="12">
        <f>IFERROR(VLOOKUP(Tabela1[[#This Row],[COD.MDE]],'LISTA DE EMBARQUE'!B:L,11,0),"")</f>
        <v>12</v>
      </c>
      <c r="W757" s="13" t="str">
        <f>IFERROR(COUNTIF(#REF!,Tabela1[[#This Row],[Colunas5]]),"")</f>
        <v/>
      </c>
      <c r="X757" s="14">
        <f>Tabela1[[#This Row],[QIANTIDADE EXPEDIDA]]*Tabela1[[#This Row],[PESO UNI]]</f>
        <v>31.584</v>
      </c>
      <c r="Y757" s="14">
        <f t="shared" si="120"/>
        <v>0</v>
      </c>
      <c r="Z757" s="20">
        <f>Tabela1[[#This Row],[PESO TOTAL]]-Tabela1[[#This Row],[Peso Expedido]]</f>
        <v>0</v>
      </c>
      <c r="AA757" s="17">
        <v>1</v>
      </c>
      <c r="AB757" s="33"/>
      <c r="AC757" s="33">
        <v>1</v>
      </c>
      <c r="AD757" s="33">
        <v>1</v>
      </c>
      <c r="AE757" s="33">
        <v>1</v>
      </c>
      <c r="AF757" s="33">
        <v>1</v>
      </c>
      <c r="AG757" s="33">
        <v>1</v>
      </c>
      <c r="AH757" s="33">
        <v>1</v>
      </c>
      <c r="AI757" s="33" t="s">
        <v>4512</v>
      </c>
      <c r="AQ757" s="203"/>
      <c r="AR757" s="37"/>
      <c r="AS757" s="37"/>
      <c r="AT757" s="37"/>
      <c r="AU757" s="37"/>
      <c r="AV757" s="37"/>
      <c r="AW757" s="37"/>
    </row>
    <row r="758" spans="1:49" ht="15.75" customHeight="1" x14ac:dyDescent="0.25">
      <c r="A758" s="212"/>
      <c r="B758" s="21" t="s">
        <v>4673</v>
      </c>
      <c r="C758" s="198">
        <v>336</v>
      </c>
      <c r="D758" s="199" t="s">
        <v>4688</v>
      </c>
      <c r="E758" s="210" t="s">
        <v>4825</v>
      </c>
      <c r="F758" s="198" t="s">
        <v>4414</v>
      </c>
      <c r="G758" s="199">
        <v>0.188</v>
      </c>
      <c r="H758" s="213">
        <v>63.167999999999999</v>
      </c>
      <c r="I758" s="199"/>
      <c r="J758" s="217"/>
      <c r="K758" s="218" t="s">
        <v>45</v>
      </c>
      <c r="L758" s="214" t="s">
        <v>2069</v>
      </c>
      <c r="M758" s="200"/>
      <c r="N758" s="8" t="s">
        <v>38</v>
      </c>
      <c r="O758" s="215"/>
      <c r="P758" s="216"/>
      <c r="Q758" s="14">
        <f>Tabela1[[#This Row],[QTDE/ Fabricação]]-Tabela1[[#This Row],[QTE]]</f>
        <v>-336</v>
      </c>
      <c r="R758" s="18">
        <f t="shared" ref="R758:R764" si="121">IFERROR(H758*((AA758*0.25)+(AC758*0.25)+(AD758*0.225)+(AE758*0.225)+(AF758*0.05)),"")</f>
        <v>63.167999999999999</v>
      </c>
      <c r="S758" s="18">
        <f t="shared" ref="S758:S764" si="122">IFERROR(H758*AG758,"")</f>
        <v>63.167999999999999</v>
      </c>
      <c r="T758" s="19">
        <f t="shared" ref="T758:T764" si="123">IFERROR(S758-H758,"")</f>
        <v>0</v>
      </c>
      <c r="U758" s="16">
        <f>IFERROR(SUMIF('LISTA DE EMBARQUE'!B:B,MICRO!E:E,'LISTA DE EMBARQUE'!G:G),"")</f>
        <v>336</v>
      </c>
      <c r="V758" s="12">
        <f>IFERROR(VLOOKUP(Tabela1[[#This Row],[COD.MDE]],'LISTA DE EMBARQUE'!B:L,11,0),"")</f>
        <v>12</v>
      </c>
      <c r="W758" s="13" t="str">
        <f>IFERROR(COUNTIF(#REF!,Tabela1[[#This Row],[Colunas5]]),"")</f>
        <v/>
      </c>
      <c r="X758" s="14">
        <f>Tabela1[[#This Row],[QIANTIDADE EXPEDIDA]]*Tabela1[[#This Row],[PESO UNI]]</f>
        <v>63.167999999999999</v>
      </c>
      <c r="Y758" s="14">
        <f t="shared" ref="Y758:Y764" si="124">U758-C758</f>
        <v>0</v>
      </c>
      <c r="Z758" s="20">
        <f>Tabela1[[#This Row],[PESO TOTAL]]-Tabela1[[#This Row],[Peso Expedido]]</f>
        <v>0</v>
      </c>
      <c r="AA758" s="17">
        <v>1</v>
      </c>
      <c r="AB758" s="33"/>
      <c r="AC758" s="33">
        <v>1</v>
      </c>
      <c r="AD758" s="33">
        <v>1</v>
      </c>
      <c r="AE758" s="33">
        <v>1</v>
      </c>
      <c r="AF758" s="33">
        <v>1</v>
      </c>
      <c r="AG758" s="33">
        <v>1</v>
      </c>
      <c r="AH758" s="33">
        <v>1</v>
      </c>
      <c r="AI758" s="33" t="s">
        <v>4512</v>
      </c>
      <c r="AQ758" s="203"/>
      <c r="AR758" s="37"/>
      <c r="AS758" s="37"/>
      <c r="AT758" s="37"/>
      <c r="AU758" s="37"/>
      <c r="AV758" s="37"/>
      <c r="AW758" s="37"/>
    </row>
    <row r="759" spans="1:49" ht="15.75" customHeight="1" x14ac:dyDescent="0.25">
      <c r="A759" s="212"/>
      <c r="B759" s="21" t="s">
        <v>4673</v>
      </c>
      <c r="C759" s="198">
        <v>168</v>
      </c>
      <c r="D759" s="199" t="s">
        <v>4689</v>
      </c>
      <c r="E759" s="210" t="s">
        <v>4826</v>
      </c>
      <c r="F759" s="198" t="s">
        <v>4414</v>
      </c>
      <c r="G759" s="199">
        <v>0.188</v>
      </c>
      <c r="H759" s="213">
        <v>31.584</v>
      </c>
      <c r="I759" s="199"/>
      <c r="J759" s="217"/>
      <c r="K759" s="218" t="s">
        <v>45</v>
      </c>
      <c r="L759" s="214" t="s">
        <v>2069</v>
      </c>
      <c r="M759" s="200"/>
      <c r="N759" s="8" t="s">
        <v>38</v>
      </c>
      <c r="O759" s="215"/>
      <c r="P759" s="216"/>
      <c r="Q759" s="14">
        <f>Tabela1[[#This Row],[QTDE/ Fabricação]]-Tabela1[[#This Row],[QTE]]</f>
        <v>-168</v>
      </c>
      <c r="R759" s="18">
        <f t="shared" si="121"/>
        <v>31.584</v>
      </c>
      <c r="S759" s="18">
        <f t="shared" si="122"/>
        <v>31.584</v>
      </c>
      <c r="T759" s="19">
        <f t="shared" si="123"/>
        <v>0</v>
      </c>
      <c r="U759" s="16">
        <f>IFERROR(SUMIF('LISTA DE EMBARQUE'!B:B,MICRO!E:E,'LISTA DE EMBARQUE'!G:G),"")</f>
        <v>168</v>
      </c>
      <c r="V759" s="12">
        <f>IFERROR(VLOOKUP(Tabela1[[#This Row],[COD.MDE]],'LISTA DE EMBARQUE'!B:L,11,0),"")</f>
        <v>12</v>
      </c>
      <c r="W759" s="13" t="str">
        <f>IFERROR(COUNTIF(#REF!,Tabela1[[#This Row],[Colunas5]]),"")</f>
        <v/>
      </c>
      <c r="X759" s="14">
        <f>Tabela1[[#This Row],[QIANTIDADE EXPEDIDA]]*Tabela1[[#This Row],[PESO UNI]]</f>
        <v>31.584</v>
      </c>
      <c r="Y759" s="14">
        <f t="shared" si="124"/>
        <v>0</v>
      </c>
      <c r="Z759" s="20">
        <f>Tabela1[[#This Row],[PESO TOTAL]]-Tabela1[[#This Row],[Peso Expedido]]</f>
        <v>0</v>
      </c>
      <c r="AA759" s="17">
        <v>1</v>
      </c>
      <c r="AB759" s="33"/>
      <c r="AC759" s="33">
        <v>1</v>
      </c>
      <c r="AD759" s="33">
        <v>1</v>
      </c>
      <c r="AE759" s="33">
        <v>1</v>
      </c>
      <c r="AF759" s="33">
        <v>1</v>
      </c>
      <c r="AG759" s="33">
        <v>1</v>
      </c>
      <c r="AH759" s="33">
        <v>1</v>
      </c>
      <c r="AI759" s="33" t="s">
        <v>4512</v>
      </c>
      <c r="AQ759" s="203"/>
      <c r="AR759" s="37"/>
      <c r="AS759" s="37"/>
      <c r="AT759" s="37"/>
      <c r="AU759" s="37"/>
      <c r="AV759" s="37"/>
      <c r="AW759" s="37"/>
    </row>
    <row r="760" spans="1:49" ht="15.75" customHeight="1" x14ac:dyDescent="0.25">
      <c r="A760" s="212"/>
      <c r="B760" s="196" t="s">
        <v>4673</v>
      </c>
      <c r="C760" s="198">
        <v>336</v>
      </c>
      <c r="D760" s="199" t="s">
        <v>4689</v>
      </c>
      <c r="E760" s="210" t="s">
        <v>4827</v>
      </c>
      <c r="F760" s="198" t="s">
        <v>4414</v>
      </c>
      <c r="G760" s="199">
        <v>0.188</v>
      </c>
      <c r="H760" s="213">
        <v>63.167999999999999</v>
      </c>
      <c r="I760" s="199"/>
      <c r="J760" s="217"/>
      <c r="K760" s="218" t="s">
        <v>45</v>
      </c>
      <c r="L760" s="214" t="s">
        <v>2069</v>
      </c>
      <c r="M760" s="200"/>
      <c r="N760" s="8" t="s">
        <v>38</v>
      </c>
      <c r="O760" s="201"/>
      <c r="P760" s="202"/>
      <c r="Q760" s="14">
        <f>Tabela1[[#This Row],[QTDE/ Fabricação]]-Tabela1[[#This Row],[QTE]]</f>
        <v>-336</v>
      </c>
      <c r="R760" s="18">
        <f t="shared" si="121"/>
        <v>63.167999999999999</v>
      </c>
      <c r="S760" s="18">
        <f t="shared" si="122"/>
        <v>63.167999999999999</v>
      </c>
      <c r="T760" s="19">
        <f t="shared" si="123"/>
        <v>0</v>
      </c>
      <c r="U760" s="16">
        <f>IFERROR(SUMIF('LISTA DE EMBARQUE'!B:B,MICRO!E:E,'LISTA DE EMBARQUE'!G:G),"")</f>
        <v>336</v>
      </c>
      <c r="V760" s="12">
        <f>IFERROR(VLOOKUP(Tabela1[[#This Row],[COD.MDE]],'LISTA DE EMBARQUE'!B:L,11,0),"")</f>
        <v>12</v>
      </c>
      <c r="W760" s="13" t="str">
        <f>IFERROR(COUNTIF(#REF!,Tabela1[[#This Row],[Colunas5]]),"")</f>
        <v/>
      </c>
      <c r="X760" s="14">
        <f>Tabela1[[#This Row],[QIANTIDADE EXPEDIDA]]*Tabela1[[#This Row],[PESO UNI]]</f>
        <v>63.167999999999999</v>
      </c>
      <c r="Y760" s="14">
        <f t="shared" si="124"/>
        <v>0</v>
      </c>
      <c r="Z760" s="20">
        <f>Tabela1[[#This Row],[PESO TOTAL]]-Tabela1[[#This Row],[Peso Expedido]]</f>
        <v>0</v>
      </c>
      <c r="AA760" s="17">
        <v>1</v>
      </c>
      <c r="AB760" s="33"/>
      <c r="AC760" s="33">
        <v>1</v>
      </c>
      <c r="AD760" s="33">
        <v>1</v>
      </c>
      <c r="AE760" s="33">
        <v>1</v>
      </c>
      <c r="AF760" s="33">
        <v>1</v>
      </c>
      <c r="AG760" s="33">
        <v>1</v>
      </c>
      <c r="AH760" s="33">
        <v>1</v>
      </c>
      <c r="AI760" s="33" t="s">
        <v>4512</v>
      </c>
      <c r="AQ760" s="203"/>
      <c r="AR760" s="158"/>
      <c r="AS760" s="158"/>
      <c r="AT760" s="158"/>
      <c r="AU760" s="158"/>
      <c r="AV760" s="158"/>
      <c r="AW760" s="158"/>
    </row>
    <row r="761" spans="1:49" ht="15.75" customHeight="1" x14ac:dyDescent="0.25">
      <c r="A761" s="212"/>
      <c r="B761" s="21" t="s">
        <v>3913</v>
      </c>
      <c r="C761" s="198">
        <v>160</v>
      </c>
      <c r="D761" s="199" t="s">
        <v>4691</v>
      </c>
      <c r="E761" s="210" t="s">
        <v>4828</v>
      </c>
      <c r="F761" s="198" t="s">
        <v>4414</v>
      </c>
      <c r="G761" s="199">
        <v>9.1300000000000008</v>
      </c>
      <c r="H761" s="213">
        <v>1460.8000000000002</v>
      </c>
      <c r="I761" s="199"/>
      <c r="J761" s="217"/>
      <c r="K761" s="218" t="s">
        <v>45</v>
      </c>
      <c r="L761" s="214" t="s">
        <v>2069</v>
      </c>
      <c r="M761" s="200"/>
      <c r="N761" s="8" t="s">
        <v>38</v>
      </c>
      <c r="O761" s="215"/>
      <c r="P761" s="216"/>
      <c r="Q761" s="14">
        <f>Tabela1[[#This Row],[QTDE/ Fabricação]]-Tabela1[[#This Row],[QTE]]</f>
        <v>-160</v>
      </c>
      <c r="R761" s="18">
        <f t="shared" si="121"/>
        <v>1460.8000000000002</v>
      </c>
      <c r="S761" s="18">
        <f t="shared" si="122"/>
        <v>1460.8000000000002</v>
      </c>
      <c r="T761" s="19">
        <f t="shared" si="123"/>
        <v>0</v>
      </c>
      <c r="U761" s="16">
        <f>IFERROR(SUMIF('LISTA DE EMBARQUE'!B:B,MICRO!E:E,'LISTA DE EMBARQUE'!G:G),"")</f>
        <v>160</v>
      </c>
      <c r="V761" s="12">
        <f>IFERROR(VLOOKUP(Tabela1[[#This Row],[COD.MDE]],'LISTA DE EMBARQUE'!B:L,11,0),"")</f>
        <v>12</v>
      </c>
      <c r="W761" s="13" t="str">
        <f>IFERROR(COUNTIF(#REF!,Tabela1[[#This Row],[Colunas5]]),"")</f>
        <v/>
      </c>
      <c r="X761" s="14">
        <f>Tabela1[[#This Row],[QIANTIDADE EXPEDIDA]]*Tabela1[[#This Row],[PESO UNI]]</f>
        <v>1460.8000000000002</v>
      </c>
      <c r="Y761" s="14">
        <f t="shared" si="124"/>
        <v>0</v>
      </c>
      <c r="Z761" s="20">
        <f>Tabela1[[#This Row],[PESO TOTAL]]-Tabela1[[#This Row],[Peso Expedido]]</f>
        <v>0</v>
      </c>
      <c r="AA761" s="17">
        <v>1</v>
      </c>
      <c r="AB761" s="33"/>
      <c r="AC761" s="33">
        <v>1</v>
      </c>
      <c r="AD761" s="33">
        <v>1</v>
      </c>
      <c r="AE761" s="33">
        <v>1</v>
      </c>
      <c r="AF761" s="33">
        <v>1</v>
      </c>
      <c r="AG761" s="33">
        <v>1</v>
      </c>
      <c r="AH761" s="33">
        <v>1</v>
      </c>
      <c r="AI761" s="33" t="s">
        <v>4512</v>
      </c>
      <c r="AQ761" s="203"/>
      <c r="AR761" s="37"/>
      <c r="AS761" s="37"/>
      <c r="AT761" s="37"/>
      <c r="AU761" s="37"/>
      <c r="AV761" s="37"/>
      <c r="AW761" s="37"/>
    </row>
    <row r="762" spans="1:49" ht="15.75" customHeight="1" x14ac:dyDescent="0.25">
      <c r="A762" s="212"/>
      <c r="B762" s="21" t="s">
        <v>3913</v>
      </c>
      <c r="C762" s="198">
        <v>160</v>
      </c>
      <c r="D762" s="199" t="s">
        <v>4691</v>
      </c>
      <c r="E762" s="210" t="s">
        <v>4829</v>
      </c>
      <c r="F762" s="198" t="s">
        <v>4414</v>
      </c>
      <c r="G762" s="199">
        <v>9.1300000000000008</v>
      </c>
      <c r="H762" s="213">
        <v>1460.8000000000002</v>
      </c>
      <c r="I762" s="199"/>
      <c r="J762" s="217"/>
      <c r="K762" s="218" t="s">
        <v>45</v>
      </c>
      <c r="L762" s="214" t="s">
        <v>2069</v>
      </c>
      <c r="M762" s="200"/>
      <c r="N762" s="8" t="s">
        <v>38</v>
      </c>
      <c r="O762" s="215"/>
      <c r="P762" s="216"/>
      <c r="Q762" s="14">
        <f>Tabela1[[#This Row],[QTDE/ Fabricação]]-Tabela1[[#This Row],[QTE]]</f>
        <v>-160</v>
      </c>
      <c r="R762" s="18">
        <f t="shared" si="121"/>
        <v>1460.8000000000002</v>
      </c>
      <c r="S762" s="18">
        <f t="shared" si="122"/>
        <v>1460.8000000000002</v>
      </c>
      <c r="T762" s="19">
        <f t="shared" si="123"/>
        <v>0</v>
      </c>
      <c r="U762" s="16">
        <f>IFERROR(SUMIF('LISTA DE EMBARQUE'!B:B,MICRO!E:E,'LISTA DE EMBARQUE'!G:G),"")</f>
        <v>160</v>
      </c>
      <c r="V762" s="12">
        <f>IFERROR(VLOOKUP(Tabela1[[#This Row],[COD.MDE]],'LISTA DE EMBARQUE'!B:L,11,0),"")</f>
        <v>12</v>
      </c>
      <c r="W762" s="13" t="str">
        <f>IFERROR(COUNTIF(#REF!,Tabela1[[#This Row],[Colunas5]]),"")</f>
        <v/>
      </c>
      <c r="X762" s="14">
        <f>Tabela1[[#This Row],[QIANTIDADE EXPEDIDA]]*Tabela1[[#This Row],[PESO UNI]]</f>
        <v>1460.8000000000002</v>
      </c>
      <c r="Y762" s="14">
        <f t="shared" si="124"/>
        <v>0</v>
      </c>
      <c r="Z762" s="20">
        <f>Tabela1[[#This Row],[PESO TOTAL]]-Tabela1[[#This Row],[Peso Expedido]]</f>
        <v>0</v>
      </c>
      <c r="AA762" s="17">
        <v>1</v>
      </c>
      <c r="AB762" s="33"/>
      <c r="AC762" s="33">
        <v>1</v>
      </c>
      <c r="AD762" s="33">
        <v>1</v>
      </c>
      <c r="AE762" s="33">
        <v>1</v>
      </c>
      <c r="AF762" s="33">
        <v>1</v>
      </c>
      <c r="AG762" s="33">
        <v>1</v>
      </c>
      <c r="AH762" s="33">
        <v>1</v>
      </c>
      <c r="AI762" s="33" t="s">
        <v>4512</v>
      </c>
      <c r="AQ762" s="203"/>
      <c r="AR762" s="37"/>
      <c r="AS762" s="37"/>
      <c r="AT762" s="37"/>
      <c r="AU762" s="37"/>
      <c r="AV762" s="37"/>
      <c r="AW762" s="37"/>
    </row>
    <row r="763" spans="1:49" ht="15.75" customHeight="1" x14ac:dyDescent="0.25">
      <c r="A763" s="212"/>
      <c r="B763" s="21" t="s">
        <v>4692</v>
      </c>
      <c r="C763" s="198">
        <v>1</v>
      </c>
      <c r="D763" s="199" t="s">
        <v>4693</v>
      </c>
      <c r="E763" s="210" t="s">
        <v>4830</v>
      </c>
      <c r="F763" s="198" t="s">
        <v>4414</v>
      </c>
      <c r="G763" s="199">
        <v>12.5</v>
      </c>
      <c r="H763" s="213">
        <v>12.5</v>
      </c>
      <c r="I763" s="199"/>
      <c r="J763" s="217"/>
      <c r="K763" s="218" t="s">
        <v>45</v>
      </c>
      <c r="L763" s="214" t="s">
        <v>2069</v>
      </c>
      <c r="M763" s="200"/>
      <c r="N763" s="8" t="s">
        <v>38</v>
      </c>
      <c r="O763" s="215"/>
      <c r="P763" s="216"/>
      <c r="Q763" s="14">
        <f>Tabela1[[#This Row],[QTDE/ Fabricação]]-Tabela1[[#This Row],[QTE]]</f>
        <v>-1</v>
      </c>
      <c r="R763" s="18">
        <f t="shared" si="121"/>
        <v>12.5</v>
      </c>
      <c r="S763" s="18">
        <f t="shared" si="122"/>
        <v>12.5</v>
      </c>
      <c r="T763" s="19">
        <f t="shared" si="123"/>
        <v>0</v>
      </c>
      <c r="U763" s="16">
        <f>IFERROR(SUMIF('LISTA DE EMBARQUE'!B:B,MICRO!E:E,'LISTA DE EMBARQUE'!G:G),"")</f>
        <v>1</v>
      </c>
      <c r="V763" s="12">
        <f>IFERROR(VLOOKUP(Tabela1[[#This Row],[COD.MDE]],'LISTA DE EMBARQUE'!B:L,11,0),"")</f>
        <v>12</v>
      </c>
      <c r="W763" s="13" t="str">
        <f>IFERROR(COUNTIF(#REF!,Tabela1[[#This Row],[Colunas5]]),"")</f>
        <v/>
      </c>
      <c r="X763" s="14">
        <f>Tabela1[[#This Row],[QIANTIDADE EXPEDIDA]]*Tabela1[[#This Row],[PESO UNI]]</f>
        <v>12.5</v>
      </c>
      <c r="Y763" s="14">
        <f t="shared" si="124"/>
        <v>0</v>
      </c>
      <c r="Z763" s="20">
        <f>Tabela1[[#This Row],[PESO TOTAL]]-Tabela1[[#This Row],[Peso Expedido]]</f>
        <v>0</v>
      </c>
      <c r="AA763" s="17">
        <v>1</v>
      </c>
      <c r="AB763" s="33"/>
      <c r="AC763" s="33">
        <v>1</v>
      </c>
      <c r="AD763" s="33">
        <v>1</v>
      </c>
      <c r="AE763" s="33">
        <v>1</v>
      </c>
      <c r="AF763" s="33">
        <v>1</v>
      </c>
      <c r="AG763" s="33">
        <v>1</v>
      </c>
      <c r="AH763" s="33">
        <v>1</v>
      </c>
      <c r="AI763" s="33" t="s">
        <v>4512</v>
      </c>
      <c r="AQ763" s="203"/>
      <c r="AR763" s="37"/>
      <c r="AS763" s="37"/>
      <c r="AT763" s="37"/>
      <c r="AU763" s="37"/>
      <c r="AV763" s="37"/>
      <c r="AW763" s="37"/>
    </row>
    <row r="764" spans="1:49" ht="15.75" customHeight="1" x14ac:dyDescent="0.25">
      <c r="A764" s="212"/>
      <c r="B764" s="196" t="s">
        <v>4692</v>
      </c>
      <c r="C764" s="198">
        <v>1</v>
      </c>
      <c r="D764" s="199" t="s">
        <v>4693</v>
      </c>
      <c r="E764" s="210" t="s">
        <v>4831</v>
      </c>
      <c r="F764" s="198" t="s">
        <v>4414</v>
      </c>
      <c r="G764" s="199">
        <v>12.5</v>
      </c>
      <c r="H764" s="213">
        <v>12.5</v>
      </c>
      <c r="I764" s="199"/>
      <c r="J764" s="217"/>
      <c r="K764" s="218" t="s">
        <v>45</v>
      </c>
      <c r="L764" s="214" t="s">
        <v>2069</v>
      </c>
      <c r="M764" s="200"/>
      <c r="N764" s="8" t="s">
        <v>38</v>
      </c>
      <c r="O764" s="201"/>
      <c r="P764" s="202"/>
      <c r="Q764" s="14">
        <f>Tabela1[[#This Row],[QTDE/ Fabricação]]-Tabela1[[#This Row],[QTE]]</f>
        <v>-1</v>
      </c>
      <c r="R764" s="18">
        <f t="shared" si="121"/>
        <v>12.5</v>
      </c>
      <c r="S764" s="18">
        <f t="shared" si="122"/>
        <v>12.5</v>
      </c>
      <c r="T764" s="19">
        <f t="shared" si="123"/>
        <v>0</v>
      </c>
      <c r="U764" s="16">
        <f>IFERROR(SUMIF('LISTA DE EMBARQUE'!B:B,MICRO!E:E,'LISTA DE EMBARQUE'!G:G),"")</f>
        <v>1</v>
      </c>
      <c r="V764" s="12">
        <f>IFERROR(VLOOKUP(Tabela1[[#This Row],[COD.MDE]],'LISTA DE EMBARQUE'!B:L,11,0),"")</f>
        <v>12</v>
      </c>
      <c r="W764" s="13" t="str">
        <f>IFERROR(COUNTIF(#REF!,Tabela1[[#This Row],[Colunas5]]),"")</f>
        <v/>
      </c>
      <c r="X764" s="14">
        <f>Tabela1[[#This Row],[QIANTIDADE EXPEDIDA]]*Tabela1[[#This Row],[PESO UNI]]</f>
        <v>12.5</v>
      </c>
      <c r="Y764" s="14">
        <f t="shared" si="124"/>
        <v>0</v>
      </c>
      <c r="Z764" s="20">
        <f>Tabela1[[#This Row],[PESO TOTAL]]-Tabela1[[#This Row],[Peso Expedido]]</f>
        <v>0</v>
      </c>
      <c r="AA764" s="17">
        <v>1</v>
      </c>
      <c r="AB764" s="33"/>
      <c r="AC764" s="33">
        <v>1</v>
      </c>
      <c r="AD764" s="33">
        <v>1</v>
      </c>
      <c r="AE764" s="33">
        <v>1</v>
      </c>
      <c r="AF764" s="33">
        <v>1</v>
      </c>
      <c r="AG764" s="33">
        <v>1</v>
      </c>
      <c r="AH764" s="33">
        <v>1</v>
      </c>
      <c r="AI764" s="33" t="s">
        <v>4512</v>
      </c>
      <c r="AQ764" s="203"/>
      <c r="AR764" s="158"/>
      <c r="AS764" s="158"/>
      <c r="AT764" s="158"/>
      <c r="AU764" s="158"/>
      <c r="AV764" s="158"/>
      <c r="AW764" s="158"/>
    </row>
  </sheetData>
  <phoneticPr fontId="6" type="noConversion"/>
  <conditionalFormatting sqref="H579">
    <cfRule type="expression" dxfId="47" priority="26838">
      <formula>$AI607="OK"</formula>
    </cfRule>
  </conditionalFormatting>
  <conditionalFormatting sqref="K154:K439">
    <cfRule type="expression" dxfId="46" priority="87">
      <formula>#REF!="OK"</formula>
    </cfRule>
  </conditionalFormatting>
  <conditionalFormatting sqref="K628:K629">
    <cfRule type="expression" dxfId="45" priority="9">
      <formula>#REF!="OK"</formula>
    </cfRule>
  </conditionalFormatting>
  <conditionalFormatting sqref="L2:L27">
    <cfRule type="expression" dxfId="44" priority="26614">
      <formula>$AI33="OK"</formula>
    </cfRule>
  </conditionalFormatting>
  <conditionalFormatting sqref="L215:L257 L397:L409">
    <cfRule type="expression" dxfId="43" priority="26551">
      <formula>$AI258="OK"</formula>
    </cfRule>
  </conditionalFormatting>
  <conditionalFormatting sqref="L410:L439 L451:L452">
    <cfRule type="expression" dxfId="42" priority="26716">
      <formula>$AI462="OK"</formula>
    </cfRule>
  </conditionalFormatting>
  <conditionalFormatting sqref="N2:N461 K446:K461">
    <cfRule type="expression" dxfId="41" priority="26404">
      <formula>#REF!="OK"</formula>
    </cfRule>
  </conditionalFormatting>
  <conditionalFormatting sqref="N559:N606">
    <cfRule type="expression" dxfId="40" priority="18">
      <formula>$AI559="OK"</formula>
    </cfRule>
  </conditionalFormatting>
  <conditionalFormatting sqref="N628:N764">
    <cfRule type="expression" dxfId="39" priority="7">
      <formula>#REF!="OK"</formula>
    </cfRule>
  </conditionalFormatting>
  <conditionalFormatting sqref="O453:O461 Q462:Q764">
    <cfRule type="cellIs" dxfId="38" priority="33" operator="lessThan">
      <formula>0</formula>
    </cfRule>
  </conditionalFormatting>
  <conditionalFormatting sqref="O456:P456">
    <cfRule type="expression" dxfId="37" priority="44">
      <formula>#REF!="OK"</formula>
    </cfRule>
  </conditionalFormatting>
  <conditionalFormatting sqref="O2:Z27 A2:D27 F2:F27 H2:K27 M2:M27 H154:H420 H462:H574">
    <cfRule type="expression" dxfId="36" priority="26647">
      <formula>$AI34="OK"</formula>
    </cfRule>
  </conditionalFormatting>
  <conditionalFormatting sqref="O28:Z153 T154:Z212 T258:Z394 O503:Z561 O154:R212 O258:R394 H28:K153 A28:D212 F28:F212 M28:M212 S154:S211 I154:J212 S257:S393 A258:D394 F258:F394 I258:J394 M258:M394 B559:B561 F559:F561 I559:I561 M559:M561">
    <cfRule type="expression" dxfId="35" priority="26345">
      <formula>$AI73="OK"</formula>
    </cfRule>
  </conditionalFormatting>
  <conditionalFormatting sqref="O562:Z565 Z563:Z566 B562:B565 F562:F565 I562:I565 M562:M565 H575:H578">
    <cfRule type="expression" dxfId="34" priority="26801">
      <formula>#REF!="OK"</formula>
    </cfRule>
  </conditionalFormatting>
  <conditionalFormatting sqref="O566:Z566 H421:H439 B566 F566 I566 M566">
    <cfRule type="expression" dxfId="33" priority="26715">
      <formula>$AI462="OK"</formula>
    </cfRule>
  </conditionalFormatting>
  <conditionalFormatting sqref="Q2:Q459">
    <cfRule type="cellIs" dxfId="32" priority="26313" operator="lessThan">
      <formula>0</formula>
    </cfRule>
    <cfRule type="cellIs" dxfId="31" priority="26314" operator="greaterThanOrEqual">
      <formula>0</formula>
    </cfRule>
  </conditionalFormatting>
  <conditionalFormatting sqref="S212">
    <cfRule type="expression" dxfId="30" priority="85">
      <formula>#REF!="OK"</formula>
    </cfRule>
  </conditionalFormatting>
  <conditionalFormatting sqref="S213:S256">
    <cfRule type="expression" dxfId="29" priority="84">
      <formula>$AI257="OK"</formula>
    </cfRule>
  </conditionalFormatting>
  <conditionalFormatting sqref="S394">
    <cfRule type="expression" dxfId="28" priority="86">
      <formula>#REF!="OK"</formula>
    </cfRule>
  </conditionalFormatting>
  <conditionalFormatting sqref="S449:Z449 O449:Q449 A449:D449 F449 J449 M449 L450:L452 A456:D456 F456 M456 L457:L461">
    <cfRule type="expression" dxfId="27" priority="26671">
      <formula>#REF!="OK"</formula>
    </cfRule>
  </conditionalFormatting>
  <conditionalFormatting sqref="T2:T764 Y2:Z764 O453:O461 Q462:Q764">
    <cfRule type="cellIs" dxfId="26" priority="34" operator="greaterThanOrEqual">
      <formula>0</formula>
    </cfRule>
  </conditionalFormatting>
  <conditionalFormatting sqref="T213:Z213 O213:R213 A213:D213 F213 I213:J213 M213">
    <cfRule type="expression" dxfId="25" priority="26525">
      <formula>#REF!="OK"</formula>
    </cfRule>
  </conditionalFormatting>
  <conditionalFormatting sqref="T214:Z257 T396:Z406 O407:Z408 O462:Z502 Z503:Z504 Z508:Z518 Z520:Z521 Z530 Z542:Z543 Z548 Z552 Z559:Z562 O214:R257 O396:R406 L28:L214 A214:D257 F214:F257 I214:J257 M214:M257 L258:L395 S395:S406 A396:D408 F396:F408 I396:J408 M396:M408">
    <cfRule type="expression" dxfId="24" priority="26413">
      <formula>$AI72="OK"</formula>
    </cfRule>
  </conditionalFormatting>
  <conditionalFormatting sqref="T395:Z395 O395:R395 A395:D395 F395 I395:J395 M395 L396">
    <cfRule type="expression" dxfId="23" priority="26576">
      <formula>#REF!="OK"</formula>
    </cfRule>
  </conditionalFormatting>
  <conditionalFormatting sqref="T409:Z439 S450:Z452 O409:R439 O450:Q452 Q453:Q461 O457:P459 O460:O461 S409:S438 A409:D439 F409:F439 I409:J439 M409:M439 L440:L449 A450:D452 F450:F452 J450:J452 M450:M452 L453:L456 U453:U461 A457:D461 F457:F461 M457:M461">
    <cfRule type="expression" dxfId="22" priority="26686">
      <formula>$AI462="OK"</formula>
    </cfRule>
  </conditionalFormatting>
  <conditionalFormatting sqref="T440:Z448 O440:R448 O453:P455 S439:S448 H440:K440 A440:D448 F440:F448 M440:M448 I441:K443 H441:H459 K444:K445 J444:J448 I444:I459 R449:R452 A453:D455 F453:F455 M453:M455 J453:J459 H460:J461 P460:P461">
    <cfRule type="expression" dxfId="21" priority="26672">
      <formula>$AI493="OK"</formula>
    </cfRule>
  </conditionalFormatting>
  <conditionalFormatting sqref="T608:Z608 Q608:R608 H608">
    <cfRule type="expression" dxfId="20" priority="26853">
      <formula>$AI672="OK"</formula>
    </cfRule>
  </conditionalFormatting>
  <conditionalFormatting sqref="V453:Y454 R453:T461 V455:Z461">
    <cfRule type="expression" dxfId="19" priority="26771">
      <formula>$AI490="OK"</formula>
    </cfRule>
  </conditionalFormatting>
  <conditionalFormatting sqref="Y2:Z764 T2:T764">
    <cfRule type="cellIs" dxfId="18" priority="26315" operator="lessThan">
      <formula>0</formula>
    </cfRule>
  </conditionalFormatting>
  <conditionalFormatting sqref="Z453:Z454 O567:Z625 K626:Z627 Q628:Z764 K559:K625 B567:B606 I567:I606 M567:M606 F567:F627 H580:H606 A607:D608 H607:J608 L607:N625 B609:B627 H609:I627 H628:H629">
    <cfRule type="expression" dxfId="17" priority="26840">
      <formula>#REF!="OK"</formula>
    </cfRule>
  </conditionalFormatting>
  <conditionalFormatting sqref="Z453:Z454">
    <cfRule type="expression" dxfId="16" priority="17">
      <formula>$AI497="OK"</formula>
    </cfRule>
  </conditionalFormatting>
  <conditionalFormatting sqref="Z567">
    <cfRule type="expression" dxfId="15" priority="26831">
      <formula>$AI607="OK"</formula>
    </cfRule>
  </conditionalFormatting>
  <conditionalFormatting sqref="Z608">
    <cfRule type="expression" dxfId="14" priority="26856">
      <formula>$AI671="OK"</formula>
    </cfRule>
  </conditionalFormatting>
  <conditionalFormatting sqref="AA489:AH607 E559:E607 L608">
    <cfRule type="expression" dxfId="13" priority="78">
      <formula>$AI489="OK"</formula>
    </cfRule>
  </conditionalFormatting>
  <conditionalFormatting sqref="AA609:AH764">
    <cfRule type="expression" dxfId="12" priority="2">
      <formula>$AI609="OK"</formula>
    </cfRule>
    <cfRule type="cellIs" dxfId="11" priority="1" operator="greaterThanOrEqual">
      <formula>1</formula>
    </cfRule>
  </conditionalFormatting>
  <conditionalFormatting sqref="AA2:AI28 E2:E461 AA29:AH452 AI29:AI462 AA453:AG454 AE455:AG455 AA455:AD461 AF456:AG461 AA462:AH462 A462:G558 I462:N558 AA463:AI606 J559:J606 L559:L606">
    <cfRule type="expression" dxfId="10" priority="26311">
      <formula>$AI2="OK"</formula>
    </cfRule>
  </conditionalFormatting>
  <conditionalFormatting sqref="AA2:AI28 AA29:AH452 AI29:AI462 AJ154:AW154 AA453:AG454 AE455:AG455 AA455:AD461 AE456:AE460 AF456:AG461 AA462:AH462">
    <cfRule type="cellIs" dxfId="9" priority="26312" operator="greaterThanOrEqual">
      <formula>1</formula>
    </cfRule>
  </conditionalFormatting>
  <conditionalFormatting sqref="AA463:AI608 AI609:AI764">
    <cfRule type="cellIs" dxfId="8" priority="11" operator="greaterThanOrEqual">
      <formula>1</formula>
    </cfRule>
  </conditionalFormatting>
  <conditionalFormatting sqref="AE456:AE460">
    <cfRule type="expression" dxfId="7" priority="26857">
      <formula>$AI456="OK"</formula>
    </cfRule>
  </conditionalFormatting>
  <conditionalFormatting sqref="AI489:AI764 AA608:AI608 J608:J629 E609:E627">
    <cfRule type="expression" dxfId="6" priority="12">
      <formula>$AI489="OK"</formula>
    </cfRule>
  </conditionalFormatting>
  <conditionalFormatting sqref="AJ154:AW154">
    <cfRule type="expression" dxfId="5" priority="89">
      <formula>$AI154="OK"</formula>
    </cfRule>
  </conditionalFormatting>
  <pageMargins left="0" right="0" top="0" bottom="0" header="0" footer="0"/>
  <pageSetup paperSize="8" scale="33" fitToHeight="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15"/>
  <sheetViews>
    <sheetView topLeftCell="A10" workbookViewId="0">
      <selection activeCell="B14" sqref="B14"/>
    </sheetView>
  </sheetViews>
  <sheetFormatPr defaultRowHeight="15" x14ac:dyDescent="0.25"/>
  <cols>
    <col min="2" max="2" width="50" bestFit="1" customWidth="1"/>
    <col min="3" max="3" width="29.85546875" customWidth="1"/>
    <col min="4" max="4" width="24.42578125" bestFit="1" customWidth="1"/>
    <col min="5" max="5" width="56.5703125" customWidth="1"/>
    <col min="6" max="6" width="17.28515625" bestFit="1" customWidth="1"/>
  </cols>
  <sheetData>
    <row r="1" spans="1:6" ht="15" customHeight="1" x14ac:dyDescent="0.25">
      <c r="A1" s="178" t="s">
        <v>42</v>
      </c>
      <c r="B1" s="108" t="s">
        <v>3192</v>
      </c>
      <c r="C1" s="108" t="s">
        <v>3193</v>
      </c>
      <c r="D1" s="108" t="s">
        <v>3194</v>
      </c>
      <c r="E1" s="179" t="s">
        <v>387</v>
      </c>
      <c r="F1" s="108" t="s">
        <v>321</v>
      </c>
    </row>
    <row r="2" spans="1:6" ht="45" x14ac:dyDescent="0.25">
      <c r="A2" s="184">
        <v>188</v>
      </c>
      <c r="B2" s="107" t="s">
        <v>2071</v>
      </c>
      <c r="C2" s="185">
        <v>46188</v>
      </c>
      <c r="D2" s="185">
        <v>46230</v>
      </c>
      <c r="E2" s="192" t="s">
        <v>4518</v>
      </c>
      <c r="F2" s="107" t="s">
        <v>2070</v>
      </c>
    </row>
    <row r="3" spans="1:6" x14ac:dyDescent="0.25">
      <c r="A3" s="184">
        <v>190</v>
      </c>
      <c r="B3" s="107" t="s">
        <v>2986</v>
      </c>
      <c r="C3" s="185">
        <v>46205</v>
      </c>
      <c r="D3" s="185"/>
      <c r="E3" s="186" t="s">
        <v>3169</v>
      </c>
      <c r="F3" s="107" t="s">
        <v>2987</v>
      </c>
    </row>
    <row r="4" spans="1:6" x14ac:dyDescent="0.25">
      <c r="A4" s="184">
        <v>198</v>
      </c>
      <c r="B4" s="107" t="s">
        <v>2985</v>
      </c>
      <c r="C4" s="185">
        <v>46289</v>
      </c>
      <c r="D4" s="185"/>
      <c r="E4" s="186" t="s">
        <v>1875</v>
      </c>
      <c r="F4" s="107" t="s">
        <v>2983</v>
      </c>
    </row>
    <row r="5" spans="1:6" ht="30" x14ac:dyDescent="0.25">
      <c r="A5" s="187">
        <v>200</v>
      </c>
      <c r="B5" s="191" t="s">
        <v>2994</v>
      </c>
      <c r="C5" s="189">
        <v>46219</v>
      </c>
      <c r="D5" s="189"/>
      <c r="E5" s="193" t="s">
        <v>496</v>
      </c>
      <c r="F5" s="107" t="s">
        <v>2993</v>
      </c>
    </row>
    <row r="6" spans="1:6" ht="30" x14ac:dyDescent="0.25">
      <c r="A6" s="187">
        <v>201</v>
      </c>
      <c r="B6" s="191" t="s">
        <v>2992</v>
      </c>
      <c r="C6" s="189">
        <v>46198</v>
      </c>
      <c r="D6" s="189"/>
      <c r="E6" s="193" t="s">
        <v>3167</v>
      </c>
      <c r="F6" s="107" t="s">
        <v>2991</v>
      </c>
    </row>
    <row r="7" spans="1:6" ht="75" x14ac:dyDescent="0.25">
      <c r="A7" s="187">
        <v>202</v>
      </c>
      <c r="B7" s="191" t="s">
        <v>3007</v>
      </c>
      <c r="C7" s="194">
        <v>46198</v>
      </c>
      <c r="D7" s="189"/>
      <c r="E7" s="193" t="s">
        <v>4517</v>
      </c>
      <c r="F7" s="107" t="s">
        <v>3006</v>
      </c>
    </row>
    <row r="8" spans="1:6" ht="45" x14ac:dyDescent="0.25">
      <c r="A8" s="187">
        <v>203</v>
      </c>
      <c r="B8" s="188" t="s">
        <v>3164</v>
      </c>
      <c r="C8" s="189">
        <v>46202</v>
      </c>
      <c r="D8" s="189">
        <v>46230</v>
      </c>
      <c r="E8" s="193" t="s">
        <v>4329</v>
      </c>
      <c r="F8" s="107" t="s">
        <v>3009</v>
      </c>
    </row>
    <row r="9" spans="1:6" ht="45" x14ac:dyDescent="0.25">
      <c r="A9" s="187">
        <v>204</v>
      </c>
      <c r="B9" s="188" t="s">
        <v>3164</v>
      </c>
      <c r="C9" s="189">
        <v>46226</v>
      </c>
      <c r="D9" s="189"/>
      <c r="E9" s="193" t="s">
        <v>3314</v>
      </c>
      <c r="F9" s="107" t="s">
        <v>3009</v>
      </c>
    </row>
    <row r="10" spans="1:6" x14ac:dyDescent="0.25">
      <c r="A10" s="187">
        <v>205</v>
      </c>
      <c r="B10" s="188" t="s">
        <v>3166</v>
      </c>
      <c r="C10" s="189">
        <v>46235</v>
      </c>
      <c r="D10" s="189"/>
      <c r="E10" s="190" t="s">
        <v>1875</v>
      </c>
      <c r="F10" s="107" t="s">
        <v>3165</v>
      </c>
    </row>
    <row r="11" spans="1:6" ht="30" x14ac:dyDescent="0.25">
      <c r="A11" s="184">
        <v>207</v>
      </c>
      <c r="B11" s="208" t="s">
        <v>3293</v>
      </c>
      <c r="C11" s="185">
        <v>46336</v>
      </c>
      <c r="D11" s="185"/>
      <c r="E11" s="186" t="s">
        <v>3294</v>
      </c>
      <c r="F11" s="107" t="s">
        <v>3292</v>
      </c>
    </row>
    <row r="12" spans="1:6" ht="33" customHeight="1" x14ac:dyDescent="0.25">
      <c r="A12" s="187">
        <v>208</v>
      </c>
      <c r="B12" s="191" t="s">
        <v>4309</v>
      </c>
      <c r="C12" s="189">
        <v>46233</v>
      </c>
      <c r="D12" s="189"/>
      <c r="E12" s="193" t="s">
        <v>1875</v>
      </c>
      <c r="F12" s="188" t="s">
        <v>4308</v>
      </c>
    </row>
    <row r="13" spans="1:6" ht="21" customHeight="1" x14ac:dyDescent="0.25">
      <c r="A13" s="187">
        <v>209</v>
      </c>
      <c r="B13" s="188" t="s">
        <v>4310</v>
      </c>
      <c r="C13" s="189">
        <v>46280</v>
      </c>
      <c r="D13" s="189"/>
      <c r="E13" s="190" t="s">
        <v>1875</v>
      </c>
      <c r="F13" s="188" t="s">
        <v>4326</v>
      </c>
    </row>
    <row r="14" spans="1:6" ht="121.15" customHeight="1" x14ac:dyDescent="0.25">
      <c r="A14" s="187">
        <v>898</v>
      </c>
      <c r="B14" s="191" t="s">
        <v>4446</v>
      </c>
      <c r="C14" s="189">
        <v>46270</v>
      </c>
      <c r="D14" s="189"/>
      <c r="E14" s="190" t="s">
        <v>1875</v>
      </c>
      <c r="F14" s="188" t="s">
        <v>4445</v>
      </c>
    </row>
    <row r="15" spans="1:6" x14ac:dyDescent="0.25">
      <c r="A15" s="187">
        <v>897</v>
      </c>
      <c r="B15" s="188" t="s">
        <v>4557</v>
      </c>
      <c r="C15" s="189">
        <v>46216</v>
      </c>
      <c r="D15" s="189">
        <v>46227</v>
      </c>
      <c r="E15" s="190" t="s">
        <v>4558</v>
      </c>
      <c r="F15" s="188" t="s">
        <v>4556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H21" activePane="bottomRight" state="frozen"/>
      <selection pane="topRight" activeCell="D1" sqref="D1"/>
      <selection pane="bottomLeft" activeCell="A6" sqref="A6"/>
      <selection pane="bottomRight" activeCell="N24" sqref="N24"/>
    </sheetView>
  </sheetViews>
  <sheetFormatPr defaultRowHeight="15.75" x14ac:dyDescent="0.25"/>
  <cols>
    <col min="1" max="2" width="2.5703125" style="89" customWidth="1"/>
    <col min="3" max="3" width="59.28515625" style="89" customWidth="1"/>
    <col min="4" max="4" width="107.5703125" style="89" bestFit="1" customWidth="1"/>
    <col min="5" max="5" width="94.42578125" style="101" bestFit="1" customWidth="1"/>
    <col min="6" max="6" width="42.140625" style="89" customWidth="1"/>
    <col min="7" max="7" width="71.5703125" style="89" bestFit="1" customWidth="1"/>
    <col min="8" max="8" width="66.42578125" style="102" customWidth="1"/>
    <col min="9" max="9" width="107.5703125" style="100" bestFit="1" customWidth="1"/>
    <col min="10" max="10" width="60.42578125" style="89" customWidth="1"/>
    <col min="11" max="13" width="50.7109375" style="89" customWidth="1"/>
    <col min="14" max="14" width="59" style="89" customWidth="1"/>
    <col min="15" max="15" width="56.7109375" style="89" customWidth="1"/>
    <col min="16" max="18" width="50.7109375" style="89" customWidth="1"/>
    <col min="19" max="19" width="50.7109375" style="89" hidden="1" customWidth="1"/>
    <col min="20" max="20" width="50.7109375" style="89" customWidth="1"/>
    <col min="21" max="21" width="57.5703125" style="89" customWidth="1"/>
    <col min="22" max="22" width="98.85546875" style="89" bestFit="1" customWidth="1"/>
    <col min="23" max="23" width="59.7109375" style="89" hidden="1" customWidth="1"/>
    <col min="24" max="24" width="54.85546875" style="89" hidden="1" customWidth="1"/>
    <col min="25" max="25" width="49.85546875" style="89" hidden="1" customWidth="1"/>
    <col min="26" max="26" width="42.42578125" style="89" hidden="1" customWidth="1"/>
    <col min="27" max="27" width="73.42578125" style="89" hidden="1" customWidth="1"/>
    <col min="28" max="28" width="71.5703125" style="89" hidden="1" customWidth="1"/>
    <col min="29" max="29" width="34.85546875" style="89" hidden="1" customWidth="1"/>
    <col min="30" max="30" width="59.140625" style="89" hidden="1" customWidth="1"/>
    <col min="31" max="31" width="56" style="89" hidden="1" customWidth="1"/>
    <col min="32" max="32" width="74" hidden="1" customWidth="1"/>
    <col min="33" max="33" width="61" style="89" hidden="1" customWidth="1"/>
    <col min="34" max="35" width="60.42578125" style="89" customWidth="1"/>
    <col min="36" max="36" width="8.5703125" customWidth="1"/>
  </cols>
  <sheetData>
    <row r="1" spans="1:35" thickBot="1" x14ac:dyDescent="0.3">
      <c r="A1" s="62"/>
      <c r="B1" s="62"/>
      <c r="C1" s="62"/>
      <c r="D1" s="62"/>
      <c r="E1" s="63"/>
      <c r="F1" s="62"/>
      <c r="G1" s="62"/>
      <c r="H1" s="64"/>
      <c r="I1" s="65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G1" s="66"/>
      <c r="AH1" s="66"/>
      <c r="AI1" s="66"/>
    </row>
    <row r="2" spans="1:35" ht="46.5" x14ac:dyDescent="0.7">
      <c r="A2" s="67"/>
      <c r="B2" s="67"/>
      <c r="C2" s="266" t="e" vm="1">
        <v>#VALUE!</v>
      </c>
      <c r="D2" s="267"/>
      <c r="E2" s="270" t="s">
        <v>320</v>
      </c>
      <c r="F2" s="270"/>
      <c r="G2" s="270"/>
      <c r="H2" s="270"/>
      <c r="I2" s="270"/>
      <c r="J2" s="270"/>
      <c r="K2" s="270"/>
      <c r="L2" s="270"/>
      <c r="M2" s="270"/>
      <c r="N2" s="270"/>
      <c r="O2" s="270"/>
      <c r="P2" s="270"/>
      <c r="Q2" s="270"/>
      <c r="R2" s="270"/>
      <c r="S2" s="270"/>
      <c r="T2" s="271"/>
      <c r="U2" s="274" t="s">
        <v>246</v>
      </c>
      <c r="V2" s="264">
        <v>46206</v>
      </c>
      <c r="W2" s="120"/>
      <c r="X2" s="68"/>
      <c r="Y2" s="68"/>
      <c r="Z2" s="68"/>
      <c r="AA2" s="68"/>
      <c r="AB2" s="68"/>
      <c r="AC2" s="68"/>
      <c r="AD2" s="68"/>
      <c r="AE2" s="68"/>
      <c r="AF2" s="69"/>
      <c r="AG2" s="68"/>
      <c r="AH2" s="68"/>
      <c r="AI2" s="68"/>
    </row>
    <row r="3" spans="1:35" ht="95.25" customHeight="1" thickBot="1" x14ac:dyDescent="0.75">
      <c r="A3" s="62"/>
      <c r="B3" s="62"/>
      <c r="C3" s="268"/>
      <c r="D3" s="269"/>
      <c r="E3" s="272"/>
      <c r="F3" s="272"/>
      <c r="G3" s="272"/>
      <c r="H3" s="272"/>
      <c r="I3" s="272"/>
      <c r="J3" s="272"/>
      <c r="K3" s="272"/>
      <c r="L3" s="272"/>
      <c r="M3" s="272"/>
      <c r="N3" s="272"/>
      <c r="O3" s="272"/>
      <c r="P3" s="272"/>
      <c r="Q3" s="272"/>
      <c r="R3" s="272"/>
      <c r="S3" s="272"/>
      <c r="T3" s="273"/>
      <c r="U3" s="275"/>
      <c r="V3" s="265"/>
      <c r="W3" s="68"/>
      <c r="X3" s="68"/>
      <c r="Y3" s="68"/>
      <c r="Z3" s="68"/>
      <c r="AA3" s="68"/>
      <c r="AB3" s="68"/>
      <c r="AC3" s="68"/>
      <c r="AD3" s="68"/>
      <c r="AE3" s="68"/>
      <c r="AF3" s="69"/>
      <c r="AG3" s="68"/>
      <c r="AH3" s="68"/>
      <c r="AI3" s="68"/>
    </row>
    <row r="4" spans="1:35" ht="97.5" customHeight="1" thickBot="1" x14ac:dyDescent="0.75">
      <c r="A4" s="67"/>
      <c r="B4" s="67"/>
      <c r="C4" s="70" t="s">
        <v>321</v>
      </c>
      <c r="D4" s="71" t="s">
        <v>42</v>
      </c>
      <c r="E4" s="71" t="s">
        <v>322</v>
      </c>
      <c r="F4" s="72" t="s">
        <v>323</v>
      </c>
      <c r="G4" s="73" t="s">
        <v>324</v>
      </c>
      <c r="H4" s="74" t="s">
        <v>325</v>
      </c>
      <c r="I4" s="75" t="s">
        <v>326</v>
      </c>
      <c r="J4" s="76" t="s">
        <v>31</v>
      </c>
      <c r="K4" s="76" t="s">
        <v>32</v>
      </c>
      <c r="L4" s="76" t="s">
        <v>22</v>
      </c>
      <c r="M4" s="76" t="s">
        <v>23</v>
      </c>
      <c r="N4" s="76" t="s">
        <v>33</v>
      </c>
      <c r="O4" s="76" t="s">
        <v>44</v>
      </c>
      <c r="P4" s="77" t="s">
        <v>327</v>
      </c>
      <c r="Q4" s="77" t="s">
        <v>328</v>
      </c>
      <c r="R4" s="76" t="s">
        <v>46</v>
      </c>
      <c r="S4" s="78" t="s">
        <v>72</v>
      </c>
      <c r="T4" s="75" t="s">
        <v>4</v>
      </c>
      <c r="U4" s="79" t="s">
        <v>949</v>
      </c>
      <c r="V4" s="80" t="s">
        <v>329</v>
      </c>
      <c r="W4" s="81"/>
      <c r="X4" s="81"/>
      <c r="Y4" s="81"/>
      <c r="Z4" s="81"/>
      <c r="AA4" s="81"/>
      <c r="AB4" s="81"/>
      <c r="AC4" s="81"/>
      <c r="AD4" s="81"/>
      <c r="AE4" s="81"/>
      <c r="AF4" s="82"/>
      <c r="AG4" s="81"/>
      <c r="AH4" s="68"/>
      <c r="AI4" s="68"/>
    </row>
    <row r="5" spans="1:35" ht="11.25" customHeight="1" thickBot="1" x14ac:dyDescent="0.75">
      <c r="A5" s="67"/>
      <c r="B5" s="67"/>
      <c r="C5" s="149"/>
      <c r="D5" s="150"/>
      <c r="E5" s="151"/>
      <c r="F5" s="152"/>
      <c r="G5" s="152"/>
      <c r="H5" s="153"/>
      <c r="I5" s="154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6"/>
      <c r="U5" s="103"/>
      <c r="V5" s="104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68"/>
      <c r="AI5" s="68"/>
    </row>
    <row r="6" spans="1:35" ht="40.5" customHeight="1" x14ac:dyDescent="0.7">
      <c r="A6" s="62"/>
      <c r="B6" s="62"/>
      <c r="C6" s="234" t="s">
        <v>2070</v>
      </c>
      <c r="D6" s="237" t="s">
        <v>2069</v>
      </c>
      <c r="E6" s="240" t="s">
        <v>2071</v>
      </c>
      <c r="F6" s="243">
        <v>46183</v>
      </c>
      <c r="G6" s="255">
        <v>46220</v>
      </c>
      <c r="H6" s="258" t="s">
        <v>3295</v>
      </c>
      <c r="I6" s="127" t="s">
        <v>3031</v>
      </c>
      <c r="J6" s="128">
        <f>SUMIF(PERFORMANCE!$N:$N,W6,PERFORMANCE!$G:$G)/1000</f>
        <v>0</v>
      </c>
      <c r="K6" s="128">
        <f>SUMIF(PERFORMANCE!$N:$N,X6,PERFORMANCE!$G:$G)/1000</f>
        <v>0</v>
      </c>
      <c r="L6" s="128">
        <v>3.1</v>
      </c>
      <c r="M6" s="128">
        <f>SUMIF(PERFORMANCE!$N:$N,Z6,PERFORMANCE!$G:$G)/1000</f>
        <v>2.665</v>
      </c>
      <c r="N6" s="128">
        <f>SUMIF(PERFORMANCE!$N:$N,AA6,PERFORMANCE!$G:$G)/1000</f>
        <v>2.0095999999999998</v>
      </c>
      <c r="O6" s="128">
        <f>SUMIF(PERFORMANCE!$N:$N,AB6,PERFORMANCE!$G:$G)/1000</f>
        <v>0</v>
      </c>
      <c r="P6" s="128">
        <v>37</v>
      </c>
      <c r="Q6" s="128">
        <f>SUMIF(PERFORMANCE!$N:$N,AD6,PERFORMANCE!$G:$G)/1000</f>
        <v>0</v>
      </c>
      <c r="R6" s="128">
        <f>SUMIF(PERFORMANCE!$N:$N,AE6,PERFORMANCE!$G:$G)/1000</f>
        <v>0</v>
      </c>
      <c r="S6" s="128">
        <f>SUMIF(PERFORMANCE!$N:$N,AF6,PERFORMANCE!$G:$G)/1000</f>
        <v>0</v>
      </c>
      <c r="T6" s="137">
        <f t="shared" ref="T6:T9" si="0">SUM(J6:R6)</f>
        <v>44.7746</v>
      </c>
      <c r="U6" s="252">
        <f>T9/T6</f>
        <v>0.89224694357961887</v>
      </c>
      <c r="V6" s="231" t="str">
        <f>IF(U6&gt;=100%,"LIBERADO PARA EXPEDIÇÃO","EM ANDAMENTO")</f>
        <v>EM ANDAMENTO</v>
      </c>
      <c r="W6" s="85" t="str">
        <f t="shared" ref="W6:AG6" si="1">$D6&amp;J$4</f>
        <v>P-188ESTRUTURA</v>
      </c>
      <c r="X6" s="85" t="str">
        <f t="shared" si="1"/>
        <v>P-188USINAGEM</v>
      </c>
      <c r="Y6" s="85" t="str">
        <f t="shared" si="1"/>
        <v>P-188TAMBOR</v>
      </c>
      <c r="Z6" s="85" t="str">
        <f t="shared" si="1"/>
        <v>P-188ROLOS</v>
      </c>
      <c r="AA6" s="85" t="str">
        <f t="shared" si="1"/>
        <v>P-188BASES ROLETES</v>
      </c>
      <c r="AB6" s="85" t="str">
        <f t="shared" si="1"/>
        <v>P-188REVESTIMENTO</v>
      </c>
      <c r="AC6" s="85" t="str">
        <f t="shared" si="1"/>
        <v>P-188RMF</v>
      </c>
      <c r="AD6" s="85" t="str">
        <f t="shared" si="1"/>
        <v>P-188RMF BASES</v>
      </c>
      <c r="AE6" s="85" t="str">
        <f t="shared" si="1"/>
        <v>P-188TECMETAL</v>
      </c>
      <c r="AF6" s="85" t="str">
        <f t="shared" si="1"/>
        <v>P-188CONHECIMENTO</v>
      </c>
      <c r="AG6" s="85" t="str">
        <f t="shared" si="1"/>
        <v>P-188PESO TOTAL</v>
      </c>
      <c r="AH6" s="68"/>
      <c r="AI6" s="68"/>
    </row>
    <row r="7" spans="1:35" ht="46.5" x14ac:dyDescent="0.7">
      <c r="A7" s="67"/>
      <c r="B7" s="67"/>
      <c r="C7" s="235"/>
      <c r="D7" s="238"/>
      <c r="E7" s="241"/>
      <c r="F7" s="244"/>
      <c r="G7" s="256"/>
      <c r="H7" s="259"/>
      <c r="I7" s="129" t="s">
        <v>3028</v>
      </c>
      <c r="J7" s="130">
        <f t="shared" ref="J7:O7" si="2">J10-J8</f>
        <v>0</v>
      </c>
      <c r="K7" s="130">
        <f t="shared" si="2"/>
        <v>0</v>
      </c>
      <c r="L7" s="130">
        <f>L6-L8</f>
        <v>0</v>
      </c>
      <c r="M7" s="130">
        <f>M6-M9</f>
        <v>-4.9999999999998934E-3</v>
      </c>
      <c r="N7" s="130">
        <f>N6-N8</f>
        <v>-3.9999999999995595E-4</v>
      </c>
      <c r="O7" s="130">
        <f t="shared" si="2"/>
        <v>0</v>
      </c>
      <c r="P7" s="130">
        <f>P6-P8</f>
        <v>0</v>
      </c>
      <c r="Q7" s="130">
        <v>0</v>
      </c>
      <c r="R7" s="130">
        <v>0</v>
      </c>
      <c r="S7" s="130">
        <v>0</v>
      </c>
      <c r="T7" s="138">
        <f>T6-T8</f>
        <v>4.5999999999963848E-3</v>
      </c>
      <c r="U7" s="253"/>
      <c r="V7" s="232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68"/>
      <c r="AI7" s="68"/>
    </row>
    <row r="8" spans="1:35" ht="46.5" x14ac:dyDescent="0.7">
      <c r="A8" s="67"/>
      <c r="B8" s="67"/>
      <c r="C8" s="235"/>
      <c r="D8" s="238"/>
      <c r="E8" s="241"/>
      <c r="F8" s="244"/>
      <c r="G8" s="256"/>
      <c r="H8" s="259"/>
      <c r="I8" s="129" t="s">
        <v>3030</v>
      </c>
      <c r="J8" s="131">
        <f>SUMIF(PERFORMANCE!$N:$N,W6,PERFORMANCE!$Q:$Q)/1000</f>
        <v>0</v>
      </c>
      <c r="K8" s="131">
        <f>SUMIF(PERFORMANCE!$N:$N,X6,PERFORMANCE!$Q:$Q)/1000</f>
        <v>0</v>
      </c>
      <c r="L8" s="131">
        <v>3.1</v>
      </c>
      <c r="M8" s="131">
        <v>2.67</v>
      </c>
      <c r="N8" s="131">
        <v>2.0099999999999998</v>
      </c>
      <c r="O8" s="131">
        <f>SUMIF(PERFORMANCE!$N:$N,AB6,PERFORMANCE!$Q:$Q)/1000</f>
        <v>0</v>
      </c>
      <c r="P8" s="131">
        <v>37</v>
      </c>
      <c r="Q8" s="131">
        <f>SUMIF(PERFORMANCE!$N:$N,AD6,PERFORMANCE!$Q:$Q)/1000</f>
        <v>0</v>
      </c>
      <c r="R8" s="131">
        <f>SUMIF(PERFORMANCE!$N:$N,AE6,PERFORMANCE!$Q:$Q)/1000</f>
        <v>0</v>
      </c>
      <c r="S8" s="131">
        <f>SUMIF(PERFORMANCE!$N:$N,AF6,PERFORMANCE!$Q:$Q)/1000</f>
        <v>0</v>
      </c>
      <c r="T8" s="138">
        <v>44.77</v>
      </c>
      <c r="U8" s="253"/>
      <c r="V8" s="232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68"/>
      <c r="AI8" s="68"/>
    </row>
    <row r="9" spans="1:35" ht="46.5" x14ac:dyDescent="0.7">
      <c r="A9" s="62"/>
      <c r="B9" s="62"/>
      <c r="C9" s="235"/>
      <c r="D9" s="238"/>
      <c r="E9" s="241"/>
      <c r="F9" s="244"/>
      <c r="G9" s="256"/>
      <c r="H9" s="259"/>
      <c r="I9" s="132" t="s">
        <v>315</v>
      </c>
      <c r="J9" s="131">
        <f>SUMIF(PERFORMANCE!N:N,W6,PERFORMANCE!K:K)/1000</f>
        <v>0</v>
      </c>
      <c r="K9" s="131">
        <f>SUMIF(PERFORMANCE!O:O,X6,PERFORMANCE!L:L)/1000</f>
        <v>0</v>
      </c>
      <c r="L9" s="131">
        <v>3.1</v>
      </c>
      <c r="M9" s="131">
        <v>2.67</v>
      </c>
      <c r="N9" s="131">
        <v>2.0099999999999998</v>
      </c>
      <c r="O9" s="131">
        <f>SUMIF(PERFORMANCE!S:S,AB6,PERFORMANCE!P:P)/1000</f>
        <v>0</v>
      </c>
      <c r="P9" s="131">
        <v>32.17</v>
      </c>
      <c r="Q9" s="131">
        <f>SUMIF(PERFORMANCE!U:U,AD6,PERFORMANCE!R:R)/1000</f>
        <v>0</v>
      </c>
      <c r="R9" s="131">
        <f>SUMIF(PERFORMANCE!V:V,AE6,PERFORMANCE!S:S)/1000</f>
        <v>0</v>
      </c>
      <c r="S9" s="131">
        <f>SUMIF(PERFORMANCE!W:W,AF6,PERFORMANCE!T:T)/1000</f>
        <v>0</v>
      </c>
      <c r="T9" s="138">
        <f t="shared" si="0"/>
        <v>39.950000000000003</v>
      </c>
      <c r="U9" s="253"/>
      <c r="V9" s="232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68"/>
      <c r="AI9" s="68"/>
    </row>
    <row r="10" spans="1:35" ht="164.25" customHeight="1" thickBot="1" x14ac:dyDescent="0.75">
      <c r="A10" s="67"/>
      <c r="B10" s="67"/>
      <c r="C10" s="236"/>
      <c r="D10" s="239"/>
      <c r="E10" s="242"/>
      <c r="F10" s="245"/>
      <c r="G10" s="257"/>
      <c r="H10" s="260"/>
      <c r="I10" s="133" t="s">
        <v>3029</v>
      </c>
      <c r="J10" s="134">
        <f>SUMIF(PERFORMANCE!$N:$N,W6,PERFORMANCE!$M:$M)/1000</f>
        <v>0</v>
      </c>
      <c r="K10" s="134">
        <f>SUMIF(PERFORMANCE!$N:$N,X6,PERFORMANCE!$M:$M)/1000</f>
        <v>0</v>
      </c>
      <c r="L10" s="134">
        <f>L8-L9</f>
        <v>0</v>
      </c>
      <c r="M10" s="134">
        <v>0</v>
      </c>
      <c r="N10" s="134">
        <v>0</v>
      </c>
      <c r="O10" s="134">
        <f>SUMIF(PERFORMANCE!$N:$N,AB6,PERFORMANCE!$M:$M)/1000</f>
        <v>0</v>
      </c>
      <c r="P10" s="134">
        <f>P6-P9</f>
        <v>4.8299999999999983</v>
      </c>
      <c r="Q10" s="134">
        <f>SUMIF(PERFORMANCE!$N:$N,AD6,PERFORMANCE!$M:$M)/1000</f>
        <v>0</v>
      </c>
      <c r="R10" s="134">
        <f>SUMIF(PERFORMANCE!$N:$N,AE6,PERFORMANCE!$M:$M)/1000</f>
        <v>0</v>
      </c>
      <c r="S10" s="134">
        <f>SUMIF(PERFORMANCE!$N:$N,AF6,PERFORMANCE!$M:$M)/1000</f>
        <v>0</v>
      </c>
      <c r="T10" s="139">
        <f>T6-T9</f>
        <v>4.8245999999999967</v>
      </c>
      <c r="U10" s="254"/>
      <c r="V10" s="233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68"/>
      <c r="AI10" s="68"/>
    </row>
    <row r="11" spans="1:35" ht="22.5" customHeight="1" thickBot="1" x14ac:dyDescent="0.75">
      <c r="A11" s="67"/>
      <c r="B11" s="67"/>
      <c r="C11" s="149"/>
      <c r="D11" s="150"/>
      <c r="E11" s="151"/>
      <c r="F11" s="152"/>
      <c r="G11" s="152"/>
      <c r="H11" s="153"/>
      <c r="I11" s="157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6"/>
      <c r="U11" s="103"/>
      <c r="V11" s="104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68"/>
      <c r="AI11" s="68"/>
    </row>
    <row r="12" spans="1:35" ht="40.5" customHeight="1" x14ac:dyDescent="0.7">
      <c r="A12" s="62"/>
      <c r="B12" s="62"/>
      <c r="C12" s="234" t="s">
        <v>2987</v>
      </c>
      <c r="D12" s="237" t="s">
        <v>2551</v>
      </c>
      <c r="E12" s="240" t="s">
        <v>2986</v>
      </c>
      <c r="F12" s="243">
        <v>46205</v>
      </c>
      <c r="G12" s="255"/>
      <c r="H12" s="261" t="s">
        <v>3169</v>
      </c>
      <c r="I12" s="127" t="s">
        <v>3031</v>
      </c>
      <c r="J12" s="128">
        <v>16.100000000000001</v>
      </c>
      <c r="K12" s="128">
        <f>SUMIF(PERFORMANCE!$N:$N,X12,PERFORMANCE!$G:$G)/1000</f>
        <v>0.14360000000000001</v>
      </c>
      <c r="L12" s="128">
        <v>0.6</v>
      </c>
      <c r="M12" s="128">
        <f>SUMIF(PERFORMANCE!$N:$N,Z12,PERFORMANCE!$G:$G)/1000</f>
        <v>0</v>
      </c>
      <c r="N12" s="128">
        <f>SUMIF(PERFORMANCE!$N:$N,AA12,PERFORMANCE!$G:$G)/1000</f>
        <v>0</v>
      </c>
      <c r="O12" s="128">
        <f>SUMIF(PERFORMANCE!$N:$N,AB12,PERFORMANCE!$G:$G)/1000</f>
        <v>0</v>
      </c>
      <c r="P12" s="128">
        <f>SUMIF(PERFORMANCE!$N:$N,AC12,PERFORMANCE!$G:$G)/1000</f>
        <v>0</v>
      </c>
      <c r="Q12" s="128">
        <f>SUMIF(PERFORMANCE!$N:$N,AD12,PERFORMANCE!$G:$G)/1000</f>
        <v>0</v>
      </c>
      <c r="R12" s="128">
        <v>0</v>
      </c>
      <c r="S12" s="128">
        <f>SUMIF(PERFORMANCE!$N:$N,AF12,PERFORMANCE!$G:$G)/1000</f>
        <v>0</v>
      </c>
      <c r="T12" s="137">
        <f>SUM(J12:R12)</f>
        <v>16.843600000000002</v>
      </c>
      <c r="U12" s="252">
        <f>T15/T12</f>
        <v>0.76586952907929418</v>
      </c>
      <c r="V12" s="231" t="str">
        <f>IF(U12&gt;=100%,"LIBERADO PARA EXPEDIÇÃO","EM ANDAMENTO")</f>
        <v>EM ANDAMENTO</v>
      </c>
      <c r="W12" s="85" t="str">
        <f t="shared" ref="W12" si="3">$D12&amp;J$4</f>
        <v>P-190ESTRUTURA</v>
      </c>
      <c r="X12" s="85" t="str">
        <f t="shared" ref="X12" si="4">$D12&amp;K$4</f>
        <v>P-190USINAGEM</v>
      </c>
      <c r="Y12" s="85" t="str">
        <f t="shared" ref="Y12" si="5">$D12&amp;L$4</f>
        <v>P-190TAMBOR</v>
      </c>
      <c r="Z12" s="85" t="str">
        <f t="shared" ref="Z12" si="6">$D12&amp;M$4</f>
        <v>P-190ROLOS</v>
      </c>
      <c r="AA12" s="85" t="str">
        <f t="shared" ref="AA12" si="7">$D12&amp;N$4</f>
        <v>P-190BASES ROLETES</v>
      </c>
      <c r="AB12" s="85" t="str">
        <f t="shared" ref="AB12" si="8">$D12&amp;O$4</f>
        <v>P-190REVESTIMENTO</v>
      </c>
      <c r="AC12" s="85" t="str">
        <f t="shared" ref="AC12" si="9">$D12&amp;P$4</f>
        <v>P-190RMF</v>
      </c>
      <c r="AD12" s="85" t="str">
        <f t="shared" ref="AD12" si="10">$D12&amp;Q$4</f>
        <v>P-190RMF BASES</v>
      </c>
      <c r="AE12" s="85" t="str">
        <f t="shared" ref="AE12" si="11">$D12&amp;R$4</f>
        <v>P-190TECMETAL</v>
      </c>
      <c r="AF12" s="85" t="str">
        <f t="shared" ref="AF12" si="12">$D12&amp;S$4</f>
        <v>P-190CONHECIMENTO</v>
      </c>
      <c r="AG12" s="85" t="str">
        <f t="shared" ref="AG12" si="13">$D12&amp;T$4</f>
        <v>P-190PESO TOTAL</v>
      </c>
      <c r="AH12" s="68"/>
      <c r="AI12" s="68"/>
    </row>
    <row r="13" spans="1:35" ht="46.5" x14ac:dyDescent="0.7">
      <c r="A13" s="67"/>
      <c r="B13" s="67"/>
      <c r="C13" s="235"/>
      <c r="D13" s="238"/>
      <c r="E13" s="241"/>
      <c r="F13" s="244"/>
      <c r="G13" s="256"/>
      <c r="H13" s="262"/>
      <c r="I13" s="129" t="s">
        <v>3028</v>
      </c>
      <c r="J13" s="130">
        <v>0</v>
      </c>
      <c r="K13" s="130">
        <f t="shared" ref="K13:O13" si="14">K16-K14</f>
        <v>0</v>
      </c>
      <c r="L13" s="130">
        <f>L12-L14</f>
        <v>0</v>
      </c>
      <c r="M13" s="130">
        <f t="shared" si="14"/>
        <v>0</v>
      </c>
      <c r="N13" s="130">
        <f t="shared" si="14"/>
        <v>0</v>
      </c>
      <c r="O13" s="130">
        <f t="shared" si="14"/>
        <v>0</v>
      </c>
      <c r="P13" s="130">
        <v>0</v>
      </c>
      <c r="Q13" s="130">
        <v>0</v>
      </c>
      <c r="R13" s="130">
        <v>0</v>
      </c>
      <c r="S13" s="130">
        <v>0</v>
      </c>
      <c r="T13" s="164">
        <f>T12-T14</f>
        <v>3.5999999999987153E-3</v>
      </c>
      <c r="U13" s="253"/>
      <c r="V13" s="232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68"/>
      <c r="AI13" s="68"/>
    </row>
    <row r="14" spans="1:35" ht="46.5" x14ac:dyDescent="0.7">
      <c r="A14" s="67"/>
      <c r="B14" s="67"/>
      <c r="C14" s="235"/>
      <c r="D14" s="238"/>
      <c r="E14" s="241"/>
      <c r="F14" s="244"/>
      <c r="G14" s="256"/>
      <c r="H14" s="262"/>
      <c r="I14" s="129" t="s">
        <v>3030</v>
      </c>
      <c r="J14" s="131">
        <v>16.100000000000001</v>
      </c>
      <c r="K14" s="131">
        <v>0.14000000000000001</v>
      </c>
      <c r="L14" s="131">
        <v>0.6</v>
      </c>
      <c r="M14" s="131">
        <f>SUMIF(PERFORMANCE!$N:$N,Z12,PERFORMANCE!$Q:$Q)/1000</f>
        <v>0</v>
      </c>
      <c r="N14" s="131">
        <f>SUMIF(PERFORMANCE!$N:$N,AA12,PERFORMANCE!$Q:$Q)/1000</f>
        <v>0</v>
      </c>
      <c r="O14" s="131">
        <f>SUMIF(PERFORMANCE!$N:$N,AB12,PERFORMANCE!$Q:$Q)/1000</f>
        <v>0</v>
      </c>
      <c r="P14" s="131">
        <f>SUMIF(PERFORMANCE!$N:$N,AC12,PERFORMANCE!$Q:$Q)/1000</f>
        <v>0</v>
      </c>
      <c r="Q14" s="131">
        <f>SUMIF(PERFORMANCE!$N:$N,AD12,PERFORMANCE!$Q:$Q)/1000</f>
        <v>0</v>
      </c>
      <c r="R14" s="131">
        <v>0</v>
      </c>
      <c r="S14" s="131">
        <f>SUMIF(PERFORMANCE!$N:$N,AF12,PERFORMANCE!$Q:$Q)/1000</f>
        <v>0</v>
      </c>
      <c r="T14" s="138">
        <f t="shared" ref="T14" si="15">SUM(J14:R14)</f>
        <v>16.840000000000003</v>
      </c>
      <c r="U14" s="253"/>
      <c r="V14" s="232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68"/>
      <c r="AI14" s="68"/>
    </row>
    <row r="15" spans="1:35" ht="46.5" x14ac:dyDescent="0.7">
      <c r="A15" s="62"/>
      <c r="B15" s="62"/>
      <c r="C15" s="235"/>
      <c r="D15" s="238"/>
      <c r="E15" s="241"/>
      <c r="F15" s="244"/>
      <c r="G15" s="256"/>
      <c r="H15" s="262"/>
      <c r="I15" s="132" t="s">
        <v>315</v>
      </c>
      <c r="J15" s="131">
        <v>12.9</v>
      </c>
      <c r="K15" s="131">
        <f>SUMIF(PERFORMANCE!O:O,X12,PERFORMANCE!L:L)/1000</f>
        <v>0</v>
      </c>
      <c r="L15" s="131">
        <f>SUMIF(PERFORMANCE!P:P,Y12,PERFORMANCE!M:M)/1000</f>
        <v>0</v>
      </c>
      <c r="M15" s="131">
        <f>SUMIF(PERFORMANCE!Q:Q,Z12,PERFORMANCE!N:N)/1000</f>
        <v>0</v>
      </c>
      <c r="N15" s="131">
        <f>SUMIF(PERFORMANCE!R:R,AA12,PERFORMANCE!O:O)/1000</f>
        <v>0</v>
      </c>
      <c r="O15" s="131">
        <f>SUMIF(PERFORMANCE!S:S,AB12,PERFORMANCE!P:P)/1000</f>
        <v>0</v>
      </c>
      <c r="P15" s="131">
        <f>SUMIF(PERFORMANCE!T:T,AC12,PERFORMANCE!Q:Q)/1000</f>
        <v>0</v>
      </c>
      <c r="Q15" s="131">
        <f>SUMIF(PERFORMANCE!U:U,AD12,PERFORMANCE!R:R)/1000</f>
        <v>0</v>
      </c>
      <c r="R15" s="131">
        <v>0</v>
      </c>
      <c r="S15" s="131">
        <f>SUMIF(PERFORMANCE!W:W,AF12,PERFORMANCE!T:T)/1000</f>
        <v>0</v>
      </c>
      <c r="T15" s="138">
        <f>SUM(J15:R15)</f>
        <v>12.9</v>
      </c>
      <c r="U15" s="253"/>
      <c r="V15" s="232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68"/>
      <c r="AI15" s="68"/>
    </row>
    <row r="16" spans="1:35" ht="122.25" customHeight="1" thickBot="1" x14ac:dyDescent="0.75">
      <c r="A16" s="67"/>
      <c r="B16" s="67"/>
      <c r="C16" s="236"/>
      <c r="D16" s="239"/>
      <c r="E16" s="242"/>
      <c r="F16" s="245"/>
      <c r="G16" s="257"/>
      <c r="H16" s="263"/>
      <c r="I16" s="133" t="s">
        <v>3029</v>
      </c>
      <c r="J16" s="134">
        <v>2.8</v>
      </c>
      <c r="K16" s="134">
        <v>0.14000000000000001</v>
      </c>
      <c r="L16" s="134">
        <v>0.63</v>
      </c>
      <c r="M16" s="134">
        <f>SUMIF(PERFORMANCE!$N:$N,Z12,PERFORMANCE!$M:$M)/1000</f>
        <v>0</v>
      </c>
      <c r="N16" s="134">
        <f>SUMIF(PERFORMANCE!$N:$N,AA12,PERFORMANCE!$M:$M)/1000</f>
        <v>0</v>
      </c>
      <c r="O16" s="134">
        <f>SUMIF(PERFORMANCE!$N:$N,AB12,PERFORMANCE!$M:$M)/1000</f>
        <v>0</v>
      </c>
      <c r="P16" s="134">
        <f>SUMIF(PERFORMANCE!$N:$N,AC12,PERFORMANCE!$M:$M)/1000</f>
        <v>0</v>
      </c>
      <c r="Q16" s="134">
        <f>SUMIF(PERFORMANCE!$N:$N,AD12,PERFORMANCE!$M:$M)/1000</f>
        <v>0</v>
      </c>
      <c r="R16" s="134">
        <v>0</v>
      </c>
      <c r="S16" s="134">
        <f>SUMIF(PERFORMANCE!$N:$N,AF12,PERFORMANCE!$M:$M)/1000</f>
        <v>0</v>
      </c>
      <c r="T16" s="139">
        <v>3.1</v>
      </c>
      <c r="U16" s="254"/>
      <c r="V16" s="233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68"/>
      <c r="AI16" s="68"/>
    </row>
    <row r="17" spans="1:35" ht="22.5" customHeight="1" thickBot="1" x14ac:dyDescent="0.75">
      <c r="A17" s="67"/>
      <c r="B17" s="67"/>
      <c r="C17" s="149"/>
      <c r="D17" s="150"/>
      <c r="E17" s="151"/>
      <c r="F17" s="152"/>
      <c r="G17" s="152"/>
      <c r="H17" s="153"/>
      <c r="I17" s="157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6"/>
      <c r="U17" s="103"/>
      <c r="V17" s="104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68"/>
      <c r="AI17" s="68"/>
    </row>
    <row r="18" spans="1:35" ht="40.5" customHeight="1" x14ac:dyDescent="0.7">
      <c r="A18" s="62"/>
      <c r="B18" s="62"/>
      <c r="C18" s="234" t="s">
        <v>2983</v>
      </c>
      <c r="D18" s="237" t="s">
        <v>2984</v>
      </c>
      <c r="E18" s="240" t="s">
        <v>2985</v>
      </c>
      <c r="F18" s="243">
        <v>46289</v>
      </c>
      <c r="G18" s="255"/>
      <c r="H18" s="249" t="s">
        <v>4327</v>
      </c>
      <c r="I18" s="127" t="s">
        <v>3031</v>
      </c>
      <c r="J18" s="128">
        <f>SUMIF(PERFORMANCE!$N:$N,W18,PERFORMANCE!$G:$G)/1000</f>
        <v>7.6260000000000003</v>
      </c>
      <c r="K18" s="128">
        <f>SUMIF(PERFORMANCE!$N:$N,X18,PERFORMANCE!$G:$G)/1000</f>
        <v>0</v>
      </c>
      <c r="L18" s="128">
        <f>SUMIF(PERFORMANCE!$N:$N,Y18,PERFORMANCE!$G:$G)/1000</f>
        <v>5.5101000000000004</v>
      </c>
      <c r="M18" s="128">
        <f>SUMIF(PERFORMANCE!$N:$N,Z18,PERFORMANCE!$G:$G)/1000</f>
        <v>9.2813999999999997</v>
      </c>
      <c r="N18" s="128">
        <f>SUMIF(PERFORMANCE!$N:$N,AA18,PERFORMANCE!$G:$G)/1000</f>
        <v>10.537600000000001</v>
      </c>
      <c r="O18" s="128">
        <f>SUMIF(PERFORMANCE!$N:$N,AB18,PERFORMANCE!$G:$G)/1000</f>
        <v>0</v>
      </c>
      <c r="P18" s="128">
        <f>SUMIF(PERFORMANCE!$N:$N,AC18,PERFORMANCE!$G:$G)/1000</f>
        <v>0</v>
      </c>
      <c r="Q18" s="128">
        <f>SUMIF(PERFORMANCE!$N:$N,AD18,PERFORMANCE!$G:$G)/1000</f>
        <v>0</v>
      </c>
      <c r="R18" s="128">
        <f>SUMIF(PERFORMANCE!$N:$N,AE18,PERFORMANCE!$G:$G)/1000</f>
        <v>0</v>
      </c>
      <c r="S18" s="128">
        <f>SUMIF(PERFORMANCE!$N:$N,AF18,PERFORMANCE!$G:$G)/1000</f>
        <v>0</v>
      </c>
      <c r="T18" s="137">
        <f>SUM(J18:R18)</f>
        <v>32.955100000000002</v>
      </c>
      <c r="U18" s="252">
        <f>T21/T18</f>
        <v>0.57904239404523117</v>
      </c>
      <c r="V18" s="231" t="str">
        <f>IF(U18&gt;=100%,"LIBERADO PARA EXPEDIÇÃO","EM ANDAMENTO")</f>
        <v>EM ANDAMENTO</v>
      </c>
      <c r="W18" s="85" t="str">
        <f t="shared" ref="W18:AG18" si="16">$D18&amp;J$4</f>
        <v>P-198ESTRUTURA</v>
      </c>
      <c r="X18" s="85" t="str">
        <f t="shared" si="16"/>
        <v>P-198USINAGEM</v>
      </c>
      <c r="Y18" s="85" t="str">
        <f t="shared" si="16"/>
        <v>P-198TAMBOR</v>
      </c>
      <c r="Z18" s="85" t="str">
        <f t="shared" si="16"/>
        <v>P-198ROLOS</v>
      </c>
      <c r="AA18" s="85" t="str">
        <f t="shared" si="16"/>
        <v>P-198BASES ROLETES</v>
      </c>
      <c r="AB18" s="85" t="str">
        <f t="shared" si="16"/>
        <v>P-198REVESTIMENTO</v>
      </c>
      <c r="AC18" s="85" t="str">
        <f t="shared" si="16"/>
        <v>P-198RMF</v>
      </c>
      <c r="AD18" s="85" t="str">
        <f t="shared" si="16"/>
        <v>P-198RMF BASES</v>
      </c>
      <c r="AE18" s="85" t="str">
        <f t="shared" si="16"/>
        <v>P-198TECMETAL</v>
      </c>
      <c r="AF18" s="85" t="str">
        <f t="shared" si="16"/>
        <v>P-198CONHECIMENTO</v>
      </c>
      <c r="AG18" s="85" t="str">
        <f t="shared" si="16"/>
        <v>P-198PESO TOTAL</v>
      </c>
      <c r="AH18" s="68"/>
      <c r="AI18" s="68"/>
    </row>
    <row r="19" spans="1:35" ht="46.5" x14ac:dyDescent="0.7">
      <c r="A19" s="67"/>
      <c r="B19" s="67"/>
      <c r="C19" s="235"/>
      <c r="D19" s="238"/>
      <c r="E19" s="241"/>
      <c r="F19" s="244"/>
      <c r="G19" s="256"/>
      <c r="H19" s="250"/>
      <c r="I19" s="129" t="s">
        <v>3028</v>
      </c>
      <c r="J19" s="130">
        <f t="shared" ref="J19" si="17">J18-J20</f>
        <v>5.6045999999999996</v>
      </c>
      <c r="K19" s="130">
        <f t="shared" ref="K19" si="18">K18-K20</f>
        <v>0</v>
      </c>
      <c r="L19" s="130">
        <f t="shared" ref="L19" si="19">L18-L20</f>
        <v>5.5101000000000004</v>
      </c>
      <c r="M19" s="130">
        <f t="shared" ref="M19" si="20">M18-M20</f>
        <v>9.2813999999999997</v>
      </c>
      <c r="N19" s="130">
        <f>N18-N20</f>
        <v>9.8668000000000013</v>
      </c>
      <c r="O19" s="130">
        <f t="shared" ref="O19" si="21">O18-O20</f>
        <v>0</v>
      </c>
      <c r="P19" s="130">
        <f t="shared" ref="P19" si="22">P18-P20</f>
        <v>0</v>
      </c>
      <c r="Q19" s="130">
        <f t="shared" ref="Q19" si="23">Q18-Q20</f>
        <v>0</v>
      </c>
      <c r="R19" s="130">
        <f t="shared" ref="R19" si="24">R18-R20</f>
        <v>0</v>
      </c>
      <c r="S19" s="130">
        <f t="shared" ref="S19" si="25">S18-S20</f>
        <v>0</v>
      </c>
      <c r="T19" s="138">
        <f t="shared" ref="T19" si="26">T18-T20</f>
        <v>30.262900000000002</v>
      </c>
      <c r="U19" s="253"/>
      <c r="V19" s="232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I19" s="68"/>
    </row>
    <row r="20" spans="1:35" ht="46.5" x14ac:dyDescent="0.7">
      <c r="A20" s="67"/>
      <c r="B20" s="67"/>
      <c r="C20" s="235"/>
      <c r="D20" s="238"/>
      <c r="E20" s="241"/>
      <c r="F20" s="244"/>
      <c r="G20" s="256"/>
      <c r="H20" s="250"/>
      <c r="I20" s="129" t="s">
        <v>3030</v>
      </c>
      <c r="J20" s="131">
        <f>SUMIF(PERFORMANCE!$N:$N,W18,PERFORMANCE!$Q:$Q)/1000</f>
        <v>2.0214000000000003</v>
      </c>
      <c r="K20" s="131">
        <f>SUMIF(PERFORMANCE!$N:$N,X18,PERFORMANCE!$Q:$Q)/1000</f>
        <v>0</v>
      </c>
      <c r="L20" s="131">
        <f>SUMIF(PERFORMANCE!$N:$N,Y18,PERFORMANCE!$Q:$Q)/1000</f>
        <v>0</v>
      </c>
      <c r="M20" s="131">
        <f>SUMIF(PERFORMANCE!$N:$N,Z18,PERFORMANCE!$Q:$Q)/1000</f>
        <v>0</v>
      </c>
      <c r="N20" s="131">
        <f>SUMIF(PERFORMANCE!$N:$N,AA18,PERFORMANCE!$Q:$Q)/1000</f>
        <v>0.67079999999999995</v>
      </c>
      <c r="O20" s="131">
        <f>SUMIF(PERFORMANCE!$N:$N,AB18,PERFORMANCE!$Q:$Q)/1000</f>
        <v>0</v>
      </c>
      <c r="P20" s="131">
        <f>SUMIF(PERFORMANCE!$N:$N,AC18,PERFORMANCE!$Q:$Q)/1000</f>
        <v>0</v>
      </c>
      <c r="Q20" s="131">
        <f>SUMIF(PERFORMANCE!$N:$N,AD18,PERFORMANCE!$Q:$Q)/1000</f>
        <v>0</v>
      </c>
      <c r="R20" s="131">
        <f>SUMIF(PERFORMANCE!$N:$N,AE18,PERFORMANCE!$Q:$Q)/1000</f>
        <v>0</v>
      </c>
      <c r="S20" s="131">
        <f>SUMIF(PERFORMANCE!$N:$N,AF18,PERFORMANCE!$Q:$Q)/1000</f>
        <v>0</v>
      </c>
      <c r="T20" s="138">
        <f t="shared" ref="T20" si="27">SUM(J20:R20)</f>
        <v>2.6922000000000001</v>
      </c>
      <c r="U20" s="253"/>
      <c r="V20" s="232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68"/>
      <c r="AI20" s="68"/>
    </row>
    <row r="21" spans="1:35" ht="46.5" x14ac:dyDescent="0.7">
      <c r="A21" s="62"/>
      <c r="B21" s="62"/>
      <c r="C21" s="235"/>
      <c r="D21" s="238"/>
      <c r="E21" s="241"/>
      <c r="F21" s="244"/>
      <c r="G21" s="256"/>
      <c r="H21" s="250"/>
      <c r="I21" s="132" t="s">
        <v>315</v>
      </c>
      <c r="J21" s="131">
        <f>SUMIF(PERFORMANCE!$N:$N,MACRO!W18,PERFORMANCE!$R:$R)/1000</f>
        <v>0</v>
      </c>
      <c r="K21" s="131">
        <f>SUMIF(PERFORMANCE!$N:$N,MACRO!X18,PERFORMANCE!$R:$R)/1000</f>
        <v>0</v>
      </c>
      <c r="L21" s="131">
        <f>SUMIF(PERFORMANCE!$N:$N,MACRO!Y18,PERFORMANCE!$R:$R)/1000</f>
        <v>0</v>
      </c>
      <c r="M21" s="131">
        <f>SUMIF(PERFORMANCE!$N:$N,MACRO!Z18,PERFORMANCE!$R:$R)/1000</f>
        <v>9.2156000000000002</v>
      </c>
      <c r="N21" s="131">
        <f>SUMIF(PERFORMANCE!$N:$N,MACRO!AA18,PERFORMANCE!$R:$R)/1000</f>
        <v>9.8668000000000013</v>
      </c>
      <c r="O21" s="131">
        <f>SUMIF(PERFORMANCE!$N:$N,MACRO!AB18,PERFORMANCE!$R:$R)/1000</f>
        <v>0</v>
      </c>
      <c r="P21" s="131">
        <f>SUMIF(PERFORMANCE!$N:$N,MACRO!AC18,PERFORMANCE!$R:$R)/1000</f>
        <v>0</v>
      </c>
      <c r="Q21" s="131">
        <f>SUMIF(PERFORMANCE!$N:$N,MACRO!AD18,PERFORMANCE!$R:$R)/1000</f>
        <v>0</v>
      </c>
      <c r="R21" s="131">
        <f>SUMIF(PERFORMANCE!$N:$N,MACRO!AE18,PERFORMANCE!$R:$R)/1000</f>
        <v>0</v>
      </c>
      <c r="S21" s="131">
        <f>SUMIF(PERFORMANCE!W:W,AF18,PERFORMANCE!T:T)/1000</f>
        <v>0</v>
      </c>
      <c r="T21" s="138">
        <f>SUM(J21:R21)</f>
        <v>19.0824</v>
      </c>
      <c r="U21" s="253"/>
      <c r="V21" s="232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68"/>
      <c r="AI21" s="68"/>
    </row>
    <row r="22" spans="1:35" ht="122.25" customHeight="1" thickBot="1" x14ac:dyDescent="0.75">
      <c r="A22" s="67"/>
      <c r="B22" s="67"/>
      <c r="C22" s="236"/>
      <c r="D22" s="239"/>
      <c r="E22" s="242"/>
      <c r="F22" s="245"/>
      <c r="G22" s="257"/>
      <c r="H22" s="251"/>
      <c r="I22" s="133" t="s">
        <v>3029</v>
      </c>
      <c r="J22" s="134">
        <f t="shared" ref="J22:R22" si="28">J18-J21</f>
        <v>7.6260000000000003</v>
      </c>
      <c r="K22" s="134">
        <f t="shared" si="28"/>
        <v>0</v>
      </c>
      <c r="L22" s="134">
        <f t="shared" si="28"/>
        <v>5.5101000000000004</v>
      </c>
      <c r="M22" s="134">
        <f t="shared" si="28"/>
        <v>6.5799999999999415E-2</v>
      </c>
      <c r="N22" s="134">
        <f t="shared" si="28"/>
        <v>0.67079999999999984</v>
      </c>
      <c r="O22" s="134">
        <f t="shared" si="28"/>
        <v>0</v>
      </c>
      <c r="P22" s="134">
        <f t="shared" si="28"/>
        <v>0</v>
      </c>
      <c r="Q22" s="134">
        <f t="shared" si="28"/>
        <v>0</v>
      </c>
      <c r="R22" s="134">
        <f t="shared" si="28"/>
        <v>0</v>
      </c>
      <c r="S22" s="134">
        <f t="shared" ref="S22" si="29">S18--S21</f>
        <v>0</v>
      </c>
      <c r="T22" s="139">
        <f>T18-T21</f>
        <v>13.872700000000002</v>
      </c>
      <c r="U22" s="254"/>
      <c r="V22" s="233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68"/>
      <c r="AI22" s="68"/>
    </row>
    <row r="23" spans="1:35" ht="22.5" customHeight="1" thickBot="1" x14ac:dyDescent="0.75">
      <c r="A23" s="67"/>
      <c r="B23" s="67"/>
      <c r="C23" s="149"/>
      <c r="D23" s="150"/>
      <c r="E23" s="151"/>
      <c r="F23" s="152"/>
      <c r="G23" s="152"/>
      <c r="H23" s="153"/>
      <c r="I23" s="157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3"/>
      <c r="V23" s="104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68"/>
      <c r="AI23" s="68"/>
    </row>
    <row r="24" spans="1:35" ht="40.5" customHeight="1" x14ac:dyDescent="0.7">
      <c r="A24" s="62"/>
      <c r="B24" s="62"/>
      <c r="C24" s="234" t="s">
        <v>3292</v>
      </c>
      <c r="D24" s="237" t="s">
        <v>3291</v>
      </c>
      <c r="E24" s="240" t="s">
        <v>3293</v>
      </c>
      <c r="F24" s="243">
        <v>46336</v>
      </c>
      <c r="G24" s="246"/>
      <c r="H24" s="249" t="s">
        <v>3294</v>
      </c>
      <c r="I24" s="127" t="s">
        <v>3031</v>
      </c>
      <c r="J24" s="128">
        <f>SUMIF(PERFORMANCE!$N:$N,W24,PERFORMANCE!$G:$G)/1000</f>
        <v>0</v>
      </c>
      <c r="K24" s="128">
        <f>SUMIF(PERFORMANCE!$N:$N,X24,PERFORMANCE!$G:$G)/1000</f>
        <v>0</v>
      </c>
      <c r="L24" s="128">
        <f>SUMIF(PERFORMANCE!$N:$N,Y24,PERFORMANCE!$G:$G)/1000</f>
        <v>0</v>
      </c>
      <c r="M24" s="128">
        <f>SUMIF(PERFORMANCE!$N:$N,Z24,PERFORMANCE!$G:$G)/1000</f>
        <v>0</v>
      </c>
      <c r="N24" s="128">
        <f>SUMIF(PERFORMANCE!$N:$N,AA24,PERFORMANCE!$G:$G)/1000</f>
        <v>0</v>
      </c>
      <c r="O24" s="128">
        <f>SUMIF(PERFORMANCE!$N:$N,AB24,PERFORMANCE!$G:$G)/1000</f>
        <v>0</v>
      </c>
      <c r="P24" s="128">
        <f>SUMIF(PERFORMANCE!$N:$N,AC24,PERFORMANCE!$G:$G)/1000</f>
        <v>0</v>
      </c>
      <c r="Q24" s="128">
        <f>SUMIF(PERFORMANCE!$N:$N,AD24,PERFORMANCE!$G:$G)/1000</f>
        <v>0</v>
      </c>
      <c r="R24" s="128">
        <f>SUMIF(PERFORMANCE!$N:$N,AE24,PERFORMANCE!$G:$G)/1000</f>
        <v>0</v>
      </c>
      <c r="S24" s="128">
        <f>SUMIF(PERFORMANCE!$N:$N,AF24,PERFORMANCE!$G:$G)/1000</f>
        <v>0</v>
      </c>
      <c r="T24" s="137">
        <f>SUM(J24:R24)</f>
        <v>0</v>
      </c>
      <c r="U24" s="252">
        <v>0</v>
      </c>
      <c r="V24" s="231" t="str">
        <f>IF(U24&gt;=100%,"LIBERADO PARA EXPEDIÇÃO","EM ANDAMENTO")</f>
        <v>EM ANDAMENTO</v>
      </c>
      <c r="W24" s="85" t="str">
        <f t="shared" ref="W24" si="30">$D24&amp;J$4</f>
        <v>P-207ESTRUTURA</v>
      </c>
      <c r="X24" s="85" t="str">
        <f t="shared" ref="X24" si="31">$D24&amp;K$4</f>
        <v>P-207USINAGEM</v>
      </c>
      <c r="Y24" s="85" t="str">
        <f t="shared" ref="Y24" si="32">$D24&amp;L$4</f>
        <v>P-207TAMBOR</v>
      </c>
      <c r="Z24" s="85" t="str">
        <f t="shared" ref="Z24" si="33">$D24&amp;M$4</f>
        <v>P-207ROLOS</v>
      </c>
      <c r="AA24" s="85" t="str">
        <f t="shared" ref="AA24" si="34">$D24&amp;N$4</f>
        <v>P-207BASES ROLETES</v>
      </c>
      <c r="AB24" s="85" t="str">
        <f t="shared" ref="AB24" si="35">$D24&amp;O$4</f>
        <v>P-207REVESTIMENTO</v>
      </c>
      <c r="AC24" s="85" t="str">
        <f t="shared" ref="AC24" si="36">$D24&amp;P$4</f>
        <v>P-207RMF</v>
      </c>
      <c r="AD24" s="85" t="str">
        <f t="shared" ref="AD24" si="37">$D24&amp;Q$4</f>
        <v>P-207RMF BASES</v>
      </c>
      <c r="AE24" s="85" t="str">
        <f t="shared" ref="AE24" si="38">$D24&amp;R$4</f>
        <v>P-207TECMETAL</v>
      </c>
      <c r="AF24" s="85" t="str">
        <f t="shared" ref="AF24" si="39">$D24&amp;S$4</f>
        <v>P-207CONHECIMENTO</v>
      </c>
      <c r="AG24" s="85" t="str">
        <f t="shared" ref="AG24" si="40">$D24&amp;T$4</f>
        <v>P-207PESO TOTAL</v>
      </c>
      <c r="AH24" s="68"/>
      <c r="AI24" s="68"/>
    </row>
    <row r="25" spans="1:35" ht="46.5" x14ac:dyDescent="0.7">
      <c r="A25" s="67"/>
      <c r="B25" s="67"/>
      <c r="C25" s="235"/>
      <c r="D25" s="238"/>
      <c r="E25" s="241"/>
      <c r="F25" s="244"/>
      <c r="G25" s="247"/>
      <c r="H25" s="250"/>
      <c r="I25" s="129" t="s">
        <v>3028</v>
      </c>
      <c r="J25" s="130">
        <f t="shared" ref="J25" si="41">J24-J26</f>
        <v>0</v>
      </c>
      <c r="K25" s="130">
        <f t="shared" ref="K25" si="42">K24-K26</f>
        <v>0</v>
      </c>
      <c r="L25" s="130">
        <f t="shared" ref="L25" si="43">L24-L26</f>
        <v>0</v>
      </c>
      <c r="M25" s="130">
        <f t="shared" ref="M25" si="44">M24-M26</f>
        <v>0</v>
      </c>
      <c r="N25" s="130">
        <f>N24-N26</f>
        <v>0</v>
      </c>
      <c r="O25" s="130">
        <f t="shared" ref="O25" si="45">O24-O26</f>
        <v>0</v>
      </c>
      <c r="P25" s="130">
        <f t="shared" ref="P25" si="46">P24-P26</f>
        <v>0</v>
      </c>
      <c r="Q25" s="130">
        <f t="shared" ref="Q25" si="47">Q24-Q26</f>
        <v>0</v>
      </c>
      <c r="R25" s="130">
        <f t="shared" ref="R25" si="48">R24-R26</f>
        <v>0</v>
      </c>
      <c r="S25" s="130">
        <f t="shared" ref="S25" si="49">S24-S26</f>
        <v>0</v>
      </c>
      <c r="T25" s="138">
        <f t="shared" ref="T25" si="50">T24-T26</f>
        <v>0</v>
      </c>
      <c r="U25" s="253"/>
      <c r="V25" s="232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68"/>
      <c r="AI25" s="68"/>
    </row>
    <row r="26" spans="1:35" ht="46.5" x14ac:dyDescent="0.7">
      <c r="A26" s="67"/>
      <c r="B26" s="67"/>
      <c r="C26" s="235"/>
      <c r="D26" s="238"/>
      <c r="E26" s="241"/>
      <c r="F26" s="244"/>
      <c r="G26" s="247"/>
      <c r="H26" s="250"/>
      <c r="I26" s="129" t="s">
        <v>3030</v>
      </c>
      <c r="J26" s="131">
        <f>SUMIF(PERFORMANCE!$N:$N,W24,PERFORMANCE!$Q:$Q)/1000</f>
        <v>0</v>
      </c>
      <c r="K26" s="131">
        <f>SUMIF(PERFORMANCE!$N:$N,X24,PERFORMANCE!$Q:$Q)/1000</f>
        <v>0</v>
      </c>
      <c r="L26" s="131">
        <f>SUMIF(PERFORMANCE!$N:$N,Y24,PERFORMANCE!$Q:$Q)/1000</f>
        <v>0</v>
      </c>
      <c r="M26" s="131">
        <f>SUMIF(PERFORMANCE!$N:$N,Z24,PERFORMANCE!$Q:$Q)/1000</f>
        <v>0</v>
      </c>
      <c r="N26" s="131">
        <f>SUMIF(PERFORMANCE!$N:$N,AA24,PERFORMANCE!$Q:$Q)/1000</f>
        <v>0</v>
      </c>
      <c r="O26" s="131">
        <f>SUMIF(PERFORMANCE!$N:$N,AB24,PERFORMANCE!$Q:$Q)/1000</f>
        <v>0</v>
      </c>
      <c r="P26" s="131">
        <f>SUMIF(PERFORMANCE!$N:$N,AC24,PERFORMANCE!$Q:$Q)/1000</f>
        <v>0</v>
      </c>
      <c r="Q26" s="131">
        <f>SUMIF(PERFORMANCE!$N:$N,AD24,PERFORMANCE!$Q:$Q)/1000</f>
        <v>0</v>
      </c>
      <c r="R26" s="131">
        <f>SUMIF(PERFORMANCE!$N:$N,AE24,PERFORMANCE!$Q:$Q)/1000</f>
        <v>0</v>
      </c>
      <c r="S26" s="131">
        <f>SUMIF(PERFORMANCE!$N:$N,AF24,PERFORMANCE!$Q:$Q)/1000</f>
        <v>0</v>
      </c>
      <c r="T26" s="138">
        <f t="shared" ref="T26" si="51">SUM(J26:R26)</f>
        <v>0</v>
      </c>
      <c r="U26" s="253"/>
      <c r="V26" s="232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68"/>
      <c r="AI26" s="68"/>
    </row>
    <row r="27" spans="1:35" ht="46.5" x14ac:dyDescent="0.7">
      <c r="A27" s="62"/>
      <c r="B27" s="62"/>
      <c r="C27" s="235"/>
      <c r="D27" s="238"/>
      <c r="E27" s="241"/>
      <c r="F27" s="244"/>
      <c r="G27" s="247"/>
      <c r="H27" s="250"/>
      <c r="I27" s="132" t="s">
        <v>315</v>
      </c>
      <c r="J27" s="131">
        <f>SUMIF(PERFORMANCE!$N:$N,MACRO!W24,PERFORMANCE!$R:$R)/1000</f>
        <v>0</v>
      </c>
      <c r="K27" s="131">
        <f>SUMIF(PERFORMANCE!$N:$N,MACRO!X24,PERFORMANCE!$R:$R)/1000</f>
        <v>0</v>
      </c>
      <c r="L27" s="131">
        <f>SUMIF(PERFORMANCE!$N:$N,MACRO!Y24,PERFORMANCE!$R:$R)/1000</f>
        <v>0</v>
      </c>
      <c r="M27" s="131">
        <f>SUMIF(PERFORMANCE!$N:$N,MACRO!Z24,PERFORMANCE!$R:$R)/1000</f>
        <v>0</v>
      </c>
      <c r="N27" s="131">
        <f>SUMIF(PERFORMANCE!$N:$N,MACRO!AA24,PERFORMANCE!$R:$R)/1000</f>
        <v>0</v>
      </c>
      <c r="O27" s="131">
        <f>SUMIF(PERFORMANCE!$N:$N,MACRO!AB24,PERFORMANCE!$R:$R)/1000</f>
        <v>0</v>
      </c>
      <c r="P27" s="131">
        <f>SUMIF(PERFORMANCE!$N:$N,MACRO!AC24,PERFORMANCE!$R:$R)/1000</f>
        <v>0</v>
      </c>
      <c r="Q27" s="131">
        <f>SUMIF(PERFORMANCE!$N:$N,MACRO!AD24,PERFORMANCE!$R:$R)/1000</f>
        <v>0</v>
      </c>
      <c r="R27" s="131">
        <f>SUMIF(PERFORMANCE!$N:$N,MACRO!AE24,PERFORMANCE!$R:$R)/1000</f>
        <v>0</v>
      </c>
      <c r="S27" s="131">
        <f>SUMIF(PERFORMANCE!W:W,AF24,PERFORMANCE!T:T)/1000</f>
        <v>0</v>
      </c>
      <c r="T27" s="138">
        <f>SUM(J27:R27)</f>
        <v>0</v>
      </c>
      <c r="U27" s="253"/>
      <c r="V27" s="232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68"/>
      <c r="AI27" s="68"/>
    </row>
    <row r="28" spans="1:35" ht="122.25" customHeight="1" thickBot="1" x14ac:dyDescent="0.75">
      <c r="A28" s="67"/>
      <c r="B28" s="67"/>
      <c r="C28" s="236"/>
      <c r="D28" s="239"/>
      <c r="E28" s="242"/>
      <c r="F28" s="245"/>
      <c r="G28" s="248"/>
      <c r="H28" s="251"/>
      <c r="I28" s="133" t="s">
        <v>3029</v>
      </c>
      <c r="J28" s="134">
        <f t="shared" ref="J28:R28" si="52">J24-J27</f>
        <v>0</v>
      </c>
      <c r="K28" s="134">
        <f t="shared" si="52"/>
        <v>0</v>
      </c>
      <c r="L28" s="134">
        <f t="shared" si="52"/>
        <v>0</v>
      </c>
      <c r="M28" s="134">
        <f t="shared" si="52"/>
        <v>0</v>
      </c>
      <c r="N28" s="134">
        <f t="shared" si="52"/>
        <v>0</v>
      </c>
      <c r="O28" s="134">
        <f t="shared" si="52"/>
        <v>0</v>
      </c>
      <c r="P28" s="134">
        <f t="shared" si="52"/>
        <v>0</v>
      </c>
      <c r="Q28" s="134">
        <f t="shared" si="52"/>
        <v>0</v>
      </c>
      <c r="R28" s="134">
        <f t="shared" si="52"/>
        <v>0</v>
      </c>
      <c r="S28" s="134">
        <f t="shared" ref="S28" si="53">S24--S27</f>
        <v>0</v>
      </c>
      <c r="T28" s="139">
        <f>T24-T27</f>
        <v>0</v>
      </c>
      <c r="U28" s="254"/>
      <c r="V28" s="233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68"/>
      <c r="AI28" s="68"/>
    </row>
    <row r="29" spans="1:35" ht="22.5" customHeight="1" thickBot="1" x14ac:dyDescent="0.75">
      <c r="A29" s="67"/>
      <c r="B29" s="67"/>
      <c r="C29" s="149"/>
      <c r="D29" s="150"/>
      <c r="E29" s="151"/>
      <c r="F29" s="152"/>
      <c r="G29" s="152"/>
      <c r="H29" s="153"/>
      <c r="I29" s="157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6"/>
      <c r="U29" s="103"/>
      <c r="V29" s="104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68"/>
      <c r="AI29" s="68"/>
    </row>
    <row r="30" spans="1:35" ht="40.5" customHeight="1" x14ac:dyDescent="0.7">
      <c r="A30" s="62"/>
      <c r="B30" s="62"/>
      <c r="C30" s="234" t="s">
        <v>2993</v>
      </c>
      <c r="D30" s="237" t="s">
        <v>2989</v>
      </c>
      <c r="E30" s="240" t="s">
        <v>2994</v>
      </c>
      <c r="F30" s="243">
        <v>46219</v>
      </c>
      <c r="G30" s="246"/>
      <c r="H30" s="258" t="s">
        <v>3313</v>
      </c>
      <c r="I30" s="127" t="s">
        <v>3031</v>
      </c>
      <c r="J30" s="128">
        <f>SUMIF(PERFORMANCE!$N:$N,W30,PERFORMANCE!$G:$G)/1000</f>
        <v>0.97599999999999998</v>
      </c>
      <c r="K30" s="128">
        <f>SUMIF(PERFORMANCE!$N:$N,X30,PERFORMANCE!$G:$G)/1000</f>
        <v>0</v>
      </c>
      <c r="L30" s="128">
        <f>SUMIF(PERFORMANCE!$N:$N,Y30,PERFORMANCE!$G:$G)/1000</f>
        <v>0</v>
      </c>
      <c r="M30" s="128">
        <f>SUMIF(PERFORMANCE!$N:$N,Z30,PERFORMANCE!$G:$G)/1000</f>
        <v>0</v>
      </c>
      <c r="N30" s="128">
        <f>SUMIF(PERFORMANCE!$N:$N,AA30,PERFORMANCE!$G:$G)/1000</f>
        <v>0</v>
      </c>
      <c r="O30" s="128">
        <f>SUMIF(PERFORMANCE!$N:$N,AB30,PERFORMANCE!$G:$G)/1000</f>
        <v>0</v>
      </c>
      <c r="P30" s="128">
        <f>SUMIF(PERFORMANCE!$N:$N,AC30,PERFORMANCE!$G:$G)/1000</f>
        <v>0</v>
      </c>
      <c r="Q30" s="128">
        <f>SUMIF(PERFORMANCE!$N:$N,AD30,PERFORMANCE!$G:$G)/1000</f>
        <v>0</v>
      </c>
      <c r="R30" s="128">
        <f>SUMIF(PERFORMANCE!$N:$N,AE30,PERFORMANCE!$G:$G)/1000</f>
        <v>0</v>
      </c>
      <c r="S30" s="128">
        <f>SUMIF(PERFORMANCE!$N:$N,AF30,PERFORMANCE!$G:$G)/1000</f>
        <v>0</v>
      </c>
      <c r="T30" s="137">
        <f>SUM(J30:R30)</f>
        <v>0.97599999999999998</v>
      </c>
      <c r="U30" s="252">
        <v>0</v>
      </c>
      <c r="V30" s="231" t="str">
        <f>IF(U30&gt;=100%,"LIBERADO PARA EXPEDIÇÃO","EM ANDAMENTO")</f>
        <v>EM ANDAMENTO</v>
      </c>
      <c r="W30" s="85" t="str">
        <f t="shared" ref="W30" si="54">$D30&amp;J$4</f>
        <v>P-200ESTRUTURA</v>
      </c>
      <c r="X30" s="85" t="str">
        <f t="shared" ref="X30" si="55">$D30&amp;K$4</f>
        <v>P-200USINAGEM</v>
      </c>
      <c r="Y30" s="85" t="str">
        <f t="shared" ref="Y30" si="56">$D30&amp;L$4</f>
        <v>P-200TAMBOR</v>
      </c>
      <c r="Z30" s="85" t="str">
        <f t="shared" ref="Z30" si="57">$D30&amp;M$4</f>
        <v>P-200ROLOS</v>
      </c>
      <c r="AA30" s="85" t="str">
        <f t="shared" ref="AA30" si="58">$D30&amp;N$4</f>
        <v>P-200BASES ROLETES</v>
      </c>
      <c r="AB30" s="85" t="str">
        <f t="shared" ref="AB30" si="59">$D30&amp;O$4</f>
        <v>P-200REVESTIMENTO</v>
      </c>
      <c r="AC30" s="85" t="str">
        <f t="shared" ref="AC30" si="60">$D30&amp;P$4</f>
        <v>P-200RMF</v>
      </c>
      <c r="AD30" s="85" t="str">
        <f t="shared" ref="AD30" si="61">$D30&amp;Q$4</f>
        <v>P-200RMF BASES</v>
      </c>
      <c r="AE30" s="85" t="str">
        <f t="shared" ref="AE30" si="62">$D30&amp;R$4</f>
        <v>P-200TECMETAL</v>
      </c>
      <c r="AF30" s="85" t="str">
        <f t="shared" ref="AF30" si="63">$D30&amp;S$4</f>
        <v>P-200CONHECIMENTO</v>
      </c>
      <c r="AG30" s="85" t="str">
        <f t="shared" ref="AG30" si="64">$D30&amp;T$4</f>
        <v>P-200PESO TOTAL</v>
      </c>
      <c r="AH30" s="68"/>
      <c r="AI30" s="68"/>
    </row>
    <row r="31" spans="1:35" ht="46.5" x14ac:dyDescent="0.7">
      <c r="A31" s="67"/>
      <c r="B31" s="67"/>
      <c r="C31" s="235"/>
      <c r="D31" s="238"/>
      <c r="E31" s="241"/>
      <c r="F31" s="244"/>
      <c r="G31" s="247"/>
      <c r="H31" s="259"/>
      <c r="I31" s="129" t="s">
        <v>3028</v>
      </c>
      <c r="J31" s="130">
        <f t="shared" ref="J31" si="65">J30-J32</f>
        <v>0.97599999999999998</v>
      </c>
      <c r="K31" s="130">
        <f t="shared" ref="K31" si="66">K30-K32</f>
        <v>0</v>
      </c>
      <c r="L31" s="130">
        <f t="shared" ref="L31" si="67">L30-L32</f>
        <v>0</v>
      </c>
      <c r="M31" s="130">
        <f t="shared" ref="M31" si="68">M30-M32</f>
        <v>0</v>
      </c>
      <c r="N31" s="130">
        <f>N30-N32</f>
        <v>0</v>
      </c>
      <c r="O31" s="130">
        <f t="shared" ref="O31" si="69">O30-O32</f>
        <v>0</v>
      </c>
      <c r="P31" s="130">
        <f t="shared" ref="P31" si="70">P30-P32</f>
        <v>0</v>
      </c>
      <c r="Q31" s="130">
        <f t="shared" ref="Q31" si="71">Q30-Q32</f>
        <v>0</v>
      </c>
      <c r="R31" s="130">
        <f t="shared" ref="R31" si="72">R30-R32</f>
        <v>0</v>
      </c>
      <c r="S31" s="130">
        <f t="shared" ref="S31" si="73">S30-S32</f>
        <v>0</v>
      </c>
      <c r="T31" s="138">
        <f t="shared" ref="T31" si="74">T30-T32</f>
        <v>0.97599999999999998</v>
      </c>
      <c r="U31" s="253"/>
      <c r="V31" s="232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68"/>
      <c r="AI31" s="68"/>
    </row>
    <row r="32" spans="1:35" ht="46.5" x14ac:dyDescent="0.7">
      <c r="A32" s="67"/>
      <c r="B32" s="67"/>
      <c r="C32" s="235"/>
      <c r="D32" s="238"/>
      <c r="E32" s="241"/>
      <c r="F32" s="244"/>
      <c r="G32" s="247"/>
      <c r="H32" s="259"/>
      <c r="I32" s="129" t="s">
        <v>3030</v>
      </c>
      <c r="J32" s="131">
        <f>SUMIF(PERFORMANCE!$N:$N,W30,PERFORMANCE!$Q:$Q)/1000</f>
        <v>0</v>
      </c>
      <c r="K32" s="131">
        <f>SUMIF(PERFORMANCE!$N:$N,X30,PERFORMANCE!$Q:$Q)/1000</f>
        <v>0</v>
      </c>
      <c r="L32" s="131">
        <f>SUMIF(PERFORMANCE!$N:$N,Y30,PERFORMANCE!$Q:$Q)/1000</f>
        <v>0</v>
      </c>
      <c r="M32" s="131">
        <f>SUMIF(PERFORMANCE!$N:$N,Z30,PERFORMANCE!$Q:$Q)/1000</f>
        <v>0</v>
      </c>
      <c r="N32" s="131">
        <f>SUMIF(PERFORMANCE!$N:$N,AA30,PERFORMANCE!$Q:$Q)/1000</f>
        <v>0</v>
      </c>
      <c r="O32" s="131">
        <f>SUMIF(PERFORMANCE!$N:$N,AB30,PERFORMANCE!$Q:$Q)/1000</f>
        <v>0</v>
      </c>
      <c r="P32" s="131">
        <f>SUMIF(PERFORMANCE!$N:$N,AC30,PERFORMANCE!$Q:$Q)/1000</f>
        <v>0</v>
      </c>
      <c r="Q32" s="131">
        <f>SUMIF(PERFORMANCE!$N:$N,AD30,PERFORMANCE!$Q:$Q)/1000</f>
        <v>0</v>
      </c>
      <c r="R32" s="131">
        <f>SUMIF(PERFORMANCE!$N:$N,AE30,PERFORMANCE!$Q:$Q)/1000</f>
        <v>0</v>
      </c>
      <c r="S32" s="131">
        <f>SUMIF(PERFORMANCE!$N:$N,AF30,PERFORMANCE!$Q:$Q)/1000</f>
        <v>0</v>
      </c>
      <c r="T32" s="138">
        <f t="shared" ref="T32" si="75">SUM(J32:R32)</f>
        <v>0</v>
      </c>
      <c r="U32" s="253"/>
      <c r="V32" s="232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68"/>
      <c r="AI32" s="68"/>
    </row>
    <row r="33" spans="1:35" ht="46.5" x14ac:dyDescent="0.7">
      <c r="A33" s="62"/>
      <c r="B33" s="62"/>
      <c r="C33" s="235"/>
      <c r="D33" s="238"/>
      <c r="E33" s="241"/>
      <c r="F33" s="244"/>
      <c r="G33" s="247"/>
      <c r="H33" s="259"/>
      <c r="I33" s="132" t="s">
        <v>315</v>
      </c>
      <c r="J33" s="131">
        <f>SUMIF(PERFORMANCE!$N:$N,MACRO!W30,PERFORMANCE!$R:$R)/1000</f>
        <v>0.97599999999999998</v>
      </c>
      <c r="K33" s="131">
        <f>SUMIF(PERFORMANCE!$N:$N,MACRO!X30,PERFORMANCE!$R:$R)/1000</f>
        <v>0</v>
      </c>
      <c r="L33" s="131">
        <f>SUMIF(PERFORMANCE!$N:$N,MACRO!Y30,PERFORMANCE!$R:$R)/1000</f>
        <v>0</v>
      </c>
      <c r="M33" s="131">
        <f>SUMIF(PERFORMANCE!$N:$N,MACRO!Z30,PERFORMANCE!$R:$R)/1000</f>
        <v>0</v>
      </c>
      <c r="N33" s="131">
        <f>SUMIF(PERFORMANCE!$N:$N,MACRO!AA30,PERFORMANCE!$R:$R)/1000</f>
        <v>0</v>
      </c>
      <c r="O33" s="131">
        <f>SUMIF(PERFORMANCE!$N:$N,MACRO!AB30,PERFORMANCE!$R:$R)/1000</f>
        <v>0</v>
      </c>
      <c r="P33" s="131">
        <f>SUMIF(PERFORMANCE!$N:$N,MACRO!AC30,PERFORMANCE!$R:$R)/1000</f>
        <v>0</v>
      </c>
      <c r="Q33" s="131">
        <f>SUMIF(PERFORMANCE!$N:$N,MACRO!AD30,PERFORMANCE!$R:$R)/1000</f>
        <v>0</v>
      </c>
      <c r="R33" s="131">
        <f>SUMIF(PERFORMANCE!$N:$N,MACRO!AE30,PERFORMANCE!$R:$R)/1000</f>
        <v>0</v>
      </c>
      <c r="S33" s="131">
        <f>SUMIF(PERFORMANCE!W:W,AF30,PERFORMANCE!T:T)/1000</f>
        <v>0</v>
      </c>
      <c r="T33" s="138">
        <f>SUM(J33:R33)</f>
        <v>0.97599999999999998</v>
      </c>
      <c r="U33" s="253"/>
      <c r="V33" s="232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68"/>
      <c r="AI33" s="68"/>
    </row>
    <row r="34" spans="1:35" ht="122.25" customHeight="1" thickBot="1" x14ac:dyDescent="0.75">
      <c r="A34" s="67"/>
      <c r="B34" s="67"/>
      <c r="C34" s="236"/>
      <c r="D34" s="239"/>
      <c r="E34" s="242"/>
      <c r="F34" s="245"/>
      <c r="G34" s="248"/>
      <c r="H34" s="260"/>
      <c r="I34" s="133" t="s">
        <v>3029</v>
      </c>
      <c r="J34" s="134">
        <f t="shared" ref="J34:R34" si="76">J30-J33</f>
        <v>0</v>
      </c>
      <c r="K34" s="134">
        <f t="shared" si="76"/>
        <v>0</v>
      </c>
      <c r="L34" s="134">
        <f t="shared" si="76"/>
        <v>0</v>
      </c>
      <c r="M34" s="134">
        <f t="shared" si="76"/>
        <v>0</v>
      </c>
      <c r="N34" s="134">
        <f t="shared" si="76"/>
        <v>0</v>
      </c>
      <c r="O34" s="134">
        <f t="shared" si="76"/>
        <v>0</v>
      </c>
      <c r="P34" s="134">
        <f t="shared" si="76"/>
        <v>0</v>
      </c>
      <c r="Q34" s="134">
        <f t="shared" si="76"/>
        <v>0</v>
      </c>
      <c r="R34" s="134">
        <f t="shared" si="76"/>
        <v>0</v>
      </c>
      <c r="S34" s="134">
        <f t="shared" ref="S34" si="77">S30--S33</f>
        <v>0</v>
      </c>
      <c r="T34" s="139">
        <f>T30-T33</f>
        <v>0</v>
      </c>
      <c r="U34" s="254"/>
      <c r="V34" s="233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68"/>
      <c r="AI34" s="68"/>
    </row>
    <row r="35" spans="1:35" ht="22.5" customHeight="1" thickBot="1" x14ac:dyDescent="0.75">
      <c r="A35" s="67"/>
      <c r="B35" s="67"/>
      <c r="C35" s="149"/>
      <c r="D35" s="150"/>
      <c r="E35" s="151"/>
      <c r="F35" s="152"/>
      <c r="G35" s="152"/>
      <c r="H35" s="153"/>
      <c r="I35" s="157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6"/>
      <c r="U35" s="103"/>
      <c r="V35" s="104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68"/>
      <c r="AI35" s="68"/>
    </row>
    <row r="36" spans="1:35" ht="40.5" customHeight="1" x14ac:dyDescent="0.7">
      <c r="A36" s="62"/>
      <c r="B36" s="62"/>
      <c r="C36" s="234" t="s">
        <v>2995</v>
      </c>
      <c r="D36" s="237" t="s">
        <v>2990</v>
      </c>
      <c r="E36" s="240" t="s">
        <v>2992</v>
      </c>
      <c r="F36" s="243">
        <v>46198</v>
      </c>
      <c r="G36" s="276"/>
      <c r="H36" s="261" t="s">
        <v>3167</v>
      </c>
      <c r="I36" s="127" t="s">
        <v>3031</v>
      </c>
      <c r="J36" s="128">
        <f>SUMIF(PERFORMANCE!$N:$N,W36,PERFORMANCE!$G:$G)/1000</f>
        <v>0</v>
      </c>
      <c r="K36" s="128">
        <f>SUMIF(PERFORMANCE!$N:$N,X36,PERFORMANCE!$G:$G)/1000</f>
        <v>0</v>
      </c>
      <c r="L36" s="128">
        <f>SUMIF(PERFORMANCE!$N:$N,Y36,PERFORMANCE!$G:$G)/1000</f>
        <v>0.2137</v>
      </c>
      <c r="M36" s="128">
        <f>SUMIF(PERFORMANCE!$N:$N,Z36,PERFORMANCE!$G:$G)/1000</f>
        <v>0</v>
      </c>
      <c r="N36" s="128">
        <f>SUMIF(PERFORMANCE!$N:$N,AA36,PERFORMANCE!$G:$G)/1000</f>
        <v>0</v>
      </c>
      <c r="O36" s="128">
        <f>SUMIF(PERFORMANCE!$N:$N,AB36,PERFORMANCE!$G:$G)/1000</f>
        <v>0</v>
      </c>
      <c r="P36" s="128">
        <f>SUMIF(PERFORMANCE!$N:$N,AC36,PERFORMANCE!$G:$G)/1000</f>
        <v>0</v>
      </c>
      <c r="Q36" s="128">
        <f>SUMIF(PERFORMANCE!$N:$N,AD36,PERFORMANCE!$G:$G)/1000</f>
        <v>0</v>
      </c>
      <c r="R36" s="128">
        <f>SUMIF(PERFORMANCE!$N:$N,AE36,PERFORMANCE!$G:$G)/1000</f>
        <v>0</v>
      </c>
      <c r="S36" s="128">
        <f>SUMIF(PERFORMANCE!$N:$N,AF36,PERFORMANCE!$G:$G)/1000</f>
        <v>0</v>
      </c>
      <c r="T36" s="137">
        <f>SUM(J36:R36)</f>
        <v>0.2137</v>
      </c>
      <c r="U36" s="252">
        <v>0</v>
      </c>
      <c r="V36" s="231" t="str">
        <f>IF(U36&gt;=100%,"LIBERADO PARA EXPEDIÇÃO","EM ANDAMENTO")</f>
        <v>EM ANDAMENTO</v>
      </c>
      <c r="W36" s="85" t="str">
        <f t="shared" ref="W36" si="78">$D36&amp;J$4</f>
        <v>P-201ESTRUTURA</v>
      </c>
      <c r="X36" s="85" t="str">
        <f t="shared" ref="X36" si="79">$D36&amp;K$4</f>
        <v>P-201USINAGEM</v>
      </c>
      <c r="Y36" s="85" t="str">
        <f t="shared" ref="Y36" si="80">$D36&amp;L$4</f>
        <v>P-201TAMBOR</v>
      </c>
      <c r="Z36" s="85" t="str">
        <f t="shared" ref="Z36" si="81">$D36&amp;M$4</f>
        <v>P-201ROLOS</v>
      </c>
      <c r="AA36" s="85" t="str">
        <f t="shared" ref="AA36" si="82">$D36&amp;N$4</f>
        <v>P-201BASES ROLETES</v>
      </c>
      <c r="AB36" s="85" t="str">
        <f t="shared" ref="AB36" si="83">$D36&amp;O$4</f>
        <v>P-201REVESTIMENTO</v>
      </c>
      <c r="AC36" s="85" t="str">
        <f t="shared" ref="AC36" si="84">$D36&amp;P$4</f>
        <v>P-201RMF</v>
      </c>
      <c r="AD36" s="85" t="str">
        <f t="shared" ref="AD36" si="85">$D36&amp;Q$4</f>
        <v>P-201RMF BASES</v>
      </c>
      <c r="AE36" s="85" t="str">
        <f t="shared" ref="AE36" si="86">$D36&amp;R$4</f>
        <v>P-201TECMETAL</v>
      </c>
      <c r="AF36" s="85" t="str">
        <f t="shared" ref="AF36" si="87">$D36&amp;S$4</f>
        <v>P-201CONHECIMENTO</v>
      </c>
      <c r="AG36" s="85" t="str">
        <f t="shared" ref="AG36" si="88">$D36&amp;T$4</f>
        <v>P-201PESO TOTAL</v>
      </c>
      <c r="AH36" s="68"/>
      <c r="AI36" s="68"/>
    </row>
    <row r="37" spans="1:35" ht="46.5" x14ac:dyDescent="0.7">
      <c r="A37" s="67"/>
      <c r="B37" s="67"/>
      <c r="C37" s="235"/>
      <c r="D37" s="238"/>
      <c r="E37" s="241"/>
      <c r="F37" s="244"/>
      <c r="G37" s="277"/>
      <c r="H37" s="262"/>
      <c r="I37" s="129" t="s">
        <v>3028</v>
      </c>
      <c r="J37" s="130">
        <f t="shared" ref="J37" si="89">J36-J38</f>
        <v>0</v>
      </c>
      <c r="K37" s="130">
        <f t="shared" ref="K37" si="90">K36-K38</f>
        <v>0</v>
      </c>
      <c r="L37" s="130">
        <f t="shared" ref="L37" si="91">L36-L38</f>
        <v>0</v>
      </c>
      <c r="M37" s="130">
        <f t="shared" ref="M37" si="92">M36-M38</f>
        <v>0</v>
      </c>
      <c r="N37" s="130">
        <f>N36-N38</f>
        <v>0</v>
      </c>
      <c r="O37" s="130">
        <f t="shared" ref="O37" si="93">O36-O38</f>
        <v>0</v>
      </c>
      <c r="P37" s="130">
        <f t="shared" ref="P37" si="94">P36-P38</f>
        <v>0</v>
      </c>
      <c r="Q37" s="130">
        <f t="shared" ref="Q37" si="95">Q36-Q38</f>
        <v>0</v>
      </c>
      <c r="R37" s="130">
        <f t="shared" ref="R37" si="96">R36-R38</f>
        <v>0</v>
      </c>
      <c r="S37" s="130">
        <f t="shared" ref="S37" si="97">S36-S38</f>
        <v>0</v>
      </c>
      <c r="T37" s="138">
        <f t="shared" ref="T37" si="98">T36-T38</f>
        <v>0</v>
      </c>
      <c r="U37" s="253"/>
      <c r="V37" s="232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68"/>
      <c r="AI37" s="68"/>
    </row>
    <row r="38" spans="1:35" ht="46.5" x14ac:dyDescent="0.7">
      <c r="A38" s="67"/>
      <c r="B38" s="67"/>
      <c r="C38" s="235"/>
      <c r="D38" s="238"/>
      <c r="E38" s="241"/>
      <c r="F38" s="244"/>
      <c r="G38" s="277"/>
      <c r="H38" s="262"/>
      <c r="I38" s="129" t="s">
        <v>3030</v>
      </c>
      <c r="J38" s="131">
        <f>SUMIF(PERFORMANCE!$N:$N,W36,PERFORMANCE!$Q:$Q)/1000</f>
        <v>0</v>
      </c>
      <c r="K38" s="131">
        <f>SUMIF(PERFORMANCE!$N:$N,X36,PERFORMANCE!$Q:$Q)/1000</f>
        <v>0</v>
      </c>
      <c r="L38" s="131">
        <f>SUMIF(PERFORMANCE!$N:$N,Y36,PERFORMANCE!$Q:$Q)/1000</f>
        <v>0.2137</v>
      </c>
      <c r="M38" s="131">
        <f>SUMIF(PERFORMANCE!$N:$N,Z36,PERFORMANCE!$Q:$Q)/1000</f>
        <v>0</v>
      </c>
      <c r="N38" s="131">
        <f>SUMIF(PERFORMANCE!$N:$N,AA36,PERFORMANCE!$Q:$Q)/1000</f>
        <v>0</v>
      </c>
      <c r="O38" s="131">
        <f>SUMIF(PERFORMANCE!$N:$N,AB36,PERFORMANCE!$Q:$Q)/1000</f>
        <v>0</v>
      </c>
      <c r="P38" s="131">
        <f>SUMIF(PERFORMANCE!$N:$N,AC36,PERFORMANCE!$Q:$Q)/1000</f>
        <v>0</v>
      </c>
      <c r="Q38" s="131">
        <f>SUMIF(PERFORMANCE!$N:$N,AD36,PERFORMANCE!$Q:$Q)/1000</f>
        <v>0</v>
      </c>
      <c r="R38" s="131">
        <f>SUMIF(PERFORMANCE!$N:$N,AE36,PERFORMANCE!$Q:$Q)/1000</f>
        <v>0</v>
      </c>
      <c r="S38" s="131">
        <f>SUMIF(PERFORMANCE!$N:$N,AF36,PERFORMANCE!$Q:$Q)/1000</f>
        <v>0</v>
      </c>
      <c r="T38" s="138">
        <f t="shared" ref="T38" si="99">SUM(J38:R38)</f>
        <v>0.2137</v>
      </c>
      <c r="U38" s="253"/>
      <c r="V38" s="232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68"/>
      <c r="AI38" s="68"/>
    </row>
    <row r="39" spans="1:35" ht="46.5" x14ac:dyDescent="0.7">
      <c r="A39" s="62"/>
      <c r="B39" s="62"/>
      <c r="C39" s="235"/>
      <c r="D39" s="238"/>
      <c r="E39" s="241"/>
      <c r="F39" s="244"/>
      <c r="G39" s="277"/>
      <c r="H39" s="262"/>
      <c r="I39" s="132" t="s">
        <v>315</v>
      </c>
      <c r="J39" s="131">
        <f>SUMIF(PERFORMANCE!$N:$N,MACRO!W36,PERFORMANCE!$R:$R)/1000</f>
        <v>0</v>
      </c>
      <c r="K39" s="131">
        <f>SUMIF(PERFORMANCE!$N:$N,MACRO!X36,PERFORMANCE!$R:$R)/1000</f>
        <v>0</v>
      </c>
      <c r="L39" s="131">
        <f>SUMIF(PERFORMANCE!$N:$N,MACRO!Y36,PERFORMANCE!$R:$R)/1000</f>
        <v>0</v>
      </c>
      <c r="M39" s="131">
        <f>SUMIF(PERFORMANCE!$N:$N,MACRO!Z36,PERFORMANCE!$R:$R)/1000</f>
        <v>0</v>
      </c>
      <c r="N39" s="131">
        <f>SUMIF(PERFORMANCE!$N:$N,MACRO!AA36,PERFORMANCE!$R:$R)/1000</f>
        <v>0</v>
      </c>
      <c r="O39" s="131">
        <f>SUMIF(PERFORMANCE!$N:$N,MACRO!AB36,PERFORMANCE!$R:$R)/1000</f>
        <v>0</v>
      </c>
      <c r="P39" s="131">
        <f>SUMIF(PERFORMANCE!$N:$N,MACRO!AC36,PERFORMANCE!$R:$R)/1000</f>
        <v>0</v>
      </c>
      <c r="Q39" s="131">
        <f>SUMIF(PERFORMANCE!$N:$N,MACRO!AD36,PERFORMANCE!$R:$R)/1000</f>
        <v>0</v>
      </c>
      <c r="R39" s="131">
        <f>SUMIF(PERFORMANCE!$N:$N,MACRO!AE36,PERFORMANCE!$R:$R)/1000</f>
        <v>0</v>
      </c>
      <c r="S39" s="131">
        <f>SUMIF(PERFORMANCE!W:W,AF36,PERFORMANCE!T:T)/1000</f>
        <v>0</v>
      </c>
      <c r="T39" s="138">
        <f>SUM(J39:R39)</f>
        <v>0</v>
      </c>
      <c r="U39" s="253"/>
      <c r="V39" s="232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68"/>
      <c r="AI39" s="68"/>
    </row>
    <row r="40" spans="1:35" ht="122.25" customHeight="1" thickBot="1" x14ac:dyDescent="0.75">
      <c r="A40" s="67"/>
      <c r="B40" s="67"/>
      <c r="C40" s="236"/>
      <c r="D40" s="239"/>
      <c r="E40" s="242"/>
      <c r="F40" s="245"/>
      <c r="G40" s="278"/>
      <c r="H40" s="263"/>
      <c r="I40" s="133" t="s">
        <v>3029</v>
      </c>
      <c r="J40" s="134">
        <f t="shared" ref="J40:R40" si="100">J36-J39</f>
        <v>0</v>
      </c>
      <c r="K40" s="134">
        <f t="shared" si="100"/>
        <v>0</v>
      </c>
      <c r="L40" s="134">
        <f t="shared" si="100"/>
        <v>0.2137</v>
      </c>
      <c r="M40" s="134">
        <f t="shared" si="100"/>
        <v>0</v>
      </c>
      <c r="N40" s="134">
        <f t="shared" si="100"/>
        <v>0</v>
      </c>
      <c r="O40" s="134">
        <f t="shared" si="100"/>
        <v>0</v>
      </c>
      <c r="P40" s="134">
        <f t="shared" si="100"/>
        <v>0</v>
      </c>
      <c r="Q40" s="134">
        <f t="shared" si="100"/>
        <v>0</v>
      </c>
      <c r="R40" s="134">
        <f t="shared" si="100"/>
        <v>0</v>
      </c>
      <c r="S40" s="134">
        <f t="shared" ref="S40" si="101">S36--S39</f>
        <v>0</v>
      </c>
      <c r="T40" s="139">
        <f>T36-T39</f>
        <v>0.2137</v>
      </c>
      <c r="U40" s="254"/>
      <c r="V40" s="233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68"/>
      <c r="AI40" s="68"/>
    </row>
    <row r="41" spans="1:35" ht="22.5" customHeight="1" thickBot="1" x14ac:dyDescent="0.75">
      <c r="A41" s="67"/>
      <c r="B41" s="67"/>
      <c r="C41" s="149"/>
      <c r="D41" s="150"/>
      <c r="E41" s="151"/>
      <c r="F41" s="152"/>
      <c r="G41" s="152"/>
      <c r="H41" s="153"/>
      <c r="I41" s="157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6"/>
      <c r="U41" s="103"/>
      <c r="V41" s="104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68"/>
      <c r="AI41" s="68"/>
    </row>
    <row r="42" spans="1:35" ht="40.5" customHeight="1" x14ac:dyDescent="0.7">
      <c r="A42" s="62"/>
      <c r="B42" s="62"/>
      <c r="C42" s="234" t="s">
        <v>3006</v>
      </c>
      <c r="D42" s="237" t="s">
        <v>3004</v>
      </c>
      <c r="E42" s="240" t="s">
        <v>3007</v>
      </c>
      <c r="F42" s="243">
        <v>46188</v>
      </c>
      <c r="G42" s="276">
        <v>46220</v>
      </c>
      <c r="H42" s="258" t="s">
        <v>4328</v>
      </c>
      <c r="I42" s="127" t="s">
        <v>3031</v>
      </c>
      <c r="J42" s="128">
        <f>SUMIF(PERFORMANCE!$N:$N,W42,PERFORMANCE!$G:$G)/1000</f>
        <v>0</v>
      </c>
      <c r="K42" s="128">
        <f>SUMIF(PERFORMANCE!$N:$N,X42,PERFORMANCE!$G:$G)/1000</f>
        <v>0</v>
      </c>
      <c r="L42" s="128">
        <f>SUMIF(PERFORMANCE!$N:$N,Y42,PERFORMANCE!$G:$G)/1000</f>
        <v>0</v>
      </c>
      <c r="M42" s="128">
        <f>SUMIF(PERFORMANCE!$N:$N,Z42,PERFORMANCE!$G:$G)/1000</f>
        <v>0.85320000000000007</v>
      </c>
      <c r="N42" s="128">
        <f>SUMIF(PERFORMANCE!$N:$N,AA42,PERFORMANCE!$G:$G)/1000</f>
        <v>0</v>
      </c>
      <c r="O42" s="128">
        <f>SUMIF(PERFORMANCE!$N:$N,AB42,PERFORMANCE!$G:$G)/1000</f>
        <v>0</v>
      </c>
      <c r="P42" s="128">
        <f>SUMIF(PERFORMANCE!$N:$N,AC42,PERFORMANCE!$G:$G)/1000</f>
        <v>0</v>
      </c>
      <c r="Q42" s="128">
        <f>SUMIF(PERFORMANCE!$N:$N,AD42,PERFORMANCE!$G:$G)/1000</f>
        <v>0</v>
      </c>
      <c r="R42" s="128">
        <f>SUMIF(PERFORMANCE!$N:$N,AE42,PERFORMANCE!$G:$G)/1000</f>
        <v>0</v>
      </c>
      <c r="S42" s="128">
        <f>SUMIF(PERFORMANCE!$N:$N,AF42,PERFORMANCE!$G:$G)/1000</f>
        <v>0</v>
      </c>
      <c r="T42" s="137">
        <f>SUM(J42:R42)</f>
        <v>0.85320000000000007</v>
      </c>
      <c r="U42" s="252">
        <v>0</v>
      </c>
      <c r="V42" s="231" t="str">
        <f>IF(U42&gt;=100%,"LIBERADO PARA EXPEDIÇÃO","EM ANDAMENTO")</f>
        <v>EM ANDAMENTO</v>
      </c>
      <c r="W42" s="85" t="str">
        <f t="shared" ref="W42" si="102">$D42&amp;J$4</f>
        <v>P-202ESTRUTURA</v>
      </c>
      <c r="X42" s="85" t="str">
        <f t="shared" ref="X42" si="103">$D42&amp;K$4</f>
        <v>P-202USINAGEM</v>
      </c>
      <c r="Y42" s="85" t="str">
        <f t="shared" ref="Y42" si="104">$D42&amp;L$4</f>
        <v>P-202TAMBOR</v>
      </c>
      <c r="Z42" s="85" t="str">
        <f t="shared" ref="Z42" si="105">$D42&amp;M$4</f>
        <v>P-202ROLOS</v>
      </c>
      <c r="AA42" s="85" t="str">
        <f t="shared" ref="AA42" si="106">$D42&amp;N$4</f>
        <v>P-202BASES ROLETES</v>
      </c>
      <c r="AB42" s="85" t="str">
        <f t="shared" ref="AB42" si="107">$D42&amp;O$4</f>
        <v>P-202REVESTIMENTO</v>
      </c>
      <c r="AC42" s="85" t="str">
        <f t="shared" ref="AC42" si="108">$D42&amp;P$4</f>
        <v>P-202RMF</v>
      </c>
      <c r="AD42" s="85" t="str">
        <f t="shared" ref="AD42" si="109">$D42&amp;Q$4</f>
        <v>P-202RMF BASES</v>
      </c>
      <c r="AE42" s="85" t="str">
        <f t="shared" ref="AE42" si="110">$D42&amp;R$4</f>
        <v>P-202TECMETAL</v>
      </c>
      <c r="AF42" s="85" t="str">
        <f t="shared" ref="AF42" si="111">$D42&amp;S$4</f>
        <v>P-202CONHECIMENTO</v>
      </c>
      <c r="AG42" s="85" t="str">
        <f t="shared" ref="AG42" si="112">$D42&amp;T$4</f>
        <v>P-202PESO TOTAL</v>
      </c>
      <c r="AH42" s="68"/>
      <c r="AI42" s="68"/>
    </row>
    <row r="43" spans="1:35" ht="46.5" x14ac:dyDescent="0.7">
      <c r="A43" s="67"/>
      <c r="B43" s="67"/>
      <c r="C43" s="235"/>
      <c r="D43" s="238"/>
      <c r="E43" s="241"/>
      <c r="F43" s="244"/>
      <c r="G43" s="277"/>
      <c r="H43" s="259"/>
      <c r="I43" s="129" t="s">
        <v>3028</v>
      </c>
      <c r="J43" s="130">
        <f t="shared" ref="J43" si="113">J42-J44</f>
        <v>0</v>
      </c>
      <c r="K43" s="130">
        <f t="shared" ref="K43" si="114">K42-K44</f>
        <v>0</v>
      </c>
      <c r="L43" s="130">
        <f t="shared" ref="L43" si="115">L42-L44</f>
        <v>0</v>
      </c>
      <c r="M43" s="130">
        <f t="shared" ref="M43" si="116">M42-M44</f>
        <v>0</v>
      </c>
      <c r="N43" s="130">
        <f>N42-N44</f>
        <v>0</v>
      </c>
      <c r="O43" s="130">
        <f t="shared" ref="O43" si="117">O42-O44</f>
        <v>0</v>
      </c>
      <c r="P43" s="130">
        <f t="shared" ref="P43" si="118">P42-P44</f>
        <v>0</v>
      </c>
      <c r="Q43" s="130">
        <f t="shared" ref="Q43" si="119">Q42-Q44</f>
        <v>0</v>
      </c>
      <c r="R43" s="130">
        <f t="shared" ref="R43" si="120">R42-R44</f>
        <v>0</v>
      </c>
      <c r="S43" s="130">
        <f t="shared" ref="S43" si="121">S42-S44</f>
        <v>0</v>
      </c>
      <c r="T43" s="138">
        <f t="shared" ref="T43" si="122">T42-T44</f>
        <v>0</v>
      </c>
      <c r="U43" s="253"/>
      <c r="V43" s="232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68"/>
      <c r="AI43" s="68"/>
    </row>
    <row r="44" spans="1:35" ht="46.5" x14ac:dyDescent="0.7">
      <c r="A44" s="67"/>
      <c r="B44" s="67"/>
      <c r="C44" s="235"/>
      <c r="D44" s="238"/>
      <c r="E44" s="241"/>
      <c r="F44" s="244"/>
      <c r="G44" s="277"/>
      <c r="H44" s="259"/>
      <c r="I44" s="129" t="s">
        <v>3030</v>
      </c>
      <c r="J44" s="131">
        <f>SUMIF(PERFORMANCE!$N:$N,W42,PERFORMANCE!$Q:$Q)/1000</f>
        <v>0</v>
      </c>
      <c r="K44" s="131">
        <f>SUMIF(PERFORMANCE!$N:$N,X42,PERFORMANCE!$Q:$Q)/1000</f>
        <v>0</v>
      </c>
      <c r="L44" s="131">
        <f>SUMIF(PERFORMANCE!$N:$N,Y42,PERFORMANCE!$Q:$Q)/1000</f>
        <v>0</v>
      </c>
      <c r="M44" s="131">
        <f>SUMIF(PERFORMANCE!$N:$N,Z42,PERFORMANCE!$Q:$Q)/1000</f>
        <v>0.85320000000000007</v>
      </c>
      <c r="N44" s="131">
        <f>SUMIF(PERFORMANCE!$N:$N,AA42,PERFORMANCE!$Q:$Q)/1000</f>
        <v>0</v>
      </c>
      <c r="O44" s="131">
        <f>SUMIF(PERFORMANCE!$N:$N,AB42,PERFORMANCE!$Q:$Q)/1000</f>
        <v>0</v>
      </c>
      <c r="P44" s="131">
        <f>SUMIF(PERFORMANCE!$N:$N,AC42,PERFORMANCE!$Q:$Q)/1000</f>
        <v>0</v>
      </c>
      <c r="Q44" s="131">
        <f>SUMIF(PERFORMANCE!$N:$N,AD42,PERFORMANCE!$Q:$Q)/1000</f>
        <v>0</v>
      </c>
      <c r="R44" s="131">
        <f>SUMIF(PERFORMANCE!$N:$N,AE42,PERFORMANCE!$Q:$Q)/1000</f>
        <v>0</v>
      </c>
      <c r="S44" s="131">
        <f>SUMIF(PERFORMANCE!$N:$N,AF42,PERFORMANCE!$Q:$Q)/1000</f>
        <v>0</v>
      </c>
      <c r="T44" s="138">
        <f t="shared" ref="T44" si="123">SUM(J44:R44)</f>
        <v>0.85320000000000007</v>
      </c>
      <c r="U44" s="253"/>
      <c r="V44" s="232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68"/>
      <c r="AI44" s="68"/>
    </row>
    <row r="45" spans="1:35" ht="46.5" x14ac:dyDescent="0.7">
      <c r="A45" s="62"/>
      <c r="B45" s="62"/>
      <c r="C45" s="235"/>
      <c r="D45" s="238"/>
      <c r="E45" s="241"/>
      <c r="F45" s="244"/>
      <c r="G45" s="277"/>
      <c r="H45" s="259"/>
      <c r="I45" s="132" t="s">
        <v>315</v>
      </c>
      <c r="J45" s="131">
        <f>SUMIF(PERFORMANCE!$N:$N,MACRO!W42,PERFORMANCE!$R:$R)/1000</f>
        <v>0</v>
      </c>
      <c r="K45" s="131">
        <f>SUMIF(PERFORMANCE!$N:$N,MACRO!X42,PERFORMANCE!$R:$R)/1000</f>
        <v>0</v>
      </c>
      <c r="L45" s="131">
        <f>SUMIF(PERFORMANCE!$N:$N,MACRO!Y42,PERFORMANCE!$R:$R)/1000</f>
        <v>0</v>
      </c>
      <c r="M45" s="131">
        <f>SUMIF(PERFORMANCE!$N:$N,MACRO!Z42,PERFORMANCE!$R:$R)/1000</f>
        <v>0</v>
      </c>
      <c r="N45" s="131">
        <f>SUMIF(PERFORMANCE!$N:$N,MACRO!AA42,PERFORMANCE!$R:$R)/1000</f>
        <v>0</v>
      </c>
      <c r="O45" s="131">
        <f>SUMIF(PERFORMANCE!$N:$N,MACRO!AB42,PERFORMANCE!$R:$R)/1000</f>
        <v>0</v>
      </c>
      <c r="P45" s="131">
        <f>SUMIF(PERFORMANCE!$N:$N,MACRO!AC42,PERFORMANCE!$R:$R)/1000</f>
        <v>0</v>
      </c>
      <c r="Q45" s="131">
        <f>SUMIF(PERFORMANCE!$N:$N,MACRO!AD42,PERFORMANCE!$R:$R)/1000</f>
        <v>0</v>
      </c>
      <c r="R45" s="131">
        <f>SUMIF(PERFORMANCE!$N:$N,MACRO!AE42,PERFORMANCE!$R:$R)/1000</f>
        <v>0</v>
      </c>
      <c r="S45" s="131">
        <f>SUMIF(PERFORMANCE!W:W,AF42,PERFORMANCE!T:T)/1000</f>
        <v>0</v>
      </c>
      <c r="T45" s="138">
        <f>SUM(J45:R45)</f>
        <v>0</v>
      </c>
      <c r="U45" s="253"/>
      <c r="V45" s="232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68"/>
      <c r="AI45" s="68"/>
    </row>
    <row r="46" spans="1:35" ht="122.25" customHeight="1" thickBot="1" x14ac:dyDescent="0.75">
      <c r="A46" s="67"/>
      <c r="B46" s="67"/>
      <c r="C46" s="236"/>
      <c r="D46" s="239"/>
      <c r="E46" s="242"/>
      <c r="F46" s="245"/>
      <c r="G46" s="278"/>
      <c r="H46" s="260"/>
      <c r="I46" s="133" t="s">
        <v>3029</v>
      </c>
      <c r="J46" s="134">
        <f t="shared" ref="J46:R46" si="124">J42-J45</f>
        <v>0</v>
      </c>
      <c r="K46" s="134">
        <f t="shared" si="124"/>
        <v>0</v>
      </c>
      <c r="L46" s="134">
        <f t="shared" si="124"/>
        <v>0</v>
      </c>
      <c r="M46" s="134">
        <f t="shared" si="124"/>
        <v>0.85320000000000007</v>
      </c>
      <c r="N46" s="134">
        <f t="shared" si="124"/>
        <v>0</v>
      </c>
      <c r="O46" s="134">
        <f t="shared" si="124"/>
        <v>0</v>
      </c>
      <c r="P46" s="134">
        <f t="shared" si="124"/>
        <v>0</v>
      </c>
      <c r="Q46" s="134">
        <f t="shared" si="124"/>
        <v>0</v>
      </c>
      <c r="R46" s="134">
        <f t="shared" si="124"/>
        <v>0</v>
      </c>
      <c r="S46" s="134">
        <f t="shared" ref="S46" si="125">S42--S45</f>
        <v>0</v>
      </c>
      <c r="T46" s="139">
        <f>T42-T45</f>
        <v>0.85320000000000007</v>
      </c>
      <c r="U46" s="254"/>
      <c r="V46" s="233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68"/>
      <c r="AI46" s="68"/>
    </row>
    <row r="47" spans="1:35" ht="22.5" customHeight="1" thickBot="1" x14ac:dyDescent="0.75">
      <c r="A47" s="67"/>
      <c r="B47" s="67"/>
      <c r="C47" s="149"/>
      <c r="D47" s="150"/>
      <c r="E47" s="151"/>
      <c r="F47" s="152"/>
      <c r="G47" s="177"/>
      <c r="H47" s="153"/>
      <c r="I47" s="157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6"/>
      <c r="U47" s="103"/>
      <c r="V47" s="104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68"/>
      <c r="AI47" s="68"/>
    </row>
    <row r="48" spans="1:35" ht="40.5" customHeight="1" x14ac:dyDescent="0.7">
      <c r="A48" s="62"/>
      <c r="B48" s="62"/>
      <c r="C48" s="234" t="s">
        <v>3009</v>
      </c>
      <c r="D48" s="237" t="s">
        <v>3005</v>
      </c>
      <c r="E48" s="240" t="s">
        <v>3008</v>
      </c>
      <c r="F48" s="243">
        <v>46202</v>
      </c>
      <c r="G48" s="276">
        <v>46233</v>
      </c>
      <c r="H48" s="258" t="s">
        <v>4329</v>
      </c>
      <c r="I48" s="127" t="s">
        <v>3031</v>
      </c>
      <c r="J48" s="128">
        <f>SUMIF(PERFORMANCE!$N:$N,W48,PERFORMANCE!$G:$G)/1000</f>
        <v>0</v>
      </c>
      <c r="K48" s="128">
        <f>SUMIF(PERFORMANCE!$N:$N,X48,PERFORMANCE!$G:$G)/1000</f>
        <v>0</v>
      </c>
      <c r="L48" s="128">
        <f>SUMIF(PERFORMANCE!$N:$N,Y48,PERFORMANCE!$G:$G)/1000</f>
        <v>0</v>
      </c>
      <c r="M48" s="128">
        <f>SUMIF(PERFORMANCE!$N:$N,Z48,PERFORMANCE!$G:$G)/1000</f>
        <v>9.9000000000000005E-2</v>
      </c>
      <c r="N48" s="128">
        <f>SUMIF(PERFORMANCE!$N:$N,AA48,PERFORMANCE!$G:$G)/1000</f>
        <v>0</v>
      </c>
      <c r="O48" s="128">
        <f>SUMIF(PERFORMANCE!$N:$N,AB48,PERFORMANCE!$G:$G)/1000</f>
        <v>0</v>
      </c>
      <c r="P48" s="128">
        <f>SUMIF(PERFORMANCE!$N:$N,AC48,PERFORMANCE!$G:$G)/1000</f>
        <v>0</v>
      </c>
      <c r="Q48" s="128">
        <f>SUMIF(PERFORMANCE!$N:$N,AD48,PERFORMANCE!$G:$G)/1000</f>
        <v>0</v>
      </c>
      <c r="R48" s="128">
        <f>SUMIF(PERFORMANCE!$N:$N,AE48,PERFORMANCE!$G:$G)/1000</f>
        <v>0</v>
      </c>
      <c r="S48" s="128">
        <f>SUMIF(PERFORMANCE!$N:$N,AF48,PERFORMANCE!$G:$G)/1000</f>
        <v>0</v>
      </c>
      <c r="T48" s="137">
        <f>SUM(J48:R48)</f>
        <v>9.9000000000000005E-2</v>
      </c>
      <c r="U48" s="252">
        <v>0</v>
      </c>
      <c r="V48" s="231" t="str">
        <f>IF(U48&gt;=100%,"LIBERADO PARA EXPEDIÇÃO","EM ANDAMENTO")</f>
        <v>EM ANDAMENTO</v>
      </c>
      <c r="W48" s="85" t="str">
        <f t="shared" ref="W48" si="126">$D48&amp;J$4</f>
        <v>P-203ESTRUTURA</v>
      </c>
      <c r="X48" s="85" t="str">
        <f t="shared" ref="X48" si="127">$D48&amp;K$4</f>
        <v>P-203USINAGEM</v>
      </c>
      <c r="Y48" s="85" t="str">
        <f t="shared" ref="Y48" si="128">$D48&amp;L$4</f>
        <v>P-203TAMBOR</v>
      </c>
      <c r="Z48" s="85" t="str">
        <f t="shared" ref="Z48" si="129">$D48&amp;M$4</f>
        <v>P-203ROLOS</v>
      </c>
      <c r="AA48" s="85" t="str">
        <f t="shared" ref="AA48" si="130">$D48&amp;N$4</f>
        <v>P-203BASES ROLETES</v>
      </c>
      <c r="AB48" s="85" t="str">
        <f t="shared" ref="AB48" si="131">$D48&amp;O$4</f>
        <v>P-203REVESTIMENTO</v>
      </c>
      <c r="AC48" s="85" t="str">
        <f t="shared" ref="AC48" si="132">$D48&amp;P$4</f>
        <v>P-203RMF</v>
      </c>
      <c r="AD48" s="85" t="str">
        <f t="shared" ref="AD48" si="133">$D48&amp;Q$4</f>
        <v>P-203RMF BASES</v>
      </c>
      <c r="AE48" s="85" t="str">
        <f t="shared" ref="AE48" si="134">$D48&amp;R$4</f>
        <v>P-203TECMETAL</v>
      </c>
      <c r="AF48" s="85" t="str">
        <f t="shared" ref="AF48" si="135">$D48&amp;S$4</f>
        <v>P-203CONHECIMENTO</v>
      </c>
      <c r="AG48" s="85" t="str">
        <f t="shared" ref="AG48" si="136">$D48&amp;T$4</f>
        <v>P-203PESO TOTAL</v>
      </c>
      <c r="AH48" s="68"/>
      <c r="AI48" s="68"/>
    </row>
    <row r="49" spans="1:35" ht="46.5" x14ac:dyDescent="0.7">
      <c r="A49" s="67"/>
      <c r="B49" s="67"/>
      <c r="C49" s="235"/>
      <c r="D49" s="238"/>
      <c r="E49" s="241"/>
      <c r="F49" s="244"/>
      <c r="G49" s="277"/>
      <c r="H49" s="259"/>
      <c r="I49" s="129" t="s">
        <v>3028</v>
      </c>
      <c r="J49" s="130">
        <f t="shared" ref="J49" si="137">J48-J50</f>
        <v>0</v>
      </c>
      <c r="K49" s="130">
        <f t="shared" ref="K49" si="138">K48-K50</f>
        <v>0</v>
      </c>
      <c r="L49" s="130">
        <f t="shared" ref="L49" si="139">L48-L50</f>
        <v>0</v>
      </c>
      <c r="M49" s="130">
        <f t="shared" ref="M49" si="140">M48-M50</f>
        <v>4.9500000000000002E-2</v>
      </c>
      <c r="N49" s="130">
        <f>N48-N50</f>
        <v>0</v>
      </c>
      <c r="O49" s="130">
        <f t="shared" ref="O49" si="141">O48-O50</f>
        <v>0</v>
      </c>
      <c r="P49" s="130">
        <f t="shared" ref="P49" si="142">P48-P50</f>
        <v>0</v>
      </c>
      <c r="Q49" s="130">
        <f t="shared" ref="Q49" si="143">Q48-Q50</f>
        <v>0</v>
      </c>
      <c r="R49" s="130">
        <f t="shared" ref="R49" si="144">R48-R50</f>
        <v>0</v>
      </c>
      <c r="S49" s="130">
        <f t="shared" ref="S49" si="145">S48-S50</f>
        <v>0</v>
      </c>
      <c r="T49" s="138">
        <f t="shared" ref="T49" si="146">T48-T50</f>
        <v>4.9500000000000002E-2</v>
      </c>
      <c r="U49" s="253"/>
      <c r="V49" s="232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68"/>
      <c r="AI49" s="68"/>
    </row>
    <row r="50" spans="1:35" ht="46.5" x14ac:dyDescent="0.7">
      <c r="A50" s="67"/>
      <c r="B50" s="67"/>
      <c r="C50" s="235"/>
      <c r="D50" s="238"/>
      <c r="E50" s="241"/>
      <c r="F50" s="244"/>
      <c r="G50" s="277"/>
      <c r="H50" s="259"/>
      <c r="I50" s="129" t="s">
        <v>3030</v>
      </c>
      <c r="J50" s="131">
        <f>SUMIF(PERFORMANCE!$N:$N,W48,PERFORMANCE!$Q:$Q)/1000</f>
        <v>0</v>
      </c>
      <c r="K50" s="131">
        <f>SUMIF(PERFORMANCE!$N:$N,X48,PERFORMANCE!$Q:$Q)/1000</f>
        <v>0</v>
      </c>
      <c r="L50" s="131">
        <f>SUMIF(PERFORMANCE!$N:$N,Y48,PERFORMANCE!$Q:$Q)/1000</f>
        <v>0</v>
      </c>
      <c r="M50" s="131">
        <f>SUMIF(PERFORMANCE!$N:$N,Z48,PERFORMANCE!$Q:$Q)/1000</f>
        <v>4.9500000000000002E-2</v>
      </c>
      <c r="N50" s="131">
        <f>SUMIF(PERFORMANCE!$N:$N,AA48,PERFORMANCE!$Q:$Q)/1000</f>
        <v>0</v>
      </c>
      <c r="O50" s="131">
        <f>SUMIF(PERFORMANCE!$N:$N,AB48,PERFORMANCE!$Q:$Q)/1000</f>
        <v>0</v>
      </c>
      <c r="P50" s="131">
        <f>SUMIF(PERFORMANCE!$N:$N,AC48,PERFORMANCE!$Q:$Q)/1000</f>
        <v>0</v>
      </c>
      <c r="Q50" s="131">
        <f>SUMIF(PERFORMANCE!$N:$N,AD48,PERFORMANCE!$Q:$Q)/1000</f>
        <v>0</v>
      </c>
      <c r="R50" s="131">
        <f>SUMIF(PERFORMANCE!$N:$N,AE48,PERFORMANCE!$Q:$Q)/1000</f>
        <v>0</v>
      </c>
      <c r="S50" s="131">
        <f>SUMIF(PERFORMANCE!$N:$N,AF48,PERFORMANCE!$Q:$Q)/1000</f>
        <v>0</v>
      </c>
      <c r="T50" s="138">
        <f t="shared" ref="T50" si="147">SUM(J50:R50)</f>
        <v>4.9500000000000002E-2</v>
      </c>
      <c r="U50" s="253"/>
      <c r="V50" s="232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68"/>
      <c r="AI50" s="68"/>
    </row>
    <row r="51" spans="1:35" ht="46.5" x14ac:dyDescent="0.7">
      <c r="A51" s="62"/>
      <c r="B51" s="62"/>
      <c r="C51" s="235"/>
      <c r="D51" s="238"/>
      <c r="E51" s="241"/>
      <c r="F51" s="244"/>
      <c r="G51" s="277"/>
      <c r="H51" s="259"/>
      <c r="I51" s="132" t="s">
        <v>315</v>
      </c>
      <c r="J51" s="131">
        <f>SUMIF(PERFORMANCE!$N:$N,MACRO!W48,PERFORMANCE!$R:$R)/1000</f>
        <v>0</v>
      </c>
      <c r="K51" s="131">
        <f>SUMIF(PERFORMANCE!$N:$N,MACRO!X48,PERFORMANCE!$R:$R)/1000</f>
        <v>0</v>
      </c>
      <c r="L51" s="131">
        <f>SUMIF(PERFORMANCE!$N:$N,MACRO!Y48,PERFORMANCE!$R:$R)/1000</f>
        <v>0</v>
      </c>
      <c r="M51" s="131">
        <f>SUMIF(PERFORMANCE!$N:$N,MACRO!Z48,PERFORMANCE!$R:$R)/1000</f>
        <v>0</v>
      </c>
      <c r="N51" s="131">
        <f>SUMIF(PERFORMANCE!$N:$N,MACRO!AA48,PERFORMANCE!$R:$R)/1000</f>
        <v>0</v>
      </c>
      <c r="O51" s="131">
        <f>SUMIF(PERFORMANCE!$N:$N,MACRO!AB48,PERFORMANCE!$R:$R)/1000</f>
        <v>0</v>
      </c>
      <c r="P51" s="131">
        <f>SUMIF(PERFORMANCE!$N:$N,MACRO!AC48,PERFORMANCE!$R:$R)/1000</f>
        <v>0</v>
      </c>
      <c r="Q51" s="131">
        <f>SUMIF(PERFORMANCE!$N:$N,MACRO!AD48,PERFORMANCE!$R:$R)/1000</f>
        <v>0</v>
      </c>
      <c r="R51" s="131">
        <f>SUMIF(PERFORMANCE!$N:$N,MACRO!AE48,PERFORMANCE!$R:$R)/1000</f>
        <v>0</v>
      </c>
      <c r="S51" s="131">
        <f>SUMIF(PERFORMANCE!W:W,AF48,PERFORMANCE!T:T)/1000</f>
        <v>0</v>
      </c>
      <c r="T51" s="138">
        <f>SUM(J51:R51)</f>
        <v>0</v>
      </c>
      <c r="U51" s="253"/>
      <c r="V51" s="232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68"/>
      <c r="AI51" s="68"/>
    </row>
    <row r="52" spans="1:35" ht="122.25" customHeight="1" thickBot="1" x14ac:dyDescent="0.75">
      <c r="A52" s="67"/>
      <c r="B52" s="67"/>
      <c r="C52" s="236"/>
      <c r="D52" s="239"/>
      <c r="E52" s="242"/>
      <c r="F52" s="245"/>
      <c r="G52" s="278"/>
      <c r="H52" s="260"/>
      <c r="I52" s="133" t="s">
        <v>3029</v>
      </c>
      <c r="J52" s="134">
        <f t="shared" ref="J52:R52" si="148">J48-J51</f>
        <v>0</v>
      </c>
      <c r="K52" s="134">
        <f t="shared" si="148"/>
        <v>0</v>
      </c>
      <c r="L52" s="134">
        <f t="shared" si="148"/>
        <v>0</v>
      </c>
      <c r="M52" s="134">
        <f t="shared" si="148"/>
        <v>9.9000000000000005E-2</v>
      </c>
      <c r="N52" s="134">
        <f t="shared" si="148"/>
        <v>0</v>
      </c>
      <c r="O52" s="134">
        <f t="shared" si="148"/>
        <v>0</v>
      </c>
      <c r="P52" s="134">
        <f t="shared" si="148"/>
        <v>0</v>
      </c>
      <c r="Q52" s="134">
        <f t="shared" si="148"/>
        <v>0</v>
      </c>
      <c r="R52" s="134">
        <f t="shared" si="148"/>
        <v>0</v>
      </c>
      <c r="S52" s="134">
        <f t="shared" ref="S52" si="149">S48--S51</f>
        <v>0</v>
      </c>
      <c r="T52" s="139">
        <f>T48-T51</f>
        <v>9.9000000000000005E-2</v>
      </c>
      <c r="U52" s="254"/>
      <c r="V52" s="233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68"/>
      <c r="AI52" s="68"/>
    </row>
    <row r="53" spans="1:35" ht="22.5" customHeight="1" thickBot="1" x14ac:dyDescent="0.75">
      <c r="A53" s="67"/>
      <c r="B53" s="67"/>
      <c r="C53" s="149"/>
      <c r="D53" s="150"/>
      <c r="E53" s="151"/>
      <c r="F53" s="152"/>
      <c r="G53" s="152"/>
      <c r="H53" s="153"/>
      <c r="I53" s="157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6"/>
      <c r="U53" s="103"/>
      <c r="V53" s="104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68"/>
      <c r="AI53" s="68"/>
    </row>
    <row r="54" spans="1:35" ht="40.5" customHeight="1" x14ac:dyDescent="0.7">
      <c r="A54" s="62"/>
      <c r="B54" s="62"/>
      <c r="C54" s="234" t="s">
        <v>3009</v>
      </c>
      <c r="D54" s="237" t="s">
        <v>3111</v>
      </c>
      <c r="E54" s="240" t="s">
        <v>3164</v>
      </c>
      <c r="F54" s="243">
        <v>46226</v>
      </c>
      <c r="G54" s="246"/>
      <c r="H54" s="258" t="s">
        <v>3314</v>
      </c>
      <c r="I54" s="127" t="s">
        <v>3031</v>
      </c>
      <c r="J54" s="128">
        <f>SUMIF(PERFORMANCE!$N:$N,W54,PERFORMANCE!$G:$G)/1000</f>
        <v>0</v>
      </c>
      <c r="K54" s="128">
        <f>SUMIF(PERFORMANCE!$N:$N,X54,PERFORMANCE!$G:$G)/1000</f>
        <v>0</v>
      </c>
      <c r="L54" s="128">
        <f>SUMIF(PERFORMANCE!$N:$N,Y54,PERFORMANCE!$G:$G)/1000</f>
        <v>0</v>
      </c>
      <c r="M54" s="128">
        <f>SUMIF(PERFORMANCE!$N:$N,Z54,PERFORMANCE!$G:$G)/1000</f>
        <v>0.12299999999999998</v>
      </c>
      <c r="N54" s="128">
        <f>SUMIF(PERFORMANCE!$N:$N,AA54,PERFORMANCE!$G:$G)/1000</f>
        <v>0</v>
      </c>
      <c r="O54" s="128">
        <f>SUMIF(PERFORMANCE!$N:$N,AB54,PERFORMANCE!$G:$G)/1000</f>
        <v>0</v>
      </c>
      <c r="P54" s="128">
        <f>SUMIF(PERFORMANCE!$N:$N,AC54,PERFORMANCE!$G:$G)/1000</f>
        <v>0</v>
      </c>
      <c r="Q54" s="128">
        <f>SUMIF(PERFORMANCE!$N:$N,AD54,PERFORMANCE!$G:$G)/1000</f>
        <v>0</v>
      </c>
      <c r="R54" s="128">
        <f>SUMIF(PERFORMANCE!$N:$N,AE54,PERFORMANCE!$G:$G)/1000</f>
        <v>0</v>
      </c>
      <c r="S54" s="128">
        <f>SUMIF(PERFORMANCE!$N:$N,AF54,PERFORMANCE!$G:$G)/1000</f>
        <v>0</v>
      </c>
      <c r="T54" s="137">
        <f>SUM(J54:R54)</f>
        <v>0.12299999999999998</v>
      </c>
      <c r="U54" s="252">
        <v>0</v>
      </c>
      <c r="V54" s="231" t="str">
        <f>IF(U54&gt;=100%,"LIBERADO PARA EXPEDIÇÃO","EM ANDAMENTO")</f>
        <v>EM ANDAMENTO</v>
      </c>
      <c r="W54" s="85" t="str">
        <f t="shared" ref="W54" si="150">$D54&amp;J$4</f>
        <v>P-204ESTRUTURA</v>
      </c>
      <c r="X54" s="85" t="str">
        <f t="shared" ref="X54" si="151">$D54&amp;K$4</f>
        <v>P-204USINAGEM</v>
      </c>
      <c r="Y54" s="85" t="str">
        <f t="shared" ref="Y54" si="152">$D54&amp;L$4</f>
        <v>P-204TAMBOR</v>
      </c>
      <c r="Z54" s="85" t="str">
        <f t="shared" ref="Z54" si="153">$D54&amp;M$4</f>
        <v>P-204ROLOS</v>
      </c>
      <c r="AA54" s="85" t="str">
        <f t="shared" ref="AA54" si="154">$D54&amp;N$4</f>
        <v>P-204BASES ROLETES</v>
      </c>
      <c r="AB54" s="85" t="str">
        <f t="shared" ref="AB54" si="155">$D54&amp;O$4</f>
        <v>P-204REVESTIMENTO</v>
      </c>
      <c r="AC54" s="85" t="str">
        <f t="shared" ref="AC54" si="156">$D54&amp;P$4</f>
        <v>P-204RMF</v>
      </c>
      <c r="AD54" s="85" t="str">
        <f t="shared" ref="AD54" si="157">$D54&amp;Q$4</f>
        <v>P-204RMF BASES</v>
      </c>
      <c r="AE54" s="85" t="str">
        <f t="shared" ref="AE54" si="158">$D54&amp;R$4</f>
        <v>P-204TECMETAL</v>
      </c>
      <c r="AF54" s="85" t="str">
        <f t="shared" ref="AF54" si="159">$D54&amp;S$4</f>
        <v>P-204CONHECIMENTO</v>
      </c>
      <c r="AG54" s="85" t="str">
        <f t="shared" ref="AG54" si="160">$D54&amp;T$4</f>
        <v>P-204PESO TOTAL</v>
      </c>
      <c r="AH54" s="68"/>
      <c r="AI54" s="68"/>
    </row>
    <row r="55" spans="1:35" ht="46.5" x14ac:dyDescent="0.7">
      <c r="A55" s="67"/>
      <c r="B55" s="67"/>
      <c r="C55" s="235"/>
      <c r="D55" s="238"/>
      <c r="E55" s="241"/>
      <c r="F55" s="244"/>
      <c r="G55" s="247"/>
      <c r="H55" s="259"/>
      <c r="I55" s="129" t="s">
        <v>3028</v>
      </c>
      <c r="J55" s="130">
        <f t="shared" ref="J55" si="161">J54-J56</f>
        <v>0</v>
      </c>
      <c r="K55" s="130">
        <f t="shared" ref="K55" si="162">K54-K56</f>
        <v>0</v>
      </c>
      <c r="L55" s="130">
        <f t="shared" ref="L55" si="163">L54-L56</f>
        <v>0</v>
      </c>
      <c r="M55" s="130">
        <f t="shared" ref="M55" si="164">M54-M56</f>
        <v>6.1499999999999992E-2</v>
      </c>
      <c r="N55" s="130">
        <f>N54-N56</f>
        <v>0</v>
      </c>
      <c r="O55" s="130">
        <f t="shared" ref="O55" si="165">O54-O56</f>
        <v>0</v>
      </c>
      <c r="P55" s="130">
        <f t="shared" ref="P55" si="166">P54-P56</f>
        <v>0</v>
      </c>
      <c r="Q55" s="130">
        <f t="shared" ref="Q55" si="167">Q54-Q56</f>
        <v>0</v>
      </c>
      <c r="R55" s="130">
        <f t="shared" ref="R55" si="168">R54-R56</f>
        <v>0</v>
      </c>
      <c r="S55" s="130">
        <f t="shared" ref="S55" si="169">S54-S56</f>
        <v>0</v>
      </c>
      <c r="T55" s="138">
        <f t="shared" ref="T55" si="170">T54-T56</f>
        <v>6.1499999999999992E-2</v>
      </c>
      <c r="U55" s="253"/>
      <c r="V55" s="232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68"/>
      <c r="AI55" s="68"/>
    </row>
    <row r="56" spans="1:35" ht="46.5" x14ac:dyDescent="0.7">
      <c r="A56" s="67"/>
      <c r="B56" s="67"/>
      <c r="C56" s="235"/>
      <c r="D56" s="238"/>
      <c r="E56" s="241"/>
      <c r="F56" s="244"/>
      <c r="G56" s="247"/>
      <c r="H56" s="259"/>
      <c r="I56" s="129" t="s">
        <v>3030</v>
      </c>
      <c r="J56" s="131">
        <f>SUMIF(PERFORMANCE!$N:$N,W54,PERFORMANCE!$Q:$Q)/1000</f>
        <v>0</v>
      </c>
      <c r="K56" s="131">
        <f>SUMIF(PERFORMANCE!$N:$N,X54,PERFORMANCE!$Q:$Q)/1000</f>
        <v>0</v>
      </c>
      <c r="L56" s="131">
        <f>SUMIF(PERFORMANCE!$N:$N,Y54,PERFORMANCE!$Q:$Q)/1000</f>
        <v>0</v>
      </c>
      <c r="M56" s="131">
        <f>SUMIF(PERFORMANCE!$N:$N,Z54,PERFORMANCE!$Q:$Q)/1000</f>
        <v>6.1499999999999992E-2</v>
      </c>
      <c r="N56" s="131">
        <f>SUMIF(PERFORMANCE!$N:$N,AA54,PERFORMANCE!$Q:$Q)/1000</f>
        <v>0</v>
      </c>
      <c r="O56" s="131">
        <f>SUMIF(PERFORMANCE!$N:$N,AB54,PERFORMANCE!$Q:$Q)/1000</f>
        <v>0</v>
      </c>
      <c r="P56" s="131">
        <f>SUMIF(PERFORMANCE!$N:$N,AC54,PERFORMANCE!$Q:$Q)/1000</f>
        <v>0</v>
      </c>
      <c r="Q56" s="131">
        <f>SUMIF(PERFORMANCE!$N:$N,AD54,PERFORMANCE!$Q:$Q)/1000</f>
        <v>0</v>
      </c>
      <c r="R56" s="131">
        <f>SUMIF(PERFORMANCE!$N:$N,AE54,PERFORMANCE!$Q:$Q)/1000</f>
        <v>0</v>
      </c>
      <c r="S56" s="131">
        <f>SUMIF(PERFORMANCE!$N:$N,AF54,PERFORMANCE!$Q:$Q)/1000</f>
        <v>0</v>
      </c>
      <c r="T56" s="138">
        <f t="shared" ref="T56" si="171">SUM(J56:R56)</f>
        <v>6.1499999999999992E-2</v>
      </c>
      <c r="U56" s="253"/>
      <c r="V56" s="232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68"/>
      <c r="AI56" s="68"/>
    </row>
    <row r="57" spans="1:35" ht="46.5" x14ac:dyDescent="0.7">
      <c r="A57" s="62"/>
      <c r="B57" s="62"/>
      <c r="C57" s="235"/>
      <c r="D57" s="238"/>
      <c r="E57" s="241"/>
      <c r="F57" s="244"/>
      <c r="G57" s="247"/>
      <c r="H57" s="259"/>
      <c r="I57" s="132" t="s">
        <v>315</v>
      </c>
      <c r="J57" s="131">
        <f>SUMIF(PERFORMANCE!$N:$N,MACRO!W54,PERFORMANCE!$R:$R)/1000</f>
        <v>0</v>
      </c>
      <c r="K57" s="131">
        <f>SUMIF(PERFORMANCE!$N:$N,MACRO!X54,PERFORMANCE!$R:$R)/1000</f>
        <v>0</v>
      </c>
      <c r="L57" s="131">
        <f>SUMIF(PERFORMANCE!$N:$N,MACRO!Y54,PERFORMANCE!$R:$R)/1000</f>
        <v>0</v>
      </c>
      <c r="M57" s="131">
        <f>SUMIF(PERFORMANCE!$N:$N,MACRO!Z54,PERFORMANCE!$R:$R)/1000</f>
        <v>0</v>
      </c>
      <c r="N57" s="131">
        <f>SUMIF(PERFORMANCE!$N:$N,MACRO!AA54,PERFORMANCE!$R:$R)/1000</f>
        <v>0</v>
      </c>
      <c r="O57" s="131">
        <f>SUMIF(PERFORMANCE!$N:$N,MACRO!AB54,PERFORMANCE!$R:$R)/1000</f>
        <v>0</v>
      </c>
      <c r="P57" s="131">
        <f>SUMIF(PERFORMANCE!$N:$N,MACRO!AC54,PERFORMANCE!$R:$R)/1000</f>
        <v>0</v>
      </c>
      <c r="Q57" s="131">
        <f>SUMIF(PERFORMANCE!$N:$N,MACRO!AD54,PERFORMANCE!$R:$R)/1000</f>
        <v>0</v>
      </c>
      <c r="R57" s="131">
        <f>SUMIF(PERFORMANCE!$N:$N,MACRO!AE54,PERFORMANCE!$R:$R)/1000</f>
        <v>0</v>
      </c>
      <c r="S57" s="131">
        <f>SUMIF(PERFORMANCE!W:W,AF54,PERFORMANCE!T:T)/1000</f>
        <v>0</v>
      </c>
      <c r="T57" s="138">
        <f>SUM(J57:R57)</f>
        <v>0</v>
      </c>
      <c r="U57" s="253"/>
      <c r="V57" s="232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68"/>
      <c r="AI57" s="68"/>
    </row>
    <row r="58" spans="1:35" ht="122.25" customHeight="1" thickBot="1" x14ac:dyDescent="0.75">
      <c r="A58" s="67"/>
      <c r="B58" s="67"/>
      <c r="C58" s="236"/>
      <c r="D58" s="239"/>
      <c r="E58" s="242"/>
      <c r="F58" s="245"/>
      <c r="G58" s="248"/>
      <c r="H58" s="260"/>
      <c r="I58" s="133" t="s">
        <v>3029</v>
      </c>
      <c r="J58" s="134">
        <f t="shared" ref="J58:R58" si="172">J54-J57</f>
        <v>0</v>
      </c>
      <c r="K58" s="134">
        <f t="shared" si="172"/>
        <v>0</v>
      </c>
      <c r="L58" s="134">
        <f t="shared" si="172"/>
        <v>0</v>
      </c>
      <c r="M58" s="134">
        <f t="shared" si="172"/>
        <v>0.12299999999999998</v>
      </c>
      <c r="N58" s="134">
        <f t="shared" si="172"/>
        <v>0</v>
      </c>
      <c r="O58" s="134">
        <f t="shared" si="172"/>
        <v>0</v>
      </c>
      <c r="P58" s="134">
        <f t="shared" si="172"/>
        <v>0</v>
      </c>
      <c r="Q58" s="134">
        <f t="shared" si="172"/>
        <v>0</v>
      </c>
      <c r="R58" s="134">
        <f t="shared" si="172"/>
        <v>0</v>
      </c>
      <c r="S58" s="134">
        <f t="shared" ref="S58" si="173">S54--S57</f>
        <v>0</v>
      </c>
      <c r="T58" s="139">
        <f>T54-T57</f>
        <v>0.12299999999999998</v>
      </c>
      <c r="U58" s="254"/>
      <c r="V58" s="233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68"/>
      <c r="AI58" s="68"/>
    </row>
    <row r="59" spans="1:35" ht="22.5" customHeight="1" thickBot="1" x14ac:dyDescent="0.75">
      <c r="A59" s="67"/>
      <c r="B59" s="67"/>
      <c r="C59" s="149"/>
      <c r="D59" s="150"/>
      <c r="E59" s="151"/>
      <c r="F59" s="152"/>
      <c r="G59" s="152"/>
      <c r="H59" s="153"/>
      <c r="I59" s="157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6"/>
      <c r="U59" s="103"/>
      <c r="V59" s="104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68"/>
      <c r="AI59" s="68"/>
    </row>
    <row r="60" spans="1:35" ht="40.5" customHeight="1" x14ac:dyDescent="0.7">
      <c r="A60" s="62"/>
      <c r="B60" s="62"/>
      <c r="C60" s="234" t="s">
        <v>3165</v>
      </c>
      <c r="D60" s="237" t="s">
        <v>3163</v>
      </c>
      <c r="E60" s="240" t="s">
        <v>3166</v>
      </c>
      <c r="F60" s="243">
        <v>46235</v>
      </c>
      <c r="G60" s="246"/>
      <c r="H60" s="249" t="s">
        <v>1875</v>
      </c>
      <c r="I60" s="127" t="s">
        <v>3031</v>
      </c>
      <c r="J60" s="128">
        <f>SUMIF(PERFORMANCE!$N:$N,W60,PERFORMANCE!$G:$G)/1000</f>
        <v>0</v>
      </c>
      <c r="K60" s="128">
        <f>SUMIF(PERFORMANCE!$N:$N,X60,PERFORMANCE!$G:$G)/1000</f>
        <v>0</v>
      </c>
      <c r="L60" s="128">
        <f>SUMIF(PERFORMANCE!$N:$N,Y60,PERFORMANCE!$G:$G)/1000</f>
        <v>0</v>
      </c>
      <c r="M60" s="128">
        <f>SUMIF(PERFORMANCE!$N:$N,Z60,PERFORMANCE!$G:$G)/1000</f>
        <v>0</v>
      </c>
      <c r="N60" s="128">
        <f>SUMIF(PERFORMANCE!$N:$N,AA60,PERFORMANCE!$G:$G)/1000</f>
        <v>9.7199999999999995E-2</v>
      </c>
      <c r="O60" s="128">
        <f>SUMIF(PERFORMANCE!$N:$N,AB60,PERFORMANCE!$G:$G)/1000</f>
        <v>0</v>
      </c>
      <c r="P60" s="128">
        <f>SUMIF(PERFORMANCE!$N:$N,AC60,PERFORMANCE!$G:$G)/1000</f>
        <v>0</v>
      </c>
      <c r="Q60" s="128">
        <f>SUMIF(PERFORMANCE!$N:$N,AD60,PERFORMANCE!$G:$G)/1000</f>
        <v>0</v>
      </c>
      <c r="R60" s="128">
        <f>SUMIF(PERFORMANCE!$N:$N,AE60,PERFORMANCE!$G:$G)/1000</f>
        <v>0</v>
      </c>
      <c r="S60" s="128">
        <f>SUMIF(PERFORMANCE!$N:$N,AF60,PERFORMANCE!$G:$G)/1000</f>
        <v>0</v>
      </c>
      <c r="T60" s="137">
        <f>SUM(J60:R60)</f>
        <v>9.7199999999999995E-2</v>
      </c>
      <c r="U60" s="252">
        <v>0</v>
      </c>
      <c r="V60" s="231" t="str">
        <f>IF(U60&gt;=100%,"LIBERADO PARA EXPEDIÇÃO","EM ANDAMENTO")</f>
        <v>EM ANDAMENTO</v>
      </c>
      <c r="W60" s="85" t="str">
        <f t="shared" ref="W60" si="174">$D60&amp;J$4</f>
        <v>P-205ESTRUTURA</v>
      </c>
      <c r="X60" s="85" t="str">
        <f t="shared" ref="X60" si="175">$D60&amp;K$4</f>
        <v>P-205USINAGEM</v>
      </c>
      <c r="Y60" s="85" t="str">
        <f t="shared" ref="Y60" si="176">$D60&amp;L$4</f>
        <v>P-205TAMBOR</v>
      </c>
      <c r="Z60" s="85" t="str">
        <f t="shared" ref="Z60" si="177">$D60&amp;M$4</f>
        <v>P-205ROLOS</v>
      </c>
      <c r="AA60" s="85" t="str">
        <f t="shared" ref="AA60" si="178">$D60&amp;N$4</f>
        <v>P-205BASES ROLETES</v>
      </c>
      <c r="AB60" s="85" t="str">
        <f t="shared" ref="AB60" si="179">$D60&amp;O$4</f>
        <v>P-205REVESTIMENTO</v>
      </c>
      <c r="AC60" s="85" t="str">
        <f t="shared" ref="AC60" si="180">$D60&amp;P$4</f>
        <v>P-205RMF</v>
      </c>
      <c r="AD60" s="85" t="str">
        <f t="shared" ref="AD60" si="181">$D60&amp;Q$4</f>
        <v>P-205RMF BASES</v>
      </c>
      <c r="AE60" s="85" t="str">
        <f t="shared" ref="AE60" si="182">$D60&amp;R$4</f>
        <v>P-205TECMETAL</v>
      </c>
      <c r="AF60" s="85" t="str">
        <f t="shared" ref="AF60" si="183">$D60&amp;S$4</f>
        <v>P-205CONHECIMENTO</v>
      </c>
      <c r="AG60" s="85" t="str">
        <f t="shared" ref="AG60" si="184">$D60&amp;T$4</f>
        <v>P-205PESO TOTAL</v>
      </c>
      <c r="AH60" s="68"/>
      <c r="AI60" s="68"/>
    </row>
    <row r="61" spans="1:35" ht="46.5" x14ac:dyDescent="0.7">
      <c r="A61" s="67"/>
      <c r="B61" s="67"/>
      <c r="C61" s="235"/>
      <c r="D61" s="238"/>
      <c r="E61" s="241"/>
      <c r="F61" s="244"/>
      <c r="G61" s="247"/>
      <c r="H61" s="250"/>
      <c r="I61" s="129" t="s">
        <v>3028</v>
      </c>
      <c r="J61" s="130">
        <f t="shared" ref="J61" si="185">J60-J62</f>
        <v>0</v>
      </c>
      <c r="K61" s="130">
        <f t="shared" ref="K61" si="186">K60-K62</f>
        <v>0</v>
      </c>
      <c r="L61" s="130">
        <f t="shared" ref="L61" si="187">L60-L62</f>
        <v>0</v>
      </c>
      <c r="M61" s="130">
        <f t="shared" ref="M61" si="188">M60-M62</f>
        <v>0</v>
      </c>
      <c r="N61" s="130">
        <f>N60-N62</f>
        <v>6.8040000000000003E-2</v>
      </c>
      <c r="O61" s="130">
        <f t="shared" ref="O61" si="189">O60-O62</f>
        <v>0</v>
      </c>
      <c r="P61" s="130">
        <f t="shared" ref="P61" si="190">P60-P62</f>
        <v>0</v>
      </c>
      <c r="Q61" s="130">
        <f t="shared" ref="Q61" si="191">Q60-Q62</f>
        <v>0</v>
      </c>
      <c r="R61" s="130">
        <f t="shared" ref="R61" si="192">R60-R62</f>
        <v>0</v>
      </c>
      <c r="S61" s="130">
        <f t="shared" ref="S61" si="193">S60-S62</f>
        <v>0</v>
      </c>
      <c r="T61" s="138">
        <f t="shared" ref="T61" si="194">T60-T62</f>
        <v>6.8040000000000003E-2</v>
      </c>
      <c r="U61" s="253"/>
      <c r="V61" s="232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68"/>
      <c r="AI61" s="68"/>
    </row>
    <row r="62" spans="1:35" ht="46.5" x14ac:dyDescent="0.7">
      <c r="A62" s="67"/>
      <c r="B62" s="67"/>
      <c r="C62" s="235"/>
      <c r="D62" s="238"/>
      <c r="E62" s="241"/>
      <c r="F62" s="244"/>
      <c r="G62" s="247"/>
      <c r="H62" s="250"/>
      <c r="I62" s="129" t="s">
        <v>3030</v>
      </c>
      <c r="J62" s="131">
        <f>SUMIF(PERFORMANCE!$N:$N,W60,PERFORMANCE!$Q:$Q)/1000</f>
        <v>0</v>
      </c>
      <c r="K62" s="131">
        <f>SUMIF(PERFORMANCE!$N:$N,X60,PERFORMANCE!$Q:$Q)/1000</f>
        <v>0</v>
      </c>
      <c r="L62" s="131">
        <f>SUMIF(PERFORMANCE!$N:$N,Y60,PERFORMANCE!$Q:$Q)/1000</f>
        <v>0</v>
      </c>
      <c r="M62" s="131">
        <f>SUMIF(PERFORMANCE!$N:$N,Z60,PERFORMANCE!$Q:$Q)/1000</f>
        <v>0</v>
      </c>
      <c r="N62" s="131">
        <f>SUMIF(PERFORMANCE!$N:$N,AA60,PERFORMANCE!$Q:$Q)/1000</f>
        <v>2.9159999999999995E-2</v>
      </c>
      <c r="O62" s="131">
        <f>SUMIF(PERFORMANCE!$N:$N,AB60,PERFORMANCE!$Q:$Q)/1000</f>
        <v>0</v>
      </c>
      <c r="P62" s="131">
        <f>SUMIF(PERFORMANCE!$N:$N,AC60,PERFORMANCE!$Q:$Q)/1000</f>
        <v>0</v>
      </c>
      <c r="Q62" s="131">
        <f>SUMIF(PERFORMANCE!$N:$N,AD60,PERFORMANCE!$Q:$Q)/1000</f>
        <v>0</v>
      </c>
      <c r="R62" s="131">
        <f>SUMIF(PERFORMANCE!$N:$N,AE60,PERFORMANCE!$Q:$Q)/1000</f>
        <v>0</v>
      </c>
      <c r="S62" s="131">
        <f>SUMIF(PERFORMANCE!$N:$N,AF60,PERFORMANCE!$Q:$Q)/1000</f>
        <v>0</v>
      </c>
      <c r="T62" s="138">
        <f t="shared" ref="T62" si="195">SUM(J62:R62)</f>
        <v>2.9159999999999995E-2</v>
      </c>
      <c r="U62" s="253"/>
      <c r="V62" s="232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68"/>
      <c r="AI62" s="68"/>
    </row>
    <row r="63" spans="1:35" ht="46.5" x14ac:dyDescent="0.7">
      <c r="A63" s="62"/>
      <c r="B63" s="62"/>
      <c r="C63" s="235"/>
      <c r="D63" s="238"/>
      <c r="E63" s="241"/>
      <c r="F63" s="244"/>
      <c r="G63" s="247"/>
      <c r="H63" s="250"/>
      <c r="I63" s="132" t="s">
        <v>315</v>
      </c>
      <c r="J63" s="131">
        <f>SUMIF(PERFORMANCE!$N:$N,MACRO!W60,PERFORMANCE!$R:$R)/1000</f>
        <v>0</v>
      </c>
      <c r="K63" s="131">
        <f>SUMIF(PERFORMANCE!$N:$N,MACRO!X60,PERFORMANCE!$R:$R)/1000</f>
        <v>0</v>
      </c>
      <c r="L63" s="131">
        <f>SUMIF(PERFORMANCE!$N:$N,MACRO!Y60,PERFORMANCE!$R:$R)/1000</f>
        <v>0</v>
      </c>
      <c r="M63" s="131">
        <f>SUMIF(PERFORMANCE!$N:$N,MACRO!Z60,PERFORMANCE!$R:$R)/1000</f>
        <v>0</v>
      </c>
      <c r="N63" s="131">
        <f>SUMIF(PERFORMANCE!$N:$N,MACRO!AA60,PERFORMANCE!$R:$R)/1000</f>
        <v>0</v>
      </c>
      <c r="O63" s="131">
        <f>SUMIF(PERFORMANCE!$N:$N,MACRO!AB60,PERFORMANCE!$R:$R)/1000</f>
        <v>0</v>
      </c>
      <c r="P63" s="131">
        <f>SUMIF(PERFORMANCE!$N:$N,MACRO!AC60,PERFORMANCE!$R:$R)/1000</f>
        <v>0</v>
      </c>
      <c r="Q63" s="131">
        <f>SUMIF(PERFORMANCE!$N:$N,MACRO!AD60,PERFORMANCE!$R:$R)/1000</f>
        <v>0</v>
      </c>
      <c r="R63" s="131">
        <f>SUMIF(PERFORMANCE!$N:$N,MACRO!AE60,PERFORMANCE!$R:$R)/1000</f>
        <v>0</v>
      </c>
      <c r="S63" s="131">
        <f>SUMIF(PERFORMANCE!W:W,AF60,PERFORMANCE!T:T)/1000</f>
        <v>0</v>
      </c>
      <c r="T63" s="138">
        <f>SUM(J63:R63)</f>
        <v>0</v>
      </c>
      <c r="U63" s="253"/>
      <c r="V63" s="232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68"/>
      <c r="AI63" s="68"/>
    </row>
    <row r="64" spans="1:35" ht="122.25" customHeight="1" thickBot="1" x14ac:dyDescent="0.75">
      <c r="A64" s="67"/>
      <c r="B64" s="67"/>
      <c r="C64" s="236"/>
      <c r="D64" s="239"/>
      <c r="E64" s="242"/>
      <c r="F64" s="245"/>
      <c r="G64" s="248"/>
      <c r="H64" s="251"/>
      <c r="I64" s="133" t="s">
        <v>3029</v>
      </c>
      <c r="J64" s="134">
        <f t="shared" ref="J64:R64" si="196">J60-J63</f>
        <v>0</v>
      </c>
      <c r="K64" s="134">
        <f t="shared" si="196"/>
        <v>0</v>
      </c>
      <c r="L64" s="134">
        <f t="shared" si="196"/>
        <v>0</v>
      </c>
      <c r="M64" s="134">
        <f t="shared" si="196"/>
        <v>0</v>
      </c>
      <c r="N64" s="134">
        <f t="shared" si="196"/>
        <v>9.7199999999999995E-2</v>
      </c>
      <c r="O64" s="134">
        <f t="shared" si="196"/>
        <v>0</v>
      </c>
      <c r="P64" s="134">
        <f t="shared" si="196"/>
        <v>0</v>
      </c>
      <c r="Q64" s="134">
        <f t="shared" si="196"/>
        <v>0</v>
      </c>
      <c r="R64" s="134">
        <f t="shared" si="196"/>
        <v>0</v>
      </c>
      <c r="S64" s="134">
        <f t="shared" ref="S64" si="197">S60--S63</f>
        <v>0</v>
      </c>
      <c r="T64" s="139">
        <f>T60-T63</f>
        <v>9.7199999999999995E-2</v>
      </c>
      <c r="U64" s="254"/>
      <c r="V64" s="233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68"/>
      <c r="AI64" s="68"/>
    </row>
    <row r="65" spans="1:35" ht="22.5" customHeight="1" thickBot="1" x14ac:dyDescent="0.75">
      <c r="A65" s="67"/>
      <c r="B65" s="67"/>
      <c r="C65" s="149"/>
      <c r="D65" s="150"/>
      <c r="E65" s="151"/>
      <c r="F65" s="152"/>
      <c r="G65" s="152"/>
      <c r="H65" s="153"/>
      <c r="I65" s="157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56"/>
      <c r="U65" s="103"/>
      <c r="V65" s="104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68"/>
      <c r="AI65" s="68"/>
    </row>
    <row r="66" spans="1:35" ht="40.5" customHeight="1" x14ac:dyDescent="0.7">
      <c r="A66" s="62"/>
      <c r="B66" s="62"/>
      <c r="C66" s="234" t="s">
        <v>4308</v>
      </c>
      <c r="D66" s="237" t="s">
        <v>4300</v>
      </c>
      <c r="E66" s="240" t="s">
        <v>4309</v>
      </c>
      <c r="F66" s="243">
        <v>46233</v>
      </c>
      <c r="G66" s="246"/>
      <c r="H66" s="249" t="s">
        <v>1875</v>
      </c>
      <c r="I66" s="127" t="s">
        <v>3031</v>
      </c>
      <c r="J66" s="128">
        <f>SUMIF(PERFORMANCE!$N:$N,W66,PERFORMANCE!$G:$G)/1000</f>
        <v>0</v>
      </c>
      <c r="K66" s="128">
        <f>SUMIF(PERFORMANCE!$N:$N,X66,PERFORMANCE!$G:$G)/1000</f>
        <v>0</v>
      </c>
      <c r="L66" s="128">
        <f>SUMIF(PERFORMANCE!$N:$N,Y66,PERFORMANCE!$G:$G)/1000</f>
        <v>0</v>
      </c>
      <c r="M66" s="128">
        <f>SUMIF(PERFORMANCE!$N:$N,Z66,PERFORMANCE!$G:$G)/1000</f>
        <v>0.13500000000000001</v>
      </c>
      <c r="N66" s="128">
        <f>SUMIF(PERFORMANCE!$N:$N,AA66,PERFORMANCE!$G:$G)/1000</f>
        <v>0</v>
      </c>
      <c r="O66" s="128">
        <f>SUMIF(PERFORMANCE!$N:$N,AB66,PERFORMANCE!$G:$G)/1000</f>
        <v>0</v>
      </c>
      <c r="P66" s="128">
        <f>SUMIF(PERFORMANCE!$N:$N,AC66,PERFORMANCE!$G:$G)/1000</f>
        <v>0</v>
      </c>
      <c r="Q66" s="128">
        <f>SUMIF(PERFORMANCE!$N:$N,AD66,PERFORMANCE!$G:$G)/1000</f>
        <v>0</v>
      </c>
      <c r="R66" s="128">
        <f>SUMIF(PERFORMANCE!$N:$N,AE66,PERFORMANCE!$G:$G)/1000</f>
        <v>0</v>
      </c>
      <c r="S66" s="128">
        <f>SUMIF(PERFORMANCE!$N:$N,AF66,PERFORMANCE!$G:$G)/1000</f>
        <v>0</v>
      </c>
      <c r="T66" s="137">
        <f>SUM(J66:R66)</f>
        <v>0.13500000000000001</v>
      </c>
      <c r="U66" s="252">
        <v>0</v>
      </c>
      <c r="V66" s="231" t="str">
        <f>IF(U66&gt;=100%,"LIBERADO PARA EXPEDIÇÃO","EM ANDAMENTO")</f>
        <v>EM ANDAMENTO</v>
      </c>
      <c r="W66" s="85" t="str">
        <f t="shared" ref="W66" si="198">$D66&amp;J$4</f>
        <v>P-208ESTRUTURA</v>
      </c>
      <c r="X66" s="85" t="str">
        <f t="shared" ref="X66" si="199">$D66&amp;K$4</f>
        <v>P-208USINAGEM</v>
      </c>
      <c r="Y66" s="85" t="str">
        <f t="shared" ref="Y66" si="200">$D66&amp;L$4</f>
        <v>P-208TAMBOR</v>
      </c>
      <c r="Z66" s="85" t="str">
        <f t="shared" ref="Z66" si="201">$D66&amp;M$4</f>
        <v>P-208ROLOS</v>
      </c>
      <c r="AA66" s="85" t="str">
        <f t="shared" ref="AA66" si="202">$D66&amp;N$4</f>
        <v>P-208BASES ROLETES</v>
      </c>
      <c r="AB66" s="85" t="str">
        <f t="shared" ref="AB66" si="203">$D66&amp;O$4</f>
        <v>P-208REVESTIMENTO</v>
      </c>
      <c r="AC66" s="85" t="str">
        <f t="shared" ref="AC66" si="204">$D66&amp;P$4</f>
        <v>P-208RMF</v>
      </c>
      <c r="AD66" s="85" t="str">
        <f t="shared" ref="AD66" si="205">$D66&amp;Q$4</f>
        <v>P-208RMF BASES</v>
      </c>
      <c r="AE66" s="85" t="str">
        <f t="shared" ref="AE66" si="206">$D66&amp;R$4</f>
        <v>P-208TECMETAL</v>
      </c>
      <c r="AF66" s="85" t="str">
        <f t="shared" ref="AF66" si="207">$D66&amp;S$4</f>
        <v>P-208CONHECIMENTO</v>
      </c>
      <c r="AG66" s="85" t="str">
        <f t="shared" ref="AG66" si="208">$D66&amp;T$4</f>
        <v>P-208PESO TOTAL</v>
      </c>
      <c r="AH66" s="68"/>
      <c r="AI66" s="68"/>
    </row>
    <row r="67" spans="1:35" ht="46.5" x14ac:dyDescent="0.7">
      <c r="A67" s="67"/>
      <c r="B67" s="67"/>
      <c r="C67" s="235"/>
      <c r="D67" s="238"/>
      <c r="E67" s="241"/>
      <c r="F67" s="244"/>
      <c r="G67" s="247"/>
      <c r="H67" s="250"/>
      <c r="I67" s="129" t="s">
        <v>3028</v>
      </c>
      <c r="J67" s="130">
        <f t="shared" ref="J67:M67" si="209">J66-J68</f>
        <v>0</v>
      </c>
      <c r="K67" s="130">
        <f t="shared" si="209"/>
        <v>0</v>
      </c>
      <c r="L67" s="130">
        <f t="shared" si="209"/>
        <v>0</v>
      </c>
      <c r="M67" s="130">
        <f t="shared" si="209"/>
        <v>6.7500000000000004E-2</v>
      </c>
      <c r="N67" s="130">
        <f>N66-N68</f>
        <v>0</v>
      </c>
      <c r="O67" s="130">
        <f t="shared" ref="O67:T67" si="210">O66-O68</f>
        <v>0</v>
      </c>
      <c r="P67" s="130">
        <f t="shared" si="210"/>
        <v>0</v>
      </c>
      <c r="Q67" s="130">
        <f t="shared" si="210"/>
        <v>0</v>
      </c>
      <c r="R67" s="130">
        <f t="shared" si="210"/>
        <v>0</v>
      </c>
      <c r="S67" s="130">
        <f t="shared" si="210"/>
        <v>0</v>
      </c>
      <c r="T67" s="138">
        <f t="shared" si="210"/>
        <v>6.7500000000000004E-2</v>
      </c>
      <c r="U67" s="253"/>
      <c r="V67" s="232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68"/>
      <c r="AI67" s="68"/>
    </row>
    <row r="68" spans="1:35" ht="46.5" x14ac:dyDescent="0.7">
      <c r="A68" s="67"/>
      <c r="B68" s="67"/>
      <c r="C68" s="235"/>
      <c r="D68" s="238"/>
      <c r="E68" s="241"/>
      <c r="F68" s="244"/>
      <c r="G68" s="247"/>
      <c r="H68" s="250"/>
      <c r="I68" s="129" t="s">
        <v>3030</v>
      </c>
      <c r="J68" s="131">
        <f>SUMIF(PERFORMANCE!$N:$N,W66,PERFORMANCE!$Q:$Q)/1000</f>
        <v>0</v>
      </c>
      <c r="K68" s="131">
        <f>SUMIF(PERFORMANCE!$N:$N,X66,PERFORMANCE!$Q:$Q)/1000</f>
        <v>0</v>
      </c>
      <c r="L68" s="131">
        <f>SUMIF(PERFORMANCE!$N:$N,Y66,PERFORMANCE!$Q:$Q)/1000</f>
        <v>0</v>
      </c>
      <c r="M68" s="131">
        <f>SUMIF(PERFORMANCE!$N:$N,Z66,PERFORMANCE!$Q:$Q)/1000</f>
        <v>6.7500000000000004E-2</v>
      </c>
      <c r="N68" s="131">
        <f>SUMIF(PERFORMANCE!$N:$N,AA66,PERFORMANCE!$Q:$Q)/1000</f>
        <v>0</v>
      </c>
      <c r="O68" s="131">
        <f>SUMIF(PERFORMANCE!$N:$N,AB66,PERFORMANCE!$Q:$Q)/1000</f>
        <v>0</v>
      </c>
      <c r="P68" s="131">
        <f>SUMIF(PERFORMANCE!$N:$N,AC66,PERFORMANCE!$Q:$Q)/1000</f>
        <v>0</v>
      </c>
      <c r="Q68" s="131">
        <f>SUMIF(PERFORMANCE!$N:$N,AD66,PERFORMANCE!$Q:$Q)/1000</f>
        <v>0</v>
      </c>
      <c r="R68" s="131">
        <f>SUMIF(PERFORMANCE!$N:$N,AE66,PERFORMANCE!$Q:$Q)/1000</f>
        <v>0</v>
      </c>
      <c r="S68" s="131">
        <f>SUMIF(PERFORMANCE!$N:$N,AF66,PERFORMANCE!$Q:$Q)/1000</f>
        <v>0</v>
      </c>
      <c r="T68" s="138">
        <f t="shared" ref="T68" si="211">SUM(J68:R68)</f>
        <v>6.7500000000000004E-2</v>
      </c>
      <c r="U68" s="253"/>
      <c r="V68" s="232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68"/>
      <c r="AI68" s="68"/>
    </row>
    <row r="69" spans="1:35" ht="46.5" x14ac:dyDescent="0.7">
      <c r="A69" s="62"/>
      <c r="B69" s="62"/>
      <c r="C69" s="235"/>
      <c r="D69" s="238"/>
      <c r="E69" s="241"/>
      <c r="F69" s="244"/>
      <c r="G69" s="247"/>
      <c r="H69" s="250"/>
      <c r="I69" s="132" t="s">
        <v>315</v>
      </c>
      <c r="J69" s="131">
        <f>SUMIF(PERFORMANCE!$N:$N,MACRO!W66,PERFORMANCE!$R:$R)/1000</f>
        <v>0</v>
      </c>
      <c r="K69" s="131">
        <f>SUMIF(PERFORMANCE!$N:$N,MACRO!X66,PERFORMANCE!$R:$R)/1000</f>
        <v>0</v>
      </c>
      <c r="L69" s="131">
        <f>SUMIF(PERFORMANCE!$N:$N,MACRO!Y66,PERFORMANCE!$R:$R)/1000</f>
        <v>0</v>
      </c>
      <c r="M69" s="131">
        <f>SUMIF(PERFORMANCE!$N:$N,MACRO!Z66,PERFORMANCE!$R:$R)/1000</f>
        <v>0</v>
      </c>
      <c r="N69" s="131">
        <f>SUMIF(PERFORMANCE!$N:$N,MACRO!AA66,PERFORMANCE!$R:$R)/1000</f>
        <v>0</v>
      </c>
      <c r="O69" s="131">
        <f>SUMIF(PERFORMANCE!$N:$N,MACRO!AB66,PERFORMANCE!$R:$R)/1000</f>
        <v>0</v>
      </c>
      <c r="P69" s="131">
        <f>SUMIF(PERFORMANCE!$N:$N,MACRO!AC66,PERFORMANCE!$R:$R)/1000</f>
        <v>0</v>
      </c>
      <c r="Q69" s="131">
        <f>SUMIF(PERFORMANCE!$N:$N,MACRO!AD66,PERFORMANCE!$R:$R)/1000</f>
        <v>0</v>
      </c>
      <c r="R69" s="131">
        <f>SUMIF(PERFORMANCE!$N:$N,MACRO!AE66,PERFORMANCE!$R:$R)/1000</f>
        <v>0</v>
      </c>
      <c r="S69" s="131">
        <f>SUMIF(PERFORMANCE!W:W,AF66,PERFORMANCE!T:T)/1000</f>
        <v>0</v>
      </c>
      <c r="T69" s="138">
        <f>SUM(J69:R69)</f>
        <v>0</v>
      </c>
      <c r="U69" s="253"/>
      <c r="V69" s="232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68"/>
      <c r="AI69" s="68"/>
    </row>
    <row r="70" spans="1:35" ht="122.25" customHeight="1" thickBot="1" x14ac:dyDescent="0.75">
      <c r="A70" s="67"/>
      <c r="B70" s="67"/>
      <c r="C70" s="236"/>
      <c r="D70" s="239"/>
      <c r="E70" s="242"/>
      <c r="F70" s="245"/>
      <c r="G70" s="248"/>
      <c r="H70" s="251"/>
      <c r="I70" s="133" t="s">
        <v>3029</v>
      </c>
      <c r="J70" s="134">
        <f t="shared" ref="J70:R70" si="212">J66-J69</f>
        <v>0</v>
      </c>
      <c r="K70" s="134">
        <f t="shared" si="212"/>
        <v>0</v>
      </c>
      <c r="L70" s="134">
        <f t="shared" si="212"/>
        <v>0</v>
      </c>
      <c r="M70" s="134">
        <f t="shared" si="212"/>
        <v>0.13500000000000001</v>
      </c>
      <c r="N70" s="134">
        <f t="shared" si="212"/>
        <v>0</v>
      </c>
      <c r="O70" s="134">
        <f t="shared" si="212"/>
        <v>0</v>
      </c>
      <c r="P70" s="134">
        <f t="shared" si="212"/>
        <v>0</v>
      </c>
      <c r="Q70" s="134">
        <f t="shared" si="212"/>
        <v>0</v>
      </c>
      <c r="R70" s="134">
        <f t="shared" si="212"/>
        <v>0</v>
      </c>
      <c r="S70" s="134">
        <f t="shared" ref="S70" si="213">S66--S69</f>
        <v>0</v>
      </c>
      <c r="T70" s="139">
        <f>T66-T69</f>
        <v>0.13500000000000001</v>
      </c>
      <c r="U70" s="254"/>
      <c r="V70" s="233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68"/>
      <c r="AI70" s="68"/>
    </row>
    <row r="71" spans="1:35" ht="22.5" customHeight="1" thickBot="1" x14ac:dyDescent="0.75">
      <c r="A71" s="67"/>
      <c r="B71" s="67"/>
      <c r="C71" s="149"/>
      <c r="D71" s="150"/>
      <c r="E71" s="151"/>
      <c r="F71" s="152"/>
      <c r="G71" s="152"/>
      <c r="H71" s="153"/>
      <c r="I71" s="157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56"/>
      <c r="U71" s="103"/>
      <c r="V71" s="104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68"/>
      <c r="AI71" s="68"/>
    </row>
    <row r="72" spans="1:35" ht="40.5" customHeight="1" x14ac:dyDescent="0.7">
      <c r="A72" s="62"/>
      <c r="B72" s="62"/>
      <c r="C72" s="234" t="s">
        <v>3165</v>
      </c>
      <c r="D72" s="237" t="s">
        <v>4307</v>
      </c>
      <c r="E72" s="240" t="s">
        <v>4310</v>
      </c>
      <c r="F72" s="243">
        <v>46280</v>
      </c>
      <c r="G72" s="246"/>
      <c r="H72" s="249" t="s">
        <v>1875</v>
      </c>
      <c r="I72" s="127" t="s">
        <v>3031</v>
      </c>
      <c r="J72" s="128">
        <f>SUMIF(PERFORMANCE!$N:$N,W72,PERFORMANCE!$G:$G)/1000</f>
        <v>0</v>
      </c>
      <c r="K72" s="128">
        <f>SUMIF(PERFORMANCE!$N:$N,X72,PERFORMANCE!$G:$G)/1000</f>
        <v>0.1196</v>
      </c>
      <c r="L72" s="128">
        <f>SUMIF(PERFORMANCE!$N:$N,Y72,PERFORMANCE!$G:$G)/1000</f>
        <v>0</v>
      </c>
      <c r="M72" s="128">
        <f>SUMIF(PERFORMANCE!$N:$N,Z72,PERFORMANCE!$G:$G)/1000</f>
        <v>0</v>
      </c>
      <c r="N72" s="128">
        <f>SUMIF(PERFORMANCE!$N:$N,AA72,PERFORMANCE!$G:$G)/1000</f>
        <v>0</v>
      </c>
      <c r="O72" s="128">
        <f>SUMIF(PERFORMANCE!$N:$N,AB72,PERFORMANCE!$G:$G)/1000</f>
        <v>0</v>
      </c>
      <c r="P72" s="128">
        <f>SUMIF(PERFORMANCE!$N:$N,AC72,PERFORMANCE!$G:$G)/1000</f>
        <v>0</v>
      </c>
      <c r="Q72" s="128">
        <f>SUMIF(PERFORMANCE!$N:$N,AD72,PERFORMANCE!$G:$G)/1000</f>
        <v>0</v>
      </c>
      <c r="R72" s="128">
        <f>SUMIF(PERFORMANCE!$N:$N,AE72,PERFORMANCE!$G:$G)/1000</f>
        <v>0</v>
      </c>
      <c r="S72" s="128">
        <f>SUMIF(PERFORMANCE!$N:$N,AF72,PERFORMANCE!$G:$G)/1000</f>
        <v>0</v>
      </c>
      <c r="T72" s="137">
        <f>SUM(J72:R72)</f>
        <v>0.1196</v>
      </c>
      <c r="U72" s="252">
        <v>0</v>
      </c>
      <c r="V72" s="231" t="str">
        <f>IF(U72&gt;=100%,"LIBERADO PARA EXPEDIÇÃO","EM ANDAMENTO")</f>
        <v>EM ANDAMENTO</v>
      </c>
      <c r="W72" s="85" t="str">
        <f t="shared" ref="W72" si="214">$D72&amp;J$4</f>
        <v>P-209ESTRUTURA</v>
      </c>
      <c r="X72" s="85" t="str">
        <f t="shared" ref="X72" si="215">$D72&amp;K$4</f>
        <v>P-209USINAGEM</v>
      </c>
      <c r="Y72" s="85" t="str">
        <f t="shared" ref="Y72" si="216">$D72&amp;L$4</f>
        <v>P-209TAMBOR</v>
      </c>
      <c r="Z72" s="85" t="str">
        <f t="shared" ref="Z72" si="217">$D72&amp;M$4</f>
        <v>P-209ROLOS</v>
      </c>
      <c r="AA72" s="85" t="str">
        <f t="shared" ref="AA72" si="218">$D72&amp;N$4</f>
        <v>P-209BASES ROLETES</v>
      </c>
      <c r="AB72" s="85" t="str">
        <f t="shared" ref="AB72" si="219">$D72&amp;O$4</f>
        <v>P-209REVESTIMENTO</v>
      </c>
      <c r="AC72" s="85" t="str">
        <f t="shared" ref="AC72" si="220">$D72&amp;P$4</f>
        <v>P-209RMF</v>
      </c>
      <c r="AD72" s="85" t="str">
        <f t="shared" ref="AD72" si="221">$D72&amp;Q$4</f>
        <v>P-209RMF BASES</v>
      </c>
      <c r="AE72" s="85" t="str">
        <f t="shared" ref="AE72" si="222">$D72&amp;R$4</f>
        <v>P-209TECMETAL</v>
      </c>
      <c r="AF72" s="85" t="str">
        <f t="shared" ref="AF72" si="223">$D72&amp;S$4</f>
        <v>P-209CONHECIMENTO</v>
      </c>
      <c r="AG72" s="85" t="str">
        <f t="shared" ref="AG72" si="224">$D72&amp;T$4</f>
        <v>P-209PESO TOTAL</v>
      </c>
      <c r="AH72" s="68"/>
      <c r="AI72" s="68"/>
    </row>
    <row r="73" spans="1:35" ht="46.5" x14ac:dyDescent="0.7">
      <c r="A73" s="67"/>
      <c r="B73" s="67"/>
      <c r="C73" s="235"/>
      <c r="D73" s="238"/>
      <c r="E73" s="241"/>
      <c r="F73" s="244"/>
      <c r="G73" s="247"/>
      <c r="H73" s="250"/>
      <c r="I73" s="129" t="s">
        <v>3028</v>
      </c>
      <c r="J73" s="130">
        <f t="shared" ref="J73:M73" si="225">J72-J74</f>
        <v>0</v>
      </c>
      <c r="K73" s="130">
        <f t="shared" si="225"/>
        <v>0.1196</v>
      </c>
      <c r="L73" s="130">
        <f t="shared" si="225"/>
        <v>0</v>
      </c>
      <c r="M73" s="130">
        <f t="shared" si="225"/>
        <v>0</v>
      </c>
      <c r="N73" s="130">
        <f>N72-N74</f>
        <v>0</v>
      </c>
      <c r="O73" s="130">
        <f t="shared" ref="O73:T73" si="226">O72-O74</f>
        <v>0</v>
      </c>
      <c r="P73" s="130">
        <f t="shared" si="226"/>
        <v>0</v>
      </c>
      <c r="Q73" s="130">
        <f t="shared" si="226"/>
        <v>0</v>
      </c>
      <c r="R73" s="130">
        <f t="shared" si="226"/>
        <v>0</v>
      </c>
      <c r="S73" s="130">
        <f t="shared" si="226"/>
        <v>0</v>
      </c>
      <c r="T73" s="138">
        <f t="shared" si="226"/>
        <v>0.1196</v>
      </c>
      <c r="U73" s="253"/>
      <c r="V73" s="232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68"/>
      <c r="AI73" s="68"/>
    </row>
    <row r="74" spans="1:35" ht="46.5" x14ac:dyDescent="0.7">
      <c r="A74" s="67"/>
      <c r="B74" s="67"/>
      <c r="C74" s="235"/>
      <c r="D74" s="238"/>
      <c r="E74" s="241"/>
      <c r="F74" s="244"/>
      <c r="G74" s="247"/>
      <c r="H74" s="250"/>
      <c r="I74" s="129" t="s">
        <v>3030</v>
      </c>
      <c r="J74" s="131">
        <f>SUMIF(PERFORMANCE!$N:$N,W72,PERFORMANCE!$Q:$Q)/1000</f>
        <v>0</v>
      </c>
      <c r="K74" s="131">
        <f>SUMIF(PERFORMANCE!$N:$N,X72,PERFORMANCE!$Q:$Q)/1000</f>
        <v>0</v>
      </c>
      <c r="L74" s="131">
        <f>SUMIF(PERFORMANCE!$N:$N,Y72,PERFORMANCE!$Q:$Q)/1000</f>
        <v>0</v>
      </c>
      <c r="M74" s="131">
        <f>SUMIF(PERFORMANCE!$N:$N,Z72,PERFORMANCE!$Q:$Q)/1000</f>
        <v>0</v>
      </c>
      <c r="N74" s="131">
        <f>SUMIF(PERFORMANCE!$N:$N,AA72,PERFORMANCE!$Q:$Q)/1000</f>
        <v>0</v>
      </c>
      <c r="O74" s="131">
        <f>SUMIF(PERFORMANCE!$N:$N,AB72,PERFORMANCE!$Q:$Q)/1000</f>
        <v>0</v>
      </c>
      <c r="P74" s="131">
        <f>SUMIF(PERFORMANCE!$N:$N,AC72,PERFORMANCE!$Q:$Q)/1000</f>
        <v>0</v>
      </c>
      <c r="Q74" s="131">
        <f>SUMIF(PERFORMANCE!$N:$N,AD72,PERFORMANCE!$Q:$Q)/1000</f>
        <v>0</v>
      </c>
      <c r="R74" s="131">
        <f>SUMIF(PERFORMANCE!$N:$N,AE72,PERFORMANCE!$Q:$Q)/1000</f>
        <v>0</v>
      </c>
      <c r="S74" s="131">
        <f>SUMIF(PERFORMANCE!$N:$N,AF72,PERFORMANCE!$Q:$Q)/1000</f>
        <v>0</v>
      </c>
      <c r="T74" s="138">
        <f t="shared" ref="T74" si="227">SUM(J74:R74)</f>
        <v>0</v>
      </c>
      <c r="U74" s="253"/>
      <c r="V74" s="232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68"/>
      <c r="AI74" s="68"/>
    </row>
    <row r="75" spans="1:35" ht="46.5" x14ac:dyDescent="0.7">
      <c r="A75" s="62"/>
      <c r="B75" s="62"/>
      <c r="C75" s="235"/>
      <c r="D75" s="238"/>
      <c r="E75" s="241"/>
      <c r="F75" s="244"/>
      <c r="G75" s="247"/>
      <c r="H75" s="250"/>
      <c r="I75" s="132" t="s">
        <v>315</v>
      </c>
      <c r="J75" s="131">
        <f>SUMIF(PERFORMANCE!$N:$N,MACRO!W72,PERFORMANCE!$R:$R)/1000</f>
        <v>0</v>
      </c>
      <c r="K75" s="131">
        <f>SUMIF(PERFORMANCE!$N:$N,MACRO!X72,PERFORMANCE!$R:$R)/1000</f>
        <v>0</v>
      </c>
      <c r="L75" s="131">
        <f>SUMIF(PERFORMANCE!$N:$N,MACRO!Y72,PERFORMANCE!$R:$R)/1000</f>
        <v>0</v>
      </c>
      <c r="M75" s="131">
        <f>SUMIF(PERFORMANCE!$N:$N,MACRO!Z72,PERFORMANCE!$R:$R)/1000</f>
        <v>0</v>
      </c>
      <c r="N75" s="131">
        <f>SUMIF(PERFORMANCE!$N:$N,MACRO!AA72,PERFORMANCE!$R:$R)/1000</f>
        <v>0</v>
      </c>
      <c r="O75" s="131">
        <f>SUMIF(PERFORMANCE!$N:$N,MACRO!AB72,PERFORMANCE!$R:$R)/1000</f>
        <v>0</v>
      </c>
      <c r="P75" s="131">
        <f>SUMIF(PERFORMANCE!$N:$N,MACRO!AC72,PERFORMANCE!$R:$R)/1000</f>
        <v>0</v>
      </c>
      <c r="Q75" s="131">
        <f>SUMIF(PERFORMANCE!$N:$N,MACRO!AD72,PERFORMANCE!$R:$R)/1000</f>
        <v>0</v>
      </c>
      <c r="R75" s="131">
        <f>SUMIF(PERFORMANCE!$N:$N,MACRO!AE72,PERFORMANCE!$R:$R)/1000</f>
        <v>0</v>
      </c>
      <c r="S75" s="131">
        <f>SUMIF(PERFORMANCE!W:W,AF72,PERFORMANCE!T:T)/1000</f>
        <v>0</v>
      </c>
      <c r="T75" s="138">
        <f>SUM(J75:R75)</f>
        <v>0</v>
      </c>
      <c r="U75" s="253"/>
      <c r="V75" s="232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68"/>
      <c r="AI75" s="68"/>
    </row>
    <row r="76" spans="1:35" ht="122.25" customHeight="1" thickBot="1" x14ac:dyDescent="0.75">
      <c r="A76" s="67"/>
      <c r="B76" s="67"/>
      <c r="C76" s="236"/>
      <c r="D76" s="239"/>
      <c r="E76" s="242"/>
      <c r="F76" s="245"/>
      <c r="G76" s="248"/>
      <c r="H76" s="251"/>
      <c r="I76" s="133" t="s">
        <v>3029</v>
      </c>
      <c r="J76" s="134">
        <f t="shared" ref="J76:R76" si="228">J72-J75</f>
        <v>0</v>
      </c>
      <c r="K76" s="134">
        <f t="shared" si="228"/>
        <v>0.1196</v>
      </c>
      <c r="L76" s="134">
        <f t="shared" si="228"/>
        <v>0</v>
      </c>
      <c r="M76" s="134">
        <f t="shared" si="228"/>
        <v>0</v>
      </c>
      <c r="N76" s="134">
        <f t="shared" si="228"/>
        <v>0</v>
      </c>
      <c r="O76" s="134">
        <f t="shared" si="228"/>
        <v>0</v>
      </c>
      <c r="P76" s="134">
        <f t="shared" si="228"/>
        <v>0</v>
      </c>
      <c r="Q76" s="134">
        <f t="shared" si="228"/>
        <v>0</v>
      </c>
      <c r="R76" s="134">
        <f t="shared" si="228"/>
        <v>0</v>
      </c>
      <c r="S76" s="134">
        <f t="shared" ref="S76" si="229">S72--S75</f>
        <v>0</v>
      </c>
      <c r="T76" s="139">
        <f>T72-T75</f>
        <v>0.1196</v>
      </c>
      <c r="U76" s="254"/>
      <c r="V76" s="233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68"/>
      <c r="AI76" s="68"/>
    </row>
    <row r="77" spans="1:35" ht="78" customHeight="1" x14ac:dyDescent="0.7">
      <c r="A77" s="67"/>
      <c r="B77" s="67"/>
      <c r="C77" s="90"/>
      <c r="D77" s="91"/>
      <c r="E77" s="105"/>
      <c r="F77" s="106"/>
      <c r="G77" s="106"/>
      <c r="H77" s="148"/>
      <c r="I77" s="136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90"/>
      <c r="V77" s="90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68"/>
      <c r="AI77" s="68"/>
    </row>
    <row r="78" spans="1:35" ht="56.25" customHeight="1" thickBot="1" x14ac:dyDescent="0.75">
      <c r="A78" s="67"/>
      <c r="B78" s="67"/>
      <c r="C78" s="84"/>
      <c r="D78" s="92"/>
      <c r="E78" s="92"/>
      <c r="F78" s="92"/>
      <c r="G78" s="92"/>
      <c r="H78" s="12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68"/>
      <c r="AI78" s="68"/>
    </row>
    <row r="79" spans="1:35" ht="60.75" thickBot="1" x14ac:dyDescent="0.75">
      <c r="A79" s="62"/>
      <c r="B79" s="62"/>
      <c r="C79" s="84"/>
      <c r="D79" s="279" t="s">
        <v>326</v>
      </c>
      <c r="E79" s="281" t="s">
        <v>891</v>
      </c>
      <c r="F79" s="282"/>
      <c r="G79" s="282"/>
      <c r="H79" s="282"/>
      <c r="I79" s="282"/>
      <c r="J79" s="283"/>
      <c r="K79" s="284" t="s">
        <v>331</v>
      </c>
      <c r="L79" s="285"/>
      <c r="M79" s="285"/>
      <c r="N79" s="286"/>
      <c r="O79" s="90"/>
      <c r="P79" s="90"/>
      <c r="Q79" s="90"/>
      <c r="R79" s="90"/>
      <c r="S79" s="90"/>
      <c r="T79" s="90"/>
      <c r="U79" s="90"/>
      <c r="V79" s="90"/>
      <c r="W79" s="84"/>
      <c r="X79" s="84"/>
      <c r="Y79" s="84"/>
      <c r="Z79" s="84"/>
      <c r="AA79" s="81"/>
      <c r="AB79" s="81"/>
      <c r="AC79" s="81"/>
      <c r="AD79" s="81"/>
      <c r="AE79" s="81"/>
      <c r="AG79" s="84"/>
      <c r="AH79" s="68"/>
      <c r="AI79" s="68"/>
    </row>
    <row r="80" spans="1:35" ht="47.25" thickBot="1" x14ac:dyDescent="0.75">
      <c r="A80" s="67"/>
      <c r="B80" s="67"/>
      <c r="C80" s="84"/>
      <c r="D80" s="280"/>
      <c r="E80" s="93" t="s">
        <v>31</v>
      </c>
      <c r="F80" s="94" t="s">
        <v>32</v>
      </c>
      <c r="G80" s="94" t="s">
        <v>22</v>
      </c>
      <c r="H80" s="94" t="s">
        <v>23</v>
      </c>
      <c r="I80" s="94" t="s">
        <v>33</v>
      </c>
      <c r="J80" s="94" t="s">
        <v>44</v>
      </c>
      <c r="K80" s="95" t="s">
        <v>327</v>
      </c>
      <c r="L80" s="95" t="s">
        <v>46</v>
      </c>
      <c r="M80" s="95" t="s">
        <v>1023</v>
      </c>
      <c r="N80" s="96" t="s">
        <v>332</v>
      </c>
      <c r="V80" s="84"/>
      <c r="W80" s="84"/>
      <c r="X80" s="84"/>
      <c r="Y80" s="84"/>
      <c r="Z80" s="84"/>
      <c r="AA80" s="81"/>
      <c r="AB80" s="81"/>
      <c r="AC80" s="81"/>
      <c r="AD80" s="81"/>
      <c r="AE80" s="81"/>
      <c r="AG80" s="84"/>
      <c r="AH80" s="68"/>
      <c r="AI80" s="68"/>
    </row>
    <row r="81" spans="1:35" ht="60.75" thickBot="1" x14ac:dyDescent="0.75">
      <c r="A81" s="62"/>
      <c r="B81" s="62"/>
      <c r="C81" s="84"/>
      <c r="D81" s="97" t="s">
        <v>3031</v>
      </c>
      <c r="E81" s="98">
        <f t="shared" ref="E81:M81" si="230">SUMIF($I$5:$I$64,$D$81,J5:J64)</f>
        <v>24.702000000000002</v>
      </c>
      <c r="F81" s="98">
        <f t="shared" si="230"/>
        <v>0.14360000000000001</v>
      </c>
      <c r="G81" s="98">
        <f t="shared" si="230"/>
        <v>9.4238</v>
      </c>
      <c r="H81" s="98">
        <f t="shared" si="230"/>
        <v>13.021599999999999</v>
      </c>
      <c r="I81" s="98">
        <f t="shared" si="230"/>
        <v>12.644400000000001</v>
      </c>
      <c r="J81" s="98">
        <f t="shared" si="230"/>
        <v>0</v>
      </c>
      <c r="K81" s="98">
        <f t="shared" si="230"/>
        <v>37</v>
      </c>
      <c r="L81" s="98">
        <f t="shared" si="230"/>
        <v>0</v>
      </c>
      <c r="M81" s="98">
        <f t="shared" si="230"/>
        <v>0</v>
      </c>
      <c r="N81" s="140">
        <f>SUM(E81:M81)</f>
        <v>96.935400000000001</v>
      </c>
      <c r="V81" s="84"/>
      <c r="W81" s="84"/>
      <c r="X81" s="84"/>
      <c r="Y81" s="84"/>
      <c r="Z81" s="84"/>
      <c r="AA81" s="81"/>
      <c r="AB81" s="81"/>
      <c r="AC81" s="81"/>
      <c r="AD81" s="81"/>
      <c r="AE81" s="81"/>
      <c r="AG81" s="84"/>
      <c r="AH81" s="68"/>
      <c r="AI81" s="68"/>
    </row>
    <row r="82" spans="1:35" ht="60" hidden="1" customHeight="1" x14ac:dyDescent="0.7">
      <c r="A82" s="67"/>
      <c r="B82" s="67"/>
      <c r="C82" s="84"/>
      <c r="D82" s="160" t="s">
        <v>330</v>
      </c>
      <c r="E82" s="161">
        <f t="shared" ref="E82:M82" si="231">SUMIF($I$5:$I$5,$D$82,J5:J5)</f>
        <v>0</v>
      </c>
      <c r="F82" s="161">
        <f t="shared" si="231"/>
        <v>0</v>
      </c>
      <c r="G82" s="161">
        <f t="shared" si="231"/>
        <v>0</v>
      </c>
      <c r="H82" s="161">
        <f t="shared" si="231"/>
        <v>0</v>
      </c>
      <c r="I82" s="161">
        <f t="shared" si="231"/>
        <v>0</v>
      </c>
      <c r="J82" s="161">
        <f t="shared" si="231"/>
        <v>0</v>
      </c>
      <c r="K82" s="161">
        <f t="shared" si="231"/>
        <v>0</v>
      </c>
      <c r="L82" s="161">
        <f t="shared" si="231"/>
        <v>0</v>
      </c>
      <c r="M82" s="162">
        <f t="shared" si="231"/>
        <v>0</v>
      </c>
      <c r="N82" s="163">
        <f>SUM(E82:M82)</f>
        <v>0</v>
      </c>
      <c r="V82" s="84"/>
      <c r="W82" s="84"/>
      <c r="X82" s="84"/>
      <c r="Y82" s="84"/>
      <c r="Z82" s="84"/>
      <c r="AA82" s="81"/>
      <c r="AB82" s="81"/>
      <c r="AC82" s="81"/>
      <c r="AD82" s="81"/>
      <c r="AE82" s="81"/>
      <c r="AG82" s="84"/>
      <c r="AH82" s="68"/>
      <c r="AI82" s="68"/>
    </row>
    <row r="83" spans="1:35" ht="60.75" thickBot="1" x14ac:dyDescent="0.75">
      <c r="A83" s="62"/>
      <c r="B83" s="62"/>
      <c r="C83" s="84"/>
      <c r="D83" s="121" t="s">
        <v>3028</v>
      </c>
      <c r="E83" s="141">
        <f t="shared" ref="E83:F83" si="232">E81-E85</f>
        <v>6.5806000000000004</v>
      </c>
      <c r="F83" s="141">
        <f t="shared" si="232"/>
        <v>3.5999999999999921E-3</v>
      </c>
      <c r="G83" s="141">
        <f>G81-G85</f>
        <v>5.5100999999999996</v>
      </c>
      <c r="H83" s="141">
        <f>H81-H85</f>
        <v>9.3873999999999995</v>
      </c>
      <c r="I83" s="141">
        <f t="shared" ref="I83:M83" si="233">I81-I85</f>
        <v>9.9344400000000022</v>
      </c>
      <c r="J83" s="141">
        <f t="shared" si="233"/>
        <v>0</v>
      </c>
      <c r="K83" s="141">
        <f t="shared" si="233"/>
        <v>0</v>
      </c>
      <c r="L83" s="141">
        <f t="shared" si="233"/>
        <v>0</v>
      </c>
      <c r="M83" s="141">
        <f t="shared" si="233"/>
        <v>0</v>
      </c>
      <c r="N83" s="140">
        <f>SUM(E83:M83)</f>
        <v>31.416140000000002</v>
      </c>
      <c r="V83" s="84"/>
      <c r="W83" s="84"/>
      <c r="X83" s="84"/>
      <c r="Y83" s="84"/>
      <c r="Z83" s="84"/>
      <c r="AA83" s="81"/>
      <c r="AB83" s="81"/>
      <c r="AC83" s="81"/>
      <c r="AD83" s="81"/>
      <c r="AE83" s="81"/>
      <c r="AG83" s="84"/>
      <c r="AH83" s="68"/>
      <c r="AI83" s="68"/>
    </row>
    <row r="84" spans="1:35" ht="46.5" x14ac:dyDescent="0.7">
      <c r="A84" s="67"/>
      <c r="B84" s="67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V84" s="84"/>
      <c r="W84" s="84"/>
      <c r="X84" s="84"/>
      <c r="Y84" s="84"/>
      <c r="Z84" s="84"/>
      <c r="AA84" s="81"/>
      <c r="AB84" s="81"/>
      <c r="AC84" s="81"/>
      <c r="AD84" s="81"/>
      <c r="AE84" s="81"/>
      <c r="AG84" s="84"/>
      <c r="AH84" s="68"/>
      <c r="AI84" s="68"/>
    </row>
    <row r="85" spans="1:35" ht="60" x14ac:dyDescent="0.7">
      <c r="A85" s="67"/>
      <c r="B85" s="67"/>
      <c r="C85" s="84"/>
      <c r="D85" s="143" t="s">
        <v>3030</v>
      </c>
      <c r="E85" s="144">
        <f t="shared" ref="E85:M85" si="234">SUMIF($I$5:$I$64,$D$85,J5:J64)</f>
        <v>18.121400000000001</v>
      </c>
      <c r="F85" s="144">
        <f t="shared" si="234"/>
        <v>0.14000000000000001</v>
      </c>
      <c r="G85" s="144">
        <f t="shared" si="234"/>
        <v>3.9137000000000004</v>
      </c>
      <c r="H85" s="144">
        <f t="shared" si="234"/>
        <v>3.6342000000000003</v>
      </c>
      <c r="I85" s="144">
        <f t="shared" si="234"/>
        <v>2.7099599999999997</v>
      </c>
      <c r="J85" s="144">
        <f t="shared" si="234"/>
        <v>0</v>
      </c>
      <c r="K85" s="144">
        <f t="shared" si="234"/>
        <v>37</v>
      </c>
      <c r="L85" s="144">
        <f t="shared" si="234"/>
        <v>0</v>
      </c>
      <c r="M85" s="144">
        <f t="shared" si="234"/>
        <v>0</v>
      </c>
      <c r="N85" s="165">
        <f>SUM(E85:M85)</f>
        <v>65.519260000000003</v>
      </c>
      <c r="V85" s="84"/>
      <c r="W85" s="84"/>
      <c r="X85" s="84"/>
      <c r="Y85" s="84"/>
      <c r="Z85" s="84"/>
      <c r="AA85" s="81"/>
      <c r="AB85" s="81"/>
      <c r="AC85" s="81"/>
      <c r="AD85" s="81"/>
      <c r="AE85" s="81"/>
      <c r="AG85" s="84"/>
      <c r="AH85" s="68"/>
      <c r="AI85" s="68"/>
    </row>
    <row r="86" spans="1:35" ht="60.75" thickBot="1" x14ac:dyDescent="0.75">
      <c r="A86" s="62"/>
      <c r="B86" s="62"/>
      <c r="C86" s="84"/>
      <c r="D86" s="145" t="s">
        <v>315</v>
      </c>
      <c r="E86" s="98">
        <f t="shared" ref="E86:M86" si="235">SUMIF($I$5:$I$64,$D$86,J5:J64)</f>
        <v>13.876000000000001</v>
      </c>
      <c r="F86" s="98">
        <f t="shared" si="235"/>
        <v>0</v>
      </c>
      <c r="G86" s="98">
        <f t="shared" si="235"/>
        <v>3.1</v>
      </c>
      <c r="H86" s="98">
        <f t="shared" si="235"/>
        <v>11.8856</v>
      </c>
      <c r="I86" s="98">
        <f t="shared" si="235"/>
        <v>11.876800000000001</v>
      </c>
      <c r="J86" s="98">
        <f t="shared" si="235"/>
        <v>0</v>
      </c>
      <c r="K86" s="98">
        <f t="shared" si="235"/>
        <v>32.17</v>
      </c>
      <c r="L86" s="98">
        <f t="shared" si="235"/>
        <v>0</v>
      </c>
      <c r="M86" s="98">
        <f t="shared" si="235"/>
        <v>0</v>
      </c>
      <c r="N86" s="165">
        <f>SUM(E86:M86)</f>
        <v>72.9084</v>
      </c>
      <c r="V86" s="84"/>
      <c r="W86" s="84"/>
      <c r="X86" s="84"/>
      <c r="Y86" s="84"/>
      <c r="Z86" s="84"/>
      <c r="AA86" s="81"/>
      <c r="AB86" s="81"/>
      <c r="AC86" s="81"/>
      <c r="AD86" s="81"/>
      <c r="AE86" s="81"/>
      <c r="AG86" s="84"/>
      <c r="AH86" s="68"/>
      <c r="AI86" s="68"/>
    </row>
    <row r="87" spans="1:35" ht="60.75" thickBot="1" x14ac:dyDescent="0.75">
      <c r="A87" s="67"/>
      <c r="B87" s="67"/>
      <c r="C87" s="84"/>
      <c r="D87" s="166" t="s">
        <v>3029</v>
      </c>
      <c r="E87" s="146">
        <f t="shared" ref="E87:M87" si="236">SUMIF($I$5:$I$64,$D$87,J5:J64)</f>
        <v>10.426</v>
      </c>
      <c r="F87" s="146">
        <f t="shared" si="236"/>
        <v>0.14000000000000001</v>
      </c>
      <c r="G87" s="146">
        <f t="shared" si="236"/>
        <v>6.3538000000000006</v>
      </c>
      <c r="H87" s="146">
        <f t="shared" si="236"/>
        <v>1.1409999999999996</v>
      </c>
      <c r="I87" s="146">
        <f t="shared" si="236"/>
        <v>0.76799999999999979</v>
      </c>
      <c r="J87" s="146">
        <f t="shared" si="236"/>
        <v>0</v>
      </c>
      <c r="K87" s="146">
        <f t="shared" si="236"/>
        <v>4.8299999999999983</v>
      </c>
      <c r="L87" s="146">
        <f t="shared" si="236"/>
        <v>0</v>
      </c>
      <c r="M87" s="146">
        <f t="shared" si="236"/>
        <v>0</v>
      </c>
      <c r="N87" s="147">
        <f>SUM(E87:M87)</f>
        <v>23.658799999999999</v>
      </c>
      <c r="O87" s="123"/>
      <c r="V87" s="84"/>
      <c r="W87" s="84"/>
      <c r="X87" s="84"/>
      <c r="Y87" s="84"/>
      <c r="Z87" s="84"/>
      <c r="AA87" s="81"/>
      <c r="AB87" s="81"/>
      <c r="AC87" s="81"/>
      <c r="AD87" s="81"/>
      <c r="AE87" s="81"/>
      <c r="AG87" s="84"/>
      <c r="AH87" s="68"/>
      <c r="AI87" s="68"/>
    </row>
    <row r="88" spans="1:35" ht="60.75" thickBot="1" x14ac:dyDescent="0.75">
      <c r="A88" s="62"/>
      <c r="B88" s="62"/>
      <c r="C88" s="84"/>
      <c r="D88" s="124" t="s">
        <v>333</v>
      </c>
      <c r="E88" s="125">
        <v>25</v>
      </c>
      <c r="F88" s="125">
        <v>10</v>
      </c>
      <c r="G88" s="125">
        <v>15</v>
      </c>
      <c r="H88" s="125">
        <v>8</v>
      </c>
      <c r="I88" s="125">
        <v>5</v>
      </c>
      <c r="J88" s="125">
        <v>15</v>
      </c>
      <c r="K88" s="125">
        <v>30</v>
      </c>
      <c r="L88" s="125">
        <v>50</v>
      </c>
      <c r="M88" s="125">
        <v>130</v>
      </c>
      <c r="N88" s="126">
        <f>SUM(E88:M88)</f>
        <v>288</v>
      </c>
      <c r="V88" s="84"/>
      <c r="W88" s="84"/>
      <c r="X88" s="84"/>
      <c r="Y88" s="84"/>
      <c r="Z88" s="84"/>
      <c r="AA88" s="81"/>
      <c r="AB88" s="81"/>
      <c r="AC88" s="81"/>
      <c r="AD88" s="81"/>
      <c r="AE88" s="81"/>
      <c r="AG88" s="84"/>
      <c r="AH88" s="68"/>
      <c r="AI88" s="68"/>
    </row>
    <row r="89" spans="1:35" ht="60" x14ac:dyDescent="0.7">
      <c r="A89" s="62"/>
      <c r="B89" s="62"/>
      <c r="C89" s="84"/>
      <c r="D89" s="167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V89" s="84"/>
      <c r="W89" s="84"/>
      <c r="X89" s="84"/>
      <c r="Y89" s="84"/>
      <c r="Z89" s="84"/>
      <c r="AA89" s="81"/>
      <c r="AB89" s="81"/>
      <c r="AC89" s="81"/>
      <c r="AD89" s="81"/>
      <c r="AE89" s="81"/>
      <c r="AG89" s="84"/>
      <c r="AH89" s="68"/>
      <c r="AI89" s="68"/>
    </row>
    <row r="90" spans="1:35" ht="60" x14ac:dyDescent="0.7">
      <c r="A90" s="62"/>
      <c r="B90" s="62"/>
      <c r="C90" s="84"/>
      <c r="D90" s="167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V90" s="84"/>
      <c r="W90" s="84"/>
      <c r="X90" s="84"/>
      <c r="Y90" s="84"/>
      <c r="Z90" s="84"/>
      <c r="AA90" s="81"/>
      <c r="AB90" s="81"/>
      <c r="AC90" s="81"/>
      <c r="AD90" s="81"/>
      <c r="AE90" s="81"/>
      <c r="AG90" s="84"/>
      <c r="AH90" s="68"/>
      <c r="AI90" s="68"/>
    </row>
    <row r="91" spans="1:35" ht="46.5" x14ac:dyDescent="0.7">
      <c r="A91" s="67"/>
      <c r="B91" s="67"/>
      <c r="C91" s="84"/>
      <c r="D91" s="84"/>
      <c r="E91" s="86"/>
      <c r="F91" s="84"/>
      <c r="G91" s="84"/>
      <c r="H91" s="87"/>
      <c r="I91" s="88"/>
      <c r="J91" s="84"/>
      <c r="K91" s="84"/>
      <c r="L91" s="84"/>
      <c r="M91" s="84"/>
      <c r="N91" s="84"/>
      <c r="V91" s="84"/>
      <c r="W91" s="84"/>
      <c r="X91" s="84"/>
      <c r="Y91" s="84"/>
      <c r="Z91" s="84"/>
      <c r="AA91" s="81"/>
      <c r="AB91" s="81"/>
      <c r="AC91" s="81"/>
      <c r="AD91" s="81"/>
      <c r="AE91" s="81"/>
      <c r="AG91" s="84"/>
      <c r="AH91" s="68"/>
      <c r="AI91" s="68"/>
    </row>
    <row r="92" spans="1:35" ht="46.5" x14ac:dyDescent="0.7">
      <c r="A92" s="62"/>
      <c r="B92" s="62"/>
      <c r="C92" s="84"/>
      <c r="D92" s="84"/>
      <c r="E92" s="86"/>
      <c r="F92" s="84"/>
      <c r="G92" s="84"/>
      <c r="H92" s="87"/>
      <c r="I92" s="88"/>
      <c r="J92" s="84"/>
      <c r="K92" s="84"/>
      <c r="L92" s="84"/>
      <c r="M92" s="84"/>
      <c r="N92" s="84"/>
      <c r="V92" s="84"/>
      <c r="W92" s="84"/>
      <c r="X92" s="84"/>
      <c r="Y92" s="84"/>
      <c r="Z92" s="84"/>
      <c r="AA92" s="81"/>
      <c r="AB92" s="81"/>
      <c r="AC92" s="81"/>
      <c r="AD92" s="81"/>
      <c r="AE92" s="81"/>
      <c r="AG92" s="84"/>
      <c r="AH92" s="68"/>
      <c r="AI92" s="68"/>
    </row>
    <row r="93" spans="1:35" ht="46.5" x14ac:dyDescent="0.7">
      <c r="A93" s="67"/>
      <c r="B93" s="67"/>
      <c r="C93" s="84"/>
      <c r="D93" s="84"/>
      <c r="E93" s="86"/>
      <c r="F93" s="84"/>
      <c r="G93" s="84"/>
      <c r="H93" s="87"/>
      <c r="I93" s="88"/>
      <c r="J93" s="84"/>
      <c r="K93" s="84"/>
      <c r="M93" s="84"/>
      <c r="N93" s="84"/>
      <c r="O93" s="99"/>
      <c r="V93" s="84"/>
      <c r="W93" s="84"/>
      <c r="X93" s="84"/>
      <c r="Y93" s="84"/>
      <c r="Z93" s="84"/>
      <c r="AA93" s="81"/>
      <c r="AB93" s="81"/>
      <c r="AC93" s="81"/>
      <c r="AD93" s="81"/>
      <c r="AE93" s="81"/>
      <c r="AG93" s="84"/>
      <c r="AH93" s="68"/>
      <c r="AI93" s="68"/>
    </row>
    <row r="94" spans="1:35" ht="46.5" x14ac:dyDescent="0.7">
      <c r="A94" s="62"/>
      <c r="B94" s="62"/>
      <c r="C94" s="84"/>
      <c r="D94" s="84"/>
      <c r="E94" s="86"/>
      <c r="F94" s="84"/>
      <c r="G94" s="84"/>
      <c r="H94" s="87"/>
      <c r="I94" s="88"/>
      <c r="J94" s="84"/>
      <c r="K94" s="84"/>
      <c r="L94" s="84"/>
      <c r="M94" s="84"/>
      <c r="N94" s="84"/>
      <c r="V94" s="84"/>
      <c r="W94" s="84"/>
      <c r="X94" s="84"/>
      <c r="Y94" s="84"/>
      <c r="Z94" s="84"/>
      <c r="AA94" s="81"/>
      <c r="AB94" s="81"/>
      <c r="AC94" s="81"/>
      <c r="AD94" s="81"/>
      <c r="AE94" s="81"/>
      <c r="AG94" s="84"/>
      <c r="AH94" s="68"/>
      <c r="AI94" s="68"/>
    </row>
    <row r="95" spans="1:35" ht="46.5" x14ac:dyDescent="0.7">
      <c r="A95" s="67"/>
      <c r="B95" s="67"/>
      <c r="C95" s="84"/>
      <c r="D95" s="84"/>
      <c r="E95" s="86"/>
      <c r="F95" s="84"/>
      <c r="G95" s="84"/>
      <c r="H95" s="87"/>
      <c r="I95" s="88"/>
      <c r="J95" s="84"/>
      <c r="K95" s="84"/>
      <c r="L95" s="84"/>
      <c r="M95" s="84"/>
      <c r="N95" s="84"/>
      <c r="V95" s="84"/>
      <c r="W95" s="84"/>
      <c r="X95" s="84"/>
      <c r="Y95" s="84"/>
      <c r="Z95" s="84"/>
      <c r="AA95" s="81"/>
      <c r="AB95" s="81"/>
      <c r="AC95" s="81"/>
      <c r="AD95" s="81"/>
      <c r="AE95" s="81"/>
      <c r="AG95" s="84"/>
      <c r="AH95" s="68"/>
      <c r="AI95" s="68"/>
    </row>
    <row r="96" spans="1:35" ht="46.5" x14ac:dyDescent="0.7">
      <c r="A96" s="62"/>
      <c r="B96" s="62"/>
      <c r="C96" s="84"/>
      <c r="D96" s="84"/>
      <c r="E96" s="86"/>
      <c r="F96" s="84"/>
      <c r="G96" s="84"/>
      <c r="H96" s="87"/>
      <c r="I96" s="88"/>
      <c r="J96" s="84"/>
      <c r="K96" s="84"/>
      <c r="L96" s="84"/>
      <c r="M96" s="84"/>
      <c r="N96" s="84"/>
      <c r="V96" s="84"/>
      <c r="W96" s="84"/>
      <c r="X96" s="84"/>
      <c r="Y96" s="84"/>
      <c r="Z96" s="84"/>
      <c r="AA96" s="81"/>
      <c r="AB96" s="81"/>
      <c r="AC96" s="81"/>
      <c r="AD96" s="81"/>
      <c r="AE96" s="81"/>
      <c r="AG96" s="84"/>
      <c r="AH96" s="68"/>
      <c r="AI96" s="68"/>
    </row>
    <row r="97" spans="1:35" ht="46.5" x14ac:dyDescent="0.7">
      <c r="A97" s="67"/>
      <c r="B97" s="67"/>
      <c r="C97" s="84"/>
      <c r="D97" s="84"/>
      <c r="E97" s="86"/>
      <c r="F97" s="84"/>
      <c r="G97" s="84"/>
      <c r="H97" s="87"/>
      <c r="I97" s="88"/>
      <c r="J97" s="84"/>
      <c r="K97" s="84"/>
      <c r="L97" s="84"/>
      <c r="M97" s="84"/>
      <c r="N97" s="84"/>
      <c r="V97" s="84"/>
      <c r="W97" s="84"/>
      <c r="X97" s="84"/>
      <c r="Y97" s="84"/>
      <c r="Z97" s="84"/>
      <c r="AA97" s="81"/>
      <c r="AB97" s="81"/>
      <c r="AC97" s="81"/>
      <c r="AD97" s="81"/>
      <c r="AE97" s="81"/>
      <c r="AG97" s="84"/>
      <c r="AH97" s="68"/>
      <c r="AI97" s="68"/>
    </row>
    <row r="98" spans="1:35" ht="46.5" x14ac:dyDescent="0.7">
      <c r="A98" s="62"/>
      <c r="B98" s="62"/>
      <c r="C98" s="84"/>
      <c r="D98" s="84"/>
      <c r="E98" s="86"/>
      <c r="F98" s="84"/>
      <c r="G98" s="84"/>
      <c r="H98" s="87"/>
      <c r="I98" s="88"/>
      <c r="J98" s="84"/>
      <c r="K98" s="84"/>
      <c r="L98" s="84"/>
      <c r="M98" s="84"/>
      <c r="N98" s="84"/>
      <c r="V98" s="84"/>
      <c r="W98" s="84"/>
      <c r="X98" s="84"/>
      <c r="Y98" s="84"/>
      <c r="Z98" s="84"/>
      <c r="AA98" s="81"/>
      <c r="AB98" s="81"/>
      <c r="AC98" s="81"/>
      <c r="AD98" s="81"/>
      <c r="AE98" s="81"/>
      <c r="AG98" s="84"/>
      <c r="AH98" s="68"/>
      <c r="AI98" s="68"/>
    </row>
    <row r="99" spans="1:35" ht="46.5" x14ac:dyDescent="0.7">
      <c r="A99" s="67"/>
      <c r="B99" s="67"/>
      <c r="C99" s="84"/>
      <c r="D99" s="84"/>
      <c r="E99" s="86"/>
      <c r="F99" s="84"/>
      <c r="G99" s="84"/>
      <c r="H99" s="87"/>
      <c r="I99" s="88"/>
      <c r="J99" s="84"/>
      <c r="K99" s="84"/>
      <c r="L99" s="84"/>
      <c r="M99" s="84"/>
      <c r="N99" s="84"/>
      <c r="V99" s="84"/>
      <c r="W99" s="84"/>
      <c r="X99" s="84"/>
      <c r="Y99" s="84"/>
      <c r="Z99" s="84"/>
      <c r="AA99" s="81"/>
      <c r="AB99" s="81"/>
      <c r="AC99" s="81"/>
      <c r="AD99" s="81"/>
      <c r="AE99" s="81"/>
      <c r="AG99" s="84"/>
      <c r="AH99" s="68"/>
      <c r="AI99" s="68"/>
    </row>
    <row r="100" spans="1:35" ht="46.5" x14ac:dyDescent="0.7">
      <c r="A100" s="62"/>
      <c r="B100" s="62"/>
      <c r="C100" s="84"/>
      <c r="D100" s="84"/>
      <c r="E100" s="86"/>
      <c r="F100" s="84"/>
      <c r="G100" s="84"/>
      <c r="H100" s="87"/>
      <c r="I100" s="88"/>
      <c r="J100" s="84"/>
      <c r="K100" s="84"/>
      <c r="L100" s="84"/>
      <c r="M100" s="84"/>
      <c r="N100" s="84"/>
      <c r="V100" s="84"/>
      <c r="W100" s="84"/>
      <c r="X100" s="84"/>
      <c r="Y100" s="84"/>
      <c r="Z100" s="84"/>
      <c r="AA100" s="81"/>
      <c r="AB100" s="81"/>
      <c r="AC100" s="81"/>
      <c r="AD100" s="81"/>
      <c r="AE100" s="81"/>
      <c r="AG100" s="84"/>
      <c r="AH100" s="68"/>
      <c r="AI100" s="68"/>
    </row>
    <row r="101" spans="1:35" ht="46.5" x14ac:dyDescent="0.7">
      <c r="A101" s="67"/>
      <c r="B101" s="67"/>
      <c r="C101" s="84"/>
      <c r="D101" s="84"/>
      <c r="E101" s="86"/>
      <c r="F101" s="84"/>
      <c r="G101" s="84"/>
      <c r="H101" s="87"/>
      <c r="I101" s="88"/>
      <c r="J101" s="84"/>
      <c r="K101" s="84"/>
      <c r="L101" s="84"/>
      <c r="M101" s="84"/>
      <c r="N101" s="84"/>
      <c r="V101" s="84"/>
      <c r="W101" s="84"/>
      <c r="X101" s="84"/>
      <c r="Y101" s="84"/>
      <c r="Z101" s="84"/>
      <c r="AA101" s="81"/>
      <c r="AB101" s="81"/>
      <c r="AC101" s="81"/>
      <c r="AD101" s="81"/>
      <c r="AE101" s="81"/>
      <c r="AG101" s="84"/>
      <c r="AH101" s="68"/>
      <c r="AI101" s="68"/>
    </row>
    <row r="102" spans="1:35" ht="46.5" x14ac:dyDescent="0.7">
      <c r="A102" s="62"/>
      <c r="B102" s="62"/>
      <c r="C102" s="84"/>
      <c r="D102" s="84"/>
      <c r="E102" s="86"/>
      <c r="F102" s="84"/>
      <c r="G102" s="84"/>
      <c r="H102" s="87"/>
      <c r="I102" s="88"/>
      <c r="J102" s="84"/>
      <c r="K102" s="84"/>
      <c r="L102" s="84"/>
      <c r="M102" s="84"/>
      <c r="N102" s="84"/>
      <c r="V102" s="84"/>
      <c r="W102" s="84"/>
      <c r="X102" s="84"/>
      <c r="Y102" s="84"/>
      <c r="Z102" s="84"/>
      <c r="AA102" s="81"/>
      <c r="AB102" s="81"/>
      <c r="AC102" s="81"/>
      <c r="AD102" s="81"/>
      <c r="AE102" s="81"/>
      <c r="AG102" s="84"/>
      <c r="AH102" s="68"/>
      <c r="AI102" s="68"/>
    </row>
    <row r="103" spans="1:35" ht="46.5" x14ac:dyDescent="0.7">
      <c r="A103" s="67"/>
      <c r="B103" s="67"/>
      <c r="C103" s="84"/>
      <c r="D103" s="84"/>
      <c r="E103" s="86"/>
      <c r="F103" s="84"/>
      <c r="G103" s="84"/>
      <c r="H103" s="87"/>
      <c r="I103" s="88"/>
      <c r="J103" s="84"/>
      <c r="K103" s="84"/>
      <c r="L103" s="84"/>
      <c r="M103" s="84"/>
      <c r="N103" s="84"/>
      <c r="V103" s="84"/>
      <c r="W103" s="84"/>
      <c r="X103" s="84"/>
      <c r="Y103" s="84"/>
      <c r="Z103" s="84"/>
      <c r="AA103" s="81"/>
      <c r="AB103" s="81"/>
      <c r="AC103" s="81"/>
      <c r="AD103" s="81"/>
      <c r="AE103" s="81"/>
      <c r="AG103" s="84"/>
      <c r="AH103" s="68"/>
      <c r="AI103" s="68"/>
    </row>
    <row r="104" spans="1:35" ht="46.5" x14ac:dyDescent="0.7">
      <c r="A104" s="62"/>
      <c r="B104" s="62"/>
      <c r="C104" s="84"/>
      <c r="D104" s="84"/>
      <c r="E104" s="86"/>
      <c r="F104" s="84"/>
      <c r="G104" s="84"/>
      <c r="H104" s="87"/>
      <c r="I104" s="88"/>
      <c r="J104" s="84"/>
      <c r="K104" s="84"/>
      <c r="L104" s="84"/>
      <c r="M104" s="84"/>
      <c r="N104" s="84"/>
      <c r="V104" s="84"/>
      <c r="W104" s="84"/>
      <c r="X104" s="84"/>
      <c r="Y104" s="84"/>
      <c r="Z104" s="84"/>
      <c r="AA104" s="81"/>
      <c r="AB104" s="81"/>
      <c r="AC104" s="81"/>
      <c r="AD104" s="81"/>
      <c r="AE104" s="81"/>
      <c r="AG104" s="84"/>
      <c r="AH104" s="68"/>
      <c r="AI104" s="68"/>
    </row>
    <row r="105" spans="1:35" ht="46.5" x14ac:dyDescent="0.7">
      <c r="A105" s="67"/>
      <c r="B105" s="67"/>
      <c r="C105" s="84"/>
      <c r="D105" s="84"/>
      <c r="E105" s="86"/>
      <c r="F105" s="84"/>
      <c r="G105" s="84"/>
      <c r="H105" s="87"/>
      <c r="I105" s="88"/>
      <c r="J105" s="84"/>
      <c r="K105" s="84"/>
      <c r="L105" s="84"/>
      <c r="M105" s="84"/>
      <c r="N105" s="84"/>
      <c r="V105" s="84"/>
      <c r="W105" s="84"/>
      <c r="X105" s="84"/>
      <c r="Y105" s="84"/>
      <c r="Z105" s="84"/>
      <c r="AA105" s="81"/>
      <c r="AB105" s="81"/>
      <c r="AC105" s="81"/>
      <c r="AD105" s="81"/>
      <c r="AE105" s="81"/>
      <c r="AG105" s="84"/>
      <c r="AH105" s="68"/>
      <c r="AI105" s="68"/>
    </row>
    <row r="106" spans="1:35" ht="46.5" x14ac:dyDescent="0.7">
      <c r="A106" s="62"/>
      <c r="B106" s="62"/>
      <c r="C106" s="84"/>
      <c r="D106" s="84"/>
      <c r="E106" s="86"/>
      <c r="F106" s="84"/>
      <c r="G106" s="84"/>
      <c r="H106" s="87"/>
      <c r="I106" s="88"/>
      <c r="J106" s="84"/>
      <c r="K106" s="84"/>
      <c r="L106" s="84"/>
      <c r="M106" s="84"/>
      <c r="N106" s="84"/>
      <c r="V106" s="84"/>
      <c r="W106" s="84"/>
      <c r="X106" s="84"/>
      <c r="Y106" s="84"/>
      <c r="Z106" s="84"/>
      <c r="AA106" s="81"/>
      <c r="AB106" s="81"/>
      <c r="AC106" s="81"/>
      <c r="AD106" s="81"/>
      <c r="AE106" s="81"/>
      <c r="AG106" s="84"/>
      <c r="AH106" s="68"/>
      <c r="AI106" s="68"/>
    </row>
    <row r="107" spans="1:35" ht="46.5" x14ac:dyDescent="0.7">
      <c r="A107" s="67"/>
      <c r="B107" s="67"/>
      <c r="C107" s="84"/>
      <c r="D107" s="84"/>
      <c r="E107" s="86"/>
      <c r="F107" s="84"/>
      <c r="G107" s="84"/>
      <c r="H107" s="87"/>
      <c r="I107" s="88"/>
      <c r="J107" s="84"/>
      <c r="K107" s="84"/>
      <c r="L107" s="84"/>
      <c r="M107" s="84"/>
      <c r="N107" s="84"/>
      <c r="V107" s="84"/>
      <c r="W107" s="84"/>
      <c r="X107" s="84"/>
      <c r="Y107" s="84"/>
      <c r="Z107" s="84"/>
      <c r="AA107" s="81"/>
      <c r="AB107" s="81"/>
      <c r="AC107" s="81"/>
      <c r="AD107" s="81"/>
      <c r="AE107" s="81"/>
      <c r="AG107" s="84"/>
      <c r="AH107" s="68"/>
      <c r="AI107" s="68"/>
    </row>
    <row r="108" spans="1:35" ht="46.5" x14ac:dyDescent="0.7">
      <c r="A108" s="62"/>
      <c r="B108" s="62"/>
      <c r="C108" s="84"/>
      <c r="D108" s="84"/>
      <c r="E108" s="86"/>
      <c r="F108" s="84"/>
      <c r="G108" s="84"/>
      <c r="H108" s="87"/>
      <c r="I108" s="88"/>
      <c r="J108" s="84"/>
      <c r="K108" s="84"/>
      <c r="L108" s="84"/>
      <c r="M108" s="84"/>
      <c r="N108" s="84"/>
      <c r="V108" s="84"/>
      <c r="W108" s="84"/>
      <c r="X108" s="84"/>
      <c r="Y108" s="84"/>
      <c r="Z108" s="84"/>
      <c r="AA108" s="81"/>
      <c r="AB108" s="81"/>
      <c r="AC108" s="81"/>
      <c r="AD108" s="81"/>
      <c r="AE108" s="81"/>
      <c r="AG108" s="84"/>
      <c r="AH108" s="68"/>
      <c r="AI108" s="68"/>
    </row>
    <row r="109" spans="1:35" ht="46.5" x14ac:dyDescent="0.7">
      <c r="A109" s="67"/>
      <c r="B109" s="67"/>
      <c r="C109" s="84"/>
      <c r="D109" s="84"/>
      <c r="E109" s="86"/>
      <c r="F109" s="84"/>
      <c r="G109" s="84"/>
      <c r="H109" s="87"/>
      <c r="I109" s="88"/>
      <c r="J109" s="84"/>
      <c r="K109" s="84"/>
      <c r="L109" s="84"/>
      <c r="M109" s="84"/>
      <c r="N109" s="84"/>
      <c r="V109" s="84"/>
      <c r="W109" s="84"/>
      <c r="X109" s="84"/>
      <c r="Y109" s="84"/>
      <c r="Z109" s="84"/>
      <c r="AA109" s="81"/>
      <c r="AB109" s="81"/>
      <c r="AC109" s="81"/>
      <c r="AD109" s="81"/>
      <c r="AE109" s="81"/>
      <c r="AG109" s="84"/>
      <c r="AH109" s="68"/>
      <c r="AI109" s="68"/>
    </row>
    <row r="110" spans="1:35" ht="46.5" x14ac:dyDescent="0.7">
      <c r="A110" s="62"/>
      <c r="B110" s="62"/>
      <c r="C110" s="84"/>
      <c r="D110" s="84"/>
      <c r="E110" s="86"/>
      <c r="F110" s="84"/>
      <c r="G110" s="84"/>
      <c r="H110" s="87"/>
      <c r="I110" s="88"/>
      <c r="J110" s="84"/>
      <c r="K110" s="84"/>
      <c r="L110" s="84"/>
      <c r="M110" s="84"/>
      <c r="N110" s="84"/>
      <c r="V110" s="84"/>
      <c r="W110" s="84"/>
      <c r="X110" s="84"/>
      <c r="Y110" s="84"/>
      <c r="Z110" s="84"/>
      <c r="AA110" s="81"/>
      <c r="AB110" s="81"/>
      <c r="AC110" s="81"/>
      <c r="AD110" s="81"/>
      <c r="AE110" s="81"/>
      <c r="AG110" s="84"/>
      <c r="AH110" s="68"/>
      <c r="AI110" s="68"/>
    </row>
    <row r="111" spans="1:35" ht="46.5" x14ac:dyDescent="0.7">
      <c r="A111" s="67"/>
      <c r="B111" s="67"/>
      <c r="C111" s="84"/>
      <c r="D111" s="84"/>
      <c r="E111" s="86"/>
      <c r="F111" s="84"/>
      <c r="G111" s="84"/>
      <c r="H111" s="87"/>
      <c r="I111" s="88"/>
      <c r="J111" s="84"/>
      <c r="K111" s="84"/>
      <c r="L111" s="84"/>
      <c r="M111" s="84"/>
      <c r="N111" s="84"/>
      <c r="V111" s="84"/>
      <c r="W111" s="84"/>
      <c r="X111" s="84"/>
      <c r="Y111" s="84"/>
      <c r="Z111" s="84"/>
      <c r="AA111" s="81"/>
      <c r="AB111" s="81"/>
      <c r="AC111" s="81"/>
      <c r="AD111" s="81"/>
      <c r="AE111" s="81"/>
      <c r="AG111" s="84"/>
      <c r="AH111" s="68"/>
      <c r="AI111" s="68"/>
    </row>
    <row r="112" spans="1:35" ht="46.5" x14ac:dyDescent="0.7">
      <c r="A112" s="62"/>
      <c r="B112" s="62"/>
      <c r="C112" s="84"/>
      <c r="D112" s="84"/>
      <c r="E112" s="86"/>
      <c r="F112" s="84"/>
      <c r="G112" s="84"/>
      <c r="H112" s="87"/>
      <c r="I112" s="88"/>
      <c r="J112" s="84"/>
      <c r="K112" s="84"/>
      <c r="L112" s="84"/>
      <c r="M112" s="84"/>
      <c r="N112" s="84"/>
      <c r="V112" s="84"/>
      <c r="W112" s="84"/>
      <c r="X112" s="84"/>
      <c r="Y112" s="84"/>
      <c r="Z112" s="84"/>
      <c r="AA112" s="81"/>
      <c r="AB112" s="81"/>
      <c r="AC112" s="81"/>
      <c r="AD112" s="81"/>
      <c r="AE112" s="81"/>
      <c r="AG112" s="84"/>
      <c r="AH112" s="68"/>
      <c r="AI112" s="68"/>
    </row>
    <row r="113" spans="1:35" ht="46.5" x14ac:dyDescent="0.7">
      <c r="A113" s="67"/>
      <c r="B113" s="67"/>
      <c r="C113" s="84"/>
      <c r="D113" s="84"/>
      <c r="E113" s="86"/>
      <c r="F113" s="84"/>
      <c r="G113" s="84"/>
      <c r="H113" s="87"/>
      <c r="I113" s="88"/>
      <c r="J113" s="84"/>
      <c r="K113" s="84"/>
      <c r="L113" s="84"/>
      <c r="M113" s="84"/>
      <c r="N113" s="84"/>
      <c r="V113" s="84"/>
      <c r="W113" s="84"/>
      <c r="X113" s="84"/>
      <c r="Y113" s="84"/>
      <c r="Z113" s="84"/>
      <c r="AA113" s="81"/>
      <c r="AB113" s="81"/>
      <c r="AC113" s="81"/>
      <c r="AD113" s="81"/>
      <c r="AE113" s="81"/>
      <c r="AG113" s="84"/>
      <c r="AH113" s="68"/>
      <c r="AI113" s="68"/>
    </row>
    <row r="114" spans="1:35" ht="46.5" x14ac:dyDescent="0.7">
      <c r="A114" s="62"/>
      <c r="B114" s="62"/>
      <c r="C114" s="84"/>
      <c r="D114" s="84"/>
      <c r="E114" s="86"/>
      <c r="F114" s="84"/>
      <c r="G114" s="84"/>
      <c r="H114" s="87"/>
      <c r="I114" s="88"/>
      <c r="J114" s="84"/>
      <c r="K114" s="84"/>
      <c r="L114" s="84"/>
      <c r="M114" s="84"/>
      <c r="N114" s="84"/>
      <c r="V114" s="84"/>
      <c r="W114" s="84"/>
      <c r="X114" s="84"/>
      <c r="Y114" s="84"/>
      <c r="Z114" s="84"/>
      <c r="AA114" s="81"/>
      <c r="AB114" s="81"/>
      <c r="AC114" s="81"/>
      <c r="AD114" s="81"/>
      <c r="AE114" s="81"/>
      <c r="AG114" s="84"/>
      <c r="AH114" s="68"/>
      <c r="AI114" s="68"/>
    </row>
    <row r="115" spans="1:35" ht="46.5" x14ac:dyDescent="0.7">
      <c r="A115" s="67"/>
      <c r="B115" s="67"/>
      <c r="C115" s="84"/>
      <c r="D115" s="84"/>
      <c r="E115" s="86"/>
      <c r="F115" s="84"/>
      <c r="G115" s="84"/>
      <c r="H115" s="87"/>
      <c r="I115" s="88"/>
      <c r="J115" s="84"/>
      <c r="K115" s="84"/>
      <c r="L115" s="84"/>
      <c r="M115" s="84"/>
      <c r="N115" s="84"/>
      <c r="V115" s="84"/>
      <c r="W115" s="84"/>
      <c r="X115" s="84"/>
      <c r="Y115" s="84"/>
      <c r="Z115" s="84"/>
      <c r="AA115" s="81" t="s">
        <v>334</v>
      </c>
      <c r="AB115" s="81"/>
      <c r="AC115" s="81"/>
      <c r="AD115" s="81"/>
      <c r="AE115" s="81"/>
      <c r="AG115" s="84"/>
      <c r="AH115" s="68"/>
      <c r="AI115" s="68"/>
    </row>
    <row r="116" spans="1:35" ht="46.5" x14ac:dyDescent="0.7">
      <c r="A116" s="62"/>
      <c r="B116" s="62"/>
      <c r="C116" s="84"/>
      <c r="D116" s="84"/>
      <c r="E116" s="86"/>
      <c r="F116" s="84"/>
      <c r="G116" s="84"/>
      <c r="H116" s="87"/>
      <c r="I116" s="88"/>
      <c r="J116" s="84"/>
      <c r="K116" s="84"/>
      <c r="L116" s="84"/>
      <c r="M116" s="84"/>
      <c r="N116" s="84"/>
      <c r="V116" s="84"/>
      <c r="W116" s="84"/>
      <c r="X116" s="84"/>
      <c r="Y116" s="84"/>
      <c r="Z116" s="84"/>
      <c r="AA116" s="81"/>
      <c r="AB116" s="81"/>
      <c r="AC116" s="81"/>
      <c r="AD116" s="81"/>
      <c r="AE116" s="81"/>
      <c r="AG116" s="84"/>
      <c r="AH116" s="68"/>
      <c r="AI116" s="68"/>
    </row>
    <row r="117" spans="1:35" ht="46.5" x14ac:dyDescent="0.7">
      <c r="A117" s="67"/>
      <c r="B117" s="67"/>
      <c r="C117" s="84"/>
      <c r="D117" s="84"/>
      <c r="E117" s="86"/>
      <c r="F117" s="84"/>
      <c r="G117" s="84"/>
      <c r="H117" s="87"/>
      <c r="I117" s="88"/>
      <c r="J117" s="84"/>
      <c r="K117" s="84"/>
      <c r="L117" s="84"/>
      <c r="M117" s="84"/>
      <c r="N117" s="84"/>
      <c r="V117" s="84"/>
      <c r="W117" s="84"/>
      <c r="X117" s="84"/>
      <c r="Y117" s="84"/>
      <c r="Z117" s="84"/>
      <c r="AA117" s="81"/>
      <c r="AB117" s="81"/>
      <c r="AC117" s="81"/>
      <c r="AD117" s="81"/>
      <c r="AE117" s="81"/>
      <c r="AG117" s="84"/>
      <c r="AH117" s="68"/>
      <c r="AI117" s="68"/>
    </row>
    <row r="118" spans="1:35" ht="46.5" x14ac:dyDescent="0.7">
      <c r="A118" s="62"/>
      <c r="B118" s="62"/>
      <c r="C118" s="84"/>
      <c r="D118" s="84"/>
      <c r="E118" s="86"/>
      <c r="F118" s="84"/>
      <c r="G118" s="84"/>
      <c r="H118" s="87"/>
      <c r="I118" s="88"/>
      <c r="J118" s="84"/>
      <c r="K118" s="84"/>
      <c r="L118" s="84"/>
      <c r="M118" s="84"/>
      <c r="N118" s="84"/>
      <c r="V118" s="84"/>
      <c r="W118" s="84"/>
      <c r="X118" s="84"/>
      <c r="Y118" s="84"/>
      <c r="Z118" s="84"/>
      <c r="AA118" s="81"/>
      <c r="AB118" s="81"/>
      <c r="AC118" s="81"/>
      <c r="AD118" s="81"/>
      <c r="AE118" s="81"/>
      <c r="AG118" s="84"/>
      <c r="AH118" s="68"/>
      <c r="AI118" s="68"/>
    </row>
    <row r="119" spans="1:35" ht="46.5" x14ac:dyDescent="0.7">
      <c r="A119" s="67"/>
      <c r="B119" s="67"/>
      <c r="C119" s="84"/>
      <c r="D119" s="84"/>
      <c r="E119" s="86"/>
      <c r="F119" s="84"/>
      <c r="G119" s="84"/>
      <c r="H119" s="87"/>
      <c r="I119" s="88"/>
      <c r="J119" s="84"/>
      <c r="K119" s="84"/>
      <c r="L119" s="84"/>
      <c r="M119" s="84"/>
      <c r="N119" s="84"/>
      <c r="V119" s="84"/>
      <c r="W119" s="84"/>
      <c r="X119" s="84"/>
      <c r="Y119" s="84"/>
      <c r="Z119" s="84"/>
      <c r="AA119" s="81"/>
      <c r="AB119" s="81"/>
      <c r="AC119" s="81"/>
      <c r="AD119" s="81"/>
      <c r="AE119" s="81"/>
      <c r="AG119" s="84"/>
      <c r="AH119" s="68"/>
      <c r="AI119" s="68"/>
    </row>
    <row r="120" spans="1:35" ht="46.5" x14ac:dyDescent="0.7">
      <c r="A120" s="62"/>
      <c r="B120" s="62"/>
      <c r="C120" s="84"/>
      <c r="D120" s="84"/>
      <c r="E120" s="86"/>
      <c r="F120" s="84"/>
      <c r="G120" s="84"/>
      <c r="H120" s="87"/>
      <c r="I120" s="88"/>
      <c r="J120" s="84"/>
      <c r="K120" s="84"/>
      <c r="L120" s="84"/>
      <c r="M120" s="84"/>
      <c r="N120" s="84"/>
      <c r="V120" s="84"/>
      <c r="W120" s="84"/>
      <c r="X120" s="84"/>
      <c r="Y120" s="84"/>
      <c r="Z120" s="84"/>
      <c r="AA120" s="81"/>
      <c r="AB120" s="81"/>
      <c r="AC120" s="81"/>
      <c r="AD120" s="81"/>
      <c r="AE120" s="81"/>
      <c r="AG120" s="84"/>
      <c r="AH120" s="68"/>
      <c r="AI120" s="68"/>
    </row>
    <row r="121" spans="1:35" ht="46.5" x14ac:dyDescent="0.7">
      <c r="A121" s="67"/>
      <c r="B121" s="67"/>
      <c r="C121" s="84"/>
      <c r="D121" s="84"/>
      <c r="E121" s="86"/>
      <c r="F121" s="84"/>
      <c r="G121" s="84"/>
      <c r="H121" s="87"/>
      <c r="I121" s="88"/>
      <c r="J121" s="84"/>
      <c r="K121" s="84"/>
      <c r="L121" s="84"/>
      <c r="M121" s="84"/>
      <c r="N121" s="84"/>
      <c r="V121" s="84"/>
      <c r="W121" s="84"/>
      <c r="X121" s="84"/>
      <c r="Y121" s="84"/>
      <c r="Z121" s="84"/>
      <c r="AA121" s="81"/>
      <c r="AB121" s="81"/>
      <c r="AC121" s="81"/>
      <c r="AD121" s="81"/>
      <c r="AE121" s="81"/>
      <c r="AG121" s="84"/>
      <c r="AH121" s="68"/>
      <c r="AI121" s="68"/>
    </row>
    <row r="122" spans="1:35" ht="46.5" x14ac:dyDescent="0.7">
      <c r="A122" s="62"/>
      <c r="B122" s="62"/>
      <c r="C122" s="84"/>
      <c r="D122" s="84"/>
      <c r="E122" s="86"/>
      <c r="F122" s="84"/>
      <c r="G122" s="84"/>
      <c r="H122" s="87"/>
      <c r="I122" s="88"/>
      <c r="J122" s="84"/>
      <c r="K122" s="84"/>
      <c r="L122" s="84"/>
      <c r="M122" s="84"/>
      <c r="N122" s="84"/>
      <c r="V122" s="84"/>
      <c r="W122" s="84"/>
      <c r="X122" s="84"/>
      <c r="Y122" s="84"/>
      <c r="Z122" s="84"/>
      <c r="AA122" s="81"/>
      <c r="AB122" s="81"/>
      <c r="AC122" s="81"/>
      <c r="AD122" s="81"/>
      <c r="AE122" s="81"/>
      <c r="AG122" s="84"/>
      <c r="AH122" s="68"/>
      <c r="AI122" s="68"/>
    </row>
    <row r="123" spans="1:35" ht="46.5" x14ac:dyDescent="0.7">
      <c r="A123" s="67"/>
      <c r="B123" s="67"/>
      <c r="C123" s="84"/>
      <c r="D123" s="84"/>
      <c r="E123" s="86"/>
      <c r="F123" s="84"/>
      <c r="G123" s="84"/>
      <c r="H123" s="87"/>
      <c r="I123" s="88"/>
      <c r="J123" s="84"/>
      <c r="K123" s="84"/>
      <c r="L123" s="84"/>
      <c r="M123" s="84"/>
      <c r="N123" s="84"/>
      <c r="V123" s="84"/>
      <c r="W123" s="84"/>
      <c r="X123" s="84"/>
      <c r="Y123" s="84"/>
      <c r="Z123" s="84"/>
      <c r="AA123" s="81"/>
      <c r="AB123" s="81"/>
      <c r="AC123" s="81"/>
      <c r="AD123" s="81"/>
      <c r="AE123" s="81"/>
      <c r="AG123" s="84"/>
      <c r="AH123" s="68"/>
      <c r="AI123" s="68"/>
    </row>
    <row r="124" spans="1:35" ht="46.5" x14ac:dyDescent="0.7">
      <c r="A124" s="62"/>
      <c r="B124" s="62"/>
      <c r="C124" s="84"/>
      <c r="D124" s="84"/>
      <c r="E124" s="86"/>
      <c r="F124" s="84"/>
      <c r="G124" s="84"/>
      <c r="H124" s="87"/>
      <c r="I124" s="88"/>
      <c r="J124" s="84"/>
      <c r="K124" s="84"/>
      <c r="L124" s="84"/>
      <c r="M124" s="84"/>
      <c r="N124" s="84"/>
      <c r="V124" s="84"/>
      <c r="W124" s="84"/>
      <c r="X124" s="84"/>
      <c r="Y124" s="84"/>
      <c r="Z124" s="84"/>
      <c r="AA124" s="81"/>
      <c r="AB124" s="81"/>
      <c r="AC124" s="81"/>
      <c r="AD124" s="81"/>
      <c r="AE124" s="81"/>
      <c r="AG124" s="84"/>
      <c r="AH124" s="68"/>
      <c r="AI124" s="68"/>
    </row>
    <row r="125" spans="1:35" ht="46.5" x14ac:dyDescent="0.7">
      <c r="A125" s="67"/>
      <c r="B125" s="67"/>
      <c r="C125" s="84"/>
      <c r="D125" s="84"/>
      <c r="E125" s="86"/>
      <c r="F125" s="84"/>
      <c r="G125" s="84"/>
      <c r="H125" s="87"/>
      <c r="I125" s="88"/>
      <c r="J125" s="84"/>
      <c r="K125" s="84"/>
      <c r="L125" s="84"/>
      <c r="M125" s="84"/>
      <c r="N125" s="84"/>
      <c r="V125" s="84"/>
      <c r="W125" s="84"/>
      <c r="X125" s="84"/>
      <c r="Y125" s="84"/>
      <c r="Z125" s="84"/>
      <c r="AA125" s="81"/>
      <c r="AB125" s="81"/>
      <c r="AC125" s="81"/>
      <c r="AD125" s="81"/>
      <c r="AE125" s="81"/>
      <c r="AG125" s="84"/>
      <c r="AH125" s="68"/>
      <c r="AI125" s="68"/>
    </row>
    <row r="126" spans="1:35" ht="46.5" x14ac:dyDescent="0.7">
      <c r="A126" s="62"/>
      <c r="B126" s="62"/>
      <c r="C126" s="84"/>
      <c r="D126" s="84"/>
      <c r="E126" s="86"/>
      <c r="F126" s="84"/>
      <c r="G126" s="84"/>
      <c r="H126" s="87"/>
      <c r="I126" s="88"/>
      <c r="J126" s="84"/>
      <c r="K126" s="84"/>
      <c r="L126" s="84"/>
      <c r="M126" s="84"/>
      <c r="N126" s="84"/>
      <c r="V126" s="84"/>
      <c r="W126" s="84"/>
      <c r="X126" s="84"/>
      <c r="Y126" s="84"/>
      <c r="Z126" s="84"/>
      <c r="AA126" s="81"/>
      <c r="AB126" s="81"/>
      <c r="AC126" s="81"/>
      <c r="AD126" s="81"/>
      <c r="AE126" s="81"/>
      <c r="AG126" s="84"/>
      <c r="AH126" s="68"/>
      <c r="AI126" s="68"/>
    </row>
    <row r="127" spans="1:35" ht="46.5" x14ac:dyDescent="0.7">
      <c r="A127" s="67"/>
      <c r="B127" s="67"/>
      <c r="C127" s="84"/>
      <c r="D127" s="84"/>
      <c r="E127" s="86"/>
      <c r="F127" s="84"/>
      <c r="G127" s="84"/>
      <c r="H127" s="87"/>
      <c r="I127" s="88"/>
      <c r="J127" s="84"/>
      <c r="K127" s="84"/>
      <c r="L127" s="84"/>
      <c r="M127" s="84"/>
      <c r="N127" s="84"/>
      <c r="V127" s="84"/>
      <c r="W127" s="84"/>
      <c r="X127" s="84"/>
      <c r="Y127" s="84"/>
      <c r="Z127" s="84"/>
      <c r="AA127" s="81"/>
      <c r="AB127" s="81"/>
      <c r="AC127" s="81"/>
      <c r="AD127" s="81"/>
      <c r="AE127" s="81"/>
      <c r="AG127" s="84"/>
      <c r="AH127" s="68"/>
      <c r="AI127" s="68"/>
    </row>
    <row r="128" spans="1:35" ht="46.5" x14ac:dyDescent="0.7">
      <c r="A128" s="62"/>
      <c r="B128" s="62"/>
      <c r="C128" s="84"/>
      <c r="D128" s="84"/>
      <c r="E128" s="86"/>
      <c r="F128" s="84"/>
      <c r="G128" s="84"/>
      <c r="H128" s="87"/>
      <c r="I128" s="88"/>
      <c r="J128" s="84"/>
      <c r="K128" s="84"/>
      <c r="L128" s="84"/>
      <c r="M128" s="84"/>
      <c r="N128" s="84"/>
      <c r="V128" s="84"/>
      <c r="W128" s="84"/>
      <c r="X128" s="84"/>
      <c r="Y128" s="84"/>
      <c r="Z128" s="84"/>
      <c r="AA128" s="81"/>
      <c r="AB128" s="81"/>
      <c r="AC128" s="81"/>
      <c r="AD128" s="81"/>
      <c r="AE128" s="81"/>
      <c r="AG128" s="84"/>
      <c r="AH128" s="68"/>
      <c r="AI128" s="68"/>
    </row>
    <row r="129" spans="1:35" ht="46.5" x14ac:dyDescent="0.7">
      <c r="A129" s="67"/>
      <c r="B129" s="67"/>
      <c r="C129" s="84"/>
      <c r="D129" s="84"/>
      <c r="E129" s="86"/>
      <c r="F129" s="84"/>
      <c r="G129" s="84"/>
      <c r="H129" s="87"/>
      <c r="I129" s="88"/>
      <c r="J129" s="84"/>
      <c r="K129" s="84"/>
      <c r="L129" s="84"/>
      <c r="M129" s="84"/>
      <c r="N129" s="84"/>
      <c r="V129" s="84"/>
      <c r="W129" s="84"/>
      <c r="X129" s="84"/>
      <c r="Y129" s="84"/>
      <c r="Z129" s="84"/>
      <c r="AA129" s="81"/>
      <c r="AB129" s="81"/>
      <c r="AC129" s="81"/>
      <c r="AD129" s="81"/>
      <c r="AE129" s="81"/>
      <c r="AG129" s="84"/>
      <c r="AH129" s="68"/>
      <c r="AI129" s="68"/>
    </row>
    <row r="130" spans="1:35" ht="46.5" x14ac:dyDescent="0.7">
      <c r="A130" s="62"/>
      <c r="B130" s="62"/>
      <c r="C130" s="84"/>
      <c r="D130" s="84"/>
      <c r="E130" s="86"/>
      <c r="F130" s="84"/>
      <c r="G130" s="84"/>
      <c r="H130" s="87"/>
      <c r="I130" s="88"/>
      <c r="J130" s="84"/>
      <c r="K130" s="84"/>
      <c r="L130" s="84"/>
      <c r="M130" s="84"/>
      <c r="N130" s="84"/>
      <c r="V130" s="84"/>
      <c r="W130" s="84"/>
      <c r="X130" s="84"/>
      <c r="Y130" s="84"/>
      <c r="Z130" s="84"/>
      <c r="AA130" s="81"/>
      <c r="AB130" s="81"/>
      <c r="AC130" s="81"/>
      <c r="AD130" s="81"/>
      <c r="AE130" s="81"/>
      <c r="AG130" s="84"/>
      <c r="AH130" s="68"/>
      <c r="AI130" s="68"/>
    </row>
    <row r="131" spans="1:35" ht="46.5" x14ac:dyDescent="0.7">
      <c r="A131" s="67"/>
      <c r="B131" s="67"/>
      <c r="C131" s="84"/>
      <c r="D131" s="84"/>
      <c r="E131" s="86"/>
      <c r="F131" s="84"/>
      <c r="G131" s="84"/>
      <c r="H131" s="87"/>
      <c r="I131" s="88"/>
      <c r="J131" s="84"/>
      <c r="K131" s="84"/>
      <c r="L131" s="84"/>
      <c r="M131" s="84"/>
      <c r="N131" s="84"/>
      <c r="V131" s="84"/>
      <c r="W131" s="84"/>
      <c r="X131" s="84"/>
      <c r="Y131" s="84"/>
      <c r="Z131" s="84"/>
      <c r="AA131" s="81"/>
      <c r="AB131" s="81"/>
      <c r="AC131" s="81"/>
      <c r="AD131" s="81"/>
      <c r="AE131" s="81"/>
      <c r="AG131" s="84"/>
      <c r="AH131" s="68"/>
      <c r="AI131" s="68"/>
    </row>
    <row r="132" spans="1:35" ht="46.5" x14ac:dyDescent="0.7">
      <c r="A132" s="62"/>
      <c r="B132" s="62"/>
      <c r="C132" s="84"/>
      <c r="D132" s="84"/>
      <c r="E132" s="86"/>
      <c r="F132" s="84"/>
      <c r="G132" s="84"/>
      <c r="H132" s="87"/>
      <c r="I132" s="88"/>
      <c r="J132" s="84"/>
      <c r="K132" s="84"/>
      <c r="L132" s="84"/>
      <c r="M132" s="84"/>
      <c r="N132" s="84"/>
      <c r="V132" s="84"/>
      <c r="W132" s="84"/>
      <c r="X132" s="84"/>
      <c r="Y132" s="84"/>
      <c r="Z132" s="84"/>
      <c r="AA132" s="81"/>
      <c r="AB132" s="81"/>
      <c r="AC132" s="81"/>
      <c r="AD132" s="81"/>
      <c r="AE132" s="81"/>
      <c r="AG132" s="84"/>
      <c r="AH132" s="68"/>
      <c r="AI132" s="68"/>
    </row>
    <row r="133" spans="1:35" ht="46.5" x14ac:dyDescent="0.7">
      <c r="A133" s="67"/>
      <c r="B133" s="67"/>
      <c r="C133" s="84"/>
      <c r="D133" s="84"/>
      <c r="E133" s="86"/>
      <c r="F133" s="84"/>
      <c r="G133" s="84"/>
      <c r="H133" s="87"/>
      <c r="I133" s="88"/>
      <c r="J133" s="84"/>
      <c r="K133" s="84"/>
      <c r="L133" s="84"/>
      <c r="M133" s="84"/>
      <c r="N133" s="84"/>
      <c r="V133" s="84"/>
      <c r="W133" s="84"/>
      <c r="X133" s="84"/>
      <c r="Y133" s="84"/>
      <c r="Z133" s="84"/>
      <c r="AA133" s="81"/>
      <c r="AB133" s="81"/>
      <c r="AC133" s="81"/>
      <c r="AD133" s="81"/>
      <c r="AE133" s="81"/>
      <c r="AG133" s="84"/>
      <c r="AH133" s="68"/>
      <c r="AI133" s="68"/>
    </row>
    <row r="134" spans="1:35" ht="46.5" x14ac:dyDescent="0.7">
      <c r="A134" s="62"/>
      <c r="B134" s="62"/>
      <c r="C134" s="84"/>
      <c r="D134" s="84"/>
      <c r="E134" s="86"/>
      <c r="F134" s="84"/>
      <c r="G134" s="84"/>
      <c r="H134" s="87"/>
      <c r="I134" s="88"/>
      <c r="J134" s="84"/>
      <c r="K134" s="84"/>
      <c r="L134" s="84"/>
      <c r="M134" s="84"/>
      <c r="N134" s="84"/>
      <c r="V134" s="84"/>
      <c r="W134" s="84"/>
      <c r="X134" s="84"/>
      <c r="Y134" s="84"/>
      <c r="Z134" s="84"/>
      <c r="AA134" s="81"/>
      <c r="AB134" s="81"/>
      <c r="AC134" s="81"/>
      <c r="AD134" s="81"/>
      <c r="AE134" s="81"/>
      <c r="AG134" s="84"/>
      <c r="AH134" s="68"/>
      <c r="AI134" s="68"/>
    </row>
    <row r="135" spans="1:35" ht="46.5" x14ac:dyDescent="0.7">
      <c r="A135" s="67"/>
      <c r="B135" s="67"/>
      <c r="C135" s="84"/>
      <c r="D135" s="84"/>
      <c r="E135" s="86"/>
      <c r="F135" s="84"/>
      <c r="G135" s="84"/>
      <c r="H135" s="87"/>
      <c r="I135" s="88"/>
      <c r="J135" s="84"/>
      <c r="K135" s="84"/>
      <c r="L135" s="84"/>
      <c r="M135" s="84"/>
      <c r="N135" s="84"/>
      <c r="V135" s="84"/>
      <c r="W135" s="84"/>
      <c r="X135" s="84"/>
      <c r="Y135" s="84"/>
      <c r="Z135" s="84"/>
      <c r="AA135" s="81"/>
      <c r="AB135" s="81"/>
      <c r="AC135" s="81"/>
      <c r="AD135" s="81"/>
      <c r="AE135" s="81"/>
      <c r="AG135" s="84"/>
      <c r="AH135" s="68"/>
      <c r="AI135" s="68"/>
    </row>
    <row r="136" spans="1:35" ht="46.5" x14ac:dyDescent="0.7">
      <c r="A136" s="62"/>
      <c r="B136" s="62"/>
      <c r="C136" s="84"/>
      <c r="D136" s="84"/>
      <c r="E136" s="86"/>
      <c r="F136" s="84"/>
      <c r="G136" s="84"/>
      <c r="H136" s="87"/>
      <c r="I136" s="88"/>
      <c r="J136" s="84"/>
      <c r="K136" s="84"/>
      <c r="L136" s="84"/>
      <c r="M136" s="84"/>
      <c r="N136" s="84"/>
      <c r="V136" s="84"/>
      <c r="W136" s="84"/>
      <c r="X136" s="84"/>
      <c r="Y136" s="84"/>
      <c r="Z136" s="84"/>
      <c r="AA136" s="81"/>
      <c r="AB136" s="81"/>
      <c r="AC136" s="81"/>
      <c r="AD136" s="81"/>
      <c r="AE136" s="81"/>
      <c r="AG136" s="84"/>
      <c r="AH136" s="68"/>
      <c r="AI136" s="68"/>
    </row>
    <row r="137" spans="1:35" ht="46.5" x14ac:dyDescent="0.7">
      <c r="A137" s="67"/>
      <c r="B137" s="67"/>
      <c r="C137" s="84"/>
      <c r="D137" s="84"/>
      <c r="E137" s="86"/>
      <c r="F137" s="84"/>
      <c r="G137" s="84"/>
      <c r="H137" s="87"/>
      <c r="I137" s="88"/>
      <c r="J137" s="84"/>
      <c r="K137" s="84"/>
      <c r="L137" s="84"/>
      <c r="M137" s="84"/>
      <c r="N137" s="84"/>
      <c r="V137" s="84"/>
      <c r="W137" s="84"/>
      <c r="X137" s="84"/>
      <c r="Y137" s="84"/>
      <c r="Z137" s="84"/>
      <c r="AA137" s="81"/>
      <c r="AB137" s="81"/>
      <c r="AC137" s="81"/>
      <c r="AD137" s="81"/>
      <c r="AE137" s="81"/>
      <c r="AG137" s="84"/>
      <c r="AH137" s="68"/>
      <c r="AI137" s="68"/>
    </row>
    <row r="138" spans="1:35" ht="46.5" x14ac:dyDescent="0.7">
      <c r="A138" s="62"/>
      <c r="B138" s="62"/>
      <c r="C138" s="84"/>
      <c r="D138" s="84"/>
      <c r="E138" s="86"/>
      <c r="F138" s="84"/>
      <c r="G138" s="84"/>
      <c r="H138" s="87"/>
      <c r="I138" s="88"/>
      <c r="J138" s="84"/>
      <c r="K138" s="84"/>
      <c r="L138" s="84"/>
      <c r="M138" s="84"/>
      <c r="N138" s="84"/>
      <c r="V138" s="84"/>
      <c r="W138" s="84"/>
      <c r="X138" s="84"/>
      <c r="Y138" s="84"/>
      <c r="Z138" s="84"/>
      <c r="AA138" s="81"/>
      <c r="AB138" s="81"/>
      <c r="AC138" s="81"/>
      <c r="AD138" s="81"/>
      <c r="AE138" s="81"/>
      <c r="AG138" s="84"/>
      <c r="AH138" s="68"/>
      <c r="AI138" s="68"/>
    </row>
    <row r="139" spans="1:35" ht="46.5" x14ac:dyDescent="0.7">
      <c r="A139" s="67"/>
      <c r="B139" s="67"/>
      <c r="C139" s="84"/>
      <c r="D139" s="84"/>
      <c r="E139" s="86"/>
      <c r="F139" s="84"/>
      <c r="G139" s="84"/>
      <c r="H139" s="87"/>
      <c r="I139" s="88"/>
      <c r="J139" s="84"/>
      <c r="K139" s="84"/>
      <c r="L139" s="84"/>
      <c r="M139" s="84"/>
      <c r="N139" s="84"/>
      <c r="V139" s="84"/>
      <c r="W139" s="84"/>
      <c r="X139" s="84"/>
      <c r="Y139" s="84"/>
      <c r="Z139" s="84"/>
      <c r="AA139" s="81"/>
      <c r="AB139" s="81"/>
      <c r="AC139" s="81"/>
      <c r="AD139" s="81"/>
      <c r="AE139" s="81"/>
      <c r="AG139" s="84"/>
      <c r="AH139" s="68"/>
      <c r="AI139" s="68"/>
    </row>
    <row r="140" spans="1:35" ht="46.5" x14ac:dyDescent="0.7">
      <c r="A140" s="62"/>
      <c r="B140" s="62"/>
      <c r="C140" s="84"/>
      <c r="D140" s="84"/>
      <c r="E140" s="86"/>
      <c r="F140" s="84"/>
      <c r="G140" s="84"/>
      <c r="H140" s="87"/>
      <c r="I140" s="88"/>
      <c r="J140" s="84"/>
      <c r="K140" s="84"/>
      <c r="L140" s="84"/>
      <c r="M140" s="84"/>
      <c r="N140" s="84"/>
      <c r="V140" s="84"/>
      <c r="W140" s="84"/>
      <c r="X140" s="84"/>
      <c r="Y140" s="84"/>
      <c r="Z140" s="84"/>
      <c r="AA140" s="81"/>
      <c r="AB140" s="81"/>
      <c r="AC140" s="81"/>
      <c r="AD140" s="81"/>
      <c r="AE140" s="81"/>
      <c r="AG140" s="84"/>
      <c r="AH140" s="68"/>
      <c r="AI140" s="68"/>
    </row>
    <row r="141" spans="1:35" ht="46.5" x14ac:dyDescent="0.7">
      <c r="A141" s="67"/>
      <c r="B141" s="67"/>
      <c r="C141" s="84"/>
      <c r="D141" s="84"/>
      <c r="E141" s="86"/>
      <c r="F141" s="84"/>
      <c r="G141" s="84"/>
      <c r="H141" s="87"/>
      <c r="I141" s="88"/>
      <c r="J141" s="84"/>
      <c r="K141" s="84"/>
      <c r="L141" s="84"/>
      <c r="M141" s="84"/>
      <c r="N141" s="84"/>
      <c r="V141" s="84"/>
      <c r="W141" s="84"/>
      <c r="X141" s="84"/>
      <c r="Y141" s="84"/>
      <c r="Z141" s="84"/>
      <c r="AA141" s="81"/>
      <c r="AB141" s="81"/>
      <c r="AC141" s="81"/>
      <c r="AD141" s="81"/>
      <c r="AE141" s="81"/>
      <c r="AG141" s="84"/>
      <c r="AH141" s="68"/>
      <c r="AI141" s="68"/>
    </row>
    <row r="142" spans="1:35" ht="46.5" x14ac:dyDescent="0.7">
      <c r="A142" s="62"/>
      <c r="B142" s="62"/>
      <c r="C142" s="84"/>
      <c r="D142" s="84"/>
      <c r="E142" s="86"/>
      <c r="F142" s="84"/>
      <c r="G142" s="84"/>
      <c r="H142" s="87"/>
      <c r="I142" s="88"/>
      <c r="J142" s="84"/>
      <c r="K142" s="84"/>
      <c r="L142" s="84"/>
      <c r="M142" s="84"/>
      <c r="N142" s="84"/>
      <c r="V142" s="84"/>
      <c r="W142" s="84"/>
      <c r="X142" s="84"/>
      <c r="Y142" s="84"/>
      <c r="Z142" s="84"/>
      <c r="AA142" s="81"/>
      <c r="AB142" s="81"/>
      <c r="AC142" s="81"/>
      <c r="AD142" s="81"/>
      <c r="AE142" s="81"/>
      <c r="AG142" s="84"/>
      <c r="AH142" s="68"/>
      <c r="AI142" s="68"/>
    </row>
    <row r="143" spans="1:35" ht="46.5" x14ac:dyDescent="0.7">
      <c r="A143" s="67"/>
      <c r="B143" s="67"/>
      <c r="C143" s="84"/>
      <c r="D143" s="84"/>
      <c r="E143" s="86"/>
      <c r="F143" s="84"/>
      <c r="G143" s="84"/>
      <c r="H143" s="87"/>
      <c r="I143" s="88"/>
      <c r="J143" s="84"/>
      <c r="K143" s="84"/>
      <c r="L143" s="84"/>
      <c r="M143" s="84"/>
      <c r="N143" s="84"/>
      <c r="V143" s="84"/>
      <c r="W143" s="84"/>
      <c r="X143" s="84"/>
      <c r="Y143" s="84"/>
      <c r="Z143" s="84"/>
      <c r="AA143" s="81"/>
      <c r="AB143" s="81"/>
      <c r="AC143" s="81"/>
      <c r="AD143" s="81"/>
      <c r="AE143" s="81"/>
      <c r="AG143" s="84"/>
      <c r="AH143" s="68"/>
      <c r="AI143" s="68"/>
    </row>
    <row r="144" spans="1:35" ht="46.5" x14ac:dyDescent="0.7">
      <c r="A144" s="62"/>
      <c r="B144" s="62"/>
      <c r="C144" s="84"/>
      <c r="D144" s="84"/>
      <c r="E144" s="86"/>
      <c r="F144" s="84"/>
      <c r="G144" s="84"/>
      <c r="H144" s="87"/>
      <c r="I144" s="88"/>
      <c r="J144" s="84"/>
      <c r="K144" s="84"/>
      <c r="L144" s="84"/>
      <c r="M144" s="84"/>
      <c r="N144" s="84"/>
      <c r="V144" s="84"/>
      <c r="W144" s="84"/>
      <c r="X144" s="84"/>
      <c r="Y144" s="84"/>
      <c r="Z144" s="84"/>
      <c r="AA144" s="81"/>
      <c r="AB144" s="81"/>
      <c r="AC144" s="81"/>
      <c r="AD144" s="81"/>
      <c r="AE144" s="81"/>
      <c r="AG144" s="84"/>
      <c r="AH144" s="68"/>
      <c r="AI144" s="68"/>
    </row>
    <row r="145" spans="1:35" ht="46.5" x14ac:dyDescent="0.7">
      <c r="A145" s="67"/>
      <c r="B145" s="67"/>
      <c r="C145" s="84"/>
      <c r="D145" s="84"/>
      <c r="E145" s="86"/>
      <c r="F145" s="84"/>
      <c r="G145" s="84"/>
      <c r="H145" s="87"/>
      <c r="I145" s="88"/>
      <c r="J145" s="84"/>
      <c r="K145" s="84"/>
      <c r="L145" s="84"/>
      <c r="M145" s="84"/>
      <c r="N145" s="84"/>
      <c r="V145" s="84"/>
      <c r="W145" s="84"/>
      <c r="X145" s="84"/>
      <c r="Y145" s="84"/>
      <c r="Z145" s="84"/>
      <c r="AA145" s="81"/>
      <c r="AB145" s="81"/>
      <c r="AC145" s="81"/>
      <c r="AD145" s="81"/>
      <c r="AE145" s="81"/>
      <c r="AG145" s="84"/>
      <c r="AH145" s="68"/>
      <c r="AI145" s="68"/>
    </row>
    <row r="146" spans="1:35" ht="46.5" x14ac:dyDescent="0.7">
      <c r="A146" s="62"/>
      <c r="B146" s="62"/>
      <c r="C146" s="84"/>
      <c r="D146" s="84"/>
      <c r="E146" s="86"/>
      <c r="F146" s="84"/>
      <c r="G146" s="84"/>
      <c r="H146" s="87"/>
      <c r="I146" s="88"/>
      <c r="J146" s="84"/>
      <c r="K146" s="84"/>
      <c r="L146" s="84"/>
      <c r="M146" s="84"/>
      <c r="N146" s="84"/>
      <c r="V146" s="84"/>
      <c r="W146" s="84"/>
      <c r="X146" s="84"/>
      <c r="Y146" s="84"/>
      <c r="Z146" s="84"/>
      <c r="AA146" s="81"/>
      <c r="AB146" s="81"/>
      <c r="AC146" s="81"/>
      <c r="AD146" s="81"/>
      <c r="AE146" s="81"/>
      <c r="AG146" s="84"/>
      <c r="AH146" s="68"/>
      <c r="AI146" s="68"/>
    </row>
    <row r="147" spans="1:35" ht="46.5" x14ac:dyDescent="0.7">
      <c r="A147" s="67"/>
      <c r="B147" s="67"/>
      <c r="C147" s="84"/>
      <c r="D147" s="84"/>
      <c r="E147" s="86"/>
      <c r="F147" s="84"/>
      <c r="G147" s="84"/>
      <c r="H147" s="87"/>
      <c r="I147" s="88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G147" s="84"/>
      <c r="AH147" s="68"/>
      <c r="AI147" s="68"/>
    </row>
    <row r="148" spans="1:35" ht="46.5" x14ac:dyDescent="0.7">
      <c r="A148" s="62"/>
      <c r="B148" s="62"/>
      <c r="C148" s="84"/>
      <c r="D148" s="84"/>
      <c r="E148" s="86"/>
      <c r="F148" s="84"/>
      <c r="G148" s="84"/>
      <c r="H148" s="87"/>
      <c r="I148" s="88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G148" s="84"/>
      <c r="AH148" s="68"/>
      <c r="AI148" s="68"/>
    </row>
    <row r="149" spans="1:35" ht="46.5" x14ac:dyDescent="0.7">
      <c r="A149" s="67"/>
      <c r="B149" s="67"/>
      <c r="C149" s="84"/>
      <c r="D149" s="84"/>
      <c r="E149" s="86"/>
      <c r="F149" s="84"/>
      <c r="G149" s="84"/>
      <c r="H149" s="87"/>
      <c r="I149" s="88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G149" s="84"/>
      <c r="AH149" s="68"/>
      <c r="AI149" s="68"/>
    </row>
    <row r="150" spans="1:35" ht="46.5" x14ac:dyDescent="0.7">
      <c r="A150" s="62"/>
      <c r="B150" s="62"/>
      <c r="C150" s="84"/>
      <c r="D150" s="84"/>
      <c r="E150" s="86"/>
      <c r="F150" s="84"/>
      <c r="G150" s="84"/>
      <c r="H150" s="87"/>
      <c r="I150" s="88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G150" s="84"/>
      <c r="AH150" s="68"/>
      <c r="AI150" s="68"/>
    </row>
    <row r="151" spans="1:35" ht="46.5" x14ac:dyDescent="0.7">
      <c r="A151" s="67"/>
      <c r="B151" s="67"/>
      <c r="C151" s="84"/>
      <c r="D151" s="84"/>
      <c r="E151" s="86"/>
      <c r="F151" s="84"/>
      <c r="G151" s="84"/>
      <c r="H151" s="87"/>
      <c r="I151" s="88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G151" s="84"/>
      <c r="AH151" s="68"/>
      <c r="AI151" s="68"/>
    </row>
    <row r="152" spans="1:35" ht="46.5" x14ac:dyDescent="0.7">
      <c r="A152" s="62"/>
      <c r="B152" s="62"/>
      <c r="C152" s="84"/>
      <c r="D152" s="84"/>
      <c r="E152" s="86"/>
      <c r="F152" s="84"/>
      <c r="G152" s="84"/>
      <c r="H152" s="87"/>
      <c r="I152" s="88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G152" s="84"/>
      <c r="AH152" s="68"/>
      <c r="AI152" s="68"/>
    </row>
    <row r="153" spans="1:35" ht="46.5" x14ac:dyDescent="0.7">
      <c r="A153" s="67"/>
      <c r="B153" s="67"/>
      <c r="C153" s="84"/>
      <c r="D153" s="84"/>
      <c r="E153" s="86"/>
      <c r="F153" s="84"/>
      <c r="G153" s="84"/>
      <c r="H153" s="87"/>
      <c r="I153" s="88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G153" s="84"/>
      <c r="AH153" s="68"/>
      <c r="AI153" s="68"/>
    </row>
    <row r="154" spans="1:35" ht="46.5" x14ac:dyDescent="0.7">
      <c r="A154" s="62"/>
      <c r="B154" s="62"/>
      <c r="C154" s="84"/>
      <c r="D154" s="84"/>
      <c r="E154" s="86"/>
      <c r="F154" s="84"/>
      <c r="G154" s="84"/>
      <c r="H154" s="87"/>
      <c r="I154" s="88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G154" s="84"/>
      <c r="AH154" s="68"/>
      <c r="AI154" s="68"/>
    </row>
    <row r="155" spans="1:35" ht="46.5" x14ac:dyDescent="0.7">
      <c r="A155" s="67"/>
      <c r="B155" s="67"/>
      <c r="C155" s="84"/>
      <c r="D155" s="84"/>
      <c r="E155" s="86"/>
      <c r="F155" s="84"/>
      <c r="G155" s="84"/>
      <c r="H155" s="87"/>
      <c r="I155" s="88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G155" s="84"/>
      <c r="AH155" s="68"/>
      <c r="AI155" s="68"/>
    </row>
    <row r="156" spans="1:35" ht="46.5" x14ac:dyDescent="0.7">
      <c r="A156" s="62"/>
      <c r="B156" s="62"/>
      <c r="C156" s="84"/>
      <c r="D156" s="84"/>
      <c r="E156" s="86"/>
      <c r="F156" s="84"/>
      <c r="G156" s="84"/>
      <c r="H156" s="87"/>
      <c r="I156" s="88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G156" s="84"/>
      <c r="AH156" s="68"/>
      <c r="AI156" s="68"/>
    </row>
    <row r="157" spans="1:35" ht="46.5" x14ac:dyDescent="0.7">
      <c r="A157" s="67"/>
      <c r="B157" s="67"/>
      <c r="C157" s="84"/>
      <c r="D157" s="84"/>
      <c r="E157" s="86"/>
      <c r="F157" s="84"/>
      <c r="G157" s="84"/>
      <c r="H157" s="87"/>
      <c r="I157" s="88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G157" s="84"/>
      <c r="AH157" s="68"/>
      <c r="AI157" s="68"/>
    </row>
    <row r="158" spans="1:35" ht="46.5" x14ac:dyDescent="0.7">
      <c r="A158" s="62"/>
      <c r="B158" s="62"/>
      <c r="C158" s="84"/>
      <c r="D158" s="84"/>
      <c r="E158" s="86"/>
      <c r="F158" s="84"/>
      <c r="G158" s="84"/>
      <c r="H158" s="87"/>
      <c r="I158" s="88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G158" s="84"/>
      <c r="AH158" s="68"/>
      <c r="AI158" s="68"/>
    </row>
    <row r="159" spans="1:35" ht="46.5" x14ac:dyDescent="0.7">
      <c r="A159" s="67"/>
      <c r="B159" s="67"/>
      <c r="C159" s="84"/>
      <c r="D159" s="84"/>
      <c r="E159" s="86"/>
      <c r="F159" s="84"/>
      <c r="G159" s="84"/>
      <c r="H159" s="87"/>
      <c r="I159" s="88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G159" s="84"/>
      <c r="AH159" s="68"/>
      <c r="AI159" s="68"/>
    </row>
    <row r="160" spans="1:35" ht="46.5" x14ac:dyDescent="0.7">
      <c r="A160" s="62"/>
      <c r="B160" s="62"/>
      <c r="C160" s="84"/>
      <c r="D160" s="84"/>
      <c r="E160" s="86"/>
      <c r="F160" s="84"/>
      <c r="G160" s="84"/>
      <c r="H160" s="87"/>
      <c r="I160" s="88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G160" s="84"/>
      <c r="AH160" s="68"/>
      <c r="AI160" s="68"/>
    </row>
    <row r="161" spans="1:35" ht="46.5" x14ac:dyDescent="0.7">
      <c r="A161" s="67"/>
      <c r="B161" s="67"/>
      <c r="C161" s="84"/>
      <c r="D161" s="84"/>
      <c r="E161" s="86"/>
      <c r="F161" s="84"/>
      <c r="G161" s="84"/>
      <c r="H161" s="87"/>
      <c r="I161" s="88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G161" s="84"/>
      <c r="AH161" s="68"/>
      <c r="AI161" s="68"/>
    </row>
    <row r="162" spans="1:35" ht="46.5" x14ac:dyDescent="0.7">
      <c r="A162" s="62"/>
      <c r="B162" s="62"/>
      <c r="C162" s="84"/>
      <c r="D162" s="84"/>
      <c r="E162" s="86"/>
      <c r="F162" s="84"/>
      <c r="G162" s="84"/>
      <c r="H162" s="87"/>
      <c r="I162" s="88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G162" s="84"/>
      <c r="AH162" s="68"/>
      <c r="AI162" s="68"/>
    </row>
    <row r="163" spans="1:35" ht="46.5" x14ac:dyDescent="0.7">
      <c r="A163" s="67"/>
      <c r="B163" s="67"/>
      <c r="C163" s="84"/>
      <c r="D163" s="84"/>
      <c r="E163" s="86"/>
      <c r="F163" s="84"/>
      <c r="G163" s="84"/>
      <c r="H163" s="87"/>
      <c r="I163" s="88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G163" s="84"/>
      <c r="AH163" s="68"/>
      <c r="AI163" s="68"/>
    </row>
    <row r="164" spans="1:35" ht="46.5" x14ac:dyDescent="0.7">
      <c r="A164" s="62"/>
      <c r="B164" s="62"/>
      <c r="C164" s="84"/>
      <c r="D164" s="84"/>
      <c r="E164" s="86"/>
      <c r="F164" s="84"/>
      <c r="G164" s="84"/>
      <c r="H164" s="87"/>
      <c r="I164" s="88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G164" s="84"/>
      <c r="AH164" s="68"/>
      <c r="AI164" s="68"/>
    </row>
    <row r="165" spans="1:35" ht="46.5" x14ac:dyDescent="0.7">
      <c r="A165" s="67"/>
      <c r="B165" s="67"/>
      <c r="C165" s="84"/>
      <c r="D165" s="84"/>
      <c r="E165" s="86"/>
      <c r="F165" s="84"/>
      <c r="G165" s="84"/>
      <c r="H165" s="87"/>
      <c r="I165" s="88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G165" s="84"/>
      <c r="AH165" s="68"/>
      <c r="AI165" s="68"/>
    </row>
    <row r="166" spans="1:35" ht="46.5" x14ac:dyDescent="0.7">
      <c r="A166" s="62"/>
      <c r="B166" s="62"/>
      <c r="C166" s="84"/>
      <c r="D166" s="84"/>
      <c r="E166" s="86"/>
      <c r="F166" s="84"/>
      <c r="G166" s="84"/>
      <c r="H166" s="87"/>
      <c r="I166" s="88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G166" s="84"/>
      <c r="AH166" s="68"/>
      <c r="AI166" s="68"/>
    </row>
    <row r="167" spans="1:35" ht="46.5" x14ac:dyDescent="0.7">
      <c r="A167" s="67"/>
      <c r="B167" s="67"/>
      <c r="C167" s="84"/>
      <c r="D167" s="84"/>
      <c r="E167" s="86"/>
      <c r="F167" s="84"/>
      <c r="G167" s="84"/>
      <c r="H167" s="87"/>
      <c r="I167" s="88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G167" s="84"/>
      <c r="AH167" s="68"/>
      <c r="AI167" s="68"/>
    </row>
    <row r="168" spans="1:35" ht="46.5" x14ac:dyDescent="0.7">
      <c r="A168" s="62"/>
      <c r="B168" s="62"/>
      <c r="C168" s="84"/>
      <c r="D168" s="84"/>
      <c r="E168" s="86"/>
      <c r="F168" s="84"/>
      <c r="G168" s="84"/>
      <c r="H168" s="87"/>
      <c r="I168" s="88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G168" s="84"/>
      <c r="AH168" s="68"/>
      <c r="AI168" s="68"/>
    </row>
    <row r="169" spans="1:35" ht="46.5" x14ac:dyDescent="0.7">
      <c r="A169" s="67"/>
      <c r="B169" s="67"/>
      <c r="C169" s="84"/>
      <c r="D169" s="84"/>
      <c r="E169" s="86"/>
      <c r="F169" s="84"/>
      <c r="G169" s="84"/>
      <c r="H169" s="87"/>
      <c r="I169" s="88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G169" s="84"/>
      <c r="AH169" s="68"/>
      <c r="AI169" s="68"/>
    </row>
    <row r="170" spans="1:35" ht="46.5" x14ac:dyDescent="0.7">
      <c r="A170" s="62"/>
      <c r="B170" s="62"/>
      <c r="C170" s="84"/>
      <c r="D170" s="84"/>
      <c r="E170" s="86"/>
      <c r="F170" s="84"/>
      <c r="G170" s="84"/>
      <c r="H170" s="87"/>
      <c r="I170" s="88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G170" s="84"/>
      <c r="AH170" s="68"/>
      <c r="AI170" s="68"/>
    </row>
    <row r="171" spans="1:35" ht="46.5" x14ac:dyDescent="0.7">
      <c r="A171" s="67"/>
      <c r="B171" s="67"/>
      <c r="C171" s="84"/>
      <c r="D171" s="84"/>
      <c r="E171" s="86"/>
      <c r="F171" s="84"/>
      <c r="G171" s="84"/>
      <c r="H171" s="87"/>
      <c r="I171" s="88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G171" s="84"/>
      <c r="AH171" s="68"/>
      <c r="AI171" s="68"/>
    </row>
    <row r="172" spans="1:35" ht="46.5" x14ac:dyDescent="0.7">
      <c r="A172" s="62"/>
      <c r="B172" s="62"/>
      <c r="C172" s="84"/>
      <c r="D172" s="84"/>
      <c r="E172" s="86"/>
      <c r="F172" s="84"/>
      <c r="G172" s="84"/>
      <c r="H172" s="87"/>
      <c r="I172" s="88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G172" s="84"/>
      <c r="AH172" s="68"/>
      <c r="AI172" s="68"/>
    </row>
    <row r="173" spans="1:35" ht="46.5" x14ac:dyDescent="0.7">
      <c r="A173" s="67"/>
      <c r="B173" s="67"/>
      <c r="C173" s="84"/>
      <c r="D173" s="84"/>
      <c r="E173" s="86"/>
      <c r="F173" s="84"/>
      <c r="G173" s="84"/>
      <c r="H173" s="87"/>
      <c r="I173" s="88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G173" s="84"/>
      <c r="AH173" s="68"/>
      <c r="AI173" s="68"/>
    </row>
    <row r="174" spans="1:35" ht="46.5" x14ac:dyDescent="0.7">
      <c r="A174" s="62"/>
      <c r="B174" s="62"/>
      <c r="C174" s="84"/>
      <c r="D174" s="84"/>
      <c r="E174" s="86"/>
      <c r="F174" s="84"/>
      <c r="G174" s="84"/>
      <c r="H174" s="87"/>
      <c r="I174" s="88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G174" s="84"/>
      <c r="AH174" s="68"/>
      <c r="AI174" s="68"/>
    </row>
    <row r="175" spans="1:35" ht="46.5" x14ac:dyDescent="0.7">
      <c r="A175" s="67"/>
      <c r="B175" s="67"/>
      <c r="C175" s="84"/>
      <c r="D175" s="84"/>
      <c r="E175" s="86"/>
      <c r="F175" s="84"/>
      <c r="G175" s="84"/>
      <c r="H175" s="87"/>
      <c r="I175" s="88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G175" s="84"/>
      <c r="AH175" s="68"/>
      <c r="AI175" s="68"/>
    </row>
    <row r="176" spans="1:35" ht="46.5" x14ac:dyDescent="0.7">
      <c r="A176" s="62"/>
      <c r="B176" s="62"/>
      <c r="C176" s="84"/>
      <c r="D176" s="84"/>
      <c r="E176" s="86"/>
      <c r="F176" s="84"/>
      <c r="G176" s="84"/>
      <c r="H176" s="87"/>
      <c r="I176" s="88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G176" s="84"/>
      <c r="AH176" s="68"/>
      <c r="AI176" s="68"/>
    </row>
    <row r="177" spans="1:35" ht="46.5" x14ac:dyDescent="0.7">
      <c r="A177" s="67"/>
      <c r="B177" s="67"/>
      <c r="C177" s="84"/>
      <c r="D177" s="84"/>
      <c r="E177" s="86"/>
      <c r="F177" s="84"/>
      <c r="G177" s="84"/>
      <c r="H177" s="87"/>
      <c r="I177" s="88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G177" s="84"/>
      <c r="AH177" s="68"/>
      <c r="AI177" s="68"/>
    </row>
    <row r="178" spans="1:35" ht="46.5" x14ac:dyDescent="0.7">
      <c r="A178" s="62"/>
      <c r="B178" s="62"/>
      <c r="C178" s="84"/>
      <c r="D178" s="84"/>
      <c r="E178" s="86"/>
      <c r="F178" s="84"/>
      <c r="G178" s="84"/>
      <c r="H178" s="87"/>
      <c r="I178" s="88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G178" s="84"/>
      <c r="AH178" s="68"/>
      <c r="AI178" s="68"/>
    </row>
    <row r="179" spans="1:35" ht="46.5" x14ac:dyDescent="0.7">
      <c r="A179" s="67"/>
      <c r="B179" s="67"/>
      <c r="C179" s="84"/>
      <c r="D179" s="84"/>
      <c r="E179" s="86"/>
      <c r="F179" s="84"/>
      <c r="G179" s="84"/>
      <c r="H179" s="87"/>
      <c r="I179" s="88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G179" s="84"/>
      <c r="AH179" s="68"/>
      <c r="AI179" s="68"/>
    </row>
    <row r="180" spans="1:35" ht="46.5" x14ac:dyDescent="0.7">
      <c r="A180" s="62"/>
      <c r="B180" s="62"/>
      <c r="C180" s="84"/>
      <c r="D180" s="84"/>
      <c r="E180" s="86"/>
      <c r="F180" s="84"/>
      <c r="G180" s="84"/>
      <c r="H180" s="87"/>
      <c r="I180" s="88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G180" s="84"/>
      <c r="AH180" s="68"/>
      <c r="AI180" s="68"/>
    </row>
    <row r="181" spans="1:35" ht="46.5" x14ac:dyDescent="0.7">
      <c r="A181" s="67"/>
      <c r="B181" s="67"/>
      <c r="C181" s="84"/>
      <c r="D181" s="84"/>
      <c r="E181" s="86"/>
      <c r="F181" s="84"/>
      <c r="G181" s="84"/>
      <c r="H181" s="87"/>
      <c r="I181" s="88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G181" s="84"/>
      <c r="AH181" s="68"/>
      <c r="AI181" s="68"/>
    </row>
    <row r="182" spans="1:35" ht="46.5" x14ac:dyDescent="0.7">
      <c r="A182" s="62"/>
      <c r="B182" s="62"/>
      <c r="C182" s="84"/>
      <c r="D182" s="84"/>
      <c r="E182" s="86"/>
      <c r="F182" s="84"/>
      <c r="G182" s="84"/>
      <c r="H182" s="87"/>
      <c r="I182" s="88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G182" s="84"/>
      <c r="AH182" s="68"/>
      <c r="AI182" s="68"/>
    </row>
    <row r="183" spans="1:35" ht="46.5" x14ac:dyDescent="0.7">
      <c r="A183" s="67"/>
      <c r="B183" s="67"/>
      <c r="C183" s="84"/>
      <c r="D183" s="84"/>
      <c r="E183" s="86"/>
      <c r="F183" s="84"/>
      <c r="G183" s="84"/>
      <c r="H183" s="87"/>
      <c r="I183" s="88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G183" s="84"/>
      <c r="AH183" s="68"/>
      <c r="AI183" s="68"/>
    </row>
    <row r="184" spans="1:35" ht="46.5" x14ac:dyDescent="0.7">
      <c r="A184" s="62"/>
      <c r="B184" s="62"/>
      <c r="C184" s="84"/>
      <c r="D184" s="84"/>
      <c r="E184" s="86"/>
      <c r="F184" s="84"/>
      <c r="G184" s="84"/>
      <c r="H184" s="87"/>
      <c r="I184" s="88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G184" s="84"/>
      <c r="AH184" s="68"/>
      <c r="AI184" s="68"/>
    </row>
    <row r="185" spans="1:35" ht="46.5" x14ac:dyDescent="0.7">
      <c r="A185" s="67"/>
      <c r="B185" s="67"/>
      <c r="C185" s="84"/>
      <c r="D185" s="84"/>
      <c r="E185" s="86"/>
      <c r="F185" s="84"/>
      <c r="G185" s="84"/>
      <c r="H185" s="87"/>
      <c r="I185" s="88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G185" s="84"/>
      <c r="AH185" s="68"/>
      <c r="AI185" s="68"/>
    </row>
    <row r="186" spans="1:35" ht="46.5" x14ac:dyDescent="0.7">
      <c r="A186" s="62"/>
      <c r="B186" s="62"/>
      <c r="C186" s="84"/>
      <c r="D186" s="84"/>
      <c r="E186" s="86"/>
      <c r="F186" s="84"/>
      <c r="G186" s="84"/>
      <c r="H186" s="87"/>
      <c r="I186" s="88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G186" s="84"/>
      <c r="AH186" s="68"/>
      <c r="AI186" s="68"/>
    </row>
    <row r="187" spans="1:35" ht="46.5" x14ac:dyDescent="0.7">
      <c r="A187" s="67"/>
      <c r="B187" s="67"/>
      <c r="C187" s="84"/>
      <c r="D187" s="84"/>
      <c r="E187" s="86"/>
      <c r="F187" s="84"/>
      <c r="G187" s="84"/>
      <c r="H187" s="87"/>
      <c r="I187" s="88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G187" s="84"/>
      <c r="AH187" s="68"/>
      <c r="AI187" s="68"/>
    </row>
    <row r="188" spans="1:35" ht="46.5" x14ac:dyDescent="0.7">
      <c r="A188" s="62"/>
      <c r="B188" s="62"/>
      <c r="C188" s="84"/>
      <c r="D188" s="84"/>
      <c r="E188" s="86"/>
      <c r="F188" s="84"/>
      <c r="G188" s="84"/>
      <c r="H188" s="87"/>
      <c r="I188" s="88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G188" s="84"/>
      <c r="AH188" s="68"/>
      <c r="AI188" s="68"/>
    </row>
    <row r="189" spans="1:35" ht="46.5" x14ac:dyDescent="0.7">
      <c r="A189" s="67"/>
      <c r="B189" s="67"/>
      <c r="C189" s="84"/>
      <c r="D189" s="84"/>
      <c r="E189" s="86"/>
      <c r="F189" s="84"/>
      <c r="G189" s="84"/>
      <c r="H189" s="87"/>
      <c r="I189" s="88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G189" s="84"/>
      <c r="AH189" s="68"/>
      <c r="AI189" s="68"/>
    </row>
    <row r="190" spans="1:35" ht="46.5" x14ac:dyDescent="0.7">
      <c r="A190" s="62"/>
      <c r="B190" s="62"/>
      <c r="C190" s="84"/>
      <c r="D190" s="84"/>
      <c r="E190" s="86"/>
      <c r="F190" s="84"/>
      <c r="G190" s="84"/>
      <c r="H190" s="87"/>
      <c r="I190" s="88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G190" s="84"/>
      <c r="AH190" s="68"/>
      <c r="AI190" s="68"/>
    </row>
    <row r="191" spans="1:35" ht="46.5" x14ac:dyDescent="0.7">
      <c r="A191" s="67"/>
      <c r="B191" s="67"/>
      <c r="C191" s="84"/>
      <c r="D191" s="84"/>
      <c r="E191" s="86"/>
      <c r="F191" s="84"/>
      <c r="G191" s="84"/>
      <c r="H191" s="87"/>
      <c r="I191" s="88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G191" s="84"/>
      <c r="AH191" s="68"/>
      <c r="AI191" s="68"/>
    </row>
    <row r="192" spans="1:35" ht="46.5" x14ac:dyDescent="0.7">
      <c r="A192" s="62"/>
      <c r="B192" s="62"/>
      <c r="C192" s="84"/>
      <c r="D192" s="84"/>
      <c r="E192" s="86"/>
      <c r="F192" s="84"/>
      <c r="G192" s="84"/>
      <c r="H192" s="87"/>
      <c r="I192" s="88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G192" s="84"/>
      <c r="AH192" s="68"/>
      <c r="AI192" s="68"/>
    </row>
    <row r="193" spans="1:35" ht="46.5" x14ac:dyDescent="0.7">
      <c r="A193" s="67"/>
      <c r="B193" s="67"/>
      <c r="C193" s="84"/>
      <c r="D193" s="84"/>
      <c r="E193" s="86"/>
      <c r="F193" s="84"/>
      <c r="G193" s="84"/>
      <c r="H193" s="87"/>
      <c r="I193" s="88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G193" s="84"/>
      <c r="AH193" s="68"/>
      <c r="AI193" s="68"/>
    </row>
    <row r="194" spans="1:35" ht="46.5" x14ac:dyDescent="0.7">
      <c r="A194" s="62"/>
      <c r="B194" s="62"/>
      <c r="C194" s="84"/>
      <c r="D194" s="84"/>
      <c r="E194" s="86"/>
      <c r="F194" s="84"/>
      <c r="G194" s="84"/>
      <c r="H194" s="87"/>
      <c r="I194" s="88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G194" s="84"/>
      <c r="AH194" s="68"/>
      <c r="AI194" s="68"/>
    </row>
    <row r="195" spans="1:35" ht="46.5" x14ac:dyDescent="0.7">
      <c r="A195" s="67"/>
      <c r="B195" s="67"/>
      <c r="C195" s="84"/>
      <c r="D195" s="84"/>
      <c r="E195" s="86"/>
      <c r="F195" s="84"/>
      <c r="G195" s="84"/>
      <c r="H195" s="87"/>
      <c r="I195" s="88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G195" s="84"/>
      <c r="AH195" s="68"/>
      <c r="AI195" s="68"/>
    </row>
    <row r="196" spans="1:35" ht="46.5" x14ac:dyDescent="0.7">
      <c r="A196" s="62"/>
      <c r="B196" s="62"/>
      <c r="C196" s="84"/>
      <c r="D196" s="84"/>
      <c r="E196" s="86"/>
      <c r="F196" s="84"/>
      <c r="G196" s="84"/>
      <c r="H196" s="87"/>
      <c r="I196" s="88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G196" s="84"/>
      <c r="AH196" s="68"/>
      <c r="AI196" s="68"/>
    </row>
    <row r="197" spans="1:35" ht="46.5" x14ac:dyDescent="0.7">
      <c r="A197" s="67"/>
      <c r="B197" s="67"/>
      <c r="C197" s="84"/>
      <c r="D197" s="84"/>
      <c r="E197" s="86"/>
      <c r="F197" s="84"/>
      <c r="G197" s="84"/>
      <c r="H197" s="87"/>
      <c r="I197" s="88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G197" s="84"/>
      <c r="AH197" s="68"/>
      <c r="AI197" s="68"/>
    </row>
    <row r="198" spans="1:35" ht="46.5" x14ac:dyDescent="0.7">
      <c r="A198" s="62"/>
      <c r="B198" s="62"/>
      <c r="C198" s="84"/>
      <c r="D198" s="84"/>
      <c r="E198" s="86"/>
      <c r="F198" s="84"/>
      <c r="G198" s="84"/>
      <c r="H198" s="87"/>
      <c r="I198" s="88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G198" s="84"/>
      <c r="AH198" s="68"/>
      <c r="AI198" s="68"/>
    </row>
    <row r="199" spans="1:35" ht="46.5" x14ac:dyDescent="0.7">
      <c r="A199" s="67"/>
      <c r="B199" s="67"/>
      <c r="C199" s="84"/>
      <c r="D199" s="84"/>
      <c r="E199" s="86"/>
      <c r="F199" s="84"/>
      <c r="G199" s="84"/>
      <c r="H199" s="87"/>
      <c r="I199" s="88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G199" s="84"/>
      <c r="AH199" s="68"/>
      <c r="AI199" s="68"/>
    </row>
    <row r="200" spans="1:35" ht="46.5" x14ac:dyDescent="0.7">
      <c r="A200" s="62"/>
      <c r="B200" s="62"/>
      <c r="C200" s="84"/>
      <c r="D200" s="84"/>
      <c r="E200" s="86"/>
      <c r="F200" s="84"/>
      <c r="G200" s="84"/>
      <c r="H200" s="87"/>
      <c r="I200" s="88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G200" s="84"/>
      <c r="AH200" s="68"/>
      <c r="AI200" s="68"/>
    </row>
    <row r="201" spans="1:35" ht="46.5" x14ac:dyDescent="0.7">
      <c r="A201" s="67"/>
      <c r="B201" s="67"/>
      <c r="C201" s="84"/>
      <c r="D201" s="84"/>
      <c r="E201" s="86"/>
      <c r="F201" s="84"/>
      <c r="G201" s="84"/>
      <c r="H201" s="87"/>
      <c r="I201" s="88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G201" s="84"/>
      <c r="AH201" s="68"/>
      <c r="AI201" s="68"/>
    </row>
    <row r="202" spans="1:35" ht="46.5" x14ac:dyDescent="0.7">
      <c r="A202" s="62"/>
      <c r="B202" s="62"/>
      <c r="C202" s="84"/>
      <c r="D202" s="84"/>
      <c r="E202" s="86"/>
      <c r="F202" s="84"/>
      <c r="G202" s="84"/>
      <c r="H202" s="87"/>
      <c r="I202" s="88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G202" s="84"/>
      <c r="AH202" s="68"/>
      <c r="AI202" s="68"/>
    </row>
    <row r="203" spans="1:35" ht="46.5" x14ac:dyDescent="0.7">
      <c r="A203" s="67"/>
      <c r="B203" s="67"/>
      <c r="C203" s="84"/>
      <c r="D203" s="84"/>
      <c r="E203" s="86"/>
      <c r="F203" s="84"/>
      <c r="G203" s="84"/>
      <c r="H203" s="87"/>
      <c r="I203" s="88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G203" s="84"/>
      <c r="AH203" s="68"/>
      <c r="AI203" s="68"/>
    </row>
    <row r="204" spans="1:35" ht="46.5" x14ac:dyDescent="0.7">
      <c r="A204" s="62"/>
      <c r="B204" s="62"/>
      <c r="C204" s="84"/>
      <c r="D204" s="84"/>
      <c r="E204" s="86"/>
      <c r="F204" s="84"/>
      <c r="G204" s="84"/>
      <c r="H204" s="87"/>
      <c r="I204" s="88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G204" s="84"/>
      <c r="AH204" s="68"/>
      <c r="AI204" s="68"/>
    </row>
    <row r="205" spans="1:35" ht="46.5" x14ac:dyDescent="0.7">
      <c r="A205" s="67"/>
      <c r="B205" s="67"/>
      <c r="C205" s="84"/>
      <c r="D205" s="84"/>
      <c r="E205" s="86"/>
      <c r="F205" s="84"/>
      <c r="G205" s="84"/>
      <c r="H205" s="87"/>
      <c r="I205" s="88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G205" s="84"/>
      <c r="AH205" s="68"/>
      <c r="AI205" s="68"/>
    </row>
    <row r="206" spans="1:35" ht="46.5" x14ac:dyDescent="0.7">
      <c r="A206" s="62"/>
      <c r="B206" s="62"/>
      <c r="C206" s="84"/>
      <c r="D206" s="84"/>
      <c r="E206" s="86"/>
      <c r="F206" s="84"/>
      <c r="G206" s="84"/>
      <c r="H206" s="87"/>
      <c r="I206" s="88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G206" s="84"/>
      <c r="AH206" s="68"/>
      <c r="AI206" s="68"/>
    </row>
    <row r="207" spans="1:35" ht="46.5" x14ac:dyDescent="0.7">
      <c r="A207" s="67"/>
      <c r="B207" s="67"/>
      <c r="C207" s="84"/>
      <c r="D207" s="84"/>
      <c r="E207" s="86"/>
      <c r="F207" s="84"/>
      <c r="G207" s="84"/>
      <c r="H207" s="87"/>
      <c r="I207" s="88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G207" s="84"/>
      <c r="AH207" s="68"/>
      <c r="AI207" s="68"/>
    </row>
    <row r="208" spans="1:35" ht="46.5" x14ac:dyDescent="0.7">
      <c r="A208" s="62"/>
      <c r="B208" s="62"/>
      <c r="C208" s="84"/>
      <c r="D208" s="84"/>
      <c r="E208" s="86"/>
      <c r="F208" s="84"/>
      <c r="G208" s="84"/>
      <c r="H208" s="87"/>
      <c r="I208" s="88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G208" s="84"/>
      <c r="AH208" s="68"/>
      <c r="AI208" s="68"/>
    </row>
    <row r="209" spans="1:35" ht="46.5" x14ac:dyDescent="0.7">
      <c r="A209" s="67"/>
      <c r="B209" s="67"/>
      <c r="C209" s="84"/>
      <c r="D209" s="84"/>
      <c r="E209" s="86"/>
      <c r="F209" s="84"/>
      <c r="G209" s="84"/>
      <c r="H209" s="87"/>
      <c r="I209" s="88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G209" s="84"/>
      <c r="AH209" s="68"/>
      <c r="AI209" s="68"/>
    </row>
    <row r="210" spans="1:35" ht="46.5" x14ac:dyDescent="0.7">
      <c r="A210" s="62"/>
      <c r="B210" s="62"/>
      <c r="C210" s="84"/>
      <c r="D210" s="84"/>
      <c r="E210" s="86"/>
      <c r="F210" s="84"/>
      <c r="G210" s="84"/>
      <c r="H210" s="87"/>
      <c r="I210" s="88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G210" s="84"/>
      <c r="AH210" s="68"/>
      <c r="AI210" s="68"/>
    </row>
    <row r="211" spans="1:35" ht="46.5" x14ac:dyDescent="0.7">
      <c r="A211" s="67"/>
      <c r="B211" s="67"/>
      <c r="C211" s="84"/>
      <c r="D211" s="84"/>
      <c r="E211" s="86"/>
      <c r="F211" s="84"/>
      <c r="G211" s="84"/>
      <c r="H211" s="87"/>
      <c r="I211" s="88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G211" s="84"/>
      <c r="AH211" s="68"/>
      <c r="AI211" s="68"/>
    </row>
    <row r="212" spans="1:35" ht="46.5" x14ac:dyDescent="0.7">
      <c r="A212" s="62"/>
      <c r="B212" s="62"/>
      <c r="C212" s="84"/>
      <c r="D212" s="84"/>
      <c r="E212" s="86"/>
      <c r="F212" s="84"/>
      <c r="G212" s="84"/>
      <c r="H212" s="87"/>
      <c r="I212" s="88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G212" s="84"/>
      <c r="AH212" s="68"/>
      <c r="AI212" s="68"/>
    </row>
    <row r="213" spans="1:35" ht="46.5" x14ac:dyDescent="0.7">
      <c r="A213" s="67"/>
      <c r="B213" s="67"/>
      <c r="C213" s="84"/>
      <c r="D213" s="84"/>
      <c r="E213" s="86"/>
      <c r="F213" s="84"/>
      <c r="G213" s="84"/>
      <c r="H213" s="87"/>
      <c r="I213" s="88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G213" s="84"/>
      <c r="AH213" s="68"/>
      <c r="AI213" s="68"/>
    </row>
    <row r="214" spans="1:35" ht="46.5" x14ac:dyDescent="0.7">
      <c r="A214" s="62"/>
      <c r="B214" s="62"/>
      <c r="C214" s="84"/>
      <c r="D214" s="84"/>
      <c r="E214" s="86"/>
      <c r="F214" s="84"/>
      <c r="G214" s="84"/>
      <c r="H214" s="87"/>
      <c r="I214" s="88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G214" s="84"/>
      <c r="AH214" s="68"/>
      <c r="AI214" s="68"/>
    </row>
    <row r="215" spans="1:35" ht="46.5" x14ac:dyDescent="0.7">
      <c r="A215" s="67"/>
      <c r="B215" s="67"/>
      <c r="C215" s="84"/>
      <c r="D215" s="84"/>
      <c r="E215" s="86"/>
      <c r="F215" s="84"/>
      <c r="G215" s="84"/>
      <c r="H215" s="87"/>
      <c r="I215" s="88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G215" s="84"/>
      <c r="AH215" s="68"/>
      <c r="AI215" s="68"/>
    </row>
    <row r="216" spans="1:35" ht="46.5" x14ac:dyDescent="0.7">
      <c r="A216" s="62"/>
      <c r="B216" s="62"/>
      <c r="C216" s="84"/>
      <c r="D216" s="84"/>
      <c r="E216" s="86"/>
      <c r="F216" s="84"/>
      <c r="G216" s="84"/>
      <c r="H216" s="87"/>
      <c r="I216" s="88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G216" s="84"/>
      <c r="AH216" s="68"/>
      <c r="AI216" s="68"/>
    </row>
    <row r="217" spans="1:35" ht="46.5" x14ac:dyDescent="0.7">
      <c r="A217" s="67"/>
      <c r="B217" s="67"/>
      <c r="C217" s="84"/>
      <c r="D217" s="84"/>
      <c r="E217" s="86"/>
      <c r="F217" s="84"/>
      <c r="G217" s="84"/>
      <c r="H217" s="87"/>
      <c r="I217" s="88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G217" s="84"/>
      <c r="AH217" s="68"/>
      <c r="AI217" s="68"/>
    </row>
    <row r="218" spans="1:35" ht="46.5" x14ac:dyDescent="0.7">
      <c r="A218" s="62"/>
      <c r="B218" s="62"/>
      <c r="C218" s="84"/>
      <c r="D218" s="84"/>
      <c r="E218" s="86"/>
      <c r="F218" s="84"/>
      <c r="G218" s="84"/>
      <c r="H218" s="87"/>
      <c r="I218" s="88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G218" s="84"/>
      <c r="AH218" s="68"/>
      <c r="AI218" s="68"/>
    </row>
    <row r="219" spans="1:35" ht="46.5" x14ac:dyDescent="0.7">
      <c r="A219" s="67"/>
      <c r="B219" s="67"/>
      <c r="C219" s="84"/>
      <c r="D219" s="84"/>
      <c r="E219" s="86"/>
      <c r="F219" s="84"/>
      <c r="G219" s="84"/>
      <c r="H219" s="87"/>
      <c r="I219" s="88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G219" s="84"/>
      <c r="AH219" s="68"/>
      <c r="AI219" s="68"/>
    </row>
    <row r="220" spans="1:35" ht="46.5" x14ac:dyDescent="0.7">
      <c r="A220" s="62"/>
      <c r="B220" s="62"/>
      <c r="C220" s="84"/>
      <c r="D220" s="84"/>
      <c r="E220" s="86"/>
      <c r="F220" s="84"/>
      <c r="G220" s="84"/>
      <c r="H220" s="87"/>
      <c r="I220" s="88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G220" s="84"/>
      <c r="AH220" s="68"/>
      <c r="AI220" s="68"/>
    </row>
    <row r="221" spans="1:35" ht="46.5" x14ac:dyDescent="0.7">
      <c r="A221" s="67"/>
      <c r="B221" s="67"/>
      <c r="C221" s="84"/>
      <c r="D221" s="84"/>
      <c r="E221" s="86"/>
      <c r="F221" s="84"/>
      <c r="G221" s="84"/>
      <c r="H221" s="87"/>
      <c r="I221" s="88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G221" s="84"/>
      <c r="AH221" s="68"/>
      <c r="AI221" s="68"/>
    </row>
    <row r="222" spans="1:35" ht="46.5" x14ac:dyDescent="0.7">
      <c r="A222" s="62"/>
      <c r="B222" s="62"/>
      <c r="C222" s="84"/>
      <c r="D222" s="84"/>
      <c r="E222" s="86"/>
      <c r="F222" s="84"/>
      <c r="G222" s="84"/>
      <c r="H222" s="87"/>
      <c r="I222" s="88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G222" s="84"/>
      <c r="AH222" s="68"/>
      <c r="AI222" s="68"/>
    </row>
    <row r="223" spans="1:35" ht="46.5" x14ac:dyDescent="0.7">
      <c r="A223" s="67"/>
      <c r="B223" s="67"/>
      <c r="C223" s="84"/>
      <c r="D223" s="84"/>
      <c r="E223" s="86"/>
      <c r="F223" s="84"/>
      <c r="G223" s="84"/>
      <c r="H223" s="87"/>
      <c r="I223" s="88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G223" s="84"/>
      <c r="AH223" s="68"/>
      <c r="AI223" s="68"/>
    </row>
    <row r="224" spans="1:35" ht="46.5" x14ac:dyDescent="0.7">
      <c r="A224" s="62"/>
      <c r="B224" s="62"/>
      <c r="C224" s="84"/>
      <c r="D224" s="84"/>
      <c r="E224" s="86"/>
      <c r="F224" s="84"/>
      <c r="G224" s="84"/>
      <c r="H224" s="87"/>
      <c r="I224" s="88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G224" s="84"/>
      <c r="AH224" s="68"/>
      <c r="AI224" s="68"/>
    </row>
    <row r="225" spans="1:35" ht="46.5" x14ac:dyDescent="0.7">
      <c r="A225" s="67"/>
      <c r="B225" s="67"/>
      <c r="C225" s="84"/>
      <c r="D225" s="84"/>
      <c r="E225" s="86"/>
      <c r="F225" s="84"/>
      <c r="G225" s="84"/>
      <c r="H225" s="87"/>
      <c r="I225" s="88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G225" s="84"/>
      <c r="AH225" s="68"/>
      <c r="AI225" s="68"/>
    </row>
    <row r="226" spans="1:35" ht="46.5" x14ac:dyDescent="0.7">
      <c r="A226" s="62"/>
      <c r="B226" s="62"/>
      <c r="C226" s="84"/>
      <c r="D226" s="84"/>
      <c r="E226" s="86"/>
      <c r="F226" s="84"/>
      <c r="G226" s="84"/>
      <c r="H226" s="87"/>
      <c r="I226" s="88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G226" s="84"/>
      <c r="AH226" s="68"/>
      <c r="AI226" s="68"/>
    </row>
    <row r="227" spans="1:35" ht="46.5" x14ac:dyDescent="0.7">
      <c r="A227" s="67"/>
      <c r="B227" s="67"/>
      <c r="C227" s="84"/>
      <c r="D227" s="84"/>
      <c r="E227" s="86"/>
      <c r="F227" s="84"/>
      <c r="G227" s="84"/>
      <c r="H227" s="87"/>
      <c r="I227" s="88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G227" s="84"/>
      <c r="AH227" s="68"/>
      <c r="AI227" s="68"/>
    </row>
    <row r="228" spans="1:35" ht="46.5" x14ac:dyDescent="0.7">
      <c r="A228" s="62"/>
      <c r="B228" s="62"/>
      <c r="C228" s="84"/>
      <c r="D228" s="84"/>
      <c r="E228" s="86"/>
      <c r="F228" s="84"/>
      <c r="G228" s="84"/>
      <c r="H228" s="87"/>
      <c r="I228" s="88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G228" s="84"/>
      <c r="AH228" s="68"/>
      <c r="AI228" s="68"/>
    </row>
    <row r="229" spans="1:35" ht="46.5" x14ac:dyDescent="0.7">
      <c r="A229" s="67"/>
      <c r="B229" s="67"/>
      <c r="C229" s="84"/>
      <c r="D229" s="84"/>
      <c r="E229" s="86"/>
      <c r="F229" s="84"/>
      <c r="G229" s="84"/>
      <c r="H229" s="87"/>
      <c r="I229" s="88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G229" s="84"/>
      <c r="AH229" s="68"/>
      <c r="AI229" s="68"/>
    </row>
    <row r="230" spans="1:35" ht="46.5" x14ac:dyDescent="0.7">
      <c r="A230" s="62"/>
      <c r="B230" s="62"/>
      <c r="C230" s="84"/>
      <c r="D230" s="84"/>
      <c r="E230" s="86"/>
      <c r="F230" s="84"/>
      <c r="G230" s="84"/>
      <c r="H230" s="87"/>
      <c r="I230" s="88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G230" s="84"/>
      <c r="AH230" s="68"/>
      <c r="AI230" s="68"/>
    </row>
    <row r="231" spans="1:35" ht="46.5" x14ac:dyDescent="0.7">
      <c r="A231" s="67"/>
      <c r="B231" s="67"/>
      <c r="C231" s="84"/>
      <c r="D231" s="84"/>
      <c r="E231" s="86"/>
      <c r="F231" s="84"/>
      <c r="G231" s="84"/>
      <c r="H231" s="87"/>
      <c r="I231" s="88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G231" s="84"/>
      <c r="AH231" s="68"/>
      <c r="AI231" s="68"/>
    </row>
    <row r="232" spans="1:35" ht="46.5" x14ac:dyDescent="0.7">
      <c r="A232" s="62"/>
      <c r="B232" s="62"/>
      <c r="C232" s="84"/>
      <c r="D232" s="84"/>
      <c r="E232" s="86"/>
      <c r="F232" s="84"/>
      <c r="G232" s="84"/>
      <c r="H232" s="87"/>
      <c r="I232" s="88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G232" s="84"/>
      <c r="AH232" s="68"/>
      <c r="AI232" s="68"/>
    </row>
    <row r="233" spans="1:35" ht="46.5" x14ac:dyDescent="0.7">
      <c r="A233" s="67"/>
      <c r="B233" s="67"/>
      <c r="C233" s="84"/>
      <c r="D233" s="84"/>
      <c r="E233" s="86"/>
      <c r="F233" s="84"/>
      <c r="G233" s="84"/>
      <c r="H233" s="87"/>
      <c r="I233" s="88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G233" s="84"/>
      <c r="AH233" s="68"/>
      <c r="AI233" s="68"/>
    </row>
    <row r="234" spans="1:35" ht="46.5" x14ac:dyDescent="0.7">
      <c r="A234" s="62"/>
      <c r="B234" s="62"/>
      <c r="C234" s="84"/>
      <c r="D234" s="84"/>
      <c r="E234" s="86"/>
      <c r="F234" s="84"/>
      <c r="G234" s="84"/>
      <c r="H234" s="87"/>
      <c r="I234" s="88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G234" s="84"/>
      <c r="AH234" s="68"/>
      <c r="AI234" s="68"/>
    </row>
    <row r="235" spans="1:35" ht="46.5" x14ac:dyDescent="0.7">
      <c r="A235" s="67"/>
      <c r="B235" s="67"/>
      <c r="C235" s="84"/>
      <c r="D235" s="84"/>
      <c r="E235" s="86"/>
      <c r="F235" s="84"/>
      <c r="G235" s="84"/>
      <c r="H235" s="87"/>
      <c r="I235" s="88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G235" s="84"/>
      <c r="AH235" s="68"/>
      <c r="AI235" s="68"/>
    </row>
    <row r="236" spans="1:35" ht="46.5" x14ac:dyDescent="0.7">
      <c r="A236" s="62"/>
      <c r="B236" s="62"/>
      <c r="C236" s="84"/>
      <c r="D236" s="84"/>
      <c r="E236" s="86"/>
      <c r="F236" s="84"/>
      <c r="G236" s="84"/>
      <c r="H236" s="87"/>
      <c r="I236" s="88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G236" s="84"/>
      <c r="AH236" s="68"/>
      <c r="AI236" s="68"/>
    </row>
    <row r="237" spans="1:35" ht="46.5" x14ac:dyDescent="0.7">
      <c r="A237" s="67"/>
      <c r="B237" s="67"/>
      <c r="C237" s="84"/>
      <c r="D237" s="84"/>
      <c r="E237" s="86"/>
      <c r="F237" s="84"/>
      <c r="G237" s="84"/>
      <c r="H237" s="87"/>
      <c r="I237" s="88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G237" s="84"/>
      <c r="AH237" s="68"/>
      <c r="AI237" s="68"/>
    </row>
    <row r="238" spans="1:35" ht="46.5" x14ac:dyDescent="0.7">
      <c r="A238" s="62"/>
      <c r="B238" s="62"/>
      <c r="C238" s="84"/>
      <c r="D238" s="84"/>
      <c r="E238" s="86"/>
      <c r="F238" s="84"/>
      <c r="G238" s="84"/>
      <c r="H238" s="87"/>
      <c r="I238" s="88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G238" s="84"/>
      <c r="AH238" s="68"/>
      <c r="AI238" s="68"/>
    </row>
    <row r="239" spans="1:35" ht="46.5" x14ac:dyDescent="0.7">
      <c r="A239" s="67"/>
      <c r="B239" s="67"/>
      <c r="C239" s="84"/>
      <c r="D239" s="84"/>
      <c r="E239" s="86"/>
      <c r="F239" s="84"/>
      <c r="G239" s="84"/>
      <c r="H239" s="87"/>
      <c r="I239" s="88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G239" s="84"/>
      <c r="AH239" s="68"/>
      <c r="AI239" s="68"/>
    </row>
    <row r="240" spans="1:35" ht="46.5" x14ac:dyDescent="0.7">
      <c r="A240" s="62"/>
      <c r="B240" s="62"/>
      <c r="C240" s="84"/>
      <c r="D240" s="84"/>
      <c r="E240" s="86"/>
      <c r="F240" s="84"/>
      <c r="G240" s="84"/>
      <c r="H240" s="87"/>
      <c r="I240" s="88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G240" s="84"/>
      <c r="AH240" s="68"/>
      <c r="AI240" s="68"/>
    </row>
    <row r="241" spans="1:35" ht="46.5" x14ac:dyDescent="0.7">
      <c r="A241" s="67"/>
      <c r="B241" s="67"/>
      <c r="C241" s="84"/>
      <c r="D241" s="84"/>
      <c r="E241" s="86"/>
      <c r="F241" s="84"/>
      <c r="G241" s="84"/>
      <c r="H241" s="87"/>
      <c r="I241" s="88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G241" s="84"/>
      <c r="AH241" s="68"/>
      <c r="AI241" s="68"/>
    </row>
    <row r="242" spans="1:35" ht="46.5" x14ac:dyDescent="0.7">
      <c r="A242" s="62"/>
      <c r="B242" s="62"/>
      <c r="C242" s="84"/>
      <c r="D242" s="84"/>
      <c r="E242" s="86"/>
      <c r="F242" s="84"/>
      <c r="G242" s="84"/>
      <c r="H242" s="87"/>
      <c r="I242" s="88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G242" s="84"/>
      <c r="AH242" s="68"/>
      <c r="AI242" s="68"/>
    </row>
    <row r="243" spans="1:35" ht="46.5" x14ac:dyDescent="0.7">
      <c r="A243" s="67"/>
      <c r="B243" s="67"/>
      <c r="C243" s="84"/>
      <c r="D243" s="84"/>
      <c r="E243" s="86"/>
      <c r="F243" s="84"/>
      <c r="G243" s="84"/>
      <c r="H243" s="87"/>
      <c r="I243" s="88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G243" s="84"/>
      <c r="AH243" s="68"/>
      <c r="AI243" s="68"/>
    </row>
    <row r="244" spans="1:35" ht="46.5" x14ac:dyDescent="0.7">
      <c r="A244" s="62"/>
      <c r="B244" s="62"/>
      <c r="C244" s="84"/>
      <c r="D244" s="84"/>
      <c r="E244" s="86"/>
      <c r="F244" s="84"/>
      <c r="G244" s="84"/>
      <c r="H244" s="87"/>
      <c r="I244" s="88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G244" s="84"/>
      <c r="AH244" s="68"/>
      <c r="AI244" s="68"/>
    </row>
    <row r="245" spans="1:35" ht="46.5" x14ac:dyDescent="0.7">
      <c r="A245" s="67"/>
      <c r="B245" s="67"/>
      <c r="C245" s="84"/>
      <c r="D245" s="84"/>
      <c r="E245" s="86"/>
      <c r="F245" s="84"/>
      <c r="G245" s="84"/>
      <c r="H245" s="87"/>
      <c r="I245" s="88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G245" s="84"/>
      <c r="AH245" s="68"/>
      <c r="AI245" s="68"/>
    </row>
    <row r="246" spans="1:35" ht="46.5" x14ac:dyDescent="0.7">
      <c r="A246" s="62"/>
      <c r="B246" s="62"/>
      <c r="C246" s="84"/>
      <c r="D246" s="84"/>
      <c r="E246" s="86"/>
      <c r="F246" s="84"/>
      <c r="G246" s="84"/>
      <c r="H246" s="87"/>
      <c r="I246" s="88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G246" s="84"/>
      <c r="AH246" s="68"/>
      <c r="AI246" s="68"/>
    </row>
    <row r="247" spans="1:35" ht="46.5" x14ac:dyDescent="0.7">
      <c r="A247" s="67"/>
      <c r="B247" s="67"/>
      <c r="C247" s="84"/>
      <c r="D247" s="84"/>
      <c r="E247" s="86"/>
      <c r="F247" s="84"/>
      <c r="G247" s="84"/>
      <c r="H247" s="87"/>
      <c r="I247" s="88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G247" s="84"/>
      <c r="AH247" s="68"/>
      <c r="AI247" s="68"/>
    </row>
    <row r="248" spans="1:35" ht="46.5" x14ac:dyDescent="0.7">
      <c r="A248" s="62"/>
      <c r="B248" s="62"/>
      <c r="C248" s="84"/>
      <c r="D248" s="84"/>
      <c r="E248" s="86"/>
      <c r="F248" s="84"/>
      <c r="G248" s="84"/>
      <c r="H248" s="87"/>
      <c r="I248" s="88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G248" s="84"/>
      <c r="AH248" s="68"/>
      <c r="AI248" s="68"/>
    </row>
    <row r="249" spans="1:35" ht="46.5" x14ac:dyDescent="0.7">
      <c r="A249" s="67"/>
      <c r="B249" s="67"/>
      <c r="C249" s="84"/>
      <c r="D249" s="84"/>
      <c r="E249" s="86"/>
      <c r="F249" s="84"/>
      <c r="G249" s="84"/>
      <c r="H249" s="87"/>
      <c r="I249" s="88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G249" s="84"/>
      <c r="AH249" s="68"/>
      <c r="AI249" s="68"/>
    </row>
    <row r="250" spans="1:35" ht="46.5" x14ac:dyDescent="0.7">
      <c r="A250" s="62"/>
      <c r="B250" s="62"/>
      <c r="C250" s="84"/>
      <c r="D250" s="84"/>
      <c r="E250" s="86"/>
      <c r="F250" s="84"/>
      <c r="G250" s="84"/>
      <c r="H250" s="87"/>
      <c r="I250" s="88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G250" s="84"/>
      <c r="AH250" s="68"/>
      <c r="AI250" s="68"/>
    </row>
    <row r="251" spans="1:35" ht="46.5" x14ac:dyDescent="0.7">
      <c r="A251" s="67"/>
      <c r="B251" s="67"/>
      <c r="C251" s="84"/>
      <c r="D251" s="84"/>
      <c r="E251" s="86"/>
      <c r="F251" s="84"/>
      <c r="G251" s="84"/>
      <c r="H251" s="87"/>
      <c r="I251" s="88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G251" s="84"/>
      <c r="AH251" s="68"/>
      <c r="AI251" s="68"/>
    </row>
    <row r="252" spans="1:35" ht="46.5" x14ac:dyDescent="0.7">
      <c r="A252" s="62"/>
      <c r="B252" s="62"/>
      <c r="C252" s="84"/>
      <c r="D252" s="84"/>
      <c r="E252" s="86"/>
      <c r="F252" s="84"/>
      <c r="G252" s="84"/>
      <c r="H252" s="87"/>
      <c r="I252" s="88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G252" s="84"/>
      <c r="AH252" s="68"/>
      <c r="AI252" s="68"/>
    </row>
    <row r="253" spans="1:35" ht="46.5" x14ac:dyDescent="0.7">
      <c r="A253" s="67"/>
      <c r="B253" s="67"/>
      <c r="C253" s="84"/>
      <c r="D253" s="84"/>
      <c r="E253" s="86"/>
      <c r="F253" s="84"/>
      <c r="G253" s="84"/>
      <c r="H253" s="87"/>
      <c r="I253" s="88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G253" s="84"/>
      <c r="AH253" s="68"/>
      <c r="AI253" s="68"/>
    </row>
    <row r="254" spans="1:35" ht="46.5" x14ac:dyDescent="0.7">
      <c r="A254" s="62"/>
      <c r="B254" s="62"/>
      <c r="C254" s="84"/>
      <c r="D254" s="84"/>
      <c r="E254" s="86"/>
      <c r="F254" s="84"/>
      <c r="G254" s="84"/>
      <c r="H254" s="87"/>
      <c r="I254" s="88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G254" s="84"/>
      <c r="AH254" s="68"/>
      <c r="AI254" s="68"/>
    </row>
    <row r="255" spans="1:35" ht="46.5" x14ac:dyDescent="0.7">
      <c r="A255" s="67"/>
      <c r="B255" s="67"/>
      <c r="C255" s="84"/>
      <c r="D255" s="84"/>
      <c r="E255" s="86"/>
      <c r="F255" s="84"/>
      <c r="G255" s="84"/>
      <c r="H255" s="87"/>
      <c r="I255" s="88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G255" s="84"/>
      <c r="AH255" s="68"/>
      <c r="AI255" s="68"/>
    </row>
    <row r="256" spans="1:35" ht="46.5" x14ac:dyDescent="0.7">
      <c r="A256" s="62"/>
      <c r="B256" s="62"/>
      <c r="C256" s="84"/>
      <c r="D256" s="84"/>
      <c r="E256" s="86"/>
      <c r="F256" s="84"/>
      <c r="G256" s="84"/>
      <c r="H256" s="87"/>
      <c r="I256" s="88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G256" s="84"/>
      <c r="AH256" s="68"/>
      <c r="AI256" s="68"/>
    </row>
    <row r="257" spans="1:35" ht="46.5" x14ac:dyDescent="0.7">
      <c r="A257" s="67"/>
      <c r="B257" s="67"/>
      <c r="C257" s="84"/>
      <c r="D257" s="84"/>
      <c r="E257" s="86"/>
      <c r="F257" s="84"/>
      <c r="G257" s="84"/>
      <c r="H257" s="87"/>
      <c r="I257" s="88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G257" s="84"/>
      <c r="AH257" s="68"/>
      <c r="AI257" s="68"/>
    </row>
    <row r="258" spans="1:35" ht="46.5" x14ac:dyDescent="0.7">
      <c r="A258" s="62"/>
      <c r="B258" s="62"/>
      <c r="C258" s="84"/>
      <c r="D258" s="84"/>
      <c r="E258" s="86"/>
      <c r="F258" s="84"/>
      <c r="G258" s="84"/>
      <c r="H258" s="87"/>
      <c r="I258" s="88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G258" s="84"/>
      <c r="AH258" s="68"/>
      <c r="AI258" s="68"/>
    </row>
    <row r="259" spans="1:35" ht="46.5" x14ac:dyDescent="0.7">
      <c r="A259" s="67"/>
      <c r="B259" s="67"/>
      <c r="C259" s="84"/>
      <c r="D259" s="84"/>
      <c r="E259" s="86"/>
      <c r="F259" s="84"/>
      <c r="G259" s="84"/>
      <c r="H259" s="87"/>
      <c r="I259" s="88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G259" s="84"/>
      <c r="AH259" s="68"/>
      <c r="AI259" s="68"/>
    </row>
    <row r="260" spans="1:35" ht="46.5" x14ac:dyDescent="0.7">
      <c r="A260" s="62"/>
      <c r="B260" s="62"/>
      <c r="C260" s="84"/>
      <c r="D260" s="84"/>
      <c r="E260" s="86"/>
      <c r="F260" s="84"/>
      <c r="G260" s="84"/>
      <c r="H260" s="87"/>
      <c r="I260" s="88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G260" s="84"/>
      <c r="AH260" s="68"/>
      <c r="AI260" s="68"/>
    </row>
    <row r="261" spans="1:35" ht="46.5" x14ac:dyDescent="0.7">
      <c r="A261" s="67"/>
      <c r="B261" s="67"/>
      <c r="C261" s="84"/>
      <c r="D261" s="84"/>
      <c r="E261" s="86"/>
      <c r="F261" s="84"/>
      <c r="G261" s="84"/>
      <c r="H261" s="87"/>
      <c r="I261" s="88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G261" s="84"/>
      <c r="AH261" s="68"/>
      <c r="AI261" s="68"/>
    </row>
    <row r="262" spans="1:35" ht="46.5" x14ac:dyDescent="0.7">
      <c r="A262" s="62"/>
      <c r="B262" s="62"/>
      <c r="C262" s="84"/>
      <c r="D262" s="84"/>
      <c r="E262" s="86"/>
      <c r="F262" s="84"/>
      <c r="G262" s="84"/>
      <c r="H262" s="87"/>
      <c r="I262" s="88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G262" s="84"/>
      <c r="AH262" s="68"/>
      <c r="AI262" s="68"/>
    </row>
    <row r="263" spans="1:35" ht="46.5" x14ac:dyDescent="0.7">
      <c r="A263" s="67"/>
      <c r="B263" s="67"/>
      <c r="C263" s="84"/>
      <c r="D263" s="84"/>
      <c r="E263" s="86"/>
      <c r="F263" s="84"/>
      <c r="G263" s="84"/>
      <c r="H263" s="87"/>
      <c r="I263" s="88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G263" s="84"/>
      <c r="AH263" s="68"/>
      <c r="AI263" s="68"/>
    </row>
    <row r="264" spans="1:35" ht="46.5" x14ac:dyDescent="0.7">
      <c r="A264" s="62"/>
      <c r="B264" s="62"/>
      <c r="C264" s="84"/>
      <c r="D264" s="84"/>
      <c r="E264" s="86"/>
      <c r="F264" s="84"/>
      <c r="G264" s="84"/>
      <c r="H264" s="87"/>
      <c r="I264" s="88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G264" s="84"/>
      <c r="AH264" s="68"/>
      <c r="AI264" s="68"/>
    </row>
    <row r="265" spans="1:35" ht="46.5" x14ac:dyDescent="0.7">
      <c r="A265" s="67"/>
      <c r="B265" s="67"/>
      <c r="C265" s="84"/>
      <c r="D265" s="84"/>
      <c r="E265" s="86"/>
      <c r="F265" s="84"/>
      <c r="G265" s="84"/>
      <c r="H265" s="87"/>
      <c r="I265" s="88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G265" s="84"/>
      <c r="AH265" s="68"/>
      <c r="AI265" s="68"/>
    </row>
    <row r="266" spans="1:35" ht="46.5" x14ac:dyDescent="0.7">
      <c r="A266" s="62"/>
      <c r="B266" s="62"/>
      <c r="C266" s="84"/>
      <c r="D266" s="84"/>
      <c r="E266" s="86"/>
      <c r="F266" s="84"/>
      <c r="G266" s="84"/>
      <c r="H266" s="87"/>
      <c r="I266" s="88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G266" s="84"/>
      <c r="AH266" s="68"/>
      <c r="AI266" s="68"/>
    </row>
    <row r="267" spans="1:35" ht="46.5" x14ac:dyDescent="0.7">
      <c r="A267" s="67"/>
      <c r="B267" s="67"/>
      <c r="C267" s="84"/>
      <c r="D267" s="84"/>
      <c r="E267" s="86"/>
      <c r="F267" s="84"/>
      <c r="G267" s="84"/>
      <c r="H267" s="87"/>
      <c r="I267" s="88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G267" s="84"/>
      <c r="AH267" s="68"/>
      <c r="AI267" s="68"/>
    </row>
    <row r="268" spans="1:35" ht="46.5" x14ac:dyDescent="0.7">
      <c r="A268" s="62"/>
      <c r="B268" s="62"/>
      <c r="C268" s="84"/>
      <c r="D268" s="84"/>
      <c r="E268" s="86"/>
      <c r="F268" s="84"/>
      <c r="G268" s="84"/>
      <c r="H268" s="87"/>
      <c r="I268" s="88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G268" s="84"/>
      <c r="AH268" s="68"/>
      <c r="AI268" s="68"/>
    </row>
    <row r="269" spans="1:35" ht="46.5" x14ac:dyDescent="0.7">
      <c r="A269" s="67"/>
      <c r="B269" s="67"/>
      <c r="C269" s="84"/>
      <c r="D269" s="84"/>
      <c r="E269" s="86"/>
      <c r="F269" s="84"/>
      <c r="G269" s="84"/>
      <c r="H269" s="87"/>
      <c r="I269" s="88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G269" s="84"/>
      <c r="AH269" s="68"/>
      <c r="AI269" s="68"/>
    </row>
    <row r="270" spans="1:35" ht="46.5" x14ac:dyDescent="0.7">
      <c r="A270" s="62"/>
      <c r="B270" s="62"/>
      <c r="C270" s="84"/>
      <c r="D270" s="84"/>
      <c r="E270" s="86"/>
      <c r="F270" s="84"/>
      <c r="G270" s="84"/>
      <c r="H270" s="87"/>
      <c r="I270" s="88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G270" s="84"/>
      <c r="AH270" s="68"/>
      <c r="AI270" s="68"/>
    </row>
    <row r="271" spans="1:35" ht="46.5" x14ac:dyDescent="0.7">
      <c r="A271" s="67"/>
      <c r="B271" s="67"/>
      <c r="C271" s="84"/>
      <c r="D271" s="84"/>
      <c r="E271" s="86"/>
      <c r="F271" s="84"/>
      <c r="G271" s="84"/>
      <c r="H271" s="87"/>
      <c r="I271" s="88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G271" s="84"/>
      <c r="AH271" s="84"/>
      <c r="AI271" s="84"/>
    </row>
    <row r="272" spans="1:35" x14ac:dyDescent="0.25">
      <c r="A272" s="62"/>
      <c r="B272" s="62"/>
      <c r="C272" s="84"/>
      <c r="D272" s="84"/>
      <c r="E272" s="86"/>
      <c r="F272" s="84"/>
      <c r="G272" s="84"/>
      <c r="H272" s="87"/>
      <c r="I272" s="88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G272" s="84"/>
      <c r="AH272" s="84"/>
      <c r="AI272" s="84"/>
    </row>
    <row r="273" spans="1:35" ht="46.5" x14ac:dyDescent="0.7">
      <c r="A273" s="67"/>
      <c r="B273" s="67"/>
      <c r="C273" s="84"/>
      <c r="D273" s="84"/>
      <c r="E273" s="86"/>
      <c r="F273" s="84"/>
      <c r="G273" s="84"/>
      <c r="H273" s="87"/>
      <c r="I273" s="88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G273" s="84"/>
      <c r="AH273" s="84"/>
      <c r="AI273" s="84"/>
    </row>
    <row r="274" spans="1:35" x14ac:dyDescent="0.25">
      <c r="A274" s="62"/>
      <c r="B274" s="62"/>
      <c r="C274" s="84"/>
      <c r="D274" s="84"/>
      <c r="E274" s="86"/>
      <c r="F274" s="84"/>
      <c r="G274" s="84"/>
      <c r="H274" s="87"/>
      <c r="I274" s="88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G274" s="84"/>
      <c r="AH274" s="84"/>
      <c r="AI274" s="84"/>
    </row>
    <row r="275" spans="1:35" ht="46.5" x14ac:dyDescent="0.7">
      <c r="A275" s="67"/>
      <c r="B275" s="67"/>
      <c r="C275" s="84"/>
      <c r="D275" s="84"/>
      <c r="E275" s="86"/>
      <c r="F275" s="84"/>
      <c r="G275" s="84"/>
      <c r="H275" s="87"/>
      <c r="I275" s="88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G275" s="84"/>
      <c r="AH275" s="84"/>
      <c r="AI275" s="84"/>
    </row>
    <row r="276" spans="1:35" x14ac:dyDescent="0.25">
      <c r="A276" s="62"/>
      <c r="B276" s="62"/>
      <c r="C276" s="84"/>
      <c r="D276" s="84"/>
      <c r="E276" s="86"/>
      <c r="F276" s="84"/>
      <c r="G276" s="84"/>
      <c r="H276" s="87"/>
      <c r="I276" s="88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G276" s="84"/>
      <c r="AH276" s="84"/>
      <c r="AI276" s="84"/>
    </row>
    <row r="277" spans="1:35" ht="46.5" x14ac:dyDescent="0.7">
      <c r="A277" s="67"/>
      <c r="B277" s="67"/>
      <c r="C277" s="84"/>
      <c r="D277" s="84"/>
      <c r="E277" s="86"/>
      <c r="F277" s="84"/>
      <c r="G277" s="84"/>
      <c r="H277" s="87"/>
      <c r="I277" s="88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G277" s="84"/>
      <c r="AH277" s="84"/>
      <c r="AI277" s="84"/>
    </row>
    <row r="278" spans="1:35" x14ac:dyDescent="0.25">
      <c r="A278" s="62"/>
      <c r="B278" s="62"/>
      <c r="C278" s="84"/>
      <c r="D278" s="84"/>
      <c r="E278" s="86"/>
      <c r="F278" s="84"/>
      <c r="G278" s="84"/>
      <c r="H278" s="87"/>
      <c r="I278" s="88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G278" s="84"/>
      <c r="AH278" s="84"/>
      <c r="AI278" s="84"/>
    </row>
    <row r="279" spans="1:35" ht="46.5" x14ac:dyDescent="0.7">
      <c r="A279" s="67"/>
      <c r="B279" s="67"/>
      <c r="C279" s="84"/>
      <c r="D279" s="84"/>
      <c r="E279" s="86"/>
      <c r="F279" s="84"/>
      <c r="G279" s="84"/>
      <c r="H279" s="87"/>
      <c r="I279" s="88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G279" s="84"/>
      <c r="AH279" s="84"/>
      <c r="AI279" s="84"/>
    </row>
    <row r="280" spans="1:35" x14ac:dyDescent="0.25">
      <c r="A280" s="62"/>
      <c r="B280" s="62"/>
      <c r="C280" s="84"/>
      <c r="D280" s="84"/>
      <c r="E280" s="86"/>
      <c r="F280" s="84"/>
      <c r="G280" s="84"/>
      <c r="H280" s="87"/>
      <c r="I280" s="88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G280" s="84"/>
      <c r="AH280" s="84"/>
      <c r="AI280" s="84"/>
    </row>
    <row r="281" spans="1:35" ht="46.5" x14ac:dyDescent="0.7">
      <c r="A281" s="67"/>
      <c r="B281" s="67"/>
      <c r="C281" s="84"/>
      <c r="D281" s="84"/>
      <c r="E281" s="86"/>
      <c r="F281" s="84"/>
      <c r="G281" s="84"/>
      <c r="H281" s="87"/>
      <c r="I281" s="88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G281" s="84"/>
      <c r="AH281" s="84"/>
      <c r="AI281" s="84"/>
    </row>
    <row r="282" spans="1:35" x14ac:dyDescent="0.25">
      <c r="A282" s="62"/>
      <c r="B282" s="62"/>
      <c r="C282" s="84"/>
      <c r="D282" s="84"/>
      <c r="E282" s="86"/>
      <c r="F282" s="84"/>
      <c r="G282" s="84"/>
      <c r="H282" s="87"/>
      <c r="I282" s="88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G282" s="84"/>
      <c r="AH282" s="84"/>
      <c r="AI282" s="84"/>
    </row>
    <row r="283" spans="1:35" x14ac:dyDescent="0.25">
      <c r="A283" s="84"/>
      <c r="B283" s="84"/>
      <c r="C283" s="84"/>
      <c r="D283" s="84"/>
      <c r="E283" s="86"/>
      <c r="F283" s="84"/>
      <c r="G283" s="84"/>
      <c r="H283" s="87"/>
      <c r="I283" s="88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G283" s="84"/>
      <c r="AH283" s="84"/>
      <c r="AI283" s="84"/>
    </row>
    <row r="284" spans="1:35" x14ac:dyDescent="0.25">
      <c r="A284" s="84"/>
      <c r="B284" s="84"/>
      <c r="C284" s="84"/>
      <c r="D284" s="84"/>
      <c r="E284" s="86"/>
      <c r="F284" s="84"/>
      <c r="G284" s="84"/>
      <c r="H284" s="87"/>
      <c r="I284" s="88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G284" s="84"/>
      <c r="AH284" s="84"/>
      <c r="AI284" s="84"/>
    </row>
    <row r="285" spans="1:35" x14ac:dyDescent="0.25">
      <c r="A285" s="84"/>
      <c r="B285" s="84"/>
      <c r="C285" s="84"/>
      <c r="D285" s="84"/>
      <c r="E285" s="86"/>
      <c r="F285" s="84"/>
      <c r="G285" s="84"/>
      <c r="H285" s="87"/>
      <c r="I285" s="88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G285" s="84"/>
      <c r="AH285" s="84"/>
      <c r="AI285" s="84"/>
    </row>
    <row r="286" spans="1:35" x14ac:dyDescent="0.25">
      <c r="A286" s="84"/>
      <c r="B286" s="84"/>
      <c r="C286" s="84"/>
      <c r="D286" s="84"/>
      <c r="E286" s="86"/>
      <c r="F286" s="84"/>
      <c r="G286" s="84"/>
      <c r="H286" s="87"/>
      <c r="I286" s="88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G286" s="84"/>
      <c r="AH286" s="84"/>
      <c r="AI286" s="84"/>
    </row>
    <row r="287" spans="1:35" x14ac:dyDescent="0.25">
      <c r="A287" s="84"/>
      <c r="B287" s="84"/>
      <c r="C287" s="84"/>
      <c r="D287" s="84"/>
      <c r="E287" s="86"/>
      <c r="F287" s="84"/>
      <c r="G287" s="84"/>
      <c r="H287" s="87"/>
      <c r="I287" s="88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G287" s="84"/>
      <c r="AH287" s="84"/>
      <c r="AI287" s="84"/>
    </row>
    <row r="288" spans="1:35" x14ac:dyDescent="0.25">
      <c r="A288" s="84"/>
      <c r="B288" s="84"/>
      <c r="C288" s="84"/>
      <c r="D288" s="84"/>
      <c r="E288" s="86"/>
      <c r="F288" s="84"/>
      <c r="G288" s="84"/>
      <c r="H288" s="87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G288" s="84"/>
      <c r="AH288" s="84"/>
      <c r="AI288" s="84"/>
    </row>
  </sheetData>
  <mergeCells count="103"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/>
  <dimension ref="A1:O4970"/>
  <sheetViews>
    <sheetView zoomScaleNormal="100" workbookViewId="0">
      <pane ySplit="1" topLeftCell="A4958" activePane="bottomLeft" state="frozen"/>
      <selection pane="bottomLeft" activeCell="C4962" sqref="C4962"/>
    </sheetView>
  </sheetViews>
  <sheetFormatPr defaultRowHeight="15" x14ac:dyDescent="0.25"/>
  <cols>
    <col min="2" max="2" width="9.42578125" customWidth="1"/>
    <col min="3" max="3" width="46.85546875" customWidth="1"/>
    <col min="4" max="4" width="37.7109375" customWidth="1"/>
    <col min="5" max="5" width="9.85546875" bestFit="1" customWidth="1"/>
    <col min="6" max="6" width="67.85546875" customWidth="1"/>
    <col min="8" max="8" width="0" hidden="1" customWidth="1"/>
    <col min="9" max="9" width="15" hidden="1" customWidth="1"/>
    <col min="10" max="10" width="10.7109375" bestFit="1" customWidth="1"/>
    <col min="11" max="11" width="11.5703125" bestFit="1" customWidth="1"/>
    <col min="12" max="12" width="13.42578125" bestFit="1" customWidth="1"/>
    <col min="13" max="13" width="12.7109375" bestFit="1" customWidth="1"/>
    <col min="14" max="14" width="9.140625" style="2"/>
    <col min="16" max="16" width="160.28515625" bestFit="1" customWidth="1"/>
  </cols>
  <sheetData>
    <row r="1" spans="1:14" s="2" customFormat="1" ht="34.5" customHeight="1" x14ac:dyDescent="0.25">
      <c r="A1" s="41" t="s">
        <v>13</v>
      </c>
      <c r="B1" s="41" t="s">
        <v>230</v>
      </c>
      <c r="C1" s="41" t="s">
        <v>242</v>
      </c>
      <c r="D1" s="41" t="s">
        <v>34</v>
      </c>
      <c r="E1" s="41" t="s">
        <v>14</v>
      </c>
      <c r="F1" s="41" t="s">
        <v>15</v>
      </c>
      <c r="G1" s="41" t="s">
        <v>16</v>
      </c>
      <c r="H1" s="41" t="s">
        <v>17</v>
      </c>
      <c r="I1" s="41" t="s">
        <v>5</v>
      </c>
      <c r="J1" s="41" t="s">
        <v>18</v>
      </c>
      <c r="K1" s="41" t="s">
        <v>4</v>
      </c>
      <c r="L1" s="1" t="s">
        <v>20</v>
      </c>
      <c r="M1" s="1" t="s">
        <v>246</v>
      </c>
      <c r="N1" s="1" t="s">
        <v>42</v>
      </c>
    </row>
    <row r="2" spans="1:14" ht="20.25" x14ac:dyDescent="0.25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243</v>
      </c>
      <c r="G2" s="1">
        <v>2</v>
      </c>
      <c r="H2" s="1" t="s">
        <v>19</v>
      </c>
      <c r="I2" s="1" t="s">
        <v>244</v>
      </c>
      <c r="J2" s="1">
        <v>5</v>
      </c>
      <c r="K2" s="1">
        <v>10</v>
      </c>
      <c r="L2" s="42">
        <v>1</v>
      </c>
      <c r="M2" s="43">
        <v>45778</v>
      </c>
      <c r="N2" s="1" t="e">
        <f>VLOOKUP(B2,MICRO!E:L,8,0)</f>
        <v>#N/A</v>
      </c>
    </row>
    <row r="3" spans="1:14" ht="20.25" x14ac:dyDescent="0.25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245</v>
      </c>
      <c r="G3" s="1">
        <v>2</v>
      </c>
      <c r="H3" s="1" t="s">
        <v>19</v>
      </c>
      <c r="I3" s="1" t="s">
        <v>244</v>
      </c>
      <c r="J3" s="1">
        <v>52</v>
      </c>
      <c r="K3" s="1">
        <v>104</v>
      </c>
      <c r="L3" s="42">
        <v>1</v>
      </c>
      <c r="M3" s="43">
        <v>45778</v>
      </c>
      <c r="N3" s="1" t="e">
        <f>VLOOKUP(B3,MICRO!E:L,8,0)</f>
        <v>#N/A</v>
      </c>
    </row>
    <row r="4" spans="1:14" ht="20.25" x14ac:dyDescent="0.25">
      <c r="A4" s="1">
        <v>1</v>
      </c>
      <c r="B4" s="1">
        <v>1588</v>
      </c>
      <c r="C4" s="1" t="s">
        <v>202</v>
      </c>
      <c r="D4" s="1"/>
      <c r="E4" s="1" t="s">
        <v>6</v>
      </c>
      <c r="F4" s="1" t="s">
        <v>247</v>
      </c>
      <c r="G4" s="1">
        <v>2</v>
      </c>
      <c r="H4" s="1" t="s">
        <v>19</v>
      </c>
      <c r="I4" s="1" t="s">
        <v>248</v>
      </c>
      <c r="J4" s="1">
        <v>607.1</v>
      </c>
      <c r="K4" s="1">
        <v>1214.2</v>
      </c>
      <c r="L4" s="42">
        <v>1</v>
      </c>
      <c r="M4" s="43">
        <v>45772</v>
      </c>
      <c r="N4" s="1" t="e">
        <f>VLOOKUP(B4,MICRO!E:L,8,0)</f>
        <v>#N/A</v>
      </c>
    </row>
    <row r="5" spans="1:14" ht="20.25" x14ac:dyDescent="0.25">
      <c r="A5" s="1">
        <v>1</v>
      </c>
      <c r="B5" s="1">
        <v>1645</v>
      </c>
      <c r="C5" s="1" t="s">
        <v>120</v>
      </c>
      <c r="D5" s="1">
        <v>266403</v>
      </c>
      <c r="E5" s="1"/>
      <c r="F5" s="1" t="s">
        <v>249</v>
      </c>
      <c r="G5" s="1">
        <v>30</v>
      </c>
      <c r="H5" s="1" t="s">
        <v>19</v>
      </c>
      <c r="I5" s="1" t="s">
        <v>250</v>
      </c>
      <c r="J5" s="1">
        <v>7.5</v>
      </c>
      <c r="K5" s="1">
        <v>225</v>
      </c>
      <c r="L5" s="42">
        <v>1</v>
      </c>
      <c r="M5" s="43">
        <v>45772</v>
      </c>
      <c r="N5" s="1" t="e">
        <f>VLOOKUP(B5,MICRO!E:L,8,0)</f>
        <v>#N/A</v>
      </c>
    </row>
    <row r="6" spans="1:14" ht="20.25" x14ac:dyDescent="0.25">
      <c r="A6" s="1">
        <v>2</v>
      </c>
      <c r="B6" s="1">
        <v>1646</v>
      </c>
      <c r="C6" s="1" t="s">
        <v>103</v>
      </c>
      <c r="D6" s="1">
        <v>271276</v>
      </c>
      <c r="E6" s="1"/>
      <c r="F6" s="1" t="s">
        <v>251</v>
      </c>
      <c r="G6" s="1">
        <v>20</v>
      </c>
      <c r="H6" s="1" t="s">
        <v>19</v>
      </c>
      <c r="I6" s="1" t="s">
        <v>250</v>
      </c>
      <c r="J6" s="1">
        <v>8</v>
      </c>
      <c r="K6" s="1">
        <v>160</v>
      </c>
      <c r="L6" s="42">
        <v>1</v>
      </c>
      <c r="M6" s="43">
        <v>45772</v>
      </c>
      <c r="N6" s="1" t="e">
        <f>VLOOKUP(B6,MICRO!E:L,8,0)</f>
        <v>#N/A</v>
      </c>
    </row>
    <row r="7" spans="1:14" ht="20.25" x14ac:dyDescent="0.25">
      <c r="A7" s="1">
        <v>2</v>
      </c>
      <c r="B7" s="1">
        <v>1682</v>
      </c>
      <c r="C7" s="1" t="s">
        <v>119</v>
      </c>
      <c r="D7" s="1">
        <v>266021</v>
      </c>
      <c r="E7" s="1"/>
      <c r="F7" s="1" t="s">
        <v>252</v>
      </c>
      <c r="G7" s="1">
        <v>40</v>
      </c>
      <c r="H7" s="1" t="s">
        <v>19</v>
      </c>
      <c r="I7" s="1" t="s">
        <v>253</v>
      </c>
      <c r="J7" s="1">
        <v>8</v>
      </c>
      <c r="K7" s="1">
        <v>320</v>
      </c>
      <c r="L7" s="42">
        <v>1</v>
      </c>
      <c r="M7" s="43" t="s">
        <v>256</v>
      </c>
      <c r="N7" s="1" t="e">
        <f>VLOOKUP(B7,MICRO!E:L,8,0)</f>
        <v>#N/A</v>
      </c>
    </row>
    <row r="8" spans="1:14" ht="20.25" x14ac:dyDescent="0.25">
      <c r="A8" s="1">
        <v>3</v>
      </c>
      <c r="B8" s="1">
        <v>1682</v>
      </c>
      <c r="C8" s="1" t="s">
        <v>119</v>
      </c>
      <c r="D8" s="1">
        <v>266023</v>
      </c>
      <c r="E8" s="1"/>
      <c r="F8" s="1" t="s">
        <v>254</v>
      </c>
      <c r="G8" s="1">
        <v>350</v>
      </c>
      <c r="H8" s="1" t="s">
        <v>19</v>
      </c>
      <c r="I8" s="1" t="s">
        <v>253</v>
      </c>
      <c r="J8" s="1">
        <v>8</v>
      </c>
      <c r="K8" s="1">
        <v>2800</v>
      </c>
      <c r="L8" s="42">
        <v>1</v>
      </c>
      <c r="M8" s="43" t="s">
        <v>256</v>
      </c>
      <c r="N8" s="1" t="e">
        <f>VLOOKUP(B8,MICRO!E:L,8,0)</f>
        <v>#N/A</v>
      </c>
    </row>
    <row r="9" spans="1:14" ht="20.25" x14ac:dyDescent="0.25">
      <c r="A9" s="1">
        <v>14</v>
      </c>
      <c r="B9" s="1">
        <v>1685</v>
      </c>
      <c r="C9" s="1" t="s">
        <v>120</v>
      </c>
      <c r="D9" s="1">
        <v>266403</v>
      </c>
      <c r="E9" s="1"/>
      <c r="F9" s="1" t="s">
        <v>255</v>
      </c>
      <c r="G9" s="1">
        <v>170</v>
      </c>
      <c r="H9" s="1" t="s">
        <v>19</v>
      </c>
      <c r="I9" s="1" t="s">
        <v>253</v>
      </c>
      <c r="J9" s="1">
        <v>7.5</v>
      </c>
      <c r="K9" s="1">
        <v>1275</v>
      </c>
      <c r="L9" s="42">
        <v>1</v>
      </c>
      <c r="M9" s="43" t="s">
        <v>256</v>
      </c>
      <c r="N9" s="1" t="e">
        <f>VLOOKUP(B9,MICRO!E:L,8,0)</f>
        <v>#N/A</v>
      </c>
    </row>
    <row r="10" spans="1:14" ht="20.25" x14ac:dyDescent="0.25">
      <c r="A10" s="1">
        <v>1</v>
      </c>
      <c r="B10" s="1">
        <v>1689</v>
      </c>
      <c r="C10" s="1" t="s">
        <v>112</v>
      </c>
      <c r="D10" s="1"/>
      <c r="E10" s="1"/>
      <c r="F10" s="1" t="s">
        <v>162</v>
      </c>
      <c r="G10" s="1">
        <v>66</v>
      </c>
      <c r="H10" s="1" t="s">
        <v>19</v>
      </c>
      <c r="I10" s="1" t="s">
        <v>217</v>
      </c>
      <c r="J10" s="1">
        <v>16.2</v>
      </c>
      <c r="K10" s="1">
        <v>1069.2</v>
      </c>
      <c r="L10" s="42">
        <v>1</v>
      </c>
      <c r="M10" s="43">
        <v>45778</v>
      </c>
      <c r="N10" s="1" t="e">
        <f>VLOOKUP(B10,MICRO!E:L,8,0)</f>
        <v>#N/A</v>
      </c>
    </row>
    <row r="11" spans="1:14" ht="20.25" x14ac:dyDescent="0.25">
      <c r="A11" s="1">
        <v>13</v>
      </c>
      <c r="B11" s="1">
        <v>1685</v>
      </c>
      <c r="C11" s="1" t="s">
        <v>120</v>
      </c>
      <c r="D11" s="1">
        <v>266401</v>
      </c>
      <c r="E11" s="1"/>
      <c r="F11" s="1" t="s">
        <v>257</v>
      </c>
      <c r="G11" s="1">
        <v>150</v>
      </c>
      <c r="H11" s="1" t="s">
        <v>19</v>
      </c>
      <c r="I11" s="1" t="s">
        <v>253</v>
      </c>
      <c r="J11" s="1">
        <v>7.5</v>
      </c>
      <c r="K11" s="1">
        <v>1125</v>
      </c>
      <c r="L11" s="42">
        <v>2</v>
      </c>
      <c r="M11" s="43">
        <v>45761</v>
      </c>
      <c r="N11" s="1" t="e">
        <f>VLOOKUP(B11,MICRO!E:L,8,0)</f>
        <v>#N/A</v>
      </c>
    </row>
    <row r="12" spans="1:14" ht="20.25" x14ac:dyDescent="0.25">
      <c r="A12" s="1">
        <v>7</v>
      </c>
      <c r="B12" s="1">
        <v>1677</v>
      </c>
      <c r="C12" s="1" t="s">
        <v>258</v>
      </c>
      <c r="D12" s="1">
        <v>266027</v>
      </c>
      <c r="E12" s="1"/>
      <c r="F12" s="1" t="s">
        <v>259</v>
      </c>
      <c r="G12" s="1">
        <v>190</v>
      </c>
      <c r="H12" s="1" t="s">
        <v>19</v>
      </c>
      <c r="I12" s="1" t="s">
        <v>253</v>
      </c>
      <c r="J12" s="1">
        <v>16.2</v>
      </c>
      <c r="K12" s="1">
        <v>3078</v>
      </c>
      <c r="L12" s="42">
        <v>3</v>
      </c>
      <c r="M12" s="43">
        <v>45770</v>
      </c>
      <c r="N12" s="1" t="e">
        <f>VLOOKUP(B12,MICRO!E:L,8,0)</f>
        <v>#N/A</v>
      </c>
    </row>
    <row r="13" spans="1:14" ht="20.25" x14ac:dyDescent="0.25">
      <c r="A13" s="1">
        <v>9</v>
      </c>
      <c r="B13" s="1">
        <v>1679</v>
      </c>
      <c r="C13" s="1" t="s">
        <v>121</v>
      </c>
      <c r="D13" s="1">
        <v>266029</v>
      </c>
      <c r="E13" s="1"/>
      <c r="F13" s="1" t="s">
        <v>260</v>
      </c>
      <c r="G13" s="1">
        <v>100</v>
      </c>
      <c r="H13" s="1" t="s">
        <v>19</v>
      </c>
      <c r="I13" s="1" t="s">
        <v>253</v>
      </c>
      <c r="J13" s="1">
        <v>12.5</v>
      </c>
      <c r="K13" s="1">
        <v>1250</v>
      </c>
      <c r="L13" s="42">
        <v>3</v>
      </c>
      <c r="M13" s="43">
        <v>45770</v>
      </c>
      <c r="N13" s="1" t="e">
        <f>VLOOKUP(B13,MICRO!E:L,8,0)</f>
        <v>#N/A</v>
      </c>
    </row>
    <row r="14" spans="1:14" ht="20.25" x14ac:dyDescent="0.25">
      <c r="A14" s="1">
        <v>7</v>
      </c>
      <c r="B14" s="1">
        <v>1677</v>
      </c>
      <c r="C14" s="1" t="s">
        <v>258</v>
      </c>
      <c r="D14" s="1">
        <v>266027</v>
      </c>
      <c r="E14" s="1"/>
      <c r="F14" s="1" t="s">
        <v>261</v>
      </c>
      <c r="G14" s="1">
        <v>76</v>
      </c>
      <c r="H14" s="1" t="s">
        <v>19</v>
      </c>
      <c r="I14" s="1" t="s">
        <v>253</v>
      </c>
      <c r="J14" s="1">
        <v>16.2</v>
      </c>
      <c r="K14" s="1">
        <v>1231.2</v>
      </c>
      <c r="L14" s="42">
        <v>4</v>
      </c>
      <c r="M14" s="43">
        <v>45778</v>
      </c>
      <c r="N14" s="1" t="e">
        <f>VLOOKUP(B14,MICRO!E:L,8,0)</f>
        <v>#N/A</v>
      </c>
    </row>
    <row r="15" spans="1:14" ht="20.25" x14ac:dyDescent="0.25">
      <c r="A15" s="1">
        <v>10</v>
      </c>
      <c r="B15" s="1">
        <v>1677</v>
      </c>
      <c r="C15" s="1" t="s">
        <v>258</v>
      </c>
      <c r="D15" s="1">
        <v>266030</v>
      </c>
      <c r="E15" s="1"/>
      <c r="F15" s="1" t="s">
        <v>261</v>
      </c>
      <c r="G15" s="1">
        <v>160</v>
      </c>
      <c r="H15" s="1" t="s">
        <v>19</v>
      </c>
      <c r="I15" s="1" t="s">
        <v>253</v>
      </c>
      <c r="J15" s="1">
        <v>16.2</v>
      </c>
      <c r="K15" s="1">
        <v>2592</v>
      </c>
      <c r="L15" s="42">
        <v>4</v>
      </c>
      <c r="M15" s="43">
        <v>45778</v>
      </c>
      <c r="N15" s="1" t="e">
        <f>VLOOKUP(B15,MICRO!E:L,8,0)</f>
        <v>#N/A</v>
      </c>
    </row>
    <row r="16" spans="1:14" ht="20.25" x14ac:dyDescent="0.25">
      <c r="A16" s="1">
        <v>7</v>
      </c>
      <c r="B16" s="1">
        <v>1677</v>
      </c>
      <c r="C16" s="1" t="s">
        <v>258</v>
      </c>
      <c r="D16" s="1" t="s">
        <v>262</v>
      </c>
      <c r="E16" s="1"/>
      <c r="F16" s="1" t="s">
        <v>261</v>
      </c>
      <c r="G16" s="1">
        <v>84</v>
      </c>
      <c r="H16" s="1" t="s">
        <v>19</v>
      </c>
      <c r="I16" s="1" t="s">
        <v>253</v>
      </c>
      <c r="J16" s="1">
        <v>16.2</v>
      </c>
      <c r="K16" s="1">
        <f>J16*G16</f>
        <v>1360.8</v>
      </c>
      <c r="L16" s="42">
        <v>5</v>
      </c>
      <c r="M16" s="43">
        <v>45778</v>
      </c>
      <c r="N16" s="1" t="e">
        <f>VLOOKUP(B16,MICRO!E:L,8,0)</f>
        <v>#N/A</v>
      </c>
    </row>
    <row r="17" spans="1:14" ht="20.25" x14ac:dyDescent="0.25">
      <c r="A17" s="1">
        <v>15</v>
      </c>
      <c r="B17" s="1">
        <v>1677</v>
      </c>
      <c r="C17" s="1" t="s">
        <v>258</v>
      </c>
      <c r="D17" s="1">
        <v>266411</v>
      </c>
      <c r="E17" s="1"/>
      <c r="F17" s="1" t="s">
        <v>261</v>
      </c>
      <c r="G17" s="1">
        <v>180</v>
      </c>
      <c r="H17" s="1" t="s">
        <v>19</v>
      </c>
      <c r="I17" s="1" t="s">
        <v>253</v>
      </c>
      <c r="J17" s="1">
        <v>16.2</v>
      </c>
      <c r="K17" s="1">
        <f>J17*G17</f>
        <v>2916</v>
      </c>
      <c r="L17" s="42">
        <v>5</v>
      </c>
      <c r="M17" s="43">
        <v>45778</v>
      </c>
      <c r="N17" s="1" t="e">
        <f>VLOOKUP(B17,MICRO!E:L,8,0)</f>
        <v>#N/A</v>
      </c>
    </row>
    <row r="18" spans="1:14" ht="20.25" x14ac:dyDescent="0.25">
      <c r="A18" s="1">
        <v>9</v>
      </c>
      <c r="B18" s="1">
        <v>1679</v>
      </c>
      <c r="C18" s="1" t="s">
        <v>121</v>
      </c>
      <c r="D18" s="1">
        <v>266029</v>
      </c>
      <c r="E18" s="1"/>
      <c r="F18" s="1" t="s">
        <v>260</v>
      </c>
      <c r="G18" s="1">
        <v>243</v>
      </c>
      <c r="H18" s="1" t="s">
        <v>19</v>
      </c>
      <c r="I18" s="1" t="s">
        <v>253</v>
      </c>
      <c r="J18" s="1">
        <v>12.5</v>
      </c>
      <c r="K18" s="1">
        <f>J18*G18</f>
        <v>3037.5</v>
      </c>
      <c r="L18" s="42">
        <v>5</v>
      </c>
      <c r="M18" s="43">
        <v>45778</v>
      </c>
      <c r="N18" s="1" t="e">
        <f>VLOOKUP(B18,MICRO!E:L,8,0)</f>
        <v>#N/A</v>
      </c>
    </row>
    <row r="19" spans="1:14" ht="20.25" x14ac:dyDescent="0.25">
      <c r="A19" s="1">
        <v>17</v>
      </c>
      <c r="B19" s="1">
        <v>1686</v>
      </c>
      <c r="C19" s="1" t="s">
        <v>126</v>
      </c>
      <c r="D19" s="1">
        <v>271276</v>
      </c>
      <c r="E19" s="1"/>
      <c r="F19" s="1" t="s">
        <v>263</v>
      </c>
      <c r="G19" s="1">
        <v>120</v>
      </c>
      <c r="H19" s="1" t="s">
        <v>19</v>
      </c>
      <c r="I19" s="1" t="s">
        <v>253</v>
      </c>
      <c r="J19" s="1">
        <v>8</v>
      </c>
      <c r="K19" s="1">
        <f>J19*G19</f>
        <v>960</v>
      </c>
      <c r="L19" s="42">
        <v>5</v>
      </c>
      <c r="M19" s="43">
        <v>45778</v>
      </c>
      <c r="N19" s="1" t="e">
        <f>VLOOKUP(B19,MICRO!E:L,8,0)</f>
        <v>#N/A</v>
      </c>
    </row>
    <row r="20" spans="1:14" ht="20.25" x14ac:dyDescent="0.25">
      <c r="A20" s="1">
        <v>1</v>
      </c>
      <c r="B20" s="1">
        <v>1635</v>
      </c>
      <c r="C20" s="1" t="s">
        <v>119</v>
      </c>
      <c r="D20" s="1">
        <v>266023</v>
      </c>
      <c r="E20" s="1"/>
      <c r="F20" s="1" t="s">
        <v>264</v>
      </c>
      <c r="G20" s="1">
        <v>37</v>
      </c>
      <c r="H20" s="1" t="s">
        <v>19</v>
      </c>
      <c r="I20" s="1" t="s">
        <v>244</v>
      </c>
      <c r="J20" s="1">
        <v>8</v>
      </c>
      <c r="K20" s="1">
        <f>J20*G20</f>
        <v>296</v>
      </c>
      <c r="L20" s="42">
        <v>2</v>
      </c>
      <c r="M20" s="43">
        <v>45778</v>
      </c>
      <c r="N20" s="1" t="e">
        <f>VLOOKUP(B20,MICRO!E:L,8,0)</f>
        <v>#N/A</v>
      </c>
    </row>
    <row r="21" spans="1:14" ht="20.25" x14ac:dyDescent="0.25">
      <c r="A21" s="1">
        <v>6</v>
      </c>
      <c r="B21" s="1">
        <v>1687</v>
      </c>
      <c r="C21" s="1" t="s">
        <v>113</v>
      </c>
      <c r="D21" s="1">
        <v>266026</v>
      </c>
      <c r="E21" s="1"/>
      <c r="F21" s="1" t="s">
        <v>265</v>
      </c>
      <c r="G21" s="1">
        <v>116</v>
      </c>
      <c r="H21" s="1" t="s">
        <v>19</v>
      </c>
      <c r="I21" s="1" t="s">
        <v>253</v>
      </c>
      <c r="J21" s="1">
        <v>28.9</v>
      </c>
      <c r="K21" s="1">
        <v>3352.3999999999996</v>
      </c>
      <c r="L21" s="42">
        <v>6</v>
      </c>
      <c r="M21" s="43">
        <v>45791</v>
      </c>
      <c r="N21" s="1" t="e">
        <f>VLOOKUP(B21,MICRO!E:L,8,0)</f>
        <v>#N/A</v>
      </c>
    </row>
    <row r="22" spans="1:14" ht="20.25" x14ac:dyDescent="0.25">
      <c r="A22" s="1">
        <v>9</v>
      </c>
      <c r="B22" s="1">
        <v>1679</v>
      </c>
      <c r="C22" s="1" t="s">
        <v>121</v>
      </c>
      <c r="D22" s="1">
        <v>266029</v>
      </c>
      <c r="E22" s="1"/>
      <c r="F22" s="1" t="s">
        <v>260</v>
      </c>
      <c r="G22" s="1">
        <v>47</v>
      </c>
      <c r="H22" s="1" t="s">
        <v>19</v>
      </c>
      <c r="I22" s="1" t="s">
        <v>253</v>
      </c>
      <c r="J22" s="1">
        <v>12.5</v>
      </c>
      <c r="K22" s="1">
        <v>587.5</v>
      </c>
      <c r="L22" s="42">
        <v>6</v>
      </c>
      <c r="M22" s="43">
        <v>45791</v>
      </c>
      <c r="N22" s="1" t="e">
        <f>VLOOKUP(B22,MICRO!E:L,8,0)</f>
        <v>#N/A</v>
      </c>
    </row>
    <row r="23" spans="1:14" ht="20.25" x14ac:dyDescent="0.25">
      <c r="A23" s="1">
        <v>11</v>
      </c>
      <c r="B23" s="1">
        <v>1680</v>
      </c>
      <c r="C23" s="1" t="s">
        <v>115</v>
      </c>
      <c r="D23" s="1">
        <v>266396</v>
      </c>
      <c r="E23" s="1"/>
      <c r="F23" s="1" t="s">
        <v>266</v>
      </c>
      <c r="G23" s="1">
        <v>151</v>
      </c>
      <c r="H23" s="1" t="s">
        <v>19</v>
      </c>
      <c r="I23" s="1" t="s">
        <v>253</v>
      </c>
      <c r="J23" s="1">
        <v>13.8</v>
      </c>
      <c r="K23" s="1">
        <v>2083.8000000000002</v>
      </c>
      <c r="L23" s="42">
        <v>6</v>
      </c>
      <c r="M23" s="43">
        <v>45791</v>
      </c>
      <c r="N23" s="1" t="e">
        <f>VLOOKUP(B23,MICRO!E:L,8,0)</f>
        <v>#N/A</v>
      </c>
    </row>
    <row r="24" spans="1:14" ht="20.25" x14ac:dyDescent="0.25">
      <c r="A24" s="1">
        <v>16</v>
      </c>
      <c r="B24" s="1">
        <v>1683</v>
      </c>
      <c r="C24" s="1" t="s">
        <v>125</v>
      </c>
      <c r="D24" s="1">
        <v>271275</v>
      </c>
      <c r="E24" s="1"/>
      <c r="F24" s="1" t="s">
        <v>272</v>
      </c>
      <c r="G24" s="1">
        <v>110</v>
      </c>
      <c r="H24" s="1" t="s">
        <v>19</v>
      </c>
      <c r="I24" s="1" t="s">
        <v>253</v>
      </c>
      <c r="J24" s="1">
        <v>8</v>
      </c>
      <c r="K24" s="1">
        <v>880</v>
      </c>
      <c r="L24" s="42">
        <v>6</v>
      </c>
      <c r="M24" s="43">
        <v>45791</v>
      </c>
      <c r="N24" s="1" t="e">
        <f>VLOOKUP(B24,MICRO!E:L,8,0)</f>
        <v>#N/A</v>
      </c>
    </row>
    <row r="25" spans="1:14" ht="20.25" x14ac:dyDescent="0.25">
      <c r="A25" s="1">
        <v>1</v>
      </c>
      <c r="B25" s="1">
        <v>1635</v>
      </c>
      <c r="C25" s="1" t="s">
        <v>119</v>
      </c>
      <c r="D25" s="1">
        <v>266023</v>
      </c>
      <c r="E25" s="1"/>
      <c r="F25" s="1" t="s">
        <v>207</v>
      </c>
      <c r="G25" s="1">
        <v>113</v>
      </c>
      <c r="H25" s="1" t="s">
        <v>19</v>
      </c>
      <c r="I25" s="1" t="s">
        <v>244</v>
      </c>
      <c r="J25" s="1">
        <v>8</v>
      </c>
      <c r="K25" s="1">
        <v>904</v>
      </c>
      <c r="L25" s="42">
        <v>3</v>
      </c>
      <c r="M25" s="43">
        <v>45791</v>
      </c>
      <c r="N25" s="1" t="e">
        <f>VLOOKUP(B25,MICRO!E:L,8,0)</f>
        <v>#N/A</v>
      </c>
    </row>
    <row r="26" spans="1:14" ht="20.25" x14ac:dyDescent="0.25">
      <c r="A26" s="1">
        <v>2</v>
      </c>
      <c r="B26" s="1">
        <v>1636</v>
      </c>
      <c r="C26" s="1" t="s">
        <v>113</v>
      </c>
      <c r="D26" s="1">
        <v>266026</v>
      </c>
      <c r="E26" s="1"/>
      <c r="F26" s="1" t="s">
        <v>210</v>
      </c>
      <c r="G26" s="1">
        <v>30</v>
      </c>
      <c r="H26" s="1" t="s">
        <v>19</v>
      </c>
      <c r="I26" s="1" t="s">
        <v>244</v>
      </c>
      <c r="J26" s="1">
        <v>28.9</v>
      </c>
      <c r="K26" s="1">
        <v>867</v>
      </c>
      <c r="L26" s="42">
        <v>3</v>
      </c>
      <c r="M26" s="43">
        <v>45791</v>
      </c>
      <c r="N26" s="1" t="e">
        <f>VLOOKUP(B26,MICRO!E:L,8,0)</f>
        <v>#N/A</v>
      </c>
    </row>
    <row r="27" spans="1:14" ht="20.25" x14ac:dyDescent="0.25">
      <c r="A27" s="1">
        <v>3</v>
      </c>
      <c r="B27" s="1">
        <v>1637</v>
      </c>
      <c r="C27" s="1"/>
      <c r="D27" s="1">
        <v>279890</v>
      </c>
      <c r="E27" s="1"/>
      <c r="F27" s="1" t="s">
        <v>267</v>
      </c>
      <c r="G27" s="1">
        <v>4</v>
      </c>
      <c r="H27" s="1" t="s">
        <v>19</v>
      </c>
      <c r="I27" s="1" t="s">
        <v>244</v>
      </c>
      <c r="J27" s="1">
        <v>0.1</v>
      </c>
      <c r="K27" s="1">
        <v>0.4</v>
      </c>
      <c r="L27" s="42">
        <v>3</v>
      </c>
      <c r="M27" s="43">
        <v>45791</v>
      </c>
      <c r="N27" s="1" t="e">
        <f>VLOOKUP(B27,MICRO!E:L,8,0)</f>
        <v>#N/A</v>
      </c>
    </row>
    <row r="28" spans="1:14" ht="20.25" x14ac:dyDescent="0.25">
      <c r="A28" s="1" t="s">
        <v>268</v>
      </c>
      <c r="B28" s="1">
        <v>1639</v>
      </c>
      <c r="C28" s="1"/>
      <c r="D28" s="1">
        <v>279895</v>
      </c>
      <c r="E28" s="1"/>
      <c r="F28" s="1" t="s">
        <v>209</v>
      </c>
      <c r="G28" s="1">
        <v>2</v>
      </c>
      <c r="H28" s="1" t="s">
        <v>19</v>
      </c>
      <c r="I28" s="1" t="s">
        <v>244</v>
      </c>
      <c r="J28" s="1">
        <v>2.1</v>
      </c>
      <c r="K28" s="1">
        <v>4.2</v>
      </c>
      <c r="L28" s="42">
        <v>3</v>
      </c>
      <c r="M28" s="43">
        <v>45791</v>
      </c>
      <c r="N28" s="1" t="e">
        <f>VLOOKUP(B28,MICRO!E:L,8,0)</f>
        <v>#N/A</v>
      </c>
    </row>
    <row r="29" spans="1:14" ht="20.25" x14ac:dyDescent="0.25">
      <c r="A29" s="1" t="s">
        <v>269</v>
      </c>
      <c r="B29" s="1">
        <v>1640</v>
      </c>
      <c r="C29" s="1"/>
      <c r="D29" s="1">
        <v>279895</v>
      </c>
      <c r="E29" s="1"/>
      <c r="F29" s="1" t="s">
        <v>211</v>
      </c>
      <c r="G29" s="1">
        <v>2</v>
      </c>
      <c r="H29" s="1" t="s">
        <v>19</v>
      </c>
      <c r="I29" s="1" t="s">
        <v>244</v>
      </c>
      <c r="J29" s="1">
        <v>0.05</v>
      </c>
      <c r="K29" s="1">
        <v>0.1</v>
      </c>
      <c r="L29" s="42">
        <v>3</v>
      </c>
      <c r="M29" s="43">
        <v>45791</v>
      </c>
      <c r="N29" s="1" t="e">
        <f>VLOOKUP(B29,MICRO!E:L,8,0)</f>
        <v>#N/A</v>
      </c>
    </row>
    <row r="30" spans="1:14" ht="20.25" x14ac:dyDescent="0.25">
      <c r="A30" s="1">
        <v>5</v>
      </c>
      <c r="B30" s="1">
        <v>1641</v>
      </c>
      <c r="C30" s="1"/>
      <c r="D30" s="1">
        <v>279897</v>
      </c>
      <c r="E30" s="1"/>
      <c r="F30" s="1" t="s">
        <v>270</v>
      </c>
      <c r="G30" s="1">
        <v>2</v>
      </c>
      <c r="H30" s="1" t="s">
        <v>19</v>
      </c>
      <c r="I30" s="1" t="s">
        <v>244</v>
      </c>
      <c r="J30" s="1">
        <v>0.08</v>
      </c>
      <c r="K30" s="1">
        <v>0.16</v>
      </c>
      <c r="L30" s="42">
        <v>3</v>
      </c>
      <c r="M30" s="43">
        <v>45791</v>
      </c>
      <c r="N30" s="1" t="e">
        <f>VLOOKUP(B30,MICRO!E:L,8,0)</f>
        <v>#N/A</v>
      </c>
    </row>
    <row r="31" spans="1:14" ht="20.25" x14ac:dyDescent="0.25">
      <c r="A31" s="1">
        <v>6</v>
      </c>
      <c r="B31" s="1">
        <v>1642</v>
      </c>
      <c r="C31" s="1"/>
      <c r="D31" s="1">
        <v>279900</v>
      </c>
      <c r="E31" s="1"/>
      <c r="F31" s="1" t="s">
        <v>271</v>
      </c>
      <c r="G31" s="1">
        <v>4</v>
      </c>
      <c r="H31" s="1" t="s">
        <v>19</v>
      </c>
      <c r="I31" s="1" t="s">
        <v>244</v>
      </c>
      <c r="J31" s="1">
        <v>0.08</v>
      </c>
      <c r="K31" s="1">
        <v>0.32</v>
      </c>
      <c r="L31" s="42">
        <v>3</v>
      </c>
      <c r="M31" s="43">
        <v>45791</v>
      </c>
      <c r="N31" s="1" t="e">
        <f>VLOOKUP(B31,MICRO!E:L,8,0)</f>
        <v>#N/A</v>
      </c>
    </row>
    <row r="32" spans="1:14" ht="20.25" x14ac:dyDescent="0.25">
      <c r="A32" s="1">
        <v>1</v>
      </c>
      <c r="B32" s="1">
        <v>1584</v>
      </c>
      <c r="C32" s="1" t="s">
        <v>197</v>
      </c>
      <c r="D32" s="1"/>
      <c r="E32" s="1" t="s">
        <v>2</v>
      </c>
      <c r="F32" s="1" t="s">
        <v>273</v>
      </c>
      <c r="G32" s="1">
        <v>1</v>
      </c>
      <c r="H32" s="1" t="s">
        <v>19</v>
      </c>
      <c r="I32" s="1" t="s">
        <v>274</v>
      </c>
      <c r="J32" s="1">
        <v>744.9</v>
      </c>
      <c r="K32" s="1">
        <f t="shared" ref="K32:K37" si="0">J32*G32</f>
        <v>744.9</v>
      </c>
      <c r="L32" s="42">
        <v>1</v>
      </c>
      <c r="M32" s="43">
        <v>45762</v>
      </c>
      <c r="N32" s="1" t="e">
        <f>VLOOKUP(B32,MICRO!E:L,8,0)</f>
        <v>#N/A</v>
      </c>
    </row>
    <row r="33" spans="1:14" ht="20.25" x14ac:dyDescent="0.25">
      <c r="A33" s="1">
        <v>2</v>
      </c>
      <c r="B33" s="1">
        <v>1585</v>
      </c>
      <c r="C33" s="1" t="s">
        <v>198</v>
      </c>
      <c r="D33" s="1"/>
      <c r="E33" s="1" t="s">
        <v>2</v>
      </c>
      <c r="F33" s="1" t="s">
        <v>273</v>
      </c>
      <c r="G33" s="1">
        <v>1</v>
      </c>
      <c r="H33" s="1" t="s">
        <v>19</v>
      </c>
      <c r="I33" s="1" t="s">
        <v>274</v>
      </c>
      <c r="J33" s="1">
        <v>785.1</v>
      </c>
      <c r="K33" s="1">
        <f t="shared" si="0"/>
        <v>785.1</v>
      </c>
      <c r="L33" s="42">
        <v>1</v>
      </c>
      <c r="M33" s="43">
        <v>45762</v>
      </c>
      <c r="N33" s="1" t="e">
        <f>VLOOKUP(B33,MICRO!E:L,8,0)</f>
        <v>#N/A</v>
      </c>
    </row>
    <row r="34" spans="1:14" ht="20.25" x14ac:dyDescent="0.25">
      <c r="A34" s="1">
        <v>3</v>
      </c>
      <c r="B34" s="1">
        <v>1586</v>
      </c>
      <c r="C34" s="1" t="s">
        <v>199</v>
      </c>
      <c r="D34" s="1"/>
      <c r="E34" s="1" t="s">
        <v>2</v>
      </c>
      <c r="F34" s="1" t="s">
        <v>273</v>
      </c>
      <c r="G34" s="1">
        <v>1</v>
      </c>
      <c r="H34" s="1" t="s">
        <v>19</v>
      </c>
      <c r="I34" s="1" t="s">
        <v>274</v>
      </c>
      <c r="J34" s="1">
        <v>805.3</v>
      </c>
      <c r="K34" s="1">
        <f t="shared" si="0"/>
        <v>805.3</v>
      </c>
      <c r="L34" s="42">
        <v>1</v>
      </c>
      <c r="M34" s="43">
        <v>45762</v>
      </c>
      <c r="N34" s="1" t="e">
        <f>VLOOKUP(B34,MICRO!E:L,8,0)</f>
        <v>#N/A</v>
      </c>
    </row>
    <row r="35" spans="1:14" ht="20.25" x14ac:dyDescent="0.25">
      <c r="A35" s="1">
        <v>4</v>
      </c>
      <c r="B35" s="1">
        <v>1583</v>
      </c>
      <c r="C35" s="1" t="s">
        <v>196</v>
      </c>
      <c r="D35" s="1"/>
      <c r="E35" s="1" t="s">
        <v>2</v>
      </c>
      <c r="F35" s="1" t="s">
        <v>275</v>
      </c>
      <c r="G35" s="1">
        <v>1</v>
      </c>
      <c r="H35" s="1" t="s">
        <v>19</v>
      </c>
      <c r="I35" s="1" t="s">
        <v>274</v>
      </c>
      <c r="J35" s="1">
        <v>1882.2</v>
      </c>
      <c r="K35" s="1">
        <f t="shared" si="0"/>
        <v>1882.2</v>
      </c>
      <c r="L35" s="42">
        <v>1</v>
      </c>
      <c r="M35" s="43">
        <v>45762</v>
      </c>
      <c r="N35" s="1" t="e">
        <f>VLOOKUP(B35,MICRO!E:L,8,0)</f>
        <v>#N/A</v>
      </c>
    </row>
    <row r="36" spans="1:14" ht="20.25" x14ac:dyDescent="0.25">
      <c r="A36" s="1">
        <v>5</v>
      </c>
      <c r="B36" s="1">
        <v>1581</v>
      </c>
      <c r="C36" s="1" t="s">
        <v>193</v>
      </c>
      <c r="D36" s="1"/>
      <c r="E36" s="1" t="s">
        <v>2</v>
      </c>
      <c r="F36" s="1" t="s">
        <v>276</v>
      </c>
      <c r="G36" s="1">
        <v>1</v>
      </c>
      <c r="H36" s="1" t="s">
        <v>19</v>
      </c>
      <c r="I36" s="1" t="s">
        <v>274</v>
      </c>
      <c r="J36" s="1">
        <v>639</v>
      </c>
      <c r="K36" s="1">
        <f t="shared" si="0"/>
        <v>639</v>
      </c>
      <c r="L36" s="42">
        <v>1</v>
      </c>
      <c r="M36" s="43">
        <v>45762</v>
      </c>
      <c r="N36" s="1" t="e">
        <f>VLOOKUP(B36,MICRO!E:L,8,0)</f>
        <v>#N/A</v>
      </c>
    </row>
    <row r="37" spans="1:14" ht="20.25" x14ac:dyDescent="0.25">
      <c r="A37" s="1">
        <v>6</v>
      </c>
      <c r="B37" s="1">
        <v>1582</v>
      </c>
      <c r="C37" s="1" t="s">
        <v>195</v>
      </c>
      <c r="D37" s="1"/>
      <c r="E37" s="1" t="s">
        <v>2</v>
      </c>
      <c r="F37" s="1" t="s">
        <v>277</v>
      </c>
      <c r="G37" s="1">
        <v>1</v>
      </c>
      <c r="H37" s="1" t="s">
        <v>19</v>
      </c>
      <c r="I37" s="1" t="s">
        <v>274</v>
      </c>
      <c r="J37" s="1">
        <v>810.5</v>
      </c>
      <c r="K37" s="1">
        <f t="shared" si="0"/>
        <v>810.5</v>
      </c>
      <c r="L37" s="42">
        <v>1</v>
      </c>
      <c r="M37" s="43">
        <v>45762</v>
      </c>
      <c r="N37" s="1" t="e">
        <f>VLOOKUP(B37,MICRO!E:L,8,0)</f>
        <v>#N/A</v>
      </c>
    </row>
    <row r="38" spans="1:14" ht="20.25" x14ac:dyDescent="0.25">
      <c r="A38" s="1">
        <v>1</v>
      </c>
      <c r="B38" s="1">
        <v>1587</v>
      </c>
      <c r="C38" s="1" t="s">
        <v>200</v>
      </c>
      <c r="D38" s="1" t="s">
        <v>278</v>
      </c>
      <c r="E38" s="1"/>
      <c r="F38" s="1" t="s">
        <v>279</v>
      </c>
      <c r="G38" s="1">
        <v>40</v>
      </c>
      <c r="H38" s="1" t="s">
        <v>19</v>
      </c>
      <c r="I38" s="1" t="s">
        <v>280</v>
      </c>
      <c r="J38" s="1">
        <v>12</v>
      </c>
      <c r="K38" s="1">
        <f>G38*J38</f>
        <v>480</v>
      </c>
      <c r="L38" s="42">
        <v>1</v>
      </c>
      <c r="M38" s="43">
        <v>45728</v>
      </c>
      <c r="N38" s="1" t="e">
        <f>VLOOKUP(B38,MICRO!E:L,8,0)</f>
        <v>#N/A</v>
      </c>
    </row>
    <row r="39" spans="1:14" ht="20.25" x14ac:dyDescent="0.25">
      <c r="A39" s="1">
        <v>1</v>
      </c>
      <c r="B39" s="1">
        <v>1690</v>
      </c>
      <c r="C39" s="1" t="s">
        <v>218</v>
      </c>
      <c r="D39" s="1">
        <v>266923</v>
      </c>
      <c r="E39" s="1"/>
      <c r="F39" s="1" t="s">
        <v>219</v>
      </c>
      <c r="G39" s="1">
        <v>2</v>
      </c>
      <c r="H39" s="1" t="s">
        <v>19</v>
      </c>
      <c r="I39" s="1" t="s">
        <v>294</v>
      </c>
      <c r="J39" s="1">
        <v>180.6</v>
      </c>
      <c r="K39" s="1">
        <v>361.2</v>
      </c>
      <c r="L39" s="42">
        <v>1</v>
      </c>
      <c r="M39" s="43">
        <v>45763</v>
      </c>
      <c r="N39" s="1" t="e">
        <f>VLOOKUP(B39,MICRO!E:L,8,0)</f>
        <v>#N/A</v>
      </c>
    </row>
    <row r="40" spans="1:14" ht="20.25" x14ac:dyDescent="0.25">
      <c r="A40" s="1">
        <v>2</v>
      </c>
      <c r="B40" s="1">
        <v>1692</v>
      </c>
      <c r="C40" s="1" t="s">
        <v>224</v>
      </c>
      <c r="D40" s="1">
        <v>266939</v>
      </c>
      <c r="E40" s="1"/>
      <c r="F40" s="1" t="s">
        <v>225</v>
      </c>
      <c r="G40" s="1">
        <v>5</v>
      </c>
      <c r="H40" s="1" t="s">
        <v>19</v>
      </c>
      <c r="I40" s="1" t="s">
        <v>294</v>
      </c>
      <c r="J40" s="1">
        <v>170.6</v>
      </c>
      <c r="K40" s="1">
        <v>853</v>
      </c>
      <c r="L40" s="42">
        <v>1</v>
      </c>
      <c r="M40" s="43">
        <v>45763</v>
      </c>
      <c r="N40" s="1" t="e">
        <f>VLOOKUP(B40,MICRO!E:L,8,0)</f>
        <v>#N/A</v>
      </c>
    </row>
    <row r="41" spans="1:14" ht="20.25" x14ac:dyDescent="0.25">
      <c r="A41" s="1">
        <v>1</v>
      </c>
      <c r="B41" s="1">
        <v>1691</v>
      </c>
      <c r="C41" s="1" t="s">
        <v>221</v>
      </c>
      <c r="D41" s="1">
        <v>266945</v>
      </c>
      <c r="E41" s="1"/>
      <c r="F41" s="1" t="s">
        <v>222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2">
        <v>2</v>
      </c>
      <c r="M41" s="43">
        <v>45778</v>
      </c>
      <c r="N41" s="1" t="e">
        <f>VLOOKUP(B41,MICRO!E:L,8,0)</f>
        <v>#N/A</v>
      </c>
    </row>
    <row r="42" spans="1:14" ht="20.25" x14ac:dyDescent="0.25">
      <c r="A42" s="1">
        <v>1</v>
      </c>
      <c r="B42" s="1">
        <v>1674</v>
      </c>
      <c r="C42" s="1" t="s">
        <v>80</v>
      </c>
      <c r="D42" s="1"/>
      <c r="E42" s="1"/>
      <c r="F42" s="1" t="s">
        <v>295</v>
      </c>
      <c r="G42" s="1">
        <v>4</v>
      </c>
      <c r="H42" s="1" t="s">
        <v>19</v>
      </c>
      <c r="I42" s="1" t="s">
        <v>296</v>
      </c>
      <c r="J42" s="1">
        <v>12.5</v>
      </c>
      <c r="K42" s="1">
        <v>50</v>
      </c>
      <c r="L42" s="42">
        <v>1</v>
      </c>
      <c r="M42" s="43">
        <v>45804</v>
      </c>
      <c r="N42" s="1" t="e">
        <f>VLOOKUP(B42,MICRO!E:L,8,0)</f>
        <v>#N/A</v>
      </c>
    </row>
    <row r="43" spans="1:14" ht="20.25" x14ac:dyDescent="0.25">
      <c r="A43" s="1">
        <v>2</v>
      </c>
      <c r="B43" s="1">
        <v>1675</v>
      </c>
      <c r="C43" s="1" t="s">
        <v>79</v>
      </c>
      <c r="D43" s="1"/>
      <c r="E43" s="1"/>
      <c r="F43" s="1" t="s">
        <v>297</v>
      </c>
      <c r="G43" s="1">
        <v>4</v>
      </c>
      <c r="H43" s="1" t="s">
        <v>19</v>
      </c>
      <c r="I43" s="1" t="s">
        <v>296</v>
      </c>
      <c r="J43" s="1">
        <v>4.5</v>
      </c>
      <c r="K43" s="1">
        <v>18</v>
      </c>
      <c r="L43" s="42">
        <v>1</v>
      </c>
      <c r="M43" s="43">
        <v>45804</v>
      </c>
      <c r="N43" s="1" t="e">
        <f>VLOOKUP(B43,MICRO!E:L,8,0)</f>
        <v>#N/A</v>
      </c>
    </row>
    <row r="44" spans="1:14" ht="20.25" x14ac:dyDescent="0.25">
      <c r="A44" s="1">
        <v>3</v>
      </c>
      <c r="B44" s="1">
        <v>1676</v>
      </c>
      <c r="C44" s="1" t="s">
        <v>137</v>
      </c>
      <c r="D44" s="1"/>
      <c r="E44" s="1"/>
      <c r="F44" s="1" t="s">
        <v>215</v>
      </c>
      <c r="G44" s="1">
        <v>5</v>
      </c>
      <c r="H44" s="1" t="s">
        <v>19</v>
      </c>
      <c r="I44" s="1" t="s">
        <v>296</v>
      </c>
      <c r="J44" s="1">
        <v>2.7</v>
      </c>
      <c r="K44" s="1">
        <v>13.5</v>
      </c>
      <c r="L44" s="42">
        <v>1</v>
      </c>
      <c r="M44" s="43">
        <v>45804</v>
      </c>
      <c r="N44" s="1" t="e">
        <f>VLOOKUP(B44,MICRO!E:L,8,0)</f>
        <v>#N/A</v>
      </c>
    </row>
    <row r="45" spans="1:14" ht="20.25" x14ac:dyDescent="0.25">
      <c r="A45" s="1">
        <v>1</v>
      </c>
      <c r="B45" s="1">
        <v>1684</v>
      </c>
      <c r="C45" s="1" t="s">
        <v>118</v>
      </c>
      <c r="D45" s="1">
        <v>266019</v>
      </c>
      <c r="E45" s="1"/>
      <c r="F45" s="1" t="s">
        <v>298</v>
      </c>
      <c r="G45" s="1">
        <v>124</v>
      </c>
      <c r="H45" s="1" t="s">
        <v>19</v>
      </c>
      <c r="I45" s="1" t="s">
        <v>253</v>
      </c>
      <c r="J45" s="1">
        <v>6</v>
      </c>
      <c r="K45" s="1">
        <v>744</v>
      </c>
      <c r="L45" s="42">
        <v>7</v>
      </c>
      <c r="M45" s="43">
        <v>45793</v>
      </c>
      <c r="N45" s="1" t="e">
        <f>VLOOKUP(B45,MICRO!E:L,8,0)</f>
        <v>#N/A</v>
      </c>
    </row>
    <row r="46" spans="1:14" ht="20.25" x14ac:dyDescent="0.25">
      <c r="A46" s="1">
        <v>4</v>
      </c>
      <c r="B46" s="1">
        <v>1688</v>
      </c>
      <c r="C46" s="1" t="s">
        <v>116</v>
      </c>
      <c r="D46" s="1">
        <v>266024</v>
      </c>
      <c r="E46" s="1"/>
      <c r="F46" s="1" t="s">
        <v>299</v>
      </c>
      <c r="G46" s="1">
        <v>120</v>
      </c>
      <c r="H46" s="1" t="s">
        <v>19</v>
      </c>
      <c r="I46" s="1" t="s">
        <v>253</v>
      </c>
      <c r="J46" s="1">
        <v>19.8</v>
      </c>
      <c r="K46" s="1">
        <v>2376</v>
      </c>
      <c r="L46" s="42">
        <v>7</v>
      </c>
      <c r="M46" s="43">
        <v>45793</v>
      </c>
      <c r="N46" s="1" t="e">
        <f>VLOOKUP(B46,MICRO!E:L,8,0)</f>
        <v>#N/A</v>
      </c>
    </row>
    <row r="47" spans="1:14" ht="20.25" x14ac:dyDescent="0.25">
      <c r="A47" s="1">
        <v>6</v>
      </c>
      <c r="B47" s="1">
        <v>1687</v>
      </c>
      <c r="C47" s="1" t="s">
        <v>113</v>
      </c>
      <c r="D47" s="1">
        <v>266026</v>
      </c>
      <c r="E47" s="1"/>
      <c r="F47" s="1" t="s">
        <v>265</v>
      </c>
      <c r="G47" s="1">
        <v>4</v>
      </c>
      <c r="H47" s="1" t="s">
        <v>19</v>
      </c>
      <c r="I47" s="1" t="s">
        <v>253</v>
      </c>
      <c r="J47" s="1">
        <v>28.9</v>
      </c>
      <c r="K47" s="1">
        <v>115.6</v>
      </c>
      <c r="L47" s="42">
        <v>7</v>
      </c>
      <c r="M47" s="43">
        <v>45793</v>
      </c>
      <c r="N47" s="1" t="e">
        <f>VLOOKUP(B47,MICRO!E:L,8,0)</f>
        <v>#N/A</v>
      </c>
    </row>
    <row r="48" spans="1:14" ht="20.25" x14ac:dyDescent="0.25">
      <c r="A48" s="1">
        <v>8</v>
      </c>
      <c r="B48" s="1">
        <v>1687</v>
      </c>
      <c r="C48" s="1" t="s">
        <v>113</v>
      </c>
      <c r="D48" s="1">
        <v>266028</v>
      </c>
      <c r="E48" s="1"/>
      <c r="F48" s="1" t="s">
        <v>300</v>
      </c>
      <c r="G48" s="1">
        <v>39</v>
      </c>
      <c r="H48" s="1" t="s">
        <v>19</v>
      </c>
      <c r="I48" s="1" t="s">
        <v>253</v>
      </c>
      <c r="J48" s="1">
        <v>28.9</v>
      </c>
      <c r="K48" s="1">
        <v>1127.0999999999999</v>
      </c>
      <c r="L48" s="42">
        <v>7</v>
      </c>
      <c r="M48" s="43">
        <v>45793</v>
      </c>
      <c r="N48" s="1" t="e">
        <f>VLOOKUP(B48,MICRO!E:L,8,0)</f>
        <v>#N/A</v>
      </c>
    </row>
    <row r="49" spans="1:14" ht="20.25" x14ac:dyDescent="0.25">
      <c r="A49" s="1">
        <v>11</v>
      </c>
      <c r="B49" s="1">
        <v>1680</v>
      </c>
      <c r="C49" s="1" t="s">
        <v>115</v>
      </c>
      <c r="D49" s="1">
        <v>266396</v>
      </c>
      <c r="E49" s="1"/>
      <c r="F49" s="1" t="s">
        <v>266</v>
      </c>
      <c r="G49" s="1">
        <v>38</v>
      </c>
      <c r="H49" s="1" t="s">
        <v>19</v>
      </c>
      <c r="I49" s="1" t="s">
        <v>253</v>
      </c>
      <c r="J49" s="1">
        <v>13.8</v>
      </c>
      <c r="K49" s="1">
        <v>524.4</v>
      </c>
      <c r="L49" s="42">
        <v>7</v>
      </c>
      <c r="M49" s="43">
        <v>45793</v>
      </c>
      <c r="N49" s="1" t="e">
        <f>VLOOKUP(B49,MICRO!E:L,8,0)</f>
        <v>#N/A</v>
      </c>
    </row>
    <row r="50" spans="1:14" ht="20.25" x14ac:dyDescent="0.25">
      <c r="A50" s="1">
        <v>18</v>
      </c>
      <c r="B50" s="1">
        <v>1681</v>
      </c>
      <c r="C50" s="1" t="s">
        <v>103</v>
      </c>
      <c r="D50" s="1">
        <v>271277</v>
      </c>
      <c r="E50" s="1"/>
      <c r="F50" s="1" t="s">
        <v>301</v>
      </c>
      <c r="G50" s="1">
        <v>150</v>
      </c>
      <c r="H50" s="1" t="s">
        <v>19</v>
      </c>
      <c r="I50" s="1" t="s">
        <v>253</v>
      </c>
      <c r="J50" s="1">
        <v>2.5</v>
      </c>
      <c r="K50" s="1">
        <v>375</v>
      </c>
      <c r="L50" s="42">
        <v>7</v>
      </c>
      <c r="M50" s="43">
        <v>45793</v>
      </c>
      <c r="N50" s="1" t="e">
        <f>VLOOKUP(B50,MICRO!E:L,8,0)</f>
        <v>#N/A</v>
      </c>
    </row>
    <row r="51" spans="1:14" ht="20.25" x14ac:dyDescent="0.25">
      <c r="A51" s="1">
        <v>1</v>
      </c>
      <c r="B51" s="1">
        <v>1702</v>
      </c>
      <c r="C51" s="1" t="s">
        <v>238</v>
      </c>
      <c r="D51" s="1"/>
      <c r="E51" s="1" t="s">
        <v>2</v>
      </c>
      <c r="F51" s="1" t="s">
        <v>239</v>
      </c>
      <c r="G51" s="1">
        <v>18</v>
      </c>
      <c r="H51" s="1" t="s">
        <v>19</v>
      </c>
      <c r="I51" s="1" t="s">
        <v>302</v>
      </c>
      <c r="J51" s="1">
        <v>15.7</v>
      </c>
      <c r="K51" s="1">
        <v>282.59999999999997</v>
      </c>
      <c r="L51" s="42">
        <v>1</v>
      </c>
      <c r="M51" s="43">
        <v>45789</v>
      </c>
      <c r="N51" s="1" t="e">
        <f>VLOOKUP(B51,MICRO!E:L,8,0)</f>
        <v>#N/A</v>
      </c>
    </row>
    <row r="52" spans="1:14" ht="20.25" x14ac:dyDescent="0.25">
      <c r="A52" s="1">
        <v>1</v>
      </c>
      <c r="B52" s="1">
        <v>1700</v>
      </c>
      <c r="C52" s="1" t="s">
        <v>149</v>
      </c>
      <c r="D52" s="1"/>
      <c r="E52" s="1"/>
      <c r="F52" s="1" t="s">
        <v>150</v>
      </c>
      <c r="G52" s="1">
        <v>3</v>
      </c>
      <c r="H52" s="1" t="s">
        <v>19</v>
      </c>
      <c r="I52" s="1" t="s">
        <v>303</v>
      </c>
      <c r="J52" s="1">
        <v>35.200000000000003</v>
      </c>
      <c r="K52" s="1">
        <v>105.6</v>
      </c>
      <c r="L52" s="42">
        <v>1</v>
      </c>
      <c r="M52" s="43">
        <v>45789</v>
      </c>
      <c r="N52" s="1" t="e">
        <f>VLOOKUP(B52,MICRO!E:L,8,0)</f>
        <v>#N/A</v>
      </c>
    </row>
    <row r="53" spans="1:14" ht="20.25" x14ac:dyDescent="0.25">
      <c r="A53" s="1">
        <v>4</v>
      </c>
      <c r="B53" s="1">
        <v>1688</v>
      </c>
      <c r="C53" s="1" t="s">
        <v>116</v>
      </c>
      <c r="D53" s="1">
        <v>266024</v>
      </c>
      <c r="E53" s="1"/>
      <c r="F53" s="1" t="s">
        <v>299</v>
      </c>
      <c r="G53" s="1">
        <v>32</v>
      </c>
      <c r="H53" s="1" t="s">
        <v>19</v>
      </c>
      <c r="I53" s="1" t="s">
        <v>253</v>
      </c>
      <c r="J53" s="1">
        <v>19.8</v>
      </c>
      <c r="K53" s="1">
        <v>633.6</v>
      </c>
      <c r="L53" s="42">
        <v>8</v>
      </c>
      <c r="M53" s="43">
        <v>45805</v>
      </c>
      <c r="N53" s="1" t="e">
        <f>VLOOKUP(B53,MICRO!E:L,8,0)</f>
        <v>#N/A</v>
      </c>
    </row>
    <row r="54" spans="1:14" ht="20.25" x14ac:dyDescent="0.25">
      <c r="A54" s="1">
        <v>8</v>
      </c>
      <c r="B54" s="1">
        <v>1687</v>
      </c>
      <c r="C54" s="1" t="s">
        <v>113</v>
      </c>
      <c r="D54" s="1">
        <v>266028</v>
      </c>
      <c r="E54" s="1"/>
      <c r="F54" s="1" t="s">
        <v>300</v>
      </c>
      <c r="G54" s="1">
        <v>62</v>
      </c>
      <c r="H54" s="1" t="s">
        <v>19</v>
      </c>
      <c r="I54" s="1" t="s">
        <v>253</v>
      </c>
      <c r="J54" s="1">
        <v>28.9</v>
      </c>
      <c r="K54" s="1">
        <v>1791.8</v>
      </c>
      <c r="L54" s="42">
        <v>8</v>
      </c>
      <c r="M54" s="43">
        <v>45805</v>
      </c>
      <c r="N54" s="1" t="e">
        <f>VLOOKUP(B54,MICRO!E:L,8,0)</f>
        <v>#N/A</v>
      </c>
    </row>
    <row r="55" spans="1:14" ht="20.25" x14ac:dyDescent="0.25">
      <c r="A55" s="1">
        <v>11</v>
      </c>
      <c r="B55" s="1">
        <v>1680</v>
      </c>
      <c r="C55" s="1" t="s">
        <v>115</v>
      </c>
      <c r="D55" s="1">
        <v>266396</v>
      </c>
      <c r="E55" s="1"/>
      <c r="F55" s="1" t="s">
        <v>266</v>
      </c>
      <c r="G55" s="1">
        <v>1</v>
      </c>
      <c r="H55" s="1" t="s">
        <v>19</v>
      </c>
      <c r="I55" s="1" t="s">
        <v>253</v>
      </c>
      <c r="J55" s="1">
        <v>13.8</v>
      </c>
      <c r="K55" s="1">
        <v>13.8</v>
      </c>
      <c r="L55" s="42">
        <v>8</v>
      </c>
      <c r="M55" s="43">
        <v>45805</v>
      </c>
      <c r="N55" s="1" t="e">
        <f>VLOOKUP(B55,MICRO!E:L,8,0)</f>
        <v>#N/A</v>
      </c>
    </row>
    <row r="56" spans="1:14" ht="20.25" x14ac:dyDescent="0.25">
      <c r="A56" s="1">
        <v>12</v>
      </c>
      <c r="B56" s="1">
        <v>1680</v>
      </c>
      <c r="C56" s="1" t="s">
        <v>115</v>
      </c>
      <c r="D56" s="1">
        <v>266399</v>
      </c>
      <c r="E56" s="1"/>
      <c r="F56" s="1" t="s">
        <v>335</v>
      </c>
      <c r="G56" s="1">
        <v>72</v>
      </c>
      <c r="H56" s="1" t="s">
        <v>19</v>
      </c>
      <c r="I56" s="1" t="s">
        <v>253</v>
      </c>
      <c r="J56" s="1">
        <v>13.8</v>
      </c>
      <c r="K56" s="1">
        <v>993.6</v>
      </c>
      <c r="L56" s="42">
        <v>8</v>
      </c>
      <c r="M56" s="43">
        <v>45805</v>
      </c>
      <c r="N56" s="1" t="e">
        <f>VLOOKUP(B56,MICRO!E:L,8,0)</f>
        <v>#N/A</v>
      </c>
    </row>
    <row r="57" spans="1:14" ht="20.25" x14ac:dyDescent="0.25">
      <c r="A57" s="1">
        <v>1</v>
      </c>
      <c r="B57" s="1">
        <v>1693</v>
      </c>
      <c r="C57" s="1" t="s">
        <v>226</v>
      </c>
      <c r="D57" s="1" t="s">
        <v>226</v>
      </c>
      <c r="E57" s="1" t="s">
        <v>2</v>
      </c>
      <c r="F57" s="1" t="s">
        <v>227</v>
      </c>
      <c r="G57" s="1">
        <v>56</v>
      </c>
      <c r="H57" s="1" t="s">
        <v>19</v>
      </c>
      <c r="I57" s="1" t="s">
        <v>345</v>
      </c>
      <c r="J57" s="1">
        <v>97.6</v>
      </c>
      <c r="K57" s="1">
        <f>J57*G57</f>
        <v>5465.5999999999995</v>
      </c>
      <c r="L57" s="42">
        <v>1</v>
      </c>
      <c r="M57" s="43">
        <v>45812</v>
      </c>
      <c r="N57" s="1" t="e">
        <f>VLOOKUP(B57,MICRO!E:L,8,0)</f>
        <v>#N/A</v>
      </c>
    </row>
    <row r="58" spans="1:14" ht="20.25" x14ac:dyDescent="0.25">
      <c r="A58" s="1">
        <v>1</v>
      </c>
      <c r="B58" s="1">
        <v>1706</v>
      </c>
      <c r="C58" s="1" t="s">
        <v>284</v>
      </c>
      <c r="D58" s="1" t="s">
        <v>346</v>
      </c>
      <c r="E58" s="1"/>
      <c r="F58" s="1" t="s">
        <v>347</v>
      </c>
      <c r="G58" s="1">
        <v>2</v>
      </c>
      <c r="H58" s="1" t="s">
        <v>19</v>
      </c>
      <c r="I58" s="1" t="s">
        <v>348</v>
      </c>
      <c r="J58" s="1">
        <v>2723.51</v>
      </c>
      <c r="K58" s="1">
        <v>5447.02</v>
      </c>
      <c r="L58" s="42">
        <v>1</v>
      </c>
      <c r="M58" s="43">
        <v>45810</v>
      </c>
      <c r="N58" s="1" t="e">
        <f>VLOOKUP(B58,MICRO!E:L,8,0)</f>
        <v>#N/A</v>
      </c>
    </row>
    <row r="59" spans="1:14" ht="20.25" x14ac:dyDescent="0.25">
      <c r="A59" s="1">
        <v>1</v>
      </c>
      <c r="B59" s="1">
        <v>1719</v>
      </c>
      <c r="C59" s="1" t="s">
        <v>349</v>
      </c>
      <c r="D59" s="1" t="s">
        <v>350</v>
      </c>
      <c r="E59" s="1" t="s">
        <v>43</v>
      </c>
      <c r="F59" s="1" t="s">
        <v>351</v>
      </c>
      <c r="G59" s="1">
        <v>25</v>
      </c>
      <c r="H59" s="1" t="s">
        <v>19</v>
      </c>
      <c r="I59" s="1" t="s">
        <v>352</v>
      </c>
      <c r="J59" s="1">
        <v>7.5</v>
      </c>
      <c r="K59" s="1">
        <v>187.5</v>
      </c>
      <c r="L59" s="42">
        <v>1</v>
      </c>
      <c r="M59" s="43">
        <v>45812</v>
      </c>
      <c r="N59" s="1" t="e">
        <f>VLOOKUP(B59,MICRO!E:L,8,0)</f>
        <v>#N/A</v>
      </c>
    </row>
    <row r="60" spans="1:14" ht="20.25" x14ac:dyDescent="0.25">
      <c r="A60" s="1">
        <v>6</v>
      </c>
      <c r="B60" s="1">
        <v>1719</v>
      </c>
      <c r="C60" s="1" t="s">
        <v>349</v>
      </c>
      <c r="D60" s="1" t="s">
        <v>353</v>
      </c>
      <c r="E60" s="1" t="s">
        <v>43</v>
      </c>
      <c r="F60" s="1" t="s">
        <v>351</v>
      </c>
      <c r="G60" s="1">
        <v>25</v>
      </c>
      <c r="H60" s="1" t="s">
        <v>19</v>
      </c>
      <c r="I60" s="1" t="s">
        <v>352</v>
      </c>
      <c r="J60" s="1">
        <v>7.5</v>
      </c>
      <c r="K60" s="1">
        <v>187.5</v>
      </c>
      <c r="L60" s="42">
        <v>1</v>
      </c>
      <c r="M60" s="43">
        <v>45812</v>
      </c>
      <c r="N60" s="1" t="e">
        <f>VLOOKUP(B60,MICRO!E:L,8,0)</f>
        <v>#N/A</v>
      </c>
    </row>
    <row r="61" spans="1:14" ht="20.25" x14ac:dyDescent="0.25">
      <c r="A61" s="1">
        <v>1</v>
      </c>
      <c r="B61" s="1">
        <v>1697</v>
      </c>
      <c r="C61" s="1" t="s">
        <v>231</v>
      </c>
      <c r="D61" s="1" t="s">
        <v>231</v>
      </c>
      <c r="E61" s="1"/>
      <c r="F61" s="1" t="s">
        <v>232</v>
      </c>
      <c r="G61" s="1">
        <v>200</v>
      </c>
      <c r="H61" s="1" t="s">
        <v>19</v>
      </c>
      <c r="I61" s="1" t="s">
        <v>354</v>
      </c>
      <c r="J61" s="1">
        <v>9</v>
      </c>
      <c r="K61" s="1">
        <f t="shared" ref="K61:K73" si="1">G61*J61</f>
        <v>1800</v>
      </c>
      <c r="L61" s="42">
        <v>1</v>
      </c>
      <c r="M61" s="43">
        <v>45810</v>
      </c>
      <c r="N61" s="1" t="e">
        <f>VLOOKUP(B61,MICRO!E:L,8,0)</f>
        <v>#N/A</v>
      </c>
    </row>
    <row r="62" spans="1:14" ht="20.25" x14ac:dyDescent="0.25">
      <c r="A62" s="1">
        <v>1</v>
      </c>
      <c r="B62" s="1">
        <v>1705</v>
      </c>
      <c r="C62" s="1" t="s">
        <v>282</v>
      </c>
      <c r="D62" s="1"/>
      <c r="E62" s="1"/>
      <c r="F62" s="1" t="s">
        <v>283</v>
      </c>
      <c r="G62" s="1">
        <v>10</v>
      </c>
      <c r="H62" s="1" t="s">
        <v>19</v>
      </c>
      <c r="I62" s="1" t="s">
        <v>355</v>
      </c>
      <c r="J62" s="1">
        <v>2.6</v>
      </c>
      <c r="K62" s="1">
        <f t="shared" si="1"/>
        <v>26</v>
      </c>
      <c r="L62" s="42">
        <v>1</v>
      </c>
      <c r="M62" s="43">
        <v>45810</v>
      </c>
      <c r="N62" s="1" t="e">
        <f>VLOOKUP(B62,MICRO!E:L,8,0)</f>
        <v>#N/A</v>
      </c>
    </row>
    <row r="63" spans="1:14" ht="20.25" x14ac:dyDescent="0.25">
      <c r="A63" s="1">
        <v>1</v>
      </c>
      <c r="B63" s="1">
        <v>1704</v>
      </c>
      <c r="C63" s="1" t="s">
        <v>178</v>
      </c>
      <c r="D63" s="1" t="s">
        <v>178</v>
      </c>
      <c r="E63" s="1"/>
      <c r="F63" s="1" t="s">
        <v>179</v>
      </c>
      <c r="G63" s="1">
        <v>4</v>
      </c>
      <c r="H63" s="1" t="s">
        <v>19</v>
      </c>
      <c r="I63" s="1" t="s">
        <v>356</v>
      </c>
      <c r="J63" s="1">
        <v>51</v>
      </c>
      <c r="K63" s="1">
        <f t="shared" si="1"/>
        <v>204</v>
      </c>
      <c r="L63" s="42">
        <v>1</v>
      </c>
      <c r="M63" s="43">
        <v>45817</v>
      </c>
      <c r="N63" s="1" t="e">
        <f>VLOOKUP(B63,MICRO!E:L,8,0)</f>
        <v>#N/A</v>
      </c>
    </row>
    <row r="64" spans="1:14" ht="20.25" x14ac:dyDescent="0.25">
      <c r="A64" s="1">
        <v>1</v>
      </c>
      <c r="B64" s="1">
        <v>1516</v>
      </c>
      <c r="C64" s="1" t="s">
        <v>139</v>
      </c>
      <c r="D64" s="1"/>
      <c r="E64" s="1"/>
      <c r="F64" s="1" t="s">
        <v>188</v>
      </c>
      <c r="G64" s="1">
        <v>5</v>
      </c>
      <c r="H64" s="1" t="s">
        <v>19</v>
      </c>
      <c r="I64" s="1" t="s">
        <v>357</v>
      </c>
      <c r="J64" s="1">
        <v>7</v>
      </c>
      <c r="K64" s="1">
        <f t="shared" si="1"/>
        <v>35</v>
      </c>
      <c r="L64" s="42">
        <v>1</v>
      </c>
      <c r="M64" s="43">
        <v>45707</v>
      </c>
      <c r="N64" s="1" t="e">
        <f>VLOOKUP(B64,MICRO!E:L,8,0)</f>
        <v>#N/A</v>
      </c>
    </row>
    <row r="65" spans="1:14" ht="20.25" x14ac:dyDescent="0.25">
      <c r="A65" s="1">
        <v>2</v>
      </c>
      <c r="B65" s="1">
        <v>1517</v>
      </c>
      <c r="C65" s="1" t="s">
        <v>136</v>
      </c>
      <c r="D65" s="1"/>
      <c r="E65" s="1"/>
      <c r="F65" s="1" t="s">
        <v>190</v>
      </c>
      <c r="G65" s="1">
        <v>5</v>
      </c>
      <c r="H65" s="1" t="s">
        <v>19</v>
      </c>
      <c r="I65" s="1" t="s">
        <v>357</v>
      </c>
      <c r="J65" s="1">
        <v>5.5</v>
      </c>
      <c r="K65" s="1">
        <f t="shared" si="1"/>
        <v>27.5</v>
      </c>
      <c r="L65" s="42">
        <v>1</v>
      </c>
      <c r="M65" s="43">
        <v>45707</v>
      </c>
      <c r="N65" s="1" t="e">
        <f>VLOOKUP(B65,MICRO!E:L,8,0)</f>
        <v>#N/A</v>
      </c>
    </row>
    <row r="66" spans="1:14" ht="20.25" x14ac:dyDescent="0.25">
      <c r="A66" s="1">
        <v>3</v>
      </c>
      <c r="B66" s="1">
        <v>1518</v>
      </c>
      <c r="C66" s="1" t="s">
        <v>103</v>
      </c>
      <c r="D66" s="1"/>
      <c r="E66" s="1"/>
      <c r="F66" s="1" t="s">
        <v>124</v>
      </c>
      <c r="G66" s="1">
        <v>10</v>
      </c>
      <c r="H66" s="1" t="s">
        <v>19</v>
      </c>
      <c r="I66" s="1" t="s">
        <v>357</v>
      </c>
      <c r="J66" s="1">
        <v>2.5</v>
      </c>
      <c r="K66" s="1">
        <f t="shared" si="1"/>
        <v>25</v>
      </c>
      <c r="L66" s="42">
        <v>1</v>
      </c>
      <c r="M66" s="43">
        <v>45707</v>
      </c>
      <c r="N66" s="1" t="e">
        <f>VLOOKUP(B66,MICRO!E:L,8,0)</f>
        <v>#N/A</v>
      </c>
    </row>
    <row r="67" spans="1:14" ht="20.25" x14ac:dyDescent="0.25">
      <c r="A67" s="1">
        <v>1</v>
      </c>
      <c r="B67" s="1">
        <v>1625</v>
      </c>
      <c r="C67" s="1" t="s">
        <v>144</v>
      </c>
      <c r="D67" s="1" t="s">
        <v>144</v>
      </c>
      <c r="E67" s="1"/>
      <c r="F67" s="1" t="s">
        <v>358</v>
      </c>
      <c r="G67" s="1">
        <v>10</v>
      </c>
      <c r="H67" s="1" t="s">
        <v>19</v>
      </c>
      <c r="I67" s="1" t="s">
        <v>359</v>
      </c>
      <c r="J67" s="1">
        <v>6</v>
      </c>
      <c r="K67" s="1">
        <f t="shared" si="1"/>
        <v>60</v>
      </c>
      <c r="L67" s="42">
        <v>1</v>
      </c>
      <c r="M67" s="43">
        <v>45737</v>
      </c>
      <c r="N67" s="1" t="e">
        <f>VLOOKUP(B67,MICRO!E:L,8,0)</f>
        <v>#N/A</v>
      </c>
    </row>
    <row r="68" spans="1:14" ht="20.25" x14ac:dyDescent="0.25">
      <c r="A68" s="1">
        <v>4</v>
      </c>
      <c r="B68" s="1">
        <v>1708</v>
      </c>
      <c r="C68" s="1" t="s">
        <v>286</v>
      </c>
      <c r="D68" s="1" t="s">
        <v>388</v>
      </c>
      <c r="E68" s="1"/>
      <c r="F68" s="1" t="s">
        <v>389</v>
      </c>
      <c r="G68" s="1">
        <v>1</v>
      </c>
      <c r="H68" s="1" t="s">
        <v>19</v>
      </c>
      <c r="I68" s="1" t="s">
        <v>348</v>
      </c>
      <c r="J68" s="1">
        <v>3943</v>
      </c>
      <c r="K68" s="1">
        <f t="shared" si="1"/>
        <v>3943</v>
      </c>
      <c r="L68" s="42">
        <v>2</v>
      </c>
      <c r="M68" s="43">
        <v>45826</v>
      </c>
      <c r="N68" s="1" t="e">
        <f>VLOOKUP(B68,MICRO!E:L,8,0)</f>
        <v>#N/A</v>
      </c>
    </row>
    <row r="69" spans="1:14" ht="20.25" x14ac:dyDescent="0.25">
      <c r="A69" s="1">
        <v>1</v>
      </c>
      <c r="B69" s="1">
        <v>1684</v>
      </c>
      <c r="C69" s="1" t="s">
        <v>118</v>
      </c>
      <c r="D69" s="1">
        <v>266019</v>
      </c>
      <c r="E69" s="1"/>
      <c r="F69" s="1" t="s">
        <v>298</v>
      </c>
      <c r="G69" s="1">
        <v>44</v>
      </c>
      <c r="H69" s="1" t="s">
        <v>19</v>
      </c>
      <c r="I69" s="1" t="s">
        <v>253</v>
      </c>
      <c r="J69" s="1">
        <v>6</v>
      </c>
      <c r="K69" s="1">
        <f t="shared" si="1"/>
        <v>264</v>
      </c>
      <c r="L69" s="42">
        <v>9</v>
      </c>
      <c r="M69" s="43">
        <v>45831</v>
      </c>
      <c r="N69" s="1" t="e">
        <f>VLOOKUP(B69,MICRO!E:L,8,0)</f>
        <v>#N/A</v>
      </c>
    </row>
    <row r="70" spans="1:14" ht="20.25" x14ac:dyDescent="0.25">
      <c r="A70" s="1">
        <v>4</v>
      </c>
      <c r="B70" s="1">
        <v>1688</v>
      </c>
      <c r="C70" s="1" t="s">
        <v>116</v>
      </c>
      <c r="D70" s="1">
        <v>266024</v>
      </c>
      <c r="E70" s="1"/>
      <c r="F70" s="1" t="s">
        <v>299</v>
      </c>
      <c r="G70" s="1">
        <v>29</v>
      </c>
      <c r="H70" s="1" t="s">
        <v>19</v>
      </c>
      <c r="I70" s="1" t="s">
        <v>253</v>
      </c>
      <c r="J70" s="1">
        <v>19.8</v>
      </c>
      <c r="K70" s="1">
        <f t="shared" si="1"/>
        <v>574.20000000000005</v>
      </c>
      <c r="L70" s="42">
        <v>9</v>
      </c>
      <c r="M70" s="43">
        <v>45831</v>
      </c>
      <c r="N70" s="1" t="e">
        <f>VLOOKUP(B70,MICRO!E:L,8,0)</f>
        <v>#N/A</v>
      </c>
    </row>
    <row r="71" spans="1:14" ht="20.25" x14ac:dyDescent="0.25">
      <c r="A71" s="1">
        <v>5</v>
      </c>
      <c r="B71" s="1">
        <v>1678</v>
      </c>
      <c r="C71" s="1" t="s">
        <v>122</v>
      </c>
      <c r="D71" s="1">
        <v>266025</v>
      </c>
      <c r="E71" s="1"/>
      <c r="F71" s="1" t="s">
        <v>390</v>
      </c>
      <c r="G71" s="1">
        <v>260</v>
      </c>
      <c r="H71" s="1" t="s">
        <v>19</v>
      </c>
      <c r="I71" s="1" t="s">
        <v>253</v>
      </c>
      <c r="J71" s="1">
        <v>16</v>
      </c>
      <c r="K71" s="1">
        <f t="shared" si="1"/>
        <v>4160</v>
      </c>
      <c r="L71" s="42">
        <v>9</v>
      </c>
      <c r="M71" s="43">
        <v>45831</v>
      </c>
      <c r="N71" s="1" t="e">
        <f>VLOOKUP(B71,MICRO!E:L,8,0)</f>
        <v>#N/A</v>
      </c>
    </row>
    <row r="72" spans="1:14" ht="20.25" x14ac:dyDescent="0.25">
      <c r="A72" s="1">
        <v>8</v>
      </c>
      <c r="B72" s="1">
        <v>1687</v>
      </c>
      <c r="C72" s="1" t="s">
        <v>113</v>
      </c>
      <c r="D72" s="1">
        <v>266028</v>
      </c>
      <c r="E72" s="1"/>
      <c r="F72" s="1" t="s">
        <v>300</v>
      </c>
      <c r="G72" s="1">
        <v>47</v>
      </c>
      <c r="H72" s="1" t="s">
        <v>19</v>
      </c>
      <c r="I72" s="1" t="s">
        <v>253</v>
      </c>
      <c r="J72" s="1">
        <v>28.9</v>
      </c>
      <c r="K72" s="1">
        <f t="shared" si="1"/>
        <v>1358.3</v>
      </c>
      <c r="L72" s="42">
        <v>9</v>
      </c>
      <c r="M72" s="43">
        <v>45831</v>
      </c>
      <c r="N72" s="1" t="e">
        <f>VLOOKUP(B72,MICRO!E:L,8,0)</f>
        <v>#N/A</v>
      </c>
    </row>
    <row r="73" spans="1:14" ht="20.25" x14ac:dyDescent="0.25">
      <c r="A73" s="1">
        <v>12</v>
      </c>
      <c r="B73" s="1">
        <v>1680</v>
      </c>
      <c r="C73" s="1" t="s">
        <v>115</v>
      </c>
      <c r="D73" s="1">
        <v>266399</v>
      </c>
      <c r="E73" s="1"/>
      <c r="F73" s="1" t="s">
        <v>335</v>
      </c>
      <c r="G73" s="1">
        <v>157</v>
      </c>
      <c r="H73" s="1" t="s">
        <v>19</v>
      </c>
      <c r="I73" s="1" t="s">
        <v>253</v>
      </c>
      <c r="J73" s="1">
        <v>13.8</v>
      </c>
      <c r="K73" s="1">
        <f t="shared" si="1"/>
        <v>2166.6</v>
      </c>
      <c r="L73" s="42">
        <v>9</v>
      </c>
      <c r="M73" s="43">
        <v>45831</v>
      </c>
      <c r="N73" s="1" t="e">
        <f>VLOOKUP(B73,MICRO!E:L,8,0)</f>
        <v>#N/A</v>
      </c>
    </row>
    <row r="74" spans="1:14" ht="20.25" x14ac:dyDescent="0.25">
      <c r="A74" s="1">
        <v>1</v>
      </c>
      <c r="B74" s="1">
        <v>1698</v>
      </c>
      <c r="C74" s="1" t="s">
        <v>81</v>
      </c>
      <c r="D74" s="1" t="s">
        <v>81</v>
      </c>
      <c r="E74" s="1"/>
      <c r="F74" s="1" t="s">
        <v>234</v>
      </c>
      <c r="G74" s="1">
        <v>10</v>
      </c>
      <c r="H74" s="1" t="s">
        <v>19</v>
      </c>
      <c r="I74" s="1" t="s">
        <v>400</v>
      </c>
      <c r="J74" s="1">
        <v>8.1999999999999993</v>
      </c>
      <c r="K74" s="1">
        <v>82</v>
      </c>
      <c r="L74" s="42">
        <v>1</v>
      </c>
      <c r="M74" s="43">
        <v>45840</v>
      </c>
      <c r="N74" s="1" t="e">
        <f>VLOOKUP(B74,MICRO!E:L,8,0)</f>
        <v>#N/A</v>
      </c>
    </row>
    <row r="75" spans="1:14" ht="20.25" x14ac:dyDescent="0.25">
      <c r="A75" s="1">
        <v>2</v>
      </c>
      <c r="B75" s="1">
        <v>1699</v>
      </c>
      <c r="C75" s="1" t="s">
        <v>83</v>
      </c>
      <c r="D75" s="1" t="s">
        <v>83</v>
      </c>
      <c r="E75" s="1"/>
      <c r="F75" s="1" t="s">
        <v>236</v>
      </c>
      <c r="G75" s="1">
        <v>2</v>
      </c>
      <c r="H75" s="1" t="s">
        <v>19</v>
      </c>
      <c r="I75" s="1" t="s">
        <v>400</v>
      </c>
      <c r="J75" s="1">
        <v>9</v>
      </c>
      <c r="K75" s="1">
        <v>18</v>
      </c>
      <c r="L75" s="42">
        <v>1</v>
      </c>
      <c r="M75" s="43">
        <v>45840</v>
      </c>
      <c r="N75" s="1" t="e">
        <f>VLOOKUP(B75,MICRO!E:L,8,0)</f>
        <v>#N/A</v>
      </c>
    </row>
    <row r="76" spans="1:14" ht="20.25" x14ac:dyDescent="0.25">
      <c r="A76" s="1">
        <v>8</v>
      </c>
      <c r="B76" s="1">
        <v>1644</v>
      </c>
      <c r="C76" s="1"/>
      <c r="D76" s="1">
        <v>279926</v>
      </c>
      <c r="E76" s="1"/>
      <c r="F76" s="1" t="s">
        <v>401</v>
      </c>
      <c r="G76" s="1">
        <v>2</v>
      </c>
      <c r="H76" s="1" t="s">
        <v>19</v>
      </c>
      <c r="I76" s="1" t="s">
        <v>244</v>
      </c>
      <c r="J76" s="1">
        <v>0.5</v>
      </c>
      <c r="K76" s="1">
        <v>1</v>
      </c>
      <c r="L76" s="42">
        <v>4</v>
      </c>
      <c r="M76" s="43">
        <v>45842</v>
      </c>
      <c r="N76" s="1" t="e">
        <f>VLOOKUP(B76,MICRO!E:L,8,0)</f>
        <v>#N/A</v>
      </c>
    </row>
    <row r="77" spans="1:14" ht="20.25" x14ac:dyDescent="0.25">
      <c r="A77" s="1">
        <v>3</v>
      </c>
      <c r="B77" s="1">
        <v>1710</v>
      </c>
      <c r="C77" s="1" t="s">
        <v>288</v>
      </c>
      <c r="D77" s="1" t="s">
        <v>402</v>
      </c>
      <c r="E77" s="1"/>
      <c r="F77" s="1" t="s">
        <v>403</v>
      </c>
      <c r="G77" s="1">
        <v>2</v>
      </c>
      <c r="H77" s="1" t="s">
        <v>19</v>
      </c>
      <c r="I77" s="1" t="s">
        <v>348</v>
      </c>
      <c r="J77" s="1">
        <v>354.5</v>
      </c>
      <c r="K77" s="1">
        <v>709</v>
      </c>
      <c r="L77" s="42">
        <v>3</v>
      </c>
      <c r="M77" s="43">
        <v>45842</v>
      </c>
      <c r="N77" s="1" t="e">
        <f>VLOOKUP(B77,MICRO!E:L,8,0)</f>
        <v>#N/A</v>
      </c>
    </row>
    <row r="78" spans="1:14" ht="20.25" x14ac:dyDescent="0.25">
      <c r="A78" s="1">
        <v>4</v>
      </c>
      <c r="B78" s="1">
        <v>1708</v>
      </c>
      <c r="C78" s="1" t="s">
        <v>286</v>
      </c>
      <c r="D78" s="1">
        <v>266947</v>
      </c>
      <c r="E78" s="1"/>
      <c r="F78" s="1" t="s">
        <v>404</v>
      </c>
      <c r="G78" s="1">
        <v>1</v>
      </c>
      <c r="H78" s="1" t="s">
        <v>19</v>
      </c>
      <c r="I78" s="1" t="s">
        <v>348</v>
      </c>
      <c r="J78" s="1">
        <v>3943</v>
      </c>
      <c r="K78" s="1">
        <v>3943</v>
      </c>
      <c r="L78" s="42">
        <v>3</v>
      </c>
      <c r="M78" s="43">
        <v>45842</v>
      </c>
      <c r="N78" s="1" t="e">
        <f>VLOOKUP(B78,MICRO!E:L,8,0)</f>
        <v>#N/A</v>
      </c>
    </row>
    <row r="79" spans="1:14" ht="20.25" x14ac:dyDescent="0.25">
      <c r="A79" s="1">
        <v>5</v>
      </c>
      <c r="B79" s="1">
        <v>1711</v>
      </c>
      <c r="C79" s="1" t="s">
        <v>289</v>
      </c>
      <c r="D79" s="1" t="s">
        <v>405</v>
      </c>
      <c r="E79" s="1"/>
      <c r="F79" s="1" t="s">
        <v>291</v>
      </c>
      <c r="G79" s="1">
        <v>2</v>
      </c>
      <c r="H79" s="1" t="s">
        <v>19</v>
      </c>
      <c r="I79" s="1" t="s">
        <v>348</v>
      </c>
      <c r="J79" s="1">
        <v>159</v>
      </c>
      <c r="K79" s="1">
        <v>318</v>
      </c>
      <c r="L79" s="42">
        <v>3</v>
      </c>
      <c r="M79" s="43">
        <v>45842</v>
      </c>
      <c r="N79" s="1" t="e">
        <f>VLOOKUP(B79,MICRO!E:L,8,0)</f>
        <v>#N/A</v>
      </c>
    </row>
    <row r="80" spans="1:14" ht="20.25" x14ac:dyDescent="0.25">
      <c r="A80" s="1">
        <v>10</v>
      </c>
      <c r="B80" s="1">
        <v>1747</v>
      </c>
      <c r="C80" s="1" t="s">
        <v>152</v>
      </c>
      <c r="D80" s="1">
        <v>266938</v>
      </c>
      <c r="E80" s="1" t="s">
        <v>2</v>
      </c>
      <c r="F80" s="1" t="s">
        <v>406</v>
      </c>
      <c r="G80" s="1">
        <v>2</v>
      </c>
      <c r="H80" s="1" t="s">
        <v>19</v>
      </c>
      <c r="I80" s="1" t="s">
        <v>407</v>
      </c>
      <c r="J80" s="1">
        <v>6.3</v>
      </c>
      <c r="K80" s="1">
        <v>12.6</v>
      </c>
      <c r="L80" s="42">
        <v>1</v>
      </c>
      <c r="M80" s="43">
        <v>45842</v>
      </c>
      <c r="N80" s="1" t="e">
        <f>VLOOKUP(B80,MICRO!E:L,8,0)</f>
        <v>#N/A</v>
      </c>
    </row>
    <row r="81" spans="1:14" ht="20.25" x14ac:dyDescent="0.25">
      <c r="A81" s="1">
        <v>11</v>
      </c>
      <c r="B81" s="1">
        <v>1748</v>
      </c>
      <c r="C81" s="1" t="s">
        <v>152</v>
      </c>
      <c r="D81" s="1">
        <v>266941</v>
      </c>
      <c r="E81" s="1" t="s">
        <v>43</v>
      </c>
      <c r="F81" s="1" t="s">
        <v>406</v>
      </c>
      <c r="G81" s="1">
        <v>2</v>
      </c>
      <c r="H81" s="1" t="s">
        <v>19</v>
      </c>
      <c r="I81" s="1" t="s">
        <v>407</v>
      </c>
      <c r="J81" s="1">
        <v>8</v>
      </c>
      <c r="K81" s="1">
        <v>16</v>
      </c>
      <c r="L81" s="42">
        <v>1</v>
      </c>
      <c r="M81" s="43">
        <v>45842</v>
      </c>
      <c r="N81" s="1" t="e">
        <f>VLOOKUP(B81,MICRO!E:L,8,0)</f>
        <v>#N/A</v>
      </c>
    </row>
    <row r="82" spans="1:14" ht="20.25" x14ac:dyDescent="0.25">
      <c r="A82" s="1">
        <v>12</v>
      </c>
      <c r="B82" s="1">
        <v>1755</v>
      </c>
      <c r="C82" s="1" t="s">
        <v>126</v>
      </c>
      <c r="D82" s="1">
        <v>271276</v>
      </c>
      <c r="E82" s="1"/>
      <c r="F82" s="1" t="s">
        <v>408</v>
      </c>
      <c r="G82" s="1">
        <v>20</v>
      </c>
      <c r="H82" s="1" t="s">
        <v>19</v>
      </c>
      <c r="I82" s="1" t="s">
        <v>407</v>
      </c>
      <c r="J82" s="1">
        <v>8</v>
      </c>
      <c r="K82" s="1">
        <v>160</v>
      </c>
      <c r="L82" s="42">
        <v>1</v>
      </c>
      <c r="M82" s="43">
        <v>45842</v>
      </c>
      <c r="N82" s="1" t="e">
        <f>VLOOKUP(B82,MICRO!E:L,8,0)</f>
        <v>#N/A</v>
      </c>
    </row>
    <row r="83" spans="1:14" ht="20.25" x14ac:dyDescent="0.25">
      <c r="A83" s="1">
        <v>1</v>
      </c>
      <c r="B83" s="1">
        <v>1703</v>
      </c>
      <c r="C83" s="1" t="s">
        <v>111</v>
      </c>
      <c r="D83" s="1">
        <v>266017</v>
      </c>
      <c r="E83" s="1"/>
      <c r="F83" s="1" t="s">
        <v>409</v>
      </c>
      <c r="G83" s="1">
        <v>2</v>
      </c>
      <c r="H83" s="1" t="s">
        <v>19</v>
      </c>
      <c r="I83" s="1" t="s">
        <v>410</v>
      </c>
      <c r="J83" s="1">
        <v>1147.7</v>
      </c>
      <c r="K83" s="1">
        <f>G83*J83</f>
        <v>2295.4</v>
      </c>
      <c r="L83" s="42">
        <v>1</v>
      </c>
      <c r="M83" s="43">
        <v>45842</v>
      </c>
      <c r="N83" s="1" t="e">
        <f>VLOOKUP(B83,MICRO!E:L,8,0)</f>
        <v>#N/A</v>
      </c>
    </row>
    <row r="84" spans="1:14" ht="20.25" x14ac:dyDescent="0.25">
      <c r="A84" s="1">
        <v>12</v>
      </c>
      <c r="B84" s="1">
        <v>1680</v>
      </c>
      <c r="C84" s="1" t="s">
        <v>115</v>
      </c>
      <c r="D84" s="1">
        <v>266399</v>
      </c>
      <c r="F84" s="1" t="s">
        <v>335</v>
      </c>
      <c r="G84" s="1">
        <v>31</v>
      </c>
      <c r="H84" s="1" t="s">
        <v>19</v>
      </c>
      <c r="I84" s="1" t="s">
        <v>253</v>
      </c>
      <c r="J84" s="1">
        <v>13.8</v>
      </c>
      <c r="K84" s="1">
        <f>G84*J84</f>
        <v>427.8</v>
      </c>
      <c r="L84" s="42">
        <v>10</v>
      </c>
      <c r="M84" s="43">
        <v>45842</v>
      </c>
      <c r="N84" s="1" t="e">
        <f>VLOOKUP(B84,MICRO!E:L,8,0)</f>
        <v>#N/A</v>
      </c>
    </row>
    <row r="85" spans="1:14" ht="20.25" x14ac:dyDescent="0.25">
      <c r="A85" s="1">
        <v>1</v>
      </c>
      <c r="B85" s="1">
        <v>1717</v>
      </c>
      <c r="C85" s="1" t="s">
        <v>340</v>
      </c>
      <c r="D85" s="1"/>
      <c r="E85" s="1"/>
      <c r="F85" s="1" t="s">
        <v>341</v>
      </c>
      <c r="G85" s="1">
        <v>90</v>
      </c>
      <c r="H85" s="1" t="s">
        <v>19</v>
      </c>
      <c r="I85" s="1" t="s">
        <v>411</v>
      </c>
      <c r="J85" s="1">
        <v>3.2</v>
      </c>
      <c r="K85" s="1">
        <f>G85*J85</f>
        <v>288</v>
      </c>
      <c r="L85" s="42">
        <v>1</v>
      </c>
      <c r="M85" s="43">
        <v>45842</v>
      </c>
      <c r="N85" s="1" t="e">
        <f>VLOOKUP(B85,MICRO!E:L,8,0)</f>
        <v>#N/A</v>
      </c>
    </row>
    <row r="86" spans="1:14" ht="20.25" x14ac:dyDescent="0.25">
      <c r="A86" s="1">
        <v>8</v>
      </c>
      <c r="B86" s="1">
        <v>1687</v>
      </c>
      <c r="C86" s="1" t="s">
        <v>113</v>
      </c>
      <c r="D86" s="1">
        <v>266028</v>
      </c>
      <c r="E86" s="1"/>
      <c r="F86" s="1" t="s">
        <v>300</v>
      </c>
      <c r="G86" s="1">
        <v>96</v>
      </c>
      <c r="H86" s="1" t="s">
        <v>19</v>
      </c>
      <c r="I86" s="1" t="s">
        <v>253</v>
      </c>
      <c r="J86" s="1">
        <v>28.9</v>
      </c>
      <c r="K86" s="1">
        <f>G86*J86</f>
        <v>2774.3999999999996</v>
      </c>
      <c r="L86" s="42">
        <v>11</v>
      </c>
      <c r="M86" s="43">
        <v>45856</v>
      </c>
      <c r="N86" s="1" t="e">
        <f>VLOOKUP(B86,MICRO!E:L,8,0)</f>
        <v>#N/A</v>
      </c>
    </row>
    <row r="87" spans="1:14" ht="20.25" x14ac:dyDescent="0.25">
      <c r="A87" s="1">
        <v>2</v>
      </c>
      <c r="B87" s="1">
        <v>1707</v>
      </c>
      <c r="C87" s="1" t="s">
        <v>285</v>
      </c>
      <c r="D87" s="1">
        <v>266951</v>
      </c>
      <c r="E87" s="1"/>
      <c r="F87" s="1" t="s">
        <v>416</v>
      </c>
      <c r="G87" s="1">
        <v>2</v>
      </c>
      <c r="H87" s="1" t="s">
        <v>19</v>
      </c>
      <c r="I87" s="1" t="s">
        <v>348</v>
      </c>
      <c r="J87" s="1">
        <v>768.8</v>
      </c>
      <c r="K87" s="1">
        <f t="shared" ref="K87:K91" si="2">G87*J87</f>
        <v>1537.6</v>
      </c>
      <c r="L87" s="42">
        <v>4</v>
      </c>
      <c r="M87" s="43">
        <v>45856</v>
      </c>
      <c r="N87" s="1" t="e">
        <f>VLOOKUP(B87,MICRO!E:L,8,0)</f>
        <v>#N/A</v>
      </c>
    </row>
    <row r="88" spans="1:14" ht="20.25" x14ac:dyDescent="0.25">
      <c r="A88" s="1">
        <v>6</v>
      </c>
      <c r="B88" s="1">
        <v>1709</v>
      </c>
      <c r="C88" s="1" t="s">
        <v>287</v>
      </c>
      <c r="D88" s="1">
        <v>266937</v>
      </c>
      <c r="E88" s="1"/>
      <c r="F88" s="1" t="s">
        <v>417</v>
      </c>
      <c r="G88" s="1">
        <v>2</v>
      </c>
      <c r="H88" s="1" t="s">
        <v>19</v>
      </c>
      <c r="I88" s="1" t="s">
        <v>348</v>
      </c>
      <c r="J88" s="1">
        <v>194.8</v>
      </c>
      <c r="K88" s="1">
        <f t="shared" si="2"/>
        <v>389.6</v>
      </c>
      <c r="L88" s="42">
        <v>4</v>
      </c>
      <c r="M88" s="43">
        <v>45856</v>
      </c>
      <c r="N88" s="1" t="e">
        <f>VLOOKUP(B88,MICRO!E:L,8,0)</f>
        <v>#N/A</v>
      </c>
    </row>
    <row r="89" spans="1:14" ht="20.25" x14ac:dyDescent="0.25">
      <c r="A89" s="1">
        <v>2</v>
      </c>
      <c r="B89" s="1">
        <v>1750</v>
      </c>
      <c r="C89" s="1" t="s">
        <v>121</v>
      </c>
      <c r="D89" s="1"/>
      <c r="E89" s="1"/>
      <c r="F89" s="1" t="s">
        <v>418</v>
      </c>
      <c r="G89" s="1">
        <v>20</v>
      </c>
      <c r="H89" s="1" t="s">
        <v>19</v>
      </c>
      <c r="I89" s="1" t="s">
        <v>407</v>
      </c>
      <c r="J89" s="1">
        <v>12.5</v>
      </c>
      <c r="K89" s="1">
        <f t="shared" si="2"/>
        <v>250</v>
      </c>
      <c r="L89" s="42">
        <v>2</v>
      </c>
      <c r="M89" s="43">
        <v>45856</v>
      </c>
      <c r="N89" s="1" t="e">
        <f>VLOOKUP(B89,MICRO!E:L,8,0)</f>
        <v>#N/A</v>
      </c>
    </row>
    <row r="90" spans="1:14" ht="20.25" x14ac:dyDescent="0.25">
      <c r="A90" s="1">
        <v>6</v>
      </c>
      <c r="B90" s="1">
        <v>1751</v>
      </c>
      <c r="C90" s="1" t="s">
        <v>115</v>
      </c>
      <c r="D90" s="1"/>
      <c r="E90" s="1"/>
      <c r="F90" s="1" t="s">
        <v>419</v>
      </c>
      <c r="G90" s="1">
        <v>20</v>
      </c>
      <c r="H90" s="1" t="s">
        <v>19</v>
      </c>
      <c r="I90" s="1" t="s">
        <v>407</v>
      </c>
      <c r="J90" s="1">
        <v>13.8</v>
      </c>
      <c r="K90" s="1">
        <f t="shared" si="2"/>
        <v>276</v>
      </c>
      <c r="L90" s="42">
        <v>2</v>
      </c>
      <c r="M90" s="43">
        <v>45856</v>
      </c>
      <c r="N90" s="1" t="e">
        <f>VLOOKUP(B90,MICRO!E:L,8,0)</f>
        <v>#N/A</v>
      </c>
    </row>
    <row r="91" spans="1:14" ht="20.25" x14ac:dyDescent="0.25">
      <c r="A91" s="1">
        <v>1</v>
      </c>
      <c r="B91" s="1">
        <v>1718</v>
      </c>
      <c r="C91" s="1" t="s">
        <v>108</v>
      </c>
      <c r="D91" s="1"/>
      <c r="E91" s="1"/>
      <c r="F91" s="1" t="s">
        <v>343</v>
      </c>
      <c r="G91" s="1">
        <v>9</v>
      </c>
      <c r="H91" s="1" t="s">
        <v>19</v>
      </c>
      <c r="I91" s="1" t="s">
        <v>411</v>
      </c>
      <c r="J91" s="1">
        <v>72</v>
      </c>
      <c r="K91" s="1">
        <f t="shared" si="2"/>
        <v>648</v>
      </c>
      <c r="L91" s="42">
        <v>2</v>
      </c>
      <c r="M91" s="43">
        <v>45846</v>
      </c>
      <c r="N91" s="1" t="e">
        <f>VLOOKUP(B91,MICRO!E:L,8,0)</f>
        <v>#N/A</v>
      </c>
    </row>
    <row r="92" spans="1:14" ht="20.25" x14ac:dyDescent="0.25">
      <c r="A92" s="1">
        <v>1</v>
      </c>
      <c r="B92" s="1">
        <v>1712</v>
      </c>
      <c r="C92" s="1"/>
      <c r="D92" s="1" t="s">
        <v>336</v>
      </c>
      <c r="E92" s="1"/>
      <c r="F92" s="1" t="s">
        <v>337</v>
      </c>
      <c r="G92" s="1">
        <v>3</v>
      </c>
      <c r="H92" s="1" t="s">
        <v>19</v>
      </c>
      <c r="I92" s="1" t="s">
        <v>441</v>
      </c>
      <c r="J92" s="1">
        <v>879</v>
      </c>
      <c r="K92" s="1">
        <v>2637</v>
      </c>
      <c r="L92" s="42">
        <v>1</v>
      </c>
      <c r="M92" s="43">
        <v>45869</v>
      </c>
      <c r="N92" s="1" t="e">
        <f>VLOOKUP(B92,MICRO!E:L,8,0)</f>
        <v>#N/A</v>
      </c>
    </row>
    <row r="93" spans="1:14" ht="20.25" x14ac:dyDescent="0.25">
      <c r="A93" s="1">
        <v>2</v>
      </c>
      <c r="B93" s="1">
        <v>1713</v>
      </c>
      <c r="C93" s="1"/>
      <c r="D93" s="1" t="s">
        <v>336</v>
      </c>
      <c r="E93" s="1"/>
      <c r="F93" s="1" t="s">
        <v>338</v>
      </c>
      <c r="G93" s="1">
        <v>3</v>
      </c>
      <c r="H93" s="1" t="s">
        <v>19</v>
      </c>
      <c r="I93" s="1" t="s">
        <v>441</v>
      </c>
      <c r="J93" s="1">
        <v>356</v>
      </c>
      <c r="K93" s="1">
        <v>1068</v>
      </c>
      <c r="L93" s="42">
        <v>1</v>
      </c>
      <c r="M93" s="43">
        <v>45869</v>
      </c>
      <c r="N93" s="1" t="e">
        <f>VLOOKUP(B93,MICRO!E:L,8,0)</f>
        <v>#N/A</v>
      </c>
    </row>
    <row r="94" spans="1:14" ht="20.25" x14ac:dyDescent="0.25">
      <c r="A94" s="1">
        <v>3</v>
      </c>
      <c r="B94" s="1">
        <v>1744</v>
      </c>
      <c r="C94" s="1"/>
      <c r="D94" s="1" t="s">
        <v>434</v>
      </c>
      <c r="E94" s="1" t="s">
        <v>438</v>
      </c>
      <c r="F94" s="1" t="s">
        <v>384</v>
      </c>
      <c r="G94" s="1">
        <v>15</v>
      </c>
      <c r="H94" s="1" t="s">
        <v>19</v>
      </c>
      <c r="I94" s="1" t="s">
        <v>441</v>
      </c>
      <c r="J94" s="1">
        <v>1</v>
      </c>
      <c r="K94" s="1">
        <v>15</v>
      </c>
      <c r="L94" s="42">
        <v>1</v>
      </c>
      <c r="M94" s="43">
        <v>45869</v>
      </c>
      <c r="N94" s="1" t="e">
        <f>VLOOKUP(B94,MICRO!E:L,8,0)</f>
        <v>#N/A</v>
      </c>
    </row>
    <row r="95" spans="1:14" ht="20.25" x14ac:dyDescent="0.25">
      <c r="A95" s="1">
        <v>4</v>
      </c>
      <c r="B95" s="1">
        <v>1745</v>
      </c>
      <c r="C95" s="1"/>
      <c r="D95" s="1" t="s">
        <v>434</v>
      </c>
      <c r="E95" s="1" t="s">
        <v>439</v>
      </c>
      <c r="F95" s="1" t="s">
        <v>385</v>
      </c>
      <c r="G95" s="1">
        <v>42</v>
      </c>
      <c r="H95" s="1" t="s">
        <v>19</v>
      </c>
      <c r="I95" s="1" t="s">
        <v>441</v>
      </c>
      <c r="J95" s="1">
        <v>0.8</v>
      </c>
      <c r="K95" s="1">
        <v>33.6</v>
      </c>
      <c r="L95" s="42">
        <v>1</v>
      </c>
      <c r="M95" s="43">
        <v>45869</v>
      </c>
      <c r="N95" s="1" t="e">
        <f>VLOOKUP(B95,MICRO!E:L,8,0)</f>
        <v>#N/A</v>
      </c>
    </row>
    <row r="96" spans="1:14" ht="20.25" x14ac:dyDescent="0.25">
      <c r="A96" s="1">
        <v>5</v>
      </c>
      <c r="B96" s="1">
        <v>1746</v>
      </c>
      <c r="C96" s="1"/>
      <c r="D96" s="1" t="s">
        <v>434</v>
      </c>
      <c r="E96" s="1" t="s">
        <v>440</v>
      </c>
      <c r="F96" s="1" t="s">
        <v>386</v>
      </c>
      <c r="G96" s="1">
        <v>207</v>
      </c>
      <c r="H96" s="1" t="s">
        <v>19</v>
      </c>
      <c r="I96" s="1" t="s">
        <v>441</v>
      </c>
      <c r="J96" s="1">
        <v>1.54</v>
      </c>
      <c r="K96" s="1">
        <v>318.78000000000003</v>
      </c>
      <c r="L96" s="42">
        <v>1</v>
      </c>
      <c r="M96" s="43">
        <v>45869</v>
      </c>
      <c r="N96" s="1" t="e">
        <f>VLOOKUP(B96,MICRO!E:L,8,0)</f>
        <v>#N/A</v>
      </c>
    </row>
    <row r="97" spans="1:14" ht="20.25" x14ac:dyDescent="0.25">
      <c r="A97" s="1">
        <v>6</v>
      </c>
      <c r="B97" s="1">
        <v>1720</v>
      </c>
      <c r="C97" s="1"/>
      <c r="D97" s="1" t="s">
        <v>435</v>
      </c>
      <c r="E97" s="1"/>
      <c r="F97" s="1" t="s">
        <v>360</v>
      </c>
      <c r="G97" s="1">
        <v>1</v>
      </c>
      <c r="H97" s="1" t="s">
        <v>19</v>
      </c>
      <c r="I97" s="1" t="s">
        <v>442</v>
      </c>
      <c r="J97" s="1">
        <v>0.1</v>
      </c>
      <c r="K97" s="1">
        <v>0.1</v>
      </c>
      <c r="L97" s="42">
        <v>1</v>
      </c>
      <c r="M97" s="43">
        <v>45869</v>
      </c>
      <c r="N97" s="1" t="e">
        <f>VLOOKUP(B97,MICRO!E:L,8,0)</f>
        <v>#N/A</v>
      </c>
    </row>
    <row r="98" spans="1:14" ht="20.25" x14ac:dyDescent="0.25">
      <c r="A98" s="1">
        <v>7</v>
      </c>
      <c r="B98" s="1">
        <v>1721</v>
      </c>
      <c r="C98" s="1"/>
      <c r="D98" s="1" t="s">
        <v>436</v>
      </c>
      <c r="E98" s="1"/>
      <c r="F98" s="1" t="s">
        <v>361</v>
      </c>
      <c r="G98" s="1">
        <v>1</v>
      </c>
      <c r="H98" s="1" t="s">
        <v>19</v>
      </c>
      <c r="I98" s="1" t="s">
        <v>443</v>
      </c>
      <c r="J98" s="1">
        <v>0.1</v>
      </c>
      <c r="K98" s="1">
        <v>0.1</v>
      </c>
      <c r="L98" s="42">
        <v>1</v>
      </c>
      <c r="M98" s="43">
        <v>45869</v>
      </c>
      <c r="N98" s="1" t="e">
        <f>VLOOKUP(B98,MICRO!E:L,8,0)</f>
        <v>#N/A</v>
      </c>
    </row>
    <row r="99" spans="1:14" ht="20.25" x14ac:dyDescent="0.25">
      <c r="A99" s="1">
        <v>8</v>
      </c>
      <c r="B99" s="1">
        <v>1722</v>
      </c>
      <c r="C99" s="1"/>
      <c r="D99" s="1" t="s">
        <v>437</v>
      </c>
      <c r="E99" s="1"/>
      <c r="F99" s="1" t="s">
        <v>362</v>
      </c>
      <c r="G99" s="1">
        <v>1</v>
      </c>
      <c r="H99" s="1" t="s">
        <v>19</v>
      </c>
      <c r="I99" s="1" t="s">
        <v>444</v>
      </c>
      <c r="J99" s="1">
        <v>0.1</v>
      </c>
      <c r="K99" s="1">
        <v>0.1</v>
      </c>
      <c r="L99" s="42">
        <v>1</v>
      </c>
      <c r="M99" s="43">
        <v>45869</v>
      </c>
      <c r="N99" s="1" t="e">
        <f>VLOOKUP(B99,MICRO!E:L,8,0)</f>
        <v>#N/A</v>
      </c>
    </row>
    <row r="100" spans="1:14" ht="20.25" x14ac:dyDescent="0.25">
      <c r="A100" s="1">
        <v>9</v>
      </c>
      <c r="B100" s="1">
        <v>1723</v>
      </c>
      <c r="C100" s="1"/>
      <c r="D100" s="1" t="s">
        <v>435</v>
      </c>
      <c r="E100" s="1"/>
      <c r="F100" s="1" t="s">
        <v>363</v>
      </c>
      <c r="G100" s="1">
        <v>1</v>
      </c>
      <c r="H100" s="1" t="s">
        <v>19</v>
      </c>
      <c r="I100" s="1" t="s">
        <v>442</v>
      </c>
      <c r="J100" s="1">
        <v>0.1</v>
      </c>
      <c r="K100" s="1">
        <v>0.1</v>
      </c>
      <c r="L100" s="42">
        <v>1</v>
      </c>
      <c r="M100" s="43">
        <v>45869</v>
      </c>
      <c r="N100" s="1" t="e">
        <f>VLOOKUP(B100,MICRO!E:L,8,0)</f>
        <v>#N/A</v>
      </c>
    </row>
    <row r="101" spans="1:14" ht="20.25" x14ac:dyDescent="0.25">
      <c r="A101" s="1">
        <v>10</v>
      </c>
      <c r="B101" s="1">
        <v>1724</v>
      </c>
      <c r="C101" s="1"/>
      <c r="D101" s="1" t="s">
        <v>436</v>
      </c>
      <c r="E101" s="1"/>
      <c r="F101" s="1" t="s">
        <v>364</v>
      </c>
      <c r="G101" s="1">
        <v>1</v>
      </c>
      <c r="H101" s="1" t="s">
        <v>19</v>
      </c>
      <c r="I101" s="1" t="s">
        <v>443</v>
      </c>
      <c r="J101" s="1">
        <v>0.1</v>
      </c>
      <c r="K101" s="1">
        <v>0.1</v>
      </c>
      <c r="L101" s="42">
        <v>1</v>
      </c>
      <c r="M101" s="43">
        <v>45869</v>
      </c>
      <c r="N101" s="1" t="e">
        <f>VLOOKUP(B101,MICRO!E:L,8,0)</f>
        <v>#N/A</v>
      </c>
    </row>
    <row r="102" spans="1:14" ht="20.25" x14ac:dyDescent="0.25">
      <c r="A102" s="1">
        <v>11</v>
      </c>
      <c r="B102" s="1">
        <v>1725</v>
      </c>
      <c r="C102" s="1"/>
      <c r="D102" s="1" t="s">
        <v>437</v>
      </c>
      <c r="E102" s="1"/>
      <c r="F102" s="1" t="s">
        <v>365</v>
      </c>
      <c r="G102" s="1">
        <v>1</v>
      </c>
      <c r="H102" s="1" t="s">
        <v>19</v>
      </c>
      <c r="I102" s="1" t="s">
        <v>444</v>
      </c>
      <c r="J102" s="1">
        <v>0.1</v>
      </c>
      <c r="K102" s="1">
        <v>0.1</v>
      </c>
      <c r="L102" s="42">
        <v>1</v>
      </c>
      <c r="M102" s="43">
        <v>45869</v>
      </c>
      <c r="N102" s="1" t="e">
        <f>VLOOKUP(B102,MICRO!E:L,8,0)</f>
        <v>#N/A</v>
      </c>
    </row>
    <row r="103" spans="1:14" ht="20.25" x14ac:dyDescent="0.25">
      <c r="A103" s="1">
        <v>12</v>
      </c>
      <c r="B103" s="1">
        <v>1726</v>
      </c>
      <c r="C103" s="1"/>
      <c r="D103" s="1" t="s">
        <v>435</v>
      </c>
      <c r="E103" s="1"/>
      <c r="F103" s="1" t="s">
        <v>366</v>
      </c>
      <c r="G103" s="1">
        <v>2</v>
      </c>
      <c r="H103" s="1" t="s">
        <v>19</v>
      </c>
      <c r="I103" s="1" t="s">
        <v>442</v>
      </c>
      <c r="J103" s="1">
        <v>0.1</v>
      </c>
      <c r="K103" s="1">
        <v>0.2</v>
      </c>
      <c r="L103" s="42">
        <v>1</v>
      </c>
      <c r="M103" s="43">
        <v>45869</v>
      </c>
      <c r="N103" s="1" t="e">
        <f>VLOOKUP(B103,MICRO!E:L,8,0)</f>
        <v>#N/A</v>
      </c>
    </row>
    <row r="104" spans="1:14" ht="20.25" x14ac:dyDescent="0.25">
      <c r="A104" s="1">
        <v>13</v>
      </c>
      <c r="B104" s="1">
        <v>1727</v>
      </c>
      <c r="C104" s="1"/>
      <c r="D104" s="1" t="s">
        <v>436</v>
      </c>
      <c r="E104" s="1"/>
      <c r="F104" s="1" t="s">
        <v>367</v>
      </c>
      <c r="G104" s="1">
        <v>2</v>
      </c>
      <c r="H104" s="1" t="s">
        <v>19</v>
      </c>
      <c r="I104" s="1" t="s">
        <v>443</v>
      </c>
      <c r="J104" s="1">
        <v>0.1</v>
      </c>
      <c r="K104" s="1">
        <v>0.2</v>
      </c>
      <c r="L104" s="42">
        <v>1</v>
      </c>
      <c r="M104" s="43">
        <v>45869</v>
      </c>
      <c r="N104" s="1" t="e">
        <f>VLOOKUP(B104,MICRO!E:L,8,0)</f>
        <v>#N/A</v>
      </c>
    </row>
    <row r="105" spans="1:14" ht="20.25" x14ac:dyDescent="0.25">
      <c r="A105" s="1">
        <v>14</v>
      </c>
      <c r="B105" s="1">
        <v>1728</v>
      </c>
      <c r="C105" s="1"/>
      <c r="D105" s="1" t="s">
        <v>437</v>
      </c>
      <c r="E105" s="1"/>
      <c r="F105" s="1" t="s">
        <v>368</v>
      </c>
      <c r="G105" s="1">
        <v>2</v>
      </c>
      <c r="H105" s="1" t="s">
        <v>19</v>
      </c>
      <c r="I105" s="1" t="s">
        <v>444</v>
      </c>
      <c r="J105" s="1">
        <v>0.1</v>
      </c>
      <c r="K105" s="1">
        <v>0.2</v>
      </c>
      <c r="L105" s="42">
        <v>1</v>
      </c>
      <c r="M105" s="43">
        <v>45869</v>
      </c>
      <c r="N105" s="1" t="e">
        <f>VLOOKUP(B105,MICRO!E:L,8,0)</f>
        <v>#N/A</v>
      </c>
    </row>
    <row r="106" spans="1:14" ht="20.25" x14ac:dyDescent="0.25">
      <c r="A106" s="1">
        <v>15</v>
      </c>
      <c r="B106" s="1">
        <v>1729</v>
      </c>
      <c r="C106" s="1"/>
      <c r="D106" s="1" t="s">
        <v>435</v>
      </c>
      <c r="E106" s="1"/>
      <c r="F106" s="1" t="s">
        <v>369</v>
      </c>
      <c r="G106" s="1">
        <v>2</v>
      </c>
      <c r="H106" s="1" t="s">
        <v>19</v>
      </c>
      <c r="I106" s="1" t="s">
        <v>442</v>
      </c>
      <c r="J106" s="1">
        <v>0.1</v>
      </c>
      <c r="K106" s="1">
        <v>0.2</v>
      </c>
      <c r="L106" s="42">
        <v>1</v>
      </c>
      <c r="M106" s="43">
        <v>45869</v>
      </c>
      <c r="N106" s="1" t="e">
        <f>VLOOKUP(B106,MICRO!E:L,8,0)</f>
        <v>#N/A</v>
      </c>
    </row>
    <row r="107" spans="1:14" ht="20.25" x14ac:dyDescent="0.25">
      <c r="A107" s="1">
        <v>16</v>
      </c>
      <c r="B107" s="1">
        <v>1730</v>
      </c>
      <c r="C107" s="1"/>
      <c r="D107" s="1" t="s">
        <v>436</v>
      </c>
      <c r="E107" s="1"/>
      <c r="F107" s="1" t="s">
        <v>370</v>
      </c>
      <c r="G107" s="1">
        <v>2</v>
      </c>
      <c r="H107" s="1" t="s">
        <v>19</v>
      </c>
      <c r="I107" s="1" t="s">
        <v>443</v>
      </c>
      <c r="J107" s="1">
        <v>0.1</v>
      </c>
      <c r="K107" s="1">
        <v>0.2</v>
      </c>
      <c r="L107" s="42">
        <v>1</v>
      </c>
      <c r="M107" s="43">
        <v>45869</v>
      </c>
      <c r="N107" s="1" t="e">
        <f>VLOOKUP(B107,MICRO!E:L,8,0)</f>
        <v>#N/A</v>
      </c>
    </row>
    <row r="108" spans="1:14" ht="20.25" x14ac:dyDescent="0.25">
      <c r="A108" s="1">
        <v>17</v>
      </c>
      <c r="B108" s="1">
        <v>1731</v>
      </c>
      <c r="C108" s="1"/>
      <c r="D108" s="1" t="s">
        <v>437</v>
      </c>
      <c r="E108" s="1"/>
      <c r="F108" s="1" t="s">
        <v>371</v>
      </c>
      <c r="G108" s="1">
        <v>2</v>
      </c>
      <c r="H108" s="1" t="s">
        <v>19</v>
      </c>
      <c r="I108" s="1" t="s">
        <v>445</v>
      </c>
      <c r="J108" s="1">
        <v>0.1</v>
      </c>
      <c r="K108" s="1">
        <v>0.2</v>
      </c>
      <c r="L108" s="42">
        <v>1</v>
      </c>
      <c r="M108" s="43">
        <v>45869</v>
      </c>
      <c r="N108" s="1" t="e">
        <f>VLOOKUP(B108,MICRO!E:L,8,0)</f>
        <v>#N/A</v>
      </c>
    </row>
    <row r="109" spans="1:14" ht="20.25" x14ac:dyDescent="0.25">
      <c r="A109" s="1">
        <v>18</v>
      </c>
      <c r="B109" s="1">
        <v>1732</v>
      </c>
      <c r="C109" s="1"/>
      <c r="D109" s="1"/>
      <c r="E109" s="1"/>
      <c r="F109" s="1" t="s">
        <v>372</v>
      </c>
      <c r="G109" s="1">
        <v>3</v>
      </c>
      <c r="H109" s="1" t="s">
        <v>19</v>
      </c>
      <c r="I109" s="1" t="s">
        <v>441</v>
      </c>
      <c r="J109" s="1">
        <v>0.1</v>
      </c>
      <c r="K109" s="1">
        <v>0.30000000000000004</v>
      </c>
      <c r="L109" s="42">
        <v>1</v>
      </c>
      <c r="M109" s="43">
        <v>45869</v>
      </c>
      <c r="N109" s="1" t="e">
        <f>VLOOKUP(B109,MICRO!E:L,8,0)</f>
        <v>#N/A</v>
      </c>
    </row>
    <row r="110" spans="1:14" ht="20.25" x14ac:dyDescent="0.25">
      <c r="A110" s="1">
        <v>19</v>
      </c>
      <c r="B110" s="1">
        <v>1733</v>
      </c>
      <c r="C110" s="1"/>
      <c r="D110" s="1"/>
      <c r="E110" s="1"/>
      <c r="F110" s="1" t="s">
        <v>373</v>
      </c>
      <c r="G110" s="1">
        <v>3</v>
      </c>
      <c r="H110" s="1" t="s">
        <v>19</v>
      </c>
      <c r="I110" s="1" t="s">
        <v>441</v>
      </c>
      <c r="J110" s="1">
        <v>0.1</v>
      </c>
      <c r="K110" s="1">
        <v>0.30000000000000004</v>
      </c>
      <c r="L110" s="42">
        <v>1</v>
      </c>
      <c r="M110" s="43">
        <v>45869</v>
      </c>
      <c r="N110" s="1" t="e">
        <f>VLOOKUP(B110,MICRO!E:L,8,0)</f>
        <v>#N/A</v>
      </c>
    </row>
    <row r="111" spans="1:14" ht="20.25" x14ac:dyDescent="0.25">
      <c r="A111" s="1">
        <v>20</v>
      </c>
      <c r="B111" s="1">
        <v>1734</v>
      </c>
      <c r="C111" s="1"/>
      <c r="D111" s="1"/>
      <c r="E111" s="1"/>
      <c r="F111" s="1" t="s">
        <v>374</v>
      </c>
      <c r="G111" s="1">
        <v>3</v>
      </c>
      <c r="H111" s="1" t="s">
        <v>19</v>
      </c>
      <c r="I111" s="1" t="s">
        <v>441</v>
      </c>
      <c r="J111" s="1">
        <v>0.1</v>
      </c>
      <c r="K111" s="1">
        <v>0.30000000000000004</v>
      </c>
      <c r="L111" s="42">
        <v>1</v>
      </c>
      <c r="M111" s="43">
        <v>45869</v>
      </c>
      <c r="N111" s="1" t="e">
        <f>VLOOKUP(B111,MICRO!E:L,8,0)</f>
        <v>#N/A</v>
      </c>
    </row>
    <row r="112" spans="1:14" ht="20.25" x14ac:dyDescent="0.25">
      <c r="A112" s="1">
        <v>21</v>
      </c>
      <c r="B112" s="1">
        <v>1735</v>
      </c>
      <c r="C112" s="1"/>
      <c r="D112" s="1"/>
      <c r="E112" s="1"/>
      <c r="F112" s="1" t="s">
        <v>375</v>
      </c>
      <c r="G112" s="1">
        <v>3</v>
      </c>
      <c r="H112" s="1" t="s">
        <v>19</v>
      </c>
      <c r="I112" s="1" t="s">
        <v>441</v>
      </c>
      <c r="J112" s="1">
        <v>0.1</v>
      </c>
      <c r="K112" s="1">
        <v>0.30000000000000004</v>
      </c>
      <c r="L112" s="42">
        <v>1</v>
      </c>
      <c r="M112" s="43">
        <v>45869</v>
      </c>
      <c r="N112" s="1" t="e">
        <f>VLOOKUP(B112,MICRO!E:L,8,0)</f>
        <v>#N/A</v>
      </c>
    </row>
    <row r="113" spans="1:14" ht="20.25" x14ac:dyDescent="0.25">
      <c r="A113" s="1">
        <v>22</v>
      </c>
      <c r="B113" s="1">
        <v>1736</v>
      </c>
      <c r="C113" s="1"/>
      <c r="D113" s="1"/>
      <c r="E113" s="1"/>
      <c r="F113" s="1" t="s">
        <v>376</v>
      </c>
      <c r="G113" s="1">
        <v>3</v>
      </c>
      <c r="H113" s="1" t="s">
        <v>19</v>
      </c>
      <c r="I113" s="1" t="s">
        <v>441</v>
      </c>
      <c r="J113" s="1">
        <v>0.1</v>
      </c>
      <c r="K113" s="1">
        <v>0.30000000000000004</v>
      </c>
      <c r="L113" s="42">
        <v>1</v>
      </c>
      <c r="M113" s="43">
        <v>45869</v>
      </c>
      <c r="N113" s="1" t="e">
        <f>VLOOKUP(B113,MICRO!E:L,8,0)</f>
        <v>#N/A</v>
      </c>
    </row>
    <row r="114" spans="1:14" ht="20.25" x14ac:dyDescent="0.25">
      <c r="A114" s="1">
        <v>23</v>
      </c>
      <c r="B114" s="1">
        <v>1737</v>
      </c>
      <c r="C114" s="1"/>
      <c r="D114" s="1"/>
      <c r="E114" s="1"/>
      <c r="F114" s="1" t="s">
        <v>377</v>
      </c>
      <c r="G114" s="1">
        <v>96</v>
      </c>
      <c r="H114" s="1" t="s">
        <v>19</v>
      </c>
      <c r="I114" s="1" t="s">
        <v>441</v>
      </c>
      <c r="J114" s="1">
        <v>0.1</v>
      </c>
      <c r="K114" s="1">
        <v>9.6000000000000014</v>
      </c>
      <c r="L114" s="42">
        <v>1</v>
      </c>
      <c r="M114" s="43">
        <v>45869</v>
      </c>
      <c r="N114" s="1" t="e">
        <f>VLOOKUP(B114,MICRO!E:L,8,0)</f>
        <v>#N/A</v>
      </c>
    </row>
    <row r="115" spans="1:14" ht="20.25" x14ac:dyDescent="0.25">
      <c r="A115" s="1">
        <v>24</v>
      </c>
      <c r="B115" s="1">
        <v>1738</v>
      </c>
      <c r="C115" s="1"/>
      <c r="D115" s="1"/>
      <c r="E115" s="1"/>
      <c r="F115" s="1" t="s">
        <v>378</v>
      </c>
      <c r="G115" s="1">
        <v>72</v>
      </c>
      <c r="H115" s="1" t="s">
        <v>19</v>
      </c>
      <c r="I115" s="1" t="s">
        <v>441</v>
      </c>
      <c r="J115" s="1">
        <v>0.1</v>
      </c>
      <c r="K115" s="1">
        <v>7.2</v>
      </c>
      <c r="L115" s="42">
        <v>1</v>
      </c>
      <c r="M115" s="43">
        <v>45869</v>
      </c>
      <c r="N115" s="1" t="e">
        <f>VLOOKUP(B115,MICRO!E:L,8,0)</f>
        <v>#N/A</v>
      </c>
    </row>
    <row r="116" spans="1:14" ht="20.25" x14ac:dyDescent="0.25">
      <c r="A116" s="1">
        <v>25</v>
      </c>
      <c r="B116" s="1">
        <v>1739</v>
      </c>
      <c r="C116" s="1"/>
      <c r="D116" s="1"/>
      <c r="E116" s="1"/>
      <c r="F116" s="1" t="s">
        <v>379</v>
      </c>
      <c r="G116" s="1">
        <v>96</v>
      </c>
      <c r="H116" s="1" t="s">
        <v>19</v>
      </c>
      <c r="I116" s="1" t="s">
        <v>441</v>
      </c>
      <c r="J116" s="1">
        <v>0.1</v>
      </c>
      <c r="K116" s="1">
        <v>9.6000000000000014</v>
      </c>
      <c r="L116" s="42">
        <v>1</v>
      </c>
      <c r="M116" s="43">
        <v>45869</v>
      </c>
      <c r="N116" s="1" t="e">
        <f>VLOOKUP(B116,MICRO!E:L,8,0)</f>
        <v>#N/A</v>
      </c>
    </row>
    <row r="117" spans="1:14" ht="20.25" x14ac:dyDescent="0.25">
      <c r="A117" s="1">
        <v>26</v>
      </c>
      <c r="B117" s="1">
        <v>1740</v>
      </c>
      <c r="C117" s="1"/>
      <c r="D117" s="1"/>
      <c r="E117" s="1"/>
      <c r="F117" s="1" t="s">
        <v>380</v>
      </c>
      <c r="G117" s="1">
        <v>72</v>
      </c>
      <c r="H117" s="1" t="s">
        <v>19</v>
      </c>
      <c r="I117" s="1" t="s">
        <v>441</v>
      </c>
      <c r="J117" s="1">
        <v>0.1</v>
      </c>
      <c r="K117" s="1">
        <v>7.2</v>
      </c>
      <c r="L117" s="42">
        <v>1</v>
      </c>
      <c r="M117" s="43">
        <v>45869</v>
      </c>
      <c r="N117" s="1" t="e">
        <f>VLOOKUP(B117,MICRO!E:L,8,0)</f>
        <v>#N/A</v>
      </c>
    </row>
    <row r="118" spans="1:14" ht="20.25" x14ac:dyDescent="0.25">
      <c r="A118" s="1">
        <v>27</v>
      </c>
      <c r="B118" s="1">
        <v>1741</v>
      </c>
      <c r="C118" s="1"/>
      <c r="D118" s="1"/>
      <c r="E118" s="1"/>
      <c r="F118" s="1" t="s">
        <v>381</v>
      </c>
      <c r="G118" s="1">
        <v>942</v>
      </c>
      <c r="H118" s="1" t="s">
        <v>19</v>
      </c>
      <c r="I118" s="1" t="s">
        <v>441</v>
      </c>
      <c r="J118" s="1">
        <v>0.1</v>
      </c>
      <c r="K118" s="1">
        <v>94.2</v>
      </c>
      <c r="L118" s="42">
        <v>1</v>
      </c>
      <c r="M118" s="43">
        <v>45869</v>
      </c>
      <c r="N118" s="1" t="e">
        <f>VLOOKUP(B118,MICRO!E:L,8,0)</f>
        <v>#N/A</v>
      </c>
    </row>
    <row r="119" spans="1:14" ht="20.25" x14ac:dyDescent="0.25">
      <c r="A119" s="1">
        <v>28</v>
      </c>
      <c r="B119" s="1">
        <v>1742</v>
      </c>
      <c r="C119" s="1"/>
      <c r="D119" s="1"/>
      <c r="E119" s="1"/>
      <c r="F119" s="1" t="s">
        <v>382</v>
      </c>
      <c r="G119" s="1">
        <v>942</v>
      </c>
      <c r="H119" s="1" t="s">
        <v>19</v>
      </c>
      <c r="I119" s="1" t="s">
        <v>441</v>
      </c>
      <c r="J119" s="1">
        <v>0.1</v>
      </c>
      <c r="K119" s="1">
        <v>94.2</v>
      </c>
      <c r="L119" s="42">
        <v>1</v>
      </c>
      <c r="M119" s="43">
        <v>45869</v>
      </c>
      <c r="N119" s="1" t="e">
        <f>VLOOKUP(B119,MICRO!E:L,8,0)</f>
        <v>#N/A</v>
      </c>
    </row>
    <row r="120" spans="1:14" ht="20.25" x14ac:dyDescent="0.25">
      <c r="A120" s="1">
        <v>29</v>
      </c>
      <c r="B120" s="1">
        <v>1743</v>
      </c>
      <c r="C120" s="1"/>
      <c r="D120" s="1"/>
      <c r="E120" s="1"/>
      <c r="F120" s="1" t="s">
        <v>383</v>
      </c>
      <c r="G120" s="1">
        <v>942</v>
      </c>
      <c r="H120" s="1" t="s">
        <v>19</v>
      </c>
      <c r="I120" s="1" t="s">
        <v>441</v>
      </c>
      <c r="J120" s="1">
        <v>0.1</v>
      </c>
      <c r="K120" s="1">
        <v>94.2</v>
      </c>
      <c r="L120" s="42">
        <v>1</v>
      </c>
      <c r="M120" s="43">
        <v>45869</v>
      </c>
      <c r="N120" s="1" t="e">
        <f>VLOOKUP(B120,MICRO!E:L,8,0)</f>
        <v>#N/A</v>
      </c>
    </row>
    <row r="121" spans="1:14" ht="20.25" x14ac:dyDescent="0.25">
      <c r="A121" s="1">
        <v>1</v>
      </c>
      <c r="B121" s="1">
        <v>1691</v>
      </c>
      <c r="C121" s="1" t="s">
        <v>221</v>
      </c>
      <c r="D121" s="1">
        <v>266945</v>
      </c>
      <c r="E121" s="1"/>
      <c r="F121" s="1" t="s">
        <v>222</v>
      </c>
      <c r="G121" s="1">
        <v>1</v>
      </c>
      <c r="H121" s="1" t="s">
        <v>19</v>
      </c>
      <c r="I121" s="1" t="s">
        <v>294</v>
      </c>
      <c r="J121" s="1">
        <v>2660</v>
      </c>
      <c r="K121" s="1">
        <f>J121*G121</f>
        <v>2660</v>
      </c>
      <c r="L121" s="42">
        <v>3</v>
      </c>
      <c r="M121" s="43">
        <v>45874</v>
      </c>
      <c r="N121" s="1" t="e">
        <f>VLOOKUP(B121,MICRO!E:L,8,0)</f>
        <v>#N/A</v>
      </c>
    </row>
    <row r="122" spans="1:14" ht="20.25" x14ac:dyDescent="0.25">
      <c r="A122" s="1">
        <v>8</v>
      </c>
      <c r="B122" s="1">
        <v>1687</v>
      </c>
      <c r="C122" s="1" t="s">
        <v>113</v>
      </c>
      <c r="D122" s="1">
        <v>266028</v>
      </c>
      <c r="E122" s="1"/>
      <c r="F122" s="1" t="s">
        <v>114</v>
      </c>
      <c r="G122" s="1">
        <v>36</v>
      </c>
      <c r="H122" s="1" t="s">
        <v>19</v>
      </c>
      <c r="I122" s="1" t="s">
        <v>253</v>
      </c>
      <c r="J122" s="1">
        <v>28.9</v>
      </c>
      <c r="K122" s="1">
        <v>1040.3999999999999</v>
      </c>
      <c r="L122" s="42">
        <v>12</v>
      </c>
      <c r="M122" s="43">
        <v>45874</v>
      </c>
      <c r="N122" s="1" t="e">
        <f>VLOOKUP(B122,MICRO!E:L,8,0)</f>
        <v>#N/A</v>
      </c>
    </row>
    <row r="123" spans="1:14" ht="20.25" x14ac:dyDescent="0.25">
      <c r="A123" s="1">
        <v>1</v>
      </c>
      <c r="B123" s="1">
        <v>1752</v>
      </c>
      <c r="C123" s="1" t="s">
        <v>446</v>
      </c>
      <c r="D123" s="1">
        <v>266023</v>
      </c>
      <c r="E123" s="1"/>
      <c r="F123" s="1" t="s">
        <v>447</v>
      </c>
      <c r="G123" s="1">
        <v>350</v>
      </c>
      <c r="H123" s="1" t="s">
        <v>19</v>
      </c>
      <c r="I123" s="1" t="s">
        <v>407</v>
      </c>
      <c r="J123" s="1">
        <v>8</v>
      </c>
      <c r="K123" s="1">
        <v>2800</v>
      </c>
      <c r="L123" s="42">
        <v>3</v>
      </c>
      <c r="M123" s="43">
        <v>45874</v>
      </c>
      <c r="N123" s="1" t="e">
        <f>VLOOKUP(B123,MICRO!E:L,8,0)</f>
        <v>#N/A</v>
      </c>
    </row>
    <row r="124" spans="1:14" ht="20.25" x14ac:dyDescent="0.25">
      <c r="A124" s="1">
        <v>4</v>
      </c>
      <c r="B124" s="1">
        <v>1752</v>
      </c>
      <c r="C124" s="1" t="s">
        <v>446</v>
      </c>
      <c r="D124" s="1">
        <v>266021</v>
      </c>
      <c r="E124" s="1"/>
      <c r="F124" s="1" t="s">
        <v>448</v>
      </c>
      <c r="G124" s="1">
        <v>100</v>
      </c>
      <c r="H124" s="1" t="s">
        <v>19</v>
      </c>
      <c r="I124" s="1" t="s">
        <v>407</v>
      </c>
      <c r="J124" s="1">
        <v>8</v>
      </c>
      <c r="K124" s="1">
        <v>800</v>
      </c>
      <c r="L124" s="42">
        <v>3</v>
      </c>
      <c r="M124" s="43">
        <v>45874</v>
      </c>
      <c r="N124" s="1" t="e">
        <f>VLOOKUP(B124,MICRO!E:L,8,0)</f>
        <v>#N/A</v>
      </c>
    </row>
    <row r="125" spans="1:14" ht="20.25" x14ac:dyDescent="0.25">
      <c r="A125" s="1">
        <v>13</v>
      </c>
      <c r="B125" s="1">
        <v>1752</v>
      </c>
      <c r="C125" s="1" t="s">
        <v>446</v>
      </c>
      <c r="D125" s="1">
        <v>266021</v>
      </c>
      <c r="E125" s="1"/>
      <c r="F125" s="1" t="s">
        <v>448</v>
      </c>
      <c r="G125" s="1">
        <v>40</v>
      </c>
      <c r="H125" s="1" t="s">
        <v>19</v>
      </c>
      <c r="I125" s="1" t="s">
        <v>407</v>
      </c>
      <c r="J125" s="1">
        <v>8</v>
      </c>
      <c r="K125" s="1">
        <v>320</v>
      </c>
      <c r="L125" s="42">
        <v>3</v>
      </c>
      <c r="M125" s="43">
        <v>45874</v>
      </c>
      <c r="N125" s="1" t="e">
        <f>VLOOKUP(B125,MICRO!E:L,8,0)</f>
        <v>#N/A</v>
      </c>
    </row>
    <row r="126" spans="1:14" ht="20.25" x14ac:dyDescent="0.25">
      <c r="A126" s="1">
        <v>14</v>
      </c>
      <c r="B126" s="1">
        <v>1752</v>
      </c>
      <c r="C126" s="1" t="s">
        <v>446</v>
      </c>
      <c r="D126" s="1">
        <v>266023</v>
      </c>
      <c r="E126" s="1"/>
      <c r="F126" s="1" t="s">
        <v>448</v>
      </c>
      <c r="G126" s="1">
        <v>37</v>
      </c>
      <c r="H126" s="1" t="s">
        <v>19</v>
      </c>
      <c r="I126" s="1" t="s">
        <v>407</v>
      </c>
      <c r="J126" s="1">
        <v>8</v>
      </c>
      <c r="K126" s="1">
        <v>296</v>
      </c>
      <c r="L126" s="42">
        <v>3</v>
      </c>
      <c r="M126" s="43">
        <v>45874</v>
      </c>
      <c r="N126" s="1" t="e">
        <f>VLOOKUP(B126,MICRO!E:L,8,0)</f>
        <v>#N/A</v>
      </c>
    </row>
    <row r="127" spans="1:14" ht="20.25" x14ac:dyDescent="0.25">
      <c r="A127" s="1">
        <v>2</v>
      </c>
      <c r="B127" s="1">
        <v>1750</v>
      </c>
      <c r="C127" s="1" t="s">
        <v>121</v>
      </c>
      <c r="D127" s="1">
        <v>266029</v>
      </c>
      <c r="E127" s="1"/>
      <c r="F127" s="1" t="s">
        <v>418</v>
      </c>
      <c r="G127" s="1">
        <v>50</v>
      </c>
      <c r="H127" s="1" t="s">
        <v>19</v>
      </c>
      <c r="I127" s="1" t="s">
        <v>407</v>
      </c>
      <c r="J127" s="1">
        <v>12.5</v>
      </c>
      <c r="K127" s="1">
        <v>625</v>
      </c>
      <c r="L127" s="42">
        <v>3</v>
      </c>
      <c r="M127" s="43">
        <v>45874</v>
      </c>
      <c r="N127" s="1" t="e">
        <f>VLOOKUP(B127,MICRO!E:L,8,0)</f>
        <v>#N/A</v>
      </c>
    </row>
    <row r="128" spans="1:14" ht="20.25" x14ac:dyDescent="0.25">
      <c r="A128" s="1">
        <v>5</v>
      </c>
      <c r="B128" s="1">
        <v>1749</v>
      </c>
      <c r="C128" s="1" t="s">
        <v>112</v>
      </c>
      <c r="D128" s="1">
        <v>266030</v>
      </c>
      <c r="E128" s="1"/>
      <c r="F128" s="1" t="s">
        <v>449</v>
      </c>
      <c r="G128" s="1">
        <v>23</v>
      </c>
      <c r="H128" s="1" t="s">
        <v>19</v>
      </c>
      <c r="I128" s="1" t="s">
        <v>407</v>
      </c>
      <c r="J128" s="1">
        <v>16.2</v>
      </c>
      <c r="K128" s="1">
        <v>372.59999999999997</v>
      </c>
      <c r="L128" s="42">
        <v>3</v>
      </c>
      <c r="M128" s="43">
        <v>45874</v>
      </c>
      <c r="N128" s="1" t="e">
        <f>VLOOKUP(B128,MICRO!E:L,8,0)</f>
        <v>#N/A</v>
      </c>
    </row>
    <row r="129" spans="1:14" ht="20.25" x14ac:dyDescent="0.25">
      <c r="A129" s="1">
        <v>7</v>
      </c>
      <c r="B129" s="1">
        <v>1754</v>
      </c>
      <c r="C129" s="1" t="s">
        <v>120</v>
      </c>
      <c r="D129" s="1">
        <v>266401</v>
      </c>
      <c r="E129" s="1"/>
      <c r="F129" s="1" t="s">
        <v>450</v>
      </c>
      <c r="G129" s="1">
        <v>100</v>
      </c>
      <c r="H129" s="1" t="s">
        <v>19</v>
      </c>
      <c r="I129" s="1" t="s">
        <v>407</v>
      </c>
      <c r="J129" s="1">
        <v>7.5</v>
      </c>
      <c r="K129" s="1">
        <v>750</v>
      </c>
      <c r="L129" s="42">
        <v>3</v>
      </c>
      <c r="M129" s="43">
        <v>45874</v>
      </c>
      <c r="N129" s="1" t="e">
        <f>VLOOKUP(B129,MICRO!E:L,8,0)</f>
        <v>#N/A</v>
      </c>
    </row>
    <row r="130" spans="1:14" ht="20.25" x14ac:dyDescent="0.25">
      <c r="A130" s="1">
        <v>8</v>
      </c>
      <c r="B130" s="1">
        <v>1754</v>
      </c>
      <c r="C130" s="1" t="s">
        <v>120</v>
      </c>
      <c r="D130" s="1">
        <v>266403</v>
      </c>
      <c r="E130" s="1"/>
      <c r="F130" s="1" t="s">
        <v>450</v>
      </c>
      <c r="G130" s="1">
        <v>50</v>
      </c>
      <c r="H130" s="1" t="s">
        <v>19</v>
      </c>
      <c r="I130" s="1" t="s">
        <v>407</v>
      </c>
      <c r="J130" s="1">
        <v>7.5</v>
      </c>
      <c r="K130" s="1">
        <v>375</v>
      </c>
      <c r="L130" s="42">
        <v>3</v>
      </c>
      <c r="M130" s="43">
        <v>45874</v>
      </c>
      <c r="N130" s="1" t="e">
        <f>VLOOKUP(B130,MICRO!E:L,8,0)</f>
        <v>#N/A</v>
      </c>
    </row>
    <row r="131" spans="1:14" ht="20.25" x14ac:dyDescent="0.25">
      <c r="A131" s="1">
        <v>1</v>
      </c>
      <c r="B131" s="1">
        <v>1764</v>
      </c>
      <c r="C131" s="1" t="s">
        <v>76</v>
      </c>
      <c r="D131" s="1">
        <v>275119</v>
      </c>
      <c r="E131" s="1"/>
      <c r="F131" s="1" t="s">
        <v>451</v>
      </c>
      <c r="G131" s="1">
        <v>10</v>
      </c>
      <c r="H131" s="1" t="s">
        <v>19</v>
      </c>
      <c r="I131" s="1" t="s">
        <v>452</v>
      </c>
      <c r="J131" s="1">
        <v>6.3</v>
      </c>
      <c r="K131" s="1">
        <v>63</v>
      </c>
      <c r="L131" s="42">
        <v>1</v>
      </c>
      <c r="M131" s="43">
        <v>45874</v>
      </c>
      <c r="N131" s="1" t="e">
        <f>VLOOKUP(B131,MICRO!E:L,8,0)</f>
        <v>#N/A</v>
      </c>
    </row>
    <row r="132" spans="1:14" ht="20.25" x14ac:dyDescent="0.25">
      <c r="A132" s="1">
        <v>2</v>
      </c>
      <c r="B132" s="1"/>
      <c r="C132" s="1" t="s">
        <v>453</v>
      </c>
      <c r="D132" s="1"/>
      <c r="E132" s="1"/>
      <c r="F132" s="1" t="s">
        <v>454</v>
      </c>
      <c r="G132" s="1">
        <v>3</v>
      </c>
      <c r="H132" s="1" t="s">
        <v>455</v>
      </c>
      <c r="I132" s="1" t="s">
        <v>456</v>
      </c>
      <c r="J132" s="1">
        <v>1.5</v>
      </c>
      <c r="K132" s="1">
        <v>4.5</v>
      </c>
      <c r="L132" s="42">
        <v>1</v>
      </c>
      <c r="M132" s="43">
        <v>45874</v>
      </c>
      <c r="N132" s="1" t="e">
        <f>VLOOKUP(B132,MICRO!E:L,8,0)</f>
        <v>#N/A</v>
      </c>
    </row>
    <row r="133" spans="1:14" ht="20.25" x14ac:dyDescent="0.25">
      <c r="A133" s="1">
        <v>7</v>
      </c>
      <c r="B133" s="1"/>
      <c r="C133" s="1" t="s">
        <v>457</v>
      </c>
      <c r="D133" s="1"/>
      <c r="E133" s="1" t="s">
        <v>173</v>
      </c>
      <c r="F133" s="1" t="s">
        <v>458</v>
      </c>
      <c r="G133" s="1">
        <v>6</v>
      </c>
      <c r="H133" s="1" t="s">
        <v>455</v>
      </c>
      <c r="I133" s="1" t="s">
        <v>459</v>
      </c>
      <c r="J133" s="1">
        <v>2.8</v>
      </c>
      <c r="K133" s="1">
        <v>16.799999999999997</v>
      </c>
      <c r="L133" s="42">
        <v>1</v>
      </c>
      <c r="M133" s="43">
        <v>45874</v>
      </c>
      <c r="N133" s="1" t="e">
        <f>VLOOKUP(B133,MICRO!E:L,8,0)</f>
        <v>#N/A</v>
      </c>
    </row>
    <row r="134" spans="1:14" ht="20.25" x14ac:dyDescent="0.25">
      <c r="A134" s="1">
        <v>8</v>
      </c>
      <c r="B134" s="1"/>
      <c r="C134" s="1" t="s">
        <v>460</v>
      </c>
      <c r="D134" s="1"/>
      <c r="E134" s="1" t="s">
        <v>461</v>
      </c>
      <c r="F134" s="1" t="s">
        <v>462</v>
      </c>
      <c r="G134" s="1">
        <v>2</v>
      </c>
      <c r="H134" s="1" t="s">
        <v>455</v>
      </c>
      <c r="I134" s="1" t="s">
        <v>459</v>
      </c>
      <c r="J134" s="1">
        <v>2.9</v>
      </c>
      <c r="K134" s="1">
        <v>5.8</v>
      </c>
      <c r="L134" s="42">
        <v>1</v>
      </c>
      <c r="M134" s="43">
        <v>45874</v>
      </c>
      <c r="N134" s="1" t="e">
        <f>VLOOKUP(B134,MICRO!E:L,8,0)</f>
        <v>#N/A</v>
      </c>
    </row>
    <row r="135" spans="1:14" ht="20.25" x14ac:dyDescent="0.25">
      <c r="A135" s="1">
        <v>9</v>
      </c>
      <c r="B135" s="1"/>
      <c r="C135" s="1" t="s">
        <v>463</v>
      </c>
      <c r="D135" s="1"/>
      <c r="E135" s="1" t="s">
        <v>464</v>
      </c>
      <c r="F135" s="1" t="s">
        <v>465</v>
      </c>
      <c r="G135" s="1">
        <v>1</v>
      </c>
      <c r="H135" s="1" t="s">
        <v>455</v>
      </c>
      <c r="I135" s="1" t="s">
        <v>466</v>
      </c>
      <c r="J135" s="1">
        <v>1.4</v>
      </c>
      <c r="K135" s="1">
        <v>1.4</v>
      </c>
      <c r="L135" s="42">
        <v>1</v>
      </c>
      <c r="M135" s="43">
        <v>45874</v>
      </c>
      <c r="N135" s="1" t="e">
        <f>VLOOKUP(B135,MICRO!E:L,8,0)</f>
        <v>#N/A</v>
      </c>
    </row>
    <row r="136" spans="1:14" ht="20.25" x14ac:dyDescent="0.25">
      <c r="A136" s="1">
        <v>10</v>
      </c>
      <c r="B136" s="1">
        <v>1773</v>
      </c>
      <c r="C136" s="1" t="s">
        <v>467</v>
      </c>
      <c r="D136" s="1"/>
      <c r="E136" s="1"/>
      <c r="F136" s="1" t="s">
        <v>468</v>
      </c>
      <c r="G136" s="1">
        <v>2</v>
      </c>
      <c r="H136" s="1" t="s">
        <v>455</v>
      </c>
      <c r="I136" s="1" t="s">
        <v>459</v>
      </c>
      <c r="J136" s="1">
        <v>15</v>
      </c>
      <c r="K136" s="1">
        <v>30</v>
      </c>
      <c r="L136" s="42">
        <v>1</v>
      </c>
      <c r="M136" s="43">
        <v>45874</v>
      </c>
      <c r="N136" s="1" t="e">
        <f>VLOOKUP(B136,MICRO!E:L,8,0)</f>
        <v>#N/A</v>
      </c>
    </row>
    <row r="137" spans="1:14" ht="20.25" x14ac:dyDescent="0.25">
      <c r="A137" s="1">
        <v>15</v>
      </c>
      <c r="B137" s="1"/>
      <c r="C137" s="1" t="s">
        <v>469</v>
      </c>
      <c r="D137" s="1"/>
      <c r="E137" s="1"/>
      <c r="F137" s="1" t="s">
        <v>470</v>
      </c>
      <c r="G137" s="1">
        <v>1</v>
      </c>
      <c r="H137" s="1" t="s">
        <v>471</v>
      </c>
      <c r="I137" s="1" t="s">
        <v>459</v>
      </c>
      <c r="J137" s="1">
        <v>5</v>
      </c>
      <c r="K137" s="1">
        <v>5</v>
      </c>
      <c r="L137" s="42">
        <v>1</v>
      </c>
      <c r="M137" s="43">
        <v>45874</v>
      </c>
      <c r="N137" s="1" t="e">
        <f>VLOOKUP(B137,MICRO!E:L,8,0)</f>
        <v>#N/A</v>
      </c>
    </row>
    <row r="138" spans="1:14" ht="20.25" x14ac:dyDescent="0.25">
      <c r="A138" s="1">
        <v>16</v>
      </c>
      <c r="B138" s="1">
        <v>1766</v>
      </c>
      <c r="C138" s="1" t="s">
        <v>472</v>
      </c>
      <c r="D138" s="1"/>
      <c r="E138" s="1"/>
      <c r="F138" s="1" t="s">
        <v>473</v>
      </c>
      <c r="G138" s="1">
        <v>40</v>
      </c>
      <c r="H138" s="1" t="s">
        <v>474</v>
      </c>
      <c r="I138" s="1" t="s">
        <v>475</v>
      </c>
      <c r="J138" s="1">
        <v>6</v>
      </c>
      <c r="K138" s="1">
        <v>240</v>
      </c>
      <c r="L138" s="42">
        <v>1</v>
      </c>
      <c r="M138" s="43">
        <v>45874</v>
      </c>
      <c r="N138" s="1" t="e">
        <f>VLOOKUP(B138,MICRO!E:L,8,0)</f>
        <v>#N/A</v>
      </c>
    </row>
    <row r="139" spans="1:14" ht="20.25" x14ac:dyDescent="0.25">
      <c r="A139" s="1">
        <v>17</v>
      </c>
      <c r="B139" s="1">
        <v>1767</v>
      </c>
      <c r="C139" s="1" t="s">
        <v>476</v>
      </c>
      <c r="D139" s="1"/>
      <c r="E139" s="1"/>
      <c r="F139" s="1" t="s">
        <v>477</v>
      </c>
      <c r="G139" s="1">
        <v>20</v>
      </c>
      <c r="H139" s="1" t="s">
        <v>474</v>
      </c>
      <c r="I139" s="1" t="s">
        <v>475</v>
      </c>
      <c r="J139" s="1">
        <v>5</v>
      </c>
      <c r="K139" s="1">
        <v>100</v>
      </c>
      <c r="L139" s="42">
        <v>1</v>
      </c>
      <c r="M139" s="43">
        <v>45874</v>
      </c>
      <c r="N139" s="1" t="e">
        <f>VLOOKUP(B139,MICRO!E:L,8,0)</f>
        <v>#N/A</v>
      </c>
    </row>
    <row r="140" spans="1:14" ht="20.25" x14ac:dyDescent="0.25">
      <c r="A140" s="1">
        <v>18</v>
      </c>
      <c r="B140" s="1">
        <v>1768</v>
      </c>
      <c r="C140" s="1" t="s">
        <v>145</v>
      </c>
      <c r="D140" s="1"/>
      <c r="E140" s="1"/>
      <c r="F140" s="1" t="s">
        <v>478</v>
      </c>
      <c r="G140" s="1">
        <v>12</v>
      </c>
      <c r="H140" s="1" t="s">
        <v>474</v>
      </c>
      <c r="I140" s="1" t="s">
        <v>475</v>
      </c>
      <c r="J140" s="1">
        <v>6.5</v>
      </c>
      <c r="K140" s="1">
        <v>78</v>
      </c>
      <c r="L140" s="42">
        <v>1</v>
      </c>
      <c r="M140" s="43">
        <v>45874</v>
      </c>
      <c r="N140" s="1" t="e">
        <f>VLOOKUP(B140,MICRO!E:L,8,0)</f>
        <v>#N/A</v>
      </c>
    </row>
    <row r="141" spans="1:14" ht="20.25" x14ac:dyDescent="0.25">
      <c r="A141" s="1">
        <v>19</v>
      </c>
      <c r="B141" s="1">
        <v>1769</v>
      </c>
      <c r="C141" s="1" t="s">
        <v>479</v>
      </c>
      <c r="D141" s="1"/>
      <c r="E141" s="1"/>
      <c r="F141" s="1" t="s">
        <v>480</v>
      </c>
      <c r="G141" s="1">
        <v>2</v>
      </c>
      <c r="H141" s="1" t="s">
        <v>474</v>
      </c>
      <c r="I141" s="1" t="s">
        <v>459</v>
      </c>
      <c r="J141" s="1">
        <v>9</v>
      </c>
      <c r="K141" s="1">
        <v>18</v>
      </c>
      <c r="L141" s="42">
        <v>1</v>
      </c>
      <c r="M141" s="43">
        <v>45874</v>
      </c>
      <c r="N141" s="1" t="e">
        <f>VLOOKUP(B141,MICRO!E:L,8,0)</f>
        <v>#N/A</v>
      </c>
    </row>
    <row r="142" spans="1:14" ht="20.25" x14ac:dyDescent="0.25">
      <c r="A142" s="1">
        <v>20</v>
      </c>
      <c r="B142" s="1">
        <v>1770</v>
      </c>
      <c r="C142" s="1" t="s">
        <v>481</v>
      </c>
      <c r="D142" s="1"/>
      <c r="E142" s="1"/>
      <c r="F142" s="1" t="s">
        <v>482</v>
      </c>
      <c r="G142" s="1">
        <v>4</v>
      </c>
      <c r="H142" s="1" t="s">
        <v>474</v>
      </c>
      <c r="I142" s="1" t="s">
        <v>459</v>
      </c>
      <c r="J142" s="1">
        <v>6</v>
      </c>
      <c r="K142" s="1">
        <v>24</v>
      </c>
      <c r="L142" s="42">
        <v>1</v>
      </c>
      <c r="M142" s="43">
        <v>45874</v>
      </c>
      <c r="N142" s="1" t="e">
        <f>VLOOKUP(B142,MICRO!E:L,8,0)</f>
        <v>#N/A</v>
      </c>
    </row>
    <row r="143" spans="1:14" ht="20.25" x14ac:dyDescent="0.25">
      <c r="A143" s="1">
        <v>21</v>
      </c>
      <c r="B143" s="1">
        <v>1771</v>
      </c>
      <c r="C143" s="1" t="s">
        <v>483</v>
      </c>
      <c r="D143" s="1"/>
      <c r="E143" s="1"/>
      <c r="F143" s="1" t="s">
        <v>484</v>
      </c>
      <c r="G143" s="1">
        <v>4</v>
      </c>
      <c r="H143" s="1" t="s">
        <v>474</v>
      </c>
      <c r="I143" s="1" t="s">
        <v>459</v>
      </c>
      <c r="J143" s="1">
        <v>2.7</v>
      </c>
      <c r="K143" s="1">
        <v>10.8</v>
      </c>
      <c r="L143" s="42">
        <v>1</v>
      </c>
      <c r="M143" s="43">
        <v>45874</v>
      </c>
      <c r="N143" s="1" t="e">
        <f>VLOOKUP(B143,MICRO!E:L,8,0)</f>
        <v>#N/A</v>
      </c>
    </row>
    <row r="144" spans="1:14" ht="20.25" x14ac:dyDescent="0.25">
      <c r="A144" s="1">
        <v>22</v>
      </c>
      <c r="B144" s="1">
        <v>1772</v>
      </c>
      <c r="C144" s="1" t="s">
        <v>101</v>
      </c>
      <c r="D144" s="1"/>
      <c r="E144" s="1"/>
      <c r="F144" s="1" t="s">
        <v>485</v>
      </c>
      <c r="G144" s="1">
        <v>2</v>
      </c>
      <c r="H144" s="1" t="s">
        <v>474</v>
      </c>
      <c r="I144" s="1" t="s">
        <v>459</v>
      </c>
      <c r="J144" s="1">
        <v>1</v>
      </c>
      <c r="K144" s="1">
        <v>2</v>
      </c>
      <c r="L144" s="42">
        <v>1</v>
      </c>
      <c r="M144" s="43">
        <v>45874</v>
      </c>
      <c r="N144" s="1" t="e">
        <f>VLOOKUP(B144,MICRO!E:L,8,0)</f>
        <v>#N/A</v>
      </c>
    </row>
    <row r="145" spans="1:14" ht="20.25" x14ac:dyDescent="0.25">
      <c r="A145" s="1">
        <v>23</v>
      </c>
      <c r="B145" s="1">
        <v>1772</v>
      </c>
      <c r="C145" s="1" t="s">
        <v>101</v>
      </c>
      <c r="D145" s="1"/>
      <c r="E145" s="1"/>
      <c r="F145" s="1" t="s">
        <v>486</v>
      </c>
      <c r="G145" s="1">
        <v>4</v>
      </c>
      <c r="H145" s="1" t="s">
        <v>474</v>
      </c>
      <c r="I145" s="1" t="s">
        <v>475</v>
      </c>
      <c r="J145" s="1">
        <v>1</v>
      </c>
      <c r="K145" s="1">
        <v>4</v>
      </c>
      <c r="L145" s="42">
        <v>1</v>
      </c>
      <c r="M145" s="43">
        <v>45874</v>
      </c>
      <c r="N145" s="1" t="e">
        <f>VLOOKUP(B145,MICRO!E:L,8,0)</f>
        <v>#N/A</v>
      </c>
    </row>
    <row r="146" spans="1:14" ht="20.25" x14ac:dyDescent="0.25">
      <c r="A146" s="1">
        <v>25</v>
      </c>
      <c r="B146" s="1"/>
      <c r="C146" s="1" t="s">
        <v>487</v>
      </c>
      <c r="D146" s="1"/>
      <c r="E146" s="1"/>
      <c r="F146" s="1" t="s">
        <v>488</v>
      </c>
      <c r="G146" s="1">
        <v>2</v>
      </c>
      <c r="H146" s="1" t="s">
        <v>474</v>
      </c>
      <c r="I146" s="1" t="s">
        <v>475</v>
      </c>
      <c r="J146" s="1">
        <v>0.3</v>
      </c>
      <c r="K146" s="1">
        <v>0.6</v>
      </c>
      <c r="L146" s="42">
        <v>1</v>
      </c>
      <c r="M146" s="43">
        <v>45874</v>
      </c>
      <c r="N146" s="1" t="e">
        <f>VLOOKUP(B146,MICRO!E:L,8,0)</f>
        <v>#N/A</v>
      </c>
    </row>
    <row r="147" spans="1:14" ht="20.25" x14ac:dyDescent="0.25">
      <c r="A147" s="1">
        <v>26</v>
      </c>
      <c r="B147" s="1"/>
      <c r="C147" s="1" t="s">
        <v>487</v>
      </c>
      <c r="D147" s="1"/>
      <c r="E147" s="1"/>
      <c r="F147" s="1" t="s">
        <v>489</v>
      </c>
      <c r="G147" s="1">
        <v>2</v>
      </c>
      <c r="H147" s="1" t="s">
        <v>474</v>
      </c>
      <c r="I147" s="1" t="s">
        <v>475</v>
      </c>
      <c r="J147" s="1">
        <v>3.5</v>
      </c>
      <c r="K147" s="1">
        <v>7</v>
      </c>
      <c r="L147" s="42">
        <v>1</v>
      </c>
      <c r="M147" s="43">
        <v>45874</v>
      </c>
      <c r="N147" s="1" t="e">
        <f>VLOOKUP(B147,MICRO!E:L,8,0)</f>
        <v>#N/A</v>
      </c>
    </row>
    <row r="148" spans="1:14" ht="20.25" x14ac:dyDescent="0.25">
      <c r="A148" s="1">
        <v>27</v>
      </c>
      <c r="B148" s="1"/>
      <c r="C148" s="1" t="s">
        <v>490</v>
      </c>
      <c r="D148" s="1"/>
      <c r="E148" s="1"/>
      <c r="F148" s="1" t="s">
        <v>491</v>
      </c>
      <c r="G148" s="1">
        <v>2</v>
      </c>
      <c r="H148" s="1" t="s">
        <v>474</v>
      </c>
      <c r="I148" s="1" t="s">
        <v>459</v>
      </c>
      <c r="J148" s="1">
        <v>0.2</v>
      </c>
      <c r="K148" s="1">
        <v>0.4</v>
      </c>
      <c r="L148" s="42">
        <v>1</v>
      </c>
      <c r="M148" s="43">
        <v>45874</v>
      </c>
      <c r="N148" s="1" t="e">
        <f>VLOOKUP(B148,MICRO!E:L,8,0)</f>
        <v>#N/A</v>
      </c>
    </row>
    <row r="149" spans="1:14" ht="20.25" x14ac:dyDescent="0.25">
      <c r="A149" s="1">
        <v>1</v>
      </c>
      <c r="B149" s="1">
        <v>1684</v>
      </c>
      <c r="C149" s="1" t="s">
        <v>118</v>
      </c>
      <c r="D149" s="1">
        <v>266019</v>
      </c>
      <c r="E149" s="1"/>
      <c r="F149" s="1" t="s">
        <v>298</v>
      </c>
      <c r="G149" s="1">
        <v>32</v>
      </c>
      <c r="H149" s="1" t="s">
        <v>19</v>
      </c>
      <c r="I149" s="1" t="s">
        <v>253</v>
      </c>
      <c r="J149" s="1">
        <v>6</v>
      </c>
      <c r="K149" s="1">
        <v>192</v>
      </c>
      <c r="L149" s="42">
        <v>13</v>
      </c>
      <c r="M149" s="43">
        <v>45887</v>
      </c>
      <c r="N149" s="1" t="e">
        <f>VLOOKUP(B149,MICRO!E:L,8,0)</f>
        <v>#N/A</v>
      </c>
    </row>
    <row r="150" spans="1:14" ht="20.25" x14ac:dyDescent="0.25">
      <c r="A150" s="1">
        <v>4</v>
      </c>
      <c r="B150" s="1">
        <v>1688</v>
      </c>
      <c r="C150" s="1" t="s">
        <v>116</v>
      </c>
      <c r="D150" s="1">
        <v>266024</v>
      </c>
      <c r="E150" s="1"/>
      <c r="F150" s="1" t="s">
        <v>299</v>
      </c>
      <c r="G150" s="1">
        <v>186</v>
      </c>
      <c r="H150" s="1" t="s">
        <v>19</v>
      </c>
      <c r="I150" s="1" t="s">
        <v>253</v>
      </c>
      <c r="J150" s="1">
        <v>19.8</v>
      </c>
      <c r="K150" s="1">
        <v>3682.8</v>
      </c>
      <c r="L150" s="42">
        <v>13</v>
      </c>
      <c r="M150" s="43">
        <v>45887</v>
      </c>
      <c r="N150" s="1" t="e">
        <f>VLOOKUP(B150,MICRO!E:L,8,0)</f>
        <v>#N/A</v>
      </c>
    </row>
    <row r="151" spans="1:14" ht="20.25" x14ac:dyDescent="0.25">
      <c r="A151" s="115">
        <v>1</v>
      </c>
      <c r="B151" s="115">
        <v>1789</v>
      </c>
      <c r="C151" s="115" t="s">
        <v>118</v>
      </c>
      <c r="D151" s="115"/>
      <c r="E151" s="115"/>
      <c r="F151" s="115" t="s">
        <v>431</v>
      </c>
      <c r="G151" s="115">
        <v>76</v>
      </c>
      <c r="H151" s="115" t="s">
        <v>19</v>
      </c>
      <c r="I151" s="115" t="s">
        <v>497</v>
      </c>
      <c r="J151" s="115">
        <v>8.1</v>
      </c>
      <c r="K151" s="115">
        <v>615.6</v>
      </c>
      <c r="L151" s="116">
        <v>1</v>
      </c>
      <c r="M151" s="117">
        <v>45887</v>
      </c>
      <c r="N151" s="115" t="e">
        <f>VLOOKUP(B151,MICRO!E:L,8,0)</f>
        <v>#N/A</v>
      </c>
    </row>
    <row r="152" spans="1:14" ht="20.25" x14ac:dyDescent="0.25">
      <c r="A152" s="115">
        <v>2</v>
      </c>
      <c r="B152" s="115">
        <v>1790</v>
      </c>
      <c r="C152" s="115" t="s">
        <v>165</v>
      </c>
      <c r="D152" s="115"/>
      <c r="E152" s="115" t="s">
        <v>2</v>
      </c>
      <c r="F152" s="115" t="s">
        <v>166</v>
      </c>
      <c r="G152" s="115">
        <v>2</v>
      </c>
      <c r="H152" s="115" t="s">
        <v>19</v>
      </c>
      <c r="I152" s="115" t="s">
        <v>497</v>
      </c>
      <c r="J152" s="115">
        <v>27.6</v>
      </c>
      <c r="K152" s="115">
        <v>55.2</v>
      </c>
      <c r="L152" s="116">
        <v>1</v>
      </c>
      <c r="M152" s="117">
        <v>45887</v>
      </c>
      <c r="N152" s="115" t="e">
        <f>VLOOKUP(B152,MICRO!E:L,8,0)</f>
        <v>#N/A</v>
      </c>
    </row>
    <row r="153" spans="1:14" ht="20.25" x14ac:dyDescent="0.25">
      <c r="A153" s="1">
        <v>1</v>
      </c>
      <c r="B153" s="1">
        <v>1791</v>
      </c>
      <c r="C153" s="1" t="s">
        <v>112</v>
      </c>
      <c r="D153" s="1"/>
      <c r="E153" s="1"/>
      <c r="F153" s="1" t="s">
        <v>432</v>
      </c>
      <c r="G153" s="1">
        <v>118</v>
      </c>
      <c r="H153" s="1" t="s">
        <v>19</v>
      </c>
      <c r="I153" s="1" t="s">
        <v>498</v>
      </c>
      <c r="J153" s="1">
        <v>16</v>
      </c>
      <c r="K153" s="1">
        <v>1888</v>
      </c>
      <c r="L153" s="42">
        <v>1</v>
      </c>
      <c r="M153" s="43">
        <v>45887</v>
      </c>
      <c r="N153" s="1" t="e">
        <f>VLOOKUP(B153,MICRO!E:L,8,0)</f>
        <v>#N/A</v>
      </c>
    </row>
    <row r="154" spans="1:14" ht="20.25" x14ac:dyDescent="0.25">
      <c r="A154" s="1">
        <v>3</v>
      </c>
      <c r="B154" s="1">
        <v>1753</v>
      </c>
      <c r="C154" s="1" t="s">
        <v>118</v>
      </c>
      <c r="D154" s="1">
        <v>266019</v>
      </c>
      <c r="E154" s="1"/>
      <c r="F154" s="1" t="s">
        <v>499</v>
      </c>
      <c r="G154" s="1">
        <v>50</v>
      </c>
      <c r="H154" s="1" t="s">
        <v>19</v>
      </c>
      <c r="I154" s="1" t="s">
        <v>407</v>
      </c>
      <c r="J154" s="1">
        <v>6</v>
      </c>
      <c r="K154" s="1">
        <v>300</v>
      </c>
      <c r="L154" s="42">
        <v>4</v>
      </c>
      <c r="M154" s="43">
        <v>45887</v>
      </c>
      <c r="N154" s="1" t="e">
        <f>VLOOKUP(B154,MICRO!E:L,8,0)</f>
        <v>#N/A</v>
      </c>
    </row>
    <row r="155" spans="1:14" ht="20.25" x14ac:dyDescent="0.25">
      <c r="A155" s="1">
        <v>5</v>
      </c>
      <c r="B155" s="1">
        <v>1749</v>
      </c>
      <c r="C155" s="1" t="s">
        <v>112</v>
      </c>
      <c r="D155" s="1">
        <v>266030</v>
      </c>
      <c r="E155" s="1"/>
      <c r="F155" s="1" t="s">
        <v>449</v>
      </c>
      <c r="G155" s="1">
        <v>17</v>
      </c>
      <c r="H155" s="1" t="s">
        <v>19</v>
      </c>
      <c r="I155" s="1" t="s">
        <v>407</v>
      </c>
      <c r="J155" s="1">
        <v>16.2</v>
      </c>
      <c r="K155" s="1">
        <v>275.39999999999998</v>
      </c>
      <c r="L155" s="42">
        <v>4</v>
      </c>
      <c r="M155" s="43">
        <v>45887</v>
      </c>
      <c r="N155" s="1" t="e">
        <f>VLOOKUP(B155,MICRO!E:L,8,0)</f>
        <v>#N/A</v>
      </c>
    </row>
    <row r="156" spans="1:14" ht="20.25" x14ac:dyDescent="0.25">
      <c r="A156" s="1">
        <v>9</v>
      </c>
      <c r="B156" s="1">
        <v>1749</v>
      </c>
      <c r="C156" s="1" t="s">
        <v>112</v>
      </c>
      <c r="D156" s="1">
        <v>266411</v>
      </c>
      <c r="E156" s="1"/>
      <c r="F156" s="1" t="s">
        <v>449</v>
      </c>
      <c r="G156" s="1">
        <v>60</v>
      </c>
      <c r="H156" s="1" t="s">
        <v>19</v>
      </c>
      <c r="I156" s="1" t="s">
        <v>407</v>
      </c>
      <c r="J156" s="1">
        <v>16.2</v>
      </c>
      <c r="K156" s="1">
        <v>972</v>
      </c>
      <c r="L156" s="42">
        <v>4</v>
      </c>
      <c r="M156" s="43">
        <v>45887</v>
      </c>
      <c r="N156" s="1" t="e">
        <f>VLOOKUP(B156,MICRO!E:L,8,0)</f>
        <v>#N/A</v>
      </c>
    </row>
    <row r="157" spans="1:14" ht="20.25" x14ac:dyDescent="0.25">
      <c r="A157" s="1">
        <v>15</v>
      </c>
      <c r="B157" s="1">
        <v>1749</v>
      </c>
      <c r="C157" s="1" t="s">
        <v>112</v>
      </c>
      <c r="D157" s="1">
        <v>266027</v>
      </c>
      <c r="E157" s="1"/>
      <c r="F157" s="1" t="s">
        <v>449</v>
      </c>
      <c r="G157" s="1">
        <v>164</v>
      </c>
      <c r="H157" s="1" t="s">
        <v>19</v>
      </c>
      <c r="I157" s="1" t="s">
        <v>407</v>
      </c>
      <c r="J157" s="1">
        <v>16.2</v>
      </c>
      <c r="K157" s="1">
        <v>2656.7999999999997</v>
      </c>
      <c r="L157" s="42">
        <v>4</v>
      </c>
      <c r="M157" s="43">
        <v>45887</v>
      </c>
      <c r="N157" s="1" t="e">
        <f>VLOOKUP(B157,MICRO!E:L,8,0)</f>
        <v>#N/A</v>
      </c>
    </row>
    <row r="158" spans="1:14" ht="20.25" x14ac:dyDescent="0.25">
      <c r="A158" s="1">
        <v>1</v>
      </c>
      <c r="B158" s="1">
        <v>1756</v>
      </c>
      <c r="C158" s="1" t="s">
        <v>391</v>
      </c>
      <c r="D158" s="1" t="s">
        <v>391</v>
      </c>
      <c r="E158" s="1"/>
      <c r="F158" s="1" t="s">
        <v>392</v>
      </c>
      <c r="G158" s="1">
        <v>1</v>
      </c>
      <c r="H158" s="1" t="s">
        <v>19</v>
      </c>
      <c r="I158" s="1" t="s">
        <v>393</v>
      </c>
      <c r="J158" s="1">
        <v>182.5</v>
      </c>
      <c r="K158" s="1">
        <v>182.5</v>
      </c>
      <c r="L158" s="42">
        <v>1</v>
      </c>
      <c r="M158" s="43">
        <v>45889</v>
      </c>
      <c r="N158" s="1" t="e">
        <f>VLOOKUP(B158,MICRO!E:L,8,0)</f>
        <v>#N/A</v>
      </c>
    </row>
    <row r="159" spans="1:14" ht="20.25" x14ac:dyDescent="0.25">
      <c r="A159" s="1">
        <v>2</v>
      </c>
      <c r="B159" s="1">
        <v>1757</v>
      </c>
      <c r="C159" s="1" t="s">
        <v>391</v>
      </c>
      <c r="D159" s="1" t="s">
        <v>391</v>
      </c>
      <c r="E159" s="1"/>
      <c r="F159" s="1" t="s">
        <v>392</v>
      </c>
      <c r="G159" s="1">
        <v>1</v>
      </c>
      <c r="H159" s="1" t="s">
        <v>19</v>
      </c>
      <c r="I159" s="1" t="s">
        <v>394</v>
      </c>
      <c r="J159" s="1">
        <v>182.5</v>
      </c>
      <c r="K159" s="1">
        <v>182.5</v>
      </c>
      <c r="L159" s="42">
        <v>1</v>
      </c>
      <c r="M159" s="43">
        <v>45889</v>
      </c>
      <c r="N159" s="1" t="e">
        <f>VLOOKUP(B159,MICRO!E:L,8,0)</f>
        <v>#N/A</v>
      </c>
    </row>
    <row r="160" spans="1:14" ht="20.25" x14ac:dyDescent="0.25">
      <c r="A160" s="1">
        <v>3</v>
      </c>
      <c r="B160" s="1">
        <v>1758</v>
      </c>
      <c r="C160" s="1" t="s">
        <v>391</v>
      </c>
      <c r="D160" s="1" t="s">
        <v>391</v>
      </c>
      <c r="E160" s="1"/>
      <c r="F160" s="1" t="s">
        <v>392</v>
      </c>
      <c r="G160" s="1">
        <v>1</v>
      </c>
      <c r="H160" s="1" t="s">
        <v>19</v>
      </c>
      <c r="I160" s="1" t="s">
        <v>396</v>
      </c>
      <c r="J160" s="1">
        <v>182.5</v>
      </c>
      <c r="K160" s="1">
        <v>182.5</v>
      </c>
      <c r="L160" s="42">
        <v>1</v>
      </c>
      <c r="M160" s="43">
        <v>45889</v>
      </c>
      <c r="N160" s="1" t="e">
        <f>VLOOKUP(B160,MICRO!E:L,8,0)</f>
        <v>#N/A</v>
      </c>
    </row>
    <row r="161" spans="1:14" ht="20.25" x14ac:dyDescent="0.25">
      <c r="A161" s="1">
        <v>4</v>
      </c>
      <c r="B161" s="1">
        <v>1759</v>
      </c>
      <c r="C161" s="1" t="s">
        <v>391</v>
      </c>
      <c r="D161" s="1" t="s">
        <v>391</v>
      </c>
      <c r="E161" s="1"/>
      <c r="F161" s="1" t="s">
        <v>392</v>
      </c>
      <c r="G161" s="1">
        <v>1</v>
      </c>
      <c r="H161" s="1" t="s">
        <v>19</v>
      </c>
      <c r="I161" s="1" t="s">
        <v>395</v>
      </c>
      <c r="J161" s="1">
        <v>182.5</v>
      </c>
      <c r="K161" s="1">
        <v>182.5</v>
      </c>
      <c r="L161" s="42">
        <v>1</v>
      </c>
      <c r="M161" s="43">
        <v>45889</v>
      </c>
      <c r="N161" s="1" t="e">
        <f>VLOOKUP(B161,MICRO!E:L,8,0)</f>
        <v>#N/A</v>
      </c>
    </row>
    <row r="162" spans="1:14" ht="20.25" x14ac:dyDescent="0.25">
      <c r="A162" s="1">
        <v>5</v>
      </c>
      <c r="B162" s="1">
        <v>1760</v>
      </c>
      <c r="C162" s="1" t="s">
        <v>495</v>
      </c>
      <c r="D162" s="1" t="s">
        <v>495</v>
      </c>
      <c r="E162" s="1"/>
      <c r="F162" s="1" t="s">
        <v>172</v>
      </c>
      <c r="G162" s="1">
        <v>1</v>
      </c>
      <c r="H162" s="1" t="s">
        <v>19</v>
      </c>
      <c r="I162" s="1" t="s">
        <v>393</v>
      </c>
      <c r="J162" s="1">
        <v>228</v>
      </c>
      <c r="K162" s="1">
        <v>228</v>
      </c>
      <c r="L162" s="42">
        <v>1</v>
      </c>
      <c r="M162" s="43">
        <v>45889</v>
      </c>
      <c r="N162" s="1" t="e">
        <f>VLOOKUP(B162,MICRO!E:L,8,0)</f>
        <v>#N/A</v>
      </c>
    </row>
    <row r="163" spans="1:14" ht="20.25" x14ac:dyDescent="0.25">
      <c r="A163" s="1">
        <v>6</v>
      </c>
      <c r="B163" s="1">
        <v>1761</v>
      </c>
      <c r="C163" s="1" t="s">
        <v>495</v>
      </c>
      <c r="D163" s="1" t="s">
        <v>495</v>
      </c>
      <c r="E163" s="1"/>
      <c r="F163" s="1" t="s">
        <v>172</v>
      </c>
      <c r="G163" s="1">
        <v>1</v>
      </c>
      <c r="H163" s="1" t="s">
        <v>19</v>
      </c>
      <c r="I163" s="1" t="s">
        <v>394</v>
      </c>
      <c r="J163" s="1">
        <v>228</v>
      </c>
      <c r="K163" s="1">
        <v>228</v>
      </c>
      <c r="L163" s="42">
        <v>1</v>
      </c>
      <c r="M163" s="43">
        <v>45889</v>
      </c>
      <c r="N163" s="1" t="e">
        <f>VLOOKUP(B163,MICRO!E:L,8,0)</f>
        <v>#N/A</v>
      </c>
    </row>
    <row r="164" spans="1:14" ht="20.25" x14ac:dyDescent="0.25">
      <c r="A164" s="1">
        <v>7</v>
      </c>
      <c r="B164" s="1">
        <v>1762</v>
      </c>
      <c r="C164" s="1" t="s">
        <v>495</v>
      </c>
      <c r="D164" s="1" t="s">
        <v>495</v>
      </c>
      <c r="E164" s="1"/>
      <c r="F164" s="1" t="s">
        <v>172</v>
      </c>
      <c r="G164" s="1">
        <v>1</v>
      </c>
      <c r="H164" s="1" t="s">
        <v>19</v>
      </c>
      <c r="I164" s="1" t="s">
        <v>396</v>
      </c>
      <c r="J164" s="1">
        <v>228</v>
      </c>
      <c r="K164" s="1">
        <v>228</v>
      </c>
      <c r="L164" s="42">
        <v>1</v>
      </c>
      <c r="M164" s="43">
        <v>45889</v>
      </c>
      <c r="N164" s="1" t="e">
        <f>VLOOKUP(B164,MICRO!E:L,8,0)</f>
        <v>#N/A</v>
      </c>
    </row>
    <row r="165" spans="1:14" ht="20.25" x14ac:dyDescent="0.25">
      <c r="A165" s="1">
        <v>8</v>
      </c>
      <c r="B165" s="1">
        <v>1763</v>
      </c>
      <c r="C165" s="1" t="s">
        <v>495</v>
      </c>
      <c r="D165" s="1" t="s">
        <v>495</v>
      </c>
      <c r="E165" s="1"/>
      <c r="F165" s="1" t="s">
        <v>172</v>
      </c>
      <c r="G165" s="1">
        <v>1</v>
      </c>
      <c r="H165" s="1" t="s">
        <v>19</v>
      </c>
      <c r="I165" s="1" t="s">
        <v>395</v>
      </c>
      <c r="J165" s="1">
        <v>228</v>
      </c>
      <c r="K165" s="1">
        <v>228</v>
      </c>
      <c r="L165" s="42">
        <v>1</v>
      </c>
      <c r="M165" s="43">
        <v>45889</v>
      </c>
      <c r="N165" s="1" t="e">
        <f>VLOOKUP(B165,MICRO!E:L,8,0)</f>
        <v>#N/A</v>
      </c>
    </row>
    <row r="166" spans="1:14" ht="20.25" x14ac:dyDescent="0.25">
      <c r="A166" s="1">
        <v>9</v>
      </c>
      <c r="B166" s="1"/>
      <c r="C166" s="1" t="s">
        <v>507</v>
      </c>
      <c r="D166" s="1"/>
      <c r="E166" s="1"/>
      <c r="F166" s="1" t="s">
        <v>508</v>
      </c>
      <c r="G166" s="1">
        <v>4</v>
      </c>
      <c r="H166" s="1" t="s">
        <v>19</v>
      </c>
      <c r="I166" s="1" t="s">
        <v>509</v>
      </c>
      <c r="J166" s="1">
        <v>21.9</v>
      </c>
      <c r="K166" s="1">
        <v>87.6</v>
      </c>
      <c r="L166" s="42">
        <v>1</v>
      </c>
      <c r="M166" s="43">
        <v>45889</v>
      </c>
      <c r="N166" s="1" t="e">
        <f>VLOOKUP(B166,MICRO!E:L,8,0)</f>
        <v>#N/A</v>
      </c>
    </row>
    <row r="167" spans="1:14" ht="20.25" x14ac:dyDescent="0.25">
      <c r="A167" s="1">
        <v>1</v>
      </c>
      <c r="B167" s="1">
        <v>1765</v>
      </c>
      <c r="C167" s="1" t="s">
        <v>127</v>
      </c>
      <c r="D167" s="1"/>
      <c r="E167" s="1"/>
      <c r="F167" s="1" t="s">
        <v>128</v>
      </c>
      <c r="G167" s="1">
        <v>3</v>
      </c>
      <c r="H167" s="1" t="s">
        <v>19</v>
      </c>
      <c r="I167" s="1" t="s">
        <v>554</v>
      </c>
      <c r="J167" s="1">
        <v>18</v>
      </c>
      <c r="K167" s="1">
        <v>54</v>
      </c>
      <c r="L167" s="42">
        <v>1</v>
      </c>
      <c r="M167" s="43">
        <v>45891</v>
      </c>
      <c r="N167" s="1" t="e">
        <f>VLOOKUP(B167,MICRO!E:L,8,0)</f>
        <v>#N/A</v>
      </c>
    </row>
    <row r="168" spans="1:14" ht="20.25" x14ac:dyDescent="0.25">
      <c r="A168" s="1">
        <v>1</v>
      </c>
      <c r="B168" s="1">
        <v>1827</v>
      </c>
      <c r="C168" s="1" t="s">
        <v>520</v>
      </c>
      <c r="D168" s="1" t="s">
        <v>520</v>
      </c>
      <c r="E168" s="1"/>
      <c r="F168" s="1" t="s">
        <v>521</v>
      </c>
      <c r="G168" s="1">
        <v>10</v>
      </c>
      <c r="H168" s="1" t="s">
        <v>19</v>
      </c>
      <c r="I168" s="1" t="s">
        <v>561</v>
      </c>
      <c r="J168" s="1">
        <v>6</v>
      </c>
      <c r="K168" s="1">
        <v>60</v>
      </c>
      <c r="L168" s="42">
        <v>1</v>
      </c>
      <c r="M168" s="43">
        <v>45905</v>
      </c>
      <c r="N168" s="1" t="e">
        <f>VLOOKUP(B168,MICRO!E:L,8,0)</f>
        <v>#N/A</v>
      </c>
    </row>
    <row r="169" spans="1:14" ht="20.25" x14ac:dyDescent="0.25">
      <c r="A169" s="1">
        <v>1</v>
      </c>
      <c r="B169" s="1">
        <v>1821</v>
      </c>
      <c r="C169" s="1"/>
      <c r="D169" s="1"/>
      <c r="E169" s="1"/>
      <c r="F169" s="1" t="s">
        <v>510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2">
        <v>1</v>
      </c>
      <c r="M169" s="43">
        <v>45905</v>
      </c>
      <c r="N169" s="1" t="e">
        <f>VLOOKUP(B169,MICRO!E:L,8,0)</f>
        <v>#N/A</v>
      </c>
    </row>
    <row r="170" spans="1:14" ht="20.25" x14ac:dyDescent="0.25">
      <c r="A170" s="1">
        <v>1</v>
      </c>
      <c r="B170" s="1">
        <v>1791</v>
      </c>
      <c r="C170" s="1" t="s">
        <v>112</v>
      </c>
      <c r="D170" s="1" t="s">
        <v>562</v>
      </c>
      <c r="E170" s="1"/>
      <c r="F170" s="1" t="s">
        <v>432</v>
      </c>
      <c r="G170" s="1">
        <v>182</v>
      </c>
      <c r="H170" s="1" t="s">
        <v>19</v>
      </c>
      <c r="I170" s="1" t="s">
        <v>498</v>
      </c>
      <c r="J170" s="1">
        <v>16</v>
      </c>
      <c r="K170" s="1">
        <v>2912</v>
      </c>
      <c r="L170" s="42">
        <v>2</v>
      </c>
      <c r="M170" s="43">
        <v>45905</v>
      </c>
      <c r="N170" s="1" t="e">
        <f>VLOOKUP(B170,MICRO!E:L,8,0)</f>
        <v>#N/A</v>
      </c>
    </row>
    <row r="171" spans="1:14" ht="20.25" x14ac:dyDescent="0.25">
      <c r="A171" s="1">
        <v>1</v>
      </c>
      <c r="B171" s="1">
        <v>1822</v>
      </c>
      <c r="C171" s="1" t="s">
        <v>511</v>
      </c>
      <c r="D171" s="1"/>
      <c r="E171" s="1"/>
      <c r="F171" s="1" t="s">
        <v>512</v>
      </c>
      <c r="G171" s="1">
        <v>2</v>
      </c>
      <c r="H171" s="1" t="s">
        <v>19</v>
      </c>
      <c r="I171" s="1" t="s">
        <v>563</v>
      </c>
      <c r="J171" s="1">
        <v>160</v>
      </c>
      <c r="K171" s="1">
        <f>Tabela1[[#This Row],[PESO UNI]]*Tabela1[[#This Row],[QTE]]</f>
        <v>1137.2</v>
      </c>
      <c r="L171" s="42">
        <v>1</v>
      </c>
      <c r="M171" s="43">
        <v>45905</v>
      </c>
      <c r="N171" s="1" t="e">
        <f>VLOOKUP(B171,MICRO!E:L,8,0)</f>
        <v>#N/A</v>
      </c>
    </row>
    <row r="172" spans="1:14" ht="20.25" x14ac:dyDescent="0.25">
      <c r="A172" s="1">
        <v>2</v>
      </c>
      <c r="B172" s="1">
        <v>1823</v>
      </c>
      <c r="C172" s="1" t="s">
        <v>513</v>
      </c>
      <c r="D172" s="1"/>
      <c r="E172" s="1"/>
      <c r="F172" s="1" t="s">
        <v>514</v>
      </c>
      <c r="G172" s="1">
        <v>40</v>
      </c>
      <c r="H172" s="1" t="s">
        <v>19</v>
      </c>
      <c r="I172" s="1" t="s">
        <v>563</v>
      </c>
      <c r="J172" s="1">
        <v>0.38</v>
      </c>
      <c r="K172" s="1">
        <f>Tabela1[[#This Row],[PESO UNI]]*Tabela1[[#This Row],[QTE]]</f>
        <v>142.19999999999999</v>
      </c>
      <c r="L172" s="42">
        <v>1</v>
      </c>
      <c r="M172" s="43">
        <v>45905</v>
      </c>
      <c r="N172" s="1" t="e">
        <f>VLOOKUP(B172,MICRO!E:L,8,0)</f>
        <v>#N/A</v>
      </c>
    </row>
    <row r="173" spans="1:14" ht="20.25" x14ac:dyDescent="0.25">
      <c r="A173" s="1">
        <v>3</v>
      </c>
      <c r="B173" s="1">
        <v>1824</v>
      </c>
      <c r="C173" s="1" t="s">
        <v>513</v>
      </c>
      <c r="D173" s="1"/>
      <c r="E173" s="1"/>
      <c r="F173" s="1" t="s">
        <v>515</v>
      </c>
      <c r="G173" s="1">
        <v>40</v>
      </c>
      <c r="H173" s="1" t="s">
        <v>19</v>
      </c>
      <c r="I173" s="1" t="s">
        <v>563</v>
      </c>
      <c r="J173" s="1">
        <v>0.11</v>
      </c>
      <c r="K173" s="1">
        <f>Tabela1[[#This Row],[PESO UNI]]*Tabela1[[#This Row],[QTE]]</f>
        <v>295.39999999999998</v>
      </c>
      <c r="L173" s="42">
        <v>1</v>
      </c>
      <c r="M173" s="43">
        <v>45905</v>
      </c>
      <c r="N173" s="1" t="e">
        <f>VLOOKUP(B173,MICRO!E:L,8,0)</f>
        <v>#N/A</v>
      </c>
    </row>
    <row r="174" spans="1:14" ht="20.25" x14ac:dyDescent="0.25">
      <c r="A174" s="1">
        <v>4</v>
      </c>
      <c r="B174" s="1">
        <v>1825</v>
      </c>
      <c r="C174" s="1" t="s">
        <v>513</v>
      </c>
      <c r="D174" s="1"/>
      <c r="E174" s="1"/>
      <c r="F174" s="1" t="s">
        <v>516</v>
      </c>
      <c r="G174" s="1">
        <v>40</v>
      </c>
      <c r="H174" s="1" t="s">
        <v>19</v>
      </c>
      <c r="I174" s="1" t="s">
        <v>563</v>
      </c>
      <c r="J174" s="1">
        <v>0.05</v>
      </c>
      <c r="K174" s="1">
        <f>Tabela1[[#This Row],[PESO UNI]]*Tabela1[[#This Row],[QTE]]</f>
        <v>950.5</v>
      </c>
      <c r="L174" s="42">
        <v>1</v>
      </c>
      <c r="M174" s="43">
        <v>45905</v>
      </c>
      <c r="N174" s="1" t="e">
        <f>VLOOKUP(B174,MICRO!E:L,8,0)</f>
        <v>#N/A</v>
      </c>
    </row>
    <row r="175" spans="1:14" ht="20.25" x14ac:dyDescent="0.25">
      <c r="A175" s="1">
        <v>1</v>
      </c>
      <c r="B175" s="1">
        <v>1848</v>
      </c>
      <c r="C175" s="1" t="s">
        <v>83</v>
      </c>
      <c r="D175" s="1"/>
      <c r="E175" s="1"/>
      <c r="F175" s="1" t="s">
        <v>415</v>
      </c>
      <c r="G175" s="1">
        <v>5</v>
      </c>
      <c r="H175" s="1" t="s">
        <v>19</v>
      </c>
      <c r="I175" s="1" t="s">
        <v>564</v>
      </c>
      <c r="J175" s="1">
        <v>6</v>
      </c>
      <c r="K175" s="1">
        <v>30</v>
      </c>
      <c r="L175" s="42">
        <v>1</v>
      </c>
      <c r="M175" s="43">
        <v>45905</v>
      </c>
      <c r="N175" s="1" t="e">
        <f>VLOOKUP(B175,MICRO!E:L,8,0)</f>
        <v>#N/A</v>
      </c>
    </row>
    <row r="176" spans="1:14" ht="20.25" x14ac:dyDescent="0.25">
      <c r="A176" s="1">
        <v>1</v>
      </c>
      <c r="B176" s="1">
        <v>1850</v>
      </c>
      <c r="C176" s="1" t="s">
        <v>174</v>
      </c>
      <c r="D176" s="1" t="s">
        <v>174</v>
      </c>
      <c r="E176" s="1"/>
      <c r="F176" s="1" t="s">
        <v>553</v>
      </c>
      <c r="G176" s="1">
        <v>10</v>
      </c>
      <c r="H176" s="1" t="s">
        <v>19</v>
      </c>
      <c r="I176" s="1" t="s">
        <v>565</v>
      </c>
      <c r="J176" s="1">
        <v>0.77</v>
      </c>
      <c r="K176" s="1">
        <v>7.7</v>
      </c>
      <c r="L176" s="42">
        <v>1</v>
      </c>
      <c r="M176" s="43">
        <v>45905</v>
      </c>
      <c r="N176" s="1" t="e">
        <f>VLOOKUP(B176,MICRO!E:L,8,0)</f>
        <v>#N/A</v>
      </c>
    </row>
    <row r="177" spans="1:14" ht="20.25" x14ac:dyDescent="0.25">
      <c r="A177" s="1">
        <v>1</v>
      </c>
      <c r="B177" s="1">
        <v>1847</v>
      </c>
      <c r="C177" s="1" t="s">
        <v>76</v>
      </c>
      <c r="D177" s="1" t="s">
        <v>76</v>
      </c>
      <c r="E177" s="1"/>
      <c r="F177" s="1" t="s">
        <v>398</v>
      </c>
      <c r="G177" s="1">
        <v>25</v>
      </c>
      <c r="H177" s="1" t="s">
        <v>19</v>
      </c>
      <c r="I177" s="1" t="s">
        <v>566</v>
      </c>
      <c r="J177" s="1">
        <v>6</v>
      </c>
      <c r="K177" s="1">
        <v>150</v>
      </c>
      <c r="L177" s="42">
        <v>1</v>
      </c>
      <c r="M177" s="43">
        <v>45905</v>
      </c>
      <c r="N177" s="1" t="e">
        <f>VLOOKUP(B177,MICRO!E:L,8,0)</f>
        <v>#N/A</v>
      </c>
    </row>
    <row r="178" spans="1:14" ht="20.25" x14ac:dyDescent="0.25">
      <c r="A178" s="1">
        <v>1</v>
      </c>
      <c r="B178" s="1">
        <v>1789</v>
      </c>
      <c r="C178" s="1" t="s">
        <v>118</v>
      </c>
      <c r="D178" s="1" t="s">
        <v>118</v>
      </c>
      <c r="E178" s="1"/>
      <c r="F178" s="1" t="s">
        <v>431</v>
      </c>
      <c r="G178" s="1">
        <v>94</v>
      </c>
      <c r="H178" s="1" t="s">
        <v>19</v>
      </c>
      <c r="I178" s="1" t="s">
        <v>497</v>
      </c>
      <c r="J178" s="1">
        <v>8.1</v>
      </c>
      <c r="K178" s="1">
        <v>761.4</v>
      </c>
      <c r="L178" s="42">
        <v>2</v>
      </c>
      <c r="M178" s="43">
        <v>45905</v>
      </c>
      <c r="N178" s="1" t="e">
        <f>VLOOKUP(B178,MICRO!E:L,8,0)</f>
        <v>#N/A</v>
      </c>
    </row>
    <row r="179" spans="1:14" ht="20.25" x14ac:dyDescent="0.25">
      <c r="A179" s="1">
        <v>4</v>
      </c>
      <c r="B179" s="1">
        <v>1688</v>
      </c>
      <c r="C179" s="1" t="s">
        <v>116</v>
      </c>
      <c r="D179" s="1">
        <v>266024</v>
      </c>
      <c r="E179" s="1"/>
      <c r="F179" s="1" t="s">
        <v>299</v>
      </c>
      <c r="G179" s="1">
        <v>33</v>
      </c>
      <c r="H179" s="1" t="s">
        <v>19</v>
      </c>
      <c r="I179" s="1" t="s">
        <v>253</v>
      </c>
      <c r="J179" s="1">
        <v>15.97</v>
      </c>
      <c r="K179" s="1">
        <v>527.01</v>
      </c>
      <c r="L179" s="42">
        <v>14</v>
      </c>
      <c r="M179" s="43">
        <v>45905</v>
      </c>
      <c r="N179" s="1" t="e">
        <f>VLOOKUP(B179,MICRO!E:L,8,0)</f>
        <v>#N/A</v>
      </c>
    </row>
    <row r="180" spans="1:14" ht="20.25" x14ac:dyDescent="0.25">
      <c r="A180" s="1">
        <v>1</v>
      </c>
      <c r="B180" s="1">
        <v>1828</v>
      </c>
      <c r="C180" s="1" t="s">
        <v>513</v>
      </c>
      <c r="D180" s="1"/>
      <c r="E180" s="1"/>
      <c r="F180" s="1" t="s">
        <v>523</v>
      </c>
      <c r="G180" s="1">
        <v>1</v>
      </c>
      <c r="H180" s="1" t="s">
        <v>19</v>
      </c>
      <c r="I180" s="1" t="s">
        <v>683</v>
      </c>
      <c r="J180" s="1">
        <v>395.5</v>
      </c>
      <c r="K180" s="1">
        <v>395.5</v>
      </c>
      <c r="L180" s="42">
        <v>1</v>
      </c>
      <c r="M180" s="43">
        <v>45916</v>
      </c>
      <c r="N180" s="1" t="e">
        <f>VLOOKUP(B180,MICRO!E:L,8,0)</f>
        <v>#N/A</v>
      </c>
    </row>
    <row r="181" spans="1:14" ht="20.25" x14ac:dyDescent="0.25">
      <c r="A181" s="1">
        <v>2</v>
      </c>
      <c r="B181" s="1">
        <v>1829</v>
      </c>
      <c r="C181" s="1" t="s">
        <v>513</v>
      </c>
      <c r="D181" s="1"/>
      <c r="E181" s="1"/>
      <c r="F181" s="1" t="s">
        <v>524</v>
      </c>
      <c r="G181" s="1">
        <v>1</v>
      </c>
      <c r="H181" s="1" t="s">
        <v>19</v>
      </c>
      <c r="I181" s="1" t="s">
        <v>683</v>
      </c>
      <c r="J181" s="1">
        <v>395.5</v>
      </c>
      <c r="K181" s="1">
        <v>395.5</v>
      </c>
      <c r="L181" s="42">
        <v>1</v>
      </c>
      <c r="M181" s="43">
        <v>45916</v>
      </c>
      <c r="N181" s="1" t="e">
        <f>VLOOKUP(B181,MICRO!E:L,8,0)</f>
        <v>#N/A</v>
      </c>
    </row>
    <row r="182" spans="1:14" ht="20.25" x14ac:dyDescent="0.25">
      <c r="A182" s="1">
        <v>3</v>
      </c>
      <c r="B182" s="1">
        <v>1830</v>
      </c>
      <c r="C182" s="1" t="s">
        <v>526</v>
      </c>
      <c r="D182" s="1"/>
      <c r="E182" s="1"/>
      <c r="F182" s="1" t="s">
        <v>527</v>
      </c>
      <c r="G182" s="1">
        <v>2</v>
      </c>
      <c r="H182" s="1" t="s">
        <v>19</v>
      </c>
      <c r="I182" s="1" t="s">
        <v>683</v>
      </c>
      <c r="J182" s="1">
        <v>368.6</v>
      </c>
      <c r="K182" s="1">
        <v>737.2</v>
      </c>
      <c r="L182" s="42">
        <v>1</v>
      </c>
      <c r="M182" s="43">
        <v>45916</v>
      </c>
      <c r="N182" s="1" t="e">
        <f>VLOOKUP(B182,MICRO!E:L,8,0)</f>
        <v>#N/A</v>
      </c>
    </row>
    <row r="183" spans="1:14" ht="20.25" x14ac:dyDescent="0.25">
      <c r="A183" s="1">
        <v>4</v>
      </c>
      <c r="B183" s="1">
        <v>1831</v>
      </c>
      <c r="C183" s="1" t="s">
        <v>511</v>
      </c>
      <c r="D183" s="1"/>
      <c r="E183" s="1"/>
      <c r="F183" s="1" t="s">
        <v>512</v>
      </c>
      <c r="G183" s="1">
        <v>2</v>
      </c>
      <c r="H183" s="1" t="s">
        <v>19</v>
      </c>
      <c r="I183" s="1" t="s">
        <v>683</v>
      </c>
      <c r="J183" s="1">
        <v>160</v>
      </c>
      <c r="K183" s="1">
        <v>320</v>
      </c>
      <c r="L183" s="42">
        <v>1</v>
      </c>
      <c r="M183" s="43">
        <v>45916</v>
      </c>
      <c r="N183" s="1" t="e">
        <f>VLOOKUP(B183,MICRO!E:L,8,0)</f>
        <v>#N/A</v>
      </c>
    </row>
    <row r="184" spans="1:14" ht="20.25" x14ac:dyDescent="0.25">
      <c r="A184" s="1">
        <v>5</v>
      </c>
      <c r="B184" s="1">
        <v>1832</v>
      </c>
      <c r="C184" s="1" t="s">
        <v>528</v>
      </c>
      <c r="D184" s="1"/>
      <c r="E184" s="1"/>
      <c r="F184" s="1" t="s">
        <v>529</v>
      </c>
      <c r="G184" s="1">
        <v>4</v>
      </c>
      <c r="H184" s="1" t="s">
        <v>19</v>
      </c>
      <c r="I184" s="1" t="s">
        <v>683</v>
      </c>
      <c r="J184" s="1">
        <v>8</v>
      </c>
      <c r="K184" s="1">
        <v>32</v>
      </c>
      <c r="L184" s="42">
        <v>1</v>
      </c>
      <c r="M184" s="43">
        <v>45916</v>
      </c>
      <c r="N184" s="1" t="e">
        <f>VLOOKUP(B184,MICRO!E:L,8,0)</f>
        <v>#N/A</v>
      </c>
    </row>
    <row r="185" spans="1:14" ht="20.25" x14ac:dyDescent="0.25">
      <c r="A185" s="1">
        <v>6</v>
      </c>
      <c r="B185" s="1">
        <v>1833</v>
      </c>
      <c r="C185" s="1" t="s">
        <v>530</v>
      </c>
      <c r="D185" s="1"/>
      <c r="E185" s="1"/>
      <c r="F185" s="1" t="s">
        <v>531</v>
      </c>
      <c r="G185" s="1">
        <v>4</v>
      </c>
      <c r="H185" s="1" t="s">
        <v>19</v>
      </c>
      <c r="I185" s="1" t="s">
        <v>683</v>
      </c>
      <c r="J185" s="1">
        <v>0.1</v>
      </c>
      <c r="K185" s="1">
        <v>0.4</v>
      </c>
      <c r="L185" s="42">
        <v>1</v>
      </c>
      <c r="M185" s="43">
        <v>45916</v>
      </c>
      <c r="N185" s="1" t="e">
        <f>VLOOKUP(B185,MICRO!E:L,8,0)</f>
        <v>#N/A</v>
      </c>
    </row>
    <row r="186" spans="1:14" ht="20.25" x14ac:dyDescent="0.25">
      <c r="A186" s="1">
        <v>7</v>
      </c>
      <c r="B186" s="1">
        <v>1834</v>
      </c>
      <c r="C186" s="1" t="s">
        <v>532</v>
      </c>
      <c r="D186" s="1"/>
      <c r="E186" s="1"/>
      <c r="F186" s="1" t="s">
        <v>555</v>
      </c>
      <c r="G186" s="1">
        <v>1</v>
      </c>
      <c r="H186" s="1" t="s">
        <v>19</v>
      </c>
      <c r="I186" s="1" t="s">
        <v>683</v>
      </c>
      <c r="J186" s="1">
        <v>3209</v>
      </c>
      <c r="K186" s="1">
        <v>3209</v>
      </c>
      <c r="L186" s="42">
        <v>1</v>
      </c>
      <c r="M186" s="43">
        <v>45916</v>
      </c>
      <c r="N186" s="1" t="e">
        <f>VLOOKUP(B186,MICRO!E:L,8,0)</f>
        <v>#N/A</v>
      </c>
    </row>
    <row r="187" spans="1:14" ht="20.25" x14ac:dyDescent="0.25">
      <c r="A187" s="1">
        <v>8</v>
      </c>
      <c r="B187" s="1">
        <v>1835</v>
      </c>
      <c r="C187" s="1" t="s">
        <v>533</v>
      </c>
      <c r="D187" s="1"/>
      <c r="E187" s="1"/>
      <c r="F187" s="1" t="s">
        <v>556</v>
      </c>
      <c r="G187" s="1">
        <v>1</v>
      </c>
      <c r="H187" s="1" t="s">
        <v>19</v>
      </c>
      <c r="I187" s="1" t="s">
        <v>683</v>
      </c>
      <c r="J187" s="1">
        <v>2052.1</v>
      </c>
      <c r="K187" s="1">
        <v>2052.1</v>
      </c>
      <c r="L187" s="42">
        <v>1</v>
      </c>
      <c r="M187" s="43">
        <v>45916</v>
      </c>
      <c r="N187" s="1" t="e">
        <f>VLOOKUP(B187,MICRO!E:L,8,0)</f>
        <v>#N/A</v>
      </c>
    </row>
    <row r="188" spans="1:14" ht="20.25" x14ac:dyDescent="0.25">
      <c r="A188" s="1">
        <v>9</v>
      </c>
      <c r="B188" s="1">
        <v>1836</v>
      </c>
      <c r="C188" s="1" t="s">
        <v>534</v>
      </c>
      <c r="D188" s="1"/>
      <c r="E188" s="1"/>
      <c r="F188" s="1" t="s">
        <v>535</v>
      </c>
      <c r="G188" s="1">
        <v>2</v>
      </c>
      <c r="H188" s="1" t="s">
        <v>19</v>
      </c>
      <c r="I188" s="1" t="s">
        <v>683</v>
      </c>
      <c r="J188" s="1">
        <v>154.19999999999999</v>
      </c>
      <c r="K188" s="1">
        <v>308.39999999999998</v>
      </c>
      <c r="L188" s="42">
        <v>1</v>
      </c>
      <c r="M188" s="43">
        <v>45916</v>
      </c>
      <c r="N188" s="1" t="e">
        <f>VLOOKUP(B188,MICRO!E:L,8,0)</f>
        <v>#N/A</v>
      </c>
    </row>
    <row r="189" spans="1:14" ht="20.25" x14ac:dyDescent="0.25">
      <c r="A189" s="1">
        <v>10</v>
      </c>
      <c r="B189" s="1">
        <v>1837</v>
      </c>
      <c r="C189" s="1" t="s">
        <v>534</v>
      </c>
      <c r="D189" s="1"/>
      <c r="E189" s="1"/>
      <c r="F189" s="1" t="s">
        <v>536</v>
      </c>
      <c r="G189" s="1">
        <v>2</v>
      </c>
      <c r="H189" s="1" t="s">
        <v>19</v>
      </c>
      <c r="I189" s="1" t="s">
        <v>683</v>
      </c>
      <c r="J189" s="1">
        <v>0.01</v>
      </c>
      <c r="K189" s="1">
        <v>0.02</v>
      </c>
      <c r="L189" s="42">
        <v>1</v>
      </c>
      <c r="M189" s="43">
        <v>45916</v>
      </c>
      <c r="N189" s="1" t="e">
        <f>VLOOKUP(B189,MICRO!E:L,8,0)</f>
        <v>#N/A</v>
      </c>
    </row>
    <row r="190" spans="1:14" ht="20.25" x14ac:dyDescent="0.25">
      <c r="A190" s="1">
        <v>11</v>
      </c>
      <c r="B190" s="1">
        <v>1838</v>
      </c>
      <c r="C190" s="1" t="s">
        <v>534</v>
      </c>
      <c r="D190" s="1"/>
      <c r="E190" s="1"/>
      <c r="F190" s="1" t="s">
        <v>537</v>
      </c>
      <c r="G190" s="1">
        <v>2</v>
      </c>
      <c r="H190" s="1" t="s">
        <v>19</v>
      </c>
      <c r="I190" s="1" t="s">
        <v>683</v>
      </c>
      <c r="J190" s="1">
        <v>0.1</v>
      </c>
      <c r="K190" s="1">
        <v>0.2</v>
      </c>
      <c r="L190" s="42">
        <v>1</v>
      </c>
      <c r="M190" s="43">
        <v>45916</v>
      </c>
      <c r="N190" s="1" t="e">
        <f>VLOOKUP(B190,MICRO!E:L,8,0)</f>
        <v>#N/A</v>
      </c>
    </row>
    <row r="191" spans="1:14" ht="20.25" x14ac:dyDescent="0.25">
      <c r="A191" s="1">
        <v>12</v>
      </c>
      <c r="B191" s="1">
        <v>1839</v>
      </c>
      <c r="C191" s="1" t="s">
        <v>534</v>
      </c>
      <c r="D191" s="1"/>
      <c r="E191" s="1"/>
      <c r="F191" s="1" t="s">
        <v>538</v>
      </c>
      <c r="G191" s="1">
        <v>40</v>
      </c>
      <c r="H191" s="1" t="s">
        <v>19</v>
      </c>
      <c r="I191" s="1" t="s">
        <v>683</v>
      </c>
      <c r="J191" s="1">
        <v>0.03</v>
      </c>
      <c r="K191" s="1">
        <v>1.2</v>
      </c>
      <c r="L191" s="42">
        <v>1</v>
      </c>
      <c r="M191" s="43">
        <v>45916</v>
      </c>
      <c r="N191" s="1" t="e">
        <f>VLOOKUP(B191,MICRO!E:L,8,0)</f>
        <v>#N/A</v>
      </c>
    </row>
    <row r="192" spans="1:14" ht="20.25" x14ac:dyDescent="0.25">
      <c r="A192" s="1">
        <v>13</v>
      </c>
      <c r="B192" s="1">
        <v>1840</v>
      </c>
      <c r="C192" s="1" t="s">
        <v>530</v>
      </c>
      <c r="D192" s="1"/>
      <c r="E192" s="1"/>
      <c r="F192" s="1" t="s">
        <v>531</v>
      </c>
      <c r="G192" s="1">
        <v>2</v>
      </c>
      <c r="H192" s="1" t="s">
        <v>19</v>
      </c>
      <c r="I192" s="1" t="s">
        <v>683</v>
      </c>
      <c r="J192" s="1">
        <v>0.1</v>
      </c>
      <c r="K192" s="1">
        <v>0.2</v>
      </c>
      <c r="L192" s="42">
        <v>1</v>
      </c>
      <c r="M192" s="43">
        <v>45916</v>
      </c>
      <c r="N192" s="1" t="e">
        <f>VLOOKUP(B192,MICRO!E:L,8,0)</f>
        <v>#N/A</v>
      </c>
    </row>
    <row r="193" spans="1:14" ht="20.25" x14ac:dyDescent="0.25">
      <c r="A193" s="1">
        <v>14</v>
      </c>
      <c r="B193" s="1">
        <v>1841</v>
      </c>
      <c r="C193" s="1" t="s">
        <v>539</v>
      </c>
      <c r="D193" s="1"/>
      <c r="E193" s="1"/>
      <c r="F193" s="1" t="s">
        <v>527</v>
      </c>
      <c r="G193" s="1">
        <v>2</v>
      </c>
      <c r="H193" s="1" t="s">
        <v>19</v>
      </c>
      <c r="I193" s="1" t="s">
        <v>683</v>
      </c>
      <c r="J193" s="1">
        <v>274.10000000000002</v>
      </c>
      <c r="K193" s="1">
        <v>548.20000000000005</v>
      </c>
      <c r="L193" s="42">
        <v>1</v>
      </c>
      <c r="M193" s="43">
        <v>45916</v>
      </c>
      <c r="N193" s="1" t="e">
        <f>VLOOKUP(B193,MICRO!E:L,8,0)</f>
        <v>#N/A</v>
      </c>
    </row>
    <row r="194" spans="1:14" ht="20.25" x14ac:dyDescent="0.25">
      <c r="A194" s="1">
        <v>15</v>
      </c>
      <c r="B194" s="1">
        <v>1842</v>
      </c>
      <c r="C194" s="1" t="s">
        <v>540</v>
      </c>
      <c r="D194" s="1"/>
      <c r="E194" s="1"/>
      <c r="F194" s="1" t="s">
        <v>290</v>
      </c>
      <c r="G194" s="1">
        <v>2</v>
      </c>
      <c r="H194" s="1" t="s">
        <v>19</v>
      </c>
      <c r="I194" s="1" t="s">
        <v>683</v>
      </c>
      <c r="J194" s="1">
        <v>194.6</v>
      </c>
      <c r="K194" s="1">
        <v>389.2</v>
      </c>
      <c r="L194" s="42">
        <v>1</v>
      </c>
      <c r="M194" s="43">
        <v>45916</v>
      </c>
      <c r="N194" s="1" t="e">
        <f>VLOOKUP(B194,MICRO!E:L,8,0)</f>
        <v>#N/A</v>
      </c>
    </row>
    <row r="195" spans="1:14" ht="20.25" x14ac:dyDescent="0.25">
      <c r="A195" s="1">
        <v>16</v>
      </c>
      <c r="B195" s="1">
        <v>1843</v>
      </c>
      <c r="C195" s="1" t="s">
        <v>541</v>
      </c>
      <c r="D195" s="1"/>
      <c r="E195" s="1"/>
      <c r="F195" s="1" t="s">
        <v>542</v>
      </c>
      <c r="G195" s="1">
        <v>2</v>
      </c>
      <c r="H195" s="1" t="s">
        <v>19</v>
      </c>
      <c r="I195" s="1" t="s">
        <v>683</v>
      </c>
      <c r="J195" s="1">
        <v>6.3</v>
      </c>
      <c r="K195" s="1">
        <v>12.6</v>
      </c>
      <c r="L195" s="42">
        <v>1</v>
      </c>
      <c r="M195" s="43">
        <v>45916</v>
      </c>
      <c r="N195" s="1" t="e">
        <f>VLOOKUP(B195,MICRO!E:L,8,0)</f>
        <v>#N/A</v>
      </c>
    </row>
    <row r="196" spans="1:14" ht="20.25" x14ac:dyDescent="0.25">
      <c r="A196" s="1">
        <v>17</v>
      </c>
      <c r="B196" s="1">
        <v>1844</v>
      </c>
      <c r="C196" s="1" t="s">
        <v>543</v>
      </c>
      <c r="D196" s="1"/>
      <c r="E196" s="1"/>
      <c r="F196" s="1" t="s">
        <v>544</v>
      </c>
      <c r="G196" s="1">
        <v>2</v>
      </c>
      <c r="H196" s="1" t="s">
        <v>19</v>
      </c>
      <c r="I196" s="1" t="s">
        <v>683</v>
      </c>
      <c r="J196" s="1">
        <v>79.5</v>
      </c>
      <c r="K196" s="1">
        <v>159</v>
      </c>
      <c r="L196" s="42">
        <v>1</v>
      </c>
      <c r="M196" s="43">
        <v>45916</v>
      </c>
      <c r="N196" s="1" t="e">
        <f>VLOOKUP(B196,MICRO!E:L,8,0)</f>
        <v>#N/A</v>
      </c>
    </row>
    <row r="197" spans="1:14" ht="20.25" x14ac:dyDescent="0.25">
      <c r="A197" s="1">
        <v>18</v>
      </c>
      <c r="B197" s="1">
        <v>1845</v>
      </c>
      <c r="C197" s="1" t="s">
        <v>545</v>
      </c>
      <c r="D197" s="1"/>
      <c r="E197" s="1"/>
      <c r="F197" s="1" t="s">
        <v>546</v>
      </c>
      <c r="G197" s="1">
        <v>2</v>
      </c>
      <c r="H197" s="1" t="s">
        <v>19</v>
      </c>
      <c r="I197" s="1" t="s">
        <v>683</v>
      </c>
      <c r="J197" s="1">
        <v>571</v>
      </c>
      <c r="K197" s="1">
        <v>1142</v>
      </c>
      <c r="L197" s="42">
        <v>1</v>
      </c>
      <c r="M197" s="43">
        <v>45916</v>
      </c>
      <c r="N197" s="1" t="e">
        <f>VLOOKUP(B197,MICRO!E:L,8,0)</f>
        <v>#N/A</v>
      </c>
    </row>
    <row r="198" spans="1:14" ht="20.25" x14ac:dyDescent="0.25">
      <c r="A198" s="1">
        <v>1</v>
      </c>
      <c r="B198" s="1">
        <v>1826</v>
      </c>
      <c r="C198" s="1" t="s">
        <v>517</v>
      </c>
      <c r="D198" s="1" t="s">
        <v>517</v>
      </c>
      <c r="E198" s="1"/>
      <c r="F198" s="1" t="s">
        <v>518</v>
      </c>
      <c r="G198" s="1">
        <v>3</v>
      </c>
      <c r="H198" s="1" t="s">
        <v>19</v>
      </c>
      <c r="I198" s="1" t="s">
        <v>684</v>
      </c>
      <c r="J198" s="1">
        <v>28.5</v>
      </c>
      <c r="K198" s="1">
        <v>85.5</v>
      </c>
      <c r="L198" s="42">
        <v>1</v>
      </c>
      <c r="M198" s="43">
        <v>45916</v>
      </c>
      <c r="N198" s="1" t="e">
        <f>VLOOKUP(B198,MICRO!E:L,8,0)</f>
        <v>#N/A</v>
      </c>
    </row>
    <row r="199" spans="1:14" ht="20.25" x14ac:dyDescent="0.25">
      <c r="A199" s="1">
        <v>1</v>
      </c>
      <c r="B199" s="1">
        <v>1849</v>
      </c>
      <c r="C199" s="1" t="s">
        <v>82</v>
      </c>
      <c r="D199" s="1" t="s">
        <v>82</v>
      </c>
      <c r="E199" s="1"/>
      <c r="F199" s="1" t="s">
        <v>117</v>
      </c>
      <c r="G199" s="1">
        <v>5</v>
      </c>
      <c r="H199" s="1" t="s">
        <v>19</v>
      </c>
      <c r="I199" s="1" t="s">
        <v>685</v>
      </c>
      <c r="J199" s="1">
        <v>19.8</v>
      </c>
      <c r="K199" s="1">
        <v>99</v>
      </c>
      <c r="L199" s="42">
        <v>1</v>
      </c>
      <c r="M199" s="43">
        <v>45917</v>
      </c>
      <c r="N199" s="1" t="e">
        <f>VLOOKUP(B199,MICRO!E:L,8,0)</f>
        <v>#N/A</v>
      </c>
    </row>
    <row r="200" spans="1:14" ht="20.25" x14ac:dyDescent="0.25">
      <c r="A200" s="1">
        <v>1</v>
      </c>
      <c r="B200" s="1">
        <v>2103</v>
      </c>
      <c r="C200" s="1" t="s">
        <v>77</v>
      </c>
      <c r="D200" s="1" t="s">
        <v>77</v>
      </c>
      <c r="E200" s="1"/>
      <c r="F200" s="1" t="s">
        <v>677</v>
      </c>
      <c r="G200" s="1">
        <v>12</v>
      </c>
      <c r="H200" s="1" t="s">
        <v>19</v>
      </c>
      <c r="I200" s="1" t="s">
        <v>743</v>
      </c>
      <c r="J200" s="1">
        <v>6</v>
      </c>
      <c r="K200" s="1">
        <v>72</v>
      </c>
      <c r="L200" s="42">
        <v>1</v>
      </c>
      <c r="M200" s="43">
        <v>45926</v>
      </c>
      <c r="N200" s="1" t="e">
        <f>VLOOKUP(B200,MICRO!E:L,8,0)</f>
        <v>#N/A</v>
      </c>
    </row>
    <row r="201" spans="1:14" ht="20.25" x14ac:dyDescent="0.25">
      <c r="A201" s="1">
        <v>1</v>
      </c>
      <c r="B201" s="1"/>
      <c r="C201" s="1" t="s">
        <v>507</v>
      </c>
      <c r="D201" s="1"/>
      <c r="E201" s="1"/>
      <c r="F201" s="1" t="s">
        <v>744</v>
      </c>
      <c r="G201" s="1">
        <v>4</v>
      </c>
      <c r="H201" s="1" t="s">
        <v>19</v>
      </c>
      <c r="I201" s="1" t="s">
        <v>509</v>
      </c>
      <c r="J201" s="1">
        <v>64.5</v>
      </c>
      <c r="K201" s="1">
        <v>258</v>
      </c>
      <c r="L201" s="42">
        <v>1</v>
      </c>
      <c r="M201" s="43">
        <v>45926</v>
      </c>
      <c r="N201" s="1" t="e">
        <f>VLOOKUP(B201,MICRO!E:L,8,0)</f>
        <v>#N/A</v>
      </c>
    </row>
    <row r="202" spans="1:14" ht="20.25" x14ac:dyDescent="0.25">
      <c r="A202" s="1">
        <v>2</v>
      </c>
      <c r="B202" s="1">
        <v>1792</v>
      </c>
      <c r="C202" s="1" t="s">
        <v>492</v>
      </c>
      <c r="D202" s="1" t="s">
        <v>493</v>
      </c>
      <c r="E202" s="1" t="s">
        <v>2</v>
      </c>
      <c r="F202" s="1" t="s">
        <v>494</v>
      </c>
      <c r="G202" s="1">
        <v>1</v>
      </c>
      <c r="H202" s="1" t="s">
        <v>19</v>
      </c>
      <c r="I202" s="1" t="s">
        <v>393</v>
      </c>
      <c r="J202" s="1">
        <v>4.5</v>
      </c>
      <c r="K202" s="1">
        <v>4.5</v>
      </c>
      <c r="L202" s="42">
        <v>2</v>
      </c>
      <c r="M202" s="43">
        <v>45926</v>
      </c>
      <c r="N202" s="1" t="e">
        <f>VLOOKUP(B202,MICRO!E:L,8,0)</f>
        <v>#N/A</v>
      </c>
    </row>
    <row r="203" spans="1:14" ht="20.25" x14ac:dyDescent="0.25">
      <c r="A203" s="1">
        <v>3</v>
      </c>
      <c r="B203" s="1">
        <v>1793</v>
      </c>
      <c r="C203" s="1" t="s">
        <v>492</v>
      </c>
      <c r="D203" s="1" t="s">
        <v>493</v>
      </c>
      <c r="E203" s="1" t="s">
        <v>2</v>
      </c>
      <c r="F203" s="1" t="s">
        <v>494</v>
      </c>
      <c r="G203" s="1">
        <v>1</v>
      </c>
      <c r="H203" s="1" t="s">
        <v>19</v>
      </c>
      <c r="I203" s="1" t="s">
        <v>394</v>
      </c>
      <c r="J203" s="1">
        <v>4.5</v>
      </c>
      <c r="K203" s="1">
        <v>4.5</v>
      </c>
      <c r="L203" s="42">
        <v>2</v>
      </c>
      <c r="M203" s="43">
        <v>45926</v>
      </c>
      <c r="N203" s="1" t="e">
        <f>VLOOKUP(B203,MICRO!E:L,8,0)</f>
        <v>#N/A</v>
      </c>
    </row>
    <row r="204" spans="1:14" ht="20.25" x14ac:dyDescent="0.25">
      <c r="A204" s="1">
        <v>4</v>
      </c>
      <c r="B204" s="1">
        <v>1794</v>
      </c>
      <c r="C204" s="1" t="s">
        <v>492</v>
      </c>
      <c r="D204" s="1" t="s">
        <v>493</v>
      </c>
      <c r="E204" s="1" t="s">
        <v>2</v>
      </c>
      <c r="F204" s="1" t="s">
        <v>494</v>
      </c>
      <c r="G204" s="1">
        <v>1</v>
      </c>
      <c r="H204" s="1" t="s">
        <v>19</v>
      </c>
      <c r="I204" s="1" t="s">
        <v>396</v>
      </c>
      <c r="J204" s="1">
        <v>4.5</v>
      </c>
      <c r="K204" s="1">
        <v>4.5</v>
      </c>
      <c r="L204" s="42">
        <v>2</v>
      </c>
      <c r="M204" s="43">
        <v>45926</v>
      </c>
      <c r="N204" s="1" t="e">
        <f>VLOOKUP(B204,MICRO!E:L,8,0)</f>
        <v>#N/A</v>
      </c>
    </row>
    <row r="205" spans="1:14" ht="20.25" x14ac:dyDescent="0.25">
      <c r="A205" s="1">
        <v>5</v>
      </c>
      <c r="B205" s="1">
        <v>1795</v>
      </c>
      <c r="C205" s="1" t="s">
        <v>492</v>
      </c>
      <c r="D205" s="1" t="s">
        <v>493</v>
      </c>
      <c r="E205" s="1" t="s">
        <v>2</v>
      </c>
      <c r="F205" s="1" t="s">
        <v>494</v>
      </c>
      <c r="G205" s="1">
        <v>1</v>
      </c>
      <c r="H205" s="1" t="s">
        <v>19</v>
      </c>
      <c r="I205" s="1" t="s">
        <v>395</v>
      </c>
      <c r="J205" s="1">
        <v>4.5</v>
      </c>
      <c r="K205" s="1">
        <v>4.5</v>
      </c>
      <c r="L205" s="42">
        <v>2</v>
      </c>
      <c r="M205" s="43">
        <v>45926</v>
      </c>
      <c r="N205" s="1" t="e">
        <f>VLOOKUP(B205,MICRO!E:L,8,0)</f>
        <v>#N/A</v>
      </c>
    </row>
    <row r="206" spans="1:14" ht="20.25" x14ac:dyDescent="0.25">
      <c r="A206" s="1">
        <v>6</v>
      </c>
      <c r="B206" s="1">
        <v>2079</v>
      </c>
      <c r="C206" s="1" t="s">
        <v>669</v>
      </c>
      <c r="D206" s="1" t="s">
        <v>745</v>
      </c>
      <c r="E206" s="1" t="s">
        <v>2</v>
      </c>
      <c r="F206" s="1" t="s">
        <v>670</v>
      </c>
      <c r="G206" s="1">
        <v>2</v>
      </c>
      <c r="H206" s="1" t="s">
        <v>19</v>
      </c>
      <c r="I206" s="1" t="s">
        <v>393</v>
      </c>
      <c r="J206" s="1">
        <v>6</v>
      </c>
      <c r="K206" s="1">
        <v>12</v>
      </c>
      <c r="L206" s="42">
        <v>2</v>
      </c>
      <c r="M206" s="43">
        <v>45926</v>
      </c>
      <c r="N206" s="1" t="e">
        <f>VLOOKUP(B206,MICRO!E:L,8,0)</f>
        <v>#N/A</v>
      </c>
    </row>
    <row r="207" spans="1:14" ht="20.25" x14ac:dyDescent="0.25">
      <c r="A207" s="1">
        <v>7</v>
      </c>
      <c r="B207" s="1">
        <v>2080</v>
      </c>
      <c r="C207" s="1" t="s">
        <v>669</v>
      </c>
      <c r="D207" s="1" t="s">
        <v>745</v>
      </c>
      <c r="E207" s="1" t="s">
        <v>2</v>
      </c>
      <c r="F207" s="1" t="s">
        <v>670</v>
      </c>
      <c r="G207" s="1">
        <v>2</v>
      </c>
      <c r="H207" s="1" t="s">
        <v>19</v>
      </c>
      <c r="I207" s="1" t="s">
        <v>394</v>
      </c>
      <c r="J207" s="1">
        <v>6</v>
      </c>
      <c r="K207" s="1">
        <v>12</v>
      </c>
      <c r="L207" s="42">
        <v>2</v>
      </c>
      <c r="M207" s="43">
        <v>45926</v>
      </c>
      <c r="N207" s="1" t="e">
        <f>VLOOKUP(B207,MICRO!E:L,8,0)</f>
        <v>#N/A</v>
      </c>
    </row>
    <row r="208" spans="1:14" ht="20.25" x14ac:dyDescent="0.25">
      <c r="A208" s="1">
        <v>8</v>
      </c>
      <c r="B208" s="1">
        <v>2081</v>
      </c>
      <c r="C208" s="1" t="s">
        <v>669</v>
      </c>
      <c r="D208" s="1" t="s">
        <v>745</v>
      </c>
      <c r="E208" s="1" t="s">
        <v>2</v>
      </c>
      <c r="F208" s="1" t="s">
        <v>670</v>
      </c>
      <c r="G208" s="1">
        <v>2</v>
      </c>
      <c r="H208" s="1" t="s">
        <v>19</v>
      </c>
      <c r="I208" s="1" t="s">
        <v>396</v>
      </c>
      <c r="J208" s="1">
        <v>6</v>
      </c>
      <c r="K208" s="1">
        <v>12</v>
      </c>
      <c r="L208" s="42">
        <v>2</v>
      </c>
      <c r="M208" s="43">
        <v>45926</v>
      </c>
      <c r="N208" s="1" t="e">
        <f>VLOOKUP(B208,MICRO!E:L,8,0)</f>
        <v>#N/A</v>
      </c>
    </row>
    <row r="209" spans="1:14" ht="20.25" x14ac:dyDescent="0.25">
      <c r="A209" s="1">
        <v>9</v>
      </c>
      <c r="B209" s="1">
        <v>2082</v>
      </c>
      <c r="C209" s="1" t="s">
        <v>669</v>
      </c>
      <c r="D209" s="1" t="s">
        <v>745</v>
      </c>
      <c r="E209" s="1" t="s">
        <v>2</v>
      </c>
      <c r="F209" s="1" t="s">
        <v>670</v>
      </c>
      <c r="G209" s="1">
        <v>2</v>
      </c>
      <c r="H209" s="1" t="s">
        <v>19</v>
      </c>
      <c r="I209" s="1" t="s">
        <v>395</v>
      </c>
      <c r="J209" s="1">
        <v>6</v>
      </c>
      <c r="K209" s="1">
        <v>12</v>
      </c>
      <c r="L209" s="42">
        <v>2</v>
      </c>
      <c r="M209" s="43">
        <v>45926</v>
      </c>
      <c r="N209" s="1" t="e">
        <f>VLOOKUP(B209,MICRO!E:L,8,0)</f>
        <v>#N/A</v>
      </c>
    </row>
    <row r="210" spans="1:14" ht="20.25" x14ac:dyDescent="0.25">
      <c r="A210" s="1">
        <v>10</v>
      </c>
      <c r="B210" s="1">
        <v>2083</v>
      </c>
      <c r="C210" s="1" t="s">
        <v>669</v>
      </c>
      <c r="D210" s="1" t="s">
        <v>745</v>
      </c>
      <c r="E210" s="1" t="s">
        <v>43</v>
      </c>
      <c r="F210" s="1" t="s">
        <v>671</v>
      </c>
      <c r="G210" s="1">
        <v>2</v>
      </c>
      <c r="H210" s="1" t="s">
        <v>19</v>
      </c>
      <c r="I210" s="1" t="s">
        <v>393</v>
      </c>
      <c r="J210" s="1">
        <v>6.7</v>
      </c>
      <c r="K210" s="1">
        <v>13.4</v>
      </c>
      <c r="L210" s="42">
        <v>2</v>
      </c>
      <c r="M210" s="43">
        <v>45926</v>
      </c>
      <c r="N210" s="1" t="e">
        <f>VLOOKUP(B210,MICRO!E:L,8,0)</f>
        <v>#N/A</v>
      </c>
    </row>
    <row r="211" spans="1:14" ht="20.25" x14ac:dyDescent="0.25">
      <c r="A211" s="1">
        <v>11</v>
      </c>
      <c r="B211" s="1">
        <v>2084</v>
      </c>
      <c r="C211" s="1" t="s">
        <v>669</v>
      </c>
      <c r="D211" s="1" t="s">
        <v>745</v>
      </c>
      <c r="E211" s="1" t="s">
        <v>43</v>
      </c>
      <c r="F211" s="1" t="s">
        <v>671</v>
      </c>
      <c r="G211" s="1">
        <v>2</v>
      </c>
      <c r="H211" s="1" t="s">
        <v>19</v>
      </c>
      <c r="I211" s="1" t="s">
        <v>394</v>
      </c>
      <c r="J211" s="1">
        <v>6.7</v>
      </c>
      <c r="K211" s="1">
        <v>13.4</v>
      </c>
      <c r="L211" s="42">
        <v>2</v>
      </c>
      <c r="M211" s="43">
        <v>45926</v>
      </c>
      <c r="N211" s="1" t="e">
        <f>VLOOKUP(B211,MICRO!E:L,8,0)</f>
        <v>#N/A</v>
      </c>
    </row>
    <row r="212" spans="1:14" ht="20.25" x14ac:dyDescent="0.25">
      <c r="A212" s="1">
        <v>12</v>
      </c>
      <c r="B212" s="1">
        <v>2085</v>
      </c>
      <c r="C212" s="1" t="s">
        <v>669</v>
      </c>
      <c r="D212" s="1" t="s">
        <v>745</v>
      </c>
      <c r="E212" s="1" t="s">
        <v>43</v>
      </c>
      <c r="F212" s="1" t="s">
        <v>671</v>
      </c>
      <c r="G212" s="1">
        <v>2</v>
      </c>
      <c r="H212" s="1" t="s">
        <v>19</v>
      </c>
      <c r="I212" s="1" t="s">
        <v>396</v>
      </c>
      <c r="J212" s="1">
        <v>6.7</v>
      </c>
      <c r="K212" s="1">
        <v>13.4</v>
      </c>
      <c r="L212" s="42">
        <v>2</v>
      </c>
      <c r="M212" s="43">
        <v>45926</v>
      </c>
      <c r="N212" s="1" t="e">
        <f>VLOOKUP(B212,MICRO!E:L,8,0)</f>
        <v>#N/A</v>
      </c>
    </row>
    <row r="213" spans="1:14" ht="20.25" x14ac:dyDescent="0.25">
      <c r="A213" s="1">
        <v>13</v>
      </c>
      <c r="B213" s="1">
        <v>2086</v>
      </c>
      <c r="C213" s="1" t="s">
        <v>669</v>
      </c>
      <c r="D213" s="1" t="s">
        <v>745</v>
      </c>
      <c r="E213" s="1" t="s">
        <v>43</v>
      </c>
      <c r="F213" s="1" t="s">
        <v>671</v>
      </c>
      <c r="G213" s="1">
        <v>2</v>
      </c>
      <c r="H213" s="1" t="s">
        <v>19</v>
      </c>
      <c r="I213" s="1" t="s">
        <v>395</v>
      </c>
      <c r="J213" s="1">
        <v>6.7</v>
      </c>
      <c r="K213" s="1">
        <v>13.4</v>
      </c>
      <c r="L213" s="42">
        <v>2</v>
      </c>
      <c r="M213" s="43">
        <v>45926</v>
      </c>
      <c r="N213" s="1" t="e">
        <f>VLOOKUP(B213,MICRO!E:L,8,0)</f>
        <v>#N/A</v>
      </c>
    </row>
    <row r="214" spans="1:14" ht="20.25" x14ac:dyDescent="0.25">
      <c r="A214" s="1">
        <v>14</v>
      </c>
      <c r="B214" s="1">
        <v>2087</v>
      </c>
      <c r="C214" s="1" t="s">
        <v>669</v>
      </c>
      <c r="D214" s="1" t="s">
        <v>745</v>
      </c>
      <c r="E214" s="1" t="s">
        <v>746</v>
      </c>
      <c r="F214" s="1" t="s">
        <v>672</v>
      </c>
      <c r="G214" s="1">
        <v>2</v>
      </c>
      <c r="H214" s="1" t="s">
        <v>19</v>
      </c>
      <c r="I214" s="1" t="s">
        <v>393</v>
      </c>
      <c r="J214" s="1">
        <v>0.8</v>
      </c>
      <c r="K214" s="1">
        <v>1.6</v>
      </c>
      <c r="L214" s="42">
        <v>2</v>
      </c>
      <c r="M214" s="43">
        <v>45926</v>
      </c>
      <c r="N214" s="1" t="e">
        <f>VLOOKUP(B214,MICRO!E:L,8,0)</f>
        <v>#N/A</v>
      </c>
    </row>
    <row r="215" spans="1:14" ht="20.25" x14ac:dyDescent="0.25">
      <c r="A215" s="1">
        <v>15</v>
      </c>
      <c r="B215" s="1">
        <v>2088</v>
      </c>
      <c r="C215" s="1" t="s">
        <v>669</v>
      </c>
      <c r="D215" s="1" t="s">
        <v>745</v>
      </c>
      <c r="E215" s="1" t="s">
        <v>746</v>
      </c>
      <c r="F215" s="1" t="s">
        <v>672</v>
      </c>
      <c r="G215" s="1">
        <v>2</v>
      </c>
      <c r="H215" s="1" t="s">
        <v>19</v>
      </c>
      <c r="I215" s="1" t="s">
        <v>394</v>
      </c>
      <c r="J215" s="1">
        <v>0.8</v>
      </c>
      <c r="K215" s="1">
        <v>1.6</v>
      </c>
      <c r="L215" s="42">
        <v>2</v>
      </c>
      <c r="M215" s="43">
        <v>45926</v>
      </c>
      <c r="N215" s="1" t="e">
        <f>VLOOKUP(B215,MICRO!E:L,8,0)</f>
        <v>#N/A</v>
      </c>
    </row>
    <row r="216" spans="1:14" ht="20.25" x14ac:dyDescent="0.25">
      <c r="A216" s="1">
        <v>16</v>
      </c>
      <c r="B216" s="1">
        <v>2089</v>
      </c>
      <c r="C216" s="1" t="s">
        <v>669</v>
      </c>
      <c r="D216" s="1" t="s">
        <v>745</v>
      </c>
      <c r="E216" s="1" t="s">
        <v>746</v>
      </c>
      <c r="F216" s="1" t="s">
        <v>672</v>
      </c>
      <c r="G216" s="1">
        <v>2</v>
      </c>
      <c r="H216" s="1" t="s">
        <v>19</v>
      </c>
      <c r="I216" s="1" t="s">
        <v>396</v>
      </c>
      <c r="J216" s="1">
        <v>0.8</v>
      </c>
      <c r="K216" s="1">
        <v>1.6</v>
      </c>
      <c r="L216" s="42">
        <v>2</v>
      </c>
      <c r="M216" s="43">
        <v>45926</v>
      </c>
      <c r="N216" s="1" t="e">
        <f>VLOOKUP(B216,MICRO!E:L,8,0)</f>
        <v>#N/A</v>
      </c>
    </row>
    <row r="217" spans="1:14" ht="20.25" x14ac:dyDescent="0.25">
      <c r="A217" s="1">
        <v>17</v>
      </c>
      <c r="B217" s="1">
        <v>2090</v>
      </c>
      <c r="C217" s="1" t="s">
        <v>669</v>
      </c>
      <c r="D217" s="1" t="s">
        <v>745</v>
      </c>
      <c r="E217" s="1" t="s">
        <v>746</v>
      </c>
      <c r="F217" s="1" t="s">
        <v>672</v>
      </c>
      <c r="G217" s="1">
        <v>2</v>
      </c>
      <c r="H217" s="1" t="s">
        <v>19</v>
      </c>
      <c r="I217" s="1" t="s">
        <v>395</v>
      </c>
      <c r="J217" s="1">
        <v>0.8</v>
      </c>
      <c r="K217" s="1">
        <v>1.6</v>
      </c>
      <c r="L217" s="42">
        <v>2</v>
      </c>
      <c r="M217" s="43">
        <v>45926</v>
      </c>
      <c r="N217" s="1" t="e">
        <f>VLOOKUP(B217,MICRO!E:L,8,0)</f>
        <v>#N/A</v>
      </c>
    </row>
    <row r="218" spans="1:14" ht="20.25" x14ac:dyDescent="0.25">
      <c r="A218" s="1">
        <v>18</v>
      </c>
      <c r="B218" s="1"/>
      <c r="C218" s="1" t="s">
        <v>747</v>
      </c>
      <c r="D218" s="1"/>
      <c r="E218" s="1"/>
      <c r="F218" s="1" t="s">
        <v>748</v>
      </c>
      <c r="G218" s="1">
        <v>1</v>
      </c>
      <c r="H218" s="1" t="s">
        <v>19</v>
      </c>
      <c r="I218" s="1" t="s">
        <v>393</v>
      </c>
      <c r="J218" s="1">
        <v>208.3</v>
      </c>
      <c r="K218" s="1">
        <v>208.3</v>
      </c>
      <c r="L218" s="42">
        <v>3</v>
      </c>
      <c r="M218" s="43">
        <v>45926</v>
      </c>
      <c r="N218" s="1" t="e">
        <f>VLOOKUP(B218,MICRO!E:L,8,0)</f>
        <v>#N/A</v>
      </c>
    </row>
    <row r="219" spans="1:14" ht="20.25" x14ac:dyDescent="0.25">
      <c r="A219" s="1">
        <v>19</v>
      </c>
      <c r="B219" s="1"/>
      <c r="C219" s="1" t="s">
        <v>747</v>
      </c>
      <c r="D219" s="1"/>
      <c r="E219" s="1"/>
      <c r="F219" s="1" t="s">
        <v>749</v>
      </c>
      <c r="G219" s="1">
        <v>1</v>
      </c>
      <c r="H219" s="1" t="s">
        <v>19</v>
      </c>
      <c r="I219" s="1" t="s">
        <v>393</v>
      </c>
      <c r="J219" s="1">
        <v>208.3</v>
      </c>
      <c r="K219" s="1">
        <v>208.3</v>
      </c>
      <c r="L219" s="42">
        <v>4</v>
      </c>
      <c r="M219" s="43">
        <v>45926</v>
      </c>
      <c r="N219" s="1" t="e">
        <f>VLOOKUP(B219,MICRO!E:L,8,0)</f>
        <v>#N/A</v>
      </c>
    </row>
    <row r="220" spans="1:14" ht="20.25" x14ac:dyDescent="0.25">
      <c r="A220" s="1">
        <v>20</v>
      </c>
      <c r="B220" s="1"/>
      <c r="C220" s="1" t="s">
        <v>747</v>
      </c>
      <c r="D220" s="1"/>
      <c r="E220" s="1"/>
      <c r="F220" s="1" t="s">
        <v>750</v>
      </c>
      <c r="G220" s="1">
        <v>1</v>
      </c>
      <c r="H220" s="1" t="s">
        <v>19</v>
      </c>
      <c r="I220" s="1" t="s">
        <v>393</v>
      </c>
      <c r="J220" s="1">
        <v>208.3</v>
      </c>
      <c r="K220" s="1">
        <v>208.3</v>
      </c>
      <c r="L220" s="42">
        <v>5</v>
      </c>
      <c r="M220" s="43">
        <v>45926</v>
      </c>
      <c r="N220" s="1" t="e">
        <f>VLOOKUP(B220,MICRO!E:L,8,0)</f>
        <v>#N/A</v>
      </c>
    </row>
    <row r="221" spans="1:14" ht="20.25" x14ac:dyDescent="0.25">
      <c r="A221" s="1">
        <v>21</v>
      </c>
      <c r="B221" s="1"/>
      <c r="C221" s="1" t="s">
        <v>751</v>
      </c>
      <c r="D221" s="1"/>
      <c r="E221" s="1"/>
      <c r="F221" s="1" t="s">
        <v>752</v>
      </c>
      <c r="G221" s="1">
        <v>1</v>
      </c>
      <c r="H221" s="1" t="s">
        <v>19</v>
      </c>
      <c r="I221" s="1" t="s">
        <v>394</v>
      </c>
      <c r="J221" s="1">
        <v>208.3</v>
      </c>
      <c r="K221" s="1">
        <v>208.3</v>
      </c>
      <c r="L221" s="42">
        <v>6</v>
      </c>
      <c r="M221" s="43">
        <v>45926</v>
      </c>
      <c r="N221" s="1" t="e">
        <f>VLOOKUP(B221,MICRO!E:L,8,0)</f>
        <v>#N/A</v>
      </c>
    </row>
    <row r="222" spans="1:14" ht="20.25" x14ac:dyDescent="0.25">
      <c r="A222" s="1">
        <v>22</v>
      </c>
      <c r="B222" s="1"/>
      <c r="C222" s="1" t="s">
        <v>751</v>
      </c>
      <c r="D222" s="1"/>
      <c r="E222" s="1"/>
      <c r="F222" s="1" t="s">
        <v>753</v>
      </c>
      <c r="G222" s="1">
        <v>1</v>
      </c>
      <c r="H222" s="1" t="s">
        <v>19</v>
      </c>
      <c r="I222" s="1" t="s">
        <v>394</v>
      </c>
      <c r="J222" s="1">
        <v>208.3</v>
      </c>
      <c r="K222" s="1">
        <v>208.3</v>
      </c>
      <c r="L222" s="42">
        <v>7</v>
      </c>
      <c r="M222" s="43">
        <v>45926</v>
      </c>
      <c r="N222" s="1" t="e">
        <f>VLOOKUP(B222,MICRO!E:L,8,0)</f>
        <v>#N/A</v>
      </c>
    </row>
    <row r="223" spans="1:14" ht="20.25" x14ac:dyDescent="0.25">
      <c r="A223" s="1">
        <v>23</v>
      </c>
      <c r="B223" s="1"/>
      <c r="C223" s="1" t="s">
        <v>751</v>
      </c>
      <c r="D223" s="1"/>
      <c r="E223" s="1"/>
      <c r="F223" s="1" t="s">
        <v>754</v>
      </c>
      <c r="G223" s="1">
        <v>1</v>
      </c>
      <c r="H223" s="1" t="s">
        <v>19</v>
      </c>
      <c r="I223" s="1" t="s">
        <v>394</v>
      </c>
      <c r="J223" s="1">
        <v>208.3</v>
      </c>
      <c r="K223" s="1">
        <v>208.3</v>
      </c>
      <c r="L223" s="42">
        <v>8</v>
      </c>
      <c r="M223" s="43">
        <v>45926</v>
      </c>
      <c r="N223" s="1" t="e">
        <f>VLOOKUP(B223,MICRO!E:L,8,0)</f>
        <v>#N/A</v>
      </c>
    </row>
    <row r="224" spans="1:14" ht="20.25" x14ac:dyDescent="0.25">
      <c r="A224" s="1">
        <v>24</v>
      </c>
      <c r="B224" s="1"/>
      <c r="C224" s="1" t="s">
        <v>755</v>
      </c>
      <c r="D224" s="1"/>
      <c r="E224" s="1"/>
      <c r="F224" s="1" t="s">
        <v>748</v>
      </c>
      <c r="G224" s="1">
        <v>1</v>
      </c>
      <c r="H224" s="1" t="s">
        <v>19</v>
      </c>
      <c r="I224" s="1" t="s">
        <v>396</v>
      </c>
      <c r="J224" s="1">
        <v>208.3</v>
      </c>
      <c r="K224" s="1">
        <v>208.3</v>
      </c>
      <c r="L224" s="42">
        <v>9</v>
      </c>
      <c r="M224" s="43">
        <v>45926</v>
      </c>
      <c r="N224" s="1" t="e">
        <f>VLOOKUP(B224,MICRO!E:L,8,0)</f>
        <v>#N/A</v>
      </c>
    </row>
    <row r="225" spans="1:14" ht="20.25" x14ac:dyDescent="0.25">
      <c r="A225" s="1">
        <v>25</v>
      </c>
      <c r="B225" s="1"/>
      <c r="C225" s="1" t="s">
        <v>755</v>
      </c>
      <c r="D225" s="1"/>
      <c r="E225" s="1"/>
      <c r="F225" s="1" t="s">
        <v>756</v>
      </c>
      <c r="G225" s="1">
        <v>1</v>
      </c>
      <c r="H225" s="1" t="s">
        <v>19</v>
      </c>
      <c r="I225" s="1" t="s">
        <v>396</v>
      </c>
      <c r="J225" s="1">
        <v>208.3</v>
      </c>
      <c r="K225" s="1">
        <v>208.3</v>
      </c>
      <c r="L225" s="42">
        <v>10</v>
      </c>
      <c r="M225" s="43">
        <v>45926</v>
      </c>
      <c r="N225" s="1" t="e">
        <f>VLOOKUP(B225,MICRO!E:L,8,0)</f>
        <v>#N/A</v>
      </c>
    </row>
    <row r="226" spans="1:14" ht="20.25" x14ac:dyDescent="0.25">
      <c r="A226" s="1">
        <v>26</v>
      </c>
      <c r="B226" s="1"/>
      <c r="C226" s="1" t="s">
        <v>755</v>
      </c>
      <c r="D226" s="1"/>
      <c r="E226" s="1"/>
      <c r="F226" s="1" t="s">
        <v>757</v>
      </c>
      <c r="G226" s="1">
        <v>1</v>
      </c>
      <c r="H226" s="1" t="s">
        <v>19</v>
      </c>
      <c r="I226" s="1" t="s">
        <v>396</v>
      </c>
      <c r="J226" s="1">
        <v>208.3</v>
      </c>
      <c r="K226" s="1">
        <v>208.3</v>
      </c>
      <c r="L226" s="42">
        <v>11</v>
      </c>
      <c r="M226" s="43">
        <v>45926</v>
      </c>
      <c r="N226" s="1" t="e">
        <f>VLOOKUP(B226,MICRO!E:L,8,0)</f>
        <v>#N/A</v>
      </c>
    </row>
    <row r="227" spans="1:14" ht="20.25" x14ac:dyDescent="0.25">
      <c r="A227" s="1">
        <v>27</v>
      </c>
      <c r="B227" s="1"/>
      <c r="C227" s="1" t="s">
        <v>758</v>
      </c>
      <c r="D227" s="1"/>
      <c r="E227" s="1"/>
      <c r="F227" s="1" t="s">
        <v>759</v>
      </c>
      <c r="G227" s="1">
        <v>1</v>
      </c>
      <c r="H227" s="1" t="s">
        <v>19</v>
      </c>
      <c r="I227" s="1" t="s">
        <v>760</v>
      </c>
      <c r="J227" s="1">
        <v>208.3</v>
      </c>
      <c r="K227" s="1">
        <v>208.3</v>
      </c>
      <c r="L227" s="42">
        <v>12</v>
      </c>
      <c r="M227" s="43">
        <v>45926</v>
      </c>
      <c r="N227" s="1" t="e">
        <f>VLOOKUP(B227,MICRO!E:L,8,0)</f>
        <v>#N/A</v>
      </c>
    </row>
    <row r="228" spans="1:14" ht="20.25" x14ac:dyDescent="0.25">
      <c r="A228" s="1">
        <v>28</v>
      </c>
      <c r="B228" s="1"/>
      <c r="C228" s="1" t="s">
        <v>758</v>
      </c>
      <c r="D228" s="1"/>
      <c r="E228" s="1"/>
      <c r="F228" s="1" t="s">
        <v>756</v>
      </c>
      <c r="G228" s="1">
        <v>1</v>
      </c>
      <c r="H228" s="1" t="s">
        <v>19</v>
      </c>
      <c r="I228" s="1" t="s">
        <v>395</v>
      </c>
      <c r="J228" s="1">
        <v>208.3</v>
      </c>
      <c r="K228" s="1">
        <v>208.3</v>
      </c>
      <c r="L228" s="42">
        <v>13</v>
      </c>
      <c r="M228" s="43">
        <v>45926</v>
      </c>
      <c r="N228" s="1" t="e">
        <f>VLOOKUP(B228,MICRO!E:L,8,0)</f>
        <v>#N/A</v>
      </c>
    </row>
    <row r="229" spans="1:14" ht="20.25" x14ac:dyDescent="0.25">
      <c r="A229" s="1">
        <v>29</v>
      </c>
      <c r="B229" s="1"/>
      <c r="C229" s="1" t="s">
        <v>758</v>
      </c>
      <c r="D229" s="1"/>
      <c r="E229" s="1"/>
      <c r="F229" s="1" t="s">
        <v>761</v>
      </c>
      <c r="G229" s="1">
        <v>1</v>
      </c>
      <c r="H229" s="1" t="s">
        <v>19</v>
      </c>
      <c r="I229" s="1" t="s">
        <v>395</v>
      </c>
      <c r="J229" s="1">
        <v>208.3</v>
      </c>
      <c r="K229" s="1">
        <v>208.3</v>
      </c>
      <c r="L229" s="42">
        <v>14</v>
      </c>
      <c r="M229" s="43">
        <v>45926</v>
      </c>
      <c r="N229" s="1" t="e">
        <f>VLOOKUP(B229,MICRO!E:L,8,0)</f>
        <v>#N/A</v>
      </c>
    </row>
    <row r="230" spans="1:14" ht="20.25" x14ac:dyDescent="0.25">
      <c r="A230" s="1">
        <v>1</v>
      </c>
      <c r="B230" s="1">
        <v>2105</v>
      </c>
      <c r="C230" s="1" t="s">
        <v>414</v>
      </c>
      <c r="D230" s="1" t="s">
        <v>414</v>
      </c>
      <c r="E230" s="1"/>
      <c r="F230" s="1" t="s">
        <v>661</v>
      </c>
      <c r="G230" s="1">
        <v>9</v>
      </c>
      <c r="H230" s="1" t="s">
        <v>19</v>
      </c>
      <c r="I230" s="1" t="s">
        <v>815</v>
      </c>
      <c r="J230" s="1">
        <v>5</v>
      </c>
      <c r="K230" s="1">
        <v>45</v>
      </c>
      <c r="L230" s="42">
        <v>1</v>
      </c>
      <c r="M230" s="43">
        <v>45929</v>
      </c>
      <c r="N230" s="1" t="e">
        <f>VLOOKUP(B230,MICRO!E:L,8,0)</f>
        <v>#N/A</v>
      </c>
    </row>
    <row r="231" spans="1:14" ht="20.25" x14ac:dyDescent="0.25">
      <c r="A231" s="1">
        <v>2</v>
      </c>
      <c r="B231" s="1">
        <v>2246</v>
      </c>
      <c r="C231" s="1" t="s">
        <v>814</v>
      </c>
      <c r="D231" s="1" t="s">
        <v>814</v>
      </c>
      <c r="E231" s="1"/>
      <c r="F231" s="1" t="s">
        <v>816</v>
      </c>
      <c r="G231" s="1">
        <v>23</v>
      </c>
      <c r="H231" s="1" t="s">
        <v>19</v>
      </c>
      <c r="I231" s="1" t="s">
        <v>815</v>
      </c>
      <c r="J231" s="1">
        <v>5.2</v>
      </c>
      <c r="K231" s="1">
        <v>119.60000000000001</v>
      </c>
      <c r="L231" s="42">
        <v>1</v>
      </c>
      <c r="M231" s="43">
        <v>45929</v>
      </c>
      <c r="N231" s="1" t="e">
        <f>VLOOKUP(B231,MICRO!E:L,8,0)</f>
        <v>#N/A</v>
      </c>
    </row>
    <row r="232" spans="1:14" ht="20.25" x14ac:dyDescent="0.25">
      <c r="A232" s="1">
        <v>1</v>
      </c>
      <c r="B232" s="1">
        <v>1849</v>
      </c>
      <c r="C232" s="1" t="s">
        <v>82</v>
      </c>
      <c r="D232" s="1" t="s">
        <v>82</v>
      </c>
      <c r="E232" s="1"/>
      <c r="F232" s="1" t="s">
        <v>117</v>
      </c>
      <c r="G232" s="1">
        <v>5</v>
      </c>
      <c r="H232" s="1" t="s">
        <v>19</v>
      </c>
      <c r="I232" s="1" t="s">
        <v>685</v>
      </c>
      <c r="J232" s="1">
        <v>19.8</v>
      </c>
      <c r="K232" s="1">
        <v>99</v>
      </c>
      <c r="L232" s="42">
        <v>1</v>
      </c>
      <c r="M232" s="43">
        <v>45937</v>
      </c>
      <c r="N232" s="1" t="e">
        <f>VLOOKUP(B232,MICRO!E:L,8,0)</f>
        <v>#N/A</v>
      </c>
    </row>
    <row r="233" spans="1:14" ht="20.25" x14ac:dyDescent="0.25">
      <c r="A233" s="1">
        <v>1</v>
      </c>
      <c r="B233" s="1">
        <v>1846</v>
      </c>
      <c r="C233" s="1" t="s">
        <v>126</v>
      </c>
      <c r="D233" s="1" t="s">
        <v>126</v>
      </c>
      <c r="E233" s="1"/>
      <c r="F233" s="1" t="s">
        <v>547</v>
      </c>
      <c r="G233" s="1">
        <v>160</v>
      </c>
      <c r="H233" s="1" t="s">
        <v>19</v>
      </c>
      <c r="I233" s="1" t="s">
        <v>823</v>
      </c>
      <c r="J233" s="1">
        <v>8</v>
      </c>
      <c r="K233" s="1">
        <v>1280</v>
      </c>
      <c r="L233" s="42">
        <v>1</v>
      </c>
      <c r="M233" s="43">
        <v>45922</v>
      </c>
      <c r="N233" s="1" t="e">
        <f>VLOOKUP(B233,MICRO!E:L,8,0)</f>
        <v>#N/A</v>
      </c>
    </row>
    <row r="234" spans="1:14" ht="20.25" x14ac:dyDescent="0.25">
      <c r="A234" s="1">
        <v>1</v>
      </c>
      <c r="B234" s="1">
        <v>2106</v>
      </c>
      <c r="C234" s="1" t="s">
        <v>680</v>
      </c>
      <c r="D234" s="1"/>
      <c r="E234" s="1"/>
      <c r="F234" s="1" t="s">
        <v>681</v>
      </c>
      <c r="G234" s="1">
        <v>10</v>
      </c>
      <c r="H234" s="1" t="s">
        <v>19</v>
      </c>
      <c r="I234" s="1" t="s">
        <v>824</v>
      </c>
      <c r="J234" s="1">
        <v>1.8</v>
      </c>
      <c r="K234" s="1">
        <v>18</v>
      </c>
      <c r="L234" s="42">
        <v>1</v>
      </c>
      <c r="M234" s="43">
        <v>45944</v>
      </c>
      <c r="N234" s="1" t="e">
        <f>VLOOKUP(B234,MICRO!E:L,8,0)</f>
        <v>#N/A</v>
      </c>
    </row>
    <row r="235" spans="1:14" ht="20.25" x14ac:dyDescent="0.25">
      <c r="A235" s="1">
        <v>1</v>
      </c>
      <c r="B235" s="1">
        <v>1851</v>
      </c>
      <c r="C235" s="1" t="s">
        <v>557</v>
      </c>
      <c r="D235" s="1" t="s">
        <v>557</v>
      </c>
      <c r="E235" s="1"/>
      <c r="F235" s="1" t="s">
        <v>558</v>
      </c>
      <c r="G235" s="1">
        <v>4</v>
      </c>
      <c r="H235" s="1" t="s">
        <v>19</v>
      </c>
      <c r="I235" s="1" t="s">
        <v>1021</v>
      </c>
      <c r="J235" s="1">
        <v>39.1</v>
      </c>
      <c r="K235" s="1">
        <v>156.4</v>
      </c>
      <c r="L235" s="42">
        <v>1</v>
      </c>
      <c r="M235" s="43">
        <v>45960</v>
      </c>
      <c r="N235" s="1" t="e">
        <f>VLOOKUP(B235,MICRO!E:L,8,0)</f>
        <v>#N/A</v>
      </c>
    </row>
    <row r="236" spans="1:14" ht="20.25" x14ac:dyDescent="0.25">
      <c r="A236" s="1">
        <v>1</v>
      </c>
      <c r="B236" s="1">
        <v>1945</v>
      </c>
      <c r="C236" s="1" t="s">
        <v>132</v>
      </c>
      <c r="D236" s="1"/>
      <c r="E236" s="1" t="s">
        <v>1114</v>
      </c>
      <c r="F236" s="1" t="s">
        <v>1121</v>
      </c>
      <c r="G236" s="1">
        <v>1</v>
      </c>
      <c r="H236" s="1" t="s">
        <v>19</v>
      </c>
      <c r="I236" s="1" t="s">
        <v>585</v>
      </c>
      <c r="J236" s="1">
        <v>46.2</v>
      </c>
      <c r="K236" s="1">
        <v>46.2</v>
      </c>
      <c r="L236" s="42">
        <v>1</v>
      </c>
      <c r="M236" s="43">
        <v>45968</v>
      </c>
      <c r="N236" s="1" t="e">
        <f>VLOOKUP(B236,MICRO!E:L,8,0)</f>
        <v>#N/A</v>
      </c>
    </row>
    <row r="237" spans="1:14" ht="20.25" x14ac:dyDescent="0.25">
      <c r="A237" s="1">
        <v>2</v>
      </c>
      <c r="B237" s="1">
        <v>1996</v>
      </c>
      <c r="C237" s="1" t="s">
        <v>132</v>
      </c>
      <c r="D237" s="1"/>
      <c r="E237" s="1" t="s">
        <v>43</v>
      </c>
      <c r="F237" s="1" t="s">
        <v>1122</v>
      </c>
      <c r="G237" s="1">
        <v>5</v>
      </c>
      <c r="H237" s="1" t="s">
        <v>19</v>
      </c>
      <c r="I237" s="1" t="s">
        <v>629</v>
      </c>
      <c r="J237" s="1">
        <v>225.4</v>
      </c>
      <c r="K237" s="1">
        <v>1127</v>
      </c>
      <c r="L237" s="42">
        <v>1</v>
      </c>
      <c r="M237" s="43">
        <v>45968</v>
      </c>
      <c r="N237" s="1" t="e">
        <f>VLOOKUP(B237,MICRO!E:L,8,0)</f>
        <v>#N/A</v>
      </c>
    </row>
    <row r="238" spans="1:14" ht="20.25" x14ac:dyDescent="0.25">
      <c r="A238" s="1">
        <v>3</v>
      </c>
      <c r="B238" s="1">
        <v>1997</v>
      </c>
      <c r="C238" s="1" t="s">
        <v>132</v>
      </c>
      <c r="D238" s="1"/>
      <c r="E238" s="1" t="s">
        <v>1115</v>
      </c>
      <c r="F238" s="1" t="s">
        <v>1123</v>
      </c>
      <c r="G238" s="1">
        <v>1</v>
      </c>
      <c r="H238" s="1" t="s">
        <v>19</v>
      </c>
      <c r="I238" s="1" t="s">
        <v>629</v>
      </c>
      <c r="J238" s="1">
        <v>36.700000000000003</v>
      </c>
      <c r="K238" s="1">
        <v>36.700000000000003</v>
      </c>
      <c r="L238" s="42">
        <v>1</v>
      </c>
      <c r="M238" s="43">
        <v>45968</v>
      </c>
      <c r="N238" s="1" t="e">
        <f>VLOOKUP(B238,MICRO!E:L,8,0)</f>
        <v>#N/A</v>
      </c>
    </row>
    <row r="239" spans="1:14" ht="20.25" x14ac:dyDescent="0.25">
      <c r="A239" s="1">
        <v>4</v>
      </c>
      <c r="B239" s="1">
        <v>2013</v>
      </c>
      <c r="C239" s="1" t="s">
        <v>132</v>
      </c>
      <c r="D239" s="1"/>
      <c r="E239" s="1" t="s">
        <v>1101</v>
      </c>
      <c r="F239" s="1" t="s">
        <v>636</v>
      </c>
      <c r="G239" s="1">
        <v>1</v>
      </c>
      <c r="H239" s="1" t="s">
        <v>19</v>
      </c>
      <c r="I239" s="1" t="s">
        <v>634</v>
      </c>
      <c r="J239" s="1">
        <v>234.4</v>
      </c>
      <c r="K239" s="1">
        <v>234.4</v>
      </c>
      <c r="L239" s="42">
        <v>1</v>
      </c>
      <c r="M239" s="43">
        <v>45968</v>
      </c>
      <c r="N239" s="1" t="e">
        <f>VLOOKUP(B239,MICRO!E:L,8,0)</f>
        <v>#N/A</v>
      </c>
    </row>
    <row r="240" spans="1:14" ht="20.25" x14ac:dyDescent="0.25">
      <c r="A240" s="1">
        <v>5</v>
      </c>
      <c r="B240" s="1">
        <v>2036</v>
      </c>
      <c r="C240" s="1" t="s">
        <v>644</v>
      </c>
      <c r="D240" s="1"/>
      <c r="E240" s="1"/>
      <c r="F240" s="1" t="s">
        <v>645</v>
      </c>
      <c r="G240" s="1">
        <v>18</v>
      </c>
      <c r="H240" s="1" t="s">
        <v>19</v>
      </c>
      <c r="I240" s="1" t="s">
        <v>634</v>
      </c>
      <c r="J240" s="1">
        <v>3.7</v>
      </c>
      <c r="K240" s="1">
        <v>66.600000000000009</v>
      </c>
      <c r="L240" s="42">
        <v>1</v>
      </c>
      <c r="M240" s="43">
        <v>45968</v>
      </c>
      <c r="N240" s="1" t="e">
        <f>VLOOKUP(B240,MICRO!E:L,8,0)</f>
        <v>#N/A</v>
      </c>
    </row>
    <row r="241" spans="1:14" ht="20.25" x14ac:dyDescent="0.25">
      <c r="A241" s="1">
        <v>6</v>
      </c>
      <c r="B241" s="1">
        <v>2039</v>
      </c>
      <c r="C241" s="1" t="s">
        <v>646</v>
      </c>
      <c r="D241" s="1"/>
      <c r="E241" s="1"/>
      <c r="F241" s="1" t="s">
        <v>647</v>
      </c>
      <c r="G241" s="1">
        <v>30</v>
      </c>
      <c r="H241" s="1" t="s">
        <v>19</v>
      </c>
      <c r="I241" s="1" t="s">
        <v>634</v>
      </c>
      <c r="J241" s="1">
        <v>5.3</v>
      </c>
      <c r="K241" s="1">
        <v>159</v>
      </c>
      <c r="L241" s="42">
        <v>1</v>
      </c>
      <c r="M241" s="43">
        <v>45968</v>
      </c>
      <c r="N241" s="1" t="e">
        <f>VLOOKUP(B241,MICRO!E:L,8,0)</f>
        <v>#N/A</v>
      </c>
    </row>
    <row r="242" spans="1:14" ht="20.25" x14ac:dyDescent="0.25">
      <c r="A242" s="1">
        <v>7</v>
      </c>
      <c r="B242" s="1">
        <v>2042</v>
      </c>
      <c r="C242" s="1" t="s">
        <v>648</v>
      </c>
      <c r="D242" s="1"/>
      <c r="E242" s="1"/>
      <c r="F242" s="1" t="s">
        <v>649</v>
      </c>
      <c r="G242" s="1">
        <v>2</v>
      </c>
      <c r="H242" s="1" t="s">
        <v>19</v>
      </c>
      <c r="I242" s="1" t="s">
        <v>634</v>
      </c>
      <c r="J242" s="1">
        <v>12.1</v>
      </c>
      <c r="K242" s="1">
        <v>24.2</v>
      </c>
      <c r="L242" s="42">
        <v>1</v>
      </c>
      <c r="M242" s="43">
        <v>45968</v>
      </c>
      <c r="N242" s="1" t="e">
        <f>VLOOKUP(B242,MICRO!E:L,8,0)</f>
        <v>#N/A</v>
      </c>
    </row>
    <row r="243" spans="1:14" ht="20.25" x14ac:dyDescent="0.25">
      <c r="A243" s="1">
        <v>8</v>
      </c>
      <c r="B243" s="1">
        <v>2043</v>
      </c>
      <c r="C243" s="1" t="s">
        <v>648</v>
      </c>
      <c r="D243" s="1"/>
      <c r="E243" s="1"/>
      <c r="F243" s="1" t="s">
        <v>649</v>
      </c>
      <c r="G243" s="1">
        <v>1</v>
      </c>
      <c r="H243" s="1" t="s">
        <v>19</v>
      </c>
      <c r="I243" s="1" t="s">
        <v>585</v>
      </c>
      <c r="J243" s="1">
        <v>12.1</v>
      </c>
      <c r="K243" s="1">
        <v>12.1</v>
      </c>
      <c r="L243" s="42">
        <v>1</v>
      </c>
      <c r="M243" s="43">
        <v>45968</v>
      </c>
      <c r="N243" s="1" t="e">
        <f>VLOOKUP(B243,MICRO!E:L,8,0)</f>
        <v>#N/A</v>
      </c>
    </row>
    <row r="244" spans="1:14" ht="20.25" x14ac:dyDescent="0.25">
      <c r="A244" s="1">
        <v>9</v>
      </c>
      <c r="B244" s="1">
        <v>2044</v>
      </c>
      <c r="C244" s="1" t="s">
        <v>648</v>
      </c>
      <c r="D244" s="1"/>
      <c r="E244" s="1"/>
      <c r="F244" s="1" t="s">
        <v>649</v>
      </c>
      <c r="G244" s="1">
        <v>1</v>
      </c>
      <c r="H244" s="1" t="s">
        <v>19</v>
      </c>
      <c r="I244" s="1" t="s">
        <v>589</v>
      </c>
      <c r="J244" s="1">
        <v>12.1</v>
      </c>
      <c r="K244" s="1">
        <v>12.1</v>
      </c>
      <c r="L244" s="42">
        <v>1</v>
      </c>
      <c r="M244" s="43">
        <v>45968</v>
      </c>
      <c r="N244" s="1" t="e">
        <f>VLOOKUP(B244,MICRO!E:L,8,0)</f>
        <v>#N/A</v>
      </c>
    </row>
    <row r="245" spans="1:14" ht="20.25" x14ac:dyDescent="0.25">
      <c r="A245" s="1">
        <v>10</v>
      </c>
      <c r="B245" s="1">
        <v>2069</v>
      </c>
      <c r="C245" s="1" t="s">
        <v>144</v>
      </c>
      <c r="D245" s="1"/>
      <c r="E245" s="1"/>
      <c r="F245" s="1" t="s">
        <v>205</v>
      </c>
      <c r="G245" s="1">
        <v>78</v>
      </c>
      <c r="H245" s="1" t="s">
        <v>19</v>
      </c>
      <c r="I245" s="1" t="s">
        <v>629</v>
      </c>
      <c r="J245" s="1">
        <v>6</v>
      </c>
      <c r="K245" s="1">
        <v>468</v>
      </c>
      <c r="L245" s="42">
        <v>1</v>
      </c>
      <c r="M245" s="43">
        <v>45968</v>
      </c>
      <c r="N245" s="1" t="e">
        <f>VLOOKUP(B245,MICRO!E:L,8,0)</f>
        <v>#N/A</v>
      </c>
    </row>
    <row r="246" spans="1:14" ht="20.25" x14ac:dyDescent="0.25">
      <c r="A246" s="1">
        <v>11</v>
      </c>
      <c r="B246" s="1">
        <v>2070</v>
      </c>
      <c r="C246" s="1" t="s">
        <v>659</v>
      </c>
      <c r="D246" s="1"/>
      <c r="E246" s="1"/>
      <c r="F246" s="1" t="s">
        <v>660</v>
      </c>
      <c r="G246" s="1">
        <v>14</v>
      </c>
      <c r="H246" s="1" t="s">
        <v>19</v>
      </c>
      <c r="I246" s="1" t="s">
        <v>629</v>
      </c>
      <c r="J246" s="1">
        <v>5.5</v>
      </c>
      <c r="K246" s="1">
        <v>77</v>
      </c>
      <c r="L246" s="42">
        <v>1</v>
      </c>
      <c r="M246" s="43">
        <v>45968</v>
      </c>
      <c r="N246" s="1" t="e">
        <f>VLOOKUP(B246,MICRO!E:L,8,0)</f>
        <v>#N/A</v>
      </c>
    </row>
    <row r="247" spans="1:14" ht="20.25" x14ac:dyDescent="0.25">
      <c r="A247" s="1">
        <v>12</v>
      </c>
      <c r="B247" s="1">
        <v>2071</v>
      </c>
      <c r="C247" s="1" t="s">
        <v>414</v>
      </c>
      <c r="D247" s="1"/>
      <c r="E247" s="1"/>
      <c r="F247" s="1" t="s">
        <v>661</v>
      </c>
      <c r="G247" s="1">
        <v>12</v>
      </c>
      <c r="H247" s="1" t="s">
        <v>19</v>
      </c>
      <c r="I247" s="1" t="s">
        <v>629</v>
      </c>
      <c r="J247" s="1">
        <v>5</v>
      </c>
      <c r="K247" s="1">
        <v>60</v>
      </c>
      <c r="L247" s="42">
        <v>1</v>
      </c>
      <c r="M247" s="43">
        <v>45968</v>
      </c>
      <c r="N247" s="1" t="e">
        <f>VLOOKUP(B247,MICRO!E:L,8,0)</f>
        <v>#N/A</v>
      </c>
    </row>
    <row r="248" spans="1:14" ht="20.25" x14ac:dyDescent="0.25">
      <c r="A248" s="1">
        <v>13</v>
      </c>
      <c r="B248" s="1">
        <v>2072</v>
      </c>
      <c r="C248" s="1" t="s">
        <v>662</v>
      </c>
      <c r="D248" s="1"/>
      <c r="E248" s="1"/>
      <c r="F248" s="1" t="s">
        <v>663</v>
      </c>
      <c r="G248" s="1">
        <v>11</v>
      </c>
      <c r="H248" s="1" t="s">
        <v>19</v>
      </c>
      <c r="I248" s="1" t="s">
        <v>629</v>
      </c>
      <c r="J248" s="1">
        <v>8.1</v>
      </c>
      <c r="K248" s="1">
        <v>89.1</v>
      </c>
      <c r="L248" s="42">
        <v>1</v>
      </c>
      <c r="M248" s="43">
        <v>45968</v>
      </c>
      <c r="N248" s="1" t="e">
        <f>VLOOKUP(B248,MICRO!E:L,8,0)</f>
        <v>#N/A</v>
      </c>
    </row>
    <row r="249" spans="1:14" ht="20.25" x14ac:dyDescent="0.25">
      <c r="A249" s="1">
        <v>14</v>
      </c>
      <c r="B249" s="1">
        <v>2073</v>
      </c>
      <c r="C249" s="1" t="s">
        <v>101</v>
      </c>
      <c r="D249" s="1"/>
      <c r="E249" s="1"/>
      <c r="F249" s="1" t="s">
        <v>146</v>
      </c>
      <c r="G249" s="1">
        <v>4</v>
      </c>
      <c r="H249" s="1" t="s">
        <v>19</v>
      </c>
      <c r="I249" s="1" t="s">
        <v>629</v>
      </c>
      <c r="J249" s="1">
        <v>1</v>
      </c>
      <c r="K249" s="1">
        <v>4</v>
      </c>
      <c r="L249" s="42">
        <v>1</v>
      </c>
      <c r="M249" s="43">
        <v>45968</v>
      </c>
      <c r="N249" s="1" t="e">
        <f>VLOOKUP(B249,MICRO!E:L,8,0)</f>
        <v>#N/A</v>
      </c>
    </row>
    <row r="250" spans="1:14" ht="20.25" x14ac:dyDescent="0.25">
      <c r="A250" s="1">
        <v>15</v>
      </c>
      <c r="B250" s="1">
        <v>2171</v>
      </c>
      <c r="C250" s="1" t="s">
        <v>733</v>
      </c>
      <c r="D250" s="1"/>
      <c r="E250" s="1"/>
      <c r="F250" s="1" t="s">
        <v>734</v>
      </c>
      <c r="G250" s="1">
        <v>1</v>
      </c>
      <c r="H250" s="1" t="s">
        <v>19</v>
      </c>
      <c r="I250" s="1" t="s">
        <v>735</v>
      </c>
      <c r="J250" s="1">
        <v>10</v>
      </c>
      <c r="K250" s="1">
        <v>10</v>
      </c>
      <c r="L250" s="42">
        <v>1</v>
      </c>
      <c r="M250" s="43">
        <v>45968</v>
      </c>
      <c r="N250" s="1" t="e">
        <f>VLOOKUP(B250,MICRO!E:L,8,0)</f>
        <v>#N/A</v>
      </c>
    </row>
    <row r="251" spans="1:14" ht="20.25" x14ac:dyDescent="0.25">
      <c r="A251" s="1">
        <v>16</v>
      </c>
      <c r="B251" s="1">
        <v>2172</v>
      </c>
      <c r="C251" s="1" t="s">
        <v>648</v>
      </c>
      <c r="D251" s="1"/>
      <c r="E251" s="1"/>
      <c r="F251" s="1" t="s">
        <v>736</v>
      </c>
      <c r="G251" s="1">
        <v>7</v>
      </c>
      <c r="H251" s="1" t="s">
        <v>19</v>
      </c>
      <c r="I251" s="1" t="s">
        <v>735</v>
      </c>
      <c r="J251" s="1">
        <v>12.1</v>
      </c>
      <c r="K251" s="1">
        <v>84.7</v>
      </c>
      <c r="L251" s="42">
        <v>1</v>
      </c>
      <c r="M251" s="43">
        <v>45968</v>
      </c>
      <c r="N251" s="1" t="e">
        <f>VLOOKUP(B251,MICRO!E:L,8,0)</f>
        <v>#N/A</v>
      </c>
    </row>
    <row r="252" spans="1:14" ht="20.25" x14ac:dyDescent="0.25">
      <c r="A252" s="1">
        <v>17</v>
      </c>
      <c r="B252" s="1">
        <v>2175</v>
      </c>
      <c r="C252" s="1" t="s">
        <v>733</v>
      </c>
      <c r="D252" s="1"/>
      <c r="E252" s="1"/>
      <c r="F252" s="1" t="s">
        <v>734</v>
      </c>
      <c r="G252" s="1">
        <v>1</v>
      </c>
      <c r="H252" s="1" t="s">
        <v>19</v>
      </c>
      <c r="I252" s="1" t="s">
        <v>589</v>
      </c>
      <c r="J252" s="1">
        <v>10</v>
      </c>
      <c r="K252" s="1">
        <v>10</v>
      </c>
      <c r="L252" s="42">
        <v>1</v>
      </c>
      <c r="M252" s="43">
        <v>45968</v>
      </c>
      <c r="N252" s="1" t="e">
        <f>VLOOKUP(B252,MICRO!E:L,8,0)</f>
        <v>#N/A</v>
      </c>
    </row>
    <row r="253" spans="1:14" ht="20.25" x14ac:dyDescent="0.25">
      <c r="A253" s="1">
        <v>18</v>
      </c>
      <c r="B253" s="1">
        <v>2176</v>
      </c>
      <c r="C253" s="1" t="s">
        <v>648</v>
      </c>
      <c r="D253" s="1"/>
      <c r="E253" s="1"/>
      <c r="F253" s="1" t="s">
        <v>736</v>
      </c>
      <c r="G253" s="1">
        <v>7</v>
      </c>
      <c r="H253" s="1" t="s">
        <v>19</v>
      </c>
      <c r="I253" s="1" t="s">
        <v>589</v>
      </c>
      <c r="J253" s="1">
        <v>12.1</v>
      </c>
      <c r="K253" s="1">
        <v>84.7</v>
      </c>
      <c r="L253" s="42">
        <v>1</v>
      </c>
      <c r="M253" s="43">
        <v>45968</v>
      </c>
      <c r="N253" s="1" t="e">
        <f>VLOOKUP(B253,MICRO!E:L,8,0)</f>
        <v>#N/A</v>
      </c>
    </row>
    <row r="254" spans="1:14" ht="20.25" x14ac:dyDescent="0.25">
      <c r="A254" s="1">
        <v>1</v>
      </c>
      <c r="B254" s="1">
        <v>2104</v>
      </c>
      <c r="C254" s="1" t="s">
        <v>1015</v>
      </c>
      <c r="D254" s="1" t="s">
        <v>1015</v>
      </c>
      <c r="E254" s="1"/>
      <c r="F254" s="1" t="s">
        <v>1124</v>
      </c>
      <c r="G254" s="1">
        <v>1</v>
      </c>
      <c r="H254" s="1" t="s">
        <v>19</v>
      </c>
      <c r="I254" s="1" t="s">
        <v>1125</v>
      </c>
      <c r="J254" s="1">
        <v>213.7</v>
      </c>
      <c r="K254" s="1">
        <v>213.7</v>
      </c>
      <c r="L254" s="42">
        <v>1</v>
      </c>
      <c r="M254" s="43">
        <v>45986</v>
      </c>
      <c r="N254" s="1" t="e">
        <f>VLOOKUP(B254,MICRO!E:L,8,0)</f>
        <v>#N/A</v>
      </c>
    </row>
    <row r="255" spans="1:14" ht="20.25" x14ac:dyDescent="0.25">
      <c r="A255" s="1">
        <v>21</v>
      </c>
      <c r="B255" s="1"/>
      <c r="C255" s="1" t="s">
        <v>1243</v>
      </c>
      <c r="D255" s="1"/>
      <c r="E255" s="1"/>
      <c r="F255" s="1" t="s">
        <v>1244</v>
      </c>
      <c r="G255" s="1">
        <v>1</v>
      </c>
      <c r="H255" s="1" t="s">
        <v>19</v>
      </c>
      <c r="I255" s="1" t="s">
        <v>423</v>
      </c>
      <c r="J255" s="1">
        <v>404.1</v>
      </c>
      <c r="K255" s="1">
        <v>404.1</v>
      </c>
      <c r="L255" s="42">
        <v>3</v>
      </c>
      <c r="M255" s="43">
        <v>46003</v>
      </c>
      <c r="N255" s="1" t="e">
        <f>VLOOKUP(B255,MICRO!E:L,8,0)</f>
        <v>#N/A</v>
      </c>
    </row>
    <row r="256" spans="1:14" ht="20.25" x14ac:dyDescent="0.25">
      <c r="A256" s="1">
        <v>22</v>
      </c>
      <c r="B256" s="1"/>
      <c r="C256" s="1" t="s">
        <v>1243</v>
      </c>
      <c r="D256" s="1"/>
      <c r="E256" s="1"/>
      <c r="F256" s="1" t="s">
        <v>1244</v>
      </c>
      <c r="G256" s="1">
        <v>1</v>
      </c>
      <c r="H256" s="1" t="s">
        <v>19</v>
      </c>
      <c r="I256" s="1" t="s">
        <v>424</v>
      </c>
      <c r="J256" s="1">
        <v>404.1</v>
      </c>
      <c r="K256" s="1">
        <v>404.1</v>
      </c>
      <c r="L256" s="42">
        <v>3</v>
      </c>
      <c r="M256" s="43">
        <v>46003</v>
      </c>
      <c r="N256" s="1" t="e">
        <f>VLOOKUP(B256,MICRO!E:L,8,0)</f>
        <v>#N/A</v>
      </c>
    </row>
    <row r="257" spans="1:14" ht="20.25" x14ac:dyDescent="0.25">
      <c r="A257" s="1">
        <v>23</v>
      </c>
      <c r="B257" s="1"/>
      <c r="C257" s="1" t="s">
        <v>1243</v>
      </c>
      <c r="D257" s="1"/>
      <c r="E257" s="1"/>
      <c r="F257" s="1" t="s">
        <v>1244</v>
      </c>
      <c r="G257" s="1">
        <v>1</v>
      </c>
      <c r="H257" s="1" t="s">
        <v>19</v>
      </c>
      <c r="I257" s="1" t="s">
        <v>425</v>
      </c>
      <c r="J257" s="1">
        <v>404.1</v>
      </c>
      <c r="K257" s="1">
        <v>404.1</v>
      </c>
      <c r="L257" s="42">
        <v>3</v>
      </c>
      <c r="M257" s="43">
        <v>46003</v>
      </c>
      <c r="N257" s="1" t="e">
        <f>VLOOKUP(B257,MICRO!E:L,8,0)</f>
        <v>#N/A</v>
      </c>
    </row>
    <row r="258" spans="1:14" ht="20.25" x14ac:dyDescent="0.25">
      <c r="A258" s="1">
        <v>24</v>
      </c>
      <c r="B258" s="1"/>
      <c r="C258" s="1" t="s">
        <v>1243</v>
      </c>
      <c r="D258" s="1"/>
      <c r="E258" s="1"/>
      <c r="F258" s="1" t="s">
        <v>1244</v>
      </c>
      <c r="G258" s="1">
        <v>1</v>
      </c>
      <c r="H258" s="1" t="s">
        <v>19</v>
      </c>
      <c r="I258" s="1" t="s">
        <v>426</v>
      </c>
      <c r="J258" s="1">
        <v>404.1</v>
      </c>
      <c r="K258" s="1">
        <v>404.1</v>
      </c>
      <c r="L258" s="42">
        <v>3</v>
      </c>
      <c r="M258" s="43">
        <v>46003</v>
      </c>
      <c r="N258" s="1" t="e">
        <f>VLOOKUP(B258,MICRO!E:L,8,0)</f>
        <v>#N/A</v>
      </c>
    </row>
    <row r="259" spans="1:14" ht="20.25" x14ac:dyDescent="0.25">
      <c r="A259" s="1">
        <v>25</v>
      </c>
      <c r="B259" s="1"/>
      <c r="C259" s="1" t="s">
        <v>1243</v>
      </c>
      <c r="D259" s="1"/>
      <c r="E259" s="1"/>
      <c r="F259" s="1" t="s">
        <v>1244</v>
      </c>
      <c r="G259" s="1">
        <v>1</v>
      </c>
      <c r="H259" s="1" t="s">
        <v>19</v>
      </c>
      <c r="I259" s="1" t="s">
        <v>427</v>
      </c>
      <c r="J259" s="1">
        <v>404.1</v>
      </c>
      <c r="K259" s="1">
        <v>404.1</v>
      </c>
      <c r="L259" s="42">
        <v>3</v>
      </c>
      <c r="M259" s="43">
        <v>46003</v>
      </c>
      <c r="N259" s="1" t="e">
        <f>VLOOKUP(B259,MICRO!E:L,8,0)</f>
        <v>#N/A</v>
      </c>
    </row>
    <row r="260" spans="1:14" ht="20.25" x14ac:dyDescent="0.25">
      <c r="A260" s="1">
        <v>26</v>
      </c>
      <c r="B260" s="1"/>
      <c r="C260" s="1" t="s">
        <v>1245</v>
      </c>
      <c r="D260" s="1"/>
      <c r="E260" s="1"/>
      <c r="F260" s="1" t="s">
        <v>1246</v>
      </c>
      <c r="G260" s="1">
        <v>1</v>
      </c>
      <c r="H260" s="1" t="s">
        <v>19</v>
      </c>
      <c r="I260" s="1" t="s">
        <v>423</v>
      </c>
      <c r="J260" s="1">
        <v>394.6</v>
      </c>
      <c r="K260" s="1">
        <v>394.6</v>
      </c>
      <c r="L260" s="42">
        <v>3</v>
      </c>
      <c r="M260" s="43">
        <v>46003</v>
      </c>
      <c r="N260" s="1" t="e">
        <f>VLOOKUP(B260,MICRO!E:L,8,0)</f>
        <v>#N/A</v>
      </c>
    </row>
    <row r="261" spans="1:14" ht="20.25" x14ac:dyDescent="0.25">
      <c r="A261" s="1">
        <v>27</v>
      </c>
      <c r="B261" s="1"/>
      <c r="C261" s="1" t="s">
        <v>1245</v>
      </c>
      <c r="D261" s="1"/>
      <c r="E261" s="1"/>
      <c r="F261" s="1" t="s">
        <v>1246</v>
      </c>
      <c r="G261" s="1">
        <v>1</v>
      </c>
      <c r="H261" s="1" t="s">
        <v>19</v>
      </c>
      <c r="I261" s="1" t="s">
        <v>424</v>
      </c>
      <c r="J261" s="1">
        <v>394.6</v>
      </c>
      <c r="K261" s="1">
        <v>394.6</v>
      </c>
      <c r="L261" s="42">
        <v>3</v>
      </c>
      <c r="M261" s="43">
        <v>46003</v>
      </c>
      <c r="N261" s="1" t="e">
        <f>VLOOKUP(B261,MICRO!E:L,8,0)</f>
        <v>#N/A</v>
      </c>
    </row>
    <row r="262" spans="1:14" ht="20.25" x14ac:dyDescent="0.25">
      <c r="A262" s="1">
        <v>28</v>
      </c>
      <c r="B262" s="1"/>
      <c r="C262" s="1" t="s">
        <v>1245</v>
      </c>
      <c r="D262" s="1"/>
      <c r="E262" s="1"/>
      <c r="F262" s="1" t="s">
        <v>1246</v>
      </c>
      <c r="G262" s="1">
        <v>1</v>
      </c>
      <c r="H262" s="1" t="s">
        <v>19</v>
      </c>
      <c r="I262" s="1" t="s">
        <v>425</v>
      </c>
      <c r="J262" s="1">
        <v>394.6</v>
      </c>
      <c r="K262" s="1">
        <v>394.6</v>
      </c>
      <c r="L262" s="42">
        <v>3</v>
      </c>
      <c r="M262" s="43">
        <v>46003</v>
      </c>
      <c r="N262" s="1" t="e">
        <f>VLOOKUP(B262,MICRO!E:L,8,0)</f>
        <v>#N/A</v>
      </c>
    </row>
    <row r="263" spans="1:14" ht="20.25" x14ac:dyDescent="0.25">
      <c r="A263" s="1">
        <v>29</v>
      </c>
      <c r="B263" s="1"/>
      <c r="C263" s="1" t="s">
        <v>1245</v>
      </c>
      <c r="D263" s="1"/>
      <c r="E263" s="1"/>
      <c r="F263" s="1" t="s">
        <v>1246</v>
      </c>
      <c r="G263" s="1">
        <v>1</v>
      </c>
      <c r="H263" s="1" t="s">
        <v>19</v>
      </c>
      <c r="I263" s="1" t="s">
        <v>426</v>
      </c>
      <c r="J263" s="1">
        <v>394.6</v>
      </c>
      <c r="K263" s="1">
        <v>394.6</v>
      </c>
      <c r="L263" s="42">
        <v>3</v>
      </c>
      <c r="M263" s="43">
        <v>46003</v>
      </c>
      <c r="N263" s="1" t="e">
        <f>VLOOKUP(B263,MICRO!E:L,8,0)</f>
        <v>#N/A</v>
      </c>
    </row>
    <row r="264" spans="1:14" ht="20.25" x14ac:dyDescent="0.25">
      <c r="A264" s="1">
        <v>30</v>
      </c>
      <c r="B264" s="1"/>
      <c r="C264" s="1" t="s">
        <v>1245</v>
      </c>
      <c r="D264" s="1"/>
      <c r="E264" s="1"/>
      <c r="F264" s="1" t="s">
        <v>1246</v>
      </c>
      <c r="G264" s="1">
        <v>1</v>
      </c>
      <c r="H264" s="1" t="s">
        <v>19</v>
      </c>
      <c r="I264" s="1" t="s">
        <v>427</v>
      </c>
      <c r="J264" s="1">
        <v>394.6</v>
      </c>
      <c r="K264" s="1">
        <v>394.6</v>
      </c>
      <c r="L264" s="42">
        <v>3</v>
      </c>
      <c r="M264" s="43">
        <v>46003</v>
      </c>
      <c r="N264" s="1" t="e">
        <f>VLOOKUP(B264,MICRO!E:L,8,0)</f>
        <v>#N/A</v>
      </c>
    </row>
    <row r="265" spans="1:14" ht="20.25" x14ac:dyDescent="0.25">
      <c r="A265" s="1">
        <v>31</v>
      </c>
      <c r="B265" s="1"/>
      <c r="C265" s="1" t="s">
        <v>1150</v>
      </c>
      <c r="D265" s="1"/>
      <c r="E265" s="1" t="s">
        <v>2</v>
      </c>
      <c r="F265" s="1" t="s">
        <v>1151</v>
      </c>
      <c r="G265" s="1">
        <v>2</v>
      </c>
      <c r="H265" s="1" t="s">
        <v>19</v>
      </c>
      <c r="I265" s="1" t="s">
        <v>423</v>
      </c>
      <c r="J265" s="1">
        <v>11.5</v>
      </c>
      <c r="K265" s="1">
        <v>23</v>
      </c>
      <c r="L265" s="42">
        <v>3</v>
      </c>
      <c r="M265" s="43">
        <v>46003</v>
      </c>
      <c r="N265" s="1" t="e">
        <f>VLOOKUP(B265,MICRO!E:L,8,0)</f>
        <v>#N/A</v>
      </c>
    </row>
    <row r="266" spans="1:14" ht="20.25" x14ac:dyDescent="0.25">
      <c r="A266" s="1">
        <v>32</v>
      </c>
      <c r="B266" s="1"/>
      <c r="C266" s="1" t="s">
        <v>1150</v>
      </c>
      <c r="D266" s="1"/>
      <c r="E266" s="1" t="s">
        <v>43</v>
      </c>
      <c r="F266" s="1" t="s">
        <v>1152</v>
      </c>
      <c r="G266" s="1">
        <v>4</v>
      </c>
      <c r="H266" s="1" t="s">
        <v>19</v>
      </c>
      <c r="I266" s="1" t="s">
        <v>423</v>
      </c>
      <c r="J266" s="1">
        <v>1.5</v>
      </c>
      <c r="K266" s="1">
        <v>6</v>
      </c>
      <c r="L266" s="42">
        <v>3</v>
      </c>
      <c r="M266" s="43">
        <v>46003</v>
      </c>
      <c r="N266" s="1" t="e">
        <f>VLOOKUP(B266,MICRO!E:L,8,0)</f>
        <v>#N/A</v>
      </c>
    </row>
    <row r="267" spans="1:14" ht="20.25" x14ac:dyDescent="0.25">
      <c r="A267" s="1">
        <v>33</v>
      </c>
      <c r="B267" s="1"/>
      <c r="C267" s="1" t="s">
        <v>1150</v>
      </c>
      <c r="D267" s="1"/>
      <c r="E267" s="1" t="s">
        <v>746</v>
      </c>
      <c r="F267" s="1" t="s">
        <v>1153</v>
      </c>
      <c r="G267" s="1">
        <v>2</v>
      </c>
      <c r="H267" s="1" t="s">
        <v>19</v>
      </c>
      <c r="I267" s="1" t="s">
        <v>423</v>
      </c>
      <c r="J267" s="1">
        <v>5</v>
      </c>
      <c r="K267" s="1">
        <v>10</v>
      </c>
      <c r="L267" s="42">
        <v>3</v>
      </c>
      <c r="M267" s="43">
        <v>46003</v>
      </c>
      <c r="N267" s="1" t="e">
        <f>VLOOKUP(B267,MICRO!E:L,8,0)</f>
        <v>#N/A</v>
      </c>
    </row>
    <row r="268" spans="1:14" ht="20.25" x14ac:dyDescent="0.25">
      <c r="A268" s="1">
        <v>34</v>
      </c>
      <c r="B268" s="1"/>
      <c r="C268" s="1" t="s">
        <v>1150</v>
      </c>
      <c r="D268" s="1"/>
      <c r="E268" s="1" t="s">
        <v>1101</v>
      </c>
      <c r="F268" s="1" t="s">
        <v>1154</v>
      </c>
      <c r="G268" s="1">
        <v>2</v>
      </c>
      <c r="H268" s="1" t="s">
        <v>19</v>
      </c>
      <c r="I268" s="1" t="s">
        <v>423</v>
      </c>
      <c r="J268" s="1">
        <v>1</v>
      </c>
      <c r="K268" s="1">
        <v>2</v>
      </c>
      <c r="L268" s="42">
        <v>3</v>
      </c>
      <c r="M268" s="43">
        <v>46003</v>
      </c>
      <c r="N268" s="1" t="e">
        <f>VLOOKUP(B268,MICRO!E:L,8,0)</f>
        <v>#N/A</v>
      </c>
    </row>
    <row r="269" spans="1:14" ht="20.25" x14ac:dyDescent="0.25">
      <c r="A269" s="1">
        <v>35</v>
      </c>
      <c r="B269" s="1"/>
      <c r="C269" s="1" t="s">
        <v>1150</v>
      </c>
      <c r="D269" s="1"/>
      <c r="E269" s="1" t="s">
        <v>100</v>
      </c>
      <c r="F269" s="1" t="s">
        <v>1155</v>
      </c>
      <c r="G269" s="1">
        <v>4</v>
      </c>
      <c r="H269" s="1" t="s">
        <v>19</v>
      </c>
      <c r="I269" s="1" t="s">
        <v>423</v>
      </c>
      <c r="J269" s="1">
        <v>0.3</v>
      </c>
      <c r="K269" s="1">
        <v>1.2</v>
      </c>
      <c r="L269" s="42">
        <v>3</v>
      </c>
      <c r="M269" s="43">
        <v>46003</v>
      </c>
      <c r="N269" s="1" t="e">
        <f>VLOOKUP(B269,MICRO!E:L,8,0)</f>
        <v>#N/A</v>
      </c>
    </row>
    <row r="270" spans="1:14" ht="20.25" x14ac:dyDescent="0.25">
      <c r="A270" s="1">
        <v>36</v>
      </c>
      <c r="B270" s="1"/>
      <c r="C270" s="1" t="s">
        <v>1150</v>
      </c>
      <c r="D270" s="1"/>
      <c r="E270" s="1" t="s">
        <v>173</v>
      </c>
      <c r="F270" s="1" t="s">
        <v>1156</v>
      </c>
      <c r="G270" s="1">
        <v>8</v>
      </c>
      <c r="H270" s="1" t="s">
        <v>19</v>
      </c>
      <c r="I270" s="1" t="s">
        <v>423</v>
      </c>
      <c r="J270" s="1">
        <v>1</v>
      </c>
      <c r="K270" s="1">
        <v>8</v>
      </c>
      <c r="L270" s="42">
        <v>3</v>
      </c>
      <c r="M270" s="43">
        <v>46003</v>
      </c>
      <c r="N270" s="1" t="e">
        <f>VLOOKUP(B270,MICRO!E:L,8,0)</f>
        <v>#N/A</v>
      </c>
    </row>
    <row r="271" spans="1:14" ht="20.25" x14ac:dyDescent="0.25">
      <c r="A271" s="1">
        <v>37</v>
      </c>
      <c r="B271" s="1"/>
      <c r="C271" s="1" t="s">
        <v>1150</v>
      </c>
      <c r="D271" s="1"/>
      <c r="E271" s="1" t="s">
        <v>461</v>
      </c>
      <c r="F271" s="1" t="s">
        <v>1157</v>
      </c>
      <c r="G271" s="1">
        <v>2</v>
      </c>
      <c r="H271" s="1" t="s">
        <v>19</v>
      </c>
      <c r="I271" s="1" t="s">
        <v>423</v>
      </c>
      <c r="J271" s="1">
        <v>0.6</v>
      </c>
      <c r="K271" s="1">
        <v>1.2</v>
      </c>
      <c r="L271" s="42">
        <v>3</v>
      </c>
      <c r="M271" s="43">
        <v>46003</v>
      </c>
      <c r="N271" s="1" t="e">
        <f>VLOOKUP(B271,MICRO!E:L,8,0)</f>
        <v>#N/A</v>
      </c>
    </row>
    <row r="272" spans="1:14" ht="20.25" x14ac:dyDescent="0.25">
      <c r="A272" s="1">
        <v>38</v>
      </c>
      <c r="B272" s="1"/>
      <c r="C272" s="1" t="s">
        <v>1150</v>
      </c>
      <c r="D272" s="1"/>
      <c r="E272" s="1" t="s">
        <v>2</v>
      </c>
      <c r="F272" s="1" t="s">
        <v>1151</v>
      </c>
      <c r="G272" s="1">
        <v>2</v>
      </c>
      <c r="H272" s="1" t="s">
        <v>19</v>
      </c>
      <c r="I272" s="1" t="s">
        <v>424</v>
      </c>
      <c r="J272" s="1">
        <v>11.5</v>
      </c>
      <c r="K272" s="1">
        <v>23</v>
      </c>
      <c r="L272" s="42">
        <v>3</v>
      </c>
      <c r="M272" s="43">
        <v>46003</v>
      </c>
      <c r="N272" s="1" t="e">
        <f>VLOOKUP(B272,MICRO!E:L,8,0)</f>
        <v>#N/A</v>
      </c>
    </row>
    <row r="273" spans="1:14" ht="20.25" x14ac:dyDescent="0.25">
      <c r="A273" s="1">
        <v>39</v>
      </c>
      <c r="B273" s="1"/>
      <c r="C273" s="1" t="s">
        <v>1150</v>
      </c>
      <c r="D273" s="1"/>
      <c r="E273" s="1" t="s">
        <v>43</v>
      </c>
      <c r="F273" s="1" t="s">
        <v>1152</v>
      </c>
      <c r="G273" s="1">
        <v>4</v>
      </c>
      <c r="H273" s="1" t="s">
        <v>19</v>
      </c>
      <c r="I273" s="1" t="s">
        <v>424</v>
      </c>
      <c r="J273" s="1">
        <v>1.5</v>
      </c>
      <c r="K273" s="1">
        <v>6</v>
      </c>
      <c r="L273" s="42">
        <v>3</v>
      </c>
      <c r="M273" s="43">
        <v>46003</v>
      </c>
      <c r="N273" s="1" t="e">
        <f>VLOOKUP(B273,MICRO!E:L,8,0)</f>
        <v>#N/A</v>
      </c>
    </row>
    <row r="274" spans="1:14" ht="20.25" x14ac:dyDescent="0.25">
      <c r="A274" s="1">
        <v>40</v>
      </c>
      <c r="B274" s="1"/>
      <c r="C274" s="1" t="s">
        <v>1150</v>
      </c>
      <c r="D274" s="1"/>
      <c r="E274" s="1" t="s">
        <v>746</v>
      </c>
      <c r="F274" s="1" t="s">
        <v>1153</v>
      </c>
      <c r="G274" s="1">
        <v>2</v>
      </c>
      <c r="H274" s="1" t="s">
        <v>19</v>
      </c>
      <c r="I274" s="1" t="s">
        <v>424</v>
      </c>
      <c r="J274" s="1">
        <v>5</v>
      </c>
      <c r="K274" s="1">
        <v>10</v>
      </c>
      <c r="L274" s="42">
        <v>3</v>
      </c>
      <c r="M274" s="43">
        <v>46003</v>
      </c>
      <c r="N274" s="1" t="e">
        <f>VLOOKUP(B274,MICRO!E:L,8,0)</f>
        <v>#N/A</v>
      </c>
    </row>
    <row r="275" spans="1:14" ht="20.25" x14ac:dyDescent="0.25">
      <c r="A275" s="1">
        <v>41</v>
      </c>
      <c r="B275" s="1"/>
      <c r="C275" s="1" t="s">
        <v>1150</v>
      </c>
      <c r="D275" s="1"/>
      <c r="E275" s="1" t="s">
        <v>1101</v>
      </c>
      <c r="F275" s="1" t="s">
        <v>1154</v>
      </c>
      <c r="G275" s="1">
        <v>2</v>
      </c>
      <c r="H275" s="1" t="s">
        <v>19</v>
      </c>
      <c r="I275" s="1" t="s">
        <v>424</v>
      </c>
      <c r="J275" s="1">
        <v>1</v>
      </c>
      <c r="K275" s="1">
        <v>2</v>
      </c>
      <c r="L275" s="42">
        <v>3</v>
      </c>
      <c r="M275" s="43">
        <v>46003</v>
      </c>
      <c r="N275" s="1" t="e">
        <f>VLOOKUP(B275,MICRO!E:L,8,0)</f>
        <v>#N/A</v>
      </c>
    </row>
    <row r="276" spans="1:14" ht="20.25" x14ac:dyDescent="0.25">
      <c r="A276" s="1">
        <v>42</v>
      </c>
      <c r="B276" s="1"/>
      <c r="C276" s="1" t="s">
        <v>1150</v>
      </c>
      <c r="D276" s="1"/>
      <c r="E276" s="1" t="s">
        <v>100</v>
      </c>
      <c r="F276" s="1" t="s">
        <v>1155</v>
      </c>
      <c r="G276" s="1">
        <v>4</v>
      </c>
      <c r="H276" s="1" t="s">
        <v>19</v>
      </c>
      <c r="I276" s="1" t="s">
        <v>424</v>
      </c>
      <c r="J276" s="1">
        <v>0.3</v>
      </c>
      <c r="K276" s="1">
        <v>1.2</v>
      </c>
      <c r="L276" s="42">
        <v>3</v>
      </c>
      <c r="M276" s="43">
        <v>46003</v>
      </c>
      <c r="N276" s="1" t="e">
        <f>VLOOKUP(B276,MICRO!E:L,8,0)</f>
        <v>#N/A</v>
      </c>
    </row>
    <row r="277" spans="1:14" ht="20.25" x14ac:dyDescent="0.25">
      <c r="A277" s="1">
        <v>43</v>
      </c>
      <c r="B277" s="1"/>
      <c r="C277" s="1" t="s">
        <v>1150</v>
      </c>
      <c r="D277" s="1"/>
      <c r="E277" s="1" t="s">
        <v>173</v>
      </c>
      <c r="F277" s="1" t="s">
        <v>1156</v>
      </c>
      <c r="G277" s="1">
        <v>8</v>
      </c>
      <c r="H277" s="1" t="s">
        <v>19</v>
      </c>
      <c r="I277" s="1" t="s">
        <v>424</v>
      </c>
      <c r="J277" s="1">
        <v>1</v>
      </c>
      <c r="K277" s="1">
        <v>8</v>
      </c>
      <c r="L277" s="42">
        <v>3</v>
      </c>
      <c r="M277" s="43">
        <v>46003</v>
      </c>
      <c r="N277" s="1" t="e">
        <f>VLOOKUP(B277,MICRO!E:L,8,0)</f>
        <v>#N/A</v>
      </c>
    </row>
    <row r="278" spans="1:14" ht="20.25" x14ac:dyDescent="0.25">
      <c r="A278" s="1">
        <v>44</v>
      </c>
      <c r="B278" s="1"/>
      <c r="C278" s="1" t="s">
        <v>1150</v>
      </c>
      <c r="D278" s="1"/>
      <c r="E278" s="1" t="s">
        <v>461</v>
      </c>
      <c r="F278" s="1" t="s">
        <v>1157</v>
      </c>
      <c r="G278" s="1">
        <v>2</v>
      </c>
      <c r="H278" s="1" t="s">
        <v>19</v>
      </c>
      <c r="I278" s="1" t="s">
        <v>424</v>
      </c>
      <c r="J278" s="1">
        <v>0.6</v>
      </c>
      <c r="K278" s="1">
        <v>1.2</v>
      </c>
      <c r="L278" s="42">
        <v>3</v>
      </c>
      <c r="M278" s="43">
        <v>46003</v>
      </c>
      <c r="N278" s="1" t="e">
        <f>VLOOKUP(B278,MICRO!E:L,8,0)</f>
        <v>#N/A</v>
      </c>
    </row>
    <row r="279" spans="1:14" ht="20.25" x14ac:dyDescent="0.25">
      <c r="A279" s="1">
        <v>45</v>
      </c>
      <c r="B279" s="1"/>
      <c r="C279" s="1" t="s">
        <v>1150</v>
      </c>
      <c r="D279" s="1"/>
      <c r="E279" s="1" t="s">
        <v>2</v>
      </c>
      <c r="F279" s="1" t="s">
        <v>1151</v>
      </c>
      <c r="G279" s="1">
        <v>2</v>
      </c>
      <c r="H279" s="1" t="s">
        <v>19</v>
      </c>
      <c r="I279" s="1" t="s">
        <v>425</v>
      </c>
      <c r="J279" s="1">
        <v>11.5</v>
      </c>
      <c r="K279" s="1">
        <v>23</v>
      </c>
      <c r="L279" s="42">
        <v>3</v>
      </c>
      <c r="M279" s="43">
        <v>46003</v>
      </c>
      <c r="N279" s="1" t="e">
        <f>VLOOKUP(B279,MICRO!E:L,8,0)</f>
        <v>#N/A</v>
      </c>
    </row>
    <row r="280" spans="1:14" ht="20.25" x14ac:dyDescent="0.25">
      <c r="A280" s="1">
        <v>46</v>
      </c>
      <c r="B280" s="1"/>
      <c r="C280" s="1" t="s">
        <v>1150</v>
      </c>
      <c r="D280" s="1"/>
      <c r="E280" s="1" t="s">
        <v>43</v>
      </c>
      <c r="F280" s="1" t="s">
        <v>1152</v>
      </c>
      <c r="G280" s="1">
        <v>4</v>
      </c>
      <c r="H280" s="1" t="s">
        <v>19</v>
      </c>
      <c r="I280" s="1" t="s">
        <v>425</v>
      </c>
      <c r="J280" s="1">
        <v>1.5</v>
      </c>
      <c r="K280" s="1">
        <v>6</v>
      </c>
      <c r="L280" s="42">
        <v>3</v>
      </c>
      <c r="M280" s="43">
        <v>46003</v>
      </c>
      <c r="N280" s="1" t="e">
        <f>VLOOKUP(B280,MICRO!E:L,8,0)</f>
        <v>#N/A</v>
      </c>
    </row>
    <row r="281" spans="1:14" ht="20.25" x14ac:dyDescent="0.25">
      <c r="A281" s="1">
        <v>47</v>
      </c>
      <c r="B281" s="1"/>
      <c r="C281" s="1" t="s">
        <v>1150</v>
      </c>
      <c r="D281" s="1"/>
      <c r="E281" s="1" t="s">
        <v>746</v>
      </c>
      <c r="F281" s="1" t="s">
        <v>1153</v>
      </c>
      <c r="G281" s="1">
        <v>2</v>
      </c>
      <c r="H281" s="1" t="s">
        <v>19</v>
      </c>
      <c r="I281" s="1" t="s">
        <v>425</v>
      </c>
      <c r="J281" s="1">
        <v>5</v>
      </c>
      <c r="K281" s="1">
        <v>10</v>
      </c>
      <c r="L281" s="42">
        <v>3</v>
      </c>
      <c r="M281" s="43">
        <v>46003</v>
      </c>
      <c r="N281" s="1" t="e">
        <f>VLOOKUP(B281,MICRO!E:L,8,0)</f>
        <v>#N/A</v>
      </c>
    </row>
    <row r="282" spans="1:14" ht="20.25" x14ac:dyDescent="0.25">
      <c r="A282" s="1">
        <v>48</v>
      </c>
      <c r="B282" s="1"/>
      <c r="C282" s="1" t="s">
        <v>1150</v>
      </c>
      <c r="D282" s="1"/>
      <c r="E282" s="1" t="s">
        <v>1101</v>
      </c>
      <c r="F282" s="1" t="s">
        <v>1154</v>
      </c>
      <c r="G282" s="1">
        <v>2</v>
      </c>
      <c r="H282" s="1" t="s">
        <v>19</v>
      </c>
      <c r="I282" s="1" t="s">
        <v>425</v>
      </c>
      <c r="J282" s="1">
        <v>1</v>
      </c>
      <c r="K282" s="1">
        <v>2</v>
      </c>
      <c r="L282" s="42">
        <v>3</v>
      </c>
      <c r="M282" s="43">
        <v>46003</v>
      </c>
      <c r="N282" s="1" t="e">
        <f>VLOOKUP(B282,MICRO!E:L,8,0)</f>
        <v>#N/A</v>
      </c>
    </row>
    <row r="283" spans="1:14" ht="20.25" x14ac:dyDescent="0.25">
      <c r="A283" s="1">
        <v>49</v>
      </c>
      <c r="B283" s="1"/>
      <c r="C283" s="1" t="s">
        <v>1150</v>
      </c>
      <c r="D283" s="1"/>
      <c r="E283" s="1" t="s">
        <v>100</v>
      </c>
      <c r="F283" s="1" t="s">
        <v>1155</v>
      </c>
      <c r="G283" s="1">
        <v>4</v>
      </c>
      <c r="H283" s="1" t="s">
        <v>19</v>
      </c>
      <c r="I283" s="1" t="s">
        <v>425</v>
      </c>
      <c r="J283" s="1">
        <v>0.3</v>
      </c>
      <c r="K283" s="1">
        <v>1.2</v>
      </c>
      <c r="L283" s="42">
        <v>3</v>
      </c>
      <c r="M283" s="43">
        <v>46003</v>
      </c>
      <c r="N283" s="1" t="e">
        <f>VLOOKUP(B283,MICRO!E:L,8,0)</f>
        <v>#N/A</v>
      </c>
    </row>
    <row r="284" spans="1:14" ht="20.25" x14ac:dyDescent="0.25">
      <c r="A284" s="1">
        <v>50</v>
      </c>
      <c r="B284" s="1"/>
      <c r="C284" s="1" t="s">
        <v>1150</v>
      </c>
      <c r="D284" s="1"/>
      <c r="E284" s="1" t="s">
        <v>173</v>
      </c>
      <c r="F284" s="1" t="s">
        <v>1156</v>
      </c>
      <c r="G284" s="1">
        <v>8</v>
      </c>
      <c r="H284" s="1" t="s">
        <v>19</v>
      </c>
      <c r="I284" s="1" t="s">
        <v>425</v>
      </c>
      <c r="J284" s="1">
        <v>1</v>
      </c>
      <c r="K284" s="1">
        <v>8</v>
      </c>
      <c r="L284" s="42">
        <v>3</v>
      </c>
      <c r="M284" s="43">
        <v>46003</v>
      </c>
      <c r="N284" s="1" t="e">
        <f>VLOOKUP(B284,MICRO!E:L,8,0)</f>
        <v>#N/A</v>
      </c>
    </row>
    <row r="285" spans="1:14" ht="20.25" x14ac:dyDescent="0.25">
      <c r="A285" s="1">
        <v>51</v>
      </c>
      <c r="B285" s="1"/>
      <c r="C285" s="1" t="s">
        <v>1150</v>
      </c>
      <c r="D285" s="1"/>
      <c r="E285" s="1" t="s">
        <v>461</v>
      </c>
      <c r="F285" s="1" t="s">
        <v>1157</v>
      </c>
      <c r="G285" s="1">
        <v>2</v>
      </c>
      <c r="H285" s="1" t="s">
        <v>19</v>
      </c>
      <c r="I285" s="1" t="s">
        <v>425</v>
      </c>
      <c r="J285" s="1">
        <v>0.6</v>
      </c>
      <c r="K285" s="1">
        <v>1.2</v>
      </c>
      <c r="L285" s="42">
        <v>3</v>
      </c>
      <c r="M285" s="43">
        <v>46003</v>
      </c>
      <c r="N285" s="1" t="e">
        <f>VLOOKUP(B285,MICRO!E:L,8,0)</f>
        <v>#N/A</v>
      </c>
    </row>
    <row r="286" spans="1:14" ht="20.25" x14ac:dyDescent="0.25">
      <c r="A286" s="1">
        <v>52</v>
      </c>
      <c r="B286" s="1"/>
      <c r="C286" s="1" t="s">
        <v>1150</v>
      </c>
      <c r="D286" s="1"/>
      <c r="E286" s="1" t="s">
        <v>2</v>
      </c>
      <c r="F286" s="1" t="s">
        <v>1151</v>
      </c>
      <c r="G286" s="1">
        <v>2</v>
      </c>
      <c r="H286" s="1" t="s">
        <v>19</v>
      </c>
      <c r="I286" s="1" t="s">
        <v>426</v>
      </c>
      <c r="J286" s="1">
        <v>11.5</v>
      </c>
      <c r="K286" s="1">
        <v>23</v>
      </c>
      <c r="L286" s="42">
        <v>3</v>
      </c>
      <c r="M286" s="43">
        <v>46003</v>
      </c>
      <c r="N286" s="1" t="e">
        <f>VLOOKUP(B286,MICRO!E:L,8,0)</f>
        <v>#N/A</v>
      </c>
    </row>
    <row r="287" spans="1:14" ht="20.25" x14ac:dyDescent="0.25">
      <c r="A287" s="1">
        <v>53</v>
      </c>
      <c r="B287" s="1"/>
      <c r="C287" s="1" t="s">
        <v>1150</v>
      </c>
      <c r="D287" s="1"/>
      <c r="E287" s="1" t="s">
        <v>43</v>
      </c>
      <c r="F287" s="1" t="s">
        <v>1152</v>
      </c>
      <c r="G287" s="1">
        <v>4</v>
      </c>
      <c r="H287" s="1" t="s">
        <v>19</v>
      </c>
      <c r="I287" s="1" t="s">
        <v>426</v>
      </c>
      <c r="J287" s="1">
        <v>1.5</v>
      </c>
      <c r="K287" s="1">
        <v>6</v>
      </c>
      <c r="L287" s="42">
        <v>3</v>
      </c>
      <c r="M287" s="43">
        <v>46003</v>
      </c>
      <c r="N287" s="1" t="e">
        <f>VLOOKUP(B287,MICRO!E:L,8,0)</f>
        <v>#N/A</v>
      </c>
    </row>
    <row r="288" spans="1:14" ht="20.25" x14ac:dyDescent="0.25">
      <c r="A288" s="1">
        <v>54</v>
      </c>
      <c r="B288" s="1"/>
      <c r="C288" s="1" t="s">
        <v>1150</v>
      </c>
      <c r="D288" s="1"/>
      <c r="E288" s="1" t="s">
        <v>746</v>
      </c>
      <c r="F288" s="1" t="s">
        <v>1153</v>
      </c>
      <c r="G288" s="1">
        <v>2</v>
      </c>
      <c r="H288" s="1" t="s">
        <v>19</v>
      </c>
      <c r="I288" s="1" t="s">
        <v>426</v>
      </c>
      <c r="J288" s="1">
        <v>5</v>
      </c>
      <c r="K288" s="1">
        <v>10</v>
      </c>
      <c r="L288" s="42">
        <v>3</v>
      </c>
      <c r="M288" s="43">
        <v>46003</v>
      </c>
      <c r="N288" s="1" t="e">
        <f>VLOOKUP(B288,MICRO!E:L,8,0)</f>
        <v>#N/A</v>
      </c>
    </row>
    <row r="289" spans="1:14" ht="20.25" x14ac:dyDescent="0.25">
      <c r="A289" s="1">
        <v>55</v>
      </c>
      <c r="B289" s="1"/>
      <c r="C289" s="1" t="s">
        <v>1150</v>
      </c>
      <c r="D289" s="1"/>
      <c r="E289" s="1" t="s">
        <v>1101</v>
      </c>
      <c r="F289" s="1" t="s">
        <v>1154</v>
      </c>
      <c r="G289" s="1">
        <v>2</v>
      </c>
      <c r="H289" s="1" t="s">
        <v>19</v>
      </c>
      <c r="I289" s="1" t="s">
        <v>426</v>
      </c>
      <c r="J289" s="1">
        <v>1</v>
      </c>
      <c r="K289" s="1">
        <v>2</v>
      </c>
      <c r="L289" s="42">
        <v>3</v>
      </c>
      <c r="M289" s="43">
        <v>46003</v>
      </c>
      <c r="N289" s="1" t="e">
        <f>VLOOKUP(B289,MICRO!E:L,8,0)</f>
        <v>#N/A</v>
      </c>
    </row>
    <row r="290" spans="1:14" ht="20.25" x14ac:dyDescent="0.25">
      <c r="A290" s="1">
        <v>56</v>
      </c>
      <c r="B290" s="1"/>
      <c r="C290" s="1" t="s">
        <v>1150</v>
      </c>
      <c r="D290" s="1"/>
      <c r="E290" s="1" t="s">
        <v>100</v>
      </c>
      <c r="F290" s="1" t="s">
        <v>1155</v>
      </c>
      <c r="G290" s="1">
        <v>4</v>
      </c>
      <c r="H290" s="1" t="s">
        <v>19</v>
      </c>
      <c r="I290" s="1" t="s">
        <v>426</v>
      </c>
      <c r="J290" s="1">
        <v>0.3</v>
      </c>
      <c r="K290" s="1">
        <v>1.2</v>
      </c>
      <c r="L290" s="42">
        <v>3</v>
      </c>
      <c r="M290" s="43">
        <v>46003</v>
      </c>
      <c r="N290" s="1" t="e">
        <f>VLOOKUP(B290,MICRO!E:L,8,0)</f>
        <v>#N/A</v>
      </c>
    </row>
    <row r="291" spans="1:14" ht="20.25" x14ac:dyDescent="0.25">
      <c r="A291" s="1">
        <v>57</v>
      </c>
      <c r="B291" s="1"/>
      <c r="C291" s="1" t="s">
        <v>1150</v>
      </c>
      <c r="D291" s="1"/>
      <c r="E291" s="1" t="s">
        <v>173</v>
      </c>
      <c r="F291" s="1" t="s">
        <v>1156</v>
      </c>
      <c r="G291" s="1">
        <v>8</v>
      </c>
      <c r="H291" s="1" t="s">
        <v>19</v>
      </c>
      <c r="I291" s="1" t="s">
        <v>426</v>
      </c>
      <c r="J291" s="1">
        <v>1</v>
      </c>
      <c r="K291" s="1">
        <v>8</v>
      </c>
      <c r="L291" s="42">
        <v>3</v>
      </c>
      <c r="M291" s="43">
        <v>46003</v>
      </c>
      <c r="N291" s="1" t="e">
        <f>VLOOKUP(B291,MICRO!E:L,8,0)</f>
        <v>#N/A</v>
      </c>
    </row>
    <row r="292" spans="1:14" ht="20.25" x14ac:dyDescent="0.25">
      <c r="A292" s="1">
        <v>58</v>
      </c>
      <c r="B292" s="1"/>
      <c r="C292" s="1" t="s">
        <v>1150</v>
      </c>
      <c r="D292" s="1"/>
      <c r="E292" s="1" t="s">
        <v>461</v>
      </c>
      <c r="F292" s="1" t="s">
        <v>1157</v>
      </c>
      <c r="G292" s="1">
        <v>2</v>
      </c>
      <c r="H292" s="1" t="s">
        <v>19</v>
      </c>
      <c r="I292" s="1" t="s">
        <v>426</v>
      </c>
      <c r="J292" s="1">
        <v>0.6</v>
      </c>
      <c r="K292" s="1">
        <v>1.2</v>
      </c>
      <c r="L292" s="42">
        <v>3</v>
      </c>
      <c r="M292" s="43">
        <v>46003</v>
      </c>
      <c r="N292" s="1" t="e">
        <f>VLOOKUP(B292,MICRO!E:L,8,0)</f>
        <v>#N/A</v>
      </c>
    </row>
    <row r="293" spans="1:14" ht="20.25" x14ac:dyDescent="0.25">
      <c r="A293" s="1">
        <v>59</v>
      </c>
      <c r="B293" s="1"/>
      <c r="C293" s="1" t="s">
        <v>1150</v>
      </c>
      <c r="D293" s="1"/>
      <c r="E293" s="1" t="s">
        <v>2</v>
      </c>
      <c r="F293" s="1" t="s">
        <v>1151</v>
      </c>
      <c r="G293" s="1">
        <v>2</v>
      </c>
      <c r="H293" s="1" t="s">
        <v>19</v>
      </c>
      <c r="I293" s="1" t="s">
        <v>427</v>
      </c>
      <c r="J293" s="1">
        <v>11.5</v>
      </c>
      <c r="K293" s="1">
        <v>23</v>
      </c>
      <c r="L293" s="42">
        <v>3</v>
      </c>
      <c r="M293" s="43">
        <v>46003</v>
      </c>
      <c r="N293" s="1" t="e">
        <f>VLOOKUP(B293,MICRO!E:L,8,0)</f>
        <v>#N/A</v>
      </c>
    </row>
    <row r="294" spans="1:14" ht="20.25" x14ac:dyDescent="0.25">
      <c r="A294" s="1">
        <v>60</v>
      </c>
      <c r="B294" s="1"/>
      <c r="C294" s="1" t="s">
        <v>1150</v>
      </c>
      <c r="D294" s="1"/>
      <c r="E294" s="1" t="s">
        <v>43</v>
      </c>
      <c r="F294" s="1" t="s">
        <v>1152</v>
      </c>
      <c r="G294" s="1">
        <v>4</v>
      </c>
      <c r="H294" s="1" t="s">
        <v>19</v>
      </c>
      <c r="I294" s="1" t="s">
        <v>427</v>
      </c>
      <c r="J294" s="1">
        <v>1.5</v>
      </c>
      <c r="K294" s="1">
        <v>6</v>
      </c>
      <c r="L294" s="42">
        <v>3</v>
      </c>
      <c r="M294" s="43">
        <v>46003</v>
      </c>
      <c r="N294" s="1" t="e">
        <f>VLOOKUP(B294,MICRO!E:L,8,0)</f>
        <v>#N/A</v>
      </c>
    </row>
    <row r="295" spans="1:14" ht="20.25" x14ac:dyDescent="0.25">
      <c r="A295" s="1">
        <v>61</v>
      </c>
      <c r="B295" s="1"/>
      <c r="C295" s="1" t="s">
        <v>1150</v>
      </c>
      <c r="D295" s="1"/>
      <c r="E295" s="1" t="s">
        <v>746</v>
      </c>
      <c r="F295" s="1" t="s">
        <v>1153</v>
      </c>
      <c r="G295" s="1">
        <v>2</v>
      </c>
      <c r="H295" s="1" t="s">
        <v>19</v>
      </c>
      <c r="I295" s="1" t="s">
        <v>427</v>
      </c>
      <c r="J295" s="1">
        <v>5</v>
      </c>
      <c r="K295" s="1">
        <v>10</v>
      </c>
      <c r="L295" s="42">
        <v>3</v>
      </c>
      <c r="M295" s="43">
        <v>46003</v>
      </c>
      <c r="N295" s="1" t="e">
        <f>VLOOKUP(B295,MICRO!E:L,8,0)</f>
        <v>#N/A</v>
      </c>
    </row>
    <row r="296" spans="1:14" ht="20.25" x14ac:dyDescent="0.25">
      <c r="A296" s="1">
        <v>62</v>
      </c>
      <c r="B296" s="1"/>
      <c r="C296" s="1" t="s">
        <v>1150</v>
      </c>
      <c r="D296" s="1"/>
      <c r="E296" s="1" t="s">
        <v>1101</v>
      </c>
      <c r="F296" s="1" t="s">
        <v>1154</v>
      </c>
      <c r="G296" s="1">
        <v>2</v>
      </c>
      <c r="H296" s="1" t="s">
        <v>19</v>
      </c>
      <c r="I296" s="1" t="s">
        <v>427</v>
      </c>
      <c r="J296" s="1">
        <v>1</v>
      </c>
      <c r="K296" s="1">
        <v>2</v>
      </c>
      <c r="L296" s="42">
        <v>3</v>
      </c>
      <c r="M296" s="43">
        <v>46003</v>
      </c>
      <c r="N296" s="1" t="e">
        <f>VLOOKUP(B296,MICRO!E:L,8,0)</f>
        <v>#N/A</v>
      </c>
    </row>
    <row r="297" spans="1:14" ht="20.25" x14ac:dyDescent="0.25">
      <c r="A297" s="1">
        <v>63</v>
      </c>
      <c r="B297" s="1"/>
      <c r="C297" s="1" t="s">
        <v>1150</v>
      </c>
      <c r="D297" s="1"/>
      <c r="E297" s="1" t="s">
        <v>100</v>
      </c>
      <c r="F297" s="1" t="s">
        <v>1155</v>
      </c>
      <c r="G297" s="1">
        <v>4</v>
      </c>
      <c r="H297" s="1" t="s">
        <v>19</v>
      </c>
      <c r="I297" s="1" t="s">
        <v>427</v>
      </c>
      <c r="J297" s="1">
        <v>0.3</v>
      </c>
      <c r="K297" s="1">
        <v>1.2</v>
      </c>
      <c r="L297" s="42">
        <v>3</v>
      </c>
      <c r="M297" s="43">
        <v>46003</v>
      </c>
      <c r="N297" s="1" t="e">
        <f>VLOOKUP(B297,MICRO!E:L,8,0)</f>
        <v>#N/A</v>
      </c>
    </row>
    <row r="298" spans="1:14" ht="20.25" x14ac:dyDescent="0.25">
      <c r="A298" s="1">
        <v>64</v>
      </c>
      <c r="B298" s="1"/>
      <c r="C298" s="1" t="s">
        <v>1150</v>
      </c>
      <c r="D298" s="1"/>
      <c r="E298" s="1" t="s">
        <v>173</v>
      </c>
      <c r="F298" s="1" t="s">
        <v>1156</v>
      </c>
      <c r="G298" s="1">
        <v>8</v>
      </c>
      <c r="H298" s="1" t="s">
        <v>19</v>
      </c>
      <c r="I298" s="1" t="s">
        <v>427</v>
      </c>
      <c r="J298" s="1">
        <v>1</v>
      </c>
      <c r="K298" s="1">
        <v>8</v>
      </c>
      <c r="L298" s="42">
        <v>3</v>
      </c>
      <c r="M298" s="43">
        <v>46003</v>
      </c>
      <c r="N298" s="1" t="e">
        <f>VLOOKUP(B298,MICRO!E:L,8,0)</f>
        <v>#N/A</v>
      </c>
    </row>
    <row r="299" spans="1:14" ht="20.25" x14ac:dyDescent="0.25">
      <c r="A299" s="1">
        <v>65</v>
      </c>
      <c r="B299" s="1"/>
      <c r="C299" s="1" t="s">
        <v>1150</v>
      </c>
      <c r="D299" s="1"/>
      <c r="E299" s="1" t="s">
        <v>461</v>
      </c>
      <c r="F299" s="1" t="s">
        <v>1157</v>
      </c>
      <c r="G299" s="1">
        <v>2</v>
      </c>
      <c r="H299" s="1" t="s">
        <v>19</v>
      </c>
      <c r="I299" s="1" t="s">
        <v>427</v>
      </c>
      <c r="J299" s="1">
        <v>0.6</v>
      </c>
      <c r="K299" s="1">
        <v>1.2</v>
      </c>
      <c r="L299" s="42">
        <v>3</v>
      </c>
      <c r="M299" s="43">
        <v>46003</v>
      </c>
      <c r="N299" s="1" t="e">
        <f>VLOOKUP(B299,MICRO!E:L,8,0)</f>
        <v>#N/A</v>
      </c>
    </row>
    <row r="300" spans="1:14" ht="20.25" x14ac:dyDescent="0.25">
      <c r="A300" s="1">
        <v>66</v>
      </c>
      <c r="B300" s="1"/>
      <c r="C300" s="1" t="s">
        <v>1247</v>
      </c>
      <c r="D300" s="1"/>
      <c r="E300" s="1"/>
      <c r="F300" s="1" t="s">
        <v>1248</v>
      </c>
      <c r="G300" s="1">
        <v>1</v>
      </c>
      <c r="H300" s="1" t="s">
        <v>19</v>
      </c>
      <c r="I300" s="1" t="s">
        <v>423</v>
      </c>
      <c r="J300" s="1">
        <v>174</v>
      </c>
      <c r="K300" s="1">
        <v>174</v>
      </c>
      <c r="L300" s="42">
        <v>3</v>
      </c>
      <c r="M300" s="43">
        <v>46003</v>
      </c>
      <c r="N300" s="1" t="e">
        <f>VLOOKUP(B300,MICRO!E:L,8,0)</f>
        <v>#N/A</v>
      </c>
    </row>
    <row r="301" spans="1:14" ht="20.25" x14ac:dyDescent="0.25">
      <c r="A301" s="1">
        <v>67</v>
      </c>
      <c r="B301" s="1"/>
      <c r="C301" s="1" t="s">
        <v>1247</v>
      </c>
      <c r="D301" s="1"/>
      <c r="E301" s="1"/>
      <c r="F301" s="1" t="s">
        <v>1249</v>
      </c>
      <c r="G301" s="1">
        <v>1</v>
      </c>
      <c r="H301" s="1" t="s">
        <v>19</v>
      </c>
      <c r="I301" s="1" t="s">
        <v>424</v>
      </c>
      <c r="J301" s="1">
        <v>174</v>
      </c>
      <c r="K301" s="1">
        <v>174</v>
      </c>
      <c r="L301" s="42">
        <v>3</v>
      </c>
      <c r="M301" s="43">
        <v>46003</v>
      </c>
      <c r="N301" s="1" t="e">
        <f>VLOOKUP(B301,MICRO!E:L,8,0)</f>
        <v>#N/A</v>
      </c>
    </row>
    <row r="302" spans="1:14" ht="20.25" x14ac:dyDescent="0.25">
      <c r="A302" s="1">
        <v>68</v>
      </c>
      <c r="B302" s="1"/>
      <c r="C302" s="1" t="s">
        <v>1247</v>
      </c>
      <c r="D302" s="1"/>
      <c r="E302" s="1"/>
      <c r="F302" s="1" t="s">
        <v>1249</v>
      </c>
      <c r="G302" s="1">
        <v>1</v>
      </c>
      <c r="H302" s="1" t="s">
        <v>19</v>
      </c>
      <c r="I302" s="1" t="s">
        <v>425</v>
      </c>
      <c r="J302" s="1">
        <v>174</v>
      </c>
      <c r="K302" s="1">
        <v>174</v>
      </c>
      <c r="L302" s="42">
        <v>3</v>
      </c>
      <c r="M302" s="43">
        <v>46003</v>
      </c>
      <c r="N302" s="1" t="e">
        <f>VLOOKUP(B302,MICRO!E:L,8,0)</f>
        <v>#N/A</v>
      </c>
    </row>
    <row r="303" spans="1:14" ht="20.25" x14ac:dyDescent="0.25">
      <c r="A303" s="1">
        <v>69</v>
      </c>
      <c r="B303" s="1"/>
      <c r="C303" s="1" t="s">
        <v>1247</v>
      </c>
      <c r="D303" s="1"/>
      <c r="E303" s="1"/>
      <c r="F303" s="1" t="s">
        <v>1249</v>
      </c>
      <c r="G303" s="1">
        <v>1</v>
      </c>
      <c r="H303" s="1" t="s">
        <v>19</v>
      </c>
      <c r="I303" s="1" t="s">
        <v>426</v>
      </c>
      <c r="J303" s="1">
        <v>174</v>
      </c>
      <c r="K303" s="1">
        <v>174</v>
      </c>
      <c r="L303" s="42">
        <v>3</v>
      </c>
      <c r="M303" s="43">
        <v>46003</v>
      </c>
      <c r="N303" s="1" t="e">
        <f>VLOOKUP(B303,MICRO!E:L,8,0)</f>
        <v>#N/A</v>
      </c>
    </row>
    <row r="304" spans="1:14" ht="20.25" x14ac:dyDescent="0.25">
      <c r="A304" s="1">
        <v>70</v>
      </c>
      <c r="B304" s="1"/>
      <c r="C304" s="1" t="s">
        <v>1247</v>
      </c>
      <c r="D304" s="1"/>
      <c r="E304" s="1"/>
      <c r="F304" s="1" t="s">
        <v>1248</v>
      </c>
      <c r="G304" s="1">
        <v>1</v>
      </c>
      <c r="H304" s="1" t="s">
        <v>19</v>
      </c>
      <c r="I304" s="1" t="s">
        <v>427</v>
      </c>
      <c r="J304" s="1">
        <v>174</v>
      </c>
      <c r="K304" s="1">
        <v>174</v>
      </c>
      <c r="L304" s="42">
        <v>3</v>
      </c>
      <c r="M304" s="43">
        <v>46003</v>
      </c>
      <c r="N304" s="1" t="e">
        <f>VLOOKUP(B304,MICRO!E:L,8,0)</f>
        <v>#N/A</v>
      </c>
    </row>
    <row r="305" spans="1:14" ht="20.25" x14ac:dyDescent="0.25">
      <c r="A305" s="1">
        <v>1</v>
      </c>
      <c r="B305" s="1">
        <v>1916</v>
      </c>
      <c r="C305" s="1" t="s">
        <v>1277</v>
      </c>
      <c r="D305" s="1"/>
      <c r="E305" s="1"/>
      <c r="F305" s="1" t="s">
        <v>577</v>
      </c>
      <c r="G305" s="1">
        <v>1</v>
      </c>
      <c r="H305" s="1" t="s">
        <v>19</v>
      </c>
      <c r="I305" s="1" t="s">
        <v>634</v>
      </c>
      <c r="J305" s="1">
        <v>36.5</v>
      </c>
      <c r="K305" s="1">
        <v>36.5</v>
      </c>
      <c r="L305" s="42">
        <v>2</v>
      </c>
      <c r="M305" s="43">
        <v>46001</v>
      </c>
      <c r="N305" s="1" t="e">
        <f>VLOOKUP(B305,MICRO!E:L,8,0)</f>
        <v>#N/A</v>
      </c>
    </row>
    <row r="306" spans="1:14" ht="20.25" x14ac:dyDescent="0.25">
      <c r="A306" s="1">
        <v>2</v>
      </c>
      <c r="B306" s="1">
        <v>1917</v>
      </c>
      <c r="C306" s="1" t="s">
        <v>1278</v>
      </c>
      <c r="D306" s="1"/>
      <c r="E306" s="1"/>
      <c r="F306" s="1" t="s">
        <v>578</v>
      </c>
      <c r="G306" s="1">
        <v>1</v>
      </c>
      <c r="H306" s="1" t="s">
        <v>19</v>
      </c>
      <c r="I306" s="1" t="s">
        <v>585</v>
      </c>
      <c r="J306" s="1">
        <v>36.5</v>
      </c>
      <c r="K306" s="1">
        <v>36.5</v>
      </c>
      <c r="L306" s="42">
        <v>2</v>
      </c>
      <c r="M306" s="43">
        <v>46001</v>
      </c>
      <c r="N306" s="1" t="e">
        <f>VLOOKUP(B306,MICRO!E:L,8,0)</f>
        <v>#N/A</v>
      </c>
    </row>
    <row r="307" spans="1:14" ht="20.25" x14ac:dyDescent="0.25">
      <c r="A307" s="1">
        <v>3</v>
      </c>
      <c r="B307" s="1">
        <v>1918</v>
      </c>
      <c r="C307" s="1" t="s">
        <v>1279</v>
      </c>
      <c r="D307" s="1"/>
      <c r="E307" s="1"/>
      <c r="F307" s="1" t="s">
        <v>579</v>
      </c>
      <c r="G307" s="1">
        <v>1</v>
      </c>
      <c r="H307" s="1" t="s">
        <v>19</v>
      </c>
      <c r="I307" s="1" t="s">
        <v>629</v>
      </c>
      <c r="J307" s="1">
        <v>36.5</v>
      </c>
      <c r="K307" s="1">
        <v>36.5</v>
      </c>
      <c r="L307" s="42">
        <v>2</v>
      </c>
      <c r="M307" s="43">
        <v>46001</v>
      </c>
      <c r="N307" s="1" t="e">
        <f>VLOOKUP(B307,MICRO!E:L,8,0)</f>
        <v>#N/A</v>
      </c>
    </row>
    <row r="308" spans="1:14" ht="20.25" x14ac:dyDescent="0.25">
      <c r="A308" s="1">
        <v>4</v>
      </c>
      <c r="B308" s="1">
        <v>1919</v>
      </c>
      <c r="C308" s="1" t="s">
        <v>1280</v>
      </c>
      <c r="D308" s="1"/>
      <c r="E308" s="1"/>
      <c r="F308" s="1" t="s">
        <v>580</v>
      </c>
      <c r="G308" s="1">
        <v>1</v>
      </c>
      <c r="H308" s="1" t="s">
        <v>19</v>
      </c>
      <c r="I308" s="1" t="s">
        <v>589</v>
      </c>
      <c r="J308" s="1">
        <v>36.5</v>
      </c>
      <c r="K308" s="1">
        <v>36.5</v>
      </c>
      <c r="L308" s="42">
        <v>2</v>
      </c>
      <c r="M308" s="43">
        <v>46001</v>
      </c>
      <c r="N308" s="1" t="e">
        <f>VLOOKUP(B308,MICRO!E:L,8,0)</f>
        <v>#N/A</v>
      </c>
    </row>
    <row r="309" spans="1:14" ht="20.25" x14ac:dyDescent="0.25">
      <c r="A309" s="1">
        <v>5</v>
      </c>
      <c r="B309" s="1">
        <v>1930</v>
      </c>
      <c r="C309" s="1" t="s">
        <v>1277</v>
      </c>
      <c r="D309" s="1"/>
      <c r="E309" s="1"/>
      <c r="F309" s="1" t="s">
        <v>581</v>
      </c>
      <c r="G309" s="1">
        <v>21</v>
      </c>
      <c r="H309" s="1" t="s">
        <v>1253</v>
      </c>
      <c r="I309" s="1" t="s">
        <v>634</v>
      </c>
      <c r="J309" s="1">
        <v>10.5</v>
      </c>
      <c r="K309" s="1">
        <v>220.5</v>
      </c>
      <c r="L309" s="42">
        <v>2</v>
      </c>
      <c r="M309" s="43">
        <v>46001</v>
      </c>
      <c r="N309" s="1" t="e">
        <f>VLOOKUP(B309,MICRO!E:L,8,0)</f>
        <v>#N/A</v>
      </c>
    </row>
    <row r="310" spans="1:14" ht="20.25" x14ac:dyDescent="0.25">
      <c r="A310" s="1">
        <v>6</v>
      </c>
      <c r="B310" s="1">
        <v>1931</v>
      </c>
      <c r="C310" s="1" t="s">
        <v>1278</v>
      </c>
      <c r="D310" s="1"/>
      <c r="E310" s="1"/>
      <c r="F310" s="1" t="s">
        <v>582</v>
      </c>
      <c r="G310" s="1">
        <v>13</v>
      </c>
      <c r="H310" s="1" t="s">
        <v>1253</v>
      </c>
      <c r="I310" s="1" t="s">
        <v>585</v>
      </c>
      <c r="J310" s="1">
        <v>10.8</v>
      </c>
      <c r="K310" s="1">
        <v>140.4</v>
      </c>
      <c r="L310" s="42">
        <v>2</v>
      </c>
      <c r="M310" s="43">
        <v>46001</v>
      </c>
      <c r="N310" s="1" t="e">
        <f>VLOOKUP(B310,MICRO!E:L,8,0)</f>
        <v>#N/A</v>
      </c>
    </row>
    <row r="311" spans="1:14" ht="20.25" x14ac:dyDescent="0.25">
      <c r="A311" s="1">
        <v>7</v>
      </c>
      <c r="B311" s="1">
        <v>1932</v>
      </c>
      <c r="C311" s="1" t="s">
        <v>1279</v>
      </c>
      <c r="D311" s="1"/>
      <c r="E311" s="1"/>
      <c r="F311" s="1" t="s">
        <v>583</v>
      </c>
      <c r="G311" s="1">
        <v>72</v>
      </c>
      <c r="H311" s="1" t="s">
        <v>1253</v>
      </c>
      <c r="I311" s="1" t="s">
        <v>629</v>
      </c>
      <c r="J311" s="1">
        <v>6.8</v>
      </c>
      <c r="K311" s="1">
        <v>489.59999999999997</v>
      </c>
      <c r="L311" s="42">
        <v>2</v>
      </c>
      <c r="M311" s="43">
        <v>46001</v>
      </c>
      <c r="N311" s="1" t="e">
        <f>VLOOKUP(B311,MICRO!E:L,8,0)</f>
        <v>#N/A</v>
      </c>
    </row>
    <row r="312" spans="1:14" ht="20.25" x14ac:dyDescent="0.25">
      <c r="A312" s="1">
        <v>8</v>
      </c>
      <c r="B312" s="1">
        <v>1933</v>
      </c>
      <c r="C312" s="1" t="s">
        <v>1280</v>
      </c>
      <c r="D312" s="1"/>
      <c r="E312" s="1"/>
      <c r="F312" s="1" t="s">
        <v>584</v>
      </c>
      <c r="G312" s="1">
        <v>10</v>
      </c>
      <c r="H312" s="1" t="s">
        <v>1253</v>
      </c>
      <c r="I312" s="1" t="s">
        <v>589</v>
      </c>
      <c r="J312" s="1">
        <v>11</v>
      </c>
      <c r="K312" s="1">
        <v>110</v>
      </c>
      <c r="L312" s="42">
        <v>2</v>
      </c>
      <c r="M312" s="43">
        <v>46001</v>
      </c>
      <c r="N312" s="1" t="e">
        <f>VLOOKUP(B312,MICRO!E:L,8,0)</f>
        <v>#N/A</v>
      </c>
    </row>
    <row r="313" spans="1:14" ht="20.25" x14ac:dyDescent="0.25">
      <c r="A313" s="1">
        <v>9</v>
      </c>
      <c r="B313" s="1">
        <v>2437</v>
      </c>
      <c r="C313" s="1" t="s">
        <v>920</v>
      </c>
      <c r="D313" s="1"/>
      <c r="E313" s="1" t="s">
        <v>2</v>
      </c>
      <c r="F313" s="1" t="s">
        <v>921</v>
      </c>
      <c r="G313" s="1">
        <v>1</v>
      </c>
      <c r="H313" s="1" t="s">
        <v>19</v>
      </c>
      <c r="I313" s="1" t="s">
        <v>629</v>
      </c>
      <c r="J313" s="1">
        <v>125.28</v>
      </c>
      <c r="K313" s="1">
        <v>125.28</v>
      </c>
      <c r="L313" s="42">
        <v>2</v>
      </c>
      <c r="M313" s="43">
        <v>46001</v>
      </c>
      <c r="N313" s="1" t="e">
        <f>VLOOKUP(B313,MICRO!E:L,8,0)</f>
        <v>#N/A</v>
      </c>
    </row>
    <row r="314" spans="1:14" ht="20.25" x14ac:dyDescent="0.25">
      <c r="A314" s="1">
        <v>10</v>
      </c>
      <c r="B314" s="1">
        <v>2440</v>
      </c>
      <c r="C314" s="1" t="s">
        <v>924</v>
      </c>
      <c r="D314" s="1"/>
      <c r="E314" s="1" t="s">
        <v>2</v>
      </c>
      <c r="F314" s="1" t="s">
        <v>925</v>
      </c>
      <c r="G314" s="1">
        <v>1</v>
      </c>
      <c r="H314" s="1"/>
      <c r="I314" s="1" t="s">
        <v>629</v>
      </c>
      <c r="J314" s="1">
        <v>228.97</v>
      </c>
      <c r="K314" s="1">
        <v>228.97</v>
      </c>
      <c r="L314" s="42">
        <v>2</v>
      </c>
      <c r="M314" s="43">
        <v>46001</v>
      </c>
      <c r="N314" s="1" t="e">
        <f>VLOOKUP(B314,MICRO!E:L,8,0)</f>
        <v>#N/A</v>
      </c>
    </row>
    <row r="315" spans="1:14" ht="20.25" x14ac:dyDescent="0.25">
      <c r="A315" s="1">
        <v>11</v>
      </c>
      <c r="B315" s="1">
        <v>2441</v>
      </c>
      <c r="C315" s="1" t="s">
        <v>924</v>
      </c>
      <c r="D315" s="1"/>
      <c r="E315" s="1" t="s">
        <v>43</v>
      </c>
      <c r="F315" s="1" t="s">
        <v>926</v>
      </c>
      <c r="G315" s="1">
        <v>1</v>
      </c>
      <c r="H315" s="1"/>
      <c r="I315" s="1" t="s">
        <v>629</v>
      </c>
      <c r="J315" s="1">
        <v>49.96</v>
      </c>
      <c r="K315" s="1">
        <v>49.96</v>
      </c>
      <c r="L315" s="42">
        <v>2</v>
      </c>
      <c r="M315" s="43">
        <v>46001</v>
      </c>
      <c r="N315" s="1" t="e">
        <f>VLOOKUP(B315,MICRO!E:L,8,0)</f>
        <v>#N/A</v>
      </c>
    </row>
    <row r="316" spans="1:14" ht="20.25" x14ac:dyDescent="0.25">
      <c r="A316" s="1">
        <v>12</v>
      </c>
      <c r="B316" s="1">
        <v>2445</v>
      </c>
      <c r="C316" s="1" t="s">
        <v>927</v>
      </c>
      <c r="D316" s="1"/>
      <c r="E316" s="1" t="s">
        <v>2</v>
      </c>
      <c r="F316" s="1" t="s">
        <v>928</v>
      </c>
      <c r="G316" s="1">
        <v>1</v>
      </c>
      <c r="H316" s="1"/>
      <c r="I316" s="1" t="s">
        <v>629</v>
      </c>
      <c r="J316" s="1">
        <v>161.52000000000001</v>
      </c>
      <c r="K316" s="1">
        <v>161.52000000000001</v>
      </c>
      <c r="L316" s="42">
        <v>3</v>
      </c>
      <c r="M316" s="43">
        <v>46001</v>
      </c>
      <c r="N316" s="1" t="e">
        <f>VLOOKUP(B316,MICRO!E:L,8,0)</f>
        <v>#N/A</v>
      </c>
    </row>
    <row r="317" spans="1:14" ht="20.25" x14ac:dyDescent="0.25">
      <c r="A317" s="1">
        <v>13</v>
      </c>
      <c r="B317" s="1">
        <v>2473</v>
      </c>
      <c r="C317" s="1" t="s">
        <v>954</v>
      </c>
      <c r="D317" s="1"/>
      <c r="E317" s="1" t="s">
        <v>2</v>
      </c>
      <c r="F317" s="1" t="s">
        <v>955</v>
      </c>
      <c r="G317" s="1">
        <v>1</v>
      </c>
      <c r="H317" s="1"/>
      <c r="I317" s="1" t="s">
        <v>634</v>
      </c>
      <c r="J317" s="1">
        <v>81.41</v>
      </c>
      <c r="K317" s="1">
        <v>81.41</v>
      </c>
      <c r="L317" s="42">
        <v>3</v>
      </c>
      <c r="M317" s="43">
        <v>46001</v>
      </c>
      <c r="N317" s="1" t="e">
        <f>VLOOKUP(B317,MICRO!E:L,8,0)</f>
        <v>#N/A</v>
      </c>
    </row>
    <row r="318" spans="1:14" ht="20.25" x14ac:dyDescent="0.25">
      <c r="A318" s="1">
        <v>14</v>
      </c>
      <c r="B318" s="1">
        <v>2474</v>
      </c>
      <c r="C318" s="1" t="s">
        <v>954</v>
      </c>
      <c r="D318" s="1"/>
      <c r="E318" s="1" t="s">
        <v>43</v>
      </c>
      <c r="F318" s="1" t="s">
        <v>956</v>
      </c>
      <c r="G318" s="1">
        <v>1</v>
      </c>
      <c r="H318" s="1"/>
      <c r="I318" s="1" t="s">
        <v>634</v>
      </c>
      <c r="J318" s="1">
        <v>50.74</v>
      </c>
      <c r="K318" s="1">
        <v>50.74</v>
      </c>
      <c r="L318" s="42">
        <v>2</v>
      </c>
      <c r="M318" s="43">
        <v>45988</v>
      </c>
      <c r="N318" s="1" t="e">
        <f>VLOOKUP(B318,MICRO!E:L,8,0)</f>
        <v>#N/A</v>
      </c>
    </row>
    <row r="319" spans="1:14" ht="20.25" x14ac:dyDescent="0.25">
      <c r="A319" s="1">
        <v>15</v>
      </c>
      <c r="B319" s="1">
        <v>2476</v>
      </c>
      <c r="C319" s="1" t="s">
        <v>954</v>
      </c>
      <c r="D319" s="1"/>
      <c r="E319" s="1"/>
      <c r="F319" s="1" t="s">
        <v>958</v>
      </c>
      <c r="G319" s="1">
        <v>2</v>
      </c>
      <c r="H319" s="1"/>
      <c r="I319" s="1" t="s">
        <v>634</v>
      </c>
      <c r="J319" s="1">
        <v>18.18</v>
      </c>
      <c r="K319" s="1">
        <v>36.36</v>
      </c>
      <c r="L319" s="42">
        <v>2</v>
      </c>
      <c r="M319" s="43">
        <v>45988</v>
      </c>
      <c r="N319" s="1" t="e">
        <f>VLOOKUP(B319,MICRO!E:L,8,0)</f>
        <v>#N/A</v>
      </c>
    </row>
    <row r="320" spans="1:14" ht="20.25" x14ac:dyDescent="0.25">
      <c r="A320" s="1">
        <v>16</v>
      </c>
      <c r="B320" s="1">
        <v>2499</v>
      </c>
      <c r="C320" s="1" t="s">
        <v>977</v>
      </c>
      <c r="D320" s="1"/>
      <c r="E320" s="1" t="s">
        <v>2</v>
      </c>
      <c r="F320" s="1" t="s">
        <v>978</v>
      </c>
      <c r="G320" s="1">
        <v>1</v>
      </c>
      <c r="H320" s="1"/>
      <c r="I320" s="1" t="s">
        <v>589</v>
      </c>
      <c r="J320" s="1">
        <v>74.28</v>
      </c>
      <c r="K320" s="1">
        <v>74.28</v>
      </c>
      <c r="L320" s="42">
        <v>2</v>
      </c>
      <c r="M320" s="43">
        <v>45988</v>
      </c>
      <c r="N320" s="1" t="e">
        <f>VLOOKUP(B320,MICRO!E:L,8,0)</f>
        <v>#N/A</v>
      </c>
    </row>
    <row r="321" spans="1:14" ht="20.25" x14ac:dyDescent="0.25">
      <c r="A321" s="1">
        <v>17</v>
      </c>
      <c r="B321" s="1"/>
      <c r="C321" s="1" t="s">
        <v>1281</v>
      </c>
      <c r="D321" s="1"/>
      <c r="E321" s="1"/>
      <c r="F321" s="1" t="s">
        <v>1282</v>
      </c>
      <c r="G321" s="1">
        <v>48</v>
      </c>
      <c r="H321" s="1" t="s">
        <v>19</v>
      </c>
      <c r="I321" s="1" t="s">
        <v>1283</v>
      </c>
      <c r="J321" s="1">
        <v>0.8</v>
      </c>
      <c r="K321" s="1">
        <v>38.400000000000006</v>
      </c>
      <c r="L321" s="42">
        <v>2</v>
      </c>
      <c r="M321" s="43">
        <v>45988</v>
      </c>
      <c r="N321" s="1" t="e">
        <f>VLOOKUP(B321,MICRO!E:L,8,0)</f>
        <v>#N/A</v>
      </c>
    </row>
    <row r="322" spans="1:14" ht="20.25" x14ac:dyDescent="0.25">
      <c r="A322" s="1">
        <v>18</v>
      </c>
      <c r="B322" s="1"/>
      <c r="C322" s="1" t="s">
        <v>1281</v>
      </c>
      <c r="D322" s="1"/>
      <c r="E322" s="1"/>
      <c r="F322" s="1" t="s">
        <v>1284</v>
      </c>
      <c r="G322" s="1">
        <v>144</v>
      </c>
      <c r="H322" s="1" t="s">
        <v>19</v>
      </c>
      <c r="I322" s="1" t="s">
        <v>1283</v>
      </c>
      <c r="J322" s="1">
        <v>2.5</v>
      </c>
      <c r="K322" s="1">
        <v>360</v>
      </c>
      <c r="L322" s="42">
        <v>2</v>
      </c>
      <c r="M322" s="43">
        <v>45988</v>
      </c>
      <c r="N322" s="1" t="e">
        <f>VLOOKUP(B322,MICRO!E:L,8,0)</f>
        <v>#N/A</v>
      </c>
    </row>
    <row r="323" spans="1:14" ht="20.25" x14ac:dyDescent="0.25">
      <c r="A323" s="1">
        <v>19</v>
      </c>
      <c r="B323" s="1"/>
      <c r="C323" s="1" t="s">
        <v>1281</v>
      </c>
      <c r="D323" s="1"/>
      <c r="E323" s="1"/>
      <c r="F323" s="1" t="s">
        <v>1285</v>
      </c>
      <c r="G323" s="1">
        <v>300</v>
      </c>
      <c r="H323" s="1" t="s">
        <v>19</v>
      </c>
      <c r="I323" s="1" t="s">
        <v>1283</v>
      </c>
      <c r="J323" s="1">
        <v>5.0000000000000001E-3</v>
      </c>
      <c r="K323" s="1">
        <v>1.5</v>
      </c>
      <c r="L323" s="42">
        <v>2</v>
      </c>
      <c r="M323" s="43">
        <v>45988</v>
      </c>
      <c r="N323" s="1" t="e">
        <f>VLOOKUP(B323,MICRO!E:L,8,0)</f>
        <v>#N/A</v>
      </c>
    </row>
    <row r="324" spans="1:14" ht="20.25" x14ac:dyDescent="0.25">
      <c r="A324" s="1">
        <v>20</v>
      </c>
      <c r="B324" s="1"/>
      <c r="C324" s="1" t="s">
        <v>1286</v>
      </c>
      <c r="D324" s="1"/>
      <c r="E324" s="1"/>
      <c r="F324" s="1" t="s">
        <v>1287</v>
      </c>
      <c r="G324" s="1">
        <v>12</v>
      </c>
      <c r="H324" s="1" t="s">
        <v>19</v>
      </c>
      <c r="I324" s="1" t="s">
        <v>629</v>
      </c>
      <c r="J324" s="1">
        <v>66</v>
      </c>
      <c r="K324" s="1">
        <v>792</v>
      </c>
      <c r="L324" s="42">
        <v>2</v>
      </c>
      <c r="M324" s="43">
        <v>45988</v>
      </c>
      <c r="N324" s="1" t="e">
        <f>VLOOKUP(B324,MICRO!E:L,8,0)</f>
        <v>#N/A</v>
      </c>
    </row>
    <row r="325" spans="1:14" ht="20.25" x14ac:dyDescent="0.25">
      <c r="A325" s="1">
        <v>1</v>
      </c>
      <c r="B325" s="1">
        <v>1912</v>
      </c>
      <c r="C325" s="1" t="s">
        <v>1268</v>
      </c>
      <c r="D325" s="1"/>
      <c r="E325" s="1"/>
      <c r="F325" s="1" t="s">
        <v>1269</v>
      </c>
      <c r="G325" s="1">
        <v>1</v>
      </c>
      <c r="H325" s="1" t="s">
        <v>19</v>
      </c>
      <c r="I325" s="1" t="s">
        <v>634</v>
      </c>
      <c r="J325" s="1">
        <v>211.4</v>
      </c>
      <c r="K325" s="1">
        <v>211.4</v>
      </c>
      <c r="L325" s="42">
        <v>3</v>
      </c>
      <c r="M325" s="43">
        <v>45988</v>
      </c>
      <c r="N325" s="1" t="e">
        <f>VLOOKUP(B325,MICRO!E:L,8,0)</f>
        <v>#N/A</v>
      </c>
    </row>
    <row r="326" spans="1:14" ht="20.25" x14ac:dyDescent="0.25">
      <c r="A326" s="1">
        <v>2</v>
      </c>
      <c r="B326" s="1">
        <v>1912</v>
      </c>
      <c r="C326" s="1" t="s">
        <v>1268</v>
      </c>
      <c r="D326" s="1"/>
      <c r="E326" s="1"/>
      <c r="F326" s="1" t="s">
        <v>1270</v>
      </c>
      <c r="G326" s="1">
        <v>1</v>
      </c>
      <c r="H326" s="1" t="s">
        <v>19</v>
      </c>
      <c r="I326" s="1" t="s">
        <v>585</v>
      </c>
      <c r="J326" s="1">
        <v>211.4</v>
      </c>
      <c r="K326" s="1">
        <v>211.4</v>
      </c>
      <c r="L326" s="42">
        <v>3</v>
      </c>
      <c r="M326" s="43">
        <v>45988</v>
      </c>
      <c r="N326" s="1" t="e">
        <f>VLOOKUP(B326,MICRO!E:L,8,0)</f>
        <v>#N/A</v>
      </c>
    </row>
    <row r="327" spans="1:14" ht="20.25" x14ac:dyDescent="0.25">
      <c r="A327" s="1">
        <v>3</v>
      </c>
      <c r="B327" s="1">
        <v>1912</v>
      </c>
      <c r="C327" s="1" t="s">
        <v>1268</v>
      </c>
      <c r="D327" s="1"/>
      <c r="E327" s="1"/>
      <c r="F327" s="1" t="s">
        <v>1271</v>
      </c>
      <c r="G327" s="1">
        <v>1</v>
      </c>
      <c r="H327" s="1" t="s">
        <v>19</v>
      </c>
      <c r="I327" s="1" t="s">
        <v>629</v>
      </c>
      <c r="J327" s="1">
        <v>211.4</v>
      </c>
      <c r="K327" s="1">
        <v>211.4</v>
      </c>
      <c r="L327" s="42">
        <v>3</v>
      </c>
      <c r="M327" s="43">
        <v>45988</v>
      </c>
      <c r="N327" s="1" t="e">
        <f>VLOOKUP(B327,MICRO!E:L,8,0)</f>
        <v>#N/A</v>
      </c>
    </row>
    <row r="328" spans="1:14" ht="20.25" x14ac:dyDescent="0.25">
      <c r="A328" s="1">
        <v>4</v>
      </c>
      <c r="B328" s="1">
        <v>1912</v>
      </c>
      <c r="C328" s="1" t="s">
        <v>1268</v>
      </c>
      <c r="D328" s="1"/>
      <c r="E328" s="1"/>
      <c r="F328" s="1" t="s">
        <v>1272</v>
      </c>
      <c r="G328" s="1">
        <v>1</v>
      </c>
      <c r="H328" s="1" t="s">
        <v>19</v>
      </c>
      <c r="I328" s="1" t="s">
        <v>589</v>
      </c>
      <c r="J328" s="1">
        <v>211.4</v>
      </c>
      <c r="K328" s="1">
        <v>211.4</v>
      </c>
      <c r="L328" s="42">
        <v>3</v>
      </c>
      <c r="M328" s="43">
        <v>45988</v>
      </c>
      <c r="N328" s="1" t="e">
        <f>VLOOKUP(B328,MICRO!E:L,8,0)</f>
        <v>#N/A</v>
      </c>
    </row>
    <row r="329" spans="1:14" ht="20.25" x14ac:dyDescent="0.25">
      <c r="A329" s="1">
        <v>5</v>
      </c>
      <c r="B329" s="1">
        <v>2111</v>
      </c>
      <c r="C329" s="1" t="s">
        <v>695</v>
      </c>
      <c r="D329" s="1"/>
      <c r="E329" s="1"/>
      <c r="F329" s="1" t="s">
        <v>1273</v>
      </c>
      <c r="G329" s="1">
        <v>1</v>
      </c>
      <c r="H329" s="1" t="s">
        <v>19</v>
      </c>
      <c r="I329" s="1" t="s">
        <v>634</v>
      </c>
      <c r="J329" s="1">
        <v>219</v>
      </c>
      <c r="K329" s="1">
        <v>219</v>
      </c>
      <c r="L329" s="42">
        <v>3</v>
      </c>
      <c r="M329" s="43">
        <v>45988</v>
      </c>
      <c r="N329" s="1" t="e">
        <f>VLOOKUP(B329,MICRO!E:L,8,0)</f>
        <v>#N/A</v>
      </c>
    </row>
    <row r="330" spans="1:14" ht="20.25" x14ac:dyDescent="0.25">
      <c r="A330" s="1">
        <v>6</v>
      </c>
      <c r="B330" s="1">
        <v>2112</v>
      </c>
      <c r="C330" s="1" t="s">
        <v>695</v>
      </c>
      <c r="D330" s="1"/>
      <c r="E330" s="1"/>
      <c r="F330" s="1" t="s">
        <v>1273</v>
      </c>
      <c r="G330" s="1">
        <v>1</v>
      </c>
      <c r="H330" s="1" t="s">
        <v>19</v>
      </c>
      <c r="I330" s="1" t="s">
        <v>585</v>
      </c>
      <c r="J330" s="1">
        <v>219</v>
      </c>
      <c r="K330" s="1">
        <v>219</v>
      </c>
      <c r="L330" s="42">
        <v>3</v>
      </c>
      <c r="M330" s="43">
        <v>45988</v>
      </c>
      <c r="N330" s="1" t="e">
        <f>VLOOKUP(B330,MICRO!E:L,8,0)</f>
        <v>#N/A</v>
      </c>
    </row>
    <row r="331" spans="1:14" ht="20.25" x14ac:dyDescent="0.25">
      <c r="A331" s="1">
        <v>7</v>
      </c>
      <c r="B331" s="1">
        <v>2113</v>
      </c>
      <c r="C331" s="1" t="s">
        <v>696</v>
      </c>
      <c r="D331" s="1"/>
      <c r="E331" s="1"/>
      <c r="F331" s="1" t="s">
        <v>1274</v>
      </c>
      <c r="G331" s="1">
        <v>1</v>
      </c>
      <c r="H331" s="1" t="s">
        <v>19</v>
      </c>
      <c r="I331" s="1" t="s">
        <v>629</v>
      </c>
      <c r="J331" s="1">
        <v>171.4</v>
      </c>
      <c r="K331" s="1">
        <v>171.4</v>
      </c>
      <c r="L331" s="42">
        <v>3</v>
      </c>
      <c r="M331" s="43">
        <v>45988</v>
      </c>
      <c r="N331" s="1" t="e">
        <f>VLOOKUP(B331,MICRO!E:L,8,0)</f>
        <v>#N/A</v>
      </c>
    </row>
    <row r="332" spans="1:14" ht="20.25" x14ac:dyDescent="0.25">
      <c r="A332" s="1">
        <v>8</v>
      </c>
      <c r="B332" s="1">
        <v>2114</v>
      </c>
      <c r="C332" s="1" t="s">
        <v>697</v>
      </c>
      <c r="D332" s="1"/>
      <c r="E332" s="1"/>
      <c r="F332" s="1" t="s">
        <v>1274</v>
      </c>
      <c r="G332" s="1">
        <v>1</v>
      </c>
      <c r="H332" s="1" t="s">
        <v>19</v>
      </c>
      <c r="I332" s="1" t="s">
        <v>634</v>
      </c>
      <c r="J332" s="1">
        <v>219</v>
      </c>
      <c r="K332" s="1">
        <v>219</v>
      </c>
      <c r="L332" s="42">
        <v>3</v>
      </c>
      <c r="M332" s="43">
        <v>45988</v>
      </c>
      <c r="N332" s="1" t="e">
        <f>VLOOKUP(B332,MICRO!E:L,8,0)</f>
        <v>#N/A</v>
      </c>
    </row>
    <row r="333" spans="1:14" ht="20.25" x14ac:dyDescent="0.25">
      <c r="A333" s="1">
        <v>9</v>
      </c>
      <c r="B333" s="1">
        <v>2115</v>
      </c>
      <c r="C333" s="1" t="s">
        <v>697</v>
      </c>
      <c r="D333" s="1"/>
      <c r="E333" s="1"/>
      <c r="F333" s="1" t="s">
        <v>1274</v>
      </c>
      <c r="G333" s="1">
        <v>1</v>
      </c>
      <c r="H333" s="1" t="s">
        <v>19</v>
      </c>
      <c r="I333" s="1" t="s">
        <v>585</v>
      </c>
      <c r="J333" s="1">
        <v>219</v>
      </c>
      <c r="K333" s="1">
        <v>219</v>
      </c>
      <c r="L333" s="42">
        <v>3</v>
      </c>
      <c r="M333" s="43">
        <v>45988</v>
      </c>
      <c r="N333" s="1" t="e">
        <f>VLOOKUP(B333,MICRO!E:L,8,0)</f>
        <v>#N/A</v>
      </c>
    </row>
    <row r="334" spans="1:14" ht="20.25" x14ac:dyDescent="0.25">
      <c r="A334" s="1">
        <v>10</v>
      </c>
      <c r="B334" s="1">
        <v>2116</v>
      </c>
      <c r="C334" s="1" t="s">
        <v>697</v>
      </c>
      <c r="D334" s="1"/>
      <c r="E334" s="1"/>
      <c r="F334" s="1" t="s">
        <v>1274</v>
      </c>
      <c r="G334" s="1">
        <v>1</v>
      </c>
      <c r="H334" s="1" t="s">
        <v>19</v>
      </c>
      <c r="I334" s="1" t="s">
        <v>589</v>
      </c>
      <c r="J334" s="1">
        <v>219</v>
      </c>
      <c r="K334" s="1">
        <v>219</v>
      </c>
      <c r="L334" s="42">
        <v>18</v>
      </c>
      <c r="M334" s="43">
        <v>45988</v>
      </c>
      <c r="N334" s="1" t="e">
        <f>VLOOKUP(B334,MICRO!E:L,8,0)</f>
        <v>#N/A</v>
      </c>
    </row>
    <row r="335" spans="1:14" ht="20.25" x14ac:dyDescent="0.25">
      <c r="A335" s="1">
        <v>11</v>
      </c>
      <c r="B335" s="1">
        <v>2180</v>
      </c>
      <c r="C335" s="1" t="s">
        <v>762</v>
      </c>
      <c r="D335" s="1"/>
      <c r="E335" s="1"/>
      <c r="F335" s="1" t="s">
        <v>1273</v>
      </c>
      <c r="G335" s="1">
        <v>1</v>
      </c>
      <c r="H335" s="1" t="s">
        <v>19</v>
      </c>
      <c r="I335" s="1" t="s">
        <v>589</v>
      </c>
      <c r="J335" s="1">
        <v>207.1</v>
      </c>
      <c r="K335" s="1">
        <v>207.1</v>
      </c>
      <c r="L335" s="42">
        <v>19</v>
      </c>
      <c r="M335" s="43">
        <v>45988</v>
      </c>
      <c r="N335" s="1" t="e">
        <f>VLOOKUP(B335,MICRO!E:L,8,0)</f>
        <v>#N/A</v>
      </c>
    </row>
    <row r="336" spans="1:14" ht="20.25" x14ac:dyDescent="0.25">
      <c r="A336" s="1">
        <v>12</v>
      </c>
      <c r="B336" s="1">
        <v>2387</v>
      </c>
      <c r="C336" s="1" t="s">
        <v>892</v>
      </c>
      <c r="D336" s="1"/>
      <c r="E336" s="1"/>
      <c r="F336" s="1" t="s">
        <v>1275</v>
      </c>
      <c r="G336" s="1">
        <v>1</v>
      </c>
      <c r="H336" s="1" t="s">
        <v>19</v>
      </c>
      <c r="I336" s="1" t="s">
        <v>629</v>
      </c>
      <c r="J336" s="1">
        <v>168.5</v>
      </c>
      <c r="K336" s="1">
        <v>168.5</v>
      </c>
      <c r="L336" s="42">
        <v>20</v>
      </c>
      <c r="M336" s="43">
        <v>45988</v>
      </c>
      <c r="N336" s="1" t="e">
        <f>VLOOKUP(B336,MICRO!E:L,8,0)</f>
        <v>#N/A</v>
      </c>
    </row>
    <row r="337" spans="1:14" ht="20.25" x14ac:dyDescent="0.25">
      <c r="A337" s="1">
        <v>20</v>
      </c>
      <c r="B337" s="1"/>
      <c r="C337" s="1" t="s">
        <v>1286</v>
      </c>
      <c r="D337" s="1"/>
      <c r="E337" s="1"/>
      <c r="F337" s="1" t="s">
        <v>1287</v>
      </c>
      <c r="G337" s="1">
        <v>12</v>
      </c>
      <c r="H337" s="1" t="s">
        <v>19</v>
      </c>
      <c r="I337" s="1" t="s">
        <v>629</v>
      </c>
      <c r="J337" s="1">
        <v>66</v>
      </c>
      <c r="K337" s="1">
        <v>792</v>
      </c>
      <c r="L337" s="42">
        <v>21</v>
      </c>
      <c r="M337" s="43">
        <v>45988</v>
      </c>
      <c r="N337" s="1" t="e">
        <f>VLOOKUP(B337,MICRO!E:L,8,0)</f>
        <v>#N/A</v>
      </c>
    </row>
    <row r="338" spans="1:14" ht="20.25" x14ac:dyDescent="0.25">
      <c r="A338" s="1">
        <v>21</v>
      </c>
      <c r="B338" s="1"/>
      <c r="C338" s="1" t="s">
        <v>1243</v>
      </c>
      <c r="D338" s="1"/>
      <c r="E338" s="1"/>
      <c r="F338" s="1" t="s">
        <v>1244</v>
      </c>
      <c r="G338" s="1">
        <v>1</v>
      </c>
      <c r="H338" s="1" t="s">
        <v>19</v>
      </c>
      <c r="I338" s="1" t="s">
        <v>423</v>
      </c>
      <c r="J338" s="1">
        <v>404.1</v>
      </c>
      <c r="K338" s="1">
        <v>404.1</v>
      </c>
      <c r="L338" s="42">
        <v>4</v>
      </c>
      <c r="M338" s="43">
        <v>46006</v>
      </c>
      <c r="N338" s="1" t="e">
        <f>VLOOKUP(B338,MICRO!E:L,8,0)</f>
        <v>#N/A</v>
      </c>
    </row>
    <row r="339" spans="1:14" ht="20.25" x14ac:dyDescent="0.25">
      <c r="A339" s="1">
        <v>22</v>
      </c>
      <c r="B339" s="1"/>
      <c r="C339" s="1" t="s">
        <v>1243</v>
      </c>
      <c r="D339" s="1"/>
      <c r="E339" s="1"/>
      <c r="F339" s="1" t="s">
        <v>1244</v>
      </c>
      <c r="G339" s="1">
        <v>1</v>
      </c>
      <c r="H339" s="1" t="s">
        <v>19</v>
      </c>
      <c r="I339" s="1" t="s">
        <v>424</v>
      </c>
      <c r="J339" s="1">
        <v>404.1</v>
      </c>
      <c r="K339" s="1">
        <v>404.1</v>
      </c>
      <c r="L339" s="42">
        <v>4</v>
      </c>
      <c r="M339" s="43">
        <v>46006</v>
      </c>
      <c r="N339" s="1" t="e">
        <f>VLOOKUP(B339,MICRO!E:L,8,0)</f>
        <v>#N/A</v>
      </c>
    </row>
    <row r="340" spans="1:14" ht="20.25" x14ac:dyDescent="0.25">
      <c r="A340" s="1">
        <v>23</v>
      </c>
      <c r="B340" s="1"/>
      <c r="C340" s="1" t="s">
        <v>1243</v>
      </c>
      <c r="D340" s="1"/>
      <c r="E340" s="1"/>
      <c r="F340" s="1" t="s">
        <v>1244</v>
      </c>
      <c r="G340" s="1">
        <v>1</v>
      </c>
      <c r="H340" s="1" t="s">
        <v>19</v>
      </c>
      <c r="I340" s="1" t="s">
        <v>425</v>
      </c>
      <c r="J340" s="1">
        <v>404.1</v>
      </c>
      <c r="K340" s="1">
        <v>404.1</v>
      </c>
      <c r="L340" s="42">
        <v>4</v>
      </c>
      <c r="M340" s="43">
        <v>46006</v>
      </c>
      <c r="N340" s="1" t="e">
        <f>VLOOKUP(B340,MICRO!E:L,8,0)</f>
        <v>#N/A</v>
      </c>
    </row>
    <row r="341" spans="1:14" ht="20.25" x14ac:dyDescent="0.25">
      <c r="A341" s="1">
        <v>24</v>
      </c>
      <c r="B341" s="1"/>
      <c r="C341" s="1" t="s">
        <v>1243</v>
      </c>
      <c r="D341" s="1"/>
      <c r="E341" s="1"/>
      <c r="F341" s="1" t="s">
        <v>1244</v>
      </c>
      <c r="G341" s="1">
        <v>1</v>
      </c>
      <c r="H341" s="1" t="s">
        <v>19</v>
      </c>
      <c r="I341" s="1" t="s">
        <v>426</v>
      </c>
      <c r="J341" s="1">
        <v>404.1</v>
      </c>
      <c r="K341" s="1">
        <v>404.1</v>
      </c>
      <c r="L341" s="42">
        <v>4</v>
      </c>
      <c r="M341" s="43">
        <v>46006</v>
      </c>
      <c r="N341" s="1" t="e">
        <f>VLOOKUP(B341,MICRO!E:L,8,0)</f>
        <v>#N/A</v>
      </c>
    </row>
    <row r="342" spans="1:14" ht="20.25" x14ac:dyDescent="0.25">
      <c r="A342" s="1">
        <v>25</v>
      </c>
      <c r="B342" s="1"/>
      <c r="C342" s="1" t="s">
        <v>1243</v>
      </c>
      <c r="D342" s="1"/>
      <c r="E342" s="1"/>
      <c r="F342" s="1" t="s">
        <v>1244</v>
      </c>
      <c r="G342" s="1">
        <v>1</v>
      </c>
      <c r="H342" s="1" t="s">
        <v>19</v>
      </c>
      <c r="I342" s="1" t="s">
        <v>427</v>
      </c>
      <c r="J342" s="1">
        <v>404.1</v>
      </c>
      <c r="K342" s="1">
        <v>404.1</v>
      </c>
      <c r="L342" s="42">
        <v>4</v>
      </c>
      <c r="M342" s="43">
        <v>46006</v>
      </c>
      <c r="N342" s="1" t="e">
        <f>VLOOKUP(B342,MICRO!E:L,8,0)</f>
        <v>#N/A</v>
      </c>
    </row>
    <row r="343" spans="1:14" ht="20.25" x14ac:dyDescent="0.25">
      <c r="A343" s="1">
        <v>26</v>
      </c>
      <c r="B343" s="1"/>
      <c r="C343" s="1" t="s">
        <v>1245</v>
      </c>
      <c r="D343" s="1"/>
      <c r="E343" s="1"/>
      <c r="F343" s="1" t="s">
        <v>1246</v>
      </c>
      <c r="G343" s="1">
        <v>1</v>
      </c>
      <c r="H343" s="1" t="s">
        <v>19</v>
      </c>
      <c r="I343" s="1" t="s">
        <v>423</v>
      </c>
      <c r="J343" s="1">
        <v>394.6</v>
      </c>
      <c r="K343" s="1">
        <v>394.6</v>
      </c>
      <c r="L343" s="42">
        <v>4</v>
      </c>
      <c r="M343" s="43">
        <v>46006</v>
      </c>
      <c r="N343" s="1" t="e">
        <f>VLOOKUP(B343,MICRO!E:L,8,0)</f>
        <v>#N/A</v>
      </c>
    </row>
    <row r="344" spans="1:14" ht="20.25" x14ac:dyDescent="0.25">
      <c r="A344" s="1">
        <v>27</v>
      </c>
      <c r="B344" s="1"/>
      <c r="C344" s="1" t="s">
        <v>1245</v>
      </c>
      <c r="D344" s="1"/>
      <c r="E344" s="1"/>
      <c r="F344" s="1" t="s">
        <v>1246</v>
      </c>
      <c r="G344" s="1">
        <v>1</v>
      </c>
      <c r="H344" s="1" t="s">
        <v>19</v>
      </c>
      <c r="I344" s="1" t="s">
        <v>424</v>
      </c>
      <c r="J344" s="1">
        <v>394.6</v>
      </c>
      <c r="K344" s="1">
        <v>394.6</v>
      </c>
      <c r="L344" s="42">
        <v>4</v>
      </c>
      <c r="M344" s="43">
        <v>46006</v>
      </c>
      <c r="N344" s="1" t="e">
        <f>VLOOKUP(B344,MICRO!E:L,8,0)</f>
        <v>#N/A</v>
      </c>
    </row>
    <row r="345" spans="1:14" ht="20.25" x14ac:dyDescent="0.25">
      <c r="A345" s="1">
        <v>28</v>
      </c>
      <c r="B345" s="1"/>
      <c r="C345" s="1" t="s">
        <v>1245</v>
      </c>
      <c r="D345" s="1"/>
      <c r="E345" s="1"/>
      <c r="F345" s="1" t="s">
        <v>1246</v>
      </c>
      <c r="G345" s="1">
        <v>1</v>
      </c>
      <c r="H345" s="1" t="s">
        <v>19</v>
      </c>
      <c r="I345" s="1" t="s">
        <v>425</v>
      </c>
      <c r="J345" s="1">
        <v>394.6</v>
      </c>
      <c r="K345" s="1">
        <v>394.6</v>
      </c>
      <c r="L345" s="42">
        <v>4</v>
      </c>
      <c r="M345" s="43">
        <v>46006</v>
      </c>
      <c r="N345" s="1" t="e">
        <f>VLOOKUP(B345,MICRO!E:L,8,0)</f>
        <v>#N/A</v>
      </c>
    </row>
    <row r="346" spans="1:14" ht="20.25" x14ac:dyDescent="0.25">
      <c r="A346" s="1">
        <v>29</v>
      </c>
      <c r="B346" s="1"/>
      <c r="C346" s="1" t="s">
        <v>1245</v>
      </c>
      <c r="D346" s="1"/>
      <c r="E346" s="1"/>
      <c r="F346" s="1" t="s">
        <v>1246</v>
      </c>
      <c r="G346" s="1">
        <v>1</v>
      </c>
      <c r="H346" s="1" t="s">
        <v>19</v>
      </c>
      <c r="I346" s="1" t="s">
        <v>426</v>
      </c>
      <c r="J346" s="1">
        <v>394.6</v>
      </c>
      <c r="K346" s="1">
        <v>394.6</v>
      </c>
      <c r="L346" s="42">
        <v>4</v>
      </c>
      <c r="M346" s="43">
        <v>46006</v>
      </c>
      <c r="N346" s="1" t="e">
        <f>VLOOKUP(B346,MICRO!E:L,8,0)</f>
        <v>#N/A</v>
      </c>
    </row>
    <row r="347" spans="1:14" ht="20.25" x14ac:dyDescent="0.25">
      <c r="A347" s="1">
        <v>30</v>
      </c>
      <c r="B347" s="1"/>
      <c r="C347" s="1" t="s">
        <v>1245</v>
      </c>
      <c r="D347" s="1"/>
      <c r="E347" s="1"/>
      <c r="F347" s="1" t="s">
        <v>1246</v>
      </c>
      <c r="G347" s="1">
        <v>1</v>
      </c>
      <c r="H347" s="1" t="s">
        <v>19</v>
      </c>
      <c r="I347" s="1" t="s">
        <v>427</v>
      </c>
      <c r="J347" s="1">
        <v>394.6</v>
      </c>
      <c r="K347" s="1">
        <v>394.6</v>
      </c>
      <c r="L347" s="42">
        <v>4</v>
      </c>
      <c r="M347" s="43">
        <v>46006</v>
      </c>
      <c r="N347" s="1" t="e">
        <f>VLOOKUP(B347,MICRO!E:L,8,0)</f>
        <v>#N/A</v>
      </c>
    </row>
    <row r="348" spans="1:14" ht="20.25" x14ac:dyDescent="0.25">
      <c r="A348" s="1">
        <v>31</v>
      </c>
      <c r="B348" s="1"/>
      <c r="C348" s="1" t="s">
        <v>1150</v>
      </c>
      <c r="D348" s="1"/>
      <c r="E348" s="1" t="s">
        <v>1101</v>
      </c>
      <c r="F348" s="1" t="s">
        <v>1154</v>
      </c>
      <c r="G348" s="1">
        <v>2</v>
      </c>
      <c r="H348" s="1" t="s">
        <v>19</v>
      </c>
      <c r="I348" s="1" t="s">
        <v>423</v>
      </c>
      <c r="J348" s="1">
        <v>1</v>
      </c>
      <c r="K348" s="1">
        <v>2</v>
      </c>
      <c r="L348" s="42">
        <v>4</v>
      </c>
      <c r="M348" s="43">
        <v>46006</v>
      </c>
      <c r="N348" s="1" t="e">
        <f>VLOOKUP(B348,MICRO!E:L,8,0)</f>
        <v>#N/A</v>
      </c>
    </row>
    <row r="349" spans="1:14" ht="20.25" x14ac:dyDescent="0.25">
      <c r="A349" s="1">
        <v>32</v>
      </c>
      <c r="B349" s="1"/>
      <c r="C349" s="1" t="s">
        <v>1150</v>
      </c>
      <c r="D349" s="1"/>
      <c r="E349" s="1" t="s">
        <v>1101</v>
      </c>
      <c r="F349" s="1" t="s">
        <v>1154</v>
      </c>
      <c r="G349" s="1">
        <v>2</v>
      </c>
      <c r="H349" s="1" t="s">
        <v>19</v>
      </c>
      <c r="I349" s="1" t="s">
        <v>424</v>
      </c>
      <c r="J349" s="1">
        <v>1</v>
      </c>
      <c r="K349" s="1">
        <v>2</v>
      </c>
      <c r="L349" s="42">
        <v>4</v>
      </c>
      <c r="M349" s="43">
        <v>46006</v>
      </c>
      <c r="N349" s="1" t="e">
        <f>VLOOKUP(B349,MICRO!E:L,8,0)</f>
        <v>#N/A</v>
      </c>
    </row>
    <row r="350" spans="1:14" ht="20.25" x14ac:dyDescent="0.25">
      <c r="A350" s="1">
        <v>33</v>
      </c>
      <c r="B350" s="1"/>
      <c r="C350" s="1" t="s">
        <v>1150</v>
      </c>
      <c r="D350" s="1"/>
      <c r="E350" s="1" t="s">
        <v>1101</v>
      </c>
      <c r="F350" s="1" t="s">
        <v>1154</v>
      </c>
      <c r="G350" s="1">
        <v>2</v>
      </c>
      <c r="H350" s="1" t="s">
        <v>19</v>
      </c>
      <c r="I350" s="1" t="s">
        <v>425</v>
      </c>
      <c r="J350" s="1">
        <v>1</v>
      </c>
      <c r="K350" s="1">
        <v>2</v>
      </c>
      <c r="L350" s="42">
        <v>4</v>
      </c>
      <c r="M350" s="43">
        <v>46006</v>
      </c>
      <c r="N350" s="1" t="e">
        <f>VLOOKUP(B350,MICRO!E:L,8,0)</f>
        <v>#N/A</v>
      </c>
    </row>
    <row r="351" spans="1:14" ht="20.25" x14ac:dyDescent="0.25">
      <c r="A351" s="1">
        <v>34</v>
      </c>
      <c r="B351" s="1"/>
      <c r="C351" s="1" t="s">
        <v>1150</v>
      </c>
      <c r="D351" s="1"/>
      <c r="E351" s="1" t="s">
        <v>1101</v>
      </c>
      <c r="F351" s="1" t="s">
        <v>1154</v>
      </c>
      <c r="G351" s="1">
        <v>2</v>
      </c>
      <c r="H351" s="1" t="s">
        <v>19</v>
      </c>
      <c r="I351" s="1" t="s">
        <v>426</v>
      </c>
      <c r="J351" s="1">
        <v>1</v>
      </c>
      <c r="K351" s="1">
        <v>2</v>
      </c>
      <c r="L351" s="42">
        <v>4</v>
      </c>
      <c r="M351" s="43">
        <v>46006</v>
      </c>
      <c r="N351" s="1" t="e">
        <f>VLOOKUP(B351,MICRO!E:L,8,0)</f>
        <v>#N/A</v>
      </c>
    </row>
    <row r="352" spans="1:14" ht="20.25" x14ac:dyDescent="0.25">
      <c r="A352" s="1">
        <v>35</v>
      </c>
      <c r="B352" s="1"/>
      <c r="C352" s="1" t="s">
        <v>1150</v>
      </c>
      <c r="D352" s="1"/>
      <c r="E352" s="1" t="s">
        <v>1101</v>
      </c>
      <c r="F352" s="1" t="s">
        <v>1154</v>
      </c>
      <c r="G352" s="1">
        <v>2</v>
      </c>
      <c r="H352" s="1" t="s">
        <v>19</v>
      </c>
      <c r="I352" s="1" t="s">
        <v>427</v>
      </c>
      <c r="J352" s="1">
        <v>1</v>
      </c>
      <c r="K352" s="1">
        <v>2</v>
      </c>
      <c r="L352" s="42">
        <v>4</v>
      </c>
      <c r="M352" s="43">
        <v>46006</v>
      </c>
      <c r="N352" s="1" t="e">
        <f>VLOOKUP(B352,MICRO!E:L,8,0)</f>
        <v>#N/A</v>
      </c>
    </row>
    <row r="353" spans="1:14" ht="20.25" x14ac:dyDescent="0.25">
      <c r="A353" s="1">
        <v>36</v>
      </c>
      <c r="B353" s="1"/>
      <c r="C353" s="1" t="s">
        <v>1247</v>
      </c>
      <c r="D353" s="1"/>
      <c r="E353" s="1"/>
      <c r="F353" s="1" t="s">
        <v>575</v>
      </c>
      <c r="G353" s="1">
        <v>1</v>
      </c>
      <c r="H353" s="1"/>
      <c r="I353" s="1" t="s">
        <v>423</v>
      </c>
      <c r="J353" s="1">
        <v>223.4</v>
      </c>
      <c r="K353" s="1">
        <v>223.4</v>
      </c>
      <c r="L353" s="42">
        <v>4</v>
      </c>
      <c r="M353" s="43">
        <v>46006</v>
      </c>
      <c r="N353" s="1" t="e">
        <f>VLOOKUP(B353,MICRO!E:L,8,0)</f>
        <v>#N/A</v>
      </c>
    </row>
    <row r="354" spans="1:14" ht="20.25" x14ac:dyDescent="0.25">
      <c r="A354" s="1">
        <v>37</v>
      </c>
      <c r="B354" s="1"/>
      <c r="C354" s="1" t="s">
        <v>1247</v>
      </c>
      <c r="D354" s="1"/>
      <c r="E354" s="1"/>
      <c r="F354" s="1" t="s">
        <v>576</v>
      </c>
      <c r="G354" s="1">
        <v>1</v>
      </c>
      <c r="H354" s="1"/>
      <c r="I354" s="1" t="s">
        <v>424</v>
      </c>
      <c r="J354" s="1">
        <v>223.4</v>
      </c>
      <c r="K354" s="1">
        <v>223.4</v>
      </c>
      <c r="L354" s="42">
        <v>4</v>
      </c>
      <c r="M354" s="43">
        <v>46006</v>
      </c>
      <c r="N354" s="1" t="e">
        <f>VLOOKUP(B354,MICRO!E:L,8,0)</f>
        <v>#N/A</v>
      </c>
    </row>
    <row r="355" spans="1:14" ht="20.25" x14ac:dyDescent="0.25">
      <c r="A355" s="1">
        <v>38</v>
      </c>
      <c r="B355" s="1"/>
      <c r="C355" s="1" t="s">
        <v>1247</v>
      </c>
      <c r="D355" s="1"/>
      <c r="E355" s="1"/>
      <c r="F355" s="1" t="s">
        <v>576</v>
      </c>
      <c r="G355" s="1">
        <v>1</v>
      </c>
      <c r="H355" s="1"/>
      <c r="I355" s="1" t="s">
        <v>425</v>
      </c>
      <c r="J355" s="1">
        <v>223.4</v>
      </c>
      <c r="K355" s="1">
        <v>223.4</v>
      </c>
      <c r="L355" s="42">
        <v>4</v>
      </c>
      <c r="M355" s="43">
        <v>46006</v>
      </c>
      <c r="N355" s="1" t="e">
        <f>VLOOKUP(B355,MICRO!E:L,8,0)</f>
        <v>#N/A</v>
      </c>
    </row>
    <row r="356" spans="1:14" ht="20.25" x14ac:dyDescent="0.25">
      <c r="A356" s="1">
        <v>39</v>
      </c>
      <c r="B356" s="1"/>
      <c r="C356" s="1" t="s">
        <v>1247</v>
      </c>
      <c r="D356" s="1"/>
      <c r="E356" s="1"/>
      <c r="F356" s="1" t="s">
        <v>576</v>
      </c>
      <c r="G356" s="1">
        <v>1</v>
      </c>
      <c r="H356" s="1"/>
      <c r="I356" s="1" t="s">
        <v>426</v>
      </c>
      <c r="J356" s="1">
        <v>223.4</v>
      </c>
      <c r="K356" s="1">
        <v>223.4</v>
      </c>
      <c r="L356" s="42">
        <v>4</v>
      </c>
      <c r="M356" s="43">
        <v>46006</v>
      </c>
      <c r="N356" s="1" t="e">
        <f>VLOOKUP(B356,MICRO!E:L,8,0)</f>
        <v>#N/A</v>
      </c>
    </row>
    <row r="357" spans="1:14" ht="20.25" x14ac:dyDescent="0.25">
      <c r="A357" s="1">
        <v>40</v>
      </c>
      <c r="B357" s="1"/>
      <c r="C357" s="1" t="s">
        <v>1247</v>
      </c>
      <c r="D357" s="1"/>
      <c r="E357" s="1"/>
      <c r="F357" s="1" t="s">
        <v>575</v>
      </c>
      <c r="G357" s="1">
        <v>1</v>
      </c>
      <c r="H357" s="1"/>
      <c r="I357" s="1" t="s">
        <v>427</v>
      </c>
      <c r="J357" s="1">
        <v>223.4</v>
      </c>
      <c r="K357" s="1">
        <v>223.4</v>
      </c>
      <c r="L357" s="42">
        <v>4</v>
      </c>
      <c r="M357" s="43">
        <v>46006</v>
      </c>
      <c r="N357" s="1" t="e">
        <f>VLOOKUP(B357,MICRO!E:L,8,0)</f>
        <v>#N/A</v>
      </c>
    </row>
    <row r="358" spans="1:14" ht="20.25" x14ac:dyDescent="0.25">
      <c r="A358" s="1">
        <v>1</v>
      </c>
      <c r="B358" s="1">
        <v>1944</v>
      </c>
      <c r="C358" s="1" t="s">
        <v>133</v>
      </c>
      <c r="D358" s="1"/>
      <c r="E358" s="1" t="s">
        <v>1101</v>
      </c>
      <c r="F358" s="1" t="s">
        <v>1351</v>
      </c>
      <c r="G358" s="1">
        <v>1</v>
      </c>
      <c r="H358" s="1" t="s">
        <v>19</v>
      </c>
      <c r="I358" s="1" t="s">
        <v>585</v>
      </c>
      <c r="J358" s="1">
        <v>131</v>
      </c>
      <c r="K358" s="1">
        <v>131</v>
      </c>
      <c r="L358" s="42">
        <v>4</v>
      </c>
      <c r="M358" s="43">
        <v>46006</v>
      </c>
      <c r="N358" s="1" t="e">
        <f>VLOOKUP(B358,MICRO!E:L,8,0)</f>
        <v>#N/A</v>
      </c>
    </row>
    <row r="359" spans="1:14" ht="20.25" x14ac:dyDescent="0.25">
      <c r="A359" s="1">
        <v>2</v>
      </c>
      <c r="B359" s="1">
        <v>1956</v>
      </c>
      <c r="C359" s="1" t="s">
        <v>133</v>
      </c>
      <c r="D359" s="1"/>
      <c r="E359" s="1" t="s">
        <v>1101</v>
      </c>
      <c r="F359" s="1" t="s">
        <v>1352</v>
      </c>
      <c r="G359" s="1">
        <v>1</v>
      </c>
      <c r="H359" s="1" t="s">
        <v>19</v>
      </c>
      <c r="I359" s="1" t="s">
        <v>589</v>
      </c>
      <c r="J359" s="1">
        <v>131</v>
      </c>
      <c r="K359" s="1">
        <v>131</v>
      </c>
      <c r="L359" s="42">
        <v>4</v>
      </c>
      <c r="M359" s="43">
        <v>46006</v>
      </c>
      <c r="N359" s="1" t="e">
        <f>VLOOKUP(B359,MICRO!E:L,8,0)</f>
        <v>#N/A</v>
      </c>
    </row>
    <row r="360" spans="1:14" ht="20.25" x14ac:dyDescent="0.25">
      <c r="A360" s="1">
        <v>3</v>
      </c>
      <c r="B360" s="1">
        <v>2001</v>
      </c>
      <c r="C360" s="1" t="s">
        <v>133</v>
      </c>
      <c r="D360" s="1"/>
      <c r="E360" s="1" t="s">
        <v>43</v>
      </c>
      <c r="F360" s="1" t="s">
        <v>1353</v>
      </c>
      <c r="G360" s="1">
        <v>1</v>
      </c>
      <c r="H360" s="1" t="s">
        <v>19</v>
      </c>
      <c r="I360" s="1" t="s">
        <v>629</v>
      </c>
      <c r="J360" s="1">
        <v>131</v>
      </c>
      <c r="K360" s="1">
        <v>131</v>
      </c>
      <c r="L360" s="42">
        <v>4</v>
      </c>
      <c r="M360" s="43">
        <v>46006</v>
      </c>
      <c r="N360" s="1" t="e">
        <f>VLOOKUP(B360,MICRO!E:L,8,0)</f>
        <v>#N/A</v>
      </c>
    </row>
    <row r="361" spans="1:14" ht="20.25" x14ac:dyDescent="0.25">
      <c r="A361" s="1">
        <v>4</v>
      </c>
      <c r="B361" s="1">
        <v>2074</v>
      </c>
      <c r="C361" s="1" t="s">
        <v>143</v>
      </c>
      <c r="D361" s="1"/>
      <c r="E361" s="1" t="s">
        <v>464</v>
      </c>
      <c r="F361" s="1" t="s">
        <v>664</v>
      </c>
      <c r="G361" s="1">
        <v>6</v>
      </c>
      <c r="H361" s="1" t="s">
        <v>19</v>
      </c>
      <c r="I361" s="1" t="s">
        <v>629</v>
      </c>
      <c r="J361" s="1">
        <v>6.6</v>
      </c>
      <c r="K361" s="1">
        <v>39.599999999999994</v>
      </c>
      <c r="L361" s="42">
        <v>4</v>
      </c>
      <c r="M361" s="43">
        <v>46006</v>
      </c>
      <c r="N361" s="1" t="e">
        <f>VLOOKUP(B361,MICRO!E:L,8,0)</f>
        <v>#N/A</v>
      </c>
    </row>
    <row r="362" spans="1:14" ht="20.25" x14ac:dyDescent="0.25">
      <c r="A362" s="1">
        <v>6</v>
      </c>
      <c r="B362" s="1">
        <v>2173</v>
      </c>
      <c r="C362" s="1" t="s">
        <v>737</v>
      </c>
      <c r="D362" s="1"/>
      <c r="E362" s="1" t="s">
        <v>2</v>
      </c>
      <c r="F362" s="1" t="s">
        <v>738</v>
      </c>
      <c r="G362" s="1">
        <v>1</v>
      </c>
      <c r="H362" s="1" t="s">
        <v>19</v>
      </c>
      <c r="I362" s="1" t="s">
        <v>629</v>
      </c>
      <c r="J362" s="1">
        <v>7.2</v>
      </c>
      <c r="K362" s="1">
        <v>7.2</v>
      </c>
      <c r="L362" s="42">
        <v>4</v>
      </c>
      <c r="M362" s="43">
        <v>46006</v>
      </c>
      <c r="N362" s="1" t="e">
        <f>VLOOKUP(B362,MICRO!E:L,8,0)</f>
        <v>#N/A</v>
      </c>
    </row>
    <row r="363" spans="1:14" ht="20.25" x14ac:dyDescent="0.25">
      <c r="A363" s="1">
        <v>7</v>
      </c>
      <c r="B363" s="1">
        <v>2174</v>
      </c>
      <c r="C363" s="1" t="s">
        <v>739</v>
      </c>
      <c r="D363" s="1"/>
      <c r="E363" s="1" t="s">
        <v>2</v>
      </c>
      <c r="F363" s="1" t="s">
        <v>740</v>
      </c>
      <c r="G363" s="1">
        <v>1</v>
      </c>
      <c r="H363" s="1" t="s">
        <v>19</v>
      </c>
      <c r="I363" s="1" t="s">
        <v>629</v>
      </c>
      <c r="J363" s="1">
        <v>18.399999999999999</v>
      </c>
      <c r="K363" s="1">
        <v>18.399999999999999</v>
      </c>
      <c r="L363" s="42">
        <v>4</v>
      </c>
      <c r="M363" s="43">
        <v>46006</v>
      </c>
      <c r="N363" s="1" t="e">
        <f>VLOOKUP(B363,MICRO!E:L,8,0)</f>
        <v>#N/A</v>
      </c>
    </row>
    <row r="364" spans="1:14" ht="20.25" x14ac:dyDescent="0.25">
      <c r="A364" s="1">
        <v>8</v>
      </c>
      <c r="B364" s="1">
        <v>2178</v>
      </c>
      <c r="C364" s="1" t="s">
        <v>148</v>
      </c>
      <c r="D364" s="1"/>
      <c r="E364" s="1" t="s">
        <v>43</v>
      </c>
      <c r="F364" s="1" t="s">
        <v>742</v>
      </c>
      <c r="G364" s="1">
        <v>6</v>
      </c>
      <c r="H364" s="1" t="s">
        <v>19</v>
      </c>
      <c r="I364" s="1" t="s">
        <v>634</v>
      </c>
      <c r="J364" s="1">
        <v>8.1999999999999993</v>
      </c>
      <c r="K364" s="1">
        <v>49.199999999999996</v>
      </c>
      <c r="L364" s="42">
        <v>4</v>
      </c>
      <c r="M364" s="43">
        <v>46006</v>
      </c>
      <c r="N364" s="1" t="e">
        <f>VLOOKUP(B364,MICRO!E:L,8,0)</f>
        <v>#N/A</v>
      </c>
    </row>
    <row r="365" spans="1:14" ht="20.25" x14ac:dyDescent="0.25">
      <c r="A365" s="1">
        <v>10</v>
      </c>
      <c r="B365" s="1"/>
      <c r="C365" s="1" t="s">
        <v>1354</v>
      </c>
      <c r="D365" s="1"/>
      <c r="E365" s="1"/>
      <c r="F365" s="1" t="s">
        <v>1355</v>
      </c>
      <c r="G365" s="1">
        <v>1</v>
      </c>
      <c r="H365" s="1" t="s">
        <v>19</v>
      </c>
      <c r="I365" s="1" t="s">
        <v>629</v>
      </c>
      <c r="J365" s="1">
        <v>170</v>
      </c>
      <c r="K365" s="1">
        <v>170</v>
      </c>
      <c r="L365" s="42">
        <v>4</v>
      </c>
      <c r="M365" s="43">
        <v>46006</v>
      </c>
      <c r="N365" s="1" t="e">
        <f>VLOOKUP(B365,MICRO!E:L,8,0)</f>
        <v>#N/A</v>
      </c>
    </row>
    <row r="366" spans="1:14" ht="20.25" x14ac:dyDescent="0.25">
      <c r="A366" s="1">
        <v>46</v>
      </c>
      <c r="B366" s="1">
        <v>2457</v>
      </c>
      <c r="C366" s="1" t="s">
        <v>938</v>
      </c>
      <c r="D366" s="1"/>
      <c r="E366" s="1" t="s">
        <v>43</v>
      </c>
      <c r="F366" s="1" t="s">
        <v>940</v>
      </c>
      <c r="G366" s="1">
        <v>3</v>
      </c>
      <c r="H366" s="1" t="s">
        <v>19</v>
      </c>
      <c r="I366" s="1" t="s">
        <v>629</v>
      </c>
      <c r="J366" s="1">
        <v>58.2</v>
      </c>
      <c r="K366" s="1">
        <v>103.28999999999999</v>
      </c>
      <c r="L366" s="42">
        <v>1</v>
      </c>
      <c r="M366" s="43">
        <v>45979</v>
      </c>
      <c r="N366" s="1" t="e">
        <f>VLOOKUP(B366,MICRO!E:L,8,0)</f>
        <v>#N/A</v>
      </c>
    </row>
    <row r="367" spans="1:14" ht="20.25" x14ac:dyDescent="0.25">
      <c r="A367" s="1">
        <v>47</v>
      </c>
      <c r="B367" s="1">
        <v>2458</v>
      </c>
      <c r="C367" s="1" t="s">
        <v>938</v>
      </c>
      <c r="D367" s="1"/>
      <c r="E367" s="1" t="s">
        <v>746</v>
      </c>
      <c r="F367" s="1" t="s">
        <v>941</v>
      </c>
      <c r="G367" s="1">
        <v>14</v>
      </c>
      <c r="H367" s="1"/>
      <c r="I367" s="1" t="s">
        <v>629</v>
      </c>
      <c r="J367" s="1">
        <v>10.77</v>
      </c>
      <c r="K367" s="1">
        <v>80.78</v>
      </c>
      <c r="L367" s="42">
        <v>1</v>
      </c>
      <c r="M367" s="43">
        <v>45954</v>
      </c>
      <c r="N367" s="1" t="e">
        <f>VLOOKUP(B367,MICRO!E:L,8,0)</f>
        <v>#N/A</v>
      </c>
    </row>
    <row r="368" spans="1:14" ht="20.25" x14ac:dyDescent="0.25">
      <c r="A368" s="1">
        <v>48</v>
      </c>
      <c r="B368" s="1">
        <v>2459</v>
      </c>
      <c r="C368" s="1" t="s">
        <v>938</v>
      </c>
      <c r="D368" s="1"/>
      <c r="E368" s="1" t="s">
        <v>1101</v>
      </c>
      <c r="F368" s="1" t="s">
        <v>942</v>
      </c>
      <c r="G368" s="1">
        <v>14</v>
      </c>
      <c r="H368" s="1"/>
      <c r="I368" s="1" t="s">
        <v>629</v>
      </c>
      <c r="J368" s="1">
        <v>10.77</v>
      </c>
      <c r="K368" s="1">
        <v>80.78</v>
      </c>
      <c r="L368" s="42">
        <v>1</v>
      </c>
      <c r="M368" s="43">
        <v>45954</v>
      </c>
      <c r="N368" s="1" t="e">
        <f>VLOOKUP(B368,MICRO!E:L,8,0)</f>
        <v>#N/A</v>
      </c>
    </row>
    <row r="369" spans="1:14" ht="20.25" x14ac:dyDescent="0.25">
      <c r="A369" s="1">
        <v>49</v>
      </c>
      <c r="B369" s="1">
        <v>2461</v>
      </c>
      <c r="C369" s="1" t="s">
        <v>938</v>
      </c>
      <c r="D369" s="1"/>
      <c r="E369" s="1" t="s">
        <v>173</v>
      </c>
      <c r="F369" s="1" t="s">
        <v>944</v>
      </c>
      <c r="G369" s="1">
        <v>28</v>
      </c>
      <c r="H369" s="1"/>
      <c r="I369" s="1" t="s">
        <v>629</v>
      </c>
      <c r="J369" s="1">
        <v>9.5</v>
      </c>
      <c r="K369" s="1">
        <v>162.67999999999998</v>
      </c>
      <c r="L369" s="42">
        <v>1</v>
      </c>
      <c r="M369" s="43">
        <v>45954</v>
      </c>
      <c r="N369" s="1" t="e">
        <f>VLOOKUP(B369,MICRO!E:L,8,0)</f>
        <v>#N/A</v>
      </c>
    </row>
    <row r="370" spans="1:14" ht="20.25" x14ac:dyDescent="0.25">
      <c r="A370" s="1">
        <v>50</v>
      </c>
      <c r="B370" s="1">
        <v>2462</v>
      </c>
      <c r="C370" s="1" t="s">
        <v>938</v>
      </c>
      <c r="D370" s="1"/>
      <c r="E370" s="1" t="s">
        <v>461</v>
      </c>
      <c r="F370" s="1" t="s">
        <v>945</v>
      </c>
      <c r="G370" s="1">
        <v>1</v>
      </c>
      <c r="H370" s="1"/>
      <c r="I370" s="1" t="s">
        <v>629</v>
      </c>
      <c r="J370" s="1">
        <v>1.85</v>
      </c>
      <c r="K370" s="1">
        <v>1.85</v>
      </c>
      <c r="L370" s="42">
        <v>1</v>
      </c>
      <c r="M370" s="43">
        <v>46000</v>
      </c>
      <c r="N370" s="1" t="e">
        <f>VLOOKUP(B370,MICRO!E:L,8,0)</f>
        <v>#N/A</v>
      </c>
    </row>
    <row r="371" spans="1:14" ht="20.25" x14ac:dyDescent="0.25">
      <c r="A371" s="1">
        <v>52</v>
      </c>
      <c r="B371" s="1">
        <v>2472</v>
      </c>
      <c r="C371" s="1" t="s">
        <v>950</v>
      </c>
      <c r="D371" s="1"/>
      <c r="E371" s="1"/>
      <c r="F371" s="1" t="s">
        <v>953</v>
      </c>
      <c r="G371" s="1">
        <v>2</v>
      </c>
      <c r="H371" s="1"/>
      <c r="I371" s="1" t="s">
        <v>634</v>
      </c>
      <c r="J371" s="1">
        <v>5.34</v>
      </c>
      <c r="K371" s="1">
        <v>10.68</v>
      </c>
      <c r="L371" s="42">
        <v>1</v>
      </c>
      <c r="M371" s="43">
        <v>46000</v>
      </c>
      <c r="N371" s="1" t="e">
        <f>VLOOKUP(B371,MICRO!E:L,8,0)</f>
        <v>#N/A</v>
      </c>
    </row>
    <row r="372" spans="1:14" ht="20.25" x14ac:dyDescent="0.25">
      <c r="A372" s="1">
        <v>55</v>
      </c>
      <c r="B372" s="1">
        <v>2484</v>
      </c>
      <c r="C372" s="1" t="s">
        <v>962</v>
      </c>
      <c r="D372" s="1"/>
      <c r="E372" s="1" t="s">
        <v>100</v>
      </c>
      <c r="F372" s="1" t="s">
        <v>967</v>
      </c>
      <c r="G372" s="1">
        <v>3</v>
      </c>
      <c r="H372" s="1" t="s">
        <v>19</v>
      </c>
      <c r="I372" s="1" t="s">
        <v>589</v>
      </c>
      <c r="J372" s="1">
        <v>5.64</v>
      </c>
      <c r="K372" s="1">
        <v>16.919999999999998</v>
      </c>
      <c r="L372" s="42">
        <v>1</v>
      </c>
      <c r="M372" s="43">
        <v>46000</v>
      </c>
      <c r="N372" s="1" t="e">
        <f>VLOOKUP(B372,MICRO!E:L,8,0)</f>
        <v>#N/A</v>
      </c>
    </row>
    <row r="373" spans="1:14" ht="20.25" x14ac:dyDescent="0.25">
      <c r="A373" s="1">
        <v>56</v>
      </c>
      <c r="B373" s="1">
        <v>2485</v>
      </c>
      <c r="C373" s="1" t="s">
        <v>962</v>
      </c>
      <c r="D373" s="1"/>
      <c r="E373" s="1" t="s">
        <v>173</v>
      </c>
      <c r="F373" s="1" t="s">
        <v>968</v>
      </c>
      <c r="G373" s="1">
        <v>3</v>
      </c>
      <c r="H373" s="1" t="s">
        <v>19</v>
      </c>
      <c r="I373" s="1" t="s">
        <v>589</v>
      </c>
      <c r="J373" s="1">
        <v>5.64</v>
      </c>
      <c r="K373" s="1">
        <v>16.919999999999998</v>
      </c>
      <c r="L373" s="42">
        <v>5</v>
      </c>
      <c r="M373" s="43">
        <v>46027</v>
      </c>
      <c r="N373" s="1" t="e">
        <f>VLOOKUP(B373,MICRO!E:L,8,0)</f>
        <v>#N/A</v>
      </c>
    </row>
    <row r="374" spans="1:14" ht="20.25" x14ac:dyDescent="0.25">
      <c r="A374" s="1">
        <v>57</v>
      </c>
      <c r="B374" s="1">
        <v>2484</v>
      </c>
      <c r="C374" s="1" t="s">
        <v>962</v>
      </c>
      <c r="D374" s="1"/>
      <c r="E374" s="1" t="s">
        <v>100</v>
      </c>
      <c r="F374" s="1" t="s">
        <v>967</v>
      </c>
      <c r="G374" s="1">
        <v>4</v>
      </c>
      <c r="H374" s="1" t="s">
        <v>19</v>
      </c>
      <c r="I374" s="1" t="s">
        <v>735</v>
      </c>
      <c r="J374" s="1">
        <v>5.64</v>
      </c>
      <c r="K374" s="1">
        <v>22.56</v>
      </c>
      <c r="L374" s="42">
        <v>5</v>
      </c>
      <c r="M374" s="43">
        <v>46027</v>
      </c>
      <c r="N374" s="1" t="e">
        <f>VLOOKUP(B374,MICRO!E:L,8,0)</f>
        <v>#N/A</v>
      </c>
    </row>
    <row r="375" spans="1:14" ht="20.25" x14ac:dyDescent="0.25">
      <c r="A375" s="1">
        <v>58</v>
      </c>
      <c r="B375" s="1">
        <v>2485</v>
      </c>
      <c r="C375" s="1" t="s">
        <v>962</v>
      </c>
      <c r="D375" s="1"/>
      <c r="E375" s="1" t="s">
        <v>173</v>
      </c>
      <c r="F375" s="1" t="s">
        <v>968</v>
      </c>
      <c r="G375" s="1">
        <v>4</v>
      </c>
      <c r="H375" s="1" t="s">
        <v>19</v>
      </c>
      <c r="I375" s="1" t="s">
        <v>735</v>
      </c>
      <c r="J375" s="1">
        <v>5.64</v>
      </c>
      <c r="K375" s="1">
        <v>22.56</v>
      </c>
      <c r="L375" s="42">
        <v>5</v>
      </c>
      <c r="M375" s="43">
        <v>46027</v>
      </c>
      <c r="N375" s="1" t="e">
        <f>VLOOKUP(B375,MICRO!E:L,8,0)</f>
        <v>#N/A</v>
      </c>
    </row>
    <row r="376" spans="1:14" ht="20.25" x14ac:dyDescent="0.25">
      <c r="A376" s="1">
        <v>61</v>
      </c>
      <c r="B376" s="1">
        <v>2500</v>
      </c>
      <c r="C376" s="1" t="s">
        <v>977</v>
      </c>
      <c r="D376" s="1"/>
      <c r="E376" s="1"/>
      <c r="F376" s="1" t="s">
        <v>979</v>
      </c>
      <c r="G376" s="1">
        <v>4</v>
      </c>
      <c r="H376" s="1"/>
      <c r="I376" s="1" t="s">
        <v>589</v>
      </c>
      <c r="J376" s="1">
        <v>5.92</v>
      </c>
      <c r="K376" s="1">
        <v>23.68</v>
      </c>
      <c r="L376" s="42">
        <v>5</v>
      </c>
      <c r="M376" s="43">
        <v>46027</v>
      </c>
      <c r="N376" s="1" t="e">
        <f>VLOOKUP(B376,MICRO!E:L,8,0)</f>
        <v>#N/A</v>
      </c>
    </row>
    <row r="377" spans="1:14" ht="20.25" x14ac:dyDescent="0.25">
      <c r="A377" s="1">
        <v>65</v>
      </c>
      <c r="B377" s="1">
        <v>2578</v>
      </c>
      <c r="C377" s="1" t="s">
        <v>1817</v>
      </c>
      <c r="D377" s="1"/>
      <c r="E377" s="1" t="s">
        <v>746</v>
      </c>
      <c r="F377" s="1" t="s">
        <v>1018</v>
      </c>
      <c r="G377" s="1">
        <v>6</v>
      </c>
      <c r="H377" s="1"/>
      <c r="I377" s="1" t="s">
        <v>634</v>
      </c>
      <c r="J377" s="1">
        <v>4.24</v>
      </c>
      <c r="K377" s="1">
        <v>25.44</v>
      </c>
      <c r="L377" s="42">
        <v>5</v>
      </c>
      <c r="M377" s="43">
        <v>46027</v>
      </c>
      <c r="N377" s="1" t="e">
        <f>VLOOKUP(B377,MICRO!E:L,8,0)</f>
        <v>#N/A</v>
      </c>
    </row>
    <row r="378" spans="1:14" ht="20.25" x14ac:dyDescent="0.25">
      <c r="A378" s="1">
        <v>66</v>
      </c>
      <c r="B378" s="1">
        <v>2579</v>
      </c>
      <c r="C378" s="1" t="s">
        <v>1817</v>
      </c>
      <c r="D378" s="1"/>
      <c r="E378" s="1" t="s">
        <v>1101</v>
      </c>
      <c r="F378" s="1" t="s">
        <v>1019</v>
      </c>
      <c r="G378" s="1">
        <v>6</v>
      </c>
      <c r="H378" s="1"/>
      <c r="I378" s="1" t="s">
        <v>634</v>
      </c>
      <c r="J378" s="1">
        <v>4.24</v>
      </c>
      <c r="K378" s="1">
        <v>25.44</v>
      </c>
      <c r="L378" s="42">
        <v>4</v>
      </c>
      <c r="M378" s="43">
        <v>46027</v>
      </c>
      <c r="N378" s="1" t="e">
        <f>VLOOKUP(B378,MICRO!E:L,8,0)</f>
        <v>#N/A</v>
      </c>
    </row>
    <row r="379" spans="1:14" ht="20.25" x14ac:dyDescent="0.25">
      <c r="A379" s="1">
        <v>67</v>
      </c>
      <c r="B379" s="1">
        <v>2582</v>
      </c>
      <c r="C379" s="1" t="s">
        <v>1817</v>
      </c>
      <c r="D379" s="1"/>
      <c r="E379" s="1" t="s">
        <v>461</v>
      </c>
      <c r="F379" s="1" t="s">
        <v>1077</v>
      </c>
      <c r="G379" s="1">
        <v>6</v>
      </c>
      <c r="H379" s="1"/>
      <c r="I379" s="1" t="s">
        <v>634</v>
      </c>
      <c r="J379" s="1">
        <v>5.81</v>
      </c>
      <c r="K379" s="1">
        <v>34.86</v>
      </c>
      <c r="L379" s="42">
        <v>4</v>
      </c>
      <c r="M379" s="43">
        <v>46027</v>
      </c>
      <c r="N379" s="1" t="e">
        <f>VLOOKUP(B379,MICRO!E:L,8,0)</f>
        <v>#N/A</v>
      </c>
    </row>
    <row r="380" spans="1:14" ht="20.25" x14ac:dyDescent="0.25">
      <c r="A380" s="1">
        <v>68</v>
      </c>
      <c r="B380" s="1">
        <v>2583</v>
      </c>
      <c r="C380" s="1" t="s">
        <v>1817</v>
      </c>
      <c r="D380" s="1"/>
      <c r="E380" s="1" t="s">
        <v>173</v>
      </c>
      <c r="F380" s="1" t="s">
        <v>1078</v>
      </c>
      <c r="G380" s="1">
        <v>6</v>
      </c>
      <c r="H380" s="1"/>
      <c r="I380" s="1" t="s">
        <v>634</v>
      </c>
      <c r="J380" s="1">
        <v>3.83</v>
      </c>
      <c r="K380" s="1">
        <v>22.98</v>
      </c>
      <c r="L380" s="42">
        <v>4</v>
      </c>
      <c r="M380" s="43">
        <v>46027</v>
      </c>
      <c r="N380" s="1" t="e">
        <f>VLOOKUP(B380,MICRO!E:L,8,0)</f>
        <v>#N/A</v>
      </c>
    </row>
    <row r="381" spans="1:14" ht="20.25" x14ac:dyDescent="0.25">
      <c r="A381" s="1">
        <v>69</v>
      </c>
      <c r="B381" s="1">
        <v>2614</v>
      </c>
      <c r="C381" s="1" t="s">
        <v>1036</v>
      </c>
      <c r="D381" s="1"/>
      <c r="E381" s="1" t="s">
        <v>2</v>
      </c>
      <c r="F381" s="1" t="s">
        <v>1037</v>
      </c>
      <c r="G381" s="1">
        <v>1</v>
      </c>
      <c r="H381" s="1" t="s">
        <v>19</v>
      </c>
      <c r="I381" s="1" t="s">
        <v>585</v>
      </c>
      <c r="J381" s="1">
        <v>73.5</v>
      </c>
      <c r="K381" s="1">
        <v>73.5</v>
      </c>
      <c r="L381" s="42">
        <v>4</v>
      </c>
      <c r="M381" s="43">
        <v>46027</v>
      </c>
      <c r="N381" s="1" t="e">
        <f>VLOOKUP(B381,MICRO!E:L,8,0)</f>
        <v>#N/A</v>
      </c>
    </row>
    <row r="382" spans="1:14" ht="20.25" x14ac:dyDescent="0.25">
      <c r="A382" s="1">
        <v>70</v>
      </c>
      <c r="B382" s="1">
        <v>2615</v>
      </c>
      <c r="C382" s="1" t="s">
        <v>1036</v>
      </c>
      <c r="D382" s="1"/>
      <c r="E382" s="1" t="s">
        <v>43</v>
      </c>
      <c r="F382" s="1" t="s">
        <v>1038</v>
      </c>
      <c r="G382" s="1">
        <v>1</v>
      </c>
      <c r="H382" s="1" t="s">
        <v>19</v>
      </c>
      <c r="I382" s="1" t="s">
        <v>585</v>
      </c>
      <c r="J382" s="1">
        <v>195.3</v>
      </c>
      <c r="K382" s="1">
        <v>141.65</v>
      </c>
      <c r="L382" s="42">
        <v>4</v>
      </c>
      <c r="M382" s="43">
        <v>46027</v>
      </c>
      <c r="N382" s="1" t="e">
        <f>VLOOKUP(B382,MICRO!E:L,8,0)</f>
        <v>#N/A</v>
      </c>
    </row>
    <row r="383" spans="1:14" ht="20.25" x14ac:dyDescent="0.25">
      <c r="A383" s="1">
        <v>71</v>
      </c>
      <c r="B383" s="1">
        <v>2616</v>
      </c>
      <c r="C383" s="1" t="s">
        <v>1036</v>
      </c>
      <c r="D383" s="1"/>
      <c r="E383" s="1"/>
      <c r="F383" s="1" t="s">
        <v>1039</v>
      </c>
      <c r="G383" s="1">
        <v>2</v>
      </c>
      <c r="H383" s="1" t="s">
        <v>19</v>
      </c>
      <c r="I383" s="1" t="s">
        <v>585</v>
      </c>
      <c r="J383" s="1">
        <v>5.19</v>
      </c>
      <c r="K383" s="1">
        <v>10.38</v>
      </c>
      <c r="L383" s="42">
        <v>4</v>
      </c>
      <c r="M383" s="43">
        <v>46027</v>
      </c>
      <c r="N383" s="1" t="e">
        <f>VLOOKUP(B383,MICRO!E:L,8,0)</f>
        <v>#N/A</v>
      </c>
    </row>
    <row r="384" spans="1:14" ht="20.25" x14ac:dyDescent="0.25">
      <c r="A384" s="1">
        <v>73</v>
      </c>
      <c r="B384" s="1"/>
      <c r="C384" s="1" t="s">
        <v>2742</v>
      </c>
      <c r="D384" s="1"/>
      <c r="E384" s="1"/>
      <c r="F384" s="1" t="s">
        <v>2743</v>
      </c>
      <c r="G384" s="1">
        <v>8</v>
      </c>
      <c r="H384" s="1" t="s">
        <v>19</v>
      </c>
      <c r="I384" s="1" t="s">
        <v>589</v>
      </c>
      <c r="J384" s="1">
        <v>0.02</v>
      </c>
      <c r="K384" s="1">
        <v>0.16</v>
      </c>
      <c r="L384" s="42">
        <v>4</v>
      </c>
      <c r="M384" s="43">
        <v>46027</v>
      </c>
      <c r="N384" s="1" t="e">
        <f>VLOOKUP(B384,MICRO!E:L,8,0)</f>
        <v>#N/A</v>
      </c>
    </row>
    <row r="385" spans="1:14" ht="20.25" x14ac:dyDescent="0.25">
      <c r="A385" s="1">
        <v>74</v>
      </c>
      <c r="B385" s="1"/>
      <c r="C385" s="1" t="s">
        <v>142</v>
      </c>
      <c r="D385" s="1"/>
      <c r="E385" s="1"/>
      <c r="F385" s="1" t="s">
        <v>2744</v>
      </c>
      <c r="G385" s="1">
        <v>6</v>
      </c>
      <c r="H385" s="1" t="s">
        <v>19</v>
      </c>
      <c r="I385" s="1" t="s">
        <v>589</v>
      </c>
      <c r="J385" s="1">
        <v>0.02</v>
      </c>
      <c r="K385" s="1">
        <v>0.12</v>
      </c>
      <c r="L385" s="42">
        <v>4</v>
      </c>
      <c r="M385" s="43">
        <v>46027</v>
      </c>
      <c r="N385" s="1" t="e">
        <f>VLOOKUP(B385,MICRO!E:L,8,0)</f>
        <v>#N/A</v>
      </c>
    </row>
    <row r="386" spans="1:14" ht="20.25" x14ac:dyDescent="0.25">
      <c r="A386" s="1">
        <v>75</v>
      </c>
      <c r="B386" s="1"/>
      <c r="C386" s="1" t="s">
        <v>143</v>
      </c>
      <c r="D386" s="1"/>
      <c r="E386" s="1"/>
      <c r="F386" s="1" t="s">
        <v>2745</v>
      </c>
      <c r="G386" s="1">
        <v>110</v>
      </c>
      <c r="H386" s="1" t="s">
        <v>19</v>
      </c>
      <c r="I386" s="1" t="s">
        <v>589</v>
      </c>
      <c r="J386" s="1">
        <v>0.05</v>
      </c>
      <c r="K386" s="1">
        <v>5.5</v>
      </c>
      <c r="L386" s="42">
        <v>4</v>
      </c>
      <c r="M386" s="43">
        <v>46027</v>
      </c>
      <c r="N386" s="1" t="e">
        <f>VLOOKUP(B386,MICRO!E:L,8,0)</f>
        <v>#N/A</v>
      </c>
    </row>
    <row r="387" spans="1:14" ht="20.25" x14ac:dyDescent="0.25">
      <c r="A387" s="1">
        <v>76</v>
      </c>
      <c r="B387" s="1"/>
      <c r="C387" s="1" t="s">
        <v>2746</v>
      </c>
      <c r="D387" s="1"/>
      <c r="E387" s="1"/>
      <c r="F387" s="1" t="s">
        <v>2747</v>
      </c>
      <c r="G387" s="1">
        <v>40</v>
      </c>
      <c r="H387" s="1" t="s">
        <v>19</v>
      </c>
      <c r="I387" s="1" t="s">
        <v>589</v>
      </c>
      <c r="J387" s="1">
        <v>0.05</v>
      </c>
      <c r="K387" s="1">
        <v>2</v>
      </c>
      <c r="L387" s="42">
        <v>4</v>
      </c>
      <c r="M387" s="43">
        <v>46027</v>
      </c>
      <c r="N387" s="1" t="e">
        <f>VLOOKUP(B387,MICRO!E:L,8,0)</f>
        <v>#N/A</v>
      </c>
    </row>
    <row r="388" spans="1:14" ht="20.25" x14ac:dyDescent="0.25">
      <c r="A388" s="1">
        <v>77</v>
      </c>
      <c r="B388" s="1"/>
      <c r="C388" s="1" t="s">
        <v>2742</v>
      </c>
      <c r="D388" s="1"/>
      <c r="E388" s="1"/>
      <c r="F388" s="1" t="s">
        <v>2748</v>
      </c>
      <c r="G388" s="1">
        <v>8</v>
      </c>
      <c r="H388" s="1" t="s">
        <v>19</v>
      </c>
      <c r="I388" s="1" t="s">
        <v>589</v>
      </c>
      <c r="J388" s="1">
        <v>0.05</v>
      </c>
      <c r="K388" s="1">
        <v>0.4</v>
      </c>
      <c r="L388" s="42">
        <v>4</v>
      </c>
      <c r="M388" s="43">
        <v>46027</v>
      </c>
      <c r="N388" s="1" t="e">
        <f>VLOOKUP(B388,MICRO!E:L,8,0)</f>
        <v>#N/A</v>
      </c>
    </row>
    <row r="389" spans="1:14" ht="20.25" x14ac:dyDescent="0.25">
      <c r="A389" s="1">
        <v>78</v>
      </c>
      <c r="B389" s="1"/>
      <c r="C389" s="1" t="s">
        <v>143</v>
      </c>
      <c r="D389" s="1"/>
      <c r="E389" s="1"/>
      <c r="F389" s="1" t="s">
        <v>2749</v>
      </c>
      <c r="G389" s="1">
        <v>110</v>
      </c>
      <c r="H389" s="1" t="s">
        <v>19</v>
      </c>
      <c r="I389" s="1" t="s">
        <v>589</v>
      </c>
      <c r="J389" s="1">
        <v>0.03</v>
      </c>
      <c r="K389" s="1">
        <v>3.3</v>
      </c>
      <c r="L389" s="42">
        <v>4</v>
      </c>
      <c r="M389" s="43">
        <v>46027</v>
      </c>
      <c r="N389" s="1" t="e">
        <f>VLOOKUP(B389,MICRO!E:L,8,0)</f>
        <v>#N/A</v>
      </c>
    </row>
    <row r="390" spans="1:14" ht="20.25" x14ac:dyDescent="0.25">
      <c r="A390" s="1">
        <v>79</v>
      </c>
      <c r="B390" s="1"/>
      <c r="C390" s="1" t="s">
        <v>2746</v>
      </c>
      <c r="D390" s="1"/>
      <c r="E390" s="1"/>
      <c r="F390" s="1" t="s">
        <v>2749</v>
      </c>
      <c r="G390" s="1">
        <v>40</v>
      </c>
      <c r="H390" s="1" t="s">
        <v>19</v>
      </c>
      <c r="I390" s="1" t="s">
        <v>589</v>
      </c>
      <c r="J390" s="1">
        <v>0.03</v>
      </c>
      <c r="K390" s="1">
        <v>1.2</v>
      </c>
      <c r="L390" s="42">
        <v>4</v>
      </c>
      <c r="M390" s="43">
        <v>46027</v>
      </c>
      <c r="N390" s="1" t="e">
        <f>VLOOKUP(B390,MICRO!E:L,8,0)</f>
        <v>#N/A</v>
      </c>
    </row>
    <row r="391" spans="1:14" ht="20.25" x14ac:dyDescent="0.25">
      <c r="A391" s="1">
        <v>80</v>
      </c>
      <c r="B391" s="1"/>
      <c r="C391" s="1" t="s">
        <v>2742</v>
      </c>
      <c r="D391" s="1"/>
      <c r="E391" s="1"/>
      <c r="F391" s="1" t="s">
        <v>2750</v>
      </c>
      <c r="G391" s="1">
        <v>12</v>
      </c>
      <c r="H391" s="1" t="s">
        <v>19</v>
      </c>
      <c r="I391" s="1" t="s">
        <v>589</v>
      </c>
      <c r="J391" s="1">
        <v>0.03</v>
      </c>
      <c r="K391" s="1">
        <v>0.36</v>
      </c>
      <c r="L391" s="42">
        <v>4</v>
      </c>
      <c r="M391" s="43">
        <v>46027</v>
      </c>
      <c r="N391" s="1" t="e">
        <f>VLOOKUP(B391,MICRO!E:L,8,0)</f>
        <v>#N/A</v>
      </c>
    </row>
    <row r="392" spans="1:14" ht="20.25" x14ac:dyDescent="0.25">
      <c r="A392" s="1">
        <v>81</v>
      </c>
      <c r="B392" s="1"/>
      <c r="C392" s="1" t="s">
        <v>2742</v>
      </c>
      <c r="D392" s="1"/>
      <c r="E392" s="1"/>
      <c r="F392" s="1" t="s">
        <v>2751</v>
      </c>
      <c r="G392" s="1">
        <v>8</v>
      </c>
      <c r="H392" s="1" t="s">
        <v>19</v>
      </c>
      <c r="I392" s="1" t="s">
        <v>589</v>
      </c>
      <c r="J392" s="1">
        <v>0.03</v>
      </c>
      <c r="K392" s="1">
        <v>0.24</v>
      </c>
      <c r="L392" s="42">
        <v>4</v>
      </c>
      <c r="M392" s="43">
        <v>46027</v>
      </c>
      <c r="N392" s="1" t="e">
        <f>VLOOKUP(B392,MICRO!E:L,8,0)</f>
        <v>#N/A</v>
      </c>
    </row>
    <row r="393" spans="1:14" ht="20.25" x14ac:dyDescent="0.25">
      <c r="A393" s="1">
        <v>82</v>
      </c>
      <c r="B393" s="1"/>
      <c r="C393" s="1" t="s">
        <v>2752</v>
      </c>
      <c r="D393" s="1"/>
      <c r="E393" s="1"/>
      <c r="F393" s="1" t="s">
        <v>2753</v>
      </c>
      <c r="G393" s="1">
        <v>25</v>
      </c>
      <c r="H393" s="1" t="s">
        <v>19</v>
      </c>
      <c r="I393" s="1" t="s">
        <v>2754</v>
      </c>
      <c r="J393" s="1">
        <v>0.02</v>
      </c>
      <c r="K393" s="1">
        <v>0.5</v>
      </c>
      <c r="L393" s="42">
        <v>4</v>
      </c>
      <c r="M393" s="43">
        <v>46027</v>
      </c>
      <c r="N393" s="1" t="e">
        <f>VLOOKUP(B393,MICRO!E:L,8,0)</f>
        <v>#N/A</v>
      </c>
    </row>
    <row r="394" spans="1:14" ht="20.25" x14ac:dyDescent="0.25">
      <c r="A394" s="1">
        <v>83</v>
      </c>
      <c r="B394" s="1"/>
      <c r="C394" s="1" t="s">
        <v>2752</v>
      </c>
      <c r="D394" s="1"/>
      <c r="E394" s="1"/>
      <c r="F394" s="1" t="s">
        <v>2755</v>
      </c>
      <c r="G394" s="1">
        <v>50</v>
      </c>
      <c r="H394" s="1" t="s">
        <v>19</v>
      </c>
      <c r="I394" s="1" t="s">
        <v>2754</v>
      </c>
      <c r="J394" s="1">
        <v>0.02</v>
      </c>
      <c r="K394" s="1">
        <v>1</v>
      </c>
      <c r="L394" s="42">
        <v>4</v>
      </c>
      <c r="M394" s="43">
        <v>46027</v>
      </c>
      <c r="N394" s="1" t="e">
        <f>VLOOKUP(B394,MICRO!E:L,8,0)</f>
        <v>#N/A</v>
      </c>
    </row>
    <row r="395" spans="1:14" ht="20.25" x14ac:dyDescent="0.25">
      <c r="A395" s="1">
        <v>84</v>
      </c>
      <c r="B395" s="1"/>
      <c r="C395" s="1" t="s">
        <v>2752</v>
      </c>
      <c r="D395" s="1"/>
      <c r="E395" s="1"/>
      <c r="F395" s="1" t="s">
        <v>2756</v>
      </c>
      <c r="G395" s="1">
        <v>10</v>
      </c>
      <c r="H395" s="1" t="s">
        <v>19</v>
      </c>
      <c r="I395" s="1" t="s">
        <v>2754</v>
      </c>
      <c r="J395" s="1">
        <v>0.02</v>
      </c>
      <c r="K395" s="1">
        <v>0.2</v>
      </c>
      <c r="L395" s="42">
        <v>4</v>
      </c>
      <c r="M395" s="43">
        <v>46027</v>
      </c>
      <c r="N395" s="1" t="e">
        <f>VLOOKUP(B395,MICRO!E:L,8,0)</f>
        <v>#N/A</v>
      </c>
    </row>
    <row r="396" spans="1:14" ht="20.25" x14ac:dyDescent="0.25">
      <c r="A396" s="1">
        <v>85</v>
      </c>
      <c r="B396" s="1"/>
      <c r="C396" s="1" t="s">
        <v>2752</v>
      </c>
      <c r="D396" s="1"/>
      <c r="E396" s="1"/>
      <c r="F396" s="1" t="s">
        <v>2757</v>
      </c>
      <c r="G396" s="1">
        <v>20</v>
      </c>
      <c r="H396" s="1" t="s">
        <v>19</v>
      </c>
      <c r="I396" s="1" t="s">
        <v>2754</v>
      </c>
      <c r="J396" s="1">
        <v>0.05</v>
      </c>
      <c r="K396" s="1">
        <v>1</v>
      </c>
      <c r="L396" s="42">
        <v>4</v>
      </c>
      <c r="M396" s="43">
        <v>46027</v>
      </c>
      <c r="N396" s="1" t="e">
        <f>VLOOKUP(B396,MICRO!E:L,8,0)</f>
        <v>#N/A</v>
      </c>
    </row>
    <row r="397" spans="1:14" ht="20.25" x14ac:dyDescent="0.25">
      <c r="A397" s="1">
        <v>86</v>
      </c>
      <c r="B397" s="1"/>
      <c r="C397" s="1" t="s">
        <v>2752</v>
      </c>
      <c r="D397" s="1"/>
      <c r="E397" s="1"/>
      <c r="F397" s="1" t="s">
        <v>2758</v>
      </c>
      <c r="G397" s="1">
        <v>25</v>
      </c>
      <c r="H397" s="1" t="s">
        <v>19</v>
      </c>
      <c r="I397" s="1" t="s">
        <v>2754</v>
      </c>
      <c r="J397" s="1">
        <v>0.05</v>
      </c>
      <c r="K397" s="1">
        <v>1.25</v>
      </c>
      <c r="L397" s="42">
        <v>4</v>
      </c>
      <c r="M397" s="43">
        <v>46027</v>
      </c>
      <c r="N397" s="1" t="e">
        <f>VLOOKUP(B397,MICRO!E:L,8,0)</f>
        <v>#N/A</v>
      </c>
    </row>
    <row r="398" spans="1:14" ht="20.25" x14ac:dyDescent="0.25">
      <c r="A398" s="1">
        <v>87</v>
      </c>
      <c r="B398" s="1"/>
      <c r="C398" s="1" t="s">
        <v>2759</v>
      </c>
      <c r="D398" s="1"/>
      <c r="E398" s="1"/>
      <c r="F398" s="1" t="s">
        <v>2760</v>
      </c>
      <c r="G398" s="1">
        <v>10</v>
      </c>
      <c r="H398" s="1" t="s">
        <v>19</v>
      </c>
      <c r="I398" s="1" t="s">
        <v>2761</v>
      </c>
      <c r="J398" s="1">
        <v>0.05</v>
      </c>
      <c r="K398" s="1">
        <v>0.5</v>
      </c>
      <c r="L398" s="42">
        <v>4</v>
      </c>
      <c r="M398" s="43">
        <v>46027</v>
      </c>
      <c r="N398" s="1" t="e">
        <f>VLOOKUP(B398,MICRO!E:L,8,0)</f>
        <v>#N/A</v>
      </c>
    </row>
    <row r="399" spans="1:14" ht="20.25" x14ac:dyDescent="0.25">
      <c r="A399" s="1">
        <v>95</v>
      </c>
      <c r="B399" s="1"/>
      <c r="C399" s="1" t="s">
        <v>147</v>
      </c>
      <c r="D399" s="1"/>
      <c r="E399" s="1"/>
      <c r="F399" s="1" t="s">
        <v>2770</v>
      </c>
      <c r="G399" s="1">
        <v>30</v>
      </c>
      <c r="H399" s="1" t="s">
        <v>19</v>
      </c>
      <c r="I399" s="1" t="s">
        <v>629</v>
      </c>
      <c r="J399" s="1">
        <v>0.02</v>
      </c>
      <c r="K399" s="1">
        <v>0.6</v>
      </c>
      <c r="L399" s="42">
        <v>4</v>
      </c>
      <c r="M399" s="43">
        <v>46027</v>
      </c>
      <c r="N399" s="1" t="e">
        <f>VLOOKUP(B399,MICRO!E:L,8,0)</f>
        <v>#N/A</v>
      </c>
    </row>
    <row r="400" spans="1:14" ht="20.25" x14ac:dyDescent="0.25">
      <c r="A400" s="1">
        <v>96</v>
      </c>
      <c r="B400" s="1"/>
      <c r="C400" s="1" t="s">
        <v>132</v>
      </c>
      <c r="D400" s="1"/>
      <c r="E400" s="1"/>
      <c r="F400" s="1" t="s">
        <v>2771</v>
      </c>
      <c r="G400" s="1">
        <v>80</v>
      </c>
      <c r="H400" s="1" t="s">
        <v>19</v>
      </c>
      <c r="I400" s="1" t="s">
        <v>634</v>
      </c>
      <c r="J400" s="1">
        <v>0.05</v>
      </c>
      <c r="K400" s="1">
        <v>4</v>
      </c>
      <c r="L400" s="42">
        <v>5</v>
      </c>
      <c r="M400" s="43">
        <v>46055</v>
      </c>
      <c r="N400" s="1" t="e">
        <f>VLOOKUP(B400,MICRO!E:L,8,0)</f>
        <v>#N/A</v>
      </c>
    </row>
    <row r="401" spans="1:14" ht="20.25" x14ac:dyDescent="0.25">
      <c r="A401" s="1">
        <v>97</v>
      </c>
      <c r="B401" s="1"/>
      <c r="C401" s="1" t="s">
        <v>147</v>
      </c>
      <c r="D401" s="1"/>
      <c r="E401" s="1"/>
      <c r="F401" s="1" t="s">
        <v>2772</v>
      </c>
      <c r="G401" s="1">
        <v>30</v>
      </c>
      <c r="H401" s="1" t="s">
        <v>19</v>
      </c>
      <c r="I401" s="1" t="s">
        <v>629</v>
      </c>
      <c r="J401" s="1">
        <v>0.05</v>
      </c>
      <c r="K401" s="1">
        <v>1.5</v>
      </c>
      <c r="L401" s="42">
        <v>5</v>
      </c>
      <c r="M401" s="43">
        <v>46055</v>
      </c>
      <c r="N401" s="1" t="e">
        <f>VLOOKUP(B401,MICRO!E:L,8,0)</f>
        <v>#N/A</v>
      </c>
    </row>
    <row r="402" spans="1:14" ht="20.25" x14ac:dyDescent="0.25">
      <c r="A402" s="1">
        <v>98</v>
      </c>
      <c r="B402" s="1"/>
      <c r="C402" s="1" t="s">
        <v>2773</v>
      </c>
      <c r="D402" s="1"/>
      <c r="E402" s="1"/>
      <c r="F402" s="1" t="s">
        <v>2774</v>
      </c>
      <c r="G402" s="1">
        <v>15</v>
      </c>
      <c r="H402" s="1" t="s">
        <v>19</v>
      </c>
      <c r="I402" s="1" t="s">
        <v>2775</v>
      </c>
      <c r="J402" s="1">
        <v>0.05</v>
      </c>
      <c r="K402" s="1">
        <v>0.75</v>
      </c>
      <c r="L402" s="42">
        <v>5</v>
      </c>
      <c r="M402" s="43">
        <v>46055</v>
      </c>
      <c r="N402" s="1" t="e">
        <f>VLOOKUP(B402,MICRO!E:L,8,0)</f>
        <v>#N/A</v>
      </c>
    </row>
    <row r="403" spans="1:14" ht="20.25" x14ac:dyDescent="0.25">
      <c r="A403" s="1">
        <v>99</v>
      </c>
      <c r="B403" s="1"/>
      <c r="C403" s="1" t="s">
        <v>727</v>
      </c>
      <c r="D403" s="1"/>
      <c r="E403" s="1"/>
      <c r="F403" s="1" t="s">
        <v>2776</v>
      </c>
      <c r="G403" s="1">
        <v>30</v>
      </c>
      <c r="H403" s="1" t="s">
        <v>19</v>
      </c>
      <c r="I403" s="1" t="s">
        <v>634</v>
      </c>
      <c r="J403" s="1">
        <v>0.05</v>
      </c>
      <c r="K403" s="1">
        <v>1.5</v>
      </c>
      <c r="L403" s="42">
        <v>5</v>
      </c>
      <c r="M403" s="43">
        <v>46055</v>
      </c>
      <c r="N403" s="1" t="e">
        <f>VLOOKUP(B403,MICRO!E:L,8,0)</f>
        <v>#N/A</v>
      </c>
    </row>
    <row r="404" spans="1:14" ht="20.25" x14ac:dyDescent="0.25">
      <c r="A404" s="1">
        <v>100</v>
      </c>
      <c r="B404" s="1"/>
      <c r="C404" s="1" t="s">
        <v>147</v>
      </c>
      <c r="D404" s="1"/>
      <c r="E404" s="1"/>
      <c r="F404" s="1" t="s">
        <v>2777</v>
      </c>
      <c r="G404" s="1">
        <v>30</v>
      </c>
      <c r="H404" s="1" t="s">
        <v>19</v>
      </c>
      <c r="I404" s="1" t="s">
        <v>629</v>
      </c>
      <c r="J404" s="1">
        <v>0.03</v>
      </c>
      <c r="K404" s="1">
        <v>0.89999999999999991</v>
      </c>
      <c r="L404" s="42">
        <v>5</v>
      </c>
      <c r="M404" s="43">
        <v>46055</v>
      </c>
      <c r="N404" s="1" t="e">
        <f>VLOOKUP(B404,MICRO!E:L,8,0)</f>
        <v>#N/A</v>
      </c>
    </row>
    <row r="405" spans="1:14" ht="20.25" x14ac:dyDescent="0.25">
      <c r="A405" s="1">
        <v>101</v>
      </c>
      <c r="B405" s="1"/>
      <c r="C405" s="1" t="s">
        <v>132</v>
      </c>
      <c r="D405" s="1"/>
      <c r="E405" s="1"/>
      <c r="F405" s="1" t="s">
        <v>2778</v>
      </c>
      <c r="G405" s="1">
        <v>80</v>
      </c>
      <c r="H405" s="1" t="s">
        <v>19</v>
      </c>
      <c r="I405" s="1" t="s">
        <v>634</v>
      </c>
      <c r="J405" s="1">
        <v>0.03</v>
      </c>
      <c r="K405" s="1">
        <v>2.4</v>
      </c>
      <c r="L405" s="42">
        <v>5</v>
      </c>
      <c r="M405" s="43">
        <v>46055</v>
      </c>
      <c r="N405" s="1" t="e">
        <f>VLOOKUP(B405,MICRO!E:L,8,0)</f>
        <v>#N/A</v>
      </c>
    </row>
    <row r="406" spans="1:14" ht="20.25" x14ac:dyDescent="0.25">
      <c r="A406" s="1">
        <v>102</v>
      </c>
      <c r="B406" s="1"/>
      <c r="C406" s="1" t="s">
        <v>2779</v>
      </c>
      <c r="D406" s="1"/>
      <c r="E406" s="1"/>
      <c r="F406" s="1" t="s">
        <v>2780</v>
      </c>
      <c r="G406" s="1">
        <v>2</v>
      </c>
      <c r="H406" s="1" t="s">
        <v>19</v>
      </c>
      <c r="I406" s="1" t="s">
        <v>2781</v>
      </c>
      <c r="J406" s="1">
        <v>0.02</v>
      </c>
      <c r="K406" s="1">
        <v>0.04</v>
      </c>
      <c r="L406" s="42">
        <v>5</v>
      </c>
      <c r="M406" s="43">
        <v>46055</v>
      </c>
      <c r="N406" s="1" t="e">
        <f>VLOOKUP(B406,MICRO!E:L,8,0)</f>
        <v>#N/A</v>
      </c>
    </row>
    <row r="407" spans="1:14" ht="20.25" x14ac:dyDescent="0.25">
      <c r="A407" s="1">
        <v>103</v>
      </c>
      <c r="B407" s="1"/>
      <c r="C407" s="1" t="s">
        <v>2782</v>
      </c>
      <c r="D407" s="1"/>
      <c r="E407" s="1"/>
      <c r="F407" s="1" t="s">
        <v>2783</v>
      </c>
      <c r="G407" s="1">
        <v>6</v>
      </c>
      <c r="H407" s="1" t="s">
        <v>19</v>
      </c>
      <c r="I407" s="1" t="s">
        <v>2784</v>
      </c>
      <c r="J407" s="1">
        <v>0.02</v>
      </c>
      <c r="K407" s="1">
        <v>0.12</v>
      </c>
      <c r="L407" s="42">
        <v>5</v>
      </c>
      <c r="M407" s="43">
        <v>46055</v>
      </c>
      <c r="N407" s="1" t="e">
        <f>VLOOKUP(B407,MICRO!E:L,8,0)</f>
        <v>#N/A</v>
      </c>
    </row>
    <row r="408" spans="1:14" ht="20.25" x14ac:dyDescent="0.25">
      <c r="A408" s="1">
        <v>104</v>
      </c>
      <c r="B408" s="1"/>
      <c r="C408" s="1" t="s">
        <v>1998</v>
      </c>
      <c r="D408" s="1"/>
      <c r="E408" s="1"/>
      <c r="F408" s="1" t="s">
        <v>2785</v>
      </c>
      <c r="G408" s="1">
        <v>14</v>
      </c>
      <c r="H408" s="1" t="s">
        <v>19</v>
      </c>
      <c r="I408" s="1" t="s">
        <v>629</v>
      </c>
      <c r="J408" s="1">
        <v>0.02</v>
      </c>
      <c r="K408" s="1">
        <v>0.28000000000000003</v>
      </c>
      <c r="L408" s="42">
        <v>5</v>
      </c>
      <c r="M408" s="43">
        <v>46055</v>
      </c>
      <c r="N408" s="1" t="e">
        <f>VLOOKUP(B408,MICRO!E:L,8,0)</f>
        <v>#N/A</v>
      </c>
    </row>
    <row r="409" spans="1:14" ht="20.25" x14ac:dyDescent="0.25">
      <c r="A409" s="1">
        <v>105</v>
      </c>
      <c r="B409" s="1"/>
      <c r="C409" s="1" t="s">
        <v>1998</v>
      </c>
      <c r="D409" s="1"/>
      <c r="E409" s="1"/>
      <c r="F409" s="1" t="s">
        <v>2785</v>
      </c>
      <c r="G409" s="1">
        <v>12</v>
      </c>
      <c r="H409" s="1" t="s">
        <v>19</v>
      </c>
      <c r="I409" s="1" t="s">
        <v>629</v>
      </c>
      <c r="J409" s="1">
        <v>0.02</v>
      </c>
      <c r="K409" s="1">
        <v>0.24</v>
      </c>
      <c r="L409" s="42">
        <v>5</v>
      </c>
      <c r="M409" s="43">
        <v>46055</v>
      </c>
      <c r="N409" s="1" t="e">
        <f>VLOOKUP(B409,MICRO!E:L,8,0)</f>
        <v>#N/A</v>
      </c>
    </row>
    <row r="410" spans="1:14" ht="20.25" x14ac:dyDescent="0.25">
      <c r="A410" s="1">
        <v>106</v>
      </c>
      <c r="B410" s="1"/>
      <c r="C410" s="1" t="s">
        <v>1998</v>
      </c>
      <c r="D410" s="1"/>
      <c r="E410" s="1"/>
      <c r="F410" s="1" t="s">
        <v>2785</v>
      </c>
      <c r="G410" s="1">
        <v>12</v>
      </c>
      <c r="H410" s="1" t="s">
        <v>19</v>
      </c>
      <c r="I410" s="1" t="s">
        <v>629</v>
      </c>
      <c r="J410" s="1">
        <v>0.02</v>
      </c>
      <c r="K410" s="1">
        <v>0.24</v>
      </c>
      <c r="L410" s="42">
        <v>5</v>
      </c>
      <c r="M410" s="43">
        <v>46055</v>
      </c>
      <c r="N410" s="1" t="e">
        <f>VLOOKUP(B410,MICRO!E:L,8,0)</f>
        <v>#N/A</v>
      </c>
    </row>
    <row r="411" spans="1:14" ht="20.25" x14ac:dyDescent="0.25">
      <c r="A411" s="1">
        <v>107</v>
      </c>
      <c r="B411" s="1"/>
      <c r="C411" s="1" t="s">
        <v>1998</v>
      </c>
      <c r="D411" s="1"/>
      <c r="E411" s="1"/>
      <c r="F411" s="1" t="s">
        <v>2786</v>
      </c>
      <c r="G411" s="1">
        <v>18</v>
      </c>
      <c r="H411" s="1" t="s">
        <v>19</v>
      </c>
      <c r="I411" s="1" t="s">
        <v>629</v>
      </c>
      <c r="J411" s="1">
        <v>0.02</v>
      </c>
      <c r="K411" s="1">
        <v>0.36</v>
      </c>
      <c r="L411" s="42">
        <v>5</v>
      </c>
      <c r="M411" s="43">
        <v>46055</v>
      </c>
      <c r="N411" s="1" t="e">
        <f>VLOOKUP(B411,MICRO!E:L,8,0)</f>
        <v>#N/A</v>
      </c>
    </row>
    <row r="412" spans="1:14" ht="20.25" x14ac:dyDescent="0.25">
      <c r="A412" s="1">
        <v>108</v>
      </c>
      <c r="B412" s="1"/>
      <c r="C412" s="1" t="s">
        <v>2782</v>
      </c>
      <c r="D412" s="1"/>
      <c r="E412" s="1"/>
      <c r="F412" s="1" t="s">
        <v>2787</v>
      </c>
      <c r="G412" s="1">
        <v>9</v>
      </c>
      <c r="H412" s="1" t="s">
        <v>19</v>
      </c>
      <c r="I412" s="1" t="s">
        <v>629</v>
      </c>
      <c r="J412" s="1">
        <v>0.02</v>
      </c>
      <c r="K412" s="1">
        <v>0.18</v>
      </c>
      <c r="L412" s="42">
        <v>5</v>
      </c>
      <c r="M412" s="43">
        <v>46055</v>
      </c>
      <c r="N412" s="1" t="e">
        <f>VLOOKUP(B412,MICRO!E:L,8,0)</f>
        <v>#N/A</v>
      </c>
    </row>
    <row r="413" spans="1:14" ht="20.25" x14ac:dyDescent="0.25">
      <c r="A413" s="1">
        <v>109</v>
      </c>
      <c r="B413" s="1"/>
      <c r="C413" s="1" t="s">
        <v>1998</v>
      </c>
      <c r="D413" s="1"/>
      <c r="E413" s="1"/>
      <c r="F413" s="1" t="s">
        <v>2788</v>
      </c>
      <c r="G413" s="1">
        <v>14</v>
      </c>
      <c r="H413" s="1" t="s">
        <v>19</v>
      </c>
      <c r="I413" s="1" t="s">
        <v>629</v>
      </c>
      <c r="J413" s="1">
        <v>0.02</v>
      </c>
      <c r="K413" s="1">
        <v>0.28000000000000003</v>
      </c>
      <c r="L413" s="42">
        <v>5</v>
      </c>
      <c r="M413" s="43">
        <v>46055</v>
      </c>
      <c r="N413" s="1" t="e">
        <f>VLOOKUP(B413,MICRO!E:L,8,0)</f>
        <v>#N/A</v>
      </c>
    </row>
    <row r="414" spans="1:14" ht="20.25" x14ac:dyDescent="0.25">
      <c r="A414" s="1">
        <v>110</v>
      </c>
      <c r="B414" s="1"/>
      <c r="C414" s="1" t="s">
        <v>2789</v>
      </c>
      <c r="D414" s="1"/>
      <c r="E414" s="1"/>
      <c r="F414" s="1" t="s">
        <v>2790</v>
      </c>
      <c r="G414" s="1">
        <v>4</v>
      </c>
      <c r="H414" s="1" t="s">
        <v>19</v>
      </c>
      <c r="I414" s="1" t="s">
        <v>629</v>
      </c>
      <c r="J414" s="1">
        <v>0.02</v>
      </c>
      <c r="K414" s="1">
        <v>0.08</v>
      </c>
      <c r="L414" s="42">
        <v>5</v>
      </c>
      <c r="M414" s="43">
        <v>46055</v>
      </c>
      <c r="N414" s="1" t="e">
        <f>VLOOKUP(B414,MICRO!E:L,8,0)</f>
        <v>#N/A</v>
      </c>
    </row>
    <row r="415" spans="1:14" ht="20.25" x14ac:dyDescent="0.25">
      <c r="A415" s="1">
        <v>111</v>
      </c>
      <c r="B415" s="1"/>
      <c r="C415" s="1" t="s">
        <v>2791</v>
      </c>
      <c r="D415" s="1"/>
      <c r="E415" s="1"/>
      <c r="F415" s="1" t="s">
        <v>2792</v>
      </c>
      <c r="G415" s="1">
        <v>80</v>
      </c>
      <c r="H415" s="1" t="s">
        <v>19</v>
      </c>
      <c r="I415" s="1" t="s">
        <v>629</v>
      </c>
      <c r="J415" s="1">
        <v>0.02</v>
      </c>
      <c r="K415" s="1">
        <v>1.6</v>
      </c>
      <c r="L415" s="42">
        <v>5</v>
      </c>
      <c r="M415" s="43">
        <v>46055</v>
      </c>
      <c r="N415" s="1" t="e">
        <f>VLOOKUP(B415,MICRO!E:L,8,0)</f>
        <v>#N/A</v>
      </c>
    </row>
    <row r="416" spans="1:14" ht="20.25" x14ac:dyDescent="0.25">
      <c r="A416" s="1">
        <v>112</v>
      </c>
      <c r="B416" s="1"/>
      <c r="C416" s="1" t="s">
        <v>2793</v>
      </c>
      <c r="D416" s="1"/>
      <c r="E416" s="1"/>
      <c r="F416" s="1" t="s">
        <v>2794</v>
      </c>
      <c r="G416" s="1">
        <v>8</v>
      </c>
      <c r="H416" s="1" t="s">
        <v>19</v>
      </c>
      <c r="I416" s="1" t="s">
        <v>629</v>
      </c>
      <c r="J416" s="1">
        <v>0.02</v>
      </c>
      <c r="K416" s="1">
        <v>0.16</v>
      </c>
      <c r="L416" s="42">
        <v>5</v>
      </c>
      <c r="M416" s="43">
        <v>46055</v>
      </c>
      <c r="N416" s="1" t="e">
        <f>VLOOKUP(B416,MICRO!E:L,8,0)</f>
        <v>#N/A</v>
      </c>
    </row>
    <row r="417" spans="1:14" ht="20.25" x14ac:dyDescent="0.25">
      <c r="A417" s="1">
        <v>113</v>
      </c>
      <c r="B417" s="1"/>
      <c r="C417" s="1" t="s">
        <v>2795</v>
      </c>
      <c r="D417" s="1"/>
      <c r="E417" s="1"/>
      <c r="F417" s="1" t="s">
        <v>2796</v>
      </c>
      <c r="G417" s="1">
        <v>4</v>
      </c>
      <c r="H417" s="1" t="s">
        <v>19</v>
      </c>
      <c r="I417" s="1" t="s">
        <v>2797</v>
      </c>
      <c r="J417" s="1">
        <v>0.02</v>
      </c>
      <c r="K417" s="1">
        <v>0.08</v>
      </c>
      <c r="L417" s="42">
        <v>5</v>
      </c>
      <c r="M417" s="43">
        <v>46055</v>
      </c>
      <c r="N417" s="1" t="e">
        <f>VLOOKUP(B417,MICRO!E:L,8,0)</f>
        <v>#N/A</v>
      </c>
    </row>
    <row r="418" spans="1:14" ht="20.25" x14ac:dyDescent="0.25">
      <c r="A418" s="1">
        <v>114</v>
      </c>
      <c r="B418" s="1"/>
      <c r="C418" s="1" t="s">
        <v>2798</v>
      </c>
      <c r="D418" s="1"/>
      <c r="E418" s="1"/>
      <c r="F418" s="1" t="s">
        <v>2799</v>
      </c>
      <c r="G418" s="1">
        <v>21</v>
      </c>
      <c r="H418" s="1" t="s">
        <v>19</v>
      </c>
      <c r="I418" s="1" t="s">
        <v>629</v>
      </c>
      <c r="J418" s="1">
        <v>0.02</v>
      </c>
      <c r="K418" s="1">
        <v>0.42</v>
      </c>
      <c r="L418" s="42">
        <v>5</v>
      </c>
      <c r="M418" s="43">
        <v>46055</v>
      </c>
      <c r="N418" s="1" t="e">
        <f>VLOOKUP(B418,MICRO!E:L,8,0)</f>
        <v>#N/A</v>
      </c>
    </row>
    <row r="419" spans="1:14" ht="20.25" x14ac:dyDescent="0.25">
      <c r="A419" s="1">
        <v>115</v>
      </c>
      <c r="B419" s="1"/>
      <c r="C419" s="1" t="s">
        <v>2779</v>
      </c>
      <c r="D419" s="1"/>
      <c r="E419" s="1"/>
      <c r="F419" s="1" t="s">
        <v>2800</v>
      </c>
      <c r="G419" s="1">
        <v>2</v>
      </c>
      <c r="H419" s="1" t="s">
        <v>19</v>
      </c>
      <c r="I419" s="1" t="s">
        <v>629</v>
      </c>
      <c r="J419" s="1">
        <v>0.01</v>
      </c>
      <c r="K419" s="1">
        <v>0.02</v>
      </c>
      <c r="L419" s="42">
        <v>5</v>
      </c>
      <c r="M419" s="43">
        <v>46055</v>
      </c>
      <c r="N419" s="1" t="e">
        <f>VLOOKUP(B419,MICRO!E:L,8,0)</f>
        <v>#N/A</v>
      </c>
    </row>
    <row r="420" spans="1:14" ht="20.25" x14ac:dyDescent="0.25">
      <c r="A420" s="1">
        <v>116</v>
      </c>
      <c r="B420" s="1"/>
      <c r="C420" s="1" t="s">
        <v>1281</v>
      </c>
      <c r="D420" s="1"/>
      <c r="E420" s="1"/>
      <c r="F420" s="1" t="s">
        <v>2801</v>
      </c>
      <c r="G420" s="1">
        <v>96</v>
      </c>
      <c r="H420" s="1" t="s">
        <v>19</v>
      </c>
      <c r="I420" s="1" t="s">
        <v>2802</v>
      </c>
      <c r="J420" s="1">
        <v>0.05</v>
      </c>
      <c r="K420" s="1">
        <v>4.8000000000000007</v>
      </c>
      <c r="L420" s="42">
        <v>5</v>
      </c>
      <c r="M420" s="43">
        <v>46055</v>
      </c>
      <c r="N420" s="1" t="e">
        <f>VLOOKUP(B420,MICRO!E:L,8,0)</f>
        <v>#N/A</v>
      </c>
    </row>
    <row r="421" spans="1:14" ht="20.25" x14ac:dyDescent="0.25">
      <c r="A421" s="1">
        <v>117</v>
      </c>
      <c r="B421" s="1"/>
      <c r="C421" s="1" t="s">
        <v>1998</v>
      </c>
      <c r="D421" s="1"/>
      <c r="E421" s="1"/>
      <c r="F421" s="1" t="s">
        <v>2803</v>
      </c>
      <c r="G421" s="1">
        <v>14</v>
      </c>
      <c r="H421" s="1" t="s">
        <v>19</v>
      </c>
      <c r="I421" s="1" t="s">
        <v>629</v>
      </c>
      <c r="J421" s="1">
        <v>0.05</v>
      </c>
      <c r="K421" s="1">
        <v>0.70000000000000007</v>
      </c>
      <c r="L421" s="42">
        <v>5</v>
      </c>
      <c r="M421" s="43">
        <v>46055</v>
      </c>
      <c r="N421" s="1" t="e">
        <f>VLOOKUP(B421,MICRO!E:L,8,0)</f>
        <v>#N/A</v>
      </c>
    </row>
    <row r="422" spans="1:14" ht="20.25" x14ac:dyDescent="0.25">
      <c r="A422" s="1">
        <v>118</v>
      </c>
      <c r="B422" s="1"/>
      <c r="C422" s="1" t="s">
        <v>2782</v>
      </c>
      <c r="D422" s="1"/>
      <c r="E422" s="1"/>
      <c r="F422" s="1" t="s">
        <v>2804</v>
      </c>
      <c r="G422" s="1">
        <v>10</v>
      </c>
      <c r="H422" s="1" t="s">
        <v>19</v>
      </c>
      <c r="I422" s="1" t="s">
        <v>629</v>
      </c>
      <c r="J422" s="1">
        <v>0.05</v>
      </c>
      <c r="K422" s="1">
        <v>0.5</v>
      </c>
      <c r="L422" s="42">
        <v>5</v>
      </c>
      <c r="M422" s="43">
        <v>46055</v>
      </c>
      <c r="N422" s="1" t="e">
        <f>VLOOKUP(B422,MICRO!E:L,8,0)</f>
        <v>#N/A</v>
      </c>
    </row>
    <row r="423" spans="1:14" ht="20.25" x14ac:dyDescent="0.25">
      <c r="A423" s="1">
        <v>119</v>
      </c>
      <c r="B423" s="1"/>
      <c r="C423" s="1" t="s">
        <v>1998</v>
      </c>
      <c r="D423" s="1"/>
      <c r="E423" s="1"/>
      <c r="F423" s="1" t="s">
        <v>2805</v>
      </c>
      <c r="G423" s="1">
        <v>12</v>
      </c>
      <c r="H423" s="1" t="s">
        <v>19</v>
      </c>
      <c r="I423" s="1" t="s">
        <v>629</v>
      </c>
      <c r="J423" s="1">
        <v>0.05</v>
      </c>
      <c r="K423" s="1">
        <v>0.60000000000000009</v>
      </c>
      <c r="L423" s="42">
        <v>5</v>
      </c>
      <c r="M423" s="43">
        <v>46055</v>
      </c>
      <c r="N423" s="1" t="e">
        <f>VLOOKUP(B423,MICRO!E:L,8,0)</f>
        <v>#N/A</v>
      </c>
    </row>
    <row r="424" spans="1:14" ht="20.25" x14ac:dyDescent="0.25">
      <c r="A424" s="1">
        <v>120</v>
      </c>
      <c r="B424" s="1"/>
      <c r="C424" s="1" t="s">
        <v>1998</v>
      </c>
      <c r="D424" s="1"/>
      <c r="E424" s="1"/>
      <c r="F424" s="1" t="s">
        <v>2806</v>
      </c>
      <c r="G424" s="1">
        <v>18</v>
      </c>
      <c r="H424" s="1" t="s">
        <v>19</v>
      </c>
      <c r="I424" s="1" t="s">
        <v>629</v>
      </c>
      <c r="J424" s="1">
        <v>0.05</v>
      </c>
      <c r="K424" s="1">
        <v>0.9</v>
      </c>
      <c r="L424" s="42">
        <v>5</v>
      </c>
      <c r="M424" s="43">
        <v>46055</v>
      </c>
      <c r="N424" s="1" t="e">
        <f>VLOOKUP(B424,MICRO!E:L,8,0)</f>
        <v>#N/A</v>
      </c>
    </row>
    <row r="425" spans="1:14" ht="20.25" x14ac:dyDescent="0.25">
      <c r="A425" s="1">
        <v>121</v>
      </c>
      <c r="B425" s="1"/>
      <c r="C425" s="1" t="s">
        <v>2798</v>
      </c>
      <c r="D425" s="1"/>
      <c r="E425" s="1"/>
      <c r="F425" s="1" t="s">
        <v>2807</v>
      </c>
      <c r="G425" s="1">
        <v>21</v>
      </c>
      <c r="H425" s="1" t="s">
        <v>19</v>
      </c>
      <c r="I425" s="1" t="s">
        <v>629</v>
      </c>
      <c r="J425" s="1">
        <v>0.05</v>
      </c>
      <c r="K425" s="1">
        <v>1.05</v>
      </c>
      <c r="L425" s="42">
        <v>5</v>
      </c>
      <c r="M425" s="43">
        <v>46055</v>
      </c>
      <c r="N425" s="1" t="e">
        <f>VLOOKUP(B425,MICRO!E:L,8,0)</f>
        <v>#N/A</v>
      </c>
    </row>
    <row r="426" spans="1:14" ht="20.25" x14ac:dyDescent="0.25">
      <c r="A426" s="1">
        <v>122</v>
      </c>
      <c r="B426" s="1"/>
      <c r="C426" s="1" t="s">
        <v>2795</v>
      </c>
      <c r="D426" s="1"/>
      <c r="E426" s="1"/>
      <c r="F426" s="1" t="s">
        <v>2808</v>
      </c>
      <c r="G426" s="1">
        <v>4</v>
      </c>
      <c r="H426" s="1" t="s">
        <v>19</v>
      </c>
      <c r="I426" s="1" t="s">
        <v>2797</v>
      </c>
      <c r="J426" s="1">
        <v>0.05</v>
      </c>
      <c r="K426" s="1">
        <v>0.2</v>
      </c>
      <c r="L426" s="42">
        <v>5</v>
      </c>
      <c r="M426" s="43">
        <v>46055</v>
      </c>
      <c r="N426" s="1" t="e">
        <f>VLOOKUP(B426,MICRO!E:L,8,0)</f>
        <v>#N/A</v>
      </c>
    </row>
    <row r="427" spans="1:14" ht="20.25" x14ac:dyDescent="0.25">
      <c r="A427" s="1">
        <v>123</v>
      </c>
      <c r="B427" s="1"/>
      <c r="C427" s="1" t="s">
        <v>2791</v>
      </c>
      <c r="D427" s="1"/>
      <c r="E427" s="1"/>
      <c r="F427" s="1" t="s">
        <v>2809</v>
      </c>
      <c r="G427" s="1">
        <v>48</v>
      </c>
      <c r="H427" s="1" t="s">
        <v>19</v>
      </c>
      <c r="I427" s="1" t="s">
        <v>629</v>
      </c>
      <c r="J427" s="1">
        <v>0.05</v>
      </c>
      <c r="K427" s="1">
        <v>2.4000000000000004</v>
      </c>
      <c r="L427" s="42">
        <v>5</v>
      </c>
      <c r="M427" s="43">
        <v>46055</v>
      </c>
      <c r="N427" s="1" t="e">
        <f>VLOOKUP(B427,MICRO!E:L,8,0)</f>
        <v>#N/A</v>
      </c>
    </row>
    <row r="428" spans="1:14" ht="20.25" x14ac:dyDescent="0.25">
      <c r="A428" s="1">
        <v>124</v>
      </c>
      <c r="B428" s="1"/>
      <c r="C428" s="1" t="s">
        <v>2782</v>
      </c>
      <c r="D428" s="1"/>
      <c r="E428" s="1"/>
      <c r="F428" s="1" t="s">
        <v>2810</v>
      </c>
      <c r="G428" s="1">
        <v>9</v>
      </c>
      <c r="H428" s="1" t="s">
        <v>19</v>
      </c>
      <c r="I428" s="1" t="s">
        <v>629</v>
      </c>
      <c r="J428" s="1">
        <v>0.05</v>
      </c>
      <c r="K428" s="1">
        <v>0.45</v>
      </c>
      <c r="L428" s="42">
        <v>5</v>
      </c>
      <c r="M428" s="43">
        <v>46055</v>
      </c>
      <c r="N428" s="1" t="e">
        <f>VLOOKUP(B428,MICRO!E:L,8,0)</f>
        <v>#N/A</v>
      </c>
    </row>
    <row r="429" spans="1:14" ht="20.25" x14ac:dyDescent="0.25">
      <c r="A429" s="1">
        <v>125</v>
      </c>
      <c r="B429" s="1"/>
      <c r="C429" s="1" t="s">
        <v>2789</v>
      </c>
      <c r="D429" s="1"/>
      <c r="E429" s="1"/>
      <c r="F429" s="1" t="s">
        <v>2811</v>
      </c>
      <c r="G429" s="1">
        <v>4</v>
      </c>
      <c r="H429" s="1" t="s">
        <v>19</v>
      </c>
      <c r="I429" s="1" t="s">
        <v>629</v>
      </c>
      <c r="J429" s="1">
        <v>0.05</v>
      </c>
      <c r="K429" s="1">
        <v>0.2</v>
      </c>
      <c r="L429" s="42">
        <v>5</v>
      </c>
      <c r="M429" s="43">
        <v>46055</v>
      </c>
      <c r="N429" s="1" t="e">
        <f>VLOOKUP(B429,MICRO!E:L,8,0)</f>
        <v>#N/A</v>
      </c>
    </row>
    <row r="430" spans="1:14" ht="20.25" x14ac:dyDescent="0.25">
      <c r="A430" s="1">
        <v>126</v>
      </c>
      <c r="B430" s="1"/>
      <c r="C430" s="1" t="s">
        <v>2812</v>
      </c>
      <c r="D430" s="1"/>
      <c r="E430" s="1"/>
      <c r="F430" s="1" t="s">
        <v>2813</v>
      </c>
      <c r="G430" s="1">
        <v>2</v>
      </c>
      <c r="H430" s="1" t="s">
        <v>19</v>
      </c>
      <c r="I430" s="1" t="s">
        <v>2814</v>
      </c>
      <c r="J430" s="1">
        <v>0.05</v>
      </c>
      <c r="K430" s="1">
        <v>0.1</v>
      </c>
      <c r="L430" s="42"/>
      <c r="M430" s="43"/>
      <c r="N430" s="1"/>
    </row>
    <row r="431" spans="1:14" ht="20.25" x14ac:dyDescent="0.25">
      <c r="A431" s="1">
        <v>127</v>
      </c>
      <c r="B431" s="1"/>
      <c r="C431" s="1" t="s">
        <v>1276</v>
      </c>
      <c r="D431" s="1"/>
      <c r="E431" s="1"/>
      <c r="F431" s="1" t="s">
        <v>2815</v>
      </c>
      <c r="G431" s="1">
        <v>15</v>
      </c>
      <c r="H431" s="1" t="s">
        <v>19</v>
      </c>
      <c r="I431" s="1" t="s">
        <v>629</v>
      </c>
      <c r="J431" s="1">
        <v>0.05</v>
      </c>
      <c r="K431" s="1">
        <v>0.75</v>
      </c>
      <c r="L431" s="42"/>
      <c r="M431" s="43"/>
      <c r="N431" s="1"/>
    </row>
    <row r="432" spans="1:14" ht="20.25" x14ac:dyDescent="0.25">
      <c r="A432" s="1">
        <v>128</v>
      </c>
      <c r="B432" s="1"/>
      <c r="C432" s="1" t="s">
        <v>2779</v>
      </c>
      <c r="D432" s="1"/>
      <c r="E432" s="1"/>
      <c r="F432" s="1" t="s">
        <v>2816</v>
      </c>
      <c r="G432" s="1">
        <v>4</v>
      </c>
      <c r="H432" s="1" t="s">
        <v>19</v>
      </c>
      <c r="I432" s="1" t="s">
        <v>629</v>
      </c>
      <c r="J432" s="1">
        <v>0.05</v>
      </c>
      <c r="K432" s="1">
        <v>0.2</v>
      </c>
      <c r="L432" s="42"/>
      <c r="M432" s="43"/>
      <c r="N432" s="1"/>
    </row>
    <row r="433" spans="1:14" ht="20.25" x14ac:dyDescent="0.25">
      <c r="A433" s="1">
        <v>129</v>
      </c>
      <c r="B433" s="1"/>
      <c r="C433" s="1" t="s">
        <v>1998</v>
      </c>
      <c r="D433" s="1"/>
      <c r="E433" s="1"/>
      <c r="F433" s="1" t="s">
        <v>2817</v>
      </c>
      <c r="G433" s="1">
        <v>14</v>
      </c>
      <c r="H433" s="1" t="s">
        <v>19</v>
      </c>
      <c r="I433" s="1" t="s">
        <v>629</v>
      </c>
      <c r="J433" s="1">
        <v>0.05</v>
      </c>
      <c r="K433" s="1">
        <v>0.70000000000000007</v>
      </c>
      <c r="L433" s="42"/>
      <c r="M433" s="43"/>
      <c r="N433" s="1"/>
    </row>
    <row r="434" spans="1:14" ht="20.25" x14ac:dyDescent="0.25">
      <c r="A434" s="1">
        <v>130</v>
      </c>
      <c r="B434" s="1"/>
      <c r="C434" s="1" t="s">
        <v>2818</v>
      </c>
      <c r="D434" s="1"/>
      <c r="E434" s="1"/>
      <c r="F434" s="1" t="s">
        <v>2819</v>
      </c>
      <c r="G434" s="1">
        <v>96</v>
      </c>
      <c r="H434" s="1" t="s">
        <v>19</v>
      </c>
      <c r="I434" s="1" t="s">
        <v>2802</v>
      </c>
      <c r="J434" s="1">
        <v>0.03</v>
      </c>
      <c r="K434" s="1">
        <v>2.88</v>
      </c>
      <c r="L434" s="42"/>
      <c r="M434" s="43"/>
      <c r="N434" s="1"/>
    </row>
    <row r="435" spans="1:14" ht="20.25" x14ac:dyDescent="0.25">
      <c r="A435" s="1">
        <v>131</v>
      </c>
      <c r="B435" s="1"/>
      <c r="C435" s="1" t="s">
        <v>1998</v>
      </c>
      <c r="D435" s="1"/>
      <c r="E435" s="1"/>
      <c r="F435" s="1" t="s">
        <v>2820</v>
      </c>
      <c r="G435" s="1">
        <v>14</v>
      </c>
      <c r="H435" s="1" t="s">
        <v>19</v>
      </c>
      <c r="I435" s="1" t="s">
        <v>629</v>
      </c>
      <c r="J435" s="1">
        <v>0.03</v>
      </c>
      <c r="K435" s="1">
        <v>0.42</v>
      </c>
      <c r="L435" s="42">
        <v>5</v>
      </c>
      <c r="M435" s="43">
        <v>46055</v>
      </c>
      <c r="N435" s="1" t="e">
        <f>VLOOKUP(B435,MICRO!E:L,8,0)</f>
        <v>#N/A</v>
      </c>
    </row>
    <row r="436" spans="1:14" ht="20.25" x14ac:dyDescent="0.25">
      <c r="A436" s="1">
        <v>132</v>
      </c>
      <c r="B436" s="1"/>
      <c r="C436" s="1" t="s">
        <v>2782</v>
      </c>
      <c r="D436" s="1"/>
      <c r="E436" s="1"/>
      <c r="F436" s="1" t="s">
        <v>2821</v>
      </c>
      <c r="G436" s="1">
        <v>10</v>
      </c>
      <c r="H436" s="1" t="s">
        <v>19</v>
      </c>
      <c r="I436" s="1" t="s">
        <v>629</v>
      </c>
      <c r="J436" s="1">
        <v>0.03</v>
      </c>
      <c r="K436" s="1">
        <v>0.3</v>
      </c>
      <c r="L436" s="42">
        <v>5</v>
      </c>
      <c r="M436" s="43">
        <v>46055</v>
      </c>
      <c r="N436" s="1" t="e">
        <f>VLOOKUP(B436,MICRO!E:L,8,0)</f>
        <v>#N/A</v>
      </c>
    </row>
    <row r="437" spans="1:14" ht="20.25" x14ac:dyDescent="0.25">
      <c r="A437" s="1">
        <v>133</v>
      </c>
      <c r="B437" s="1"/>
      <c r="C437" s="1" t="s">
        <v>1998</v>
      </c>
      <c r="D437" s="1"/>
      <c r="E437" s="1"/>
      <c r="F437" s="1" t="s">
        <v>2822</v>
      </c>
      <c r="G437" s="1">
        <v>12</v>
      </c>
      <c r="H437" s="1" t="s">
        <v>19</v>
      </c>
      <c r="I437" s="1" t="s">
        <v>629</v>
      </c>
      <c r="J437" s="1">
        <v>0.03</v>
      </c>
      <c r="K437" s="1">
        <v>0.36</v>
      </c>
      <c r="L437" s="42">
        <v>5</v>
      </c>
      <c r="M437" s="43">
        <v>46055</v>
      </c>
      <c r="N437" s="1" t="e">
        <f>VLOOKUP(B437,MICRO!E:L,8,0)</f>
        <v>#N/A</v>
      </c>
    </row>
    <row r="438" spans="1:14" ht="20.25" x14ac:dyDescent="0.25">
      <c r="A438" s="1">
        <v>134</v>
      </c>
      <c r="B438" s="1"/>
      <c r="C438" s="1" t="s">
        <v>1998</v>
      </c>
      <c r="D438" s="1"/>
      <c r="E438" s="1"/>
      <c r="F438" s="1" t="s">
        <v>2823</v>
      </c>
      <c r="G438" s="1">
        <v>18</v>
      </c>
      <c r="H438" s="1" t="s">
        <v>19</v>
      </c>
      <c r="I438" s="1" t="s">
        <v>629</v>
      </c>
      <c r="J438" s="1">
        <v>0.03</v>
      </c>
      <c r="K438" s="1">
        <v>0.54</v>
      </c>
      <c r="L438" s="42">
        <v>5</v>
      </c>
      <c r="M438" s="43">
        <v>46055</v>
      </c>
      <c r="N438" s="1" t="e">
        <f>VLOOKUP(B438,MICRO!E:L,8,0)</f>
        <v>#N/A</v>
      </c>
    </row>
    <row r="439" spans="1:14" ht="20.25" x14ac:dyDescent="0.25">
      <c r="A439" s="1">
        <v>135</v>
      </c>
      <c r="B439" s="1"/>
      <c r="C439" s="1" t="s">
        <v>2779</v>
      </c>
      <c r="D439" s="1"/>
      <c r="E439" s="1"/>
      <c r="F439" s="1" t="s">
        <v>2824</v>
      </c>
      <c r="G439" s="1">
        <v>8</v>
      </c>
      <c r="H439" s="1" t="s">
        <v>19</v>
      </c>
      <c r="I439" s="1" t="s">
        <v>629</v>
      </c>
      <c r="J439" s="1">
        <v>0.03</v>
      </c>
      <c r="K439" s="1">
        <v>0.24</v>
      </c>
      <c r="L439" s="42">
        <v>5</v>
      </c>
      <c r="M439" s="43">
        <v>46055</v>
      </c>
      <c r="N439" s="1" t="e">
        <f>VLOOKUP(B439,MICRO!E:L,8,0)</f>
        <v>#N/A</v>
      </c>
    </row>
    <row r="440" spans="1:14" ht="20.25" x14ac:dyDescent="0.25">
      <c r="A440" s="1">
        <v>136</v>
      </c>
      <c r="B440" s="1"/>
      <c r="C440" s="1" t="s">
        <v>2782</v>
      </c>
      <c r="D440" s="1"/>
      <c r="E440" s="1"/>
      <c r="F440" s="1" t="s">
        <v>2825</v>
      </c>
      <c r="G440" s="1">
        <v>21</v>
      </c>
      <c r="H440" s="1" t="s">
        <v>19</v>
      </c>
      <c r="I440" s="1" t="s">
        <v>629</v>
      </c>
      <c r="J440" s="1">
        <v>0.03</v>
      </c>
      <c r="K440" s="1">
        <v>0.63</v>
      </c>
      <c r="L440" s="42">
        <v>5</v>
      </c>
      <c r="M440" s="43">
        <v>46055</v>
      </c>
      <c r="N440" s="1" t="e">
        <f>VLOOKUP(B440,MICRO!E:L,8,0)</f>
        <v>#N/A</v>
      </c>
    </row>
    <row r="441" spans="1:14" ht="20.25" x14ac:dyDescent="0.25">
      <c r="A441" s="1">
        <v>137</v>
      </c>
      <c r="B441" s="1"/>
      <c r="C441" s="1" t="s">
        <v>933</v>
      </c>
      <c r="D441" s="1"/>
      <c r="E441" s="1"/>
      <c r="F441" s="1" t="s">
        <v>2826</v>
      </c>
      <c r="G441" s="1">
        <v>4</v>
      </c>
      <c r="H441" s="1" t="s">
        <v>19</v>
      </c>
      <c r="I441" s="1" t="s">
        <v>629</v>
      </c>
      <c r="J441" s="1">
        <v>0.03</v>
      </c>
      <c r="K441" s="1">
        <v>0.12</v>
      </c>
      <c r="L441" s="42">
        <v>5</v>
      </c>
      <c r="M441" s="43">
        <v>46055</v>
      </c>
      <c r="N441" s="1" t="e">
        <f>VLOOKUP(B441,MICRO!E:L,8,0)</f>
        <v>#N/A</v>
      </c>
    </row>
    <row r="442" spans="1:14" ht="20.25" x14ac:dyDescent="0.25">
      <c r="A442" s="1">
        <v>138</v>
      </c>
      <c r="B442" s="1"/>
      <c r="C442" s="1" t="s">
        <v>2827</v>
      </c>
      <c r="D442" s="1"/>
      <c r="E442" s="1"/>
      <c r="F442" s="1" t="s">
        <v>2828</v>
      </c>
      <c r="G442" s="1">
        <v>14</v>
      </c>
      <c r="H442" s="1" t="s">
        <v>19</v>
      </c>
      <c r="I442" s="1" t="s">
        <v>2814</v>
      </c>
      <c r="J442" s="1">
        <v>0.03</v>
      </c>
      <c r="K442" s="1">
        <v>0.42</v>
      </c>
      <c r="L442" s="42">
        <v>5</v>
      </c>
      <c r="M442" s="43">
        <v>46055</v>
      </c>
      <c r="N442" s="1" t="e">
        <f>VLOOKUP(B442,MICRO!E:L,8,0)</f>
        <v>#N/A</v>
      </c>
    </row>
    <row r="443" spans="1:14" ht="20.25" x14ac:dyDescent="0.25">
      <c r="A443" s="1">
        <v>139</v>
      </c>
      <c r="B443" s="1"/>
      <c r="C443" s="1" t="s">
        <v>2795</v>
      </c>
      <c r="D443" s="1"/>
      <c r="E443" s="1"/>
      <c r="F443" s="1" t="s">
        <v>2829</v>
      </c>
      <c r="G443" s="1">
        <v>4</v>
      </c>
      <c r="H443" s="1" t="s">
        <v>19</v>
      </c>
      <c r="I443" s="1" t="s">
        <v>629</v>
      </c>
      <c r="J443" s="1">
        <v>0.03</v>
      </c>
      <c r="K443" s="1">
        <v>0.12</v>
      </c>
      <c r="L443" s="42">
        <v>5</v>
      </c>
      <c r="M443" s="43">
        <v>46055</v>
      </c>
      <c r="N443" s="1" t="e">
        <f>VLOOKUP(B443,MICRO!E:L,8,0)</f>
        <v>#N/A</v>
      </c>
    </row>
    <row r="444" spans="1:14" ht="20.25" x14ac:dyDescent="0.25">
      <c r="A444" s="1">
        <v>140</v>
      </c>
      <c r="B444" s="1"/>
      <c r="C444" s="1" t="s">
        <v>2798</v>
      </c>
      <c r="D444" s="1"/>
      <c r="E444" s="1"/>
      <c r="F444" s="1" t="s">
        <v>2830</v>
      </c>
      <c r="G444" s="1">
        <v>21</v>
      </c>
      <c r="H444" s="1" t="s">
        <v>19</v>
      </c>
      <c r="I444" s="1" t="s">
        <v>629</v>
      </c>
      <c r="J444" s="1">
        <v>0.03</v>
      </c>
      <c r="K444" s="1">
        <v>0.63</v>
      </c>
      <c r="L444" s="42">
        <v>5</v>
      </c>
      <c r="M444" s="43">
        <v>46055</v>
      </c>
      <c r="N444" s="1" t="e">
        <f>VLOOKUP(B444,MICRO!E:L,8,0)</f>
        <v>#N/A</v>
      </c>
    </row>
    <row r="445" spans="1:14" ht="20.25" x14ac:dyDescent="0.25">
      <c r="A445" s="1">
        <v>141</v>
      </c>
      <c r="B445" s="1"/>
      <c r="C445" s="1" t="s">
        <v>2791</v>
      </c>
      <c r="D445" s="1"/>
      <c r="E445" s="1"/>
      <c r="F445" s="1" t="s">
        <v>2831</v>
      </c>
      <c r="G445" s="1">
        <v>80</v>
      </c>
      <c r="H445" s="1" t="s">
        <v>19</v>
      </c>
      <c r="I445" s="1" t="s">
        <v>629</v>
      </c>
      <c r="J445" s="1">
        <v>0.03</v>
      </c>
      <c r="K445" s="1">
        <v>2.4</v>
      </c>
      <c r="L445" s="42">
        <v>5</v>
      </c>
      <c r="M445" s="43">
        <v>46055</v>
      </c>
      <c r="N445" s="1" t="e">
        <f>VLOOKUP(B445,MICRO!E:L,8,0)</f>
        <v>#N/A</v>
      </c>
    </row>
    <row r="446" spans="1:14" ht="20.25" x14ac:dyDescent="0.25">
      <c r="A446" s="1">
        <v>142</v>
      </c>
      <c r="B446" s="1"/>
      <c r="C446" s="1" t="s">
        <v>2832</v>
      </c>
      <c r="D446" s="1"/>
      <c r="E446" s="1"/>
      <c r="F446" s="1" t="s">
        <v>2833</v>
      </c>
      <c r="G446" s="1">
        <v>8</v>
      </c>
      <c r="H446" s="1" t="s">
        <v>19</v>
      </c>
      <c r="I446" s="1" t="s">
        <v>2814</v>
      </c>
      <c r="J446" s="1">
        <v>0.02</v>
      </c>
      <c r="K446" s="1">
        <v>0.16</v>
      </c>
      <c r="L446" s="42">
        <v>5</v>
      </c>
      <c r="M446" s="43">
        <v>46055</v>
      </c>
      <c r="N446" s="1" t="e">
        <f>VLOOKUP(B446,MICRO!E:L,8,0)</f>
        <v>#N/A</v>
      </c>
    </row>
    <row r="447" spans="1:14" ht="20.25" x14ac:dyDescent="0.25">
      <c r="A447" s="1">
        <v>143</v>
      </c>
      <c r="B447" s="1"/>
      <c r="C447" s="1" t="s">
        <v>960</v>
      </c>
      <c r="D447" s="1"/>
      <c r="E447" s="1"/>
      <c r="F447" s="1" t="s">
        <v>2834</v>
      </c>
      <c r="G447" s="1">
        <v>2</v>
      </c>
      <c r="H447" s="1" t="s">
        <v>19</v>
      </c>
      <c r="I447" s="1" t="s">
        <v>2835</v>
      </c>
      <c r="J447" s="1">
        <v>0.02</v>
      </c>
      <c r="K447" s="1">
        <v>0.04</v>
      </c>
      <c r="L447" s="42">
        <v>5</v>
      </c>
      <c r="M447" s="43">
        <v>46055</v>
      </c>
      <c r="N447" s="1" t="e">
        <f>VLOOKUP(B447,MICRO!E:L,8,0)</f>
        <v>#N/A</v>
      </c>
    </row>
    <row r="448" spans="1:14" ht="20.25" x14ac:dyDescent="0.25">
      <c r="A448" s="1">
        <v>144</v>
      </c>
      <c r="B448" s="1"/>
      <c r="C448" s="1" t="s">
        <v>1286</v>
      </c>
      <c r="D448" s="1"/>
      <c r="E448" s="1"/>
      <c r="F448" s="1" t="s">
        <v>2836</v>
      </c>
      <c r="G448" s="1">
        <v>4</v>
      </c>
      <c r="H448" s="1" t="s">
        <v>19</v>
      </c>
      <c r="I448" s="1" t="s">
        <v>629</v>
      </c>
      <c r="J448" s="1">
        <v>0.02</v>
      </c>
      <c r="K448" s="1">
        <v>0.08</v>
      </c>
      <c r="L448" s="42">
        <v>5</v>
      </c>
      <c r="M448" s="43">
        <v>46055</v>
      </c>
      <c r="N448" s="1" t="e">
        <f>VLOOKUP(B448,MICRO!E:L,8,0)</f>
        <v>#N/A</v>
      </c>
    </row>
    <row r="449" spans="1:14" ht="20.25" x14ac:dyDescent="0.25">
      <c r="A449" s="1">
        <v>145</v>
      </c>
      <c r="B449" s="1"/>
      <c r="C449" s="1" t="s">
        <v>2837</v>
      </c>
      <c r="D449" s="1"/>
      <c r="E449" s="1"/>
      <c r="F449" s="1" t="s">
        <v>2838</v>
      </c>
      <c r="G449" s="1">
        <v>4</v>
      </c>
      <c r="H449" s="1" t="s">
        <v>19</v>
      </c>
      <c r="I449" s="1" t="s">
        <v>585</v>
      </c>
      <c r="J449" s="1">
        <v>0.02</v>
      </c>
      <c r="K449" s="1">
        <v>0.08</v>
      </c>
      <c r="L449" s="42">
        <v>5</v>
      </c>
      <c r="M449" s="43">
        <v>46055</v>
      </c>
      <c r="N449" s="1" t="e">
        <f>VLOOKUP(B449,MICRO!E:L,8,0)</f>
        <v>#N/A</v>
      </c>
    </row>
    <row r="450" spans="1:14" ht="20.25" x14ac:dyDescent="0.25">
      <c r="A450" s="1">
        <v>146</v>
      </c>
      <c r="B450" s="1"/>
      <c r="C450" s="1" t="s">
        <v>2839</v>
      </c>
      <c r="D450" s="1"/>
      <c r="E450" s="1"/>
      <c r="F450" s="1" t="s">
        <v>2840</v>
      </c>
      <c r="G450" s="1">
        <v>4</v>
      </c>
      <c r="H450" s="1" t="s">
        <v>19</v>
      </c>
      <c r="I450" s="1" t="s">
        <v>2754</v>
      </c>
      <c r="J450" s="1">
        <v>0.02</v>
      </c>
      <c r="K450" s="1">
        <v>0.08</v>
      </c>
      <c r="L450" s="42">
        <v>5</v>
      </c>
      <c r="M450" s="43">
        <v>46055</v>
      </c>
      <c r="N450" s="1" t="e">
        <f>VLOOKUP(B450,MICRO!E:L,8,0)</f>
        <v>#N/A</v>
      </c>
    </row>
    <row r="451" spans="1:14" ht="20.25" x14ac:dyDescent="0.25">
      <c r="A451" s="1">
        <v>147</v>
      </c>
      <c r="B451" s="1"/>
      <c r="C451" s="1" t="s">
        <v>2841</v>
      </c>
      <c r="D451" s="1"/>
      <c r="E451" s="1"/>
      <c r="F451" s="1" t="s">
        <v>2842</v>
      </c>
      <c r="G451" s="1">
        <v>24</v>
      </c>
      <c r="H451" s="1" t="s">
        <v>19</v>
      </c>
      <c r="I451" s="1" t="s">
        <v>589</v>
      </c>
      <c r="J451" s="1">
        <v>0.02</v>
      </c>
      <c r="K451" s="1">
        <v>0.48</v>
      </c>
      <c r="L451" s="42">
        <v>5</v>
      </c>
      <c r="M451" s="43">
        <v>46055</v>
      </c>
      <c r="N451" s="1" t="e">
        <f>VLOOKUP(B451,MICRO!E:L,8,0)</f>
        <v>#N/A</v>
      </c>
    </row>
    <row r="452" spans="1:14" ht="20.25" x14ac:dyDescent="0.25">
      <c r="A452" s="1">
        <v>148</v>
      </c>
      <c r="B452" s="1"/>
      <c r="C452" s="1" t="s">
        <v>2843</v>
      </c>
      <c r="D452" s="1"/>
      <c r="E452" s="1"/>
      <c r="F452" s="1" t="s">
        <v>2844</v>
      </c>
      <c r="G452" s="1">
        <v>28</v>
      </c>
      <c r="H452" s="1" t="s">
        <v>19</v>
      </c>
      <c r="I452" s="1" t="s">
        <v>2845</v>
      </c>
      <c r="J452" s="1">
        <v>0.02</v>
      </c>
      <c r="K452" s="1">
        <v>0.56000000000000005</v>
      </c>
      <c r="L452" s="42">
        <v>5</v>
      </c>
      <c r="M452" s="43">
        <v>46055</v>
      </c>
      <c r="N452" s="1" t="e">
        <f>VLOOKUP(B452,MICRO!E:L,8,0)</f>
        <v>#N/A</v>
      </c>
    </row>
    <row r="453" spans="1:14" ht="20.25" x14ac:dyDescent="0.25">
      <c r="A453" s="1">
        <v>149</v>
      </c>
      <c r="B453" s="1"/>
      <c r="C453" s="1" t="s">
        <v>2846</v>
      </c>
      <c r="D453" s="1"/>
      <c r="E453" s="1"/>
      <c r="F453" s="1" t="s">
        <v>2847</v>
      </c>
      <c r="G453" s="1">
        <v>8</v>
      </c>
      <c r="H453" s="1" t="s">
        <v>19</v>
      </c>
      <c r="I453" s="1" t="s">
        <v>634</v>
      </c>
      <c r="J453" s="1">
        <v>0.02</v>
      </c>
      <c r="K453" s="1">
        <v>0.16</v>
      </c>
      <c r="L453" s="42">
        <v>5</v>
      </c>
      <c r="M453" s="43">
        <v>46055</v>
      </c>
      <c r="N453" s="1" t="e">
        <f>VLOOKUP(B453,MICRO!E:L,8,0)</f>
        <v>#N/A</v>
      </c>
    </row>
    <row r="454" spans="1:14" ht="20.25" x14ac:dyDescent="0.25">
      <c r="A454" s="1">
        <v>150</v>
      </c>
      <c r="B454" s="1"/>
      <c r="C454" s="1" t="s">
        <v>2848</v>
      </c>
      <c r="D454" s="1"/>
      <c r="E454" s="1"/>
      <c r="F454" s="1" t="s">
        <v>2849</v>
      </c>
      <c r="G454" s="1">
        <v>2</v>
      </c>
      <c r="H454" s="1" t="s">
        <v>19</v>
      </c>
      <c r="I454" s="1" t="s">
        <v>585</v>
      </c>
      <c r="J454" s="1">
        <v>0.02</v>
      </c>
      <c r="K454" s="1">
        <v>0.04</v>
      </c>
      <c r="L454" s="42">
        <v>5</v>
      </c>
      <c r="M454" s="43">
        <v>46055</v>
      </c>
      <c r="N454" s="1" t="e">
        <f>VLOOKUP(B454,MICRO!E:L,8,0)</f>
        <v>#N/A</v>
      </c>
    </row>
    <row r="455" spans="1:14" ht="20.25" x14ac:dyDescent="0.25">
      <c r="A455" s="1">
        <v>151</v>
      </c>
      <c r="B455" s="1"/>
      <c r="C455" s="1" t="s">
        <v>1996</v>
      </c>
      <c r="D455" s="1"/>
      <c r="E455" s="1"/>
      <c r="F455" s="1" t="s">
        <v>2850</v>
      </c>
      <c r="G455" s="1">
        <v>9</v>
      </c>
      <c r="H455" s="1" t="s">
        <v>19</v>
      </c>
      <c r="I455" s="1" t="s">
        <v>2851</v>
      </c>
      <c r="J455" s="1">
        <v>0.02</v>
      </c>
      <c r="K455" s="1">
        <v>0.18</v>
      </c>
      <c r="L455" s="42">
        <v>5</v>
      </c>
      <c r="M455" s="43">
        <v>46055</v>
      </c>
      <c r="N455" s="1" t="e">
        <f>VLOOKUP(B455,MICRO!E:L,8,0)</f>
        <v>#N/A</v>
      </c>
    </row>
    <row r="456" spans="1:14" ht="20.25" x14ac:dyDescent="0.25">
      <c r="A456" s="1">
        <v>152</v>
      </c>
      <c r="B456" s="1"/>
      <c r="C456" s="1" t="s">
        <v>950</v>
      </c>
      <c r="D456" s="1"/>
      <c r="E456" s="1"/>
      <c r="F456" s="1" t="s">
        <v>2852</v>
      </c>
      <c r="G456" s="1">
        <v>9</v>
      </c>
      <c r="H456" s="1" t="s">
        <v>19</v>
      </c>
      <c r="I456" s="1" t="s">
        <v>2754</v>
      </c>
      <c r="J456" s="1">
        <v>0.02</v>
      </c>
      <c r="K456" s="1">
        <v>0.18</v>
      </c>
      <c r="L456" s="42">
        <v>5</v>
      </c>
      <c r="M456" s="43">
        <v>46055</v>
      </c>
      <c r="N456" s="1" t="e">
        <f>VLOOKUP(B456,MICRO!E:L,8,0)</f>
        <v>#N/A</v>
      </c>
    </row>
    <row r="457" spans="1:14" ht="20.25" x14ac:dyDescent="0.25">
      <c r="A457" s="1">
        <v>153</v>
      </c>
      <c r="B457" s="1"/>
      <c r="C457" s="1" t="s">
        <v>2853</v>
      </c>
      <c r="D457" s="1"/>
      <c r="E457" s="1"/>
      <c r="F457" s="1" t="s">
        <v>2854</v>
      </c>
      <c r="G457" s="1">
        <v>12</v>
      </c>
      <c r="H457" s="1" t="s">
        <v>19</v>
      </c>
      <c r="I457" s="1" t="s">
        <v>2855</v>
      </c>
      <c r="J457" s="1">
        <v>0.02</v>
      </c>
      <c r="K457" s="1">
        <v>0.24</v>
      </c>
      <c r="L457" s="42">
        <v>5</v>
      </c>
      <c r="M457" s="43">
        <v>46055</v>
      </c>
      <c r="N457" s="1" t="e">
        <f>VLOOKUP(B457,MICRO!E:L,8,0)</f>
        <v>#N/A</v>
      </c>
    </row>
    <row r="458" spans="1:14" ht="20.25" x14ac:dyDescent="0.25">
      <c r="A458" s="1">
        <v>154</v>
      </c>
      <c r="B458" s="1"/>
      <c r="C458" s="1" t="s">
        <v>2856</v>
      </c>
      <c r="D458" s="1"/>
      <c r="E458" s="1"/>
      <c r="F458" s="1" t="s">
        <v>2857</v>
      </c>
      <c r="G458" s="1">
        <v>44</v>
      </c>
      <c r="H458" s="1" t="s">
        <v>19</v>
      </c>
      <c r="I458" s="1" t="s">
        <v>2858</v>
      </c>
      <c r="J458" s="1">
        <v>0.02</v>
      </c>
      <c r="K458" s="1">
        <v>0.88</v>
      </c>
      <c r="L458" s="42">
        <v>5</v>
      </c>
      <c r="M458" s="43">
        <v>46055</v>
      </c>
      <c r="N458" s="1" t="e">
        <f>VLOOKUP(B458,MICRO!E:L,8,0)</f>
        <v>#N/A</v>
      </c>
    </row>
    <row r="459" spans="1:14" ht="20.25" x14ac:dyDescent="0.25">
      <c r="A459" s="1">
        <v>155</v>
      </c>
      <c r="B459" s="1"/>
      <c r="C459" s="1" t="s">
        <v>1286</v>
      </c>
      <c r="D459" s="1"/>
      <c r="E459" s="1"/>
      <c r="F459" s="1" t="s">
        <v>2859</v>
      </c>
      <c r="G459" s="1">
        <v>68</v>
      </c>
      <c r="H459" s="1" t="s">
        <v>19</v>
      </c>
      <c r="I459" s="1" t="s">
        <v>629</v>
      </c>
      <c r="J459" s="1">
        <v>0.02</v>
      </c>
      <c r="K459" s="1">
        <v>1.36</v>
      </c>
      <c r="L459" s="42">
        <v>5</v>
      </c>
      <c r="M459" s="43">
        <v>46055</v>
      </c>
      <c r="N459" s="1" t="e">
        <f>VLOOKUP(B459,MICRO!E:L,8,0)</f>
        <v>#N/A</v>
      </c>
    </row>
    <row r="460" spans="1:14" ht="20.25" x14ac:dyDescent="0.25">
      <c r="A460" s="1">
        <v>156</v>
      </c>
      <c r="B460" s="1"/>
      <c r="C460" s="1" t="s">
        <v>2860</v>
      </c>
      <c r="D460" s="1"/>
      <c r="E460" s="1"/>
      <c r="F460" s="1" t="s">
        <v>2861</v>
      </c>
      <c r="G460" s="1">
        <v>34</v>
      </c>
      <c r="H460" s="1" t="s">
        <v>19</v>
      </c>
      <c r="I460" s="1" t="s">
        <v>2862</v>
      </c>
      <c r="J460" s="1">
        <v>0.02</v>
      </c>
      <c r="K460" s="1">
        <v>0.68</v>
      </c>
      <c r="L460" s="42">
        <v>5</v>
      </c>
      <c r="M460" s="43">
        <v>46055</v>
      </c>
      <c r="N460" s="1" t="e">
        <f>VLOOKUP(B460,MICRO!E:L,8,0)</f>
        <v>#N/A</v>
      </c>
    </row>
    <row r="461" spans="1:14" ht="20.25" x14ac:dyDescent="0.25">
      <c r="A461" s="1">
        <v>157</v>
      </c>
      <c r="B461" s="1"/>
      <c r="C461" s="1" t="s">
        <v>2837</v>
      </c>
      <c r="D461" s="1"/>
      <c r="E461" s="1"/>
      <c r="F461" s="1" t="s">
        <v>2863</v>
      </c>
      <c r="G461" s="1">
        <v>46</v>
      </c>
      <c r="H461" s="1" t="s">
        <v>19</v>
      </c>
      <c r="I461" s="1" t="s">
        <v>585</v>
      </c>
      <c r="J461" s="1">
        <v>0.02</v>
      </c>
      <c r="K461" s="1">
        <v>0.92</v>
      </c>
      <c r="L461" s="42">
        <v>5</v>
      </c>
      <c r="M461" s="43">
        <v>46055</v>
      </c>
      <c r="N461" s="1" t="e">
        <f>VLOOKUP(B461,MICRO!E:L,8,0)</f>
        <v>#N/A</v>
      </c>
    </row>
    <row r="462" spans="1:14" ht="20.25" x14ac:dyDescent="0.25">
      <c r="A462" s="1">
        <v>158</v>
      </c>
      <c r="B462" s="1"/>
      <c r="C462" s="1" t="s">
        <v>2864</v>
      </c>
      <c r="D462" s="1"/>
      <c r="E462" s="1"/>
      <c r="F462" s="1" t="s">
        <v>2865</v>
      </c>
      <c r="G462" s="1">
        <v>49</v>
      </c>
      <c r="H462" s="1" t="s">
        <v>19</v>
      </c>
      <c r="I462" s="1" t="s">
        <v>585</v>
      </c>
      <c r="J462" s="1">
        <v>0.02</v>
      </c>
      <c r="K462" s="1">
        <v>0.98</v>
      </c>
      <c r="L462" s="42">
        <v>5</v>
      </c>
      <c r="M462" s="43">
        <v>46055</v>
      </c>
      <c r="N462" s="1" t="e">
        <f>VLOOKUP(B462,MICRO!E:L,8,0)</f>
        <v>#N/A</v>
      </c>
    </row>
    <row r="463" spans="1:14" ht="20.25" x14ac:dyDescent="0.25">
      <c r="A463" s="1">
        <v>159</v>
      </c>
      <c r="B463" s="1"/>
      <c r="C463" s="1" t="s">
        <v>1996</v>
      </c>
      <c r="D463" s="1"/>
      <c r="E463" s="1"/>
      <c r="F463" s="1" t="s">
        <v>2866</v>
      </c>
      <c r="G463" s="1">
        <v>9</v>
      </c>
      <c r="H463" s="1" t="s">
        <v>19</v>
      </c>
      <c r="I463" s="1" t="s">
        <v>2851</v>
      </c>
      <c r="J463" s="1">
        <v>0.02</v>
      </c>
      <c r="K463" s="1">
        <v>0.18</v>
      </c>
      <c r="L463" s="42">
        <v>5</v>
      </c>
      <c r="M463" s="43">
        <v>46055</v>
      </c>
      <c r="N463" s="1" t="e">
        <f>VLOOKUP(B463,MICRO!E:L,8,0)</f>
        <v>#N/A</v>
      </c>
    </row>
    <row r="464" spans="1:14" ht="20.25" x14ac:dyDescent="0.25">
      <c r="A464" s="1">
        <v>160</v>
      </c>
      <c r="B464" s="1"/>
      <c r="C464" s="1" t="s">
        <v>2867</v>
      </c>
      <c r="D464" s="1"/>
      <c r="E464" s="1"/>
      <c r="F464" s="1" t="s">
        <v>2868</v>
      </c>
      <c r="G464" s="1">
        <v>8</v>
      </c>
      <c r="H464" s="1" t="s">
        <v>19</v>
      </c>
      <c r="I464" s="1" t="s">
        <v>634</v>
      </c>
      <c r="J464" s="1">
        <v>0.02</v>
      </c>
      <c r="K464" s="1">
        <v>0.16</v>
      </c>
      <c r="L464" s="42">
        <v>5</v>
      </c>
      <c r="M464" s="43">
        <v>46055</v>
      </c>
      <c r="N464" s="1" t="e">
        <f>VLOOKUP(B464,MICRO!E:L,8,0)</f>
        <v>#N/A</v>
      </c>
    </row>
    <row r="465" spans="1:14" ht="20.25" x14ac:dyDescent="0.25">
      <c r="A465" s="1">
        <v>161</v>
      </c>
      <c r="B465" s="1"/>
      <c r="C465" s="1" t="s">
        <v>1286</v>
      </c>
      <c r="D465" s="1"/>
      <c r="E465" s="1"/>
      <c r="F465" s="1" t="s">
        <v>2869</v>
      </c>
      <c r="G465" s="1">
        <v>22</v>
      </c>
      <c r="H465" s="1" t="s">
        <v>19</v>
      </c>
      <c r="I465" s="1" t="s">
        <v>629</v>
      </c>
      <c r="J465" s="1">
        <v>0.02</v>
      </c>
      <c r="K465" s="1">
        <v>0.44</v>
      </c>
      <c r="L465" s="42">
        <v>5</v>
      </c>
      <c r="M465" s="43">
        <v>46055</v>
      </c>
      <c r="N465" s="1" t="e">
        <f>VLOOKUP(B465,MICRO!E:L,8,0)</f>
        <v>#N/A</v>
      </c>
    </row>
    <row r="466" spans="1:14" ht="20.25" x14ac:dyDescent="0.25">
      <c r="A466" s="1">
        <v>162</v>
      </c>
      <c r="B466" s="1"/>
      <c r="C466" s="1" t="s">
        <v>2839</v>
      </c>
      <c r="D466" s="1"/>
      <c r="E466" s="1"/>
      <c r="F466" s="1" t="s">
        <v>2870</v>
      </c>
      <c r="G466" s="1">
        <v>22</v>
      </c>
      <c r="H466" s="1" t="s">
        <v>19</v>
      </c>
      <c r="I466" s="1" t="s">
        <v>2754</v>
      </c>
      <c r="J466" s="1">
        <v>0.02</v>
      </c>
      <c r="K466" s="1">
        <v>0.44</v>
      </c>
      <c r="L466" s="42">
        <v>5</v>
      </c>
      <c r="M466" s="43">
        <v>46055</v>
      </c>
      <c r="N466" s="1" t="e">
        <f>VLOOKUP(B466,MICRO!E:L,8,0)</f>
        <v>#N/A</v>
      </c>
    </row>
    <row r="467" spans="1:14" ht="20.25" x14ac:dyDescent="0.25">
      <c r="A467" s="1">
        <v>163</v>
      </c>
      <c r="B467" s="1"/>
      <c r="C467" s="1" t="s">
        <v>950</v>
      </c>
      <c r="D467" s="1"/>
      <c r="E467" s="1"/>
      <c r="F467" s="1" t="s">
        <v>2871</v>
      </c>
      <c r="G467" s="1">
        <v>9</v>
      </c>
      <c r="H467" s="1" t="s">
        <v>19</v>
      </c>
      <c r="I467" s="1" t="s">
        <v>2754</v>
      </c>
      <c r="J467" s="1">
        <v>0.02</v>
      </c>
      <c r="K467" s="1">
        <v>0.18</v>
      </c>
      <c r="L467" s="42">
        <v>5</v>
      </c>
      <c r="M467" s="43">
        <v>46055</v>
      </c>
      <c r="N467" s="1" t="e">
        <f>VLOOKUP(B467,MICRO!E:L,8,0)</f>
        <v>#N/A</v>
      </c>
    </row>
    <row r="468" spans="1:14" ht="20.25" x14ac:dyDescent="0.25">
      <c r="A468" s="1">
        <v>164</v>
      </c>
      <c r="B468" s="1"/>
      <c r="C468" s="1" t="s">
        <v>2872</v>
      </c>
      <c r="D468" s="1"/>
      <c r="E468" s="1"/>
      <c r="F468" s="1" t="s">
        <v>2873</v>
      </c>
      <c r="G468" s="1">
        <v>4</v>
      </c>
      <c r="H468" s="1" t="s">
        <v>19</v>
      </c>
      <c r="I468" s="1" t="s">
        <v>2862</v>
      </c>
      <c r="J468" s="1">
        <v>0.02</v>
      </c>
      <c r="K468" s="1">
        <v>0.08</v>
      </c>
      <c r="L468" s="42">
        <v>5</v>
      </c>
      <c r="M468" s="43">
        <v>46055</v>
      </c>
      <c r="N468" s="1" t="e">
        <f>VLOOKUP(B468,MICRO!E:L,8,0)</f>
        <v>#N/A</v>
      </c>
    </row>
    <row r="469" spans="1:14" ht="20.25" x14ac:dyDescent="0.25">
      <c r="A469" s="1">
        <v>165</v>
      </c>
      <c r="B469" s="1"/>
      <c r="C469" s="1" t="s">
        <v>2874</v>
      </c>
      <c r="D469" s="1"/>
      <c r="E469" s="1"/>
      <c r="F469" s="1" t="s">
        <v>2875</v>
      </c>
      <c r="G469" s="1">
        <v>4</v>
      </c>
      <c r="H469" s="1" t="s">
        <v>19</v>
      </c>
      <c r="I469" s="1" t="s">
        <v>2754</v>
      </c>
      <c r="J469" s="1">
        <v>0.02</v>
      </c>
      <c r="K469" s="1">
        <v>0.08</v>
      </c>
      <c r="L469" s="42">
        <v>5</v>
      </c>
      <c r="M469" s="43">
        <v>46055</v>
      </c>
      <c r="N469" s="1" t="e">
        <f>VLOOKUP(B469,MICRO!E:L,8,0)</f>
        <v>#N/A</v>
      </c>
    </row>
    <row r="470" spans="1:14" ht="20.25" x14ac:dyDescent="0.25">
      <c r="A470" s="1">
        <v>166</v>
      </c>
      <c r="B470" s="1"/>
      <c r="C470" s="1" t="s">
        <v>2876</v>
      </c>
      <c r="D470" s="1"/>
      <c r="E470" s="1"/>
      <c r="F470" s="1" t="s">
        <v>2877</v>
      </c>
      <c r="G470" s="1">
        <v>4</v>
      </c>
      <c r="H470" s="1" t="s">
        <v>19</v>
      </c>
      <c r="I470" s="1" t="s">
        <v>585</v>
      </c>
      <c r="J470" s="1">
        <v>0.02</v>
      </c>
      <c r="K470" s="1">
        <v>0.08</v>
      </c>
      <c r="L470" s="42">
        <v>5</v>
      </c>
      <c r="M470" s="43">
        <v>46055</v>
      </c>
      <c r="N470" s="1" t="e">
        <f>VLOOKUP(B470,MICRO!E:L,8,0)</f>
        <v>#N/A</v>
      </c>
    </row>
    <row r="471" spans="1:14" ht="20.25" x14ac:dyDescent="0.25">
      <c r="A471" s="1">
        <v>167</v>
      </c>
      <c r="B471" s="1"/>
      <c r="C471" s="1" t="s">
        <v>2848</v>
      </c>
      <c r="D471" s="1"/>
      <c r="E471" s="1"/>
      <c r="F471" s="1" t="s">
        <v>2878</v>
      </c>
      <c r="G471" s="1">
        <v>8</v>
      </c>
      <c r="H471" s="1" t="s">
        <v>19</v>
      </c>
      <c r="I471" s="1" t="s">
        <v>585</v>
      </c>
      <c r="J471" s="1">
        <v>0.02</v>
      </c>
      <c r="K471" s="1">
        <v>0.16</v>
      </c>
      <c r="L471" s="42">
        <v>5</v>
      </c>
      <c r="M471" s="43">
        <v>46055</v>
      </c>
      <c r="N471" s="1" t="e">
        <f>VLOOKUP(B471,MICRO!E:L,8,0)</f>
        <v>#N/A</v>
      </c>
    </row>
    <row r="472" spans="1:14" ht="20.25" x14ac:dyDescent="0.25">
      <c r="A472" s="1">
        <v>168</v>
      </c>
      <c r="B472" s="1"/>
      <c r="C472" s="1" t="s">
        <v>959</v>
      </c>
      <c r="D472" s="1"/>
      <c r="E472" s="1"/>
      <c r="F472" s="1" t="s">
        <v>2879</v>
      </c>
      <c r="G472" s="1">
        <v>2</v>
      </c>
      <c r="H472" s="1" t="s">
        <v>19</v>
      </c>
      <c r="I472" s="1" t="s">
        <v>2855</v>
      </c>
      <c r="J472" s="1">
        <v>0.02</v>
      </c>
      <c r="K472" s="1">
        <v>0.04</v>
      </c>
      <c r="L472" s="42">
        <v>5</v>
      </c>
      <c r="M472" s="43">
        <v>46055</v>
      </c>
      <c r="N472" s="1" t="e">
        <f>VLOOKUP(B472,MICRO!E:L,8,0)</f>
        <v>#N/A</v>
      </c>
    </row>
    <row r="473" spans="1:14" ht="20.25" x14ac:dyDescent="0.25">
      <c r="A473" s="1">
        <v>169</v>
      </c>
      <c r="B473" s="1"/>
      <c r="C473" s="1" t="s">
        <v>2880</v>
      </c>
      <c r="D473" s="1"/>
      <c r="E473" s="1"/>
      <c r="F473" s="1" t="s">
        <v>2881</v>
      </c>
      <c r="G473" s="1">
        <v>49</v>
      </c>
      <c r="H473" s="1" t="s">
        <v>19</v>
      </c>
      <c r="I473" s="1" t="s">
        <v>589</v>
      </c>
      <c r="J473" s="1">
        <v>0.02</v>
      </c>
      <c r="K473" s="1">
        <v>0.98</v>
      </c>
      <c r="L473" s="42">
        <v>5</v>
      </c>
      <c r="M473" s="43">
        <v>46055</v>
      </c>
      <c r="N473" s="1" t="e">
        <f>VLOOKUP(B473,MICRO!E:L,8,0)</f>
        <v>#N/A</v>
      </c>
    </row>
    <row r="474" spans="1:14" ht="20.25" x14ac:dyDescent="0.25">
      <c r="A474" s="1">
        <v>170</v>
      </c>
      <c r="B474" s="1"/>
      <c r="C474" s="1" t="s">
        <v>2882</v>
      </c>
      <c r="D474" s="1"/>
      <c r="E474" s="1"/>
      <c r="F474" s="1" t="s">
        <v>2883</v>
      </c>
      <c r="G474" s="1">
        <v>80</v>
      </c>
      <c r="H474" s="1" t="s">
        <v>19</v>
      </c>
      <c r="I474" s="1" t="s">
        <v>634</v>
      </c>
      <c r="J474" s="1">
        <v>0.02</v>
      </c>
      <c r="K474" s="1">
        <v>1.6</v>
      </c>
      <c r="L474" s="42">
        <v>5</v>
      </c>
      <c r="M474" s="43">
        <v>46055</v>
      </c>
      <c r="N474" s="1" t="e">
        <f>VLOOKUP(B474,MICRO!E:L,8,0)</f>
        <v>#N/A</v>
      </c>
    </row>
    <row r="475" spans="1:14" ht="20.25" x14ac:dyDescent="0.25">
      <c r="A475" s="1">
        <v>171</v>
      </c>
      <c r="B475" s="1"/>
      <c r="C475" s="1" t="s">
        <v>2839</v>
      </c>
      <c r="D475" s="1"/>
      <c r="E475" s="1"/>
      <c r="F475" s="1" t="s">
        <v>2884</v>
      </c>
      <c r="G475" s="1">
        <v>24</v>
      </c>
      <c r="H475" s="1" t="s">
        <v>19</v>
      </c>
      <c r="I475" s="1" t="s">
        <v>2754</v>
      </c>
      <c r="J475" s="1">
        <v>0.02</v>
      </c>
      <c r="K475" s="1">
        <v>0.48</v>
      </c>
      <c r="L475" s="42">
        <v>5</v>
      </c>
      <c r="M475" s="43">
        <v>46055</v>
      </c>
      <c r="N475" s="1" t="e">
        <f>VLOOKUP(B475,MICRO!E:L,8,0)</f>
        <v>#N/A</v>
      </c>
    </row>
    <row r="476" spans="1:14" ht="20.25" x14ac:dyDescent="0.25">
      <c r="A476" s="1">
        <v>172</v>
      </c>
      <c r="B476" s="1"/>
      <c r="C476" s="1" t="s">
        <v>2860</v>
      </c>
      <c r="D476" s="1"/>
      <c r="E476" s="1"/>
      <c r="F476" s="1" t="s">
        <v>2885</v>
      </c>
      <c r="G476" s="1">
        <v>8</v>
      </c>
      <c r="H476" s="1" t="s">
        <v>19</v>
      </c>
      <c r="I476" s="1" t="s">
        <v>2862</v>
      </c>
      <c r="J476" s="1">
        <v>0.02</v>
      </c>
      <c r="K476" s="1">
        <v>0.16</v>
      </c>
      <c r="L476" s="42">
        <v>5</v>
      </c>
      <c r="M476" s="43">
        <v>46055</v>
      </c>
      <c r="N476" s="1" t="e">
        <f>VLOOKUP(B476,MICRO!E:L,8,0)</f>
        <v>#N/A</v>
      </c>
    </row>
    <row r="477" spans="1:14" ht="20.25" x14ac:dyDescent="0.25">
      <c r="A477" s="1">
        <v>173</v>
      </c>
      <c r="B477" s="1"/>
      <c r="C477" s="1" t="s">
        <v>2837</v>
      </c>
      <c r="D477" s="1"/>
      <c r="E477" s="1"/>
      <c r="F477" s="1" t="s">
        <v>2886</v>
      </c>
      <c r="G477" s="1">
        <v>8</v>
      </c>
      <c r="H477" s="1" t="s">
        <v>19</v>
      </c>
      <c r="I477" s="1" t="s">
        <v>585</v>
      </c>
      <c r="J477" s="1">
        <v>0.02</v>
      </c>
      <c r="K477" s="1">
        <v>0.16</v>
      </c>
      <c r="L477" s="42">
        <v>5</v>
      </c>
      <c r="M477" s="43">
        <v>46055</v>
      </c>
      <c r="N477" s="1" t="e">
        <f>VLOOKUP(B477,MICRO!E:L,8,0)</f>
        <v>#N/A</v>
      </c>
    </row>
    <row r="478" spans="1:14" ht="20.25" x14ac:dyDescent="0.25">
      <c r="A478" s="1">
        <v>174</v>
      </c>
      <c r="B478" s="1"/>
      <c r="C478" s="1" t="s">
        <v>2848</v>
      </c>
      <c r="D478" s="1"/>
      <c r="E478" s="1"/>
      <c r="F478" s="1" t="s">
        <v>2887</v>
      </c>
      <c r="G478" s="1">
        <v>2</v>
      </c>
      <c r="H478" s="1" t="s">
        <v>19</v>
      </c>
      <c r="I478" s="1" t="s">
        <v>585</v>
      </c>
      <c r="J478" s="1">
        <v>0.01</v>
      </c>
      <c r="K478" s="1">
        <v>0.02</v>
      </c>
      <c r="L478" s="42">
        <v>5</v>
      </c>
      <c r="M478" s="43">
        <v>46055</v>
      </c>
      <c r="N478" s="1" t="e">
        <f>VLOOKUP(B478,MICRO!E:L,8,0)</f>
        <v>#N/A</v>
      </c>
    </row>
    <row r="479" spans="1:14" ht="20.25" x14ac:dyDescent="0.25">
      <c r="A479" s="1">
        <v>175</v>
      </c>
      <c r="B479" s="1"/>
      <c r="C479" s="1" t="s">
        <v>2837</v>
      </c>
      <c r="D479" s="1"/>
      <c r="E479" s="1"/>
      <c r="F479" s="1" t="s">
        <v>2888</v>
      </c>
      <c r="G479" s="1">
        <v>8</v>
      </c>
      <c r="H479" s="1" t="s">
        <v>19</v>
      </c>
      <c r="I479" s="1" t="s">
        <v>585</v>
      </c>
      <c r="J479" s="1">
        <v>0.01</v>
      </c>
      <c r="K479" s="1">
        <v>0.08</v>
      </c>
      <c r="L479" s="42">
        <v>5</v>
      </c>
      <c r="M479" s="43">
        <v>46055</v>
      </c>
      <c r="N479" s="1" t="e">
        <f>VLOOKUP(B479,MICRO!E:L,8,0)</f>
        <v>#N/A</v>
      </c>
    </row>
    <row r="480" spans="1:14" ht="20.25" x14ac:dyDescent="0.25">
      <c r="A480" s="1">
        <v>176</v>
      </c>
      <c r="B480" s="1"/>
      <c r="C480" s="1" t="s">
        <v>2860</v>
      </c>
      <c r="D480" s="1"/>
      <c r="E480" s="1"/>
      <c r="F480" s="1" t="s">
        <v>2889</v>
      </c>
      <c r="G480" s="1">
        <v>8</v>
      </c>
      <c r="H480" s="1" t="s">
        <v>19</v>
      </c>
      <c r="I480" s="1" t="s">
        <v>2862</v>
      </c>
      <c r="J480" s="1">
        <v>0.01</v>
      </c>
      <c r="K480" s="1">
        <v>0.08</v>
      </c>
      <c r="L480" s="42">
        <v>5</v>
      </c>
      <c r="M480" s="43">
        <v>46055</v>
      </c>
      <c r="N480" s="1" t="e">
        <f>VLOOKUP(B480,MICRO!E:L,8,0)</f>
        <v>#N/A</v>
      </c>
    </row>
    <row r="481" spans="1:14" ht="20.25" x14ac:dyDescent="0.25">
      <c r="A481" s="1">
        <v>177</v>
      </c>
      <c r="B481" s="1"/>
      <c r="C481" s="1" t="s">
        <v>1286</v>
      </c>
      <c r="D481" s="1"/>
      <c r="E481" s="1"/>
      <c r="F481" s="1" t="s">
        <v>2890</v>
      </c>
      <c r="G481" s="1">
        <v>40</v>
      </c>
      <c r="H481" s="1" t="s">
        <v>19</v>
      </c>
      <c r="I481" s="1" t="s">
        <v>629</v>
      </c>
      <c r="J481" s="1">
        <v>0.01</v>
      </c>
      <c r="K481" s="1">
        <v>0.4</v>
      </c>
      <c r="L481" s="42">
        <v>5</v>
      </c>
      <c r="M481" s="43">
        <v>46055</v>
      </c>
      <c r="N481" s="1" t="e">
        <f>VLOOKUP(B481,MICRO!E:L,8,0)</f>
        <v>#N/A</v>
      </c>
    </row>
    <row r="482" spans="1:14" ht="20.25" x14ac:dyDescent="0.25">
      <c r="A482" s="1">
        <v>178</v>
      </c>
      <c r="B482" s="1"/>
      <c r="C482" s="1" t="s">
        <v>2867</v>
      </c>
      <c r="D482" s="1"/>
      <c r="E482" s="1"/>
      <c r="F482" s="1" t="s">
        <v>2891</v>
      </c>
      <c r="G482" s="1">
        <v>2</v>
      </c>
      <c r="H482" s="1" t="s">
        <v>19</v>
      </c>
      <c r="I482" s="1" t="s">
        <v>634</v>
      </c>
      <c r="J482" s="1">
        <v>0.01</v>
      </c>
      <c r="K482" s="1">
        <v>0.02</v>
      </c>
      <c r="L482" s="42">
        <v>5</v>
      </c>
      <c r="M482" s="43">
        <v>46055</v>
      </c>
      <c r="N482" s="1" t="e">
        <f>VLOOKUP(B482,MICRO!E:L,8,0)</f>
        <v>#N/A</v>
      </c>
    </row>
    <row r="483" spans="1:14" ht="20.25" x14ac:dyDescent="0.25">
      <c r="A483" s="1">
        <v>179</v>
      </c>
      <c r="B483" s="1"/>
      <c r="C483" s="1" t="s">
        <v>2839</v>
      </c>
      <c r="D483" s="1"/>
      <c r="E483" s="1"/>
      <c r="F483" s="1" t="s">
        <v>2892</v>
      </c>
      <c r="G483" s="1">
        <v>8</v>
      </c>
      <c r="H483" s="1" t="s">
        <v>19</v>
      </c>
      <c r="I483" s="1" t="s">
        <v>2754</v>
      </c>
      <c r="J483" s="1">
        <v>0.01</v>
      </c>
      <c r="K483" s="1">
        <v>0.08</v>
      </c>
      <c r="L483" s="42">
        <v>5</v>
      </c>
      <c r="M483" s="43">
        <v>46055</v>
      </c>
      <c r="N483" s="1" t="e">
        <f>VLOOKUP(B483,MICRO!E:L,8,0)</f>
        <v>#N/A</v>
      </c>
    </row>
    <row r="484" spans="1:14" ht="20.25" x14ac:dyDescent="0.25">
      <c r="A484" s="1">
        <v>180</v>
      </c>
      <c r="B484" s="1"/>
      <c r="C484" s="1" t="s">
        <v>2841</v>
      </c>
      <c r="D484" s="1"/>
      <c r="E484" s="1"/>
      <c r="F484" s="1" t="s">
        <v>2893</v>
      </c>
      <c r="G484" s="1">
        <v>24</v>
      </c>
      <c r="H484" s="1" t="s">
        <v>19</v>
      </c>
      <c r="I484" s="1" t="s">
        <v>589</v>
      </c>
      <c r="J484" s="1">
        <v>0.05</v>
      </c>
      <c r="K484" s="1">
        <v>1.2000000000000002</v>
      </c>
      <c r="L484" s="42">
        <v>5</v>
      </c>
      <c r="M484" s="43">
        <v>46055</v>
      </c>
      <c r="N484" s="1" t="e">
        <f>VLOOKUP(B484,MICRO!E:L,8,0)</f>
        <v>#N/A</v>
      </c>
    </row>
    <row r="485" spans="1:14" ht="20.25" x14ac:dyDescent="0.25">
      <c r="A485" s="1">
        <v>181</v>
      </c>
      <c r="B485" s="1"/>
      <c r="C485" s="1" t="s">
        <v>2856</v>
      </c>
      <c r="D485" s="1"/>
      <c r="E485" s="1"/>
      <c r="F485" s="1" t="s">
        <v>2894</v>
      </c>
      <c r="G485" s="1">
        <v>44</v>
      </c>
      <c r="H485" s="1" t="s">
        <v>19</v>
      </c>
      <c r="I485" s="1" t="s">
        <v>2858</v>
      </c>
      <c r="J485" s="1">
        <v>0.05</v>
      </c>
      <c r="K485" s="1">
        <v>2.2000000000000002</v>
      </c>
      <c r="L485" s="42">
        <v>5</v>
      </c>
      <c r="M485" s="43">
        <v>46055</v>
      </c>
      <c r="N485" s="1" t="e">
        <f>VLOOKUP(B485,MICRO!E:L,8,0)</f>
        <v>#N/A</v>
      </c>
    </row>
    <row r="486" spans="1:14" ht="20.25" x14ac:dyDescent="0.25">
      <c r="A486" s="1">
        <v>182</v>
      </c>
      <c r="B486" s="1"/>
      <c r="C486" s="1" t="s">
        <v>2843</v>
      </c>
      <c r="D486" s="1"/>
      <c r="E486" s="1"/>
      <c r="F486" s="1" t="s">
        <v>2895</v>
      </c>
      <c r="G486" s="1">
        <v>28</v>
      </c>
      <c r="H486" s="1" t="s">
        <v>19</v>
      </c>
      <c r="I486" s="1" t="s">
        <v>2845</v>
      </c>
      <c r="J486" s="1">
        <v>0.05</v>
      </c>
      <c r="K486" s="1">
        <v>1.4000000000000001</v>
      </c>
      <c r="L486" s="42">
        <v>5</v>
      </c>
      <c r="M486" s="43">
        <v>46055</v>
      </c>
      <c r="N486" s="1" t="e">
        <f>VLOOKUP(B486,MICRO!E:L,8,0)</f>
        <v>#N/A</v>
      </c>
    </row>
    <row r="487" spans="1:14" ht="20.25" x14ac:dyDescent="0.25">
      <c r="A487" s="1">
        <v>183</v>
      </c>
      <c r="B487" s="1"/>
      <c r="C487" s="1" t="s">
        <v>183</v>
      </c>
      <c r="D487" s="1"/>
      <c r="E487" s="1"/>
      <c r="F487" s="1" t="s">
        <v>2896</v>
      </c>
      <c r="G487" s="1">
        <v>2</v>
      </c>
      <c r="H487" s="1" t="s">
        <v>19</v>
      </c>
      <c r="I487" s="1" t="s">
        <v>2835</v>
      </c>
      <c r="J487" s="1">
        <v>0.05</v>
      </c>
      <c r="K487" s="1">
        <v>0.1</v>
      </c>
      <c r="L487" s="42">
        <v>5</v>
      </c>
      <c r="M487" s="43">
        <v>46055</v>
      </c>
      <c r="N487" s="1" t="e">
        <f>VLOOKUP(B487,MICRO!E:L,8,0)</f>
        <v>#N/A</v>
      </c>
    </row>
    <row r="488" spans="1:14" ht="20.25" x14ac:dyDescent="0.25">
      <c r="A488" s="1">
        <v>184</v>
      </c>
      <c r="B488" s="1"/>
      <c r="C488" s="1" t="s">
        <v>2853</v>
      </c>
      <c r="D488" s="1"/>
      <c r="E488" s="1"/>
      <c r="F488" s="1" t="s">
        <v>2897</v>
      </c>
      <c r="G488" s="1">
        <v>12</v>
      </c>
      <c r="H488" s="1" t="s">
        <v>19</v>
      </c>
      <c r="I488" s="1" t="s">
        <v>2855</v>
      </c>
      <c r="J488" s="1">
        <v>0.05</v>
      </c>
      <c r="K488" s="1">
        <v>0.60000000000000009</v>
      </c>
      <c r="L488" s="42">
        <v>5</v>
      </c>
      <c r="M488" s="43">
        <v>46055</v>
      </c>
      <c r="N488" s="1" t="e">
        <f>VLOOKUP(B488,MICRO!E:L,8,0)</f>
        <v>#N/A</v>
      </c>
    </row>
    <row r="489" spans="1:14" ht="20.25" x14ac:dyDescent="0.25">
      <c r="A489" s="1">
        <v>185</v>
      </c>
      <c r="B489" s="1"/>
      <c r="C489" s="1" t="s">
        <v>950</v>
      </c>
      <c r="D489" s="1"/>
      <c r="E489" s="1"/>
      <c r="F489" s="1" t="s">
        <v>2898</v>
      </c>
      <c r="G489" s="1">
        <v>9</v>
      </c>
      <c r="H489" s="1" t="s">
        <v>19</v>
      </c>
      <c r="I489" s="1" t="s">
        <v>2754</v>
      </c>
      <c r="J489" s="1">
        <v>0.05</v>
      </c>
      <c r="K489" s="1">
        <v>0.45</v>
      </c>
      <c r="L489" s="42">
        <v>5</v>
      </c>
      <c r="M489" s="43">
        <v>46055</v>
      </c>
      <c r="N489" s="1" t="e">
        <f>VLOOKUP(B489,MICRO!E:L,8,0)</f>
        <v>#N/A</v>
      </c>
    </row>
    <row r="490" spans="1:14" ht="20.25" x14ac:dyDescent="0.25">
      <c r="A490" s="1">
        <v>186</v>
      </c>
      <c r="B490" s="1"/>
      <c r="C490" s="1" t="s">
        <v>1996</v>
      </c>
      <c r="D490" s="1"/>
      <c r="E490" s="1"/>
      <c r="F490" s="1" t="s">
        <v>2899</v>
      </c>
      <c r="G490" s="1">
        <v>9</v>
      </c>
      <c r="H490" s="1" t="s">
        <v>19</v>
      </c>
      <c r="I490" s="1" t="s">
        <v>2851</v>
      </c>
      <c r="J490" s="1">
        <v>0.05</v>
      </c>
      <c r="K490" s="1">
        <v>0.45</v>
      </c>
      <c r="L490" s="42">
        <v>5</v>
      </c>
      <c r="M490" s="43">
        <v>46055</v>
      </c>
      <c r="N490" s="1" t="e">
        <f>VLOOKUP(B490,MICRO!E:L,8,0)</f>
        <v>#N/A</v>
      </c>
    </row>
    <row r="491" spans="1:14" ht="20.25" x14ac:dyDescent="0.25">
      <c r="A491" s="1">
        <v>187</v>
      </c>
      <c r="B491" s="1"/>
      <c r="C491" s="1" t="s">
        <v>1990</v>
      </c>
      <c r="D491" s="1"/>
      <c r="E491" s="1"/>
      <c r="F491" s="1" t="s">
        <v>2900</v>
      </c>
      <c r="G491" s="1">
        <v>9</v>
      </c>
      <c r="H491" s="1" t="s">
        <v>19</v>
      </c>
      <c r="I491" s="1" t="s">
        <v>585</v>
      </c>
      <c r="J491" s="1">
        <v>0.05</v>
      </c>
      <c r="K491" s="1">
        <v>0.45</v>
      </c>
      <c r="L491" s="42">
        <v>5</v>
      </c>
      <c r="M491" s="43">
        <v>46055</v>
      </c>
      <c r="N491" s="1" t="e">
        <f>VLOOKUP(B491,MICRO!E:L,8,0)</f>
        <v>#N/A</v>
      </c>
    </row>
    <row r="492" spans="1:14" ht="20.25" x14ac:dyDescent="0.25">
      <c r="A492" s="1">
        <v>188</v>
      </c>
      <c r="B492" s="1"/>
      <c r="C492" s="1" t="s">
        <v>2837</v>
      </c>
      <c r="D492" s="1"/>
      <c r="E492" s="1"/>
      <c r="F492" s="1" t="s">
        <v>2901</v>
      </c>
      <c r="G492" s="1">
        <v>4</v>
      </c>
      <c r="H492" s="1" t="s">
        <v>19</v>
      </c>
      <c r="I492" s="1" t="s">
        <v>585</v>
      </c>
      <c r="J492" s="1">
        <v>0.05</v>
      </c>
      <c r="K492" s="1">
        <v>0.2</v>
      </c>
      <c r="L492" s="42">
        <v>5</v>
      </c>
      <c r="M492" s="43">
        <v>46055</v>
      </c>
      <c r="N492" s="1" t="e">
        <f>VLOOKUP(B492,MICRO!E:L,8,0)</f>
        <v>#N/A</v>
      </c>
    </row>
    <row r="493" spans="1:14" ht="20.25" x14ac:dyDescent="0.25">
      <c r="A493" s="1">
        <v>189</v>
      </c>
      <c r="B493" s="1"/>
      <c r="C493" s="1" t="s">
        <v>1286</v>
      </c>
      <c r="D493" s="1"/>
      <c r="E493" s="1"/>
      <c r="F493" s="1" t="s">
        <v>2902</v>
      </c>
      <c r="G493" s="1">
        <v>4</v>
      </c>
      <c r="H493" s="1" t="s">
        <v>19</v>
      </c>
      <c r="I493" s="1" t="s">
        <v>629</v>
      </c>
      <c r="J493" s="1">
        <v>0.05</v>
      </c>
      <c r="K493" s="1">
        <v>0.2</v>
      </c>
      <c r="L493" s="42">
        <v>5</v>
      </c>
      <c r="M493" s="43">
        <v>46055</v>
      </c>
      <c r="N493" s="1" t="e">
        <f>VLOOKUP(B493,MICRO!E:L,8,0)</f>
        <v>#N/A</v>
      </c>
    </row>
    <row r="494" spans="1:14" ht="20.25" x14ac:dyDescent="0.25">
      <c r="A494" s="1">
        <v>190</v>
      </c>
      <c r="B494" s="1"/>
      <c r="C494" s="1" t="s">
        <v>2839</v>
      </c>
      <c r="D494" s="1"/>
      <c r="E494" s="1"/>
      <c r="F494" s="1" t="s">
        <v>2903</v>
      </c>
      <c r="G494" s="1">
        <v>16</v>
      </c>
      <c r="H494" s="1" t="s">
        <v>19</v>
      </c>
      <c r="I494" s="1" t="s">
        <v>2839</v>
      </c>
      <c r="J494" s="1">
        <v>0.05</v>
      </c>
      <c r="K494" s="1">
        <v>0.8</v>
      </c>
      <c r="L494" s="42">
        <v>5</v>
      </c>
      <c r="M494" s="43">
        <v>46055</v>
      </c>
      <c r="N494" s="1" t="e">
        <f>VLOOKUP(B494,MICRO!E:L,8,0)</f>
        <v>#N/A</v>
      </c>
    </row>
    <row r="495" spans="1:14" ht="20.25" x14ac:dyDescent="0.25">
      <c r="A495" s="1">
        <v>191</v>
      </c>
      <c r="B495" s="1"/>
      <c r="C495" s="1" t="s">
        <v>1286</v>
      </c>
      <c r="D495" s="1"/>
      <c r="E495" s="1"/>
      <c r="F495" s="1" t="s">
        <v>2904</v>
      </c>
      <c r="G495" s="1">
        <v>40</v>
      </c>
      <c r="H495" s="1" t="s">
        <v>19</v>
      </c>
      <c r="I495" s="1" t="s">
        <v>629</v>
      </c>
      <c r="J495" s="1">
        <v>0.05</v>
      </c>
      <c r="K495" s="1">
        <v>2</v>
      </c>
      <c r="L495" s="42">
        <v>5</v>
      </c>
      <c r="M495" s="43">
        <v>46055</v>
      </c>
      <c r="N495" s="1" t="e">
        <f>VLOOKUP(B495,MICRO!E:L,8,0)</f>
        <v>#N/A</v>
      </c>
    </row>
    <row r="496" spans="1:14" ht="20.25" x14ac:dyDescent="0.25">
      <c r="A496" s="1">
        <v>192</v>
      </c>
      <c r="B496" s="1"/>
      <c r="C496" s="1" t="s">
        <v>2839</v>
      </c>
      <c r="D496" s="1"/>
      <c r="E496" s="1"/>
      <c r="F496" s="1" t="s">
        <v>2905</v>
      </c>
      <c r="G496" s="1">
        <v>8</v>
      </c>
      <c r="H496" s="1" t="s">
        <v>19</v>
      </c>
      <c r="I496" s="1" t="s">
        <v>2754</v>
      </c>
      <c r="J496" s="1">
        <v>0.05</v>
      </c>
      <c r="K496" s="1">
        <v>0.4</v>
      </c>
      <c r="L496" s="42">
        <v>5</v>
      </c>
      <c r="M496" s="43">
        <v>46055</v>
      </c>
      <c r="N496" s="1" t="e">
        <f>VLOOKUP(B496,MICRO!E:L,8,0)</f>
        <v>#N/A</v>
      </c>
    </row>
    <row r="497" spans="1:14" ht="20.25" x14ac:dyDescent="0.25">
      <c r="A497" s="1">
        <v>193</v>
      </c>
      <c r="B497" s="1"/>
      <c r="C497" s="1" t="s">
        <v>2860</v>
      </c>
      <c r="D497" s="1"/>
      <c r="E497" s="1"/>
      <c r="F497" s="1" t="s">
        <v>2906</v>
      </c>
      <c r="G497" s="1">
        <v>18</v>
      </c>
      <c r="H497" s="1" t="s">
        <v>19</v>
      </c>
      <c r="I497" s="1" t="s">
        <v>2862</v>
      </c>
      <c r="J497" s="1">
        <v>0.05</v>
      </c>
      <c r="K497" s="1">
        <v>0.9</v>
      </c>
      <c r="L497" s="42">
        <v>5</v>
      </c>
      <c r="M497" s="43">
        <v>46055</v>
      </c>
      <c r="N497" s="1" t="e">
        <f>VLOOKUP(B497,MICRO!E:L,8,0)</f>
        <v>#N/A</v>
      </c>
    </row>
    <row r="498" spans="1:14" ht="20.25" x14ac:dyDescent="0.25">
      <c r="A498" s="1">
        <v>194</v>
      </c>
      <c r="B498" s="1"/>
      <c r="C498" s="1" t="s">
        <v>2837</v>
      </c>
      <c r="D498" s="1"/>
      <c r="E498" s="1"/>
      <c r="F498" s="1" t="s">
        <v>2907</v>
      </c>
      <c r="G498" s="1">
        <v>8</v>
      </c>
      <c r="H498" s="1" t="s">
        <v>19</v>
      </c>
      <c r="I498" s="1" t="s">
        <v>585</v>
      </c>
      <c r="J498" s="1">
        <v>0.05</v>
      </c>
      <c r="K498" s="1">
        <v>0.4</v>
      </c>
      <c r="L498" s="42">
        <v>5</v>
      </c>
      <c r="M498" s="43">
        <v>46055</v>
      </c>
      <c r="N498" s="1" t="e">
        <f>VLOOKUP(B498,MICRO!E:L,8,0)</f>
        <v>#N/A</v>
      </c>
    </row>
    <row r="499" spans="1:14" ht="20.25" x14ac:dyDescent="0.25">
      <c r="A499" s="1">
        <v>195</v>
      </c>
      <c r="B499" s="1"/>
      <c r="C499" s="1" t="s">
        <v>2837</v>
      </c>
      <c r="D499" s="1"/>
      <c r="E499" s="1"/>
      <c r="F499" s="1" t="s">
        <v>2908</v>
      </c>
      <c r="G499" s="1">
        <v>38</v>
      </c>
      <c r="H499" s="1" t="s">
        <v>19</v>
      </c>
      <c r="I499" s="1" t="s">
        <v>585</v>
      </c>
      <c r="J499" s="1">
        <v>0.05</v>
      </c>
      <c r="K499" s="1">
        <v>1.9000000000000001</v>
      </c>
      <c r="L499" s="42">
        <v>5</v>
      </c>
      <c r="M499" s="43">
        <v>46055</v>
      </c>
      <c r="N499" s="1" t="e">
        <f>VLOOKUP(B499,MICRO!E:L,8,0)</f>
        <v>#N/A</v>
      </c>
    </row>
    <row r="500" spans="1:14" ht="20.25" x14ac:dyDescent="0.25">
      <c r="A500" s="1">
        <v>196</v>
      </c>
      <c r="B500" s="1"/>
      <c r="C500" s="1" t="s">
        <v>2839</v>
      </c>
      <c r="D500" s="1"/>
      <c r="E500" s="1"/>
      <c r="F500" s="1" t="s">
        <v>2909</v>
      </c>
      <c r="G500" s="1">
        <v>10</v>
      </c>
      <c r="H500" s="1" t="s">
        <v>19</v>
      </c>
      <c r="I500" s="1" t="s">
        <v>2754</v>
      </c>
      <c r="J500" s="1">
        <v>0.05</v>
      </c>
      <c r="K500" s="1">
        <v>0.5</v>
      </c>
      <c r="L500" s="42">
        <v>5</v>
      </c>
      <c r="M500" s="43">
        <v>46055</v>
      </c>
      <c r="N500" s="1" t="e">
        <f>VLOOKUP(B500,MICRO!E:L,8,0)</f>
        <v>#N/A</v>
      </c>
    </row>
    <row r="501" spans="1:14" ht="20.25" x14ac:dyDescent="0.25">
      <c r="A501" s="1">
        <v>197</v>
      </c>
      <c r="B501" s="1"/>
      <c r="C501" s="1" t="s">
        <v>2872</v>
      </c>
      <c r="D501" s="1"/>
      <c r="E501" s="1"/>
      <c r="F501" s="1" t="s">
        <v>2910</v>
      </c>
      <c r="G501" s="1">
        <v>4</v>
      </c>
      <c r="H501" s="1" t="s">
        <v>19</v>
      </c>
      <c r="I501" s="1" t="s">
        <v>2862</v>
      </c>
      <c r="J501" s="1">
        <v>0.05</v>
      </c>
      <c r="K501" s="1">
        <v>0.2</v>
      </c>
      <c r="L501" s="42">
        <v>5</v>
      </c>
      <c r="M501" s="43">
        <v>46055</v>
      </c>
      <c r="N501" s="1" t="e">
        <f>VLOOKUP(B501,MICRO!E:L,8,0)</f>
        <v>#N/A</v>
      </c>
    </row>
    <row r="502" spans="1:14" ht="20.25" x14ac:dyDescent="0.25">
      <c r="A502" s="1">
        <v>198</v>
      </c>
      <c r="B502" s="1"/>
      <c r="C502" s="1" t="s">
        <v>1990</v>
      </c>
      <c r="D502" s="1"/>
      <c r="E502" s="1"/>
      <c r="F502" s="1" t="s">
        <v>2911</v>
      </c>
      <c r="G502" s="1">
        <v>9</v>
      </c>
      <c r="H502" s="1" t="s">
        <v>19</v>
      </c>
      <c r="I502" s="1" t="s">
        <v>585</v>
      </c>
      <c r="J502" s="1">
        <v>0.05</v>
      </c>
      <c r="K502" s="1">
        <v>0.45</v>
      </c>
      <c r="L502" s="42">
        <v>5</v>
      </c>
      <c r="M502" s="43">
        <v>46055</v>
      </c>
      <c r="N502" s="1" t="e">
        <f>VLOOKUP(B502,MICRO!E:L,8,0)</f>
        <v>#N/A</v>
      </c>
    </row>
    <row r="503" spans="1:14" ht="20.25" x14ac:dyDescent="0.25">
      <c r="A503" s="1">
        <v>199</v>
      </c>
      <c r="B503" s="1"/>
      <c r="C503" s="1" t="s">
        <v>2880</v>
      </c>
      <c r="D503" s="1"/>
      <c r="E503" s="1"/>
      <c r="F503" s="1" t="s">
        <v>2912</v>
      </c>
      <c r="G503" s="1">
        <v>32</v>
      </c>
      <c r="H503" s="1" t="s">
        <v>19</v>
      </c>
      <c r="I503" s="1" t="s">
        <v>589</v>
      </c>
      <c r="J503" s="1">
        <v>0.05</v>
      </c>
      <c r="K503" s="1">
        <v>1.6</v>
      </c>
      <c r="L503" s="42">
        <v>5</v>
      </c>
      <c r="M503" s="43">
        <v>46055</v>
      </c>
      <c r="N503" s="1" t="e">
        <f>VLOOKUP(B503,MICRO!E:L,8,0)</f>
        <v>#N/A</v>
      </c>
    </row>
    <row r="504" spans="1:14" ht="20.25" x14ac:dyDescent="0.25">
      <c r="A504" s="1">
        <v>200</v>
      </c>
      <c r="B504" s="1"/>
      <c r="C504" s="1" t="s">
        <v>2876</v>
      </c>
      <c r="D504" s="1"/>
      <c r="E504" s="1"/>
      <c r="F504" s="1" t="s">
        <v>2913</v>
      </c>
      <c r="G504" s="1">
        <v>4</v>
      </c>
      <c r="H504" s="1" t="s">
        <v>19</v>
      </c>
      <c r="I504" s="1" t="s">
        <v>585</v>
      </c>
      <c r="J504" s="1">
        <v>0.05</v>
      </c>
      <c r="K504" s="1">
        <v>0.2</v>
      </c>
      <c r="L504" s="42">
        <v>5</v>
      </c>
      <c r="M504" s="43">
        <v>46055</v>
      </c>
      <c r="N504" s="1" t="e">
        <f>VLOOKUP(B504,MICRO!E:L,8,0)</f>
        <v>#N/A</v>
      </c>
    </row>
    <row r="505" spans="1:14" ht="20.25" x14ac:dyDescent="0.25">
      <c r="A505" s="1">
        <v>201</v>
      </c>
      <c r="B505" s="1"/>
      <c r="C505" s="1" t="s">
        <v>2864</v>
      </c>
      <c r="D505" s="1"/>
      <c r="E505" s="1"/>
      <c r="F505" s="1" t="s">
        <v>2914</v>
      </c>
      <c r="G505" s="1">
        <v>32</v>
      </c>
      <c r="H505" s="1" t="s">
        <v>19</v>
      </c>
      <c r="I505" s="1" t="s">
        <v>585</v>
      </c>
      <c r="J505" s="1">
        <v>0.05</v>
      </c>
      <c r="K505" s="1">
        <v>1.6</v>
      </c>
      <c r="L505" s="42">
        <v>5</v>
      </c>
      <c r="M505" s="43">
        <v>46055</v>
      </c>
      <c r="N505" s="1" t="e">
        <f>VLOOKUP(B505,MICRO!E:L,8,0)</f>
        <v>#N/A</v>
      </c>
    </row>
    <row r="506" spans="1:14" ht="20.25" x14ac:dyDescent="0.25">
      <c r="A506" s="1">
        <v>202</v>
      </c>
      <c r="B506" s="1"/>
      <c r="C506" s="1" t="s">
        <v>183</v>
      </c>
      <c r="D506" s="1"/>
      <c r="E506" s="1"/>
      <c r="F506" s="1" t="s">
        <v>2915</v>
      </c>
      <c r="G506" s="1">
        <v>2</v>
      </c>
      <c r="H506" s="1" t="s">
        <v>19</v>
      </c>
      <c r="I506" s="1" t="s">
        <v>2855</v>
      </c>
      <c r="J506" s="1">
        <v>0.05</v>
      </c>
      <c r="K506" s="1">
        <v>0.1</v>
      </c>
      <c r="L506" s="42">
        <v>5</v>
      </c>
      <c r="M506" s="43">
        <v>46055</v>
      </c>
      <c r="N506" s="1" t="e">
        <f>VLOOKUP(B506,MICRO!E:L,8,0)</f>
        <v>#N/A</v>
      </c>
    </row>
    <row r="507" spans="1:14" ht="20.25" x14ac:dyDescent="0.25">
      <c r="A507" s="1">
        <v>203</v>
      </c>
      <c r="B507" s="1"/>
      <c r="C507" s="1" t="s">
        <v>959</v>
      </c>
      <c r="D507" s="1"/>
      <c r="E507" s="1"/>
      <c r="F507" s="1" t="s">
        <v>2916</v>
      </c>
      <c r="G507" s="1">
        <v>2</v>
      </c>
      <c r="H507" s="1" t="s">
        <v>19</v>
      </c>
      <c r="I507" s="1" t="s">
        <v>2855</v>
      </c>
      <c r="J507" s="1">
        <v>0.05</v>
      </c>
      <c r="K507" s="1">
        <v>0.1</v>
      </c>
      <c r="L507" s="42">
        <v>5</v>
      </c>
      <c r="M507" s="43">
        <v>46055</v>
      </c>
      <c r="N507" s="1" t="e">
        <f>VLOOKUP(B507,MICRO!E:L,8,0)</f>
        <v>#N/A</v>
      </c>
    </row>
    <row r="508" spans="1:14" ht="20.25" x14ac:dyDescent="0.25">
      <c r="A508" s="1">
        <v>204</v>
      </c>
      <c r="B508" s="1"/>
      <c r="C508" s="1" t="s">
        <v>2867</v>
      </c>
      <c r="D508" s="1"/>
      <c r="E508" s="1"/>
      <c r="F508" s="1" t="s">
        <v>2917</v>
      </c>
      <c r="G508" s="1">
        <v>2</v>
      </c>
      <c r="H508" s="1" t="s">
        <v>19</v>
      </c>
      <c r="I508" s="1" t="s">
        <v>634</v>
      </c>
      <c r="J508" s="1">
        <v>0.05</v>
      </c>
      <c r="K508" s="1">
        <v>0.1</v>
      </c>
      <c r="L508" s="42">
        <v>5</v>
      </c>
      <c r="M508" s="43">
        <v>46055</v>
      </c>
      <c r="N508" s="1" t="e">
        <f>VLOOKUP(B508,MICRO!E:L,8,0)</f>
        <v>#N/A</v>
      </c>
    </row>
    <row r="509" spans="1:14" ht="20.25" x14ac:dyDescent="0.25">
      <c r="A509" s="1">
        <v>205</v>
      </c>
      <c r="B509" s="1"/>
      <c r="C509" s="1" t="s">
        <v>2918</v>
      </c>
      <c r="D509" s="1"/>
      <c r="E509" s="1"/>
      <c r="F509" s="1" t="s">
        <v>2919</v>
      </c>
      <c r="G509" s="1">
        <v>2</v>
      </c>
      <c r="H509" s="1" t="s">
        <v>19</v>
      </c>
      <c r="I509" s="1" t="s">
        <v>589</v>
      </c>
      <c r="J509" s="1">
        <v>0.05</v>
      </c>
      <c r="K509" s="1">
        <v>0.1</v>
      </c>
      <c r="L509" s="42">
        <v>5</v>
      </c>
      <c r="M509" s="43">
        <v>46055</v>
      </c>
      <c r="N509" s="1" t="e">
        <f>VLOOKUP(B509,MICRO!E:L,8,0)</f>
        <v>#N/A</v>
      </c>
    </row>
    <row r="510" spans="1:14" ht="20.25" x14ac:dyDescent="0.25">
      <c r="A510" s="1">
        <v>206</v>
      </c>
      <c r="B510" s="1"/>
      <c r="C510" s="1" t="s">
        <v>2918</v>
      </c>
      <c r="D510" s="1"/>
      <c r="E510" s="1"/>
      <c r="F510" s="1" t="s">
        <v>2920</v>
      </c>
      <c r="G510" s="1">
        <v>4</v>
      </c>
      <c r="H510" s="1" t="s">
        <v>19</v>
      </c>
      <c r="I510" s="1" t="s">
        <v>589</v>
      </c>
      <c r="J510" s="1">
        <v>0.05</v>
      </c>
      <c r="K510" s="1">
        <v>0.2</v>
      </c>
      <c r="L510" s="42">
        <v>5</v>
      </c>
      <c r="M510" s="43">
        <v>46055</v>
      </c>
      <c r="N510" s="1" t="e">
        <f>VLOOKUP(B510,MICRO!E:L,8,0)</f>
        <v>#N/A</v>
      </c>
    </row>
    <row r="511" spans="1:14" ht="20.25" x14ac:dyDescent="0.25">
      <c r="A511" s="1">
        <v>207</v>
      </c>
      <c r="B511" s="1"/>
      <c r="C511" s="1" t="s">
        <v>2867</v>
      </c>
      <c r="D511" s="1"/>
      <c r="E511" s="1"/>
      <c r="F511" s="1" t="s">
        <v>2921</v>
      </c>
      <c r="G511" s="1">
        <v>4</v>
      </c>
      <c r="H511" s="1" t="s">
        <v>19</v>
      </c>
      <c r="I511" s="1" t="s">
        <v>634</v>
      </c>
      <c r="J511" s="1">
        <v>0.05</v>
      </c>
      <c r="K511" s="1">
        <v>0.2</v>
      </c>
      <c r="L511" s="42">
        <v>5</v>
      </c>
      <c r="M511" s="43">
        <v>46055</v>
      </c>
      <c r="N511" s="1" t="e">
        <f>VLOOKUP(B511,MICRO!E:L,8,0)</f>
        <v>#N/A</v>
      </c>
    </row>
    <row r="512" spans="1:14" ht="20.25" x14ac:dyDescent="0.25">
      <c r="A512" s="1">
        <v>208</v>
      </c>
      <c r="B512" s="1"/>
      <c r="C512" s="1" t="s">
        <v>2848</v>
      </c>
      <c r="D512" s="1"/>
      <c r="E512" s="1"/>
      <c r="F512" s="1" t="s">
        <v>2922</v>
      </c>
      <c r="G512" s="1">
        <v>4</v>
      </c>
      <c r="H512" s="1" t="s">
        <v>19</v>
      </c>
      <c r="I512" s="1" t="s">
        <v>585</v>
      </c>
      <c r="J512" s="1">
        <v>0.05</v>
      </c>
      <c r="K512" s="1">
        <v>0.2</v>
      </c>
      <c r="L512" s="42">
        <v>5</v>
      </c>
      <c r="M512" s="43">
        <v>46055</v>
      </c>
      <c r="N512" s="1" t="e">
        <f>VLOOKUP(B512,MICRO!E:L,8,0)</f>
        <v>#N/A</v>
      </c>
    </row>
    <row r="513" spans="1:14" ht="20.25" x14ac:dyDescent="0.25">
      <c r="A513" s="1">
        <v>209</v>
      </c>
      <c r="B513" s="1"/>
      <c r="C513" s="1" t="s">
        <v>2848</v>
      </c>
      <c r="D513" s="1"/>
      <c r="E513" s="1"/>
      <c r="F513" s="1" t="s">
        <v>2923</v>
      </c>
      <c r="G513" s="1">
        <v>2</v>
      </c>
      <c r="H513" s="1" t="s">
        <v>19</v>
      </c>
      <c r="I513" s="1" t="s">
        <v>585</v>
      </c>
      <c r="J513" s="1">
        <v>0.05</v>
      </c>
      <c r="K513" s="1">
        <v>0.1</v>
      </c>
      <c r="L513" s="42">
        <v>5</v>
      </c>
      <c r="M513" s="43">
        <v>46055</v>
      </c>
      <c r="N513" s="1" t="e">
        <f>VLOOKUP(B513,MICRO!E:L,8,0)</f>
        <v>#N/A</v>
      </c>
    </row>
    <row r="514" spans="1:14" ht="20.25" x14ac:dyDescent="0.25">
      <c r="A514" s="1">
        <v>210</v>
      </c>
      <c r="B514" s="1"/>
      <c r="C514" s="1" t="s">
        <v>1996</v>
      </c>
      <c r="D514" s="1"/>
      <c r="E514" s="1"/>
      <c r="F514" s="1" t="s">
        <v>2924</v>
      </c>
      <c r="G514" s="1">
        <v>9</v>
      </c>
      <c r="H514" s="1" t="s">
        <v>19</v>
      </c>
      <c r="I514" s="1" t="s">
        <v>2851</v>
      </c>
      <c r="J514" s="1">
        <v>0.05</v>
      </c>
      <c r="K514" s="1">
        <v>0.45</v>
      </c>
      <c r="L514" s="42">
        <v>5</v>
      </c>
      <c r="M514" s="43">
        <v>46055</v>
      </c>
      <c r="N514" s="1" t="e">
        <f>VLOOKUP(B514,MICRO!E:L,8,0)</f>
        <v>#N/A</v>
      </c>
    </row>
    <row r="515" spans="1:14" ht="20.25" x14ac:dyDescent="0.25">
      <c r="A515" s="1">
        <v>211</v>
      </c>
      <c r="B515" s="1"/>
      <c r="C515" s="1" t="s">
        <v>2882</v>
      </c>
      <c r="D515" s="1"/>
      <c r="E515" s="1"/>
      <c r="F515" s="1" t="s">
        <v>2925</v>
      </c>
      <c r="G515" s="1">
        <v>48</v>
      </c>
      <c r="H515" s="1" t="s">
        <v>19</v>
      </c>
      <c r="I515" s="1" t="s">
        <v>634</v>
      </c>
      <c r="J515" s="1">
        <v>0.05</v>
      </c>
      <c r="K515" s="1">
        <v>2.4000000000000004</v>
      </c>
      <c r="L515" s="42">
        <v>5</v>
      </c>
      <c r="M515" s="43">
        <v>46055</v>
      </c>
      <c r="N515" s="1" t="e">
        <f>VLOOKUP(B515,MICRO!E:L,8,0)</f>
        <v>#N/A</v>
      </c>
    </row>
    <row r="516" spans="1:14" ht="20.25" x14ac:dyDescent="0.25">
      <c r="A516" s="1">
        <v>212</v>
      </c>
      <c r="B516" s="1"/>
      <c r="C516" s="1" t="s">
        <v>1286</v>
      </c>
      <c r="D516" s="1"/>
      <c r="E516" s="1"/>
      <c r="F516" s="1" t="s">
        <v>2926</v>
      </c>
      <c r="G516" s="1">
        <v>28</v>
      </c>
      <c r="H516" s="1" t="s">
        <v>19</v>
      </c>
      <c r="I516" s="1" t="s">
        <v>629</v>
      </c>
      <c r="J516" s="1">
        <v>0.05</v>
      </c>
      <c r="K516" s="1">
        <v>1.4000000000000001</v>
      </c>
      <c r="L516" s="42">
        <v>5</v>
      </c>
      <c r="M516" s="43">
        <v>46055</v>
      </c>
      <c r="N516" s="1" t="e">
        <f>VLOOKUP(B516,MICRO!E:L,8,0)</f>
        <v>#N/A</v>
      </c>
    </row>
    <row r="517" spans="1:14" ht="20.25" x14ac:dyDescent="0.25">
      <c r="A517" s="1">
        <v>213</v>
      </c>
      <c r="B517" s="1"/>
      <c r="C517" s="1" t="s">
        <v>1286</v>
      </c>
      <c r="D517" s="1"/>
      <c r="E517" s="1"/>
      <c r="F517" s="1" t="s">
        <v>2927</v>
      </c>
      <c r="G517" s="1">
        <v>10</v>
      </c>
      <c r="H517" s="1" t="s">
        <v>19</v>
      </c>
      <c r="I517" s="1" t="s">
        <v>629</v>
      </c>
      <c r="J517" s="1">
        <v>0.05</v>
      </c>
      <c r="K517" s="1">
        <v>0.5</v>
      </c>
      <c r="L517" s="42">
        <v>5</v>
      </c>
      <c r="M517" s="43">
        <v>46055</v>
      </c>
      <c r="N517" s="1" t="e">
        <f>VLOOKUP(B517,MICRO!E:L,8,0)</f>
        <v>#N/A</v>
      </c>
    </row>
    <row r="518" spans="1:14" ht="20.25" x14ac:dyDescent="0.25">
      <c r="A518" s="1">
        <v>214</v>
      </c>
      <c r="B518" s="1"/>
      <c r="C518" s="1" t="s">
        <v>2853</v>
      </c>
      <c r="D518" s="1"/>
      <c r="E518" s="1"/>
      <c r="F518" s="1" t="s">
        <v>2928</v>
      </c>
      <c r="G518" s="1">
        <v>70</v>
      </c>
      <c r="H518" s="1" t="s">
        <v>19</v>
      </c>
      <c r="I518" s="1" t="s">
        <v>2855</v>
      </c>
      <c r="J518" s="1">
        <v>0.05</v>
      </c>
      <c r="K518" s="1">
        <v>3.5</v>
      </c>
      <c r="L518" s="42">
        <v>5</v>
      </c>
      <c r="M518" s="43">
        <v>46055</v>
      </c>
      <c r="N518" s="1" t="e">
        <f>VLOOKUP(B518,MICRO!E:L,8,0)</f>
        <v>#N/A</v>
      </c>
    </row>
    <row r="519" spans="1:14" ht="20.25" x14ac:dyDescent="0.25">
      <c r="A519" s="1">
        <v>215</v>
      </c>
      <c r="B519" s="1"/>
      <c r="C519" s="1" t="s">
        <v>2860</v>
      </c>
      <c r="D519" s="1"/>
      <c r="E519" s="1"/>
      <c r="F519" s="1" t="s">
        <v>2929</v>
      </c>
      <c r="G519" s="1">
        <v>16</v>
      </c>
      <c r="H519" s="1" t="s">
        <v>19</v>
      </c>
      <c r="I519" s="1" t="s">
        <v>2862</v>
      </c>
      <c r="J519" s="1">
        <v>0.05</v>
      </c>
      <c r="K519" s="1">
        <v>0.8</v>
      </c>
      <c r="L519" s="42">
        <v>5</v>
      </c>
      <c r="M519" s="43">
        <v>46055</v>
      </c>
      <c r="N519" s="1" t="e">
        <f>VLOOKUP(B519,MICRO!E:L,8,0)</f>
        <v>#N/A</v>
      </c>
    </row>
    <row r="520" spans="1:14" ht="20.25" x14ac:dyDescent="0.25">
      <c r="A520" s="1">
        <v>216</v>
      </c>
      <c r="B520" s="1"/>
      <c r="C520" s="1" t="s">
        <v>950</v>
      </c>
      <c r="D520" s="1"/>
      <c r="E520" s="1"/>
      <c r="F520" s="1" t="s">
        <v>2930</v>
      </c>
      <c r="G520" s="1">
        <v>9</v>
      </c>
      <c r="H520" s="1" t="s">
        <v>19</v>
      </c>
      <c r="I520" s="1" t="s">
        <v>2754</v>
      </c>
      <c r="J520" s="1">
        <v>0.05</v>
      </c>
      <c r="K520" s="1">
        <v>0.45</v>
      </c>
      <c r="L520" s="42">
        <v>5</v>
      </c>
      <c r="M520" s="43">
        <v>46055</v>
      </c>
      <c r="N520" s="1" t="e">
        <f>VLOOKUP(B520,MICRO!E:L,8,0)</f>
        <v>#N/A</v>
      </c>
    </row>
    <row r="521" spans="1:14" ht="20.25" x14ac:dyDescent="0.25">
      <c r="A521" s="1">
        <v>217</v>
      </c>
      <c r="B521" s="1"/>
      <c r="C521" s="1" t="s">
        <v>2839</v>
      </c>
      <c r="D521" s="1"/>
      <c r="E521" s="1"/>
      <c r="F521" s="1" t="s">
        <v>2931</v>
      </c>
      <c r="G521" s="1">
        <v>4</v>
      </c>
      <c r="H521" s="1" t="s">
        <v>19</v>
      </c>
      <c r="I521" s="1" t="s">
        <v>2754</v>
      </c>
      <c r="J521" s="1">
        <v>0.05</v>
      </c>
      <c r="K521" s="1">
        <v>0.2</v>
      </c>
      <c r="L521" s="42">
        <v>5</v>
      </c>
      <c r="M521" s="43">
        <v>46055</v>
      </c>
      <c r="N521" s="1" t="e">
        <f>VLOOKUP(B521,MICRO!E:L,8,0)</f>
        <v>#N/A</v>
      </c>
    </row>
    <row r="522" spans="1:14" ht="20.25" x14ac:dyDescent="0.25">
      <c r="A522" s="1">
        <v>218</v>
      </c>
      <c r="B522" s="1"/>
      <c r="C522" s="1" t="s">
        <v>2874</v>
      </c>
      <c r="D522" s="1"/>
      <c r="E522" s="1"/>
      <c r="F522" s="1" t="s">
        <v>2932</v>
      </c>
      <c r="G522" s="1">
        <v>4</v>
      </c>
      <c r="H522" s="1" t="s">
        <v>19</v>
      </c>
      <c r="I522" s="1" t="s">
        <v>2754</v>
      </c>
      <c r="J522" s="1">
        <v>0.05</v>
      </c>
      <c r="K522" s="1">
        <v>0.2</v>
      </c>
      <c r="L522" s="42">
        <v>5</v>
      </c>
      <c r="M522" s="43">
        <v>46055</v>
      </c>
      <c r="N522" s="1" t="e">
        <f>VLOOKUP(B522,MICRO!E:L,8,0)</f>
        <v>#N/A</v>
      </c>
    </row>
    <row r="523" spans="1:14" ht="20.25" x14ac:dyDescent="0.25">
      <c r="A523" s="1">
        <v>219</v>
      </c>
      <c r="B523" s="1"/>
      <c r="C523" s="1" t="s">
        <v>2841</v>
      </c>
      <c r="D523" s="1"/>
      <c r="E523" s="1"/>
      <c r="F523" s="1" t="s">
        <v>2933</v>
      </c>
      <c r="G523" s="1">
        <v>24</v>
      </c>
      <c r="H523" s="1" t="s">
        <v>19</v>
      </c>
      <c r="I523" s="1" t="s">
        <v>589</v>
      </c>
      <c r="J523" s="1">
        <v>0.03</v>
      </c>
      <c r="K523" s="1">
        <v>0.72</v>
      </c>
      <c r="L523" s="42">
        <v>5</v>
      </c>
      <c r="M523" s="43">
        <v>46055</v>
      </c>
      <c r="N523" s="1" t="e">
        <f>VLOOKUP(B523,MICRO!E:L,8,0)</f>
        <v>#N/A</v>
      </c>
    </row>
    <row r="524" spans="1:14" ht="20.25" x14ac:dyDescent="0.25">
      <c r="A524" s="1">
        <v>220</v>
      </c>
      <c r="B524" s="1"/>
      <c r="C524" s="1" t="s">
        <v>2856</v>
      </c>
      <c r="D524" s="1"/>
      <c r="E524" s="1"/>
      <c r="F524" s="1" t="s">
        <v>2934</v>
      </c>
      <c r="G524" s="1">
        <v>44</v>
      </c>
      <c r="H524" s="1" t="s">
        <v>19</v>
      </c>
      <c r="I524" s="1" t="s">
        <v>2858</v>
      </c>
      <c r="J524" s="1">
        <v>0.03</v>
      </c>
      <c r="K524" s="1">
        <v>1.3199999999999998</v>
      </c>
      <c r="L524" s="42">
        <v>5</v>
      </c>
      <c r="M524" s="43">
        <v>46055</v>
      </c>
      <c r="N524" s="1" t="e">
        <f>VLOOKUP(B524,MICRO!E:L,8,0)</f>
        <v>#N/A</v>
      </c>
    </row>
    <row r="525" spans="1:14" ht="20.25" x14ac:dyDescent="0.25">
      <c r="A525" s="1">
        <v>221</v>
      </c>
      <c r="B525" s="1"/>
      <c r="C525" s="1" t="s">
        <v>2843</v>
      </c>
      <c r="D525" s="1"/>
      <c r="E525" s="1"/>
      <c r="F525" s="1" t="s">
        <v>2935</v>
      </c>
      <c r="G525" s="1">
        <v>28</v>
      </c>
      <c r="H525" s="1" t="s">
        <v>19</v>
      </c>
      <c r="I525" s="1" t="s">
        <v>2845</v>
      </c>
      <c r="J525" s="1">
        <v>0.03</v>
      </c>
      <c r="K525" s="1">
        <v>0.84</v>
      </c>
      <c r="L525" s="42">
        <v>5</v>
      </c>
      <c r="M525" s="43">
        <v>46055</v>
      </c>
      <c r="N525" s="1" t="e">
        <f>VLOOKUP(B525,MICRO!E:L,8,0)</f>
        <v>#N/A</v>
      </c>
    </row>
    <row r="526" spans="1:14" ht="20.25" x14ac:dyDescent="0.25">
      <c r="A526" s="1">
        <v>222</v>
      </c>
      <c r="B526" s="1"/>
      <c r="C526" s="1" t="s">
        <v>183</v>
      </c>
      <c r="D526" s="1"/>
      <c r="E526" s="1"/>
      <c r="F526" s="1" t="s">
        <v>2936</v>
      </c>
      <c r="G526" s="1">
        <v>2</v>
      </c>
      <c r="H526" s="1" t="s">
        <v>19</v>
      </c>
      <c r="I526" s="1" t="s">
        <v>2835</v>
      </c>
      <c r="J526" s="1">
        <v>0.03</v>
      </c>
      <c r="K526" s="1">
        <v>0.06</v>
      </c>
      <c r="L526" s="42">
        <v>5</v>
      </c>
      <c r="M526" s="43">
        <v>46055</v>
      </c>
      <c r="N526" s="1" t="e">
        <f>VLOOKUP(B526,MICRO!E:L,8,0)</f>
        <v>#N/A</v>
      </c>
    </row>
    <row r="527" spans="1:14" ht="20.25" x14ac:dyDescent="0.25">
      <c r="A527" s="1">
        <v>223</v>
      </c>
      <c r="B527" s="1"/>
      <c r="C527" s="1" t="s">
        <v>2853</v>
      </c>
      <c r="D527" s="1"/>
      <c r="E527" s="1"/>
      <c r="F527" s="1" t="s">
        <v>2937</v>
      </c>
      <c r="G527" s="1">
        <v>12</v>
      </c>
      <c r="H527" s="1" t="s">
        <v>19</v>
      </c>
      <c r="I527" s="1" t="s">
        <v>2855</v>
      </c>
      <c r="J527" s="1">
        <v>0.03</v>
      </c>
      <c r="K527" s="1">
        <v>0.36</v>
      </c>
      <c r="L527" s="42">
        <v>5</v>
      </c>
      <c r="M527" s="43">
        <v>46055</v>
      </c>
      <c r="N527" s="1" t="e">
        <f>VLOOKUP(B527,MICRO!E:L,8,0)</f>
        <v>#N/A</v>
      </c>
    </row>
    <row r="528" spans="1:14" ht="20.25" x14ac:dyDescent="0.25">
      <c r="A528" s="1">
        <v>224</v>
      </c>
      <c r="B528" s="1"/>
      <c r="C528" s="1" t="s">
        <v>1996</v>
      </c>
      <c r="D528" s="1"/>
      <c r="E528" s="1"/>
      <c r="F528" s="1" t="s">
        <v>2938</v>
      </c>
      <c r="G528" s="1">
        <v>9</v>
      </c>
      <c r="H528" s="1" t="s">
        <v>19</v>
      </c>
      <c r="I528" s="1" t="s">
        <v>2851</v>
      </c>
      <c r="J528" s="1">
        <v>0.03</v>
      </c>
      <c r="K528" s="1">
        <v>0.27</v>
      </c>
      <c r="L528" s="42">
        <v>5</v>
      </c>
      <c r="M528" s="43">
        <v>46055</v>
      </c>
      <c r="N528" s="1" t="e">
        <f>VLOOKUP(B528,MICRO!E:L,8,0)</f>
        <v>#N/A</v>
      </c>
    </row>
    <row r="529" spans="1:14" ht="20.25" x14ac:dyDescent="0.25">
      <c r="A529" s="1">
        <v>225</v>
      </c>
      <c r="B529" s="1"/>
      <c r="C529" s="1" t="s">
        <v>950</v>
      </c>
      <c r="D529" s="1"/>
      <c r="E529" s="1"/>
      <c r="F529" s="1" t="s">
        <v>2939</v>
      </c>
      <c r="G529" s="1">
        <v>13</v>
      </c>
      <c r="H529" s="1" t="s">
        <v>19</v>
      </c>
      <c r="I529" s="1" t="s">
        <v>2754</v>
      </c>
      <c r="J529" s="1">
        <v>0.03</v>
      </c>
      <c r="K529" s="1">
        <v>0.39</v>
      </c>
      <c r="L529" s="42">
        <v>5</v>
      </c>
      <c r="M529" s="43">
        <v>46055</v>
      </c>
      <c r="N529" s="1" t="e">
        <f>VLOOKUP(B529,MICRO!E:L,8,0)</f>
        <v>#N/A</v>
      </c>
    </row>
    <row r="530" spans="1:14" ht="20.25" x14ac:dyDescent="0.25">
      <c r="A530" s="1">
        <v>226</v>
      </c>
      <c r="B530" s="1"/>
      <c r="C530" s="1" t="s">
        <v>1286</v>
      </c>
      <c r="D530" s="1"/>
      <c r="E530" s="1"/>
      <c r="F530" s="1" t="s">
        <v>2940</v>
      </c>
      <c r="G530" s="1">
        <v>68</v>
      </c>
      <c r="H530" s="1" t="s">
        <v>19</v>
      </c>
      <c r="I530" s="1" t="s">
        <v>629</v>
      </c>
      <c r="J530" s="1">
        <v>0.03</v>
      </c>
      <c r="K530" s="1">
        <v>2.04</v>
      </c>
      <c r="L530" s="42">
        <v>5</v>
      </c>
      <c r="M530" s="43">
        <v>46055</v>
      </c>
      <c r="N530" s="1" t="e">
        <f>VLOOKUP(B530,MICRO!E:L,8,0)</f>
        <v>#N/A</v>
      </c>
    </row>
    <row r="531" spans="1:14" ht="20.25" x14ac:dyDescent="0.25">
      <c r="A531" s="1">
        <v>227</v>
      </c>
      <c r="B531" s="1"/>
      <c r="C531" s="1" t="s">
        <v>2860</v>
      </c>
      <c r="D531" s="1"/>
      <c r="E531" s="1"/>
      <c r="F531" s="1" t="s">
        <v>2941</v>
      </c>
      <c r="G531" s="1">
        <v>34</v>
      </c>
      <c r="H531" s="1" t="s">
        <v>19</v>
      </c>
      <c r="I531" s="1" t="s">
        <v>2862</v>
      </c>
      <c r="J531" s="1">
        <v>0.03</v>
      </c>
      <c r="K531" s="1">
        <v>1.02</v>
      </c>
      <c r="L531" s="42">
        <v>5</v>
      </c>
      <c r="M531" s="43">
        <v>46055</v>
      </c>
      <c r="N531" s="1" t="e">
        <f>VLOOKUP(B531,MICRO!E:L,8,0)</f>
        <v>#N/A</v>
      </c>
    </row>
    <row r="532" spans="1:14" ht="20.25" x14ac:dyDescent="0.25">
      <c r="A532" s="1">
        <v>228</v>
      </c>
      <c r="B532" s="1"/>
      <c r="C532" s="1" t="s">
        <v>2837</v>
      </c>
      <c r="D532" s="1"/>
      <c r="E532" s="1"/>
      <c r="F532" s="1" t="s">
        <v>2942</v>
      </c>
      <c r="G532" s="1">
        <v>46</v>
      </c>
      <c r="H532" s="1" t="s">
        <v>19</v>
      </c>
      <c r="I532" s="1" t="s">
        <v>585</v>
      </c>
      <c r="J532" s="1">
        <v>0.03</v>
      </c>
      <c r="K532" s="1">
        <v>1.38</v>
      </c>
      <c r="L532" s="42">
        <v>5</v>
      </c>
      <c r="M532" s="43">
        <v>46055</v>
      </c>
      <c r="N532" s="1" t="e">
        <f>VLOOKUP(B532,MICRO!E:L,8,0)</f>
        <v>#N/A</v>
      </c>
    </row>
    <row r="533" spans="1:14" ht="20.25" x14ac:dyDescent="0.25">
      <c r="A533" s="1">
        <v>229</v>
      </c>
      <c r="B533" s="1"/>
      <c r="C533" s="1" t="s">
        <v>2839</v>
      </c>
      <c r="D533" s="1"/>
      <c r="E533" s="1"/>
      <c r="F533" s="1" t="s">
        <v>2943</v>
      </c>
      <c r="G533" s="1">
        <v>24</v>
      </c>
      <c r="H533" s="1" t="s">
        <v>19</v>
      </c>
      <c r="I533" s="1" t="s">
        <v>2754</v>
      </c>
      <c r="J533" s="1">
        <v>0.03</v>
      </c>
      <c r="K533" s="1">
        <v>0.72</v>
      </c>
      <c r="L533" s="42">
        <v>5</v>
      </c>
      <c r="M533" s="43">
        <v>46055</v>
      </c>
      <c r="N533" s="1" t="e">
        <f>VLOOKUP(B533,MICRO!E:L,8,0)</f>
        <v>#N/A</v>
      </c>
    </row>
    <row r="534" spans="1:14" ht="20.25" x14ac:dyDescent="0.25">
      <c r="A534" s="1">
        <v>230</v>
      </c>
      <c r="B534" s="1"/>
      <c r="C534" s="1" t="s">
        <v>959</v>
      </c>
      <c r="D534" s="1"/>
      <c r="E534" s="1"/>
      <c r="F534" s="1" t="s">
        <v>2944</v>
      </c>
      <c r="G534" s="1">
        <v>2</v>
      </c>
      <c r="H534" s="1" t="s">
        <v>19</v>
      </c>
      <c r="I534" s="1" t="s">
        <v>2855</v>
      </c>
      <c r="J534" s="1">
        <v>0.03</v>
      </c>
      <c r="K534" s="1">
        <v>0.06</v>
      </c>
      <c r="L534" s="42">
        <v>5</v>
      </c>
      <c r="M534" s="43">
        <v>46055</v>
      </c>
      <c r="N534" s="1" t="e">
        <f>VLOOKUP(B534,MICRO!E:L,8,0)</f>
        <v>#N/A</v>
      </c>
    </row>
    <row r="535" spans="1:14" ht="20.25" x14ac:dyDescent="0.25">
      <c r="A535" s="1">
        <v>231</v>
      </c>
      <c r="B535" s="1"/>
      <c r="C535" s="1" t="s">
        <v>2864</v>
      </c>
      <c r="D535" s="1"/>
      <c r="E535" s="1"/>
      <c r="F535" s="1" t="s">
        <v>2945</v>
      </c>
      <c r="G535" s="1">
        <v>49</v>
      </c>
      <c r="H535" s="1" t="s">
        <v>19</v>
      </c>
      <c r="I535" s="1" t="s">
        <v>585</v>
      </c>
      <c r="J535" s="1">
        <v>0.03</v>
      </c>
      <c r="K535" s="1">
        <v>1.47</v>
      </c>
      <c r="L535" s="42">
        <v>5</v>
      </c>
      <c r="M535" s="43">
        <v>46055</v>
      </c>
      <c r="N535" s="1" t="e">
        <f>VLOOKUP(B535,MICRO!E:L,8,0)</f>
        <v>#N/A</v>
      </c>
    </row>
    <row r="536" spans="1:14" ht="20.25" x14ac:dyDescent="0.25">
      <c r="A536" s="1">
        <v>232</v>
      </c>
      <c r="B536" s="1"/>
      <c r="C536" s="1" t="s">
        <v>950</v>
      </c>
      <c r="D536" s="1"/>
      <c r="E536" s="1"/>
      <c r="F536" s="1" t="s">
        <v>2946</v>
      </c>
      <c r="G536" s="1">
        <v>15</v>
      </c>
      <c r="H536" s="1" t="s">
        <v>19</v>
      </c>
      <c r="I536" s="1" t="s">
        <v>2754</v>
      </c>
      <c r="J536" s="1">
        <v>0.03</v>
      </c>
      <c r="K536" s="1">
        <v>0.44999999999999996</v>
      </c>
      <c r="L536" s="42">
        <v>5</v>
      </c>
      <c r="M536" s="43">
        <v>46055</v>
      </c>
      <c r="N536" s="1" t="e">
        <f>VLOOKUP(B536,MICRO!E:L,8,0)</f>
        <v>#N/A</v>
      </c>
    </row>
    <row r="537" spans="1:14" ht="20.25" x14ac:dyDescent="0.25">
      <c r="A537" s="1">
        <v>233</v>
      </c>
      <c r="B537" s="1"/>
      <c r="C537" s="1" t="s">
        <v>1996</v>
      </c>
      <c r="D537" s="1"/>
      <c r="E537" s="1"/>
      <c r="F537" s="1" t="s">
        <v>2947</v>
      </c>
      <c r="G537" s="1">
        <v>9</v>
      </c>
      <c r="H537" s="1" t="s">
        <v>19</v>
      </c>
      <c r="I537" s="1" t="s">
        <v>2851</v>
      </c>
      <c r="J537" s="1">
        <v>0.03</v>
      </c>
      <c r="K537" s="1">
        <v>0.27</v>
      </c>
      <c r="L537" s="42">
        <v>5</v>
      </c>
      <c r="M537" s="43">
        <v>46055</v>
      </c>
      <c r="N537" s="1" t="e">
        <f>VLOOKUP(B537,MICRO!E:L,8,0)</f>
        <v>#N/A</v>
      </c>
    </row>
    <row r="538" spans="1:14" ht="20.25" x14ac:dyDescent="0.25">
      <c r="A538" s="1">
        <v>234</v>
      </c>
      <c r="B538" s="1"/>
      <c r="C538" s="1" t="s">
        <v>1990</v>
      </c>
      <c r="D538" s="1"/>
      <c r="E538" s="1"/>
      <c r="F538" s="1" t="s">
        <v>2948</v>
      </c>
      <c r="G538" s="1">
        <v>21</v>
      </c>
      <c r="H538" s="1" t="s">
        <v>19</v>
      </c>
      <c r="I538" s="1" t="s">
        <v>585</v>
      </c>
      <c r="J538" s="1">
        <v>0.03</v>
      </c>
      <c r="K538" s="1">
        <v>0.63</v>
      </c>
      <c r="L538" s="42">
        <v>5</v>
      </c>
      <c r="M538" s="43">
        <v>46055</v>
      </c>
      <c r="N538" s="1" t="e">
        <f>VLOOKUP(B538,MICRO!E:L,8,0)</f>
        <v>#N/A</v>
      </c>
    </row>
    <row r="539" spans="1:14" ht="20.25" x14ac:dyDescent="0.25">
      <c r="A539" s="1">
        <v>235</v>
      </c>
      <c r="B539" s="1"/>
      <c r="C539" s="1" t="s">
        <v>183</v>
      </c>
      <c r="D539" s="1"/>
      <c r="E539" s="1"/>
      <c r="F539" s="1" t="s">
        <v>2949</v>
      </c>
      <c r="G539" s="1">
        <v>2</v>
      </c>
      <c r="H539" s="1" t="s">
        <v>19</v>
      </c>
      <c r="I539" s="1" t="s">
        <v>2855</v>
      </c>
      <c r="J539" s="1">
        <v>0.03</v>
      </c>
      <c r="K539" s="1">
        <v>0.06</v>
      </c>
      <c r="L539" s="42">
        <v>5</v>
      </c>
      <c r="M539" s="43">
        <v>46055</v>
      </c>
      <c r="N539" s="1" t="e">
        <f>VLOOKUP(B539,MICRO!E:L,8,0)</f>
        <v>#N/A</v>
      </c>
    </row>
    <row r="540" spans="1:14" ht="20.25" x14ac:dyDescent="0.25">
      <c r="A540" s="1">
        <v>236</v>
      </c>
      <c r="B540" s="1"/>
      <c r="C540" s="1" t="s">
        <v>2880</v>
      </c>
      <c r="D540" s="1"/>
      <c r="E540" s="1"/>
      <c r="F540" s="1" t="s">
        <v>2950</v>
      </c>
      <c r="G540" s="1">
        <v>49</v>
      </c>
      <c r="H540" s="1" t="s">
        <v>19</v>
      </c>
      <c r="I540" s="1" t="s">
        <v>589</v>
      </c>
      <c r="J540" s="1">
        <v>0.03</v>
      </c>
      <c r="K540" s="1">
        <v>1.47</v>
      </c>
      <c r="L540" s="42">
        <v>5</v>
      </c>
      <c r="M540" s="43">
        <v>46055</v>
      </c>
      <c r="N540" s="1" t="e">
        <f>VLOOKUP(B540,MICRO!E:L,8,0)</f>
        <v>#N/A</v>
      </c>
    </row>
    <row r="541" spans="1:14" ht="20.25" x14ac:dyDescent="0.25">
      <c r="A541" s="1">
        <v>237</v>
      </c>
      <c r="B541" s="1"/>
      <c r="C541" s="1" t="s">
        <v>1990</v>
      </c>
      <c r="D541" s="1"/>
      <c r="E541" s="1"/>
      <c r="F541" s="1" t="s">
        <v>2951</v>
      </c>
      <c r="G541" s="1">
        <v>13</v>
      </c>
      <c r="H541" s="1" t="s">
        <v>19</v>
      </c>
      <c r="I541" s="1" t="s">
        <v>585</v>
      </c>
      <c r="J541" s="1">
        <v>0.03</v>
      </c>
      <c r="K541" s="1">
        <v>0.39</v>
      </c>
      <c r="L541" s="42">
        <v>5</v>
      </c>
      <c r="M541" s="43">
        <v>46055</v>
      </c>
      <c r="N541" s="1" t="e">
        <f>VLOOKUP(B541,MICRO!E:L,8,0)</f>
        <v>#N/A</v>
      </c>
    </row>
    <row r="542" spans="1:14" ht="20.25" x14ac:dyDescent="0.25">
      <c r="A542" s="1">
        <v>238</v>
      </c>
      <c r="B542" s="1"/>
      <c r="C542" s="1" t="s">
        <v>2952</v>
      </c>
      <c r="D542" s="1"/>
      <c r="E542" s="1"/>
      <c r="F542" s="1" t="s">
        <v>2953</v>
      </c>
      <c r="G542" s="1">
        <v>22</v>
      </c>
      <c r="H542" s="1" t="s">
        <v>19</v>
      </c>
      <c r="I542" s="1" t="s">
        <v>629</v>
      </c>
      <c r="J542" s="1">
        <v>0.03</v>
      </c>
      <c r="K542" s="1">
        <v>0.65999999999999992</v>
      </c>
      <c r="L542" s="42">
        <v>5</v>
      </c>
      <c r="M542" s="43">
        <v>46055</v>
      </c>
      <c r="N542" s="1" t="e">
        <f>VLOOKUP(B542,MICRO!E:L,8,0)</f>
        <v>#N/A</v>
      </c>
    </row>
    <row r="543" spans="1:14" ht="20.25" x14ac:dyDescent="0.25">
      <c r="A543" s="1">
        <v>239</v>
      </c>
      <c r="B543" s="1"/>
      <c r="C543" s="1" t="s">
        <v>2872</v>
      </c>
      <c r="D543" s="1"/>
      <c r="E543" s="1"/>
      <c r="F543" s="1" t="s">
        <v>2954</v>
      </c>
      <c r="G543" s="1">
        <v>4</v>
      </c>
      <c r="H543" s="1" t="s">
        <v>19</v>
      </c>
      <c r="I543" s="1" t="s">
        <v>2862</v>
      </c>
      <c r="J543" s="1">
        <v>0.03</v>
      </c>
      <c r="K543" s="1">
        <v>0.12</v>
      </c>
      <c r="L543" s="42">
        <v>5</v>
      </c>
      <c r="M543" s="43">
        <v>46055</v>
      </c>
      <c r="N543" s="1" t="e">
        <f>VLOOKUP(B543,MICRO!E:L,8,0)</f>
        <v>#N/A</v>
      </c>
    </row>
    <row r="544" spans="1:14" ht="20.25" x14ac:dyDescent="0.25">
      <c r="A544" s="1">
        <v>240</v>
      </c>
      <c r="B544" s="1"/>
      <c r="C544" s="1" t="s">
        <v>2867</v>
      </c>
      <c r="D544" s="1"/>
      <c r="E544" s="1"/>
      <c r="F544" s="1" t="s">
        <v>2955</v>
      </c>
      <c r="G544" s="1">
        <v>8</v>
      </c>
      <c r="H544" s="1" t="s">
        <v>19</v>
      </c>
      <c r="I544" s="1" t="s">
        <v>634</v>
      </c>
      <c r="J544" s="1">
        <v>0.03</v>
      </c>
      <c r="K544" s="1">
        <v>0.24</v>
      </c>
      <c r="L544" s="42">
        <v>5</v>
      </c>
      <c r="M544" s="43">
        <v>46055</v>
      </c>
      <c r="N544" s="1" t="e">
        <f>VLOOKUP(B544,MICRO!E:L,8,0)</f>
        <v>#N/A</v>
      </c>
    </row>
    <row r="545" spans="1:14" ht="20.25" x14ac:dyDescent="0.25">
      <c r="A545" s="1">
        <v>241</v>
      </c>
      <c r="B545" s="1"/>
      <c r="C545" s="1" t="s">
        <v>2874</v>
      </c>
      <c r="D545" s="1"/>
      <c r="E545" s="1"/>
      <c r="F545" s="1" t="s">
        <v>2956</v>
      </c>
      <c r="G545" s="1">
        <v>4</v>
      </c>
      <c r="H545" s="1" t="s">
        <v>19</v>
      </c>
      <c r="I545" s="1" t="s">
        <v>2754</v>
      </c>
      <c r="J545" s="1">
        <v>0.03</v>
      </c>
      <c r="K545" s="1">
        <v>0.12</v>
      </c>
      <c r="L545" s="42">
        <v>5</v>
      </c>
      <c r="M545" s="43">
        <v>46055</v>
      </c>
      <c r="N545" s="1" t="e">
        <f>VLOOKUP(B545,MICRO!E:L,8,0)</f>
        <v>#N/A</v>
      </c>
    </row>
    <row r="546" spans="1:14" ht="20.25" x14ac:dyDescent="0.25">
      <c r="A546" s="1">
        <v>242</v>
      </c>
      <c r="B546" s="1"/>
      <c r="C546" s="1" t="s">
        <v>2918</v>
      </c>
      <c r="D546" s="1"/>
      <c r="E546" s="1"/>
      <c r="F546" s="1" t="s">
        <v>2957</v>
      </c>
      <c r="G546" s="1">
        <v>8</v>
      </c>
      <c r="H546" s="1" t="s">
        <v>19</v>
      </c>
      <c r="I546" s="1" t="s">
        <v>589</v>
      </c>
      <c r="J546" s="1">
        <v>0.03</v>
      </c>
      <c r="K546" s="1">
        <v>0.24</v>
      </c>
      <c r="L546" s="42">
        <v>5</v>
      </c>
      <c r="M546" s="43">
        <v>46055</v>
      </c>
      <c r="N546" s="1" t="e">
        <f>VLOOKUP(B546,MICRO!E:L,8,0)</f>
        <v>#N/A</v>
      </c>
    </row>
    <row r="547" spans="1:14" ht="20.25" x14ac:dyDescent="0.25">
      <c r="A547" s="1">
        <v>243</v>
      </c>
      <c r="B547" s="1"/>
      <c r="C547" s="1" t="s">
        <v>2876</v>
      </c>
      <c r="D547" s="1"/>
      <c r="E547" s="1"/>
      <c r="F547" s="1" t="s">
        <v>2958</v>
      </c>
      <c r="G547" s="1">
        <v>4</v>
      </c>
      <c r="H547" s="1" t="s">
        <v>19</v>
      </c>
      <c r="I547" s="1" t="s">
        <v>585</v>
      </c>
      <c r="J547" s="1">
        <v>0.03</v>
      </c>
      <c r="K547" s="1">
        <v>0.12</v>
      </c>
      <c r="L547" s="42"/>
      <c r="M547" s="43"/>
      <c r="N547" s="1"/>
    </row>
    <row r="548" spans="1:14" ht="20.25" x14ac:dyDescent="0.25">
      <c r="A548" s="1">
        <v>244</v>
      </c>
      <c r="B548" s="1"/>
      <c r="C548" s="1" t="s">
        <v>2848</v>
      </c>
      <c r="D548" s="1"/>
      <c r="E548" s="1"/>
      <c r="F548" s="1" t="s">
        <v>2959</v>
      </c>
      <c r="G548" s="1">
        <v>8</v>
      </c>
      <c r="H548" s="1" t="s">
        <v>19</v>
      </c>
      <c r="I548" s="1" t="s">
        <v>585</v>
      </c>
      <c r="J548" s="1">
        <v>0.03</v>
      </c>
      <c r="K548" s="1">
        <v>0.24</v>
      </c>
      <c r="L548" s="42"/>
      <c r="M548" s="43"/>
      <c r="N548" s="1"/>
    </row>
    <row r="549" spans="1:14" ht="20.25" x14ac:dyDescent="0.25">
      <c r="A549" s="1">
        <v>245</v>
      </c>
      <c r="B549" s="1"/>
      <c r="C549" s="1" t="s">
        <v>2839</v>
      </c>
      <c r="D549" s="1"/>
      <c r="E549" s="1"/>
      <c r="F549" s="1" t="s">
        <v>2960</v>
      </c>
      <c r="G549" s="1">
        <v>22</v>
      </c>
      <c r="H549" s="1" t="s">
        <v>19</v>
      </c>
      <c r="I549" s="1" t="s">
        <v>2754</v>
      </c>
      <c r="J549" s="1">
        <v>0.03</v>
      </c>
      <c r="K549" s="1">
        <v>0.65999999999999992</v>
      </c>
      <c r="L549" s="42"/>
      <c r="M549" s="43"/>
      <c r="N549" s="1"/>
    </row>
    <row r="550" spans="1:14" ht="20.25" x14ac:dyDescent="0.25">
      <c r="A550" s="1">
        <v>246</v>
      </c>
      <c r="B550" s="1"/>
      <c r="C550" s="1" t="s">
        <v>2882</v>
      </c>
      <c r="D550" s="1"/>
      <c r="E550" s="1"/>
      <c r="F550" s="1" t="s">
        <v>2961</v>
      </c>
      <c r="G550" s="1">
        <v>80</v>
      </c>
      <c r="H550" s="1" t="s">
        <v>19</v>
      </c>
      <c r="I550" s="1" t="s">
        <v>634</v>
      </c>
      <c r="J550" s="1">
        <v>0.03</v>
      </c>
      <c r="K550" s="1">
        <v>2.4</v>
      </c>
      <c r="L550" s="42"/>
      <c r="M550" s="43"/>
      <c r="N550" s="1"/>
    </row>
    <row r="551" spans="1:14" ht="20.25" x14ac:dyDescent="0.25">
      <c r="A551" s="1">
        <v>247</v>
      </c>
      <c r="B551" s="1"/>
      <c r="C551" s="1" t="s">
        <v>2832</v>
      </c>
      <c r="D551" s="1"/>
      <c r="E551" s="1"/>
      <c r="F551" s="1" t="s">
        <v>2962</v>
      </c>
      <c r="G551" s="1">
        <v>8</v>
      </c>
      <c r="H551" s="1" t="s">
        <v>19</v>
      </c>
      <c r="I551" s="1" t="s">
        <v>2814</v>
      </c>
      <c r="J551" s="1">
        <v>0.03</v>
      </c>
      <c r="K551" s="1">
        <v>0.24</v>
      </c>
      <c r="L551" s="42"/>
      <c r="M551" s="43"/>
      <c r="N551" s="1"/>
    </row>
    <row r="552" spans="1:14" ht="20.25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2"/>
      <c r="M552" s="43"/>
      <c r="N552" s="1"/>
    </row>
    <row r="553" spans="1:14" ht="20.25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2"/>
      <c r="M553" s="43"/>
      <c r="N553" s="1"/>
    </row>
    <row r="554" spans="1:14" ht="20.25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2"/>
      <c r="M554" s="43"/>
      <c r="N554" s="1"/>
    </row>
    <row r="555" spans="1:14" ht="20.25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2"/>
      <c r="M555" s="43"/>
      <c r="N555" s="1"/>
    </row>
    <row r="556" spans="1:14" ht="20.25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2"/>
      <c r="M556" s="43"/>
      <c r="N556" s="1"/>
    </row>
    <row r="557" spans="1:14" ht="20.25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2"/>
      <c r="M557" s="43"/>
      <c r="N557" s="1"/>
    </row>
    <row r="558" spans="1:14" ht="20.25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2"/>
      <c r="M558" s="43"/>
      <c r="N558" s="1"/>
    </row>
    <row r="559" spans="1:14" ht="20.25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2"/>
      <c r="M559" s="43"/>
      <c r="N559" s="1"/>
    </row>
    <row r="560" spans="1:14" ht="20.25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2"/>
      <c r="M560" s="43"/>
      <c r="N560" s="1"/>
    </row>
    <row r="561" spans="1:14" ht="20.25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2"/>
      <c r="M561" s="43"/>
      <c r="N561" s="1"/>
    </row>
    <row r="562" spans="1:14" ht="20.25" x14ac:dyDescent="0.25">
      <c r="A562" s="1">
        <v>163</v>
      </c>
      <c r="B562" s="1"/>
      <c r="C562" s="1" t="s">
        <v>1551</v>
      </c>
      <c r="D562" s="1"/>
      <c r="E562" s="1"/>
      <c r="F562" s="1" t="s">
        <v>1552</v>
      </c>
      <c r="G562" s="1">
        <v>260</v>
      </c>
      <c r="H562" s="1" t="s">
        <v>19</v>
      </c>
      <c r="I562" s="1" t="s">
        <v>1553</v>
      </c>
      <c r="J562" s="1">
        <v>0.02</v>
      </c>
      <c r="K562" s="1">
        <v>5.2</v>
      </c>
      <c r="L562" s="42">
        <v>5</v>
      </c>
      <c r="M562" s="43">
        <v>46055</v>
      </c>
      <c r="N562" s="1" t="e">
        <f>VLOOKUP(B562,MICRO!E:L,8,0)</f>
        <v>#N/A</v>
      </c>
    </row>
    <row r="563" spans="1:14" ht="20.25" x14ac:dyDescent="0.25">
      <c r="A563" s="1">
        <v>164</v>
      </c>
      <c r="B563" s="1"/>
      <c r="C563" s="1" t="s">
        <v>1551</v>
      </c>
      <c r="D563" s="1"/>
      <c r="E563" s="1"/>
      <c r="F563" s="1" t="s">
        <v>1554</v>
      </c>
      <c r="G563" s="1">
        <v>260</v>
      </c>
      <c r="H563" s="1" t="s">
        <v>19</v>
      </c>
      <c r="I563" s="1" t="s">
        <v>1553</v>
      </c>
      <c r="J563" s="1">
        <v>0.05</v>
      </c>
      <c r="K563" s="1">
        <v>13</v>
      </c>
      <c r="L563" s="42">
        <v>5</v>
      </c>
      <c r="M563" s="43">
        <v>46055</v>
      </c>
      <c r="N563" s="1" t="e">
        <f>VLOOKUP(B563,MICRO!E:L,8,0)</f>
        <v>#N/A</v>
      </c>
    </row>
    <row r="564" spans="1:14" ht="20.25" x14ac:dyDescent="0.25">
      <c r="A564" s="1">
        <v>165</v>
      </c>
      <c r="B564" s="1"/>
      <c r="C564" s="1" t="s">
        <v>1551</v>
      </c>
      <c r="D564" s="1"/>
      <c r="E564" s="1"/>
      <c r="F564" s="1" t="s">
        <v>1555</v>
      </c>
      <c r="G564" s="1">
        <v>260</v>
      </c>
      <c r="H564" s="1" t="s">
        <v>19</v>
      </c>
      <c r="I564" s="1" t="s">
        <v>1553</v>
      </c>
      <c r="J564" s="1">
        <v>0.03</v>
      </c>
      <c r="K564" s="1">
        <v>7.8</v>
      </c>
      <c r="L564" s="42">
        <v>5</v>
      </c>
      <c r="M564" s="43">
        <v>46055</v>
      </c>
      <c r="N564" s="1" t="e">
        <f>VLOOKUP(B564,MICRO!E:L,8,0)</f>
        <v>#N/A</v>
      </c>
    </row>
    <row r="565" spans="1:14" ht="20.25" x14ac:dyDescent="0.25">
      <c r="A565" s="1">
        <v>166</v>
      </c>
      <c r="B565" s="1"/>
      <c r="C565" s="1" t="s">
        <v>1556</v>
      </c>
      <c r="D565" s="1"/>
      <c r="E565" s="1"/>
      <c r="F565" s="1" t="s">
        <v>1557</v>
      </c>
      <c r="G565" s="1">
        <v>408</v>
      </c>
      <c r="H565" s="1" t="s">
        <v>19</v>
      </c>
      <c r="I565" s="1" t="s">
        <v>1558</v>
      </c>
      <c r="J565" s="1">
        <v>0.02</v>
      </c>
      <c r="K565" s="1">
        <v>8.16</v>
      </c>
      <c r="L565" s="42">
        <v>5</v>
      </c>
      <c r="M565" s="43">
        <v>46055</v>
      </c>
      <c r="N565" s="1" t="e">
        <f>VLOOKUP(B565,MICRO!E:L,8,0)</f>
        <v>#N/A</v>
      </c>
    </row>
    <row r="566" spans="1:14" ht="20.25" x14ac:dyDescent="0.25">
      <c r="A566" s="1">
        <v>167</v>
      </c>
      <c r="B566" s="1"/>
      <c r="C566" s="1" t="s">
        <v>1559</v>
      </c>
      <c r="D566" s="1"/>
      <c r="E566" s="1"/>
      <c r="F566" s="1" t="s">
        <v>1560</v>
      </c>
      <c r="G566" s="1">
        <v>174</v>
      </c>
      <c r="H566" s="1" t="s">
        <v>19</v>
      </c>
      <c r="I566" s="1" t="s">
        <v>424</v>
      </c>
      <c r="J566" s="1">
        <v>0.02</v>
      </c>
      <c r="K566" s="1">
        <v>3.48</v>
      </c>
      <c r="L566" s="42">
        <v>5</v>
      </c>
      <c r="M566" s="43">
        <v>46055</v>
      </c>
      <c r="N566" s="1" t="e">
        <f>VLOOKUP(B566,MICRO!E:L,8,0)</f>
        <v>#N/A</v>
      </c>
    </row>
    <row r="567" spans="1:14" ht="20.25" x14ac:dyDescent="0.25">
      <c r="A567" s="1">
        <v>168</v>
      </c>
      <c r="B567" s="1"/>
      <c r="C567" s="1" t="s">
        <v>1561</v>
      </c>
      <c r="D567" s="1"/>
      <c r="E567" s="1"/>
      <c r="F567" s="1" t="s">
        <v>1562</v>
      </c>
      <c r="G567" s="1">
        <v>258</v>
      </c>
      <c r="H567" s="1" t="s">
        <v>19</v>
      </c>
      <c r="I567" s="1" t="s">
        <v>425</v>
      </c>
      <c r="J567" s="1">
        <v>0.02</v>
      </c>
      <c r="K567" s="1">
        <v>5.16</v>
      </c>
      <c r="L567" s="42">
        <v>5</v>
      </c>
      <c r="M567" s="43">
        <v>46055</v>
      </c>
      <c r="N567" s="1" t="e">
        <f>VLOOKUP(B567,MICRO!E:L,8,0)</f>
        <v>#N/A</v>
      </c>
    </row>
    <row r="568" spans="1:14" ht="20.25" x14ac:dyDescent="0.25">
      <c r="A568" s="1">
        <v>169</v>
      </c>
      <c r="B568" s="1"/>
      <c r="C568" s="1" t="s">
        <v>1563</v>
      </c>
      <c r="D568" s="1"/>
      <c r="E568" s="1"/>
      <c r="F568" s="1" t="s">
        <v>1564</v>
      </c>
      <c r="G568" s="1">
        <v>597</v>
      </c>
      <c r="H568" s="1" t="s">
        <v>19</v>
      </c>
      <c r="I568" s="1" t="s">
        <v>427</v>
      </c>
      <c r="J568" s="1">
        <v>0.02</v>
      </c>
      <c r="K568" s="1">
        <v>11.94</v>
      </c>
      <c r="L568" s="42">
        <v>5</v>
      </c>
      <c r="M568" s="43">
        <v>46055</v>
      </c>
      <c r="N568" s="1" t="e">
        <f>VLOOKUP(B568,MICRO!E:L,8,0)</f>
        <v>#N/A</v>
      </c>
    </row>
    <row r="569" spans="1:14" ht="20.25" x14ac:dyDescent="0.25">
      <c r="A569" s="1">
        <v>170</v>
      </c>
      <c r="B569" s="1"/>
      <c r="C569" s="1" t="s">
        <v>1565</v>
      </c>
      <c r="D569" s="1"/>
      <c r="E569" s="1"/>
      <c r="F569" s="1" t="s">
        <v>1566</v>
      </c>
      <c r="G569" s="1">
        <v>362</v>
      </c>
      <c r="H569" s="1" t="s">
        <v>19</v>
      </c>
      <c r="I569" s="1" t="s">
        <v>426</v>
      </c>
      <c r="J569" s="1">
        <v>0.02</v>
      </c>
      <c r="K569" s="1">
        <v>7.24</v>
      </c>
      <c r="L569" s="42">
        <v>5</v>
      </c>
      <c r="M569" s="43">
        <v>46055</v>
      </c>
      <c r="N569" s="1" t="e">
        <f>VLOOKUP(B569,MICRO!E:L,8,0)</f>
        <v>#N/A</v>
      </c>
    </row>
    <row r="570" spans="1:14" ht="20.25" x14ac:dyDescent="0.25">
      <c r="A570" s="1">
        <v>171</v>
      </c>
      <c r="B570" s="1"/>
      <c r="C570" s="1" t="s">
        <v>1567</v>
      </c>
      <c r="D570" s="1"/>
      <c r="E570" s="1"/>
      <c r="F570" s="1" t="s">
        <v>1568</v>
      </c>
      <c r="G570" s="1">
        <v>131</v>
      </c>
      <c r="H570" s="1" t="s">
        <v>19</v>
      </c>
      <c r="I570" s="1" t="s">
        <v>427</v>
      </c>
      <c r="J570" s="1">
        <v>0.02</v>
      </c>
      <c r="K570" s="1">
        <v>2.62</v>
      </c>
      <c r="L570" s="42">
        <v>5</v>
      </c>
      <c r="M570" s="43">
        <v>46055</v>
      </c>
      <c r="N570" s="1" t="e">
        <f>VLOOKUP(B570,MICRO!E:L,8,0)</f>
        <v>#N/A</v>
      </c>
    </row>
    <row r="571" spans="1:14" ht="20.25" x14ac:dyDescent="0.25">
      <c r="A571" s="1">
        <v>172</v>
      </c>
      <c r="B571" s="1"/>
      <c r="C571" s="1" t="s">
        <v>1567</v>
      </c>
      <c r="D571" s="1"/>
      <c r="E571" s="1"/>
      <c r="F571" s="1" t="s">
        <v>1569</v>
      </c>
      <c r="G571" s="1">
        <v>131</v>
      </c>
      <c r="H571" s="1" t="s">
        <v>19</v>
      </c>
      <c r="I571" s="1" t="s">
        <v>427</v>
      </c>
      <c r="J571" s="1">
        <v>0.05</v>
      </c>
      <c r="K571" s="1">
        <v>6.5500000000000007</v>
      </c>
      <c r="L571" s="42">
        <v>5</v>
      </c>
      <c r="M571" s="43">
        <v>46055</v>
      </c>
      <c r="N571" s="1" t="e">
        <f>VLOOKUP(B571,MICRO!E:L,8,0)</f>
        <v>#N/A</v>
      </c>
    </row>
    <row r="572" spans="1:14" ht="20.25" x14ac:dyDescent="0.25">
      <c r="A572" s="1">
        <v>173</v>
      </c>
      <c r="B572" s="1"/>
      <c r="C572" s="1" t="s">
        <v>1567</v>
      </c>
      <c r="D572" s="1"/>
      <c r="E572" s="1"/>
      <c r="F572" s="1" t="s">
        <v>1570</v>
      </c>
      <c r="G572" s="1">
        <v>131</v>
      </c>
      <c r="H572" s="1" t="s">
        <v>19</v>
      </c>
      <c r="I572" s="1" t="s">
        <v>427</v>
      </c>
      <c r="J572" s="1">
        <v>0.03</v>
      </c>
      <c r="K572" s="1">
        <v>3.9299999999999997</v>
      </c>
      <c r="L572" s="42">
        <v>5</v>
      </c>
      <c r="M572" s="43">
        <v>46055</v>
      </c>
      <c r="N572" s="1" t="e">
        <f>VLOOKUP(B572,MICRO!E:L,8,0)</f>
        <v>#N/A</v>
      </c>
    </row>
    <row r="573" spans="1:14" ht="20.25" x14ac:dyDescent="0.25">
      <c r="A573" s="1">
        <v>174</v>
      </c>
      <c r="B573" s="1"/>
      <c r="C573" s="1" t="s">
        <v>1571</v>
      </c>
      <c r="D573" s="1"/>
      <c r="E573" s="1"/>
      <c r="F573" s="1" t="s">
        <v>1572</v>
      </c>
      <c r="G573" s="1">
        <v>1</v>
      </c>
      <c r="H573" s="1" t="s">
        <v>19</v>
      </c>
      <c r="I573" s="1" t="s">
        <v>1573</v>
      </c>
      <c r="J573" s="1">
        <v>0.02</v>
      </c>
      <c r="K573" s="1">
        <v>0.02</v>
      </c>
      <c r="L573" s="42">
        <v>5</v>
      </c>
      <c r="M573" s="43">
        <v>46055</v>
      </c>
      <c r="N573" s="1" t="e">
        <f>VLOOKUP(B573,MICRO!E:L,8,0)</f>
        <v>#N/A</v>
      </c>
    </row>
    <row r="574" spans="1:14" ht="20.25" x14ac:dyDescent="0.25">
      <c r="A574" s="1">
        <v>175</v>
      </c>
      <c r="B574" s="1"/>
      <c r="C574" s="1" t="s">
        <v>1571</v>
      </c>
      <c r="D574" s="1"/>
      <c r="E574" s="1"/>
      <c r="F574" s="1" t="s">
        <v>1574</v>
      </c>
      <c r="G574" s="1">
        <v>1</v>
      </c>
      <c r="H574" s="1" t="s">
        <v>19</v>
      </c>
      <c r="I574" s="1" t="s">
        <v>1573</v>
      </c>
      <c r="J574" s="1">
        <v>0.05</v>
      </c>
      <c r="K574" s="1">
        <v>0.05</v>
      </c>
      <c r="L574" s="42">
        <v>5</v>
      </c>
      <c r="M574" s="43">
        <v>46055</v>
      </c>
      <c r="N574" s="1" t="e">
        <f>VLOOKUP(B574,MICRO!E:L,8,0)</f>
        <v>#N/A</v>
      </c>
    </row>
    <row r="575" spans="1:14" ht="20.25" x14ac:dyDescent="0.25">
      <c r="A575" s="1">
        <v>176</v>
      </c>
      <c r="B575" s="1"/>
      <c r="C575" s="1" t="s">
        <v>1559</v>
      </c>
      <c r="D575" s="1"/>
      <c r="E575" s="1"/>
      <c r="F575" s="1" t="s">
        <v>1575</v>
      </c>
      <c r="G575" s="1">
        <v>174</v>
      </c>
      <c r="H575" s="1" t="s">
        <v>19</v>
      </c>
      <c r="I575" s="1" t="s">
        <v>424</v>
      </c>
      <c r="J575" s="1">
        <v>0.03</v>
      </c>
      <c r="K575" s="1">
        <v>5.22</v>
      </c>
      <c r="L575" s="42">
        <v>5</v>
      </c>
      <c r="M575" s="43">
        <v>46055</v>
      </c>
      <c r="N575" s="1" t="e">
        <f>VLOOKUP(B575,MICRO!E:L,8,0)</f>
        <v>#N/A</v>
      </c>
    </row>
    <row r="576" spans="1:14" ht="20.25" x14ac:dyDescent="0.25">
      <c r="A576" s="1">
        <v>177</v>
      </c>
      <c r="B576" s="1"/>
      <c r="C576" s="1" t="s">
        <v>1561</v>
      </c>
      <c r="D576" s="1"/>
      <c r="E576" s="1"/>
      <c r="F576" s="1" t="s">
        <v>1576</v>
      </c>
      <c r="G576" s="1">
        <v>258</v>
      </c>
      <c r="H576" s="1" t="s">
        <v>19</v>
      </c>
      <c r="I576" s="1" t="s">
        <v>425</v>
      </c>
      <c r="J576" s="1">
        <v>0.03</v>
      </c>
      <c r="K576" s="1">
        <v>7.7399999999999993</v>
      </c>
      <c r="L576" s="42">
        <v>5</v>
      </c>
      <c r="M576" s="43">
        <v>46055</v>
      </c>
      <c r="N576" s="1" t="e">
        <f>VLOOKUP(B576,MICRO!E:L,8,0)</f>
        <v>#N/A</v>
      </c>
    </row>
    <row r="577" spans="1:14" ht="20.25" x14ac:dyDescent="0.25">
      <c r="A577" s="1">
        <v>178</v>
      </c>
      <c r="B577" s="1"/>
      <c r="C577" s="1" t="s">
        <v>1565</v>
      </c>
      <c r="D577" s="1"/>
      <c r="E577" s="1"/>
      <c r="F577" s="1" t="s">
        <v>1577</v>
      </c>
      <c r="G577" s="1">
        <v>362</v>
      </c>
      <c r="H577" s="1" t="s">
        <v>19</v>
      </c>
      <c r="I577" s="1" t="s">
        <v>426</v>
      </c>
      <c r="J577" s="1">
        <v>0.03</v>
      </c>
      <c r="K577" s="1">
        <v>10.86</v>
      </c>
      <c r="L577" s="42">
        <v>5</v>
      </c>
      <c r="M577" s="43">
        <v>46055</v>
      </c>
      <c r="N577" s="1" t="e">
        <f>VLOOKUP(B577,MICRO!E:L,8,0)</f>
        <v>#N/A</v>
      </c>
    </row>
    <row r="578" spans="1:14" ht="20.25" x14ac:dyDescent="0.25">
      <c r="A578" s="1">
        <v>179</v>
      </c>
      <c r="B578" s="1"/>
      <c r="C578" s="1" t="s">
        <v>1563</v>
      </c>
      <c r="D578" s="1"/>
      <c r="E578" s="1"/>
      <c r="F578" s="1" t="s">
        <v>1578</v>
      </c>
      <c r="G578" s="1">
        <v>597</v>
      </c>
      <c r="H578" s="1" t="s">
        <v>19</v>
      </c>
      <c r="I578" s="1" t="s">
        <v>427</v>
      </c>
      <c r="J578" s="1">
        <v>0.03</v>
      </c>
      <c r="K578" s="1">
        <v>17.91</v>
      </c>
      <c r="L578" s="42">
        <v>5</v>
      </c>
      <c r="M578" s="43">
        <v>46055</v>
      </c>
      <c r="N578" s="1" t="e">
        <f>VLOOKUP(B578,MICRO!E:L,8,0)</f>
        <v>#N/A</v>
      </c>
    </row>
    <row r="579" spans="1:14" ht="20.25" x14ac:dyDescent="0.25">
      <c r="A579" s="1">
        <v>180</v>
      </c>
      <c r="B579" s="1"/>
      <c r="C579" s="1" t="s">
        <v>1556</v>
      </c>
      <c r="D579" s="1"/>
      <c r="E579" s="1"/>
      <c r="F579" s="1" t="s">
        <v>1579</v>
      </c>
      <c r="G579" s="1">
        <v>408</v>
      </c>
      <c r="H579" s="1" t="s">
        <v>19</v>
      </c>
      <c r="I579" s="1" t="s">
        <v>423</v>
      </c>
      <c r="J579" s="1">
        <v>0.03</v>
      </c>
      <c r="K579" s="1">
        <v>12.24</v>
      </c>
      <c r="L579" s="42">
        <v>5</v>
      </c>
      <c r="M579" s="43">
        <v>46055</v>
      </c>
      <c r="N579" s="1" t="e">
        <f>VLOOKUP(B579,MICRO!E:L,8,0)</f>
        <v>#N/A</v>
      </c>
    </row>
    <row r="580" spans="1:14" ht="20.25" x14ac:dyDescent="0.25">
      <c r="A580" s="1">
        <v>181</v>
      </c>
      <c r="B580" s="1"/>
      <c r="C580" s="1" t="s">
        <v>1571</v>
      </c>
      <c r="D580" s="1"/>
      <c r="E580" s="1"/>
      <c r="F580" s="1" t="s">
        <v>1580</v>
      </c>
      <c r="G580" s="1">
        <v>1</v>
      </c>
      <c r="H580" s="1" t="s">
        <v>19</v>
      </c>
      <c r="I580" s="1" t="s">
        <v>1573</v>
      </c>
      <c r="J580" s="1">
        <v>0.03</v>
      </c>
      <c r="K580" s="1">
        <v>0.03</v>
      </c>
      <c r="L580" s="42">
        <v>5</v>
      </c>
      <c r="M580" s="43">
        <v>46055</v>
      </c>
      <c r="N580" s="1" t="e">
        <f>VLOOKUP(B580,MICRO!E:L,8,0)</f>
        <v>#N/A</v>
      </c>
    </row>
    <row r="581" spans="1:14" ht="20.25" x14ac:dyDescent="0.25">
      <c r="A581" s="1">
        <v>182</v>
      </c>
      <c r="B581" s="1"/>
      <c r="C581" s="1" t="s">
        <v>638</v>
      </c>
      <c r="D581" s="1"/>
      <c r="E581" s="1"/>
      <c r="F581" s="1" t="s">
        <v>1581</v>
      </c>
      <c r="G581" s="1">
        <v>14</v>
      </c>
      <c r="H581" s="1" t="s">
        <v>19</v>
      </c>
      <c r="I581" s="1" t="s">
        <v>425</v>
      </c>
      <c r="J581" s="1">
        <v>0.02</v>
      </c>
      <c r="K581" s="1">
        <v>0.28000000000000003</v>
      </c>
      <c r="L581" s="42">
        <v>5</v>
      </c>
      <c r="M581" s="43">
        <v>46055</v>
      </c>
      <c r="N581" s="1" t="e">
        <f>VLOOKUP(B581,MICRO!E:L,8,0)</f>
        <v>#N/A</v>
      </c>
    </row>
    <row r="582" spans="1:14" ht="20.25" x14ac:dyDescent="0.25">
      <c r="A582" s="1">
        <v>183</v>
      </c>
      <c r="B582" s="1"/>
      <c r="C582" s="1" t="s">
        <v>1582</v>
      </c>
      <c r="D582" s="1"/>
      <c r="E582" s="1"/>
      <c r="F582" s="1" t="s">
        <v>1583</v>
      </c>
      <c r="G582" s="1">
        <v>20</v>
      </c>
      <c r="H582" s="1" t="s">
        <v>19</v>
      </c>
      <c r="I582" s="1" t="s">
        <v>427</v>
      </c>
      <c r="J582" s="1">
        <v>0.02</v>
      </c>
      <c r="K582" s="1">
        <v>0.4</v>
      </c>
      <c r="L582" s="42">
        <v>5</v>
      </c>
      <c r="M582" s="43">
        <v>46055</v>
      </c>
      <c r="N582" s="1" t="e">
        <f>VLOOKUP(B582,MICRO!E:L,8,0)</f>
        <v>#N/A</v>
      </c>
    </row>
    <row r="583" spans="1:14" ht="20.25" x14ac:dyDescent="0.25">
      <c r="A583" s="1">
        <v>184</v>
      </c>
      <c r="B583" s="1"/>
      <c r="C583" s="1" t="s">
        <v>1584</v>
      </c>
      <c r="D583" s="1"/>
      <c r="E583" s="1"/>
      <c r="F583" s="1" t="s">
        <v>1585</v>
      </c>
      <c r="G583" s="1">
        <v>230</v>
      </c>
      <c r="H583" s="1" t="s">
        <v>19</v>
      </c>
      <c r="I583" s="1" t="s">
        <v>1586</v>
      </c>
      <c r="J583" s="1">
        <v>0.02</v>
      </c>
      <c r="K583" s="1">
        <v>4.6000000000000005</v>
      </c>
      <c r="L583" s="42">
        <v>5</v>
      </c>
      <c r="M583" s="43">
        <v>46055</v>
      </c>
      <c r="N583" s="1" t="e">
        <f>VLOOKUP(B583,MICRO!E:L,8,0)</f>
        <v>#N/A</v>
      </c>
    </row>
    <row r="584" spans="1:14" ht="20.25" x14ac:dyDescent="0.25">
      <c r="A584" s="1">
        <v>185</v>
      </c>
      <c r="B584" s="1"/>
      <c r="C584" s="1" t="s">
        <v>638</v>
      </c>
      <c r="D584" s="1"/>
      <c r="E584" s="1"/>
      <c r="F584" s="1" t="s">
        <v>1587</v>
      </c>
      <c r="G584" s="1">
        <v>20</v>
      </c>
      <c r="H584" s="1" t="s">
        <v>19</v>
      </c>
      <c r="I584" s="1" t="s">
        <v>425</v>
      </c>
      <c r="J584" s="1">
        <v>0.05</v>
      </c>
      <c r="K584" s="1">
        <v>1</v>
      </c>
      <c r="L584" s="42">
        <v>5</v>
      </c>
      <c r="M584" s="43">
        <v>46055</v>
      </c>
      <c r="N584" s="1" t="e">
        <f>VLOOKUP(B584,MICRO!E:L,8,0)</f>
        <v>#N/A</v>
      </c>
    </row>
    <row r="585" spans="1:14" ht="20.25" x14ac:dyDescent="0.25">
      <c r="A585" s="1">
        <v>186</v>
      </c>
      <c r="B585" s="1"/>
      <c r="C585" s="1" t="s">
        <v>1582</v>
      </c>
      <c r="D585" s="1"/>
      <c r="E585" s="1"/>
      <c r="F585" s="1" t="s">
        <v>1588</v>
      </c>
      <c r="G585" s="1">
        <v>20</v>
      </c>
      <c r="H585" s="1" t="s">
        <v>19</v>
      </c>
      <c r="I585" s="1" t="s">
        <v>427</v>
      </c>
      <c r="J585" s="1">
        <v>0.05</v>
      </c>
      <c r="K585" s="1">
        <v>1</v>
      </c>
      <c r="L585" s="42">
        <v>5</v>
      </c>
      <c r="M585" s="43">
        <v>46055</v>
      </c>
      <c r="N585" s="1" t="e">
        <f>VLOOKUP(B585,MICRO!E:L,8,0)</f>
        <v>#N/A</v>
      </c>
    </row>
    <row r="586" spans="1:14" ht="20.25" x14ac:dyDescent="0.25">
      <c r="A586" s="1">
        <v>187</v>
      </c>
      <c r="B586" s="1"/>
      <c r="C586" s="1" t="s">
        <v>1584</v>
      </c>
      <c r="D586" s="1"/>
      <c r="E586" s="1"/>
      <c r="F586" s="1" t="s">
        <v>1589</v>
      </c>
      <c r="G586" s="1">
        <v>230</v>
      </c>
      <c r="H586" s="1" t="s">
        <v>19</v>
      </c>
      <c r="I586" s="1" t="s">
        <v>1586</v>
      </c>
      <c r="J586" s="1">
        <v>0.05</v>
      </c>
      <c r="K586" s="1">
        <v>11.5</v>
      </c>
      <c r="L586" s="42">
        <v>5</v>
      </c>
      <c r="M586" s="43">
        <v>46055</v>
      </c>
      <c r="N586" s="1" t="e">
        <f>VLOOKUP(B586,MICRO!E:L,8,0)</f>
        <v>#N/A</v>
      </c>
    </row>
    <row r="587" spans="1:14" ht="20.25" x14ac:dyDescent="0.25">
      <c r="A587" s="1">
        <v>188</v>
      </c>
      <c r="B587" s="1"/>
      <c r="C587" s="1" t="s">
        <v>638</v>
      </c>
      <c r="D587" s="1"/>
      <c r="E587" s="1"/>
      <c r="F587" s="1" t="s">
        <v>1590</v>
      </c>
      <c r="G587" s="1">
        <v>50</v>
      </c>
      <c r="H587" s="1" t="s">
        <v>19</v>
      </c>
      <c r="I587" s="1" t="s">
        <v>425</v>
      </c>
      <c r="J587" s="1">
        <v>0.05</v>
      </c>
      <c r="K587" s="1">
        <v>2.5</v>
      </c>
      <c r="L587" s="42">
        <v>5</v>
      </c>
      <c r="M587" s="43">
        <v>46055</v>
      </c>
      <c r="N587" s="1" t="e">
        <f>VLOOKUP(B587,MICRO!E:L,8,0)</f>
        <v>#N/A</v>
      </c>
    </row>
    <row r="588" spans="1:14" ht="20.25" x14ac:dyDescent="0.25">
      <c r="A588" s="1">
        <v>189</v>
      </c>
      <c r="B588" s="1"/>
      <c r="C588" s="1" t="s">
        <v>638</v>
      </c>
      <c r="D588" s="1"/>
      <c r="E588" s="1"/>
      <c r="F588" s="1" t="s">
        <v>1591</v>
      </c>
      <c r="G588" s="1">
        <v>26</v>
      </c>
      <c r="H588" s="1" t="s">
        <v>19</v>
      </c>
      <c r="I588" s="1" t="s">
        <v>425</v>
      </c>
      <c r="J588" s="1">
        <v>0.03</v>
      </c>
      <c r="K588" s="1">
        <v>0.78</v>
      </c>
      <c r="L588" s="42">
        <v>5</v>
      </c>
      <c r="M588" s="43">
        <v>46055</v>
      </c>
      <c r="N588" s="1" t="e">
        <f>VLOOKUP(B588,MICRO!E:L,8,0)</f>
        <v>#N/A</v>
      </c>
    </row>
    <row r="589" spans="1:14" ht="20.25" x14ac:dyDescent="0.25">
      <c r="A589" s="1">
        <v>190</v>
      </c>
      <c r="B589" s="1"/>
      <c r="C589" s="1" t="s">
        <v>1582</v>
      </c>
      <c r="D589" s="1"/>
      <c r="E589" s="1"/>
      <c r="F589" s="1" t="s">
        <v>1592</v>
      </c>
      <c r="G589" s="1">
        <v>40</v>
      </c>
      <c r="H589" s="1" t="s">
        <v>19</v>
      </c>
      <c r="I589" s="1" t="s">
        <v>427</v>
      </c>
      <c r="J589" s="1">
        <v>0.03</v>
      </c>
      <c r="K589" s="1">
        <v>1.2</v>
      </c>
      <c r="L589" s="42">
        <v>5</v>
      </c>
      <c r="M589" s="43">
        <v>46055</v>
      </c>
      <c r="N589" s="1" t="e">
        <f>VLOOKUP(B589,MICRO!E:L,8,0)</f>
        <v>#N/A</v>
      </c>
    </row>
    <row r="590" spans="1:14" ht="20.25" x14ac:dyDescent="0.25">
      <c r="A590" s="1">
        <v>191</v>
      </c>
      <c r="B590" s="1"/>
      <c r="C590" s="1" t="s">
        <v>1584</v>
      </c>
      <c r="D590" s="1"/>
      <c r="E590" s="1"/>
      <c r="F590" s="1" t="s">
        <v>1593</v>
      </c>
      <c r="G590" s="1">
        <v>460</v>
      </c>
      <c r="H590" s="1" t="s">
        <v>19</v>
      </c>
      <c r="I590" s="1" t="s">
        <v>1586</v>
      </c>
      <c r="J590" s="1">
        <v>0.03</v>
      </c>
      <c r="K590" s="1">
        <v>13.799999999999999</v>
      </c>
      <c r="L590" s="42">
        <v>5</v>
      </c>
      <c r="M590" s="43">
        <v>46055</v>
      </c>
      <c r="N590" s="1" t="e">
        <f>VLOOKUP(B590,MICRO!E:L,8,0)</f>
        <v>#N/A</v>
      </c>
    </row>
    <row r="591" spans="1:14" ht="20.25" x14ac:dyDescent="0.25">
      <c r="A591" s="1">
        <v>192</v>
      </c>
      <c r="B591" s="1"/>
      <c r="C591" s="1" t="s">
        <v>1594</v>
      </c>
      <c r="D591" s="1"/>
      <c r="E591" s="1"/>
      <c r="F591" s="1" t="s">
        <v>1595</v>
      </c>
      <c r="G591" s="1">
        <v>6</v>
      </c>
      <c r="H591" s="1" t="s">
        <v>19</v>
      </c>
      <c r="I591" s="1" t="s">
        <v>1558</v>
      </c>
      <c r="J591" s="1">
        <v>0.02</v>
      </c>
      <c r="K591" s="1">
        <v>0.12</v>
      </c>
      <c r="L591" s="42">
        <v>5</v>
      </c>
      <c r="M591" s="43">
        <v>46055</v>
      </c>
      <c r="N591" s="1" t="e">
        <f>VLOOKUP(B591,MICRO!E:L,8,0)</f>
        <v>#N/A</v>
      </c>
    </row>
    <row r="592" spans="1:14" ht="20.25" x14ac:dyDescent="0.25">
      <c r="A592" s="1">
        <v>193</v>
      </c>
      <c r="B592" s="1"/>
      <c r="C592" s="1" t="s">
        <v>1596</v>
      </c>
      <c r="D592" s="1"/>
      <c r="E592" s="1"/>
      <c r="F592" s="1" t="s">
        <v>1597</v>
      </c>
      <c r="G592" s="1">
        <v>2</v>
      </c>
      <c r="H592" s="1" t="s">
        <v>19</v>
      </c>
      <c r="I592" s="1" t="s">
        <v>1598</v>
      </c>
      <c r="J592" s="1">
        <v>0.02</v>
      </c>
      <c r="K592" s="1">
        <v>0.04</v>
      </c>
      <c r="L592" s="42">
        <v>5</v>
      </c>
      <c r="M592" s="43">
        <v>46055</v>
      </c>
      <c r="N592" s="1" t="e">
        <f>VLOOKUP(B592,MICRO!E:L,8,0)</f>
        <v>#N/A</v>
      </c>
    </row>
    <row r="593" spans="1:14" ht="20.25" x14ac:dyDescent="0.25">
      <c r="A593" s="1">
        <v>194</v>
      </c>
      <c r="B593" s="1"/>
      <c r="C593" s="1" t="s">
        <v>1594</v>
      </c>
      <c r="D593" s="1"/>
      <c r="E593" s="1"/>
      <c r="F593" s="1" t="s">
        <v>1599</v>
      </c>
      <c r="G593" s="1">
        <v>16</v>
      </c>
      <c r="H593" s="1" t="s">
        <v>19</v>
      </c>
      <c r="I593" s="1" t="s">
        <v>1558</v>
      </c>
      <c r="J593" s="1">
        <v>0.02</v>
      </c>
      <c r="K593" s="1">
        <v>0.32</v>
      </c>
      <c r="L593" s="42">
        <v>5</v>
      </c>
      <c r="M593" s="43">
        <v>46055</v>
      </c>
      <c r="N593" s="1" t="e">
        <f>VLOOKUP(B593,MICRO!E:L,8,0)</f>
        <v>#N/A</v>
      </c>
    </row>
    <row r="594" spans="1:14" ht="20.25" x14ac:dyDescent="0.25">
      <c r="A594" s="1">
        <v>195</v>
      </c>
      <c r="B594" s="1"/>
      <c r="C594" s="1" t="s">
        <v>1556</v>
      </c>
      <c r="D594" s="1"/>
      <c r="E594" s="1"/>
      <c r="F594" s="1" t="s">
        <v>1600</v>
      </c>
      <c r="G594" s="1">
        <v>48</v>
      </c>
      <c r="H594" s="1" t="s">
        <v>19</v>
      </c>
      <c r="I594" s="1" t="s">
        <v>423</v>
      </c>
      <c r="J594" s="1">
        <v>0.02</v>
      </c>
      <c r="K594" s="1">
        <v>0.96</v>
      </c>
      <c r="L594" s="42">
        <v>5</v>
      </c>
      <c r="M594" s="43">
        <v>46055</v>
      </c>
      <c r="N594" s="1" t="e">
        <f>VLOOKUP(B594,MICRO!E:L,8,0)</f>
        <v>#N/A</v>
      </c>
    </row>
    <row r="595" spans="1:14" ht="20.25" x14ac:dyDescent="0.25">
      <c r="A595" s="1">
        <v>196</v>
      </c>
      <c r="B595" s="1"/>
      <c r="C595" s="1" t="s">
        <v>1559</v>
      </c>
      <c r="D595" s="1"/>
      <c r="E595" s="1"/>
      <c r="F595" s="1" t="s">
        <v>1601</v>
      </c>
      <c r="G595" s="1">
        <v>7</v>
      </c>
      <c r="H595" s="1" t="s">
        <v>19</v>
      </c>
      <c r="I595" s="1" t="s">
        <v>424</v>
      </c>
      <c r="J595" s="1">
        <v>0.02</v>
      </c>
      <c r="K595" s="1">
        <v>0.14000000000000001</v>
      </c>
      <c r="L595" s="42">
        <v>5</v>
      </c>
      <c r="M595" s="43">
        <v>46055</v>
      </c>
      <c r="N595" s="1" t="e">
        <f>VLOOKUP(B595,MICRO!E:L,8,0)</f>
        <v>#N/A</v>
      </c>
    </row>
    <row r="596" spans="1:14" ht="20.25" x14ac:dyDescent="0.25">
      <c r="A596" s="1">
        <v>197</v>
      </c>
      <c r="B596" s="1"/>
      <c r="C596" s="1" t="s">
        <v>1561</v>
      </c>
      <c r="D596" s="1"/>
      <c r="E596" s="1"/>
      <c r="F596" s="1" t="s">
        <v>1602</v>
      </c>
      <c r="G596" s="1">
        <v>10</v>
      </c>
      <c r="H596" s="1" t="s">
        <v>19</v>
      </c>
      <c r="I596" s="1" t="s">
        <v>425</v>
      </c>
      <c r="J596" s="1">
        <v>0.02</v>
      </c>
      <c r="K596" s="1">
        <v>0.2</v>
      </c>
      <c r="L596" s="42">
        <v>5</v>
      </c>
      <c r="M596" s="43">
        <v>46055</v>
      </c>
      <c r="N596" s="1" t="e">
        <f>VLOOKUP(B596,MICRO!E:L,8,0)</f>
        <v>#N/A</v>
      </c>
    </row>
    <row r="597" spans="1:14" ht="20.25" x14ac:dyDescent="0.25">
      <c r="A597" s="1">
        <v>198</v>
      </c>
      <c r="B597" s="1"/>
      <c r="C597" s="1" t="s">
        <v>1565</v>
      </c>
      <c r="D597" s="1"/>
      <c r="E597" s="1"/>
      <c r="F597" s="1" t="s">
        <v>1603</v>
      </c>
      <c r="G597" s="1">
        <v>24</v>
      </c>
      <c r="H597" s="1" t="s">
        <v>19</v>
      </c>
      <c r="I597" s="1" t="s">
        <v>426</v>
      </c>
      <c r="J597" s="1">
        <v>0.02</v>
      </c>
      <c r="K597" s="1">
        <v>0.48</v>
      </c>
      <c r="L597" s="42">
        <v>5</v>
      </c>
      <c r="M597" s="43">
        <v>46055</v>
      </c>
      <c r="N597" s="1" t="e">
        <f>VLOOKUP(B597,MICRO!E:L,8,0)</f>
        <v>#N/A</v>
      </c>
    </row>
    <row r="598" spans="1:14" ht="20.25" x14ac:dyDescent="0.25">
      <c r="A598" s="1">
        <v>199</v>
      </c>
      <c r="B598" s="1"/>
      <c r="C598" s="1" t="s">
        <v>1563</v>
      </c>
      <c r="D598" s="1"/>
      <c r="E598" s="1"/>
      <c r="F598" s="1" t="s">
        <v>1604</v>
      </c>
      <c r="G598" s="1">
        <v>146</v>
      </c>
      <c r="H598" s="1" t="s">
        <v>19</v>
      </c>
      <c r="I598" s="1" t="s">
        <v>427</v>
      </c>
      <c r="J598" s="1">
        <v>0.02</v>
      </c>
      <c r="K598" s="1">
        <v>2.92</v>
      </c>
      <c r="L598" s="42">
        <v>5</v>
      </c>
      <c r="M598" s="43">
        <v>46055</v>
      </c>
      <c r="N598" s="1" t="e">
        <f>VLOOKUP(B598,MICRO!E:L,8,0)</f>
        <v>#N/A</v>
      </c>
    </row>
    <row r="599" spans="1:14" ht="20.25" x14ac:dyDescent="0.25">
      <c r="A599" s="1">
        <v>200</v>
      </c>
      <c r="B599" s="1"/>
      <c r="C599" s="1" t="s">
        <v>1605</v>
      </c>
      <c r="D599" s="1"/>
      <c r="E599" s="1"/>
      <c r="F599" s="1" t="s">
        <v>1606</v>
      </c>
      <c r="G599" s="1">
        <v>1</v>
      </c>
      <c r="H599" s="1" t="s">
        <v>19</v>
      </c>
      <c r="I599" s="1" t="s">
        <v>1598</v>
      </c>
      <c r="J599" s="1">
        <v>0.02</v>
      </c>
      <c r="K599" s="1">
        <v>0.02</v>
      </c>
      <c r="L599" s="42">
        <v>5</v>
      </c>
      <c r="M599" s="43">
        <v>46055</v>
      </c>
      <c r="N599" s="1" t="e">
        <f>VLOOKUP(B599,MICRO!E:L,8,0)</f>
        <v>#N/A</v>
      </c>
    </row>
    <row r="600" spans="1:14" ht="20.25" x14ac:dyDescent="0.25">
      <c r="A600" s="1">
        <v>201</v>
      </c>
      <c r="B600" s="1"/>
      <c r="C600" s="1" t="s">
        <v>1594</v>
      </c>
      <c r="D600" s="1"/>
      <c r="E600" s="1"/>
      <c r="F600" s="1" t="s">
        <v>1607</v>
      </c>
      <c r="G600" s="1">
        <v>90</v>
      </c>
      <c r="H600" s="1" t="s">
        <v>19</v>
      </c>
      <c r="I600" s="1" t="s">
        <v>1558</v>
      </c>
      <c r="J600" s="1">
        <v>0.02</v>
      </c>
      <c r="K600" s="1">
        <v>1.8</v>
      </c>
      <c r="L600" s="42">
        <v>5</v>
      </c>
      <c r="M600" s="43">
        <v>46055</v>
      </c>
      <c r="N600" s="1" t="e">
        <f>VLOOKUP(B600,MICRO!E:L,8,0)</f>
        <v>#N/A</v>
      </c>
    </row>
    <row r="601" spans="1:14" ht="20.25" x14ac:dyDescent="0.25">
      <c r="A601" s="1">
        <v>202</v>
      </c>
      <c r="B601" s="1"/>
      <c r="C601" s="1" t="s">
        <v>1608</v>
      </c>
      <c r="D601" s="1"/>
      <c r="E601" s="1"/>
      <c r="F601" s="1" t="s">
        <v>1609</v>
      </c>
      <c r="G601" s="1">
        <v>40</v>
      </c>
      <c r="H601" s="1" t="s">
        <v>19</v>
      </c>
      <c r="I601" s="1" t="s">
        <v>424</v>
      </c>
      <c r="J601" s="1">
        <v>0.02</v>
      </c>
      <c r="K601" s="1">
        <v>0.8</v>
      </c>
      <c r="L601" s="42">
        <v>5</v>
      </c>
      <c r="M601" s="43">
        <v>46055</v>
      </c>
      <c r="N601" s="1" t="e">
        <f>VLOOKUP(B601,MICRO!E:L,8,0)</f>
        <v>#N/A</v>
      </c>
    </row>
    <row r="602" spans="1:14" ht="20.25" x14ac:dyDescent="0.25">
      <c r="A602" s="1">
        <v>203</v>
      </c>
      <c r="B602" s="1"/>
      <c r="C602" s="1" t="s">
        <v>1610</v>
      </c>
      <c r="D602" s="1"/>
      <c r="E602" s="1"/>
      <c r="F602" s="1" t="s">
        <v>1611</v>
      </c>
      <c r="G602" s="1">
        <v>44</v>
      </c>
      <c r="H602" s="1" t="s">
        <v>19</v>
      </c>
      <c r="I602" s="1" t="s">
        <v>425</v>
      </c>
      <c r="J602" s="1">
        <v>0.02</v>
      </c>
      <c r="K602" s="1">
        <v>0.88</v>
      </c>
      <c r="L602" s="42">
        <v>5</v>
      </c>
      <c r="M602" s="43">
        <v>46055</v>
      </c>
      <c r="N602" s="1" t="e">
        <f>VLOOKUP(B602,MICRO!E:L,8,0)</f>
        <v>#N/A</v>
      </c>
    </row>
    <row r="603" spans="1:14" ht="20.25" x14ac:dyDescent="0.25">
      <c r="A603" s="1">
        <v>204</v>
      </c>
      <c r="B603" s="1"/>
      <c r="C603" s="1" t="s">
        <v>1612</v>
      </c>
      <c r="D603" s="1"/>
      <c r="E603" s="1"/>
      <c r="F603" s="1" t="s">
        <v>1613</v>
      </c>
      <c r="G603" s="1">
        <v>12</v>
      </c>
      <c r="H603" s="1" t="s">
        <v>19</v>
      </c>
      <c r="I603" s="1" t="s">
        <v>424</v>
      </c>
      <c r="J603" s="1">
        <v>0.02</v>
      </c>
      <c r="K603" s="1">
        <v>0.24</v>
      </c>
      <c r="L603" s="42">
        <v>5</v>
      </c>
      <c r="M603" s="43">
        <v>46055</v>
      </c>
      <c r="N603" s="1" t="e">
        <f>VLOOKUP(B603,MICRO!E:L,8,0)</f>
        <v>#N/A</v>
      </c>
    </row>
    <row r="604" spans="1:14" ht="20.25" x14ac:dyDescent="0.25">
      <c r="A604" s="1">
        <v>205</v>
      </c>
      <c r="B604" s="1"/>
      <c r="C604" s="1" t="s">
        <v>1610</v>
      </c>
      <c r="D604" s="1"/>
      <c r="E604" s="1"/>
      <c r="F604" s="1" t="s">
        <v>1614</v>
      </c>
      <c r="G604" s="1">
        <v>12</v>
      </c>
      <c r="H604" s="1" t="s">
        <v>19</v>
      </c>
      <c r="I604" s="1" t="s">
        <v>425</v>
      </c>
      <c r="J604" s="1">
        <v>0.02</v>
      </c>
      <c r="K604" s="1">
        <v>0.24</v>
      </c>
      <c r="L604" s="42">
        <v>5</v>
      </c>
      <c r="M604" s="43">
        <v>46055</v>
      </c>
      <c r="N604" s="1" t="e">
        <f>VLOOKUP(B604,MICRO!E:L,8,0)</f>
        <v>#N/A</v>
      </c>
    </row>
    <row r="605" spans="1:14" ht="20.25" x14ac:dyDescent="0.25">
      <c r="A605" s="1">
        <v>206</v>
      </c>
      <c r="B605" s="1"/>
      <c r="C605" s="1" t="s">
        <v>1610</v>
      </c>
      <c r="D605" s="1"/>
      <c r="E605" s="1"/>
      <c r="F605" s="1" t="s">
        <v>1614</v>
      </c>
      <c r="G605" s="1">
        <v>12</v>
      </c>
      <c r="H605" s="1" t="s">
        <v>19</v>
      </c>
      <c r="I605" s="1" t="s">
        <v>425</v>
      </c>
      <c r="J605" s="1">
        <v>0.02</v>
      </c>
      <c r="K605" s="1">
        <v>0.24</v>
      </c>
      <c r="L605" s="42">
        <v>5</v>
      </c>
      <c r="M605" s="43">
        <v>46055</v>
      </c>
      <c r="N605" s="1" t="e">
        <f>VLOOKUP(B605,MICRO!E:L,8,0)</f>
        <v>#N/A</v>
      </c>
    </row>
    <row r="606" spans="1:14" ht="20.25" x14ac:dyDescent="0.25">
      <c r="A606" s="1">
        <v>207</v>
      </c>
      <c r="B606" s="1"/>
      <c r="C606" s="1" t="s">
        <v>1615</v>
      </c>
      <c r="D606" s="1"/>
      <c r="E606" s="1"/>
      <c r="F606" s="1" t="s">
        <v>1616</v>
      </c>
      <c r="G606" s="1">
        <v>48</v>
      </c>
      <c r="H606" s="1" t="s">
        <v>19</v>
      </c>
      <c r="I606" s="1" t="s">
        <v>426</v>
      </c>
      <c r="J606" s="1">
        <v>0.02</v>
      </c>
      <c r="K606" s="1">
        <v>0.96</v>
      </c>
      <c r="L606" s="42">
        <v>5</v>
      </c>
      <c r="M606" s="43">
        <v>46055</v>
      </c>
      <c r="N606" s="1" t="e">
        <f>VLOOKUP(B606,MICRO!E:L,8,0)</f>
        <v>#N/A</v>
      </c>
    </row>
    <row r="607" spans="1:14" ht="20.25" x14ac:dyDescent="0.25">
      <c r="A607" s="1">
        <v>208</v>
      </c>
      <c r="B607" s="1"/>
      <c r="C607" s="1" t="s">
        <v>1596</v>
      </c>
      <c r="D607" s="1"/>
      <c r="E607" s="1"/>
      <c r="F607" s="1" t="s">
        <v>1617</v>
      </c>
      <c r="G607" s="1">
        <v>2</v>
      </c>
      <c r="H607" s="1" t="s">
        <v>19</v>
      </c>
      <c r="I607" s="1" t="s">
        <v>1598</v>
      </c>
      <c r="J607" s="1">
        <v>0.02</v>
      </c>
      <c r="K607" s="1">
        <v>0.04</v>
      </c>
      <c r="L607" s="42">
        <v>5</v>
      </c>
      <c r="M607" s="43">
        <v>46055</v>
      </c>
      <c r="N607" s="1" t="e">
        <f>VLOOKUP(B607,MICRO!E:L,8,0)</f>
        <v>#N/A</v>
      </c>
    </row>
    <row r="608" spans="1:14" ht="20.25" x14ac:dyDescent="0.25">
      <c r="A608" s="1">
        <v>209</v>
      </c>
      <c r="B608" s="1"/>
      <c r="C608" s="1" t="s">
        <v>1559</v>
      </c>
      <c r="D608" s="1"/>
      <c r="E608" s="1"/>
      <c r="F608" s="1" t="s">
        <v>1618</v>
      </c>
      <c r="G608" s="1">
        <v>7</v>
      </c>
      <c r="H608" s="1" t="s">
        <v>19</v>
      </c>
      <c r="I608" s="1" t="s">
        <v>424</v>
      </c>
      <c r="J608" s="1">
        <v>0.05</v>
      </c>
      <c r="K608" s="1">
        <v>0.35000000000000003</v>
      </c>
      <c r="L608" s="42">
        <v>5</v>
      </c>
      <c r="M608" s="43">
        <v>46055</v>
      </c>
      <c r="N608" s="1" t="e">
        <f>VLOOKUP(B608,MICRO!E:L,8,0)</f>
        <v>#N/A</v>
      </c>
    </row>
    <row r="609" spans="1:14" ht="20.25" x14ac:dyDescent="0.25">
      <c r="A609" s="1">
        <v>210</v>
      </c>
      <c r="B609" s="1"/>
      <c r="C609" s="1" t="s">
        <v>1559</v>
      </c>
      <c r="D609" s="1"/>
      <c r="E609" s="1"/>
      <c r="F609" s="1" t="s">
        <v>1618</v>
      </c>
      <c r="G609" s="1">
        <v>48</v>
      </c>
      <c r="H609" s="1" t="s">
        <v>19</v>
      </c>
      <c r="I609" s="1" t="s">
        <v>424</v>
      </c>
      <c r="J609" s="1">
        <v>0.05</v>
      </c>
      <c r="K609" s="1">
        <v>2.4000000000000004</v>
      </c>
      <c r="L609" s="42">
        <v>5</v>
      </c>
      <c r="M609" s="43">
        <v>46055</v>
      </c>
      <c r="N609" s="1" t="e">
        <f>VLOOKUP(B609,MICRO!E:L,8,0)</f>
        <v>#N/A</v>
      </c>
    </row>
    <row r="610" spans="1:14" ht="20.25" x14ac:dyDescent="0.25">
      <c r="A610" s="1">
        <v>211</v>
      </c>
      <c r="B610" s="1"/>
      <c r="C610" s="1" t="s">
        <v>1561</v>
      </c>
      <c r="D610" s="1"/>
      <c r="E610" s="1"/>
      <c r="F610" s="1" t="s">
        <v>1619</v>
      </c>
      <c r="G610" s="1">
        <v>10</v>
      </c>
      <c r="H610" s="1" t="s">
        <v>19</v>
      </c>
      <c r="I610" s="1" t="s">
        <v>425</v>
      </c>
      <c r="J610" s="1">
        <v>0.05</v>
      </c>
      <c r="K610" s="1">
        <v>0.5</v>
      </c>
      <c r="L610" s="42">
        <v>5</v>
      </c>
      <c r="M610" s="43">
        <v>46055</v>
      </c>
      <c r="N610" s="1" t="e">
        <f>VLOOKUP(B610,MICRO!E:L,8,0)</f>
        <v>#N/A</v>
      </c>
    </row>
    <row r="611" spans="1:14" ht="20.25" x14ac:dyDescent="0.25">
      <c r="A611" s="1">
        <v>212</v>
      </c>
      <c r="B611" s="1"/>
      <c r="C611" s="1" t="s">
        <v>1565</v>
      </c>
      <c r="D611" s="1"/>
      <c r="E611" s="1"/>
      <c r="F611" s="1" t="s">
        <v>1620</v>
      </c>
      <c r="G611" s="1">
        <v>24</v>
      </c>
      <c r="H611" s="1" t="s">
        <v>19</v>
      </c>
      <c r="I611" s="1" t="s">
        <v>426</v>
      </c>
      <c r="J611" s="1">
        <v>0.05</v>
      </c>
      <c r="K611" s="1">
        <v>1.2000000000000002</v>
      </c>
      <c r="L611" s="42">
        <v>5</v>
      </c>
      <c r="M611" s="43">
        <v>46055</v>
      </c>
      <c r="N611" s="1" t="e">
        <f>VLOOKUP(B611,MICRO!E:L,8,0)</f>
        <v>#N/A</v>
      </c>
    </row>
    <row r="612" spans="1:14" ht="20.25" x14ac:dyDescent="0.25">
      <c r="A612" s="1">
        <v>213</v>
      </c>
      <c r="B612" s="1"/>
      <c r="C612" s="1" t="s">
        <v>1563</v>
      </c>
      <c r="D612" s="1"/>
      <c r="E612" s="1"/>
      <c r="F612" s="1" t="s">
        <v>1621</v>
      </c>
      <c r="G612" s="1">
        <v>146</v>
      </c>
      <c r="H612" s="1" t="s">
        <v>19</v>
      </c>
      <c r="I612" s="1" t="s">
        <v>427</v>
      </c>
      <c r="J612" s="1">
        <v>0.05</v>
      </c>
      <c r="K612" s="1">
        <v>7.3000000000000007</v>
      </c>
      <c r="L612" s="42">
        <v>5</v>
      </c>
      <c r="M612" s="43">
        <v>46055</v>
      </c>
      <c r="N612" s="1" t="e">
        <f>VLOOKUP(B612,MICRO!E:L,8,0)</f>
        <v>#N/A</v>
      </c>
    </row>
    <row r="613" spans="1:14" ht="20.25" x14ac:dyDescent="0.25">
      <c r="A613" s="1">
        <v>214</v>
      </c>
      <c r="B613" s="1"/>
      <c r="C613" s="1" t="s">
        <v>1594</v>
      </c>
      <c r="D613" s="1"/>
      <c r="E613" s="1"/>
      <c r="F613" s="1" t="s">
        <v>1622</v>
      </c>
      <c r="G613" s="1">
        <v>16</v>
      </c>
      <c r="H613" s="1" t="s">
        <v>19</v>
      </c>
      <c r="I613" s="1" t="s">
        <v>1558</v>
      </c>
      <c r="J613" s="1">
        <v>0.05</v>
      </c>
      <c r="K613" s="1">
        <v>0.8</v>
      </c>
      <c r="L613" s="42">
        <v>5</v>
      </c>
      <c r="M613" s="43">
        <v>46055</v>
      </c>
      <c r="N613" s="1" t="e">
        <f>VLOOKUP(B613,MICRO!E:L,8,0)</f>
        <v>#N/A</v>
      </c>
    </row>
    <row r="614" spans="1:14" ht="20.25" x14ac:dyDescent="0.25">
      <c r="A614" s="1">
        <v>215</v>
      </c>
      <c r="B614" s="1"/>
      <c r="C614" s="1" t="s">
        <v>1596</v>
      </c>
      <c r="D614" s="1"/>
      <c r="E614" s="1"/>
      <c r="F614" s="1" t="s">
        <v>1623</v>
      </c>
      <c r="G614" s="1">
        <v>2</v>
      </c>
      <c r="H614" s="1" t="s">
        <v>19</v>
      </c>
      <c r="I614" s="1" t="s">
        <v>1598</v>
      </c>
      <c r="J614" s="1">
        <v>0.05</v>
      </c>
      <c r="K614" s="1">
        <v>0.1</v>
      </c>
      <c r="L614" s="42">
        <v>5</v>
      </c>
      <c r="M614" s="43">
        <v>46055</v>
      </c>
      <c r="N614" s="1" t="e">
        <f>VLOOKUP(B614,MICRO!E:L,8,0)</f>
        <v>#N/A</v>
      </c>
    </row>
    <row r="615" spans="1:14" ht="20.25" x14ac:dyDescent="0.25">
      <c r="A615" s="1">
        <v>216</v>
      </c>
      <c r="B615" s="1"/>
      <c r="C615" s="1" t="s">
        <v>1610</v>
      </c>
      <c r="D615" s="1"/>
      <c r="E615" s="1"/>
      <c r="F615" s="1" t="s">
        <v>1624</v>
      </c>
      <c r="G615" s="1">
        <v>16</v>
      </c>
      <c r="H615" s="1" t="s">
        <v>19</v>
      </c>
      <c r="I615" s="1" t="s">
        <v>425</v>
      </c>
      <c r="J615" s="1">
        <v>0.05</v>
      </c>
      <c r="K615" s="1">
        <v>0.8</v>
      </c>
      <c r="L615" s="42">
        <v>5</v>
      </c>
      <c r="M615" s="43">
        <v>46055</v>
      </c>
      <c r="N615" s="1" t="e">
        <f>VLOOKUP(B615,MICRO!E:L,8,0)</f>
        <v>#N/A</v>
      </c>
    </row>
    <row r="616" spans="1:14" ht="20.25" x14ac:dyDescent="0.25">
      <c r="A616" s="1">
        <v>217</v>
      </c>
      <c r="B616" s="1"/>
      <c r="C616" s="1" t="s">
        <v>1608</v>
      </c>
      <c r="D616" s="1"/>
      <c r="E616" s="1"/>
      <c r="F616" s="1" t="s">
        <v>1625</v>
      </c>
      <c r="G616" s="1">
        <v>12</v>
      </c>
      <c r="H616" s="1" t="s">
        <v>19</v>
      </c>
      <c r="I616" s="1" t="s">
        <v>424</v>
      </c>
      <c r="J616" s="1">
        <v>0.05</v>
      </c>
      <c r="K616" s="1">
        <v>0.60000000000000009</v>
      </c>
      <c r="L616" s="42">
        <v>5</v>
      </c>
      <c r="M616" s="43">
        <v>46055</v>
      </c>
      <c r="N616" s="1" t="e">
        <f>VLOOKUP(B616,MICRO!E:L,8,0)</f>
        <v>#N/A</v>
      </c>
    </row>
    <row r="617" spans="1:14" ht="20.25" x14ac:dyDescent="0.25">
      <c r="A617" s="1">
        <v>218</v>
      </c>
      <c r="B617" s="1"/>
      <c r="C617" s="1" t="s">
        <v>1594</v>
      </c>
      <c r="D617" s="1"/>
      <c r="E617" s="1"/>
      <c r="F617" s="1" t="s">
        <v>1626</v>
      </c>
      <c r="G617" s="1">
        <v>80</v>
      </c>
      <c r="H617" s="1" t="s">
        <v>19</v>
      </c>
      <c r="I617" s="1" t="s">
        <v>1558</v>
      </c>
      <c r="J617" s="1">
        <v>0.05</v>
      </c>
      <c r="K617" s="1">
        <v>4</v>
      </c>
      <c r="L617" s="42">
        <v>5</v>
      </c>
      <c r="M617" s="43">
        <v>46055</v>
      </c>
      <c r="N617" s="1" t="e">
        <f>VLOOKUP(B617,MICRO!E:L,8,0)</f>
        <v>#N/A</v>
      </c>
    </row>
    <row r="618" spans="1:14" ht="20.25" x14ac:dyDescent="0.25">
      <c r="A618" s="1">
        <v>219</v>
      </c>
      <c r="B618" s="1"/>
      <c r="C618" s="1" t="s">
        <v>1612</v>
      </c>
      <c r="D618" s="1"/>
      <c r="E618" s="1"/>
      <c r="F618" s="1" t="s">
        <v>1627</v>
      </c>
      <c r="G618" s="1">
        <v>12</v>
      </c>
      <c r="H618" s="1" t="s">
        <v>19</v>
      </c>
      <c r="I618" s="1" t="s">
        <v>424</v>
      </c>
      <c r="J618" s="1">
        <v>0.05</v>
      </c>
      <c r="K618" s="1">
        <v>0.60000000000000009</v>
      </c>
      <c r="L618" s="42">
        <v>5</v>
      </c>
      <c r="M618" s="43">
        <v>46055</v>
      </c>
      <c r="N618" s="1" t="e">
        <f>VLOOKUP(B618,MICRO!E:L,8,0)</f>
        <v>#N/A</v>
      </c>
    </row>
    <row r="619" spans="1:14" ht="20.25" x14ac:dyDescent="0.25">
      <c r="A619" s="1">
        <v>220</v>
      </c>
      <c r="B619" s="1"/>
      <c r="C619" s="1" t="s">
        <v>1610</v>
      </c>
      <c r="D619" s="1"/>
      <c r="E619" s="1"/>
      <c r="F619" s="1" t="s">
        <v>1628</v>
      </c>
      <c r="G619" s="1">
        <v>12</v>
      </c>
      <c r="H619" s="1" t="s">
        <v>19</v>
      </c>
      <c r="I619" s="1" t="s">
        <v>425</v>
      </c>
      <c r="J619" s="1">
        <v>0.05</v>
      </c>
      <c r="K619" s="1">
        <v>0.60000000000000009</v>
      </c>
      <c r="L619" s="42">
        <v>5</v>
      </c>
      <c r="M619" s="43">
        <v>46055</v>
      </c>
      <c r="N619" s="1" t="e">
        <f>VLOOKUP(B619,MICRO!E:L,8,0)</f>
        <v>#N/A</v>
      </c>
    </row>
    <row r="620" spans="1:14" ht="20.25" x14ac:dyDescent="0.25">
      <c r="A620" s="1">
        <v>221</v>
      </c>
      <c r="B620" s="1"/>
      <c r="C620" s="1" t="s">
        <v>1615</v>
      </c>
      <c r="D620" s="1"/>
      <c r="E620" s="1"/>
      <c r="F620" s="1" t="s">
        <v>1629</v>
      </c>
      <c r="G620" s="1">
        <v>20</v>
      </c>
      <c r="H620" s="1" t="s">
        <v>19</v>
      </c>
      <c r="I620" s="1" t="s">
        <v>426</v>
      </c>
      <c r="J620" s="1">
        <v>0.05</v>
      </c>
      <c r="K620" s="1">
        <v>1</v>
      </c>
      <c r="L620" s="42">
        <v>5</v>
      </c>
      <c r="M620" s="43">
        <v>46055</v>
      </c>
      <c r="N620" s="1" t="e">
        <f>VLOOKUP(B620,MICRO!E:L,8,0)</f>
        <v>#N/A</v>
      </c>
    </row>
    <row r="621" spans="1:14" ht="20.25" x14ac:dyDescent="0.25">
      <c r="A621" s="1">
        <v>222</v>
      </c>
      <c r="B621" s="1"/>
      <c r="C621" s="1" t="s">
        <v>1594</v>
      </c>
      <c r="D621" s="1"/>
      <c r="E621" s="1"/>
      <c r="F621" s="1" t="s">
        <v>1630</v>
      </c>
      <c r="G621" s="1">
        <v>16</v>
      </c>
      <c r="H621" s="1" t="s">
        <v>19</v>
      </c>
      <c r="I621" s="1" t="s">
        <v>1558</v>
      </c>
      <c r="J621" s="1">
        <v>0.05</v>
      </c>
      <c r="K621" s="1">
        <v>0.8</v>
      </c>
      <c r="L621" s="42">
        <v>5</v>
      </c>
      <c r="M621" s="43">
        <v>46055</v>
      </c>
      <c r="N621" s="1" t="e">
        <f>VLOOKUP(B621,MICRO!E:L,8,0)</f>
        <v>#N/A</v>
      </c>
    </row>
    <row r="622" spans="1:14" ht="20.25" x14ac:dyDescent="0.25">
      <c r="A622" s="1">
        <v>223</v>
      </c>
      <c r="B622" s="1"/>
      <c r="C622" s="1" t="s">
        <v>1610</v>
      </c>
      <c r="D622" s="1"/>
      <c r="E622" s="1"/>
      <c r="F622" s="1" t="s">
        <v>1631</v>
      </c>
      <c r="G622" s="1">
        <v>28</v>
      </c>
      <c r="H622" s="1" t="s">
        <v>19</v>
      </c>
      <c r="I622" s="1" t="s">
        <v>425</v>
      </c>
      <c r="J622" s="1">
        <v>0.05</v>
      </c>
      <c r="K622" s="1">
        <v>1.4000000000000001</v>
      </c>
      <c r="L622" s="42">
        <v>5</v>
      </c>
      <c r="M622" s="43">
        <v>46055</v>
      </c>
      <c r="N622" s="1" t="e">
        <f>VLOOKUP(B622,MICRO!E:L,8,0)</f>
        <v>#N/A</v>
      </c>
    </row>
    <row r="623" spans="1:14" ht="20.25" x14ac:dyDescent="0.25">
      <c r="A623" s="1">
        <v>224</v>
      </c>
      <c r="B623" s="1"/>
      <c r="C623" s="1" t="s">
        <v>1608</v>
      </c>
      <c r="D623" s="1"/>
      <c r="E623" s="1"/>
      <c r="F623" s="1" t="s">
        <v>1632</v>
      </c>
      <c r="G623" s="1">
        <v>28</v>
      </c>
      <c r="H623" s="1" t="s">
        <v>19</v>
      </c>
      <c r="I623" s="1" t="s">
        <v>424</v>
      </c>
      <c r="J623" s="1">
        <v>0.05</v>
      </c>
      <c r="K623" s="1">
        <v>1.4000000000000001</v>
      </c>
      <c r="L623" s="42">
        <v>5</v>
      </c>
      <c r="M623" s="43">
        <v>46055</v>
      </c>
      <c r="N623" s="1" t="e">
        <f>VLOOKUP(B623,MICRO!E:L,8,0)</f>
        <v>#N/A</v>
      </c>
    </row>
    <row r="624" spans="1:14" ht="20.25" x14ac:dyDescent="0.25">
      <c r="A624" s="1">
        <v>225</v>
      </c>
      <c r="B624" s="1"/>
      <c r="C624" s="1" t="s">
        <v>1615</v>
      </c>
      <c r="D624" s="1"/>
      <c r="E624" s="1"/>
      <c r="F624" s="1" t="s">
        <v>1633</v>
      </c>
      <c r="G624" s="1">
        <v>28</v>
      </c>
      <c r="H624" s="1" t="s">
        <v>19</v>
      </c>
      <c r="I624" s="1" t="s">
        <v>426</v>
      </c>
      <c r="J624" s="1">
        <v>0.05</v>
      </c>
      <c r="K624" s="1">
        <v>1.4000000000000001</v>
      </c>
      <c r="L624" s="42">
        <v>5</v>
      </c>
      <c r="M624" s="43">
        <v>46055</v>
      </c>
      <c r="N624" s="1" t="e">
        <f>VLOOKUP(B624,MICRO!E:L,8,0)</f>
        <v>#N/A</v>
      </c>
    </row>
    <row r="625" spans="1:14" ht="20.25" x14ac:dyDescent="0.25">
      <c r="A625" s="1">
        <v>226</v>
      </c>
      <c r="B625" s="1"/>
      <c r="C625" s="1" t="s">
        <v>1596</v>
      </c>
      <c r="D625" s="1"/>
      <c r="E625" s="1"/>
      <c r="F625" s="1" t="s">
        <v>1634</v>
      </c>
      <c r="G625" s="1">
        <v>2</v>
      </c>
      <c r="H625" s="1" t="s">
        <v>19</v>
      </c>
      <c r="I625" s="1" t="s">
        <v>1598</v>
      </c>
      <c r="J625" s="1">
        <v>0.03</v>
      </c>
      <c r="K625" s="1">
        <v>0.06</v>
      </c>
      <c r="L625" s="42">
        <v>5</v>
      </c>
      <c r="M625" s="43">
        <v>46055</v>
      </c>
      <c r="N625" s="1" t="e">
        <f>VLOOKUP(B625,MICRO!E:L,8,0)</f>
        <v>#N/A</v>
      </c>
    </row>
    <row r="626" spans="1:14" ht="20.25" x14ac:dyDescent="0.25">
      <c r="A626" s="1">
        <v>227</v>
      </c>
      <c r="B626" s="1"/>
      <c r="C626" s="1" t="s">
        <v>1559</v>
      </c>
      <c r="D626" s="1"/>
      <c r="E626" s="1"/>
      <c r="F626" s="1" t="s">
        <v>1635</v>
      </c>
      <c r="G626" s="1">
        <v>7</v>
      </c>
      <c r="H626" s="1" t="s">
        <v>19</v>
      </c>
      <c r="I626" s="1" t="s">
        <v>424</v>
      </c>
      <c r="J626" s="1">
        <v>0.03</v>
      </c>
      <c r="K626" s="1">
        <v>0.21</v>
      </c>
      <c r="L626" s="42">
        <v>5</v>
      </c>
      <c r="M626" s="43">
        <v>46055</v>
      </c>
      <c r="N626" s="1" t="e">
        <f>VLOOKUP(B626,MICRO!E:L,8,0)</f>
        <v>#N/A</v>
      </c>
    </row>
    <row r="627" spans="1:14" ht="20.25" x14ac:dyDescent="0.25">
      <c r="A627" s="1">
        <v>228</v>
      </c>
      <c r="B627" s="1"/>
      <c r="C627" s="1" t="s">
        <v>1561</v>
      </c>
      <c r="D627" s="1"/>
      <c r="E627" s="1"/>
      <c r="F627" s="1" t="s">
        <v>1576</v>
      </c>
      <c r="G627" s="1">
        <v>10</v>
      </c>
      <c r="H627" s="1" t="s">
        <v>19</v>
      </c>
      <c r="I627" s="1" t="s">
        <v>425</v>
      </c>
      <c r="J627" s="1">
        <v>0.03</v>
      </c>
      <c r="K627" s="1">
        <v>0.3</v>
      </c>
      <c r="L627" s="42">
        <v>5</v>
      </c>
      <c r="M627" s="43">
        <v>46055</v>
      </c>
      <c r="N627" s="1" t="e">
        <f>VLOOKUP(B627,MICRO!E:L,8,0)</f>
        <v>#N/A</v>
      </c>
    </row>
    <row r="628" spans="1:14" ht="20.25" x14ac:dyDescent="0.25">
      <c r="A628" s="1">
        <v>229</v>
      </c>
      <c r="B628" s="1"/>
      <c r="C628" s="1" t="s">
        <v>1565</v>
      </c>
      <c r="D628" s="1"/>
      <c r="E628" s="1"/>
      <c r="F628" s="1" t="s">
        <v>1577</v>
      </c>
      <c r="G628" s="1">
        <v>24</v>
      </c>
      <c r="H628" s="1" t="s">
        <v>19</v>
      </c>
      <c r="I628" s="1" t="s">
        <v>426</v>
      </c>
      <c r="J628" s="1">
        <v>0.03</v>
      </c>
      <c r="K628" s="1">
        <v>0.72</v>
      </c>
      <c r="L628" s="42">
        <v>5</v>
      </c>
      <c r="M628" s="43">
        <v>46055</v>
      </c>
      <c r="N628" s="1" t="e">
        <f>VLOOKUP(B628,MICRO!E:L,8,0)</f>
        <v>#N/A</v>
      </c>
    </row>
    <row r="629" spans="1:14" ht="20.25" x14ac:dyDescent="0.25">
      <c r="A629" s="1">
        <v>230</v>
      </c>
      <c r="B629" s="1"/>
      <c r="C629" s="1" t="s">
        <v>1563</v>
      </c>
      <c r="D629" s="1"/>
      <c r="E629" s="1"/>
      <c r="F629" s="1" t="s">
        <v>1578</v>
      </c>
      <c r="G629" s="1">
        <v>146</v>
      </c>
      <c r="H629" s="1" t="s">
        <v>19</v>
      </c>
      <c r="I629" s="1" t="s">
        <v>427</v>
      </c>
      <c r="J629" s="1">
        <v>0.03</v>
      </c>
      <c r="K629" s="1">
        <v>4.38</v>
      </c>
      <c r="L629" s="42">
        <v>5</v>
      </c>
      <c r="M629" s="43">
        <v>46055</v>
      </c>
      <c r="N629" s="1" t="e">
        <f>VLOOKUP(B629,MICRO!E:L,8,0)</f>
        <v>#N/A</v>
      </c>
    </row>
    <row r="630" spans="1:14" ht="20.25" x14ac:dyDescent="0.25">
      <c r="A630" s="1">
        <v>231</v>
      </c>
      <c r="B630" s="1"/>
      <c r="C630" s="1" t="s">
        <v>1556</v>
      </c>
      <c r="D630" s="1"/>
      <c r="E630" s="1"/>
      <c r="F630" s="1" t="s">
        <v>1636</v>
      </c>
      <c r="G630" s="1">
        <v>48</v>
      </c>
      <c r="H630" s="1" t="s">
        <v>19</v>
      </c>
      <c r="I630" s="1" t="s">
        <v>423</v>
      </c>
      <c r="J630" s="1">
        <v>0.03</v>
      </c>
      <c r="K630" s="1">
        <v>1.44</v>
      </c>
      <c r="L630" s="42">
        <v>5</v>
      </c>
      <c r="M630" s="43">
        <v>46055</v>
      </c>
      <c r="N630" s="1" t="e">
        <f>VLOOKUP(B630,MICRO!E:L,8,0)</f>
        <v>#N/A</v>
      </c>
    </row>
    <row r="631" spans="1:14" ht="20.25" x14ac:dyDescent="0.25">
      <c r="A631" s="1">
        <v>232</v>
      </c>
      <c r="B631" s="1"/>
      <c r="C631" s="1" t="s">
        <v>1594</v>
      </c>
      <c r="D631" s="1"/>
      <c r="E631" s="1"/>
      <c r="F631" s="1" t="s">
        <v>1637</v>
      </c>
      <c r="G631" s="1">
        <v>16</v>
      </c>
      <c r="H631" s="1" t="s">
        <v>19</v>
      </c>
      <c r="I631" s="1" t="s">
        <v>1558</v>
      </c>
      <c r="J631" s="1">
        <v>0.03</v>
      </c>
      <c r="K631" s="1">
        <v>0.48</v>
      </c>
      <c r="L631" s="42">
        <v>5</v>
      </c>
      <c r="M631" s="43">
        <v>46055</v>
      </c>
      <c r="N631" s="1" t="e">
        <f>VLOOKUP(B631,MICRO!E:L,8,0)</f>
        <v>#N/A</v>
      </c>
    </row>
    <row r="632" spans="1:14" ht="20.25" x14ac:dyDescent="0.25">
      <c r="A632" s="1">
        <v>233</v>
      </c>
      <c r="B632" s="1"/>
      <c r="C632" s="1" t="s">
        <v>1605</v>
      </c>
      <c r="D632" s="1"/>
      <c r="E632" s="1"/>
      <c r="F632" s="1" t="s">
        <v>1638</v>
      </c>
      <c r="G632" s="1">
        <v>1</v>
      </c>
      <c r="H632" s="1" t="s">
        <v>19</v>
      </c>
      <c r="I632" s="1" t="s">
        <v>1598</v>
      </c>
      <c r="J632" s="1">
        <v>0.03</v>
      </c>
      <c r="K632" s="1">
        <v>0.03</v>
      </c>
      <c r="L632" s="42">
        <v>5</v>
      </c>
      <c r="M632" s="43">
        <v>46055</v>
      </c>
      <c r="N632" s="1" t="e">
        <f>VLOOKUP(B632,MICRO!E:L,8,0)</f>
        <v>#N/A</v>
      </c>
    </row>
    <row r="633" spans="1:14" ht="20.25" x14ac:dyDescent="0.25">
      <c r="A633" s="1">
        <v>234</v>
      </c>
      <c r="B633" s="1"/>
      <c r="C633" s="1" t="s">
        <v>1596</v>
      </c>
      <c r="D633" s="1"/>
      <c r="E633" s="1"/>
      <c r="F633" s="1" t="s">
        <v>1639</v>
      </c>
      <c r="G633" s="1">
        <v>2</v>
      </c>
      <c r="H633" s="1" t="s">
        <v>19</v>
      </c>
      <c r="I633" s="1" t="s">
        <v>1598</v>
      </c>
      <c r="J633" s="1">
        <v>0.03</v>
      </c>
      <c r="K633" s="1">
        <v>0.06</v>
      </c>
      <c r="L633" s="42">
        <v>5</v>
      </c>
      <c r="M633" s="43">
        <v>46055</v>
      </c>
      <c r="N633" s="1" t="e">
        <f>VLOOKUP(B633,MICRO!E:L,8,0)</f>
        <v>#N/A</v>
      </c>
    </row>
    <row r="634" spans="1:14" ht="20.25" x14ac:dyDescent="0.25">
      <c r="A634" s="1">
        <v>235</v>
      </c>
      <c r="B634" s="1"/>
      <c r="C634" s="1" t="s">
        <v>1608</v>
      </c>
      <c r="D634" s="1"/>
      <c r="E634" s="1"/>
      <c r="F634" s="1" t="s">
        <v>1640</v>
      </c>
      <c r="G634" s="1">
        <v>40</v>
      </c>
      <c r="H634" s="1" t="s">
        <v>19</v>
      </c>
      <c r="I634" s="1" t="s">
        <v>424</v>
      </c>
      <c r="J634" s="1">
        <v>0.03</v>
      </c>
      <c r="K634" s="1">
        <v>1.2</v>
      </c>
      <c r="L634" s="42">
        <v>5</v>
      </c>
      <c r="M634" s="43">
        <v>46055</v>
      </c>
      <c r="N634" s="1" t="e">
        <f>VLOOKUP(B634,MICRO!E:L,8,0)</f>
        <v>#N/A</v>
      </c>
    </row>
    <row r="635" spans="1:14" ht="20.25" x14ac:dyDescent="0.25">
      <c r="A635" s="1">
        <v>236</v>
      </c>
      <c r="B635" s="1"/>
      <c r="C635" s="1" t="s">
        <v>1615</v>
      </c>
      <c r="D635" s="1"/>
      <c r="E635" s="1"/>
      <c r="F635" s="1" t="s">
        <v>1641</v>
      </c>
      <c r="G635" s="1">
        <v>48</v>
      </c>
      <c r="H635" s="1" t="s">
        <v>19</v>
      </c>
      <c r="I635" s="1" t="s">
        <v>426</v>
      </c>
      <c r="J635" s="1">
        <v>0.03</v>
      </c>
      <c r="K635" s="1">
        <v>1.44</v>
      </c>
      <c r="L635" s="42">
        <v>5</v>
      </c>
      <c r="M635" s="43">
        <v>46055</v>
      </c>
      <c r="N635" s="1" t="e">
        <f>VLOOKUP(B635,MICRO!E:L,8,0)</f>
        <v>#N/A</v>
      </c>
    </row>
    <row r="636" spans="1:14" ht="20.25" x14ac:dyDescent="0.25">
      <c r="A636" s="1">
        <v>237</v>
      </c>
      <c r="B636" s="1"/>
      <c r="C636" s="1" t="s">
        <v>1594</v>
      </c>
      <c r="D636" s="1"/>
      <c r="E636" s="1"/>
      <c r="F636" s="1" t="s">
        <v>1642</v>
      </c>
      <c r="G636" s="1">
        <v>96</v>
      </c>
      <c r="H636" s="1" t="s">
        <v>19</v>
      </c>
      <c r="I636" s="1" t="s">
        <v>1558</v>
      </c>
      <c r="J636" s="1">
        <v>0.03</v>
      </c>
      <c r="K636" s="1">
        <v>2.88</v>
      </c>
      <c r="L636" s="42">
        <v>5</v>
      </c>
      <c r="M636" s="43">
        <v>46055</v>
      </c>
      <c r="N636" s="1" t="e">
        <f>VLOOKUP(B636,MICRO!E:L,8,0)</f>
        <v>#N/A</v>
      </c>
    </row>
    <row r="637" spans="1:14" ht="20.25" x14ac:dyDescent="0.25">
      <c r="A637" s="1">
        <v>238</v>
      </c>
      <c r="B637" s="1"/>
      <c r="C637" s="1" t="s">
        <v>1612</v>
      </c>
      <c r="D637" s="1"/>
      <c r="E637" s="1"/>
      <c r="F637" s="1" t="s">
        <v>1643</v>
      </c>
      <c r="G637" s="1">
        <v>12</v>
      </c>
      <c r="H637" s="1" t="s">
        <v>19</v>
      </c>
      <c r="I637" s="1" t="s">
        <v>424</v>
      </c>
      <c r="J637" s="1">
        <v>0.03</v>
      </c>
      <c r="K637" s="1">
        <v>0.36</v>
      </c>
      <c r="L637" s="42">
        <v>5</v>
      </c>
      <c r="M637" s="43">
        <v>46055</v>
      </c>
      <c r="N637" s="1" t="e">
        <f>VLOOKUP(B637,MICRO!E:L,8,0)</f>
        <v>#N/A</v>
      </c>
    </row>
    <row r="638" spans="1:14" ht="20.25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2"/>
      <c r="M638" s="43"/>
      <c r="N638" s="1"/>
    </row>
    <row r="639" spans="1:14" ht="20.25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2"/>
      <c r="M639" s="43"/>
      <c r="N639" s="1"/>
    </row>
    <row r="640" spans="1:14" ht="20.25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2"/>
      <c r="M640" s="43"/>
      <c r="N640" s="1"/>
    </row>
    <row r="641" spans="1:14" ht="20.25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2"/>
      <c r="M641" s="43"/>
      <c r="N641" s="1"/>
    </row>
    <row r="642" spans="1:14" ht="20.25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2"/>
      <c r="M642" s="43"/>
      <c r="N642" s="1"/>
    </row>
    <row r="643" spans="1:14" ht="20.25" x14ac:dyDescent="0.25">
      <c r="A643" s="1">
        <v>5</v>
      </c>
      <c r="B643" s="1"/>
      <c r="C643" s="1" t="s">
        <v>1644</v>
      </c>
      <c r="D643" s="1"/>
      <c r="E643" s="1"/>
      <c r="F643" s="1" t="s">
        <v>1645</v>
      </c>
      <c r="G643" s="1">
        <v>30</v>
      </c>
      <c r="H643" s="1" t="s">
        <v>19</v>
      </c>
      <c r="I643" s="1" t="s">
        <v>1646</v>
      </c>
      <c r="J643" s="1">
        <v>0.03</v>
      </c>
      <c r="K643" s="1">
        <v>0.89999999999999991</v>
      </c>
      <c r="L643" s="42">
        <v>6</v>
      </c>
      <c r="M643" s="43">
        <v>46055</v>
      </c>
      <c r="N643" s="1" t="e">
        <f>VLOOKUP(B643,MICRO!E:L,8,0)</f>
        <v>#N/A</v>
      </c>
    </row>
    <row r="644" spans="1:14" ht="20.25" x14ac:dyDescent="0.25">
      <c r="A644" s="1">
        <v>6</v>
      </c>
      <c r="B644" s="1"/>
      <c r="C644" s="1" t="s">
        <v>1647</v>
      </c>
      <c r="D644" s="1"/>
      <c r="E644" s="1"/>
      <c r="F644" s="1" t="s">
        <v>1648</v>
      </c>
      <c r="G644" s="1">
        <v>15</v>
      </c>
      <c r="H644" s="1" t="s">
        <v>19</v>
      </c>
      <c r="I644" s="1" t="s">
        <v>1649</v>
      </c>
      <c r="J644" s="1">
        <v>0.03</v>
      </c>
      <c r="K644" s="1">
        <v>0.44999999999999996</v>
      </c>
      <c r="L644" s="42">
        <v>6</v>
      </c>
      <c r="M644" s="43">
        <v>46055</v>
      </c>
      <c r="N644" s="1" t="e">
        <f>VLOOKUP(B644,MICRO!E:L,8,0)</f>
        <v>#N/A</v>
      </c>
    </row>
    <row r="645" spans="1:14" ht="20.25" x14ac:dyDescent="0.25">
      <c r="A645" s="1">
        <v>7</v>
      </c>
      <c r="B645" s="1"/>
      <c r="C645" s="1" t="s">
        <v>1647</v>
      </c>
      <c r="D645" s="1"/>
      <c r="E645" s="1"/>
      <c r="F645" s="1" t="s">
        <v>1650</v>
      </c>
      <c r="G645" s="1">
        <v>15</v>
      </c>
      <c r="H645" s="1" t="s">
        <v>19</v>
      </c>
      <c r="I645" s="1" t="s">
        <v>1646</v>
      </c>
      <c r="J645" s="1">
        <v>0.04</v>
      </c>
      <c r="K645" s="1">
        <v>0.6</v>
      </c>
      <c r="L645" s="42">
        <v>6</v>
      </c>
      <c r="M645" s="43">
        <v>46055</v>
      </c>
      <c r="N645" s="1" t="e">
        <f>VLOOKUP(B645,MICRO!E:L,8,0)</f>
        <v>#N/A</v>
      </c>
    </row>
    <row r="646" spans="1:14" ht="20.25" x14ac:dyDescent="0.25">
      <c r="A646" s="1">
        <v>8</v>
      </c>
      <c r="B646" s="1"/>
      <c r="C646" s="1" t="s">
        <v>1644</v>
      </c>
      <c r="D646" s="1"/>
      <c r="E646" s="1"/>
      <c r="F646" s="1" t="s">
        <v>1651</v>
      </c>
      <c r="G646" s="1">
        <v>30</v>
      </c>
      <c r="H646" s="1" t="s">
        <v>19</v>
      </c>
      <c r="I646" s="1" t="s">
        <v>1646</v>
      </c>
      <c r="J646" s="1">
        <v>0.05</v>
      </c>
      <c r="K646" s="1">
        <v>1.5</v>
      </c>
      <c r="L646" s="42">
        <v>6</v>
      </c>
      <c r="M646" s="43">
        <v>46055</v>
      </c>
      <c r="N646" s="1" t="e">
        <f>VLOOKUP(B646,MICRO!E:L,8,0)</f>
        <v>#N/A</v>
      </c>
    </row>
    <row r="647" spans="1:14" ht="20.25" x14ac:dyDescent="0.25">
      <c r="A647" s="1">
        <v>9</v>
      </c>
      <c r="B647" s="1"/>
      <c r="C647" s="1" t="s">
        <v>1644</v>
      </c>
      <c r="D647" s="1"/>
      <c r="E647" s="1"/>
      <c r="F647" s="1" t="s">
        <v>1652</v>
      </c>
      <c r="G647" s="1">
        <v>10</v>
      </c>
      <c r="H647" s="1" t="s">
        <v>19</v>
      </c>
      <c r="I647" s="1" t="s">
        <v>1649</v>
      </c>
      <c r="J647" s="1">
        <v>0.05</v>
      </c>
      <c r="K647" s="1">
        <v>0.5</v>
      </c>
      <c r="L647" s="42">
        <v>6</v>
      </c>
      <c r="M647" s="43">
        <v>46055</v>
      </c>
      <c r="N647" s="1" t="e">
        <f>VLOOKUP(B647,MICRO!E:L,8,0)</f>
        <v>#N/A</v>
      </c>
    </row>
    <row r="648" spans="1:14" ht="20.25" x14ac:dyDescent="0.25">
      <c r="A648" s="1">
        <v>10</v>
      </c>
      <c r="B648" s="1"/>
      <c r="C648" s="1" t="s">
        <v>1647</v>
      </c>
      <c r="D648" s="1"/>
      <c r="E648" s="1"/>
      <c r="F648" s="1" t="s">
        <v>1653</v>
      </c>
      <c r="G648" s="1">
        <v>15</v>
      </c>
      <c r="H648" s="1" t="s">
        <v>19</v>
      </c>
      <c r="I648" s="1" t="s">
        <v>1649</v>
      </c>
      <c r="J648" s="1">
        <v>0.04</v>
      </c>
      <c r="K648" s="1">
        <v>0.6</v>
      </c>
      <c r="L648" s="42">
        <v>6</v>
      </c>
      <c r="M648" s="43">
        <v>46055</v>
      </c>
      <c r="N648" s="1" t="e">
        <f>VLOOKUP(B648,MICRO!E:L,8,0)</f>
        <v>#N/A</v>
      </c>
    </row>
    <row r="649" spans="1:14" ht="20.25" x14ac:dyDescent="0.25">
      <c r="A649" s="1">
        <v>11</v>
      </c>
      <c r="B649" s="1"/>
      <c r="C649" s="1" t="s">
        <v>1654</v>
      </c>
      <c r="D649" s="1"/>
      <c r="E649" s="1"/>
      <c r="F649" s="1" t="s">
        <v>1655</v>
      </c>
      <c r="G649" s="1">
        <v>30</v>
      </c>
      <c r="H649" s="1" t="s">
        <v>19</v>
      </c>
      <c r="I649" s="1" t="s">
        <v>1656</v>
      </c>
      <c r="J649" s="1">
        <v>0.04</v>
      </c>
      <c r="K649" s="1">
        <v>1.2</v>
      </c>
      <c r="L649" s="42">
        <v>6</v>
      </c>
      <c r="M649" s="43">
        <v>46055</v>
      </c>
      <c r="N649" s="1" t="e">
        <f>VLOOKUP(B649,MICRO!E:L,8,0)</f>
        <v>#N/A</v>
      </c>
    </row>
    <row r="650" spans="1:14" ht="20.25" x14ac:dyDescent="0.25">
      <c r="A650" s="1">
        <v>12</v>
      </c>
      <c r="B650" s="1"/>
      <c r="C650" s="1" t="s">
        <v>673</v>
      </c>
      <c r="D650" s="1"/>
      <c r="E650" s="1"/>
      <c r="F650" s="1" t="s">
        <v>1657</v>
      </c>
      <c r="G650" s="1">
        <v>10</v>
      </c>
      <c r="H650" s="1" t="s">
        <v>19</v>
      </c>
      <c r="I650" s="1" t="s">
        <v>1646</v>
      </c>
      <c r="J650" s="1">
        <v>0.04</v>
      </c>
      <c r="K650" s="1">
        <v>0.4</v>
      </c>
      <c r="L650" s="42">
        <v>6</v>
      </c>
      <c r="M650" s="43">
        <v>46055</v>
      </c>
      <c r="N650" s="1" t="e">
        <f>VLOOKUP(B650,MICRO!E:L,8,0)</f>
        <v>#N/A</v>
      </c>
    </row>
    <row r="651" spans="1:14" ht="20.25" x14ac:dyDescent="0.25">
      <c r="A651" s="1">
        <v>13</v>
      </c>
      <c r="B651" s="1"/>
      <c r="C651" s="1" t="s">
        <v>673</v>
      </c>
      <c r="D651" s="1"/>
      <c r="E651" s="1"/>
      <c r="F651" s="1" t="s">
        <v>1658</v>
      </c>
      <c r="G651" s="1">
        <v>6</v>
      </c>
      <c r="H651" s="1" t="s">
        <v>19</v>
      </c>
      <c r="I651" s="1" t="s">
        <v>1649</v>
      </c>
      <c r="J651" s="1">
        <v>0.04</v>
      </c>
      <c r="K651" s="1">
        <v>0.24</v>
      </c>
      <c r="L651" s="42">
        <v>6</v>
      </c>
      <c r="M651" s="43">
        <v>46055</v>
      </c>
      <c r="N651" s="1" t="e">
        <f>VLOOKUP(B651,MICRO!E:L,8,0)</f>
        <v>#N/A</v>
      </c>
    </row>
    <row r="652" spans="1:14" ht="20.25" x14ac:dyDescent="0.25">
      <c r="A652" s="1">
        <v>14</v>
      </c>
      <c r="B652" s="1"/>
      <c r="C652" s="1" t="s">
        <v>1659</v>
      </c>
      <c r="D652" s="1"/>
      <c r="E652" s="1"/>
      <c r="F652" s="1" t="s">
        <v>1660</v>
      </c>
      <c r="G652" s="1">
        <v>8</v>
      </c>
      <c r="H652" s="1" t="s">
        <v>19</v>
      </c>
      <c r="I652" s="1" t="s">
        <v>1646</v>
      </c>
      <c r="J652" s="1">
        <v>0.05</v>
      </c>
      <c r="K652" s="1">
        <v>0.4</v>
      </c>
      <c r="L652" s="42">
        <v>6</v>
      </c>
      <c r="M652" s="43">
        <v>46055</v>
      </c>
      <c r="N652" s="1" t="e">
        <f>VLOOKUP(B652,MICRO!E:L,8,0)</f>
        <v>#N/A</v>
      </c>
    </row>
    <row r="653" spans="1:14" ht="20.25" x14ac:dyDescent="0.25">
      <c r="A653" s="1">
        <v>15</v>
      </c>
      <c r="B653" s="1"/>
      <c r="C653" s="1" t="s">
        <v>1661</v>
      </c>
      <c r="D653" s="1"/>
      <c r="E653" s="1"/>
      <c r="F653" s="1" t="s">
        <v>1662</v>
      </c>
      <c r="G653" s="1">
        <v>8</v>
      </c>
      <c r="H653" s="1" t="s">
        <v>19</v>
      </c>
      <c r="I653" s="1" t="s">
        <v>1646</v>
      </c>
      <c r="J653" s="1">
        <v>0.03</v>
      </c>
      <c r="K653" s="1">
        <v>0.24</v>
      </c>
      <c r="L653" s="42">
        <v>6</v>
      </c>
      <c r="M653" s="43">
        <v>46055</v>
      </c>
      <c r="N653" s="1" t="e">
        <f>VLOOKUP(B653,MICRO!E:L,8,0)</f>
        <v>#N/A</v>
      </c>
    </row>
    <row r="654" spans="1:14" ht="20.25" x14ac:dyDescent="0.25">
      <c r="A654" s="1">
        <v>28</v>
      </c>
      <c r="B654" s="1"/>
      <c r="C654" s="1" t="s">
        <v>817</v>
      </c>
      <c r="D654" s="1"/>
      <c r="E654" s="1"/>
      <c r="F654" s="1" t="s">
        <v>1663</v>
      </c>
      <c r="G654" s="1">
        <v>2600</v>
      </c>
      <c r="H654" s="1" t="s">
        <v>19</v>
      </c>
      <c r="I654" s="1" t="s">
        <v>1345</v>
      </c>
      <c r="J654" s="1">
        <v>0.03</v>
      </c>
      <c r="K654" s="1">
        <v>78</v>
      </c>
      <c r="L654" s="42">
        <v>6</v>
      </c>
      <c r="M654" s="43">
        <v>46055</v>
      </c>
      <c r="N654" s="1" t="e">
        <f>VLOOKUP(B654,MICRO!E:L,8,0)</f>
        <v>#N/A</v>
      </c>
    </row>
    <row r="655" spans="1:14" ht="20.25" x14ac:dyDescent="0.25">
      <c r="A655" s="1">
        <v>29</v>
      </c>
      <c r="B655" s="1"/>
      <c r="C655" s="1" t="s">
        <v>817</v>
      </c>
      <c r="D655" s="1"/>
      <c r="E655" s="1"/>
      <c r="F655" s="1" t="s">
        <v>1664</v>
      </c>
      <c r="G655" s="1">
        <v>2600</v>
      </c>
      <c r="H655" s="1" t="s">
        <v>19</v>
      </c>
      <c r="I655" s="1" t="s">
        <v>1345</v>
      </c>
      <c r="J655" s="1">
        <v>0.05</v>
      </c>
      <c r="K655" s="1">
        <v>130</v>
      </c>
      <c r="L655" s="42">
        <v>6</v>
      </c>
      <c r="M655" s="43">
        <v>46055</v>
      </c>
      <c r="N655" s="1" t="e">
        <f>VLOOKUP(B655,MICRO!E:L,8,0)</f>
        <v>#N/A</v>
      </c>
    </row>
    <row r="656" spans="1:14" ht="20.25" x14ac:dyDescent="0.25">
      <c r="A656" s="1">
        <v>30</v>
      </c>
      <c r="B656" s="1"/>
      <c r="C656" s="1" t="s">
        <v>817</v>
      </c>
      <c r="D656" s="1"/>
      <c r="E656" s="1"/>
      <c r="F656" s="1" t="s">
        <v>1665</v>
      </c>
      <c r="G656" s="1">
        <v>2600</v>
      </c>
      <c r="H656" s="1" t="s">
        <v>19</v>
      </c>
      <c r="I656" s="1" t="s">
        <v>1345</v>
      </c>
      <c r="J656" s="1">
        <v>0.03</v>
      </c>
      <c r="K656" s="1">
        <v>78</v>
      </c>
      <c r="L656" s="42">
        <v>6</v>
      </c>
      <c r="M656" s="43">
        <v>46055</v>
      </c>
      <c r="N656" s="1" t="e">
        <f>VLOOKUP(B656,MICRO!E:L,8,0)</f>
        <v>#N/A</v>
      </c>
    </row>
    <row r="657" spans="1:14" ht="20.25" x14ac:dyDescent="0.25">
      <c r="A657" s="1">
        <v>31</v>
      </c>
      <c r="B657" s="1"/>
      <c r="C657" s="1" t="s">
        <v>1666</v>
      </c>
      <c r="D657" s="1"/>
      <c r="E657" s="1"/>
      <c r="F657" s="1" t="s">
        <v>1667</v>
      </c>
      <c r="G657" s="1">
        <v>136</v>
      </c>
      <c r="H657" s="1" t="s">
        <v>19</v>
      </c>
      <c r="I657" s="1" t="s">
        <v>1668</v>
      </c>
      <c r="J657" s="1">
        <v>0.03</v>
      </c>
      <c r="K657" s="1">
        <v>4.08</v>
      </c>
      <c r="L657" s="42">
        <v>6</v>
      </c>
      <c r="M657" s="43">
        <v>46055</v>
      </c>
      <c r="N657" s="1" t="e">
        <f>VLOOKUP(B657,MICRO!E:L,8,0)</f>
        <v>#N/A</v>
      </c>
    </row>
    <row r="658" spans="1:14" ht="20.25" x14ac:dyDescent="0.25">
      <c r="A658" s="1">
        <v>32</v>
      </c>
      <c r="B658" s="1"/>
      <c r="C658" s="1" t="s">
        <v>673</v>
      </c>
      <c r="D658" s="1"/>
      <c r="E658" s="1"/>
      <c r="F658" s="1" t="s">
        <v>1669</v>
      </c>
      <c r="G658" s="1">
        <v>12</v>
      </c>
      <c r="H658" s="1" t="s">
        <v>19</v>
      </c>
      <c r="I658" s="1" t="s">
        <v>1670</v>
      </c>
      <c r="J658" s="1">
        <v>0.03</v>
      </c>
      <c r="K658" s="1">
        <v>0.36</v>
      </c>
      <c r="L658" s="42">
        <v>6</v>
      </c>
      <c r="M658" s="43">
        <v>46055</v>
      </c>
      <c r="N658" s="1" t="e">
        <f>VLOOKUP(B658,MICRO!E:L,8,0)</f>
        <v>#N/A</v>
      </c>
    </row>
    <row r="659" spans="1:14" ht="20.25" x14ac:dyDescent="0.25">
      <c r="A659" s="1">
        <v>33</v>
      </c>
      <c r="B659" s="1"/>
      <c r="C659" s="1" t="s">
        <v>1666</v>
      </c>
      <c r="D659" s="1"/>
      <c r="E659" s="1"/>
      <c r="F659" s="1" t="s">
        <v>1671</v>
      </c>
      <c r="G659" s="1">
        <v>136</v>
      </c>
      <c r="H659" s="1" t="s">
        <v>19</v>
      </c>
      <c r="I659" s="1" t="s">
        <v>1668</v>
      </c>
      <c r="J659" s="1">
        <v>0.05</v>
      </c>
      <c r="K659" s="1">
        <v>6.8000000000000007</v>
      </c>
      <c r="L659" s="42">
        <v>6</v>
      </c>
      <c r="M659" s="43">
        <v>46055</v>
      </c>
      <c r="N659" s="1" t="e">
        <f>VLOOKUP(B659,MICRO!E:L,8,0)</f>
        <v>#N/A</v>
      </c>
    </row>
    <row r="660" spans="1:14" ht="20.25" x14ac:dyDescent="0.25">
      <c r="A660" s="1">
        <v>34</v>
      </c>
      <c r="B660" s="1"/>
      <c r="C660" s="1" t="s">
        <v>673</v>
      </c>
      <c r="D660" s="1"/>
      <c r="E660" s="1"/>
      <c r="F660" s="1" t="s">
        <v>1672</v>
      </c>
      <c r="G660" s="1">
        <v>12</v>
      </c>
      <c r="H660" s="1" t="s">
        <v>19</v>
      </c>
      <c r="I660" s="1" t="s">
        <v>1670</v>
      </c>
      <c r="J660" s="1">
        <v>0.05</v>
      </c>
      <c r="K660" s="1">
        <v>0.60000000000000009</v>
      </c>
      <c r="L660" s="42">
        <v>6</v>
      </c>
      <c r="M660" s="43">
        <v>46055</v>
      </c>
      <c r="N660" s="1" t="e">
        <f>VLOOKUP(B660,MICRO!E:L,8,0)</f>
        <v>#N/A</v>
      </c>
    </row>
    <row r="661" spans="1:14" ht="20.25" x14ac:dyDescent="0.25">
      <c r="A661" s="1">
        <v>35</v>
      </c>
      <c r="B661" s="1"/>
      <c r="C661" s="1" t="s">
        <v>673</v>
      </c>
      <c r="D661" s="1"/>
      <c r="E661" s="1"/>
      <c r="F661" s="1" t="s">
        <v>1673</v>
      </c>
      <c r="G661" s="1">
        <v>8</v>
      </c>
      <c r="H661" s="1" t="s">
        <v>19</v>
      </c>
      <c r="I661" s="1" t="s">
        <v>1670</v>
      </c>
      <c r="J661" s="1">
        <v>0.05</v>
      </c>
      <c r="K661" s="1">
        <v>0.4</v>
      </c>
      <c r="L661" s="42">
        <v>6</v>
      </c>
      <c r="M661" s="43">
        <v>46055</v>
      </c>
      <c r="N661" s="1" t="e">
        <f>VLOOKUP(B661,MICRO!E:L,8,0)</f>
        <v>#N/A</v>
      </c>
    </row>
    <row r="662" spans="1:14" ht="20.25" x14ac:dyDescent="0.25">
      <c r="A662" s="1">
        <v>36</v>
      </c>
      <c r="B662" s="1"/>
      <c r="C662" s="1" t="s">
        <v>1666</v>
      </c>
      <c r="D662" s="1"/>
      <c r="E662" s="1"/>
      <c r="F662" s="1" t="s">
        <v>1674</v>
      </c>
      <c r="G662" s="1">
        <v>136</v>
      </c>
      <c r="H662" s="1" t="s">
        <v>19</v>
      </c>
      <c r="I662" s="1" t="s">
        <v>1668</v>
      </c>
      <c r="J662" s="1">
        <v>0.03</v>
      </c>
      <c r="K662" s="1">
        <v>4.08</v>
      </c>
      <c r="L662" s="42">
        <v>6</v>
      </c>
      <c r="M662" s="43">
        <v>46055</v>
      </c>
      <c r="N662" s="1" t="e">
        <f>VLOOKUP(B662,MICRO!E:L,8,0)</f>
        <v>#N/A</v>
      </c>
    </row>
    <row r="663" spans="1:14" ht="20.25" x14ac:dyDescent="0.25">
      <c r="A663" s="1">
        <v>37</v>
      </c>
      <c r="B663" s="1"/>
      <c r="C663" s="1" t="s">
        <v>1675</v>
      </c>
      <c r="D663" s="1"/>
      <c r="E663" s="1"/>
      <c r="F663" s="1" t="s">
        <v>1676</v>
      </c>
      <c r="G663" s="1">
        <v>8</v>
      </c>
      <c r="H663" s="1" t="s">
        <v>19</v>
      </c>
      <c r="I663" s="1" t="s">
        <v>1670</v>
      </c>
      <c r="J663" s="1">
        <v>0.03</v>
      </c>
      <c r="K663" s="1">
        <v>0.24</v>
      </c>
      <c r="L663" s="42">
        <v>6</v>
      </c>
      <c r="M663" s="43">
        <v>46055</v>
      </c>
      <c r="N663" s="1" t="e">
        <f>VLOOKUP(B663,MICRO!E:L,8,0)</f>
        <v>#N/A</v>
      </c>
    </row>
    <row r="664" spans="1:14" ht="20.25" x14ac:dyDescent="0.25">
      <c r="A664" s="1">
        <v>38</v>
      </c>
      <c r="B664" s="1"/>
      <c r="C664" s="1" t="s">
        <v>673</v>
      </c>
      <c r="D664" s="1"/>
      <c r="E664" s="1"/>
      <c r="F664" s="1" t="s">
        <v>1677</v>
      </c>
      <c r="G664" s="1">
        <v>12</v>
      </c>
      <c r="H664" s="1" t="s">
        <v>19</v>
      </c>
      <c r="I664" s="1" t="s">
        <v>1670</v>
      </c>
      <c r="J664" s="1">
        <v>0.03</v>
      </c>
      <c r="K664" s="1">
        <v>0.36</v>
      </c>
      <c r="L664" s="42">
        <v>6</v>
      </c>
      <c r="M664" s="43">
        <v>46055</v>
      </c>
      <c r="N664" s="1" t="e">
        <f>VLOOKUP(B664,MICRO!E:L,8,0)</f>
        <v>#N/A</v>
      </c>
    </row>
    <row r="665" spans="1:14" ht="20.25" x14ac:dyDescent="0.25">
      <c r="A665" s="1">
        <v>39</v>
      </c>
      <c r="B665" s="1"/>
      <c r="C665" s="1" t="s">
        <v>673</v>
      </c>
      <c r="D665" s="1"/>
      <c r="E665" s="1"/>
      <c r="F665" s="1" t="s">
        <v>1678</v>
      </c>
      <c r="G665" s="1">
        <v>8</v>
      </c>
      <c r="H665" s="1" t="s">
        <v>19</v>
      </c>
      <c r="I665" s="1" t="s">
        <v>1670</v>
      </c>
      <c r="J665" s="1">
        <v>0.03</v>
      </c>
      <c r="K665" s="1">
        <v>0.24</v>
      </c>
      <c r="L665" s="42">
        <v>6</v>
      </c>
      <c r="M665" s="43">
        <v>46055</v>
      </c>
      <c r="N665" s="1" t="e">
        <f>VLOOKUP(B665,MICRO!E:L,8,0)</f>
        <v>#N/A</v>
      </c>
    </row>
    <row r="666" spans="1:14" ht="20.25" x14ac:dyDescent="0.25">
      <c r="A666" s="1">
        <v>40</v>
      </c>
      <c r="B666" s="1"/>
      <c r="C666" s="1" t="s">
        <v>673</v>
      </c>
      <c r="D666" s="1"/>
      <c r="E666" s="1"/>
      <c r="F666" s="1" t="s">
        <v>1679</v>
      </c>
      <c r="G666" s="1">
        <v>4</v>
      </c>
      <c r="H666" s="1" t="s">
        <v>19</v>
      </c>
      <c r="I666" s="1" t="s">
        <v>1670</v>
      </c>
      <c r="J666" s="1">
        <v>0.03</v>
      </c>
      <c r="K666" s="1">
        <v>0.12</v>
      </c>
      <c r="L666" s="42">
        <v>6</v>
      </c>
      <c r="M666" s="43">
        <v>46055</v>
      </c>
      <c r="N666" s="1" t="e">
        <f>VLOOKUP(B666,MICRO!E:L,8,0)</f>
        <v>#N/A</v>
      </c>
    </row>
    <row r="667" spans="1:14" ht="20.25" x14ac:dyDescent="0.25">
      <c r="A667" s="1">
        <v>15</v>
      </c>
      <c r="B667" s="1"/>
      <c r="C667" s="1" t="s">
        <v>1687</v>
      </c>
      <c r="D667" s="1" t="s">
        <v>1688</v>
      </c>
      <c r="E667" s="1"/>
      <c r="F667" s="1" t="s">
        <v>1689</v>
      </c>
      <c r="G667" s="1">
        <v>90</v>
      </c>
      <c r="H667" s="1" t="s">
        <v>19</v>
      </c>
      <c r="I667" s="1" t="s">
        <v>652</v>
      </c>
      <c r="J667" s="1">
        <v>0.02</v>
      </c>
      <c r="K667" s="1">
        <v>1.8</v>
      </c>
      <c r="L667" s="42">
        <v>5</v>
      </c>
      <c r="M667" s="43">
        <v>46055</v>
      </c>
      <c r="N667" s="1" t="e">
        <f>VLOOKUP(B667,MICRO!E:L,8,0)</f>
        <v>#N/A</v>
      </c>
    </row>
    <row r="668" spans="1:14" ht="20.25" x14ac:dyDescent="0.25">
      <c r="A668" s="1">
        <v>16</v>
      </c>
      <c r="B668" s="1"/>
      <c r="C668" s="1" t="s">
        <v>1690</v>
      </c>
      <c r="D668" s="1" t="s">
        <v>1691</v>
      </c>
      <c r="E668" s="1"/>
      <c r="F668" s="1" t="s">
        <v>1692</v>
      </c>
      <c r="G668" s="1">
        <v>88</v>
      </c>
      <c r="H668" s="1" t="s">
        <v>19</v>
      </c>
      <c r="I668" s="1" t="s">
        <v>652</v>
      </c>
      <c r="J668" s="1">
        <v>0.02</v>
      </c>
      <c r="K668" s="1">
        <v>1.76</v>
      </c>
      <c r="L668" s="42">
        <v>5</v>
      </c>
      <c r="M668" s="43">
        <v>46055</v>
      </c>
      <c r="N668" s="1" t="e">
        <f>VLOOKUP(B668,MICRO!E:L,8,0)</f>
        <v>#N/A</v>
      </c>
    </row>
    <row r="669" spans="1:14" ht="20.25" x14ac:dyDescent="0.25">
      <c r="A669" s="1">
        <v>17</v>
      </c>
      <c r="B669" s="1"/>
      <c r="C669" s="1" t="s">
        <v>1687</v>
      </c>
      <c r="D669" s="1" t="s">
        <v>1688</v>
      </c>
      <c r="E669" s="1"/>
      <c r="F669" s="1" t="s">
        <v>1693</v>
      </c>
      <c r="G669" s="1">
        <v>24</v>
      </c>
      <c r="H669" s="1" t="s">
        <v>19</v>
      </c>
      <c r="I669" s="1" t="s">
        <v>652</v>
      </c>
      <c r="J669" s="1">
        <v>0.02</v>
      </c>
      <c r="K669" s="1">
        <v>0.48</v>
      </c>
      <c r="L669" s="42">
        <v>5</v>
      </c>
      <c r="M669" s="43">
        <v>46055</v>
      </c>
      <c r="N669" s="1" t="e">
        <f>VLOOKUP(B669,MICRO!E:L,8,0)</f>
        <v>#N/A</v>
      </c>
    </row>
    <row r="670" spans="1:14" ht="20.25" x14ac:dyDescent="0.25">
      <c r="A670" s="1">
        <v>18</v>
      </c>
      <c r="B670" s="1"/>
      <c r="C670" s="1" t="s">
        <v>1690</v>
      </c>
      <c r="D670" s="1" t="s">
        <v>1691</v>
      </c>
      <c r="E670" s="1"/>
      <c r="F670" s="1" t="s">
        <v>1694</v>
      </c>
      <c r="G670" s="1">
        <v>28</v>
      </c>
      <c r="H670" s="1" t="s">
        <v>19</v>
      </c>
      <c r="I670" s="1" t="s">
        <v>652</v>
      </c>
      <c r="J670" s="1">
        <v>0.02</v>
      </c>
      <c r="K670" s="1">
        <v>0.56000000000000005</v>
      </c>
      <c r="L670" s="42">
        <v>5</v>
      </c>
      <c r="M670" s="43">
        <v>46055</v>
      </c>
      <c r="N670" s="1" t="e">
        <f>VLOOKUP(B670,MICRO!E:L,8,0)</f>
        <v>#N/A</v>
      </c>
    </row>
    <row r="671" spans="1:14" ht="20.25" x14ac:dyDescent="0.25">
      <c r="A671" s="1">
        <v>19</v>
      </c>
      <c r="B671" s="1"/>
      <c r="C671" s="1" t="s">
        <v>1687</v>
      </c>
      <c r="D671" s="1" t="s">
        <v>1688</v>
      </c>
      <c r="E671" s="1"/>
      <c r="F671" s="1" t="s">
        <v>1695</v>
      </c>
      <c r="G671" s="1">
        <v>90</v>
      </c>
      <c r="H671" s="1" t="s">
        <v>19</v>
      </c>
      <c r="I671" s="1" t="s">
        <v>652</v>
      </c>
      <c r="J671" s="1">
        <v>0.05</v>
      </c>
      <c r="K671" s="1">
        <v>4.5</v>
      </c>
      <c r="L671" s="42">
        <v>5</v>
      </c>
      <c r="M671" s="43">
        <v>46055</v>
      </c>
      <c r="N671" s="1" t="e">
        <f>VLOOKUP(B671,MICRO!E:L,8,0)</f>
        <v>#N/A</v>
      </c>
    </row>
    <row r="672" spans="1:14" ht="20.25" x14ac:dyDescent="0.25">
      <c r="A672" s="1">
        <v>20</v>
      </c>
      <c r="B672" s="1"/>
      <c r="C672" s="1" t="s">
        <v>1690</v>
      </c>
      <c r="D672" s="1" t="s">
        <v>1691</v>
      </c>
      <c r="E672" s="1"/>
      <c r="F672" s="1" t="s">
        <v>1696</v>
      </c>
      <c r="G672" s="1">
        <v>88</v>
      </c>
      <c r="H672" s="1" t="s">
        <v>19</v>
      </c>
      <c r="I672" s="1" t="s">
        <v>652</v>
      </c>
      <c r="J672" s="1">
        <v>0.05</v>
      </c>
      <c r="K672" s="1">
        <v>4.4000000000000004</v>
      </c>
      <c r="L672" s="42">
        <v>5</v>
      </c>
      <c r="M672" s="43">
        <v>46055</v>
      </c>
      <c r="N672" s="1" t="e">
        <f>VLOOKUP(B672,MICRO!E:L,8,0)</f>
        <v>#N/A</v>
      </c>
    </row>
    <row r="673" spans="1:14" ht="20.25" x14ac:dyDescent="0.25">
      <c r="A673" s="1">
        <v>21</v>
      </c>
      <c r="B673" s="1"/>
      <c r="C673" s="1" t="s">
        <v>1687</v>
      </c>
      <c r="D673" s="1" t="s">
        <v>1688</v>
      </c>
      <c r="E673" s="1"/>
      <c r="F673" s="1" t="s">
        <v>1697</v>
      </c>
      <c r="G673" s="1">
        <v>94</v>
      </c>
      <c r="H673" s="1" t="s">
        <v>19</v>
      </c>
      <c r="I673" s="1" t="s">
        <v>652</v>
      </c>
      <c r="J673" s="1">
        <v>0.05</v>
      </c>
      <c r="K673" s="1">
        <v>4.7</v>
      </c>
      <c r="L673" s="42">
        <v>5</v>
      </c>
      <c r="M673" s="43">
        <v>46055</v>
      </c>
      <c r="N673" s="1" t="e">
        <f>VLOOKUP(B673,MICRO!E:L,8,0)</f>
        <v>#N/A</v>
      </c>
    </row>
    <row r="674" spans="1:14" ht="20.25" x14ac:dyDescent="0.25">
      <c r="A674" s="1">
        <v>22</v>
      </c>
      <c r="B674" s="1"/>
      <c r="C674" s="1" t="s">
        <v>1690</v>
      </c>
      <c r="D674" s="1" t="s">
        <v>1691</v>
      </c>
      <c r="E674" s="1"/>
      <c r="F674" s="1" t="s">
        <v>1698</v>
      </c>
      <c r="G674" s="1">
        <v>60</v>
      </c>
      <c r="H674" s="1" t="s">
        <v>19</v>
      </c>
      <c r="I674" s="1" t="s">
        <v>652</v>
      </c>
      <c r="J674" s="1">
        <v>0.05</v>
      </c>
      <c r="K674" s="1">
        <v>3</v>
      </c>
      <c r="L674" s="42">
        <v>5</v>
      </c>
      <c r="M674" s="43">
        <v>46055</v>
      </c>
      <c r="N674" s="1" t="e">
        <f>VLOOKUP(B674,MICRO!E:L,8,0)</f>
        <v>#N/A</v>
      </c>
    </row>
    <row r="675" spans="1:14" ht="20.25" x14ac:dyDescent="0.25">
      <c r="A675" s="1">
        <v>23</v>
      </c>
      <c r="B675" s="1"/>
      <c r="C675" s="1" t="s">
        <v>1699</v>
      </c>
      <c r="D675" s="1" t="s">
        <v>1700</v>
      </c>
      <c r="E675" s="1"/>
      <c r="F675" s="1" t="s">
        <v>1701</v>
      </c>
      <c r="G675" s="1">
        <v>18</v>
      </c>
      <c r="H675" s="1" t="s">
        <v>19</v>
      </c>
      <c r="I675" s="1" t="s">
        <v>1702</v>
      </c>
      <c r="J675" s="1">
        <v>0.05</v>
      </c>
      <c r="K675" s="1">
        <v>0.9</v>
      </c>
      <c r="L675" s="42">
        <v>5</v>
      </c>
      <c r="M675" s="43">
        <v>46055</v>
      </c>
      <c r="N675" s="1" t="e">
        <f>VLOOKUP(B675,MICRO!E:L,8,0)</f>
        <v>#N/A</v>
      </c>
    </row>
    <row r="676" spans="1:14" ht="20.25" x14ac:dyDescent="0.25">
      <c r="A676" s="1">
        <v>24</v>
      </c>
      <c r="B676" s="1"/>
      <c r="C676" s="1" t="s">
        <v>1703</v>
      </c>
      <c r="D676" s="1" t="s">
        <v>1704</v>
      </c>
      <c r="E676" s="1"/>
      <c r="F676" s="1" t="s">
        <v>1705</v>
      </c>
      <c r="G676" s="1">
        <v>16</v>
      </c>
      <c r="H676" s="1" t="s">
        <v>19</v>
      </c>
      <c r="I676" s="1" t="s">
        <v>652</v>
      </c>
      <c r="J676" s="1">
        <v>0.05</v>
      </c>
      <c r="K676" s="1">
        <v>0.8</v>
      </c>
      <c r="L676" s="42">
        <v>5</v>
      </c>
      <c r="M676" s="43">
        <v>46055</v>
      </c>
      <c r="N676" s="1" t="e">
        <f>VLOOKUP(B676,MICRO!E:L,8,0)</f>
        <v>#N/A</v>
      </c>
    </row>
    <row r="677" spans="1:14" ht="20.25" x14ac:dyDescent="0.25">
      <c r="A677" s="1">
        <v>25</v>
      </c>
      <c r="B677" s="1"/>
      <c r="C677" s="1" t="s">
        <v>1687</v>
      </c>
      <c r="D677" s="1" t="s">
        <v>1688</v>
      </c>
      <c r="E677" s="1"/>
      <c r="F677" s="1" t="s">
        <v>1706</v>
      </c>
      <c r="G677" s="1">
        <v>90</v>
      </c>
      <c r="H677" s="1" t="s">
        <v>19</v>
      </c>
      <c r="I677" s="1" t="s">
        <v>652</v>
      </c>
      <c r="J677" s="1">
        <v>0.03</v>
      </c>
      <c r="K677" s="1">
        <v>2.6999999999999997</v>
      </c>
      <c r="L677" s="42">
        <v>5</v>
      </c>
      <c r="M677" s="43">
        <v>46055</v>
      </c>
      <c r="N677" s="1" t="e">
        <f>VLOOKUP(B677,MICRO!E:L,8,0)</f>
        <v>#N/A</v>
      </c>
    </row>
    <row r="678" spans="1:14" ht="20.25" x14ac:dyDescent="0.25">
      <c r="A678" s="1">
        <v>26</v>
      </c>
      <c r="B678" s="1"/>
      <c r="C678" s="1" t="s">
        <v>1690</v>
      </c>
      <c r="D678" s="1" t="s">
        <v>1691</v>
      </c>
      <c r="E678" s="1"/>
      <c r="F678" s="1" t="s">
        <v>1707</v>
      </c>
      <c r="G678" s="1">
        <v>88</v>
      </c>
      <c r="H678" s="1" t="s">
        <v>19</v>
      </c>
      <c r="I678" s="1" t="s">
        <v>652</v>
      </c>
      <c r="J678" s="1">
        <v>0.03</v>
      </c>
      <c r="K678" s="1">
        <v>2.6399999999999997</v>
      </c>
      <c r="L678" s="42">
        <v>5</v>
      </c>
      <c r="M678" s="43">
        <v>46055</v>
      </c>
      <c r="N678" s="1" t="e">
        <f>VLOOKUP(B678,MICRO!E:L,8,0)</f>
        <v>#N/A</v>
      </c>
    </row>
    <row r="679" spans="1:14" ht="20.25" x14ac:dyDescent="0.25">
      <c r="A679" s="1">
        <v>27</v>
      </c>
      <c r="B679" s="1"/>
      <c r="C679" s="1" t="s">
        <v>1690</v>
      </c>
      <c r="D679" s="1" t="s">
        <v>1691</v>
      </c>
      <c r="E679" s="1"/>
      <c r="F679" s="1" t="s">
        <v>1708</v>
      </c>
      <c r="G679" s="1">
        <v>60</v>
      </c>
      <c r="H679" s="1" t="s">
        <v>19</v>
      </c>
      <c r="I679" s="1" t="s">
        <v>652</v>
      </c>
      <c r="J679" s="1">
        <v>0.03</v>
      </c>
      <c r="K679" s="1">
        <v>1.7999999999999998</v>
      </c>
      <c r="L679" s="42">
        <v>5</v>
      </c>
      <c r="M679" s="43">
        <v>46055</v>
      </c>
      <c r="N679" s="1" t="e">
        <f>VLOOKUP(B679,MICRO!E:L,8,0)</f>
        <v>#N/A</v>
      </c>
    </row>
    <row r="680" spans="1:14" ht="20.25" x14ac:dyDescent="0.25">
      <c r="A680" s="1">
        <v>28</v>
      </c>
      <c r="B680" s="1"/>
      <c r="C680" s="1" t="s">
        <v>1687</v>
      </c>
      <c r="D680" s="1" t="s">
        <v>1688</v>
      </c>
      <c r="E680" s="1"/>
      <c r="F680" s="1" t="s">
        <v>1709</v>
      </c>
      <c r="G680" s="1">
        <v>24</v>
      </c>
      <c r="H680" s="1" t="s">
        <v>19</v>
      </c>
      <c r="I680" s="1" t="s">
        <v>652</v>
      </c>
      <c r="J680" s="1">
        <v>0.03</v>
      </c>
      <c r="K680" s="1">
        <v>0.72</v>
      </c>
      <c r="L680" s="42">
        <v>5</v>
      </c>
      <c r="M680" s="43">
        <v>46055</v>
      </c>
      <c r="N680" s="1" t="e">
        <f>VLOOKUP(B680,MICRO!E:L,8,0)</f>
        <v>#N/A</v>
      </c>
    </row>
    <row r="681" spans="1:14" ht="20.25" x14ac:dyDescent="0.25">
      <c r="A681" s="1">
        <v>29</v>
      </c>
      <c r="B681" s="1"/>
      <c r="C681" s="1" t="s">
        <v>1690</v>
      </c>
      <c r="D681" s="1" t="s">
        <v>1691</v>
      </c>
      <c r="E681" s="1"/>
      <c r="F681" s="1" t="s">
        <v>1710</v>
      </c>
      <c r="G681" s="1">
        <v>74</v>
      </c>
      <c r="H681" s="1" t="s">
        <v>19</v>
      </c>
      <c r="I681" s="1" t="s">
        <v>652</v>
      </c>
      <c r="J681" s="1">
        <v>0.03</v>
      </c>
      <c r="K681" s="1">
        <v>2.2199999999999998</v>
      </c>
      <c r="L681" s="42">
        <v>5</v>
      </c>
      <c r="M681" s="43">
        <v>46055</v>
      </c>
      <c r="N681" s="1" t="e">
        <f>VLOOKUP(B681,MICRO!E:L,8,0)</f>
        <v>#N/A</v>
      </c>
    </row>
    <row r="682" spans="1:14" ht="20.25" x14ac:dyDescent="0.25">
      <c r="A682" s="1">
        <v>30</v>
      </c>
      <c r="B682" s="1"/>
      <c r="C682" s="1" t="s">
        <v>1711</v>
      </c>
      <c r="D682" s="1" t="s">
        <v>1712</v>
      </c>
      <c r="E682" s="1"/>
      <c r="F682" s="1" t="s">
        <v>1713</v>
      </c>
      <c r="G682" s="1">
        <v>70</v>
      </c>
      <c r="H682" s="1" t="s">
        <v>19</v>
      </c>
      <c r="I682" s="1" t="s">
        <v>1702</v>
      </c>
      <c r="J682" s="1">
        <v>0.01</v>
      </c>
      <c r="K682" s="1">
        <v>0.70000000000000007</v>
      </c>
      <c r="L682" s="42">
        <v>5</v>
      </c>
      <c r="M682" s="43">
        <v>46055</v>
      </c>
      <c r="N682" s="1" t="e">
        <f>VLOOKUP(B682,MICRO!E:L,8,0)</f>
        <v>#N/A</v>
      </c>
    </row>
    <row r="683" spans="1:14" ht="20.25" x14ac:dyDescent="0.25">
      <c r="A683" s="1">
        <v>31</v>
      </c>
      <c r="B683" s="1"/>
      <c r="C683" s="1" t="s">
        <v>1690</v>
      </c>
      <c r="D683" s="1" t="s">
        <v>1691</v>
      </c>
      <c r="E683" s="1"/>
      <c r="F683" s="1" t="s">
        <v>1714</v>
      </c>
      <c r="G683" s="1">
        <v>63</v>
      </c>
      <c r="H683" s="1" t="s">
        <v>19</v>
      </c>
      <c r="I683" s="1" t="s">
        <v>652</v>
      </c>
      <c r="J683" s="1">
        <v>0.01</v>
      </c>
      <c r="K683" s="1">
        <v>0.63</v>
      </c>
      <c r="L683" s="42">
        <v>5</v>
      </c>
      <c r="M683" s="43">
        <v>46055</v>
      </c>
      <c r="N683" s="1" t="e">
        <f>VLOOKUP(B683,MICRO!E:L,8,0)</f>
        <v>#N/A</v>
      </c>
    </row>
    <row r="684" spans="1:14" ht="20.25" x14ac:dyDescent="0.25">
      <c r="A684" s="1">
        <v>32</v>
      </c>
      <c r="B684" s="1"/>
      <c r="C684" s="1" t="s">
        <v>1687</v>
      </c>
      <c r="D684" s="1" t="s">
        <v>1688</v>
      </c>
      <c r="E684" s="1"/>
      <c r="F684" s="1" t="s">
        <v>1715</v>
      </c>
      <c r="G684" s="1">
        <v>44</v>
      </c>
      <c r="H684" s="1" t="s">
        <v>19</v>
      </c>
      <c r="I684" s="1" t="s">
        <v>652</v>
      </c>
      <c r="J684" s="1">
        <v>0.01</v>
      </c>
      <c r="K684" s="1">
        <v>0.44</v>
      </c>
      <c r="L684" s="42">
        <v>5</v>
      </c>
      <c r="M684" s="43">
        <v>46055</v>
      </c>
      <c r="N684" s="1" t="e">
        <f>VLOOKUP(B684,MICRO!E:L,8,0)</f>
        <v>#N/A</v>
      </c>
    </row>
    <row r="685" spans="1:14" ht="20.25" x14ac:dyDescent="0.25">
      <c r="A685" s="1">
        <v>33</v>
      </c>
      <c r="B685" s="1"/>
      <c r="C685" s="1" t="s">
        <v>1716</v>
      </c>
      <c r="D685" s="1"/>
      <c r="E685" s="1"/>
      <c r="F685" s="1" t="s">
        <v>1717</v>
      </c>
      <c r="G685" s="1">
        <v>2</v>
      </c>
      <c r="H685" s="1" t="s">
        <v>19</v>
      </c>
      <c r="I685" s="1" t="s">
        <v>652</v>
      </c>
      <c r="J685" s="1">
        <v>0.01</v>
      </c>
      <c r="K685" s="1">
        <v>0.02</v>
      </c>
      <c r="L685" s="42">
        <v>5</v>
      </c>
      <c r="M685" s="43">
        <v>46055</v>
      </c>
      <c r="N685" s="1" t="e">
        <f>VLOOKUP(B685,MICRO!E:L,8,0)</f>
        <v>#N/A</v>
      </c>
    </row>
    <row r="686" spans="1:14" ht="20.25" x14ac:dyDescent="0.25">
      <c r="A686" s="1">
        <v>34</v>
      </c>
      <c r="B686" s="1"/>
      <c r="C686" s="1" t="s">
        <v>1718</v>
      </c>
      <c r="D686" s="1"/>
      <c r="E686" s="1"/>
      <c r="F686" s="1" t="s">
        <v>1719</v>
      </c>
      <c r="G686" s="1">
        <v>4</v>
      </c>
      <c r="H686" s="1" t="s">
        <v>19</v>
      </c>
      <c r="I686" s="1" t="s">
        <v>652</v>
      </c>
      <c r="J686" s="1">
        <v>0.1</v>
      </c>
      <c r="K686" s="1">
        <v>0.4</v>
      </c>
      <c r="L686" s="42">
        <v>5</v>
      </c>
      <c r="M686" s="43">
        <v>46055</v>
      </c>
      <c r="N686" s="1" t="e">
        <f>VLOOKUP(B686,MICRO!E:L,8,0)</f>
        <v>#N/A</v>
      </c>
    </row>
    <row r="687" spans="1:14" ht="20.25" x14ac:dyDescent="0.25">
      <c r="A687" s="1">
        <v>35</v>
      </c>
      <c r="B687" s="1"/>
      <c r="C687" s="1" t="s">
        <v>1720</v>
      </c>
      <c r="D687" s="1"/>
      <c r="E687" s="1"/>
      <c r="F687" s="1" t="s">
        <v>1721</v>
      </c>
      <c r="G687" s="1">
        <v>200</v>
      </c>
      <c r="H687" s="1" t="s">
        <v>19</v>
      </c>
      <c r="I687" s="1" t="s">
        <v>652</v>
      </c>
      <c r="J687" s="1">
        <v>0.03</v>
      </c>
      <c r="K687" s="1">
        <v>6</v>
      </c>
      <c r="L687" s="42">
        <v>5</v>
      </c>
      <c r="M687" s="43">
        <v>46055</v>
      </c>
      <c r="N687" s="1" t="e">
        <f>VLOOKUP(B687,MICRO!E:L,8,0)</f>
        <v>#N/A</v>
      </c>
    </row>
    <row r="688" spans="1:14" ht="20.25" x14ac:dyDescent="0.25">
      <c r="A688" s="1">
        <v>36</v>
      </c>
      <c r="B688" s="1"/>
      <c r="C688" s="1" t="s">
        <v>1722</v>
      </c>
      <c r="D688" s="1"/>
      <c r="E688" s="1"/>
      <c r="F688" s="1" t="s">
        <v>1723</v>
      </c>
      <c r="G688" s="1">
        <v>32</v>
      </c>
      <c r="H688" s="1" t="s">
        <v>19</v>
      </c>
      <c r="I688" s="1" t="s">
        <v>652</v>
      </c>
      <c r="J688" s="1">
        <v>0.03</v>
      </c>
      <c r="K688" s="1">
        <v>0.96</v>
      </c>
      <c r="L688" s="42">
        <v>5</v>
      </c>
      <c r="M688" s="43">
        <v>46055</v>
      </c>
      <c r="N688" s="1" t="e">
        <f>VLOOKUP(B688,MICRO!E:L,8,0)</f>
        <v>#N/A</v>
      </c>
    </row>
    <row r="689" spans="1:14" ht="20.25" x14ac:dyDescent="0.25">
      <c r="A689" s="1">
        <v>37</v>
      </c>
      <c r="B689" s="1"/>
      <c r="C689" s="1" t="s">
        <v>1724</v>
      </c>
      <c r="D689" s="1"/>
      <c r="E689" s="1"/>
      <c r="F689" s="1" t="s">
        <v>1725</v>
      </c>
      <c r="G689" s="1">
        <v>264</v>
      </c>
      <c r="H689" s="1" t="s">
        <v>19</v>
      </c>
      <c r="I689" s="1" t="s">
        <v>652</v>
      </c>
      <c r="J689" s="1">
        <v>1.2999999999999999E-2</v>
      </c>
      <c r="K689" s="1">
        <v>3.4319999999999999</v>
      </c>
      <c r="L689" s="42">
        <v>5</v>
      </c>
      <c r="M689" s="43">
        <v>46055</v>
      </c>
      <c r="N689" s="1" t="e">
        <f>VLOOKUP(B689,MICRO!E:L,8,0)</f>
        <v>#N/A</v>
      </c>
    </row>
    <row r="690" spans="1:14" ht="20.25" x14ac:dyDescent="0.25">
      <c r="A690" s="1">
        <v>43</v>
      </c>
      <c r="B690" s="1"/>
      <c r="C690" s="1" t="s">
        <v>1726</v>
      </c>
      <c r="D690" s="1"/>
      <c r="E690" s="1" t="s">
        <v>2</v>
      </c>
      <c r="F690" s="1" t="s">
        <v>1727</v>
      </c>
      <c r="G690" s="1">
        <v>1</v>
      </c>
      <c r="H690" s="1" t="s">
        <v>19</v>
      </c>
      <c r="I690" s="1" t="s">
        <v>652</v>
      </c>
      <c r="J690" s="1">
        <v>5.3</v>
      </c>
      <c r="K690" s="1">
        <v>5.3</v>
      </c>
      <c r="L690" s="42">
        <v>5</v>
      </c>
      <c r="M690" s="43">
        <v>46055</v>
      </c>
      <c r="N690" s="1" t="e">
        <f>VLOOKUP(B690,MICRO!E:L,8,0)</f>
        <v>#N/A</v>
      </c>
    </row>
    <row r="691" spans="1:14" ht="20.25" x14ac:dyDescent="0.25">
      <c r="A691" s="1">
        <v>44</v>
      </c>
      <c r="B691" s="1"/>
      <c r="C691" s="1" t="s">
        <v>1720</v>
      </c>
      <c r="D691" s="1"/>
      <c r="E691" s="1"/>
      <c r="F691" s="1" t="s">
        <v>1728</v>
      </c>
      <c r="G691" s="1">
        <v>2</v>
      </c>
      <c r="H691" s="1" t="s">
        <v>19</v>
      </c>
      <c r="I691" s="1" t="s">
        <v>652</v>
      </c>
      <c r="J691" s="1">
        <v>1.2999999999999999E-2</v>
      </c>
      <c r="K691" s="1">
        <v>2.5999999999999999E-2</v>
      </c>
      <c r="L691" s="42">
        <v>5</v>
      </c>
      <c r="M691" s="43">
        <v>46055</v>
      </c>
      <c r="N691" s="1" t="e">
        <f>VLOOKUP(B691,MICRO!E:L,8,0)</f>
        <v>#N/A</v>
      </c>
    </row>
    <row r="692" spans="1:14" ht="20.25" x14ac:dyDescent="0.25">
      <c r="A692" s="1">
        <v>45</v>
      </c>
      <c r="B692" s="1"/>
      <c r="C692" s="1" t="s">
        <v>1729</v>
      </c>
      <c r="D692" s="1"/>
      <c r="E692" s="1"/>
      <c r="F692" s="1" t="s">
        <v>1730</v>
      </c>
      <c r="G692" s="1">
        <v>16</v>
      </c>
      <c r="H692" s="1" t="s">
        <v>19</v>
      </c>
      <c r="I692" s="1" t="s">
        <v>652</v>
      </c>
      <c r="J692" s="1">
        <v>1.2999999999999999E-2</v>
      </c>
      <c r="K692" s="1">
        <v>0.20799999999999999</v>
      </c>
      <c r="L692" s="42">
        <v>5</v>
      </c>
      <c r="M692" s="43">
        <v>46055</v>
      </c>
      <c r="N692" s="1" t="e">
        <f>VLOOKUP(B692,MICRO!E:L,8,0)</f>
        <v>#N/A</v>
      </c>
    </row>
    <row r="693" spans="1:14" ht="20.25" x14ac:dyDescent="0.25">
      <c r="A693" s="1">
        <v>46</v>
      </c>
      <c r="B693" s="1"/>
      <c r="C693" s="1" t="s">
        <v>1731</v>
      </c>
      <c r="D693" s="1"/>
      <c r="E693" s="1"/>
      <c r="F693" s="1" t="s">
        <v>1732</v>
      </c>
      <c r="G693" s="1">
        <v>16</v>
      </c>
      <c r="H693" s="1" t="s">
        <v>19</v>
      </c>
      <c r="I693" s="1" t="s">
        <v>652</v>
      </c>
      <c r="J693" s="1">
        <v>1.2999999999999999E-2</v>
      </c>
      <c r="K693" s="1">
        <v>0.20799999999999999</v>
      </c>
      <c r="L693" s="42">
        <v>5</v>
      </c>
      <c r="M693" s="43">
        <v>46055</v>
      </c>
      <c r="N693" s="1" t="e">
        <f>VLOOKUP(B693,MICRO!E:L,8,0)</f>
        <v>#N/A</v>
      </c>
    </row>
    <row r="694" spans="1:14" ht="20.25" x14ac:dyDescent="0.25">
      <c r="A694" s="1">
        <v>47</v>
      </c>
      <c r="B694" s="1"/>
      <c r="C694" s="1" t="s">
        <v>1024</v>
      </c>
      <c r="D694" s="1"/>
      <c r="E694" s="1"/>
      <c r="F694" s="1" t="s">
        <v>1733</v>
      </c>
      <c r="G694" s="1">
        <v>16</v>
      </c>
      <c r="H694" s="1" t="s">
        <v>19</v>
      </c>
      <c r="I694" s="1" t="s">
        <v>652</v>
      </c>
      <c r="J694" s="1">
        <v>1.2999999999999999E-2</v>
      </c>
      <c r="K694" s="1">
        <v>0.20799999999999999</v>
      </c>
      <c r="L694" s="42">
        <v>5</v>
      </c>
      <c r="M694" s="43">
        <v>46055</v>
      </c>
      <c r="N694" s="1" t="e">
        <f>VLOOKUP(B694,MICRO!E:L,8,0)</f>
        <v>#N/A</v>
      </c>
    </row>
    <row r="695" spans="1:14" ht="20.25" x14ac:dyDescent="0.25">
      <c r="A695" s="1">
        <v>48</v>
      </c>
      <c r="B695" s="1"/>
      <c r="C695" s="1" t="s">
        <v>1734</v>
      </c>
      <c r="D695" s="1"/>
      <c r="E695" s="1"/>
      <c r="F695" s="1" t="s">
        <v>1735</v>
      </c>
      <c r="G695" s="1">
        <v>8</v>
      </c>
      <c r="H695" s="1" t="s">
        <v>19</v>
      </c>
      <c r="I695" s="1" t="s">
        <v>652</v>
      </c>
      <c r="J695" s="1">
        <v>1.2999999999999999E-2</v>
      </c>
      <c r="K695" s="1">
        <v>0.104</v>
      </c>
      <c r="L695" s="42">
        <v>5</v>
      </c>
      <c r="M695" s="43">
        <v>46055</v>
      </c>
      <c r="N695" s="1" t="e">
        <f>VLOOKUP(B695,MICRO!E:L,8,0)</f>
        <v>#N/A</v>
      </c>
    </row>
    <row r="696" spans="1:14" ht="20.25" x14ac:dyDescent="0.25">
      <c r="A696" s="1">
        <v>49</v>
      </c>
      <c r="B696" s="1"/>
      <c r="C696" s="1" t="s">
        <v>1736</v>
      </c>
      <c r="D696" s="1"/>
      <c r="E696" s="1"/>
      <c r="F696" s="1" t="s">
        <v>1737</v>
      </c>
      <c r="G696" s="1">
        <v>4</v>
      </c>
      <c r="H696" s="1" t="s">
        <v>19</v>
      </c>
      <c r="I696" s="1" t="s">
        <v>652</v>
      </c>
      <c r="J696" s="1">
        <v>1.2999999999999999E-2</v>
      </c>
      <c r="K696" s="1">
        <v>5.1999999999999998E-2</v>
      </c>
      <c r="L696" s="42">
        <v>5</v>
      </c>
      <c r="M696" s="43">
        <v>46055</v>
      </c>
      <c r="N696" s="1" t="e">
        <f>VLOOKUP(B696,MICRO!E:L,8,0)</f>
        <v>#N/A</v>
      </c>
    </row>
    <row r="697" spans="1:14" ht="20.25" x14ac:dyDescent="0.25">
      <c r="A697" s="1">
        <v>50</v>
      </c>
      <c r="B697" s="1"/>
      <c r="C697" s="1" t="s">
        <v>1051</v>
      </c>
      <c r="D697" s="1"/>
      <c r="E697" s="1"/>
      <c r="F697" s="1" t="s">
        <v>1738</v>
      </c>
      <c r="G697" s="1">
        <v>1</v>
      </c>
      <c r="H697" s="1" t="s">
        <v>19</v>
      </c>
      <c r="I697" s="1" t="s">
        <v>652</v>
      </c>
      <c r="J697" s="1">
        <v>1.2999999999999999E-2</v>
      </c>
      <c r="K697" s="1">
        <v>1.2999999999999999E-2</v>
      </c>
      <c r="L697" s="42">
        <v>5</v>
      </c>
      <c r="M697" s="43">
        <v>46055</v>
      </c>
      <c r="N697" s="1" t="e">
        <f>VLOOKUP(B697,MICRO!E:L,8,0)</f>
        <v>#N/A</v>
      </c>
    </row>
    <row r="698" spans="1:14" ht="20.25" x14ac:dyDescent="0.25">
      <c r="A698" s="1">
        <v>51</v>
      </c>
      <c r="B698" s="1"/>
      <c r="C698" s="1" t="s">
        <v>1739</v>
      </c>
      <c r="D698" s="1"/>
      <c r="E698" s="1"/>
      <c r="F698" s="1" t="s">
        <v>1740</v>
      </c>
      <c r="G698" s="1">
        <v>1</v>
      </c>
      <c r="H698" s="1" t="s">
        <v>19</v>
      </c>
      <c r="I698" s="1" t="s">
        <v>652</v>
      </c>
      <c r="J698" s="1">
        <v>1.2999999999999999E-2</v>
      </c>
      <c r="K698" s="1">
        <v>1.2999999999999999E-2</v>
      </c>
      <c r="L698" s="42">
        <v>5</v>
      </c>
      <c r="M698" s="43">
        <v>46055</v>
      </c>
      <c r="N698" s="1" t="e">
        <f>VLOOKUP(B698,MICRO!E:L,8,0)</f>
        <v>#N/A</v>
      </c>
    </row>
    <row r="699" spans="1:14" ht="20.25" x14ac:dyDescent="0.25">
      <c r="A699" s="1">
        <v>52</v>
      </c>
      <c r="B699" s="1"/>
      <c r="C699" s="1" t="s">
        <v>1741</v>
      </c>
      <c r="D699" s="1"/>
      <c r="E699" s="1"/>
      <c r="F699" s="1" t="s">
        <v>1742</v>
      </c>
      <c r="G699" s="1">
        <v>4</v>
      </c>
      <c r="H699" s="1" t="s">
        <v>19</v>
      </c>
      <c r="I699" s="1" t="s">
        <v>652</v>
      </c>
      <c r="J699" s="1">
        <v>1.2999999999999999E-2</v>
      </c>
      <c r="K699" s="1">
        <v>5.1999999999999998E-2</v>
      </c>
      <c r="L699" s="42">
        <v>5</v>
      </c>
      <c r="M699" s="43">
        <v>46055</v>
      </c>
      <c r="N699" s="1" t="e">
        <f>VLOOKUP(B699,MICRO!E:L,8,0)</f>
        <v>#N/A</v>
      </c>
    </row>
    <row r="700" spans="1:14" ht="20.25" x14ac:dyDescent="0.25">
      <c r="A700" s="1">
        <v>53</v>
      </c>
      <c r="B700" s="1"/>
      <c r="C700" s="1" t="s">
        <v>1720</v>
      </c>
      <c r="D700" s="1"/>
      <c r="E700" s="1"/>
      <c r="F700" s="1" t="s">
        <v>1743</v>
      </c>
      <c r="G700" s="1">
        <v>153</v>
      </c>
      <c r="H700" s="1" t="s">
        <v>19</v>
      </c>
      <c r="I700" s="1" t="s">
        <v>652</v>
      </c>
      <c r="J700" s="1">
        <v>1.2999999999999999E-2</v>
      </c>
      <c r="K700" s="1">
        <v>1.9889999999999999</v>
      </c>
      <c r="L700" s="42">
        <v>5</v>
      </c>
      <c r="M700" s="43">
        <v>46055</v>
      </c>
      <c r="N700" s="1" t="e">
        <f>VLOOKUP(B700,MICRO!E:L,8,0)</f>
        <v>#N/A</v>
      </c>
    </row>
    <row r="701" spans="1:14" ht="20.25" x14ac:dyDescent="0.25">
      <c r="A701" s="1">
        <v>54</v>
      </c>
      <c r="B701" s="1"/>
      <c r="C701" s="1" t="s">
        <v>1744</v>
      </c>
      <c r="D701" s="1"/>
      <c r="E701" s="1"/>
      <c r="F701" s="1" t="s">
        <v>1745</v>
      </c>
      <c r="G701" s="1">
        <v>56</v>
      </c>
      <c r="H701" s="1" t="s">
        <v>19</v>
      </c>
      <c r="I701" s="1" t="s">
        <v>652</v>
      </c>
      <c r="J701" s="1">
        <v>1.2999999999999999E-2</v>
      </c>
      <c r="K701" s="1">
        <v>0.72799999999999998</v>
      </c>
      <c r="L701" s="42">
        <v>5</v>
      </c>
      <c r="M701" s="43">
        <v>46055</v>
      </c>
      <c r="N701" s="1" t="e">
        <f>VLOOKUP(B701,MICRO!E:L,8,0)</f>
        <v>#N/A</v>
      </c>
    </row>
    <row r="702" spans="1:14" ht="20.25" x14ac:dyDescent="0.25">
      <c r="A702" s="1">
        <v>55</v>
      </c>
      <c r="B702" s="1"/>
      <c r="C702" s="1" t="s">
        <v>1746</v>
      </c>
      <c r="D702" s="1"/>
      <c r="E702" s="1"/>
      <c r="F702" s="1" t="s">
        <v>1747</v>
      </c>
      <c r="G702" s="1">
        <v>137</v>
      </c>
      <c r="H702" s="1" t="s">
        <v>19</v>
      </c>
      <c r="I702" s="1" t="s">
        <v>652</v>
      </c>
      <c r="J702" s="1">
        <v>1.2999999999999999E-2</v>
      </c>
      <c r="K702" s="1">
        <v>1.7809999999999999</v>
      </c>
      <c r="L702" s="42">
        <v>5</v>
      </c>
      <c r="M702" s="43">
        <v>46055</v>
      </c>
      <c r="N702" s="1" t="e">
        <f>VLOOKUP(B702,MICRO!E:L,8,0)</f>
        <v>#N/A</v>
      </c>
    </row>
    <row r="703" spans="1:14" ht="20.25" x14ac:dyDescent="0.25">
      <c r="A703" s="1">
        <v>56</v>
      </c>
      <c r="B703" s="1"/>
      <c r="C703" s="1" t="s">
        <v>1720</v>
      </c>
      <c r="D703" s="1"/>
      <c r="E703" s="1"/>
      <c r="F703" s="1" t="s">
        <v>1748</v>
      </c>
      <c r="G703" s="1">
        <v>200</v>
      </c>
      <c r="H703" s="1" t="s">
        <v>19</v>
      </c>
      <c r="I703" s="1" t="s">
        <v>652</v>
      </c>
      <c r="J703" s="1">
        <v>1.2999999999999999E-2</v>
      </c>
      <c r="K703" s="1">
        <v>2.6</v>
      </c>
      <c r="L703" s="42">
        <v>5</v>
      </c>
      <c r="M703" s="43">
        <v>46055</v>
      </c>
      <c r="N703" s="1" t="e">
        <f>VLOOKUP(B703,MICRO!E:L,8,0)</f>
        <v>#N/A</v>
      </c>
    </row>
    <row r="704" spans="1:14" ht="20.25" x14ac:dyDescent="0.25">
      <c r="A704" s="1">
        <v>57</v>
      </c>
      <c r="B704" s="1"/>
      <c r="C704" s="1" t="s">
        <v>1731</v>
      </c>
      <c r="D704" s="1"/>
      <c r="E704" s="1"/>
      <c r="F704" s="1" t="s">
        <v>1749</v>
      </c>
      <c r="G704" s="1">
        <v>4</v>
      </c>
      <c r="H704" s="1" t="s">
        <v>19</v>
      </c>
      <c r="I704" s="1" t="s">
        <v>652</v>
      </c>
      <c r="J704" s="1">
        <v>0.05</v>
      </c>
      <c r="K704" s="1">
        <v>0.2</v>
      </c>
      <c r="L704" s="42">
        <v>5</v>
      </c>
      <c r="M704" s="43">
        <v>46055</v>
      </c>
      <c r="N704" s="1" t="e">
        <f>VLOOKUP(B704,MICRO!E:L,8,0)</f>
        <v>#N/A</v>
      </c>
    </row>
    <row r="705" spans="1:14" ht="20.25" x14ac:dyDescent="0.25">
      <c r="A705" s="1">
        <v>58</v>
      </c>
      <c r="B705" s="1"/>
      <c r="C705" s="1" t="s">
        <v>1024</v>
      </c>
      <c r="D705" s="1"/>
      <c r="E705" s="1"/>
      <c r="F705" s="1" t="s">
        <v>1750</v>
      </c>
      <c r="G705" s="1">
        <v>4</v>
      </c>
      <c r="H705" s="1" t="s">
        <v>19</v>
      </c>
      <c r="I705" s="1" t="s">
        <v>652</v>
      </c>
      <c r="J705" s="1">
        <v>0.05</v>
      </c>
      <c r="K705" s="1">
        <v>0.2</v>
      </c>
      <c r="L705" s="42">
        <v>5</v>
      </c>
      <c r="M705" s="43">
        <v>46055</v>
      </c>
      <c r="N705" s="1" t="e">
        <f>VLOOKUP(B705,MICRO!E:L,8,0)</f>
        <v>#N/A</v>
      </c>
    </row>
    <row r="706" spans="1:14" ht="20.25" x14ac:dyDescent="0.25">
      <c r="A706" s="1">
        <v>59</v>
      </c>
      <c r="B706" s="1"/>
      <c r="C706" s="1" t="s">
        <v>1736</v>
      </c>
      <c r="D706" s="1"/>
      <c r="E706" s="1"/>
      <c r="F706" s="1" t="s">
        <v>1751</v>
      </c>
      <c r="G706" s="1">
        <v>4</v>
      </c>
      <c r="H706" s="1" t="s">
        <v>19</v>
      </c>
      <c r="I706" s="1" t="s">
        <v>652</v>
      </c>
      <c r="J706" s="1">
        <v>0.05</v>
      </c>
      <c r="K706" s="1">
        <v>0.2</v>
      </c>
      <c r="L706" s="42">
        <v>5</v>
      </c>
      <c r="M706" s="43">
        <v>46055</v>
      </c>
      <c r="N706" s="1" t="e">
        <f>VLOOKUP(B706,MICRO!E:L,8,0)</f>
        <v>#N/A</v>
      </c>
    </row>
    <row r="707" spans="1:14" ht="20.25" x14ac:dyDescent="0.25">
      <c r="A707" s="1">
        <v>60</v>
      </c>
      <c r="B707" s="1"/>
      <c r="C707" s="1" t="s">
        <v>1729</v>
      </c>
      <c r="D707" s="1"/>
      <c r="E707" s="1"/>
      <c r="F707" s="1" t="s">
        <v>1752</v>
      </c>
      <c r="G707" s="1">
        <v>2</v>
      </c>
      <c r="H707" s="1" t="s">
        <v>19</v>
      </c>
      <c r="I707" s="1" t="s">
        <v>652</v>
      </c>
      <c r="J707" s="1">
        <v>0.05</v>
      </c>
      <c r="K707" s="1">
        <v>0.1</v>
      </c>
      <c r="L707" s="42">
        <v>5</v>
      </c>
      <c r="M707" s="43">
        <v>46055</v>
      </c>
      <c r="N707" s="1" t="e">
        <f>VLOOKUP(B707,MICRO!E:L,8,0)</f>
        <v>#N/A</v>
      </c>
    </row>
    <row r="708" spans="1:14" ht="20.25" x14ac:dyDescent="0.25">
      <c r="A708" s="1">
        <v>61</v>
      </c>
      <c r="B708" s="1"/>
      <c r="C708" s="1" t="s">
        <v>1744</v>
      </c>
      <c r="D708" s="1"/>
      <c r="E708" s="1"/>
      <c r="F708" s="1" t="s">
        <v>1753</v>
      </c>
      <c r="G708" s="1">
        <v>18</v>
      </c>
      <c r="H708" s="1" t="s">
        <v>19</v>
      </c>
      <c r="I708" s="1" t="s">
        <v>652</v>
      </c>
      <c r="J708" s="1">
        <v>0.05</v>
      </c>
      <c r="K708" s="1">
        <v>0.9</v>
      </c>
      <c r="L708" s="42">
        <v>5</v>
      </c>
      <c r="M708" s="43">
        <v>46055</v>
      </c>
      <c r="N708" s="1" t="e">
        <f>VLOOKUP(B708,MICRO!E:L,8,0)</f>
        <v>#N/A</v>
      </c>
    </row>
    <row r="709" spans="1:14" ht="20.25" x14ac:dyDescent="0.25">
      <c r="A709" s="1">
        <v>62</v>
      </c>
      <c r="B709" s="1"/>
      <c r="C709" s="1" t="s">
        <v>1746</v>
      </c>
      <c r="D709" s="1"/>
      <c r="E709" s="1"/>
      <c r="F709" s="1" t="s">
        <v>1754</v>
      </c>
      <c r="G709" s="1">
        <v>137</v>
      </c>
      <c r="H709" s="1" t="s">
        <v>19</v>
      </c>
      <c r="I709" s="1" t="s">
        <v>652</v>
      </c>
      <c r="J709" s="1">
        <v>0.05</v>
      </c>
      <c r="K709" s="1">
        <v>6.8500000000000005</v>
      </c>
      <c r="L709" s="42">
        <v>5</v>
      </c>
      <c r="M709" s="43">
        <v>46055</v>
      </c>
      <c r="N709" s="1" t="e">
        <f>VLOOKUP(B709,MICRO!E:L,8,0)</f>
        <v>#N/A</v>
      </c>
    </row>
    <row r="710" spans="1:14" ht="20.25" x14ac:dyDescent="0.25">
      <c r="A710" s="1">
        <v>63</v>
      </c>
      <c r="B710" s="1"/>
      <c r="C710" s="1" t="s">
        <v>1731</v>
      </c>
      <c r="D710" s="1"/>
      <c r="E710" s="1"/>
      <c r="F710" s="1" t="s">
        <v>1755</v>
      </c>
      <c r="G710" s="1">
        <v>8</v>
      </c>
      <c r="H710" s="1" t="s">
        <v>19</v>
      </c>
      <c r="I710" s="1" t="s">
        <v>652</v>
      </c>
      <c r="J710" s="1">
        <v>0.05</v>
      </c>
      <c r="K710" s="1">
        <v>0.4</v>
      </c>
      <c r="L710" s="42">
        <v>5</v>
      </c>
      <c r="M710" s="43">
        <v>46055</v>
      </c>
      <c r="N710" s="1" t="e">
        <f>VLOOKUP(B710,MICRO!E:L,8,0)</f>
        <v>#N/A</v>
      </c>
    </row>
    <row r="711" spans="1:14" ht="20.25" x14ac:dyDescent="0.25">
      <c r="A711" s="1">
        <v>64</v>
      </c>
      <c r="B711" s="1"/>
      <c r="C711" s="1" t="s">
        <v>1729</v>
      </c>
      <c r="D711" s="1"/>
      <c r="E711" s="1"/>
      <c r="F711" s="1" t="s">
        <v>1756</v>
      </c>
      <c r="G711" s="1">
        <v>8</v>
      </c>
      <c r="H711" s="1" t="s">
        <v>19</v>
      </c>
      <c r="I711" s="1" t="s">
        <v>652</v>
      </c>
      <c r="J711" s="1">
        <v>0.05</v>
      </c>
      <c r="K711" s="1">
        <v>0.4</v>
      </c>
      <c r="L711" s="42">
        <v>5</v>
      </c>
      <c r="M711" s="43">
        <v>46055</v>
      </c>
      <c r="N711" s="1" t="e">
        <f>VLOOKUP(B711,MICRO!E:L,8,0)</f>
        <v>#N/A</v>
      </c>
    </row>
    <row r="712" spans="1:14" ht="20.25" x14ac:dyDescent="0.25">
      <c r="A712" s="1">
        <v>65</v>
      </c>
      <c r="B712" s="1"/>
      <c r="C712" s="1" t="s">
        <v>1024</v>
      </c>
      <c r="D712" s="1"/>
      <c r="E712" s="1"/>
      <c r="F712" s="1" t="s">
        <v>1757</v>
      </c>
      <c r="G712" s="1">
        <v>8</v>
      </c>
      <c r="H712" s="1" t="s">
        <v>19</v>
      </c>
      <c r="I712" s="1" t="s">
        <v>652</v>
      </c>
      <c r="J712" s="1">
        <v>0.05</v>
      </c>
      <c r="K712" s="1">
        <v>0.4</v>
      </c>
      <c r="L712" s="42">
        <v>5</v>
      </c>
      <c r="M712" s="43">
        <v>46055</v>
      </c>
      <c r="N712" s="1" t="e">
        <f>VLOOKUP(B712,MICRO!E:L,8,0)</f>
        <v>#N/A</v>
      </c>
    </row>
    <row r="713" spans="1:14" ht="20.25" x14ac:dyDescent="0.25">
      <c r="A713" s="1">
        <v>66</v>
      </c>
      <c r="B713" s="1"/>
      <c r="C713" s="1" t="s">
        <v>1729</v>
      </c>
      <c r="D713" s="1"/>
      <c r="E713" s="1"/>
      <c r="F713" s="1" t="s">
        <v>1758</v>
      </c>
      <c r="G713" s="1">
        <v>8</v>
      </c>
      <c r="H713" s="1" t="s">
        <v>19</v>
      </c>
      <c r="I713" s="1" t="s">
        <v>652</v>
      </c>
      <c r="J713" s="1">
        <v>0.05</v>
      </c>
      <c r="K713" s="1">
        <v>0.4</v>
      </c>
      <c r="L713" s="42">
        <v>5</v>
      </c>
      <c r="M713" s="43">
        <v>46055</v>
      </c>
      <c r="N713" s="1" t="e">
        <f>VLOOKUP(B713,MICRO!E:L,8,0)</f>
        <v>#N/A</v>
      </c>
    </row>
    <row r="714" spans="1:14" ht="20.25" x14ac:dyDescent="0.25">
      <c r="A714" s="1">
        <v>67</v>
      </c>
      <c r="B714" s="1"/>
      <c r="C714" s="1" t="s">
        <v>1731</v>
      </c>
      <c r="D714" s="1"/>
      <c r="E714" s="1"/>
      <c r="F714" s="1" t="s">
        <v>1759</v>
      </c>
      <c r="G714" s="1">
        <v>8</v>
      </c>
      <c r="H714" s="1" t="s">
        <v>19</v>
      </c>
      <c r="I714" s="1" t="s">
        <v>652</v>
      </c>
      <c r="J714" s="1">
        <v>0.05</v>
      </c>
      <c r="K714" s="1">
        <v>0.4</v>
      </c>
      <c r="L714" s="42">
        <v>5</v>
      </c>
      <c r="M714" s="43">
        <v>46055</v>
      </c>
      <c r="N714" s="1" t="e">
        <f>VLOOKUP(B714,MICRO!E:L,8,0)</f>
        <v>#N/A</v>
      </c>
    </row>
    <row r="715" spans="1:14" ht="20.25" x14ac:dyDescent="0.25">
      <c r="A715" s="1">
        <v>68</v>
      </c>
      <c r="B715" s="1"/>
      <c r="C715" s="1" t="s">
        <v>1724</v>
      </c>
      <c r="D715" s="1"/>
      <c r="E715" s="1"/>
      <c r="F715" s="1" t="s">
        <v>1760</v>
      </c>
      <c r="G715" s="1">
        <v>264</v>
      </c>
      <c r="H715" s="1" t="s">
        <v>19</v>
      </c>
      <c r="I715" s="1" t="s">
        <v>652</v>
      </c>
      <c r="J715" s="1">
        <v>0.05</v>
      </c>
      <c r="K715" s="1">
        <v>13.200000000000001</v>
      </c>
      <c r="L715" s="42">
        <v>5</v>
      </c>
      <c r="M715" s="43">
        <v>46055</v>
      </c>
      <c r="N715" s="1" t="e">
        <f>VLOOKUP(B715,MICRO!E:L,8,0)</f>
        <v>#N/A</v>
      </c>
    </row>
    <row r="716" spans="1:14" ht="20.25" x14ac:dyDescent="0.25">
      <c r="A716" s="1">
        <v>69</v>
      </c>
      <c r="B716" s="1"/>
      <c r="C716" s="1" t="s">
        <v>1741</v>
      </c>
      <c r="D716" s="1"/>
      <c r="E716" s="1"/>
      <c r="F716" s="1" t="s">
        <v>1761</v>
      </c>
      <c r="G716" s="1">
        <v>4</v>
      </c>
      <c r="H716" s="1" t="s">
        <v>19</v>
      </c>
      <c r="I716" s="1" t="s">
        <v>652</v>
      </c>
      <c r="J716" s="1">
        <v>0.05</v>
      </c>
      <c r="K716" s="1">
        <v>0.2</v>
      </c>
      <c r="L716" s="42">
        <v>5</v>
      </c>
      <c r="M716" s="43">
        <v>46055</v>
      </c>
      <c r="N716" s="1" t="e">
        <f>VLOOKUP(B716,MICRO!E:L,8,0)</f>
        <v>#N/A</v>
      </c>
    </row>
    <row r="717" spans="1:14" ht="20.25" x14ac:dyDescent="0.25">
      <c r="A717" s="1">
        <v>70</v>
      </c>
      <c r="B717" s="1"/>
      <c r="C717" s="1" t="s">
        <v>1734</v>
      </c>
      <c r="D717" s="1"/>
      <c r="E717" s="1"/>
      <c r="F717" s="1" t="s">
        <v>1762</v>
      </c>
      <c r="G717" s="1">
        <v>8</v>
      </c>
      <c r="H717" s="1" t="s">
        <v>19</v>
      </c>
      <c r="I717" s="1" t="s">
        <v>652</v>
      </c>
      <c r="J717" s="1">
        <v>0.05</v>
      </c>
      <c r="K717" s="1">
        <v>0.4</v>
      </c>
      <c r="L717" s="42">
        <v>5</v>
      </c>
      <c r="M717" s="43">
        <v>46055</v>
      </c>
      <c r="N717" s="1" t="e">
        <f>VLOOKUP(B717,MICRO!E:L,8,0)</f>
        <v>#N/A</v>
      </c>
    </row>
    <row r="718" spans="1:14" ht="20.25" x14ac:dyDescent="0.25">
      <c r="A718" s="1">
        <v>71</v>
      </c>
      <c r="B718" s="1"/>
      <c r="C718" s="1" t="s">
        <v>1724</v>
      </c>
      <c r="D718" s="1"/>
      <c r="E718" s="1"/>
      <c r="F718" s="1" t="s">
        <v>1763</v>
      </c>
      <c r="G718" s="1">
        <v>132</v>
      </c>
      <c r="H718" s="1" t="s">
        <v>19</v>
      </c>
      <c r="I718" s="1" t="s">
        <v>652</v>
      </c>
      <c r="J718" s="1">
        <v>0.05</v>
      </c>
      <c r="K718" s="1">
        <v>6.6000000000000005</v>
      </c>
      <c r="L718" s="42">
        <v>5</v>
      </c>
      <c r="M718" s="43">
        <v>46055</v>
      </c>
      <c r="N718" s="1" t="e">
        <f>VLOOKUP(B718,MICRO!E:L,8,0)</f>
        <v>#N/A</v>
      </c>
    </row>
    <row r="719" spans="1:14" ht="20.25" x14ac:dyDescent="0.25">
      <c r="A719" s="1">
        <v>72</v>
      </c>
      <c r="B719" s="1"/>
      <c r="C719" s="1" t="s">
        <v>1720</v>
      </c>
      <c r="D719" s="1"/>
      <c r="E719" s="1"/>
      <c r="F719" s="1" t="s">
        <v>1764</v>
      </c>
      <c r="G719" s="1">
        <v>153</v>
      </c>
      <c r="H719" s="1" t="s">
        <v>19</v>
      </c>
      <c r="I719" s="1" t="s">
        <v>652</v>
      </c>
      <c r="J719" s="1">
        <v>0.05</v>
      </c>
      <c r="K719" s="1">
        <v>7.65</v>
      </c>
      <c r="L719" s="42">
        <v>5</v>
      </c>
      <c r="M719" s="43">
        <v>46055</v>
      </c>
      <c r="N719" s="1" t="e">
        <f>VLOOKUP(B719,MICRO!E:L,8,0)</f>
        <v>#N/A</v>
      </c>
    </row>
    <row r="720" spans="1:14" ht="20.25" x14ac:dyDescent="0.25">
      <c r="A720" s="1">
        <v>73</v>
      </c>
      <c r="B720" s="1"/>
      <c r="C720" s="1" t="s">
        <v>1746</v>
      </c>
      <c r="D720" s="1"/>
      <c r="E720" s="1"/>
      <c r="F720" s="1" t="s">
        <v>1765</v>
      </c>
      <c r="G720" s="1">
        <v>44</v>
      </c>
      <c r="H720" s="1" t="s">
        <v>19</v>
      </c>
      <c r="I720" s="1" t="s">
        <v>652</v>
      </c>
      <c r="J720" s="1">
        <v>0.05</v>
      </c>
      <c r="K720" s="1">
        <v>2.2000000000000002</v>
      </c>
      <c r="L720" s="42">
        <v>5</v>
      </c>
      <c r="M720" s="43">
        <v>46055</v>
      </c>
      <c r="N720" s="1" t="e">
        <f>VLOOKUP(B720,MICRO!E:L,8,0)</f>
        <v>#N/A</v>
      </c>
    </row>
    <row r="721" spans="1:14" ht="20.25" x14ac:dyDescent="0.25">
      <c r="A721" s="1">
        <v>74</v>
      </c>
      <c r="B721" s="1"/>
      <c r="C721" s="1" t="s">
        <v>1720</v>
      </c>
      <c r="D721" s="1"/>
      <c r="E721" s="1"/>
      <c r="F721" s="1" t="s">
        <v>1766</v>
      </c>
      <c r="G721" s="1">
        <v>200</v>
      </c>
      <c r="H721" s="1" t="s">
        <v>19</v>
      </c>
      <c r="I721" s="1" t="s">
        <v>652</v>
      </c>
      <c r="J721" s="1">
        <v>0.05</v>
      </c>
      <c r="K721" s="1">
        <v>10</v>
      </c>
      <c r="L721" s="42">
        <v>5</v>
      </c>
      <c r="M721" s="43">
        <v>46055</v>
      </c>
      <c r="N721" s="1" t="e">
        <f>VLOOKUP(B721,MICRO!E:L,8,0)</f>
        <v>#N/A</v>
      </c>
    </row>
    <row r="722" spans="1:14" ht="20.25" x14ac:dyDescent="0.25">
      <c r="A722" s="1">
        <v>75</v>
      </c>
      <c r="B722" s="1"/>
      <c r="C722" s="1" t="s">
        <v>1744</v>
      </c>
      <c r="D722" s="1"/>
      <c r="E722" s="1"/>
      <c r="F722" s="1" t="s">
        <v>1767</v>
      </c>
      <c r="G722" s="1">
        <v>38</v>
      </c>
      <c r="H722" s="1" t="s">
        <v>19</v>
      </c>
      <c r="I722" s="1" t="s">
        <v>652</v>
      </c>
      <c r="J722" s="1">
        <v>0.05</v>
      </c>
      <c r="K722" s="1">
        <v>1.9000000000000001</v>
      </c>
      <c r="L722" s="42">
        <v>5</v>
      </c>
      <c r="M722" s="43">
        <v>46055</v>
      </c>
      <c r="N722" s="1" t="e">
        <f>VLOOKUP(B722,MICRO!E:L,8,0)</f>
        <v>#N/A</v>
      </c>
    </row>
    <row r="723" spans="1:14" ht="20.25" x14ac:dyDescent="0.25">
      <c r="A723" s="1">
        <v>76</v>
      </c>
      <c r="B723" s="1"/>
      <c r="C723" s="1" t="s">
        <v>1746</v>
      </c>
      <c r="D723" s="1"/>
      <c r="E723" s="1"/>
      <c r="F723" s="1" t="s">
        <v>1768</v>
      </c>
      <c r="G723" s="1">
        <v>137</v>
      </c>
      <c r="H723" s="1" t="s">
        <v>19</v>
      </c>
      <c r="I723" s="1" t="s">
        <v>652</v>
      </c>
      <c r="J723" s="1">
        <v>0.03</v>
      </c>
      <c r="K723" s="1">
        <v>4.1099999999999994</v>
      </c>
      <c r="L723" s="42">
        <v>5</v>
      </c>
      <c r="M723" s="43">
        <v>46055</v>
      </c>
      <c r="N723" s="1" t="e">
        <f>VLOOKUP(B723,MICRO!E:L,8,0)</f>
        <v>#N/A</v>
      </c>
    </row>
    <row r="724" spans="1:14" ht="20.25" x14ac:dyDescent="0.25">
      <c r="A724" s="1">
        <v>77</v>
      </c>
      <c r="B724" s="1"/>
      <c r="C724" s="1" t="s">
        <v>1729</v>
      </c>
      <c r="D724" s="1"/>
      <c r="E724" s="1"/>
      <c r="F724" s="1" t="s">
        <v>1769</v>
      </c>
      <c r="G724" s="1">
        <v>16</v>
      </c>
      <c r="H724" s="1" t="s">
        <v>19</v>
      </c>
      <c r="I724" s="1" t="s">
        <v>652</v>
      </c>
      <c r="J724" s="1">
        <v>0.03</v>
      </c>
      <c r="K724" s="1">
        <v>0.48</v>
      </c>
      <c r="L724" s="42">
        <v>5</v>
      </c>
      <c r="M724" s="43">
        <v>46055</v>
      </c>
      <c r="N724" s="1" t="e">
        <f>VLOOKUP(B724,MICRO!E:L,8,0)</f>
        <v>#N/A</v>
      </c>
    </row>
    <row r="725" spans="1:14" ht="20.25" x14ac:dyDescent="0.25">
      <c r="A725" s="1">
        <v>78</v>
      </c>
      <c r="B725" s="1"/>
      <c r="C725" s="1" t="s">
        <v>1024</v>
      </c>
      <c r="D725" s="1"/>
      <c r="E725" s="1"/>
      <c r="F725" s="1" t="s">
        <v>1770</v>
      </c>
      <c r="G725" s="1">
        <v>16</v>
      </c>
      <c r="H725" s="1" t="s">
        <v>19</v>
      </c>
      <c r="I725" s="1" t="s">
        <v>652</v>
      </c>
      <c r="J725" s="1">
        <v>0.03</v>
      </c>
      <c r="K725" s="1">
        <v>0.48</v>
      </c>
      <c r="L725" s="42">
        <v>5</v>
      </c>
      <c r="M725" s="43">
        <v>46055</v>
      </c>
      <c r="N725" s="1" t="e">
        <f>VLOOKUP(B725,MICRO!E:L,8,0)</f>
        <v>#N/A</v>
      </c>
    </row>
    <row r="726" spans="1:14" ht="20.25" x14ac:dyDescent="0.25">
      <c r="A726" s="1">
        <v>79</v>
      </c>
      <c r="B726" s="1"/>
      <c r="C726" s="1" t="s">
        <v>1731</v>
      </c>
      <c r="D726" s="1"/>
      <c r="E726" s="1"/>
      <c r="F726" s="1" t="s">
        <v>1771</v>
      </c>
      <c r="G726" s="1">
        <v>16</v>
      </c>
      <c r="H726" s="1" t="s">
        <v>19</v>
      </c>
      <c r="I726" s="1" t="s">
        <v>652</v>
      </c>
      <c r="J726" s="1">
        <v>0.03</v>
      </c>
      <c r="K726" s="1">
        <v>0.48</v>
      </c>
      <c r="L726" s="42">
        <v>5</v>
      </c>
      <c r="M726" s="43">
        <v>46055</v>
      </c>
      <c r="N726" s="1" t="e">
        <f>VLOOKUP(B726,MICRO!E:L,8,0)</f>
        <v>#N/A</v>
      </c>
    </row>
    <row r="727" spans="1:14" ht="20.25" x14ac:dyDescent="0.25">
      <c r="A727" s="1">
        <v>80</v>
      </c>
      <c r="B727" s="1"/>
      <c r="C727" s="1" t="s">
        <v>1051</v>
      </c>
      <c r="D727" s="1"/>
      <c r="E727" s="1"/>
      <c r="F727" s="1" t="s">
        <v>1772</v>
      </c>
      <c r="G727" s="1">
        <v>2</v>
      </c>
      <c r="H727" s="1" t="s">
        <v>19</v>
      </c>
      <c r="I727" s="1" t="s">
        <v>652</v>
      </c>
      <c r="J727" s="1">
        <v>0.03</v>
      </c>
      <c r="K727" s="1">
        <v>0.06</v>
      </c>
      <c r="L727" s="42">
        <v>5</v>
      </c>
      <c r="M727" s="43">
        <v>46055</v>
      </c>
      <c r="N727" s="1" t="e">
        <f>VLOOKUP(B727,MICRO!E:L,8,0)</f>
        <v>#N/A</v>
      </c>
    </row>
    <row r="728" spans="1:14" ht="20.25" x14ac:dyDescent="0.25">
      <c r="A728" s="1">
        <v>81</v>
      </c>
      <c r="B728" s="1"/>
      <c r="C728" s="1" t="s">
        <v>1739</v>
      </c>
      <c r="D728" s="1"/>
      <c r="E728" s="1"/>
      <c r="F728" s="1" t="s">
        <v>1773</v>
      </c>
      <c r="G728" s="1">
        <v>2</v>
      </c>
      <c r="H728" s="1" t="s">
        <v>19</v>
      </c>
      <c r="I728" s="1" t="s">
        <v>652</v>
      </c>
      <c r="J728" s="1">
        <v>0.03</v>
      </c>
      <c r="K728" s="1">
        <v>0.06</v>
      </c>
      <c r="L728" s="42">
        <v>5</v>
      </c>
      <c r="M728" s="43">
        <v>46055</v>
      </c>
      <c r="N728" s="1" t="e">
        <f>VLOOKUP(B728,MICRO!E:L,8,0)</f>
        <v>#N/A</v>
      </c>
    </row>
    <row r="729" spans="1:14" ht="20.25" x14ac:dyDescent="0.25">
      <c r="A729" s="1">
        <v>82</v>
      </c>
      <c r="B729" s="1"/>
      <c r="C729" s="1" t="s">
        <v>1729</v>
      </c>
      <c r="D729" s="1"/>
      <c r="E729" s="1"/>
      <c r="F729" s="1" t="s">
        <v>1774</v>
      </c>
      <c r="G729" s="1">
        <v>4</v>
      </c>
      <c r="H729" s="1" t="s">
        <v>19</v>
      </c>
      <c r="I729" s="1" t="s">
        <v>652</v>
      </c>
      <c r="J729" s="1">
        <v>0.03</v>
      </c>
      <c r="K729" s="1">
        <v>0.12</v>
      </c>
      <c r="L729" s="42">
        <v>5</v>
      </c>
      <c r="M729" s="43">
        <v>46055</v>
      </c>
      <c r="N729" s="1" t="e">
        <f>VLOOKUP(B729,MICRO!E:L,8,0)</f>
        <v>#N/A</v>
      </c>
    </row>
    <row r="730" spans="1:14" ht="20.25" x14ac:dyDescent="0.25">
      <c r="A730" s="1">
        <v>83</v>
      </c>
      <c r="B730" s="1"/>
      <c r="C730" s="1" t="s">
        <v>1731</v>
      </c>
      <c r="D730" s="1"/>
      <c r="E730" s="1"/>
      <c r="F730" s="1" t="s">
        <v>1775</v>
      </c>
      <c r="G730" s="1">
        <v>8</v>
      </c>
      <c r="H730" s="1" t="s">
        <v>19</v>
      </c>
      <c r="I730" s="1" t="s">
        <v>652</v>
      </c>
      <c r="J730" s="1">
        <v>0.03</v>
      </c>
      <c r="K730" s="1">
        <v>0.24</v>
      </c>
      <c r="L730" s="42">
        <v>5</v>
      </c>
      <c r="M730" s="43">
        <v>46055</v>
      </c>
      <c r="N730" s="1" t="e">
        <f>VLOOKUP(B730,MICRO!E:L,8,0)</f>
        <v>#N/A</v>
      </c>
    </row>
    <row r="731" spans="1:14" ht="20.25" x14ac:dyDescent="0.25">
      <c r="A731" s="1">
        <v>84</v>
      </c>
      <c r="B731" s="1"/>
      <c r="C731" s="1" t="s">
        <v>1024</v>
      </c>
      <c r="D731" s="1"/>
      <c r="E731" s="1"/>
      <c r="F731" s="1" t="s">
        <v>1776</v>
      </c>
      <c r="G731" s="1">
        <v>8</v>
      </c>
      <c r="H731" s="1" t="s">
        <v>19</v>
      </c>
      <c r="I731" s="1" t="s">
        <v>652</v>
      </c>
      <c r="J731" s="1">
        <v>0.03</v>
      </c>
      <c r="K731" s="1">
        <v>0.24</v>
      </c>
      <c r="L731" s="42">
        <v>5</v>
      </c>
      <c r="M731" s="43">
        <v>46055</v>
      </c>
      <c r="N731" s="1" t="e">
        <f>VLOOKUP(B731,MICRO!E:L,8,0)</f>
        <v>#N/A</v>
      </c>
    </row>
    <row r="732" spans="1:14" ht="20.25" x14ac:dyDescent="0.25">
      <c r="A732" s="1">
        <v>85</v>
      </c>
      <c r="B732" s="1"/>
      <c r="C732" s="1" t="s">
        <v>1724</v>
      </c>
      <c r="D732" s="1"/>
      <c r="E732" s="1"/>
      <c r="F732" s="1" t="s">
        <v>1777</v>
      </c>
      <c r="G732" s="1">
        <v>264</v>
      </c>
      <c r="H732" s="1" t="s">
        <v>19</v>
      </c>
      <c r="I732" s="1" t="s">
        <v>652</v>
      </c>
      <c r="J732" s="1">
        <v>0.03</v>
      </c>
      <c r="K732" s="1">
        <v>7.92</v>
      </c>
      <c r="L732" s="42">
        <v>5</v>
      </c>
      <c r="M732" s="43">
        <v>46055</v>
      </c>
      <c r="N732" s="1" t="e">
        <f>VLOOKUP(B732,MICRO!E:L,8,0)</f>
        <v>#N/A</v>
      </c>
    </row>
    <row r="733" spans="1:14" ht="20.25" x14ac:dyDescent="0.25">
      <c r="A733" s="1">
        <v>86</v>
      </c>
      <c r="B733" s="1"/>
      <c r="C733" s="1" t="s">
        <v>1734</v>
      </c>
      <c r="D733" s="1"/>
      <c r="E733" s="1"/>
      <c r="F733" s="1" t="s">
        <v>1778</v>
      </c>
      <c r="G733" s="1">
        <v>8</v>
      </c>
      <c r="H733" s="1" t="s">
        <v>19</v>
      </c>
      <c r="I733" s="1" t="s">
        <v>652</v>
      </c>
      <c r="J733" s="1">
        <v>0.03</v>
      </c>
      <c r="K733" s="1">
        <v>0.24</v>
      </c>
      <c r="L733" s="42">
        <v>5</v>
      </c>
      <c r="M733" s="43">
        <v>46055</v>
      </c>
      <c r="N733" s="1" t="e">
        <f>VLOOKUP(B733,MICRO!E:L,8,0)</f>
        <v>#N/A</v>
      </c>
    </row>
    <row r="734" spans="1:14" ht="20.25" x14ac:dyDescent="0.25">
      <c r="A734" s="1">
        <v>87</v>
      </c>
      <c r="B734" s="1"/>
      <c r="C734" s="1" t="s">
        <v>1720</v>
      </c>
      <c r="D734" s="1"/>
      <c r="E734" s="1"/>
      <c r="F734" s="1" t="s">
        <v>1779</v>
      </c>
      <c r="G734" s="1">
        <v>153</v>
      </c>
      <c r="H734" s="1" t="s">
        <v>19</v>
      </c>
      <c r="I734" s="1" t="s">
        <v>652</v>
      </c>
      <c r="J734" s="1">
        <v>0.03</v>
      </c>
      <c r="K734" s="1">
        <v>4.59</v>
      </c>
      <c r="L734" s="42">
        <v>5</v>
      </c>
      <c r="M734" s="43">
        <v>46055</v>
      </c>
      <c r="N734" s="1" t="e">
        <f>VLOOKUP(B734,MICRO!E:L,8,0)</f>
        <v>#N/A</v>
      </c>
    </row>
    <row r="735" spans="1:14" ht="20.25" x14ac:dyDescent="0.25">
      <c r="A735" s="1">
        <v>88</v>
      </c>
      <c r="B735" s="1"/>
      <c r="C735" s="1" t="s">
        <v>1746</v>
      </c>
      <c r="D735" s="1"/>
      <c r="E735" s="1"/>
      <c r="F735" s="1" t="s">
        <v>1780</v>
      </c>
      <c r="G735" s="1">
        <v>44</v>
      </c>
      <c r="H735" s="1" t="s">
        <v>19</v>
      </c>
      <c r="I735" s="1" t="s">
        <v>652</v>
      </c>
      <c r="J735" s="1">
        <v>0.03</v>
      </c>
      <c r="K735" s="1">
        <v>1.3199999999999998</v>
      </c>
      <c r="L735" s="42">
        <v>5</v>
      </c>
      <c r="M735" s="43">
        <v>46055</v>
      </c>
      <c r="N735" s="1" t="e">
        <f>VLOOKUP(B735,MICRO!E:L,8,0)</f>
        <v>#N/A</v>
      </c>
    </row>
    <row r="736" spans="1:14" ht="20.25" x14ac:dyDescent="0.25">
      <c r="A736" s="1">
        <v>89</v>
      </c>
      <c r="B736" s="1"/>
      <c r="C736" s="1" t="s">
        <v>1724</v>
      </c>
      <c r="D736" s="1"/>
      <c r="E736" s="1"/>
      <c r="F736" s="1" t="s">
        <v>1781</v>
      </c>
      <c r="G736" s="1">
        <v>132</v>
      </c>
      <c r="H736" s="1" t="s">
        <v>19</v>
      </c>
      <c r="I736" s="1" t="s">
        <v>652</v>
      </c>
      <c r="J736" s="1">
        <v>0.03</v>
      </c>
      <c r="K736" s="1">
        <v>3.96</v>
      </c>
      <c r="L736" s="42">
        <v>5</v>
      </c>
      <c r="M736" s="43">
        <v>46055</v>
      </c>
      <c r="N736" s="1" t="e">
        <f>VLOOKUP(B736,MICRO!E:L,8,0)</f>
        <v>#N/A</v>
      </c>
    </row>
    <row r="737" spans="1:14" ht="20.25" x14ac:dyDescent="0.25">
      <c r="A737" s="1">
        <v>90</v>
      </c>
      <c r="B737" s="1"/>
      <c r="C737" s="1" t="s">
        <v>1744</v>
      </c>
      <c r="D737" s="1"/>
      <c r="E737" s="1"/>
      <c r="F737" s="1" t="s">
        <v>1782</v>
      </c>
      <c r="G737" s="1">
        <v>56</v>
      </c>
      <c r="H737" s="1" t="s">
        <v>19</v>
      </c>
      <c r="I737" s="1" t="s">
        <v>652</v>
      </c>
      <c r="J737" s="1">
        <v>0.03</v>
      </c>
      <c r="K737" s="1">
        <v>1.68</v>
      </c>
      <c r="L737" s="42">
        <v>5</v>
      </c>
      <c r="M737" s="43">
        <v>46055</v>
      </c>
      <c r="N737" s="1" t="e">
        <f>VLOOKUP(B737,MICRO!E:L,8,0)</f>
        <v>#N/A</v>
      </c>
    </row>
    <row r="738" spans="1:14" ht="20.25" x14ac:dyDescent="0.25">
      <c r="A738" s="1">
        <v>91</v>
      </c>
      <c r="B738" s="1"/>
      <c r="C738" s="1" t="s">
        <v>1720</v>
      </c>
      <c r="D738" s="1"/>
      <c r="E738" s="1"/>
      <c r="F738" s="1" t="s">
        <v>1783</v>
      </c>
      <c r="G738" s="1">
        <v>200</v>
      </c>
      <c r="H738" s="1" t="s">
        <v>19</v>
      </c>
      <c r="I738" s="1" t="s">
        <v>652</v>
      </c>
      <c r="J738" s="1">
        <v>0.03</v>
      </c>
      <c r="K738" s="1">
        <v>6</v>
      </c>
      <c r="L738" s="42">
        <v>5</v>
      </c>
      <c r="M738" s="43">
        <v>46055</v>
      </c>
      <c r="N738" s="1" t="e">
        <f>VLOOKUP(B738,MICRO!E:L,8,0)</f>
        <v>#N/A</v>
      </c>
    </row>
    <row r="739" spans="1:14" ht="20.25" x14ac:dyDescent="0.25">
      <c r="A739" s="1">
        <v>92</v>
      </c>
      <c r="B739" s="1"/>
      <c r="C739" s="1" t="s">
        <v>1724</v>
      </c>
      <c r="D739" s="1"/>
      <c r="E739" s="1"/>
      <c r="F739" s="1" t="s">
        <v>1784</v>
      </c>
      <c r="G739" s="1">
        <v>165</v>
      </c>
      <c r="H739" s="1" t="s">
        <v>19</v>
      </c>
      <c r="I739" s="1" t="s">
        <v>652</v>
      </c>
      <c r="J739" s="1">
        <v>0.01</v>
      </c>
      <c r="K739" s="1">
        <v>1.6500000000000001</v>
      </c>
      <c r="L739" s="42">
        <v>5</v>
      </c>
      <c r="M739" s="43">
        <v>46055</v>
      </c>
      <c r="N739" s="1" t="e">
        <f>VLOOKUP(B739,MICRO!E:L,8,0)</f>
        <v>#N/A</v>
      </c>
    </row>
    <row r="740" spans="1:14" ht="20.25" x14ac:dyDescent="0.25">
      <c r="A740" s="1">
        <v>93</v>
      </c>
      <c r="B740" s="1"/>
      <c r="C740" s="1" t="s">
        <v>1785</v>
      </c>
      <c r="D740" s="1"/>
      <c r="E740" s="1"/>
      <c r="F740" s="1" t="s">
        <v>1786</v>
      </c>
      <c r="G740" s="1">
        <v>8</v>
      </c>
      <c r="H740" s="1" t="s">
        <v>19</v>
      </c>
      <c r="I740" s="1" t="s">
        <v>652</v>
      </c>
      <c r="J740" s="1">
        <v>1.2999999999999999E-2</v>
      </c>
      <c r="K740" s="1">
        <v>0.104</v>
      </c>
      <c r="L740" s="42">
        <v>5</v>
      </c>
      <c r="M740" s="43">
        <v>46055</v>
      </c>
      <c r="N740" s="1" t="e">
        <f>VLOOKUP(B740,MICRO!E:L,8,0)</f>
        <v>#N/A</v>
      </c>
    </row>
    <row r="741" spans="1:14" ht="20.25" x14ac:dyDescent="0.25">
      <c r="A741" s="1">
        <v>94</v>
      </c>
      <c r="B741" s="1"/>
      <c r="C741" s="1" t="s">
        <v>1785</v>
      </c>
      <c r="D741" s="1"/>
      <c r="E741" s="1"/>
      <c r="F741" s="1" t="s">
        <v>1787</v>
      </c>
      <c r="G741" s="1">
        <v>4</v>
      </c>
      <c r="H741" s="1" t="s">
        <v>19</v>
      </c>
      <c r="I741" s="1" t="s">
        <v>652</v>
      </c>
      <c r="J741" s="1">
        <v>1.2999999999999999E-2</v>
      </c>
      <c r="K741" s="1">
        <v>5.1999999999999998E-2</v>
      </c>
      <c r="L741" s="42">
        <v>5</v>
      </c>
      <c r="M741" s="43">
        <v>46055</v>
      </c>
      <c r="N741" s="1" t="e">
        <f>VLOOKUP(B741,MICRO!E:L,8,0)</f>
        <v>#N/A</v>
      </c>
    </row>
    <row r="742" spans="1:14" ht="20.25" x14ac:dyDescent="0.25">
      <c r="A742" s="1">
        <v>95</v>
      </c>
      <c r="B742" s="1"/>
      <c r="C742" s="1" t="s">
        <v>1788</v>
      </c>
      <c r="D742" s="1"/>
      <c r="E742" s="1"/>
      <c r="F742" s="1" t="s">
        <v>1789</v>
      </c>
      <c r="G742" s="1">
        <v>80</v>
      </c>
      <c r="H742" s="1" t="s">
        <v>19</v>
      </c>
      <c r="I742" s="1" t="s">
        <v>652</v>
      </c>
      <c r="J742" s="1">
        <v>1.2999999999999999E-2</v>
      </c>
      <c r="K742" s="1">
        <v>1.04</v>
      </c>
      <c r="L742" s="42">
        <v>5</v>
      </c>
      <c r="M742" s="43">
        <v>46055</v>
      </c>
      <c r="N742" s="1" t="e">
        <f>VLOOKUP(B742,MICRO!E:L,8,0)</f>
        <v>#N/A</v>
      </c>
    </row>
    <row r="743" spans="1:14" ht="20.25" x14ac:dyDescent="0.25">
      <c r="A743" s="1">
        <v>96</v>
      </c>
      <c r="B743" s="1"/>
      <c r="C743" s="1" t="s">
        <v>1788</v>
      </c>
      <c r="D743" s="1"/>
      <c r="E743" s="1"/>
      <c r="F743" s="1" t="s">
        <v>1790</v>
      </c>
      <c r="G743" s="1">
        <v>204</v>
      </c>
      <c r="H743" s="1" t="s">
        <v>19</v>
      </c>
      <c r="I743" s="1" t="s">
        <v>652</v>
      </c>
      <c r="J743" s="1">
        <v>1.2999999999999999E-2</v>
      </c>
      <c r="K743" s="1">
        <v>2.6519999999999997</v>
      </c>
      <c r="L743" s="42">
        <v>5</v>
      </c>
      <c r="M743" s="43">
        <v>46055</v>
      </c>
      <c r="N743" s="1" t="e">
        <f>VLOOKUP(B743,MICRO!E:L,8,0)</f>
        <v>#N/A</v>
      </c>
    </row>
    <row r="744" spans="1:14" ht="20.25" x14ac:dyDescent="0.25">
      <c r="A744" s="1">
        <v>97</v>
      </c>
      <c r="B744" s="1"/>
      <c r="C744" s="1" t="s">
        <v>1791</v>
      </c>
      <c r="D744" s="1"/>
      <c r="E744" s="1"/>
      <c r="F744" s="1" t="s">
        <v>1792</v>
      </c>
      <c r="G744" s="1">
        <v>16</v>
      </c>
      <c r="H744" s="1" t="s">
        <v>19</v>
      </c>
      <c r="I744" s="1" t="s">
        <v>652</v>
      </c>
      <c r="J744" s="1">
        <v>1.2999999999999999E-2</v>
      </c>
      <c r="K744" s="1">
        <v>0.20799999999999999</v>
      </c>
      <c r="L744" s="42">
        <v>5</v>
      </c>
      <c r="M744" s="43">
        <v>46055</v>
      </c>
      <c r="N744" s="1" t="e">
        <f>VLOOKUP(B744,MICRO!E:L,8,0)</f>
        <v>#N/A</v>
      </c>
    </row>
    <row r="745" spans="1:14" ht="20.25" x14ac:dyDescent="0.25">
      <c r="A745" s="1">
        <v>98</v>
      </c>
      <c r="B745" s="1"/>
      <c r="C745" s="1" t="s">
        <v>1793</v>
      </c>
      <c r="D745" s="1"/>
      <c r="E745" s="1"/>
      <c r="F745" s="1" t="s">
        <v>1794</v>
      </c>
      <c r="G745" s="1">
        <v>40</v>
      </c>
      <c r="H745" s="1" t="s">
        <v>19</v>
      </c>
      <c r="I745" s="1" t="s">
        <v>652</v>
      </c>
      <c r="J745" s="1">
        <v>1.2999999999999999E-2</v>
      </c>
      <c r="K745" s="1">
        <v>0.52</v>
      </c>
      <c r="L745" s="42">
        <v>5</v>
      </c>
      <c r="M745" s="43">
        <v>46055</v>
      </c>
      <c r="N745" s="1" t="e">
        <f>VLOOKUP(B745,MICRO!E:L,8,0)</f>
        <v>#N/A</v>
      </c>
    </row>
    <row r="746" spans="1:14" ht="20.25" x14ac:dyDescent="0.25">
      <c r="A746" s="1">
        <v>99</v>
      </c>
      <c r="B746" s="1"/>
      <c r="C746" s="1" t="s">
        <v>1795</v>
      </c>
      <c r="D746" s="1"/>
      <c r="E746" s="1"/>
      <c r="F746" s="1" t="s">
        <v>1796</v>
      </c>
      <c r="G746" s="1">
        <v>16</v>
      </c>
      <c r="H746" s="1" t="s">
        <v>19</v>
      </c>
      <c r="I746" s="1" t="s">
        <v>652</v>
      </c>
      <c r="J746" s="1">
        <v>1.2999999999999999E-2</v>
      </c>
      <c r="K746" s="1">
        <v>0.20799999999999999</v>
      </c>
      <c r="L746" s="42">
        <v>5</v>
      </c>
      <c r="M746" s="43">
        <v>46055</v>
      </c>
      <c r="N746" s="1" t="e">
        <f>VLOOKUP(B746,MICRO!E:L,8,0)</f>
        <v>#N/A</v>
      </c>
    </row>
    <row r="747" spans="1:14" ht="20.25" x14ac:dyDescent="0.25">
      <c r="A747" s="1">
        <v>100</v>
      </c>
      <c r="B747" s="1"/>
      <c r="C747" s="1" t="s">
        <v>1797</v>
      </c>
      <c r="D747" s="1"/>
      <c r="E747" s="1"/>
      <c r="F747" s="1" t="s">
        <v>1798</v>
      </c>
      <c r="G747" s="1">
        <v>8</v>
      </c>
      <c r="H747" s="1" t="s">
        <v>19</v>
      </c>
      <c r="I747" s="1" t="s">
        <v>652</v>
      </c>
      <c r="J747" s="1">
        <v>0.05</v>
      </c>
      <c r="K747" s="1">
        <v>0.4</v>
      </c>
      <c r="L747" s="42">
        <v>5</v>
      </c>
      <c r="M747" s="43">
        <v>46055</v>
      </c>
      <c r="N747" s="1" t="e">
        <f>VLOOKUP(B747,MICRO!E:L,8,0)</f>
        <v>#N/A</v>
      </c>
    </row>
    <row r="748" spans="1:14" ht="20.25" x14ac:dyDescent="0.25">
      <c r="A748" s="1">
        <v>101</v>
      </c>
      <c r="B748" s="1"/>
      <c r="C748" s="1" t="s">
        <v>1785</v>
      </c>
      <c r="D748" s="1"/>
      <c r="E748" s="1"/>
      <c r="F748" s="1" t="s">
        <v>1799</v>
      </c>
      <c r="G748" s="1">
        <v>8</v>
      </c>
      <c r="H748" s="1" t="s">
        <v>19</v>
      </c>
      <c r="I748" s="1" t="s">
        <v>652</v>
      </c>
      <c r="J748" s="1">
        <v>0.05</v>
      </c>
      <c r="K748" s="1">
        <v>0.4</v>
      </c>
      <c r="L748" s="42">
        <v>5</v>
      </c>
      <c r="M748" s="43">
        <v>46055</v>
      </c>
      <c r="N748" s="1" t="e">
        <f>VLOOKUP(B748,MICRO!E:L,8,0)</f>
        <v>#N/A</v>
      </c>
    </row>
    <row r="749" spans="1:14" ht="20.25" x14ac:dyDescent="0.25">
      <c r="A749" s="1">
        <v>102</v>
      </c>
      <c r="B749" s="1"/>
      <c r="C749" s="1" t="s">
        <v>1785</v>
      </c>
      <c r="D749" s="1"/>
      <c r="E749" s="1"/>
      <c r="F749" s="1" t="s">
        <v>1800</v>
      </c>
      <c r="G749" s="1">
        <v>4</v>
      </c>
      <c r="H749" s="1" t="s">
        <v>19</v>
      </c>
      <c r="I749" s="1" t="s">
        <v>652</v>
      </c>
      <c r="J749" s="1">
        <v>0.05</v>
      </c>
      <c r="K749" s="1">
        <v>0.2</v>
      </c>
      <c r="L749" s="42">
        <v>5</v>
      </c>
      <c r="M749" s="43">
        <v>46055</v>
      </c>
      <c r="N749" s="1" t="e">
        <f>VLOOKUP(B749,MICRO!E:L,8,0)</f>
        <v>#N/A</v>
      </c>
    </row>
    <row r="750" spans="1:14" ht="20.25" x14ac:dyDescent="0.25">
      <c r="A750" s="1">
        <v>103</v>
      </c>
      <c r="B750" s="1"/>
      <c r="C750" s="1" t="s">
        <v>1797</v>
      </c>
      <c r="D750" s="1"/>
      <c r="E750" s="1"/>
      <c r="F750" s="1" t="s">
        <v>1801</v>
      </c>
      <c r="G750" s="1">
        <v>4</v>
      </c>
      <c r="H750" s="1" t="s">
        <v>19</v>
      </c>
      <c r="I750" s="1" t="s">
        <v>652</v>
      </c>
      <c r="J750" s="1">
        <v>0.05</v>
      </c>
      <c r="K750" s="1">
        <v>0.2</v>
      </c>
      <c r="L750" s="42">
        <v>5</v>
      </c>
      <c r="M750" s="43">
        <v>46055</v>
      </c>
      <c r="N750" s="1" t="e">
        <f>VLOOKUP(B750,MICRO!E:L,8,0)</f>
        <v>#N/A</v>
      </c>
    </row>
    <row r="751" spans="1:14" ht="20.25" x14ac:dyDescent="0.25">
      <c r="A751" s="1">
        <v>104</v>
      </c>
      <c r="B751" s="1"/>
      <c r="C751" s="1" t="s">
        <v>1788</v>
      </c>
      <c r="D751" s="1"/>
      <c r="E751" s="1"/>
      <c r="F751" s="1" t="s">
        <v>1802</v>
      </c>
      <c r="G751" s="1">
        <v>80</v>
      </c>
      <c r="H751" s="1" t="s">
        <v>19</v>
      </c>
      <c r="I751" s="1" t="s">
        <v>652</v>
      </c>
      <c r="J751" s="1">
        <v>0.05</v>
      </c>
      <c r="K751" s="1">
        <v>4</v>
      </c>
      <c r="L751" s="42">
        <v>5</v>
      </c>
      <c r="M751" s="43">
        <v>46055</v>
      </c>
      <c r="N751" s="1" t="e">
        <f>VLOOKUP(B751,MICRO!E:L,8,0)</f>
        <v>#N/A</v>
      </c>
    </row>
    <row r="752" spans="1:14" ht="20.25" x14ac:dyDescent="0.25">
      <c r="A752" s="1">
        <v>105</v>
      </c>
      <c r="B752" s="1"/>
      <c r="C752" s="1" t="s">
        <v>1788</v>
      </c>
      <c r="D752" s="1"/>
      <c r="E752" s="1"/>
      <c r="F752" s="1" t="s">
        <v>1803</v>
      </c>
      <c r="G752" s="1">
        <v>204</v>
      </c>
      <c r="H752" s="1" t="s">
        <v>19</v>
      </c>
      <c r="I752" s="1" t="s">
        <v>652</v>
      </c>
      <c r="J752" s="1">
        <v>0.05</v>
      </c>
      <c r="K752" s="1">
        <v>10.200000000000001</v>
      </c>
      <c r="L752" s="42">
        <v>5</v>
      </c>
      <c r="M752" s="43">
        <v>46055</v>
      </c>
      <c r="N752" s="1" t="e">
        <f>VLOOKUP(B752,MICRO!E:L,8,0)</f>
        <v>#N/A</v>
      </c>
    </row>
    <row r="753" spans="1:14" ht="20.25" x14ac:dyDescent="0.25">
      <c r="A753" s="1">
        <v>106</v>
      </c>
      <c r="B753" s="1"/>
      <c r="C753" s="1" t="s">
        <v>1791</v>
      </c>
      <c r="D753" s="1"/>
      <c r="E753" s="1"/>
      <c r="F753" s="1" t="s">
        <v>1804</v>
      </c>
      <c r="G753" s="1">
        <v>16</v>
      </c>
      <c r="H753" s="1" t="s">
        <v>19</v>
      </c>
      <c r="I753" s="1" t="s">
        <v>652</v>
      </c>
      <c r="J753" s="1">
        <v>0.05</v>
      </c>
      <c r="K753" s="1">
        <v>0.8</v>
      </c>
      <c r="L753" s="42">
        <v>5</v>
      </c>
      <c r="M753" s="43">
        <v>46055</v>
      </c>
      <c r="N753" s="1" t="e">
        <f>VLOOKUP(B753,MICRO!E:L,8,0)</f>
        <v>#N/A</v>
      </c>
    </row>
    <row r="754" spans="1:14" ht="20.25" x14ac:dyDescent="0.25">
      <c r="A754" s="1">
        <v>107</v>
      </c>
      <c r="B754" s="1"/>
      <c r="C754" s="1" t="s">
        <v>1793</v>
      </c>
      <c r="D754" s="1"/>
      <c r="E754" s="1"/>
      <c r="F754" s="1" t="s">
        <v>1805</v>
      </c>
      <c r="G754" s="1">
        <v>40</v>
      </c>
      <c r="H754" s="1" t="s">
        <v>19</v>
      </c>
      <c r="I754" s="1" t="s">
        <v>652</v>
      </c>
      <c r="J754" s="1">
        <v>0.05</v>
      </c>
      <c r="K754" s="1">
        <v>2</v>
      </c>
      <c r="L754" s="42">
        <v>5</v>
      </c>
      <c r="M754" s="43">
        <v>46055</v>
      </c>
      <c r="N754" s="1" t="e">
        <f>VLOOKUP(B754,MICRO!E:L,8,0)</f>
        <v>#N/A</v>
      </c>
    </row>
    <row r="755" spans="1:14" ht="20.25" x14ac:dyDescent="0.25">
      <c r="A755" s="1">
        <v>108</v>
      </c>
      <c r="B755" s="1"/>
      <c r="C755" s="1" t="s">
        <v>1795</v>
      </c>
      <c r="D755" s="1"/>
      <c r="E755" s="1"/>
      <c r="F755" s="1" t="s">
        <v>1806</v>
      </c>
      <c r="G755" s="1">
        <v>16</v>
      </c>
      <c r="H755" s="1" t="s">
        <v>19</v>
      </c>
      <c r="I755" s="1" t="s">
        <v>652</v>
      </c>
      <c r="J755" s="1">
        <v>0.05</v>
      </c>
      <c r="K755" s="1">
        <v>0.8</v>
      </c>
      <c r="L755" s="42">
        <v>5</v>
      </c>
      <c r="M755" s="43">
        <v>46055</v>
      </c>
      <c r="N755" s="1" t="e">
        <f>VLOOKUP(B755,MICRO!E:L,8,0)</f>
        <v>#N/A</v>
      </c>
    </row>
    <row r="756" spans="1:14" ht="20.25" x14ac:dyDescent="0.25">
      <c r="A756" s="1">
        <v>109</v>
      </c>
      <c r="B756" s="1"/>
      <c r="C756" s="1" t="s">
        <v>1785</v>
      </c>
      <c r="D756" s="1"/>
      <c r="E756" s="1"/>
      <c r="F756" s="1" t="s">
        <v>1807</v>
      </c>
      <c r="G756" s="1">
        <v>8</v>
      </c>
      <c r="H756" s="1" t="s">
        <v>19</v>
      </c>
      <c r="I756" s="1" t="s">
        <v>652</v>
      </c>
      <c r="J756" s="1">
        <v>0.03</v>
      </c>
      <c r="K756" s="1">
        <v>0.24</v>
      </c>
      <c r="L756" s="42">
        <v>5</v>
      </c>
      <c r="M756" s="43">
        <v>46055</v>
      </c>
      <c r="N756" s="1" t="e">
        <f>VLOOKUP(B756,MICRO!E:L,8,0)</f>
        <v>#N/A</v>
      </c>
    </row>
    <row r="757" spans="1:14" ht="20.25" x14ac:dyDescent="0.25">
      <c r="A757" s="1">
        <v>110</v>
      </c>
      <c r="B757" s="1"/>
      <c r="C757" s="1" t="s">
        <v>1797</v>
      </c>
      <c r="D757" s="1"/>
      <c r="E757" s="1"/>
      <c r="F757" s="1" t="s">
        <v>1808</v>
      </c>
      <c r="G757" s="1">
        <v>8</v>
      </c>
      <c r="H757" s="1" t="s">
        <v>19</v>
      </c>
      <c r="I757" s="1" t="s">
        <v>652</v>
      </c>
      <c r="J757" s="1">
        <v>0.03</v>
      </c>
      <c r="K757" s="1">
        <v>0.24</v>
      </c>
      <c r="L757" s="42">
        <v>5</v>
      </c>
      <c r="M757" s="43">
        <v>46055</v>
      </c>
      <c r="N757" s="1" t="e">
        <f>VLOOKUP(B757,MICRO!E:L,8,0)</f>
        <v>#N/A</v>
      </c>
    </row>
    <row r="758" spans="1:14" ht="20.25" x14ac:dyDescent="0.25">
      <c r="A758" s="1">
        <v>111</v>
      </c>
      <c r="B758" s="1"/>
      <c r="C758" s="1" t="s">
        <v>1785</v>
      </c>
      <c r="D758" s="1"/>
      <c r="E758" s="1"/>
      <c r="F758" s="1" t="s">
        <v>1809</v>
      </c>
      <c r="G758" s="1">
        <v>7</v>
      </c>
      <c r="H758" s="1" t="s">
        <v>19</v>
      </c>
      <c r="I758" s="1" t="s">
        <v>652</v>
      </c>
      <c r="J758" s="1">
        <v>0.03</v>
      </c>
      <c r="K758" s="1">
        <v>0.21</v>
      </c>
      <c r="L758" s="42">
        <v>5</v>
      </c>
      <c r="M758" s="43">
        <v>46055</v>
      </c>
      <c r="N758" s="1" t="e">
        <f>VLOOKUP(B758,MICRO!E:L,8,0)</f>
        <v>#N/A</v>
      </c>
    </row>
    <row r="759" spans="1:14" ht="20.25" x14ac:dyDescent="0.25">
      <c r="A759" s="1">
        <v>112</v>
      </c>
      <c r="B759" s="1"/>
      <c r="C759" s="1" t="s">
        <v>1797</v>
      </c>
      <c r="D759" s="1"/>
      <c r="E759" s="1"/>
      <c r="F759" s="1" t="s">
        <v>1810</v>
      </c>
      <c r="G759" s="1">
        <v>7</v>
      </c>
      <c r="H759" s="1" t="s">
        <v>19</v>
      </c>
      <c r="I759" s="1" t="s">
        <v>652</v>
      </c>
      <c r="J759" s="1">
        <v>0.03</v>
      </c>
      <c r="K759" s="1">
        <v>0.21</v>
      </c>
      <c r="L759" s="42">
        <v>5</v>
      </c>
      <c r="M759" s="43">
        <v>46055</v>
      </c>
      <c r="N759" s="1" t="e">
        <f>VLOOKUP(B759,MICRO!E:L,8,0)</f>
        <v>#N/A</v>
      </c>
    </row>
    <row r="760" spans="1:14" ht="20.25" x14ac:dyDescent="0.25">
      <c r="A760" s="1">
        <v>113</v>
      </c>
      <c r="B760" s="1"/>
      <c r="C760" s="1" t="s">
        <v>1788</v>
      </c>
      <c r="D760" s="1"/>
      <c r="E760" s="1"/>
      <c r="F760" s="1" t="s">
        <v>1811</v>
      </c>
      <c r="G760" s="1">
        <v>204</v>
      </c>
      <c r="H760" s="1" t="s">
        <v>19</v>
      </c>
      <c r="I760" s="1" t="s">
        <v>652</v>
      </c>
      <c r="J760" s="1">
        <v>0.03</v>
      </c>
      <c r="K760" s="1">
        <v>6.12</v>
      </c>
      <c r="L760" s="42">
        <v>5</v>
      </c>
      <c r="M760" s="43">
        <v>46055</v>
      </c>
      <c r="N760" s="1" t="e">
        <f>VLOOKUP(B760,MICRO!E:L,8,0)</f>
        <v>#N/A</v>
      </c>
    </row>
    <row r="761" spans="1:14" ht="20.25" x14ac:dyDescent="0.25">
      <c r="A761" s="1">
        <v>114</v>
      </c>
      <c r="B761" s="1"/>
      <c r="C761" s="1" t="s">
        <v>1795</v>
      </c>
      <c r="D761" s="1"/>
      <c r="E761" s="1"/>
      <c r="F761" s="1" t="s">
        <v>1812</v>
      </c>
      <c r="G761" s="1">
        <v>16</v>
      </c>
      <c r="H761" s="1" t="s">
        <v>19</v>
      </c>
      <c r="I761" s="1" t="s">
        <v>652</v>
      </c>
      <c r="J761" s="1">
        <v>0.03</v>
      </c>
      <c r="K761" s="1">
        <v>0.48</v>
      </c>
      <c r="L761" s="42">
        <v>5</v>
      </c>
      <c r="M761" s="43">
        <v>46055</v>
      </c>
      <c r="N761" s="1" t="e">
        <f>VLOOKUP(B761,MICRO!E:L,8,0)</f>
        <v>#N/A</v>
      </c>
    </row>
    <row r="762" spans="1:14" ht="20.25" x14ac:dyDescent="0.25">
      <c r="A762" s="1">
        <v>115</v>
      </c>
      <c r="B762" s="1"/>
      <c r="C762" s="1" t="s">
        <v>1793</v>
      </c>
      <c r="D762" s="1"/>
      <c r="E762" s="1"/>
      <c r="F762" s="1" t="s">
        <v>1813</v>
      </c>
      <c r="G762" s="1">
        <v>40</v>
      </c>
      <c r="H762" s="1" t="s">
        <v>19</v>
      </c>
      <c r="I762" s="1" t="s">
        <v>652</v>
      </c>
      <c r="J762" s="1">
        <v>0.03</v>
      </c>
      <c r="K762" s="1">
        <v>1.2</v>
      </c>
      <c r="L762" s="42">
        <v>5</v>
      </c>
      <c r="M762" s="43">
        <v>46055</v>
      </c>
      <c r="N762" s="1" t="e">
        <f>VLOOKUP(B762,MICRO!E:L,8,0)</f>
        <v>#N/A</v>
      </c>
    </row>
    <row r="763" spans="1:14" ht="20.25" x14ac:dyDescent="0.25">
      <c r="A763" s="1">
        <v>116</v>
      </c>
      <c r="B763" s="1"/>
      <c r="C763" s="1" t="s">
        <v>1791</v>
      </c>
      <c r="D763" s="1"/>
      <c r="E763" s="1"/>
      <c r="F763" s="1" t="s">
        <v>1814</v>
      </c>
      <c r="G763" s="1">
        <v>16</v>
      </c>
      <c r="H763" s="1" t="s">
        <v>19</v>
      </c>
      <c r="I763" s="1" t="s">
        <v>652</v>
      </c>
      <c r="J763" s="1">
        <v>0.03</v>
      </c>
      <c r="K763" s="1">
        <v>0.48</v>
      </c>
      <c r="L763" s="42">
        <v>5</v>
      </c>
      <c r="M763" s="43">
        <v>46055</v>
      </c>
      <c r="N763" s="1" t="e">
        <f>VLOOKUP(B763,MICRO!E:L,8,0)</f>
        <v>#N/A</v>
      </c>
    </row>
    <row r="764" spans="1:14" ht="20.25" x14ac:dyDescent="0.25">
      <c r="A764" s="1">
        <v>13</v>
      </c>
      <c r="B764" s="159"/>
      <c r="C764" s="1" t="s">
        <v>1132</v>
      </c>
      <c r="D764" s="1"/>
      <c r="E764" s="1" t="s">
        <v>43</v>
      </c>
      <c r="F764" s="1" t="s">
        <v>1134</v>
      </c>
      <c r="G764" s="1">
        <v>1</v>
      </c>
      <c r="H764" s="1" t="s">
        <v>19</v>
      </c>
      <c r="I764" s="1" t="s">
        <v>652</v>
      </c>
      <c r="J764" s="1">
        <v>55.2</v>
      </c>
      <c r="K764" s="1">
        <v>55.2</v>
      </c>
      <c r="L764" s="42">
        <v>7</v>
      </c>
      <c r="M764" s="43">
        <v>46073</v>
      </c>
      <c r="N764" s="1" t="e">
        <f>VLOOKUP(B764,MICRO!E:L,8,0)</f>
        <v>#N/A</v>
      </c>
    </row>
    <row r="765" spans="1:14" ht="20.25" x14ac:dyDescent="0.25">
      <c r="A765" s="1">
        <v>25</v>
      </c>
      <c r="B765" s="159"/>
      <c r="C765" s="1"/>
      <c r="D765" s="1"/>
      <c r="E765" s="1"/>
      <c r="F765" s="1" t="s">
        <v>1909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2">
        <v>9</v>
      </c>
      <c r="M765" s="43">
        <v>46083</v>
      </c>
      <c r="N765" s="1" t="e">
        <f>VLOOKUP(B765,MICRO!E:L,8,0)</f>
        <v>#N/A</v>
      </c>
    </row>
    <row r="766" spans="1:14" ht="20.25" x14ac:dyDescent="0.25">
      <c r="A766" s="1">
        <v>26</v>
      </c>
      <c r="B766" s="159"/>
      <c r="C766" s="1"/>
      <c r="D766" s="1"/>
      <c r="E766" s="1"/>
      <c r="F766" s="1" t="s">
        <v>1910</v>
      </c>
      <c r="G766" s="1">
        <v>67</v>
      </c>
      <c r="H766" s="1" t="s">
        <v>1253</v>
      </c>
      <c r="I766" s="1"/>
      <c r="J766" s="1">
        <v>0.5</v>
      </c>
      <c r="K766" s="1">
        <v>33.5</v>
      </c>
      <c r="L766" s="42">
        <v>9</v>
      </c>
      <c r="M766" s="43">
        <v>46083</v>
      </c>
      <c r="N766" s="1" t="e">
        <f>VLOOKUP(B766,MICRO!E:L,8,0)</f>
        <v>#N/A</v>
      </c>
    </row>
    <row r="767" spans="1:14" ht="20.25" x14ac:dyDescent="0.25">
      <c r="A767" s="1">
        <v>27</v>
      </c>
      <c r="B767" s="159"/>
      <c r="C767" s="1"/>
      <c r="D767" s="1"/>
      <c r="E767" s="1"/>
      <c r="F767" s="1" t="s">
        <v>1911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2">
        <v>9</v>
      </c>
      <c r="M767" s="43">
        <v>46083</v>
      </c>
      <c r="N767" s="1" t="e">
        <f>VLOOKUP(B767,MICRO!E:L,8,0)</f>
        <v>#N/A</v>
      </c>
    </row>
    <row r="768" spans="1:14" ht="20.25" x14ac:dyDescent="0.25">
      <c r="A768" s="1">
        <v>28</v>
      </c>
      <c r="B768" s="159"/>
      <c r="C768" s="1"/>
      <c r="D768" s="1"/>
      <c r="E768" s="1"/>
      <c r="F768" s="1" t="s">
        <v>1912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2">
        <v>9</v>
      </c>
      <c r="M768" s="43">
        <v>46083</v>
      </c>
      <c r="N768" s="1" t="e">
        <f>VLOOKUP(B768,MICRO!E:L,8,0)</f>
        <v>#N/A</v>
      </c>
    </row>
    <row r="769" spans="1:14" ht="20.25" x14ac:dyDescent="0.25">
      <c r="A769" s="1">
        <v>29</v>
      </c>
      <c r="B769" s="159"/>
      <c r="C769" s="1"/>
      <c r="D769" s="1"/>
      <c r="E769" s="1"/>
      <c r="F769" s="1" t="s">
        <v>1913</v>
      </c>
      <c r="G769" s="1">
        <v>12</v>
      </c>
      <c r="H769" s="1" t="s">
        <v>1253</v>
      </c>
      <c r="I769" s="1"/>
      <c r="J769" s="1">
        <v>0.7</v>
      </c>
      <c r="K769" s="1">
        <v>8.3999999999999986</v>
      </c>
      <c r="L769" s="42">
        <v>9</v>
      </c>
      <c r="M769" s="43">
        <v>46083</v>
      </c>
      <c r="N769" s="1" t="e">
        <f>VLOOKUP(B769,MICRO!E:L,8,0)</f>
        <v>#N/A</v>
      </c>
    </row>
    <row r="770" spans="1:14" ht="20.25" x14ac:dyDescent="0.25">
      <c r="A770" s="1">
        <v>30</v>
      </c>
      <c r="B770" s="159"/>
      <c r="C770" s="1"/>
      <c r="D770" s="1"/>
      <c r="E770" s="1"/>
      <c r="F770" s="1" t="s">
        <v>1914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2">
        <v>9</v>
      </c>
      <c r="M770" s="43">
        <v>46083</v>
      </c>
      <c r="N770" s="1" t="e">
        <f>VLOOKUP(B770,MICRO!E:L,8,0)</f>
        <v>#N/A</v>
      </c>
    </row>
    <row r="771" spans="1:14" ht="20.25" x14ac:dyDescent="0.25">
      <c r="A771" s="1">
        <v>31</v>
      </c>
      <c r="B771" s="159"/>
      <c r="C771" s="1"/>
      <c r="D771" s="1"/>
      <c r="E771" s="1"/>
      <c r="F771" s="1" t="s">
        <v>1915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2">
        <v>9</v>
      </c>
      <c r="M771" s="43">
        <v>46083</v>
      </c>
      <c r="N771" s="1" t="e">
        <f>VLOOKUP(B771,MICRO!E:L,8,0)</f>
        <v>#N/A</v>
      </c>
    </row>
    <row r="772" spans="1:14" ht="20.25" x14ac:dyDescent="0.25">
      <c r="A772" s="1">
        <v>32</v>
      </c>
      <c r="B772" s="159"/>
      <c r="C772" s="1"/>
      <c r="D772" s="1"/>
      <c r="E772" s="1"/>
      <c r="F772" s="1" t="s">
        <v>1916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2">
        <v>9</v>
      </c>
      <c r="M772" s="43">
        <v>46083</v>
      </c>
      <c r="N772" s="1" t="e">
        <f>VLOOKUP(B772,MICRO!E:L,8,0)</f>
        <v>#N/A</v>
      </c>
    </row>
    <row r="773" spans="1:14" ht="20.25" x14ac:dyDescent="0.25">
      <c r="A773" s="1">
        <v>33</v>
      </c>
      <c r="B773" s="159"/>
      <c r="C773" s="1"/>
      <c r="D773" s="1"/>
      <c r="E773" s="1"/>
      <c r="F773" s="1" t="s">
        <v>1917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2">
        <v>9</v>
      </c>
      <c r="M773" s="43">
        <v>46083</v>
      </c>
      <c r="N773" s="1" t="e">
        <f>VLOOKUP(B773,MICRO!E:L,8,0)</f>
        <v>#N/A</v>
      </c>
    </row>
    <row r="774" spans="1:14" ht="20.25" x14ac:dyDescent="0.25">
      <c r="A774" s="1">
        <v>34</v>
      </c>
      <c r="B774" s="159"/>
      <c r="C774" s="1"/>
      <c r="D774" s="1"/>
      <c r="E774" s="1"/>
      <c r="F774" s="1" t="s">
        <v>1918</v>
      </c>
      <c r="G774" s="1">
        <v>6</v>
      </c>
      <c r="H774" s="1" t="s">
        <v>1253</v>
      </c>
      <c r="I774" s="1"/>
      <c r="J774" s="1">
        <v>0.8</v>
      </c>
      <c r="K774" s="1">
        <v>4.8000000000000007</v>
      </c>
      <c r="L774" s="42">
        <v>9</v>
      </c>
      <c r="M774" s="43">
        <v>46083</v>
      </c>
      <c r="N774" s="1" t="e">
        <f>VLOOKUP(B774,MICRO!E:L,8,0)</f>
        <v>#N/A</v>
      </c>
    </row>
    <row r="775" spans="1:14" ht="20.25" x14ac:dyDescent="0.25">
      <c r="A775" s="1">
        <v>35</v>
      </c>
      <c r="B775" s="159"/>
      <c r="C775" s="1"/>
      <c r="D775" s="1"/>
      <c r="E775" s="1"/>
      <c r="F775" s="1" t="s">
        <v>1919</v>
      </c>
      <c r="G775" s="1">
        <v>3</v>
      </c>
      <c r="H775" s="1" t="s">
        <v>1253</v>
      </c>
      <c r="I775" s="1"/>
      <c r="J775" s="1">
        <v>0.08</v>
      </c>
      <c r="K775" s="1">
        <v>0.24</v>
      </c>
      <c r="L775" s="42">
        <v>9</v>
      </c>
      <c r="M775" s="43">
        <v>46083</v>
      </c>
      <c r="N775" s="1" t="e">
        <f>VLOOKUP(B775,MICRO!E:L,8,0)</f>
        <v>#N/A</v>
      </c>
    </row>
    <row r="776" spans="1:14" ht="20.25" x14ac:dyDescent="0.25">
      <c r="A776" s="1">
        <v>36</v>
      </c>
      <c r="B776" s="159"/>
      <c r="C776" s="1"/>
      <c r="D776" s="1"/>
      <c r="E776" s="1"/>
      <c r="F776" s="1" t="s">
        <v>1920</v>
      </c>
      <c r="G776" s="1">
        <v>55</v>
      </c>
      <c r="H776" s="1" t="s">
        <v>1253</v>
      </c>
      <c r="I776" s="1"/>
      <c r="J776" s="1">
        <v>0.5</v>
      </c>
      <c r="K776" s="1">
        <v>27.5</v>
      </c>
      <c r="L776" s="42">
        <v>9</v>
      </c>
      <c r="M776" s="43">
        <v>46083</v>
      </c>
      <c r="N776" s="1" t="e">
        <f>VLOOKUP(B776,MICRO!E:L,8,0)</f>
        <v>#N/A</v>
      </c>
    </row>
    <row r="777" spans="1:14" ht="20.25" x14ac:dyDescent="0.25">
      <c r="A777" s="1">
        <v>37</v>
      </c>
      <c r="B777" s="159"/>
      <c r="C777" s="1"/>
      <c r="D777" s="1"/>
      <c r="E777" s="1"/>
      <c r="F777" s="1" t="s">
        <v>1912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2">
        <v>9</v>
      </c>
      <c r="M777" s="43">
        <v>46083</v>
      </c>
      <c r="N777" s="1" t="e">
        <f>VLOOKUP(B777,MICRO!E:L,8,0)</f>
        <v>#N/A</v>
      </c>
    </row>
    <row r="778" spans="1:14" ht="20.25" x14ac:dyDescent="0.25">
      <c r="A778" s="1">
        <v>38</v>
      </c>
      <c r="B778" s="159"/>
      <c r="C778" s="1"/>
      <c r="D778" s="1"/>
      <c r="E778" s="1"/>
      <c r="F778" s="1" t="s">
        <v>1913</v>
      </c>
      <c r="G778" s="1">
        <v>12</v>
      </c>
      <c r="H778" s="1" t="s">
        <v>1253</v>
      </c>
      <c r="I778" s="1"/>
      <c r="J778" s="1">
        <v>0.7</v>
      </c>
      <c r="K778" s="1">
        <v>8.3999999999999986</v>
      </c>
      <c r="L778" s="42">
        <v>9</v>
      </c>
      <c r="M778" s="43">
        <v>46083</v>
      </c>
      <c r="N778" s="1" t="e">
        <f>VLOOKUP(B778,MICRO!E:L,8,0)</f>
        <v>#N/A</v>
      </c>
    </row>
    <row r="779" spans="1:14" ht="20.25" x14ac:dyDescent="0.25">
      <c r="A779" s="1">
        <v>39</v>
      </c>
      <c r="B779" s="159"/>
      <c r="C779" s="1"/>
      <c r="D779" s="1"/>
      <c r="E779" s="1"/>
      <c r="F779" s="1" t="s">
        <v>1914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2">
        <v>9</v>
      </c>
      <c r="M779" s="43">
        <v>46083</v>
      </c>
      <c r="N779" s="1" t="e">
        <f>VLOOKUP(B779,MICRO!E:L,8,0)</f>
        <v>#N/A</v>
      </c>
    </row>
    <row r="780" spans="1:14" ht="20.25" x14ac:dyDescent="0.25">
      <c r="A780" s="1">
        <v>40</v>
      </c>
      <c r="B780" s="159"/>
      <c r="C780" s="1"/>
      <c r="D780" s="1"/>
      <c r="E780" s="1"/>
      <c r="F780" s="1" t="s">
        <v>1915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2">
        <v>9</v>
      </c>
      <c r="M780" s="43">
        <v>46083</v>
      </c>
      <c r="N780" s="1" t="e">
        <f>VLOOKUP(B780,MICRO!E:L,8,0)</f>
        <v>#N/A</v>
      </c>
    </row>
    <row r="781" spans="1:14" ht="20.25" x14ac:dyDescent="0.25">
      <c r="A781" s="1">
        <v>41</v>
      </c>
      <c r="B781" s="159"/>
      <c r="C781" s="1"/>
      <c r="D781" s="1"/>
      <c r="E781" s="1"/>
      <c r="F781" s="1" t="s">
        <v>1916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2">
        <v>9</v>
      </c>
      <c r="M781" s="43">
        <v>46083</v>
      </c>
      <c r="N781" s="1" t="e">
        <f>VLOOKUP(B781,MICRO!E:L,8,0)</f>
        <v>#N/A</v>
      </c>
    </row>
    <row r="782" spans="1:14" ht="20.25" x14ac:dyDescent="0.25">
      <c r="A782" s="1">
        <v>42</v>
      </c>
      <c r="B782" s="159"/>
      <c r="C782" s="1"/>
      <c r="D782" s="1"/>
      <c r="E782" s="1"/>
      <c r="F782" s="1" t="s">
        <v>1917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2">
        <v>9</v>
      </c>
      <c r="M782" s="43">
        <v>46083</v>
      </c>
      <c r="N782" s="1" t="e">
        <f>VLOOKUP(B782,MICRO!E:L,8,0)</f>
        <v>#N/A</v>
      </c>
    </row>
    <row r="783" spans="1:14" ht="20.25" x14ac:dyDescent="0.25">
      <c r="A783" s="1">
        <v>43</v>
      </c>
      <c r="B783" s="159"/>
      <c r="C783" s="1"/>
      <c r="D783" s="1"/>
      <c r="E783" s="1"/>
      <c r="F783" s="1" t="s">
        <v>1918</v>
      </c>
      <c r="G783" s="1">
        <v>6</v>
      </c>
      <c r="H783" s="1" t="s">
        <v>1253</v>
      </c>
      <c r="I783" s="1"/>
      <c r="J783" s="1">
        <v>0.8</v>
      </c>
      <c r="K783" s="1">
        <v>4.8000000000000007</v>
      </c>
      <c r="L783" s="42">
        <v>9</v>
      </c>
      <c r="M783" s="43">
        <v>46083</v>
      </c>
      <c r="N783" s="1" t="e">
        <f>VLOOKUP(B783,MICRO!E:L,8,0)</f>
        <v>#N/A</v>
      </c>
    </row>
    <row r="784" spans="1:14" ht="20.25" x14ac:dyDescent="0.25">
      <c r="A784" s="1">
        <v>44</v>
      </c>
      <c r="B784" s="159"/>
      <c r="C784" s="1"/>
      <c r="D784" s="1"/>
      <c r="E784" s="1"/>
      <c r="F784" s="1" t="s">
        <v>1919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2">
        <v>9</v>
      </c>
      <c r="M784" s="43">
        <v>46083</v>
      </c>
      <c r="N784" s="1" t="e">
        <f>VLOOKUP(B784,MICRO!E:L,8,0)</f>
        <v>#N/A</v>
      </c>
    </row>
    <row r="785" spans="1:14" ht="20.25" x14ac:dyDescent="0.25">
      <c r="A785" s="1">
        <v>45</v>
      </c>
      <c r="B785" s="159"/>
      <c r="C785" s="1"/>
      <c r="D785" s="1"/>
      <c r="E785" s="1"/>
      <c r="F785" s="1" t="s">
        <v>1921</v>
      </c>
      <c r="G785" s="1">
        <v>72</v>
      </c>
      <c r="H785" s="1" t="s">
        <v>1253</v>
      </c>
      <c r="I785" s="1"/>
      <c r="J785" s="1">
        <v>0.5</v>
      </c>
      <c r="K785" s="1">
        <v>36</v>
      </c>
      <c r="L785" s="42">
        <v>9</v>
      </c>
      <c r="M785" s="43">
        <v>46083</v>
      </c>
      <c r="N785" s="1" t="e">
        <f>VLOOKUP(B785,MICRO!E:L,8,0)</f>
        <v>#N/A</v>
      </c>
    </row>
    <row r="786" spans="1:14" ht="20.25" x14ac:dyDescent="0.25">
      <c r="A786" s="1">
        <v>46</v>
      </c>
      <c r="B786" s="159"/>
      <c r="C786" s="1"/>
      <c r="D786" s="1"/>
      <c r="E786" s="1"/>
      <c r="F786" s="1" t="s">
        <v>1922</v>
      </c>
      <c r="G786" s="1">
        <v>12</v>
      </c>
      <c r="H786" s="1" t="s">
        <v>1253</v>
      </c>
      <c r="I786" s="1"/>
      <c r="J786" s="1">
        <v>0.02</v>
      </c>
      <c r="K786" s="1">
        <v>0.24</v>
      </c>
      <c r="L786" s="42">
        <v>9</v>
      </c>
      <c r="M786" s="43">
        <v>46083</v>
      </c>
      <c r="N786" s="1" t="e">
        <f>VLOOKUP(B786,MICRO!E:L,8,0)</f>
        <v>#N/A</v>
      </c>
    </row>
    <row r="787" spans="1:14" ht="20.25" x14ac:dyDescent="0.25">
      <c r="A787" s="1">
        <v>47</v>
      </c>
      <c r="B787" s="159"/>
      <c r="C787" s="1"/>
      <c r="D787" s="1"/>
      <c r="E787" s="1"/>
      <c r="F787" s="1" t="s">
        <v>1923</v>
      </c>
      <c r="G787" s="1">
        <v>6</v>
      </c>
      <c r="H787" s="1" t="s">
        <v>1253</v>
      </c>
      <c r="I787" s="1"/>
      <c r="J787" s="1">
        <v>0.01</v>
      </c>
      <c r="K787" s="1">
        <v>0.06</v>
      </c>
      <c r="L787" s="42">
        <v>9</v>
      </c>
      <c r="M787" s="43">
        <v>46083</v>
      </c>
      <c r="N787" s="1" t="e">
        <f>VLOOKUP(B787,MICRO!E:L,8,0)</f>
        <v>#N/A</v>
      </c>
    </row>
    <row r="788" spans="1:14" ht="20.25" x14ac:dyDescent="0.25">
      <c r="A788" s="1">
        <v>48</v>
      </c>
      <c r="B788" s="159"/>
      <c r="C788" s="1"/>
      <c r="D788" s="1"/>
      <c r="E788" s="1"/>
      <c r="F788" s="1" t="s">
        <v>1924</v>
      </c>
      <c r="G788" s="1">
        <v>3</v>
      </c>
      <c r="H788" s="1" t="s">
        <v>1253</v>
      </c>
      <c r="I788" s="1"/>
      <c r="J788" s="1">
        <v>0.03</v>
      </c>
      <c r="K788" s="1">
        <v>0.09</v>
      </c>
      <c r="L788" s="42">
        <v>9</v>
      </c>
      <c r="M788" s="43">
        <v>46083</v>
      </c>
      <c r="N788" s="1" t="e">
        <f>VLOOKUP(B788,MICRO!E:L,8,0)</f>
        <v>#N/A</v>
      </c>
    </row>
    <row r="789" spans="1:14" ht="20.25" x14ac:dyDescent="0.25">
      <c r="A789" s="1">
        <v>49</v>
      </c>
      <c r="B789" s="159"/>
      <c r="C789" s="1"/>
      <c r="D789" s="1"/>
      <c r="E789" s="1"/>
      <c r="F789" s="1" t="s">
        <v>1912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2">
        <v>9</v>
      </c>
      <c r="M789" s="43">
        <v>46083</v>
      </c>
      <c r="N789" s="1" t="e">
        <f>VLOOKUP(B789,MICRO!E:L,8,0)</f>
        <v>#N/A</v>
      </c>
    </row>
    <row r="790" spans="1:14" ht="20.25" x14ac:dyDescent="0.25">
      <c r="A790" s="1">
        <v>50</v>
      </c>
      <c r="B790" s="159"/>
      <c r="C790" s="1"/>
      <c r="D790" s="1"/>
      <c r="E790" s="1"/>
      <c r="F790" s="1" t="s">
        <v>1925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2">
        <v>9</v>
      </c>
      <c r="M790" s="43">
        <v>46083</v>
      </c>
      <c r="N790" s="1" t="e">
        <f>VLOOKUP(B790,MICRO!E:L,8,0)</f>
        <v>#N/A</v>
      </c>
    </row>
    <row r="791" spans="1:14" ht="20.25" x14ac:dyDescent="0.25">
      <c r="A791" s="1">
        <v>51</v>
      </c>
      <c r="B791" s="159"/>
      <c r="C791" s="1"/>
      <c r="D791" s="1"/>
      <c r="E791" s="1"/>
      <c r="F791" s="1" t="s">
        <v>1926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2">
        <v>9</v>
      </c>
      <c r="M791" s="43">
        <v>46083</v>
      </c>
      <c r="N791" s="1" t="e">
        <f>VLOOKUP(B791,MICRO!E:L,8,0)</f>
        <v>#N/A</v>
      </c>
    </row>
    <row r="792" spans="1:14" ht="20.25" x14ac:dyDescent="0.25">
      <c r="A792" s="1">
        <v>52</v>
      </c>
      <c r="B792" s="159"/>
      <c r="C792" s="1"/>
      <c r="D792" s="1"/>
      <c r="E792" s="1"/>
      <c r="F792" s="1" t="s">
        <v>1927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2">
        <v>9</v>
      </c>
      <c r="M792" s="43">
        <v>46083</v>
      </c>
      <c r="N792" s="1" t="e">
        <f>VLOOKUP(B792,MICRO!E:L,8,0)</f>
        <v>#N/A</v>
      </c>
    </row>
    <row r="793" spans="1:14" ht="20.25" x14ac:dyDescent="0.25">
      <c r="A793" s="1">
        <v>53</v>
      </c>
      <c r="B793" s="159"/>
      <c r="C793" s="1"/>
      <c r="D793" s="1"/>
      <c r="E793" s="1"/>
      <c r="F793" s="1" t="s">
        <v>1928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2">
        <v>9</v>
      </c>
      <c r="M793" s="43">
        <v>46083</v>
      </c>
      <c r="N793" s="1" t="e">
        <f>VLOOKUP(B793,MICRO!E:L,8,0)</f>
        <v>#N/A</v>
      </c>
    </row>
    <row r="794" spans="1:14" ht="20.25" x14ac:dyDescent="0.25">
      <c r="A794" s="1">
        <v>54</v>
      </c>
      <c r="B794" s="159"/>
      <c r="C794" s="1"/>
      <c r="D794" s="1"/>
      <c r="E794" s="1"/>
      <c r="F794" s="1" t="s">
        <v>1910</v>
      </c>
      <c r="G794" s="1">
        <v>67</v>
      </c>
      <c r="H794" s="1" t="s">
        <v>1253</v>
      </c>
      <c r="I794" s="1"/>
      <c r="J794" s="1">
        <v>0.5</v>
      </c>
      <c r="K794" s="1">
        <v>33.5</v>
      </c>
      <c r="L794" s="42">
        <v>9</v>
      </c>
      <c r="M794" s="43">
        <v>46083</v>
      </c>
      <c r="N794" s="1" t="e">
        <f>VLOOKUP(B794,MICRO!E:L,8,0)</f>
        <v>#N/A</v>
      </c>
    </row>
    <row r="795" spans="1:14" ht="20.25" x14ac:dyDescent="0.25">
      <c r="A795" s="1">
        <v>55</v>
      </c>
      <c r="B795" s="159"/>
      <c r="C795" s="1"/>
      <c r="D795" s="1"/>
      <c r="E795" s="1"/>
      <c r="F795" s="1" t="s">
        <v>1912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2">
        <v>9</v>
      </c>
      <c r="M795" s="43">
        <v>46083</v>
      </c>
      <c r="N795" s="1" t="e">
        <f>VLOOKUP(B795,MICRO!E:L,8,0)</f>
        <v>#N/A</v>
      </c>
    </row>
    <row r="796" spans="1:14" ht="20.25" x14ac:dyDescent="0.25">
      <c r="A796" s="1">
        <v>56</v>
      </c>
      <c r="B796" s="159"/>
      <c r="C796" s="1"/>
      <c r="D796" s="1"/>
      <c r="E796" s="1"/>
      <c r="F796" s="1" t="s">
        <v>1913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2">
        <v>9</v>
      </c>
      <c r="M796" s="43">
        <v>46083</v>
      </c>
      <c r="N796" s="1" t="e">
        <f>VLOOKUP(B796,MICRO!E:L,8,0)</f>
        <v>#N/A</v>
      </c>
    </row>
    <row r="797" spans="1:14" ht="20.25" x14ac:dyDescent="0.25">
      <c r="A797" s="1">
        <v>57</v>
      </c>
      <c r="B797" s="159"/>
      <c r="C797" s="1"/>
      <c r="D797" s="1"/>
      <c r="E797" s="1"/>
      <c r="F797" s="1" t="s">
        <v>1914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2">
        <v>9</v>
      </c>
      <c r="M797" s="43">
        <v>46083</v>
      </c>
      <c r="N797" s="1" t="e">
        <f>VLOOKUP(B797,MICRO!E:L,8,0)</f>
        <v>#N/A</v>
      </c>
    </row>
    <row r="798" spans="1:14" ht="20.25" x14ac:dyDescent="0.25">
      <c r="A798" s="1">
        <v>58</v>
      </c>
      <c r="B798" s="159"/>
      <c r="C798" s="1"/>
      <c r="D798" s="1"/>
      <c r="E798" s="1"/>
      <c r="F798" s="1" t="s">
        <v>1915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2">
        <v>9</v>
      </c>
      <c r="M798" s="43">
        <v>46083</v>
      </c>
      <c r="N798" s="1" t="e">
        <f>VLOOKUP(B798,MICRO!E:L,8,0)</f>
        <v>#N/A</v>
      </c>
    </row>
    <row r="799" spans="1:14" ht="20.25" x14ac:dyDescent="0.25">
      <c r="A799" s="1">
        <v>59</v>
      </c>
      <c r="B799" s="159"/>
      <c r="C799" s="1"/>
      <c r="D799" s="1"/>
      <c r="E799" s="1"/>
      <c r="F799" s="1" t="s">
        <v>1916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2">
        <v>9</v>
      </c>
      <c r="M799" s="43">
        <v>46083</v>
      </c>
      <c r="N799" s="1" t="e">
        <f>VLOOKUP(B799,MICRO!E:L,8,0)</f>
        <v>#N/A</v>
      </c>
    </row>
    <row r="800" spans="1:14" ht="20.25" x14ac:dyDescent="0.25">
      <c r="A800" s="1">
        <v>60</v>
      </c>
      <c r="B800" s="159"/>
      <c r="C800" s="1"/>
      <c r="D800" s="1"/>
      <c r="E800" s="1"/>
      <c r="F800" s="1" t="s">
        <v>1917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2">
        <v>9</v>
      </c>
      <c r="M800" s="43">
        <v>46083</v>
      </c>
      <c r="N800" s="1" t="e">
        <f>VLOOKUP(B800,MICRO!E:L,8,0)</f>
        <v>#N/A</v>
      </c>
    </row>
    <row r="801" spans="1:14" ht="20.25" x14ac:dyDescent="0.25">
      <c r="A801" s="1">
        <v>61</v>
      </c>
      <c r="B801" s="159"/>
      <c r="C801" s="1"/>
      <c r="D801" s="1"/>
      <c r="E801" s="1"/>
      <c r="F801" s="1" t="s">
        <v>1918</v>
      </c>
      <c r="G801" s="1">
        <v>6</v>
      </c>
      <c r="H801" s="1" t="s">
        <v>1253</v>
      </c>
      <c r="I801" s="1"/>
      <c r="J801" s="1">
        <v>0.8</v>
      </c>
      <c r="K801" s="1">
        <v>4.8000000000000007</v>
      </c>
      <c r="L801" s="42">
        <v>9</v>
      </c>
      <c r="M801" s="43">
        <v>46083</v>
      </c>
      <c r="N801" s="1" t="e">
        <f>VLOOKUP(B801,MICRO!E:L,8,0)</f>
        <v>#N/A</v>
      </c>
    </row>
    <row r="802" spans="1:14" ht="20.25" x14ac:dyDescent="0.25">
      <c r="A802" s="1">
        <v>62</v>
      </c>
      <c r="B802" s="159"/>
      <c r="C802" s="1"/>
      <c r="D802" s="1"/>
      <c r="E802" s="1"/>
      <c r="F802" s="1" t="s">
        <v>1919</v>
      </c>
      <c r="G802" s="1">
        <v>3</v>
      </c>
      <c r="H802" s="1" t="s">
        <v>1253</v>
      </c>
      <c r="I802" s="1"/>
      <c r="J802" s="1">
        <v>0.08</v>
      </c>
      <c r="K802" s="1">
        <v>0.24</v>
      </c>
      <c r="L802" s="42">
        <v>9</v>
      </c>
      <c r="M802" s="43">
        <v>46083</v>
      </c>
      <c r="N802" s="1" t="e">
        <f>VLOOKUP(B802,MICRO!E:L,8,0)</f>
        <v>#N/A</v>
      </c>
    </row>
    <row r="803" spans="1:14" ht="20.25" x14ac:dyDescent="0.25">
      <c r="A803" s="1">
        <v>27</v>
      </c>
      <c r="B803" s="159"/>
      <c r="C803" s="1" t="s">
        <v>1140</v>
      </c>
      <c r="D803" s="1"/>
      <c r="E803" s="1" t="s">
        <v>1837</v>
      </c>
      <c r="F803" s="1" t="s">
        <v>1935</v>
      </c>
      <c r="G803" s="1">
        <v>1</v>
      </c>
      <c r="H803" s="1" t="s">
        <v>19</v>
      </c>
      <c r="I803" s="1" t="s">
        <v>652</v>
      </c>
      <c r="J803" s="1">
        <v>7.1</v>
      </c>
      <c r="K803" s="1">
        <v>7.1</v>
      </c>
      <c r="L803" s="42">
        <v>8</v>
      </c>
      <c r="M803" s="43">
        <v>46083</v>
      </c>
      <c r="N803" s="1" t="e">
        <f>VLOOKUP(B803,MICRO!E:L,8,0)</f>
        <v>#N/A</v>
      </c>
    </row>
    <row r="804" spans="1:14" ht="20.25" x14ac:dyDescent="0.25">
      <c r="A804" s="1">
        <v>35</v>
      </c>
      <c r="B804" s="159"/>
      <c r="C804" s="1"/>
      <c r="D804" s="1"/>
      <c r="E804" s="1"/>
      <c r="F804" s="1" t="s">
        <v>1938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2">
        <v>8</v>
      </c>
      <c r="M804" s="43">
        <v>46083</v>
      </c>
      <c r="N804" s="1" t="e">
        <f>VLOOKUP(B804,MICRO!E:L,8,0)</f>
        <v>#N/A</v>
      </c>
    </row>
    <row r="805" spans="1:14" ht="20.25" x14ac:dyDescent="0.25">
      <c r="A805" s="1">
        <v>36</v>
      </c>
      <c r="B805" s="159"/>
      <c r="C805" s="1"/>
      <c r="D805" s="1"/>
      <c r="E805" s="1"/>
      <c r="F805" s="1" t="s">
        <v>1939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2">
        <v>8</v>
      </c>
      <c r="M805" s="43">
        <v>46083</v>
      </c>
      <c r="N805" s="1" t="e">
        <f>VLOOKUP(B805,MICRO!E:L,8,0)</f>
        <v>#N/A</v>
      </c>
    </row>
    <row r="806" spans="1:14" ht="20.25" x14ac:dyDescent="0.25">
      <c r="A806" s="1">
        <v>37</v>
      </c>
      <c r="B806" s="159"/>
      <c r="C806" s="1"/>
      <c r="D806" s="1"/>
      <c r="E806" s="1"/>
      <c r="F806" s="1" t="s">
        <v>1940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2">
        <v>8</v>
      </c>
      <c r="M806" s="43">
        <v>46083</v>
      </c>
      <c r="N806" s="1" t="e">
        <f>VLOOKUP(B806,MICRO!E:L,8,0)</f>
        <v>#N/A</v>
      </c>
    </row>
    <row r="807" spans="1:14" ht="20.25" x14ac:dyDescent="0.25">
      <c r="A807" s="1">
        <v>38</v>
      </c>
      <c r="B807" s="159"/>
      <c r="C807" s="1"/>
      <c r="D807" s="1"/>
      <c r="E807" s="1"/>
      <c r="F807" s="1" t="s">
        <v>1941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2">
        <v>8</v>
      </c>
      <c r="M807" s="43">
        <v>46083</v>
      </c>
      <c r="N807" s="1" t="e">
        <f>VLOOKUP(B807,MICRO!E:L,8,0)</f>
        <v>#N/A</v>
      </c>
    </row>
    <row r="808" spans="1:14" ht="20.25" x14ac:dyDescent="0.25">
      <c r="A808" s="1">
        <v>39</v>
      </c>
      <c r="B808" s="159"/>
      <c r="C808" s="1"/>
      <c r="D808" s="1"/>
      <c r="E808" s="1"/>
      <c r="F808" s="1" t="s">
        <v>1942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2">
        <v>8</v>
      </c>
      <c r="M808" s="43">
        <v>46083</v>
      </c>
      <c r="N808" s="1" t="e">
        <f>VLOOKUP(B808,MICRO!E:L,8,0)</f>
        <v>#N/A</v>
      </c>
    </row>
    <row r="809" spans="1:14" ht="20.25" x14ac:dyDescent="0.25">
      <c r="A809" s="1">
        <v>40</v>
      </c>
      <c r="B809" s="159"/>
      <c r="C809" s="1"/>
      <c r="D809" s="1"/>
      <c r="E809" s="1"/>
      <c r="F809" s="1" t="s">
        <v>1943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2">
        <v>8</v>
      </c>
      <c r="M809" s="43">
        <v>46083</v>
      </c>
      <c r="N809" s="1" t="e">
        <f>VLOOKUP(B809,MICRO!E:L,8,0)</f>
        <v>#N/A</v>
      </c>
    </row>
    <row r="810" spans="1:14" ht="20.25" x14ac:dyDescent="0.25">
      <c r="A810" s="1">
        <v>41</v>
      </c>
      <c r="B810" s="159"/>
      <c r="C810" s="1"/>
      <c r="D810" s="1"/>
      <c r="E810" s="1"/>
      <c r="F810" s="1" t="s">
        <v>1944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2">
        <v>8</v>
      </c>
      <c r="M810" s="43">
        <v>46083</v>
      </c>
      <c r="N810" s="1" t="e">
        <f>VLOOKUP(B810,MICRO!E:L,8,0)</f>
        <v>#N/A</v>
      </c>
    </row>
    <row r="811" spans="1:14" ht="20.25" x14ac:dyDescent="0.25">
      <c r="A811" s="1">
        <v>42</v>
      </c>
      <c r="B811" s="159"/>
      <c r="C811" s="1"/>
      <c r="D811" s="1"/>
      <c r="E811" s="1"/>
      <c r="F811" s="1" t="s">
        <v>1945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2">
        <v>8</v>
      </c>
      <c r="M811" s="43">
        <v>46083</v>
      </c>
      <c r="N811" s="1" t="e">
        <f>VLOOKUP(B811,MICRO!E:L,8,0)</f>
        <v>#N/A</v>
      </c>
    </row>
    <row r="812" spans="1:14" ht="20.25" x14ac:dyDescent="0.25">
      <c r="A812" s="1">
        <v>43</v>
      </c>
      <c r="B812" s="159"/>
      <c r="C812" s="1"/>
      <c r="D812" s="1"/>
      <c r="E812" s="1"/>
      <c r="F812" s="1" t="s">
        <v>1946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2">
        <v>8</v>
      </c>
      <c r="M812" s="43">
        <v>46083</v>
      </c>
      <c r="N812" s="1" t="e">
        <f>VLOOKUP(B812,MICRO!E:L,8,0)</f>
        <v>#N/A</v>
      </c>
    </row>
    <row r="813" spans="1:14" ht="20.25" x14ac:dyDescent="0.25">
      <c r="A813" s="1">
        <v>44</v>
      </c>
      <c r="B813" s="159"/>
      <c r="C813" s="1"/>
      <c r="D813" s="1"/>
      <c r="E813" s="1"/>
      <c r="F813" s="1" t="s">
        <v>1947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2">
        <v>8</v>
      </c>
      <c r="M813" s="43">
        <v>46083</v>
      </c>
      <c r="N813" s="1" t="e">
        <f>VLOOKUP(B813,MICRO!E:L,8,0)</f>
        <v>#N/A</v>
      </c>
    </row>
    <row r="814" spans="1:14" ht="20.25" x14ac:dyDescent="0.25">
      <c r="A814" s="1">
        <v>46</v>
      </c>
      <c r="B814" s="159"/>
      <c r="C814" s="1"/>
      <c r="D814" s="1"/>
      <c r="E814" s="1"/>
      <c r="F814" s="1" t="s">
        <v>1948</v>
      </c>
      <c r="G814" s="1">
        <v>57</v>
      </c>
      <c r="H814" s="1" t="s">
        <v>1253</v>
      </c>
      <c r="I814" s="1"/>
      <c r="J814" s="1">
        <v>0.02</v>
      </c>
      <c r="K814" s="1">
        <v>1.1400000000000001</v>
      </c>
      <c r="L814" s="42">
        <v>8</v>
      </c>
      <c r="M814" s="43">
        <v>46083</v>
      </c>
      <c r="N814" s="1" t="e">
        <f>VLOOKUP(B814,MICRO!E:L,8,0)</f>
        <v>#N/A</v>
      </c>
    </row>
    <row r="815" spans="1:14" ht="20.25" x14ac:dyDescent="0.25">
      <c r="A815" s="1">
        <v>47</v>
      </c>
      <c r="B815" s="159"/>
      <c r="C815" s="1"/>
      <c r="D815" s="1"/>
      <c r="E815" s="1"/>
      <c r="F815" s="1" t="s">
        <v>1949</v>
      </c>
      <c r="G815" s="1">
        <v>190</v>
      </c>
      <c r="H815" s="1" t="s">
        <v>1253</v>
      </c>
      <c r="I815" s="1"/>
      <c r="J815" s="1">
        <v>0.04</v>
      </c>
      <c r="K815" s="1">
        <v>7.6000000000000005</v>
      </c>
      <c r="L815" s="42">
        <v>8</v>
      </c>
      <c r="M815" s="43">
        <v>46083</v>
      </c>
      <c r="N815" s="1" t="e">
        <f>VLOOKUP(B815,MICRO!E:L,8,0)</f>
        <v>#N/A</v>
      </c>
    </row>
    <row r="816" spans="1:14" ht="20.25" x14ac:dyDescent="0.25">
      <c r="A816" s="1">
        <v>48</v>
      </c>
      <c r="B816" s="159"/>
      <c r="C816" s="1"/>
      <c r="D816" s="1"/>
      <c r="E816" s="1"/>
      <c r="F816" s="1" t="s">
        <v>1950</v>
      </c>
      <c r="G816" s="1">
        <v>6</v>
      </c>
      <c r="H816" s="1" t="s">
        <v>1253</v>
      </c>
      <c r="I816" s="1"/>
      <c r="J816" s="1">
        <v>0.05</v>
      </c>
      <c r="K816" s="1">
        <v>0.30000000000000004</v>
      </c>
      <c r="L816" s="42">
        <v>8</v>
      </c>
      <c r="M816" s="43">
        <v>46083</v>
      </c>
      <c r="N816" s="1" t="e">
        <f>VLOOKUP(B816,MICRO!E:L,8,0)</f>
        <v>#N/A</v>
      </c>
    </row>
    <row r="817" spans="1:14" ht="20.25" x14ac:dyDescent="0.25">
      <c r="A817" s="1">
        <v>49</v>
      </c>
      <c r="B817" s="159"/>
      <c r="C817" s="1"/>
      <c r="D817" s="1"/>
      <c r="E817" s="1"/>
      <c r="F817" s="1" t="s">
        <v>1951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2">
        <v>8</v>
      </c>
      <c r="M817" s="43">
        <v>46083</v>
      </c>
      <c r="N817" s="1" t="e">
        <f>VLOOKUP(B817,MICRO!E:L,8,0)</f>
        <v>#N/A</v>
      </c>
    </row>
    <row r="818" spans="1:14" ht="20.25" x14ac:dyDescent="0.25">
      <c r="A818" s="1">
        <v>50</v>
      </c>
      <c r="B818" s="159"/>
      <c r="C818" s="1"/>
      <c r="D818" s="1"/>
      <c r="E818" s="1"/>
      <c r="F818" s="1" t="s">
        <v>1952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2">
        <v>8</v>
      </c>
      <c r="M818" s="43">
        <v>46083</v>
      </c>
      <c r="N818" s="1" t="e">
        <f>VLOOKUP(B818,MICRO!E:L,8,0)</f>
        <v>#N/A</v>
      </c>
    </row>
    <row r="819" spans="1:14" ht="20.25" x14ac:dyDescent="0.25">
      <c r="A819" s="1">
        <v>51</v>
      </c>
      <c r="B819" s="159"/>
      <c r="C819" s="1"/>
      <c r="D819" s="1"/>
      <c r="E819" s="1"/>
      <c r="F819" s="1" t="s">
        <v>1953</v>
      </c>
      <c r="G819" s="1">
        <v>10</v>
      </c>
      <c r="H819" s="1" t="s">
        <v>1253</v>
      </c>
      <c r="I819" s="1"/>
      <c r="J819" s="1">
        <v>0.02</v>
      </c>
      <c r="K819" s="1">
        <v>0.2</v>
      </c>
      <c r="L819" s="42">
        <v>8</v>
      </c>
      <c r="M819" s="43">
        <v>46083</v>
      </c>
      <c r="N819" s="1" t="e">
        <f>VLOOKUP(B819,MICRO!E:L,8,0)</f>
        <v>#N/A</v>
      </c>
    </row>
    <row r="820" spans="1:14" ht="20.25" x14ac:dyDescent="0.25">
      <c r="A820" s="1">
        <v>52</v>
      </c>
      <c r="B820" s="159"/>
      <c r="C820" s="1"/>
      <c r="D820" s="1"/>
      <c r="E820" s="1"/>
      <c r="F820" s="1" t="s">
        <v>1954</v>
      </c>
      <c r="G820" s="1">
        <v>5</v>
      </c>
      <c r="H820" s="1" t="s">
        <v>1253</v>
      </c>
      <c r="I820" s="1"/>
      <c r="J820" s="1">
        <v>0.06</v>
      </c>
      <c r="K820" s="1">
        <v>0.3</v>
      </c>
      <c r="L820" s="42">
        <v>8</v>
      </c>
      <c r="M820" s="43">
        <v>46083</v>
      </c>
      <c r="N820" s="1" t="e">
        <f>VLOOKUP(B820,MICRO!E:L,8,0)</f>
        <v>#N/A</v>
      </c>
    </row>
    <row r="821" spans="1:14" ht="20.25" x14ac:dyDescent="0.25">
      <c r="A821" s="1">
        <v>53</v>
      </c>
      <c r="B821" s="159"/>
      <c r="C821" s="1"/>
      <c r="D821" s="1"/>
      <c r="E821" s="1"/>
      <c r="F821" s="1" t="s">
        <v>1955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2">
        <v>8</v>
      </c>
      <c r="M821" s="43">
        <v>46083</v>
      </c>
      <c r="N821" s="1" t="e">
        <f>VLOOKUP(B821,MICRO!E:L,8,0)</f>
        <v>#N/A</v>
      </c>
    </row>
    <row r="822" spans="1:14" ht="20.25" x14ac:dyDescent="0.25">
      <c r="A822" s="1">
        <v>54</v>
      </c>
      <c r="B822" s="159"/>
      <c r="C822" s="1"/>
      <c r="D822" s="1"/>
      <c r="E822" s="1"/>
      <c r="F822" s="1" t="s">
        <v>1956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2">
        <v>8</v>
      </c>
      <c r="M822" s="43">
        <v>46083</v>
      </c>
      <c r="N822" s="1" t="e">
        <f>VLOOKUP(B822,MICRO!E:L,8,0)</f>
        <v>#N/A</v>
      </c>
    </row>
    <row r="823" spans="1:14" ht="20.25" x14ac:dyDescent="0.25">
      <c r="A823" s="1">
        <v>55</v>
      </c>
      <c r="B823" s="159"/>
      <c r="C823" s="1"/>
      <c r="D823" s="1"/>
      <c r="E823" s="1"/>
      <c r="F823" s="1" t="s">
        <v>1957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2">
        <v>8</v>
      </c>
      <c r="M823" s="43">
        <v>46083</v>
      </c>
      <c r="N823" s="1" t="e">
        <f>VLOOKUP(B823,MICRO!E:L,8,0)</f>
        <v>#N/A</v>
      </c>
    </row>
    <row r="824" spans="1:14" ht="20.25" x14ac:dyDescent="0.25">
      <c r="A824" s="1">
        <v>56</v>
      </c>
      <c r="B824" s="159"/>
      <c r="C824" s="1"/>
      <c r="D824" s="1"/>
      <c r="E824" s="1"/>
      <c r="F824" s="1" t="s">
        <v>1958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2">
        <v>8</v>
      </c>
      <c r="M824" s="43">
        <v>46083</v>
      </c>
      <c r="N824" s="1" t="e">
        <f>VLOOKUP(B824,MICRO!E:L,8,0)</f>
        <v>#N/A</v>
      </c>
    </row>
    <row r="825" spans="1:14" ht="20.25" x14ac:dyDescent="0.25">
      <c r="A825" s="1">
        <v>57</v>
      </c>
      <c r="B825" s="159"/>
      <c r="C825" s="1"/>
      <c r="D825" s="1"/>
      <c r="E825" s="1"/>
      <c r="F825" s="1" t="s">
        <v>1959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2">
        <v>8</v>
      </c>
      <c r="M825" s="43">
        <v>46083</v>
      </c>
      <c r="N825" s="1" t="e">
        <f>VLOOKUP(B825,MICRO!E:L,8,0)</f>
        <v>#N/A</v>
      </c>
    </row>
    <row r="826" spans="1:14" ht="20.25" x14ac:dyDescent="0.25">
      <c r="A826" s="1">
        <v>58</v>
      </c>
      <c r="B826" s="159"/>
      <c r="C826" s="1"/>
      <c r="D826" s="1"/>
      <c r="E826" s="1"/>
      <c r="F826" s="1" t="s">
        <v>1960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2">
        <v>8</v>
      </c>
      <c r="M826" s="43">
        <v>46083</v>
      </c>
      <c r="N826" s="1" t="e">
        <f>VLOOKUP(B826,MICRO!E:L,8,0)</f>
        <v>#N/A</v>
      </c>
    </row>
    <row r="827" spans="1:14" ht="20.25" x14ac:dyDescent="0.25">
      <c r="A827" s="1">
        <v>59</v>
      </c>
      <c r="B827" s="159"/>
      <c r="C827" s="1"/>
      <c r="D827" s="1"/>
      <c r="E827" s="1"/>
      <c r="F827" s="1" t="s">
        <v>1961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2">
        <v>8</v>
      </c>
      <c r="M827" s="43">
        <v>46083</v>
      </c>
      <c r="N827" s="1" t="e">
        <f>VLOOKUP(B827,MICRO!E:L,8,0)</f>
        <v>#N/A</v>
      </c>
    </row>
    <row r="828" spans="1:14" ht="20.25" x14ac:dyDescent="0.25">
      <c r="A828" s="1">
        <v>60</v>
      </c>
      <c r="B828" s="159"/>
      <c r="C828" s="1"/>
      <c r="D828" s="1"/>
      <c r="E828" s="1"/>
      <c r="F828" s="1" t="s">
        <v>1962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2">
        <v>8</v>
      </c>
      <c r="M828" s="43">
        <v>46083</v>
      </c>
      <c r="N828" s="1" t="e">
        <f>VLOOKUP(B828,MICRO!E:L,8,0)</f>
        <v>#N/A</v>
      </c>
    </row>
    <row r="829" spans="1:14" ht="20.25" x14ac:dyDescent="0.25">
      <c r="A829" s="1">
        <v>61</v>
      </c>
      <c r="B829" s="159"/>
      <c r="C829" s="1"/>
      <c r="D829" s="1"/>
      <c r="E829" s="1"/>
      <c r="F829" s="1" t="s">
        <v>1963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2">
        <v>8</v>
      </c>
      <c r="M829" s="43">
        <v>46083</v>
      </c>
      <c r="N829" s="1" t="e">
        <f>VLOOKUP(B829,MICRO!E:L,8,0)</f>
        <v>#N/A</v>
      </c>
    </row>
    <row r="830" spans="1:14" ht="20.25" x14ac:dyDescent="0.25">
      <c r="A830" s="1">
        <v>62</v>
      </c>
      <c r="B830" s="159"/>
      <c r="C830" s="1"/>
      <c r="D830" s="1"/>
      <c r="E830" s="1"/>
      <c r="F830" s="1" t="s">
        <v>1964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2">
        <v>8</v>
      </c>
      <c r="M830" s="43">
        <v>46083</v>
      </c>
      <c r="N830" s="1" t="e">
        <f>VLOOKUP(B830,MICRO!E:L,8,0)</f>
        <v>#N/A</v>
      </c>
    </row>
    <row r="831" spans="1:14" ht="20.25" x14ac:dyDescent="0.25">
      <c r="A831" s="1">
        <v>63</v>
      </c>
      <c r="B831" s="159"/>
      <c r="C831" s="1" t="s">
        <v>1132</v>
      </c>
      <c r="D831" s="1"/>
      <c r="E831" s="1" t="s">
        <v>2</v>
      </c>
      <c r="F831" s="1" t="s">
        <v>1133</v>
      </c>
      <c r="G831" s="1">
        <v>1</v>
      </c>
      <c r="H831" s="1" t="s">
        <v>19</v>
      </c>
      <c r="I831" s="1" t="s">
        <v>652</v>
      </c>
      <c r="J831" s="1">
        <v>59.38</v>
      </c>
      <c r="K831" s="1">
        <v>59.38</v>
      </c>
      <c r="L831" s="42">
        <v>8</v>
      </c>
      <c r="M831" s="43">
        <v>46083</v>
      </c>
      <c r="N831" s="1" t="e">
        <f>VLOOKUP(B831,MICRO!E:L,8,0)</f>
        <v>#N/A</v>
      </c>
    </row>
    <row r="832" spans="1:14" ht="20.25" x14ac:dyDescent="0.25">
      <c r="A832" s="1">
        <v>6</v>
      </c>
      <c r="B832" s="159"/>
      <c r="C832" s="1" t="s">
        <v>706</v>
      </c>
      <c r="D832" s="1"/>
      <c r="E832" s="1" t="s">
        <v>1966</v>
      </c>
      <c r="F832" s="1" t="s">
        <v>1967</v>
      </c>
      <c r="G832" s="1">
        <v>10</v>
      </c>
      <c r="H832" s="1" t="s">
        <v>19</v>
      </c>
      <c r="I832" s="1" t="s">
        <v>629</v>
      </c>
      <c r="J832" s="1">
        <v>0.3</v>
      </c>
      <c r="K832" s="1">
        <v>3</v>
      </c>
      <c r="L832" s="42">
        <v>8</v>
      </c>
      <c r="M832" s="43">
        <v>46083</v>
      </c>
      <c r="N832" s="1" t="e">
        <f>VLOOKUP(B832,MICRO!E:L,8,0)</f>
        <v>#N/A</v>
      </c>
    </row>
    <row r="833" spans="1:14" ht="20.25" x14ac:dyDescent="0.25">
      <c r="A833" s="1">
        <v>7</v>
      </c>
      <c r="B833" s="159"/>
      <c r="C833" s="1" t="s">
        <v>712</v>
      </c>
      <c r="D833" s="1"/>
      <c r="E833" s="1" t="s">
        <v>1968</v>
      </c>
      <c r="F833" s="1" t="s">
        <v>1969</v>
      </c>
      <c r="G833" s="1">
        <v>6</v>
      </c>
      <c r="H833" s="1" t="s">
        <v>19</v>
      </c>
      <c r="I833" s="1" t="s">
        <v>629</v>
      </c>
      <c r="J833" s="1">
        <v>0.3</v>
      </c>
      <c r="K833" s="1">
        <v>1.7999999999999998</v>
      </c>
      <c r="L833" s="42">
        <v>8</v>
      </c>
      <c r="M833" s="43">
        <v>46083</v>
      </c>
      <c r="N833" s="1" t="e">
        <f>VLOOKUP(B833,MICRO!E:L,8,0)</f>
        <v>#N/A</v>
      </c>
    </row>
    <row r="834" spans="1:14" ht="20.25" x14ac:dyDescent="0.25">
      <c r="A834" s="1">
        <v>8</v>
      </c>
      <c r="B834" s="159"/>
      <c r="C834" s="1" t="s">
        <v>147</v>
      </c>
      <c r="D834" s="1"/>
      <c r="E834" s="1"/>
      <c r="F834" s="1" t="s">
        <v>1970</v>
      </c>
      <c r="G834" s="1">
        <v>16</v>
      </c>
      <c r="H834" s="1" t="s">
        <v>19</v>
      </c>
      <c r="I834" s="1" t="s">
        <v>629</v>
      </c>
      <c r="J834" s="1">
        <v>0.3</v>
      </c>
      <c r="K834" s="1">
        <v>4.8</v>
      </c>
      <c r="L834" s="42">
        <v>8</v>
      </c>
      <c r="M834" s="43">
        <v>46083</v>
      </c>
      <c r="N834" s="1" t="e">
        <f>VLOOKUP(B834,MICRO!E:L,8,0)</f>
        <v>#N/A</v>
      </c>
    </row>
    <row r="835" spans="1:14" ht="20.25" x14ac:dyDescent="0.25">
      <c r="A835" s="1">
        <v>9</v>
      </c>
      <c r="B835" s="159"/>
      <c r="C835" s="1" t="s">
        <v>936</v>
      </c>
      <c r="D835" s="1"/>
      <c r="E835" s="1" t="s">
        <v>1971</v>
      </c>
      <c r="F835" s="1" t="s">
        <v>1972</v>
      </c>
      <c r="G835" s="1">
        <v>8</v>
      </c>
      <c r="H835" s="1" t="s">
        <v>19</v>
      </c>
      <c r="I835" s="1" t="s">
        <v>629</v>
      </c>
      <c r="J835" s="1">
        <v>0.3</v>
      </c>
      <c r="K835" s="1">
        <v>2.4</v>
      </c>
      <c r="L835" s="42">
        <v>8</v>
      </c>
      <c r="M835" s="43">
        <v>46083</v>
      </c>
      <c r="N835" s="1" t="e">
        <f>VLOOKUP(B835,MICRO!E:L,8,0)</f>
        <v>#N/A</v>
      </c>
    </row>
    <row r="836" spans="1:14" ht="20.25" x14ac:dyDescent="0.25">
      <c r="A836" s="1">
        <v>22</v>
      </c>
      <c r="B836" s="159"/>
      <c r="C836" s="1" t="s">
        <v>959</v>
      </c>
      <c r="D836" s="1"/>
      <c r="E836" s="1" t="s">
        <v>1973</v>
      </c>
      <c r="F836" s="1" t="s">
        <v>1974</v>
      </c>
      <c r="G836" s="1">
        <v>2</v>
      </c>
      <c r="H836" s="1"/>
      <c r="I836" s="1" t="s">
        <v>629</v>
      </c>
      <c r="J836" s="1">
        <v>0.47</v>
      </c>
      <c r="K836" s="1">
        <v>0.94</v>
      </c>
      <c r="L836" s="42">
        <v>8</v>
      </c>
      <c r="M836" s="43">
        <v>46083</v>
      </c>
      <c r="N836" s="1" t="e">
        <f>VLOOKUP(B836,MICRO!E:L,8,0)</f>
        <v>#N/A</v>
      </c>
    </row>
    <row r="837" spans="1:14" ht="20.25" x14ac:dyDescent="0.25">
      <c r="A837" s="1">
        <v>23</v>
      </c>
      <c r="B837" s="159"/>
      <c r="C837" s="1" t="s">
        <v>1975</v>
      </c>
      <c r="D837" s="1" t="s">
        <v>1976</v>
      </c>
      <c r="E837" s="1"/>
      <c r="F837" s="1" t="s">
        <v>1977</v>
      </c>
      <c r="G837" s="1">
        <v>1</v>
      </c>
      <c r="H837" s="1" t="s">
        <v>19</v>
      </c>
      <c r="I837" s="1" t="s">
        <v>589</v>
      </c>
      <c r="J837" s="1">
        <v>1</v>
      </c>
      <c r="K837" s="1">
        <v>1</v>
      </c>
      <c r="L837" s="42">
        <v>8</v>
      </c>
      <c r="M837" s="43">
        <v>46083</v>
      </c>
      <c r="N837" s="1" t="e">
        <f>VLOOKUP(B837,MICRO!E:L,8,0)</f>
        <v>#N/A</v>
      </c>
    </row>
    <row r="838" spans="1:14" ht="20.25" x14ac:dyDescent="0.25">
      <c r="A838" s="1">
        <v>24</v>
      </c>
      <c r="B838" s="159"/>
      <c r="C838" s="1" t="s">
        <v>1975</v>
      </c>
      <c r="D838" s="1" t="s">
        <v>1976</v>
      </c>
      <c r="E838" s="1"/>
      <c r="F838" s="1" t="s">
        <v>1978</v>
      </c>
      <c r="G838" s="1">
        <v>1</v>
      </c>
      <c r="H838" s="1" t="s">
        <v>19</v>
      </c>
      <c r="I838" s="1" t="s">
        <v>589</v>
      </c>
      <c r="J838" s="1">
        <v>0.1</v>
      </c>
      <c r="K838" s="1">
        <v>0.1</v>
      </c>
      <c r="L838" s="42">
        <v>8</v>
      </c>
      <c r="M838" s="43">
        <v>46083</v>
      </c>
      <c r="N838" s="1" t="e">
        <f>VLOOKUP(B838,MICRO!E:L,8,0)</f>
        <v>#N/A</v>
      </c>
    </row>
    <row r="839" spans="1:14" ht="20.25" x14ac:dyDescent="0.25">
      <c r="A839" s="1">
        <v>25</v>
      </c>
      <c r="B839" s="159"/>
      <c r="C839" s="1" t="s">
        <v>1975</v>
      </c>
      <c r="D839" s="1" t="s">
        <v>1976</v>
      </c>
      <c r="E839" s="1"/>
      <c r="F839" s="1" t="s">
        <v>1979</v>
      </c>
      <c r="G839" s="1">
        <v>1</v>
      </c>
      <c r="H839" s="1" t="s">
        <v>19</v>
      </c>
      <c r="I839" s="1" t="s">
        <v>589</v>
      </c>
      <c r="J839" s="1">
        <v>0.2</v>
      </c>
      <c r="K839" s="1">
        <v>0.2</v>
      </c>
      <c r="L839" s="42">
        <v>8</v>
      </c>
      <c r="M839" s="43">
        <v>46083</v>
      </c>
      <c r="N839" s="1" t="e">
        <f>VLOOKUP(B839,MICRO!E:L,8,0)</f>
        <v>#N/A</v>
      </c>
    </row>
    <row r="840" spans="1:14" ht="20.25" x14ac:dyDescent="0.25">
      <c r="A840" s="1">
        <v>26</v>
      </c>
      <c r="B840" s="159"/>
      <c r="C840" s="1" t="s">
        <v>1975</v>
      </c>
      <c r="D840" s="1" t="s">
        <v>1976</v>
      </c>
      <c r="E840" s="1"/>
      <c r="F840" s="1" t="s">
        <v>1979</v>
      </c>
      <c r="G840" s="1">
        <v>1</v>
      </c>
      <c r="H840" s="1" t="s">
        <v>19</v>
      </c>
      <c r="I840" s="1" t="s">
        <v>585</v>
      </c>
      <c r="J840" s="1">
        <v>0.4</v>
      </c>
      <c r="K840" s="1">
        <v>0.4</v>
      </c>
      <c r="L840" s="42">
        <v>8</v>
      </c>
      <c r="M840" s="43">
        <v>46083</v>
      </c>
      <c r="N840" s="1" t="e">
        <f>VLOOKUP(B840,MICRO!E:L,8,0)</f>
        <v>#N/A</v>
      </c>
    </row>
    <row r="841" spans="1:14" ht="20.25" x14ac:dyDescent="0.25">
      <c r="A841" s="1">
        <v>27</v>
      </c>
      <c r="B841" s="159"/>
      <c r="C841" s="1" t="s">
        <v>1975</v>
      </c>
      <c r="D841" s="1" t="s">
        <v>1976</v>
      </c>
      <c r="E841" s="1"/>
      <c r="F841" s="1" t="s">
        <v>1980</v>
      </c>
      <c r="G841" s="1">
        <v>1</v>
      </c>
      <c r="H841" s="1" t="s">
        <v>19</v>
      </c>
      <c r="I841" s="1" t="s">
        <v>585</v>
      </c>
      <c r="J841" s="1">
        <v>1</v>
      </c>
      <c r="K841" s="1">
        <v>1</v>
      </c>
      <c r="L841" s="42">
        <v>8</v>
      </c>
      <c r="M841" s="43">
        <v>46083</v>
      </c>
      <c r="N841" s="1" t="e">
        <f>VLOOKUP(B841,MICRO!E:L,8,0)</f>
        <v>#N/A</v>
      </c>
    </row>
    <row r="842" spans="1:14" ht="20.25" x14ac:dyDescent="0.25">
      <c r="A842" s="1">
        <v>28</v>
      </c>
      <c r="B842" s="159"/>
      <c r="C842" s="1" t="s">
        <v>1981</v>
      </c>
      <c r="D842" s="1" t="s">
        <v>1976</v>
      </c>
      <c r="E842" s="1"/>
      <c r="F842" s="1" t="s">
        <v>1982</v>
      </c>
      <c r="G842" s="1">
        <v>1</v>
      </c>
      <c r="H842" s="1" t="s">
        <v>19</v>
      </c>
      <c r="I842" s="1" t="s">
        <v>634</v>
      </c>
      <c r="J842" s="1">
        <v>1</v>
      </c>
      <c r="K842" s="1">
        <v>1</v>
      </c>
      <c r="L842" s="42">
        <v>8</v>
      </c>
      <c r="M842" s="43">
        <v>46083</v>
      </c>
      <c r="N842" s="1" t="e">
        <f>VLOOKUP(B842,MICRO!E:L,8,0)</f>
        <v>#N/A</v>
      </c>
    </row>
    <row r="843" spans="1:14" ht="20.25" x14ac:dyDescent="0.25">
      <c r="A843" s="1">
        <v>29</v>
      </c>
      <c r="B843" s="159"/>
      <c r="C843" s="1" t="s">
        <v>1975</v>
      </c>
      <c r="D843" s="1" t="s">
        <v>1983</v>
      </c>
      <c r="E843" s="1"/>
      <c r="F843" s="1" t="s">
        <v>1984</v>
      </c>
      <c r="G843" s="1">
        <v>1</v>
      </c>
      <c r="H843" s="1" t="s">
        <v>19</v>
      </c>
      <c r="I843" s="1" t="s">
        <v>585</v>
      </c>
      <c r="J843" s="1">
        <v>1</v>
      </c>
      <c r="K843" s="1">
        <v>1</v>
      </c>
      <c r="L843" s="42">
        <v>8</v>
      </c>
      <c r="M843" s="43">
        <v>46083</v>
      </c>
      <c r="N843" s="1" t="e">
        <f>VLOOKUP(B843,MICRO!E:L,8,0)</f>
        <v>#N/A</v>
      </c>
    </row>
    <row r="844" spans="1:14" ht="20.25" x14ac:dyDescent="0.25">
      <c r="A844" s="1">
        <v>30</v>
      </c>
      <c r="B844" s="159"/>
      <c r="C844" s="1" t="s">
        <v>1975</v>
      </c>
      <c r="D844" s="1" t="s">
        <v>1983</v>
      </c>
      <c r="E844" s="1"/>
      <c r="F844" s="1" t="s">
        <v>1985</v>
      </c>
      <c r="G844" s="1">
        <v>1</v>
      </c>
      <c r="H844" s="1" t="s">
        <v>19</v>
      </c>
      <c r="I844" s="1" t="s">
        <v>589</v>
      </c>
      <c r="J844" s="1">
        <v>1.5</v>
      </c>
      <c r="K844" s="1">
        <v>1.5</v>
      </c>
      <c r="L844" s="42">
        <v>8</v>
      </c>
      <c r="M844" s="43">
        <v>46083</v>
      </c>
      <c r="N844" s="1" t="e">
        <f>VLOOKUP(B844,MICRO!E:L,8,0)</f>
        <v>#N/A</v>
      </c>
    </row>
    <row r="845" spans="1:14" ht="20.25" x14ac:dyDescent="0.25">
      <c r="A845" s="1">
        <v>31</v>
      </c>
      <c r="B845" s="159"/>
      <c r="C845" s="1" t="s">
        <v>1975</v>
      </c>
      <c r="D845" s="1" t="s">
        <v>1976</v>
      </c>
      <c r="E845" s="1"/>
      <c r="F845" s="1" t="s">
        <v>1986</v>
      </c>
      <c r="G845" s="1">
        <v>1</v>
      </c>
      <c r="H845" s="1" t="s">
        <v>19</v>
      </c>
      <c r="I845" s="1" t="s">
        <v>585</v>
      </c>
      <c r="J845" s="1">
        <v>0.1</v>
      </c>
      <c r="K845" s="1">
        <v>0.1</v>
      </c>
      <c r="L845" s="42">
        <v>8</v>
      </c>
      <c r="M845" s="43">
        <v>46083</v>
      </c>
      <c r="N845" s="1" t="e">
        <f>VLOOKUP(B845,MICRO!E:L,8,0)</f>
        <v>#N/A</v>
      </c>
    </row>
    <row r="846" spans="1:14" ht="20.25" x14ac:dyDescent="0.25">
      <c r="A846" s="1">
        <v>32</v>
      </c>
      <c r="B846" s="159"/>
      <c r="C846" s="1" t="s">
        <v>1987</v>
      </c>
      <c r="D846" s="1" t="s">
        <v>1976</v>
      </c>
      <c r="E846" s="1"/>
      <c r="F846" s="1" t="s">
        <v>1988</v>
      </c>
      <c r="G846" s="1">
        <v>1</v>
      </c>
      <c r="H846" s="1" t="s">
        <v>19</v>
      </c>
      <c r="I846" s="1" t="s">
        <v>634</v>
      </c>
      <c r="J846" s="1">
        <v>0.45</v>
      </c>
      <c r="K846" s="1">
        <v>0.45</v>
      </c>
      <c r="L846" s="42">
        <v>8</v>
      </c>
      <c r="M846" s="43">
        <v>46083</v>
      </c>
      <c r="N846" s="1" t="e">
        <f>VLOOKUP(B846,MICRO!E:L,8,0)</f>
        <v>#N/A</v>
      </c>
    </row>
    <row r="847" spans="1:14" ht="20.25" x14ac:dyDescent="0.25">
      <c r="A847" s="1">
        <v>33</v>
      </c>
      <c r="B847" s="159"/>
      <c r="C847" s="1" t="s">
        <v>1981</v>
      </c>
      <c r="D847" s="1" t="s">
        <v>1976</v>
      </c>
      <c r="E847" s="1"/>
      <c r="F847" s="1" t="s">
        <v>1989</v>
      </c>
      <c r="G847" s="1">
        <v>1</v>
      </c>
      <c r="H847" s="1" t="s">
        <v>19</v>
      </c>
      <c r="I847" s="1" t="s">
        <v>634</v>
      </c>
      <c r="J847" s="1">
        <v>0.3</v>
      </c>
      <c r="K847" s="1">
        <v>0.3</v>
      </c>
      <c r="L847" s="42">
        <v>8</v>
      </c>
      <c r="M847" s="43">
        <v>46083</v>
      </c>
      <c r="N847" s="1" t="e">
        <f>VLOOKUP(B847,MICRO!E:L,8,0)</f>
        <v>#N/A</v>
      </c>
    </row>
    <row r="848" spans="1:14" ht="20.25" x14ac:dyDescent="0.25">
      <c r="A848" s="1">
        <v>34</v>
      </c>
      <c r="B848" s="159"/>
      <c r="C848" s="1" t="s">
        <v>1990</v>
      </c>
      <c r="D848" s="1" t="s">
        <v>1976</v>
      </c>
      <c r="E848" s="1"/>
      <c r="F848" s="1" t="s">
        <v>1991</v>
      </c>
      <c r="G848" s="1">
        <v>1</v>
      </c>
      <c r="H848" s="1" t="s">
        <v>19</v>
      </c>
      <c r="I848" s="1" t="s">
        <v>585</v>
      </c>
      <c r="J848" s="1">
        <v>0.35</v>
      </c>
      <c r="K848" s="1">
        <v>0.35</v>
      </c>
      <c r="L848" s="42">
        <v>8</v>
      </c>
      <c r="M848" s="43">
        <v>46083</v>
      </c>
      <c r="N848" s="1" t="e">
        <f>VLOOKUP(B848,MICRO!E:L,8,0)</f>
        <v>#N/A</v>
      </c>
    </row>
    <row r="849" spans="1:14" ht="20.25" x14ac:dyDescent="0.25">
      <c r="A849" s="1">
        <v>35</v>
      </c>
      <c r="B849" s="159"/>
      <c r="C849" s="1" t="s">
        <v>1992</v>
      </c>
      <c r="D849" s="1" t="s">
        <v>1976</v>
      </c>
      <c r="E849" s="1"/>
      <c r="F849" s="1" t="s">
        <v>1993</v>
      </c>
      <c r="G849" s="1">
        <v>1</v>
      </c>
      <c r="H849" s="1" t="s">
        <v>19</v>
      </c>
      <c r="I849" s="1" t="s">
        <v>629</v>
      </c>
      <c r="J849" s="1">
        <v>0.8</v>
      </c>
      <c r="K849" s="1">
        <v>0.8</v>
      </c>
      <c r="L849" s="42">
        <v>8</v>
      </c>
      <c r="M849" s="43">
        <v>46083</v>
      </c>
      <c r="N849" s="1" t="e">
        <f>VLOOKUP(B849,MICRO!E:L,8,0)</f>
        <v>#N/A</v>
      </c>
    </row>
    <row r="850" spans="1:14" ht="20.25" x14ac:dyDescent="0.25">
      <c r="A850" s="1">
        <v>36</v>
      </c>
      <c r="B850" s="159"/>
      <c r="C850" s="1" t="s">
        <v>1994</v>
      </c>
      <c r="D850" s="1" t="s">
        <v>1976</v>
      </c>
      <c r="E850" s="1"/>
      <c r="F850" s="1" t="s">
        <v>1995</v>
      </c>
      <c r="G850" s="1">
        <v>1</v>
      </c>
      <c r="H850" s="1" t="s">
        <v>19</v>
      </c>
      <c r="I850" s="1" t="s">
        <v>629</v>
      </c>
      <c r="J850" s="1">
        <v>0.8</v>
      </c>
      <c r="K850" s="1">
        <v>0.8</v>
      </c>
      <c r="L850" s="42">
        <v>8</v>
      </c>
      <c r="M850" s="43">
        <v>46083</v>
      </c>
      <c r="N850" s="1" t="e">
        <f>VLOOKUP(B850,MICRO!E:L,8,0)</f>
        <v>#N/A</v>
      </c>
    </row>
    <row r="851" spans="1:14" ht="20.25" x14ac:dyDescent="0.25">
      <c r="A851" s="1">
        <v>37</v>
      </c>
      <c r="B851" s="159"/>
      <c r="C851" s="1" t="s">
        <v>1994</v>
      </c>
      <c r="D851" s="1" t="s">
        <v>1976</v>
      </c>
      <c r="E851" s="1"/>
      <c r="F851" s="1" t="s">
        <v>1995</v>
      </c>
      <c r="G851" s="1">
        <v>1</v>
      </c>
      <c r="H851" s="1" t="s">
        <v>19</v>
      </c>
      <c r="I851" s="1" t="s">
        <v>629</v>
      </c>
      <c r="J851" s="1">
        <v>0.8</v>
      </c>
      <c r="K851" s="1">
        <v>0.8</v>
      </c>
      <c r="L851" s="42">
        <v>8</v>
      </c>
      <c r="M851" s="43">
        <v>46083</v>
      </c>
      <c r="N851" s="1" t="e">
        <f>VLOOKUP(B851,MICRO!E:L,8,0)</f>
        <v>#N/A</v>
      </c>
    </row>
    <row r="852" spans="1:14" ht="20.25" x14ac:dyDescent="0.25">
      <c r="A852" s="1">
        <v>38</v>
      </c>
      <c r="B852" s="159"/>
      <c r="C852" s="1" t="s">
        <v>1994</v>
      </c>
      <c r="D852" s="1" t="s">
        <v>1976</v>
      </c>
      <c r="E852" s="1"/>
      <c r="F852" s="1" t="s">
        <v>1995</v>
      </c>
      <c r="G852" s="1">
        <v>1</v>
      </c>
      <c r="H852" s="1" t="s">
        <v>19</v>
      </c>
      <c r="I852" s="1" t="s">
        <v>629</v>
      </c>
      <c r="J852" s="1">
        <v>0.8</v>
      </c>
      <c r="K852" s="1">
        <v>0.8</v>
      </c>
      <c r="L852" s="42">
        <v>8</v>
      </c>
      <c r="M852" s="43">
        <v>46083</v>
      </c>
      <c r="N852" s="1" t="e">
        <f>VLOOKUP(B852,MICRO!E:L,8,0)</f>
        <v>#N/A</v>
      </c>
    </row>
    <row r="853" spans="1:14" ht="20.25" x14ac:dyDescent="0.25">
      <c r="A853" s="1">
        <v>39</v>
      </c>
      <c r="B853" s="159"/>
      <c r="C853" s="1" t="s">
        <v>1996</v>
      </c>
      <c r="D853" s="1" t="s">
        <v>1976</v>
      </c>
      <c r="E853" s="1"/>
      <c r="F853" s="1" t="s">
        <v>1997</v>
      </c>
      <c r="G853" s="1">
        <v>1</v>
      </c>
      <c r="H853" s="1" t="s">
        <v>19</v>
      </c>
      <c r="I853" s="1" t="s">
        <v>589</v>
      </c>
      <c r="J853" s="1">
        <v>0.81</v>
      </c>
      <c r="K853" s="1">
        <v>0.81</v>
      </c>
      <c r="L853" s="42">
        <v>8</v>
      </c>
      <c r="M853" s="43">
        <v>46083</v>
      </c>
      <c r="N853" s="1" t="e">
        <f>VLOOKUP(B853,MICRO!E:L,8,0)</f>
        <v>#N/A</v>
      </c>
    </row>
    <row r="854" spans="1:14" ht="20.25" x14ac:dyDescent="0.25">
      <c r="A854" s="1">
        <v>40</v>
      </c>
      <c r="B854" s="159"/>
      <c r="C854" s="1" t="s">
        <v>1998</v>
      </c>
      <c r="D854" s="1" t="s">
        <v>1976</v>
      </c>
      <c r="E854" s="1"/>
      <c r="F854" s="1" t="s">
        <v>1999</v>
      </c>
      <c r="G854" s="1">
        <v>1</v>
      </c>
      <c r="H854" s="1" t="s">
        <v>19</v>
      </c>
      <c r="I854" s="1" t="s">
        <v>629</v>
      </c>
      <c r="J854" s="1">
        <v>0.2</v>
      </c>
      <c r="K854" s="1">
        <v>0.2</v>
      </c>
      <c r="L854" s="42">
        <v>8</v>
      </c>
      <c r="M854" s="43">
        <v>46083</v>
      </c>
      <c r="N854" s="1" t="e">
        <f>VLOOKUP(B854,MICRO!E:L,8,0)</f>
        <v>#N/A</v>
      </c>
    </row>
    <row r="855" spans="1:14" ht="20.25" x14ac:dyDescent="0.25">
      <c r="A855" s="1">
        <v>41</v>
      </c>
      <c r="B855" s="159"/>
      <c r="C855" s="1" t="s">
        <v>1998</v>
      </c>
      <c r="D855" s="1" t="s">
        <v>1976</v>
      </c>
      <c r="E855" s="1"/>
      <c r="F855" s="1" t="s">
        <v>2000</v>
      </c>
      <c r="G855" s="1">
        <v>1</v>
      </c>
      <c r="H855" s="1" t="s">
        <v>19</v>
      </c>
      <c r="I855" s="1" t="s">
        <v>629</v>
      </c>
      <c r="J855" s="1">
        <v>0.4</v>
      </c>
      <c r="K855" s="1">
        <v>0.4</v>
      </c>
      <c r="L855" s="42">
        <v>8</v>
      </c>
      <c r="M855" s="43">
        <v>46083</v>
      </c>
      <c r="N855" s="1" t="e">
        <f>VLOOKUP(B855,MICRO!E:L,8,0)</f>
        <v>#N/A</v>
      </c>
    </row>
    <row r="856" spans="1:14" ht="20.25" x14ac:dyDescent="0.25">
      <c r="A856" s="1">
        <v>42</v>
      </c>
      <c r="B856" s="159"/>
      <c r="C856" s="1" t="s">
        <v>1998</v>
      </c>
      <c r="D856" s="1" t="s">
        <v>1976</v>
      </c>
      <c r="E856" s="1"/>
      <c r="F856" s="1" t="s">
        <v>2001</v>
      </c>
      <c r="G856" s="1">
        <v>1</v>
      </c>
      <c r="H856" s="1" t="s">
        <v>19</v>
      </c>
      <c r="I856" s="1" t="s">
        <v>629</v>
      </c>
      <c r="J856" s="1">
        <v>0.15</v>
      </c>
      <c r="K856" s="1">
        <v>0.15</v>
      </c>
      <c r="L856" s="42">
        <v>8</v>
      </c>
      <c r="M856" s="43">
        <v>46083</v>
      </c>
      <c r="N856" s="1" t="e">
        <f>VLOOKUP(B856,MICRO!E:L,8,0)</f>
        <v>#N/A</v>
      </c>
    </row>
    <row r="857" spans="1:14" ht="20.25" x14ac:dyDescent="0.25">
      <c r="A857" s="1">
        <v>43</v>
      </c>
      <c r="B857" s="159"/>
      <c r="C857" s="1"/>
      <c r="D857" s="1"/>
      <c r="E857" s="1"/>
      <c r="F857" s="1" t="s">
        <v>2002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2">
        <v>8</v>
      </c>
      <c r="M857" s="43">
        <v>46083</v>
      </c>
      <c r="N857" s="1" t="e">
        <f>VLOOKUP(B857,MICRO!E:L,8,0)</f>
        <v>#N/A</v>
      </c>
    </row>
    <row r="858" spans="1:14" ht="20.25" x14ac:dyDescent="0.25">
      <c r="A858" s="1">
        <v>44</v>
      </c>
      <c r="B858" s="159"/>
      <c r="C858" s="1"/>
      <c r="D858" s="1"/>
      <c r="E858" s="1"/>
      <c r="F858" s="1" t="s">
        <v>2003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2">
        <v>8</v>
      </c>
      <c r="M858" s="43">
        <v>46083</v>
      </c>
      <c r="N858" s="1" t="e">
        <f>VLOOKUP(B858,MICRO!E:L,8,0)</f>
        <v>#N/A</v>
      </c>
    </row>
    <row r="859" spans="1:14" ht="20.25" x14ac:dyDescent="0.25">
      <c r="A859" s="1">
        <v>45</v>
      </c>
      <c r="B859" s="159"/>
      <c r="C859" s="1"/>
      <c r="D859" s="1"/>
      <c r="E859" s="1"/>
      <c r="F859" s="1" t="s">
        <v>2004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2">
        <v>8</v>
      </c>
      <c r="M859" s="43">
        <v>46083</v>
      </c>
      <c r="N859" s="1" t="e">
        <f>VLOOKUP(B859,MICRO!E:L,8,0)</f>
        <v>#N/A</v>
      </c>
    </row>
    <row r="860" spans="1:14" ht="20.25" x14ac:dyDescent="0.25">
      <c r="A860" s="1">
        <v>46</v>
      </c>
      <c r="B860" s="159"/>
      <c r="C860" s="1"/>
      <c r="D860" s="1"/>
      <c r="E860" s="1"/>
      <c r="F860" s="1" t="s">
        <v>2005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2">
        <v>8</v>
      </c>
      <c r="M860" s="43">
        <v>46083</v>
      </c>
      <c r="N860" s="1" t="e">
        <f>VLOOKUP(B860,MICRO!E:L,8,0)</f>
        <v>#N/A</v>
      </c>
    </row>
    <row r="861" spans="1:14" ht="20.25" x14ac:dyDescent="0.25">
      <c r="A861" s="1">
        <v>47</v>
      </c>
      <c r="B861" s="159"/>
      <c r="C861" s="1"/>
      <c r="D861" s="1"/>
      <c r="E861" s="1"/>
      <c r="F861" s="1" t="s">
        <v>2006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2">
        <v>8</v>
      </c>
      <c r="M861" s="43">
        <v>46083</v>
      </c>
      <c r="N861" s="1" t="e">
        <f>VLOOKUP(B861,MICRO!E:L,8,0)</f>
        <v>#N/A</v>
      </c>
    </row>
    <row r="862" spans="1:14" ht="20.25" x14ac:dyDescent="0.25">
      <c r="A862" s="1">
        <v>48</v>
      </c>
      <c r="B862" s="159"/>
      <c r="C862" s="1"/>
      <c r="D862" s="1"/>
      <c r="E862" s="1"/>
      <c r="F862" s="1" t="s">
        <v>2007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2">
        <v>8</v>
      </c>
      <c r="M862" s="43">
        <v>46083</v>
      </c>
      <c r="N862" s="1" t="e">
        <f>VLOOKUP(B862,MICRO!E:L,8,0)</f>
        <v>#N/A</v>
      </c>
    </row>
    <row r="863" spans="1:14" ht="20.25" x14ac:dyDescent="0.25">
      <c r="A863" s="1">
        <v>49</v>
      </c>
      <c r="B863" s="159"/>
      <c r="C863" s="1"/>
      <c r="D863" s="1"/>
      <c r="E863" s="1"/>
      <c r="F863" s="1" t="s">
        <v>2008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2">
        <v>8</v>
      </c>
      <c r="M863" s="43">
        <v>46083</v>
      </c>
      <c r="N863" s="1" t="e">
        <f>VLOOKUP(B863,MICRO!E:L,8,0)</f>
        <v>#N/A</v>
      </c>
    </row>
    <row r="864" spans="1:14" ht="20.25" x14ac:dyDescent="0.25">
      <c r="A864" s="1">
        <v>50</v>
      </c>
      <c r="B864" s="159"/>
      <c r="C864" s="1"/>
      <c r="D864" s="1"/>
      <c r="E864" s="1"/>
      <c r="F864" s="1" t="s">
        <v>2009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2">
        <v>8</v>
      </c>
      <c r="M864" s="43">
        <v>46083</v>
      </c>
      <c r="N864" s="1" t="e">
        <f>VLOOKUP(B864,MICRO!E:L,8,0)</f>
        <v>#N/A</v>
      </c>
    </row>
    <row r="865" spans="1:14" ht="20.25" x14ac:dyDescent="0.25">
      <c r="A865" s="1">
        <v>51</v>
      </c>
      <c r="B865" s="159"/>
      <c r="C865" s="1"/>
      <c r="D865" s="1"/>
      <c r="E865" s="1"/>
      <c r="F865" s="1" t="s">
        <v>2010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2">
        <v>8</v>
      </c>
      <c r="M865" s="43">
        <v>46083</v>
      </c>
      <c r="N865" s="1" t="e">
        <f>VLOOKUP(B865,MICRO!E:L,8,0)</f>
        <v>#N/A</v>
      </c>
    </row>
    <row r="866" spans="1:14" ht="20.25" x14ac:dyDescent="0.25">
      <c r="A866" s="1">
        <v>52</v>
      </c>
      <c r="B866" s="159"/>
      <c r="C866" s="1"/>
      <c r="D866" s="1"/>
      <c r="E866" s="1"/>
      <c r="F866" s="1" t="s">
        <v>2011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2">
        <v>8</v>
      </c>
      <c r="M866" s="43">
        <v>46083</v>
      </c>
      <c r="N866" s="1" t="e">
        <f>VLOOKUP(B866,MICRO!E:L,8,0)</f>
        <v>#N/A</v>
      </c>
    </row>
    <row r="867" spans="1:14" ht="20.25" x14ac:dyDescent="0.25">
      <c r="A867" s="1">
        <v>53</v>
      </c>
      <c r="B867" s="159"/>
      <c r="C867" s="1"/>
      <c r="D867" s="1"/>
      <c r="E867" s="1"/>
      <c r="F867" s="1" t="s">
        <v>2012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2">
        <v>8</v>
      </c>
      <c r="M867" s="43">
        <v>46083</v>
      </c>
      <c r="N867" s="1" t="e">
        <f>VLOOKUP(B867,MICRO!E:L,8,0)</f>
        <v>#N/A</v>
      </c>
    </row>
    <row r="868" spans="1:14" ht="20.25" x14ac:dyDescent="0.25">
      <c r="A868" s="1">
        <v>54</v>
      </c>
      <c r="B868" s="159"/>
      <c r="C868" s="1"/>
      <c r="D868" s="1"/>
      <c r="E868" s="1"/>
      <c r="F868" s="1" t="s">
        <v>2013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2">
        <v>8</v>
      </c>
      <c r="M868" s="43">
        <v>46083</v>
      </c>
      <c r="N868" s="1" t="e">
        <f>VLOOKUP(B868,MICRO!E:L,8,0)</f>
        <v>#N/A</v>
      </c>
    </row>
    <row r="869" spans="1:14" ht="20.25" x14ac:dyDescent="0.25">
      <c r="A869" s="1">
        <v>55</v>
      </c>
      <c r="B869" s="159"/>
      <c r="C869" s="1"/>
      <c r="D869" s="1"/>
      <c r="E869" s="1"/>
      <c r="F869" s="1" t="s">
        <v>2014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2">
        <v>8</v>
      </c>
      <c r="M869" s="43">
        <v>46083</v>
      </c>
      <c r="N869" s="1" t="e">
        <f>VLOOKUP(B869,MICRO!E:L,8,0)</f>
        <v>#N/A</v>
      </c>
    </row>
    <row r="870" spans="1:14" ht="20.25" x14ac:dyDescent="0.25">
      <c r="A870" s="1">
        <v>56</v>
      </c>
      <c r="B870" s="159"/>
      <c r="C870" s="1"/>
      <c r="D870" s="1"/>
      <c r="E870" s="1"/>
      <c r="F870" s="1" t="s">
        <v>2015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2">
        <v>8</v>
      </c>
      <c r="M870" s="43">
        <v>46083</v>
      </c>
      <c r="N870" s="1" t="e">
        <f>VLOOKUP(B870,MICRO!E:L,8,0)</f>
        <v>#N/A</v>
      </c>
    </row>
    <row r="871" spans="1:14" ht="20.25" x14ac:dyDescent="0.25">
      <c r="A871" s="1">
        <v>57</v>
      </c>
      <c r="B871" s="159"/>
      <c r="C871" s="1"/>
      <c r="D871" s="1"/>
      <c r="E871" s="1"/>
      <c r="F871" s="1" t="s">
        <v>2016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2">
        <v>8</v>
      </c>
      <c r="M871" s="43">
        <v>46083</v>
      </c>
      <c r="N871" s="1" t="e">
        <f>VLOOKUP(B871,MICRO!E:L,8,0)</f>
        <v>#N/A</v>
      </c>
    </row>
    <row r="872" spans="1:14" ht="20.25" x14ac:dyDescent="0.25">
      <c r="A872" s="1">
        <v>58</v>
      </c>
      <c r="B872" s="159"/>
      <c r="C872" s="1"/>
      <c r="D872" s="1"/>
      <c r="E872" s="1"/>
      <c r="F872" s="1" t="s">
        <v>2017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2">
        <v>8</v>
      </c>
      <c r="M872" s="43">
        <v>46083</v>
      </c>
      <c r="N872" s="1" t="e">
        <f>VLOOKUP(B872,MICRO!E:L,8,0)</f>
        <v>#N/A</v>
      </c>
    </row>
    <row r="873" spans="1:14" ht="20.25" x14ac:dyDescent="0.25">
      <c r="A873" s="1">
        <v>59</v>
      </c>
      <c r="B873" s="159"/>
      <c r="C873" s="1"/>
      <c r="D873" s="1"/>
      <c r="E873" s="1"/>
      <c r="F873" s="1" t="s">
        <v>2018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2">
        <v>8</v>
      </c>
      <c r="M873" s="43">
        <v>46083</v>
      </c>
      <c r="N873" s="1" t="e">
        <f>VLOOKUP(B873,MICRO!E:L,8,0)</f>
        <v>#N/A</v>
      </c>
    </row>
    <row r="874" spans="1:14" ht="20.25" x14ac:dyDescent="0.25">
      <c r="A874" s="1">
        <v>60</v>
      </c>
      <c r="B874" s="159"/>
      <c r="C874" s="1"/>
      <c r="D874" s="1"/>
      <c r="E874" s="1"/>
      <c r="F874" s="1" t="s">
        <v>2019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2">
        <v>8</v>
      </c>
      <c r="M874" s="43">
        <v>46083</v>
      </c>
      <c r="N874" s="1" t="e">
        <f>VLOOKUP(B874,MICRO!E:L,8,0)</f>
        <v>#N/A</v>
      </c>
    </row>
    <row r="875" spans="1:14" ht="20.25" x14ac:dyDescent="0.25">
      <c r="A875" s="1">
        <v>61</v>
      </c>
      <c r="B875" s="159"/>
      <c r="C875" s="1"/>
      <c r="D875" s="1"/>
      <c r="E875" s="1"/>
      <c r="F875" s="1" t="s">
        <v>2020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2">
        <v>8</v>
      </c>
      <c r="M875" s="43">
        <v>46083</v>
      </c>
      <c r="N875" s="1" t="e">
        <f>VLOOKUP(B875,MICRO!E:L,8,0)</f>
        <v>#N/A</v>
      </c>
    </row>
    <row r="876" spans="1:14" ht="20.25" x14ac:dyDescent="0.25">
      <c r="A876" s="1">
        <v>62</v>
      </c>
      <c r="B876" s="159"/>
      <c r="C876" s="1"/>
      <c r="D876" s="1"/>
      <c r="E876" s="1"/>
      <c r="F876" s="1" t="s">
        <v>2021</v>
      </c>
      <c r="G876" s="1">
        <v>21</v>
      </c>
      <c r="H876" s="1" t="s">
        <v>1253</v>
      </c>
      <c r="I876" s="1"/>
      <c r="J876" s="1">
        <v>0.05</v>
      </c>
      <c r="K876" s="1">
        <v>1.05</v>
      </c>
      <c r="L876" s="42">
        <v>8</v>
      </c>
      <c r="M876" s="43">
        <v>46083</v>
      </c>
      <c r="N876" s="1" t="e">
        <f>VLOOKUP(B876,MICRO!E:L,8,0)</f>
        <v>#N/A</v>
      </c>
    </row>
    <row r="877" spans="1:14" ht="20.25" x14ac:dyDescent="0.25">
      <c r="A877" s="1">
        <v>63</v>
      </c>
      <c r="B877" s="159"/>
      <c r="C877" s="1"/>
      <c r="D877" s="1"/>
      <c r="E877" s="1"/>
      <c r="F877" s="1" t="s">
        <v>2022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2">
        <v>8</v>
      </c>
      <c r="M877" s="43">
        <v>46083</v>
      </c>
      <c r="N877" s="1" t="e">
        <f>VLOOKUP(B877,MICRO!E:L,8,0)</f>
        <v>#N/A</v>
      </c>
    </row>
    <row r="878" spans="1:14" ht="20.25" x14ac:dyDescent="0.25">
      <c r="A878" s="1">
        <v>64</v>
      </c>
      <c r="B878" s="159"/>
      <c r="C878" s="1"/>
      <c r="D878" s="1"/>
      <c r="E878" s="1"/>
      <c r="F878" s="1" t="s">
        <v>2023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2">
        <v>8</v>
      </c>
      <c r="M878" s="43">
        <v>46083</v>
      </c>
      <c r="N878" s="1" t="e">
        <f>VLOOKUP(B878,MICRO!E:L,8,0)</f>
        <v>#N/A</v>
      </c>
    </row>
    <row r="879" spans="1:14" ht="20.25" x14ac:dyDescent="0.25">
      <c r="A879" s="1">
        <v>65</v>
      </c>
      <c r="B879" s="159"/>
      <c r="C879" s="1"/>
      <c r="D879" s="1"/>
      <c r="E879" s="1"/>
      <c r="F879" s="1" t="s">
        <v>2024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2">
        <v>8</v>
      </c>
      <c r="M879" s="43">
        <v>46083</v>
      </c>
      <c r="N879" s="1" t="e">
        <f>VLOOKUP(B879,MICRO!E:L,8,0)</f>
        <v>#N/A</v>
      </c>
    </row>
    <row r="880" spans="1:14" ht="20.25" x14ac:dyDescent="0.25">
      <c r="A880" s="1">
        <v>66</v>
      </c>
      <c r="B880" s="159"/>
      <c r="C880" s="1"/>
      <c r="D880" s="1"/>
      <c r="E880" s="1"/>
      <c r="F880" s="1" t="s">
        <v>2025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2">
        <v>8</v>
      </c>
      <c r="M880" s="43">
        <v>46083</v>
      </c>
      <c r="N880" s="1" t="e">
        <f>VLOOKUP(B880,MICRO!E:L,8,0)</f>
        <v>#N/A</v>
      </c>
    </row>
    <row r="881" spans="1:14" ht="20.25" x14ac:dyDescent="0.25">
      <c r="A881" s="1">
        <v>67</v>
      </c>
      <c r="B881" s="159"/>
      <c r="C881" s="1"/>
      <c r="D881" s="1"/>
      <c r="E881" s="1"/>
      <c r="F881" s="1" t="s">
        <v>2026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2">
        <v>8</v>
      </c>
      <c r="M881" s="43">
        <v>46083</v>
      </c>
      <c r="N881" s="1" t="e">
        <f>VLOOKUP(B881,MICRO!E:L,8,0)</f>
        <v>#N/A</v>
      </c>
    </row>
    <row r="882" spans="1:14" ht="20.25" x14ac:dyDescent="0.25">
      <c r="A882" s="1">
        <v>68</v>
      </c>
      <c r="B882" s="159"/>
      <c r="C882" s="1"/>
      <c r="D882" s="1"/>
      <c r="E882" s="1"/>
      <c r="F882" s="1" t="s">
        <v>2027</v>
      </c>
      <c r="G882" s="1">
        <v>5</v>
      </c>
      <c r="H882" s="1" t="s">
        <v>1253</v>
      </c>
      <c r="I882" s="1"/>
      <c r="J882" s="1">
        <v>0.75</v>
      </c>
      <c r="K882" s="1">
        <v>3.75</v>
      </c>
      <c r="L882" s="42">
        <v>8</v>
      </c>
      <c r="M882" s="43">
        <v>46083</v>
      </c>
      <c r="N882" s="1" t="e">
        <f>VLOOKUP(B882,MICRO!E:L,8,0)</f>
        <v>#N/A</v>
      </c>
    </row>
    <row r="883" spans="1:14" ht="20.25" x14ac:dyDescent="0.25">
      <c r="A883" s="1">
        <v>69</v>
      </c>
      <c r="B883" s="159"/>
      <c r="C883" s="1"/>
      <c r="D883" s="1"/>
      <c r="E883" s="1"/>
      <c r="F883" s="1" t="s">
        <v>2028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2">
        <v>8</v>
      </c>
      <c r="M883" s="43">
        <v>46083</v>
      </c>
      <c r="N883" s="1" t="e">
        <f>VLOOKUP(B883,MICRO!E:L,8,0)</f>
        <v>#N/A</v>
      </c>
    </row>
    <row r="884" spans="1:14" ht="20.25" x14ac:dyDescent="0.25">
      <c r="A884" s="1">
        <v>70</v>
      </c>
      <c r="B884" s="159"/>
      <c r="C884" s="1"/>
      <c r="D884" s="1"/>
      <c r="E884" s="1"/>
      <c r="F884" s="1" t="s">
        <v>2029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2">
        <v>8</v>
      </c>
      <c r="M884" s="43">
        <v>46083</v>
      </c>
      <c r="N884" s="1" t="e">
        <f>VLOOKUP(B884,MICRO!E:L,8,0)</f>
        <v>#N/A</v>
      </c>
    </row>
    <row r="885" spans="1:14" ht="20.25" x14ac:dyDescent="0.25">
      <c r="A885" s="1">
        <v>71</v>
      </c>
      <c r="B885" s="159"/>
      <c r="C885" s="1"/>
      <c r="D885" s="1"/>
      <c r="E885" s="1"/>
      <c r="F885" s="1" t="s">
        <v>2030</v>
      </c>
      <c r="G885" s="1">
        <v>21</v>
      </c>
      <c r="H885" s="1" t="s">
        <v>1253</v>
      </c>
      <c r="I885" s="1"/>
      <c r="J885" s="1">
        <v>0.05</v>
      </c>
      <c r="K885" s="1">
        <v>1.05</v>
      </c>
      <c r="L885" s="42">
        <v>8</v>
      </c>
      <c r="M885" s="43">
        <v>46083</v>
      </c>
      <c r="N885" s="1" t="e">
        <f>VLOOKUP(B885,MICRO!E:L,8,0)</f>
        <v>#N/A</v>
      </c>
    </row>
    <row r="886" spans="1:14" ht="20.25" x14ac:dyDescent="0.25">
      <c r="A886" s="1">
        <v>72</v>
      </c>
      <c r="B886" s="159"/>
      <c r="C886" s="1"/>
      <c r="D886" s="1"/>
      <c r="E886" s="1"/>
      <c r="F886" s="1" t="s">
        <v>2031</v>
      </c>
      <c r="G886" s="1">
        <v>81</v>
      </c>
      <c r="H886" s="1" t="s">
        <v>1253</v>
      </c>
      <c r="I886" s="1"/>
      <c r="J886" s="1">
        <v>0.03</v>
      </c>
      <c r="K886" s="1">
        <v>2.4299999999999997</v>
      </c>
      <c r="L886" s="42">
        <v>8</v>
      </c>
      <c r="M886" s="43">
        <v>46083</v>
      </c>
      <c r="N886" s="1" t="e">
        <f>VLOOKUP(B886,MICRO!E:L,8,0)</f>
        <v>#N/A</v>
      </c>
    </row>
    <row r="887" spans="1:14" ht="20.25" x14ac:dyDescent="0.25">
      <c r="A887" s="1">
        <v>73</v>
      </c>
      <c r="B887" s="159"/>
      <c r="C887" s="1"/>
      <c r="D887" s="1"/>
      <c r="E887" s="1"/>
      <c r="F887" s="1" t="s">
        <v>2032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2">
        <v>8</v>
      </c>
      <c r="M887" s="43">
        <v>46083</v>
      </c>
      <c r="N887" s="1" t="e">
        <f>VLOOKUP(B887,MICRO!E:L,8,0)</f>
        <v>#N/A</v>
      </c>
    </row>
    <row r="888" spans="1:14" ht="20.25" x14ac:dyDescent="0.25">
      <c r="A888" s="1">
        <v>74</v>
      </c>
      <c r="B888" s="159"/>
      <c r="C888" s="1"/>
      <c r="D888" s="1"/>
      <c r="E888" s="1"/>
      <c r="F888" s="1" t="s">
        <v>2033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2">
        <v>8</v>
      </c>
      <c r="M888" s="43">
        <v>46083</v>
      </c>
      <c r="N888" s="1" t="e">
        <f>VLOOKUP(B888,MICRO!E:L,8,0)</f>
        <v>#N/A</v>
      </c>
    </row>
    <row r="889" spans="1:14" ht="20.25" x14ac:dyDescent="0.25">
      <c r="A889" s="1">
        <v>75</v>
      </c>
      <c r="B889" s="159"/>
      <c r="C889" s="1"/>
      <c r="D889" s="1"/>
      <c r="E889" s="1"/>
      <c r="F889" s="1" t="s">
        <v>2034</v>
      </c>
      <c r="G889" s="1">
        <v>6</v>
      </c>
      <c r="H889" s="1" t="s">
        <v>1253</v>
      </c>
      <c r="I889" s="1"/>
      <c r="J889" s="1">
        <v>0.02</v>
      </c>
      <c r="K889" s="1">
        <v>0.12</v>
      </c>
      <c r="L889" s="42">
        <v>8</v>
      </c>
      <c r="M889" s="43">
        <v>46083</v>
      </c>
      <c r="N889" s="1" t="e">
        <f>VLOOKUP(B889,MICRO!E:L,8,0)</f>
        <v>#N/A</v>
      </c>
    </row>
    <row r="890" spans="1:14" ht="20.25" x14ac:dyDescent="0.25">
      <c r="A890" s="1">
        <v>76</v>
      </c>
      <c r="B890" s="159"/>
      <c r="C890" s="1"/>
      <c r="D890" s="1"/>
      <c r="E890" s="1"/>
      <c r="F890" s="1" t="s">
        <v>2035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2">
        <v>8</v>
      </c>
      <c r="M890" s="43">
        <v>46083</v>
      </c>
      <c r="N890" s="1" t="e">
        <f>VLOOKUP(B890,MICRO!E:L,8,0)</f>
        <v>#N/A</v>
      </c>
    </row>
    <row r="891" spans="1:14" ht="20.25" x14ac:dyDescent="0.25">
      <c r="A891" s="1">
        <v>77</v>
      </c>
      <c r="B891" s="159"/>
      <c r="C891" s="1"/>
      <c r="D891" s="1"/>
      <c r="E891" s="1"/>
      <c r="F891" s="1" t="s">
        <v>2036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2">
        <v>8</v>
      </c>
      <c r="M891" s="43">
        <v>46083</v>
      </c>
      <c r="N891" s="1" t="e">
        <f>VLOOKUP(B891,MICRO!E:L,8,0)</f>
        <v>#N/A</v>
      </c>
    </row>
    <row r="892" spans="1:14" ht="20.25" x14ac:dyDescent="0.25">
      <c r="A892" s="1">
        <v>78</v>
      </c>
      <c r="B892" s="159"/>
      <c r="C892" s="1"/>
      <c r="D892" s="1"/>
      <c r="E892" s="1"/>
      <c r="F892" s="1" t="s">
        <v>2037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2">
        <v>8</v>
      </c>
      <c r="M892" s="43">
        <v>46083</v>
      </c>
      <c r="N892" s="1" t="e">
        <f>VLOOKUP(B892,MICRO!E:L,8,0)</f>
        <v>#N/A</v>
      </c>
    </row>
    <row r="893" spans="1:14" ht="20.25" x14ac:dyDescent="0.25">
      <c r="A893" s="1">
        <v>79</v>
      </c>
      <c r="B893" s="159"/>
      <c r="C893" s="1"/>
      <c r="D893" s="1"/>
      <c r="E893" s="1"/>
      <c r="F893" s="1" t="s">
        <v>2038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2">
        <v>8</v>
      </c>
      <c r="M893" s="43">
        <v>46083</v>
      </c>
      <c r="N893" s="1" t="e">
        <f>VLOOKUP(B893,MICRO!E:L,8,0)</f>
        <v>#N/A</v>
      </c>
    </row>
    <row r="894" spans="1:14" ht="20.25" x14ac:dyDescent="0.25">
      <c r="A894" s="1">
        <v>80</v>
      </c>
      <c r="B894" s="159"/>
      <c r="C894" s="1"/>
      <c r="D894" s="1"/>
      <c r="E894" s="1"/>
      <c r="F894" s="1" t="s">
        <v>2039</v>
      </c>
      <c r="G894" s="1">
        <v>5</v>
      </c>
      <c r="H894" s="1" t="s">
        <v>1253</v>
      </c>
      <c r="I894" s="1"/>
      <c r="J894" s="1">
        <v>1.5</v>
      </c>
      <c r="K894" s="1">
        <v>7.5</v>
      </c>
      <c r="L894" s="42">
        <v>8</v>
      </c>
      <c r="M894" s="43">
        <v>46083</v>
      </c>
      <c r="N894" s="1" t="e">
        <f>VLOOKUP(B894,MICRO!E:L,8,0)</f>
        <v>#N/A</v>
      </c>
    </row>
    <row r="895" spans="1:14" ht="20.25" x14ac:dyDescent="0.25">
      <c r="A895" s="1">
        <v>81</v>
      </c>
      <c r="B895" s="159"/>
      <c r="C895" s="1"/>
      <c r="D895" s="1"/>
      <c r="E895" s="1"/>
      <c r="F895" s="1" t="s">
        <v>2040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2">
        <v>8</v>
      </c>
      <c r="M895" s="43">
        <v>46083</v>
      </c>
      <c r="N895" s="1" t="e">
        <f>VLOOKUP(B895,MICRO!E:L,8,0)</f>
        <v>#N/A</v>
      </c>
    </row>
    <row r="896" spans="1:14" ht="20.25" x14ac:dyDescent="0.25">
      <c r="A896" s="1">
        <v>82</v>
      </c>
      <c r="B896" s="159"/>
      <c r="C896" s="1"/>
      <c r="D896" s="1"/>
      <c r="E896" s="1"/>
      <c r="F896" s="1" t="s">
        <v>2041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2">
        <v>8</v>
      </c>
      <c r="M896" s="43">
        <v>46083</v>
      </c>
      <c r="N896" s="1" t="e">
        <f>VLOOKUP(B896,MICRO!E:L,8,0)</f>
        <v>#N/A</v>
      </c>
    </row>
    <row r="897" spans="1:14" ht="20.25" x14ac:dyDescent="0.25">
      <c r="A897" s="1">
        <v>83</v>
      </c>
      <c r="B897" s="159"/>
      <c r="C897" s="1"/>
      <c r="D897" s="1"/>
      <c r="E897" s="1"/>
      <c r="F897" s="1" t="s">
        <v>2042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2">
        <v>8</v>
      </c>
      <c r="M897" s="43">
        <v>46083</v>
      </c>
      <c r="N897" s="1" t="e">
        <f>VLOOKUP(B897,MICRO!E:L,8,0)</f>
        <v>#N/A</v>
      </c>
    </row>
    <row r="898" spans="1:14" ht="20.25" x14ac:dyDescent="0.25">
      <c r="A898" s="1">
        <v>84</v>
      </c>
      <c r="B898" s="159"/>
      <c r="C898" s="1"/>
      <c r="D898" s="1"/>
      <c r="E898" s="1"/>
      <c r="F898" s="1" t="s">
        <v>2043</v>
      </c>
      <c r="G898" s="1">
        <v>38</v>
      </c>
      <c r="H898" s="1" t="s">
        <v>1253</v>
      </c>
      <c r="I898" s="1"/>
      <c r="J898" s="1">
        <v>0.03</v>
      </c>
      <c r="K898" s="1">
        <v>1.1399999999999999</v>
      </c>
      <c r="L898" s="42">
        <v>8</v>
      </c>
      <c r="M898" s="43">
        <v>46083</v>
      </c>
      <c r="N898" s="1" t="e">
        <f>VLOOKUP(B898,MICRO!E:L,8,0)</f>
        <v>#N/A</v>
      </c>
    </row>
    <row r="899" spans="1:14" ht="20.25" x14ac:dyDescent="0.25">
      <c r="A899" s="1">
        <v>85</v>
      </c>
      <c r="B899" s="159"/>
      <c r="C899" s="1"/>
      <c r="D899" s="1"/>
      <c r="E899" s="1"/>
      <c r="F899" s="1" t="s">
        <v>2044</v>
      </c>
      <c r="G899" s="1">
        <v>78</v>
      </c>
      <c r="H899" s="1" t="s">
        <v>1253</v>
      </c>
      <c r="I899" s="1"/>
      <c r="J899" s="1">
        <v>0.05</v>
      </c>
      <c r="K899" s="1">
        <v>3.9000000000000004</v>
      </c>
      <c r="L899" s="42">
        <v>8</v>
      </c>
      <c r="M899" s="43">
        <v>46083</v>
      </c>
      <c r="N899" s="1" t="e">
        <f>VLOOKUP(B899,MICRO!E:L,8,0)</f>
        <v>#N/A</v>
      </c>
    </row>
    <row r="900" spans="1:14" ht="20.25" x14ac:dyDescent="0.25">
      <c r="A900" s="1">
        <v>86</v>
      </c>
      <c r="B900" s="159"/>
      <c r="C900" s="1"/>
      <c r="D900" s="1"/>
      <c r="E900" s="1"/>
      <c r="F900" s="1" t="s">
        <v>2045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2">
        <v>8</v>
      </c>
      <c r="M900" s="43">
        <v>46083</v>
      </c>
      <c r="N900" s="1" t="e">
        <f>VLOOKUP(B900,MICRO!E:L,8,0)</f>
        <v>#N/A</v>
      </c>
    </row>
    <row r="901" spans="1:14" ht="20.25" x14ac:dyDescent="0.25">
      <c r="A901" s="1">
        <v>87</v>
      </c>
      <c r="B901" s="159"/>
      <c r="C901" s="1"/>
      <c r="D901" s="1"/>
      <c r="E901" s="1"/>
      <c r="F901" s="1" t="s">
        <v>2046</v>
      </c>
      <c r="G901" s="1">
        <v>6</v>
      </c>
      <c r="H901" s="1" t="s">
        <v>1253</v>
      </c>
      <c r="I901" s="1"/>
      <c r="J901" s="1">
        <v>0.04</v>
      </c>
      <c r="K901" s="1">
        <v>0.24</v>
      </c>
      <c r="L901" s="42">
        <v>8</v>
      </c>
      <c r="M901" s="43">
        <v>46083</v>
      </c>
      <c r="N901" s="1" t="e">
        <f>VLOOKUP(B901,MICRO!E:L,8,0)</f>
        <v>#N/A</v>
      </c>
    </row>
    <row r="902" spans="1:14" ht="20.25" x14ac:dyDescent="0.25">
      <c r="A902" s="1">
        <v>88</v>
      </c>
      <c r="B902" s="159"/>
      <c r="C902" s="1" t="s">
        <v>2047</v>
      </c>
      <c r="D902" s="1"/>
      <c r="E902" s="1"/>
      <c r="F902" s="1" t="s">
        <v>2048</v>
      </c>
      <c r="G902" s="1">
        <v>5</v>
      </c>
      <c r="H902" s="1" t="s">
        <v>19</v>
      </c>
      <c r="I902" s="1" t="s">
        <v>2049</v>
      </c>
      <c r="J902" s="1">
        <v>0.02</v>
      </c>
      <c r="K902" s="1">
        <v>0.1</v>
      </c>
      <c r="L902" s="42">
        <v>8</v>
      </c>
      <c r="M902" s="43">
        <v>46083</v>
      </c>
      <c r="N902" s="1" t="e">
        <f>VLOOKUP(B902,MICRO!E:L,8,0)</f>
        <v>#N/A</v>
      </c>
    </row>
    <row r="903" spans="1:14" ht="20.25" x14ac:dyDescent="0.25">
      <c r="A903" s="1">
        <v>89</v>
      </c>
      <c r="B903" s="159"/>
      <c r="C903" s="1" t="s">
        <v>2047</v>
      </c>
      <c r="D903" s="1"/>
      <c r="E903" s="1"/>
      <c r="F903" s="1" t="s">
        <v>2050</v>
      </c>
      <c r="G903" s="1">
        <v>10</v>
      </c>
      <c r="H903" s="1" t="s">
        <v>19</v>
      </c>
      <c r="I903" s="1" t="s">
        <v>2049</v>
      </c>
      <c r="J903" s="1">
        <v>0.8</v>
      </c>
      <c r="K903" s="1">
        <v>8</v>
      </c>
      <c r="L903" s="42">
        <v>8</v>
      </c>
      <c r="M903" s="43">
        <v>46083</v>
      </c>
      <c r="N903" s="1" t="e">
        <f>VLOOKUP(B903,MICRO!E:L,8,0)</f>
        <v>#N/A</v>
      </c>
    </row>
    <row r="904" spans="1:14" ht="20.25" x14ac:dyDescent="0.25">
      <c r="A904" s="1">
        <v>90</v>
      </c>
      <c r="B904" s="159"/>
      <c r="C904" s="1" t="s">
        <v>2047</v>
      </c>
      <c r="D904" s="1"/>
      <c r="E904" s="1"/>
      <c r="F904" s="1" t="s">
        <v>2051</v>
      </c>
      <c r="G904" s="1">
        <v>14</v>
      </c>
      <c r="H904" s="1" t="s">
        <v>19</v>
      </c>
      <c r="I904" s="1" t="s">
        <v>2049</v>
      </c>
      <c r="J904" s="1">
        <v>1.2</v>
      </c>
      <c r="K904" s="1">
        <v>16.8</v>
      </c>
      <c r="L904" s="42">
        <v>8</v>
      </c>
      <c r="M904" s="43">
        <v>46083</v>
      </c>
      <c r="N904" s="1" t="e">
        <f>VLOOKUP(B904,MICRO!E:L,8,0)</f>
        <v>#N/A</v>
      </c>
    </row>
    <row r="905" spans="1:14" ht="20.25" x14ac:dyDescent="0.25">
      <c r="A905" s="1">
        <v>91</v>
      </c>
      <c r="B905" s="159"/>
      <c r="C905" s="1" t="s">
        <v>2047</v>
      </c>
      <c r="D905" s="1"/>
      <c r="E905" s="1"/>
      <c r="F905" s="1" t="s">
        <v>2052</v>
      </c>
      <c r="G905" s="1">
        <v>3</v>
      </c>
      <c r="H905" s="1" t="s">
        <v>19</v>
      </c>
      <c r="I905" s="1" t="s">
        <v>2049</v>
      </c>
      <c r="J905" s="1">
        <v>0.03</v>
      </c>
      <c r="K905" s="1">
        <v>0.09</v>
      </c>
      <c r="L905" s="42">
        <v>8</v>
      </c>
      <c r="M905" s="43">
        <v>46083</v>
      </c>
      <c r="N905" s="1" t="e">
        <f>VLOOKUP(B905,MICRO!E:L,8,0)</f>
        <v>#N/A</v>
      </c>
    </row>
    <row r="906" spans="1:14" ht="20.25" x14ac:dyDescent="0.25">
      <c r="A906" s="1">
        <v>92</v>
      </c>
      <c r="B906" s="159"/>
      <c r="C906" s="1" t="s">
        <v>2047</v>
      </c>
      <c r="D906" s="1"/>
      <c r="E906" s="1"/>
      <c r="F906" s="1" t="s">
        <v>2053</v>
      </c>
      <c r="G906" s="1">
        <v>5</v>
      </c>
      <c r="H906" s="1" t="s">
        <v>1253</v>
      </c>
      <c r="I906" s="1" t="s">
        <v>2049</v>
      </c>
      <c r="J906" s="1">
        <v>1.5</v>
      </c>
      <c r="K906" s="1">
        <v>7.5</v>
      </c>
      <c r="L906" s="42">
        <v>8</v>
      </c>
      <c r="M906" s="43">
        <v>46083</v>
      </c>
      <c r="N906" s="1" t="e">
        <f>VLOOKUP(B906,MICRO!E:L,8,0)</f>
        <v>#N/A</v>
      </c>
    </row>
    <row r="907" spans="1:14" ht="20.25" x14ac:dyDescent="0.25">
      <c r="A907" s="1">
        <v>93</v>
      </c>
      <c r="B907" s="159"/>
      <c r="C907" s="1" t="s">
        <v>2047</v>
      </c>
      <c r="D907" s="1"/>
      <c r="E907" s="1"/>
      <c r="F907" s="1" t="s">
        <v>2054</v>
      </c>
      <c r="G907" s="1">
        <v>20</v>
      </c>
      <c r="H907" s="1" t="s">
        <v>19</v>
      </c>
      <c r="I907" s="1" t="s">
        <v>2049</v>
      </c>
      <c r="J907" s="1">
        <v>0.01</v>
      </c>
      <c r="K907" s="1">
        <v>0.2</v>
      </c>
      <c r="L907" s="42">
        <v>8</v>
      </c>
      <c r="M907" s="43">
        <v>46083</v>
      </c>
      <c r="N907" s="1" t="e">
        <f>VLOOKUP(B907,MICRO!E:L,8,0)</f>
        <v>#N/A</v>
      </c>
    </row>
    <row r="908" spans="1:14" ht="20.25" x14ac:dyDescent="0.25">
      <c r="A908" s="1">
        <v>94</v>
      </c>
      <c r="B908" s="159"/>
      <c r="C908" s="1" t="s">
        <v>2047</v>
      </c>
      <c r="D908" s="1"/>
      <c r="E908" s="1"/>
      <c r="F908" s="1" t="s">
        <v>2055</v>
      </c>
      <c r="G908" s="1">
        <v>10</v>
      </c>
      <c r="H908" s="1" t="s">
        <v>19</v>
      </c>
      <c r="I908" s="1" t="s">
        <v>2049</v>
      </c>
      <c r="J908" s="1">
        <v>0.02</v>
      </c>
      <c r="K908" s="1">
        <v>0.2</v>
      </c>
      <c r="L908" s="42">
        <v>8</v>
      </c>
      <c r="M908" s="43">
        <v>46083</v>
      </c>
      <c r="N908" s="1" t="e">
        <f>VLOOKUP(B908,MICRO!E:L,8,0)</f>
        <v>#N/A</v>
      </c>
    </row>
    <row r="909" spans="1:14" ht="20.25" x14ac:dyDescent="0.25">
      <c r="A909" s="1">
        <v>95</v>
      </c>
      <c r="B909" s="159"/>
      <c r="C909" s="1" t="s">
        <v>2047</v>
      </c>
      <c r="D909" s="1"/>
      <c r="E909" s="1"/>
      <c r="F909" s="1" t="s">
        <v>2056</v>
      </c>
      <c r="G909" s="1">
        <v>170</v>
      </c>
      <c r="H909" s="1" t="s">
        <v>1253</v>
      </c>
      <c r="I909" s="1" t="s">
        <v>2049</v>
      </c>
      <c r="J909" s="1">
        <v>0.05</v>
      </c>
      <c r="K909" s="1">
        <v>8.5</v>
      </c>
      <c r="L909" s="42">
        <v>8</v>
      </c>
      <c r="M909" s="43">
        <v>46083</v>
      </c>
      <c r="N909" s="1" t="e">
        <f>VLOOKUP(B909,MICRO!E:L,8,0)</f>
        <v>#N/A</v>
      </c>
    </row>
    <row r="910" spans="1:14" ht="20.25" x14ac:dyDescent="0.25">
      <c r="A910" s="1">
        <v>96</v>
      </c>
      <c r="B910" s="159"/>
      <c r="C910" s="1" t="s">
        <v>2047</v>
      </c>
      <c r="D910" s="1"/>
      <c r="E910" s="1"/>
      <c r="F910" s="1" t="s">
        <v>2057</v>
      </c>
      <c r="G910" s="1">
        <v>6</v>
      </c>
      <c r="H910" s="1" t="s">
        <v>19</v>
      </c>
      <c r="I910" s="1" t="s">
        <v>2049</v>
      </c>
      <c r="J910" s="1">
        <v>0.03</v>
      </c>
      <c r="K910" s="1">
        <v>0.18</v>
      </c>
      <c r="L910" s="42">
        <v>8</v>
      </c>
      <c r="M910" s="43">
        <v>46083</v>
      </c>
      <c r="N910" s="1" t="e">
        <f>VLOOKUP(B910,MICRO!E:L,8,0)</f>
        <v>#N/A</v>
      </c>
    </row>
    <row r="911" spans="1:14" ht="20.25" x14ac:dyDescent="0.25">
      <c r="A911" s="1">
        <v>97</v>
      </c>
      <c r="B911" s="159"/>
      <c r="C911" s="1" t="s">
        <v>2047</v>
      </c>
      <c r="D911" s="1"/>
      <c r="E911" s="1"/>
      <c r="F911" s="1" t="s">
        <v>2058</v>
      </c>
      <c r="G911" s="1">
        <v>4</v>
      </c>
      <c r="H911" s="1" t="s">
        <v>1253</v>
      </c>
      <c r="I911" s="1" t="s">
        <v>2049</v>
      </c>
      <c r="J911" s="1">
        <v>0.04</v>
      </c>
      <c r="K911" s="1">
        <v>0.16</v>
      </c>
      <c r="L911" s="42">
        <v>8</v>
      </c>
      <c r="M911" s="43">
        <v>46083</v>
      </c>
      <c r="N911" s="1" t="e">
        <f>VLOOKUP(B911,MICRO!E:L,8,0)</f>
        <v>#N/A</v>
      </c>
    </row>
    <row r="912" spans="1:14" ht="20.25" x14ac:dyDescent="0.25">
      <c r="A912" s="1">
        <v>1</v>
      </c>
      <c r="B912" s="159">
        <v>3261</v>
      </c>
      <c r="C912" s="1" t="s">
        <v>77</v>
      </c>
      <c r="D912" s="1"/>
      <c r="E912" s="1"/>
      <c r="F912" s="1" t="s">
        <v>677</v>
      </c>
      <c r="G912" s="1">
        <v>12</v>
      </c>
      <c r="H912" s="1" t="s">
        <v>19</v>
      </c>
      <c r="I912" s="1" t="s">
        <v>2068</v>
      </c>
      <c r="J912" s="1">
        <v>6</v>
      </c>
      <c r="K912" s="1">
        <v>72</v>
      </c>
      <c r="L912" s="42">
        <v>1</v>
      </c>
      <c r="M912" s="43">
        <v>46092</v>
      </c>
      <c r="N912" s="1" t="e">
        <f>VLOOKUP(B912,MICRO!E:L,8,0)</f>
        <v>#N/A</v>
      </c>
    </row>
    <row r="913" spans="1:14" ht="20.25" x14ac:dyDescent="0.25">
      <c r="A913" s="1">
        <v>1</v>
      </c>
      <c r="B913" s="159"/>
      <c r="C913" s="1" t="s">
        <v>2072</v>
      </c>
      <c r="D913" s="1"/>
      <c r="E913" s="1"/>
      <c r="F913" s="1" t="s">
        <v>2073</v>
      </c>
      <c r="G913" s="1">
        <v>44</v>
      </c>
      <c r="H913" s="1" t="s">
        <v>19</v>
      </c>
      <c r="I913" s="1" t="s">
        <v>423</v>
      </c>
      <c r="J913" s="1">
        <v>0.05</v>
      </c>
      <c r="K913" s="1">
        <v>2.2000000000000002</v>
      </c>
      <c r="L913" s="42">
        <v>7</v>
      </c>
      <c r="M913" s="43">
        <v>46099</v>
      </c>
      <c r="N913" s="1" t="e">
        <f>VLOOKUP(B913,MICRO!E:L,8,0)</f>
        <v>#N/A</v>
      </c>
    </row>
    <row r="914" spans="1:14" ht="20.25" x14ac:dyDescent="0.25">
      <c r="A914" s="1">
        <v>2</v>
      </c>
      <c r="B914" s="159"/>
      <c r="C914" s="1" t="s">
        <v>1528</v>
      </c>
      <c r="D914" s="1"/>
      <c r="E914" s="1"/>
      <c r="F914" s="1" t="s">
        <v>2074</v>
      </c>
      <c r="G914" s="1">
        <v>16</v>
      </c>
      <c r="H914" s="1" t="s">
        <v>19</v>
      </c>
      <c r="I914" s="1" t="s">
        <v>425</v>
      </c>
      <c r="J914" s="1">
        <v>0.05</v>
      </c>
      <c r="K914" s="1">
        <v>0.8</v>
      </c>
      <c r="L914" s="42">
        <v>7</v>
      </c>
      <c r="M914" s="43">
        <v>46099</v>
      </c>
      <c r="N914" s="1" t="e">
        <f>VLOOKUP(B914,MICRO!E:L,8,0)</f>
        <v>#N/A</v>
      </c>
    </row>
    <row r="915" spans="1:14" ht="20.25" x14ac:dyDescent="0.25">
      <c r="A915" s="1">
        <v>3</v>
      </c>
      <c r="B915" s="159"/>
      <c r="C915" s="1" t="s">
        <v>1439</v>
      </c>
      <c r="D915" s="1"/>
      <c r="E915" s="1"/>
      <c r="F915" s="1" t="s">
        <v>2075</v>
      </c>
      <c r="G915" s="1">
        <v>32</v>
      </c>
      <c r="H915" s="1" t="s">
        <v>19</v>
      </c>
      <c r="I915" s="1" t="s">
        <v>426</v>
      </c>
      <c r="J915" s="1">
        <v>0.05</v>
      </c>
      <c r="K915" s="1">
        <v>1.6</v>
      </c>
      <c r="L915" s="42">
        <v>7</v>
      </c>
      <c r="M915" s="43">
        <v>46099</v>
      </c>
      <c r="N915" s="1" t="e">
        <f>VLOOKUP(B915,MICRO!E:L,8,0)</f>
        <v>#N/A</v>
      </c>
    </row>
    <row r="916" spans="1:14" ht="20.25" x14ac:dyDescent="0.25">
      <c r="A916" s="1">
        <v>4</v>
      </c>
      <c r="B916" s="159"/>
      <c r="C916" s="1" t="s">
        <v>1441</v>
      </c>
      <c r="D916" s="1"/>
      <c r="E916" s="1"/>
      <c r="F916" s="1" t="s">
        <v>2076</v>
      </c>
      <c r="G916" s="1">
        <v>24</v>
      </c>
      <c r="H916" s="1" t="s">
        <v>19</v>
      </c>
      <c r="I916" s="1" t="s">
        <v>426</v>
      </c>
      <c r="J916" s="1">
        <v>0.05</v>
      </c>
      <c r="K916" s="1">
        <v>1.2000000000000002</v>
      </c>
      <c r="L916" s="42">
        <v>7</v>
      </c>
      <c r="M916" s="43">
        <v>46099</v>
      </c>
      <c r="N916" s="1" t="e">
        <f>VLOOKUP(B916,MICRO!E:L,8,0)</f>
        <v>#N/A</v>
      </c>
    </row>
    <row r="917" spans="1:14" ht="20.25" x14ac:dyDescent="0.25">
      <c r="A917" s="1">
        <v>5</v>
      </c>
      <c r="B917" s="159"/>
      <c r="C917" s="1" t="s">
        <v>1443</v>
      </c>
      <c r="D917" s="1"/>
      <c r="E917" s="1"/>
      <c r="F917" s="1" t="s">
        <v>2077</v>
      </c>
      <c r="G917" s="1">
        <v>24</v>
      </c>
      <c r="H917" s="1" t="s">
        <v>19</v>
      </c>
      <c r="I917" s="1" t="s">
        <v>426</v>
      </c>
      <c r="J917" s="1">
        <v>0.05</v>
      </c>
      <c r="K917" s="1">
        <v>1.2000000000000002</v>
      </c>
      <c r="L917" s="42">
        <v>7</v>
      </c>
      <c r="M917" s="43">
        <v>46099</v>
      </c>
      <c r="N917" s="1" t="e">
        <f>VLOOKUP(B917,MICRO!E:L,8,0)</f>
        <v>#N/A</v>
      </c>
    </row>
    <row r="918" spans="1:14" ht="20.25" x14ac:dyDescent="0.25">
      <c r="A918" s="1">
        <v>6</v>
      </c>
      <c r="B918" s="159"/>
      <c r="C918" s="1" t="s">
        <v>1430</v>
      </c>
      <c r="D918" s="1"/>
      <c r="E918" s="1"/>
      <c r="F918" s="1" t="s">
        <v>2077</v>
      </c>
      <c r="G918" s="1">
        <v>16</v>
      </c>
      <c r="H918" s="1" t="s">
        <v>19</v>
      </c>
      <c r="I918" s="1" t="s">
        <v>424</v>
      </c>
      <c r="J918" s="1">
        <v>0.05</v>
      </c>
      <c r="K918" s="1">
        <v>0.8</v>
      </c>
      <c r="L918" s="42">
        <v>7</v>
      </c>
      <c r="M918" s="43">
        <v>46099</v>
      </c>
      <c r="N918" s="1" t="e">
        <f>VLOOKUP(B918,MICRO!E:L,8,0)</f>
        <v>#N/A</v>
      </c>
    </row>
    <row r="919" spans="1:14" ht="20.25" x14ac:dyDescent="0.25">
      <c r="A919" s="1">
        <v>7</v>
      </c>
      <c r="B919" s="159"/>
      <c r="C919" s="1" t="s">
        <v>1447</v>
      </c>
      <c r="D919" s="1"/>
      <c r="E919" s="1"/>
      <c r="F919" s="1" t="s">
        <v>2078</v>
      </c>
      <c r="G919" s="1">
        <v>28</v>
      </c>
      <c r="H919" s="1" t="s">
        <v>19</v>
      </c>
      <c r="I919" s="1" t="s">
        <v>427</v>
      </c>
      <c r="J919" s="1">
        <v>0.05</v>
      </c>
      <c r="K919" s="1">
        <v>1.4000000000000001</v>
      </c>
      <c r="L919" s="42">
        <v>7</v>
      </c>
      <c r="M919" s="43">
        <v>46099</v>
      </c>
      <c r="N919" s="1" t="e">
        <f>VLOOKUP(B919,MICRO!E:L,8,0)</f>
        <v>#N/A</v>
      </c>
    </row>
    <row r="920" spans="1:14" ht="20.25" x14ac:dyDescent="0.25">
      <c r="A920" s="1">
        <v>8</v>
      </c>
      <c r="B920" s="159"/>
      <c r="C920" s="1" t="s">
        <v>1414</v>
      </c>
      <c r="D920" s="1"/>
      <c r="E920" s="1"/>
      <c r="F920" s="1" t="s">
        <v>2079</v>
      </c>
      <c r="G920" s="1">
        <v>2</v>
      </c>
      <c r="H920" s="1" t="s">
        <v>19</v>
      </c>
      <c r="I920" s="1" t="s">
        <v>423</v>
      </c>
      <c r="J920" s="1">
        <v>0.05</v>
      </c>
      <c r="K920" s="1">
        <v>0.1</v>
      </c>
      <c r="L920" s="42">
        <v>7</v>
      </c>
      <c r="M920" s="43">
        <v>46099</v>
      </c>
      <c r="N920" s="1" t="e">
        <f>VLOOKUP(B920,MICRO!E:L,8,0)</f>
        <v>#N/A</v>
      </c>
    </row>
    <row r="921" spans="1:14" ht="20.25" x14ac:dyDescent="0.25">
      <c r="A921" s="1">
        <v>9</v>
      </c>
      <c r="B921" s="159"/>
      <c r="C921" s="1" t="s">
        <v>1402</v>
      </c>
      <c r="D921" s="1"/>
      <c r="E921" s="1"/>
      <c r="F921" s="1" t="s">
        <v>2080</v>
      </c>
      <c r="G921" s="1">
        <v>2</v>
      </c>
      <c r="H921" s="1" t="s">
        <v>19</v>
      </c>
      <c r="I921" s="1" t="s">
        <v>1404</v>
      </c>
      <c r="J921" s="1">
        <v>0.05</v>
      </c>
      <c r="K921" s="1">
        <v>0.1</v>
      </c>
      <c r="L921" s="42">
        <v>7</v>
      </c>
      <c r="M921" s="43">
        <v>46099</v>
      </c>
      <c r="N921" s="1" t="e">
        <f>VLOOKUP(B921,MICRO!E:L,8,0)</f>
        <v>#N/A</v>
      </c>
    </row>
    <row r="922" spans="1:14" ht="20.25" x14ac:dyDescent="0.25">
      <c r="A922" s="1">
        <v>10</v>
      </c>
      <c r="B922" s="159"/>
      <c r="C922" s="1" t="s">
        <v>1412</v>
      </c>
      <c r="D922" s="1"/>
      <c r="E922" s="1"/>
      <c r="F922" s="1" t="s">
        <v>2081</v>
      </c>
      <c r="G922" s="1">
        <v>2</v>
      </c>
      <c r="H922" s="1" t="s">
        <v>19</v>
      </c>
      <c r="I922" s="1" t="s">
        <v>427</v>
      </c>
      <c r="J922" s="1">
        <v>0.05</v>
      </c>
      <c r="K922" s="1">
        <v>0.1</v>
      </c>
      <c r="L922" s="42">
        <v>7</v>
      </c>
      <c r="M922" s="43">
        <v>46099</v>
      </c>
      <c r="N922" s="1" t="e">
        <f>VLOOKUP(B922,MICRO!E:L,8,0)</f>
        <v>#N/A</v>
      </c>
    </row>
    <row r="923" spans="1:14" ht="20.25" x14ac:dyDescent="0.25">
      <c r="A923" s="1">
        <v>11</v>
      </c>
      <c r="B923" s="159"/>
      <c r="C923" s="1" t="s">
        <v>1416</v>
      </c>
      <c r="D923" s="1"/>
      <c r="E923" s="1"/>
      <c r="F923" s="1" t="s">
        <v>2082</v>
      </c>
      <c r="G923" s="1">
        <v>2</v>
      </c>
      <c r="H923" s="1" t="s">
        <v>19</v>
      </c>
      <c r="I923" s="1" t="s">
        <v>426</v>
      </c>
      <c r="J923" s="1">
        <v>0.05</v>
      </c>
      <c r="K923" s="1">
        <v>0.1</v>
      </c>
      <c r="L923" s="42">
        <v>7</v>
      </c>
      <c r="M923" s="43">
        <v>46099</v>
      </c>
      <c r="N923" s="1" t="e">
        <f>VLOOKUP(B923,MICRO!E:L,8,0)</f>
        <v>#N/A</v>
      </c>
    </row>
    <row r="924" spans="1:14" ht="20.25" x14ac:dyDescent="0.25">
      <c r="A924" s="1">
        <v>14</v>
      </c>
      <c r="B924" s="159"/>
      <c r="C924" s="1" t="s">
        <v>2083</v>
      </c>
      <c r="D924" s="1"/>
      <c r="E924" s="1"/>
      <c r="F924" s="1" t="s">
        <v>2084</v>
      </c>
      <c r="G924" s="1">
        <v>5</v>
      </c>
      <c r="H924" s="1" t="s">
        <v>19</v>
      </c>
      <c r="I924" s="1" t="s">
        <v>423</v>
      </c>
      <c r="J924" s="1">
        <v>0.05</v>
      </c>
      <c r="K924" s="1">
        <v>0.25</v>
      </c>
      <c r="L924" s="42">
        <v>7</v>
      </c>
      <c r="M924" s="43">
        <v>46099</v>
      </c>
      <c r="N924" s="1" t="e">
        <f>VLOOKUP(B924,MICRO!E:L,8,0)</f>
        <v>#N/A</v>
      </c>
    </row>
    <row r="925" spans="1:14" ht="20.25" x14ac:dyDescent="0.25">
      <c r="A925" s="1">
        <v>15</v>
      </c>
      <c r="B925" s="159"/>
      <c r="C925" s="1" t="s">
        <v>2083</v>
      </c>
      <c r="D925" s="1"/>
      <c r="E925" s="1"/>
      <c r="F925" s="1" t="s">
        <v>2085</v>
      </c>
      <c r="G925" s="1">
        <v>3</v>
      </c>
      <c r="H925" s="1" t="s">
        <v>19</v>
      </c>
      <c r="I925" s="1" t="s">
        <v>423</v>
      </c>
      <c r="J925" s="1">
        <v>0.02</v>
      </c>
      <c r="K925" s="1">
        <v>0.06</v>
      </c>
      <c r="L925" s="42">
        <v>7</v>
      </c>
      <c r="M925" s="43">
        <v>46099</v>
      </c>
      <c r="N925" s="1" t="e">
        <f>VLOOKUP(B925,MICRO!E:L,8,0)</f>
        <v>#N/A</v>
      </c>
    </row>
    <row r="926" spans="1:14" ht="20.25" x14ac:dyDescent="0.25">
      <c r="A926" s="1">
        <v>16</v>
      </c>
      <c r="B926" s="159"/>
      <c r="C926" s="1" t="s">
        <v>2083</v>
      </c>
      <c r="D926" s="1"/>
      <c r="E926" s="1"/>
      <c r="F926" s="1" t="s">
        <v>2086</v>
      </c>
      <c r="G926" s="1">
        <v>3</v>
      </c>
      <c r="H926" s="1" t="s">
        <v>19</v>
      </c>
      <c r="I926" s="1" t="s">
        <v>423</v>
      </c>
      <c r="J926" s="1">
        <v>0.05</v>
      </c>
      <c r="K926" s="1">
        <v>0.15000000000000002</v>
      </c>
      <c r="L926" s="42">
        <v>7</v>
      </c>
      <c r="M926" s="43">
        <v>46099</v>
      </c>
      <c r="N926" s="1" t="e">
        <f>VLOOKUP(B926,MICRO!E:L,8,0)</f>
        <v>#N/A</v>
      </c>
    </row>
    <row r="927" spans="1:14" ht="20.25" x14ac:dyDescent="0.25">
      <c r="A927" s="1">
        <v>17</v>
      </c>
      <c r="B927" s="159"/>
      <c r="C927" s="1" t="s">
        <v>2083</v>
      </c>
      <c r="D927" s="1"/>
      <c r="E927" s="1"/>
      <c r="F927" s="1" t="s">
        <v>2087</v>
      </c>
      <c r="G927" s="1">
        <v>3</v>
      </c>
      <c r="H927" s="1" t="s">
        <v>19</v>
      </c>
      <c r="I927" s="1" t="s">
        <v>423</v>
      </c>
      <c r="J927" s="1">
        <v>0.04</v>
      </c>
      <c r="K927" s="1">
        <v>0.12</v>
      </c>
      <c r="L927" s="42">
        <v>7</v>
      </c>
      <c r="M927" s="43">
        <v>46099</v>
      </c>
      <c r="N927" s="1" t="e">
        <f>VLOOKUP(B927,MICRO!E:L,8,0)</f>
        <v>#N/A</v>
      </c>
    </row>
    <row r="928" spans="1:14" ht="20.25" x14ac:dyDescent="0.25">
      <c r="A928" s="1">
        <v>18</v>
      </c>
      <c r="B928" s="159"/>
      <c r="C928" s="1" t="s">
        <v>2083</v>
      </c>
      <c r="D928" s="1"/>
      <c r="E928" s="1"/>
      <c r="F928" s="1" t="s">
        <v>2088</v>
      </c>
      <c r="G928" s="1">
        <v>6</v>
      </c>
      <c r="H928" s="1" t="s">
        <v>19</v>
      </c>
      <c r="I928" s="1" t="s">
        <v>423</v>
      </c>
      <c r="J928" s="1">
        <v>0.03</v>
      </c>
      <c r="K928" s="1">
        <v>0.18</v>
      </c>
      <c r="L928" s="42">
        <v>7</v>
      </c>
      <c r="M928" s="43">
        <v>46099</v>
      </c>
      <c r="N928" s="1" t="e">
        <f>VLOOKUP(B928,MICRO!E:L,8,0)</f>
        <v>#N/A</v>
      </c>
    </row>
    <row r="929" spans="1:14" ht="20.25" x14ac:dyDescent="0.25">
      <c r="A929" s="1">
        <v>24</v>
      </c>
      <c r="B929" s="159"/>
      <c r="C929" s="1" t="s">
        <v>2089</v>
      </c>
      <c r="D929" s="1"/>
      <c r="E929" s="1"/>
      <c r="F929" s="1" t="s">
        <v>2090</v>
      </c>
      <c r="G929" s="1">
        <v>5</v>
      </c>
      <c r="H929" s="1" t="s">
        <v>19</v>
      </c>
      <c r="I929" s="1" t="s">
        <v>2091</v>
      </c>
      <c r="J929" s="1">
        <v>0.5</v>
      </c>
      <c r="K929" s="1">
        <v>2.5</v>
      </c>
      <c r="L929" s="42">
        <v>7</v>
      </c>
      <c r="M929" s="43">
        <v>46099</v>
      </c>
      <c r="N929" s="1" t="e">
        <f>VLOOKUP(B929,MICRO!E:L,8,0)</f>
        <v>#N/A</v>
      </c>
    </row>
    <row r="930" spans="1:14" ht="20.25" x14ac:dyDescent="0.25">
      <c r="A930" s="1">
        <v>25</v>
      </c>
      <c r="B930" s="159"/>
      <c r="C930" s="1" t="s">
        <v>2092</v>
      </c>
      <c r="D930" s="1"/>
      <c r="E930" s="1"/>
      <c r="F930" s="1" t="s">
        <v>2093</v>
      </c>
      <c r="G930" s="1">
        <v>3</v>
      </c>
      <c r="H930" s="1" t="s">
        <v>19</v>
      </c>
      <c r="I930" s="1" t="s">
        <v>424</v>
      </c>
      <c r="J930" s="1">
        <v>0.05</v>
      </c>
      <c r="K930" s="1">
        <v>0.15000000000000002</v>
      </c>
      <c r="L930" s="42">
        <v>7</v>
      </c>
      <c r="M930" s="43">
        <v>46099</v>
      </c>
      <c r="N930" s="1" t="e">
        <f>VLOOKUP(B930,MICRO!E:L,8,0)</f>
        <v>#N/A</v>
      </c>
    </row>
    <row r="931" spans="1:14" ht="20.25" x14ac:dyDescent="0.25">
      <c r="A931" s="1">
        <v>26</v>
      </c>
      <c r="B931" s="159"/>
      <c r="C931" s="1" t="s">
        <v>2092</v>
      </c>
      <c r="D931" s="1"/>
      <c r="E931" s="1"/>
      <c r="F931" s="1" t="s">
        <v>2094</v>
      </c>
      <c r="G931" s="1">
        <v>3</v>
      </c>
      <c r="H931" s="1" t="s">
        <v>19</v>
      </c>
      <c r="I931" s="1" t="s">
        <v>424</v>
      </c>
      <c r="J931" s="1">
        <v>0.05</v>
      </c>
      <c r="K931" s="1">
        <v>0.15000000000000002</v>
      </c>
      <c r="L931" s="42">
        <v>7</v>
      </c>
      <c r="M931" s="43">
        <v>46099</v>
      </c>
      <c r="N931" s="1" t="e">
        <f>VLOOKUP(B931,MICRO!E:L,8,0)</f>
        <v>#N/A</v>
      </c>
    </row>
    <row r="932" spans="1:14" ht="20.25" x14ac:dyDescent="0.25">
      <c r="A932" s="1">
        <v>27</v>
      </c>
      <c r="B932" s="159"/>
      <c r="C932" s="1" t="s">
        <v>2092</v>
      </c>
      <c r="D932" s="1"/>
      <c r="E932" s="1"/>
      <c r="F932" s="1" t="s">
        <v>2095</v>
      </c>
      <c r="G932" s="1">
        <v>7</v>
      </c>
      <c r="H932" s="1" t="s">
        <v>19</v>
      </c>
      <c r="I932" s="1" t="s">
        <v>424</v>
      </c>
      <c r="J932" s="1">
        <v>0.02</v>
      </c>
      <c r="K932" s="1">
        <v>0.14000000000000001</v>
      </c>
      <c r="L932" s="42">
        <v>7</v>
      </c>
      <c r="M932" s="43">
        <v>46099</v>
      </c>
      <c r="N932" s="1" t="e">
        <f>VLOOKUP(B932,MICRO!E:L,8,0)</f>
        <v>#N/A</v>
      </c>
    </row>
    <row r="933" spans="1:14" ht="20.25" x14ac:dyDescent="0.25">
      <c r="A933" s="1">
        <v>28</v>
      </c>
      <c r="B933" s="159"/>
      <c r="C933" s="1" t="s">
        <v>2092</v>
      </c>
      <c r="D933" s="1"/>
      <c r="E933" s="1"/>
      <c r="F933" s="1" t="s">
        <v>2096</v>
      </c>
      <c r="G933" s="1">
        <v>7</v>
      </c>
      <c r="H933" s="1" t="s">
        <v>19</v>
      </c>
      <c r="I933" s="1" t="s">
        <v>424</v>
      </c>
      <c r="J933" s="1">
        <v>0.02</v>
      </c>
      <c r="K933" s="1">
        <v>0.14000000000000001</v>
      </c>
      <c r="L933" s="42">
        <v>7</v>
      </c>
      <c r="M933" s="43">
        <v>46099</v>
      </c>
      <c r="N933" s="1" t="e">
        <f>VLOOKUP(B933,MICRO!E:L,8,0)</f>
        <v>#N/A</v>
      </c>
    </row>
    <row r="934" spans="1:14" ht="20.25" x14ac:dyDescent="0.25">
      <c r="A934" s="1">
        <v>29</v>
      </c>
      <c r="B934" s="159"/>
      <c r="C934" s="1" t="s">
        <v>2097</v>
      </c>
      <c r="D934" s="1"/>
      <c r="E934" s="1"/>
      <c r="F934" s="1" t="s">
        <v>2098</v>
      </c>
      <c r="G934" s="1">
        <v>2</v>
      </c>
      <c r="H934" s="1" t="s">
        <v>19</v>
      </c>
      <c r="I934" s="1" t="s">
        <v>425</v>
      </c>
      <c r="J934" s="1">
        <v>0.02</v>
      </c>
      <c r="K934" s="1">
        <v>0.04</v>
      </c>
      <c r="L934" s="42">
        <v>7</v>
      </c>
      <c r="M934" s="43">
        <v>46099</v>
      </c>
      <c r="N934" s="1" t="e">
        <f>VLOOKUP(B934,MICRO!E:L,8,0)</f>
        <v>#N/A</v>
      </c>
    </row>
    <row r="935" spans="1:14" ht="20.25" x14ac:dyDescent="0.25">
      <c r="A935" s="1">
        <v>30</v>
      </c>
      <c r="B935" s="159"/>
      <c r="C935" s="1" t="s">
        <v>2097</v>
      </c>
      <c r="D935" s="1"/>
      <c r="E935" s="1"/>
      <c r="F935" s="1" t="s">
        <v>2099</v>
      </c>
      <c r="G935" s="1">
        <v>3</v>
      </c>
      <c r="H935" s="1" t="s">
        <v>19</v>
      </c>
      <c r="I935" s="1" t="s">
        <v>425</v>
      </c>
      <c r="J935" s="1">
        <v>0.05</v>
      </c>
      <c r="K935" s="1">
        <v>0.15000000000000002</v>
      </c>
      <c r="L935" s="42">
        <v>7</v>
      </c>
      <c r="M935" s="43">
        <v>46099</v>
      </c>
      <c r="N935" s="1" t="e">
        <f>VLOOKUP(B935,MICRO!E:L,8,0)</f>
        <v>#N/A</v>
      </c>
    </row>
    <row r="936" spans="1:14" ht="20.25" x14ac:dyDescent="0.25">
      <c r="A936" s="1">
        <v>31</v>
      </c>
      <c r="B936" s="159"/>
      <c r="C936" s="1" t="s">
        <v>2097</v>
      </c>
      <c r="D936" s="1"/>
      <c r="E936" s="1"/>
      <c r="F936" s="1" t="s">
        <v>2100</v>
      </c>
      <c r="G936" s="1">
        <v>3</v>
      </c>
      <c r="H936" s="1" t="s">
        <v>19</v>
      </c>
      <c r="I936" s="1" t="s">
        <v>425</v>
      </c>
      <c r="J936" s="1">
        <v>0.04</v>
      </c>
      <c r="K936" s="1">
        <v>0.12</v>
      </c>
      <c r="L936" s="42">
        <v>7</v>
      </c>
      <c r="M936" s="43">
        <v>46099</v>
      </c>
      <c r="N936" s="1" t="e">
        <f>VLOOKUP(B936,MICRO!E:L,8,0)</f>
        <v>#N/A</v>
      </c>
    </row>
    <row r="937" spans="1:14" ht="20.25" x14ac:dyDescent="0.25">
      <c r="A937" s="1">
        <v>32</v>
      </c>
      <c r="B937" s="159"/>
      <c r="C937" s="1" t="s">
        <v>2097</v>
      </c>
      <c r="D937" s="1"/>
      <c r="E937" s="1"/>
      <c r="F937" s="1" t="s">
        <v>2101</v>
      </c>
      <c r="G937" s="1">
        <v>7</v>
      </c>
      <c r="H937" s="1" t="s">
        <v>19</v>
      </c>
      <c r="I937" s="1" t="s">
        <v>425</v>
      </c>
      <c r="J937" s="1">
        <v>0.03</v>
      </c>
      <c r="K937" s="1">
        <v>0.21</v>
      </c>
      <c r="L937" s="42">
        <v>7</v>
      </c>
      <c r="M937" s="43">
        <v>46099</v>
      </c>
      <c r="N937" s="1" t="e">
        <f>VLOOKUP(B937,MICRO!E:L,8,0)</f>
        <v>#N/A</v>
      </c>
    </row>
    <row r="938" spans="1:14" ht="20.25" x14ac:dyDescent="0.25">
      <c r="A938" s="1">
        <v>33</v>
      </c>
      <c r="B938" s="159"/>
      <c r="C938" s="1" t="s">
        <v>2097</v>
      </c>
      <c r="D938" s="1"/>
      <c r="E938" s="1"/>
      <c r="F938" s="1" t="s">
        <v>2102</v>
      </c>
      <c r="G938" s="1">
        <v>7</v>
      </c>
      <c r="H938" s="1" t="s">
        <v>19</v>
      </c>
      <c r="I938" s="1" t="s">
        <v>425</v>
      </c>
      <c r="J938" s="1">
        <v>0.03</v>
      </c>
      <c r="K938" s="1">
        <v>0.21</v>
      </c>
      <c r="L938" s="42">
        <v>7</v>
      </c>
      <c r="M938" s="43">
        <v>46099</v>
      </c>
      <c r="N938" s="1" t="e">
        <f>VLOOKUP(B938,MICRO!E:L,8,0)</f>
        <v>#N/A</v>
      </c>
    </row>
    <row r="939" spans="1:14" ht="20.25" x14ac:dyDescent="0.25">
      <c r="A939" s="1">
        <v>34</v>
      </c>
      <c r="B939" s="159"/>
      <c r="C939" s="1" t="s">
        <v>2103</v>
      </c>
      <c r="D939" s="1"/>
      <c r="E939" s="1"/>
      <c r="F939" s="1" t="s">
        <v>2104</v>
      </c>
      <c r="G939" s="1">
        <v>3</v>
      </c>
      <c r="H939" s="1" t="s">
        <v>19</v>
      </c>
      <c r="I939" s="1" t="s">
        <v>426</v>
      </c>
      <c r="J939" s="1">
        <v>0.04</v>
      </c>
      <c r="K939" s="1">
        <v>0.12</v>
      </c>
      <c r="L939" s="42">
        <v>7</v>
      </c>
      <c r="M939" s="43">
        <v>46099</v>
      </c>
      <c r="N939" s="1" t="e">
        <f>VLOOKUP(B939,MICRO!E:L,8,0)</f>
        <v>#N/A</v>
      </c>
    </row>
    <row r="940" spans="1:14" ht="20.25" x14ac:dyDescent="0.25">
      <c r="A940" s="1">
        <v>35</v>
      </c>
      <c r="B940" s="159"/>
      <c r="C940" s="1" t="s">
        <v>2103</v>
      </c>
      <c r="D940" s="1"/>
      <c r="E940" s="1"/>
      <c r="F940" s="1" t="s">
        <v>2105</v>
      </c>
      <c r="G940" s="1">
        <v>7</v>
      </c>
      <c r="H940" s="1" t="s">
        <v>19</v>
      </c>
      <c r="I940" s="1" t="s">
        <v>426</v>
      </c>
      <c r="J940" s="1">
        <v>0.02</v>
      </c>
      <c r="K940" s="1">
        <v>0.14000000000000001</v>
      </c>
      <c r="L940" s="42">
        <v>7</v>
      </c>
      <c r="M940" s="43">
        <v>46099</v>
      </c>
      <c r="N940" s="1" t="e">
        <f>VLOOKUP(B940,MICRO!E:L,8,0)</f>
        <v>#N/A</v>
      </c>
    </row>
    <row r="941" spans="1:14" ht="20.25" x14ac:dyDescent="0.25">
      <c r="A941" s="1">
        <v>36</v>
      </c>
      <c r="B941" s="159"/>
      <c r="C941" s="1" t="s">
        <v>2103</v>
      </c>
      <c r="D941" s="1"/>
      <c r="E941" s="1"/>
      <c r="F941" s="1" t="s">
        <v>2106</v>
      </c>
      <c r="G941" s="1">
        <v>3</v>
      </c>
      <c r="H941" s="1" t="s">
        <v>19</v>
      </c>
      <c r="I941" s="1" t="s">
        <v>426</v>
      </c>
      <c r="J941" s="1">
        <v>0.04</v>
      </c>
      <c r="K941" s="1">
        <v>0.12</v>
      </c>
      <c r="L941" s="42">
        <v>7</v>
      </c>
      <c r="M941" s="43">
        <v>46099</v>
      </c>
      <c r="N941" s="1" t="e">
        <f>VLOOKUP(B941,MICRO!E:L,8,0)</f>
        <v>#N/A</v>
      </c>
    </row>
    <row r="942" spans="1:14" ht="20.25" x14ac:dyDescent="0.25">
      <c r="A942" s="1">
        <v>37</v>
      </c>
      <c r="B942" s="159"/>
      <c r="C942" s="1" t="s">
        <v>2103</v>
      </c>
      <c r="D942" s="1"/>
      <c r="E942" s="1"/>
      <c r="F942" s="1" t="s">
        <v>2107</v>
      </c>
      <c r="G942" s="1">
        <v>7</v>
      </c>
      <c r="H942" s="1" t="s">
        <v>19</v>
      </c>
      <c r="I942" s="1" t="s">
        <v>426</v>
      </c>
      <c r="J942" s="1">
        <v>0.02</v>
      </c>
      <c r="K942" s="1">
        <v>0.14000000000000001</v>
      </c>
      <c r="L942" s="42">
        <v>7</v>
      </c>
      <c r="M942" s="43">
        <v>46099</v>
      </c>
      <c r="N942" s="1" t="e">
        <f>VLOOKUP(B942,MICRO!E:L,8,0)</f>
        <v>#N/A</v>
      </c>
    </row>
    <row r="943" spans="1:14" ht="20.25" x14ac:dyDescent="0.25">
      <c r="A943" s="1">
        <v>38</v>
      </c>
      <c r="B943" s="159"/>
      <c r="C943" s="1" t="s">
        <v>2108</v>
      </c>
      <c r="D943" s="1"/>
      <c r="E943" s="1"/>
      <c r="F943" s="1" t="s">
        <v>2109</v>
      </c>
      <c r="G943" s="1">
        <v>3</v>
      </c>
      <c r="H943" s="1" t="s">
        <v>19</v>
      </c>
      <c r="I943" s="1" t="s">
        <v>427</v>
      </c>
      <c r="J943" s="1">
        <v>0.05</v>
      </c>
      <c r="K943" s="1">
        <v>0.15000000000000002</v>
      </c>
      <c r="L943" s="42">
        <v>7</v>
      </c>
      <c r="M943" s="43">
        <v>46099</v>
      </c>
      <c r="N943" s="1" t="e">
        <f>VLOOKUP(B943,MICRO!E:L,8,0)</f>
        <v>#N/A</v>
      </c>
    </row>
    <row r="944" spans="1:14" ht="20.25" x14ac:dyDescent="0.25">
      <c r="A944" s="1">
        <v>39</v>
      </c>
      <c r="B944" s="159"/>
      <c r="C944" s="1" t="s">
        <v>2108</v>
      </c>
      <c r="D944" s="1"/>
      <c r="E944" s="1"/>
      <c r="F944" s="1" t="s">
        <v>2110</v>
      </c>
      <c r="G944" s="1">
        <v>3</v>
      </c>
      <c r="H944" s="1" t="s">
        <v>19</v>
      </c>
      <c r="I944" s="1" t="s">
        <v>427</v>
      </c>
      <c r="J944" s="1">
        <v>0.04</v>
      </c>
      <c r="K944" s="1">
        <v>0.12</v>
      </c>
      <c r="L944" s="42">
        <v>7</v>
      </c>
      <c r="M944" s="43">
        <v>46099</v>
      </c>
      <c r="N944" s="1" t="e">
        <f>VLOOKUP(B944,MICRO!E:L,8,0)</f>
        <v>#N/A</v>
      </c>
    </row>
    <row r="945" spans="1:14" ht="20.25" x14ac:dyDescent="0.25">
      <c r="A945" s="1">
        <v>40</v>
      </c>
      <c r="B945" s="159"/>
      <c r="C945" s="1" t="s">
        <v>2108</v>
      </c>
      <c r="D945" s="1"/>
      <c r="E945" s="1"/>
      <c r="F945" s="1" t="s">
        <v>2111</v>
      </c>
      <c r="G945" s="1">
        <v>7</v>
      </c>
      <c r="H945" s="1" t="s">
        <v>19</v>
      </c>
      <c r="I945" s="1" t="s">
        <v>427</v>
      </c>
      <c r="J945" s="1">
        <v>0.03</v>
      </c>
      <c r="K945" s="1">
        <v>0.21</v>
      </c>
      <c r="L945" s="42">
        <v>7</v>
      </c>
      <c r="M945" s="43">
        <v>46099</v>
      </c>
      <c r="N945" s="1" t="e">
        <f>VLOOKUP(B945,MICRO!E:L,8,0)</f>
        <v>#N/A</v>
      </c>
    </row>
    <row r="946" spans="1:14" ht="20.25" x14ac:dyDescent="0.25">
      <c r="A946" s="1">
        <v>41</v>
      </c>
      <c r="B946" s="159"/>
      <c r="C946" s="1" t="s">
        <v>2108</v>
      </c>
      <c r="D946" s="1"/>
      <c r="E946" s="1"/>
      <c r="F946" s="1" t="s">
        <v>2112</v>
      </c>
      <c r="G946" s="1">
        <v>7</v>
      </c>
      <c r="H946" s="1" t="s">
        <v>19</v>
      </c>
      <c r="I946" s="1" t="s">
        <v>427</v>
      </c>
      <c r="J946" s="1">
        <v>0.03</v>
      </c>
      <c r="K946" s="1">
        <v>0.21</v>
      </c>
      <c r="L946" s="42">
        <v>7</v>
      </c>
      <c r="M946" s="43">
        <v>46099</v>
      </c>
      <c r="N946" s="1" t="e">
        <f>VLOOKUP(B946,MICRO!E:L,8,0)</f>
        <v>#N/A</v>
      </c>
    </row>
    <row r="947" spans="1:14" ht="20.25" x14ac:dyDescent="0.25">
      <c r="A947" s="1">
        <v>42</v>
      </c>
      <c r="B947" s="159"/>
      <c r="C947" s="1" t="s">
        <v>2113</v>
      </c>
      <c r="D947" s="1"/>
      <c r="E947" s="1"/>
      <c r="F947" s="1" t="s">
        <v>2114</v>
      </c>
      <c r="G947" s="1">
        <v>408</v>
      </c>
      <c r="H947" s="1" t="s">
        <v>19</v>
      </c>
      <c r="I947" s="1" t="s">
        <v>423</v>
      </c>
      <c r="J947" s="1">
        <v>3.4000000000000002E-2</v>
      </c>
      <c r="K947" s="1">
        <v>13.872000000000002</v>
      </c>
      <c r="L947" s="42">
        <v>7</v>
      </c>
      <c r="M947" s="43">
        <v>46099</v>
      </c>
      <c r="N947" s="1" t="e">
        <f>VLOOKUP(B947,MICRO!E:L,8,0)</f>
        <v>#N/A</v>
      </c>
    </row>
    <row r="948" spans="1:14" ht="20.25" x14ac:dyDescent="0.25">
      <c r="A948" s="1">
        <v>43</v>
      </c>
      <c r="B948" s="159"/>
      <c r="C948" s="1" t="s">
        <v>1559</v>
      </c>
      <c r="D948" s="1"/>
      <c r="E948" s="1"/>
      <c r="F948" s="1" t="s">
        <v>2115</v>
      </c>
      <c r="G948" s="1">
        <v>174</v>
      </c>
      <c r="H948" s="1" t="s">
        <v>19</v>
      </c>
      <c r="I948" s="1" t="s">
        <v>424</v>
      </c>
      <c r="J948" s="1">
        <v>3.4000000000000002E-2</v>
      </c>
      <c r="K948" s="1">
        <v>5.9160000000000004</v>
      </c>
      <c r="L948" s="42">
        <v>7</v>
      </c>
      <c r="M948" s="43">
        <v>46099</v>
      </c>
      <c r="N948" s="1" t="e">
        <f>VLOOKUP(B948,MICRO!E:L,8,0)</f>
        <v>#N/A</v>
      </c>
    </row>
    <row r="949" spans="1:14" ht="20.25" x14ac:dyDescent="0.25">
      <c r="A949" s="1">
        <v>44</v>
      </c>
      <c r="B949" s="159"/>
      <c r="C949" s="1" t="s">
        <v>1561</v>
      </c>
      <c r="D949" s="1"/>
      <c r="E949" s="1"/>
      <c r="F949" s="1" t="s">
        <v>1619</v>
      </c>
      <c r="G949" s="1">
        <v>258</v>
      </c>
      <c r="H949" s="1" t="s">
        <v>19</v>
      </c>
      <c r="I949" s="1" t="s">
        <v>425</v>
      </c>
      <c r="J949" s="1">
        <v>3.4000000000000002E-2</v>
      </c>
      <c r="K949" s="1">
        <v>8.7720000000000002</v>
      </c>
      <c r="L949" s="42">
        <v>7</v>
      </c>
      <c r="M949" s="43">
        <v>46099</v>
      </c>
      <c r="N949" s="1" t="e">
        <f>VLOOKUP(B949,MICRO!E:L,8,0)</f>
        <v>#N/A</v>
      </c>
    </row>
    <row r="950" spans="1:14" ht="20.25" x14ac:dyDescent="0.25">
      <c r="A950" s="1">
        <v>45</v>
      </c>
      <c r="B950" s="159"/>
      <c r="C950" s="1" t="s">
        <v>1565</v>
      </c>
      <c r="D950" s="1"/>
      <c r="E950" s="1"/>
      <c r="F950" s="1" t="s">
        <v>1620</v>
      </c>
      <c r="G950" s="1">
        <v>362</v>
      </c>
      <c r="H950" s="1" t="s">
        <v>19</v>
      </c>
      <c r="I950" s="1" t="s">
        <v>426</v>
      </c>
      <c r="J950" s="1">
        <v>3.4000000000000002E-2</v>
      </c>
      <c r="K950" s="1">
        <v>12.308000000000002</v>
      </c>
      <c r="L950" s="42">
        <v>7</v>
      </c>
      <c r="M950" s="43">
        <v>46099</v>
      </c>
      <c r="N950" s="1" t="e">
        <f>VLOOKUP(B950,MICRO!E:L,8,0)</f>
        <v>#N/A</v>
      </c>
    </row>
    <row r="951" spans="1:14" ht="20.25" x14ac:dyDescent="0.25">
      <c r="A951" s="1">
        <v>46</v>
      </c>
      <c r="B951" s="159"/>
      <c r="C951" s="1" t="s">
        <v>1563</v>
      </c>
      <c r="D951" s="1"/>
      <c r="E951" s="1"/>
      <c r="F951" s="1" t="s">
        <v>2116</v>
      </c>
      <c r="G951" s="1">
        <v>597</v>
      </c>
      <c r="H951" s="1" t="s">
        <v>19</v>
      </c>
      <c r="I951" s="1" t="s">
        <v>427</v>
      </c>
      <c r="J951" s="1">
        <v>3.4000000000000002E-2</v>
      </c>
      <c r="K951" s="1">
        <v>20.298000000000002</v>
      </c>
      <c r="L951" s="42">
        <v>7</v>
      </c>
      <c r="M951" s="43">
        <v>46099</v>
      </c>
      <c r="N951" s="1" t="e">
        <f>VLOOKUP(B951,MICRO!E:L,8,0)</f>
        <v>#N/A</v>
      </c>
    </row>
    <row r="952" spans="1:14" ht="20.25" x14ac:dyDescent="0.25">
      <c r="A952" s="1">
        <v>47</v>
      </c>
      <c r="B952" s="159"/>
      <c r="C952" s="1" t="s">
        <v>1559</v>
      </c>
      <c r="D952" s="1"/>
      <c r="E952" s="1"/>
      <c r="F952" s="1" t="s">
        <v>1618</v>
      </c>
      <c r="G952" s="1">
        <v>7</v>
      </c>
      <c r="H952" s="1" t="s">
        <v>19</v>
      </c>
      <c r="I952" s="1" t="s">
        <v>424</v>
      </c>
      <c r="J952" s="1">
        <v>0.05</v>
      </c>
      <c r="K952" s="1">
        <v>0.35000000000000003</v>
      </c>
      <c r="L952" s="42">
        <v>7</v>
      </c>
      <c r="M952" s="43">
        <v>46099</v>
      </c>
      <c r="N952" s="1" t="e">
        <f>VLOOKUP(B952,MICRO!E:L,8,0)</f>
        <v>#N/A</v>
      </c>
    </row>
    <row r="953" spans="1:14" ht="20.25" x14ac:dyDescent="0.25">
      <c r="A953" s="1">
        <v>48</v>
      </c>
      <c r="B953" s="159"/>
      <c r="C953" s="1" t="s">
        <v>1559</v>
      </c>
      <c r="D953" s="1"/>
      <c r="E953" s="1"/>
      <c r="F953" s="1" t="s">
        <v>1618</v>
      </c>
      <c r="G953" s="1">
        <v>48</v>
      </c>
      <c r="H953" s="1" t="s">
        <v>19</v>
      </c>
      <c r="I953" s="1" t="s">
        <v>424</v>
      </c>
      <c r="J953" s="1">
        <v>0.05</v>
      </c>
      <c r="K953" s="1">
        <v>2.4000000000000004</v>
      </c>
      <c r="L953" s="42">
        <v>7</v>
      </c>
      <c r="M953" s="43">
        <v>46099</v>
      </c>
      <c r="N953" s="1" t="e">
        <f>VLOOKUP(B953,MICRO!E:L,8,0)</f>
        <v>#N/A</v>
      </c>
    </row>
    <row r="954" spans="1:14" ht="20.25" x14ac:dyDescent="0.25">
      <c r="A954" s="1">
        <v>49</v>
      </c>
      <c r="B954" s="159"/>
      <c r="C954" s="1" t="s">
        <v>1561</v>
      </c>
      <c r="D954" s="1"/>
      <c r="E954" s="1"/>
      <c r="F954" s="1" t="s">
        <v>1619</v>
      </c>
      <c r="G954" s="1">
        <v>10</v>
      </c>
      <c r="H954" s="1" t="s">
        <v>19</v>
      </c>
      <c r="I954" s="1" t="s">
        <v>425</v>
      </c>
      <c r="J954" s="1">
        <v>0.05</v>
      </c>
      <c r="K954" s="1">
        <v>0.5</v>
      </c>
      <c r="L954" s="42">
        <v>7</v>
      </c>
      <c r="M954" s="43">
        <v>46099</v>
      </c>
      <c r="N954" s="1" t="e">
        <f>VLOOKUP(B954,MICRO!E:L,8,0)</f>
        <v>#N/A</v>
      </c>
    </row>
    <row r="955" spans="1:14" ht="20.25" x14ac:dyDescent="0.25">
      <c r="A955" s="1">
        <v>50</v>
      </c>
      <c r="B955" s="159"/>
      <c r="C955" s="1" t="s">
        <v>1565</v>
      </c>
      <c r="D955" s="1"/>
      <c r="E955" s="1"/>
      <c r="F955" s="1" t="s">
        <v>1620</v>
      </c>
      <c r="G955" s="1">
        <v>24</v>
      </c>
      <c r="H955" s="1" t="s">
        <v>19</v>
      </c>
      <c r="I955" s="1" t="s">
        <v>426</v>
      </c>
      <c r="J955" s="1">
        <v>0.05</v>
      </c>
      <c r="K955" s="1">
        <v>1.2000000000000002</v>
      </c>
      <c r="L955" s="42">
        <v>7</v>
      </c>
      <c r="M955" s="43">
        <v>46099</v>
      </c>
      <c r="N955" s="1" t="e">
        <f>VLOOKUP(B955,MICRO!E:L,8,0)</f>
        <v>#N/A</v>
      </c>
    </row>
    <row r="956" spans="1:14" ht="20.25" x14ac:dyDescent="0.25">
      <c r="A956" s="1">
        <v>51</v>
      </c>
      <c r="B956" s="159"/>
      <c r="C956" s="1" t="s">
        <v>1563</v>
      </c>
      <c r="D956" s="1"/>
      <c r="E956" s="1"/>
      <c r="F956" s="1" t="s">
        <v>1621</v>
      </c>
      <c r="G956" s="1">
        <v>146</v>
      </c>
      <c r="H956" s="1" t="s">
        <v>19</v>
      </c>
      <c r="I956" s="1" t="s">
        <v>427</v>
      </c>
      <c r="J956" s="1">
        <v>0.05</v>
      </c>
      <c r="K956" s="1">
        <v>7.3000000000000007</v>
      </c>
      <c r="L956" s="42">
        <v>7</v>
      </c>
      <c r="M956" s="43">
        <v>46099</v>
      </c>
      <c r="N956" s="1" t="e">
        <f>VLOOKUP(B956,MICRO!E:L,8,0)</f>
        <v>#N/A</v>
      </c>
    </row>
    <row r="957" spans="1:14" ht="20.25" x14ac:dyDescent="0.25">
      <c r="A957" s="1">
        <v>52</v>
      </c>
      <c r="B957" s="159"/>
      <c r="C957" s="1" t="s">
        <v>1596</v>
      </c>
      <c r="D957" s="1"/>
      <c r="E957" s="1"/>
      <c r="F957" s="1" t="s">
        <v>2117</v>
      </c>
      <c r="G957" s="1">
        <v>2</v>
      </c>
      <c r="H957" s="1" t="s">
        <v>19</v>
      </c>
      <c r="I957" s="1" t="s">
        <v>1598</v>
      </c>
      <c r="J957" s="1">
        <v>1.5</v>
      </c>
      <c r="K957" s="1">
        <v>3</v>
      </c>
      <c r="L957" s="42">
        <v>7</v>
      </c>
      <c r="M957" s="43">
        <v>46099</v>
      </c>
      <c r="N957" s="1" t="e">
        <f>VLOOKUP(B957,MICRO!E:L,8,0)</f>
        <v>#N/A</v>
      </c>
    </row>
    <row r="958" spans="1:14" ht="20.25" x14ac:dyDescent="0.25">
      <c r="A958" s="1">
        <v>61</v>
      </c>
      <c r="B958" s="159"/>
      <c r="C958" s="1" t="s">
        <v>1222</v>
      </c>
      <c r="D958" s="1"/>
      <c r="E958" s="1"/>
      <c r="F958" s="1" t="s">
        <v>2118</v>
      </c>
      <c r="G958" s="1">
        <v>200</v>
      </c>
      <c r="H958" s="1" t="s">
        <v>19</v>
      </c>
      <c r="I958" s="1" t="s">
        <v>423</v>
      </c>
      <c r="J958" s="1">
        <v>3.4000000000000002E-2</v>
      </c>
      <c r="K958" s="1">
        <v>6.8000000000000007</v>
      </c>
      <c r="L958" s="42">
        <v>7</v>
      </c>
      <c r="M958" s="43">
        <v>46099</v>
      </c>
      <c r="N958" s="1" t="e">
        <f>VLOOKUP(B958,MICRO!E:L,8,0)</f>
        <v>#N/A</v>
      </c>
    </row>
    <row r="959" spans="1:14" ht="20.25" x14ac:dyDescent="0.25">
      <c r="A959" s="1">
        <v>62</v>
      </c>
      <c r="B959" s="159"/>
      <c r="C959" s="1" t="s">
        <v>2119</v>
      </c>
      <c r="D959" s="1" t="s">
        <v>2120</v>
      </c>
      <c r="E959" s="1"/>
      <c r="F959" s="1" t="s">
        <v>2121</v>
      </c>
      <c r="G959" s="1">
        <v>8</v>
      </c>
      <c r="H959" s="1" t="s">
        <v>19</v>
      </c>
      <c r="I959" s="1" t="s">
        <v>423</v>
      </c>
      <c r="J959" s="1">
        <v>1.5</v>
      </c>
      <c r="K959" s="1">
        <v>12</v>
      </c>
      <c r="L959" s="42">
        <v>7</v>
      </c>
      <c r="M959" s="43">
        <v>46099</v>
      </c>
      <c r="N959" s="1" t="e">
        <f>VLOOKUP(B959,MICRO!E:L,8,0)</f>
        <v>#N/A</v>
      </c>
    </row>
    <row r="960" spans="1:14" ht="20.25" x14ac:dyDescent="0.25">
      <c r="A960" s="1">
        <v>63</v>
      </c>
      <c r="B960" s="159"/>
      <c r="C960" s="1" t="s">
        <v>2119</v>
      </c>
      <c r="D960" s="1" t="s">
        <v>2120</v>
      </c>
      <c r="E960" s="1"/>
      <c r="F960" s="1" t="s">
        <v>2122</v>
      </c>
      <c r="G960" s="1">
        <v>3</v>
      </c>
      <c r="H960" s="1" t="s">
        <v>19</v>
      </c>
      <c r="I960" s="1" t="s">
        <v>423</v>
      </c>
      <c r="J960" s="1">
        <v>3.2</v>
      </c>
      <c r="K960" s="1">
        <v>9.6000000000000014</v>
      </c>
      <c r="L960" s="42">
        <v>7</v>
      </c>
      <c r="M960" s="43">
        <v>46099</v>
      </c>
      <c r="N960" s="1" t="e">
        <f>VLOOKUP(B960,MICRO!E:L,8,0)</f>
        <v>#N/A</v>
      </c>
    </row>
    <row r="961" spans="1:14" ht="20.25" x14ac:dyDescent="0.25">
      <c r="A961" s="1">
        <v>64</v>
      </c>
      <c r="B961" s="159"/>
      <c r="C961" s="1" t="s">
        <v>2123</v>
      </c>
      <c r="D961" s="1" t="s">
        <v>2124</v>
      </c>
      <c r="E961" s="1"/>
      <c r="F961" s="1" t="s">
        <v>2121</v>
      </c>
      <c r="G961" s="1">
        <v>7</v>
      </c>
      <c r="H961" s="1" t="s">
        <v>19</v>
      </c>
      <c r="I961" s="1" t="s">
        <v>424</v>
      </c>
      <c r="J961" s="1">
        <v>1.5</v>
      </c>
      <c r="K961" s="1">
        <v>10.5</v>
      </c>
      <c r="L961" s="42">
        <v>7</v>
      </c>
      <c r="M961" s="43">
        <v>46099</v>
      </c>
      <c r="N961" s="1" t="e">
        <f>VLOOKUP(B961,MICRO!E:L,8,0)</f>
        <v>#N/A</v>
      </c>
    </row>
    <row r="962" spans="1:14" ht="20.25" x14ac:dyDescent="0.25">
      <c r="A962" s="1">
        <v>65</v>
      </c>
      <c r="B962" s="159"/>
      <c r="C962" s="1" t="s">
        <v>2123</v>
      </c>
      <c r="D962" s="1" t="s">
        <v>2124</v>
      </c>
      <c r="E962" s="1"/>
      <c r="F962" s="1" t="s">
        <v>2122</v>
      </c>
      <c r="G962" s="1">
        <v>3</v>
      </c>
      <c r="H962" s="1" t="s">
        <v>19</v>
      </c>
      <c r="I962" s="1" t="s">
        <v>424</v>
      </c>
      <c r="J962" s="1">
        <v>3.2</v>
      </c>
      <c r="K962" s="1">
        <v>9.6000000000000014</v>
      </c>
      <c r="L962" s="42">
        <v>7</v>
      </c>
      <c r="M962" s="43">
        <v>46099</v>
      </c>
      <c r="N962" s="1" t="e">
        <f>VLOOKUP(B962,MICRO!E:L,8,0)</f>
        <v>#N/A</v>
      </c>
    </row>
    <row r="963" spans="1:14" ht="20.25" x14ac:dyDescent="0.25">
      <c r="A963" s="1">
        <v>66</v>
      </c>
      <c r="B963" s="159"/>
      <c r="C963" s="1" t="s">
        <v>2097</v>
      </c>
      <c r="D963" s="1" t="s">
        <v>2125</v>
      </c>
      <c r="E963" s="1"/>
      <c r="F963" s="1" t="s">
        <v>2121</v>
      </c>
      <c r="G963" s="1">
        <v>8</v>
      </c>
      <c r="H963" s="1" t="s">
        <v>19</v>
      </c>
      <c r="I963" s="1" t="s">
        <v>425</v>
      </c>
      <c r="J963" s="1">
        <v>1.5</v>
      </c>
      <c r="K963" s="1">
        <v>12</v>
      </c>
      <c r="L963" s="42">
        <v>7</v>
      </c>
      <c r="M963" s="43">
        <v>46099</v>
      </c>
      <c r="N963" s="1" t="e">
        <f>VLOOKUP(B963,MICRO!E:L,8,0)</f>
        <v>#N/A</v>
      </c>
    </row>
    <row r="964" spans="1:14" ht="20.25" x14ac:dyDescent="0.25">
      <c r="A964" s="1">
        <v>67</v>
      </c>
      <c r="B964" s="159"/>
      <c r="C964" s="1" t="s">
        <v>2097</v>
      </c>
      <c r="D964" s="1" t="s">
        <v>2125</v>
      </c>
      <c r="E964" s="1"/>
      <c r="F964" s="1" t="s">
        <v>2122</v>
      </c>
      <c r="G964" s="1">
        <v>3</v>
      </c>
      <c r="H964" s="1" t="s">
        <v>19</v>
      </c>
      <c r="I964" s="1" t="s">
        <v>425</v>
      </c>
      <c r="J964" s="1">
        <v>3.2</v>
      </c>
      <c r="K964" s="1">
        <v>9.6000000000000014</v>
      </c>
      <c r="L964" s="42">
        <v>7</v>
      </c>
      <c r="M964" s="43">
        <v>46099</v>
      </c>
      <c r="N964" s="1" t="e">
        <f>VLOOKUP(B964,MICRO!E:L,8,0)</f>
        <v>#N/A</v>
      </c>
    </row>
    <row r="965" spans="1:14" ht="20.25" x14ac:dyDescent="0.25">
      <c r="A965" s="1">
        <v>68</v>
      </c>
      <c r="B965" s="159"/>
      <c r="C965" s="1" t="s">
        <v>2103</v>
      </c>
      <c r="D965" s="1" t="s">
        <v>2126</v>
      </c>
      <c r="E965" s="1"/>
      <c r="F965" s="1" t="s">
        <v>2121</v>
      </c>
      <c r="G965" s="1">
        <v>9</v>
      </c>
      <c r="H965" s="1" t="s">
        <v>19</v>
      </c>
      <c r="I965" s="1" t="s">
        <v>426</v>
      </c>
      <c r="J965" s="1">
        <v>1.5</v>
      </c>
      <c r="K965" s="1">
        <v>13.5</v>
      </c>
      <c r="L965" s="42">
        <v>7</v>
      </c>
      <c r="M965" s="43">
        <v>46099</v>
      </c>
      <c r="N965" s="1" t="e">
        <f>VLOOKUP(B965,MICRO!E:L,8,0)</f>
        <v>#N/A</v>
      </c>
    </row>
    <row r="966" spans="1:14" ht="20.25" x14ac:dyDescent="0.25">
      <c r="A966" s="1">
        <v>69</v>
      </c>
      <c r="B966" s="159"/>
      <c r="C966" s="1" t="s">
        <v>2103</v>
      </c>
      <c r="D966" s="1" t="s">
        <v>2126</v>
      </c>
      <c r="E966" s="1"/>
      <c r="F966" s="1" t="s">
        <v>2122</v>
      </c>
      <c r="G966" s="1">
        <v>4</v>
      </c>
      <c r="H966" s="1" t="s">
        <v>19</v>
      </c>
      <c r="I966" s="1" t="s">
        <v>426</v>
      </c>
      <c r="J966" s="1">
        <v>3.2</v>
      </c>
      <c r="K966" s="1">
        <v>12.8</v>
      </c>
      <c r="L966" s="42">
        <v>7</v>
      </c>
      <c r="M966" s="43">
        <v>46099</v>
      </c>
      <c r="N966" s="1" t="e">
        <f>VLOOKUP(B966,MICRO!E:L,8,0)</f>
        <v>#N/A</v>
      </c>
    </row>
    <row r="967" spans="1:14" ht="20.25" x14ac:dyDescent="0.25">
      <c r="A967" s="1">
        <v>70</v>
      </c>
      <c r="B967" s="159"/>
      <c r="C967" s="1" t="s">
        <v>2108</v>
      </c>
      <c r="D967" s="1" t="s">
        <v>2127</v>
      </c>
      <c r="E967" s="1"/>
      <c r="F967" s="1" t="s">
        <v>2121</v>
      </c>
      <c r="G967" s="1">
        <v>10</v>
      </c>
      <c r="H967" s="1" t="s">
        <v>19</v>
      </c>
      <c r="I967" s="1" t="s">
        <v>427</v>
      </c>
      <c r="J967" s="1">
        <v>1.5</v>
      </c>
      <c r="K967" s="1">
        <v>15</v>
      </c>
      <c r="L967" s="42">
        <v>7</v>
      </c>
      <c r="M967" s="43">
        <v>46099</v>
      </c>
      <c r="N967" s="1" t="e">
        <f>VLOOKUP(B967,MICRO!E:L,8,0)</f>
        <v>#N/A</v>
      </c>
    </row>
    <row r="968" spans="1:14" ht="20.25" x14ac:dyDescent="0.25">
      <c r="A968" s="1">
        <v>71</v>
      </c>
      <c r="B968" s="159"/>
      <c r="C968" s="1" t="s">
        <v>2108</v>
      </c>
      <c r="D968" s="1" t="s">
        <v>2127</v>
      </c>
      <c r="E968" s="1"/>
      <c r="F968" s="1" t="s">
        <v>2122</v>
      </c>
      <c r="G968" s="1">
        <v>7</v>
      </c>
      <c r="H968" s="1" t="s">
        <v>19</v>
      </c>
      <c r="I968" s="1" t="s">
        <v>427</v>
      </c>
      <c r="J968" s="1">
        <v>3.2</v>
      </c>
      <c r="K968" s="1">
        <v>22.400000000000002</v>
      </c>
      <c r="L968" s="42">
        <v>7</v>
      </c>
      <c r="M968" s="43">
        <v>46099</v>
      </c>
      <c r="N968" s="1" t="e">
        <f>VLOOKUP(B968,MICRO!E:L,8,0)</f>
        <v>#N/A</v>
      </c>
    </row>
    <row r="969" spans="1:14" ht="20.25" x14ac:dyDescent="0.25">
      <c r="A969" s="1">
        <v>72</v>
      </c>
      <c r="B969" s="159"/>
      <c r="C969" s="1"/>
      <c r="D969" s="1" t="s">
        <v>2128</v>
      </c>
      <c r="E969" s="1"/>
      <c r="F969" s="1" t="s">
        <v>2129</v>
      </c>
      <c r="G969" s="1">
        <v>189</v>
      </c>
      <c r="H969" s="1" t="s">
        <v>19</v>
      </c>
      <c r="I969" s="1" t="s">
        <v>2091</v>
      </c>
      <c r="J969" s="1">
        <v>0.05</v>
      </c>
      <c r="K969" s="1">
        <v>9.4500000000000011</v>
      </c>
      <c r="L969" s="42">
        <v>7</v>
      </c>
      <c r="M969" s="43">
        <v>46099</v>
      </c>
      <c r="N969" s="1" t="e">
        <f>VLOOKUP(B969,MICRO!E:L,8,0)</f>
        <v>#N/A</v>
      </c>
    </row>
    <row r="970" spans="1:14" ht="20.25" x14ac:dyDescent="0.25">
      <c r="A970" s="1">
        <v>73</v>
      </c>
      <c r="B970" s="159"/>
      <c r="C970" s="1"/>
      <c r="D970" s="1" t="s">
        <v>2128</v>
      </c>
      <c r="E970" s="1"/>
      <c r="F970" s="1" t="s">
        <v>2130</v>
      </c>
      <c r="G970" s="1">
        <v>189</v>
      </c>
      <c r="H970" s="1" t="s">
        <v>19</v>
      </c>
      <c r="I970" s="1" t="s">
        <v>2091</v>
      </c>
      <c r="J970" s="1">
        <v>0.03</v>
      </c>
      <c r="K970" s="1">
        <v>5.67</v>
      </c>
      <c r="L970" s="42">
        <v>7</v>
      </c>
      <c r="M970" s="43">
        <v>46099</v>
      </c>
      <c r="N970" s="1" t="e">
        <f>VLOOKUP(B970,MICRO!E:L,8,0)</f>
        <v>#N/A</v>
      </c>
    </row>
    <row r="971" spans="1:14" ht="20.25" x14ac:dyDescent="0.25">
      <c r="A971" s="1">
        <v>74</v>
      </c>
      <c r="B971" s="159"/>
      <c r="C971" s="1"/>
      <c r="D971" s="1" t="s">
        <v>2128</v>
      </c>
      <c r="E971" s="1"/>
      <c r="F971" s="1" t="s">
        <v>2131</v>
      </c>
      <c r="G971" s="1">
        <v>189</v>
      </c>
      <c r="H971" s="1" t="s">
        <v>19</v>
      </c>
      <c r="I971" s="1" t="s">
        <v>2091</v>
      </c>
      <c r="J971" s="1">
        <v>0.02</v>
      </c>
      <c r="K971" s="1">
        <v>3.7800000000000002</v>
      </c>
      <c r="L971" s="42">
        <v>7</v>
      </c>
      <c r="M971" s="43">
        <v>46099</v>
      </c>
      <c r="N971" s="1" t="e">
        <f>VLOOKUP(B971,MICRO!E:L,8,0)</f>
        <v>#N/A</v>
      </c>
    </row>
    <row r="972" spans="1:14" ht="20.25" x14ac:dyDescent="0.25">
      <c r="A972" s="1">
        <v>75</v>
      </c>
      <c r="B972" s="159"/>
      <c r="C972" s="1" t="s">
        <v>2132</v>
      </c>
      <c r="D972" s="1"/>
      <c r="E972" s="1"/>
      <c r="F972" s="1" t="s">
        <v>2133</v>
      </c>
      <c r="G972" s="1">
        <v>60</v>
      </c>
      <c r="H972" s="1" t="s">
        <v>19</v>
      </c>
      <c r="I972" s="1" t="s">
        <v>2134</v>
      </c>
      <c r="J972" s="1">
        <v>0.03</v>
      </c>
      <c r="K972" s="1">
        <v>1.7999999999999998</v>
      </c>
      <c r="L972" s="42">
        <v>7</v>
      </c>
      <c r="M972" s="43">
        <v>46099</v>
      </c>
      <c r="N972" s="1" t="e">
        <f>VLOOKUP(B972,MICRO!E:L,8,0)</f>
        <v>#N/A</v>
      </c>
    </row>
    <row r="973" spans="1:14" ht="20.25" x14ac:dyDescent="0.25">
      <c r="A973" s="1">
        <v>52</v>
      </c>
      <c r="B973" s="159"/>
      <c r="C973" s="1"/>
      <c r="D973" s="1" t="s">
        <v>2135</v>
      </c>
      <c r="E973" s="1"/>
      <c r="F973" s="1" t="s">
        <v>2136</v>
      </c>
      <c r="G973" s="1">
        <v>280</v>
      </c>
      <c r="H973" s="1" t="s">
        <v>19</v>
      </c>
      <c r="I973" s="1" t="s">
        <v>569</v>
      </c>
      <c r="J973" s="1">
        <v>0.05</v>
      </c>
      <c r="K973" s="1">
        <v>14</v>
      </c>
      <c r="L973" s="42">
        <v>10</v>
      </c>
      <c r="M973" s="43">
        <v>46099</v>
      </c>
      <c r="N973" s="1" t="e">
        <f>VLOOKUP(B973,MICRO!E:L,8,0)</f>
        <v>#N/A</v>
      </c>
    </row>
    <row r="974" spans="1:14" ht="20.25" x14ac:dyDescent="0.25">
      <c r="A974" s="1">
        <v>53</v>
      </c>
      <c r="B974" s="159"/>
      <c r="C974" s="1"/>
      <c r="D974" s="1" t="s">
        <v>2135</v>
      </c>
      <c r="E974" s="1"/>
      <c r="F974" s="1" t="s">
        <v>2137</v>
      </c>
      <c r="G974" s="1">
        <v>16</v>
      </c>
      <c r="H974" s="1" t="s">
        <v>19</v>
      </c>
      <c r="I974" s="1" t="s">
        <v>569</v>
      </c>
      <c r="J974" s="1">
        <v>0.05</v>
      </c>
      <c r="K974" s="1">
        <v>0.8</v>
      </c>
      <c r="L974" s="42">
        <v>10</v>
      </c>
      <c r="M974" s="43">
        <v>46099</v>
      </c>
      <c r="N974" s="1" t="e">
        <f>VLOOKUP(B974,MICRO!E:L,8,0)</f>
        <v>#N/A</v>
      </c>
    </row>
    <row r="975" spans="1:14" ht="20.25" x14ac:dyDescent="0.25">
      <c r="A975" s="1">
        <v>54</v>
      </c>
      <c r="B975" s="159"/>
      <c r="C975" s="1"/>
      <c r="D975" s="1" t="s">
        <v>2135</v>
      </c>
      <c r="E975" s="1"/>
      <c r="F975" s="1" t="s">
        <v>2138</v>
      </c>
      <c r="G975" s="1">
        <v>8</v>
      </c>
      <c r="H975" s="1" t="s">
        <v>19</v>
      </c>
      <c r="I975" s="1" t="s">
        <v>569</v>
      </c>
      <c r="J975" s="1">
        <v>0.05</v>
      </c>
      <c r="K975" s="1">
        <v>0.4</v>
      </c>
      <c r="L975" s="42">
        <v>10</v>
      </c>
      <c r="M975" s="43">
        <v>46099</v>
      </c>
      <c r="N975" s="1" t="e">
        <f>VLOOKUP(B975,MICRO!E:L,8,0)</f>
        <v>#N/A</v>
      </c>
    </row>
    <row r="976" spans="1:14" ht="20.25" x14ac:dyDescent="0.25">
      <c r="A976" s="1">
        <v>55</v>
      </c>
      <c r="B976" s="159"/>
      <c r="C976" s="1"/>
      <c r="D976" s="1" t="s">
        <v>2135</v>
      </c>
      <c r="E976" s="1"/>
      <c r="F976" s="1" t="s">
        <v>2139</v>
      </c>
      <c r="G976" s="1">
        <v>256</v>
      </c>
      <c r="H976" s="1" t="s">
        <v>19</v>
      </c>
      <c r="I976" s="1" t="s">
        <v>569</v>
      </c>
      <c r="J976" s="1">
        <v>0.03</v>
      </c>
      <c r="K976" s="1">
        <v>7.68</v>
      </c>
      <c r="L976" s="42">
        <v>10</v>
      </c>
      <c r="M976" s="43">
        <v>46099</v>
      </c>
      <c r="N976" s="1" t="e">
        <f>VLOOKUP(B976,MICRO!E:L,8,0)</f>
        <v>#N/A</v>
      </c>
    </row>
    <row r="977" spans="1:14" ht="20.25" x14ac:dyDescent="0.25">
      <c r="A977" s="1">
        <v>56</v>
      </c>
      <c r="B977" s="159"/>
      <c r="C977" s="1"/>
      <c r="D977" s="1" t="s">
        <v>2135</v>
      </c>
      <c r="E977" s="1"/>
      <c r="F977" s="1" t="s">
        <v>2140</v>
      </c>
      <c r="G977" s="1">
        <v>296</v>
      </c>
      <c r="H977" s="1" t="s">
        <v>19</v>
      </c>
      <c r="I977" s="1" t="s">
        <v>569</v>
      </c>
      <c r="J977" s="1">
        <v>0.02</v>
      </c>
      <c r="K977" s="1">
        <v>5.92</v>
      </c>
      <c r="L977" s="42">
        <v>10</v>
      </c>
      <c r="M977" s="43">
        <v>46099</v>
      </c>
      <c r="N977" s="1" t="e">
        <f>VLOOKUP(B977,MICRO!E:L,8,0)</f>
        <v>#N/A</v>
      </c>
    </row>
    <row r="978" spans="1:14" ht="20.25" x14ac:dyDescent="0.25">
      <c r="A978" s="1">
        <v>57</v>
      </c>
      <c r="B978" s="159"/>
      <c r="C978" s="1"/>
      <c r="D978" s="1" t="s">
        <v>2141</v>
      </c>
      <c r="E978" s="1"/>
      <c r="F978" s="1" t="s">
        <v>2142</v>
      </c>
      <c r="G978" s="1">
        <v>252</v>
      </c>
      <c r="H978" s="1" t="s">
        <v>19</v>
      </c>
      <c r="I978" s="1" t="s">
        <v>570</v>
      </c>
      <c r="J978" s="1">
        <v>0.05</v>
      </c>
      <c r="K978" s="1">
        <v>12.600000000000001</v>
      </c>
      <c r="L978" s="42">
        <v>10</v>
      </c>
      <c r="M978" s="43">
        <v>46099</v>
      </c>
      <c r="N978" s="1" t="e">
        <f>VLOOKUP(B978,MICRO!E:L,8,0)</f>
        <v>#N/A</v>
      </c>
    </row>
    <row r="979" spans="1:14" ht="20.25" x14ac:dyDescent="0.25">
      <c r="A979" s="1">
        <v>58</v>
      </c>
      <c r="B979" s="159"/>
      <c r="C979" s="1"/>
      <c r="D979" s="1" t="s">
        <v>2141</v>
      </c>
      <c r="E979" s="1"/>
      <c r="F979" s="1" t="s">
        <v>2143</v>
      </c>
      <c r="G979" s="1">
        <v>16</v>
      </c>
      <c r="H979" s="1" t="s">
        <v>19</v>
      </c>
      <c r="I979" s="1" t="s">
        <v>570</v>
      </c>
      <c r="J979" s="1">
        <v>0.05</v>
      </c>
      <c r="K979" s="1">
        <v>0.8</v>
      </c>
      <c r="L979" s="42">
        <v>10</v>
      </c>
      <c r="M979" s="43">
        <v>46099</v>
      </c>
      <c r="N979" s="1" t="e">
        <f>VLOOKUP(B979,MICRO!E:L,8,0)</f>
        <v>#N/A</v>
      </c>
    </row>
    <row r="980" spans="1:14" ht="20.25" x14ac:dyDescent="0.25">
      <c r="A980" s="1">
        <v>59</v>
      </c>
      <c r="B980" s="159"/>
      <c r="C980" s="1"/>
      <c r="D980" s="1" t="s">
        <v>2141</v>
      </c>
      <c r="E980" s="1"/>
      <c r="F980" s="1" t="s">
        <v>2144</v>
      </c>
      <c r="G980" s="1">
        <v>8</v>
      </c>
      <c r="H980" s="1" t="s">
        <v>19</v>
      </c>
      <c r="I980" s="1" t="s">
        <v>570</v>
      </c>
      <c r="J980" s="1">
        <v>0.05</v>
      </c>
      <c r="K980" s="1">
        <v>0.4</v>
      </c>
      <c r="L980" s="42">
        <v>10</v>
      </c>
      <c r="M980" s="43">
        <v>46099</v>
      </c>
      <c r="N980" s="1" t="e">
        <f>VLOOKUP(B980,MICRO!E:L,8,0)</f>
        <v>#N/A</v>
      </c>
    </row>
    <row r="981" spans="1:14" ht="20.25" x14ac:dyDescent="0.25">
      <c r="A981" s="1">
        <v>60</v>
      </c>
      <c r="B981" s="159"/>
      <c r="C981" s="1"/>
      <c r="D981" s="1" t="s">
        <v>2141</v>
      </c>
      <c r="E981" s="1"/>
      <c r="F981" s="1" t="s">
        <v>2145</v>
      </c>
      <c r="G981" s="1">
        <v>228</v>
      </c>
      <c r="H981" s="1" t="s">
        <v>19</v>
      </c>
      <c r="I981" s="1" t="s">
        <v>570</v>
      </c>
      <c r="J981" s="1">
        <v>0.03</v>
      </c>
      <c r="K981" s="1">
        <v>6.84</v>
      </c>
      <c r="L981" s="42">
        <v>10</v>
      </c>
      <c r="M981" s="43">
        <v>46099</v>
      </c>
      <c r="N981" s="1" t="e">
        <f>VLOOKUP(B981,MICRO!E:L,8,0)</f>
        <v>#N/A</v>
      </c>
    </row>
    <row r="982" spans="1:14" ht="20.25" x14ac:dyDescent="0.25">
      <c r="A982" s="1">
        <v>61</v>
      </c>
      <c r="B982" s="159"/>
      <c r="C982" s="1"/>
      <c r="D982" s="1" t="s">
        <v>2141</v>
      </c>
      <c r="E982" s="1"/>
      <c r="F982" s="1" t="s">
        <v>2146</v>
      </c>
      <c r="G982" s="1">
        <v>268</v>
      </c>
      <c r="H982" s="1" t="s">
        <v>19</v>
      </c>
      <c r="I982" s="1" t="s">
        <v>570</v>
      </c>
      <c r="J982" s="1">
        <v>0.02</v>
      </c>
      <c r="K982" s="1">
        <v>5.36</v>
      </c>
      <c r="L982" s="42">
        <v>10</v>
      </c>
      <c r="M982" s="43">
        <v>46099</v>
      </c>
      <c r="N982" s="1" t="e">
        <f>VLOOKUP(B982,MICRO!E:L,8,0)</f>
        <v>#N/A</v>
      </c>
    </row>
    <row r="983" spans="1:14" ht="20.25" x14ac:dyDescent="0.25">
      <c r="A983" s="1">
        <v>62</v>
      </c>
      <c r="B983" s="159"/>
      <c r="C983" s="1"/>
      <c r="D983" s="1" t="s">
        <v>2147</v>
      </c>
      <c r="E983" s="1"/>
      <c r="F983" s="1" t="s">
        <v>2148</v>
      </c>
      <c r="G983" s="1">
        <v>252</v>
      </c>
      <c r="H983" s="1" t="s">
        <v>19</v>
      </c>
      <c r="I983" s="1" t="s">
        <v>571</v>
      </c>
      <c r="J983" s="1">
        <v>0.05</v>
      </c>
      <c r="K983" s="1">
        <v>12.600000000000001</v>
      </c>
      <c r="L983" s="42">
        <v>10</v>
      </c>
      <c r="M983" s="43">
        <v>46099</v>
      </c>
      <c r="N983" s="1" t="e">
        <f>VLOOKUP(B983,MICRO!E:L,8,0)</f>
        <v>#N/A</v>
      </c>
    </row>
    <row r="984" spans="1:14" ht="20.25" x14ac:dyDescent="0.25">
      <c r="A984" s="1">
        <v>63</v>
      </c>
      <c r="B984" s="159"/>
      <c r="C984" s="1"/>
      <c r="D984" s="1" t="s">
        <v>2147</v>
      </c>
      <c r="E984" s="1"/>
      <c r="F984" s="1" t="s">
        <v>2149</v>
      </c>
      <c r="G984" s="1">
        <v>16</v>
      </c>
      <c r="H984" s="1" t="s">
        <v>19</v>
      </c>
      <c r="I984" s="1" t="s">
        <v>571</v>
      </c>
      <c r="J984" s="1">
        <v>0.05</v>
      </c>
      <c r="K984" s="1">
        <v>0.8</v>
      </c>
      <c r="L984" s="42">
        <v>10</v>
      </c>
      <c r="M984" s="43">
        <v>46099</v>
      </c>
      <c r="N984" s="1" t="e">
        <f>VLOOKUP(B984,MICRO!E:L,8,0)</f>
        <v>#N/A</v>
      </c>
    </row>
    <row r="985" spans="1:14" ht="20.25" x14ac:dyDescent="0.25">
      <c r="A985" s="1">
        <v>64</v>
      </c>
      <c r="B985" s="159"/>
      <c r="C985" s="1"/>
      <c r="D985" s="1" t="s">
        <v>2147</v>
      </c>
      <c r="E985" s="1"/>
      <c r="F985" s="1" t="s">
        <v>2150</v>
      </c>
      <c r="G985" s="1">
        <v>8</v>
      </c>
      <c r="H985" s="1" t="s">
        <v>19</v>
      </c>
      <c r="I985" s="1" t="s">
        <v>571</v>
      </c>
      <c r="J985" s="1">
        <v>0.05</v>
      </c>
      <c r="K985" s="1">
        <v>0.4</v>
      </c>
      <c r="L985" s="42">
        <v>10</v>
      </c>
      <c r="M985" s="43">
        <v>46099</v>
      </c>
      <c r="N985" s="1" t="e">
        <f>VLOOKUP(B985,MICRO!E:L,8,0)</f>
        <v>#N/A</v>
      </c>
    </row>
    <row r="986" spans="1:14" ht="20.25" x14ac:dyDescent="0.25">
      <c r="A986" s="1">
        <v>65</v>
      </c>
      <c r="B986" s="159"/>
      <c r="C986" s="1"/>
      <c r="D986" s="1" t="s">
        <v>2147</v>
      </c>
      <c r="E986" s="1"/>
      <c r="F986" s="1" t="s">
        <v>2151</v>
      </c>
      <c r="G986" s="1">
        <v>228</v>
      </c>
      <c r="H986" s="1" t="s">
        <v>19</v>
      </c>
      <c r="I986" s="1" t="s">
        <v>571</v>
      </c>
      <c r="J986" s="1">
        <v>0.03</v>
      </c>
      <c r="K986" s="1">
        <v>6.84</v>
      </c>
      <c r="L986" s="42">
        <v>10</v>
      </c>
      <c r="M986" s="43">
        <v>46099</v>
      </c>
      <c r="N986" s="1" t="e">
        <f>VLOOKUP(B986,MICRO!E:L,8,0)</f>
        <v>#N/A</v>
      </c>
    </row>
    <row r="987" spans="1:14" ht="20.25" x14ac:dyDescent="0.25">
      <c r="A987" s="1">
        <v>66</v>
      </c>
      <c r="B987" s="159"/>
      <c r="C987" s="1"/>
      <c r="D987" s="1" t="s">
        <v>2147</v>
      </c>
      <c r="E987" s="1"/>
      <c r="F987" s="1" t="s">
        <v>2152</v>
      </c>
      <c r="G987" s="1">
        <v>268</v>
      </c>
      <c r="H987" s="1" t="s">
        <v>19</v>
      </c>
      <c r="I987" s="1" t="s">
        <v>571</v>
      </c>
      <c r="J987" s="1">
        <v>0.02</v>
      </c>
      <c r="K987" s="1">
        <v>5.36</v>
      </c>
      <c r="L987" s="42">
        <v>10</v>
      </c>
      <c r="M987" s="43">
        <v>46099</v>
      </c>
      <c r="N987" s="1" t="e">
        <f>VLOOKUP(B987,MICRO!E:L,8,0)</f>
        <v>#N/A</v>
      </c>
    </row>
    <row r="988" spans="1:14" ht="20.25" x14ac:dyDescent="0.25">
      <c r="A988" s="1">
        <v>67</v>
      </c>
      <c r="B988" s="159"/>
      <c r="C988" s="1"/>
      <c r="D988" s="1" t="s">
        <v>2153</v>
      </c>
      <c r="E988" s="1"/>
      <c r="F988" s="1" t="s">
        <v>2154</v>
      </c>
      <c r="G988" s="1">
        <v>182</v>
      </c>
      <c r="H988" s="1" t="s">
        <v>19</v>
      </c>
      <c r="I988" s="1" t="s">
        <v>572</v>
      </c>
      <c r="J988" s="1">
        <v>0.05</v>
      </c>
      <c r="K988" s="1">
        <v>9.1</v>
      </c>
      <c r="L988" s="42">
        <v>10</v>
      </c>
      <c r="M988" s="43">
        <v>46099</v>
      </c>
      <c r="N988" s="1" t="e">
        <f>VLOOKUP(B988,MICRO!E:L,8,0)</f>
        <v>#N/A</v>
      </c>
    </row>
    <row r="989" spans="1:14" ht="20.25" x14ac:dyDescent="0.25">
      <c r="A989" s="1">
        <v>68</v>
      </c>
      <c r="B989" s="159"/>
      <c r="C989" s="1"/>
      <c r="D989" s="1" t="s">
        <v>2153</v>
      </c>
      <c r="E989" s="1"/>
      <c r="F989" s="1" t="s">
        <v>2155</v>
      </c>
      <c r="G989" s="1">
        <v>16</v>
      </c>
      <c r="H989" s="1" t="s">
        <v>19</v>
      </c>
      <c r="I989" s="1" t="s">
        <v>572</v>
      </c>
      <c r="J989" s="1">
        <v>0.05</v>
      </c>
      <c r="K989" s="1">
        <v>0.8</v>
      </c>
      <c r="L989" s="42">
        <v>10</v>
      </c>
      <c r="M989" s="43">
        <v>46099</v>
      </c>
      <c r="N989" s="1" t="e">
        <f>VLOOKUP(B989,MICRO!E:L,8,0)</f>
        <v>#N/A</v>
      </c>
    </row>
    <row r="990" spans="1:14" ht="20.25" x14ac:dyDescent="0.25">
      <c r="A990" s="1">
        <v>69</v>
      </c>
      <c r="B990" s="159"/>
      <c r="C990" s="1"/>
      <c r="D990" s="1" t="s">
        <v>2153</v>
      </c>
      <c r="E990" s="1"/>
      <c r="F990" s="1" t="s">
        <v>2156</v>
      </c>
      <c r="G990" s="1">
        <v>8</v>
      </c>
      <c r="H990" s="1" t="s">
        <v>19</v>
      </c>
      <c r="I990" s="1" t="s">
        <v>572</v>
      </c>
      <c r="J990" s="1">
        <v>0.05</v>
      </c>
      <c r="K990" s="1">
        <v>0.4</v>
      </c>
      <c r="L990" s="42">
        <v>10</v>
      </c>
      <c r="M990" s="43">
        <v>46099</v>
      </c>
      <c r="N990" s="1" t="e">
        <f>VLOOKUP(B990,MICRO!E:L,8,0)</f>
        <v>#N/A</v>
      </c>
    </row>
    <row r="991" spans="1:14" ht="20.25" x14ac:dyDescent="0.25">
      <c r="A991" s="1">
        <v>70</v>
      </c>
      <c r="B991" s="159"/>
      <c r="C991" s="1"/>
      <c r="D991" s="1" t="s">
        <v>2153</v>
      </c>
      <c r="E991" s="1"/>
      <c r="F991" s="1" t="s">
        <v>2157</v>
      </c>
      <c r="G991" s="1">
        <v>158</v>
      </c>
      <c r="H991" s="1" t="s">
        <v>19</v>
      </c>
      <c r="I991" s="1" t="s">
        <v>572</v>
      </c>
      <c r="J991" s="1">
        <v>0.03</v>
      </c>
      <c r="K991" s="1">
        <v>4.74</v>
      </c>
      <c r="L991" s="42">
        <v>10</v>
      </c>
      <c r="M991" s="43">
        <v>46099</v>
      </c>
      <c r="N991" s="1" t="e">
        <f>VLOOKUP(B991,MICRO!E:L,8,0)</f>
        <v>#N/A</v>
      </c>
    </row>
    <row r="992" spans="1:14" ht="20.25" x14ac:dyDescent="0.25">
      <c r="A992" s="1">
        <v>71</v>
      </c>
      <c r="B992" s="159"/>
      <c r="C992" s="1"/>
      <c r="D992" s="1" t="s">
        <v>2153</v>
      </c>
      <c r="E992" s="1"/>
      <c r="F992" s="1" t="s">
        <v>2158</v>
      </c>
      <c r="G992" s="1">
        <v>198</v>
      </c>
      <c r="H992" s="1" t="s">
        <v>19</v>
      </c>
      <c r="I992" s="1" t="s">
        <v>572</v>
      </c>
      <c r="J992" s="1">
        <v>0.02</v>
      </c>
      <c r="K992" s="1">
        <v>3.96</v>
      </c>
      <c r="L992" s="42">
        <v>10</v>
      </c>
      <c r="M992" s="43">
        <v>46099</v>
      </c>
      <c r="N992" s="1" t="e">
        <f>VLOOKUP(B992,MICRO!E:L,8,0)</f>
        <v>#N/A</v>
      </c>
    </row>
    <row r="993" spans="1:14" ht="20.25" x14ac:dyDescent="0.25">
      <c r="A993" s="1">
        <v>72</v>
      </c>
      <c r="B993" s="159"/>
      <c r="C993" s="1"/>
      <c r="D993" s="1" t="s">
        <v>2159</v>
      </c>
      <c r="E993" s="1"/>
      <c r="F993" s="1" t="s">
        <v>2160</v>
      </c>
      <c r="G993" s="1">
        <v>36</v>
      </c>
      <c r="H993" s="1" t="s">
        <v>19</v>
      </c>
      <c r="I993" s="1" t="s">
        <v>424</v>
      </c>
      <c r="J993" s="1">
        <v>0.05</v>
      </c>
      <c r="K993" s="1">
        <v>1.8</v>
      </c>
      <c r="L993" s="42">
        <v>10</v>
      </c>
      <c r="M993" s="43">
        <v>46099</v>
      </c>
      <c r="N993" s="1" t="e">
        <f>VLOOKUP(B993,MICRO!E:L,8,0)</f>
        <v>#N/A</v>
      </c>
    </row>
    <row r="994" spans="1:14" ht="20.25" x14ac:dyDescent="0.25">
      <c r="A994" s="1">
        <v>73</v>
      </c>
      <c r="B994" s="159"/>
      <c r="C994" s="1"/>
      <c r="D994" s="1" t="s">
        <v>2159</v>
      </c>
      <c r="E994" s="1"/>
      <c r="F994" s="1" t="s">
        <v>2161</v>
      </c>
      <c r="G994" s="1">
        <v>36</v>
      </c>
      <c r="H994" s="1" t="s">
        <v>19</v>
      </c>
      <c r="I994" s="1" t="s">
        <v>424</v>
      </c>
      <c r="J994" s="1">
        <v>0.03</v>
      </c>
      <c r="K994" s="1">
        <v>1.08</v>
      </c>
      <c r="L994" s="42">
        <v>10</v>
      </c>
      <c r="M994" s="43">
        <v>46099</v>
      </c>
      <c r="N994" s="1" t="e">
        <f>VLOOKUP(B994,MICRO!E:L,8,0)</f>
        <v>#N/A</v>
      </c>
    </row>
    <row r="995" spans="1:14" ht="20.25" x14ac:dyDescent="0.25">
      <c r="A995" s="1">
        <v>74</v>
      </c>
      <c r="B995" s="159"/>
      <c r="C995" s="1"/>
      <c r="D995" s="1" t="s">
        <v>2159</v>
      </c>
      <c r="E995" s="1"/>
      <c r="F995" s="1" t="s">
        <v>2162</v>
      </c>
      <c r="G995" s="1">
        <v>36</v>
      </c>
      <c r="H995" s="1" t="s">
        <v>19</v>
      </c>
      <c r="I995" s="1" t="s">
        <v>424</v>
      </c>
      <c r="J995" s="1">
        <v>0.03</v>
      </c>
      <c r="K995" s="1">
        <v>1.08</v>
      </c>
      <c r="L995" s="42">
        <v>10</v>
      </c>
      <c r="M995" s="43">
        <v>46099</v>
      </c>
      <c r="N995" s="1" t="e">
        <f>VLOOKUP(B995,MICRO!E:L,8,0)</f>
        <v>#N/A</v>
      </c>
    </row>
    <row r="996" spans="1:14" ht="20.25" x14ac:dyDescent="0.25">
      <c r="A996" s="1">
        <v>75</v>
      </c>
      <c r="B996" s="159"/>
      <c r="C996" s="1"/>
      <c r="D996" s="1" t="s">
        <v>2159</v>
      </c>
      <c r="E996" s="1"/>
      <c r="F996" s="1" t="s">
        <v>2163</v>
      </c>
      <c r="G996" s="1">
        <v>18</v>
      </c>
      <c r="H996" s="1" t="s">
        <v>19</v>
      </c>
      <c r="I996" s="1" t="s">
        <v>424</v>
      </c>
      <c r="J996" s="1">
        <v>0.05</v>
      </c>
      <c r="K996" s="1">
        <v>0.9</v>
      </c>
      <c r="L996" s="42">
        <v>10</v>
      </c>
      <c r="M996" s="43">
        <v>46099</v>
      </c>
      <c r="N996" s="1" t="e">
        <f>VLOOKUP(B996,MICRO!E:L,8,0)</f>
        <v>#N/A</v>
      </c>
    </row>
    <row r="997" spans="1:14" ht="20.25" x14ac:dyDescent="0.25">
      <c r="A997" s="1">
        <v>76</v>
      </c>
      <c r="B997" s="159"/>
      <c r="C997" s="1"/>
      <c r="D997" s="1" t="s">
        <v>2159</v>
      </c>
      <c r="E997" s="1"/>
      <c r="F997" s="1" t="s">
        <v>2164</v>
      </c>
      <c r="G997" s="1">
        <v>18</v>
      </c>
      <c r="H997" s="1" t="s">
        <v>19</v>
      </c>
      <c r="I997" s="1" t="s">
        <v>424</v>
      </c>
      <c r="J997" s="1">
        <v>0.03</v>
      </c>
      <c r="K997" s="1">
        <v>0.54</v>
      </c>
      <c r="L997" s="42">
        <v>10</v>
      </c>
      <c r="M997" s="43">
        <v>46099</v>
      </c>
      <c r="N997" s="1" t="e">
        <f>VLOOKUP(B997,MICRO!E:L,8,0)</f>
        <v>#N/A</v>
      </c>
    </row>
    <row r="998" spans="1:14" ht="20.25" x14ac:dyDescent="0.25">
      <c r="A998" s="1">
        <v>77</v>
      </c>
      <c r="B998" s="159"/>
      <c r="C998" s="1"/>
      <c r="D998" s="1" t="s">
        <v>2159</v>
      </c>
      <c r="E998" s="1"/>
      <c r="F998" s="1" t="s">
        <v>2165</v>
      </c>
      <c r="G998" s="1">
        <v>18</v>
      </c>
      <c r="H998" s="1" t="s">
        <v>19</v>
      </c>
      <c r="I998" s="1" t="s">
        <v>424</v>
      </c>
      <c r="J998" s="1">
        <v>0.03</v>
      </c>
      <c r="K998" s="1">
        <v>0.54</v>
      </c>
      <c r="L998" s="42">
        <v>10</v>
      </c>
      <c r="M998" s="43">
        <v>46099</v>
      </c>
      <c r="N998" s="1" t="e">
        <f>VLOOKUP(B998,MICRO!E:L,8,0)</f>
        <v>#N/A</v>
      </c>
    </row>
    <row r="999" spans="1:14" ht="20.25" x14ac:dyDescent="0.25">
      <c r="A999" s="1">
        <v>78</v>
      </c>
      <c r="B999" s="159"/>
      <c r="C999" s="1"/>
      <c r="D999" s="1" t="s">
        <v>2166</v>
      </c>
      <c r="E999" s="1"/>
      <c r="F999" s="1" t="s">
        <v>2167</v>
      </c>
      <c r="G999" s="1">
        <v>27</v>
      </c>
      <c r="H999" s="1" t="s">
        <v>19</v>
      </c>
      <c r="I999" s="1" t="s">
        <v>425</v>
      </c>
      <c r="J999" s="1">
        <v>0.05</v>
      </c>
      <c r="K999" s="1">
        <v>1.35</v>
      </c>
      <c r="L999" s="42">
        <v>10</v>
      </c>
      <c r="M999" s="43">
        <v>46099</v>
      </c>
      <c r="N999" s="1" t="e">
        <f>VLOOKUP(B999,MICRO!E:L,8,0)</f>
        <v>#N/A</v>
      </c>
    </row>
    <row r="1000" spans="1:14" ht="20.25" x14ac:dyDescent="0.25">
      <c r="A1000" s="1">
        <v>79</v>
      </c>
      <c r="B1000" s="159"/>
      <c r="C1000" s="1"/>
      <c r="D1000" s="1" t="s">
        <v>2166</v>
      </c>
      <c r="E1000" s="1"/>
      <c r="F1000" s="1" t="s">
        <v>2168</v>
      </c>
      <c r="G1000" s="1">
        <v>27</v>
      </c>
      <c r="H1000" s="1" t="s">
        <v>19</v>
      </c>
      <c r="I1000" s="1" t="s">
        <v>425</v>
      </c>
      <c r="J1000" s="1">
        <v>0.03</v>
      </c>
      <c r="K1000" s="1">
        <v>0.80999999999999994</v>
      </c>
      <c r="L1000" s="42">
        <v>10</v>
      </c>
      <c r="M1000" s="43">
        <v>46099</v>
      </c>
      <c r="N1000" s="1" t="e">
        <f>VLOOKUP(B1000,MICRO!E:L,8,0)</f>
        <v>#N/A</v>
      </c>
    </row>
    <row r="1001" spans="1:14" ht="20.25" x14ac:dyDescent="0.25">
      <c r="A1001" s="1">
        <v>80</v>
      </c>
      <c r="B1001" s="159"/>
      <c r="C1001" s="1"/>
      <c r="D1001" s="1" t="s">
        <v>2166</v>
      </c>
      <c r="E1001" s="1"/>
      <c r="F1001" s="1" t="s">
        <v>2169</v>
      </c>
      <c r="G1001" s="1">
        <v>27</v>
      </c>
      <c r="H1001" s="1" t="s">
        <v>19</v>
      </c>
      <c r="I1001" s="1" t="s">
        <v>425</v>
      </c>
      <c r="J1001" s="1">
        <v>0.03</v>
      </c>
      <c r="K1001" s="1">
        <v>0.80999999999999994</v>
      </c>
      <c r="L1001" s="42">
        <v>10</v>
      </c>
      <c r="M1001" s="43">
        <v>46099</v>
      </c>
      <c r="N1001" s="1" t="e">
        <f>VLOOKUP(B1001,MICRO!E:L,8,0)</f>
        <v>#N/A</v>
      </c>
    </row>
    <row r="1002" spans="1:14" ht="20.25" x14ac:dyDescent="0.25">
      <c r="A1002" s="1">
        <v>81</v>
      </c>
      <c r="B1002" s="159"/>
      <c r="C1002" s="1"/>
      <c r="D1002" s="1" t="s">
        <v>2170</v>
      </c>
      <c r="E1002" s="1"/>
      <c r="F1002" s="1" t="s">
        <v>2171</v>
      </c>
      <c r="G1002" s="1">
        <v>36</v>
      </c>
      <c r="H1002" s="1" t="s">
        <v>19</v>
      </c>
      <c r="I1002" s="1" t="s">
        <v>426</v>
      </c>
      <c r="J1002" s="1">
        <v>0.05</v>
      </c>
      <c r="K1002" s="1">
        <v>1.8</v>
      </c>
      <c r="L1002" s="42">
        <v>10</v>
      </c>
      <c r="M1002" s="43">
        <v>46099</v>
      </c>
      <c r="N1002" s="1" t="e">
        <f>VLOOKUP(B1002,MICRO!E:L,8,0)</f>
        <v>#N/A</v>
      </c>
    </row>
    <row r="1003" spans="1:14" ht="20.25" x14ac:dyDescent="0.25">
      <c r="A1003" s="1">
        <v>82</v>
      </c>
      <c r="B1003" s="159"/>
      <c r="C1003" s="1"/>
      <c r="D1003" s="1" t="s">
        <v>2170</v>
      </c>
      <c r="E1003" s="1"/>
      <c r="F1003" s="1" t="s">
        <v>2172</v>
      </c>
      <c r="G1003" s="1">
        <v>36</v>
      </c>
      <c r="H1003" s="1" t="s">
        <v>19</v>
      </c>
      <c r="I1003" s="1" t="s">
        <v>426</v>
      </c>
      <c r="J1003" s="1">
        <v>0.03</v>
      </c>
      <c r="K1003" s="1">
        <v>1.08</v>
      </c>
      <c r="L1003" s="42">
        <v>10</v>
      </c>
      <c r="M1003" s="43">
        <v>46099</v>
      </c>
      <c r="N1003" s="1" t="e">
        <f>VLOOKUP(B1003,MICRO!E:L,8,0)</f>
        <v>#N/A</v>
      </c>
    </row>
    <row r="1004" spans="1:14" ht="20.25" x14ac:dyDescent="0.25">
      <c r="A1004" s="1">
        <v>83</v>
      </c>
      <c r="B1004" s="159"/>
      <c r="C1004" s="1"/>
      <c r="D1004" s="1" t="s">
        <v>2170</v>
      </c>
      <c r="E1004" s="1"/>
      <c r="F1004" s="1" t="s">
        <v>2173</v>
      </c>
      <c r="G1004" s="1">
        <v>36</v>
      </c>
      <c r="H1004" s="1" t="s">
        <v>19</v>
      </c>
      <c r="I1004" s="1" t="s">
        <v>426</v>
      </c>
      <c r="J1004" s="1">
        <v>0.03</v>
      </c>
      <c r="K1004" s="1">
        <v>1.08</v>
      </c>
      <c r="L1004" s="42">
        <v>10</v>
      </c>
      <c r="M1004" s="43">
        <v>46099</v>
      </c>
      <c r="N1004" s="1" t="e">
        <f>VLOOKUP(B1004,MICRO!E:L,8,0)</f>
        <v>#N/A</v>
      </c>
    </row>
    <row r="1005" spans="1:14" ht="20.25" x14ac:dyDescent="0.25">
      <c r="A1005" s="1">
        <v>84</v>
      </c>
      <c r="B1005" s="159"/>
      <c r="C1005" s="1"/>
      <c r="D1005" s="1" t="s">
        <v>2174</v>
      </c>
      <c r="E1005" s="1"/>
      <c r="F1005" s="1" t="s">
        <v>2175</v>
      </c>
      <c r="G1005" s="1">
        <v>72</v>
      </c>
      <c r="H1005" s="1" t="s">
        <v>19</v>
      </c>
      <c r="I1005" s="1" t="s">
        <v>427</v>
      </c>
      <c r="J1005" s="1">
        <v>0.05</v>
      </c>
      <c r="K1005" s="1">
        <v>3.6</v>
      </c>
      <c r="L1005" s="42">
        <v>10</v>
      </c>
      <c r="M1005" s="43">
        <v>46099</v>
      </c>
      <c r="N1005" s="1" t="e">
        <f>VLOOKUP(B1005,MICRO!E:L,8,0)</f>
        <v>#N/A</v>
      </c>
    </row>
    <row r="1006" spans="1:14" ht="20.25" x14ac:dyDescent="0.25">
      <c r="A1006" s="1">
        <v>85</v>
      </c>
      <c r="B1006" s="159"/>
      <c r="C1006" s="1"/>
      <c r="D1006" s="1" t="s">
        <v>2174</v>
      </c>
      <c r="E1006" s="1"/>
      <c r="F1006" s="1" t="s">
        <v>2176</v>
      </c>
      <c r="G1006" s="1">
        <v>72</v>
      </c>
      <c r="H1006" s="1" t="s">
        <v>19</v>
      </c>
      <c r="I1006" s="1" t="s">
        <v>427</v>
      </c>
      <c r="J1006" s="1">
        <v>0.03</v>
      </c>
      <c r="K1006" s="1">
        <v>2.16</v>
      </c>
      <c r="L1006" s="42">
        <v>10</v>
      </c>
      <c r="M1006" s="43">
        <v>46099</v>
      </c>
      <c r="N1006" s="1" t="e">
        <f>VLOOKUP(B1006,MICRO!E:L,8,0)</f>
        <v>#N/A</v>
      </c>
    </row>
    <row r="1007" spans="1:14" ht="18" customHeight="1" x14ac:dyDescent="0.25">
      <c r="A1007" s="1">
        <v>86</v>
      </c>
      <c r="B1007" s="159"/>
      <c r="C1007" s="1"/>
      <c r="D1007" s="1" t="s">
        <v>2174</v>
      </c>
      <c r="E1007" s="1"/>
      <c r="F1007" s="1" t="s">
        <v>2177</v>
      </c>
      <c r="G1007" s="1">
        <v>72</v>
      </c>
      <c r="H1007" s="1" t="s">
        <v>19</v>
      </c>
      <c r="I1007" s="1" t="s">
        <v>427</v>
      </c>
      <c r="J1007" s="1">
        <v>0.03</v>
      </c>
      <c r="K1007" s="1">
        <v>2.16</v>
      </c>
      <c r="L1007" s="42">
        <v>10</v>
      </c>
      <c r="M1007" s="43">
        <v>46099</v>
      </c>
      <c r="N1007" s="1" t="e">
        <f>VLOOKUP(B1007,MICRO!E:L,8,0)</f>
        <v>#N/A</v>
      </c>
    </row>
    <row r="1008" spans="1:14" ht="18" customHeight="1" x14ac:dyDescent="0.25">
      <c r="A1008" s="1">
        <v>2</v>
      </c>
      <c r="B1008" s="159"/>
      <c r="C1008" s="1" t="s">
        <v>1081</v>
      </c>
      <c r="D1008" s="1"/>
      <c r="E1008" s="1"/>
      <c r="F1008" s="1" t="s">
        <v>1082</v>
      </c>
      <c r="G1008" s="1">
        <v>1</v>
      </c>
      <c r="H1008" s="1" t="s">
        <v>19</v>
      </c>
      <c r="I1008" s="1" t="s">
        <v>652</v>
      </c>
      <c r="J1008" s="1">
        <v>69.099999999999994</v>
      </c>
      <c r="K1008" s="1">
        <v>69.099999999999994</v>
      </c>
      <c r="L1008" s="42">
        <v>9</v>
      </c>
      <c r="M1008" s="43">
        <v>46099</v>
      </c>
      <c r="N1008" s="1" t="e">
        <f>VLOOKUP(B1008,MICRO!E:L,8,0)</f>
        <v>#N/A</v>
      </c>
    </row>
    <row r="1009" spans="1:14" ht="18" customHeight="1" x14ac:dyDescent="0.25">
      <c r="A1009" s="1">
        <v>3</v>
      </c>
      <c r="B1009" s="159"/>
      <c r="C1009" s="1" t="s">
        <v>1081</v>
      </c>
      <c r="D1009" s="1"/>
      <c r="E1009" s="1"/>
      <c r="F1009" s="1" t="s">
        <v>1083</v>
      </c>
      <c r="G1009" s="1">
        <v>9</v>
      </c>
      <c r="H1009" s="1" t="s">
        <v>19</v>
      </c>
      <c r="I1009" s="1" t="s">
        <v>652</v>
      </c>
      <c r="J1009" s="1">
        <v>98.8</v>
      </c>
      <c r="K1009" s="1">
        <v>889.19999999999993</v>
      </c>
      <c r="L1009" s="42">
        <v>9</v>
      </c>
      <c r="M1009" s="43">
        <v>46099</v>
      </c>
      <c r="N1009" s="1" t="e">
        <f>VLOOKUP(B1009,MICRO!E:L,8,0)</f>
        <v>#N/A</v>
      </c>
    </row>
    <row r="1010" spans="1:14" ht="18" customHeight="1" x14ac:dyDescent="0.25">
      <c r="A1010" s="1">
        <v>4</v>
      </c>
      <c r="B1010" s="159"/>
      <c r="C1010" s="1" t="s">
        <v>1081</v>
      </c>
      <c r="D1010" s="1"/>
      <c r="E1010" s="1"/>
      <c r="F1010" s="1" t="s">
        <v>1084</v>
      </c>
      <c r="G1010" s="1">
        <v>1</v>
      </c>
      <c r="H1010" s="1" t="s">
        <v>19</v>
      </c>
      <c r="I1010" s="1" t="s">
        <v>652</v>
      </c>
      <c r="J1010" s="1">
        <v>138.30000000000001</v>
      </c>
      <c r="K1010" s="1">
        <v>138.30000000000001</v>
      </c>
      <c r="L1010" s="42">
        <v>9</v>
      </c>
      <c r="M1010" s="43">
        <v>46099</v>
      </c>
      <c r="N1010" s="1" t="e">
        <f>VLOOKUP(B1010,MICRO!E:L,8,0)</f>
        <v>#N/A</v>
      </c>
    </row>
    <row r="1011" spans="1:14" ht="18" customHeight="1" x14ac:dyDescent="0.25">
      <c r="A1011" s="1">
        <v>5</v>
      </c>
      <c r="B1011" s="159"/>
      <c r="C1011" s="1" t="s">
        <v>1797</v>
      </c>
      <c r="D1011" s="1"/>
      <c r="E1011" s="1"/>
      <c r="F1011" s="1" t="s">
        <v>2178</v>
      </c>
      <c r="G1011" s="1">
        <v>4</v>
      </c>
      <c r="H1011" s="1" t="s">
        <v>19</v>
      </c>
      <c r="I1011" s="1" t="s">
        <v>652</v>
      </c>
      <c r="J1011" s="1">
        <v>0.01</v>
      </c>
      <c r="K1011" s="1">
        <v>0.04</v>
      </c>
      <c r="L1011" s="42">
        <v>9</v>
      </c>
      <c r="M1011" s="43">
        <v>46099</v>
      </c>
      <c r="N1011" s="1" t="e">
        <f>VLOOKUP(B1011,MICRO!E:L,8,0)</f>
        <v>#N/A</v>
      </c>
    </row>
    <row r="1012" spans="1:14" ht="18" customHeight="1" x14ac:dyDescent="0.25">
      <c r="A1012" s="1">
        <v>6</v>
      </c>
      <c r="B1012" s="159"/>
      <c r="C1012" s="1"/>
      <c r="D1012" s="1" t="s">
        <v>2179</v>
      </c>
      <c r="E1012" s="1"/>
      <c r="F1012" s="1" t="s">
        <v>2180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2">
        <v>9</v>
      </c>
      <c r="M1012" s="43">
        <v>46099</v>
      </c>
      <c r="N1012" s="1" t="e">
        <f>VLOOKUP(B1012,MICRO!E:L,8,0)</f>
        <v>#N/A</v>
      </c>
    </row>
    <row r="1013" spans="1:14" ht="18" customHeight="1" x14ac:dyDescent="0.25">
      <c r="A1013" s="1">
        <v>7</v>
      </c>
      <c r="B1013" s="159"/>
      <c r="C1013" s="1"/>
      <c r="D1013" s="1" t="s">
        <v>2179</v>
      </c>
      <c r="E1013" s="1"/>
      <c r="F1013" s="1" t="s">
        <v>2181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2">
        <v>9</v>
      </c>
      <c r="M1013" s="43">
        <v>46099</v>
      </c>
      <c r="N1013" s="1" t="e">
        <f>VLOOKUP(B1013,MICRO!E:L,8,0)</f>
        <v>#N/A</v>
      </c>
    </row>
    <row r="1014" spans="1:14" ht="18" customHeight="1" x14ac:dyDescent="0.25">
      <c r="A1014" s="1">
        <v>8</v>
      </c>
      <c r="B1014" s="159"/>
      <c r="C1014" s="1"/>
      <c r="D1014" s="1" t="s">
        <v>2179</v>
      </c>
      <c r="E1014" s="1"/>
      <c r="F1014" s="1" t="s">
        <v>2182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2">
        <v>9</v>
      </c>
      <c r="M1014" s="43">
        <v>46099</v>
      </c>
      <c r="N1014" s="1" t="e">
        <f>VLOOKUP(B1014,MICRO!E:L,8,0)</f>
        <v>#N/A</v>
      </c>
    </row>
    <row r="1015" spans="1:14" ht="18" customHeight="1" x14ac:dyDescent="0.25">
      <c r="A1015" s="1">
        <v>9</v>
      </c>
      <c r="B1015" s="159"/>
      <c r="C1015" s="1"/>
      <c r="D1015" s="1" t="s">
        <v>2179</v>
      </c>
      <c r="E1015" s="1"/>
      <c r="F1015" s="1" t="s">
        <v>2183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2">
        <v>9</v>
      </c>
      <c r="M1015" s="43">
        <v>46099</v>
      </c>
      <c r="N1015" s="1" t="e">
        <f>VLOOKUP(B1015,MICRO!E:L,8,0)</f>
        <v>#N/A</v>
      </c>
    </row>
    <row r="1016" spans="1:14" ht="18" customHeight="1" x14ac:dyDescent="0.25">
      <c r="A1016" s="1">
        <v>15</v>
      </c>
      <c r="B1016" s="159"/>
      <c r="C1016" s="1" t="s">
        <v>2184</v>
      </c>
      <c r="D1016" s="1"/>
      <c r="E1016" s="1" t="s">
        <v>2185</v>
      </c>
      <c r="F1016" s="1" t="s">
        <v>2186</v>
      </c>
      <c r="G1016" s="1">
        <v>22</v>
      </c>
      <c r="H1016" s="1" t="s">
        <v>19</v>
      </c>
      <c r="I1016" s="1" t="s">
        <v>652</v>
      </c>
      <c r="J1016" s="1">
        <v>0.2</v>
      </c>
      <c r="K1016" s="1">
        <v>4.4000000000000004</v>
      </c>
      <c r="L1016" s="42">
        <v>9</v>
      </c>
      <c r="M1016" s="43">
        <v>46099</v>
      </c>
      <c r="N1016" s="1" t="e">
        <f>VLOOKUP(B1016,MICRO!E:L,8,0)</f>
        <v>#N/A</v>
      </c>
    </row>
    <row r="1017" spans="1:14" ht="18" customHeight="1" x14ac:dyDescent="0.25">
      <c r="A1017" s="1">
        <v>16</v>
      </c>
      <c r="B1017" s="159"/>
      <c r="C1017" s="1" t="s">
        <v>2187</v>
      </c>
      <c r="D1017" s="1"/>
      <c r="E1017" s="1"/>
      <c r="F1017" s="1" t="s">
        <v>2188</v>
      </c>
      <c r="G1017" s="1">
        <v>1</v>
      </c>
      <c r="H1017" s="1" t="s">
        <v>19</v>
      </c>
      <c r="I1017" s="1" t="s">
        <v>652</v>
      </c>
      <c r="J1017" s="1">
        <v>0.5</v>
      </c>
      <c r="K1017" s="1">
        <v>0.5</v>
      </c>
      <c r="L1017" s="42">
        <v>9</v>
      </c>
      <c r="M1017" s="43">
        <v>46099</v>
      </c>
      <c r="N1017" s="1" t="e">
        <f>VLOOKUP(B1017,MICRO!E:L,8,0)</f>
        <v>#N/A</v>
      </c>
    </row>
    <row r="1018" spans="1:14" ht="18" customHeight="1" x14ac:dyDescent="0.25">
      <c r="A1018" s="1">
        <v>1</v>
      </c>
      <c r="B1018" s="159"/>
      <c r="C1018" s="1" t="s">
        <v>588</v>
      </c>
      <c r="D1018" s="1"/>
      <c r="E1018" s="1" t="s">
        <v>1103</v>
      </c>
      <c r="F1018" s="1" t="s">
        <v>2189</v>
      </c>
      <c r="G1018" s="1">
        <v>2</v>
      </c>
      <c r="H1018" s="1" t="s">
        <v>19</v>
      </c>
      <c r="I1018" s="1" t="s">
        <v>585</v>
      </c>
      <c r="J1018" s="1">
        <v>2.8</v>
      </c>
      <c r="K1018" s="1">
        <v>5.6</v>
      </c>
      <c r="L1018" s="42">
        <v>9</v>
      </c>
      <c r="M1018" s="43">
        <v>46099</v>
      </c>
      <c r="N1018" s="1" t="e">
        <f>VLOOKUP(B1018,MICRO!E:L,8,0)</f>
        <v>#N/A</v>
      </c>
    </row>
    <row r="1019" spans="1:14" ht="18" customHeight="1" x14ac:dyDescent="0.25">
      <c r="A1019" s="1">
        <v>5</v>
      </c>
      <c r="B1019" s="159"/>
      <c r="C1019" s="1" t="s">
        <v>185</v>
      </c>
      <c r="D1019" s="1"/>
      <c r="E1019" s="1" t="s">
        <v>2190</v>
      </c>
      <c r="F1019" s="1" t="s">
        <v>2186</v>
      </c>
      <c r="G1019" s="1">
        <v>6</v>
      </c>
      <c r="H1019" s="1" t="s">
        <v>19</v>
      </c>
      <c r="I1019" s="1" t="s">
        <v>629</v>
      </c>
      <c r="J1019" s="1">
        <v>0.2</v>
      </c>
      <c r="K1019" s="1">
        <v>1.2000000000000002</v>
      </c>
      <c r="L1019" s="42">
        <v>9</v>
      </c>
      <c r="M1019" s="43">
        <v>46099</v>
      </c>
      <c r="N1019" s="1" t="e">
        <f>VLOOKUP(B1019,MICRO!E:L,8,0)</f>
        <v>#N/A</v>
      </c>
    </row>
    <row r="1020" spans="1:14" ht="18" customHeight="1" x14ac:dyDescent="0.25">
      <c r="A1020" s="1">
        <v>10</v>
      </c>
      <c r="B1020" s="159"/>
      <c r="C1020" s="1" t="s">
        <v>959</v>
      </c>
      <c r="D1020" s="1"/>
      <c r="E1020" s="1" t="s">
        <v>2193</v>
      </c>
      <c r="F1020" s="1" t="s">
        <v>2194</v>
      </c>
      <c r="G1020" s="1">
        <v>2</v>
      </c>
      <c r="H1020" s="1" t="s">
        <v>19</v>
      </c>
      <c r="I1020" s="1" t="s">
        <v>629</v>
      </c>
      <c r="J1020" s="1">
        <v>0.47</v>
      </c>
      <c r="K1020" s="1">
        <v>0.94</v>
      </c>
      <c r="L1020" s="42">
        <v>9</v>
      </c>
      <c r="M1020" s="43">
        <v>46099</v>
      </c>
      <c r="N1020" s="1" t="e">
        <f>VLOOKUP(B1020,MICRO!E:L,8,0)</f>
        <v>#N/A</v>
      </c>
    </row>
    <row r="1021" spans="1:14" ht="18" customHeight="1" x14ac:dyDescent="0.25">
      <c r="A1021" s="1">
        <v>12</v>
      </c>
      <c r="B1021" s="159"/>
      <c r="C1021" s="1" t="s">
        <v>959</v>
      </c>
      <c r="D1021" s="1"/>
      <c r="E1021" s="1" t="s">
        <v>2195</v>
      </c>
      <c r="F1021" s="1" t="s">
        <v>2186</v>
      </c>
      <c r="G1021" s="1">
        <v>1</v>
      </c>
      <c r="H1021" s="1" t="s">
        <v>19</v>
      </c>
      <c r="I1021" s="1" t="s">
        <v>629</v>
      </c>
      <c r="J1021" s="1">
        <v>0.2</v>
      </c>
      <c r="K1021" s="1">
        <v>0.2</v>
      </c>
      <c r="L1021" s="42">
        <v>9</v>
      </c>
      <c r="M1021" s="43">
        <v>46099</v>
      </c>
      <c r="N1021" s="1" t="e">
        <f>VLOOKUP(B1021,MICRO!E:L,8,0)</f>
        <v>#N/A</v>
      </c>
    </row>
    <row r="1022" spans="1:14" ht="18" customHeight="1" x14ac:dyDescent="0.25">
      <c r="A1022" s="1">
        <v>15</v>
      </c>
      <c r="B1022" s="159"/>
      <c r="C1022" s="1"/>
      <c r="D1022" s="1" t="s">
        <v>2196</v>
      </c>
      <c r="E1022" s="1"/>
      <c r="F1022" s="1" t="s">
        <v>2197</v>
      </c>
      <c r="G1022" s="1">
        <v>12</v>
      </c>
      <c r="H1022" s="1" t="s">
        <v>19</v>
      </c>
      <c r="I1022" s="1" t="s">
        <v>589</v>
      </c>
      <c r="J1022" s="1">
        <v>0.02</v>
      </c>
      <c r="K1022" s="1">
        <v>0.24</v>
      </c>
      <c r="L1022" s="42">
        <v>9</v>
      </c>
      <c r="M1022" s="43">
        <v>46099</v>
      </c>
      <c r="N1022" s="1" t="e">
        <f>VLOOKUP(B1022,MICRO!E:L,8,0)</f>
        <v>#N/A</v>
      </c>
    </row>
    <row r="1023" spans="1:14" ht="18" customHeight="1" x14ac:dyDescent="0.25">
      <c r="A1023" s="1">
        <v>16</v>
      </c>
      <c r="B1023" s="159"/>
      <c r="C1023" s="1"/>
      <c r="D1023" s="1" t="s">
        <v>2196</v>
      </c>
      <c r="E1023" s="1"/>
      <c r="F1023" s="1" t="s">
        <v>2198</v>
      </c>
      <c r="G1023" s="1">
        <v>3</v>
      </c>
      <c r="H1023" s="1" t="s">
        <v>19</v>
      </c>
      <c r="I1023" s="1" t="s">
        <v>589</v>
      </c>
      <c r="J1023" s="1">
        <v>0.02</v>
      </c>
      <c r="K1023" s="1">
        <v>0.06</v>
      </c>
      <c r="L1023" s="42">
        <v>9</v>
      </c>
      <c r="M1023" s="43">
        <v>46099</v>
      </c>
      <c r="N1023" s="1" t="e">
        <f>VLOOKUP(B1023,MICRO!E:L,8,0)</f>
        <v>#N/A</v>
      </c>
    </row>
    <row r="1024" spans="1:14" ht="18" customHeight="1" x14ac:dyDescent="0.25">
      <c r="A1024" s="1">
        <v>17</v>
      </c>
      <c r="B1024" s="159"/>
      <c r="C1024" s="1"/>
      <c r="D1024" s="1" t="s">
        <v>2196</v>
      </c>
      <c r="E1024" s="1"/>
      <c r="F1024" s="1" t="s">
        <v>2199</v>
      </c>
      <c r="G1024" s="1">
        <v>12</v>
      </c>
      <c r="H1024" s="1" t="s">
        <v>19</v>
      </c>
      <c r="I1024" s="1" t="s">
        <v>589</v>
      </c>
      <c r="J1024" s="1">
        <v>0.03</v>
      </c>
      <c r="K1024" s="1">
        <v>0.36</v>
      </c>
      <c r="L1024" s="42">
        <v>9</v>
      </c>
      <c r="M1024" s="43">
        <v>46099</v>
      </c>
      <c r="N1024" s="1" t="e">
        <f>VLOOKUP(B1024,MICRO!E:L,8,0)</f>
        <v>#N/A</v>
      </c>
    </row>
    <row r="1025" spans="1:14" ht="18" customHeight="1" x14ac:dyDescent="0.25">
      <c r="A1025" s="1">
        <v>18</v>
      </c>
      <c r="B1025" s="159"/>
      <c r="C1025" s="1"/>
      <c r="D1025" s="1" t="s">
        <v>2196</v>
      </c>
      <c r="E1025" s="1"/>
      <c r="F1025" s="1" t="s">
        <v>2200</v>
      </c>
      <c r="G1025" s="1">
        <v>3</v>
      </c>
      <c r="H1025" s="1" t="s">
        <v>19</v>
      </c>
      <c r="I1025" s="1" t="s">
        <v>589</v>
      </c>
      <c r="J1025" s="1">
        <v>0.03</v>
      </c>
      <c r="K1025" s="1">
        <v>0.09</v>
      </c>
      <c r="L1025" s="42">
        <v>9</v>
      </c>
      <c r="M1025" s="43">
        <v>46099</v>
      </c>
      <c r="N1025" s="1" t="e">
        <f>VLOOKUP(B1025,MICRO!E:L,8,0)</f>
        <v>#N/A</v>
      </c>
    </row>
    <row r="1026" spans="1:14" ht="18" customHeight="1" x14ac:dyDescent="0.25">
      <c r="A1026" s="1">
        <v>19</v>
      </c>
      <c r="B1026" s="159"/>
      <c r="C1026" s="1" t="s">
        <v>2201</v>
      </c>
      <c r="D1026" s="1"/>
      <c r="E1026" s="1"/>
      <c r="F1026" s="1" t="s">
        <v>2202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2">
        <v>9</v>
      </c>
      <c r="M1026" s="43">
        <v>46099</v>
      </c>
      <c r="N1026" s="1" t="e">
        <f>VLOOKUP(B1026,MICRO!E:L,8,0)</f>
        <v>#N/A</v>
      </c>
    </row>
    <row r="1027" spans="1:14" ht="18" customHeight="1" x14ac:dyDescent="0.25">
      <c r="A1027" s="1">
        <v>20</v>
      </c>
      <c r="B1027" s="159"/>
      <c r="C1027" s="1" t="s">
        <v>2201</v>
      </c>
      <c r="D1027" s="1"/>
      <c r="E1027" s="1"/>
      <c r="F1027" s="1" t="s">
        <v>2203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2">
        <v>9</v>
      </c>
      <c r="M1027" s="43">
        <v>46099</v>
      </c>
      <c r="N1027" s="1" t="e">
        <f>VLOOKUP(B1027,MICRO!E:L,8,0)</f>
        <v>#N/A</v>
      </c>
    </row>
    <row r="1028" spans="1:14" ht="18" customHeight="1" x14ac:dyDescent="0.25">
      <c r="A1028" s="1">
        <v>21</v>
      </c>
      <c r="B1028" s="159"/>
      <c r="C1028" s="1" t="s">
        <v>2201</v>
      </c>
      <c r="D1028" s="1"/>
      <c r="E1028" s="1"/>
      <c r="F1028" s="1" t="s">
        <v>2204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2">
        <v>9</v>
      </c>
      <c r="M1028" s="43">
        <v>46099</v>
      </c>
      <c r="N1028" s="1" t="e">
        <f>VLOOKUP(B1028,MICRO!E:L,8,0)</f>
        <v>#N/A</v>
      </c>
    </row>
    <row r="1029" spans="1:14" ht="18" customHeight="1" x14ac:dyDescent="0.25">
      <c r="A1029" s="1">
        <v>22</v>
      </c>
      <c r="B1029" s="159"/>
      <c r="C1029" s="1" t="s">
        <v>2201</v>
      </c>
      <c r="D1029" s="1"/>
      <c r="E1029" s="1"/>
      <c r="F1029" s="1" t="s">
        <v>2205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2">
        <v>9</v>
      </c>
      <c r="M1029" s="43">
        <v>46099</v>
      </c>
      <c r="N1029" s="1" t="e">
        <f>VLOOKUP(B1029,MICRO!E:L,8,0)</f>
        <v>#N/A</v>
      </c>
    </row>
    <row r="1030" spans="1:14" ht="18" customHeight="1" x14ac:dyDescent="0.25">
      <c r="A1030" s="1">
        <v>23</v>
      </c>
      <c r="B1030" s="159"/>
      <c r="C1030" s="1" t="s">
        <v>2206</v>
      </c>
      <c r="D1030" s="1"/>
      <c r="E1030" s="1"/>
      <c r="F1030" s="1" t="s">
        <v>2207</v>
      </c>
      <c r="G1030" s="1">
        <v>3</v>
      </c>
      <c r="H1030" s="1" t="s">
        <v>19</v>
      </c>
      <c r="I1030" s="1" t="s">
        <v>634</v>
      </c>
      <c r="J1030" s="1">
        <v>0.02</v>
      </c>
      <c r="K1030" s="1">
        <v>0.06</v>
      </c>
      <c r="L1030" s="42">
        <v>9</v>
      </c>
      <c r="M1030" s="43">
        <v>46099</v>
      </c>
      <c r="N1030" s="1" t="e">
        <f>VLOOKUP(B1030,MICRO!E:L,8,0)</f>
        <v>#N/A</v>
      </c>
    </row>
    <row r="1031" spans="1:14" ht="18" customHeight="1" x14ac:dyDescent="0.25">
      <c r="A1031" s="1">
        <v>24</v>
      </c>
      <c r="B1031" s="159"/>
      <c r="C1031" s="1" t="s">
        <v>2206</v>
      </c>
      <c r="D1031" s="1"/>
      <c r="E1031" s="1"/>
      <c r="F1031" s="1" t="s">
        <v>2208</v>
      </c>
      <c r="G1031" s="1">
        <v>12</v>
      </c>
      <c r="H1031" s="1" t="s">
        <v>19</v>
      </c>
      <c r="I1031" s="1" t="s">
        <v>634</v>
      </c>
      <c r="J1031" s="1">
        <v>0.02</v>
      </c>
      <c r="K1031" s="1">
        <v>0.24</v>
      </c>
      <c r="L1031" s="42">
        <v>9</v>
      </c>
      <c r="M1031" s="43">
        <v>46099</v>
      </c>
      <c r="N1031" s="1" t="e">
        <f>VLOOKUP(B1031,MICRO!E:L,8,0)</f>
        <v>#N/A</v>
      </c>
    </row>
    <row r="1032" spans="1:14" ht="18" customHeight="1" x14ac:dyDescent="0.25">
      <c r="A1032" s="1">
        <v>25</v>
      </c>
      <c r="B1032" s="159"/>
      <c r="C1032" s="1" t="s">
        <v>2206</v>
      </c>
      <c r="D1032" s="1"/>
      <c r="E1032" s="1"/>
      <c r="F1032" s="1" t="s">
        <v>2209</v>
      </c>
      <c r="G1032" s="1">
        <v>12</v>
      </c>
      <c r="H1032" s="1" t="s">
        <v>19</v>
      </c>
      <c r="I1032" s="1" t="s">
        <v>634</v>
      </c>
      <c r="J1032" s="1">
        <v>0.02</v>
      </c>
      <c r="K1032" s="1">
        <v>0.24</v>
      </c>
      <c r="L1032" s="42">
        <v>9</v>
      </c>
      <c r="M1032" s="43">
        <v>46099</v>
      </c>
      <c r="N1032" s="1" t="e">
        <f>VLOOKUP(B1032,MICRO!E:L,8,0)</f>
        <v>#N/A</v>
      </c>
    </row>
    <row r="1033" spans="1:14" ht="18" customHeight="1" x14ac:dyDescent="0.25">
      <c r="A1033" s="1">
        <v>26</v>
      </c>
      <c r="B1033" s="159"/>
      <c r="C1033" s="1" t="s">
        <v>2047</v>
      </c>
      <c r="D1033" s="1"/>
      <c r="E1033" s="1"/>
      <c r="F1033" s="1" t="s">
        <v>2210</v>
      </c>
      <c r="G1033" s="1">
        <v>3</v>
      </c>
      <c r="H1033" s="1" t="s">
        <v>19</v>
      </c>
      <c r="I1033" s="1" t="s">
        <v>629</v>
      </c>
      <c r="J1033" s="1">
        <v>0.02</v>
      </c>
      <c r="K1033" s="1">
        <v>0.06</v>
      </c>
      <c r="L1033" s="42">
        <v>9</v>
      </c>
      <c r="M1033" s="43">
        <v>46099</v>
      </c>
      <c r="N1033" s="1" t="e">
        <f>VLOOKUP(B1033,MICRO!E:L,8,0)</f>
        <v>#N/A</v>
      </c>
    </row>
    <row r="1034" spans="1:14" ht="18" customHeight="1" x14ac:dyDescent="0.25">
      <c r="A1034" s="1">
        <v>27</v>
      </c>
      <c r="B1034" s="159"/>
      <c r="C1034" s="1" t="s">
        <v>2047</v>
      </c>
      <c r="D1034" s="1"/>
      <c r="E1034" s="1"/>
      <c r="F1034" s="1" t="s">
        <v>2211</v>
      </c>
      <c r="G1034" s="1">
        <v>12</v>
      </c>
      <c r="H1034" s="1" t="s">
        <v>19</v>
      </c>
      <c r="I1034" s="1" t="s">
        <v>629</v>
      </c>
      <c r="J1034" s="1">
        <v>0.02</v>
      </c>
      <c r="K1034" s="1">
        <v>0.24</v>
      </c>
      <c r="L1034" s="42">
        <v>9</v>
      </c>
      <c r="M1034" s="43">
        <v>46099</v>
      </c>
      <c r="N1034" s="1" t="e">
        <f>VLOOKUP(B1034,MICRO!E:L,8,0)</f>
        <v>#N/A</v>
      </c>
    </row>
    <row r="1035" spans="1:14" ht="18" customHeight="1" x14ac:dyDescent="0.25">
      <c r="A1035" s="1">
        <v>28</v>
      </c>
      <c r="B1035" s="159"/>
      <c r="C1035" s="1" t="s">
        <v>2047</v>
      </c>
      <c r="D1035" s="1"/>
      <c r="E1035" s="1"/>
      <c r="F1035" s="1" t="s">
        <v>2212</v>
      </c>
      <c r="G1035" s="1">
        <v>3</v>
      </c>
      <c r="H1035" s="1" t="s">
        <v>19</v>
      </c>
      <c r="I1035" s="1" t="s">
        <v>629</v>
      </c>
      <c r="J1035" s="1">
        <v>0.03</v>
      </c>
      <c r="K1035" s="1">
        <v>0.09</v>
      </c>
      <c r="L1035" s="42">
        <v>9</v>
      </c>
      <c r="M1035" s="43">
        <v>46099</v>
      </c>
      <c r="N1035" s="1" t="e">
        <f>VLOOKUP(B1035,MICRO!E:L,8,0)</f>
        <v>#N/A</v>
      </c>
    </row>
    <row r="1036" spans="1:14" ht="18" customHeight="1" x14ac:dyDescent="0.25">
      <c r="A1036" s="1">
        <v>29</v>
      </c>
      <c r="B1036" s="159"/>
      <c r="C1036" s="1" t="s">
        <v>2047</v>
      </c>
      <c r="D1036" s="1"/>
      <c r="E1036" s="1"/>
      <c r="F1036" s="1" t="s">
        <v>2213</v>
      </c>
      <c r="G1036" s="1">
        <v>12</v>
      </c>
      <c r="H1036" s="1" t="s">
        <v>19</v>
      </c>
      <c r="I1036" s="1" t="s">
        <v>629</v>
      </c>
      <c r="J1036" s="1">
        <v>0.02</v>
      </c>
      <c r="K1036" s="1">
        <v>0.24</v>
      </c>
      <c r="L1036" s="42">
        <v>9</v>
      </c>
      <c r="M1036" s="43">
        <v>46099</v>
      </c>
      <c r="N1036" s="1" t="e">
        <f>VLOOKUP(B1036,MICRO!E:L,8,0)</f>
        <v>#N/A</v>
      </c>
    </row>
    <row r="1037" spans="1:14" ht="18" customHeight="1" x14ac:dyDescent="0.25">
      <c r="A1037" s="1">
        <v>30</v>
      </c>
      <c r="B1037" s="159"/>
      <c r="C1037" s="1" t="s">
        <v>2214</v>
      </c>
      <c r="D1037" s="1"/>
      <c r="E1037" s="1"/>
      <c r="F1037" s="1" t="s">
        <v>2215</v>
      </c>
      <c r="G1037" s="1">
        <v>1</v>
      </c>
      <c r="H1037" s="1" t="s">
        <v>19</v>
      </c>
      <c r="I1037" s="1" t="s">
        <v>634</v>
      </c>
      <c r="J1037" s="1">
        <v>2.8</v>
      </c>
      <c r="K1037" s="1">
        <v>2.8</v>
      </c>
      <c r="L1037" s="42">
        <v>9</v>
      </c>
      <c r="M1037" s="43">
        <v>46099</v>
      </c>
      <c r="N1037" s="1" t="e">
        <f>VLOOKUP(B1037,MICRO!E:L,8,0)</f>
        <v>#N/A</v>
      </c>
    </row>
    <row r="1038" spans="1:14" ht="18" customHeight="1" x14ac:dyDescent="0.25">
      <c r="A1038" s="1">
        <v>31</v>
      </c>
      <c r="B1038" s="159"/>
      <c r="C1038" s="1" t="s">
        <v>2214</v>
      </c>
      <c r="D1038" s="1"/>
      <c r="E1038" s="1"/>
      <c r="F1038" s="1" t="s">
        <v>2216</v>
      </c>
      <c r="G1038" s="1">
        <v>2</v>
      </c>
      <c r="H1038" s="1" t="s">
        <v>19</v>
      </c>
      <c r="I1038" s="1" t="s">
        <v>634</v>
      </c>
      <c r="J1038" s="1">
        <v>6.2</v>
      </c>
      <c r="K1038" s="1">
        <v>12.4</v>
      </c>
      <c r="L1038" s="42">
        <v>9</v>
      </c>
      <c r="M1038" s="43">
        <v>46099</v>
      </c>
      <c r="N1038" s="1" t="e">
        <f>VLOOKUP(B1038,MICRO!E:L,8,0)</f>
        <v>#N/A</v>
      </c>
    </row>
    <row r="1039" spans="1:14" ht="18" customHeight="1" x14ac:dyDescent="0.25">
      <c r="A1039" s="1">
        <v>32</v>
      </c>
      <c r="B1039" s="159"/>
      <c r="C1039" s="1" t="s">
        <v>2214</v>
      </c>
      <c r="D1039" s="1"/>
      <c r="E1039" s="1"/>
      <c r="F1039" s="1" t="s">
        <v>2217</v>
      </c>
      <c r="G1039" s="1">
        <v>30</v>
      </c>
      <c r="H1039" s="1" t="s">
        <v>19</v>
      </c>
      <c r="I1039" s="1" t="s">
        <v>634</v>
      </c>
      <c r="J1039" s="1">
        <v>0.2</v>
      </c>
      <c r="K1039" s="1">
        <v>6</v>
      </c>
      <c r="L1039" s="42">
        <v>9</v>
      </c>
      <c r="M1039" s="43">
        <v>46099</v>
      </c>
      <c r="N1039" s="1" t="e">
        <f>VLOOKUP(B1039,MICRO!E:L,8,0)</f>
        <v>#N/A</v>
      </c>
    </row>
    <row r="1040" spans="1:14" ht="18" customHeight="1" x14ac:dyDescent="0.25">
      <c r="A1040" s="1">
        <v>33</v>
      </c>
      <c r="B1040" s="159"/>
      <c r="C1040" s="1" t="s">
        <v>2214</v>
      </c>
      <c r="D1040" s="1"/>
      <c r="E1040" s="1"/>
      <c r="F1040" s="1" t="s">
        <v>2218</v>
      </c>
      <c r="G1040" s="1">
        <v>3</v>
      </c>
      <c r="H1040" s="1" t="s">
        <v>19</v>
      </c>
      <c r="I1040" s="1" t="s">
        <v>634</v>
      </c>
      <c r="J1040" s="1">
        <v>0.03</v>
      </c>
      <c r="K1040" s="1">
        <v>0.09</v>
      </c>
      <c r="L1040" s="42">
        <v>9</v>
      </c>
      <c r="M1040" s="43">
        <v>46099</v>
      </c>
      <c r="N1040" s="1" t="e">
        <f>VLOOKUP(B1040,MICRO!E:L,8,0)</f>
        <v>#N/A</v>
      </c>
    </row>
    <row r="1041" spans="1:14" ht="18" customHeight="1" x14ac:dyDescent="0.25">
      <c r="A1041" s="1">
        <v>34</v>
      </c>
      <c r="B1041" s="159"/>
      <c r="C1041" s="1" t="s">
        <v>2214</v>
      </c>
      <c r="D1041" s="1"/>
      <c r="E1041" s="1"/>
      <c r="F1041" s="1" t="s">
        <v>2219</v>
      </c>
      <c r="G1041" s="1">
        <v>6</v>
      </c>
      <c r="H1041" s="1" t="s">
        <v>1105</v>
      </c>
      <c r="I1041" s="1" t="s">
        <v>634</v>
      </c>
      <c r="J1041" s="1">
        <v>1</v>
      </c>
      <c r="K1041" s="1">
        <v>6</v>
      </c>
      <c r="L1041" s="42">
        <v>9</v>
      </c>
      <c r="M1041" s="43">
        <v>46099</v>
      </c>
      <c r="N1041" s="1" t="e">
        <f>VLOOKUP(B1041,MICRO!E:L,8,0)</f>
        <v>#N/A</v>
      </c>
    </row>
    <row r="1042" spans="1:14" ht="18" customHeight="1" x14ac:dyDescent="0.25">
      <c r="A1042" s="1">
        <v>35</v>
      </c>
      <c r="B1042" s="159"/>
      <c r="C1042" s="1" t="s">
        <v>2214</v>
      </c>
      <c r="D1042" s="1"/>
      <c r="E1042" s="1"/>
      <c r="F1042" s="1" t="s">
        <v>2220</v>
      </c>
      <c r="G1042" s="1">
        <v>8</v>
      </c>
      <c r="H1042" s="1" t="s">
        <v>19</v>
      </c>
      <c r="I1042" s="1" t="s">
        <v>634</v>
      </c>
      <c r="J1042" s="1">
        <v>0.03</v>
      </c>
      <c r="K1042" s="1">
        <v>0.24</v>
      </c>
      <c r="L1042" s="42">
        <v>9</v>
      </c>
      <c r="M1042" s="43">
        <v>46099</v>
      </c>
      <c r="N1042" s="1" t="e">
        <f>VLOOKUP(B1042,MICRO!E:L,8,0)</f>
        <v>#N/A</v>
      </c>
    </row>
    <row r="1043" spans="1:14" ht="18" customHeight="1" x14ac:dyDescent="0.25">
      <c r="A1043" s="1">
        <v>36</v>
      </c>
      <c r="B1043" s="159"/>
      <c r="C1043" s="1" t="s">
        <v>2214</v>
      </c>
      <c r="D1043" s="1"/>
      <c r="E1043" s="1"/>
      <c r="F1043" s="1" t="s">
        <v>2221</v>
      </c>
      <c r="G1043" s="1">
        <v>2</v>
      </c>
      <c r="H1043" s="1" t="s">
        <v>19</v>
      </c>
      <c r="I1043" s="1" t="s">
        <v>634</v>
      </c>
      <c r="J1043" s="1">
        <v>0.04</v>
      </c>
      <c r="K1043" s="1">
        <v>0.08</v>
      </c>
      <c r="L1043" s="42">
        <v>9</v>
      </c>
      <c r="M1043" s="43">
        <v>46099</v>
      </c>
      <c r="N1043" s="1" t="e">
        <f>VLOOKUP(B1043,MICRO!E:L,8,0)</f>
        <v>#N/A</v>
      </c>
    </row>
    <row r="1044" spans="1:14" ht="18" customHeight="1" x14ac:dyDescent="0.25">
      <c r="A1044" s="1">
        <v>37</v>
      </c>
      <c r="B1044" s="159"/>
      <c r="C1044" s="1" t="s">
        <v>2214</v>
      </c>
      <c r="D1044" s="1"/>
      <c r="E1044" s="1"/>
      <c r="F1044" s="1" t="s">
        <v>2222</v>
      </c>
      <c r="G1044" s="1">
        <v>2</v>
      </c>
      <c r="H1044" s="1" t="s">
        <v>19</v>
      </c>
      <c r="I1044" s="1" t="s">
        <v>634</v>
      </c>
      <c r="J1044" s="1">
        <v>0.5</v>
      </c>
      <c r="K1044" s="1">
        <v>1</v>
      </c>
      <c r="L1044" s="42">
        <v>9</v>
      </c>
      <c r="M1044" s="43">
        <v>46099</v>
      </c>
      <c r="N1044" s="1" t="e">
        <f>VLOOKUP(B1044,MICRO!E:L,8,0)</f>
        <v>#N/A</v>
      </c>
    </row>
    <row r="1045" spans="1:14" ht="18" customHeight="1" x14ac:dyDescent="0.25">
      <c r="A1045" s="1">
        <v>38</v>
      </c>
      <c r="B1045" s="159"/>
      <c r="C1045" s="1" t="s">
        <v>2214</v>
      </c>
      <c r="D1045" s="1"/>
      <c r="E1045" s="1"/>
      <c r="F1045" s="1" t="s">
        <v>2223</v>
      </c>
      <c r="G1045" s="1">
        <v>8</v>
      </c>
      <c r="H1045" s="1" t="s">
        <v>19</v>
      </c>
      <c r="I1045" s="1" t="s">
        <v>634</v>
      </c>
      <c r="J1045" s="1">
        <v>0.5</v>
      </c>
      <c r="K1045" s="1">
        <v>4</v>
      </c>
      <c r="L1045" s="42">
        <v>9</v>
      </c>
      <c r="M1045" s="43">
        <v>46099</v>
      </c>
      <c r="N1045" s="1" t="e">
        <f>VLOOKUP(B1045,MICRO!E:L,8,0)</f>
        <v>#N/A</v>
      </c>
    </row>
    <row r="1046" spans="1:14" ht="18" customHeight="1" x14ac:dyDescent="0.25">
      <c r="A1046" s="1">
        <v>39</v>
      </c>
      <c r="B1046" s="159"/>
      <c r="C1046" s="1" t="s">
        <v>2214</v>
      </c>
      <c r="D1046" s="1"/>
      <c r="E1046" s="1"/>
      <c r="F1046" s="1" t="s">
        <v>2224</v>
      </c>
      <c r="G1046" s="1">
        <v>2</v>
      </c>
      <c r="H1046" s="1" t="s">
        <v>19</v>
      </c>
      <c r="I1046" s="1" t="s">
        <v>634</v>
      </c>
      <c r="J1046" s="1">
        <v>0.03</v>
      </c>
      <c r="K1046" s="1">
        <v>0.06</v>
      </c>
      <c r="L1046" s="42">
        <v>9</v>
      </c>
      <c r="M1046" s="43">
        <v>46099</v>
      </c>
      <c r="N1046" s="1" t="e">
        <f>VLOOKUP(B1046,MICRO!E:L,8,0)</f>
        <v>#N/A</v>
      </c>
    </row>
    <row r="1047" spans="1:14" ht="18" customHeight="1" x14ac:dyDescent="0.25">
      <c r="A1047" s="1">
        <v>40</v>
      </c>
      <c r="B1047" s="159"/>
      <c r="C1047" s="1" t="s">
        <v>2214</v>
      </c>
      <c r="D1047" s="1"/>
      <c r="E1047" s="1"/>
      <c r="F1047" s="1" t="s">
        <v>2225</v>
      </c>
      <c r="G1047" s="1">
        <v>2</v>
      </c>
      <c r="H1047" s="1" t="s">
        <v>19</v>
      </c>
      <c r="I1047" s="1" t="s">
        <v>634</v>
      </c>
      <c r="J1047" s="1">
        <v>0.5</v>
      </c>
      <c r="K1047" s="1">
        <v>1</v>
      </c>
      <c r="L1047" s="42">
        <v>9</v>
      </c>
      <c r="M1047" s="43">
        <v>46099</v>
      </c>
      <c r="N1047" s="1" t="e">
        <f>VLOOKUP(B1047,MICRO!E:L,8,0)</f>
        <v>#N/A</v>
      </c>
    </row>
    <row r="1048" spans="1:14" ht="18" customHeight="1" x14ac:dyDescent="0.25">
      <c r="A1048" s="1">
        <v>41</v>
      </c>
      <c r="B1048" s="159"/>
      <c r="C1048" s="1" t="s">
        <v>2214</v>
      </c>
      <c r="D1048" s="1"/>
      <c r="E1048" s="1"/>
      <c r="F1048" s="1" t="s">
        <v>2226</v>
      </c>
      <c r="G1048" s="1">
        <v>3</v>
      </c>
      <c r="H1048" s="1" t="s">
        <v>19</v>
      </c>
      <c r="I1048" s="1" t="s">
        <v>634</v>
      </c>
      <c r="J1048" s="1">
        <v>0.05</v>
      </c>
      <c r="K1048" s="1">
        <v>0.15000000000000002</v>
      </c>
      <c r="L1048" s="42">
        <v>9</v>
      </c>
      <c r="M1048" s="43">
        <v>46099</v>
      </c>
      <c r="N1048" s="1" t="e">
        <f>VLOOKUP(B1048,MICRO!E:L,8,0)</f>
        <v>#N/A</v>
      </c>
    </row>
    <row r="1049" spans="1:14" ht="18" customHeight="1" x14ac:dyDescent="0.25">
      <c r="A1049" s="1">
        <v>42</v>
      </c>
      <c r="B1049" s="159"/>
      <c r="C1049" s="1" t="s">
        <v>2214</v>
      </c>
      <c r="D1049" s="1"/>
      <c r="E1049" s="1"/>
      <c r="F1049" s="1" t="s">
        <v>2227</v>
      </c>
      <c r="G1049" s="1">
        <v>3</v>
      </c>
      <c r="H1049" s="1" t="s">
        <v>19</v>
      </c>
      <c r="I1049" s="1" t="s">
        <v>634</v>
      </c>
      <c r="J1049" s="1">
        <v>0.03</v>
      </c>
      <c r="K1049" s="1">
        <v>0.09</v>
      </c>
      <c r="L1049" s="42">
        <v>9</v>
      </c>
      <c r="M1049" s="43">
        <v>46099</v>
      </c>
      <c r="N1049" s="1" t="e">
        <f>VLOOKUP(B1049,MICRO!E:L,8,0)</f>
        <v>#N/A</v>
      </c>
    </row>
    <row r="1050" spans="1:14" ht="18" customHeight="1" x14ac:dyDescent="0.25">
      <c r="A1050" s="1">
        <v>43</v>
      </c>
      <c r="B1050" s="159"/>
      <c r="C1050" s="1" t="s">
        <v>2214</v>
      </c>
      <c r="D1050" s="1"/>
      <c r="E1050" s="1"/>
      <c r="F1050" s="1" t="s">
        <v>2228</v>
      </c>
      <c r="G1050" s="1">
        <v>2</v>
      </c>
      <c r="H1050" s="1" t="s">
        <v>19</v>
      </c>
      <c r="I1050" s="1" t="s">
        <v>634</v>
      </c>
      <c r="J1050" s="1">
        <v>0.5</v>
      </c>
      <c r="K1050" s="1">
        <v>1</v>
      </c>
      <c r="L1050" s="42">
        <v>9</v>
      </c>
      <c r="M1050" s="43">
        <v>46099</v>
      </c>
      <c r="N1050" s="1" t="e">
        <f>VLOOKUP(B1050,MICRO!E:L,8,0)</f>
        <v>#N/A</v>
      </c>
    </row>
    <row r="1051" spans="1:14" ht="18" customHeight="1" x14ac:dyDescent="0.25">
      <c r="A1051" s="1">
        <v>44</v>
      </c>
      <c r="B1051" s="159"/>
      <c r="C1051" s="1" t="s">
        <v>2214</v>
      </c>
      <c r="D1051" s="1"/>
      <c r="E1051" s="1"/>
      <c r="F1051" s="1" t="s">
        <v>2229</v>
      </c>
      <c r="G1051" s="1">
        <v>8</v>
      </c>
      <c r="H1051" s="1" t="s">
        <v>19</v>
      </c>
      <c r="I1051" s="1" t="s">
        <v>634</v>
      </c>
      <c r="J1051" s="1">
        <v>0.03</v>
      </c>
      <c r="K1051" s="1">
        <v>0.24</v>
      </c>
      <c r="L1051" s="42">
        <v>9</v>
      </c>
      <c r="M1051" s="43">
        <v>46099</v>
      </c>
      <c r="N1051" s="1" t="e">
        <f>VLOOKUP(B1051,MICRO!E:L,8,0)</f>
        <v>#N/A</v>
      </c>
    </row>
    <row r="1052" spans="1:14" ht="18" customHeight="1" x14ac:dyDescent="0.25">
      <c r="A1052" s="1">
        <v>45</v>
      </c>
      <c r="B1052" s="159"/>
      <c r="C1052" s="1" t="s">
        <v>2214</v>
      </c>
      <c r="D1052" s="1"/>
      <c r="E1052" s="1"/>
      <c r="F1052" s="1" t="s">
        <v>2230</v>
      </c>
      <c r="G1052" s="1">
        <v>2</v>
      </c>
      <c r="H1052" s="1" t="s">
        <v>19</v>
      </c>
      <c r="I1052" s="1" t="s">
        <v>634</v>
      </c>
      <c r="J1052" s="1">
        <v>0.04</v>
      </c>
      <c r="K1052" s="1">
        <v>0.08</v>
      </c>
      <c r="L1052" s="42">
        <v>9</v>
      </c>
      <c r="M1052" s="43">
        <v>46099</v>
      </c>
      <c r="N1052" s="1" t="e">
        <f>VLOOKUP(B1052,MICRO!E:L,8,0)</f>
        <v>#N/A</v>
      </c>
    </row>
    <row r="1053" spans="1:14" ht="18" customHeight="1" x14ac:dyDescent="0.25">
      <c r="A1053" s="1">
        <v>46</v>
      </c>
      <c r="B1053" s="159"/>
      <c r="C1053" s="1" t="s">
        <v>2214</v>
      </c>
      <c r="D1053" s="1"/>
      <c r="E1053" s="1"/>
      <c r="F1053" s="1" t="s">
        <v>2231</v>
      </c>
      <c r="G1053" s="1">
        <v>3</v>
      </c>
      <c r="H1053" s="1" t="s">
        <v>19</v>
      </c>
      <c r="I1053" s="1" t="s">
        <v>634</v>
      </c>
      <c r="J1053" s="1">
        <v>0.5</v>
      </c>
      <c r="K1053" s="1">
        <v>1.5</v>
      </c>
      <c r="L1053" s="42">
        <v>9</v>
      </c>
      <c r="M1053" s="43">
        <v>46099</v>
      </c>
      <c r="N1053" s="1" t="e">
        <f>VLOOKUP(B1053,MICRO!E:L,8,0)</f>
        <v>#N/A</v>
      </c>
    </row>
    <row r="1054" spans="1:14" ht="18" customHeight="1" x14ac:dyDescent="0.25">
      <c r="A1054" s="1">
        <v>47</v>
      </c>
      <c r="B1054" s="159"/>
      <c r="C1054" s="1" t="s">
        <v>2196</v>
      </c>
      <c r="D1054" s="1"/>
      <c r="E1054" s="1"/>
      <c r="F1054" s="1" t="s">
        <v>2232</v>
      </c>
      <c r="G1054" s="1">
        <v>1</v>
      </c>
      <c r="H1054" s="1" t="s">
        <v>19</v>
      </c>
      <c r="I1054" s="1" t="s">
        <v>589</v>
      </c>
      <c r="J1054" s="1">
        <v>2.8</v>
      </c>
      <c r="K1054" s="1">
        <v>2.8</v>
      </c>
      <c r="L1054" s="42">
        <v>9</v>
      </c>
      <c r="M1054" s="43">
        <v>46099</v>
      </c>
      <c r="N1054" s="1" t="e">
        <f>VLOOKUP(B1054,MICRO!E:L,8,0)</f>
        <v>#N/A</v>
      </c>
    </row>
    <row r="1055" spans="1:14" ht="18" customHeight="1" x14ac:dyDescent="0.25">
      <c r="A1055" s="1">
        <v>48</v>
      </c>
      <c r="B1055" s="159"/>
      <c r="C1055" s="1" t="s">
        <v>2196</v>
      </c>
      <c r="D1055" s="1"/>
      <c r="E1055" s="1"/>
      <c r="F1055" s="1" t="s">
        <v>2233</v>
      </c>
      <c r="G1055" s="1">
        <v>2</v>
      </c>
      <c r="H1055" s="1" t="s">
        <v>19</v>
      </c>
      <c r="I1055" s="1" t="s">
        <v>589</v>
      </c>
      <c r="J1055" s="1">
        <v>0.04</v>
      </c>
      <c r="K1055" s="1">
        <v>0.08</v>
      </c>
      <c r="L1055" s="42">
        <v>9</v>
      </c>
      <c r="M1055" s="43">
        <v>46099</v>
      </c>
      <c r="N1055" s="1" t="e">
        <f>VLOOKUP(B1055,MICRO!E:L,8,0)</f>
        <v>#N/A</v>
      </c>
    </row>
    <row r="1056" spans="1:14" ht="18" customHeight="1" x14ac:dyDescent="0.25">
      <c r="A1056" s="1">
        <v>49</v>
      </c>
      <c r="B1056" s="159"/>
      <c r="C1056" s="1" t="s">
        <v>2196</v>
      </c>
      <c r="D1056" s="1"/>
      <c r="E1056" s="1"/>
      <c r="F1056" s="1" t="s">
        <v>2234</v>
      </c>
      <c r="G1056" s="1">
        <v>3</v>
      </c>
      <c r="H1056" s="1" t="s">
        <v>19</v>
      </c>
      <c r="I1056" s="1" t="s">
        <v>589</v>
      </c>
      <c r="J1056" s="1">
        <v>0.03</v>
      </c>
      <c r="K1056" s="1">
        <v>0.09</v>
      </c>
      <c r="L1056" s="42">
        <v>9</v>
      </c>
      <c r="M1056" s="43">
        <v>46099</v>
      </c>
      <c r="N1056" s="1" t="e">
        <f>VLOOKUP(B1056,MICRO!E:L,8,0)</f>
        <v>#N/A</v>
      </c>
    </row>
    <row r="1057" spans="1:14" ht="18" customHeight="1" x14ac:dyDescent="0.25">
      <c r="A1057" s="1">
        <v>50</v>
      </c>
      <c r="B1057" s="159"/>
      <c r="C1057" s="1" t="s">
        <v>2196</v>
      </c>
      <c r="D1057" s="1"/>
      <c r="E1057" s="1"/>
      <c r="F1057" s="1" t="s">
        <v>2235</v>
      </c>
      <c r="G1057" s="1">
        <v>6</v>
      </c>
      <c r="H1057" s="1" t="s">
        <v>1105</v>
      </c>
      <c r="I1057" s="1" t="s">
        <v>589</v>
      </c>
      <c r="J1057" s="1">
        <v>1</v>
      </c>
      <c r="K1057" s="1">
        <v>6</v>
      </c>
      <c r="L1057" s="42">
        <v>9</v>
      </c>
      <c r="M1057" s="43">
        <v>46099</v>
      </c>
      <c r="N1057" s="1" t="e">
        <f>VLOOKUP(B1057,MICRO!E:L,8,0)</f>
        <v>#N/A</v>
      </c>
    </row>
    <row r="1058" spans="1:14" ht="18" customHeight="1" x14ac:dyDescent="0.25">
      <c r="A1058" s="1">
        <v>51</v>
      </c>
      <c r="B1058" s="159"/>
      <c r="C1058" s="1" t="s">
        <v>2196</v>
      </c>
      <c r="D1058" s="1"/>
      <c r="E1058" s="1"/>
      <c r="F1058" s="1" t="s">
        <v>2236</v>
      </c>
      <c r="G1058" s="1">
        <v>1</v>
      </c>
      <c r="H1058" s="1" t="s">
        <v>19</v>
      </c>
      <c r="I1058" s="1" t="s">
        <v>589</v>
      </c>
      <c r="J1058" s="1">
        <v>6.2</v>
      </c>
      <c r="K1058" s="1">
        <v>6.2</v>
      </c>
      <c r="L1058" s="42">
        <v>9</v>
      </c>
      <c r="M1058" s="43">
        <v>46099</v>
      </c>
      <c r="N1058" s="1" t="e">
        <f>VLOOKUP(B1058,MICRO!E:L,8,0)</f>
        <v>#N/A</v>
      </c>
    </row>
    <row r="1059" spans="1:14" ht="18" customHeight="1" x14ac:dyDescent="0.25">
      <c r="A1059" s="1">
        <v>52</v>
      </c>
      <c r="B1059" s="159"/>
      <c r="C1059" s="1" t="s">
        <v>2196</v>
      </c>
      <c r="D1059" s="1"/>
      <c r="E1059" s="1"/>
      <c r="F1059" s="1" t="s">
        <v>2237</v>
      </c>
      <c r="G1059" s="1">
        <v>8</v>
      </c>
      <c r="H1059" s="1" t="s">
        <v>19</v>
      </c>
      <c r="I1059" s="1" t="s">
        <v>589</v>
      </c>
      <c r="J1059" s="1">
        <v>0.03</v>
      </c>
      <c r="K1059" s="1">
        <v>0.24</v>
      </c>
      <c r="L1059" s="42">
        <v>9</v>
      </c>
      <c r="M1059" s="43">
        <v>46099</v>
      </c>
      <c r="N1059" s="1" t="e">
        <f>VLOOKUP(B1059,MICRO!E:L,8,0)</f>
        <v>#N/A</v>
      </c>
    </row>
    <row r="1060" spans="1:14" ht="18" customHeight="1" x14ac:dyDescent="0.25">
      <c r="A1060" s="1">
        <v>53</v>
      </c>
      <c r="B1060" s="159"/>
      <c r="C1060" s="1" t="s">
        <v>2196</v>
      </c>
      <c r="D1060" s="1"/>
      <c r="E1060" s="1"/>
      <c r="F1060" s="1" t="s">
        <v>2238</v>
      </c>
      <c r="G1060" s="1">
        <v>2</v>
      </c>
      <c r="H1060" s="1" t="s">
        <v>19</v>
      </c>
      <c r="I1060" s="1" t="s">
        <v>589</v>
      </c>
      <c r="J1060" s="1">
        <v>0.04</v>
      </c>
      <c r="K1060" s="1">
        <v>0.08</v>
      </c>
      <c r="L1060" s="42">
        <v>9</v>
      </c>
      <c r="M1060" s="43">
        <v>46099</v>
      </c>
      <c r="N1060" s="1" t="e">
        <f>VLOOKUP(B1060,MICRO!E:L,8,0)</f>
        <v>#N/A</v>
      </c>
    </row>
    <row r="1061" spans="1:14" ht="18" customHeight="1" x14ac:dyDescent="0.25">
      <c r="A1061" s="1">
        <v>54</v>
      </c>
      <c r="B1061" s="159"/>
      <c r="C1061" s="1" t="s">
        <v>2196</v>
      </c>
      <c r="D1061" s="1"/>
      <c r="E1061" s="1"/>
      <c r="F1061" s="1" t="s">
        <v>2239</v>
      </c>
      <c r="G1061" s="1">
        <v>2</v>
      </c>
      <c r="H1061" s="1" t="s">
        <v>19</v>
      </c>
      <c r="I1061" s="1" t="s">
        <v>589</v>
      </c>
      <c r="J1061" s="1">
        <v>0.04</v>
      </c>
      <c r="K1061" s="1">
        <v>0.08</v>
      </c>
      <c r="L1061" s="42">
        <v>9</v>
      </c>
      <c r="M1061" s="43">
        <v>46099</v>
      </c>
      <c r="N1061" s="1" t="e">
        <f>VLOOKUP(B1061,MICRO!E:L,8,0)</f>
        <v>#N/A</v>
      </c>
    </row>
    <row r="1062" spans="1:14" ht="18" customHeight="1" x14ac:dyDescent="0.25">
      <c r="A1062" s="1">
        <v>55</v>
      </c>
      <c r="B1062" s="159"/>
      <c r="C1062" s="1" t="s">
        <v>2196</v>
      </c>
      <c r="D1062" s="1"/>
      <c r="E1062" s="1"/>
      <c r="F1062" s="1" t="s">
        <v>2240</v>
      </c>
      <c r="G1062" s="1">
        <v>2</v>
      </c>
      <c r="H1062" s="1" t="s">
        <v>19</v>
      </c>
      <c r="I1062" s="1" t="s">
        <v>589</v>
      </c>
      <c r="J1062" s="1">
        <v>0.03</v>
      </c>
      <c r="K1062" s="1">
        <v>0.06</v>
      </c>
      <c r="L1062" s="42">
        <v>9</v>
      </c>
      <c r="M1062" s="43">
        <v>46099</v>
      </c>
      <c r="N1062" s="1" t="e">
        <f>VLOOKUP(B1062,MICRO!E:L,8,0)</f>
        <v>#N/A</v>
      </c>
    </row>
    <row r="1063" spans="1:14" ht="18" customHeight="1" x14ac:dyDescent="0.25">
      <c r="A1063" s="1">
        <v>56</v>
      </c>
      <c r="B1063" s="159"/>
      <c r="C1063" s="1" t="s">
        <v>2196</v>
      </c>
      <c r="D1063" s="1"/>
      <c r="E1063" s="1"/>
      <c r="F1063" s="1" t="s">
        <v>2241</v>
      </c>
      <c r="G1063" s="1">
        <v>2</v>
      </c>
      <c r="H1063" s="1" t="s">
        <v>19</v>
      </c>
      <c r="I1063" s="1" t="s">
        <v>589</v>
      </c>
      <c r="J1063" s="1">
        <v>0.5</v>
      </c>
      <c r="K1063" s="1">
        <v>1</v>
      </c>
      <c r="L1063" s="42">
        <v>9</v>
      </c>
      <c r="M1063" s="43">
        <v>46099</v>
      </c>
      <c r="N1063" s="1" t="e">
        <f>VLOOKUP(B1063,MICRO!E:L,8,0)</f>
        <v>#N/A</v>
      </c>
    </row>
    <row r="1064" spans="1:14" ht="18" customHeight="1" x14ac:dyDescent="0.25">
      <c r="A1064" s="1">
        <v>57</v>
      </c>
      <c r="B1064" s="159"/>
      <c r="C1064" s="1" t="s">
        <v>2196</v>
      </c>
      <c r="D1064" s="1"/>
      <c r="E1064" s="1"/>
      <c r="F1064" s="1" t="s">
        <v>2242</v>
      </c>
      <c r="G1064" s="1">
        <v>3</v>
      </c>
      <c r="H1064" s="1" t="s">
        <v>19</v>
      </c>
      <c r="I1064" s="1" t="s">
        <v>589</v>
      </c>
      <c r="J1064" s="1">
        <v>0.5</v>
      </c>
      <c r="K1064" s="1">
        <v>1.5</v>
      </c>
      <c r="L1064" s="42">
        <v>9</v>
      </c>
      <c r="M1064" s="43">
        <v>46099</v>
      </c>
      <c r="N1064" s="1" t="e">
        <f>VLOOKUP(B1064,MICRO!E:L,8,0)</f>
        <v>#N/A</v>
      </c>
    </row>
    <row r="1065" spans="1:14" ht="18" customHeight="1" x14ac:dyDescent="0.25">
      <c r="A1065" s="1">
        <v>58</v>
      </c>
      <c r="B1065" s="159"/>
      <c r="C1065" s="1" t="s">
        <v>2196</v>
      </c>
      <c r="D1065" s="1"/>
      <c r="E1065" s="1"/>
      <c r="F1065" s="1" t="s">
        <v>2243</v>
      </c>
      <c r="G1065" s="1">
        <v>3</v>
      </c>
      <c r="H1065" s="1" t="s">
        <v>19</v>
      </c>
      <c r="I1065" s="1" t="s">
        <v>589</v>
      </c>
      <c r="J1065" s="1">
        <v>0.02</v>
      </c>
      <c r="K1065" s="1">
        <v>0.06</v>
      </c>
      <c r="L1065" s="42">
        <v>9</v>
      </c>
      <c r="M1065" s="43">
        <v>46099</v>
      </c>
      <c r="N1065" s="1" t="e">
        <f>VLOOKUP(B1065,MICRO!E:L,8,0)</f>
        <v>#N/A</v>
      </c>
    </row>
    <row r="1066" spans="1:14" ht="18" customHeight="1" x14ac:dyDescent="0.25">
      <c r="A1066" s="1">
        <v>59</v>
      </c>
      <c r="B1066" s="159"/>
      <c r="C1066" s="1" t="s">
        <v>2196</v>
      </c>
      <c r="D1066" s="1"/>
      <c r="E1066" s="1"/>
      <c r="F1066" s="1" t="s">
        <v>2244</v>
      </c>
      <c r="G1066" s="1">
        <v>8</v>
      </c>
      <c r="H1066" s="1" t="s">
        <v>19</v>
      </c>
      <c r="I1066" s="1" t="s">
        <v>589</v>
      </c>
      <c r="J1066" s="1">
        <v>0.2</v>
      </c>
      <c r="K1066" s="1">
        <v>1.6</v>
      </c>
      <c r="L1066" s="42">
        <v>9</v>
      </c>
      <c r="M1066" s="43">
        <v>46099</v>
      </c>
      <c r="N1066" s="1" t="e">
        <f>VLOOKUP(B1066,MICRO!E:L,8,0)</f>
        <v>#N/A</v>
      </c>
    </row>
    <row r="1067" spans="1:14" ht="18" customHeight="1" x14ac:dyDescent="0.25">
      <c r="A1067" s="1">
        <v>60</v>
      </c>
      <c r="B1067" s="159"/>
      <c r="C1067" s="1" t="s">
        <v>2196</v>
      </c>
      <c r="D1067" s="1"/>
      <c r="E1067" s="1"/>
      <c r="F1067" s="1" t="s">
        <v>2245</v>
      </c>
      <c r="G1067" s="1">
        <v>2</v>
      </c>
      <c r="H1067" s="1" t="s">
        <v>19</v>
      </c>
      <c r="I1067" s="1" t="s">
        <v>589</v>
      </c>
      <c r="J1067" s="1">
        <v>0.5</v>
      </c>
      <c r="K1067" s="1">
        <v>1</v>
      </c>
      <c r="L1067" s="42">
        <v>9</v>
      </c>
      <c r="M1067" s="43">
        <v>46099</v>
      </c>
      <c r="N1067" s="1" t="e">
        <f>VLOOKUP(B1067,MICRO!E:L,8,0)</f>
        <v>#N/A</v>
      </c>
    </row>
    <row r="1068" spans="1:14" ht="18" customHeight="1" x14ac:dyDescent="0.25">
      <c r="A1068" s="1">
        <v>61</v>
      </c>
      <c r="B1068" s="159"/>
      <c r="C1068" s="1" t="s">
        <v>2196</v>
      </c>
      <c r="D1068" s="1"/>
      <c r="E1068" s="1"/>
      <c r="F1068" s="1" t="s">
        <v>2246</v>
      </c>
      <c r="G1068" s="1">
        <v>8</v>
      </c>
      <c r="H1068" s="1" t="s">
        <v>19</v>
      </c>
      <c r="I1068" s="1" t="s">
        <v>589</v>
      </c>
      <c r="J1068" s="1">
        <v>0.02</v>
      </c>
      <c r="K1068" s="1">
        <v>0.16</v>
      </c>
      <c r="L1068" s="42">
        <v>9</v>
      </c>
      <c r="M1068" s="43">
        <v>46099</v>
      </c>
      <c r="N1068" s="1" t="e">
        <f>VLOOKUP(B1068,MICRO!E:L,8,0)</f>
        <v>#N/A</v>
      </c>
    </row>
    <row r="1069" spans="1:14" ht="18" customHeight="1" x14ac:dyDescent="0.25">
      <c r="A1069" s="1">
        <v>62</v>
      </c>
      <c r="B1069" s="159"/>
      <c r="C1069" s="1" t="s">
        <v>2196</v>
      </c>
      <c r="D1069" s="1"/>
      <c r="E1069" s="1"/>
      <c r="F1069" s="1" t="s">
        <v>2247</v>
      </c>
      <c r="G1069" s="1">
        <v>2</v>
      </c>
      <c r="H1069" s="1" t="s">
        <v>19</v>
      </c>
      <c r="I1069" s="1" t="s">
        <v>589</v>
      </c>
      <c r="J1069" s="1">
        <v>0.04</v>
      </c>
      <c r="K1069" s="1">
        <v>0.08</v>
      </c>
      <c r="L1069" s="42">
        <v>9</v>
      </c>
      <c r="M1069" s="43">
        <v>46099</v>
      </c>
      <c r="N1069" s="1" t="e">
        <f>VLOOKUP(B1069,MICRO!E:L,8,0)</f>
        <v>#N/A</v>
      </c>
    </row>
    <row r="1070" spans="1:14" ht="18" customHeight="1" x14ac:dyDescent="0.25">
      <c r="A1070" s="1">
        <v>63</v>
      </c>
      <c r="B1070" s="159"/>
      <c r="C1070" s="1" t="s">
        <v>2196</v>
      </c>
      <c r="D1070" s="1"/>
      <c r="E1070" s="1"/>
      <c r="F1070" s="1" t="s">
        <v>2248</v>
      </c>
      <c r="G1070" s="1">
        <v>3</v>
      </c>
      <c r="H1070" s="1" t="s">
        <v>19</v>
      </c>
      <c r="I1070" s="1" t="s">
        <v>589</v>
      </c>
      <c r="J1070" s="1">
        <v>0.5</v>
      </c>
      <c r="K1070" s="1">
        <v>1.5</v>
      </c>
      <c r="L1070" s="42">
        <v>9</v>
      </c>
      <c r="M1070" s="43">
        <v>46099</v>
      </c>
      <c r="N1070" s="1" t="e">
        <f>VLOOKUP(B1070,MICRO!E:L,8,0)</f>
        <v>#N/A</v>
      </c>
    </row>
    <row r="1071" spans="1:14" ht="18" customHeight="1" x14ac:dyDescent="0.25">
      <c r="A1071" s="1">
        <v>64</v>
      </c>
      <c r="B1071" s="159"/>
      <c r="C1071" s="1" t="s">
        <v>2196</v>
      </c>
      <c r="D1071" s="1"/>
      <c r="E1071" s="1"/>
      <c r="F1071" s="1" t="s">
        <v>2232</v>
      </c>
      <c r="G1071" s="1">
        <v>1</v>
      </c>
      <c r="H1071" s="1" t="s">
        <v>19</v>
      </c>
      <c r="I1071" s="1" t="s">
        <v>589</v>
      </c>
      <c r="J1071" s="1">
        <v>2.8</v>
      </c>
      <c r="K1071" s="1">
        <v>2.8</v>
      </c>
      <c r="L1071" s="42">
        <v>9</v>
      </c>
      <c r="M1071" s="43">
        <v>46099</v>
      </c>
      <c r="N1071" s="1" t="e">
        <f>VLOOKUP(B1071,MICRO!E:L,8,0)</f>
        <v>#N/A</v>
      </c>
    </row>
    <row r="1072" spans="1:14" ht="18" customHeight="1" x14ac:dyDescent="0.25">
      <c r="A1072" s="1">
        <v>65</v>
      </c>
      <c r="B1072" s="159"/>
      <c r="C1072" s="1" t="s">
        <v>2196</v>
      </c>
      <c r="D1072" s="1"/>
      <c r="E1072" s="1"/>
      <c r="F1072" s="1" t="s">
        <v>2233</v>
      </c>
      <c r="G1072" s="1">
        <v>2</v>
      </c>
      <c r="H1072" s="1" t="s">
        <v>19</v>
      </c>
      <c r="I1072" s="1" t="s">
        <v>589</v>
      </c>
      <c r="J1072" s="1">
        <v>0.04</v>
      </c>
      <c r="K1072" s="1">
        <v>0.08</v>
      </c>
      <c r="L1072" s="42">
        <v>9</v>
      </c>
      <c r="M1072" s="43">
        <v>46099</v>
      </c>
      <c r="N1072" s="1" t="e">
        <f>VLOOKUP(B1072,MICRO!E:L,8,0)</f>
        <v>#N/A</v>
      </c>
    </row>
    <row r="1073" spans="1:14" ht="18" customHeight="1" x14ac:dyDescent="0.25">
      <c r="A1073" s="1">
        <v>66</v>
      </c>
      <c r="B1073" s="159"/>
      <c r="C1073" s="1" t="s">
        <v>2196</v>
      </c>
      <c r="D1073" s="1"/>
      <c r="E1073" s="1"/>
      <c r="F1073" s="1" t="s">
        <v>2234</v>
      </c>
      <c r="G1073" s="1">
        <v>3</v>
      </c>
      <c r="H1073" s="1" t="s">
        <v>19</v>
      </c>
      <c r="I1073" s="1" t="s">
        <v>589</v>
      </c>
      <c r="J1073" s="1">
        <v>0.03</v>
      </c>
      <c r="K1073" s="1">
        <v>0.09</v>
      </c>
      <c r="L1073" s="42">
        <v>9</v>
      </c>
      <c r="M1073" s="43">
        <v>46099</v>
      </c>
      <c r="N1073" s="1" t="e">
        <f>VLOOKUP(B1073,MICRO!E:L,8,0)</f>
        <v>#N/A</v>
      </c>
    </row>
    <row r="1074" spans="1:14" ht="18" customHeight="1" x14ac:dyDescent="0.25">
      <c r="A1074" s="1">
        <v>67</v>
      </c>
      <c r="B1074" s="159"/>
      <c r="C1074" s="1" t="s">
        <v>2196</v>
      </c>
      <c r="D1074" s="1"/>
      <c r="E1074" s="1"/>
      <c r="F1074" s="1" t="s">
        <v>2235</v>
      </c>
      <c r="G1074" s="1">
        <v>6</v>
      </c>
      <c r="H1074" s="1" t="s">
        <v>1105</v>
      </c>
      <c r="I1074" s="1" t="s">
        <v>589</v>
      </c>
      <c r="J1074" s="1">
        <v>1</v>
      </c>
      <c r="K1074" s="1">
        <v>6</v>
      </c>
      <c r="L1074" s="42">
        <v>9</v>
      </c>
      <c r="M1074" s="43">
        <v>46099</v>
      </c>
      <c r="N1074" s="1" t="e">
        <f>VLOOKUP(B1074,MICRO!E:L,8,0)</f>
        <v>#N/A</v>
      </c>
    </row>
    <row r="1075" spans="1:14" ht="18" customHeight="1" x14ac:dyDescent="0.25">
      <c r="A1075" s="1">
        <v>68</v>
      </c>
      <c r="B1075" s="159"/>
      <c r="C1075" s="1" t="s">
        <v>2196</v>
      </c>
      <c r="D1075" s="1"/>
      <c r="E1075" s="1"/>
      <c r="F1075" s="1" t="s">
        <v>2236</v>
      </c>
      <c r="G1075" s="1">
        <v>1</v>
      </c>
      <c r="H1075" s="1" t="s">
        <v>19</v>
      </c>
      <c r="I1075" s="1" t="s">
        <v>589</v>
      </c>
      <c r="J1075" s="1">
        <v>6.2</v>
      </c>
      <c r="K1075" s="1">
        <v>6.2</v>
      </c>
      <c r="L1075" s="42">
        <v>9</v>
      </c>
      <c r="M1075" s="43">
        <v>46099</v>
      </c>
      <c r="N1075" s="1" t="e">
        <f>VLOOKUP(B1075,MICRO!E:L,8,0)</f>
        <v>#N/A</v>
      </c>
    </row>
    <row r="1076" spans="1:14" ht="18" customHeight="1" x14ac:dyDescent="0.25">
      <c r="A1076" s="1">
        <v>69</v>
      </c>
      <c r="B1076" s="159"/>
      <c r="C1076" s="1" t="s">
        <v>2196</v>
      </c>
      <c r="D1076" s="1"/>
      <c r="E1076" s="1"/>
      <c r="F1076" s="1" t="s">
        <v>2237</v>
      </c>
      <c r="G1076" s="1">
        <v>8</v>
      </c>
      <c r="H1076" s="1" t="s">
        <v>19</v>
      </c>
      <c r="I1076" s="1" t="s">
        <v>589</v>
      </c>
      <c r="J1076" s="1">
        <v>0.03</v>
      </c>
      <c r="K1076" s="1">
        <v>0.24</v>
      </c>
      <c r="L1076" s="42">
        <v>9</v>
      </c>
      <c r="M1076" s="43">
        <v>46099</v>
      </c>
      <c r="N1076" s="1" t="e">
        <f>VLOOKUP(B1076,MICRO!E:L,8,0)</f>
        <v>#N/A</v>
      </c>
    </row>
    <row r="1077" spans="1:14" ht="18" customHeight="1" x14ac:dyDescent="0.25">
      <c r="A1077" s="1">
        <v>70</v>
      </c>
      <c r="B1077" s="159"/>
      <c r="C1077" s="1" t="s">
        <v>2196</v>
      </c>
      <c r="D1077" s="1"/>
      <c r="E1077" s="1"/>
      <c r="F1077" s="1" t="s">
        <v>2238</v>
      </c>
      <c r="G1077" s="1">
        <v>2</v>
      </c>
      <c r="H1077" s="1" t="s">
        <v>19</v>
      </c>
      <c r="I1077" s="1" t="s">
        <v>589</v>
      </c>
      <c r="J1077" s="1">
        <v>0.04</v>
      </c>
      <c r="K1077" s="1">
        <v>0.08</v>
      </c>
      <c r="L1077" s="42">
        <v>9</v>
      </c>
      <c r="M1077" s="43">
        <v>46099</v>
      </c>
      <c r="N1077" s="1" t="e">
        <f>VLOOKUP(B1077,MICRO!E:L,8,0)</f>
        <v>#N/A</v>
      </c>
    </row>
    <row r="1078" spans="1:14" ht="18" customHeight="1" x14ac:dyDescent="0.25">
      <c r="A1078" s="1">
        <v>71</v>
      </c>
      <c r="B1078" s="159"/>
      <c r="C1078" s="1" t="s">
        <v>2196</v>
      </c>
      <c r="D1078" s="1"/>
      <c r="E1078" s="1"/>
      <c r="F1078" s="1" t="s">
        <v>2239</v>
      </c>
      <c r="G1078" s="1">
        <v>2</v>
      </c>
      <c r="H1078" s="1" t="s">
        <v>19</v>
      </c>
      <c r="I1078" s="1" t="s">
        <v>589</v>
      </c>
      <c r="J1078" s="1">
        <v>0.4</v>
      </c>
      <c r="K1078" s="1">
        <v>0.8</v>
      </c>
      <c r="L1078" s="42">
        <v>9</v>
      </c>
      <c r="M1078" s="43">
        <v>46099</v>
      </c>
      <c r="N1078" s="1" t="e">
        <f>VLOOKUP(B1078,MICRO!E:L,8,0)</f>
        <v>#N/A</v>
      </c>
    </row>
    <row r="1079" spans="1:14" ht="18" customHeight="1" x14ac:dyDescent="0.25">
      <c r="A1079" s="1">
        <v>72</v>
      </c>
      <c r="B1079" s="159"/>
      <c r="C1079" s="1" t="s">
        <v>2196</v>
      </c>
      <c r="D1079" s="1"/>
      <c r="E1079" s="1"/>
      <c r="F1079" s="1" t="s">
        <v>2240</v>
      </c>
      <c r="G1079" s="1">
        <v>2</v>
      </c>
      <c r="H1079" s="1" t="s">
        <v>19</v>
      </c>
      <c r="I1079" s="1" t="s">
        <v>589</v>
      </c>
      <c r="J1079" s="1">
        <v>0.03</v>
      </c>
      <c r="K1079" s="1">
        <v>0.06</v>
      </c>
      <c r="L1079" s="42">
        <v>9</v>
      </c>
      <c r="M1079" s="43">
        <v>46099</v>
      </c>
      <c r="N1079" s="1" t="e">
        <f>VLOOKUP(B1079,MICRO!E:L,8,0)</f>
        <v>#N/A</v>
      </c>
    </row>
    <row r="1080" spans="1:14" ht="18" customHeight="1" x14ac:dyDescent="0.25">
      <c r="A1080" s="1">
        <v>73</v>
      </c>
      <c r="B1080" s="159"/>
      <c r="C1080" s="1" t="s">
        <v>2196</v>
      </c>
      <c r="D1080" s="1"/>
      <c r="E1080" s="1"/>
      <c r="F1080" s="1" t="s">
        <v>2241</v>
      </c>
      <c r="G1080" s="1">
        <v>2</v>
      </c>
      <c r="H1080" s="1" t="s">
        <v>19</v>
      </c>
      <c r="I1080" s="1" t="s">
        <v>589</v>
      </c>
      <c r="J1080" s="1">
        <v>0.5</v>
      </c>
      <c r="K1080" s="1">
        <v>1</v>
      </c>
      <c r="L1080" s="42">
        <v>9</v>
      </c>
      <c r="M1080" s="43">
        <v>46099</v>
      </c>
      <c r="N1080" s="1" t="e">
        <f>VLOOKUP(B1080,MICRO!E:L,8,0)</f>
        <v>#N/A</v>
      </c>
    </row>
    <row r="1081" spans="1:14" ht="18" customHeight="1" x14ac:dyDescent="0.25">
      <c r="A1081" s="1">
        <v>74</v>
      </c>
      <c r="B1081" s="159"/>
      <c r="C1081" s="1" t="s">
        <v>2196</v>
      </c>
      <c r="D1081" s="1"/>
      <c r="E1081" s="1"/>
      <c r="F1081" s="1" t="s">
        <v>2242</v>
      </c>
      <c r="G1081" s="1">
        <v>3</v>
      </c>
      <c r="H1081" s="1" t="s">
        <v>19</v>
      </c>
      <c r="I1081" s="1" t="s">
        <v>589</v>
      </c>
      <c r="J1081" s="1">
        <v>0.5</v>
      </c>
      <c r="K1081" s="1">
        <v>1.5</v>
      </c>
      <c r="L1081" s="42">
        <v>9</v>
      </c>
      <c r="M1081" s="43">
        <v>46099</v>
      </c>
      <c r="N1081" s="1" t="e">
        <f>VLOOKUP(B1081,MICRO!E:L,8,0)</f>
        <v>#N/A</v>
      </c>
    </row>
    <row r="1082" spans="1:14" ht="18" customHeight="1" x14ac:dyDescent="0.25">
      <c r="A1082" s="1">
        <v>75</v>
      </c>
      <c r="B1082" s="159"/>
      <c r="C1082" s="1" t="s">
        <v>2196</v>
      </c>
      <c r="D1082" s="1"/>
      <c r="E1082" s="1"/>
      <c r="F1082" s="1" t="s">
        <v>2243</v>
      </c>
      <c r="G1082" s="1">
        <v>3</v>
      </c>
      <c r="H1082" s="1" t="s">
        <v>19</v>
      </c>
      <c r="I1082" s="1" t="s">
        <v>589</v>
      </c>
      <c r="J1082" s="1">
        <v>0.02</v>
      </c>
      <c r="K1082" s="1">
        <v>0.06</v>
      </c>
      <c r="L1082" s="42">
        <v>9</v>
      </c>
      <c r="M1082" s="43">
        <v>46099</v>
      </c>
      <c r="N1082" s="1" t="e">
        <f>VLOOKUP(B1082,MICRO!E:L,8,0)</f>
        <v>#N/A</v>
      </c>
    </row>
    <row r="1083" spans="1:14" ht="18" customHeight="1" x14ac:dyDescent="0.25">
      <c r="A1083" s="1">
        <v>76</v>
      </c>
      <c r="B1083" s="159"/>
      <c r="C1083" s="1" t="s">
        <v>2196</v>
      </c>
      <c r="D1083" s="1"/>
      <c r="E1083" s="1"/>
      <c r="F1083" s="1" t="s">
        <v>2244</v>
      </c>
      <c r="G1083" s="1">
        <v>8</v>
      </c>
      <c r="H1083" s="1" t="s">
        <v>19</v>
      </c>
      <c r="I1083" s="1" t="s">
        <v>589</v>
      </c>
      <c r="J1083" s="1">
        <v>0.2</v>
      </c>
      <c r="K1083" s="1">
        <v>1.6</v>
      </c>
      <c r="L1083" s="42">
        <v>9</v>
      </c>
      <c r="M1083" s="43">
        <v>46099</v>
      </c>
      <c r="N1083" s="1" t="e">
        <f>VLOOKUP(B1083,MICRO!E:L,8,0)</f>
        <v>#N/A</v>
      </c>
    </row>
    <row r="1084" spans="1:14" ht="18" customHeight="1" x14ac:dyDescent="0.25">
      <c r="A1084" s="1">
        <v>77</v>
      </c>
      <c r="B1084" s="159"/>
      <c r="C1084" s="1" t="s">
        <v>2196</v>
      </c>
      <c r="D1084" s="1"/>
      <c r="E1084" s="1"/>
      <c r="F1084" s="1" t="s">
        <v>2249</v>
      </c>
      <c r="G1084" s="1">
        <v>2</v>
      </c>
      <c r="H1084" s="1" t="s">
        <v>19</v>
      </c>
      <c r="I1084" s="1" t="s">
        <v>589</v>
      </c>
      <c r="J1084" s="1">
        <v>0.5</v>
      </c>
      <c r="K1084" s="1">
        <v>1</v>
      </c>
      <c r="L1084" s="42">
        <v>9</v>
      </c>
      <c r="M1084" s="43">
        <v>46099</v>
      </c>
      <c r="N1084" s="1" t="e">
        <f>VLOOKUP(B1084,MICRO!E:L,8,0)</f>
        <v>#N/A</v>
      </c>
    </row>
    <row r="1085" spans="1:14" ht="18" customHeight="1" x14ac:dyDescent="0.25">
      <c r="A1085" s="1">
        <v>78</v>
      </c>
      <c r="B1085" s="159"/>
      <c r="C1085" s="1" t="s">
        <v>2196</v>
      </c>
      <c r="D1085" s="1"/>
      <c r="E1085" s="1"/>
      <c r="F1085" s="1" t="s">
        <v>2246</v>
      </c>
      <c r="G1085" s="1">
        <v>8</v>
      </c>
      <c r="H1085" s="1" t="s">
        <v>19</v>
      </c>
      <c r="I1085" s="1" t="s">
        <v>589</v>
      </c>
      <c r="J1085" s="1">
        <v>0.02</v>
      </c>
      <c r="K1085" s="1">
        <v>0.16</v>
      </c>
      <c r="L1085" s="42">
        <v>9</v>
      </c>
      <c r="M1085" s="43">
        <v>46099</v>
      </c>
      <c r="N1085" s="1" t="e">
        <f>VLOOKUP(B1085,MICRO!E:L,8,0)</f>
        <v>#N/A</v>
      </c>
    </row>
    <row r="1086" spans="1:14" ht="18" customHeight="1" x14ac:dyDescent="0.25">
      <c r="A1086" s="1">
        <v>79</v>
      </c>
      <c r="B1086" s="159"/>
      <c r="C1086" s="1" t="s">
        <v>2196</v>
      </c>
      <c r="D1086" s="1"/>
      <c r="E1086" s="1"/>
      <c r="F1086" s="1" t="s">
        <v>2247</v>
      </c>
      <c r="G1086" s="1">
        <v>2</v>
      </c>
      <c r="H1086" s="1" t="s">
        <v>19</v>
      </c>
      <c r="I1086" s="1" t="s">
        <v>589</v>
      </c>
      <c r="J1086" s="1">
        <v>0.04</v>
      </c>
      <c r="K1086" s="1">
        <v>0.08</v>
      </c>
      <c r="L1086" s="42">
        <v>9</v>
      </c>
      <c r="M1086" s="43">
        <v>46099</v>
      </c>
      <c r="N1086" s="1" t="e">
        <f>VLOOKUP(B1086,MICRO!E:L,8,0)</f>
        <v>#N/A</v>
      </c>
    </row>
    <row r="1087" spans="1:14" ht="18" customHeight="1" x14ac:dyDescent="0.25">
      <c r="A1087" s="1">
        <v>80</v>
      </c>
      <c r="B1087" s="159"/>
      <c r="C1087" s="1" t="s">
        <v>2196</v>
      </c>
      <c r="D1087" s="1"/>
      <c r="E1087" s="1"/>
      <c r="F1087" s="1" t="s">
        <v>2248</v>
      </c>
      <c r="G1087" s="1">
        <v>3</v>
      </c>
      <c r="H1087" s="1" t="s">
        <v>19</v>
      </c>
      <c r="I1087" s="1" t="s">
        <v>589</v>
      </c>
      <c r="J1087" s="1">
        <v>0.5</v>
      </c>
      <c r="K1087" s="1">
        <v>1.5</v>
      </c>
      <c r="L1087" s="42">
        <v>9</v>
      </c>
      <c r="M1087" s="43">
        <v>46099</v>
      </c>
      <c r="N1087" s="1" t="e">
        <f>VLOOKUP(B1087,MICRO!E:L,8,0)</f>
        <v>#N/A</v>
      </c>
    </row>
    <row r="1088" spans="1:14" ht="18" customHeight="1" x14ac:dyDescent="0.25">
      <c r="A1088" s="1">
        <v>81</v>
      </c>
      <c r="B1088" s="159"/>
      <c r="C1088" s="1" t="s">
        <v>2250</v>
      </c>
      <c r="D1088" s="1"/>
      <c r="E1088" s="1"/>
      <c r="F1088" s="1" t="s">
        <v>2251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2">
        <v>9</v>
      </c>
      <c r="M1088" s="43">
        <v>46099</v>
      </c>
      <c r="N1088" s="1" t="e">
        <f>VLOOKUP(B1088,MICRO!E:L,8,0)</f>
        <v>#N/A</v>
      </c>
    </row>
    <row r="1089" spans="1:14" ht="18" customHeight="1" x14ac:dyDescent="0.25">
      <c r="A1089" s="1">
        <v>82</v>
      </c>
      <c r="B1089" s="159"/>
      <c r="C1089" s="1" t="s">
        <v>2250</v>
      </c>
      <c r="D1089" s="1"/>
      <c r="E1089" s="1"/>
      <c r="F1089" s="1" t="s">
        <v>2252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2">
        <v>9</v>
      </c>
      <c r="M1089" s="43">
        <v>46099</v>
      </c>
      <c r="N1089" s="1" t="e">
        <f>VLOOKUP(B1089,MICRO!E:L,8,0)</f>
        <v>#N/A</v>
      </c>
    </row>
    <row r="1090" spans="1:14" ht="18" customHeight="1" x14ac:dyDescent="0.25">
      <c r="A1090" s="1">
        <v>83</v>
      </c>
      <c r="B1090" s="159"/>
      <c r="C1090" s="1" t="s">
        <v>2250</v>
      </c>
      <c r="D1090" s="1"/>
      <c r="E1090" s="1"/>
      <c r="F1090" s="1" t="s">
        <v>2253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2">
        <v>9</v>
      </c>
      <c r="M1090" s="43">
        <v>46099</v>
      </c>
      <c r="N1090" s="1" t="e">
        <f>VLOOKUP(B1090,MICRO!E:L,8,0)</f>
        <v>#N/A</v>
      </c>
    </row>
    <row r="1091" spans="1:14" ht="18" customHeight="1" x14ac:dyDescent="0.25">
      <c r="A1091" s="1">
        <v>84</v>
      </c>
      <c r="B1091" s="159"/>
      <c r="C1091" s="1" t="s">
        <v>2250</v>
      </c>
      <c r="D1091" s="1"/>
      <c r="E1091" s="1"/>
      <c r="F1091" s="1" t="s">
        <v>2254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2">
        <v>9</v>
      </c>
      <c r="M1091" s="43">
        <v>46099</v>
      </c>
      <c r="N1091" s="1" t="e">
        <f>VLOOKUP(B1091,MICRO!E:L,8,0)</f>
        <v>#N/A</v>
      </c>
    </row>
    <row r="1092" spans="1:14" ht="18" customHeight="1" x14ac:dyDescent="0.25">
      <c r="A1092" s="1">
        <v>85</v>
      </c>
      <c r="B1092" s="159"/>
      <c r="C1092" s="1" t="s">
        <v>2250</v>
      </c>
      <c r="D1092" s="1"/>
      <c r="E1092" s="1"/>
      <c r="F1092" s="1" t="s">
        <v>2255</v>
      </c>
      <c r="G1092" s="1">
        <v>6</v>
      </c>
      <c r="H1092" s="1" t="s">
        <v>1105</v>
      </c>
      <c r="I1092" s="1"/>
      <c r="J1092" s="1">
        <v>1</v>
      </c>
      <c r="K1092" s="1">
        <v>6</v>
      </c>
      <c r="L1092" s="42">
        <v>9</v>
      </c>
      <c r="M1092" s="43">
        <v>46099</v>
      </c>
      <c r="N1092" s="1" t="e">
        <f>VLOOKUP(B1092,MICRO!E:L,8,0)</f>
        <v>#N/A</v>
      </c>
    </row>
    <row r="1093" spans="1:14" ht="18" customHeight="1" x14ac:dyDescent="0.25">
      <c r="A1093" s="1">
        <v>86</v>
      </c>
      <c r="B1093" s="159"/>
      <c r="C1093" s="1" t="s">
        <v>2250</v>
      </c>
      <c r="D1093" s="1"/>
      <c r="E1093" s="1"/>
      <c r="F1093" s="1" t="s">
        <v>2256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2">
        <v>9</v>
      </c>
      <c r="M1093" s="43">
        <v>46099</v>
      </c>
      <c r="N1093" s="1" t="e">
        <f>VLOOKUP(B1093,MICRO!E:L,8,0)</f>
        <v>#N/A</v>
      </c>
    </row>
    <row r="1094" spans="1:14" ht="18" customHeight="1" x14ac:dyDescent="0.25">
      <c r="A1094" s="1">
        <v>87</v>
      </c>
      <c r="B1094" s="159"/>
      <c r="C1094" s="1" t="s">
        <v>2250</v>
      </c>
      <c r="D1094" s="1"/>
      <c r="E1094" s="1"/>
      <c r="F1094" s="1" t="s">
        <v>2257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2">
        <v>9</v>
      </c>
      <c r="M1094" s="43">
        <v>46099</v>
      </c>
      <c r="N1094" s="1" t="e">
        <f>VLOOKUP(B1094,MICRO!E:L,8,0)</f>
        <v>#N/A</v>
      </c>
    </row>
    <row r="1095" spans="1:14" ht="18" customHeight="1" x14ac:dyDescent="0.25">
      <c r="A1095" s="1">
        <v>88</v>
      </c>
      <c r="B1095" s="159"/>
      <c r="C1095" s="1" t="s">
        <v>2250</v>
      </c>
      <c r="D1095" s="1"/>
      <c r="E1095" s="1"/>
      <c r="F1095" s="1" t="s">
        <v>2258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2">
        <v>9</v>
      </c>
      <c r="M1095" s="43">
        <v>46099</v>
      </c>
      <c r="N1095" s="1" t="e">
        <f>VLOOKUP(B1095,MICRO!E:L,8,0)</f>
        <v>#N/A</v>
      </c>
    </row>
    <row r="1096" spans="1:14" ht="18" customHeight="1" x14ac:dyDescent="0.25">
      <c r="A1096" s="1">
        <v>89</v>
      </c>
      <c r="B1096" s="159"/>
      <c r="C1096" s="1" t="s">
        <v>2250</v>
      </c>
      <c r="D1096" s="1"/>
      <c r="E1096" s="1"/>
      <c r="F1096" s="1" t="s">
        <v>2259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2">
        <v>9</v>
      </c>
      <c r="M1096" s="43">
        <v>46099</v>
      </c>
      <c r="N1096" s="1" t="e">
        <f>VLOOKUP(B1096,MICRO!E:L,8,0)</f>
        <v>#N/A</v>
      </c>
    </row>
    <row r="1097" spans="1:14" ht="18" customHeight="1" x14ac:dyDescent="0.25">
      <c r="A1097" s="1">
        <v>90</v>
      </c>
      <c r="B1097" s="159"/>
      <c r="C1097" s="1" t="s">
        <v>2250</v>
      </c>
      <c r="D1097" s="1"/>
      <c r="E1097" s="1"/>
      <c r="F1097" s="1" t="s">
        <v>2260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2">
        <v>9</v>
      </c>
      <c r="M1097" s="43">
        <v>46099</v>
      </c>
      <c r="N1097" s="1" t="e">
        <f>VLOOKUP(B1097,MICRO!E:L,8,0)</f>
        <v>#N/A</v>
      </c>
    </row>
    <row r="1098" spans="1:14" ht="18" customHeight="1" x14ac:dyDescent="0.25">
      <c r="A1098" s="1">
        <v>91</v>
      </c>
      <c r="B1098" s="159"/>
      <c r="C1098" s="1" t="s">
        <v>2250</v>
      </c>
      <c r="D1098" s="1"/>
      <c r="E1098" s="1"/>
      <c r="F1098" s="1" t="s">
        <v>2261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2">
        <v>9</v>
      </c>
      <c r="M1098" s="43">
        <v>46099</v>
      </c>
      <c r="N1098" s="1" t="e">
        <f>VLOOKUP(B1098,MICRO!E:L,8,0)</f>
        <v>#N/A</v>
      </c>
    </row>
    <row r="1099" spans="1:14" ht="18" customHeight="1" x14ac:dyDescent="0.25">
      <c r="A1099" s="1">
        <v>92</v>
      </c>
      <c r="B1099" s="159"/>
      <c r="C1099" s="1" t="s">
        <v>2250</v>
      </c>
      <c r="D1099" s="1"/>
      <c r="E1099" s="1"/>
      <c r="F1099" s="1" t="s">
        <v>2262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2">
        <v>9</v>
      </c>
      <c r="M1099" s="43">
        <v>46099</v>
      </c>
      <c r="N1099" s="1" t="e">
        <f>VLOOKUP(B1099,MICRO!E:L,8,0)</f>
        <v>#N/A</v>
      </c>
    </row>
    <row r="1100" spans="1:14" ht="18" customHeight="1" x14ac:dyDescent="0.25">
      <c r="A1100" s="1">
        <v>93</v>
      </c>
      <c r="B1100" s="159"/>
      <c r="C1100" s="1" t="s">
        <v>2250</v>
      </c>
      <c r="D1100" s="1"/>
      <c r="E1100" s="1"/>
      <c r="F1100" s="1" t="s">
        <v>2263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2">
        <v>9</v>
      </c>
      <c r="M1100" s="43">
        <v>46099</v>
      </c>
      <c r="N1100" s="1" t="e">
        <f>VLOOKUP(B1100,MICRO!E:L,8,0)</f>
        <v>#N/A</v>
      </c>
    </row>
    <row r="1101" spans="1:14" ht="18" customHeight="1" x14ac:dyDescent="0.25">
      <c r="A1101" s="1">
        <v>94</v>
      </c>
      <c r="B1101" s="159"/>
      <c r="C1101" s="1" t="s">
        <v>2250</v>
      </c>
      <c r="D1101" s="1"/>
      <c r="E1101" s="1"/>
      <c r="F1101" s="1" t="s">
        <v>2264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2">
        <v>9</v>
      </c>
      <c r="M1101" s="43">
        <v>46099</v>
      </c>
      <c r="N1101" s="1" t="e">
        <f>VLOOKUP(B1101,MICRO!E:L,8,0)</f>
        <v>#N/A</v>
      </c>
    </row>
    <row r="1102" spans="1:14" ht="18" customHeight="1" x14ac:dyDescent="0.25">
      <c r="A1102" s="1">
        <v>95</v>
      </c>
      <c r="B1102" s="159"/>
      <c r="C1102" s="1" t="s">
        <v>2250</v>
      </c>
      <c r="D1102" s="1"/>
      <c r="E1102" s="1"/>
      <c r="F1102" s="1" t="s">
        <v>2265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2">
        <v>9</v>
      </c>
      <c r="M1102" s="43">
        <v>46099</v>
      </c>
      <c r="N1102" s="1" t="e">
        <f>VLOOKUP(B1102,MICRO!E:L,8,0)</f>
        <v>#N/A</v>
      </c>
    </row>
    <row r="1103" spans="1:14" ht="18" customHeight="1" x14ac:dyDescent="0.25">
      <c r="A1103" s="1">
        <v>96</v>
      </c>
      <c r="B1103" s="159"/>
      <c r="C1103" s="1" t="s">
        <v>2250</v>
      </c>
      <c r="D1103" s="1"/>
      <c r="E1103" s="1"/>
      <c r="F1103" s="1" t="s">
        <v>2266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2">
        <v>9</v>
      </c>
      <c r="M1103" s="43">
        <v>46099</v>
      </c>
      <c r="N1103" s="1" t="e">
        <f>VLOOKUP(B1103,MICRO!E:L,8,0)</f>
        <v>#N/A</v>
      </c>
    </row>
    <row r="1104" spans="1:14" ht="18" customHeight="1" x14ac:dyDescent="0.25">
      <c r="A1104" s="1">
        <v>97</v>
      </c>
      <c r="B1104" s="159"/>
      <c r="C1104" s="1" t="s">
        <v>938</v>
      </c>
      <c r="D1104" s="1"/>
      <c r="E1104" s="1"/>
      <c r="F1104" s="1" t="s">
        <v>2267</v>
      </c>
      <c r="G1104" s="1">
        <v>1</v>
      </c>
      <c r="H1104" s="1" t="s">
        <v>19</v>
      </c>
      <c r="I1104" s="1" t="s">
        <v>629</v>
      </c>
      <c r="J1104" s="1">
        <v>0.4</v>
      </c>
      <c r="K1104" s="1">
        <v>0.4</v>
      </c>
      <c r="L1104" s="42">
        <v>9</v>
      </c>
      <c r="M1104" s="43">
        <v>46099</v>
      </c>
      <c r="N1104" s="1" t="e">
        <f>VLOOKUP(B1104,MICRO!E:L,8,0)</f>
        <v>#N/A</v>
      </c>
    </row>
    <row r="1105" spans="1:14" ht="18" customHeight="1" x14ac:dyDescent="0.25">
      <c r="A1105" s="1">
        <v>98</v>
      </c>
      <c r="B1105" s="159"/>
      <c r="C1105" s="1" t="s">
        <v>938</v>
      </c>
      <c r="D1105" s="1"/>
      <c r="E1105" s="1"/>
      <c r="F1105" s="1" t="s">
        <v>2268</v>
      </c>
      <c r="G1105" s="1">
        <v>1</v>
      </c>
      <c r="H1105" s="1" t="s">
        <v>19</v>
      </c>
      <c r="I1105" s="1" t="s">
        <v>629</v>
      </c>
      <c r="J1105" s="1">
        <v>2.8</v>
      </c>
      <c r="K1105" s="1">
        <v>2.8</v>
      </c>
      <c r="L1105" s="42">
        <v>9</v>
      </c>
      <c r="M1105" s="43">
        <v>46099</v>
      </c>
      <c r="N1105" s="1" t="e">
        <f>VLOOKUP(B1105,MICRO!E:L,8,0)</f>
        <v>#N/A</v>
      </c>
    </row>
    <row r="1106" spans="1:14" ht="18" customHeight="1" x14ac:dyDescent="0.25">
      <c r="A1106" s="1">
        <v>99</v>
      </c>
      <c r="B1106" s="159"/>
      <c r="C1106" s="1" t="s">
        <v>938</v>
      </c>
      <c r="D1106" s="1"/>
      <c r="E1106" s="1"/>
      <c r="F1106" s="1" t="s">
        <v>2269</v>
      </c>
      <c r="G1106" s="1">
        <v>1</v>
      </c>
      <c r="H1106" s="1" t="s">
        <v>19</v>
      </c>
      <c r="I1106" s="1" t="s">
        <v>629</v>
      </c>
      <c r="J1106" s="1">
        <v>0.8</v>
      </c>
      <c r="K1106" s="1">
        <v>0.8</v>
      </c>
      <c r="L1106" s="42">
        <v>9</v>
      </c>
      <c r="M1106" s="43">
        <v>46099</v>
      </c>
      <c r="N1106" s="1" t="e">
        <f>VLOOKUP(B1106,MICRO!E:L,8,0)</f>
        <v>#N/A</v>
      </c>
    </row>
    <row r="1107" spans="1:14" ht="18" customHeight="1" x14ac:dyDescent="0.25">
      <c r="A1107" s="1">
        <v>100</v>
      </c>
      <c r="B1107" s="159"/>
      <c r="C1107" s="1" t="s">
        <v>2187</v>
      </c>
      <c r="D1107" s="1"/>
      <c r="E1107" s="1"/>
      <c r="F1107" s="1" t="s">
        <v>2270</v>
      </c>
      <c r="G1107" s="1">
        <v>4</v>
      </c>
      <c r="H1107" s="1" t="s">
        <v>19</v>
      </c>
      <c r="I1107" s="1" t="s">
        <v>2271</v>
      </c>
      <c r="J1107" s="1">
        <v>0.5</v>
      </c>
      <c r="K1107" s="1">
        <v>2</v>
      </c>
      <c r="L1107" s="42">
        <v>9</v>
      </c>
      <c r="M1107" s="43">
        <v>46099</v>
      </c>
      <c r="N1107" s="1" t="e">
        <f>VLOOKUP(B1107,MICRO!E:L,8,0)</f>
        <v>#N/A</v>
      </c>
    </row>
    <row r="1108" spans="1:14" ht="18" customHeight="1" x14ac:dyDescent="0.25">
      <c r="A1108" s="1">
        <v>1</v>
      </c>
      <c r="B1108" s="159">
        <v>2969</v>
      </c>
      <c r="C1108" s="1" t="s">
        <v>1293</v>
      </c>
      <c r="D1108" s="1"/>
      <c r="E1108" s="1" t="s">
        <v>2</v>
      </c>
      <c r="F1108" s="1" t="s">
        <v>1294</v>
      </c>
      <c r="G1108" s="1">
        <v>51</v>
      </c>
      <c r="H1108" s="1" t="s">
        <v>19</v>
      </c>
      <c r="I1108" s="1" t="s">
        <v>1295</v>
      </c>
      <c r="J1108" s="1">
        <v>11.5</v>
      </c>
      <c r="K1108" s="1">
        <v>586.5</v>
      </c>
      <c r="L1108" s="42">
        <v>1</v>
      </c>
      <c r="M1108" s="43"/>
      <c r="N1108" s="1" t="e">
        <f>VLOOKUP(B1108,MICRO!E:L,8,0)</f>
        <v>#N/A</v>
      </c>
    </row>
    <row r="1109" spans="1:14" ht="18" customHeight="1" x14ac:dyDescent="0.25">
      <c r="A1109" s="1">
        <v>2</v>
      </c>
      <c r="B1109" s="159">
        <v>2972</v>
      </c>
      <c r="C1109" s="1" t="s">
        <v>1298</v>
      </c>
      <c r="D1109" s="1"/>
      <c r="E1109" s="1" t="s">
        <v>2</v>
      </c>
      <c r="F1109" s="1" t="s">
        <v>1299</v>
      </c>
      <c r="G1109" s="1">
        <v>108</v>
      </c>
      <c r="H1109" s="1" t="s">
        <v>19</v>
      </c>
      <c r="I1109" s="1" t="s">
        <v>1301</v>
      </c>
      <c r="J1109" s="1">
        <v>12.7</v>
      </c>
      <c r="K1109" s="1">
        <v>1371.6</v>
      </c>
      <c r="L1109" s="42">
        <v>1</v>
      </c>
      <c r="M1109" s="43"/>
      <c r="N1109" s="1" t="e">
        <f>VLOOKUP(B1109,MICRO!E:L,8,0)</f>
        <v>#N/A</v>
      </c>
    </row>
    <row r="1110" spans="1:14" ht="18" customHeight="1" x14ac:dyDescent="0.25">
      <c r="A1110" s="1">
        <v>3</v>
      </c>
      <c r="B1110" s="159">
        <v>2971</v>
      </c>
      <c r="C1110" s="1" t="s">
        <v>1298</v>
      </c>
      <c r="D1110" s="1"/>
      <c r="E1110" s="1" t="s">
        <v>2</v>
      </c>
      <c r="F1110" s="1" t="s">
        <v>1299</v>
      </c>
      <c r="G1110" s="1">
        <v>30</v>
      </c>
      <c r="H1110" s="1" t="s">
        <v>19</v>
      </c>
      <c r="I1110" s="1" t="s">
        <v>1300</v>
      </c>
      <c r="J1110" s="1">
        <v>12.7</v>
      </c>
      <c r="K1110" s="1">
        <v>381</v>
      </c>
      <c r="L1110" s="42">
        <v>1</v>
      </c>
      <c r="M1110" s="43"/>
      <c r="N1110" s="1" t="e">
        <f>VLOOKUP(B1110,MICRO!E:L,8,0)</f>
        <v>#N/A</v>
      </c>
    </row>
    <row r="1111" spans="1:14" ht="18" customHeight="1" x14ac:dyDescent="0.25">
      <c r="A1111" s="1">
        <v>1</v>
      </c>
      <c r="B1111" s="159">
        <v>2971</v>
      </c>
      <c r="C1111" s="1" t="s">
        <v>1298</v>
      </c>
      <c r="D1111" s="1"/>
      <c r="E1111" s="1" t="s">
        <v>2</v>
      </c>
      <c r="F1111" s="1" t="s">
        <v>1299</v>
      </c>
      <c r="G1111" s="1">
        <v>64</v>
      </c>
      <c r="H1111" s="1" t="s">
        <v>19</v>
      </c>
      <c r="I1111" s="1" t="s">
        <v>1300</v>
      </c>
      <c r="J1111" s="1">
        <v>12.7</v>
      </c>
      <c r="K1111" s="1">
        <v>812.8</v>
      </c>
      <c r="L1111" s="42">
        <v>2</v>
      </c>
      <c r="M1111" s="43"/>
      <c r="N1111" s="1" t="e">
        <f>VLOOKUP(B1111,MICRO!E:L,8,0)</f>
        <v>#N/A</v>
      </c>
    </row>
    <row r="1112" spans="1:14" ht="18" customHeight="1" x14ac:dyDescent="0.25">
      <c r="A1112" s="1">
        <v>2</v>
      </c>
      <c r="B1112" s="159"/>
      <c r="C1112" s="1" t="s">
        <v>2291</v>
      </c>
      <c r="D1112" s="1"/>
      <c r="E1112" s="1"/>
      <c r="F1112" s="1" t="s">
        <v>2292</v>
      </c>
      <c r="G1112" s="1">
        <v>1360</v>
      </c>
      <c r="H1112" s="1" t="s">
        <v>19</v>
      </c>
      <c r="I1112" s="1" t="s">
        <v>2293</v>
      </c>
      <c r="J1112" s="1">
        <v>0.03</v>
      </c>
      <c r="K1112" s="1">
        <v>40.799999999999997</v>
      </c>
      <c r="L1112" s="42">
        <v>2</v>
      </c>
      <c r="M1112" s="43"/>
      <c r="N1112" s="1" t="e">
        <f>VLOOKUP(B1112,MICRO!E:L,8,0)</f>
        <v>#N/A</v>
      </c>
    </row>
    <row r="1113" spans="1:14" ht="18" customHeight="1" x14ac:dyDescent="0.25">
      <c r="A1113" s="1">
        <v>3</v>
      </c>
      <c r="B1113" s="159"/>
      <c r="C1113" s="1" t="s">
        <v>2291</v>
      </c>
      <c r="D1113" s="1"/>
      <c r="E1113" s="1"/>
      <c r="F1113" s="1" t="s">
        <v>2294</v>
      </c>
      <c r="G1113" s="1">
        <v>840</v>
      </c>
      <c r="H1113" s="1" t="s">
        <v>19</v>
      </c>
      <c r="I1113" s="1" t="s">
        <v>2295</v>
      </c>
      <c r="J1113" s="1">
        <v>0.03</v>
      </c>
      <c r="K1113" s="1">
        <v>25.2</v>
      </c>
      <c r="L1113" s="42">
        <v>2</v>
      </c>
      <c r="M1113" s="43"/>
      <c r="N1113" s="1" t="e">
        <f>VLOOKUP(B1113,MICRO!E:L,8,0)</f>
        <v>#N/A</v>
      </c>
    </row>
    <row r="1114" spans="1:14" ht="18" customHeight="1" x14ac:dyDescent="0.25">
      <c r="A1114" s="1">
        <v>4</v>
      </c>
      <c r="B1114" s="159"/>
      <c r="C1114" s="1" t="s">
        <v>2291</v>
      </c>
      <c r="D1114" s="1"/>
      <c r="E1114" s="1"/>
      <c r="F1114" s="1" t="s">
        <v>2296</v>
      </c>
      <c r="G1114" s="1">
        <v>1360</v>
      </c>
      <c r="H1114" s="1" t="s">
        <v>19</v>
      </c>
      <c r="I1114" s="1" t="s">
        <v>2293</v>
      </c>
      <c r="J1114" s="1">
        <v>0.05</v>
      </c>
      <c r="K1114" s="1">
        <v>68</v>
      </c>
      <c r="L1114" s="42">
        <v>2</v>
      </c>
      <c r="M1114" s="43"/>
      <c r="N1114" s="1" t="e">
        <f>VLOOKUP(B1114,MICRO!E:L,8,0)</f>
        <v>#N/A</v>
      </c>
    </row>
    <row r="1115" spans="1:14" ht="18" customHeight="1" x14ac:dyDescent="0.25">
      <c r="A1115" s="1">
        <v>5</v>
      </c>
      <c r="B1115" s="159"/>
      <c r="C1115" s="1" t="s">
        <v>2291</v>
      </c>
      <c r="D1115" s="1"/>
      <c r="E1115" s="1"/>
      <c r="F1115" s="1" t="s">
        <v>2297</v>
      </c>
      <c r="G1115" s="1">
        <v>840</v>
      </c>
      <c r="H1115" s="1" t="s">
        <v>19</v>
      </c>
      <c r="I1115" s="1" t="s">
        <v>2295</v>
      </c>
      <c r="J1115" s="1">
        <v>0.05</v>
      </c>
      <c r="K1115" s="1">
        <v>42</v>
      </c>
      <c r="L1115" s="42">
        <v>2</v>
      </c>
      <c r="M1115" s="43"/>
      <c r="N1115" s="1" t="e">
        <f>VLOOKUP(B1115,MICRO!E:L,8,0)</f>
        <v>#N/A</v>
      </c>
    </row>
    <row r="1116" spans="1:14" ht="18" customHeight="1" x14ac:dyDescent="0.25">
      <c r="A1116" s="1">
        <v>6</v>
      </c>
      <c r="B1116" s="159"/>
      <c r="C1116" s="1" t="s">
        <v>2291</v>
      </c>
      <c r="D1116" s="1"/>
      <c r="E1116" s="1"/>
      <c r="F1116" s="1" t="s">
        <v>2298</v>
      </c>
      <c r="G1116" s="1">
        <v>840</v>
      </c>
      <c r="H1116" s="1" t="s">
        <v>19</v>
      </c>
      <c r="I1116" s="1" t="s">
        <v>2295</v>
      </c>
      <c r="J1116" s="1">
        <v>0.08</v>
      </c>
      <c r="K1116" s="1">
        <v>67.2</v>
      </c>
      <c r="L1116" s="42">
        <v>2</v>
      </c>
      <c r="M1116" s="43"/>
      <c r="N1116" s="1" t="e">
        <f>VLOOKUP(B1116,MICRO!E:L,8,0)</f>
        <v>#N/A</v>
      </c>
    </row>
    <row r="1117" spans="1:14" ht="18" customHeight="1" x14ac:dyDescent="0.25">
      <c r="A1117" s="1">
        <v>7</v>
      </c>
      <c r="B1117" s="159"/>
      <c r="C1117" s="1" t="s">
        <v>2291</v>
      </c>
      <c r="D1117" s="1"/>
      <c r="E1117" s="1"/>
      <c r="F1117" s="1" t="s">
        <v>2299</v>
      </c>
      <c r="G1117" s="1">
        <v>1360</v>
      </c>
      <c r="H1117" s="1" t="s">
        <v>19</v>
      </c>
      <c r="I1117" s="1" t="s">
        <v>2300</v>
      </c>
      <c r="J1117" s="1">
        <v>0.08</v>
      </c>
      <c r="K1117" s="1">
        <v>108.8</v>
      </c>
      <c r="L1117" s="42">
        <v>2</v>
      </c>
      <c r="M1117" s="43"/>
      <c r="N1117" s="1" t="e">
        <f>VLOOKUP(B1117,MICRO!E:L,8,0)</f>
        <v>#N/A</v>
      </c>
    </row>
    <row r="1118" spans="1:14" ht="18" customHeight="1" x14ac:dyDescent="0.25">
      <c r="A1118" s="1">
        <v>6</v>
      </c>
      <c r="B1118" s="159"/>
      <c r="C1118" s="1" t="s">
        <v>1361</v>
      </c>
      <c r="D1118" s="1"/>
      <c r="E1118" s="1"/>
      <c r="F1118" s="1" t="s">
        <v>2301</v>
      </c>
      <c r="G1118" s="1">
        <v>1</v>
      </c>
      <c r="H1118" s="1" t="s">
        <v>19</v>
      </c>
      <c r="I1118" s="1" t="s">
        <v>1300</v>
      </c>
      <c r="J1118" s="1">
        <v>23</v>
      </c>
      <c r="K1118" s="1">
        <v>23</v>
      </c>
      <c r="L1118" s="42">
        <v>3</v>
      </c>
      <c r="M1118" s="43"/>
      <c r="N1118" s="1" t="e">
        <f>VLOOKUP(B1118,MICRO!E:L,8,0)</f>
        <v>#N/A</v>
      </c>
    </row>
    <row r="1119" spans="1:14" ht="18" customHeight="1" x14ac:dyDescent="0.25">
      <c r="A1119" s="1">
        <v>7</v>
      </c>
      <c r="B1119" s="159"/>
      <c r="C1119" s="1" t="s">
        <v>1361</v>
      </c>
      <c r="D1119" s="1"/>
      <c r="E1119" s="1"/>
      <c r="F1119" s="1" t="s">
        <v>2302</v>
      </c>
      <c r="G1119" s="1">
        <v>1</v>
      </c>
      <c r="H1119" s="1" t="s">
        <v>19</v>
      </c>
      <c r="I1119" s="1" t="s">
        <v>1300</v>
      </c>
      <c r="J1119" s="1">
        <v>23</v>
      </c>
      <c r="K1119" s="1">
        <v>23</v>
      </c>
      <c r="L1119" s="42">
        <v>3</v>
      </c>
      <c r="M1119" s="43"/>
      <c r="N1119" s="1" t="e">
        <f>VLOOKUP(B1119,MICRO!E:L,8,0)</f>
        <v>#N/A</v>
      </c>
    </row>
    <row r="1120" spans="1:14" ht="18" customHeight="1" x14ac:dyDescent="0.25">
      <c r="A1120" s="1">
        <v>13</v>
      </c>
      <c r="B1120" s="159"/>
      <c r="C1120" s="1" t="s">
        <v>1361</v>
      </c>
      <c r="D1120" s="1"/>
      <c r="E1120" s="1"/>
      <c r="F1120" s="1" t="s">
        <v>2301</v>
      </c>
      <c r="G1120" s="1">
        <v>1</v>
      </c>
      <c r="H1120" s="1" t="s">
        <v>19</v>
      </c>
      <c r="I1120" s="1" t="s">
        <v>1295</v>
      </c>
      <c r="J1120" s="1">
        <v>23</v>
      </c>
      <c r="K1120" s="1">
        <v>23</v>
      </c>
      <c r="L1120" s="42">
        <v>3</v>
      </c>
      <c r="M1120" s="43"/>
      <c r="N1120" s="1" t="e">
        <f>VLOOKUP(B1120,MICRO!E:L,8,0)</f>
        <v>#N/A</v>
      </c>
    </row>
    <row r="1121" spans="1:14" ht="14.25" customHeight="1" x14ac:dyDescent="0.25">
      <c r="A1121" s="1">
        <v>14</v>
      </c>
      <c r="B1121" s="159"/>
      <c r="C1121" s="1" t="s">
        <v>1361</v>
      </c>
      <c r="D1121" s="1"/>
      <c r="E1121" s="1"/>
      <c r="F1121" s="1" t="s">
        <v>2302</v>
      </c>
      <c r="G1121" s="1">
        <v>1</v>
      </c>
      <c r="H1121" s="1" t="s">
        <v>19</v>
      </c>
      <c r="I1121" s="1" t="s">
        <v>1295</v>
      </c>
      <c r="J1121" s="1">
        <v>23</v>
      </c>
      <c r="K1121" s="1">
        <v>23</v>
      </c>
      <c r="L1121" s="42">
        <v>3</v>
      </c>
      <c r="M1121" s="43"/>
      <c r="N1121" s="1" t="e">
        <f>VLOOKUP(B1121,MICRO!E:L,8,0)</f>
        <v>#N/A</v>
      </c>
    </row>
    <row r="1122" spans="1:14" ht="18" customHeight="1" x14ac:dyDescent="0.25">
      <c r="A1122" s="1">
        <v>20</v>
      </c>
      <c r="B1122" s="159"/>
      <c r="C1122" s="1" t="s">
        <v>1361</v>
      </c>
      <c r="D1122" s="1"/>
      <c r="E1122" s="1"/>
      <c r="F1122" s="1" t="s">
        <v>2301</v>
      </c>
      <c r="G1122" s="1">
        <v>1</v>
      </c>
      <c r="H1122" s="1" t="s">
        <v>19</v>
      </c>
      <c r="I1122" s="1" t="s">
        <v>1301</v>
      </c>
      <c r="J1122" s="1">
        <v>23</v>
      </c>
      <c r="K1122" s="1">
        <v>23</v>
      </c>
      <c r="L1122" s="42">
        <v>3</v>
      </c>
      <c r="M1122" s="43"/>
      <c r="N1122" s="1" t="e">
        <f>VLOOKUP(B1122,MICRO!E:L,8,0)</f>
        <v>#N/A</v>
      </c>
    </row>
    <row r="1123" spans="1:14" ht="18" customHeight="1" x14ac:dyDescent="0.25">
      <c r="A1123" s="1">
        <v>21</v>
      </c>
      <c r="B1123" s="159"/>
      <c r="C1123" s="1" t="s">
        <v>1361</v>
      </c>
      <c r="D1123" s="1"/>
      <c r="E1123" s="1"/>
      <c r="F1123" s="1" t="s">
        <v>2302</v>
      </c>
      <c r="G1123" s="1">
        <v>1</v>
      </c>
      <c r="H1123" s="1" t="s">
        <v>19</v>
      </c>
      <c r="I1123" s="1" t="s">
        <v>1301</v>
      </c>
      <c r="J1123" s="1">
        <v>23</v>
      </c>
      <c r="K1123" s="1">
        <v>23</v>
      </c>
      <c r="L1123" s="42">
        <v>3</v>
      </c>
      <c r="M1123" s="43"/>
      <c r="N1123" s="1" t="e">
        <f>VLOOKUP(B1123,MICRO!E:L,8,0)</f>
        <v>#N/A</v>
      </c>
    </row>
    <row r="1124" spans="1:14" ht="18" customHeight="1" x14ac:dyDescent="0.25">
      <c r="A1124" s="1">
        <v>27</v>
      </c>
      <c r="B1124" s="159"/>
      <c r="C1124" s="1" t="s">
        <v>1361</v>
      </c>
      <c r="D1124" s="1"/>
      <c r="E1124" s="1"/>
      <c r="F1124" s="1" t="s">
        <v>2301</v>
      </c>
      <c r="G1124" s="1">
        <v>1</v>
      </c>
      <c r="H1124" s="1" t="s">
        <v>19</v>
      </c>
      <c r="I1124" s="1" t="s">
        <v>1290</v>
      </c>
      <c r="J1124" s="1">
        <v>23</v>
      </c>
      <c r="K1124" s="1">
        <v>23</v>
      </c>
      <c r="L1124" s="42">
        <v>3</v>
      </c>
      <c r="M1124" s="43"/>
      <c r="N1124" s="1" t="e">
        <f>VLOOKUP(B1124,MICRO!E:L,8,0)</f>
        <v>#N/A</v>
      </c>
    </row>
    <row r="1125" spans="1:14" ht="18" customHeight="1" x14ac:dyDescent="0.25">
      <c r="A1125" s="1">
        <v>28</v>
      </c>
      <c r="B1125" s="159"/>
      <c r="C1125" s="1" t="s">
        <v>1361</v>
      </c>
      <c r="D1125" s="1"/>
      <c r="E1125" s="1"/>
      <c r="F1125" s="1" t="s">
        <v>2302</v>
      </c>
      <c r="G1125" s="1">
        <v>1</v>
      </c>
      <c r="H1125" s="1" t="s">
        <v>19</v>
      </c>
      <c r="I1125" s="1" t="s">
        <v>1290</v>
      </c>
      <c r="J1125" s="1">
        <v>23</v>
      </c>
      <c r="K1125" s="1">
        <v>23</v>
      </c>
      <c r="L1125" s="42">
        <v>3</v>
      </c>
      <c r="M1125" s="43"/>
      <c r="N1125" s="1" t="e">
        <f>VLOOKUP(B1125,MICRO!E:L,8,0)</f>
        <v>#N/A</v>
      </c>
    </row>
    <row r="1126" spans="1:14" ht="18" customHeight="1" x14ac:dyDescent="0.25">
      <c r="A1126" s="1">
        <v>29</v>
      </c>
      <c r="B1126" s="159"/>
      <c r="C1126" s="1" t="s">
        <v>2303</v>
      </c>
      <c r="D1126" s="1"/>
      <c r="E1126" s="1"/>
      <c r="F1126" s="1" t="s">
        <v>2304</v>
      </c>
      <c r="G1126" s="1">
        <v>1</v>
      </c>
      <c r="H1126" s="1" t="s">
        <v>19</v>
      </c>
      <c r="I1126" s="1" t="s">
        <v>1300</v>
      </c>
      <c r="J1126" s="1">
        <v>1020</v>
      </c>
      <c r="K1126" s="1">
        <v>1020</v>
      </c>
      <c r="L1126" s="42">
        <v>3</v>
      </c>
      <c r="M1126" s="43"/>
      <c r="N1126" s="1" t="e">
        <f>VLOOKUP(B1126,MICRO!E:L,8,0)</f>
        <v>#N/A</v>
      </c>
    </row>
    <row r="1127" spans="1:14" ht="18" customHeight="1" x14ac:dyDescent="0.25">
      <c r="A1127" s="1">
        <v>30</v>
      </c>
      <c r="B1127" s="159"/>
      <c r="C1127" s="1" t="s">
        <v>2303</v>
      </c>
      <c r="D1127" s="1"/>
      <c r="E1127" s="1"/>
      <c r="F1127" s="1" t="s">
        <v>2305</v>
      </c>
      <c r="G1127" s="1">
        <v>1</v>
      </c>
      <c r="H1127" s="1" t="s">
        <v>19</v>
      </c>
      <c r="I1127" s="1" t="s">
        <v>1290</v>
      </c>
      <c r="J1127" s="1">
        <v>1020</v>
      </c>
      <c r="K1127" s="1">
        <v>1020</v>
      </c>
      <c r="L1127" s="42">
        <v>3</v>
      </c>
      <c r="M1127" s="43"/>
      <c r="N1127" s="1" t="e">
        <f>VLOOKUP(B1127,MICRO!E:L,8,0)</f>
        <v>#N/A</v>
      </c>
    </row>
    <row r="1128" spans="1:14" ht="18" customHeight="1" x14ac:dyDescent="0.25">
      <c r="A1128" s="1">
        <v>31</v>
      </c>
      <c r="B1128" s="159"/>
      <c r="C1128" s="1" t="s">
        <v>2303</v>
      </c>
      <c r="D1128" s="1"/>
      <c r="E1128" s="1"/>
      <c r="F1128" s="1" t="s">
        <v>2306</v>
      </c>
      <c r="G1128" s="1">
        <v>1</v>
      </c>
      <c r="H1128" s="1" t="s">
        <v>19</v>
      </c>
      <c r="I1128" s="1" t="s">
        <v>1295</v>
      </c>
      <c r="J1128" s="1">
        <v>1020</v>
      </c>
      <c r="K1128" s="1">
        <v>1020</v>
      </c>
      <c r="L1128" s="42">
        <v>3</v>
      </c>
      <c r="M1128" s="43"/>
      <c r="N1128" s="1" t="e">
        <f>VLOOKUP(B1128,MICRO!E:L,8,0)</f>
        <v>#N/A</v>
      </c>
    </row>
    <row r="1129" spans="1:14" ht="18" customHeight="1" x14ac:dyDescent="0.25">
      <c r="A1129" s="1">
        <v>32</v>
      </c>
      <c r="B1129" s="159"/>
      <c r="C1129" s="1" t="s">
        <v>2303</v>
      </c>
      <c r="D1129" s="1"/>
      <c r="E1129" s="1"/>
      <c r="F1129" s="1" t="s">
        <v>2307</v>
      </c>
      <c r="G1129" s="1">
        <v>1</v>
      </c>
      <c r="H1129" s="1" t="s">
        <v>19</v>
      </c>
      <c r="I1129" s="1" t="s">
        <v>1301</v>
      </c>
      <c r="J1129" s="1">
        <v>1020</v>
      </c>
      <c r="K1129" s="1">
        <v>1020</v>
      </c>
      <c r="L1129" s="42">
        <v>3</v>
      </c>
      <c r="M1129" s="43"/>
      <c r="N1129" s="1" t="e">
        <f>VLOOKUP(B1129,MICRO!E:L,8,0)</f>
        <v>#N/A</v>
      </c>
    </row>
    <row r="1130" spans="1:14" ht="20.25" x14ac:dyDescent="0.25">
      <c r="A1130" s="1">
        <v>9</v>
      </c>
      <c r="B1130" s="159"/>
      <c r="C1130" s="1" t="s">
        <v>1218</v>
      </c>
      <c r="D1130" s="1"/>
      <c r="E1130" s="1" t="s">
        <v>43</v>
      </c>
      <c r="F1130" s="1" t="s">
        <v>2308</v>
      </c>
      <c r="G1130" s="1">
        <v>2</v>
      </c>
      <c r="H1130" s="1" t="s">
        <v>19</v>
      </c>
      <c r="I1130" s="1" t="s">
        <v>424</v>
      </c>
      <c r="J1130" s="1">
        <v>4.5</v>
      </c>
      <c r="K1130" s="1">
        <v>9</v>
      </c>
      <c r="L1130" s="42">
        <v>8</v>
      </c>
      <c r="M1130" s="43">
        <v>46121</v>
      </c>
      <c r="N1130" s="1" t="e">
        <f>VLOOKUP(B1130,MICRO!E:L,8,0)</f>
        <v>#N/A</v>
      </c>
    </row>
    <row r="1131" spans="1:14" ht="20.25" x14ac:dyDescent="0.25">
      <c r="A1131" s="1">
        <v>44</v>
      </c>
      <c r="B1131" s="159"/>
      <c r="C1131" s="1"/>
      <c r="D1131" s="1"/>
      <c r="E1131" s="1"/>
      <c r="F1131" s="1" t="s">
        <v>2314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2">
        <v>8</v>
      </c>
      <c r="M1131" s="43">
        <v>46121</v>
      </c>
      <c r="N1131" s="1" t="e">
        <f>VLOOKUP(B1131,MICRO!E:L,8,0)</f>
        <v>#N/A</v>
      </c>
    </row>
    <row r="1132" spans="1:14" ht="20.25" x14ac:dyDescent="0.25">
      <c r="A1132" s="1">
        <v>6</v>
      </c>
      <c r="B1132" s="159"/>
      <c r="C1132" s="1" t="s">
        <v>1163</v>
      </c>
      <c r="D1132" s="1"/>
      <c r="E1132" s="1" t="s">
        <v>464</v>
      </c>
      <c r="F1132" s="1" t="s">
        <v>2315</v>
      </c>
      <c r="G1132" s="1">
        <v>1</v>
      </c>
      <c r="H1132" s="1" t="s">
        <v>19</v>
      </c>
      <c r="I1132" s="1" t="s">
        <v>423</v>
      </c>
      <c r="J1132" s="1">
        <v>12.6</v>
      </c>
      <c r="K1132" s="1">
        <v>12.6</v>
      </c>
      <c r="L1132" s="42">
        <v>6</v>
      </c>
      <c r="M1132" s="43">
        <v>46088</v>
      </c>
      <c r="N1132" s="1" t="e">
        <f>VLOOKUP(B1132,MICRO!E:L,8,0)</f>
        <v>#N/A</v>
      </c>
    </row>
    <row r="1133" spans="1:14" ht="20.25" x14ac:dyDescent="0.25">
      <c r="A1133" s="1">
        <v>7</v>
      </c>
      <c r="B1133" s="159"/>
      <c r="C1133" s="1" t="s">
        <v>1163</v>
      </c>
      <c r="D1133" s="1"/>
      <c r="E1133" s="1" t="s">
        <v>1103</v>
      </c>
      <c r="F1133" s="1" t="s">
        <v>2316</v>
      </c>
      <c r="G1133" s="1">
        <v>2</v>
      </c>
      <c r="H1133" s="1" t="s">
        <v>19</v>
      </c>
      <c r="I1133" s="1" t="s">
        <v>423</v>
      </c>
      <c r="J1133" s="1">
        <v>4.3</v>
      </c>
      <c r="K1133" s="1">
        <v>8.6</v>
      </c>
      <c r="L1133" s="42">
        <v>6</v>
      </c>
      <c r="M1133" s="43">
        <v>46089</v>
      </c>
      <c r="N1133" s="1" t="e">
        <f>VLOOKUP(B1133,MICRO!E:L,8,0)</f>
        <v>#N/A</v>
      </c>
    </row>
    <row r="1134" spans="1:14" ht="20.25" x14ac:dyDescent="0.25">
      <c r="A1134" s="1">
        <v>37</v>
      </c>
      <c r="B1134" s="159"/>
      <c r="C1134" s="1" t="s">
        <v>2317</v>
      </c>
      <c r="D1134" s="1"/>
      <c r="E1134" s="1"/>
      <c r="F1134" s="1" t="s">
        <v>2318</v>
      </c>
      <c r="G1134" s="1">
        <v>1</v>
      </c>
      <c r="H1134" s="1" t="s">
        <v>19</v>
      </c>
      <c r="I1134" s="1" t="s">
        <v>2317</v>
      </c>
      <c r="J1134" s="1">
        <v>12.5</v>
      </c>
      <c r="K1134" s="1">
        <v>12.5</v>
      </c>
      <c r="L1134" s="42">
        <v>6</v>
      </c>
      <c r="M1134" s="43">
        <v>46119</v>
      </c>
      <c r="N1134" s="1" t="e">
        <f>VLOOKUP(B1134,MICRO!E:L,8,0)</f>
        <v>#N/A</v>
      </c>
    </row>
    <row r="1135" spans="1:14" ht="20.25" x14ac:dyDescent="0.25">
      <c r="A1135" s="1">
        <v>38</v>
      </c>
      <c r="B1135" s="159"/>
      <c r="C1135" s="1" t="s">
        <v>2319</v>
      </c>
      <c r="D1135" s="1"/>
      <c r="E1135" s="1"/>
      <c r="F1135" s="1" t="s">
        <v>2320</v>
      </c>
      <c r="G1135" s="1">
        <v>1</v>
      </c>
      <c r="H1135" s="1" t="s">
        <v>19</v>
      </c>
      <c r="I1135" s="1" t="s">
        <v>2319</v>
      </c>
      <c r="J1135" s="1">
        <v>12.5</v>
      </c>
      <c r="K1135" s="1">
        <v>12.5</v>
      </c>
      <c r="L1135" s="42">
        <v>6</v>
      </c>
      <c r="M1135" s="43">
        <v>46120</v>
      </c>
      <c r="N1135" s="1" t="e">
        <f>VLOOKUP(B1135,MICRO!E:L,8,0)</f>
        <v>#N/A</v>
      </c>
    </row>
    <row r="1136" spans="1:14" ht="20.25" x14ac:dyDescent="0.25">
      <c r="A1136" s="1">
        <v>39</v>
      </c>
      <c r="B1136" s="159"/>
      <c r="C1136" s="1" t="s">
        <v>2321</v>
      </c>
      <c r="D1136" s="1"/>
      <c r="E1136" s="1"/>
      <c r="F1136" s="1" t="s">
        <v>2322</v>
      </c>
      <c r="G1136" s="1">
        <v>1</v>
      </c>
      <c r="H1136" s="1" t="s">
        <v>19</v>
      </c>
      <c r="I1136" s="1" t="s">
        <v>2321</v>
      </c>
      <c r="J1136" s="1">
        <v>12.5</v>
      </c>
      <c r="K1136" s="1">
        <v>12.5</v>
      </c>
      <c r="L1136" s="42">
        <v>6</v>
      </c>
      <c r="M1136" s="43">
        <v>46121</v>
      </c>
      <c r="N1136" s="1" t="e">
        <f>VLOOKUP(B1136,MICRO!E:L,8,0)</f>
        <v>#N/A</v>
      </c>
    </row>
    <row r="1137" spans="1:14" ht="20.25" x14ac:dyDescent="0.25">
      <c r="A1137" s="1">
        <v>40</v>
      </c>
      <c r="B1137" s="159"/>
      <c r="C1137" s="1" t="s">
        <v>2323</v>
      </c>
      <c r="D1137" s="1"/>
      <c r="E1137" s="1"/>
      <c r="F1137" s="1" t="s">
        <v>2324</v>
      </c>
      <c r="G1137" s="1">
        <v>1</v>
      </c>
      <c r="H1137" s="1" t="s">
        <v>19</v>
      </c>
      <c r="I1137" s="1" t="s">
        <v>2323</v>
      </c>
      <c r="J1137" s="1">
        <v>12.5</v>
      </c>
      <c r="K1137" s="1">
        <v>12.5</v>
      </c>
      <c r="L1137" s="42">
        <v>6</v>
      </c>
      <c r="M1137" s="43">
        <v>46122</v>
      </c>
      <c r="N1137" s="1" t="e">
        <f>VLOOKUP(B1137,MICRO!E:L,8,0)</f>
        <v>#N/A</v>
      </c>
    </row>
    <row r="1138" spans="1:14" ht="20.25" x14ac:dyDescent="0.25">
      <c r="A1138" s="1">
        <v>41</v>
      </c>
      <c r="B1138" s="159"/>
      <c r="C1138" s="1" t="s">
        <v>2325</v>
      </c>
      <c r="D1138" s="1"/>
      <c r="E1138" s="1"/>
      <c r="F1138" s="1" t="s">
        <v>2326</v>
      </c>
      <c r="G1138" s="1">
        <v>1</v>
      </c>
      <c r="H1138" s="1" t="s">
        <v>19</v>
      </c>
      <c r="I1138" s="1" t="s">
        <v>2325</v>
      </c>
      <c r="J1138" s="1">
        <v>12.5</v>
      </c>
      <c r="K1138" s="1">
        <v>12.5</v>
      </c>
      <c r="L1138" s="42">
        <v>6</v>
      </c>
      <c r="M1138" s="43">
        <v>46123</v>
      </c>
      <c r="N1138" s="1" t="e">
        <f>VLOOKUP(B1138,MICRO!E:L,8,0)</f>
        <v>#N/A</v>
      </c>
    </row>
    <row r="1139" spans="1:14" ht="20.25" x14ac:dyDescent="0.25">
      <c r="A1139" s="1">
        <v>42</v>
      </c>
      <c r="B1139" s="159"/>
      <c r="C1139" s="1" t="s">
        <v>2083</v>
      </c>
      <c r="D1139" s="1"/>
      <c r="E1139" s="1"/>
      <c r="F1139" s="1" t="s">
        <v>2327</v>
      </c>
      <c r="G1139" s="1">
        <v>35</v>
      </c>
      <c r="H1139" s="1" t="s">
        <v>1253</v>
      </c>
      <c r="I1139" s="1" t="s">
        <v>2328</v>
      </c>
      <c r="J1139" s="1">
        <v>0.8</v>
      </c>
      <c r="K1139" s="1">
        <v>28</v>
      </c>
      <c r="L1139" s="42">
        <v>6</v>
      </c>
      <c r="M1139" s="43">
        <v>46124</v>
      </c>
      <c r="N1139" s="1" t="e">
        <f>VLOOKUP(B1139,MICRO!E:L,8,0)</f>
        <v>#N/A</v>
      </c>
    </row>
    <row r="1140" spans="1:14" ht="20.25" x14ac:dyDescent="0.25">
      <c r="A1140" s="1">
        <v>43</v>
      </c>
      <c r="B1140" s="159"/>
      <c r="C1140" s="1" t="s">
        <v>2083</v>
      </c>
      <c r="D1140" s="1"/>
      <c r="E1140" s="1"/>
      <c r="F1140" s="1" t="s">
        <v>2329</v>
      </c>
      <c r="G1140" s="1">
        <v>38</v>
      </c>
      <c r="H1140" s="1" t="s">
        <v>1253</v>
      </c>
      <c r="I1140" s="1" t="s">
        <v>2328</v>
      </c>
      <c r="J1140" s="1">
        <v>1.2</v>
      </c>
      <c r="K1140" s="1">
        <v>45.6</v>
      </c>
      <c r="L1140" s="42">
        <v>6</v>
      </c>
      <c r="M1140" s="43">
        <v>46125</v>
      </c>
      <c r="N1140" s="1" t="e">
        <f>VLOOKUP(B1140,MICRO!E:L,8,0)</f>
        <v>#N/A</v>
      </c>
    </row>
    <row r="1141" spans="1:14" ht="20.25" x14ac:dyDescent="0.25">
      <c r="A1141" s="1">
        <v>44</v>
      </c>
      <c r="B1141" s="159"/>
      <c r="C1141" s="1" t="s">
        <v>2083</v>
      </c>
      <c r="D1141" s="1"/>
      <c r="E1141" s="1"/>
      <c r="F1141" s="1" t="s">
        <v>2330</v>
      </c>
      <c r="G1141" s="1">
        <v>2</v>
      </c>
      <c r="H1141" s="1" t="s">
        <v>19</v>
      </c>
      <c r="I1141" s="1" t="s">
        <v>2328</v>
      </c>
      <c r="J1141" s="1">
        <v>1</v>
      </c>
      <c r="K1141" s="1">
        <v>2</v>
      </c>
      <c r="L1141" s="42">
        <v>6</v>
      </c>
      <c r="M1141" s="43">
        <v>46126</v>
      </c>
      <c r="N1141" s="1" t="e">
        <f>VLOOKUP(B1141,MICRO!E:L,8,0)</f>
        <v>#N/A</v>
      </c>
    </row>
    <row r="1142" spans="1:14" ht="20.25" x14ac:dyDescent="0.25">
      <c r="A1142" s="1">
        <v>45</v>
      </c>
      <c r="B1142" s="159"/>
      <c r="C1142" s="1" t="s">
        <v>2083</v>
      </c>
      <c r="D1142" s="1"/>
      <c r="E1142" s="1"/>
      <c r="F1142" s="1" t="s">
        <v>2331</v>
      </c>
      <c r="G1142" s="1">
        <v>6</v>
      </c>
      <c r="H1142" s="1" t="s">
        <v>1253</v>
      </c>
      <c r="I1142" s="1" t="s">
        <v>2328</v>
      </c>
      <c r="J1142" s="1">
        <v>3.4</v>
      </c>
      <c r="K1142" s="1">
        <v>20.399999999999999</v>
      </c>
      <c r="L1142" s="42">
        <v>6</v>
      </c>
      <c r="M1142" s="43">
        <v>46127</v>
      </c>
      <c r="N1142" s="1" t="e">
        <f>VLOOKUP(B1142,MICRO!E:L,8,0)</f>
        <v>#N/A</v>
      </c>
    </row>
    <row r="1143" spans="1:14" ht="20.25" x14ac:dyDescent="0.25">
      <c r="A1143" s="1">
        <v>46</v>
      </c>
      <c r="B1143" s="159"/>
      <c r="C1143" s="1" t="s">
        <v>2083</v>
      </c>
      <c r="D1143" s="1"/>
      <c r="E1143" s="1"/>
      <c r="F1143" s="1" t="s">
        <v>2332</v>
      </c>
      <c r="G1143" s="1">
        <v>3</v>
      </c>
      <c r="H1143" s="1" t="s">
        <v>1253</v>
      </c>
      <c r="I1143" s="1" t="s">
        <v>2328</v>
      </c>
      <c r="J1143" s="1">
        <v>5.8</v>
      </c>
      <c r="K1143" s="1">
        <v>17.399999999999999</v>
      </c>
      <c r="L1143" s="42">
        <v>6</v>
      </c>
      <c r="M1143" s="43">
        <v>46128</v>
      </c>
      <c r="N1143" s="1" t="e">
        <f>VLOOKUP(B1143,MICRO!E:L,8,0)</f>
        <v>#N/A</v>
      </c>
    </row>
    <row r="1144" spans="1:14" ht="20.25" x14ac:dyDescent="0.25">
      <c r="A1144" s="1">
        <v>47</v>
      </c>
      <c r="B1144" s="159"/>
      <c r="C1144" s="1" t="s">
        <v>2083</v>
      </c>
      <c r="D1144" s="1"/>
      <c r="E1144" s="1"/>
      <c r="F1144" s="1" t="s">
        <v>2333</v>
      </c>
      <c r="G1144" s="1">
        <v>18</v>
      </c>
      <c r="H1144" s="1" t="s">
        <v>19</v>
      </c>
      <c r="I1144" s="1" t="s">
        <v>2328</v>
      </c>
      <c r="J1144" s="1">
        <v>0.08</v>
      </c>
      <c r="K1144" s="1">
        <v>1.44</v>
      </c>
      <c r="L1144" s="42">
        <v>6</v>
      </c>
      <c r="M1144" s="43">
        <v>46129</v>
      </c>
      <c r="N1144" s="1" t="e">
        <f>VLOOKUP(B1144,MICRO!E:L,8,0)</f>
        <v>#N/A</v>
      </c>
    </row>
    <row r="1145" spans="1:14" ht="20.25" x14ac:dyDescent="0.25">
      <c r="A1145" s="1">
        <v>48</v>
      </c>
      <c r="B1145" s="159"/>
      <c r="C1145" s="1" t="s">
        <v>2083</v>
      </c>
      <c r="D1145" s="1"/>
      <c r="E1145" s="1"/>
      <c r="F1145" s="1" t="s">
        <v>2334</v>
      </c>
      <c r="G1145" s="1">
        <v>10</v>
      </c>
      <c r="H1145" s="1" t="s">
        <v>19</v>
      </c>
      <c r="I1145" s="1" t="s">
        <v>2328</v>
      </c>
      <c r="J1145" s="1">
        <v>0.09</v>
      </c>
      <c r="K1145" s="1">
        <v>0.89999999999999991</v>
      </c>
      <c r="L1145" s="42">
        <v>6</v>
      </c>
      <c r="M1145" s="43">
        <v>46130</v>
      </c>
      <c r="N1145" s="1" t="e">
        <f>VLOOKUP(B1145,MICRO!E:L,8,0)</f>
        <v>#N/A</v>
      </c>
    </row>
    <row r="1146" spans="1:14" ht="20.25" x14ac:dyDescent="0.25">
      <c r="A1146" s="1">
        <v>49</v>
      </c>
      <c r="B1146" s="159"/>
      <c r="C1146" s="1" t="s">
        <v>2083</v>
      </c>
      <c r="D1146" s="1"/>
      <c r="E1146" s="1"/>
      <c r="F1146" s="1" t="s">
        <v>2335</v>
      </c>
      <c r="G1146" s="1">
        <v>10</v>
      </c>
      <c r="H1146" s="1" t="s">
        <v>19</v>
      </c>
      <c r="I1146" s="1" t="s">
        <v>2328</v>
      </c>
      <c r="J1146" s="1">
        <v>0.1</v>
      </c>
      <c r="K1146" s="1">
        <v>1</v>
      </c>
      <c r="L1146" s="42">
        <v>6</v>
      </c>
      <c r="M1146" s="43">
        <v>46131</v>
      </c>
      <c r="N1146" s="1" t="e">
        <f>VLOOKUP(B1146,MICRO!E:L,8,0)</f>
        <v>#N/A</v>
      </c>
    </row>
    <row r="1147" spans="1:14" ht="20.25" x14ac:dyDescent="0.25">
      <c r="A1147" s="1">
        <v>50</v>
      </c>
      <c r="B1147" s="159"/>
      <c r="C1147" s="1" t="s">
        <v>2083</v>
      </c>
      <c r="D1147" s="1"/>
      <c r="E1147" s="1"/>
      <c r="F1147" s="1" t="s">
        <v>2336</v>
      </c>
      <c r="G1147" s="1">
        <v>6</v>
      </c>
      <c r="H1147" s="1" t="s">
        <v>1253</v>
      </c>
      <c r="I1147" s="1" t="s">
        <v>2328</v>
      </c>
      <c r="J1147" s="1">
        <v>6.2</v>
      </c>
      <c r="K1147" s="1">
        <v>37.200000000000003</v>
      </c>
      <c r="L1147" s="42">
        <v>6</v>
      </c>
      <c r="M1147" s="43">
        <v>46132</v>
      </c>
      <c r="N1147" s="1" t="e">
        <f>VLOOKUP(B1147,MICRO!E:L,8,0)</f>
        <v>#N/A</v>
      </c>
    </row>
    <row r="1148" spans="1:14" ht="20.25" x14ac:dyDescent="0.25">
      <c r="A1148" s="1">
        <v>51</v>
      </c>
      <c r="B1148" s="159"/>
      <c r="C1148" s="1" t="s">
        <v>2083</v>
      </c>
      <c r="D1148" s="1"/>
      <c r="E1148" s="1"/>
      <c r="F1148" s="1" t="s">
        <v>2337</v>
      </c>
      <c r="G1148" s="1">
        <v>2</v>
      </c>
      <c r="H1148" s="1"/>
      <c r="I1148" s="1" t="s">
        <v>2328</v>
      </c>
      <c r="J1148" s="1">
        <v>0.05</v>
      </c>
      <c r="K1148" s="1">
        <v>0.1</v>
      </c>
      <c r="L1148" s="42">
        <v>6</v>
      </c>
      <c r="M1148" s="43">
        <v>46133</v>
      </c>
      <c r="N1148" s="1" t="e">
        <f>VLOOKUP(B1148,MICRO!E:L,8,0)</f>
        <v>#N/A</v>
      </c>
    </row>
    <row r="1149" spans="1:14" ht="20.25" x14ac:dyDescent="0.25">
      <c r="A1149" s="1">
        <v>52</v>
      </c>
      <c r="B1149" s="159"/>
      <c r="C1149" s="1" t="s">
        <v>2083</v>
      </c>
      <c r="D1149" s="1"/>
      <c r="E1149" s="1"/>
      <c r="F1149" s="1" t="s">
        <v>2338</v>
      </c>
      <c r="G1149" s="1">
        <v>4</v>
      </c>
      <c r="H1149" s="1"/>
      <c r="I1149" s="1" t="s">
        <v>2328</v>
      </c>
      <c r="J1149" s="1">
        <v>0.03</v>
      </c>
      <c r="K1149" s="1">
        <v>0.12</v>
      </c>
      <c r="L1149" s="42">
        <v>6</v>
      </c>
      <c r="M1149" s="43">
        <v>46134</v>
      </c>
      <c r="N1149" s="1" t="e">
        <f>VLOOKUP(B1149,MICRO!E:L,8,0)</f>
        <v>#N/A</v>
      </c>
    </row>
    <row r="1150" spans="1:14" ht="20.25" x14ac:dyDescent="0.25">
      <c r="A1150" s="1">
        <v>53</v>
      </c>
      <c r="B1150" s="159"/>
      <c r="C1150" s="1" t="s">
        <v>2083</v>
      </c>
      <c r="D1150" s="1"/>
      <c r="E1150" s="1"/>
      <c r="F1150" s="1" t="s">
        <v>2339</v>
      </c>
      <c r="G1150" s="1">
        <v>2</v>
      </c>
      <c r="H1150" s="1"/>
      <c r="I1150" s="1" t="s">
        <v>2328</v>
      </c>
      <c r="J1150" s="1">
        <v>0.02</v>
      </c>
      <c r="K1150" s="1">
        <v>0.04</v>
      </c>
      <c r="L1150" s="42">
        <v>6</v>
      </c>
      <c r="M1150" s="43">
        <v>46135</v>
      </c>
      <c r="N1150" s="1" t="e">
        <f>VLOOKUP(B1150,MICRO!E:L,8,0)</f>
        <v>#N/A</v>
      </c>
    </row>
    <row r="1151" spans="1:14" ht="20.25" x14ac:dyDescent="0.25">
      <c r="A1151" s="1">
        <v>54</v>
      </c>
      <c r="B1151" s="159"/>
      <c r="C1151" s="1" t="s">
        <v>2083</v>
      </c>
      <c r="D1151" s="1"/>
      <c r="E1151" s="1"/>
      <c r="F1151" s="1" t="s">
        <v>2340</v>
      </c>
      <c r="G1151" s="1">
        <v>4</v>
      </c>
      <c r="H1151" s="1"/>
      <c r="I1151" s="1" t="s">
        <v>2328</v>
      </c>
      <c r="J1151" s="1">
        <v>0.03</v>
      </c>
      <c r="K1151" s="1">
        <v>0.12</v>
      </c>
      <c r="L1151" s="42">
        <v>6</v>
      </c>
      <c r="M1151" s="43">
        <v>46136</v>
      </c>
      <c r="N1151" s="1" t="e">
        <f>VLOOKUP(B1151,MICRO!E:L,8,0)</f>
        <v>#N/A</v>
      </c>
    </row>
    <row r="1152" spans="1:14" ht="20.25" x14ac:dyDescent="0.25">
      <c r="A1152" s="1">
        <v>55</v>
      </c>
      <c r="B1152" s="159"/>
      <c r="C1152" s="1" t="s">
        <v>2083</v>
      </c>
      <c r="D1152" s="1"/>
      <c r="E1152" s="1"/>
      <c r="F1152" s="1" t="s">
        <v>2341</v>
      </c>
      <c r="G1152" s="1">
        <v>2</v>
      </c>
      <c r="H1152" s="1"/>
      <c r="I1152" s="1" t="s">
        <v>2328</v>
      </c>
      <c r="J1152" s="1">
        <v>0.02</v>
      </c>
      <c r="K1152" s="1">
        <v>0.04</v>
      </c>
      <c r="L1152" s="42">
        <v>6</v>
      </c>
      <c r="M1152" s="43">
        <v>46137</v>
      </c>
      <c r="N1152" s="1" t="e">
        <f>VLOOKUP(B1152,MICRO!E:L,8,0)</f>
        <v>#N/A</v>
      </c>
    </row>
    <row r="1153" spans="1:14" ht="20.25" x14ac:dyDescent="0.25">
      <c r="A1153" s="1">
        <v>56</v>
      </c>
      <c r="B1153" s="159"/>
      <c r="C1153" s="1" t="s">
        <v>2083</v>
      </c>
      <c r="D1153" s="1"/>
      <c r="E1153" s="1"/>
      <c r="F1153" s="1" t="s">
        <v>2342</v>
      </c>
      <c r="G1153" s="1">
        <v>2</v>
      </c>
      <c r="H1153" s="1"/>
      <c r="I1153" s="1" t="s">
        <v>2328</v>
      </c>
      <c r="J1153" s="1">
        <v>0.02</v>
      </c>
      <c r="K1153" s="1">
        <v>0.04</v>
      </c>
      <c r="L1153" s="42">
        <v>6</v>
      </c>
      <c r="M1153" s="43">
        <v>46138</v>
      </c>
      <c r="N1153" s="1" t="e">
        <f>VLOOKUP(B1153,MICRO!E:L,8,0)</f>
        <v>#N/A</v>
      </c>
    </row>
    <row r="1154" spans="1:14" ht="20.25" x14ac:dyDescent="0.25">
      <c r="A1154" s="1">
        <v>57</v>
      </c>
      <c r="B1154" s="159"/>
      <c r="C1154" s="1" t="s">
        <v>2083</v>
      </c>
      <c r="D1154" s="1"/>
      <c r="E1154" s="1"/>
      <c r="F1154" s="1" t="s">
        <v>2343</v>
      </c>
      <c r="G1154" s="1">
        <v>3</v>
      </c>
      <c r="H1154" s="1"/>
      <c r="I1154" s="1" t="s">
        <v>2328</v>
      </c>
      <c r="J1154" s="1">
        <v>0.03</v>
      </c>
      <c r="K1154" s="1">
        <v>0.09</v>
      </c>
      <c r="L1154" s="42">
        <v>6</v>
      </c>
      <c r="M1154" s="43">
        <v>46139</v>
      </c>
      <c r="N1154" s="1" t="e">
        <f>VLOOKUP(B1154,MICRO!E:L,8,0)</f>
        <v>#N/A</v>
      </c>
    </row>
    <row r="1155" spans="1:14" ht="20.25" x14ac:dyDescent="0.25">
      <c r="A1155" s="1">
        <v>58</v>
      </c>
      <c r="B1155" s="159"/>
      <c r="C1155" s="1" t="s">
        <v>2083</v>
      </c>
      <c r="D1155" s="1"/>
      <c r="E1155" s="1"/>
      <c r="F1155" s="1" t="s">
        <v>2344</v>
      </c>
      <c r="G1155" s="1">
        <v>5</v>
      </c>
      <c r="H1155" s="1"/>
      <c r="I1155" s="1" t="s">
        <v>2328</v>
      </c>
      <c r="J1155" s="1">
        <v>0.02</v>
      </c>
      <c r="K1155" s="1">
        <v>0.1</v>
      </c>
      <c r="L1155" s="42">
        <v>6</v>
      </c>
      <c r="M1155" s="43">
        <v>46140</v>
      </c>
      <c r="N1155" s="1" t="e">
        <f>VLOOKUP(B1155,MICRO!E:L,8,0)</f>
        <v>#N/A</v>
      </c>
    </row>
    <row r="1156" spans="1:14" ht="20.25" x14ac:dyDescent="0.25">
      <c r="A1156" s="1">
        <v>59</v>
      </c>
      <c r="B1156" s="159"/>
      <c r="C1156" s="1" t="s">
        <v>2083</v>
      </c>
      <c r="D1156" s="1"/>
      <c r="E1156" s="1"/>
      <c r="F1156" s="1" t="s">
        <v>2345</v>
      </c>
      <c r="G1156" s="1">
        <v>5</v>
      </c>
      <c r="H1156" s="1"/>
      <c r="I1156" s="1" t="s">
        <v>2328</v>
      </c>
      <c r="J1156" s="1">
        <v>0.03</v>
      </c>
      <c r="K1156" s="1">
        <v>0.15</v>
      </c>
      <c r="L1156" s="42">
        <v>6</v>
      </c>
      <c r="M1156" s="43">
        <v>46141</v>
      </c>
      <c r="N1156" s="1" t="e">
        <f>VLOOKUP(B1156,MICRO!E:L,8,0)</f>
        <v>#N/A</v>
      </c>
    </row>
    <row r="1157" spans="1:14" ht="20.25" x14ac:dyDescent="0.25">
      <c r="A1157" s="1">
        <v>60</v>
      </c>
      <c r="B1157" s="159"/>
      <c r="C1157" s="1" t="s">
        <v>2083</v>
      </c>
      <c r="D1157" s="1"/>
      <c r="E1157" s="1"/>
      <c r="F1157" s="1" t="s">
        <v>2346</v>
      </c>
      <c r="G1157" s="1">
        <v>2</v>
      </c>
      <c r="H1157" s="1"/>
      <c r="I1157" s="1" t="s">
        <v>2328</v>
      </c>
      <c r="J1157" s="1">
        <v>0.04</v>
      </c>
      <c r="K1157" s="1">
        <v>0.08</v>
      </c>
      <c r="L1157" s="42">
        <v>6</v>
      </c>
      <c r="M1157" s="43">
        <v>46142</v>
      </c>
      <c r="N1157" s="1" t="e">
        <f>VLOOKUP(B1157,MICRO!E:L,8,0)</f>
        <v>#N/A</v>
      </c>
    </row>
    <row r="1158" spans="1:14" ht="20.25" x14ac:dyDescent="0.25">
      <c r="A1158" s="1">
        <v>61</v>
      </c>
      <c r="B1158" s="159"/>
      <c r="C1158" s="1" t="s">
        <v>2083</v>
      </c>
      <c r="D1158" s="1"/>
      <c r="E1158" s="1"/>
      <c r="F1158" s="1" t="s">
        <v>2347</v>
      </c>
      <c r="G1158" s="1">
        <v>3</v>
      </c>
      <c r="H1158" s="1"/>
      <c r="I1158" s="1" t="s">
        <v>2328</v>
      </c>
      <c r="J1158" s="1">
        <v>0.04</v>
      </c>
      <c r="K1158" s="1">
        <v>0.12</v>
      </c>
      <c r="L1158" s="42">
        <v>6</v>
      </c>
      <c r="M1158" s="43">
        <v>46143</v>
      </c>
      <c r="N1158" s="1" t="e">
        <f>VLOOKUP(B1158,MICRO!E:L,8,0)</f>
        <v>#N/A</v>
      </c>
    </row>
    <row r="1159" spans="1:14" ht="20.25" x14ac:dyDescent="0.25">
      <c r="A1159" s="1">
        <v>62</v>
      </c>
      <c r="B1159" s="159"/>
      <c r="C1159" s="1" t="s">
        <v>2083</v>
      </c>
      <c r="D1159" s="1"/>
      <c r="E1159" s="1"/>
      <c r="F1159" s="1" t="s">
        <v>2348</v>
      </c>
      <c r="G1159" s="1">
        <v>6</v>
      </c>
      <c r="H1159" s="1"/>
      <c r="I1159" s="1" t="s">
        <v>2328</v>
      </c>
      <c r="J1159" s="1">
        <v>0.05</v>
      </c>
      <c r="K1159" s="1">
        <v>0.30000000000000004</v>
      </c>
      <c r="L1159" s="42">
        <v>6</v>
      </c>
      <c r="M1159" s="43">
        <v>46144</v>
      </c>
      <c r="N1159" s="1" t="e">
        <f>VLOOKUP(B1159,MICRO!E:L,8,0)</f>
        <v>#N/A</v>
      </c>
    </row>
    <row r="1160" spans="1:14" ht="20.25" x14ac:dyDescent="0.25">
      <c r="A1160" s="1">
        <v>63</v>
      </c>
      <c r="B1160" s="159"/>
      <c r="C1160" s="1" t="s">
        <v>2092</v>
      </c>
      <c r="D1160" s="1"/>
      <c r="E1160" s="1"/>
      <c r="F1160" s="1" t="s">
        <v>2349</v>
      </c>
      <c r="G1160" s="1">
        <v>10</v>
      </c>
      <c r="H1160" s="1" t="s">
        <v>19</v>
      </c>
      <c r="I1160" s="1" t="s">
        <v>2124</v>
      </c>
      <c r="J1160" s="1">
        <v>0.02</v>
      </c>
      <c r="K1160" s="1">
        <v>0.2</v>
      </c>
      <c r="L1160" s="42">
        <v>6</v>
      </c>
      <c r="M1160" s="43">
        <v>46145</v>
      </c>
      <c r="N1160" s="1" t="e">
        <f>VLOOKUP(B1160,MICRO!E:L,8,0)</f>
        <v>#N/A</v>
      </c>
    </row>
    <row r="1161" spans="1:14" ht="20.25" x14ac:dyDescent="0.25">
      <c r="A1161" s="1">
        <v>64</v>
      </c>
      <c r="B1161" s="159"/>
      <c r="C1161" s="1" t="s">
        <v>2092</v>
      </c>
      <c r="D1161" s="1"/>
      <c r="E1161" s="1"/>
      <c r="F1161" s="1" t="s">
        <v>2350</v>
      </c>
      <c r="G1161" s="1">
        <v>12</v>
      </c>
      <c r="H1161" s="1" t="s">
        <v>19</v>
      </c>
      <c r="I1161" s="1" t="s">
        <v>2124</v>
      </c>
      <c r="J1161" s="1">
        <v>0.02</v>
      </c>
      <c r="K1161" s="1">
        <v>0.24</v>
      </c>
      <c r="L1161" s="42">
        <v>6</v>
      </c>
      <c r="M1161" s="43">
        <v>46146</v>
      </c>
      <c r="N1161" s="1" t="e">
        <f>VLOOKUP(B1161,MICRO!E:L,8,0)</f>
        <v>#N/A</v>
      </c>
    </row>
    <row r="1162" spans="1:14" ht="20.25" x14ac:dyDescent="0.25">
      <c r="A1162" s="1">
        <v>65</v>
      </c>
      <c r="B1162" s="159"/>
      <c r="C1162" s="1" t="s">
        <v>2092</v>
      </c>
      <c r="D1162" s="1"/>
      <c r="E1162" s="1"/>
      <c r="F1162" s="1" t="s">
        <v>2351</v>
      </c>
      <c r="G1162" s="1">
        <v>15</v>
      </c>
      <c r="H1162" s="1" t="s">
        <v>19</v>
      </c>
      <c r="I1162" s="1" t="s">
        <v>2124</v>
      </c>
      <c r="J1162" s="1">
        <v>0.02</v>
      </c>
      <c r="K1162" s="1">
        <v>0.3</v>
      </c>
      <c r="L1162" s="42">
        <v>6</v>
      </c>
      <c r="M1162" s="43">
        <v>46147</v>
      </c>
      <c r="N1162" s="1" t="e">
        <f>VLOOKUP(B1162,MICRO!E:L,8,0)</f>
        <v>#N/A</v>
      </c>
    </row>
    <row r="1163" spans="1:14" ht="20.25" x14ac:dyDescent="0.25">
      <c r="A1163" s="1">
        <v>66</v>
      </c>
      <c r="B1163" s="159"/>
      <c r="C1163" s="1" t="s">
        <v>2092</v>
      </c>
      <c r="D1163" s="1"/>
      <c r="E1163" s="1"/>
      <c r="F1163" s="1" t="s">
        <v>2352</v>
      </c>
      <c r="G1163" s="1">
        <v>30</v>
      </c>
      <c r="H1163" s="1" t="s">
        <v>1253</v>
      </c>
      <c r="I1163" s="1" t="s">
        <v>2124</v>
      </c>
      <c r="J1163" s="1">
        <v>0.8</v>
      </c>
      <c r="K1163" s="1">
        <v>24</v>
      </c>
      <c r="L1163" s="42">
        <v>6</v>
      </c>
      <c r="M1163" s="43">
        <v>46148</v>
      </c>
      <c r="N1163" s="1" t="e">
        <f>VLOOKUP(B1163,MICRO!E:L,8,0)</f>
        <v>#N/A</v>
      </c>
    </row>
    <row r="1164" spans="1:14" ht="20.25" x14ac:dyDescent="0.25">
      <c r="A1164" s="1">
        <v>67</v>
      </c>
      <c r="B1164" s="159"/>
      <c r="C1164" s="1" t="s">
        <v>2092</v>
      </c>
      <c r="D1164" s="1"/>
      <c r="E1164" s="1"/>
      <c r="F1164" s="1" t="s">
        <v>2353</v>
      </c>
      <c r="G1164" s="1">
        <v>6</v>
      </c>
      <c r="H1164" s="1" t="s">
        <v>19</v>
      </c>
      <c r="I1164" s="1" t="s">
        <v>2124</v>
      </c>
      <c r="J1164" s="1">
        <v>1.2</v>
      </c>
      <c r="K1164" s="1">
        <v>7.1999999999999993</v>
      </c>
      <c r="L1164" s="42">
        <v>6</v>
      </c>
      <c r="M1164" s="43">
        <v>46149</v>
      </c>
      <c r="N1164" s="1" t="e">
        <f>VLOOKUP(B1164,MICRO!E:L,8,0)</f>
        <v>#N/A</v>
      </c>
    </row>
    <row r="1165" spans="1:14" ht="20.25" x14ac:dyDescent="0.25">
      <c r="A1165" s="1">
        <v>68</v>
      </c>
      <c r="B1165" s="159"/>
      <c r="C1165" s="1" t="s">
        <v>2092</v>
      </c>
      <c r="D1165" s="1"/>
      <c r="E1165" s="1"/>
      <c r="F1165" s="1" t="s">
        <v>2354</v>
      </c>
      <c r="G1165" s="1">
        <v>34</v>
      </c>
      <c r="H1165" s="1" t="s">
        <v>1253</v>
      </c>
      <c r="I1165" s="1" t="s">
        <v>2124</v>
      </c>
      <c r="J1165" s="1">
        <v>1</v>
      </c>
      <c r="K1165" s="1">
        <v>34</v>
      </c>
      <c r="L1165" s="42">
        <v>6</v>
      </c>
      <c r="M1165" s="43">
        <v>46150</v>
      </c>
      <c r="N1165" s="1" t="e">
        <f>VLOOKUP(B1165,MICRO!E:L,8,0)</f>
        <v>#N/A</v>
      </c>
    </row>
    <row r="1166" spans="1:14" ht="20.25" x14ac:dyDescent="0.25">
      <c r="A1166" s="1">
        <v>69</v>
      </c>
      <c r="B1166" s="159"/>
      <c r="C1166" s="1" t="s">
        <v>2092</v>
      </c>
      <c r="D1166" s="1"/>
      <c r="E1166" s="1"/>
      <c r="F1166" s="1" t="s">
        <v>2355</v>
      </c>
      <c r="G1166" s="1">
        <v>5</v>
      </c>
      <c r="H1166" s="1" t="s">
        <v>19</v>
      </c>
      <c r="I1166" s="1" t="s">
        <v>2124</v>
      </c>
      <c r="J1166" s="1">
        <v>0.02</v>
      </c>
      <c r="K1166" s="1">
        <v>0.1</v>
      </c>
      <c r="L1166" s="42">
        <v>6</v>
      </c>
      <c r="M1166" s="43">
        <v>46151</v>
      </c>
      <c r="N1166" s="1" t="e">
        <f>VLOOKUP(B1166,MICRO!E:L,8,0)</f>
        <v>#N/A</v>
      </c>
    </row>
    <row r="1167" spans="1:14" ht="20.25" x14ac:dyDescent="0.25">
      <c r="A1167" s="1">
        <v>70</v>
      </c>
      <c r="B1167" s="159"/>
      <c r="C1167" s="1" t="s">
        <v>2092</v>
      </c>
      <c r="D1167" s="1"/>
      <c r="E1167" s="1"/>
      <c r="F1167" s="1" t="s">
        <v>2356</v>
      </c>
      <c r="G1167" s="1">
        <v>6</v>
      </c>
      <c r="H1167" s="1" t="s">
        <v>1253</v>
      </c>
      <c r="I1167" s="1" t="s">
        <v>2124</v>
      </c>
      <c r="J1167" s="1">
        <v>0.6</v>
      </c>
      <c r="K1167" s="1">
        <v>3.5999999999999996</v>
      </c>
      <c r="L1167" s="42">
        <v>6</v>
      </c>
      <c r="M1167" s="43">
        <v>46152</v>
      </c>
      <c r="N1167" s="1" t="e">
        <f>VLOOKUP(B1167,MICRO!E:L,8,0)</f>
        <v>#N/A</v>
      </c>
    </row>
    <row r="1168" spans="1:14" ht="20.25" x14ac:dyDescent="0.25">
      <c r="A1168" s="1">
        <v>71</v>
      </c>
      <c r="B1168" s="159"/>
      <c r="C1168" s="1" t="s">
        <v>2092</v>
      </c>
      <c r="D1168" s="1"/>
      <c r="E1168" s="1"/>
      <c r="F1168" s="1" t="s">
        <v>2357</v>
      </c>
      <c r="G1168" s="1">
        <v>4</v>
      </c>
      <c r="H1168" s="1" t="s">
        <v>1253</v>
      </c>
      <c r="I1168" s="1" t="s">
        <v>2124</v>
      </c>
      <c r="J1168" s="1">
        <v>0.8</v>
      </c>
      <c r="K1168" s="1">
        <v>3.2</v>
      </c>
      <c r="L1168" s="42">
        <v>6</v>
      </c>
      <c r="M1168" s="43">
        <v>46153</v>
      </c>
      <c r="N1168" s="1" t="e">
        <f>VLOOKUP(B1168,MICRO!E:L,8,0)</f>
        <v>#N/A</v>
      </c>
    </row>
    <row r="1169" spans="1:14" ht="20.25" x14ac:dyDescent="0.25">
      <c r="A1169" s="1">
        <v>72</v>
      </c>
      <c r="B1169" s="159"/>
      <c r="C1169" s="1" t="s">
        <v>2092</v>
      </c>
      <c r="D1169" s="1"/>
      <c r="E1169" s="1"/>
      <c r="F1169" s="1" t="s">
        <v>2358</v>
      </c>
      <c r="G1169" s="1">
        <v>3</v>
      </c>
      <c r="H1169" s="1" t="s">
        <v>19</v>
      </c>
      <c r="I1169" s="1" t="s">
        <v>2124</v>
      </c>
      <c r="J1169" s="1">
        <v>0.04</v>
      </c>
      <c r="K1169" s="1">
        <v>0.12</v>
      </c>
      <c r="L1169" s="42">
        <v>6</v>
      </c>
      <c r="M1169" s="43">
        <v>46154</v>
      </c>
      <c r="N1169" s="1" t="e">
        <f>VLOOKUP(B1169,MICRO!E:L,8,0)</f>
        <v>#N/A</v>
      </c>
    </row>
    <row r="1170" spans="1:14" ht="20.25" x14ac:dyDescent="0.25">
      <c r="A1170" s="1">
        <v>73</v>
      </c>
      <c r="B1170" s="159"/>
      <c r="C1170" s="1" t="s">
        <v>2092</v>
      </c>
      <c r="D1170" s="1"/>
      <c r="E1170" s="1"/>
      <c r="F1170" s="1" t="s">
        <v>2359</v>
      </c>
      <c r="G1170" s="1">
        <v>2</v>
      </c>
      <c r="H1170" s="1" t="s">
        <v>19</v>
      </c>
      <c r="I1170" s="1" t="s">
        <v>2124</v>
      </c>
      <c r="J1170" s="1">
        <v>0.03</v>
      </c>
      <c r="K1170" s="1">
        <v>0.06</v>
      </c>
      <c r="L1170" s="42">
        <v>6</v>
      </c>
      <c r="M1170" s="43">
        <v>46155</v>
      </c>
      <c r="N1170" s="1" t="e">
        <f>VLOOKUP(B1170,MICRO!E:L,8,0)</f>
        <v>#N/A</v>
      </c>
    </row>
    <row r="1171" spans="1:14" ht="20.25" x14ac:dyDescent="0.25">
      <c r="A1171" s="1">
        <v>74</v>
      </c>
      <c r="B1171" s="159"/>
      <c r="C1171" s="1" t="s">
        <v>2092</v>
      </c>
      <c r="D1171" s="1"/>
      <c r="E1171" s="1"/>
      <c r="F1171" s="1" t="s">
        <v>2360</v>
      </c>
      <c r="G1171" s="1">
        <v>6</v>
      </c>
      <c r="H1171" s="1" t="s">
        <v>19</v>
      </c>
      <c r="I1171" s="1" t="s">
        <v>2124</v>
      </c>
      <c r="J1171" s="1">
        <v>0.03</v>
      </c>
      <c r="K1171" s="1">
        <v>0.18</v>
      </c>
      <c r="L1171" s="42">
        <v>6</v>
      </c>
      <c r="M1171" s="43">
        <v>46156</v>
      </c>
      <c r="N1171" s="1" t="e">
        <f>VLOOKUP(B1171,MICRO!E:L,8,0)</f>
        <v>#N/A</v>
      </c>
    </row>
    <row r="1172" spans="1:14" ht="20.25" x14ac:dyDescent="0.25">
      <c r="A1172" s="1">
        <v>75</v>
      </c>
      <c r="B1172" s="159"/>
      <c r="C1172" s="1" t="s">
        <v>2092</v>
      </c>
      <c r="D1172" s="1"/>
      <c r="E1172" s="1"/>
      <c r="F1172" s="1" t="s">
        <v>2361</v>
      </c>
      <c r="G1172" s="1">
        <v>2</v>
      </c>
      <c r="H1172" s="1" t="s">
        <v>19</v>
      </c>
      <c r="I1172" s="1" t="s">
        <v>2124</v>
      </c>
      <c r="J1172" s="1">
        <v>0.03</v>
      </c>
      <c r="K1172" s="1">
        <v>0.06</v>
      </c>
      <c r="L1172" s="42">
        <v>6</v>
      </c>
      <c r="M1172" s="43">
        <v>46157</v>
      </c>
      <c r="N1172" s="1" t="e">
        <f>VLOOKUP(B1172,MICRO!E:L,8,0)</f>
        <v>#N/A</v>
      </c>
    </row>
    <row r="1173" spans="1:14" ht="20.25" x14ac:dyDescent="0.25">
      <c r="A1173" s="1">
        <v>76</v>
      </c>
      <c r="B1173" s="159"/>
      <c r="C1173" s="1" t="s">
        <v>2092</v>
      </c>
      <c r="D1173" s="1"/>
      <c r="E1173" s="1"/>
      <c r="F1173" s="1" t="s">
        <v>2362</v>
      </c>
      <c r="G1173" s="1">
        <v>6</v>
      </c>
      <c r="H1173" s="1" t="s">
        <v>19</v>
      </c>
      <c r="I1173" s="1" t="s">
        <v>2124</v>
      </c>
      <c r="J1173" s="1">
        <v>0.03</v>
      </c>
      <c r="K1173" s="1">
        <v>0.18</v>
      </c>
      <c r="L1173" s="42">
        <v>6</v>
      </c>
      <c r="M1173" s="43">
        <v>46158</v>
      </c>
      <c r="N1173" s="1" t="e">
        <f>VLOOKUP(B1173,MICRO!E:L,8,0)</f>
        <v>#N/A</v>
      </c>
    </row>
    <row r="1174" spans="1:14" ht="20.25" x14ac:dyDescent="0.25">
      <c r="A1174" s="1">
        <v>77</v>
      </c>
      <c r="B1174" s="159"/>
      <c r="C1174" s="1" t="s">
        <v>2092</v>
      </c>
      <c r="D1174" s="1"/>
      <c r="E1174" s="1"/>
      <c r="F1174" s="1" t="s">
        <v>2363</v>
      </c>
      <c r="G1174" s="1">
        <v>3</v>
      </c>
      <c r="H1174" s="1" t="s">
        <v>19</v>
      </c>
      <c r="I1174" s="1" t="s">
        <v>2124</v>
      </c>
      <c r="J1174" s="1">
        <v>0.04</v>
      </c>
      <c r="K1174" s="1">
        <v>0.12</v>
      </c>
      <c r="L1174" s="42">
        <v>6</v>
      </c>
      <c r="M1174" s="43">
        <v>46159</v>
      </c>
      <c r="N1174" s="1" t="e">
        <f>VLOOKUP(B1174,MICRO!E:L,8,0)</f>
        <v>#N/A</v>
      </c>
    </row>
    <row r="1175" spans="1:14" ht="20.25" x14ac:dyDescent="0.25">
      <c r="A1175" s="1">
        <v>78</v>
      </c>
      <c r="B1175" s="159"/>
      <c r="C1175" s="1" t="s">
        <v>2092</v>
      </c>
      <c r="D1175" s="1"/>
      <c r="E1175" s="1"/>
      <c r="F1175" s="1" t="s">
        <v>2364</v>
      </c>
      <c r="G1175" s="1">
        <v>2</v>
      </c>
      <c r="H1175" s="1" t="s">
        <v>19</v>
      </c>
      <c r="I1175" s="1" t="s">
        <v>2124</v>
      </c>
      <c r="J1175" s="1">
        <v>0.02</v>
      </c>
      <c r="K1175" s="1">
        <v>0.04</v>
      </c>
      <c r="L1175" s="42">
        <v>6</v>
      </c>
      <c r="M1175" s="43">
        <v>46160</v>
      </c>
      <c r="N1175" s="1" t="e">
        <f>VLOOKUP(B1175,MICRO!E:L,8,0)</f>
        <v>#N/A</v>
      </c>
    </row>
    <row r="1176" spans="1:14" ht="20.25" x14ac:dyDescent="0.25">
      <c r="A1176" s="1">
        <v>79</v>
      </c>
      <c r="B1176" s="159"/>
      <c r="C1176" s="1" t="s">
        <v>2092</v>
      </c>
      <c r="D1176" s="1"/>
      <c r="E1176" s="1"/>
      <c r="F1176" s="1" t="s">
        <v>2365</v>
      </c>
      <c r="G1176" s="1">
        <v>2</v>
      </c>
      <c r="H1176" s="1" t="s">
        <v>19</v>
      </c>
      <c r="I1176" s="1" t="s">
        <v>2124</v>
      </c>
      <c r="J1176" s="1">
        <v>0.03</v>
      </c>
      <c r="K1176" s="1">
        <v>0.06</v>
      </c>
      <c r="L1176" s="42">
        <v>6</v>
      </c>
      <c r="M1176" s="43">
        <v>46161</v>
      </c>
      <c r="N1176" s="1" t="e">
        <f>VLOOKUP(B1176,MICRO!E:L,8,0)</f>
        <v>#N/A</v>
      </c>
    </row>
    <row r="1177" spans="1:14" ht="20.25" x14ac:dyDescent="0.25">
      <c r="A1177" s="1">
        <v>80</v>
      </c>
      <c r="B1177" s="159"/>
      <c r="C1177" s="1" t="s">
        <v>2092</v>
      </c>
      <c r="D1177" s="1"/>
      <c r="E1177" s="1"/>
      <c r="F1177" s="1" t="s">
        <v>2366</v>
      </c>
      <c r="G1177" s="1">
        <v>6</v>
      </c>
      <c r="H1177" s="1" t="s">
        <v>19</v>
      </c>
      <c r="I1177" s="1" t="s">
        <v>2124</v>
      </c>
      <c r="J1177" s="1">
        <v>0.03</v>
      </c>
      <c r="K1177" s="1">
        <v>0.18</v>
      </c>
      <c r="L1177" s="42">
        <v>6</v>
      </c>
      <c r="M1177" s="43">
        <v>46162</v>
      </c>
      <c r="N1177" s="1" t="e">
        <f>VLOOKUP(B1177,MICRO!E:L,8,0)</f>
        <v>#N/A</v>
      </c>
    </row>
    <row r="1178" spans="1:14" ht="20.25" x14ac:dyDescent="0.25">
      <c r="A1178" s="1">
        <v>81</v>
      </c>
      <c r="B1178" s="159"/>
      <c r="C1178" s="1" t="s">
        <v>2097</v>
      </c>
      <c r="D1178" s="1"/>
      <c r="E1178" s="1"/>
      <c r="F1178" s="1" t="s">
        <v>2367</v>
      </c>
      <c r="G1178" s="1">
        <v>33</v>
      </c>
      <c r="H1178" s="1" t="s">
        <v>1253</v>
      </c>
      <c r="I1178" s="1" t="s">
        <v>2125</v>
      </c>
      <c r="J1178" s="1">
        <v>0.9</v>
      </c>
      <c r="K1178" s="1">
        <v>29.7</v>
      </c>
      <c r="L1178" s="42">
        <v>6</v>
      </c>
      <c r="M1178" s="43">
        <v>46163</v>
      </c>
      <c r="N1178" s="1" t="e">
        <f>VLOOKUP(B1178,MICRO!E:L,8,0)</f>
        <v>#N/A</v>
      </c>
    </row>
    <row r="1179" spans="1:14" ht="20.25" x14ac:dyDescent="0.25">
      <c r="A1179" s="1">
        <v>82</v>
      </c>
      <c r="B1179" s="159"/>
      <c r="C1179" s="1" t="s">
        <v>2097</v>
      </c>
      <c r="D1179" s="1"/>
      <c r="E1179" s="1"/>
      <c r="F1179" s="1" t="s">
        <v>2368</v>
      </c>
      <c r="G1179" s="1">
        <v>4</v>
      </c>
      <c r="H1179" s="1" t="s">
        <v>1253</v>
      </c>
      <c r="I1179" s="1" t="s">
        <v>2125</v>
      </c>
      <c r="J1179" s="1">
        <v>0.5</v>
      </c>
      <c r="K1179" s="1">
        <v>2</v>
      </c>
      <c r="L1179" s="42">
        <v>6</v>
      </c>
      <c r="M1179" s="43">
        <v>46164</v>
      </c>
      <c r="N1179" s="1" t="e">
        <f>VLOOKUP(B1179,MICRO!E:L,8,0)</f>
        <v>#N/A</v>
      </c>
    </row>
    <row r="1180" spans="1:14" ht="20.25" x14ac:dyDescent="0.25">
      <c r="A1180" s="1">
        <v>83</v>
      </c>
      <c r="B1180" s="159"/>
      <c r="C1180" s="1" t="s">
        <v>2097</v>
      </c>
      <c r="D1180" s="1"/>
      <c r="E1180" s="1"/>
      <c r="F1180" s="1" t="s">
        <v>2369</v>
      </c>
      <c r="G1180" s="1">
        <v>36</v>
      </c>
      <c r="H1180" s="1" t="s">
        <v>1253</v>
      </c>
      <c r="I1180" s="1" t="s">
        <v>2125</v>
      </c>
      <c r="J1180" s="1">
        <v>1.1000000000000001</v>
      </c>
      <c r="K1180" s="1">
        <v>39.6</v>
      </c>
      <c r="L1180" s="42">
        <v>6</v>
      </c>
      <c r="M1180" s="43">
        <v>46165</v>
      </c>
      <c r="N1180" s="1" t="e">
        <f>VLOOKUP(B1180,MICRO!E:L,8,0)</f>
        <v>#N/A</v>
      </c>
    </row>
    <row r="1181" spans="1:14" ht="20.25" x14ac:dyDescent="0.25">
      <c r="A1181" s="1">
        <v>84</v>
      </c>
      <c r="B1181" s="159"/>
      <c r="C1181" s="1" t="s">
        <v>2097</v>
      </c>
      <c r="D1181" s="1"/>
      <c r="E1181" s="1"/>
      <c r="F1181" s="1" t="s">
        <v>2370</v>
      </c>
      <c r="G1181" s="1">
        <v>5</v>
      </c>
      <c r="H1181" s="1" t="s">
        <v>19</v>
      </c>
      <c r="I1181" s="1" t="s">
        <v>2125</v>
      </c>
      <c r="J1181" s="1">
        <v>0.02</v>
      </c>
      <c r="K1181" s="1">
        <v>0.1</v>
      </c>
      <c r="L1181" s="42">
        <v>6</v>
      </c>
      <c r="M1181" s="43">
        <v>46166</v>
      </c>
      <c r="N1181" s="1" t="e">
        <f>VLOOKUP(B1181,MICRO!E:L,8,0)</f>
        <v>#N/A</v>
      </c>
    </row>
    <row r="1182" spans="1:14" ht="20.25" x14ac:dyDescent="0.25">
      <c r="A1182" s="1">
        <v>85</v>
      </c>
      <c r="B1182" s="159"/>
      <c r="C1182" s="1" t="s">
        <v>2097</v>
      </c>
      <c r="D1182" s="1"/>
      <c r="E1182" s="1"/>
      <c r="F1182" s="1" t="s">
        <v>2371</v>
      </c>
      <c r="G1182" s="1">
        <v>15</v>
      </c>
      <c r="H1182" s="1" t="s">
        <v>19</v>
      </c>
      <c r="I1182" s="1" t="s">
        <v>2125</v>
      </c>
      <c r="J1182" s="1">
        <v>0.02</v>
      </c>
      <c r="K1182" s="1">
        <v>0.3</v>
      </c>
      <c r="L1182" s="42">
        <v>6</v>
      </c>
      <c r="M1182" s="43">
        <v>46167</v>
      </c>
      <c r="N1182" s="1" t="e">
        <f>VLOOKUP(B1182,MICRO!E:L,8,0)</f>
        <v>#N/A</v>
      </c>
    </row>
    <row r="1183" spans="1:14" ht="20.25" x14ac:dyDescent="0.25">
      <c r="A1183" s="1">
        <v>86</v>
      </c>
      <c r="B1183" s="159"/>
      <c r="C1183" s="1" t="s">
        <v>2097</v>
      </c>
      <c r="D1183" s="1"/>
      <c r="E1183" s="1"/>
      <c r="F1183" s="1" t="s">
        <v>2372</v>
      </c>
      <c r="G1183" s="1">
        <v>10</v>
      </c>
      <c r="H1183" s="1" t="s">
        <v>19</v>
      </c>
      <c r="I1183" s="1" t="s">
        <v>2125</v>
      </c>
      <c r="J1183" s="1">
        <v>0.02</v>
      </c>
      <c r="K1183" s="1">
        <v>0.2</v>
      </c>
      <c r="L1183" s="42">
        <v>6</v>
      </c>
      <c r="M1183" s="43">
        <v>46168</v>
      </c>
      <c r="N1183" s="1" t="e">
        <f>VLOOKUP(B1183,MICRO!E:L,8,0)</f>
        <v>#N/A</v>
      </c>
    </row>
    <row r="1184" spans="1:14" ht="20.25" x14ac:dyDescent="0.25">
      <c r="A1184" s="1">
        <v>87</v>
      </c>
      <c r="B1184" s="159"/>
      <c r="C1184" s="1" t="s">
        <v>2097</v>
      </c>
      <c r="D1184" s="1"/>
      <c r="E1184" s="1"/>
      <c r="F1184" s="1" t="s">
        <v>2373</v>
      </c>
      <c r="G1184" s="1">
        <v>10</v>
      </c>
      <c r="H1184" s="1" t="s">
        <v>19</v>
      </c>
      <c r="I1184" s="1" t="s">
        <v>2125</v>
      </c>
      <c r="J1184" s="1">
        <v>0.02</v>
      </c>
      <c r="K1184" s="1">
        <v>0.2</v>
      </c>
      <c r="L1184" s="42">
        <v>6</v>
      </c>
      <c r="M1184" s="43">
        <v>46169</v>
      </c>
      <c r="N1184" s="1" t="e">
        <f>VLOOKUP(B1184,MICRO!E:L,8,0)</f>
        <v>#N/A</v>
      </c>
    </row>
    <row r="1185" spans="1:14" ht="20.25" x14ac:dyDescent="0.25">
      <c r="A1185" s="1">
        <v>88</v>
      </c>
      <c r="B1185" s="159"/>
      <c r="C1185" s="1" t="s">
        <v>2097</v>
      </c>
      <c r="D1185" s="1"/>
      <c r="E1185" s="1"/>
      <c r="F1185" s="1" t="s">
        <v>2374</v>
      </c>
      <c r="G1185" s="1">
        <v>6</v>
      </c>
      <c r="H1185" s="1" t="s">
        <v>1253</v>
      </c>
      <c r="I1185" s="1" t="s">
        <v>2125</v>
      </c>
      <c r="J1185" s="1">
        <v>0.8</v>
      </c>
      <c r="K1185" s="1">
        <v>4.8000000000000007</v>
      </c>
      <c r="L1185" s="42">
        <v>6</v>
      </c>
      <c r="M1185" s="43">
        <v>46170</v>
      </c>
      <c r="N1185" s="1" t="e">
        <f>VLOOKUP(B1185,MICRO!E:L,8,0)</f>
        <v>#N/A</v>
      </c>
    </row>
    <row r="1186" spans="1:14" ht="20.25" x14ac:dyDescent="0.25">
      <c r="A1186" s="1">
        <v>89</v>
      </c>
      <c r="B1186" s="159"/>
      <c r="C1186" s="1" t="s">
        <v>2097</v>
      </c>
      <c r="D1186" s="1"/>
      <c r="E1186" s="1"/>
      <c r="F1186" s="1" t="s">
        <v>2375</v>
      </c>
      <c r="G1186" s="1">
        <v>2</v>
      </c>
      <c r="H1186" s="1" t="s">
        <v>19</v>
      </c>
      <c r="I1186" s="1" t="s">
        <v>2125</v>
      </c>
      <c r="J1186" s="1">
        <v>1</v>
      </c>
      <c r="K1186" s="1">
        <v>2</v>
      </c>
      <c r="L1186" s="42">
        <v>6</v>
      </c>
      <c r="M1186" s="43">
        <v>46171</v>
      </c>
      <c r="N1186" s="1" t="e">
        <f>VLOOKUP(B1186,MICRO!E:L,8,0)</f>
        <v>#N/A</v>
      </c>
    </row>
    <row r="1187" spans="1:14" ht="20.25" x14ac:dyDescent="0.25">
      <c r="A1187" s="1">
        <v>90</v>
      </c>
      <c r="B1187" s="159"/>
      <c r="C1187" s="1" t="s">
        <v>2097</v>
      </c>
      <c r="D1187" s="1"/>
      <c r="E1187" s="1"/>
      <c r="F1187" s="1" t="s">
        <v>2376</v>
      </c>
      <c r="G1187" s="1">
        <v>6</v>
      </c>
      <c r="H1187" s="1" t="s">
        <v>1253</v>
      </c>
      <c r="I1187" s="1" t="s">
        <v>2125</v>
      </c>
      <c r="J1187" s="1">
        <v>0.6</v>
      </c>
      <c r="K1187" s="1">
        <v>3.5999999999999996</v>
      </c>
      <c r="L1187" s="42">
        <v>6</v>
      </c>
      <c r="M1187" s="43">
        <v>46172</v>
      </c>
      <c r="N1187" s="1" t="e">
        <f>VLOOKUP(B1187,MICRO!E:L,8,0)</f>
        <v>#N/A</v>
      </c>
    </row>
    <row r="1188" spans="1:14" ht="20.25" x14ac:dyDescent="0.25">
      <c r="A1188" s="1">
        <v>91</v>
      </c>
      <c r="B1188" s="159"/>
      <c r="C1188" s="1" t="s">
        <v>2097</v>
      </c>
      <c r="D1188" s="1"/>
      <c r="E1188" s="1"/>
      <c r="F1188" s="1" t="s">
        <v>2377</v>
      </c>
      <c r="G1188" s="1">
        <v>3</v>
      </c>
      <c r="H1188" s="1" t="s">
        <v>19</v>
      </c>
      <c r="I1188" s="1" t="s">
        <v>2125</v>
      </c>
      <c r="J1188" s="1">
        <v>0.05</v>
      </c>
      <c r="K1188" s="1">
        <v>0.15000000000000002</v>
      </c>
      <c r="L1188" s="42">
        <v>6</v>
      </c>
      <c r="M1188" s="43">
        <v>46173</v>
      </c>
      <c r="N1188" s="1" t="e">
        <f>VLOOKUP(B1188,MICRO!E:L,8,0)</f>
        <v>#N/A</v>
      </c>
    </row>
    <row r="1189" spans="1:14" ht="20.25" x14ac:dyDescent="0.25">
      <c r="A1189" s="1">
        <v>92</v>
      </c>
      <c r="B1189" s="159"/>
      <c r="C1189" s="1" t="s">
        <v>2097</v>
      </c>
      <c r="D1189" s="1"/>
      <c r="E1189" s="1"/>
      <c r="F1189" s="1" t="s">
        <v>2378</v>
      </c>
      <c r="G1189" s="1">
        <v>2</v>
      </c>
      <c r="H1189" s="1" t="s">
        <v>19</v>
      </c>
      <c r="I1189" s="1" t="s">
        <v>2125</v>
      </c>
      <c r="J1189" s="1">
        <v>0.03</v>
      </c>
      <c r="K1189" s="1">
        <v>0.06</v>
      </c>
      <c r="L1189" s="42">
        <v>6</v>
      </c>
      <c r="M1189" s="43">
        <v>46174</v>
      </c>
      <c r="N1189" s="1" t="e">
        <f>VLOOKUP(B1189,MICRO!E:L,8,0)</f>
        <v>#N/A</v>
      </c>
    </row>
    <row r="1190" spans="1:14" ht="20.25" x14ac:dyDescent="0.25">
      <c r="A1190" s="1">
        <v>93</v>
      </c>
      <c r="B1190" s="159"/>
      <c r="C1190" s="1" t="s">
        <v>2097</v>
      </c>
      <c r="D1190" s="1"/>
      <c r="E1190" s="1"/>
      <c r="F1190" s="1" t="s">
        <v>2379</v>
      </c>
      <c r="G1190" s="1">
        <v>5</v>
      </c>
      <c r="H1190" s="1" t="s">
        <v>19</v>
      </c>
      <c r="I1190" s="1" t="s">
        <v>2125</v>
      </c>
      <c r="J1190" s="1">
        <v>0.02</v>
      </c>
      <c r="K1190" s="1">
        <v>0.1</v>
      </c>
      <c r="L1190" s="42">
        <v>6</v>
      </c>
      <c r="M1190" s="43">
        <v>46175</v>
      </c>
      <c r="N1190" s="1" t="e">
        <f>VLOOKUP(B1190,MICRO!E:L,8,0)</f>
        <v>#N/A</v>
      </c>
    </row>
    <row r="1191" spans="1:14" ht="20.25" x14ac:dyDescent="0.25">
      <c r="A1191" s="1">
        <v>94</v>
      </c>
      <c r="B1191" s="159"/>
      <c r="C1191" s="1" t="s">
        <v>2097</v>
      </c>
      <c r="D1191" s="1"/>
      <c r="E1191" s="1"/>
      <c r="F1191" s="1" t="s">
        <v>2380</v>
      </c>
      <c r="G1191" s="1">
        <v>2</v>
      </c>
      <c r="H1191" s="1" t="s">
        <v>19</v>
      </c>
      <c r="I1191" s="1" t="s">
        <v>2125</v>
      </c>
      <c r="J1191" s="1">
        <v>0.03</v>
      </c>
      <c r="K1191" s="1">
        <v>0.06</v>
      </c>
      <c r="L1191" s="42">
        <v>6</v>
      </c>
      <c r="M1191" s="43">
        <v>46176</v>
      </c>
      <c r="N1191" s="1" t="e">
        <f>VLOOKUP(B1191,MICRO!E:L,8,0)</f>
        <v>#N/A</v>
      </c>
    </row>
    <row r="1192" spans="1:14" ht="20.25" x14ac:dyDescent="0.25">
      <c r="A1192" s="1">
        <v>95</v>
      </c>
      <c r="B1192" s="159"/>
      <c r="C1192" s="1" t="s">
        <v>2097</v>
      </c>
      <c r="D1192" s="1"/>
      <c r="E1192" s="1"/>
      <c r="F1192" s="1" t="s">
        <v>2381</v>
      </c>
      <c r="G1192" s="1">
        <v>5</v>
      </c>
      <c r="H1192" s="1" t="s">
        <v>19</v>
      </c>
      <c r="I1192" s="1" t="s">
        <v>2125</v>
      </c>
      <c r="J1192" s="1">
        <v>0.02</v>
      </c>
      <c r="K1192" s="1">
        <v>0.1</v>
      </c>
      <c r="L1192" s="42">
        <v>6</v>
      </c>
      <c r="M1192" s="43">
        <v>46177</v>
      </c>
      <c r="N1192" s="1" t="e">
        <f>VLOOKUP(B1192,MICRO!E:L,8,0)</f>
        <v>#N/A</v>
      </c>
    </row>
    <row r="1193" spans="1:14" ht="20.25" x14ac:dyDescent="0.25">
      <c r="A1193" s="1">
        <v>96</v>
      </c>
      <c r="B1193" s="159"/>
      <c r="C1193" s="1" t="s">
        <v>2097</v>
      </c>
      <c r="D1193" s="1"/>
      <c r="E1193" s="1"/>
      <c r="F1193" s="1" t="s">
        <v>2382</v>
      </c>
      <c r="G1193" s="1">
        <v>2</v>
      </c>
      <c r="H1193" s="1" t="s">
        <v>19</v>
      </c>
      <c r="I1193" s="1" t="s">
        <v>2125</v>
      </c>
      <c r="J1193" s="1">
        <v>0.02</v>
      </c>
      <c r="K1193" s="1">
        <v>0.04</v>
      </c>
      <c r="L1193" s="42">
        <v>6</v>
      </c>
      <c r="M1193" s="43">
        <v>46178</v>
      </c>
      <c r="N1193" s="1" t="e">
        <f>VLOOKUP(B1193,MICRO!E:L,8,0)</f>
        <v>#N/A</v>
      </c>
    </row>
    <row r="1194" spans="1:14" ht="20.25" x14ac:dyDescent="0.25">
      <c r="A1194" s="1">
        <v>97</v>
      </c>
      <c r="B1194" s="159"/>
      <c r="C1194" s="1" t="s">
        <v>2097</v>
      </c>
      <c r="D1194" s="1"/>
      <c r="E1194" s="1"/>
      <c r="F1194" s="1" t="s">
        <v>2383</v>
      </c>
      <c r="G1194" s="1">
        <v>2</v>
      </c>
      <c r="H1194" s="1" t="s">
        <v>19</v>
      </c>
      <c r="I1194" s="1" t="s">
        <v>2125</v>
      </c>
      <c r="J1194" s="1">
        <v>0.03</v>
      </c>
      <c r="K1194" s="1">
        <v>0.06</v>
      </c>
      <c r="L1194" s="42">
        <v>6</v>
      </c>
      <c r="M1194" s="43">
        <v>46179</v>
      </c>
      <c r="N1194" s="1" t="e">
        <f>VLOOKUP(B1194,MICRO!E:L,8,0)</f>
        <v>#N/A</v>
      </c>
    </row>
    <row r="1195" spans="1:14" ht="20.25" x14ac:dyDescent="0.25">
      <c r="A1195" s="1">
        <v>98</v>
      </c>
      <c r="B1195" s="159"/>
      <c r="C1195" s="1" t="s">
        <v>2097</v>
      </c>
      <c r="D1195" s="1"/>
      <c r="E1195" s="1"/>
      <c r="F1195" s="1" t="s">
        <v>2384</v>
      </c>
      <c r="G1195" s="1">
        <v>2</v>
      </c>
      <c r="H1195" s="1" t="s">
        <v>19</v>
      </c>
      <c r="I1195" s="1" t="s">
        <v>2125</v>
      </c>
      <c r="J1195" s="1">
        <v>0.02</v>
      </c>
      <c r="K1195" s="1">
        <v>0.04</v>
      </c>
      <c r="L1195" s="42">
        <v>6</v>
      </c>
      <c r="M1195" s="43">
        <v>46180</v>
      </c>
      <c r="N1195" s="1" t="e">
        <f>VLOOKUP(B1195,MICRO!E:L,8,0)</f>
        <v>#N/A</v>
      </c>
    </row>
    <row r="1196" spans="1:14" ht="20.25" x14ac:dyDescent="0.25">
      <c r="A1196" s="1">
        <v>99</v>
      </c>
      <c r="B1196" s="159"/>
      <c r="C1196" s="1" t="s">
        <v>2097</v>
      </c>
      <c r="D1196" s="1"/>
      <c r="E1196" s="1"/>
      <c r="F1196" s="1" t="s">
        <v>2385</v>
      </c>
      <c r="G1196" s="1">
        <v>2</v>
      </c>
      <c r="H1196" s="1" t="s">
        <v>19</v>
      </c>
      <c r="I1196" s="1" t="s">
        <v>2125</v>
      </c>
      <c r="J1196" s="1">
        <v>0.03</v>
      </c>
      <c r="K1196" s="1">
        <v>0.06</v>
      </c>
      <c r="L1196" s="42">
        <v>6</v>
      </c>
      <c r="M1196" s="43">
        <v>46181</v>
      </c>
      <c r="N1196" s="1" t="e">
        <f>VLOOKUP(B1196,MICRO!E:L,8,0)</f>
        <v>#N/A</v>
      </c>
    </row>
    <row r="1197" spans="1:14" ht="20.25" x14ac:dyDescent="0.25">
      <c r="A1197" s="1">
        <v>100</v>
      </c>
      <c r="B1197" s="159"/>
      <c r="C1197" s="1" t="s">
        <v>2097</v>
      </c>
      <c r="D1197" s="1"/>
      <c r="E1197" s="1"/>
      <c r="F1197" s="1" t="s">
        <v>2386</v>
      </c>
      <c r="G1197" s="1">
        <v>4</v>
      </c>
      <c r="H1197" s="1" t="s">
        <v>19</v>
      </c>
      <c r="I1197" s="1" t="s">
        <v>2125</v>
      </c>
      <c r="J1197" s="1">
        <v>0.04</v>
      </c>
      <c r="K1197" s="1">
        <v>0.16</v>
      </c>
      <c r="L1197" s="42">
        <v>6</v>
      </c>
      <c r="M1197" s="43">
        <v>46182</v>
      </c>
      <c r="N1197" s="1" t="e">
        <f>VLOOKUP(B1197,MICRO!E:L,8,0)</f>
        <v>#N/A</v>
      </c>
    </row>
    <row r="1198" spans="1:14" ht="20.25" x14ac:dyDescent="0.25">
      <c r="A1198" s="1">
        <v>101</v>
      </c>
      <c r="B1198" s="159"/>
      <c r="C1198" s="1" t="s">
        <v>2097</v>
      </c>
      <c r="D1198" s="1"/>
      <c r="E1198" s="1"/>
      <c r="F1198" s="1" t="s">
        <v>2387</v>
      </c>
      <c r="G1198" s="1">
        <v>2</v>
      </c>
      <c r="H1198" s="1" t="s">
        <v>19</v>
      </c>
      <c r="I1198" s="1" t="s">
        <v>2125</v>
      </c>
      <c r="J1198" s="1">
        <v>0.04</v>
      </c>
      <c r="K1198" s="1">
        <v>0.08</v>
      </c>
      <c r="L1198" s="42">
        <v>6</v>
      </c>
      <c r="M1198" s="43">
        <v>46183</v>
      </c>
      <c r="N1198" s="1" t="e">
        <f>VLOOKUP(B1198,MICRO!E:L,8,0)</f>
        <v>#N/A</v>
      </c>
    </row>
    <row r="1199" spans="1:14" ht="20.25" x14ac:dyDescent="0.25">
      <c r="A1199" s="1">
        <v>102</v>
      </c>
      <c r="B1199" s="159"/>
      <c r="C1199" s="1" t="s">
        <v>2097</v>
      </c>
      <c r="D1199" s="1"/>
      <c r="E1199" s="1"/>
      <c r="F1199" s="1" t="s">
        <v>2388</v>
      </c>
      <c r="G1199" s="1">
        <v>3</v>
      </c>
      <c r="H1199" s="1" t="s">
        <v>19</v>
      </c>
      <c r="I1199" s="1" t="s">
        <v>2125</v>
      </c>
      <c r="J1199" s="1">
        <v>0.05</v>
      </c>
      <c r="K1199" s="1">
        <v>0.15000000000000002</v>
      </c>
      <c r="L1199" s="42">
        <v>6</v>
      </c>
      <c r="M1199" s="43">
        <v>46184</v>
      </c>
      <c r="N1199" s="1" t="e">
        <f>VLOOKUP(B1199,MICRO!E:L,8,0)</f>
        <v>#N/A</v>
      </c>
    </row>
    <row r="1200" spans="1:14" ht="20.25" x14ac:dyDescent="0.25">
      <c r="A1200" s="1">
        <v>103</v>
      </c>
      <c r="B1200" s="159"/>
      <c r="C1200" s="1" t="s">
        <v>2103</v>
      </c>
      <c r="D1200" s="1"/>
      <c r="E1200" s="1"/>
      <c r="F1200" s="1" t="s">
        <v>2389</v>
      </c>
      <c r="G1200" s="1">
        <v>3</v>
      </c>
      <c r="H1200" s="1" t="s">
        <v>19</v>
      </c>
      <c r="I1200" s="1" t="s">
        <v>2126</v>
      </c>
      <c r="J1200" s="1">
        <v>0.03</v>
      </c>
      <c r="K1200" s="1">
        <v>0.09</v>
      </c>
      <c r="L1200" s="42">
        <v>6</v>
      </c>
      <c r="M1200" s="43">
        <v>46185</v>
      </c>
      <c r="N1200" s="1" t="e">
        <f>VLOOKUP(B1200,MICRO!E:L,8,0)</f>
        <v>#N/A</v>
      </c>
    </row>
    <row r="1201" spans="1:14" ht="20.25" x14ac:dyDescent="0.25">
      <c r="A1201" s="1">
        <v>104</v>
      </c>
      <c r="B1201" s="159"/>
      <c r="C1201" s="1" t="s">
        <v>2103</v>
      </c>
      <c r="D1201" s="1"/>
      <c r="E1201" s="1"/>
      <c r="F1201" s="1" t="s">
        <v>2390</v>
      </c>
      <c r="G1201" s="1">
        <v>2</v>
      </c>
      <c r="H1201" s="1" t="s">
        <v>19</v>
      </c>
      <c r="I1201" s="1" t="s">
        <v>2126</v>
      </c>
      <c r="J1201" s="1">
        <v>0.02</v>
      </c>
      <c r="K1201" s="1">
        <v>0.04</v>
      </c>
      <c r="L1201" s="42">
        <v>6</v>
      </c>
      <c r="M1201" s="43">
        <v>46186</v>
      </c>
      <c r="N1201" s="1" t="e">
        <f>VLOOKUP(B1201,MICRO!E:L,8,0)</f>
        <v>#N/A</v>
      </c>
    </row>
    <row r="1202" spans="1:14" ht="20.25" x14ac:dyDescent="0.25">
      <c r="A1202" s="1">
        <v>105</v>
      </c>
      <c r="B1202" s="159"/>
      <c r="C1202" s="1" t="s">
        <v>2103</v>
      </c>
      <c r="D1202" s="1"/>
      <c r="E1202" s="1"/>
      <c r="F1202" s="1" t="s">
        <v>2391</v>
      </c>
      <c r="G1202" s="1">
        <v>4</v>
      </c>
      <c r="H1202" s="1" t="s">
        <v>19</v>
      </c>
      <c r="I1202" s="1" t="s">
        <v>2126</v>
      </c>
      <c r="J1202" s="1">
        <v>0.04</v>
      </c>
      <c r="K1202" s="1">
        <v>0.16</v>
      </c>
      <c r="L1202" s="42">
        <v>6</v>
      </c>
      <c r="M1202" s="43">
        <v>46187</v>
      </c>
      <c r="N1202" s="1" t="e">
        <f>VLOOKUP(B1202,MICRO!E:L,8,0)</f>
        <v>#N/A</v>
      </c>
    </row>
    <row r="1203" spans="1:14" ht="20.25" x14ac:dyDescent="0.25">
      <c r="A1203" s="1">
        <v>106</v>
      </c>
      <c r="B1203" s="159"/>
      <c r="C1203" s="1" t="s">
        <v>2103</v>
      </c>
      <c r="D1203" s="1"/>
      <c r="E1203" s="1"/>
      <c r="F1203" s="1" t="s">
        <v>2392</v>
      </c>
      <c r="G1203" s="1">
        <v>2</v>
      </c>
      <c r="H1203" s="1" t="s">
        <v>19</v>
      </c>
      <c r="I1203" s="1" t="s">
        <v>2126</v>
      </c>
      <c r="J1203" s="1">
        <v>0.05</v>
      </c>
      <c r="K1203" s="1">
        <v>0.1</v>
      </c>
      <c r="L1203" s="42">
        <v>6</v>
      </c>
      <c r="M1203" s="43">
        <v>46188</v>
      </c>
      <c r="N1203" s="1" t="e">
        <f>VLOOKUP(B1203,MICRO!E:L,8,0)</f>
        <v>#N/A</v>
      </c>
    </row>
    <row r="1204" spans="1:14" ht="20.25" x14ac:dyDescent="0.25">
      <c r="A1204" s="1">
        <v>107</v>
      </c>
      <c r="B1204" s="159"/>
      <c r="C1204" s="1" t="s">
        <v>2103</v>
      </c>
      <c r="D1204" s="1"/>
      <c r="E1204" s="1"/>
      <c r="F1204" s="1" t="s">
        <v>2393</v>
      </c>
      <c r="G1204" s="1">
        <v>3</v>
      </c>
      <c r="H1204" s="1" t="s">
        <v>19</v>
      </c>
      <c r="I1204" s="1" t="s">
        <v>2126</v>
      </c>
      <c r="J1204" s="1">
        <v>0.04</v>
      </c>
      <c r="K1204" s="1">
        <v>0.12</v>
      </c>
      <c r="L1204" s="42">
        <v>6</v>
      </c>
      <c r="M1204" s="43">
        <v>46189</v>
      </c>
      <c r="N1204" s="1" t="e">
        <f>VLOOKUP(B1204,MICRO!E:L,8,0)</f>
        <v>#N/A</v>
      </c>
    </row>
    <row r="1205" spans="1:14" ht="20.25" x14ac:dyDescent="0.25">
      <c r="A1205" s="1">
        <v>108</v>
      </c>
      <c r="B1205" s="159"/>
      <c r="C1205" s="1" t="s">
        <v>2103</v>
      </c>
      <c r="D1205" s="1"/>
      <c r="E1205" s="1"/>
      <c r="F1205" s="1" t="s">
        <v>2394</v>
      </c>
      <c r="G1205" s="1">
        <v>6</v>
      </c>
      <c r="H1205" s="1" t="s">
        <v>19</v>
      </c>
      <c r="I1205" s="1" t="s">
        <v>2126</v>
      </c>
      <c r="J1205" s="1">
        <v>0.03</v>
      </c>
      <c r="K1205" s="1">
        <v>0.18</v>
      </c>
      <c r="L1205" s="42">
        <v>6</v>
      </c>
      <c r="M1205" s="43">
        <v>46190</v>
      </c>
      <c r="N1205" s="1" t="e">
        <f>VLOOKUP(B1205,MICRO!E:L,8,0)</f>
        <v>#N/A</v>
      </c>
    </row>
    <row r="1206" spans="1:14" ht="20.25" x14ac:dyDescent="0.25">
      <c r="A1206" s="1">
        <v>109</v>
      </c>
      <c r="B1206" s="159"/>
      <c r="C1206" s="1" t="s">
        <v>2103</v>
      </c>
      <c r="D1206" s="1"/>
      <c r="E1206" s="1"/>
      <c r="F1206" s="1" t="s">
        <v>2395</v>
      </c>
      <c r="G1206" s="1">
        <v>2</v>
      </c>
      <c r="H1206" s="1" t="s">
        <v>19</v>
      </c>
      <c r="I1206" s="1" t="s">
        <v>2126</v>
      </c>
      <c r="J1206" s="1">
        <v>0.03</v>
      </c>
      <c r="K1206" s="1">
        <v>0.06</v>
      </c>
      <c r="L1206" s="42">
        <v>6</v>
      </c>
      <c r="M1206" s="43">
        <v>46191</v>
      </c>
      <c r="N1206" s="1" t="e">
        <f>VLOOKUP(B1206,MICRO!E:L,8,0)</f>
        <v>#N/A</v>
      </c>
    </row>
    <row r="1207" spans="1:14" ht="20.25" x14ac:dyDescent="0.25">
      <c r="A1207" s="1">
        <v>110</v>
      </c>
      <c r="B1207" s="159"/>
      <c r="C1207" s="1" t="s">
        <v>2103</v>
      </c>
      <c r="D1207" s="1"/>
      <c r="E1207" s="1"/>
      <c r="F1207" s="1" t="s">
        <v>2396</v>
      </c>
      <c r="G1207" s="1">
        <v>2</v>
      </c>
      <c r="H1207" s="1" t="s">
        <v>19</v>
      </c>
      <c r="I1207" s="1" t="s">
        <v>2126</v>
      </c>
      <c r="J1207" s="1">
        <v>0.02</v>
      </c>
      <c r="K1207" s="1">
        <v>0.04</v>
      </c>
      <c r="L1207" s="42">
        <v>6</v>
      </c>
      <c r="M1207" s="43">
        <v>46192</v>
      </c>
      <c r="N1207" s="1" t="e">
        <f>VLOOKUP(B1207,MICRO!E:L,8,0)</f>
        <v>#N/A</v>
      </c>
    </row>
    <row r="1208" spans="1:14" ht="20.25" x14ac:dyDescent="0.25">
      <c r="A1208" s="1">
        <v>111</v>
      </c>
      <c r="B1208" s="159"/>
      <c r="C1208" s="1" t="s">
        <v>2103</v>
      </c>
      <c r="D1208" s="1"/>
      <c r="E1208" s="1"/>
      <c r="F1208" s="1" t="s">
        <v>2397</v>
      </c>
      <c r="G1208" s="1">
        <v>2</v>
      </c>
      <c r="H1208" s="1" t="s">
        <v>19</v>
      </c>
      <c r="I1208" s="1" t="s">
        <v>2126</v>
      </c>
      <c r="J1208" s="1">
        <v>2.5000000000000001E-2</v>
      </c>
      <c r="K1208" s="1">
        <v>0.05</v>
      </c>
      <c r="L1208" s="42">
        <v>6</v>
      </c>
      <c r="M1208" s="43">
        <v>46193</v>
      </c>
      <c r="N1208" s="1" t="e">
        <f>VLOOKUP(B1208,MICRO!E:L,8,0)</f>
        <v>#N/A</v>
      </c>
    </row>
    <row r="1209" spans="1:14" ht="20.25" x14ac:dyDescent="0.25">
      <c r="A1209" s="1">
        <v>112</v>
      </c>
      <c r="B1209" s="159"/>
      <c r="C1209" s="1" t="s">
        <v>2103</v>
      </c>
      <c r="D1209" s="1"/>
      <c r="E1209" s="1"/>
      <c r="F1209" s="1" t="s">
        <v>2398</v>
      </c>
      <c r="G1209" s="1">
        <v>2</v>
      </c>
      <c r="H1209" s="1" t="s">
        <v>19</v>
      </c>
      <c r="I1209" s="1" t="s">
        <v>2126</v>
      </c>
      <c r="J1209" s="1">
        <v>0</v>
      </c>
      <c r="K1209" s="1">
        <v>0</v>
      </c>
      <c r="L1209" s="42">
        <v>6</v>
      </c>
      <c r="M1209" s="43">
        <v>46194</v>
      </c>
      <c r="N1209" s="1" t="e">
        <f>VLOOKUP(B1209,MICRO!E:L,8,0)</f>
        <v>#N/A</v>
      </c>
    </row>
    <row r="1210" spans="1:14" ht="20.25" x14ac:dyDescent="0.25">
      <c r="A1210" s="1">
        <v>113</v>
      </c>
      <c r="B1210" s="159"/>
      <c r="C1210" s="1" t="s">
        <v>2103</v>
      </c>
      <c r="D1210" s="1"/>
      <c r="E1210" s="1"/>
      <c r="F1210" s="1" t="s">
        <v>2399</v>
      </c>
      <c r="G1210" s="1">
        <v>6</v>
      </c>
      <c r="H1210" s="1" t="s">
        <v>19</v>
      </c>
      <c r="I1210" s="1" t="s">
        <v>2126</v>
      </c>
      <c r="J1210" s="1">
        <v>0.03</v>
      </c>
      <c r="K1210" s="1">
        <v>0.18</v>
      </c>
      <c r="L1210" s="42">
        <v>6</v>
      </c>
      <c r="M1210" s="43">
        <v>46195</v>
      </c>
      <c r="N1210" s="1" t="e">
        <f>VLOOKUP(B1210,MICRO!E:L,8,0)</f>
        <v>#N/A</v>
      </c>
    </row>
    <row r="1211" spans="1:14" ht="20.25" x14ac:dyDescent="0.25">
      <c r="A1211" s="1">
        <v>114</v>
      </c>
      <c r="B1211" s="159"/>
      <c r="C1211" s="1" t="s">
        <v>2103</v>
      </c>
      <c r="D1211" s="1"/>
      <c r="E1211" s="1"/>
      <c r="F1211" s="1" t="s">
        <v>2400</v>
      </c>
      <c r="G1211" s="1">
        <v>2</v>
      </c>
      <c r="H1211" s="1" t="s">
        <v>19</v>
      </c>
      <c r="I1211" s="1" t="s">
        <v>2126</v>
      </c>
      <c r="J1211" s="1">
        <v>0.02</v>
      </c>
      <c r="K1211" s="1">
        <v>0.04</v>
      </c>
      <c r="L1211" s="42">
        <v>6</v>
      </c>
      <c r="M1211" s="43">
        <v>46196</v>
      </c>
      <c r="N1211" s="1" t="e">
        <f>VLOOKUP(B1211,MICRO!E:L,8,0)</f>
        <v>#N/A</v>
      </c>
    </row>
    <row r="1212" spans="1:14" ht="20.25" x14ac:dyDescent="0.25">
      <c r="A1212" s="1">
        <v>115</v>
      </c>
      <c r="B1212" s="159"/>
      <c r="C1212" s="1" t="s">
        <v>2103</v>
      </c>
      <c r="D1212" s="1"/>
      <c r="E1212" s="1"/>
      <c r="F1212" s="1" t="s">
        <v>2401</v>
      </c>
      <c r="G1212" s="1">
        <v>2</v>
      </c>
      <c r="H1212" s="1" t="s">
        <v>19</v>
      </c>
      <c r="I1212" s="1" t="s">
        <v>2126</v>
      </c>
      <c r="J1212" s="1">
        <v>0.03</v>
      </c>
      <c r="K1212" s="1">
        <v>0.06</v>
      </c>
      <c r="L1212" s="42">
        <v>6</v>
      </c>
      <c r="M1212" s="43">
        <v>46197</v>
      </c>
      <c r="N1212" s="1" t="e">
        <f>VLOOKUP(B1212,MICRO!E:L,8,0)</f>
        <v>#N/A</v>
      </c>
    </row>
    <row r="1213" spans="1:14" ht="20.25" x14ac:dyDescent="0.25">
      <c r="A1213" s="1">
        <v>116</v>
      </c>
      <c r="B1213" s="159"/>
      <c r="C1213" s="1" t="s">
        <v>2103</v>
      </c>
      <c r="D1213" s="1"/>
      <c r="E1213" s="1"/>
      <c r="F1213" s="1" t="s">
        <v>2402</v>
      </c>
      <c r="G1213" s="1">
        <v>4</v>
      </c>
      <c r="H1213" s="1" t="s">
        <v>1253</v>
      </c>
      <c r="I1213" s="1" t="s">
        <v>2126</v>
      </c>
      <c r="J1213" s="1">
        <v>0.9</v>
      </c>
      <c r="K1213" s="1">
        <v>3.6</v>
      </c>
      <c r="L1213" s="42">
        <v>6</v>
      </c>
      <c r="M1213" s="43">
        <v>46198</v>
      </c>
      <c r="N1213" s="1" t="e">
        <f>VLOOKUP(B1213,MICRO!E:L,8,0)</f>
        <v>#N/A</v>
      </c>
    </row>
    <row r="1214" spans="1:14" ht="20.25" x14ac:dyDescent="0.25">
      <c r="A1214" s="1">
        <v>117</v>
      </c>
      <c r="B1214" s="159"/>
      <c r="C1214" s="1" t="s">
        <v>2103</v>
      </c>
      <c r="D1214" s="1"/>
      <c r="E1214" s="1"/>
      <c r="F1214" s="1" t="s">
        <v>2403</v>
      </c>
      <c r="G1214" s="1">
        <v>15</v>
      </c>
      <c r="H1214" s="1" t="s">
        <v>19</v>
      </c>
      <c r="I1214" s="1" t="s">
        <v>2126</v>
      </c>
      <c r="J1214" s="1">
        <v>0.02</v>
      </c>
      <c r="K1214" s="1">
        <v>0.3</v>
      </c>
      <c r="L1214" s="42">
        <v>6</v>
      </c>
      <c r="M1214" s="43">
        <v>46199</v>
      </c>
      <c r="N1214" s="1" t="e">
        <f>VLOOKUP(B1214,MICRO!E:L,8,0)</f>
        <v>#N/A</v>
      </c>
    </row>
    <row r="1215" spans="1:14" ht="20.25" x14ac:dyDescent="0.25">
      <c r="A1215" s="1">
        <v>118</v>
      </c>
      <c r="B1215" s="159"/>
      <c r="C1215" s="1" t="s">
        <v>2103</v>
      </c>
      <c r="D1215" s="1"/>
      <c r="E1215" s="1"/>
      <c r="F1215" s="1" t="s">
        <v>2404</v>
      </c>
      <c r="G1215" s="1">
        <v>10</v>
      </c>
      <c r="H1215" s="1" t="s">
        <v>19</v>
      </c>
      <c r="I1215" s="1" t="s">
        <v>2126</v>
      </c>
      <c r="J1215" s="1">
        <v>0.02</v>
      </c>
      <c r="K1215" s="1">
        <v>0.2</v>
      </c>
      <c r="L1215" s="42">
        <v>6</v>
      </c>
      <c r="M1215" s="43">
        <v>46200</v>
      </c>
      <c r="N1215" s="1" t="e">
        <f>VLOOKUP(B1215,MICRO!E:L,8,0)</f>
        <v>#N/A</v>
      </c>
    </row>
    <row r="1216" spans="1:14" ht="20.25" x14ac:dyDescent="0.25">
      <c r="A1216" s="1">
        <v>119</v>
      </c>
      <c r="B1216" s="159"/>
      <c r="C1216" s="1" t="s">
        <v>2103</v>
      </c>
      <c r="D1216" s="1"/>
      <c r="E1216" s="1"/>
      <c r="F1216" s="1" t="s">
        <v>2405</v>
      </c>
      <c r="G1216" s="1">
        <v>18</v>
      </c>
      <c r="H1216" s="1" t="s">
        <v>19</v>
      </c>
      <c r="I1216" s="1" t="s">
        <v>2126</v>
      </c>
      <c r="J1216" s="1">
        <v>0.02</v>
      </c>
      <c r="K1216" s="1">
        <v>0.36</v>
      </c>
      <c r="L1216" s="42">
        <v>6</v>
      </c>
      <c r="M1216" s="43">
        <v>46201</v>
      </c>
      <c r="N1216" s="1" t="e">
        <f>VLOOKUP(B1216,MICRO!E:L,8,0)</f>
        <v>#N/A</v>
      </c>
    </row>
    <row r="1217" spans="1:14" ht="20.25" x14ac:dyDescent="0.25">
      <c r="A1217" s="1">
        <v>120</v>
      </c>
      <c r="B1217" s="159"/>
      <c r="C1217" s="1" t="s">
        <v>2103</v>
      </c>
      <c r="D1217" s="1"/>
      <c r="E1217" s="1"/>
      <c r="F1217" s="1" t="s">
        <v>2352</v>
      </c>
      <c r="G1217" s="1">
        <v>35</v>
      </c>
      <c r="H1217" s="1" t="s">
        <v>1253</v>
      </c>
      <c r="I1217" s="1" t="s">
        <v>2126</v>
      </c>
      <c r="J1217" s="1">
        <v>0.6</v>
      </c>
      <c r="K1217" s="1">
        <v>21</v>
      </c>
      <c r="L1217" s="42">
        <v>6</v>
      </c>
      <c r="M1217" s="43">
        <v>46202</v>
      </c>
      <c r="N1217" s="1" t="e">
        <f>VLOOKUP(B1217,MICRO!E:L,8,0)</f>
        <v>#N/A</v>
      </c>
    </row>
    <row r="1218" spans="1:14" ht="20.25" x14ac:dyDescent="0.25">
      <c r="A1218" s="1">
        <v>121</v>
      </c>
      <c r="B1218" s="159"/>
      <c r="C1218" s="1" t="s">
        <v>2103</v>
      </c>
      <c r="D1218" s="1"/>
      <c r="E1218" s="1"/>
      <c r="F1218" s="1" t="s">
        <v>2406</v>
      </c>
      <c r="G1218" s="1">
        <v>36</v>
      </c>
      <c r="H1218" s="1" t="s">
        <v>1253</v>
      </c>
      <c r="I1218" s="1" t="s">
        <v>2126</v>
      </c>
      <c r="J1218" s="1">
        <v>0.8</v>
      </c>
      <c r="K1218" s="1">
        <v>28.8</v>
      </c>
      <c r="L1218" s="42">
        <v>6</v>
      </c>
      <c r="M1218" s="43">
        <v>46203</v>
      </c>
      <c r="N1218" s="1" t="e">
        <f>VLOOKUP(B1218,MICRO!E:L,8,0)</f>
        <v>#N/A</v>
      </c>
    </row>
    <row r="1219" spans="1:14" ht="20.25" x14ac:dyDescent="0.25">
      <c r="A1219" s="1">
        <v>122</v>
      </c>
      <c r="B1219" s="159"/>
      <c r="C1219" s="1" t="s">
        <v>2103</v>
      </c>
      <c r="D1219" s="1"/>
      <c r="E1219" s="1"/>
      <c r="F1219" s="1" t="s">
        <v>2407</v>
      </c>
      <c r="G1219" s="1">
        <v>2</v>
      </c>
      <c r="H1219" s="1" t="s">
        <v>19</v>
      </c>
      <c r="I1219" s="1" t="s">
        <v>2126</v>
      </c>
      <c r="J1219" s="1">
        <v>1</v>
      </c>
      <c r="K1219" s="1">
        <v>2</v>
      </c>
      <c r="L1219" s="42">
        <v>6</v>
      </c>
      <c r="M1219" s="43">
        <v>46204</v>
      </c>
      <c r="N1219" s="1" t="e">
        <f>VLOOKUP(B1219,MICRO!E:L,8,0)</f>
        <v>#N/A</v>
      </c>
    </row>
    <row r="1220" spans="1:14" ht="20.25" x14ac:dyDescent="0.25">
      <c r="A1220" s="1">
        <v>123</v>
      </c>
      <c r="B1220" s="159"/>
      <c r="C1220" s="1" t="s">
        <v>2103</v>
      </c>
      <c r="D1220" s="1"/>
      <c r="E1220" s="1"/>
      <c r="F1220" s="1" t="s">
        <v>2408</v>
      </c>
      <c r="G1220" s="1">
        <v>6</v>
      </c>
      <c r="H1220" s="1" t="s">
        <v>1253</v>
      </c>
      <c r="I1220" s="1" t="s">
        <v>2126</v>
      </c>
      <c r="J1220" s="1">
        <v>0.4</v>
      </c>
      <c r="K1220" s="1">
        <v>2.4000000000000004</v>
      </c>
      <c r="L1220" s="42">
        <v>6</v>
      </c>
      <c r="M1220" s="43">
        <v>46205</v>
      </c>
      <c r="N1220" s="1" t="e">
        <f>VLOOKUP(B1220,MICRO!E:L,8,0)</f>
        <v>#N/A</v>
      </c>
    </row>
    <row r="1221" spans="1:14" ht="20.25" x14ac:dyDescent="0.25">
      <c r="A1221" s="1">
        <v>124</v>
      </c>
      <c r="B1221" s="159"/>
      <c r="C1221" s="1" t="s">
        <v>2103</v>
      </c>
      <c r="D1221" s="1"/>
      <c r="E1221" s="1"/>
      <c r="F1221" s="1" t="s">
        <v>2409</v>
      </c>
      <c r="G1221" s="1">
        <v>6</v>
      </c>
      <c r="H1221" s="1" t="s">
        <v>1253</v>
      </c>
      <c r="I1221" s="1" t="s">
        <v>2126</v>
      </c>
      <c r="J1221" s="1">
        <v>0.2</v>
      </c>
      <c r="K1221" s="1">
        <v>1.2000000000000002</v>
      </c>
      <c r="L1221" s="42">
        <v>6</v>
      </c>
      <c r="M1221" s="43">
        <v>46206</v>
      </c>
      <c r="N1221" s="1" t="e">
        <f>VLOOKUP(B1221,MICRO!E:L,8,0)</f>
        <v>#N/A</v>
      </c>
    </row>
    <row r="1222" spans="1:14" ht="20.25" x14ac:dyDescent="0.25">
      <c r="A1222" s="1">
        <v>125</v>
      </c>
      <c r="B1222" s="159"/>
      <c r="C1222" s="1" t="s">
        <v>2103</v>
      </c>
      <c r="D1222" s="1"/>
      <c r="E1222" s="1"/>
      <c r="F1222" s="1" t="s">
        <v>2410</v>
      </c>
      <c r="G1222" s="1">
        <v>5</v>
      </c>
      <c r="H1222" s="1" t="s">
        <v>1253</v>
      </c>
      <c r="I1222" s="1" t="s">
        <v>2126</v>
      </c>
      <c r="J1222" s="1">
        <v>0.5</v>
      </c>
      <c r="K1222" s="1">
        <v>2.5</v>
      </c>
      <c r="L1222" s="42">
        <v>6</v>
      </c>
      <c r="M1222" s="43">
        <v>46207</v>
      </c>
      <c r="N1222" s="1" t="e">
        <f>VLOOKUP(B1222,MICRO!E:L,8,0)</f>
        <v>#N/A</v>
      </c>
    </row>
    <row r="1223" spans="1:14" ht="20.25" x14ac:dyDescent="0.25">
      <c r="A1223" s="1">
        <v>126</v>
      </c>
      <c r="B1223" s="159"/>
      <c r="C1223" s="1" t="s">
        <v>2108</v>
      </c>
      <c r="D1223" s="1"/>
      <c r="E1223" s="1"/>
      <c r="F1223" s="1" t="s">
        <v>2411</v>
      </c>
      <c r="G1223" s="1">
        <v>50</v>
      </c>
      <c r="H1223" s="1" t="s">
        <v>1253</v>
      </c>
      <c r="I1223" s="1" t="s">
        <v>2412</v>
      </c>
      <c r="J1223" s="1">
        <v>0.6</v>
      </c>
      <c r="K1223" s="1">
        <v>30</v>
      </c>
      <c r="L1223" s="42">
        <v>6</v>
      </c>
      <c r="M1223" s="43">
        <v>46208</v>
      </c>
      <c r="N1223" s="1" t="e">
        <f>VLOOKUP(B1223,MICRO!E:L,8,0)</f>
        <v>#N/A</v>
      </c>
    </row>
    <row r="1224" spans="1:14" ht="20.25" x14ac:dyDescent="0.25">
      <c r="A1224" s="1">
        <v>127</v>
      </c>
      <c r="B1224" s="159"/>
      <c r="C1224" s="1" t="s">
        <v>2108</v>
      </c>
      <c r="D1224" s="1"/>
      <c r="E1224" s="1"/>
      <c r="F1224" s="1" t="s">
        <v>2413</v>
      </c>
      <c r="G1224" s="1">
        <v>4</v>
      </c>
      <c r="H1224" s="1" t="s">
        <v>1253</v>
      </c>
      <c r="I1224" s="1" t="s">
        <v>2412</v>
      </c>
      <c r="J1224" s="1">
        <v>0.5</v>
      </c>
      <c r="K1224" s="1">
        <v>2</v>
      </c>
      <c r="L1224" s="42">
        <v>6</v>
      </c>
      <c r="M1224" s="43">
        <v>46209</v>
      </c>
      <c r="N1224" s="1" t="e">
        <f>VLOOKUP(B1224,MICRO!E:L,8,0)</f>
        <v>#N/A</v>
      </c>
    </row>
    <row r="1225" spans="1:14" ht="20.25" x14ac:dyDescent="0.25">
      <c r="A1225" s="1">
        <v>128</v>
      </c>
      <c r="B1225" s="159"/>
      <c r="C1225" s="1" t="s">
        <v>2108</v>
      </c>
      <c r="D1225" s="1"/>
      <c r="E1225" s="1"/>
      <c r="F1225" s="1" t="s">
        <v>2414</v>
      </c>
      <c r="G1225" s="1">
        <v>52</v>
      </c>
      <c r="H1225" s="1" t="s">
        <v>1253</v>
      </c>
      <c r="I1225" s="1" t="s">
        <v>2412</v>
      </c>
      <c r="J1225" s="1">
        <v>0.7</v>
      </c>
      <c r="K1225" s="1">
        <v>36.4</v>
      </c>
      <c r="L1225" s="42">
        <v>6</v>
      </c>
      <c r="M1225" s="43">
        <v>46210</v>
      </c>
      <c r="N1225" s="1" t="e">
        <f>VLOOKUP(B1225,MICRO!E:L,8,0)</f>
        <v>#N/A</v>
      </c>
    </row>
    <row r="1226" spans="1:14" ht="20.25" x14ac:dyDescent="0.25">
      <c r="A1226" s="1">
        <v>129</v>
      </c>
      <c r="B1226" s="159"/>
      <c r="C1226" s="1" t="s">
        <v>2108</v>
      </c>
      <c r="D1226" s="1"/>
      <c r="E1226" s="1"/>
      <c r="F1226" s="1" t="s">
        <v>2415</v>
      </c>
      <c r="G1226" s="1">
        <v>5</v>
      </c>
      <c r="H1226" s="1" t="s">
        <v>19</v>
      </c>
      <c r="I1226" s="1" t="s">
        <v>2412</v>
      </c>
      <c r="J1226" s="1">
        <v>0.02</v>
      </c>
      <c r="K1226" s="1">
        <v>0.1</v>
      </c>
      <c r="L1226" s="42">
        <v>6</v>
      </c>
      <c r="M1226" s="43">
        <v>46211</v>
      </c>
      <c r="N1226" s="1" t="e">
        <f>VLOOKUP(B1226,MICRO!E:L,8,0)</f>
        <v>#N/A</v>
      </c>
    </row>
    <row r="1227" spans="1:14" ht="20.25" x14ac:dyDescent="0.25">
      <c r="A1227" s="1">
        <v>130</v>
      </c>
      <c r="B1227" s="159"/>
      <c r="C1227" s="1" t="s">
        <v>2108</v>
      </c>
      <c r="D1227" s="1"/>
      <c r="E1227" s="1"/>
      <c r="F1227" s="1" t="s">
        <v>2416</v>
      </c>
      <c r="G1227" s="1">
        <v>20</v>
      </c>
      <c r="H1227" s="1" t="s">
        <v>19</v>
      </c>
      <c r="I1227" s="1" t="s">
        <v>2412</v>
      </c>
      <c r="J1227" s="1">
        <v>0.02</v>
      </c>
      <c r="K1227" s="1">
        <v>0.4</v>
      </c>
      <c r="L1227" s="42">
        <v>6</v>
      </c>
      <c r="M1227" s="43">
        <v>46212</v>
      </c>
      <c r="N1227" s="1" t="e">
        <f>VLOOKUP(B1227,MICRO!E:L,8,0)</f>
        <v>#N/A</v>
      </c>
    </row>
    <row r="1228" spans="1:14" ht="20.25" x14ac:dyDescent="0.25">
      <c r="A1228" s="1">
        <v>131</v>
      </c>
      <c r="B1228" s="159"/>
      <c r="C1228" s="1" t="s">
        <v>2108</v>
      </c>
      <c r="D1228" s="1"/>
      <c r="E1228" s="1"/>
      <c r="F1228" s="1" t="s">
        <v>2417</v>
      </c>
      <c r="G1228" s="1">
        <v>6</v>
      </c>
      <c r="H1228" s="1" t="s">
        <v>19</v>
      </c>
      <c r="I1228" s="1" t="s">
        <v>2412</v>
      </c>
      <c r="J1228" s="1">
        <v>0.02</v>
      </c>
      <c r="K1228" s="1">
        <v>0.12</v>
      </c>
      <c r="L1228" s="42">
        <v>6</v>
      </c>
      <c r="M1228" s="43">
        <v>46213</v>
      </c>
      <c r="N1228" s="1" t="e">
        <f>VLOOKUP(B1228,MICRO!E:L,8,0)</f>
        <v>#N/A</v>
      </c>
    </row>
    <row r="1229" spans="1:14" ht="20.25" x14ac:dyDescent="0.25">
      <c r="A1229" s="1">
        <v>132</v>
      </c>
      <c r="B1229" s="159"/>
      <c r="C1229" s="1" t="s">
        <v>2108</v>
      </c>
      <c r="D1229" s="1"/>
      <c r="E1229" s="1"/>
      <c r="F1229" s="1" t="s">
        <v>2418</v>
      </c>
      <c r="G1229" s="1">
        <v>15</v>
      </c>
      <c r="H1229" s="1" t="s">
        <v>19</v>
      </c>
      <c r="I1229" s="1" t="s">
        <v>2412</v>
      </c>
      <c r="J1229" s="1">
        <v>0.02</v>
      </c>
      <c r="K1229" s="1">
        <v>0.3</v>
      </c>
      <c r="L1229" s="42">
        <v>6</v>
      </c>
      <c r="M1229" s="43">
        <v>46214</v>
      </c>
      <c r="N1229" s="1" t="e">
        <f>VLOOKUP(B1229,MICRO!E:L,8,0)</f>
        <v>#N/A</v>
      </c>
    </row>
    <row r="1230" spans="1:14" ht="20.25" x14ac:dyDescent="0.25">
      <c r="A1230" s="1">
        <v>133</v>
      </c>
      <c r="B1230" s="159"/>
      <c r="C1230" s="1" t="s">
        <v>2108</v>
      </c>
      <c r="D1230" s="1"/>
      <c r="E1230" s="1"/>
      <c r="F1230" s="1" t="s">
        <v>2419</v>
      </c>
      <c r="G1230" s="1">
        <v>6</v>
      </c>
      <c r="H1230" s="1" t="s">
        <v>1253</v>
      </c>
      <c r="I1230" s="1" t="s">
        <v>2412</v>
      </c>
      <c r="J1230" s="1">
        <v>0.8</v>
      </c>
      <c r="K1230" s="1">
        <v>4.8000000000000007</v>
      </c>
      <c r="L1230" s="42">
        <v>6</v>
      </c>
      <c r="M1230" s="43">
        <v>46215</v>
      </c>
      <c r="N1230" s="1" t="e">
        <f>VLOOKUP(B1230,MICRO!E:L,8,0)</f>
        <v>#N/A</v>
      </c>
    </row>
    <row r="1231" spans="1:14" ht="20.25" x14ac:dyDescent="0.25">
      <c r="A1231" s="1">
        <v>134</v>
      </c>
      <c r="B1231" s="159"/>
      <c r="C1231" s="1" t="s">
        <v>2108</v>
      </c>
      <c r="D1231" s="1"/>
      <c r="E1231" s="1"/>
      <c r="F1231" s="1" t="s">
        <v>2420</v>
      </c>
      <c r="G1231" s="1">
        <v>2</v>
      </c>
      <c r="H1231" s="1" t="s">
        <v>19</v>
      </c>
      <c r="I1231" s="1" t="s">
        <v>2412</v>
      </c>
      <c r="J1231" s="1">
        <v>1</v>
      </c>
      <c r="K1231" s="1">
        <v>2</v>
      </c>
      <c r="L1231" s="42">
        <v>6</v>
      </c>
      <c r="M1231" s="43">
        <v>46216</v>
      </c>
      <c r="N1231" s="1" t="e">
        <f>VLOOKUP(B1231,MICRO!E:L,8,0)</f>
        <v>#N/A</v>
      </c>
    </row>
    <row r="1232" spans="1:14" ht="20.25" x14ac:dyDescent="0.25">
      <c r="A1232" s="1">
        <v>135</v>
      </c>
      <c r="B1232" s="159"/>
      <c r="C1232" s="1" t="s">
        <v>2108</v>
      </c>
      <c r="D1232" s="1"/>
      <c r="E1232" s="1"/>
      <c r="F1232" s="1" t="s">
        <v>2421</v>
      </c>
      <c r="G1232" s="1">
        <v>10</v>
      </c>
      <c r="H1232" s="1" t="s">
        <v>1253</v>
      </c>
      <c r="I1232" s="1" t="s">
        <v>2412</v>
      </c>
      <c r="J1232" s="1">
        <v>0.5</v>
      </c>
      <c r="K1232" s="1">
        <v>5</v>
      </c>
      <c r="L1232" s="42">
        <v>6</v>
      </c>
      <c r="M1232" s="43">
        <v>46217</v>
      </c>
      <c r="N1232" s="1" t="e">
        <f>VLOOKUP(B1232,MICRO!E:L,8,0)</f>
        <v>#N/A</v>
      </c>
    </row>
    <row r="1233" spans="1:14" ht="20.25" x14ac:dyDescent="0.25">
      <c r="A1233" s="1">
        <v>136</v>
      </c>
      <c r="B1233" s="159"/>
      <c r="C1233" s="1" t="s">
        <v>2108</v>
      </c>
      <c r="D1233" s="1"/>
      <c r="E1233" s="1"/>
      <c r="F1233" s="1" t="s">
        <v>2422</v>
      </c>
      <c r="G1233" s="1">
        <v>2</v>
      </c>
      <c r="H1233" s="1" t="s">
        <v>19</v>
      </c>
      <c r="I1233" s="1" t="s">
        <v>2412</v>
      </c>
      <c r="J1233" s="1">
        <v>0.02</v>
      </c>
      <c r="K1233" s="1">
        <v>0.04</v>
      </c>
      <c r="L1233" s="42">
        <v>6</v>
      </c>
      <c r="M1233" s="43">
        <v>46218</v>
      </c>
      <c r="N1233" s="1" t="e">
        <f>VLOOKUP(B1233,MICRO!E:L,8,0)</f>
        <v>#N/A</v>
      </c>
    </row>
    <row r="1234" spans="1:14" ht="20.25" x14ac:dyDescent="0.25">
      <c r="A1234" s="1">
        <v>137</v>
      </c>
      <c r="B1234" s="159"/>
      <c r="C1234" s="1" t="s">
        <v>2108</v>
      </c>
      <c r="D1234" s="1"/>
      <c r="E1234" s="1"/>
      <c r="F1234" s="1" t="s">
        <v>2423</v>
      </c>
      <c r="G1234" s="1">
        <v>3</v>
      </c>
      <c r="H1234" s="1" t="s">
        <v>19</v>
      </c>
      <c r="I1234" s="1" t="s">
        <v>2412</v>
      </c>
      <c r="J1234" s="1">
        <v>0.05</v>
      </c>
      <c r="K1234" s="1">
        <v>0.15000000000000002</v>
      </c>
      <c r="L1234" s="42">
        <v>6</v>
      </c>
      <c r="M1234" s="43">
        <v>46219</v>
      </c>
      <c r="N1234" s="1" t="e">
        <f>VLOOKUP(B1234,MICRO!E:L,8,0)</f>
        <v>#N/A</v>
      </c>
    </row>
    <row r="1235" spans="1:14" ht="20.25" x14ac:dyDescent="0.25">
      <c r="A1235" s="1">
        <v>138</v>
      </c>
      <c r="B1235" s="159"/>
      <c r="C1235" s="1" t="s">
        <v>2108</v>
      </c>
      <c r="D1235" s="1"/>
      <c r="E1235" s="1"/>
      <c r="F1235" s="1" t="s">
        <v>2424</v>
      </c>
      <c r="G1235" s="1">
        <v>2</v>
      </c>
      <c r="H1235" s="1" t="s">
        <v>19</v>
      </c>
      <c r="I1235" s="1" t="s">
        <v>2412</v>
      </c>
      <c r="J1235" s="1">
        <v>0.03</v>
      </c>
      <c r="K1235" s="1">
        <v>0.06</v>
      </c>
      <c r="L1235" s="42">
        <v>6</v>
      </c>
      <c r="M1235" s="43">
        <v>46220</v>
      </c>
      <c r="N1235" s="1" t="e">
        <f>VLOOKUP(B1235,MICRO!E:L,8,0)</f>
        <v>#N/A</v>
      </c>
    </row>
    <row r="1236" spans="1:14" ht="20.25" x14ac:dyDescent="0.25">
      <c r="A1236" s="1">
        <v>139</v>
      </c>
      <c r="B1236" s="159"/>
      <c r="C1236" s="1" t="s">
        <v>2108</v>
      </c>
      <c r="D1236" s="1"/>
      <c r="E1236" s="1"/>
      <c r="F1236" s="1" t="s">
        <v>2425</v>
      </c>
      <c r="G1236" s="1">
        <v>5</v>
      </c>
      <c r="H1236" s="1" t="s">
        <v>19</v>
      </c>
      <c r="I1236" s="1" t="s">
        <v>2412</v>
      </c>
      <c r="J1236" s="1">
        <v>0.02</v>
      </c>
      <c r="K1236" s="1">
        <v>0.1</v>
      </c>
      <c r="L1236" s="42">
        <v>6</v>
      </c>
      <c r="M1236" s="43">
        <v>46221</v>
      </c>
      <c r="N1236" s="1" t="e">
        <f>VLOOKUP(B1236,MICRO!E:L,8,0)</f>
        <v>#N/A</v>
      </c>
    </row>
    <row r="1237" spans="1:14" ht="20.25" x14ac:dyDescent="0.25">
      <c r="A1237" s="1">
        <v>140</v>
      </c>
      <c r="B1237" s="159"/>
      <c r="C1237" s="1" t="s">
        <v>2108</v>
      </c>
      <c r="D1237" s="1"/>
      <c r="E1237" s="1"/>
      <c r="F1237" s="1" t="s">
        <v>2426</v>
      </c>
      <c r="G1237" s="1">
        <v>2</v>
      </c>
      <c r="H1237" s="1" t="s">
        <v>19</v>
      </c>
      <c r="I1237" s="1" t="s">
        <v>2412</v>
      </c>
      <c r="J1237" s="1">
        <v>0.03</v>
      </c>
      <c r="K1237" s="1">
        <v>0.06</v>
      </c>
      <c r="L1237" s="42">
        <v>6</v>
      </c>
      <c r="M1237" s="43">
        <v>46222</v>
      </c>
      <c r="N1237" s="1" t="e">
        <f>VLOOKUP(B1237,MICRO!E:L,8,0)</f>
        <v>#N/A</v>
      </c>
    </row>
    <row r="1238" spans="1:14" ht="20.25" x14ac:dyDescent="0.25">
      <c r="A1238" s="1">
        <v>141</v>
      </c>
      <c r="B1238" s="159"/>
      <c r="C1238" s="1" t="s">
        <v>2108</v>
      </c>
      <c r="D1238" s="1"/>
      <c r="E1238" s="1"/>
      <c r="F1238" s="1" t="s">
        <v>2427</v>
      </c>
      <c r="G1238" s="1">
        <v>5</v>
      </c>
      <c r="H1238" s="1" t="s">
        <v>19</v>
      </c>
      <c r="I1238" s="1" t="s">
        <v>2412</v>
      </c>
      <c r="J1238" s="1">
        <v>0.02</v>
      </c>
      <c r="K1238" s="1">
        <v>0.1</v>
      </c>
      <c r="L1238" s="42">
        <v>6</v>
      </c>
      <c r="M1238" s="43">
        <v>46223</v>
      </c>
      <c r="N1238" s="1" t="e">
        <f>VLOOKUP(B1238,MICRO!E:L,8,0)</f>
        <v>#N/A</v>
      </c>
    </row>
    <row r="1239" spans="1:14" ht="20.25" x14ac:dyDescent="0.25">
      <c r="A1239" s="1">
        <v>142</v>
      </c>
      <c r="B1239" s="159"/>
      <c r="C1239" s="1" t="s">
        <v>2108</v>
      </c>
      <c r="D1239" s="1"/>
      <c r="E1239" s="1"/>
      <c r="F1239" s="1" t="s">
        <v>2428</v>
      </c>
      <c r="G1239" s="1">
        <v>2</v>
      </c>
      <c r="H1239" s="1" t="s">
        <v>19</v>
      </c>
      <c r="I1239" s="1" t="s">
        <v>2412</v>
      </c>
      <c r="J1239" s="1">
        <v>0.02</v>
      </c>
      <c r="K1239" s="1">
        <v>0.04</v>
      </c>
      <c r="L1239" s="42">
        <v>6</v>
      </c>
      <c r="M1239" s="43">
        <v>46224</v>
      </c>
      <c r="N1239" s="1" t="e">
        <f>VLOOKUP(B1239,MICRO!E:L,8,0)</f>
        <v>#N/A</v>
      </c>
    </row>
    <row r="1240" spans="1:14" ht="20.25" x14ac:dyDescent="0.25">
      <c r="A1240" s="1">
        <v>143</v>
      </c>
      <c r="B1240" s="159"/>
      <c r="C1240" s="1" t="s">
        <v>2108</v>
      </c>
      <c r="D1240" s="1"/>
      <c r="E1240" s="1"/>
      <c r="F1240" s="1" t="s">
        <v>2429</v>
      </c>
      <c r="G1240" s="1">
        <v>2</v>
      </c>
      <c r="H1240" s="1" t="s">
        <v>19</v>
      </c>
      <c r="I1240" s="1" t="s">
        <v>2412</v>
      </c>
      <c r="J1240" s="1">
        <v>0.03</v>
      </c>
      <c r="K1240" s="1">
        <v>0.06</v>
      </c>
      <c r="L1240" s="42">
        <v>6</v>
      </c>
      <c r="M1240" s="43">
        <v>46225</v>
      </c>
      <c r="N1240" s="1" t="e">
        <f>VLOOKUP(B1240,MICRO!E:L,8,0)</f>
        <v>#N/A</v>
      </c>
    </row>
    <row r="1241" spans="1:14" ht="20.25" x14ac:dyDescent="0.25">
      <c r="A1241" s="1">
        <v>144</v>
      </c>
      <c r="B1241" s="159"/>
      <c r="C1241" s="1" t="s">
        <v>2108</v>
      </c>
      <c r="D1241" s="1"/>
      <c r="E1241" s="1"/>
      <c r="F1241" s="1" t="s">
        <v>2430</v>
      </c>
      <c r="G1241" s="1">
        <v>2</v>
      </c>
      <c r="H1241" s="1" t="s">
        <v>19</v>
      </c>
      <c r="I1241" s="1" t="s">
        <v>2412</v>
      </c>
      <c r="J1241" s="1">
        <v>0.02</v>
      </c>
      <c r="K1241" s="1">
        <v>0.04</v>
      </c>
      <c r="L1241" s="42">
        <v>6</v>
      </c>
      <c r="M1241" s="43">
        <v>46226</v>
      </c>
      <c r="N1241" s="1" t="e">
        <f>VLOOKUP(B1241,MICRO!E:L,8,0)</f>
        <v>#N/A</v>
      </c>
    </row>
    <row r="1242" spans="1:14" ht="20.25" x14ac:dyDescent="0.25">
      <c r="A1242" s="1">
        <v>145</v>
      </c>
      <c r="B1242" s="159"/>
      <c r="C1242" s="1" t="s">
        <v>2108</v>
      </c>
      <c r="D1242" s="1"/>
      <c r="E1242" s="1"/>
      <c r="F1242" s="1" t="s">
        <v>2431</v>
      </c>
      <c r="G1242" s="1">
        <v>2</v>
      </c>
      <c r="H1242" s="1" t="s">
        <v>19</v>
      </c>
      <c r="I1242" s="1" t="s">
        <v>2412</v>
      </c>
      <c r="J1242" s="1">
        <v>0.03</v>
      </c>
      <c r="K1242" s="1">
        <v>0.06</v>
      </c>
      <c r="L1242" s="42">
        <v>6</v>
      </c>
      <c r="M1242" s="43">
        <v>46227</v>
      </c>
      <c r="N1242" s="1" t="e">
        <f>VLOOKUP(B1242,MICRO!E:L,8,0)</f>
        <v>#N/A</v>
      </c>
    </row>
    <row r="1243" spans="1:14" ht="20.25" x14ac:dyDescent="0.25">
      <c r="A1243" s="1">
        <v>146</v>
      </c>
      <c r="B1243" s="159"/>
      <c r="C1243" s="1" t="s">
        <v>2108</v>
      </c>
      <c r="D1243" s="1"/>
      <c r="E1243" s="1"/>
      <c r="F1243" s="1" t="s">
        <v>2432</v>
      </c>
      <c r="G1243" s="1">
        <v>4</v>
      </c>
      <c r="H1243" s="1" t="s">
        <v>19</v>
      </c>
      <c r="I1243" s="1" t="s">
        <v>2412</v>
      </c>
      <c r="J1243" s="1">
        <v>0.04</v>
      </c>
      <c r="K1243" s="1">
        <v>0.16</v>
      </c>
      <c r="L1243" s="42">
        <v>6</v>
      </c>
      <c r="M1243" s="43">
        <v>46228</v>
      </c>
      <c r="N1243" s="1" t="e">
        <f>VLOOKUP(B1243,MICRO!E:L,8,0)</f>
        <v>#N/A</v>
      </c>
    </row>
    <row r="1244" spans="1:14" ht="20.25" x14ac:dyDescent="0.25">
      <c r="A1244" s="1">
        <v>147</v>
      </c>
      <c r="B1244" s="159"/>
      <c r="C1244" s="1" t="s">
        <v>2108</v>
      </c>
      <c r="D1244" s="1"/>
      <c r="E1244" s="1"/>
      <c r="F1244" s="1" t="s">
        <v>2433</v>
      </c>
      <c r="G1244" s="1">
        <v>2</v>
      </c>
      <c r="H1244" s="1" t="s">
        <v>19</v>
      </c>
      <c r="I1244" s="1" t="s">
        <v>2412</v>
      </c>
      <c r="J1244" s="1">
        <v>0.04</v>
      </c>
      <c r="K1244" s="1">
        <v>0.08</v>
      </c>
      <c r="L1244" s="42">
        <v>6</v>
      </c>
      <c r="M1244" s="43">
        <v>46229</v>
      </c>
      <c r="N1244" s="1" t="e">
        <f>VLOOKUP(B1244,MICRO!E:L,8,0)</f>
        <v>#N/A</v>
      </c>
    </row>
    <row r="1245" spans="1:14" ht="20.25" x14ac:dyDescent="0.25">
      <c r="A1245" s="1">
        <v>148</v>
      </c>
      <c r="B1245" s="159"/>
      <c r="C1245" s="1" t="s">
        <v>2108</v>
      </c>
      <c r="D1245" s="1"/>
      <c r="E1245" s="1"/>
      <c r="F1245" s="1" t="s">
        <v>2434</v>
      </c>
      <c r="G1245" s="1">
        <v>3</v>
      </c>
      <c r="H1245" s="1" t="s">
        <v>19</v>
      </c>
      <c r="I1245" s="1" t="s">
        <v>2412</v>
      </c>
      <c r="J1245" s="1">
        <v>0.05</v>
      </c>
      <c r="K1245" s="1">
        <v>0.15000000000000002</v>
      </c>
      <c r="L1245" s="42">
        <v>6</v>
      </c>
      <c r="M1245" s="43">
        <v>46230</v>
      </c>
      <c r="N1245" s="1" t="e">
        <f>VLOOKUP(B1245,MICRO!E:L,8,0)</f>
        <v>#N/A</v>
      </c>
    </row>
    <row r="1246" spans="1:14" ht="20.25" x14ac:dyDescent="0.25">
      <c r="A1246" s="1">
        <v>158</v>
      </c>
      <c r="B1246" s="159"/>
      <c r="C1246" s="1" t="s">
        <v>854</v>
      </c>
      <c r="D1246" s="1"/>
      <c r="E1246" s="1" t="s">
        <v>746</v>
      </c>
      <c r="F1246" s="1" t="s">
        <v>827</v>
      </c>
      <c r="G1246" s="1">
        <v>1</v>
      </c>
      <c r="H1246" s="1" t="s">
        <v>19</v>
      </c>
      <c r="I1246" s="1" t="s">
        <v>425</v>
      </c>
      <c r="J1246" s="1">
        <v>9.5</v>
      </c>
      <c r="K1246" s="1">
        <v>9.5</v>
      </c>
      <c r="L1246" s="42">
        <v>6</v>
      </c>
      <c r="M1246" s="43">
        <v>46240</v>
      </c>
      <c r="N1246" s="1" t="e">
        <f>VLOOKUP(B1246,MICRO!E:L,8,0)</f>
        <v>#N/A</v>
      </c>
    </row>
    <row r="1247" spans="1:14" ht="20.25" x14ac:dyDescent="0.25">
      <c r="A1247" s="1">
        <v>159</v>
      </c>
      <c r="B1247" s="159"/>
      <c r="C1247" s="1" t="s">
        <v>854</v>
      </c>
      <c r="D1247" s="1"/>
      <c r="E1247" s="1" t="s">
        <v>746</v>
      </c>
      <c r="F1247" s="1" t="s">
        <v>827</v>
      </c>
      <c r="G1247" s="1">
        <v>1</v>
      </c>
      <c r="H1247" s="1" t="s">
        <v>19</v>
      </c>
      <c r="I1247" s="1" t="s">
        <v>427</v>
      </c>
      <c r="J1247" s="1">
        <v>9.5</v>
      </c>
      <c r="K1247" s="1">
        <v>9.5</v>
      </c>
      <c r="L1247" s="42">
        <v>6</v>
      </c>
      <c r="M1247" s="43">
        <v>46241</v>
      </c>
      <c r="N1247" s="1" t="e">
        <f>VLOOKUP(B1247,MICRO!E:L,8,0)</f>
        <v>#N/A</v>
      </c>
    </row>
    <row r="1248" spans="1:14" ht="20.25" x14ac:dyDescent="0.25">
      <c r="A1248" s="1">
        <v>160</v>
      </c>
      <c r="B1248" s="159"/>
      <c r="C1248" s="1" t="s">
        <v>854</v>
      </c>
      <c r="D1248" s="1"/>
      <c r="E1248" s="1" t="s">
        <v>1101</v>
      </c>
      <c r="F1248" s="1" t="s">
        <v>828</v>
      </c>
      <c r="G1248" s="1">
        <v>1</v>
      </c>
      <c r="H1248" s="1" t="s">
        <v>19</v>
      </c>
      <c r="I1248" s="1" t="s">
        <v>425</v>
      </c>
      <c r="J1248" s="1">
        <v>7.5</v>
      </c>
      <c r="K1248" s="1">
        <v>7.5</v>
      </c>
      <c r="L1248" s="42">
        <v>6</v>
      </c>
      <c r="M1248" s="43">
        <v>46242</v>
      </c>
      <c r="N1248" s="1" t="e">
        <f>VLOOKUP(B1248,MICRO!E:L,8,0)</f>
        <v>#N/A</v>
      </c>
    </row>
    <row r="1249" spans="1:14" ht="20.25" x14ac:dyDescent="0.25">
      <c r="A1249" s="1">
        <v>161</v>
      </c>
      <c r="B1249" s="159"/>
      <c r="C1249" s="1" t="s">
        <v>854</v>
      </c>
      <c r="D1249" s="1"/>
      <c r="E1249" s="1" t="s">
        <v>1108</v>
      </c>
      <c r="F1249" s="1" t="s">
        <v>839</v>
      </c>
      <c r="G1249" s="1">
        <v>2</v>
      </c>
      <c r="H1249" s="1" t="s">
        <v>19</v>
      </c>
      <c r="I1249" s="1" t="s">
        <v>424</v>
      </c>
      <c r="J1249" s="1">
        <v>14.9</v>
      </c>
      <c r="K1249" s="1">
        <v>29.8</v>
      </c>
      <c r="L1249" s="42">
        <v>6</v>
      </c>
      <c r="M1249" s="43">
        <v>46243</v>
      </c>
      <c r="N1249" s="1" t="e">
        <f>VLOOKUP(B1249,MICRO!E:L,8,0)</f>
        <v>#N/A</v>
      </c>
    </row>
    <row r="1250" spans="1:14" ht="20.25" x14ac:dyDescent="0.25">
      <c r="A1250" s="1">
        <v>162</v>
      </c>
      <c r="B1250" s="159"/>
      <c r="C1250" s="1" t="s">
        <v>854</v>
      </c>
      <c r="D1250" s="1"/>
      <c r="E1250" s="1" t="s">
        <v>1112</v>
      </c>
      <c r="F1250" s="1" t="s">
        <v>843</v>
      </c>
      <c r="G1250" s="1">
        <v>2</v>
      </c>
      <c r="H1250" s="1" t="s">
        <v>19</v>
      </c>
      <c r="I1250" s="1" t="s">
        <v>425</v>
      </c>
      <c r="J1250" s="1">
        <v>6.7</v>
      </c>
      <c r="K1250" s="1">
        <v>13.4</v>
      </c>
      <c r="L1250" s="42">
        <v>6</v>
      </c>
      <c r="M1250" s="43">
        <v>46244</v>
      </c>
      <c r="N1250" s="1" t="e">
        <f>VLOOKUP(B1250,MICRO!E:L,8,0)</f>
        <v>#N/A</v>
      </c>
    </row>
    <row r="1251" spans="1:14" ht="20.25" x14ac:dyDescent="0.25">
      <c r="A1251" s="1">
        <v>163</v>
      </c>
      <c r="B1251" s="159"/>
      <c r="C1251" s="1" t="s">
        <v>854</v>
      </c>
      <c r="D1251" s="1"/>
      <c r="E1251" s="1" t="s">
        <v>1112</v>
      </c>
      <c r="F1251" s="1" t="s">
        <v>843</v>
      </c>
      <c r="G1251" s="1">
        <v>2</v>
      </c>
      <c r="H1251" s="1" t="s">
        <v>19</v>
      </c>
      <c r="I1251" s="1" t="s">
        <v>427</v>
      </c>
      <c r="J1251" s="1">
        <v>6.7</v>
      </c>
      <c r="K1251" s="1">
        <v>13.4</v>
      </c>
      <c r="L1251" s="42">
        <v>6</v>
      </c>
      <c r="M1251" s="43">
        <v>46245</v>
      </c>
      <c r="N1251" s="1" t="e">
        <f>VLOOKUP(B1251,MICRO!E:L,8,0)</f>
        <v>#N/A</v>
      </c>
    </row>
    <row r="1252" spans="1:14" ht="20.25" x14ac:dyDescent="0.25">
      <c r="A1252" s="1">
        <v>164</v>
      </c>
      <c r="B1252" s="159"/>
      <c r="C1252" s="1" t="s">
        <v>854</v>
      </c>
      <c r="D1252" s="1"/>
      <c r="E1252" s="1" t="s">
        <v>1113</v>
      </c>
      <c r="F1252" s="1" t="s">
        <v>844</v>
      </c>
      <c r="G1252" s="1">
        <v>2</v>
      </c>
      <c r="H1252" s="1" t="s">
        <v>19</v>
      </c>
      <c r="I1252" s="1" t="s">
        <v>425</v>
      </c>
      <c r="J1252" s="1">
        <v>3.9</v>
      </c>
      <c r="K1252" s="1">
        <v>7.8</v>
      </c>
      <c r="L1252" s="42">
        <v>6</v>
      </c>
      <c r="M1252" s="43">
        <v>46246</v>
      </c>
      <c r="N1252" s="1" t="e">
        <f>VLOOKUP(B1252,MICRO!E:L,8,0)</f>
        <v>#N/A</v>
      </c>
    </row>
    <row r="1253" spans="1:14" ht="20.25" x14ac:dyDescent="0.25">
      <c r="A1253" s="1">
        <v>231</v>
      </c>
      <c r="B1253" s="159"/>
      <c r="C1253" s="1"/>
      <c r="D1253" s="1"/>
      <c r="E1253" s="1"/>
      <c r="F1253" s="1" t="s">
        <v>2454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2">
        <v>6</v>
      </c>
      <c r="M1253" s="43">
        <v>46313</v>
      </c>
      <c r="N1253" s="1" t="e">
        <f>VLOOKUP(B1253,MICRO!E:L,8,0)</f>
        <v>#N/A</v>
      </c>
    </row>
    <row r="1254" spans="1:14" ht="20.25" x14ac:dyDescent="0.25">
      <c r="A1254" s="1">
        <v>232</v>
      </c>
      <c r="B1254" s="159"/>
      <c r="C1254" s="1"/>
      <c r="D1254" s="1"/>
      <c r="E1254" s="1"/>
      <c r="F1254" s="1" t="s">
        <v>2455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2">
        <v>6</v>
      </c>
      <c r="M1254" s="43">
        <v>46314</v>
      </c>
      <c r="N1254" s="1" t="e">
        <f>VLOOKUP(B1254,MICRO!E:L,8,0)</f>
        <v>#N/A</v>
      </c>
    </row>
    <row r="1255" spans="1:14" ht="20.25" x14ac:dyDescent="0.25">
      <c r="A1255" s="1">
        <v>233</v>
      </c>
      <c r="B1255" s="159"/>
      <c r="C1255" s="1"/>
      <c r="D1255" s="1"/>
      <c r="E1255" s="1"/>
      <c r="F1255" s="1" t="s">
        <v>2456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2">
        <v>6</v>
      </c>
      <c r="M1255" s="43">
        <v>46315</v>
      </c>
      <c r="N1255" s="1" t="e">
        <f>VLOOKUP(B1255,MICRO!E:L,8,0)</f>
        <v>#N/A</v>
      </c>
    </row>
    <row r="1256" spans="1:14" ht="20.25" x14ac:dyDescent="0.25">
      <c r="A1256" s="1">
        <v>234</v>
      </c>
      <c r="B1256" s="159"/>
      <c r="C1256" s="1"/>
      <c r="D1256" s="1"/>
      <c r="E1256" s="1"/>
      <c r="F1256" s="1" t="s">
        <v>2457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2">
        <v>6</v>
      </c>
      <c r="M1256" s="43">
        <v>46316</v>
      </c>
      <c r="N1256" s="1" t="e">
        <f>VLOOKUP(B1256,MICRO!E:L,8,0)</f>
        <v>#N/A</v>
      </c>
    </row>
    <row r="1257" spans="1:14" ht="20.25" x14ac:dyDescent="0.25">
      <c r="A1257" s="1">
        <v>235</v>
      </c>
      <c r="B1257" s="159"/>
      <c r="C1257" s="1"/>
      <c r="D1257" s="1"/>
      <c r="E1257" s="1"/>
      <c r="F1257" s="1" t="s">
        <v>2458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2">
        <v>6</v>
      </c>
      <c r="M1257" s="43">
        <v>46317</v>
      </c>
      <c r="N1257" s="1" t="e">
        <f>VLOOKUP(B1257,MICRO!E:L,8,0)</f>
        <v>#N/A</v>
      </c>
    </row>
    <row r="1258" spans="1:14" ht="20.25" x14ac:dyDescent="0.25">
      <c r="A1258" s="1">
        <v>236</v>
      </c>
      <c r="B1258" s="159"/>
      <c r="C1258" s="1"/>
      <c r="D1258" s="1"/>
      <c r="E1258" s="1"/>
      <c r="F1258" s="1" t="s">
        <v>2314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2">
        <v>6</v>
      </c>
      <c r="M1258" s="43">
        <v>46318</v>
      </c>
      <c r="N1258" s="1" t="e">
        <f>VLOOKUP(B1258,MICRO!E:L,8,0)</f>
        <v>#N/A</v>
      </c>
    </row>
    <row r="1259" spans="1:14" ht="20.25" x14ac:dyDescent="0.25">
      <c r="A1259" s="1">
        <v>237</v>
      </c>
      <c r="B1259" s="159"/>
      <c r="C1259" s="1"/>
      <c r="D1259" s="1"/>
      <c r="E1259" s="1"/>
      <c r="F1259" s="1" t="s">
        <v>2459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2">
        <v>6</v>
      </c>
      <c r="M1259" s="43">
        <v>46319</v>
      </c>
      <c r="N1259" s="1" t="e">
        <f>VLOOKUP(B1259,MICRO!E:L,8,0)</f>
        <v>#N/A</v>
      </c>
    </row>
    <row r="1260" spans="1:14" ht="20.25" x14ac:dyDescent="0.25">
      <c r="A1260" s="1">
        <v>238</v>
      </c>
      <c r="B1260" s="159"/>
      <c r="C1260" s="1"/>
      <c r="D1260" s="1"/>
      <c r="E1260" s="1"/>
      <c r="F1260" s="1" t="s">
        <v>2460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2">
        <v>6</v>
      </c>
      <c r="M1260" s="43">
        <v>46320</v>
      </c>
      <c r="N1260" s="1" t="e">
        <f>VLOOKUP(B1260,MICRO!E:L,8,0)</f>
        <v>#N/A</v>
      </c>
    </row>
    <row r="1261" spans="1:14" ht="20.25" x14ac:dyDescent="0.25">
      <c r="A1261" s="1">
        <v>239</v>
      </c>
      <c r="B1261" s="159"/>
      <c r="C1261" s="1"/>
      <c r="D1261" s="1"/>
      <c r="E1261" s="1"/>
      <c r="F1261" s="1" t="s">
        <v>2461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2">
        <v>6</v>
      </c>
      <c r="M1261" s="43">
        <v>46321</v>
      </c>
      <c r="N1261" s="1" t="e">
        <f>VLOOKUP(B1261,MICRO!E:L,8,0)</f>
        <v>#N/A</v>
      </c>
    </row>
    <row r="1262" spans="1:14" ht="20.25" x14ac:dyDescent="0.25">
      <c r="A1262" s="1">
        <v>240</v>
      </c>
      <c r="B1262" s="159"/>
      <c r="C1262" s="1" t="s">
        <v>2462</v>
      </c>
      <c r="D1262" s="1"/>
      <c r="E1262" s="1"/>
      <c r="F1262" s="1" t="s">
        <v>2463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2">
        <v>6</v>
      </c>
      <c r="M1262" s="43">
        <v>46322</v>
      </c>
      <c r="N1262" s="1" t="e">
        <f>VLOOKUP(B1262,MICRO!E:L,8,0)</f>
        <v>#N/A</v>
      </c>
    </row>
    <row r="1263" spans="1:14" ht="20.25" x14ac:dyDescent="0.25">
      <c r="A1263" s="1">
        <v>241</v>
      </c>
      <c r="B1263" s="159"/>
      <c r="C1263" s="1"/>
      <c r="D1263" s="1"/>
      <c r="E1263" s="1"/>
      <c r="F1263" s="1" t="s">
        <v>2464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2">
        <v>6</v>
      </c>
      <c r="M1263" s="43">
        <v>46323</v>
      </c>
      <c r="N1263" s="1" t="e">
        <f>VLOOKUP(B1263,MICRO!E:L,8,0)</f>
        <v>#N/A</v>
      </c>
    </row>
    <row r="1264" spans="1:14" ht="20.25" x14ac:dyDescent="0.25">
      <c r="A1264" s="1">
        <v>242</v>
      </c>
      <c r="B1264" s="159"/>
      <c r="C1264" s="1"/>
      <c r="D1264" s="1"/>
      <c r="E1264" s="1"/>
      <c r="F1264" s="1" t="s">
        <v>2465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2">
        <v>6</v>
      </c>
      <c r="M1264" s="43">
        <v>46324</v>
      </c>
      <c r="N1264" s="1" t="e">
        <f>VLOOKUP(B1264,MICRO!E:L,8,0)</f>
        <v>#N/A</v>
      </c>
    </row>
    <row r="1265" spans="1:14" ht="20.25" x14ac:dyDescent="0.25">
      <c r="A1265" s="1">
        <v>243</v>
      </c>
      <c r="B1265" s="159"/>
      <c r="C1265" s="1"/>
      <c r="D1265" s="1"/>
      <c r="E1265" s="1"/>
      <c r="F1265" s="1" t="s">
        <v>2466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2">
        <v>6</v>
      </c>
      <c r="M1265" s="43">
        <v>46325</v>
      </c>
      <c r="N1265" s="1" t="e">
        <f>VLOOKUP(B1265,MICRO!E:L,8,0)</f>
        <v>#N/A</v>
      </c>
    </row>
    <row r="1266" spans="1:14" ht="20.25" x14ac:dyDescent="0.25">
      <c r="A1266" s="1">
        <v>244</v>
      </c>
      <c r="B1266" s="159"/>
      <c r="C1266" s="1"/>
      <c r="D1266" s="1"/>
      <c r="E1266" s="1"/>
      <c r="F1266" s="1" t="s">
        <v>2467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2">
        <v>6</v>
      </c>
      <c r="M1266" s="43">
        <v>46326</v>
      </c>
      <c r="N1266" s="1" t="e">
        <f>VLOOKUP(B1266,MICRO!E:L,8,0)</f>
        <v>#N/A</v>
      </c>
    </row>
    <row r="1267" spans="1:14" ht="20.25" x14ac:dyDescent="0.25">
      <c r="A1267" s="1">
        <v>245</v>
      </c>
      <c r="B1267" s="159"/>
      <c r="C1267" s="1"/>
      <c r="D1267" s="1"/>
      <c r="E1267" s="1"/>
      <c r="F1267" s="1" t="s">
        <v>2468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2">
        <v>6</v>
      </c>
      <c r="M1267" s="43">
        <v>46327</v>
      </c>
      <c r="N1267" s="1" t="e">
        <f>VLOOKUP(B1267,MICRO!E:L,8,0)</f>
        <v>#N/A</v>
      </c>
    </row>
    <row r="1268" spans="1:14" ht="20.25" x14ac:dyDescent="0.25">
      <c r="A1268" s="1">
        <v>246</v>
      </c>
      <c r="B1268" s="159"/>
      <c r="C1268" s="1"/>
      <c r="D1268" s="1"/>
      <c r="E1268" s="1"/>
      <c r="F1268" s="1" t="s">
        <v>2469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2">
        <v>6</v>
      </c>
      <c r="M1268" s="43">
        <v>46328</v>
      </c>
      <c r="N1268" s="1" t="e">
        <f>VLOOKUP(B1268,MICRO!E:L,8,0)</f>
        <v>#N/A</v>
      </c>
    </row>
    <row r="1269" spans="1:14" ht="20.25" x14ac:dyDescent="0.25">
      <c r="A1269" s="1">
        <v>247</v>
      </c>
      <c r="B1269" s="159"/>
      <c r="C1269" s="1"/>
      <c r="D1269" s="1"/>
      <c r="E1269" s="1"/>
      <c r="F1269" s="1" t="s">
        <v>2470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2">
        <v>6</v>
      </c>
      <c r="M1269" s="43">
        <v>46329</v>
      </c>
      <c r="N1269" s="1" t="e">
        <f>VLOOKUP(B1269,MICRO!E:L,8,0)</f>
        <v>#N/A</v>
      </c>
    </row>
    <row r="1270" spans="1:14" ht="20.25" x14ac:dyDescent="0.25">
      <c r="A1270" s="1">
        <v>248</v>
      </c>
      <c r="B1270" s="159"/>
      <c r="C1270" s="1"/>
      <c r="D1270" s="1"/>
      <c r="E1270" s="1"/>
      <c r="F1270" s="1" t="s">
        <v>2471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2">
        <v>6</v>
      </c>
      <c r="M1270" s="43">
        <v>46330</v>
      </c>
      <c r="N1270" s="1" t="e">
        <f>VLOOKUP(B1270,MICRO!E:L,8,0)</f>
        <v>#N/A</v>
      </c>
    </row>
    <row r="1271" spans="1:14" ht="20.25" x14ac:dyDescent="0.25">
      <c r="A1271" s="1">
        <v>249</v>
      </c>
      <c r="B1271" s="159"/>
      <c r="C1271" s="1"/>
      <c r="D1271" s="1"/>
      <c r="E1271" s="1"/>
      <c r="F1271" s="1" t="s">
        <v>2472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2">
        <v>6</v>
      </c>
      <c r="M1271" s="43">
        <v>46331</v>
      </c>
      <c r="N1271" s="1" t="e">
        <f>VLOOKUP(B1271,MICRO!E:L,8,0)</f>
        <v>#N/A</v>
      </c>
    </row>
    <row r="1272" spans="1:14" ht="20.25" x14ac:dyDescent="0.25">
      <c r="A1272" s="1">
        <v>250</v>
      </c>
      <c r="B1272" s="159"/>
      <c r="C1272" s="1" t="s">
        <v>2317</v>
      </c>
      <c r="D1272" s="1"/>
      <c r="E1272" s="1"/>
      <c r="F1272" s="1" t="s">
        <v>2473</v>
      </c>
      <c r="G1272" s="1">
        <v>1</v>
      </c>
      <c r="H1272" s="1" t="s">
        <v>19</v>
      </c>
      <c r="I1272" s="1" t="s">
        <v>2317</v>
      </c>
      <c r="J1272" s="1">
        <v>2.8</v>
      </c>
      <c r="K1272" s="1">
        <v>2.8</v>
      </c>
      <c r="L1272" s="42">
        <v>6</v>
      </c>
      <c r="M1272" s="43">
        <v>46332</v>
      </c>
      <c r="N1272" s="1" t="e">
        <f>VLOOKUP(B1272,MICRO!E:L,8,0)</f>
        <v>#N/A</v>
      </c>
    </row>
    <row r="1273" spans="1:14" ht="20.25" x14ac:dyDescent="0.25">
      <c r="A1273" s="1">
        <v>251</v>
      </c>
      <c r="B1273" s="159"/>
      <c r="C1273" s="1" t="s">
        <v>2319</v>
      </c>
      <c r="D1273" s="1"/>
      <c r="E1273" s="1"/>
      <c r="F1273" s="1" t="s">
        <v>2474</v>
      </c>
      <c r="G1273" s="1">
        <v>1</v>
      </c>
      <c r="H1273" s="1" t="s">
        <v>19</v>
      </c>
      <c r="I1273" s="1" t="s">
        <v>2319</v>
      </c>
      <c r="J1273" s="1">
        <v>2.8</v>
      </c>
      <c r="K1273" s="1">
        <v>2.8</v>
      </c>
      <c r="L1273" s="42">
        <v>6</v>
      </c>
      <c r="M1273" s="43">
        <v>46333</v>
      </c>
      <c r="N1273" s="1" t="e">
        <f>VLOOKUP(B1273,MICRO!E:L,8,0)</f>
        <v>#N/A</v>
      </c>
    </row>
    <row r="1274" spans="1:14" ht="20.25" x14ac:dyDescent="0.25">
      <c r="A1274" s="1">
        <v>252</v>
      </c>
      <c r="B1274" s="159"/>
      <c r="C1274" s="1" t="s">
        <v>2321</v>
      </c>
      <c r="D1274" s="1"/>
      <c r="E1274" s="1"/>
      <c r="F1274" s="1" t="s">
        <v>2475</v>
      </c>
      <c r="G1274" s="1">
        <v>1</v>
      </c>
      <c r="H1274" s="1" t="s">
        <v>19</v>
      </c>
      <c r="I1274" s="1" t="s">
        <v>2321</v>
      </c>
      <c r="J1274" s="1">
        <v>2.8</v>
      </c>
      <c r="K1274" s="1">
        <v>2.8</v>
      </c>
      <c r="L1274" s="42">
        <v>6</v>
      </c>
      <c r="M1274" s="43">
        <v>46334</v>
      </c>
      <c r="N1274" s="1" t="e">
        <f>VLOOKUP(B1274,MICRO!E:L,8,0)</f>
        <v>#N/A</v>
      </c>
    </row>
    <row r="1275" spans="1:14" ht="20.25" x14ac:dyDescent="0.25">
      <c r="A1275" s="1">
        <v>253</v>
      </c>
      <c r="B1275" s="159"/>
      <c r="C1275" s="1" t="s">
        <v>2323</v>
      </c>
      <c r="D1275" s="1"/>
      <c r="E1275" s="1"/>
      <c r="F1275" s="1" t="s">
        <v>2476</v>
      </c>
      <c r="G1275" s="1">
        <v>1</v>
      </c>
      <c r="H1275" s="1" t="s">
        <v>19</v>
      </c>
      <c r="I1275" s="1" t="s">
        <v>2323</v>
      </c>
      <c r="J1275" s="1">
        <v>2.8</v>
      </c>
      <c r="K1275" s="1">
        <v>2.8</v>
      </c>
      <c r="L1275" s="42">
        <v>6</v>
      </c>
      <c r="M1275" s="43">
        <v>46335</v>
      </c>
      <c r="N1275" s="1" t="e">
        <f>VLOOKUP(B1275,MICRO!E:L,8,0)</f>
        <v>#N/A</v>
      </c>
    </row>
    <row r="1276" spans="1:14" ht="20.25" x14ac:dyDescent="0.25">
      <c r="A1276" s="1">
        <v>254</v>
      </c>
      <c r="B1276" s="159"/>
      <c r="C1276" s="1" t="s">
        <v>2325</v>
      </c>
      <c r="D1276" s="1"/>
      <c r="E1276" s="1"/>
      <c r="F1276" s="1" t="s">
        <v>2477</v>
      </c>
      <c r="G1276" s="1">
        <v>1</v>
      </c>
      <c r="H1276" s="1" t="s">
        <v>19</v>
      </c>
      <c r="I1276" s="1" t="s">
        <v>2325</v>
      </c>
      <c r="J1276" s="1">
        <v>2.8</v>
      </c>
      <c r="K1276" s="1">
        <v>2.8</v>
      </c>
      <c r="L1276" s="42">
        <v>6</v>
      </c>
      <c r="M1276" s="43">
        <v>46336</v>
      </c>
      <c r="N1276" s="1" t="e">
        <f>VLOOKUP(B1276,MICRO!E:L,8,0)</f>
        <v>#N/A</v>
      </c>
    </row>
    <row r="1277" spans="1:14" ht="20.25" x14ac:dyDescent="0.25">
      <c r="A1277" s="1">
        <v>1</v>
      </c>
      <c r="B1277" s="159"/>
      <c r="C1277" s="1" t="s">
        <v>1150</v>
      </c>
      <c r="D1277" s="1"/>
      <c r="E1277" s="1" t="s">
        <v>2</v>
      </c>
      <c r="F1277" s="1" t="s">
        <v>1151</v>
      </c>
      <c r="G1277" s="1">
        <v>2</v>
      </c>
      <c r="H1277" s="1" t="s">
        <v>19</v>
      </c>
      <c r="I1277" s="1" t="s">
        <v>423</v>
      </c>
      <c r="J1277" s="1">
        <v>11.5</v>
      </c>
      <c r="K1277" s="1">
        <v>23</v>
      </c>
      <c r="L1277" s="42">
        <v>5</v>
      </c>
      <c r="M1277" s="43">
        <v>46055</v>
      </c>
      <c r="N1277" s="1" t="e">
        <f>VLOOKUP(B1277,MICRO!E:L,8,0)</f>
        <v>#N/A</v>
      </c>
    </row>
    <row r="1278" spans="1:14" ht="20.25" x14ac:dyDescent="0.25">
      <c r="A1278" s="1">
        <v>2</v>
      </c>
      <c r="B1278" s="159"/>
      <c r="C1278" s="1" t="s">
        <v>1150</v>
      </c>
      <c r="D1278" s="1"/>
      <c r="E1278" s="1" t="s">
        <v>43</v>
      </c>
      <c r="F1278" s="1" t="s">
        <v>1152</v>
      </c>
      <c r="G1278" s="1">
        <v>4</v>
      </c>
      <c r="H1278" s="1" t="s">
        <v>19</v>
      </c>
      <c r="I1278" s="1" t="s">
        <v>423</v>
      </c>
      <c r="J1278" s="1">
        <v>1.5</v>
      </c>
      <c r="K1278" s="1">
        <v>6</v>
      </c>
      <c r="L1278" s="42">
        <v>5</v>
      </c>
      <c r="M1278" s="43">
        <v>46055</v>
      </c>
      <c r="N1278" s="1" t="e">
        <f>VLOOKUP(B1278,MICRO!E:L,8,0)</f>
        <v>#N/A</v>
      </c>
    </row>
    <row r="1279" spans="1:14" ht="20.25" x14ac:dyDescent="0.25">
      <c r="A1279" s="1">
        <v>3</v>
      </c>
      <c r="B1279" s="159"/>
      <c r="C1279" s="1" t="s">
        <v>1150</v>
      </c>
      <c r="D1279" s="1"/>
      <c r="E1279" s="1" t="s">
        <v>746</v>
      </c>
      <c r="F1279" s="1" t="s">
        <v>1153</v>
      </c>
      <c r="G1279" s="1">
        <v>2</v>
      </c>
      <c r="H1279" s="1" t="s">
        <v>19</v>
      </c>
      <c r="I1279" s="1" t="s">
        <v>423</v>
      </c>
      <c r="J1279" s="1">
        <v>5</v>
      </c>
      <c r="K1279" s="1">
        <v>10</v>
      </c>
      <c r="L1279" s="42">
        <v>5</v>
      </c>
      <c r="M1279" s="43">
        <v>46055</v>
      </c>
      <c r="N1279" s="1" t="e">
        <f>VLOOKUP(B1279,MICRO!E:L,8,0)</f>
        <v>#N/A</v>
      </c>
    </row>
    <row r="1280" spans="1:14" ht="20.25" x14ac:dyDescent="0.25">
      <c r="A1280" s="1">
        <v>4</v>
      </c>
      <c r="B1280" s="159"/>
      <c r="C1280" s="1" t="s">
        <v>1150</v>
      </c>
      <c r="D1280" s="1"/>
      <c r="E1280" s="1" t="s">
        <v>100</v>
      </c>
      <c r="F1280" s="1" t="s">
        <v>1155</v>
      </c>
      <c r="G1280" s="1">
        <v>4</v>
      </c>
      <c r="H1280" s="1" t="s">
        <v>19</v>
      </c>
      <c r="I1280" s="1" t="s">
        <v>423</v>
      </c>
      <c r="J1280" s="1">
        <v>0.3</v>
      </c>
      <c r="K1280" s="1">
        <v>1.2</v>
      </c>
      <c r="L1280" s="42">
        <v>5</v>
      </c>
      <c r="M1280" s="43">
        <v>46055</v>
      </c>
      <c r="N1280" s="1" t="e">
        <f>VLOOKUP(B1280,MICRO!E:L,8,0)</f>
        <v>#N/A</v>
      </c>
    </row>
    <row r="1281" spans="1:14" ht="20.25" x14ac:dyDescent="0.25">
      <c r="A1281" s="1">
        <v>5</v>
      </c>
      <c r="B1281" s="159"/>
      <c r="C1281" s="1" t="s">
        <v>1150</v>
      </c>
      <c r="D1281" s="1"/>
      <c r="E1281" s="1" t="s">
        <v>173</v>
      </c>
      <c r="F1281" s="1" t="s">
        <v>1156</v>
      </c>
      <c r="G1281" s="1">
        <v>8</v>
      </c>
      <c r="H1281" s="1" t="s">
        <v>19</v>
      </c>
      <c r="I1281" s="1" t="s">
        <v>423</v>
      </c>
      <c r="J1281" s="1">
        <v>1</v>
      </c>
      <c r="K1281" s="1">
        <v>8</v>
      </c>
      <c r="L1281" s="42">
        <v>5</v>
      </c>
      <c r="M1281" s="43">
        <v>46055</v>
      </c>
      <c r="N1281" s="1" t="e">
        <f>VLOOKUP(B1281,MICRO!E:L,8,0)</f>
        <v>#N/A</v>
      </c>
    </row>
    <row r="1282" spans="1:14" ht="20.25" x14ac:dyDescent="0.25">
      <c r="A1282" s="1">
        <v>6</v>
      </c>
      <c r="B1282" s="159"/>
      <c r="C1282" s="1" t="s">
        <v>1150</v>
      </c>
      <c r="D1282" s="1"/>
      <c r="E1282" s="1" t="s">
        <v>461</v>
      </c>
      <c r="F1282" s="1" t="s">
        <v>1157</v>
      </c>
      <c r="G1282" s="1">
        <v>2</v>
      </c>
      <c r="H1282" s="1" t="s">
        <v>19</v>
      </c>
      <c r="I1282" s="1" t="s">
        <v>423</v>
      </c>
      <c r="J1282" s="1">
        <v>0.6</v>
      </c>
      <c r="K1282" s="1">
        <v>1.2</v>
      </c>
      <c r="L1282" s="42">
        <v>5</v>
      </c>
      <c r="M1282" s="43">
        <v>46055</v>
      </c>
      <c r="N1282" s="1" t="e">
        <f>VLOOKUP(B1282,MICRO!E:L,8,0)</f>
        <v>#N/A</v>
      </c>
    </row>
    <row r="1283" spans="1:14" ht="20.25" x14ac:dyDescent="0.25">
      <c r="A1283" s="1">
        <v>7</v>
      </c>
      <c r="B1283" s="159"/>
      <c r="C1283" s="1" t="s">
        <v>1150</v>
      </c>
      <c r="D1283" s="1"/>
      <c r="E1283" s="1" t="s">
        <v>2</v>
      </c>
      <c r="F1283" s="1" t="s">
        <v>1151</v>
      </c>
      <c r="G1283" s="1">
        <v>2</v>
      </c>
      <c r="H1283" s="1" t="s">
        <v>19</v>
      </c>
      <c r="I1283" s="1" t="s">
        <v>424</v>
      </c>
      <c r="J1283" s="1">
        <v>11.5</v>
      </c>
      <c r="K1283" s="1">
        <v>23</v>
      </c>
      <c r="L1283" s="42">
        <v>5</v>
      </c>
      <c r="M1283" s="43">
        <v>46055</v>
      </c>
      <c r="N1283" s="1" t="e">
        <f>VLOOKUP(B1283,MICRO!E:L,8,0)</f>
        <v>#N/A</v>
      </c>
    </row>
    <row r="1284" spans="1:14" ht="20.25" x14ac:dyDescent="0.25">
      <c r="A1284" s="1">
        <v>8</v>
      </c>
      <c r="B1284" s="159"/>
      <c r="C1284" s="1" t="s">
        <v>1150</v>
      </c>
      <c r="D1284" s="1"/>
      <c r="E1284" s="1" t="s">
        <v>43</v>
      </c>
      <c r="F1284" s="1" t="s">
        <v>1152</v>
      </c>
      <c r="G1284" s="1">
        <v>4</v>
      </c>
      <c r="H1284" s="1" t="s">
        <v>19</v>
      </c>
      <c r="I1284" s="1" t="s">
        <v>424</v>
      </c>
      <c r="J1284" s="1">
        <v>1.5</v>
      </c>
      <c r="K1284" s="1">
        <v>6</v>
      </c>
      <c r="L1284" s="42">
        <v>5</v>
      </c>
      <c r="M1284" s="43">
        <v>46055</v>
      </c>
      <c r="N1284" s="1" t="e">
        <f>VLOOKUP(B1284,MICRO!E:L,8,0)</f>
        <v>#N/A</v>
      </c>
    </row>
    <row r="1285" spans="1:14" ht="20.25" x14ac:dyDescent="0.25">
      <c r="A1285" s="1">
        <v>9</v>
      </c>
      <c r="B1285" s="159"/>
      <c r="C1285" s="1" t="s">
        <v>1150</v>
      </c>
      <c r="D1285" s="1"/>
      <c r="E1285" s="1" t="s">
        <v>746</v>
      </c>
      <c r="F1285" s="1" t="s">
        <v>1153</v>
      </c>
      <c r="G1285" s="1">
        <v>2</v>
      </c>
      <c r="H1285" s="1" t="s">
        <v>19</v>
      </c>
      <c r="I1285" s="1" t="s">
        <v>424</v>
      </c>
      <c r="J1285" s="1">
        <v>5</v>
      </c>
      <c r="K1285" s="1">
        <v>10</v>
      </c>
      <c r="L1285" s="42">
        <v>5</v>
      </c>
      <c r="M1285" s="43">
        <v>46055</v>
      </c>
      <c r="N1285" s="1" t="e">
        <f>VLOOKUP(B1285,MICRO!E:L,8,0)</f>
        <v>#N/A</v>
      </c>
    </row>
    <row r="1286" spans="1:14" ht="20.25" x14ac:dyDescent="0.25">
      <c r="A1286" s="1">
        <v>10</v>
      </c>
      <c r="B1286" s="159"/>
      <c r="C1286" s="1" t="s">
        <v>1150</v>
      </c>
      <c r="D1286" s="1"/>
      <c r="E1286" s="1" t="s">
        <v>100</v>
      </c>
      <c r="F1286" s="1" t="s">
        <v>1155</v>
      </c>
      <c r="G1286" s="1">
        <v>4</v>
      </c>
      <c r="H1286" s="1" t="s">
        <v>19</v>
      </c>
      <c r="I1286" s="1" t="s">
        <v>424</v>
      </c>
      <c r="J1286" s="1">
        <v>0.3</v>
      </c>
      <c r="K1286" s="1">
        <v>1.2</v>
      </c>
      <c r="L1286" s="42">
        <v>5</v>
      </c>
      <c r="M1286" s="43">
        <v>46055</v>
      </c>
      <c r="N1286" s="1" t="e">
        <f>VLOOKUP(B1286,MICRO!E:L,8,0)</f>
        <v>#N/A</v>
      </c>
    </row>
    <row r="1287" spans="1:14" ht="20.25" x14ac:dyDescent="0.25">
      <c r="A1287" s="1">
        <v>11</v>
      </c>
      <c r="B1287" s="159"/>
      <c r="C1287" s="1" t="s">
        <v>1150</v>
      </c>
      <c r="D1287" s="1"/>
      <c r="E1287" s="1" t="s">
        <v>173</v>
      </c>
      <c r="F1287" s="1" t="s">
        <v>1156</v>
      </c>
      <c r="G1287" s="1">
        <v>8</v>
      </c>
      <c r="H1287" s="1" t="s">
        <v>19</v>
      </c>
      <c r="I1287" s="1" t="s">
        <v>424</v>
      </c>
      <c r="J1287" s="1">
        <v>1</v>
      </c>
      <c r="K1287" s="1">
        <v>8</v>
      </c>
      <c r="L1287" s="42">
        <v>5</v>
      </c>
      <c r="M1287" s="43">
        <v>46055</v>
      </c>
      <c r="N1287" s="1" t="e">
        <f>VLOOKUP(B1287,MICRO!E:L,8,0)</f>
        <v>#N/A</v>
      </c>
    </row>
    <row r="1288" spans="1:14" ht="20.25" x14ac:dyDescent="0.25">
      <c r="A1288" s="1">
        <v>12</v>
      </c>
      <c r="B1288" s="159"/>
      <c r="C1288" s="1" t="s">
        <v>1150</v>
      </c>
      <c r="D1288" s="1"/>
      <c r="E1288" s="1" t="s">
        <v>461</v>
      </c>
      <c r="F1288" s="1" t="s">
        <v>1157</v>
      </c>
      <c r="G1288" s="1">
        <v>2</v>
      </c>
      <c r="H1288" s="1" t="s">
        <v>19</v>
      </c>
      <c r="I1288" s="1" t="s">
        <v>424</v>
      </c>
      <c r="J1288" s="1">
        <v>0.6</v>
      </c>
      <c r="K1288" s="1">
        <v>1.2</v>
      </c>
      <c r="L1288" s="42">
        <v>5</v>
      </c>
      <c r="M1288" s="43">
        <v>46055</v>
      </c>
      <c r="N1288" s="1" t="e">
        <f>VLOOKUP(B1288,MICRO!E:L,8,0)</f>
        <v>#N/A</v>
      </c>
    </row>
    <row r="1289" spans="1:14" ht="20.25" x14ac:dyDescent="0.25">
      <c r="A1289" s="1">
        <v>13</v>
      </c>
      <c r="B1289" s="159"/>
      <c r="C1289" s="1" t="s">
        <v>1150</v>
      </c>
      <c r="D1289" s="1"/>
      <c r="E1289" s="1" t="s">
        <v>2</v>
      </c>
      <c r="F1289" s="1" t="s">
        <v>1151</v>
      </c>
      <c r="G1289" s="1">
        <v>2</v>
      </c>
      <c r="H1289" s="1" t="s">
        <v>19</v>
      </c>
      <c r="I1289" s="1" t="s">
        <v>425</v>
      </c>
      <c r="J1289" s="1">
        <v>11.5</v>
      </c>
      <c r="K1289" s="1">
        <v>23</v>
      </c>
      <c r="L1289" s="42">
        <v>5</v>
      </c>
      <c r="M1289" s="43">
        <v>46055</v>
      </c>
      <c r="N1289" s="1" t="e">
        <f>VLOOKUP(B1289,MICRO!E:L,8,0)</f>
        <v>#N/A</v>
      </c>
    </row>
    <row r="1290" spans="1:14" ht="20.25" x14ac:dyDescent="0.25">
      <c r="A1290" s="1">
        <v>14</v>
      </c>
      <c r="B1290" s="159"/>
      <c r="C1290" s="1" t="s">
        <v>1150</v>
      </c>
      <c r="D1290" s="1"/>
      <c r="E1290" s="1" t="s">
        <v>43</v>
      </c>
      <c r="F1290" s="1" t="s">
        <v>1152</v>
      </c>
      <c r="G1290" s="1">
        <v>4</v>
      </c>
      <c r="H1290" s="1" t="s">
        <v>19</v>
      </c>
      <c r="I1290" s="1" t="s">
        <v>425</v>
      </c>
      <c r="J1290" s="1">
        <v>1.5</v>
      </c>
      <c r="K1290" s="1">
        <v>6</v>
      </c>
      <c r="L1290" s="42">
        <v>5</v>
      </c>
      <c r="M1290" s="43">
        <v>46055</v>
      </c>
      <c r="N1290" s="1" t="e">
        <f>VLOOKUP(B1290,MICRO!E:L,8,0)</f>
        <v>#N/A</v>
      </c>
    </row>
    <row r="1291" spans="1:14" ht="20.25" x14ac:dyDescent="0.25">
      <c r="A1291" s="1">
        <v>15</v>
      </c>
      <c r="B1291" s="159"/>
      <c r="C1291" s="1" t="s">
        <v>1150</v>
      </c>
      <c r="D1291" s="1"/>
      <c r="E1291" s="1" t="s">
        <v>746</v>
      </c>
      <c r="F1291" s="1" t="s">
        <v>1153</v>
      </c>
      <c r="G1291" s="1">
        <v>2</v>
      </c>
      <c r="H1291" s="1" t="s">
        <v>19</v>
      </c>
      <c r="I1291" s="1" t="s">
        <v>425</v>
      </c>
      <c r="J1291" s="1">
        <v>5</v>
      </c>
      <c r="K1291" s="1">
        <v>10</v>
      </c>
      <c r="L1291" s="42">
        <v>5</v>
      </c>
      <c r="M1291" s="43">
        <v>46055</v>
      </c>
      <c r="N1291" s="1" t="e">
        <f>VLOOKUP(B1291,MICRO!E:L,8,0)</f>
        <v>#N/A</v>
      </c>
    </row>
    <row r="1292" spans="1:14" ht="20.25" x14ac:dyDescent="0.25">
      <c r="A1292" s="1">
        <v>16</v>
      </c>
      <c r="B1292" s="159"/>
      <c r="C1292" s="1" t="s">
        <v>1150</v>
      </c>
      <c r="D1292" s="1"/>
      <c r="E1292" s="1" t="s">
        <v>100</v>
      </c>
      <c r="F1292" s="1" t="s">
        <v>1155</v>
      </c>
      <c r="G1292" s="1">
        <v>4</v>
      </c>
      <c r="H1292" s="1" t="s">
        <v>19</v>
      </c>
      <c r="I1292" s="1" t="s">
        <v>425</v>
      </c>
      <c r="J1292" s="1">
        <v>0.3</v>
      </c>
      <c r="K1292" s="1">
        <v>1.2</v>
      </c>
      <c r="L1292" s="42">
        <v>5</v>
      </c>
      <c r="M1292" s="43">
        <v>46055</v>
      </c>
      <c r="N1292" s="1" t="e">
        <f>VLOOKUP(B1292,MICRO!E:L,8,0)</f>
        <v>#N/A</v>
      </c>
    </row>
    <row r="1293" spans="1:14" ht="20.25" x14ac:dyDescent="0.25">
      <c r="A1293" s="1">
        <v>17</v>
      </c>
      <c r="B1293" s="159"/>
      <c r="C1293" s="1" t="s">
        <v>1150</v>
      </c>
      <c r="D1293" s="1"/>
      <c r="E1293" s="1" t="s">
        <v>173</v>
      </c>
      <c r="F1293" s="1" t="s">
        <v>1156</v>
      </c>
      <c r="G1293" s="1">
        <v>8</v>
      </c>
      <c r="H1293" s="1" t="s">
        <v>19</v>
      </c>
      <c r="I1293" s="1" t="s">
        <v>425</v>
      </c>
      <c r="J1293" s="1">
        <v>1</v>
      </c>
      <c r="K1293" s="1">
        <v>8</v>
      </c>
      <c r="L1293" s="42">
        <v>5</v>
      </c>
      <c r="M1293" s="43">
        <v>46055</v>
      </c>
      <c r="N1293" s="1" t="e">
        <f>VLOOKUP(B1293,MICRO!E:L,8,0)</f>
        <v>#N/A</v>
      </c>
    </row>
    <row r="1294" spans="1:14" ht="20.25" x14ac:dyDescent="0.25">
      <c r="A1294" s="1">
        <v>18</v>
      </c>
      <c r="B1294" s="159"/>
      <c r="C1294" s="1" t="s">
        <v>1150</v>
      </c>
      <c r="D1294" s="1"/>
      <c r="E1294" s="1" t="s">
        <v>461</v>
      </c>
      <c r="F1294" s="1" t="s">
        <v>1157</v>
      </c>
      <c r="G1294" s="1">
        <v>2</v>
      </c>
      <c r="H1294" s="1" t="s">
        <v>19</v>
      </c>
      <c r="I1294" s="1" t="s">
        <v>425</v>
      </c>
      <c r="J1294" s="1">
        <v>0.6</v>
      </c>
      <c r="K1294" s="1">
        <v>1.2</v>
      </c>
      <c r="L1294" s="42">
        <v>5</v>
      </c>
      <c r="M1294" s="43">
        <v>46055</v>
      </c>
      <c r="N1294" s="1" t="e">
        <f>VLOOKUP(B1294,MICRO!E:L,8,0)</f>
        <v>#N/A</v>
      </c>
    </row>
    <row r="1295" spans="1:14" ht="20.25" x14ac:dyDescent="0.25">
      <c r="A1295" s="1">
        <v>19</v>
      </c>
      <c r="B1295" s="159"/>
      <c r="C1295" s="1" t="s">
        <v>1150</v>
      </c>
      <c r="D1295" s="1"/>
      <c r="E1295" s="1" t="s">
        <v>2</v>
      </c>
      <c r="F1295" s="1" t="s">
        <v>1151</v>
      </c>
      <c r="G1295" s="1">
        <v>2</v>
      </c>
      <c r="H1295" s="1" t="s">
        <v>19</v>
      </c>
      <c r="I1295" s="1" t="s">
        <v>426</v>
      </c>
      <c r="J1295" s="1">
        <v>11.5</v>
      </c>
      <c r="K1295" s="1">
        <v>23</v>
      </c>
      <c r="L1295" s="42">
        <v>5</v>
      </c>
      <c r="M1295" s="43">
        <v>46055</v>
      </c>
      <c r="N1295" s="1" t="e">
        <f>VLOOKUP(B1295,MICRO!E:L,8,0)</f>
        <v>#N/A</v>
      </c>
    </row>
    <row r="1296" spans="1:14" ht="20.25" x14ac:dyDescent="0.25">
      <c r="A1296" s="1">
        <v>20</v>
      </c>
      <c r="B1296" s="159"/>
      <c r="C1296" s="1" t="s">
        <v>1150</v>
      </c>
      <c r="D1296" s="1"/>
      <c r="E1296" s="1" t="s">
        <v>43</v>
      </c>
      <c r="F1296" s="1" t="s">
        <v>1152</v>
      </c>
      <c r="G1296" s="1">
        <v>4</v>
      </c>
      <c r="H1296" s="1" t="s">
        <v>19</v>
      </c>
      <c r="I1296" s="1" t="s">
        <v>426</v>
      </c>
      <c r="J1296" s="1">
        <v>1.5</v>
      </c>
      <c r="K1296" s="1">
        <v>6</v>
      </c>
      <c r="L1296" s="42">
        <v>5</v>
      </c>
      <c r="M1296" s="43">
        <v>46055</v>
      </c>
      <c r="N1296" s="1" t="e">
        <f>VLOOKUP(B1296,MICRO!E:L,8,0)</f>
        <v>#N/A</v>
      </c>
    </row>
    <row r="1297" spans="1:14" ht="20.25" x14ac:dyDescent="0.25">
      <c r="A1297" s="1">
        <v>21</v>
      </c>
      <c r="B1297" s="159"/>
      <c r="C1297" s="1" t="s">
        <v>1150</v>
      </c>
      <c r="D1297" s="1"/>
      <c r="E1297" s="1" t="s">
        <v>746</v>
      </c>
      <c r="F1297" s="1" t="s">
        <v>1153</v>
      </c>
      <c r="G1297" s="1">
        <v>2</v>
      </c>
      <c r="H1297" s="1" t="s">
        <v>19</v>
      </c>
      <c r="I1297" s="1" t="s">
        <v>426</v>
      </c>
      <c r="J1297" s="1">
        <v>5</v>
      </c>
      <c r="K1297" s="1">
        <v>10</v>
      </c>
      <c r="L1297" s="42">
        <v>5</v>
      </c>
      <c r="M1297" s="43">
        <v>46055</v>
      </c>
      <c r="N1297" s="1" t="e">
        <f>VLOOKUP(B1297,MICRO!E:L,8,0)</f>
        <v>#N/A</v>
      </c>
    </row>
    <row r="1298" spans="1:14" ht="20.25" x14ac:dyDescent="0.25">
      <c r="A1298" s="1">
        <v>22</v>
      </c>
      <c r="B1298" s="159"/>
      <c r="C1298" s="1" t="s">
        <v>1150</v>
      </c>
      <c r="D1298" s="1"/>
      <c r="E1298" s="1" t="s">
        <v>100</v>
      </c>
      <c r="F1298" s="1" t="s">
        <v>1155</v>
      </c>
      <c r="G1298" s="1">
        <v>4</v>
      </c>
      <c r="H1298" s="1" t="s">
        <v>19</v>
      </c>
      <c r="I1298" s="1" t="s">
        <v>426</v>
      </c>
      <c r="J1298" s="1">
        <v>0.3</v>
      </c>
      <c r="K1298" s="1">
        <v>1.2</v>
      </c>
      <c r="L1298" s="42">
        <v>5</v>
      </c>
      <c r="M1298" s="43">
        <v>46055</v>
      </c>
      <c r="N1298" s="1" t="e">
        <f>VLOOKUP(B1298,MICRO!E:L,8,0)</f>
        <v>#N/A</v>
      </c>
    </row>
    <row r="1299" spans="1:14" ht="20.25" x14ac:dyDescent="0.25">
      <c r="A1299" s="1">
        <v>23</v>
      </c>
      <c r="B1299" s="159"/>
      <c r="C1299" s="1" t="s">
        <v>1150</v>
      </c>
      <c r="D1299" s="1"/>
      <c r="E1299" s="1" t="s">
        <v>173</v>
      </c>
      <c r="F1299" s="1" t="s">
        <v>1156</v>
      </c>
      <c r="G1299" s="1">
        <v>8</v>
      </c>
      <c r="H1299" s="1" t="s">
        <v>19</v>
      </c>
      <c r="I1299" s="1" t="s">
        <v>426</v>
      </c>
      <c r="J1299" s="1">
        <v>1</v>
      </c>
      <c r="K1299" s="1">
        <v>8</v>
      </c>
      <c r="L1299" s="42">
        <v>5</v>
      </c>
      <c r="M1299" s="43">
        <v>46055</v>
      </c>
      <c r="N1299" s="1" t="e">
        <f>VLOOKUP(B1299,MICRO!E:L,8,0)</f>
        <v>#N/A</v>
      </c>
    </row>
    <row r="1300" spans="1:14" ht="20.25" x14ac:dyDescent="0.25">
      <c r="A1300" s="1">
        <v>24</v>
      </c>
      <c r="B1300" s="159"/>
      <c r="C1300" s="1" t="s">
        <v>1150</v>
      </c>
      <c r="D1300" s="1"/>
      <c r="E1300" s="1" t="s">
        <v>461</v>
      </c>
      <c r="F1300" s="1" t="s">
        <v>1157</v>
      </c>
      <c r="G1300" s="1">
        <v>2</v>
      </c>
      <c r="H1300" s="1" t="s">
        <v>19</v>
      </c>
      <c r="I1300" s="1" t="s">
        <v>426</v>
      </c>
      <c r="J1300" s="1">
        <v>0.6</v>
      </c>
      <c r="K1300" s="1">
        <v>1.2</v>
      </c>
      <c r="L1300" s="42">
        <v>5</v>
      </c>
      <c r="M1300" s="43">
        <v>46055</v>
      </c>
      <c r="N1300" s="1" t="e">
        <f>VLOOKUP(B1300,MICRO!E:L,8,0)</f>
        <v>#N/A</v>
      </c>
    </row>
    <row r="1301" spans="1:14" ht="20.25" x14ac:dyDescent="0.25">
      <c r="A1301" s="1">
        <v>25</v>
      </c>
      <c r="B1301" s="159"/>
      <c r="C1301" s="1" t="s">
        <v>1150</v>
      </c>
      <c r="D1301" s="1"/>
      <c r="E1301" s="1" t="s">
        <v>2</v>
      </c>
      <c r="F1301" s="1" t="s">
        <v>1151</v>
      </c>
      <c r="G1301" s="1">
        <v>2</v>
      </c>
      <c r="H1301" s="1" t="s">
        <v>19</v>
      </c>
      <c r="I1301" s="1" t="s">
        <v>427</v>
      </c>
      <c r="J1301" s="1">
        <v>11.5</v>
      </c>
      <c r="K1301" s="1">
        <v>23</v>
      </c>
      <c r="L1301" s="42">
        <v>5</v>
      </c>
      <c r="M1301" s="43">
        <v>46055</v>
      </c>
      <c r="N1301" s="1" t="e">
        <f>VLOOKUP(B1301,MICRO!E:L,8,0)</f>
        <v>#N/A</v>
      </c>
    </row>
    <row r="1302" spans="1:14" ht="20.25" x14ac:dyDescent="0.25">
      <c r="A1302" s="1">
        <v>26</v>
      </c>
      <c r="B1302" s="159"/>
      <c r="C1302" s="1" t="s">
        <v>1150</v>
      </c>
      <c r="D1302" s="1"/>
      <c r="E1302" s="1" t="s">
        <v>43</v>
      </c>
      <c r="F1302" s="1" t="s">
        <v>1152</v>
      </c>
      <c r="G1302" s="1">
        <v>4</v>
      </c>
      <c r="H1302" s="1" t="s">
        <v>19</v>
      </c>
      <c r="I1302" s="1" t="s">
        <v>427</v>
      </c>
      <c r="J1302" s="1">
        <v>1.5</v>
      </c>
      <c r="K1302" s="1">
        <v>6</v>
      </c>
      <c r="L1302" s="42">
        <v>5</v>
      </c>
      <c r="M1302" s="43">
        <v>46055</v>
      </c>
      <c r="N1302" s="1" t="e">
        <f>VLOOKUP(B1302,MICRO!E:L,8,0)</f>
        <v>#N/A</v>
      </c>
    </row>
    <row r="1303" spans="1:14" ht="20.25" x14ac:dyDescent="0.25">
      <c r="A1303" s="1">
        <v>27</v>
      </c>
      <c r="B1303" s="159"/>
      <c r="C1303" s="1" t="s">
        <v>1150</v>
      </c>
      <c r="D1303" s="1"/>
      <c r="E1303" s="1" t="s">
        <v>746</v>
      </c>
      <c r="F1303" s="1" t="s">
        <v>1153</v>
      </c>
      <c r="G1303" s="1">
        <v>2</v>
      </c>
      <c r="H1303" s="1" t="s">
        <v>19</v>
      </c>
      <c r="I1303" s="1" t="s">
        <v>427</v>
      </c>
      <c r="J1303" s="1">
        <v>5</v>
      </c>
      <c r="K1303" s="1">
        <v>10</v>
      </c>
      <c r="L1303" s="42">
        <v>5</v>
      </c>
      <c r="M1303" s="43">
        <v>46055</v>
      </c>
      <c r="N1303" s="1" t="e">
        <f>VLOOKUP(B1303,MICRO!E:L,8,0)</f>
        <v>#N/A</v>
      </c>
    </row>
    <row r="1304" spans="1:14" ht="20.25" x14ac:dyDescent="0.25">
      <c r="A1304" s="1">
        <v>28</v>
      </c>
      <c r="B1304" s="159"/>
      <c r="C1304" s="1" t="s">
        <v>1150</v>
      </c>
      <c r="D1304" s="1"/>
      <c r="E1304" s="1" t="s">
        <v>100</v>
      </c>
      <c r="F1304" s="1" t="s">
        <v>1155</v>
      </c>
      <c r="G1304" s="1">
        <v>4</v>
      </c>
      <c r="H1304" s="1" t="s">
        <v>19</v>
      </c>
      <c r="I1304" s="1" t="s">
        <v>427</v>
      </c>
      <c r="J1304" s="1">
        <v>0.3</v>
      </c>
      <c r="K1304" s="1">
        <v>1.2</v>
      </c>
      <c r="L1304" s="42">
        <v>5</v>
      </c>
      <c r="M1304" s="43">
        <v>46055</v>
      </c>
      <c r="N1304" s="1" t="e">
        <f>VLOOKUP(B1304,MICRO!E:L,8,0)</f>
        <v>#N/A</v>
      </c>
    </row>
    <row r="1305" spans="1:14" ht="20.25" x14ac:dyDescent="0.25">
      <c r="A1305" s="1">
        <v>29</v>
      </c>
      <c r="B1305" s="159"/>
      <c r="C1305" s="1" t="s">
        <v>1150</v>
      </c>
      <c r="D1305" s="1"/>
      <c r="E1305" s="1" t="s">
        <v>173</v>
      </c>
      <c r="F1305" s="1" t="s">
        <v>1156</v>
      </c>
      <c r="G1305" s="1">
        <v>8</v>
      </c>
      <c r="H1305" s="1" t="s">
        <v>19</v>
      </c>
      <c r="I1305" s="1" t="s">
        <v>427</v>
      </c>
      <c r="J1305" s="1">
        <v>1</v>
      </c>
      <c r="K1305" s="1">
        <v>8</v>
      </c>
      <c r="L1305" s="42">
        <v>5</v>
      </c>
      <c r="M1305" s="43">
        <v>46055</v>
      </c>
      <c r="N1305" s="1" t="e">
        <f>VLOOKUP(B1305,MICRO!E:L,8,0)</f>
        <v>#N/A</v>
      </c>
    </row>
    <row r="1306" spans="1:14" ht="20.25" x14ac:dyDescent="0.25">
      <c r="A1306" s="1">
        <v>30</v>
      </c>
      <c r="B1306" s="159"/>
      <c r="C1306" s="1" t="s">
        <v>1150</v>
      </c>
      <c r="D1306" s="1"/>
      <c r="E1306" s="1" t="s">
        <v>461</v>
      </c>
      <c r="F1306" s="1" t="s">
        <v>1157</v>
      </c>
      <c r="G1306" s="1">
        <v>2</v>
      </c>
      <c r="H1306" s="1" t="s">
        <v>19</v>
      </c>
      <c r="I1306" s="1" t="s">
        <v>427</v>
      </c>
      <c r="J1306" s="1">
        <v>0.6</v>
      </c>
      <c r="K1306" s="1">
        <v>1.2</v>
      </c>
      <c r="L1306" s="42">
        <v>5</v>
      </c>
      <c r="M1306" s="43">
        <v>46055</v>
      </c>
      <c r="N1306" s="1" t="e">
        <f>VLOOKUP(B1306,MICRO!E:L,8,0)</f>
        <v>#N/A</v>
      </c>
    </row>
    <row r="1307" spans="1:14" ht="20.25" x14ac:dyDescent="0.25">
      <c r="A1307" s="1">
        <v>36</v>
      </c>
      <c r="B1307" s="159"/>
      <c r="C1307" s="1" t="s">
        <v>1402</v>
      </c>
      <c r="D1307" s="1"/>
      <c r="E1307" s="1"/>
      <c r="F1307" s="1" t="s">
        <v>1403</v>
      </c>
      <c r="G1307" s="1">
        <v>16</v>
      </c>
      <c r="H1307" s="1" t="s">
        <v>19</v>
      </c>
      <c r="I1307" s="1" t="s">
        <v>1404</v>
      </c>
      <c r="J1307" s="1">
        <v>0.02</v>
      </c>
      <c r="K1307" s="1">
        <v>0.32</v>
      </c>
      <c r="L1307" s="42">
        <v>5</v>
      </c>
      <c r="M1307" s="43">
        <v>46055</v>
      </c>
      <c r="N1307" s="1" t="e">
        <f>VLOOKUP(B1307,MICRO!E:L,8,0)</f>
        <v>#N/A</v>
      </c>
    </row>
    <row r="1308" spans="1:14" ht="20.25" x14ac:dyDescent="0.25">
      <c r="A1308" s="1">
        <v>37</v>
      </c>
      <c r="B1308" s="159"/>
      <c r="C1308" s="1" t="s">
        <v>1405</v>
      </c>
      <c r="D1308" s="1"/>
      <c r="E1308" s="1"/>
      <c r="F1308" s="1" t="s">
        <v>1406</v>
      </c>
      <c r="G1308" s="1">
        <v>32</v>
      </c>
      <c r="H1308" s="1" t="s">
        <v>19</v>
      </c>
      <c r="I1308" s="1" t="s">
        <v>425</v>
      </c>
      <c r="J1308" s="1">
        <v>0.02</v>
      </c>
      <c r="K1308" s="1">
        <v>0.64</v>
      </c>
      <c r="L1308" s="42">
        <v>5</v>
      </c>
      <c r="M1308" s="43">
        <v>46055</v>
      </c>
      <c r="N1308" s="1" t="e">
        <f>VLOOKUP(B1308,MICRO!E:L,8,0)</f>
        <v>#N/A</v>
      </c>
    </row>
    <row r="1309" spans="1:14" ht="20.25" x14ac:dyDescent="0.25">
      <c r="A1309" s="1">
        <v>38</v>
      </c>
      <c r="B1309" s="159"/>
      <c r="C1309" s="1" t="s">
        <v>1407</v>
      </c>
      <c r="D1309" s="1"/>
      <c r="E1309" s="1"/>
      <c r="F1309" s="1" t="s">
        <v>1408</v>
      </c>
      <c r="G1309" s="1">
        <v>16</v>
      </c>
      <c r="H1309" s="1" t="s">
        <v>19</v>
      </c>
      <c r="I1309" s="1" t="s">
        <v>425</v>
      </c>
      <c r="J1309" s="1">
        <v>0.02</v>
      </c>
      <c r="K1309" s="1">
        <v>0.32</v>
      </c>
      <c r="L1309" s="42">
        <v>5</v>
      </c>
      <c r="M1309" s="43">
        <v>46055</v>
      </c>
      <c r="N1309" s="1" t="e">
        <f>VLOOKUP(B1309,MICRO!E:L,8,0)</f>
        <v>#N/A</v>
      </c>
    </row>
    <row r="1310" spans="1:14" ht="20.25" x14ac:dyDescent="0.25">
      <c r="A1310" s="1">
        <v>39</v>
      </c>
      <c r="B1310" s="159"/>
      <c r="C1310" s="1" t="s">
        <v>1409</v>
      </c>
      <c r="D1310" s="1"/>
      <c r="E1310" s="1"/>
      <c r="F1310" s="1" t="s">
        <v>1410</v>
      </c>
      <c r="G1310" s="1">
        <v>8</v>
      </c>
      <c r="H1310" s="1" t="s">
        <v>19</v>
      </c>
      <c r="I1310" s="1" t="s">
        <v>426</v>
      </c>
      <c r="J1310" s="1">
        <v>0.02</v>
      </c>
      <c r="K1310" s="1">
        <v>0.16</v>
      </c>
      <c r="L1310" s="42">
        <v>5</v>
      </c>
      <c r="M1310" s="43">
        <v>46055</v>
      </c>
      <c r="N1310" s="1" t="e">
        <f>VLOOKUP(B1310,MICRO!E:L,8,0)</f>
        <v>#N/A</v>
      </c>
    </row>
    <row r="1311" spans="1:14" ht="20.25" x14ac:dyDescent="0.25">
      <c r="A1311" s="1">
        <v>40</v>
      </c>
      <c r="B1311" s="159"/>
      <c r="C1311" s="1" t="s">
        <v>1213</v>
      </c>
      <c r="D1311" s="1"/>
      <c r="E1311" s="1"/>
      <c r="F1311" s="1" t="s">
        <v>1411</v>
      </c>
      <c r="G1311" s="1">
        <v>16</v>
      </c>
      <c r="H1311" s="1" t="s">
        <v>19</v>
      </c>
      <c r="I1311" s="1" t="s">
        <v>425</v>
      </c>
      <c r="J1311" s="1">
        <v>0.02</v>
      </c>
      <c r="K1311" s="1">
        <v>0.32</v>
      </c>
      <c r="L1311" s="42">
        <v>5</v>
      </c>
      <c r="M1311" s="43">
        <v>46055</v>
      </c>
      <c r="N1311" s="1" t="e">
        <f>VLOOKUP(B1311,MICRO!E:L,8,0)</f>
        <v>#N/A</v>
      </c>
    </row>
    <row r="1312" spans="1:14" ht="20.25" x14ac:dyDescent="0.25">
      <c r="A1312" s="1">
        <v>41</v>
      </c>
      <c r="B1312" s="159"/>
      <c r="C1312" s="1" t="s">
        <v>1412</v>
      </c>
      <c r="D1312" s="1"/>
      <c r="E1312" s="1"/>
      <c r="F1312" s="1" t="s">
        <v>1413</v>
      </c>
      <c r="G1312" s="1">
        <v>16</v>
      </c>
      <c r="H1312" s="1" t="s">
        <v>19</v>
      </c>
      <c r="I1312" s="1" t="s">
        <v>427</v>
      </c>
      <c r="J1312" s="1">
        <v>0.02</v>
      </c>
      <c r="K1312" s="1">
        <v>0.32</v>
      </c>
      <c r="L1312" s="42">
        <v>5</v>
      </c>
      <c r="M1312" s="43">
        <v>46055</v>
      </c>
      <c r="N1312" s="1" t="e">
        <f>VLOOKUP(B1312,MICRO!E:L,8,0)</f>
        <v>#N/A</v>
      </c>
    </row>
    <row r="1313" spans="1:14" ht="20.25" x14ac:dyDescent="0.25">
      <c r="A1313" s="1">
        <v>42</v>
      </c>
      <c r="B1313" s="159"/>
      <c r="C1313" s="1" t="s">
        <v>1414</v>
      </c>
      <c r="D1313" s="1"/>
      <c r="E1313" s="1"/>
      <c r="F1313" s="1" t="s">
        <v>1415</v>
      </c>
      <c r="G1313" s="1">
        <v>16</v>
      </c>
      <c r="H1313" s="1" t="s">
        <v>19</v>
      </c>
      <c r="I1313" s="1" t="s">
        <v>423</v>
      </c>
      <c r="J1313" s="1">
        <v>0.02</v>
      </c>
      <c r="K1313" s="1">
        <v>0.32</v>
      </c>
      <c r="L1313" s="42">
        <v>5</v>
      </c>
      <c r="M1313" s="43">
        <v>46055</v>
      </c>
      <c r="N1313" s="1" t="e">
        <f>VLOOKUP(B1313,MICRO!E:L,8,0)</f>
        <v>#N/A</v>
      </c>
    </row>
    <row r="1314" spans="1:14" ht="20.25" x14ac:dyDescent="0.25">
      <c r="A1314" s="1">
        <v>43</v>
      </c>
      <c r="B1314" s="159"/>
      <c r="C1314" s="1" t="s">
        <v>1416</v>
      </c>
      <c r="D1314" s="1"/>
      <c r="E1314" s="1"/>
      <c r="F1314" s="1" t="s">
        <v>1417</v>
      </c>
      <c r="G1314" s="1">
        <v>16</v>
      </c>
      <c r="H1314" s="1" t="s">
        <v>19</v>
      </c>
      <c r="I1314" s="1" t="s">
        <v>426</v>
      </c>
      <c r="J1314" s="1">
        <v>0.02</v>
      </c>
      <c r="K1314" s="1">
        <v>0.32</v>
      </c>
      <c r="L1314" s="42">
        <v>5</v>
      </c>
      <c r="M1314" s="43">
        <v>46055</v>
      </c>
      <c r="N1314" s="1" t="e">
        <f>VLOOKUP(B1314,MICRO!E:L,8,0)</f>
        <v>#N/A</v>
      </c>
    </row>
    <row r="1315" spans="1:14" ht="20.25" x14ac:dyDescent="0.25">
      <c r="A1315" s="1">
        <v>44</v>
      </c>
      <c r="B1315" s="159"/>
      <c r="C1315" s="1" t="s">
        <v>1418</v>
      </c>
      <c r="D1315" s="1"/>
      <c r="E1315" s="1"/>
      <c r="F1315" s="1" t="s">
        <v>1419</v>
      </c>
      <c r="G1315" s="1">
        <v>14</v>
      </c>
      <c r="H1315" s="1" t="s">
        <v>19</v>
      </c>
      <c r="I1315" s="1" t="s">
        <v>1420</v>
      </c>
      <c r="J1315" s="1">
        <v>0.02</v>
      </c>
      <c r="K1315" s="1">
        <v>0.28000000000000003</v>
      </c>
      <c r="L1315" s="42">
        <v>5</v>
      </c>
      <c r="M1315" s="43">
        <v>46055</v>
      </c>
      <c r="N1315" s="1" t="e">
        <f>VLOOKUP(B1315,MICRO!E:L,8,0)</f>
        <v>#N/A</v>
      </c>
    </row>
    <row r="1316" spans="1:14" ht="20.25" x14ac:dyDescent="0.25">
      <c r="A1316" s="1">
        <v>45</v>
      </c>
      <c r="B1316" s="159"/>
      <c r="C1316" s="1" t="s">
        <v>1421</v>
      </c>
      <c r="D1316" s="1"/>
      <c r="E1316" s="1"/>
      <c r="F1316" s="1" t="s">
        <v>1422</v>
      </c>
      <c r="G1316" s="1">
        <v>8</v>
      </c>
      <c r="H1316" s="1" t="s">
        <v>19</v>
      </c>
      <c r="I1316" s="1" t="s">
        <v>1420</v>
      </c>
      <c r="J1316" s="1">
        <v>0.02</v>
      </c>
      <c r="K1316" s="1">
        <v>0.16</v>
      </c>
      <c r="L1316" s="42">
        <v>5</v>
      </c>
      <c r="M1316" s="43">
        <v>46055</v>
      </c>
      <c r="N1316" s="1" t="e">
        <f>VLOOKUP(B1316,MICRO!E:L,8,0)</f>
        <v>#N/A</v>
      </c>
    </row>
    <row r="1317" spans="1:14" ht="20.25" x14ac:dyDescent="0.25">
      <c r="A1317" s="1">
        <v>46</v>
      </c>
      <c r="B1317" s="159"/>
      <c r="C1317" s="1" t="s">
        <v>1423</v>
      </c>
      <c r="D1317" s="1"/>
      <c r="E1317" s="1"/>
      <c r="F1317" s="1" t="s">
        <v>1424</v>
      </c>
      <c r="G1317" s="1">
        <v>28</v>
      </c>
      <c r="H1317" s="1" t="s">
        <v>19</v>
      </c>
      <c r="I1317" s="1" t="s">
        <v>423</v>
      </c>
      <c r="J1317" s="1">
        <v>0.02</v>
      </c>
      <c r="K1317" s="1">
        <v>0.56000000000000005</v>
      </c>
      <c r="L1317" s="42">
        <v>5</v>
      </c>
      <c r="M1317" s="43">
        <v>46055</v>
      </c>
      <c r="N1317" s="1" t="e">
        <f>VLOOKUP(B1317,MICRO!E:L,8,0)</f>
        <v>#N/A</v>
      </c>
    </row>
    <row r="1318" spans="1:14" ht="20.25" x14ac:dyDescent="0.25">
      <c r="A1318" s="1">
        <v>47</v>
      </c>
      <c r="B1318" s="159"/>
      <c r="C1318" s="1" t="s">
        <v>1222</v>
      </c>
      <c r="D1318" s="1"/>
      <c r="E1318" s="1"/>
      <c r="F1318" s="1" t="s">
        <v>1425</v>
      </c>
      <c r="G1318" s="1">
        <v>44</v>
      </c>
      <c r="H1318" s="1" t="s">
        <v>19</v>
      </c>
      <c r="I1318" s="1" t="s">
        <v>423</v>
      </c>
      <c r="J1318" s="1">
        <v>0.02</v>
      </c>
      <c r="K1318" s="1">
        <v>0.88</v>
      </c>
      <c r="L1318" s="42">
        <v>5</v>
      </c>
      <c r="M1318" s="43">
        <v>46055</v>
      </c>
      <c r="N1318" s="1" t="e">
        <f>VLOOKUP(B1318,MICRO!E:L,8,0)</f>
        <v>#N/A</v>
      </c>
    </row>
    <row r="1319" spans="1:14" ht="20.25" x14ac:dyDescent="0.25">
      <c r="A1319" s="1">
        <v>48</v>
      </c>
      <c r="B1319" s="159"/>
      <c r="C1319" s="1" t="s">
        <v>1426</v>
      </c>
      <c r="D1319" s="1"/>
      <c r="E1319" s="1"/>
      <c r="F1319" s="1" t="s">
        <v>1427</v>
      </c>
      <c r="G1319" s="1">
        <v>10</v>
      </c>
      <c r="H1319" s="1" t="s">
        <v>19</v>
      </c>
      <c r="I1319" s="1" t="s">
        <v>424</v>
      </c>
      <c r="J1319" s="1">
        <v>0.02</v>
      </c>
      <c r="K1319" s="1">
        <v>0.2</v>
      </c>
      <c r="L1319" s="42">
        <v>5</v>
      </c>
      <c r="M1319" s="43">
        <v>46055</v>
      </c>
      <c r="N1319" s="1" t="e">
        <f>VLOOKUP(B1319,MICRO!E:L,8,0)</f>
        <v>#N/A</v>
      </c>
    </row>
    <row r="1320" spans="1:14" ht="20.25" x14ac:dyDescent="0.25">
      <c r="A1320" s="1">
        <v>49</v>
      </c>
      <c r="B1320" s="159"/>
      <c r="C1320" s="1" t="s">
        <v>1428</v>
      </c>
      <c r="D1320" s="1"/>
      <c r="E1320" s="1"/>
      <c r="F1320" s="1" t="s">
        <v>1429</v>
      </c>
      <c r="G1320" s="1">
        <v>32</v>
      </c>
      <c r="H1320" s="1" t="s">
        <v>19</v>
      </c>
      <c r="I1320" s="1" t="s">
        <v>426</v>
      </c>
      <c r="J1320" s="1">
        <v>0.02</v>
      </c>
      <c r="K1320" s="1">
        <v>0.64</v>
      </c>
      <c r="L1320" s="42">
        <v>5</v>
      </c>
      <c r="M1320" s="43">
        <v>46055</v>
      </c>
      <c r="N1320" s="1" t="e">
        <f>VLOOKUP(B1320,MICRO!E:L,8,0)</f>
        <v>#N/A</v>
      </c>
    </row>
    <row r="1321" spans="1:14" ht="20.25" x14ac:dyDescent="0.25">
      <c r="A1321" s="1">
        <v>50</v>
      </c>
      <c r="B1321" s="159"/>
      <c r="C1321" s="1" t="s">
        <v>1430</v>
      </c>
      <c r="D1321" s="1"/>
      <c r="E1321" s="1"/>
      <c r="F1321" s="1" t="s">
        <v>1431</v>
      </c>
      <c r="G1321" s="1">
        <v>16</v>
      </c>
      <c r="H1321" s="1" t="s">
        <v>19</v>
      </c>
      <c r="I1321" s="1" t="s">
        <v>424</v>
      </c>
      <c r="J1321" s="1">
        <v>0.02</v>
      </c>
      <c r="K1321" s="1">
        <v>0.32</v>
      </c>
      <c r="L1321" s="42">
        <v>5</v>
      </c>
      <c r="M1321" s="43">
        <v>46055</v>
      </c>
      <c r="N1321" s="1" t="e">
        <f>VLOOKUP(B1321,MICRO!E:L,8,0)</f>
        <v>#N/A</v>
      </c>
    </row>
    <row r="1322" spans="1:14" ht="20.25" x14ac:dyDescent="0.25">
      <c r="A1322" s="1">
        <v>51</v>
      </c>
      <c r="B1322" s="159"/>
      <c r="C1322" s="1" t="s">
        <v>1432</v>
      </c>
      <c r="D1322" s="1"/>
      <c r="E1322" s="1"/>
      <c r="F1322" s="1" t="s">
        <v>1433</v>
      </c>
      <c r="G1322" s="1">
        <v>10</v>
      </c>
      <c r="H1322" s="1" t="s">
        <v>19</v>
      </c>
      <c r="I1322" s="1" t="s">
        <v>1434</v>
      </c>
      <c r="J1322" s="1">
        <v>0.02</v>
      </c>
      <c r="K1322" s="1">
        <v>0.2</v>
      </c>
      <c r="L1322" s="42">
        <v>5</v>
      </c>
      <c r="M1322" s="43">
        <v>46055</v>
      </c>
      <c r="N1322" s="1" t="e">
        <f>VLOOKUP(B1322,MICRO!E:L,8,0)</f>
        <v>#N/A</v>
      </c>
    </row>
    <row r="1323" spans="1:14" ht="20.25" x14ac:dyDescent="0.25">
      <c r="A1323" s="1">
        <v>52</v>
      </c>
      <c r="B1323" s="159"/>
      <c r="C1323" s="1" t="s">
        <v>1435</v>
      </c>
      <c r="D1323" s="1"/>
      <c r="E1323" s="1"/>
      <c r="F1323" s="1" t="s">
        <v>1436</v>
      </c>
      <c r="G1323" s="1">
        <v>14</v>
      </c>
      <c r="H1323" s="1" t="s">
        <v>19</v>
      </c>
      <c r="I1323" s="1" t="s">
        <v>426</v>
      </c>
      <c r="J1323" s="1">
        <v>0.02</v>
      </c>
      <c r="K1323" s="1">
        <v>0.28000000000000003</v>
      </c>
      <c r="L1323" s="42">
        <v>5</v>
      </c>
      <c r="M1323" s="43">
        <v>46055</v>
      </c>
      <c r="N1323" s="1" t="e">
        <f>VLOOKUP(B1323,MICRO!E:L,8,0)</f>
        <v>#N/A</v>
      </c>
    </row>
    <row r="1324" spans="1:14" ht="20.25" x14ac:dyDescent="0.25">
      <c r="A1324" s="1">
        <v>53</v>
      </c>
      <c r="B1324" s="159"/>
      <c r="C1324" s="1" t="s">
        <v>1437</v>
      </c>
      <c r="D1324" s="1"/>
      <c r="E1324" s="1"/>
      <c r="F1324" s="1" t="s">
        <v>1438</v>
      </c>
      <c r="G1324" s="1">
        <v>8</v>
      </c>
      <c r="H1324" s="1" t="s">
        <v>19</v>
      </c>
      <c r="I1324" s="1" t="s">
        <v>426</v>
      </c>
      <c r="J1324" s="1">
        <v>0.02</v>
      </c>
      <c r="K1324" s="1">
        <v>0.16</v>
      </c>
      <c r="L1324" s="42">
        <v>5</v>
      </c>
      <c r="M1324" s="43">
        <v>46055</v>
      </c>
      <c r="N1324" s="1" t="e">
        <f>VLOOKUP(B1324,MICRO!E:L,8,0)</f>
        <v>#N/A</v>
      </c>
    </row>
    <row r="1325" spans="1:14" ht="20.25" x14ac:dyDescent="0.25">
      <c r="A1325" s="1">
        <v>54</v>
      </c>
      <c r="B1325" s="159"/>
      <c r="C1325" s="1" t="s">
        <v>1439</v>
      </c>
      <c r="D1325" s="1"/>
      <c r="E1325" s="1"/>
      <c r="F1325" s="1" t="s">
        <v>1440</v>
      </c>
      <c r="G1325" s="1">
        <v>32</v>
      </c>
      <c r="H1325" s="1" t="s">
        <v>19</v>
      </c>
      <c r="I1325" s="1" t="s">
        <v>426</v>
      </c>
      <c r="J1325" s="1">
        <v>0.02</v>
      </c>
      <c r="K1325" s="1">
        <v>0.64</v>
      </c>
      <c r="L1325" s="42">
        <v>5</v>
      </c>
      <c r="M1325" s="43">
        <v>46055</v>
      </c>
      <c r="N1325" s="1" t="e">
        <f>VLOOKUP(B1325,MICRO!E:L,8,0)</f>
        <v>#N/A</v>
      </c>
    </row>
    <row r="1326" spans="1:14" ht="20.25" x14ac:dyDescent="0.25">
      <c r="A1326" s="1">
        <v>55</v>
      </c>
      <c r="B1326" s="159"/>
      <c r="C1326" s="1" t="s">
        <v>1441</v>
      </c>
      <c r="D1326" s="1"/>
      <c r="E1326" s="1"/>
      <c r="F1326" s="1" t="s">
        <v>1442</v>
      </c>
      <c r="G1326" s="1">
        <v>24</v>
      </c>
      <c r="H1326" s="1" t="s">
        <v>19</v>
      </c>
      <c r="I1326" s="1" t="s">
        <v>426</v>
      </c>
      <c r="J1326" s="1">
        <v>0.02</v>
      </c>
      <c r="K1326" s="1">
        <v>0.48</v>
      </c>
      <c r="L1326" s="42">
        <v>5</v>
      </c>
      <c r="M1326" s="43">
        <v>46055</v>
      </c>
      <c r="N1326" s="1" t="e">
        <f>VLOOKUP(B1326,MICRO!E:L,8,0)</f>
        <v>#N/A</v>
      </c>
    </row>
    <row r="1327" spans="1:14" ht="20.25" x14ac:dyDescent="0.25">
      <c r="A1327" s="1">
        <v>56</v>
      </c>
      <c r="B1327" s="159"/>
      <c r="C1327" s="1" t="s">
        <v>1443</v>
      </c>
      <c r="D1327" s="1"/>
      <c r="E1327" s="1"/>
      <c r="F1327" s="1" t="s">
        <v>1444</v>
      </c>
      <c r="G1327" s="1">
        <v>24</v>
      </c>
      <c r="H1327" s="1" t="s">
        <v>19</v>
      </c>
      <c r="I1327" s="1" t="s">
        <v>426</v>
      </c>
      <c r="J1327" s="1">
        <v>0.02</v>
      </c>
      <c r="K1327" s="1">
        <v>0.48</v>
      </c>
      <c r="L1327" s="42">
        <v>5</v>
      </c>
      <c r="M1327" s="43">
        <v>46055</v>
      </c>
      <c r="N1327" s="1" t="e">
        <f>VLOOKUP(B1327,MICRO!E:L,8,0)</f>
        <v>#N/A</v>
      </c>
    </row>
    <row r="1328" spans="1:14" ht="20.25" x14ac:dyDescent="0.25">
      <c r="A1328" s="1">
        <v>57</v>
      </c>
      <c r="B1328" s="159"/>
      <c r="C1328" s="1" t="s">
        <v>1445</v>
      </c>
      <c r="D1328" s="1"/>
      <c r="E1328" s="1"/>
      <c r="F1328" s="1" t="s">
        <v>1446</v>
      </c>
      <c r="G1328" s="1">
        <v>12</v>
      </c>
      <c r="H1328" s="1" t="s">
        <v>19</v>
      </c>
      <c r="I1328" s="1" t="s">
        <v>427</v>
      </c>
      <c r="J1328" s="1">
        <v>0.02</v>
      </c>
      <c r="K1328" s="1">
        <v>0.24</v>
      </c>
      <c r="L1328" s="42">
        <v>5</v>
      </c>
      <c r="M1328" s="43">
        <v>46055</v>
      </c>
      <c r="N1328" s="1" t="e">
        <f>VLOOKUP(B1328,MICRO!E:L,8,0)</f>
        <v>#N/A</v>
      </c>
    </row>
    <row r="1329" spans="1:14" ht="20.25" x14ac:dyDescent="0.25">
      <c r="A1329" s="1">
        <v>58</v>
      </c>
      <c r="B1329" s="159"/>
      <c r="C1329" s="1" t="s">
        <v>1447</v>
      </c>
      <c r="D1329" s="1"/>
      <c r="E1329" s="1"/>
      <c r="F1329" s="1" t="s">
        <v>1448</v>
      </c>
      <c r="G1329" s="1">
        <v>28</v>
      </c>
      <c r="H1329" s="1" t="s">
        <v>19</v>
      </c>
      <c r="I1329" s="1" t="s">
        <v>427</v>
      </c>
      <c r="J1329" s="1">
        <v>0.02</v>
      </c>
      <c r="K1329" s="1">
        <v>0.56000000000000005</v>
      </c>
      <c r="L1329" s="42">
        <v>5</v>
      </c>
      <c r="M1329" s="43">
        <v>46055</v>
      </c>
      <c r="N1329" s="1" t="e">
        <f>VLOOKUP(B1329,MICRO!E:L,8,0)</f>
        <v>#N/A</v>
      </c>
    </row>
    <row r="1330" spans="1:14" ht="20.25" x14ac:dyDescent="0.25">
      <c r="A1330" s="1">
        <v>59</v>
      </c>
      <c r="B1330" s="159"/>
      <c r="C1330" s="1" t="s">
        <v>1402</v>
      </c>
      <c r="D1330" s="1"/>
      <c r="E1330" s="1"/>
      <c r="F1330" s="1" t="s">
        <v>1449</v>
      </c>
      <c r="G1330" s="1">
        <v>8</v>
      </c>
      <c r="H1330" s="1" t="s">
        <v>19</v>
      </c>
      <c r="I1330" s="1" t="s">
        <v>1404</v>
      </c>
      <c r="J1330" s="1">
        <v>0.02</v>
      </c>
      <c r="K1330" s="1">
        <v>0.16</v>
      </c>
      <c r="L1330" s="42">
        <v>5</v>
      </c>
      <c r="M1330" s="43">
        <v>46055</v>
      </c>
      <c r="N1330" s="1" t="e">
        <f>VLOOKUP(B1330,MICRO!E:L,8,0)</f>
        <v>#N/A</v>
      </c>
    </row>
    <row r="1331" spans="1:14" ht="20.25" x14ac:dyDescent="0.25">
      <c r="A1331" s="1">
        <v>60</v>
      </c>
      <c r="B1331" s="159"/>
      <c r="C1331" s="1" t="s">
        <v>1414</v>
      </c>
      <c r="D1331" s="1"/>
      <c r="E1331" s="1"/>
      <c r="F1331" s="1" t="s">
        <v>1450</v>
      </c>
      <c r="G1331" s="1">
        <v>8</v>
      </c>
      <c r="H1331" s="1" t="s">
        <v>19</v>
      </c>
      <c r="I1331" s="1" t="s">
        <v>423</v>
      </c>
      <c r="J1331" s="1">
        <v>0.02</v>
      </c>
      <c r="K1331" s="1">
        <v>0.16</v>
      </c>
      <c r="L1331" s="42">
        <v>5</v>
      </c>
      <c r="M1331" s="43">
        <v>46055</v>
      </c>
      <c r="N1331" s="1" t="e">
        <f>VLOOKUP(B1331,MICRO!E:L,8,0)</f>
        <v>#N/A</v>
      </c>
    </row>
    <row r="1332" spans="1:14" ht="20.25" x14ac:dyDescent="0.25">
      <c r="A1332" s="1">
        <v>61</v>
      </c>
      <c r="B1332" s="159"/>
      <c r="C1332" s="1" t="s">
        <v>1412</v>
      </c>
      <c r="D1332" s="1"/>
      <c r="E1332" s="1"/>
      <c r="F1332" s="1" t="s">
        <v>1451</v>
      </c>
      <c r="G1332" s="1">
        <v>12</v>
      </c>
      <c r="H1332" s="1" t="s">
        <v>19</v>
      </c>
      <c r="I1332" s="1" t="s">
        <v>427</v>
      </c>
      <c r="J1332" s="1">
        <v>0.02</v>
      </c>
      <c r="K1332" s="1">
        <v>0.24</v>
      </c>
      <c r="L1332" s="42">
        <v>5</v>
      </c>
      <c r="M1332" s="43">
        <v>46055</v>
      </c>
      <c r="N1332" s="1" t="e">
        <f>VLOOKUP(B1332,MICRO!E:L,8,0)</f>
        <v>#N/A</v>
      </c>
    </row>
    <row r="1333" spans="1:14" ht="20.25" x14ac:dyDescent="0.25">
      <c r="A1333" s="1">
        <v>62</v>
      </c>
      <c r="B1333" s="159"/>
      <c r="C1333" s="1" t="s">
        <v>1416</v>
      </c>
      <c r="D1333" s="1"/>
      <c r="E1333" s="1"/>
      <c r="F1333" s="1" t="s">
        <v>1452</v>
      </c>
      <c r="G1333" s="1">
        <v>8</v>
      </c>
      <c r="H1333" s="1" t="s">
        <v>19</v>
      </c>
      <c r="I1333" s="1" t="s">
        <v>426</v>
      </c>
      <c r="J1333" s="1">
        <v>0.02</v>
      </c>
      <c r="K1333" s="1">
        <v>0.16</v>
      </c>
      <c r="L1333" s="42">
        <v>5</v>
      </c>
      <c r="M1333" s="43">
        <v>46055</v>
      </c>
      <c r="N1333" s="1" t="e">
        <f>VLOOKUP(B1333,MICRO!E:L,8,0)</f>
        <v>#N/A</v>
      </c>
    </row>
    <row r="1334" spans="1:14" ht="20.25" x14ac:dyDescent="0.25">
      <c r="A1334" s="1">
        <v>63</v>
      </c>
      <c r="B1334" s="159"/>
      <c r="C1334" s="1" t="s">
        <v>1453</v>
      </c>
      <c r="D1334" s="1"/>
      <c r="E1334" s="1"/>
      <c r="F1334" s="1" t="s">
        <v>1454</v>
      </c>
      <c r="G1334" s="1">
        <v>14</v>
      </c>
      <c r="H1334" s="1" t="s">
        <v>19</v>
      </c>
      <c r="I1334" s="1" t="s">
        <v>1455</v>
      </c>
      <c r="J1334" s="1">
        <v>0.02</v>
      </c>
      <c r="K1334" s="1">
        <v>0.28000000000000003</v>
      </c>
      <c r="L1334" s="42">
        <v>5</v>
      </c>
      <c r="M1334" s="43">
        <v>46055</v>
      </c>
      <c r="N1334" s="1" t="e">
        <f>VLOOKUP(B1334,MICRO!E:L,8,0)</f>
        <v>#N/A</v>
      </c>
    </row>
    <row r="1335" spans="1:14" ht="20.25" x14ac:dyDescent="0.25">
      <c r="A1335" s="1">
        <v>64</v>
      </c>
      <c r="B1335" s="159"/>
      <c r="C1335" s="1" t="s">
        <v>1418</v>
      </c>
      <c r="D1335" s="1"/>
      <c r="E1335" s="1"/>
      <c r="F1335" s="1" t="s">
        <v>1456</v>
      </c>
      <c r="G1335" s="1">
        <v>16</v>
      </c>
      <c r="H1335" s="1" t="s">
        <v>19</v>
      </c>
      <c r="I1335" s="1" t="s">
        <v>1420</v>
      </c>
      <c r="J1335" s="1">
        <v>0.02</v>
      </c>
      <c r="K1335" s="1">
        <v>0.32</v>
      </c>
      <c r="L1335" s="42">
        <v>5</v>
      </c>
      <c r="M1335" s="43">
        <v>46055</v>
      </c>
      <c r="N1335" s="1" t="e">
        <f>VLOOKUP(B1335,MICRO!E:L,8,0)</f>
        <v>#N/A</v>
      </c>
    </row>
    <row r="1336" spans="1:14" ht="20.25" x14ac:dyDescent="0.25">
      <c r="A1336" s="1">
        <v>65</v>
      </c>
      <c r="B1336" s="159"/>
      <c r="C1336" s="1" t="s">
        <v>1421</v>
      </c>
      <c r="D1336" s="1"/>
      <c r="E1336" s="1"/>
      <c r="F1336" s="1" t="s">
        <v>1457</v>
      </c>
      <c r="G1336" s="1">
        <v>16</v>
      </c>
      <c r="H1336" s="1" t="s">
        <v>19</v>
      </c>
      <c r="I1336" s="1" t="s">
        <v>1420</v>
      </c>
      <c r="J1336" s="1">
        <v>0.02</v>
      </c>
      <c r="K1336" s="1">
        <v>0.32</v>
      </c>
      <c r="L1336" s="42">
        <v>5</v>
      </c>
      <c r="M1336" s="43">
        <v>46055</v>
      </c>
      <c r="N1336" s="1" t="e">
        <f>VLOOKUP(B1336,MICRO!E:L,8,0)</f>
        <v>#N/A</v>
      </c>
    </row>
    <row r="1337" spans="1:14" ht="20.25" x14ac:dyDescent="0.25">
      <c r="A1337" s="1">
        <v>66</v>
      </c>
      <c r="B1337" s="159"/>
      <c r="C1337" s="1" t="s">
        <v>1458</v>
      </c>
      <c r="D1337" s="1"/>
      <c r="E1337" s="1"/>
      <c r="F1337" s="1" t="s">
        <v>1459</v>
      </c>
      <c r="G1337" s="1">
        <v>7</v>
      </c>
      <c r="H1337" s="1" t="s">
        <v>19</v>
      </c>
      <c r="I1337" s="1" t="s">
        <v>425</v>
      </c>
      <c r="J1337" s="1">
        <v>0.02</v>
      </c>
      <c r="K1337" s="1">
        <v>0.14000000000000001</v>
      </c>
      <c r="L1337" s="42">
        <v>5</v>
      </c>
      <c r="M1337" s="43">
        <v>46055</v>
      </c>
      <c r="N1337" s="1" t="e">
        <f>VLOOKUP(B1337,MICRO!E:L,8,0)</f>
        <v>#N/A</v>
      </c>
    </row>
    <row r="1338" spans="1:14" ht="20.25" x14ac:dyDescent="0.25">
      <c r="A1338" s="1">
        <v>67</v>
      </c>
      <c r="B1338" s="159"/>
      <c r="C1338" s="1" t="s">
        <v>1460</v>
      </c>
      <c r="D1338" s="1"/>
      <c r="E1338" s="1"/>
      <c r="F1338" s="1" t="s">
        <v>1461</v>
      </c>
      <c r="G1338" s="1">
        <v>16</v>
      </c>
      <c r="H1338" s="1" t="s">
        <v>19</v>
      </c>
      <c r="I1338" s="1" t="s">
        <v>426</v>
      </c>
      <c r="J1338" s="1">
        <v>0.02</v>
      </c>
      <c r="K1338" s="1">
        <v>0.32</v>
      </c>
      <c r="L1338" s="42">
        <v>5</v>
      </c>
      <c r="M1338" s="43">
        <v>46055</v>
      </c>
      <c r="N1338" s="1" t="e">
        <f>VLOOKUP(B1338,MICRO!E:L,8,0)</f>
        <v>#N/A</v>
      </c>
    </row>
    <row r="1339" spans="1:14" ht="20.25" x14ac:dyDescent="0.25">
      <c r="A1339" s="1">
        <v>68</v>
      </c>
      <c r="B1339" s="159"/>
      <c r="C1339" s="1" t="s">
        <v>1437</v>
      </c>
      <c r="D1339" s="1"/>
      <c r="E1339" s="1"/>
      <c r="F1339" s="1" t="s">
        <v>1462</v>
      </c>
      <c r="G1339" s="1">
        <v>16</v>
      </c>
      <c r="H1339" s="1" t="s">
        <v>19</v>
      </c>
      <c r="I1339" s="1" t="s">
        <v>426</v>
      </c>
      <c r="J1339" s="1">
        <v>0.02</v>
      </c>
      <c r="K1339" s="1">
        <v>0.32</v>
      </c>
      <c r="L1339" s="42">
        <v>5</v>
      </c>
      <c r="M1339" s="43">
        <v>46055</v>
      </c>
      <c r="N1339" s="1" t="e">
        <f>VLOOKUP(B1339,MICRO!E:L,8,0)</f>
        <v>#N/A</v>
      </c>
    </row>
    <row r="1340" spans="1:14" ht="20.25" x14ac:dyDescent="0.25">
      <c r="A1340" s="1">
        <v>69</v>
      </c>
      <c r="B1340" s="159"/>
      <c r="C1340" s="1" t="s">
        <v>1463</v>
      </c>
      <c r="D1340" s="1"/>
      <c r="E1340" s="1"/>
      <c r="F1340" s="1" t="s">
        <v>1464</v>
      </c>
      <c r="G1340" s="1">
        <v>68</v>
      </c>
      <c r="H1340" s="1" t="s">
        <v>19</v>
      </c>
      <c r="I1340" s="1" t="s">
        <v>425</v>
      </c>
      <c r="J1340" s="1">
        <v>0.02</v>
      </c>
      <c r="K1340" s="1">
        <v>1.36</v>
      </c>
      <c r="L1340" s="42">
        <v>5</v>
      </c>
      <c r="M1340" s="43">
        <v>46055</v>
      </c>
      <c r="N1340" s="1" t="e">
        <f>VLOOKUP(B1340,MICRO!E:L,8,0)</f>
        <v>#N/A</v>
      </c>
    </row>
    <row r="1341" spans="1:14" ht="20.25" x14ac:dyDescent="0.25">
      <c r="A1341" s="1">
        <v>70</v>
      </c>
      <c r="B1341" s="159"/>
      <c r="C1341" s="1" t="s">
        <v>1426</v>
      </c>
      <c r="D1341" s="1"/>
      <c r="E1341" s="1"/>
      <c r="F1341" s="1" t="s">
        <v>1465</v>
      </c>
      <c r="G1341" s="1">
        <v>8</v>
      </c>
      <c r="H1341" s="1" t="s">
        <v>19</v>
      </c>
      <c r="I1341" s="1" t="s">
        <v>424</v>
      </c>
      <c r="J1341" s="1">
        <v>0.02</v>
      </c>
      <c r="K1341" s="1">
        <v>0.16</v>
      </c>
      <c r="L1341" s="42">
        <v>5</v>
      </c>
      <c r="M1341" s="43">
        <v>46055</v>
      </c>
      <c r="N1341" s="1" t="e">
        <f>VLOOKUP(B1341,MICRO!E:L,8,0)</f>
        <v>#N/A</v>
      </c>
    </row>
    <row r="1342" spans="1:14" ht="20.25" x14ac:dyDescent="0.25">
      <c r="A1342" s="1">
        <v>71</v>
      </c>
      <c r="B1342" s="159"/>
      <c r="C1342" s="1" t="s">
        <v>1466</v>
      </c>
      <c r="D1342" s="1"/>
      <c r="E1342" s="1"/>
      <c r="F1342" s="1" t="s">
        <v>1467</v>
      </c>
      <c r="G1342" s="1">
        <v>8</v>
      </c>
      <c r="H1342" s="1" t="s">
        <v>19</v>
      </c>
      <c r="I1342" s="1" t="s">
        <v>425</v>
      </c>
      <c r="J1342" s="1">
        <v>0.02</v>
      </c>
      <c r="K1342" s="1">
        <v>0.16</v>
      </c>
      <c r="L1342" s="42">
        <v>5</v>
      </c>
      <c r="M1342" s="43">
        <v>46055</v>
      </c>
      <c r="N1342" s="1" t="e">
        <f>VLOOKUP(B1342,MICRO!E:L,8,0)</f>
        <v>#N/A</v>
      </c>
    </row>
    <row r="1343" spans="1:14" ht="20.25" x14ac:dyDescent="0.25">
      <c r="A1343" s="1">
        <v>72</v>
      </c>
      <c r="B1343" s="159"/>
      <c r="C1343" s="1" t="s">
        <v>1468</v>
      </c>
      <c r="D1343" s="1"/>
      <c r="E1343" s="1"/>
      <c r="F1343" s="1" t="s">
        <v>1469</v>
      </c>
      <c r="G1343" s="1">
        <v>12</v>
      </c>
      <c r="H1343" s="1" t="s">
        <v>19</v>
      </c>
      <c r="I1343" s="1" t="s">
        <v>427</v>
      </c>
      <c r="J1343" s="1">
        <v>0.02</v>
      </c>
      <c r="K1343" s="1">
        <v>0.24</v>
      </c>
      <c r="L1343" s="42">
        <v>5</v>
      </c>
      <c r="M1343" s="43">
        <v>46055</v>
      </c>
      <c r="N1343" s="1" t="e">
        <f>VLOOKUP(B1343,MICRO!E:L,8,0)</f>
        <v>#N/A</v>
      </c>
    </row>
    <row r="1344" spans="1:14" ht="20.25" x14ac:dyDescent="0.25">
      <c r="A1344" s="1">
        <v>73</v>
      </c>
      <c r="B1344" s="159"/>
      <c r="C1344" s="1" t="s">
        <v>1470</v>
      </c>
      <c r="D1344" s="1"/>
      <c r="E1344" s="1"/>
      <c r="F1344" s="1" t="s">
        <v>1471</v>
      </c>
      <c r="G1344" s="1">
        <v>20</v>
      </c>
      <c r="H1344" s="1" t="s">
        <v>19</v>
      </c>
      <c r="I1344" s="1" t="s">
        <v>423</v>
      </c>
      <c r="J1344" s="1">
        <v>0.02</v>
      </c>
      <c r="K1344" s="1">
        <v>0.4</v>
      </c>
      <c r="L1344" s="42">
        <v>5</v>
      </c>
      <c r="M1344" s="43">
        <v>46055</v>
      </c>
      <c r="N1344" s="1" t="e">
        <f>VLOOKUP(B1344,MICRO!E:L,8,0)</f>
        <v>#N/A</v>
      </c>
    </row>
    <row r="1345" spans="1:14" ht="20.25" x14ac:dyDescent="0.25">
      <c r="A1345" s="1">
        <v>74</v>
      </c>
      <c r="B1345" s="159"/>
      <c r="C1345" s="1" t="s">
        <v>1463</v>
      </c>
      <c r="D1345" s="1"/>
      <c r="E1345" s="1"/>
      <c r="F1345" s="1" t="s">
        <v>1472</v>
      </c>
      <c r="G1345" s="1">
        <v>16</v>
      </c>
      <c r="H1345" s="1" t="s">
        <v>19</v>
      </c>
      <c r="I1345" s="1" t="s">
        <v>425</v>
      </c>
      <c r="J1345" s="1">
        <v>0.02</v>
      </c>
      <c r="K1345" s="1">
        <v>0.32</v>
      </c>
      <c r="L1345" s="42">
        <v>5</v>
      </c>
      <c r="M1345" s="43">
        <v>46055</v>
      </c>
      <c r="N1345" s="1" t="e">
        <f>VLOOKUP(B1345,MICRO!E:L,8,0)</f>
        <v>#N/A</v>
      </c>
    </row>
    <row r="1346" spans="1:14" ht="20.25" x14ac:dyDescent="0.25">
      <c r="A1346" s="1">
        <v>75</v>
      </c>
      <c r="B1346" s="159"/>
      <c r="C1346" s="1" t="s">
        <v>1468</v>
      </c>
      <c r="D1346" s="1"/>
      <c r="E1346" s="1"/>
      <c r="F1346" s="1" t="s">
        <v>1473</v>
      </c>
      <c r="G1346" s="1">
        <v>4</v>
      </c>
      <c r="H1346" s="1" t="s">
        <v>19</v>
      </c>
      <c r="I1346" s="1" t="s">
        <v>427</v>
      </c>
      <c r="J1346" s="1">
        <v>0.05</v>
      </c>
      <c r="K1346" s="1">
        <v>0.2</v>
      </c>
      <c r="L1346" s="42">
        <v>5</v>
      </c>
      <c r="M1346" s="43">
        <v>46055</v>
      </c>
      <c r="N1346" s="1" t="e">
        <f>VLOOKUP(B1346,MICRO!E:L,8,0)</f>
        <v>#N/A</v>
      </c>
    </row>
    <row r="1347" spans="1:14" ht="20.25" x14ac:dyDescent="0.25">
      <c r="A1347" s="1">
        <v>76</v>
      </c>
      <c r="B1347" s="159"/>
      <c r="C1347" s="1" t="s">
        <v>1453</v>
      </c>
      <c r="D1347" s="1"/>
      <c r="E1347" s="1"/>
      <c r="F1347" s="1" t="s">
        <v>1474</v>
      </c>
      <c r="G1347" s="1">
        <v>14</v>
      </c>
      <c r="H1347" s="1" t="s">
        <v>19</v>
      </c>
      <c r="I1347" s="1" t="s">
        <v>1475</v>
      </c>
      <c r="J1347" s="1">
        <v>0.05</v>
      </c>
      <c r="K1347" s="1">
        <v>0.70000000000000007</v>
      </c>
      <c r="L1347" s="42">
        <v>5</v>
      </c>
      <c r="M1347" s="43">
        <v>46055</v>
      </c>
      <c r="N1347" s="1" t="e">
        <f>VLOOKUP(B1347,MICRO!E:L,8,0)</f>
        <v>#N/A</v>
      </c>
    </row>
    <row r="1348" spans="1:14" ht="20.25" x14ac:dyDescent="0.25">
      <c r="A1348" s="1">
        <v>77</v>
      </c>
      <c r="B1348" s="159"/>
      <c r="C1348" s="1" t="s">
        <v>1476</v>
      </c>
      <c r="D1348" s="1"/>
      <c r="E1348" s="1"/>
      <c r="F1348" s="1" t="s">
        <v>1477</v>
      </c>
      <c r="G1348" s="1">
        <v>10</v>
      </c>
      <c r="H1348" s="1" t="s">
        <v>19</v>
      </c>
      <c r="I1348" s="1" t="s">
        <v>1420</v>
      </c>
      <c r="J1348" s="1">
        <v>0.05</v>
      </c>
      <c r="K1348" s="1">
        <v>0.5</v>
      </c>
      <c r="L1348" s="42">
        <v>5</v>
      </c>
      <c r="M1348" s="43">
        <v>46055</v>
      </c>
      <c r="N1348" s="1" t="e">
        <f>VLOOKUP(B1348,MICRO!E:L,8,0)</f>
        <v>#N/A</v>
      </c>
    </row>
    <row r="1349" spans="1:14" ht="20.25" x14ac:dyDescent="0.25">
      <c r="A1349" s="1">
        <v>78</v>
      </c>
      <c r="B1349" s="159"/>
      <c r="C1349" s="1" t="s">
        <v>1423</v>
      </c>
      <c r="D1349" s="1"/>
      <c r="E1349" s="1"/>
      <c r="F1349" s="1" t="s">
        <v>1478</v>
      </c>
      <c r="G1349" s="1">
        <v>28</v>
      </c>
      <c r="H1349" s="1" t="s">
        <v>19</v>
      </c>
      <c r="I1349" s="1" t="s">
        <v>423</v>
      </c>
      <c r="J1349" s="1">
        <v>0.05</v>
      </c>
      <c r="K1349" s="1">
        <v>1.4000000000000001</v>
      </c>
      <c r="L1349" s="42">
        <v>5</v>
      </c>
      <c r="M1349" s="43">
        <v>46055</v>
      </c>
      <c r="N1349" s="1" t="e">
        <f>VLOOKUP(B1349,MICRO!E:L,8,0)</f>
        <v>#N/A</v>
      </c>
    </row>
    <row r="1350" spans="1:14" ht="20.25" x14ac:dyDescent="0.25">
      <c r="A1350" s="1">
        <v>79</v>
      </c>
      <c r="B1350" s="159"/>
      <c r="C1350" s="1" t="s">
        <v>1426</v>
      </c>
      <c r="D1350" s="1"/>
      <c r="E1350" s="1"/>
      <c r="F1350" s="1" t="s">
        <v>1479</v>
      </c>
      <c r="G1350" s="1">
        <v>10</v>
      </c>
      <c r="H1350" s="1" t="s">
        <v>19</v>
      </c>
      <c r="I1350" s="1" t="s">
        <v>424</v>
      </c>
      <c r="J1350" s="1">
        <v>0.05</v>
      </c>
      <c r="K1350" s="1">
        <v>0.5</v>
      </c>
      <c r="L1350" s="42">
        <v>5</v>
      </c>
      <c r="M1350" s="43">
        <v>46055</v>
      </c>
      <c r="N1350" s="1" t="e">
        <f>VLOOKUP(B1350,MICRO!E:L,8,0)</f>
        <v>#N/A</v>
      </c>
    </row>
    <row r="1351" spans="1:14" ht="20.25" x14ac:dyDescent="0.25">
      <c r="A1351" s="1">
        <v>80</v>
      </c>
      <c r="B1351" s="159"/>
      <c r="C1351" s="1" t="s">
        <v>1466</v>
      </c>
      <c r="D1351" s="1"/>
      <c r="E1351" s="1"/>
      <c r="F1351" s="1" t="s">
        <v>1480</v>
      </c>
      <c r="G1351" s="1">
        <v>16</v>
      </c>
      <c r="H1351" s="1" t="s">
        <v>19</v>
      </c>
      <c r="I1351" s="1" t="s">
        <v>425</v>
      </c>
      <c r="J1351" s="1">
        <v>0.05</v>
      </c>
      <c r="K1351" s="1">
        <v>0.8</v>
      </c>
      <c r="L1351" s="42">
        <v>5</v>
      </c>
      <c r="M1351" s="43">
        <v>46055</v>
      </c>
      <c r="N1351" s="1" t="e">
        <f>VLOOKUP(B1351,MICRO!E:L,8,0)</f>
        <v>#N/A</v>
      </c>
    </row>
    <row r="1352" spans="1:14" ht="20.25" x14ac:dyDescent="0.25">
      <c r="A1352" s="1">
        <v>81</v>
      </c>
      <c r="B1352" s="159"/>
      <c r="C1352" s="1" t="s">
        <v>1428</v>
      </c>
      <c r="D1352" s="1"/>
      <c r="E1352" s="1"/>
      <c r="F1352" s="1" t="s">
        <v>1481</v>
      </c>
      <c r="G1352" s="1">
        <v>32</v>
      </c>
      <c r="H1352" s="1" t="s">
        <v>19</v>
      </c>
      <c r="I1352" s="1" t="s">
        <v>426</v>
      </c>
      <c r="J1352" s="1">
        <v>0.05</v>
      </c>
      <c r="K1352" s="1">
        <v>1.6</v>
      </c>
      <c r="L1352" s="42">
        <v>5</v>
      </c>
      <c r="M1352" s="43">
        <v>46055</v>
      </c>
      <c r="N1352" s="1" t="e">
        <f>VLOOKUP(B1352,MICRO!E:L,8,0)</f>
        <v>#N/A</v>
      </c>
    </row>
    <row r="1353" spans="1:14" ht="20.25" x14ac:dyDescent="0.25">
      <c r="A1353" s="1">
        <v>82</v>
      </c>
      <c r="B1353" s="159"/>
      <c r="C1353" s="1" t="s">
        <v>1409</v>
      </c>
      <c r="D1353" s="1"/>
      <c r="E1353" s="1"/>
      <c r="F1353" s="1" t="s">
        <v>1482</v>
      </c>
      <c r="G1353" s="1">
        <v>4</v>
      </c>
      <c r="H1353" s="1" t="s">
        <v>19</v>
      </c>
      <c r="I1353" s="1" t="s">
        <v>426</v>
      </c>
      <c r="J1353" s="1">
        <v>0.05</v>
      </c>
      <c r="K1353" s="1">
        <v>0.2</v>
      </c>
      <c r="L1353" s="42">
        <v>5</v>
      </c>
      <c r="M1353" s="43">
        <v>46055</v>
      </c>
      <c r="N1353" s="1" t="e">
        <f>VLOOKUP(B1353,MICRO!E:L,8,0)</f>
        <v>#N/A</v>
      </c>
    </row>
    <row r="1354" spans="1:14" ht="20.25" x14ac:dyDescent="0.25">
      <c r="A1354" s="1">
        <v>83</v>
      </c>
      <c r="B1354" s="159"/>
      <c r="C1354" s="1" t="s">
        <v>1432</v>
      </c>
      <c r="D1354" s="1"/>
      <c r="E1354" s="1"/>
      <c r="F1354" s="1" t="s">
        <v>1483</v>
      </c>
      <c r="G1354" s="1">
        <v>4</v>
      </c>
      <c r="H1354" s="1" t="s">
        <v>19</v>
      </c>
      <c r="I1354" s="1" t="s">
        <v>1484</v>
      </c>
      <c r="J1354" s="1">
        <v>0.05</v>
      </c>
      <c r="K1354" s="1">
        <v>0.2</v>
      </c>
      <c r="L1354" s="42">
        <v>5</v>
      </c>
      <c r="M1354" s="43">
        <v>46055</v>
      </c>
      <c r="N1354" s="1" t="e">
        <f>VLOOKUP(B1354,MICRO!E:L,8,0)</f>
        <v>#N/A</v>
      </c>
    </row>
    <row r="1355" spans="1:14" ht="20.25" x14ac:dyDescent="0.25">
      <c r="A1355" s="1">
        <v>84</v>
      </c>
      <c r="B1355" s="159"/>
      <c r="C1355" s="1" t="s">
        <v>1485</v>
      </c>
      <c r="D1355" s="1"/>
      <c r="E1355" s="1"/>
      <c r="F1355" s="1" t="s">
        <v>1486</v>
      </c>
      <c r="G1355" s="1">
        <v>7</v>
      </c>
      <c r="H1355" s="1" t="s">
        <v>19</v>
      </c>
      <c r="I1355" s="1" t="s">
        <v>425</v>
      </c>
      <c r="J1355" s="1">
        <v>0.05</v>
      </c>
      <c r="K1355" s="1">
        <v>0.35000000000000003</v>
      </c>
      <c r="L1355" s="42">
        <v>5</v>
      </c>
      <c r="M1355" s="43">
        <v>46055</v>
      </c>
      <c r="N1355" s="1" t="e">
        <f>VLOOKUP(B1355,MICRO!E:L,8,0)</f>
        <v>#N/A</v>
      </c>
    </row>
    <row r="1356" spans="1:14" ht="20.25" x14ac:dyDescent="0.25">
      <c r="A1356" s="1">
        <v>85</v>
      </c>
      <c r="B1356" s="159"/>
      <c r="C1356" s="1" t="s">
        <v>1460</v>
      </c>
      <c r="D1356" s="1"/>
      <c r="E1356" s="1"/>
      <c r="F1356" s="1" t="s">
        <v>1487</v>
      </c>
      <c r="G1356" s="1">
        <v>16</v>
      </c>
      <c r="H1356" s="1" t="s">
        <v>19</v>
      </c>
      <c r="I1356" s="1" t="s">
        <v>426</v>
      </c>
      <c r="J1356" s="1">
        <v>0.05</v>
      </c>
      <c r="K1356" s="1">
        <v>0.8</v>
      </c>
      <c r="L1356" s="42">
        <v>5</v>
      </c>
      <c r="M1356" s="43">
        <v>46055</v>
      </c>
      <c r="N1356" s="1" t="e">
        <f>VLOOKUP(B1356,MICRO!E:L,8,0)</f>
        <v>#N/A</v>
      </c>
    </row>
    <row r="1357" spans="1:14" ht="20.25" x14ac:dyDescent="0.25">
      <c r="A1357" s="1">
        <v>86</v>
      </c>
      <c r="B1357" s="159"/>
      <c r="C1357" s="1" t="s">
        <v>1460</v>
      </c>
      <c r="D1357" s="1"/>
      <c r="E1357" s="1"/>
      <c r="F1357" s="1" t="s">
        <v>1487</v>
      </c>
      <c r="G1357" s="1">
        <v>10</v>
      </c>
      <c r="H1357" s="1" t="s">
        <v>19</v>
      </c>
      <c r="I1357" s="1" t="s">
        <v>426</v>
      </c>
      <c r="J1357" s="1">
        <v>0.05</v>
      </c>
      <c r="K1357" s="1">
        <v>0.5</v>
      </c>
      <c r="L1357" s="42">
        <v>5</v>
      </c>
      <c r="M1357" s="43">
        <v>46055</v>
      </c>
      <c r="N1357" s="1" t="e">
        <f>VLOOKUP(B1357,MICRO!E:L,8,0)</f>
        <v>#N/A</v>
      </c>
    </row>
    <row r="1358" spans="1:14" ht="20.25" x14ac:dyDescent="0.25">
      <c r="A1358" s="1">
        <v>87</v>
      </c>
      <c r="B1358" s="159"/>
      <c r="C1358" s="1" t="s">
        <v>1445</v>
      </c>
      <c r="D1358" s="1"/>
      <c r="E1358" s="1"/>
      <c r="F1358" s="1" t="s">
        <v>1488</v>
      </c>
      <c r="G1358" s="1">
        <v>12</v>
      </c>
      <c r="H1358" s="1" t="s">
        <v>19</v>
      </c>
      <c r="I1358" s="1" t="s">
        <v>427</v>
      </c>
      <c r="J1358" s="1">
        <v>0.05</v>
      </c>
      <c r="K1358" s="1">
        <v>0.60000000000000009</v>
      </c>
      <c r="L1358" s="42">
        <v>5</v>
      </c>
      <c r="M1358" s="43">
        <v>46055</v>
      </c>
      <c r="N1358" s="1" t="e">
        <f>VLOOKUP(B1358,MICRO!E:L,8,0)</f>
        <v>#N/A</v>
      </c>
    </row>
    <row r="1359" spans="1:14" ht="20.25" x14ac:dyDescent="0.25">
      <c r="A1359" s="1">
        <v>88</v>
      </c>
      <c r="B1359" s="159"/>
      <c r="C1359" s="1" t="s">
        <v>1470</v>
      </c>
      <c r="D1359" s="1"/>
      <c r="E1359" s="1"/>
      <c r="F1359" s="1" t="s">
        <v>1489</v>
      </c>
      <c r="G1359" s="1">
        <v>4</v>
      </c>
      <c r="H1359" s="1" t="s">
        <v>19</v>
      </c>
      <c r="I1359" s="1" t="s">
        <v>423</v>
      </c>
      <c r="J1359" s="1">
        <v>0.05</v>
      </c>
      <c r="K1359" s="1">
        <v>0.2</v>
      </c>
      <c r="L1359" s="42">
        <v>5</v>
      </c>
      <c r="M1359" s="43">
        <v>46055</v>
      </c>
      <c r="N1359" s="1" t="e">
        <f>VLOOKUP(B1359,MICRO!E:L,8,0)</f>
        <v>#N/A</v>
      </c>
    </row>
    <row r="1360" spans="1:14" ht="20.25" x14ac:dyDescent="0.25">
      <c r="A1360" s="1">
        <v>89</v>
      </c>
      <c r="B1360" s="159"/>
      <c r="C1360" s="1" t="s">
        <v>1463</v>
      </c>
      <c r="D1360" s="1"/>
      <c r="E1360" s="1"/>
      <c r="F1360" s="1" t="s">
        <v>1490</v>
      </c>
      <c r="G1360" s="1">
        <v>40</v>
      </c>
      <c r="H1360" s="1" t="s">
        <v>19</v>
      </c>
      <c r="I1360" s="1" t="s">
        <v>425</v>
      </c>
      <c r="J1360" s="1">
        <v>0.05</v>
      </c>
      <c r="K1360" s="1">
        <v>2</v>
      </c>
      <c r="L1360" s="42">
        <v>5</v>
      </c>
      <c r="M1360" s="43">
        <v>46055</v>
      </c>
      <c r="N1360" s="1" t="e">
        <f>VLOOKUP(B1360,MICRO!E:L,8,0)</f>
        <v>#N/A</v>
      </c>
    </row>
    <row r="1361" spans="1:14" ht="20.25" x14ac:dyDescent="0.25">
      <c r="A1361" s="1">
        <v>90</v>
      </c>
      <c r="B1361" s="159"/>
      <c r="C1361" s="1" t="s">
        <v>1468</v>
      </c>
      <c r="D1361" s="1"/>
      <c r="E1361" s="1"/>
      <c r="F1361" s="1" t="s">
        <v>1491</v>
      </c>
      <c r="G1361" s="1">
        <v>8</v>
      </c>
      <c r="H1361" s="1" t="s">
        <v>19</v>
      </c>
      <c r="I1361" s="1" t="s">
        <v>427</v>
      </c>
      <c r="J1361" s="1">
        <v>0.05</v>
      </c>
      <c r="K1361" s="1">
        <v>0.4</v>
      </c>
      <c r="L1361" s="42">
        <v>5</v>
      </c>
      <c r="M1361" s="43">
        <v>46055</v>
      </c>
      <c r="N1361" s="1" t="e">
        <f>VLOOKUP(B1361,MICRO!E:L,8,0)</f>
        <v>#N/A</v>
      </c>
    </row>
    <row r="1362" spans="1:14" ht="20.25" x14ac:dyDescent="0.25">
      <c r="A1362" s="1">
        <v>91</v>
      </c>
      <c r="B1362" s="159"/>
      <c r="C1362" s="1" t="s">
        <v>1421</v>
      </c>
      <c r="D1362" s="1"/>
      <c r="E1362" s="1"/>
      <c r="F1362" s="1" t="s">
        <v>1492</v>
      </c>
      <c r="G1362" s="1">
        <v>8</v>
      </c>
      <c r="H1362" s="1" t="s">
        <v>19</v>
      </c>
      <c r="I1362" s="1" t="s">
        <v>1420</v>
      </c>
      <c r="J1362" s="1">
        <v>0.05</v>
      </c>
      <c r="K1362" s="1">
        <v>0.4</v>
      </c>
      <c r="L1362" s="42">
        <v>5</v>
      </c>
      <c r="M1362" s="43">
        <v>46055</v>
      </c>
      <c r="N1362" s="1" t="e">
        <f>VLOOKUP(B1362,MICRO!E:L,8,0)</f>
        <v>#N/A</v>
      </c>
    </row>
    <row r="1363" spans="1:14" ht="20.25" x14ac:dyDescent="0.25">
      <c r="A1363" s="1">
        <v>92</v>
      </c>
      <c r="B1363" s="159"/>
      <c r="C1363" s="1" t="s">
        <v>1470</v>
      </c>
      <c r="D1363" s="1"/>
      <c r="E1363" s="1"/>
      <c r="F1363" s="1" t="s">
        <v>1493</v>
      </c>
      <c r="G1363" s="1">
        <v>16</v>
      </c>
      <c r="H1363" s="1" t="s">
        <v>19</v>
      </c>
      <c r="I1363" s="1" t="s">
        <v>423</v>
      </c>
      <c r="J1363" s="1">
        <v>0.05</v>
      </c>
      <c r="K1363" s="1">
        <v>0.8</v>
      </c>
      <c r="L1363" s="42">
        <v>5</v>
      </c>
      <c r="M1363" s="43">
        <v>46055</v>
      </c>
      <c r="N1363" s="1" t="e">
        <f>VLOOKUP(B1363,MICRO!E:L,8,0)</f>
        <v>#N/A</v>
      </c>
    </row>
    <row r="1364" spans="1:14" ht="20.25" x14ac:dyDescent="0.25">
      <c r="A1364" s="1">
        <v>93</v>
      </c>
      <c r="B1364" s="159"/>
      <c r="C1364" s="1" t="s">
        <v>1409</v>
      </c>
      <c r="D1364" s="1"/>
      <c r="E1364" s="1"/>
      <c r="F1364" s="1" t="s">
        <v>1494</v>
      </c>
      <c r="G1364" s="1">
        <v>4</v>
      </c>
      <c r="H1364" s="1" t="s">
        <v>19</v>
      </c>
      <c r="I1364" s="1" t="s">
        <v>426</v>
      </c>
      <c r="J1364" s="1">
        <v>0.05</v>
      </c>
      <c r="K1364" s="1">
        <v>0.2</v>
      </c>
      <c r="L1364" s="42">
        <v>5</v>
      </c>
      <c r="M1364" s="43">
        <v>46055</v>
      </c>
      <c r="N1364" s="1" t="e">
        <f>VLOOKUP(B1364,MICRO!E:L,8,0)</f>
        <v>#N/A</v>
      </c>
    </row>
    <row r="1365" spans="1:14" ht="20.25" x14ac:dyDescent="0.25">
      <c r="A1365" s="1">
        <v>94</v>
      </c>
      <c r="B1365" s="159"/>
      <c r="C1365" s="1" t="s">
        <v>1432</v>
      </c>
      <c r="D1365" s="1"/>
      <c r="E1365" s="1"/>
      <c r="F1365" s="1" t="s">
        <v>1495</v>
      </c>
      <c r="G1365" s="1">
        <v>6</v>
      </c>
      <c r="H1365" s="1" t="s">
        <v>19</v>
      </c>
      <c r="I1365" s="1" t="s">
        <v>1434</v>
      </c>
      <c r="J1365" s="1">
        <v>0.05</v>
      </c>
      <c r="K1365" s="1">
        <v>0.30000000000000004</v>
      </c>
      <c r="L1365" s="42">
        <v>5</v>
      </c>
      <c r="M1365" s="43">
        <v>46055</v>
      </c>
      <c r="N1365" s="1" t="e">
        <f>VLOOKUP(B1365,MICRO!E:L,8,0)</f>
        <v>#N/A</v>
      </c>
    </row>
    <row r="1366" spans="1:14" ht="20.25" x14ac:dyDescent="0.25">
      <c r="A1366" s="1">
        <v>95</v>
      </c>
      <c r="B1366" s="159"/>
      <c r="C1366" s="1" t="s">
        <v>1460</v>
      </c>
      <c r="D1366" s="1"/>
      <c r="E1366" s="1"/>
      <c r="F1366" s="1" t="s">
        <v>1496</v>
      </c>
      <c r="G1366" s="1">
        <v>4</v>
      </c>
      <c r="H1366" s="1" t="s">
        <v>19</v>
      </c>
      <c r="I1366" s="1" t="s">
        <v>426</v>
      </c>
      <c r="J1366" s="1">
        <v>0.05</v>
      </c>
      <c r="K1366" s="1">
        <v>0.2</v>
      </c>
      <c r="L1366" s="42">
        <v>5</v>
      </c>
      <c r="M1366" s="43">
        <v>46055</v>
      </c>
      <c r="N1366" s="1" t="e">
        <f>VLOOKUP(B1366,MICRO!E:L,8,0)</f>
        <v>#N/A</v>
      </c>
    </row>
    <row r="1367" spans="1:14" ht="20.25" x14ac:dyDescent="0.25">
      <c r="A1367" s="1">
        <v>96</v>
      </c>
      <c r="B1367" s="159"/>
      <c r="C1367" s="1" t="s">
        <v>1437</v>
      </c>
      <c r="D1367" s="1"/>
      <c r="E1367" s="1"/>
      <c r="F1367" s="1" t="s">
        <v>1497</v>
      </c>
      <c r="G1367" s="1">
        <v>8</v>
      </c>
      <c r="H1367" s="1" t="s">
        <v>19</v>
      </c>
      <c r="I1367" s="1" t="s">
        <v>426</v>
      </c>
      <c r="J1367" s="1">
        <v>0.05</v>
      </c>
      <c r="K1367" s="1">
        <v>0.4</v>
      </c>
      <c r="L1367" s="42">
        <v>5</v>
      </c>
      <c r="M1367" s="43">
        <v>46055</v>
      </c>
      <c r="N1367" s="1" t="e">
        <f>VLOOKUP(B1367,MICRO!E:L,8,0)</f>
        <v>#N/A</v>
      </c>
    </row>
    <row r="1368" spans="1:14" ht="20.25" x14ac:dyDescent="0.25">
      <c r="A1368" s="1">
        <v>97</v>
      </c>
      <c r="B1368" s="159"/>
      <c r="C1368" s="1" t="s">
        <v>1418</v>
      </c>
      <c r="D1368" s="1"/>
      <c r="E1368" s="1"/>
      <c r="F1368" s="1" t="s">
        <v>1498</v>
      </c>
      <c r="G1368" s="1">
        <v>4</v>
      </c>
      <c r="H1368" s="1" t="s">
        <v>19</v>
      </c>
      <c r="I1368" s="1" t="s">
        <v>1420</v>
      </c>
      <c r="J1368" s="1">
        <v>0.05</v>
      </c>
      <c r="K1368" s="1">
        <v>0.2</v>
      </c>
      <c r="L1368" s="42">
        <v>5</v>
      </c>
      <c r="M1368" s="43">
        <v>46055</v>
      </c>
      <c r="N1368" s="1" t="e">
        <f>VLOOKUP(B1368,MICRO!E:L,8,0)</f>
        <v>#N/A</v>
      </c>
    </row>
    <row r="1369" spans="1:14" ht="20.25" x14ac:dyDescent="0.25">
      <c r="A1369" s="1">
        <v>98</v>
      </c>
      <c r="B1369" s="159"/>
      <c r="C1369" s="1" t="s">
        <v>1499</v>
      </c>
      <c r="D1369" s="1"/>
      <c r="E1369" s="1"/>
      <c r="F1369" s="1" t="s">
        <v>1500</v>
      </c>
      <c r="G1369" s="1">
        <v>8</v>
      </c>
      <c r="H1369" s="1" t="s">
        <v>19</v>
      </c>
      <c r="I1369" s="1" t="s">
        <v>423</v>
      </c>
      <c r="J1369" s="1">
        <v>0.05</v>
      </c>
      <c r="K1369" s="1">
        <v>0.4</v>
      </c>
      <c r="L1369" s="42">
        <v>5</v>
      </c>
      <c r="M1369" s="43">
        <v>46055</v>
      </c>
      <c r="N1369" s="1" t="e">
        <f>VLOOKUP(B1369,MICRO!E:L,8,0)</f>
        <v>#N/A</v>
      </c>
    </row>
    <row r="1370" spans="1:14" ht="20.25" x14ac:dyDescent="0.25">
      <c r="A1370" s="1">
        <v>99</v>
      </c>
      <c r="B1370" s="159"/>
      <c r="C1370" s="1" t="s">
        <v>1402</v>
      </c>
      <c r="D1370" s="1"/>
      <c r="E1370" s="1"/>
      <c r="F1370" s="1" t="s">
        <v>1501</v>
      </c>
      <c r="G1370" s="1">
        <v>8</v>
      </c>
      <c r="H1370" s="1" t="s">
        <v>19</v>
      </c>
      <c r="I1370" s="1" t="s">
        <v>1404</v>
      </c>
      <c r="J1370" s="1">
        <v>0.05</v>
      </c>
      <c r="K1370" s="1">
        <v>0.4</v>
      </c>
      <c r="L1370" s="42">
        <v>5</v>
      </c>
      <c r="M1370" s="43">
        <v>46055</v>
      </c>
      <c r="N1370" s="1" t="e">
        <f>VLOOKUP(B1370,MICRO!E:L,8,0)</f>
        <v>#N/A</v>
      </c>
    </row>
    <row r="1371" spans="1:14" ht="20.25" x14ac:dyDescent="0.25">
      <c r="A1371" s="1">
        <v>100</v>
      </c>
      <c r="B1371" s="159"/>
      <c r="C1371" s="1" t="s">
        <v>1412</v>
      </c>
      <c r="D1371" s="1"/>
      <c r="E1371" s="1"/>
      <c r="F1371" s="1" t="s">
        <v>1502</v>
      </c>
      <c r="G1371" s="1">
        <v>8</v>
      </c>
      <c r="H1371" s="1" t="s">
        <v>19</v>
      </c>
      <c r="I1371" s="1" t="s">
        <v>427</v>
      </c>
      <c r="J1371" s="1">
        <v>0.05</v>
      </c>
      <c r="K1371" s="1">
        <v>0.4</v>
      </c>
      <c r="L1371" s="42">
        <v>5</v>
      </c>
      <c r="M1371" s="43">
        <v>46055</v>
      </c>
      <c r="N1371" s="1" t="e">
        <f>VLOOKUP(B1371,MICRO!E:L,8,0)</f>
        <v>#N/A</v>
      </c>
    </row>
    <row r="1372" spans="1:14" ht="20.25" x14ac:dyDescent="0.25">
      <c r="A1372" s="1">
        <v>101</v>
      </c>
      <c r="B1372" s="159"/>
      <c r="C1372" s="1" t="s">
        <v>1416</v>
      </c>
      <c r="D1372" s="1"/>
      <c r="E1372" s="1"/>
      <c r="F1372" s="1" t="s">
        <v>1503</v>
      </c>
      <c r="G1372" s="1">
        <v>8</v>
      </c>
      <c r="H1372" s="1" t="s">
        <v>19</v>
      </c>
      <c r="I1372" s="1" t="s">
        <v>426</v>
      </c>
      <c r="J1372" s="1">
        <v>0.05</v>
      </c>
      <c r="K1372" s="1">
        <v>0.4</v>
      </c>
      <c r="L1372" s="42">
        <v>5</v>
      </c>
      <c r="M1372" s="43">
        <v>46055</v>
      </c>
      <c r="N1372" s="1" t="e">
        <f>VLOOKUP(B1372,MICRO!E:L,8,0)</f>
        <v>#N/A</v>
      </c>
    </row>
    <row r="1373" spans="1:14" ht="20.25" x14ac:dyDescent="0.25">
      <c r="A1373" s="1">
        <v>102</v>
      </c>
      <c r="B1373" s="159"/>
      <c r="C1373" s="1" t="s">
        <v>1426</v>
      </c>
      <c r="D1373" s="1"/>
      <c r="E1373" s="1"/>
      <c r="F1373" s="1" t="s">
        <v>1504</v>
      </c>
      <c r="G1373" s="1">
        <v>8</v>
      </c>
      <c r="H1373" s="1" t="s">
        <v>19</v>
      </c>
      <c r="I1373" s="1" t="s">
        <v>424</v>
      </c>
      <c r="J1373" s="1">
        <v>0.05</v>
      </c>
      <c r="K1373" s="1">
        <v>0.4</v>
      </c>
      <c r="L1373" s="42">
        <v>5</v>
      </c>
      <c r="M1373" s="43">
        <v>46055</v>
      </c>
      <c r="N1373" s="1" t="e">
        <f>VLOOKUP(B1373,MICRO!E:L,8,0)</f>
        <v>#N/A</v>
      </c>
    </row>
    <row r="1374" spans="1:14" ht="20.25" x14ac:dyDescent="0.25">
      <c r="A1374" s="1">
        <v>103</v>
      </c>
      <c r="B1374" s="159"/>
      <c r="C1374" s="1" t="s">
        <v>1407</v>
      </c>
      <c r="D1374" s="1"/>
      <c r="E1374" s="1"/>
      <c r="F1374" s="1" t="s">
        <v>1505</v>
      </c>
      <c r="G1374" s="1">
        <v>8</v>
      </c>
      <c r="H1374" s="1" t="s">
        <v>19</v>
      </c>
      <c r="I1374" s="1" t="s">
        <v>425</v>
      </c>
      <c r="J1374" s="1">
        <v>0.05</v>
      </c>
      <c r="K1374" s="1">
        <v>0.4</v>
      </c>
      <c r="L1374" s="42">
        <v>5</v>
      </c>
      <c r="M1374" s="43">
        <v>46055</v>
      </c>
      <c r="N1374" s="1" t="e">
        <f>VLOOKUP(B1374,MICRO!E:L,8,0)</f>
        <v>#N/A</v>
      </c>
    </row>
    <row r="1375" spans="1:14" ht="20.25" x14ac:dyDescent="0.25">
      <c r="A1375" s="1">
        <v>104</v>
      </c>
      <c r="B1375" s="159"/>
      <c r="C1375" s="1" t="s">
        <v>1463</v>
      </c>
      <c r="D1375" s="1"/>
      <c r="E1375" s="1"/>
      <c r="F1375" s="1" t="s">
        <v>1506</v>
      </c>
      <c r="G1375" s="1">
        <v>16</v>
      </c>
      <c r="H1375" s="1" t="s">
        <v>19</v>
      </c>
      <c r="I1375" s="1" t="s">
        <v>425</v>
      </c>
      <c r="J1375" s="1">
        <v>0.05</v>
      </c>
      <c r="K1375" s="1">
        <v>0.8</v>
      </c>
      <c r="L1375" s="42">
        <v>5</v>
      </c>
      <c r="M1375" s="43">
        <v>46055</v>
      </c>
      <c r="N1375" s="1" t="e">
        <f>VLOOKUP(B1375,MICRO!E:L,8,0)</f>
        <v>#N/A</v>
      </c>
    </row>
    <row r="1376" spans="1:14" ht="20.25" x14ac:dyDescent="0.25">
      <c r="A1376" s="1">
        <v>105</v>
      </c>
      <c r="B1376" s="159"/>
      <c r="C1376" s="1" t="s">
        <v>1463</v>
      </c>
      <c r="D1376" s="1"/>
      <c r="E1376" s="1"/>
      <c r="F1376" s="1" t="s">
        <v>1507</v>
      </c>
      <c r="G1376" s="1">
        <v>60</v>
      </c>
      <c r="H1376" s="1" t="s">
        <v>19</v>
      </c>
      <c r="I1376" s="1" t="s">
        <v>425</v>
      </c>
      <c r="J1376" s="1">
        <v>0.05</v>
      </c>
      <c r="K1376" s="1">
        <v>3</v>
      </c>
      <c r="L1376" s="42">
        <v>5</v>
      </c>
      <c r="M1376" s="43">
        <v>46055</v>
      </c>
      <c r="N1376" s="1" t="e">
        <f>VLOOKUP(B1376,MICRO!E:L,8,0)</f>
        <v>#N/A</v>
      </c>
    </row>
    <row r="1377" spans="1:14" ht="20.25" x14ac:dyDescent="0.25">
      <c r="A1377" s="1">
        <v>106</v>
      </c>
      <c r="B1377" s="159"/>
      <c r="C1377" s="1" t="s">
        <v>1414</v>
      </c>
      <c r="D1377" s="1"/>
      <c r="E1377" s="1"/>
      <c r="F1377" s="1" t="s">
        <v>1508</v>
      </c>
      <c r="G1377" s="1">
        <v>4</v>
      </c>
      <c r="H1377" s="1" t="s">
        <v>19</v>
      </c>
      <c r="I1377" s="1" t="s">
        <v>423</v>
      </c>
      <c r="J1377" s="1">
        <v>0.03</v>
      </c>
      <c r="K1377" s="1">
        <v>0.12</v>
      </c>
      <c r="L1377" s="42">
        <v>5</v>
      </c>
      <c r="M1377" s="43">
        <v>46055</v>
      </c>
      <c r="N1377" s="1" t="e">
        <f>VLOOKUP(B1377,MICRO!E:L,8,0)</f>
        <v>#N/A</v>
      </c>
    </row>
    <row r="1378" spans="1:14" ht="20.25" x14ac:dyDescent="0.25">
      <c r="A1378" s="1">
        <v>107</v>
      </c>
      <c r="B1378" s="159"/>
      <c r="C1378" s="1" t="s">
        <v>1402</v>
      </c>
      <c r="D1378" s="1"/>
      <c r="E1378" s="1"/>
      <c r="F1378" s="1" t="s">
        <v>1509</v>
      </c>
      <c r="G1378" s="1">
        <v>4</v>
      </c>
      <c r="H1378" s="1" t="s">
        <v>19</v>
      </c>
      <c r="I1378" s="1" t="s">
        <v>1404</v>
      </c>
      <c r="J1378" s="1">
        <v>0.03</v>
      </c>
      <c r="K1378" s="1">
        <v>0.12</v>
      </c>
      <c r="L1378" s="42">
        <v>5</v>
      </c>
      <c r="M1378" s="43">
        <v>46055</v>
      </c>
      <c r="N1378" s="1" t="e">
        <f>VLOOKUP(B1378,MICRO!E:L,8,0)</f>
        <v>#N/A</v>
      </c>
    </row>
    <row r="1379" spans="1:14" ht="20.25" x14ac:dyDescent="0.25">
      <c r="A1379" s="1">
        <v>108</v>
      </c>
      <c r="B1379" s="159"/>
      <c r="C1379" s="1" t="s">
        <v>1412</v>
      </c>
      <c r="D1379" s="1"/>
      <c r="E1379" s="1"/>
      <c r="F1379" s="1" t="s">
        <v>1510</v>
      </c>
      <c r="G1379" s="1">
        <v>4</v>
      </c>
      <c r="H1379" s="1" t="s">
        <v>19</v>
      </c>
      <c r="I1379" s="1" t="s">
        <v>427</v>
      </c>
      <c r="J1379" s="1">
        <v>0.03</v>
      </c>
      <c r="K1379" s="1">
        <v>0.12</v>
      </c>
      <c r="L1379" s="42">
        <v>5</v>
      </c>
      <c r="M1379" s="43">
        <v>46055</v>
      </c>
      <c r="N1379" s="1" t="e">
        <f>VLOOKUP(B1379,MICRO!E:L,8,0)</f>
        <v>#N/A</v>
      </c>
    </row>
    <row r="1380" spans="1:14" ht="20.25" x14ac:dyDescent="0.25">
      <c r="A1380" s="1">
        <v>109</v>
      </c>
      <c r="B1380" s="159"/>
      <c r="C1380" s="1" t="s">
        <v>1416</v>
      </c>
      <c r="D1380" s="1"/>
      <c r="E1380" s="1"/>
      <c r="F1380" s="1" t="s">
        <v>1511</v>
      </c>
      <c r="G1380" s="1">
        <v>4</v>
      </c>
      <c r="H1380" s="1" t="s">
        <v>19</v>
      </c>
      <c r="I1380" s="1" t="s">
        <v>426</v>
      </c>
      <c r="J1380" s="1">
        <v>0.03</v>
      </c>
      <c r="K1380" s="1">
        <v>0.12</v>
      </c>
      <c r="L1380" s="42">
        <v>5</v>
      </c>
      <c r="M1380" s="43">
        <v>46055</v>
      </c>
      <c r="N1380" s="1" t="e">
        <f>VLOOKUP(B1380,MICRO!E:L,8,0)</f>
        <v>#N/A</v>
      </c>
    </row>
    <row r="1381" spans="1:14" ht="20.25" x14ac:dyDescent="0.25">
      <c r="A1381" s="1">
        <v>110</v>
      </c>
      <c r="B1381" s="159"/>
      <c r="C1381" s="1" t="s">
        <v>1463</v>
      </c>
      <c r="D1381" s="1"/>
      <c r="E1381" s="1"/>
      <c r="F1381" s="1" t="s">
        <v>1512</v>
      </c>
      <c r="G1381" s="1">
        <v>16</v>
      </c>
      <c r="H1381" s="1" t="s">
        <v>19</v>
      </c>
      <c r="I1381" s="1" t="s">
        <v>425</v>
      </c>
      <c r="J1381" s="1">
        <v>0.03</v>
      </c>
      <c r="K1381" s="1">
        <v>0.48</v>
      </c>
      <c r="L1381" s="42">
        <v>5</v>
      </c>
      <c r="M1381" s="43">
        <v>46055</v>
      </c>
      <c r="N1381" s="1" t="e">
        <f>VLOOKUP(B1381,MICRO!E:L,8,0)</f>
        <v>#N/A</v>
      </c>
    </row>
    <row r="1382" spans="1:14" ht="20.25" x14ac:dyDescent="0.25">
      <c r="A1382" s="1">
        <v>111</v>
      </c>
      <c r="B1382" s="159"/>
      <c r="C1382" s="1" t="s">
        <v>1409</v>
      </c>
      <c r="D1382" s="1"/>
      <c r="E1382" s="1"/>
      <c r="F1382" s="1" t="s">
        <v>1513</v>
      </c>
      <c r="G1382" s="1">
        <v>12</v>
      </c>
      <c r="H1382" s="1" t="s">
        <v>19</v>
      </c>
      <c r="I1382" s="1" t="s">
        <v>426</v>
      </c>
      <c r="J1382" s="1">
        <v>0.03</v>
      </c>
      <c r="K1382" s="1">
        <v>0.36</v>
      </c>
      <c r="L1382" s="42">
        <v>5</v>
      </c>
      <c r="M1382" s="43">
        <v>46055</v>
      </c>
      <c r="N1382" s="1" t="e">
        <f>VLOOKUP(B1382,MICRO!E:L,8,0)</f>
        <v>#N/A</v>
      </c>
    </row>
    <row r="1383" spans="1:14" ht="20.25" x14ac:dyDescent="0.25">
      <c r="A1383" s="1">
        <v>112</v>
      </c>
      <c r="B1383" s="159"/>
      <c r="C1383" s="1" t="s">
        <v>1460</v>
      </c>
      <c r="D1383" s="1"/>
      <c r="E1383" s="1"/>
      <c r="F1383" s="1" t="s">
        <v>1514</v>
      </c>
      <c r="G1383" s="1">
        <v>14</v>
      </c>
      <c r="H1383" s="1" t="s">
        <v>19</v>
      </c>
      <c r="I1383" s="1" t="s">
        <v>426</v>
      </c>
      <c r="J1383" s="1">
        <v>0.03</v>
      </c>
      <c r="K1383" s="1">
        <v>0.42</v>
      </c>
      <c r="L1383" s="42">
        <v>5</v>
      </c>
      <c r="M1383" s="43">
        <v>46055</v>
      </c>
      <c r="N1383" s="1" t="e">
        <f>VLOOKUP(B1383,MICRO!E:L,8,0)</f>
        <v>#N/A</v>
      </c>
    </row>
    <row r="1384" spans="1:14" ht="20.25" x14ac:dyDescent="0.25">
      <c r="A1384" s="1">
        <v>113</v>
      </c>
      <c r="B1384" s="159"/>
      <c r="C1384" s="1" t="s">
        <v>1437</v>
      </c>
      <c r="D1384" s="1"/>
      <c r="E1384" s="1"/>
      <c r="F1384" s="1" t="s">
        <v>1515</v>
      </c>
      <c r="G1384" s="1">
        <v>16</v>
      </c>
      <c r="H1384" s="1" t="s">
        <v>19</v>
      </c>
      <c r="I1384" s="1" t="s">
        <v>426</v>
      </c>
      <c r="J1384" s="1">
        <v>0.03</v>
      </c>
      <c r="K1384" s="1">
        <v>0.48</v>
      </c>
      <c r="L1384" s="42">
        <v>5</v>
      </c>
      <c r="M1384" s="43">
        <v>46055</v>
      </c>
      <c r="N1384" s="1" t="e">
        <f>VLOOKUP(B1384,MICRO!E:L,8,0)</f>
        <v>#N/A</v>
      </c>
    </row>
    <row r="1385" spans="1:14" ht="20.25" x14ac:dyDescent="0.25">
      <c r="A1385" s="1">
        <v>114</v>
      </c>
      <c r="B1385" s="159"/>
      <c r="C1385" s="1" t="s">
        <v>1304</v>
      </c>
      <c r="D1385" s="1"/>
      <c r="E1385" s="1"/>
      <c r="F1385" s="1" t="s">
        <v>1516</v>
      </c>
      <c r="G1385" s="1">
        <v>28</v>
      </c>
      <c r="H1385" s="1" t="s">
        <v>19</v>
      </c>
      <c r="I1385" s="1" t="s">
        <v>427</v>
      </c>
      <c r="J1385" s="1">
        <v>0.03</v>
      </c>
      <c r="K1385" s="1">
        <v>0.84</v>
      </c>
      <c r="L1385" s="42">
        <v>5</v>
      </c>
      <c r="M1385" s="43">
        <v>46055</v>
      </c>
      <c r="N1385" s="1" t="e">
        <f>VLOOKUP(B1385,MICRO!E:L,8,0)</f>
        <v>#N/A</v>
      </c>
    </row>
    <row r="1386" spans="1:14" ht="20.25" x14ac:dyDescent="0.25">
      <c r="A1386" s="1">
        <v>115</v>
      </c>
      <c r="B1386" s="159"/>
      <c r="C1386" s="1" t="s">
        <v>1517</v>
      </c>
      <c r="D1386" s="1"/>
      <c r="E1386" s="1"/>
      <c r="F1386" s="1" t="s">
        <v>1518</v>
      </c>
      <c r="G1386" s="1">
        <v>14</v>
      </c>
      <c r="H1386" s="1" t="s">
        <v>19</v>
      </c>
      <c r="I1386" s="1" t="s">
        <v>1475</v>
      </c>
      <c r="J1386" s="1">
        <v>0.03</v>
      </c>
      <c r="K1386" s="1">
        <v>0.42</v>
      </c>
      <c r="L1386" s="42">
        <v>5</v>
      </c>
      <c r="M1386" s="43">
        <v>46055</v>
      </c>
      <c r="N1386" s="1" t="e">
        <f>VLOOKUP(B1386,MICRO!E:L,8,0)</f>
        <v>#N/A</v>
      </c>
    </row>
    <row r="1387" spans="1:14" ht="20.25" x14ac:dyDescent="0.25">
      <c r="A1387" s="1">
        <v>116</v>
      </c>
      <c r="B1387" s="159"/>
      <c r="C1387" s="1" t="s">
        <v>1476</v>
      </c>
      <c r="D1387" s="1"/>
      <c r="E1387" s="1"/>
      <c r="F1387" s="1" t="s">
        <v>1519</v>
      </c>
      <c r="G1387" s="1">
        <v>14</v>
      </c>
      <c r="H1387" s="1" t="s">
        <v>19</v>
      </c>
      <c r="I1387" s="1" t="s">
        <v>1420</v>
      </c>
      <c r="J1387" s="1">
        <v>0.03</v>
      </c>
      <c r="K1387" s="1">
        <v>0.42</v>
      </c>
      <c r="L1387" s="42">
        <v>5</v>
      </c>
      <c r="M1387" s="43">
        <v>46055</v>
      </c>
      <c r="N1387" s="1" t="e">
        <f>VLOOKUP(B1387,MICRO!E:L,8,0)</f>
        <v>#N/A</v>
      </c>
    </row>
    <row r="1388" spans="1:14" ht="20.25" x14ac:dyDescent="0.25">
      <c r="A1388" s="1">
        <v>117</v>
      </c>
      <c r="B1388" s="159"/>
      <c r="C1388" s="1" t="s">
        <v>1421</v>
      </c>
      <c r="D1388" s="1"/>
      <c r="E1388" s="1"/>
      <c r="F1388" s="1" t="s">
        <v>1520</v>
      </c>
      <c r="G1388" s="1">
        <v>16</v>
      </c>
      <c r="H1388" s="1" t="s">
        <v>19</v>
      </c>
      <c r="I1388" s="1" t="s">
        <v>1420</v>
      </c>
      <c r="J1388" s="1">
        <v>0.03</v>
      </c>
      <c r="K1388" s="1">
        <v>0.48</v>
      </c>
      <c r="L1388" s="42">
        <v>5</v>
      </c>
      <c r="M1388" s="43">
        <v>46055</v>
      </c>
      <c r="N1388" s="1" t="e">
        <f>VLOOKUP(B1388,MICRO!E:L,8,0)</f>
        <v>#N/A</v>
      </c>
    </row>
    <row r="1389" spans="1:14" ht="20.25" x14ac:dyDescent="0.25">
      <c r="A1389" s="1">
        <v>118</v>
      </c>
      <c r="B1389" s="159"/>
      <c r="C1389" s="1" t="s">
        <v>1470</v>
      </c>
      <c r="D1389" s="1"/>
      <c r="E1389" s="1"/>
      <c r="F1389" s="1" t="s">
        <v>1521</v>
      </c>
      <c r="G1389" s="1">
        <v>36</v>
      </c>
      <c r="H1389" s="1" t="s">
        <v>19</v>
      </c>
      <c r="I1389" s="1" t="s">
        <v>423</v>
      </c>
      <c r="J1389" s="1">
        <v>0.03</v>
      </c>
      <c r="K1389" s="1">
        <v>1.08</v>
      </c>
      <c r="L1389" s="42">
        <v>5</v>
      </c>
      <c r="M1389" s="43">
        <v>46055</v>
      </c>
      <c r="N1389" s="1" t="e">
        <f>VLOOKUP(B1389,MICRO!E:L,8,0)</f>
        <v>#N/A</v>
      </c>
    </row>
    <row r="1390" spans="1:14" ht="20.25" x14ac:dyDescent="0.25">
      <c r="A1390" s="1">
        <v>119</v>
      </c>
      <c r="B1390" s="159"/>
      <c r="C1390" s="1" t="s">
        <v>1423</v>
      </c>
      <c r="D1390" s="1"/>
      <c r="E1390" s="1"/>
      <c r="F1390" s="1" t="s">
        <v>1522</v>
      </c>
      <c r="G1390" s="1">
        <v>28</v>
      </c>
      <c r="H1390" s="1" t="s">
        <v>19</v>
      </c>
      <c r="I1390" s="1" t="s">
        <v>423</v>
      </c>
      <c r="J1390" s="1">
        <v>0.03</v>
      </c>
      <c r="K1390" s="1">
        <v>0.84</v>
      </c>
      <c r="L1390" s="42">
        <v>5</v>
      </c>
      <c r="M1390" s="43">
        <v>46055</v>
      </c>
      <c r="N1390" s="1" t="e">
        <f>VLOOKUP(B1390,MICRO!E:L,8,0)</f>
        <v>#N/A</v>
      </c>
    </row>
    <row r="1391" spans="1:14" ht="20.25" x14ac:dyDescent="0.25">
      <c r="A1391" s="1">
        <v>120</v>
      </c>
      <c r="B1391" s="159"/>
      <c r="C1391" s="1" t="s">
        <v>1222</v>
      </c>
      <c r="D1391" s="1"/>
      <c r="E1391" s="1"/>
      <c r="F1391" s="1" t="s">
        <v>1523</v>
      </c>
      <c r="G1391" s="1">
        <v>44</v>
      </c>
      <c r="H1391" s="1" t="s">
        <v>19</v>
      </c>
      <c r="I1391" s="1" t="s">
        <v>423</v>
      </c>
      <c r="J1391" s="1">
        <v>0.03</v>
      </c>
      <c r="K1391" s="1">
        <v>1.3199999999999998</v>
      </c>
      <c r="L1391" s="42">
        <v>5</v>
      </c>
      <c r="M1391" s="43">
        <v>46055</v>
      </c>
      <c r="N1391" s="1" t="e">
        <f>VLOOKUP(B1391,MICRO!E:L,8,0)</f>
        <v>#N/A</v>
      </c>
    </row>
    <row r="1392" spans="1:14" ht="20.25" x14ac:dyDescent="0.25">
      <c r="A1392" s="1">
        <v>121</v>
      </c>
      <c r="B1392" s="159"/>
      <c r="C1392" s="1" t="s">
        <v>1426</v>
      </c>
      <c r="D1392" s="1"/>
      <c r="E1392" s="1"/>
      <c r="F1392" s="1" t="s">
        <v>1524</v>
      </c>
      <c r="G1392" s="1">
        <v>10</v>
      </c>
      <c r="H1392" s="1" t="s">
        <v>19</v>
      </c>
      <c r="I1392" s="1" t="s">
        <v>424</v>
      </c>
      <c r="J1392" s="1">
        <v>0.03</v>
      </c>
      <c r="K1392" s="1">
        <v>0.3</v>
      </c>
      <c r="L1392" s="42">
        <v>5</v>
      </c>
      <c r="M1392" s="43">
        <v>46055</v>
      </c>
      <c r="N1392" s="1" t="e">
        <f>VLOOKUP(B1392,MICRO!E:L,8,0)</f>
        <v>#N/A</v>
      </c>
    </row>
    <row r="1393" spans="1:14" ht="20.25" x14ac:dyDescent="0.25">
      <c r="A1393" s="1">
        <v>122</v>
      </c>
      <c r="B1393" s="159"/>
      <c r="C1393" s="1" t="s">
        <v>1407</v>
      </c>
      <c r="D1393" s="1"/>
      <c r="E1393" s="1"/>
      <c r="F1393" s="1" t="s">
        <v>1525</v>
      </c>
      <c r="G1393" s="1">
        <v>16</v>
      </c>
      <c r="H1393" s="1" t="s">
        <v>19</v>
      </c>
      <c r="I1393" s="1" t="s">
        <v>425</v>
      </c>
      <c r="J1393" s="1">
        <v>0.03</v>
      </c>
      <c r="K1393" s="1">
        <v>0.48</v>
      </c>
      <c r="L1393" s="42">
        <v>5</v>
      </c>
      <c r="M1393" s="43">
        <v>46055</v>
      </c>
      <c r="N1393" s="1" t="e">
        <f>VLOOKUP(B1393,MICRO!E:L,8,0)</f>
        <v>#N/A</v>
      </c>
    </row>
    <row r="1394" spans="1:14" ht="20.25" x14ac:dyDescent="0.25">
      <c r="A1394" s="1">
        <v>123</v>
      </c>
      <c r="B1394" s="159"/>
      <c r="C1394" s="1" t="s">
        <v>1428</v>
      </c>
      <c r="D1394" s="1"/>
      <c r="E1394" s="1"/>
      <c r="F1394" s="1" t="s">
        <v>1526</v>
      </c>
      <c r="G1394" s="1">
        <v>32</v>
      </c>
      <c r="H1394" s="1" t="s">
        <v>19</v>
      </c>
      <c r="I1394" s="1" t="s">
        <v>426</v>
      </c>
      <c r="J1394" s="1">
        <v>0.03</v>
      </c>
      <c r="K1394" s="1">
        <v>0.96</v>
      </c>
      <c r="L1394" s="42">
        <v>5</v>
      </c>
      <c r="M1394" s="43">
        <v>46055</v>
      </c>
      <c r="N1394" s="1" t="e">
        <f>VLOOKUP(B1394,MICRO!E:L,8,0)</f>
        <v>#N/A</v>
      </c>
    </row>
    <row r="1395" spans="1:14" ht="20.25" x14ac:dyDescent="0.25">
      <c r="A1395" s="1">
        <v>124</v>
      </c>
      <c r="B1395" s="159"/>
      <c r="C1395" s="1" t="s">
        <v>1218</v>
      </c>
      <c r="D1395" s="1"/>
      <c r="E1395" s="1"/>
      <c r="F1395" s="1" t="s">
        <v>1527</v>
      </c>
      <c r="G1395" s="1">
        <v>16</v>
      </c>
      <c r="H1395" s="1" t="s">
        <v>19</v>
      </c>
      <c r="I1395" s="1" t="s">
        <v>424</v>
      </c>
      <c r="J1395" s="1">
        <v>0.03</v>
      </c>
      <c r="K1395" s="1">
        <v>0.48</v>
      </c>
      <c r="L1395" s="42">
        <v>5</v>
      </c>
      <c r="M1395" s="43">
        <v>46055</v>
      </c>
      <c r="N1395" s="1" t="e">
        <f>VLOOKUP(B1395,MICRO!E:L,8,0)</f>
        <v>#N/A</v>
      </c>
    </row>
    <row r="1396" spans="1:14" ht="20.25" x14ac:dyDescent="0.25">
      <c r="A1396" s="1">
        <v>125</v>
      </c>
      <c r="B1396" s="159"/>
      <c r="C1396" s="1" t="s">
        <v>1528</v>
      </c>
      <c r="D1396" s="1"/>
      <c r="E1396" s="1"/>
      <c r="F1396" s="1" t="s">
        <v>1529</v>
      </c>
      <c r="G1396" s="1">
        <v>16</v>
      </c>
      <c r="H1396" s="1" t="s">
        <v>19</v>
      </c>
      <c r="I1396" s="1" t="s">
        <v>425</v>
      </c>
      <c r="J1396" s="1">
        <v>0.03</v>
      </c>
      <c r="K1396" s="1">
        <v>0.48</v>
      </c>
      <c r="L1396" s="42">
        <v>5</v>
      </c>
      <c r="M1396" s="43">
        <v>46055</v>
      </c>
      <c r="N1396" s="1" t="e">
        <f>VLOOKUP(B1396,MICRO!E:L,8,0)</f>
        <v>#N/A</v>
      </c>
    </row>
    <row r="1397" spans="1:14" ht="20.25" x14ac:dyDescent="0.25">
      <c r="A1397" s="1">
        <v>126</v>
      </c>
      <c r="B1397" s="159"/>
      <c r="C1397" s="1" t="s">
        <v>1432</v>
      </c>
      <c r="D1397" s="1"/>
      <c r="E1397" s="1"/>
      <c r="F1397" s="1" t="s">
        <v>1530</v>
      </c>
      <c r="G1397" s="1">
        <v>16</v>
      </c>
      <c r="H1397" s="1" t="s">
        <v>19</v>
      </c>
      <c r="I1397" s="1" t="s">
        <v>1434</v>
      </c>
      <c r="J1397" s="1">
        <v>0.03</v>
      </c>
      <c r="K1397" s="1">
        <v>0.48</v>
      </c>
      <c r="L1397" s="42">
        <v>5</v>
      </c>
      <c r="M1397" s="43">
        <v>46055</v>
      </c>
      <c r="N1397" s="1" t="e">
        <f>VLOOKUP(B1397,MICRO!E:L,8,0)</f>
        <v>#N/A</v>
      </c>
    </row>
    <row r="1398" spans="1:14" ht="20.25" x14ac:dyDescent="0.25">
      <c r="A1398" s="1">
        <v>127</v>
      </c>
      <c r="B1398" s="159"/>
      <c r="C1398" s="1" t="s">
        <v>1437</v>
      </c>
      <c r="D1398" s="1"/>
      <c r="E1398" s="1"/>
      <c r="F1398" s="1" t="s">
        <v>1531</v>
      </c>
      <c r="G1398" s="1">
        <v>7</v>
      </c>
      <c r="H1398" s="1" t="s">
        <v>19</v>
      </c>
      <c r="I1398" s="1" t="s">
        <v>426</v>
      </c>
      <c r="J1398" s="1">
        <v>0.03</v>
      </c>
      <c r="K1398" s="1">
        <v>0.21</v>
      </c>
      <c r="L1398" s="42">
        <v>5</v>
      </c>
      <c r="M1398" s="43">
        <v>46055</v>
      </c>
      <c r="N1398" s="1" t="e">
        <f>VLOOKUP(B1398,MICRO!E:L,8,0)</f>
        <v>#N/A</v>
      </c>
    </row>
    <row r="1399" spans="1:14" ht="20.25" x14ac:dyDescent="0.25">
      <c r="A1399" s="1">
        <v>128</v>
      </c>
      <c r="B1399" s="159"/>
      <c r="C1399" s="1" t="s">
        <v>1468</v>
      </c>
      <c r="D1399" s="1"/>
      <c r="E1399" s="1"/>
      <c r="F1399" s="1" t="s">
        <v>1532</v>
      </c>
      <c r="G1399" s="1">
        <v>20</v>
      </c>
      <c r="H1399" s="1" t="s">
        <v>19</v>
      </c>
      <c r="I1399" s="1" t="s">
        <v>427</v>
      </c>
      <c r="J1399" s="1">
        <v>0.03</v>
      </c>
      <c r="K1399" s="1">
        <v>0.6</v>
      </c>
      <c r="L1399" s="42">
        <v>5</v>
      </c>
      <c r="M1399" s="43">
        <v>46055</v>
      </c>
      <c r="N1399" s="1" t="e">
        <f>VLOOKUP(B1399,MICRO!E:L,8,0)</f>
        <v>#N/A</v>
      </c>
    </row>
    <row r="1400" spans="1:14" ht="20.25" x14ac:dyDescent="0.25">
      <c r="A1400" s="1">
        <v>129</v>
      </c>
      <c r="B1400" s="159"/>
      <c r="C1400" s="1" t="s">
        <v>1439</v>
      </c>
      <c r="D1400" s="1"/>
      <c r="E1400" s="1"/>
      <c r="F1400" s="1" t="s">
        <v>1533</v>
      </c>
      <c r="G1400" s="1">
        <v>32</v>
      </c>
      <c r="H1400" s="1" t="s">
        <v>19</v>
      </c>
      <c r="I1400" s="1" t="s">
        <v>426</v>
      </c>
      <c r="J1400" s="1">
        <v>0.03</v>
      </c>
      <c r="K1400" s="1">
        <v>0.96</v>
      </c>
      <c r="L1400" s="42">
        <v>5</v>
      </c>
      <c r="M1400" s="43">
        <v>46055</v>
      </c>
      <c r="N1400" s="1" t="e">
        <f>VLOOKUP(B1400,MICRO!E:L,8,0)</f>
        <v>#N/A</v>
      </c>
    </row>
    <row r="1401" spans="1:14" ht="20.25" x14ac:dyDescent="0.25">
      <c r="A1401" s="1">
        <v>130</v>
      </c>
      <c r="B1401" s="159"/>
      <c r="C1401" s="1" t="s">
        <v>1441</v>
      </c>
      <c r="D1401" s="1"/>
      <c r="E1401" s="1"/>
      <c r="F1401" s="1" t="s">
        <v>1534</v>
      </c>
      <c r="G1401" s="1">
        <v>24</v>
      </c>
      <c r="H1401" s="1" t="s">
        <v>19</v>
      </c>
      <c r="I1401" s="1" t="s">
        <v>426</v>
      </c>
      <c r="J1401" s="1">
        <v>0.03</v>
      </c>
      <c r="K1401" s="1">
        <v>0.72</v>
      </c>
      <c r="L1401" s="42">
        <v>5</v>
      </c>
      <c r="M1401" s="43">
        <v>46055</v>
      </c>
      <c r="N1401" s="1" t="e">
        <f>VLOOKUP(B1401,MICRO!E:L,8,0)</f>
        <v>#N/A</v>
      </c>
    </row>
    <row r="1402" spans="1:14" ht="20.25" x14ac:dyDescent="0.25">
      <c r="A1402" s="1">
        <v>131</v>
      </c>
      <c r="B1402" s="159"/>
      <c r="C1402" s="1" t="s">
        <v>1310</v>
      </c>
      <c r="D1402" s="1"/>
      <c r="E1402" s="1"/>
      <c r="F1402" s="1" t="s">
        <v>1535</v>
      </c>
      <c r="G1402" s="1">
        <v>24</v>
      </c>
      <c r="H1402" s="1" t="s">
        <v>19</v>
      </c>
      <c r="I1402" s="1" t="s">
        <v>426</v>
      </c>
      <c r="J1402" s="1">
        <v>0.03</v>
      </c>
      <c r="K1402" s="1">
        <v>0.72</v>
      </c>
      <c r="L1402" s="42">
        <v>5</v>
      </c>
      <c r="M1402" s="43">
        <v>46055</v>
      </c>
      <c r="N1402" s="1" t="e">
        <f>VLOOKUP(B1402,MICRO!E:L,8,0)</f>
        <v>#N/A</v>
      </c>
    </row>
    <row r="1403" spans="1:14" ht="20.25" x14ac:dyDescent="0.25">
      <c r="A1403" s="1">
        <v>132</v>
      </c>
      <c r="B1403" s="159"/>
      <c r="C1403" s="1" t="s">
        <v>1445</v>
      </c>
      <c r="D1403" s="1"/>
      <c r="E1403" s="1"/>
      <c r="F1403" s="1" t="s">
        <v>1536</v>
      </c>
      <c r="G1403" s="1">
        <v>12</v>
      </c>
      <c r="H1403" s="1" t="s">
        <v>19</v>
      </c>
      <c r="I1403" s="1" t="s">
        <v>427</v>
      </c>
      <c r="J1403" s="1">
        <v>0.03</v>
      </c>
      <c r="K1403" s="1">
        <v>0.36</v>
      </c>
      <c r="L1403" s="42">
        <v>5</v>
      </c>
      <c r="M1403" s="43">
        <v>46055</v>
      </c>
      <c r="N1403" s="1" t="e">
        <f>VLOOKUP(B1403,MICRO!E:L,8,0)</f>
        <v>#N/A</v>
      </c>
    </row>
    <row r="1404" spans="1:14" ht="20.25" x14ac:dyDescent="0.25">
      <c r="A1404" s="1">
        <v>133</v>
      </c>
      <c r="B1404" s="159"/>
      <c r="C1404" s="1" t="s">
        <v>1437</v>
      </c>
      <c r="D1404" s="1"/>
      <c r="E1404" s="1"/>
      <c r="F1404" s="1" t="s">
        <v>1537</v>
      </c>
      <c r="G1404" s="1">
        <v>16</v>
      </c>
      <c r="H1404" s="1" t="s">
        <v>19</v>
      </c>
      <c r="I1404" s="1" t="s">
        <v>426</v>
      </c>
      <c r="J1404" s="1">
        <v>0.03</v>
      </c>
      <c r="K1404" s="1">
        <v>0.48</v>
      </c>
      <c r="L1404" s="42">
        <v>5</v>
      </c>
      <c r="M1404" s="43">
        <v>46055</v>
      </c>
      <c r="N1404" s="1" t="e">
        <f>VLOOKUP(B1404,MICRO!E:L,8,0)</f>
        <v>#N/A</v>
      </c>
    </row>
    <row r="1405" spans="1:14" ht="20.25" x14ac:dyDescent="0.25">
      <c r="A1405" s="1">
        <v>134</v>
      </c>
      <c r="B1405" s="159"/>
      <c r="C1405" s="1" t="s">
        <v>1414</v>
      </c>
      <c r="D1405" s="1"/>
      <c r="E1405" s="1"/>
      <c r="F1405" s="1" t="s">
        <v>1538</v>
      </c>
      <c r="G1405" s="1">
        <v>8</v>
      </c>
      <c r="H1405" s="1" t="s">
        <v>19</v>
      </c>
      <c r="I1405" s="1" t="s">
        <v>423</v>
      </c>
      <c r="J1405" s="1">
        <v>0.03</v>
      </c>
      <c r="K1405" s="1">
        <v>0.24</v>
      </c>
      <c r="L1405" s="42">
        <v>5</v>
      </c>
      <c r="M1405" s="43">
        <v>46055</v>
      </c>
      <c r="N1405" s="1" t="e">
        <f>VLOOKUP(B1405,MICRO!E:L,8,0)</f>
        <v>#N/A</v>
      </c>
    </row>
    <row r="1406" spans="1:14" ht="20.25" x14ac:dyDescent="0.25">
      <c r="A1406" s="1">
        <v>135</v>
      </c>
      <c r="B1406" s="159"/>
      <c r="C1406" s="1" t="s">
        <v>1402</v>
      </c>
      <c r="D1406" s="1"/>
      <c r="E1406" s="1"/>
      <c r="F1406" s="1" t="s">
        <v>1539</v>
      </c>
      <c r="G1406" s="1">
        <v>8</v>
      </c>
      <c r="H1406" s="1" t="s">
        <v>19</v>
      </c>
      <c r="I1406" s="1" t="s">
        <v>1404</v>
      </c>
      <c r="J1406" s="1">
        <v>0.03</v>
      </c>
      <c r="K1406" s="1">
        <v>0.24</v>
      </c>
      <c r="L1406" s="42">
        <v>5</v>
      </c>
      <c r="M1406" s="43">
        <v>46055</v>
      </c>
      <c r="N1406" s="1" t="e">
        <f>VLOOKUP(B1406,MICRO!E:L,8,0)</f>
        <v>#N/A</v>
      </c>
    </row>
    <row r="1407" spans="1:14" ht="20.25" x14ac:dyDescent="0.25">
      <c r="A1407" s="1">
        <v>136</v>
      </c>
      <c r="B1407" s="159"/>
      <c r="C1407" s="1" t="s">
        <v>1412</v>
      </c>
      <c r="D1407" s="1"/>
      <c r="E1407" s="1"/>
      <c r="F1407" s="1" t="s">
        <v>1540</v>
      </c>
      <c r="G1407" s="1">
        <v>12</v>
      </c>
      <c r="H1407" s="1" t="s">
        <v>19</v>
      </c>
      <c r="I1407" s="1" t="s">
        <v>427</v>
      </c>
      <c r="J1407" s="1">
        <v>0.03</v>
      </c>
      <c r="K1407" s="1">
        <v>0.36</v>
      </c>
      <c r="L1407" s="42">
        <v>5</v>
      </c>
      <c r="M1407" s="43">
        <v>46055</v>
      </c>
      <c r="N1407" s="1" t="e">
        <f>VLOOKUP(B1407,MICRO!E:L,8,0)</f>
        <v>#N/A</v>
      </c>
    </row>
    <row r="1408" spans="1:14" ht="20.25" x14ac:dyDescent="0.25">
      <c r="A1408" s="1">
        <v>137</v>
      </c>
      <c r="B1408" s="159"/>
      <c r="C1408" s="1" t="s">
        <v>1416</v>
      </c>
      <c r="D1408" s="1"/>
      <c r="E1408" s="1"/>
      <c r="F1408" s="1" t="s">
        <v>1541</v>
      </c>
      <c r="G1408" s="1">
        <v>8</v>
      </c>
      <c r="H1408" s="1" t="s">
        <v>19</v>
      </c>
      <c r="I1408" s="1" t="s">
        <v>426</v>
      </c>
      <c r="J1408" s="1">
        <v>0.03</v>
      </c>
      <c r="K1408" s="1">
        <v>0.24</v>
      </c>
      <c r="L1408" s="42">
        <v>5</v>
      </c>
      <c r="M1408" s="43">
        <v>46055</v>
      </c>
      <c r="N1408" s="1" t="e">
        <f>VLOOKUP(B1408,MICRO!E:L,8,0)</f>
        <v>#N/A</v>
      </c>
    </row>
    <row r="1409" spans="1:14" ht="20.25" x14ac:dyDescent="0.25">
      <c r="A1409" s="1">
        <v>138</v>
      </c>
      <c r="B1409" s="159"/>
      <c r="C1409" s="1" t="s">
        <v>1476</v>
      </c>
      <c r="D1409" s="1"/>
      <c r="E1409" s="1"/>
      <c r="F1409" s="1" t="s">
        <v>1542</v>
      </c>
      <c r="G1409" s="1">
        <v>16</v>
      </c>
      <c r="H1409" s="1" t="s">
        <v>19</v>
      </c>
      <c r="I1409" s="1" t="s">
        <v>1420</v>
      </c>
      <c r="J1409" s="1">
        <v>0.03</v>
      </c>
      <c r="K1409" s="1">
        <v>0.48</v>
      </c>
      <c r="L1409" s="42">
        <v>5</v>
      </c>
      <c r="M1409" s="43">
        <v>46055</v>
      </c>
      <c r="N1409" s="1" t="e">
        <f>VLOOKUP(B1409,MICRO!E:L,8,0)</f>
        <v>#N/A</v>
      </c>
    </row>
    <row r="1410" spans="1:14" ht="20.25" x14ac:dyDescent="0.25">
      <c r="A1410" s="1">
        <v>139</v>
      </c>
      <c r="B1410" s="159"/>
      <c r="C1410" s="1" t="s">
        <v>1476</v>
      </c>
      <c r="D1410" s="1"/>
      <c r="E1410" s="1"/>
      <c r="F1410" s="1" t="s">
        <v>1542</v>
      </c>
      <c r="G1410" s="1">
        <v>16</v>
      </c>
      <c r="H1410" s="1" t="s">
        <v>19</v>
      </c>
      <c r="I1410" s="1" t="s">
        <v>1420</v>
      </c>
      <c r="J1410" s="1">
        <v>0.03</v>
      </c>
      <c r="K1410" s="1">
        <v>0.48</v>
      </c>
      <c r="L1410" s="42">
        <v>5</v>
      </c>
      <c r="M1410" s="43">
        <v>46055</v>
      </c>
      <c r="N1410" s="1" t="e">
        <f>VLOOKUP(B1410,MICRO!E:L,8,0)</f>
        <v>#N/A</v>
      </c>
    </row>
    <row r="1411" spans="1:14" ht="20.25" x14ac:dyDescent="0.25">
      <c r="A1411" s="1">
        <v>140</v>
      </c>
      <c r="B1411" s="159"/>
      <c r="C1411" s="1" t="s">
        <v>1421</v>
      </c>
      <c r="D1411" s="1"/>
      <c r="E1411" s="1"/>
      <c r="F1411" s="1" t="s">
        <v>1543</v>
      </c>
      <c r="G1411" s="1">
        <v>16</v>
      </c>
      <c r="H1411" s="1" t="s">
        <v>19</v>
      </c>
      <c r="I1411" s="1" t="s">
        <v>1420</v>
      </c>
      <c r="J1411" s="1">
        <v>0.03</v>
      </c>
      <c r="K1411" s="1">
        <v>0.48</v>
      </c>
      <c r="L1411" s="42">
        <v>5</v>
      </c>
      <c r="M1411" s="43">
        <v>46055</v>
      </c>
      <c r="N1411" s="1" t="e">
        <f>VLOOKUP(B1411,MICRO!E:L,8,0)</f>
        <v>#N/A</v>
      </c>
    </row>
    <row r="1412" spans="1:14" ht="20.25" x14ac:dyDescent="0.25">
      <c r="A1412" s="1">
        <v>141</v>
      </c>
      <c r="B1412" s="159"/>
      <c r="C1412" s="1" t="s">
        <v>1414</v>
      </c>
      <c r="D1412" s="1"/>
      <c r="E1412" s="1"/>
      <c r="F1412" s="1" t="s">
        <v>1544</v>
      </c>
      <c r="G1412" s="1">
        <v>8</v>
      </c>
      <c r="H1412" s="1" t="s">
        <v>19</v>
      </c>
      <c r="I1412" s="1" t="s">
        <v>423</v>
      </c>
      <c r="J1412" s="1">
        <v>0.03</v>
      </c>
      <c r="K1412" s="1">
        <v>0.24</v>
      </c>
      <c r="L1412" s="42">
        <v>5</v>
      </c>
      <c r="M1412" s="43">
        <v>46055</v>
      </c>
      <c r="N1412" s="1" t="e">
        <f>VLOOKUP(B1412,MICRO!E:L,8,0)</f>
        <v>#N/A</v>
      </c>
    </row>
    <row r="1413" spans="1:14" ht="20.25" x14ac:dyDescent="0.25">
      <c r="A1413" s="1">
        <v>142</v>
      </c>
      <c r="B1413" s="159"/>
      <c r="C1413" s="1" t="s">
        <v>1402</v>
      </c>
      <c r="D1413" s="1"/>
      <c r="E1413" s="1"/>
      <c r="F1413" s="1" t="s">
        <v>1545</v>
      </c>
      <c r="G1413" s="1">
        <v>8</v>
      </c>
      <c r="H1413" s="1" t="s">
        <v>19</v>
      </c>
      <c r="I1413" s="1" t="s">
        <v>1404</v>
      </c>
      <c r="J1413" s="1">
        <v>0.03</v>
      </c>
      <c r="K1413" s="1">
        <v>0.24</v>
      </c>
      <c r="L1413" s="42">
        <v>5</v>
      </c>
      <c r="M1413" s="43">
        <v>46055</v>
      </c>
      <c r="N1413" s="1" t="e">
        <f>VLOOKUP(B1413,MICRO!E:L,8,0)</f>
        <v>#N/A</v>
      </c>
    </row>
    <row r="1414" spans="1:14" ht="20.25" x14ac:dyDescent="0.25">
      <c r="A1414" s="1">
        <v>143</v>
      </c>
      <c r="B1414" s="159"/>
      <c r="C1414" s="1" t="s">
        <v>1412</v>
      </c>
      <c r="D1414" s="1"/>
      <c r="E1414" s="1"/>
      <c r="F1414" s="1" t="s">
        <v>1546</v>
      </c>
      <c r="G1414" s="1">
        <v>8</v>
      </c>
      <c r="H1414" s="1" t="s">
        <v>19</v>
      </c>
      <c r="I1414" s="1" t="s">
        <v>427</v>
      </c>
      <c r="J1414" s="1">
        <v>0.03</v>
      </c>
      <c r="K1414" s="1">
        <v>0.24</v>
      </c>
      <c r="L1414" s="42">
        <v>5</v>
      </c>
      <c r="M1414" s="43">
        <v>46055</v>
      </c>
      <c r="N1414" s="1" t="e">
        <f>VLOOKUP(B1414,MICRO!E:L,8,0)</f>
        <v>#N/A</v>
      </c>
    </row>
    <row r="1415" spans="1:14" ht="20.25" x14ac:dyDescent="0.25">
      <c r="A1415" s="1">
        <v>144</v>
      </c>
      <c r="B1415" s="159"/>
      <c r="C1415" s="1" t="s">
        <v>1416</v>
      </c>
      <c r="D1415" s="1"/>
      <c r="E1415" s="1"/>
      <c r="F1415" s="1" t="s">
        <v>1547</v>
      </c>
      <c r="G1415" s="1">
        <v>8</v>
      </c>
      <c r="H1415" s="1" t="s">
        <v>19</v>
      </c>
      <c r="I1415" s="1" t="s">
        <v>426</v>
      </c>
      <c r="J1415" s="1">
        <v>0.03</v>
      </c>
      <c r="K1415" s="1">
        <v>0.24</v>
      </c>
      <c r="L1415" s="42">
        <v>5</v>
      </c>
      <c r="M1415" s="43">
        <v>46055</v>
      </c>
      <c r="N1415" s="1" t="e">
        <f>VLOOKUP(B1415,MICRO!E:L,8,0)</f>
        <v>#N/A</v>
      </c>
    </row>
    <row r="1416" spans="1:14" ht="20.25" x14ac:dyDescent="0.25">
      <c r="A1416" s="1">
        <v>145</v>
      </c>
      <c r="B1416" s="159"/>
      <c r="C1416" s="1" t="s">
        <v>1463</v>
      </c>
      <c r="D1416" s="1"/>
      <c r="E1416" s="1"/>
      <c r="F1416" s="1" t="s">
        <v>1548</v>
      </c>
      <c r="G1416" s="1">
        <v>100</v>
      </c>
      <c r="H1416" s="1" t="s">
        <v>19</v>
      </c>
      <c r="I1416" s="1" t="s">
        <v>425</v>
      </c>
      <c r="J1416" s="1">
        <v>0.03</v>
      </c>
      <c r="K1416" s="1">
        <v>3</v>
      </c>
      <c r="L1416" s="42">
        <v>5</v>
      </c>
      <c r="M1416" s="43">
        <v>46055</v>
      </c>
      <c r="N1416" s="1" t="e">
        <f>VLOOKUP(B1416,MICRO!E:L,8,0)</f>
        <v>#N/A</v>
      </c>
    </row>
    <row r="1417" spans="1:14" ht="20.25" x14ac:dyDescent="0.25">
      <c r="A1417" s="1">
        <v>146</v>
      </c>
      <c r="B1417" s="159"/>
      <c r="C1417" s="1" t="s">
        <v>1426</v>
      </c>
      <c r="D1417" s="1"/>
      <c r="E1417" s="1"/>
      <c r="F1417" s="1" t="s">
        <v>1549</v>
      </c>
      <c r="G1417" s="1">
        <v>8</v>
      </c>
      <c r="H1417" s="1" t="s">
        <v>19</v>
      </c>
      <c r="I1417" s="1" t="s">
        <v>424</v>
      </c>
      <c r="J1417" s="1">
        <v>0.03</v>
      </c>
      <c r="K1417" s="1">
        <v>0.24</v>
      </c>
      <c r="L1417" s="42">
        <v>5</v>
      </c>
      <c r="M1417" s="43">
        <v>46055</v>
      </c>
      <c r="N1417" s="1" t="e">
        <f>VLOOKUP(B1417,MICRO!E:L,8,0)</f>
        <v>#N/A</v>
      </c>
    </row>
    <row r="1418" spans="1:14" ht="20.25" x14ac:dyDescent="0.25">
      <c r="A1418" s="1">
        <v>147</v>
      </c>
      <c r="B1418" s="159"/>
      <c r="C1418" s="1" t="s">
        <v>1407</v>
      </c>
      <c r="D1418" s="1"/>
      <c r="E1418" s="1"/>
      <c r="F1418" s="1" t="s">
        <v>1550</v>
      </c>
      <c r="G1418" s="1">
        <v>8</v>
      </c>
      <c r="H1418" s="1" t="s">
        <v>19</v>
      </c>
      <c r="I1418" s="1" t="s">
        <v>425</v>
      </c>
      <c r="J1418" s="1">
        <v>0.03</v>
      </c>
      <c r="K1418" s="1">
        <v>0.24</v>
      </c>
      <c r="L1418" s="42">
        <v>5</v>
      </c>
      <c r="M1418" s="43">
        <v>46055</v>
      </c>
      <c r="N1418" s="1" t="e">
        <f>VLOOKUP(B1418,MICRO!E:L,8,0)</f>
        <v>#N/A</v>
      </c>
    </row>
    <row r="1419" spans="1:14" ht="20.25" x14ac:dyDescent="0.25">
      <c r="A1419" s="1">
        <v>163</v>
      </c>
      <c r="B1419" s="159"/>
      <c r="C1419" s="1" t="s">
        <v>1551</v>
      </c>
      <c r="D1419" s="1"/>
      <c r="E1419" s="1"/>
      <c r="F1419" s="1" t="s">
        <v>1552</v>
      </c>
      <c r="G1419" s="1">
        <v>260</v>
      </c>
      <c r="H1419" s="1" t="s">
        <v>19</v>
      </c>
      <c r="I1419" s="1" t="s">
        <v>1553</v>
      </c>
      <c r="J1419" s="1">
        <v>0.02</v>
      </c>
      <c r="K1419" s="1">
        <v>5.2</v>
      </c>
      <c r="L1419" s="42">
        <v>5</v>
      </c>
      <c r="M1419" s="43">
        <v>46055</v>
      </c>
      <c r="N1419" s="1" t="e">
        <f>VLOOKUP(B1419,MICRO!E:L,8,0)</f>
        <v>#N/A</v>
      </c>
    </row>
    <row r="1420" spans="1:14" ht="20.25" x14ac:dyDescent="0.25">
      <c r="A1420" s="1">
        <v>164</v>
      </c>
      <c r="B1420" s="159"/>
      <c r="C1420" s="1" t="s">
        <v>1551</v>
      </c>
      <c r="D1420" s="1"/>
      <c r="E1420" s="1"/>
      <c r="F1420" s="1" t="s">
        <v>1554</v>
      </c>
      <c r="G1420" s="1">
        <v>260</v>
      </c>
      <c r="H1420" s="1" t="s">
        <v>19</v>
      </c>
      <c r="I1420" s="1" t="s">
        <v>1553</v>
      </c>
      <c r="J1420" s="1">
        <v>0.05</v>
      </c>
      <c r="K1420" s="1">
        <v>13</v>
      </c>
      <c r="L1420" s="42">
        <v>5</v>
      </c>
      <c r="M1420" s="43">
        <v>46055</v>
      </c>
      <c r="N1420" s="1" t="e">
        <f>VLOOKUP(B1420,MICRO!E:L,8,0)</f>
        <v>#N/A</v>
      </c>
    </row>
    <row r="1421" spans="1:14" ht="20.25" x14ac:dyDescent="0.25">
      <c r="A1421" s="1">
        <v>165</v>
      </c>
      <c r="B1421" s="159"/>
      <c r="C1421" s="1" t="s">
        <v>1551</v>
      </c>
      <c r="D1421" s="1"/>
      <c r="E1421" s="1"/>
      <c r="F1421" s="1" t="s">
        <v>1555</v>
      </c>
      <c r="G1421" s="1">
        <v>260</v>
      </c>
      <c r="H1421" s="1" t="s">
        <v>19</v>
      </c>
      <c r="I1421" s="1" t="s">
        <v>1553</v>
      </c>
      <c r="J1421" s="1">
        <v>0.03</v>
      </c>
      <c r="K1421" s="1">
        <v>7.8</v>
      </c>
      <c r="L1421" s="42">
        <v>5</v>
      </c>
      <c r="M1421" s="43">
        <v>46055</v>
      </c>
      <c r="N1421" s="1" t="e">
        <f>VLOOKUP(B1421,MICRO!E:L,8,0)</f>
        <v>#N/A</v>
      </c>
    </row>
    <row r="1422" spans="1:14" ht="20.25" x14ac:dyDescent="0.25">
      <c r="A1422" s="1">
        <v>166</v>
      </c>
      <c r="B1422" s="159"/>
      <c r="C1422" s="1" t="s">
        <v>1556</v>
      </c>
      <c r="D1422" s="1"/>
      <c r="E1422" s="1"/>
      <c r="F1422" s="1" t="s">
        <v>1557</v>
      </c>
      <c r="G1422" s="1">
        <v>408</v>
      </c>
      <c r="H1422" s="1" t="s">
        <v>19</v>
      </c>
      <c r="I1422" s="1" t="s">
        <v>1558</v>
      </c>
      <c r="J1422" s="1">
        <v>0.02</v>
      </c>
      <c r="K1422" s="1">
        <v>8.16</v>
      </c>
      <c r="L1422" s="42">
        <v>5</v>
      </c>
      <c r="M1422" s="43">
        <v>46055</v>
      </c>
      <c r="N1422" s="1" t="e">
        <f>VLOOKUP(B1422,MICRO!E:L,8,0)</f>
        <v>#N/A</v>
      </c>
    </row>
    <row r="1423" spans="1:14" ht="20.25" x14ac:dyDescent="0.25">
      <c r="A1423" s="1">
        <v>167</v>
      </c>
      <c r="B1423" s="159"/>
      <c r="C1423" s="1" t="s">
        <v>1559</v>
      </c>
      <c r="D1423" s="1"/>
      <c r="E1423" s="1"/>
      <c r="F1423" s="1" t="s">
        <v>1560</v>
      </c>
      <c r="G1423" s="1">
        <v>174</v>
      </c>
      <c r="H1423" s="1" t="s">
        <v>19</v>
      </c>
      <c r="I1423" s="1" t="s">
        <v>424</v>
      </c>
      <c r="J1423" s="1">
        <v>0.02</v>
      </c>
      <c r="K1423" s="1">
        <v>3.48</v>
      </c>
      <c r="L1423" s="42">
        <v>5</v>
      </c>
      <c r="M1423" s="43">
        <v>46055</v>
      </c>
      <c r="N1423" s="1" t="e">
        <f>VLOOKUP(B1423,MICRO!E:L,8,0)</f>
        <v>#N/A</v>
      </c>
    </row>
    <row r="1424" spans="1:14" ht="20.25" x14ac:dyDescent="0.25">
      <c r="A1424" s="1">
        <v>168</v>
      </c>
      <c r="B1424" s="159"/>
      <c r="C1424" s="1" t="s">
        <v>1561</v>
      </c>
      <c r="D1424" s="1"/>
      <c r="E1424" s="1"/>
      <c r="F1424" s="1" t="s">
        <v>1562</v>
      </c>
      <c r="G1424" s="1">
        <v>258</v>
      </c>
      <c r="H1424" s="1" t="s">
        <v>19</v>
      </c>
      <c r="I1424" s="1" t="s">
        <v>425</v>
      </c>
      <c r="J1424" s="1">
        <v>0.02</v>
      </c>
      <c r="K1424" s="1">
        <v>5.16</v>
      </c>
      <c r="L1424" s="42">
        <v>5</v>
      </c>
      <c r="M1424" s="43">
        <v>46055</v>
      </c>
      <c r="N1424" s="1" t="e">
        <f>VLOOKUP(B1424,MICRO!E:L,8,0)</f>
        <v>#N/A</v>
      </c>
    </row>
    <row r="1425" spans="1:14" ht="20.25" x14ac:dyDescent="0.25">
      <c r="A1425" s="1">
        <v>169</v>
      </c>
      <c r="B1425" s="159"/>
      <c r="C1425" s="1" t="s">
        <v>1563</v>
      </c>
      <c r="D1425" s="1"/>
      <c r="E1425" s="1"/>
      <c r="F1425" s="1" t="s">
        <v>1564</v>
      </c>
      <c r="G1425" s="1">
        <v>597</v>
      </c>
      <c r="H1425" s="1" t="s">
        <v>19</v>
      </c>
      <c r="I1425" s="1" t="s">
        <v>427</v>
      </c>
      <c r="J1425" s="1">
        <v>0.02</v>
      </c>
      <c r="K1425" s="1">
        <v>11.94</v>
      </c>
      <c r="L1425" s="42">
        <v>5</v>
      </c>
      <c r="M1425" s="43">
        <v>46055</v>
      </c>
      <c r="N1425" s="1" t="e">
        <f>VLOOKUP(B1425,MICRO!E:L,8,0)</f>
        <v>#N/A</v>
      </c>
    </row>
    <row r="1426" spans="1:14" ht="20.25" x14ac:dyDescent="0.25">
      <c r="A1426" s="1">
        <v>170</v>
      </c>
      <c r="B1426" s="159"/>
      <c r="C1426" s="1" t="s">
        <v>1565</v>
      </c>
      <c r="D1426" s="1"/>
      <c r="E1426" s="1"/>
      <c r="F1426" s="1" t="s">
        <v>1566</v>
      </c>
      <c r="G1426" s="1">
        <v>362</v>
      </c>
      <c r="H1426" s="1" t="s">
        <v>19</v>
      </c>
      <c r="I1426" s="1" t="s">
        <v>426</v>
      </c>
      <c r="J1426" s="1">
        <v>0.02</v>
      </c>
      <c r="K1426" s="1">
        <v>7.24</v>
      </c>
      <c r="L1426" s="42">
        <v>5</v>
      </c>
      <c r="M1426" s="43">
        <v>46055</v>
      </c>
      <c r="N1426" s="1" t="e">
        <f>VLOOKUP(B1426,MICRO!E:L,8,0)</f>
        <v>#N/A</v>
      </c>
    </row>
    <row r="1427" spans="1:14" ht="20.25" x14ac:dyDescent="0.25">
      <c r="A1427" s="1">
        <v>171</v>
      </c>
      <c r="B1427" s="159"/>
      <c r="C1427" s="1" t="s">
        <v>1567</v>
      </c>
      <c r="D1427" s="1"/>
      <c r="E1427" s="1"/>
      <c r="F1427" s="1" t="s">
        <v>1568</v>
      </c>
      <c r="G1427" s="1">
        <v>131</v>
      </c>
      <c r="H1427" s="1" t="s">
        <v>19</v>
      </c>
      <c r="I1427" s="1" t="s">
        <v>427</v>
      </c>
      <c r="J1427" s="1">
        <v>0.02</v>
      </c>
      <c r="K1427" s="1">
        <v>2.62</v>
      </c>
      <c r="L1427" s="42">
        <v>5</v>
      </c>
      <c r="M1427" s="43">
        <v>46055</v>
      </c>
      <c r="N1427" s="1" t="e">
        <f>VLOOKUP(B1427,MICRO!E:L,8,0)</f>
        <v>#N/A</v>
      </c>
    </row>
    <row r="1428" spans="1:14" ht="20.25" x14ac:dyDescent="0.25">
      <c r="A1428" s="1">
        <v>172</v>
      </c>
      <c r="B1428" s="159"/>
      <c r="C1428" s="1" t="s">
        <v>1567</v>
      </c>
      <c r="D1428" s="1"/>
      <c r="E1428" s="1"/>
      <c r="F1428" s="1" t="s">
        <v>1569</v>
      </c>
      <c r="G1428" s="1">
        <v>131</v>
      </c>
      <c r="H1428" s="1" t="s">
        <v>19</v>
      </c>
      <c r="I1428" s="1" t="s">
        <v>427</v>
      </c>
      <c r="J1428" s="1">
        <v>0.05</v>
      </c>
      <c r="K1428" s="1">
        <v>6.5500000000000007</v>
      </c>
      <c r="L1428" s="42">
        <v>5</v>
      </c>
      <c r="M1428" s="43">
        <v>46055</v>
      </c>
      <c r="N1428" s="1" t="e">
        <f>VLOOKUP(B1428,MICRO!E:L,8,0)</f>
        <v>#N/A</v>
      </c>
    </row>
    <row r="1429" spans="1:14" ht="20.25" x14ac:dyDescent="0.25">
      <c r="A1429" s="1">
        <v>173</v>
      </c>
      <c r="B1429" s="159"/>
      <c r="C1429" s="1" t="s">
        <v>1567</v>
      </c>
      <c r="D1429" s="1"/>
      <c r="E1429" s="1"/>
      <c r="F1429" s="1" t="s">
        <v>1570</v>
      </c>
      <c r="G1429" s="1">
        <v>131</v>
      </c>
      <c r="H1429" s="1" t="s">
        <v>19</v>
      </c>
      <c r="I1429" s="1" t="s">
        <v>427</v>
      </c>
      <c r="J1429" s="1">
        <v>0.03</v>
      </c>
      <c r="K1429" s="1">
        <v>3.9299999999999997</v>
      </c>
      <c r="L1429" s="42">
        <v>5</v>
      </c>
      <c r="M1429" s="43">
        <v>46055</v>
      </c>
      <c r="N1429" s="1" t="e">
        <f>VLOOKUP(B1429,MICRO!E:L,8,0)</f>
        <v>#N/A</v>
      </c>
    </row>
    <row r="1430" spans="1:14" ht="20.25" x14ac:dyDescent="0.25">
      <c r="A1430" s="1">
        <v>174</v>
      </c>
      <c r="B1430" s="159"/>
      <c r="C1430" s="1" t="s">
        <v>1571</v>
      </c>
      <c r="D1430" s="1"/>
      <c r="E1430" s="1"/>
      <c r="F1430" s="1" t="s">
        <v>1572</v>
      </c>
      <c r="G1430" s="1">
        <v>1</v>
      </c>
      <c r="H1430" s="1" t="s">
        <v>19</v>
      </c>
      <c r="I1430" s="1" t="s">
        <v>1573</v>
      </c>
      <c r="J1430" s="1">
        <v>0.02</v>
      </c>
      <c r="K1430" s="1">
        <v>0.02</v>
      </c>
      <c r="L1430" s="42">
        <v>5</v>
      </c>
      <c r="M1430" s="43">
        <v>46055</v>
      </c>
      <c r="N1430" s="1" t="e">
        <f>VLOOKUP(B1430,MICRO!E:L,8,0)</f>
        <v>#N/A</v>
      </c>
    </row>
    <row r="1431" spans="1:14" ht="20.25" x14ac:dyDescent="0.25">
      <c r="A1431" s="1">
        <v>175</v>
      </c>
      <c r="B1431" s="159"/>
      <c r="C1431" s="1" t="s">
        <v>1571</v>
      </c>
      <c r="D1431" s="1"/>
      <c r="E1431" s="1"/>
      <c r="F1431" s="1" t="s">
        <v>1574</v>
      </c>
      <c r="G1431" s="1">
        <v>1</v>
      </c>
      <c r="H1431" s="1" t="s">
        <v>19</v>
      </c>
      <c r="I1431" s="1" t="s">
        <v>1573</v>
      </c>
      <c r="J1431" s="1">
        <v>0.05</v>
      </c>
      <c r="K1431" s="1">
        <v>0.05</v>
      </c>
      <c r="L1431" s="42">
        <v>5</v>
      </c>
      <c r="M1431" s="43">
        <v>46055</v>
      </c>
      <c r="N1431" s="1" t="e">
        <f>VLOOKUP(B1431,MICRO!E:L,8,0)</f>
        <v>#N/A</v>
      </c>
    </row>
    <row r="1432" spans="1:14" ht="20.25" x14ac:dyDescent="0.25">
      <c r="A1432" s="1">
        <v>176</v>
      </c>
      <c r="B1432" s="159"/>
      <c r="C1432" s="1" t="s">
        <v>1559</v>
      </c>
      <c r="D1432" s="1"/>
      <c r="E1432" s="1"/>
      <c r="F1432" s="1" t="s">
        <v>1575</v>
      </c>
      <c r="G1432" s="1">
        <v>174</v>
      </c>
      <c r="H1432" s="1" t="s">
        <v>19</v>
      </c>
      <c r="I1432" s="1" t="s">
        <v>424</v>
      </c>
      <c r="J1432" s="1">
        <v>0.03</v>
      </c>
      <c r="K1432" s="1">
        <v>5.22</v>
      </c>
      <c r="L1432" s="42">
        <v>5</v>
      </c>
      <c r="M1432" s="43">
        <v>46055</v>
      </c>
      <c r="N1432" s="1" t="e">
        <f>VLOOKUP(B1432,MICRO!E:L,8,0)</f>
        <v>#N/A</v>
      </c>
    </row>
    <row r="1433" spans="1:14" ht="20.25" x14ac:dyDescent="0.25">
      <c r="A1433" s="1">
        <v>177</v>
      </c>
      <c r="B1433" s="159"/>
      <c r="C1433" s="1" t="s">
        <v>1561</v>
      </c>
      <c r="D1433" s="1"/>
      <c r="E1433" s="1"/>
      <c r="F1433" s="1" t="s">
        <v>1576</v>
      </c>
      <c r="G1433" s="1">
        <v>258</v>
      </c>
      <c r="H1433" s="1" t="s">
        <v>19</v>
      </c>
      <c r="I1433" s="1" t="s">
        <v>425</v>
      </c>
      <c r="J1433" s="1">
        <v>0.03</v>
      </c>
      <c r="K1433" s="1">
        <v>7.7399999999999993</v>
      </c>
      <c r="L1433" s="42">
        <v>5</v>
      </c>
      <c r="M1433" s="43">
        <v>46055</v>
      </c>
      <c r="N1433" s="1" t="e">
        <f>VLOOKUP(B1433,MICRO!E:L,8,0)</f>
        <v>#N/A</v>
      </c>
    </row>
    <row r="1434" spans="1:14" ht="20.25" x14ac:dyDescent="0.25">
      <c r="A1434" s="1">
        <v>178</v>
      </c>
      <c r="B1434" s="159"/>
      <c r="C1434" s="1" t="s">
        <v>1565</v>
      </c>
      <c r="D1434" s="1"/>
      <c r="E1434" s="1"/>
      <c r="F1434" s="1" t="s">
        <v>1577</v>
      </c>
      <c r="G1434" s="1">
        <v>362</v>
      </c>
      <c r="H1434" s="1" t="s">
        <v>19</v>
      </c>
      <c r="I1434" s="1" t="s">
        <v>426</v>
      </c>
      <c r="J1434" s="1">
        <v>0.03</v>
      </c>
      <c r="K1434" s="1">
        <v>10.86</v>
      </c>
      <c r="L1434" s="42">
        <v>5</v>
      </c>
      <c r="M1434" s="43">
        <v>46055</v>
      </c>
      <c r="N1434" s="1" t="e">
        <f>VLOOKUP(B1434,MICRO!E:L,8,0)</f>
        <v>#N/A</v>
      </c>
    </row>
    <row r="1435" spans="1:14" ht="20.25" x14ac:dyDescent="0.25">
      <c r="A1435" s="1">
        <v>179</v>
      </c>
      <c r="B1435" s="159"/>
      <c r="C1435" s="1" t="s">
        <v>1563</v>
      </c>
      <c r="D1435" s="1"/>
      <c r="E1435" s="1"/>
      <c r="F1435" s="1" t="s">
        <v>1578</v>
      </c>
      <c r="G1435" s="1">
        <v>597</v>
      </c>
      <c r="H1435" s="1" t="s">
        <v>19</v>
      </c>
      <c r="I1435" s="1" t="s">
        <v>427</v>
      </c>
      <c r="J1435" s="1">
        <v>0.03</v>
      </c>
      <c r="K1435" s="1">
        <v>17.91</v>
      </c>
      <c r="L1435" s="42">
        <v>5</v>
      </c>
      <c r="M1435" s="43">
        <v>46055</v>
      </c>
      <c r="N1435" s="1" t="e">
        <f>VLOOKUP(B1435,MICRO!E:L,8,0)</f>
        <v>#N/A</v>
      </c>
    </row>
    <row r="1436" spans="1:14" ht="20.25" x14ac:dyDescent="0.25">
      <c r="A1436" s="1">
        <v>180</v>
      </c>
      <c r="B1436" s="159"/>
      <c r="C1436" s="1" t="s">
        <v>1556</v>
      </c>
      <c r="D1436" s="1"/>
      <c r="E1436" s="1"/>
      <c r="F1436" s="1" t="s">
        <v>1579</v>
      </c>
      <c r="G1436" s="1">
        <v>408</v>
      </c>
      <c r="H1436" s="1" t="s">
        <v>19</v>
      </c>
      <c r="I1436" s="1" t="s">
        <v>423</v>
      </c>
      <c r="J1436" s="1">
        <v>0.03</v>
      </c>
      <c r="K1436" s="1">
        <v>12.24</v>
      </c>
      <c r="L1436" s="42">
        <v>5</v>
      </c>
      <c r="M1436" s="43">
        <v>46055</v>
      </c>
      <c r="N1436" s="1" t="e">
        <f>VLOOKUP(B1436,MICRO!E:L,8,0)</f>
        <v>#N/A</v>
      </c>
    </row>
    <row r="1437" spans="1:14" ht="20.25" x14ac:dyDescent="0.25">
      <c r="A1437" s="1">
        <v>181</v>
      </c>
      <c r="B1437" s="159"/>
      <c r="C1437" s="1" t="s">
        <v>1571</v>
      </c>
      <c r="D1437" s="1"/>
      <c r="E1437" s="1"/>
      <c r="F1437" s="1" t="s">
        <v>1580</v>
      </c>
      <c r="G1437" s="1">
        <v>1</v>
      </c>
      <c r="H1437" s="1" t="s">
        <v>19</v>
      </c>
      <c r="I1437" s="1" t="s">
        <v>1573</v>
      </c>
      <c r="J1437" s="1">
        <v>0.03</v>
      </c>
      <c r="K1437" s="1">
        <v>0.03</v>
      </c>
      <c r="L1437" s="42">
        <v>5</v>
      </c>
      <c r="M1437" s="43">
        <v>46055</v>
      </c>
      <c r="N1437" s="1" t="e">
        <f>VLOOKUP(B1437,MICRO!E:L,8,0)</f>
        <v>#N/A</v>
      </c>
    </row>
    <row r="1438" spans="1:14" ht="20.25" x14ac:dyDescent="0.25">
      <c r="A1438" s="1">
        <v>182</v>
      </c>
      <c r="B1438" s="159"/>
      <c r="C1438" s="1" t="s">
        <v>638</v>
      </c>
      <c r="D1438" s="1"/>
      <c r="E1438" s="1"/>
      <c r="F1438" s="1" t="s">
        <v>1581</v>
      </c>
      <c r="G1438" s="1">
        <v>14</v>
      </c>
      <c r="H1438" s="1" t="s">
        <v>19</v>
      </c>
      <c r="I1438" s="1" t="s">
        <v>425</v>
      </c>
      <c r="J1438" s="1">
        <v>0.02</v>
      </c>
      <c r="K1438" s="1">
        <v>0.28000000000000003</v>
      </c>
      <c r="L1438" s="42">
        <v>5</v>
      </c>
      <c r="M1438" s="43">
        <v>46055</v>
      </c>
      <c r="N1438" s="1" t="e">
        <f>VLOOKUP(B1438,MICRO!E:L,8,0)</f>
        <v>#N/A</v>
      </c>
    </row>
    <row r="1439" spans="1:14" ht="20.25" x14ac:dyDescent="0.25">
      <c r="A1439" s="1">
        <v>183</v>
      </c>
      <c r="B1439" s="159"/>
      <c r="C1439" s="1" t="s">
        <v>1582</v>
      </c>
      <c r="D1439" s="1"/>
      <c r="E1439" s="1"/>
      <c r="F1439" s="1" t="s">
        <v>1583</v>
      </c>
      <c r="G1439" s="1">
        <v>20</v>
      </c>
      <c r="H1439" s="1" t="s">
        <v>19</v>
      </c>
      <c r="I1439" s="1" t="s">
        <v>427</v>
      </c>
      <c r="J1439" s="1">
        <v>0.02</v>
      </c>
      <c r="K1439" s="1">
        <v>0.4</v>
      </c>
      <c r="L1439" s="42">
        <v>5</v>
      </c>
      <c r="M1439" s="43">
        <v>46055</v>
      </c>
      <c r="N1439" s="1" t="e">
        <f>VLOOKUP(B1439,MICRO!E:L,8,0)</f>
        <v>#N/A</v>
      </c>
    </row>
    <row r="1440" spans="1:14" ht="20.25" x14ac:dyDescent="0.25">
      <c r="A1440" s="1">
        <v>184</v>
      </c>
      <c r="B1440" s="159"/>
      <c r="C1440" s="1" t="s">
        <v>1584</v>
      </c>
      <c r="D1440" s="1"/>
      <c r="E1440" s="1"/>
      <c r="F1440" s="1" t="s">
        <v>1585</v>
      </c>
      <c r="G1440" s="1">
        <v>230</v>
      </c>
      <c r="H1440" s="1" t="s">
        <v>19</v>
      </c>
      <c r="I1440" s="1" t="s">
        <v>1586</v>
      </c>
      <c r="J1440" s="1">
        <v>0.02</v>
      </c>
      <c r="K1440" s="1">
        <v>4.6000000000000005</v>
      </c>
      <c r="L1440" s="42">
        <v>5</v>
      </c>
      <c r="M1440" s="43">
        <v>46055</v>
      </c>
      <c r="N1440" s="1" t="e">
        <f>VLOOKUP(B1440,MICRO!E:L,8,0)</f>
        <v>#N/A</v>
      </c>
    </row>
    <row r="1441" spans="1:14" ht="20.25" x14ac:dyDescent="0.25">
      <c r="A1441" s="1">
        <v>185</v>
      </c>
      <c r="B1441" s="159"/>
      <c r="C1441" s="1" t="s">
        <v>638</v>
      </c>
      <c r="D1441" s="1"/>
      <c r="E1441" s="1"/>
      <c r="F1441" s="1" t="s">
        <v>1587</v>
      </c>
      <c r="G1441" s="1">
        <v>20</v>
      </c>
      <c r="H1441" s="1" t="s">
        <v>19</v>
      </c>
      <c r="I1441" s="1" t="s">
        <v>425</v>
      </c>
      <c r="J1441" s="1">
        <v>0.05</v>
      </c>
      <c r="K1441" s="1">
        <v>1</v>
      </c>
      <c r="L1441" s="42">
        <v>5</v>
      </c>
      <c r="M1441" s="43">
        <v>46055</v>
      </c>
      <c r="N1441" s="1" t="e">
        <f>VLOOKUP(B1441,MICRO!E:L,8,0)</f>
        <v>#N/A</v>
      </c>
    </row>
    <row r="1442" spans="1:14" ht="20.25" x14ac:dyDescent="0.25">
      <c r="A1442" s="1">
        <v>186</v>
      </c>
      <c r="B1442" s="159"/>
      <c r="C1442" s="1" t="s">
        <v>1582</v>
      </c>
      <c r="D1442" s="1"/>
      <c r="E1442" s="1"/>
      <c r="F1442" s="1" t="s">
        <v>1588</v>
      </c>
      <c r="G1442" s="1">
        <v>20</v>
      </c>
      <c r="H1442" s="1" t="s">
        <v>19</v>
      </c>
      <c r="I1442" s="1" t="s">
        <v>427</v>
      </c>
      <c r="J1442" s="1">
        <v>0.05</v>
      </c>
      <c r="K1442" s="1">
        <v>1</v>
      </c>
      <c r="L1442" s="42">
        <v>5</v>
      </c>
      <c r="M1442" s="43">
        <v>46055</v>
      </c>
      <c r="N1442" s="1" t="e">
        <f>VLOOKUP(B1442,MICRO!E:L,8,0)</f>
        <v>#N/A</v>
      </c>
    </row>
    <row r="1443" spans="1:14" ht="20.25" x14ac:dyDescent="0.25">
      <c r="A1443" s="1">
        <v>187</v>
      </c>
      <c r="B1443" s="159"/>
      <c r="C1443" s="1" t="s">
        <v>1584</v>
      </c>
      <c r="D1443" s="1"/>
      <c r="E1443" s="1"/>
      <c r="F1443" s="1" t="s">
        <v>1589</v>
      </c>
      <c r="G1443" s="1">
        <v>230</v>
      </c>
      <c r="H1443" s="1" t="s">
        <v>19</v>
      </c>
      <c r="I1443" s="1" t="s">
        <v>1586</v>
      </c>
      <c r="J1443" s="1">
        <v>0.05</v>
      </c>
      <c r="K1443" s="1">
        <v>11.5</v>
      </c>
      <c r="L1443" s="42">
        <v>5</v>
      </c>
      <c r="M1443" s="43">
        <v>46055</v>
      </c>
      <c r="N1443" s="1" t="e">
        <f>VLOOKUP(B1443,MICRO!E:L,8,0)</f>
        <v>#N/A</v>
      </c>
    </row>
    <row r="1444" spans="1:14" ht="20.25" x14ac:dyDescent="0.25">
      <c r="A1444" s="1">
        <v>188</v>
      </c>
      <c r="B1444" s="159"/>
      <c r="C1444" s="1" t="s">
        <v>638</v>
      </c>
      <c r="D1444" s="1"/>
      <c r="E1444" s="1"/>
      <c r="F1444" s="1" t="s">
        <v>1590</v>
      </c>
      <c r="G1444" s="1">
        <v>50</v>
      </c>
      <c r="H1444" s="1" t="s">
        <v>19</v>
      </c>
      <c r="I1444" s="1" t="s">
        <v>425</v>
      </c>
      <c r="J1444" s="1">
        <v>0.05</v>
      </c>
      <c r="K1444" s="1">
        <v>2.5</v>
      </c>
      <c r="L1444" s="42">
        <v>5</v>
      </c>
      <c r="M1444" s="43">
        <v>46055</v>
      </c>
      <c r="N1444" s="1" t="e">
        <f>VLOOKUP(B1444,MICRO!E:L,8,0)</f>
        <v>#N/A</v>
      </c>
    </row>
    <row r="1445" spans="1:14" ht="20.25" x14ac:dyDescent="0.25">
      <c r="A1445" s="1">
        <v>189</v>
      </c>
      <c r="B1445" s="159"/>
      <c r="C1445" s="1" t="s">
        <v>638</v>
      </c>
      <c r="D1445" s="1"/>
      <c r="E1445" s="1"/>
      <c r="F1445" s="1" t="s">
        <v>1591</v>
      </c>
      <c r="G1445" s="1">
        <v>26</v>
      </c>
      <c r="H1445" s="1" t="s">
        <v>19</v>
      </c>
      <c r="I1445" s="1" t="s">
        <v>425</v>
      </c>
      <c r="J1445" s="1">
        <v>0.03</v>
      </c>
      <c r="K1445" s="1">
        <v>0.78</v>
      </c>
      <c r="L1445" s="42">
        <v>5</v>
      </c>
      <c r="M1445" s="43">
        <v>46055</v>
      </c>
      <c r="N1445" s="1" t="e">
        <f>VLOOKUP(B1445,MICRO!E:L,8,0)</f>
        <v>#N/A</v>
      </c>
    </row>
    <row r="1446" spans="1:14" ht="20.25" x14ac:dyDescent="0.25">
      <c r="A1446" s="1">
        <v>190</v>
      </c>
      <c r="B1446" s="159"/>
      <c r="C1446" s="1" t="s">
        <v>1582</v>
      </c>
      <c r="D1446" s="1"/>
      <c r="E1446" s="1"/>
      <c r="F1446" s="1" t="s">
        <v>1592</v>
      </c>
      <c r="G1446" s="1">
        <v>40</v>
      </c>
      <c r="H1446" s="1" t="s">
        <v>19</v>
      </c>
      <c r="I1446" s="1" t="s">
        <v>427</v>
      </c>
      <c r="J1446" s="1">
        <v>0.03</v>
      </c>
      <c r="K1446" s="1">
        <v>1.2</v>
      </c>
      <c r="L1446" s="42">
        <v>5</v>
      </c>
      <c r="M1446" s="43">
        <v>46055</v>
      </c>
      <c r="N1446" s="1" t="e">
        <f>VLOOKUP(B1446,MICRO!E:L,8,0)</f>
        <v>#N/A</v>
      </c>
    </row>
    <row r="1447" spans="1:14" ht="20.25" x14ac:dyDescent="0.25">
      <c r="A1447" s="1">
        <v>191</v>
      </c>
      <c r="B1447" s="159"/>
      <c r="C1447" s="1" t="s">
        <v>1584</v>
      </c>
      <c r="D1447" s="1"/>
      <c r="E1447" s="1"/>
      <c r="F1447" s="1" t="s">
        <v>1593</v>
      </c>
      <c r="G1447" s="1">
        <v>460</v>
      </c>
      <c r="H1447" s="1" t="s">
        <v>19</v>
      </c>
      <c r="I1447" s="1" t="s">
        <v>1586</v>
      </c>
      <c r="J1447" s="1">
        <v>0.03</v>
      </c>
      <c r="K1447" s="1">
        <v>13.799999999999999</v>
      </c>
      <c r="L1447" s="42">
        <v>5</v>
      </c>
      <c r="M1447" s="43">
        <v>46055</v>
      </c>
      <c r="N1447" s="1" t="e">
        <f>VLOOKUP(B1447,MICRO!E:L,8,0)</f>
        <v>#N/A</v>
      </c>
    </row>
    <row r="1448" spans="1:14" ht="20.25" x14ac:dyDescent="0.25">
      <c r="A1448" s="1">
        <v>192</v>
      </c>
      <c r="B1448" s="159"/>
      <c r="C1448" s="1" t="s">
        <v>1594</v>
      </c>
      <c r="D1448" s="1"/>
      <c r="E1448" s="1"/>
      <c r="F1448" s="1" t="s">
        <v>1595</v>
      </c>
      <c r="G1448" s="1">
        <v>6</v>
      </c>
      <c r="H1448" s="1" t="s">
        <v>19</v>
      </c>
      <c r="I1448" s="1" t="s">
        <v>1558</v>
      </c>
      <c r="J1448" s="1">
        <v>0.02</v>
      </c>
      <c r="K1448" s="1">
        <v>0.12</v>
      </c>
      <c r="L1448" s="42">
        <v>5</v>
      </c>
      <c r="M1448" s="43">
        <v>46055</v>
      </c>
      <c r="N1448" s="1" t="e">
        <f>VLOOKUP(B1448,MICRO!E:L,8,0)</f>
        <v>#N/A</v>
      </c>
    </row>
    <row r="1449" spans="1:14" ht="20.25" x14ac:dyDescent="0.25">
      <c r="A1449" s="1">
        <v>193</v>
      </c>
      <c r="B1449" s="159"/>
      <c r="C1449" s="1" t="s">
        <v>1596</v>
      </c>
      <c r="D1449" s="1"/>
      <c r="E1449" s="1"/>
      <c r="F1449" s="1" t="s">
        <v>1597</v>
      </c>
      <c r="G1449" s="1">
        <v>2</v>
      </c>
      <c r="H1449" s="1" t="s">
        <v>19</v>
      </c>
      <c r="I1449" s="1" t="s">
        <v>1598</v>
      </c>
      <c r="J1449" s="1">
        <v>0.02</v>
      </c>
      <c r="K1449" s="1">
        <v>0.04</v>
      </c>
      <c r="L1449" s="42">
        <v>5</v>
      </c>
      <c r="M1449" s="43">
        <v>46055</v>
      </c>
      <c r="N1449" s="1" t="e">
        <f>VLOOKUP(B1449,MICRO!E:L,8,0)</f>
        <v>#N/A</v>
      </c>
    </row>
    <row r="1450" spans="1:14" ht="20.25" x14ac:dyDescent="0.25">
      <c r="A1450" s="1">
        <v>194</v>
      </c>
      <c r="B1450" s="159"/>
      <c r="C1450" s="1" t="s">
        <v>1594</v>
      </c>
      <c r="D1450" s="1"/>
      <c r="E1450" s="1"/>
      <c r="F1450" s="1" t="s">
        <v>1599</v>
      </c>
      <c r="G1450" s="1">
        <v>16</v>
      </c>
      <c r="H1450" s="1" t="s">
        <v>19</v>
      </c>
      <c r="I1450" s="1" t="s">
        <v>1558</v>
      </c>
      <c r="J1450" s="1">
        <v>0.02</v>
      </c>
      <c r="K1450" s="1">
        <v>0.32</v>
      </c>
      <c r="L1450" s="42">
        <v>5</v>
      </c>
      <c r="M1450" s="43">
        <v>46055</v>
      </c>
      <c r="N1450" s="1" t="e">
        <f>VLOOKUP(B1450,MICRO!E:L,8,0)</f>
        <v>#N/A</v>
      </c>
    </row>
    <row r="1451" spans="1:14" ht="20.25" x14ac:dyDescent="0.25">
      <c r="A1451" s="1">
        <v>195</v>
      </c>
      <c r="B1451" s="159"/>
      <c r="C1451" s="1" t="s">
        <v>1556</v>
      </c>
      <c r="D1451" s="1"/>
      <c r="E1451" s="1"/>
      <c r="F1451" s="1" t="s">
        <v>1600</v>
      </c>
      <c r="G1451" s="1">
        <v>48</v>
      </c>
      <c r="H1451" s="1" t="s">
        <v>19</v>
      </c>
      <c r="I1451" s="1" t="s">
        <v>423</v>
      </c>
      <c r="J1451" s="1">
        <v>0.02</v>
      </c>
      <c r="K1451" s="1">
        <v>0.96</v>
      </c>
      <c r="L1451" s="42">
        <v>5</v>
      </c>
      <c r="M1451" s="43">
        <v>46055</v>
      </c>
      <c r="N1451" s="1" t="e">
        <f>VLOOKUP(B1451,MICRO!E:L,8,0)</f>
        <v>#N/A</v>
      </c>
    </row>
    <row r="1452" spans="1:14" ht="20.25" x14ac:dyDescent="0.25">
      <c r="A1452" s="1">
        <v>196</v>
      </c>
      <c r="B1452" s="159"/>
      <c r="C1452" s="1" t="s">
        <v>1559</v>
      </c>
      <c r="D1452" s="1"/>
      <c r="E1452" s="1"/>
      <c r="F1452" s="1" t="s">
        <v>1601</v>
      </c>
      <c r="G1452" s="1">
        <v>7</v>
      </c>
      <c r="H1452" s="1" t="s">
        <v>19</v>
      </c>
      <c r="I1452" s="1" t="s">
        <v>424</v>
      </c>
      <c r="J1452" s="1">
        <v>0.02</v>
      </c>
      <c r="K1452" s="1">
        <v>0.14000000000000001</v>
      </c>
      <c r="L1452" s="42">
        <v>5</v>
      </c>
      <c r="M1452" s="43">
        <v>46055</v>
      </c>
      <c r="N1452" s="1" t="e">
        <f>VLOOKUP(B1452,MICRO!E:L,8,0)</f>
        <v>#N/A</v>
      </c>
    </row>
    <row r="1453" spans="1:14" ht="20.25" x14ac:dyDescent="0.25">
      <c r="A1453" s="1">
        <v>197</v>
      </c>
      <c r="B1453" s="159"/>
      <c r="C1453" s="1" t="s">
        <v>1561</v>
      </c>
      <c r="D1453" s="1"/>
      <c r="E1453" s="1"/>
      <c r="F1453" s="1" t="s">
        <v>1602</v>
      </c>
      <c r="G1453" s="1">
        <v>10</v>
      </c>
      <c r="H1453" s="1" t="s">
        <v>19</v>
      </c>
      <c r="I1453" s="1" t="s">
        <v>425</v>
      </c>
      <c r="J1453" s="1">
        <v>0.02</v>
      </c>
      <c r="K1453" s="1">
        <v>0.2</v>
      </c>
      <c r="L1453" s="42">
        <v>5</v>
      </c>
      <c r="M1453" s="43">
        <v>46055</v>
      </c>
      <c r="N1453" s="1" t="e">
        <f>VLOOKUP(B1453,MICRO!E:L,8,0)</f>
        <v>#N/A</v>
      </c>
    </row>
    <row r="1454" spans="1:14" ht="20.25" x14ac:dyDescent="0.25">
      <c r="A1454" s="1">
        <v>198</v>
      </c>
      <c r="B1454" s="159"/>
      <c r="C1454" s="1" t="s">
        <v>1565</v>
      </c>
      <c r="D1454" s="1"/>
      <c r="E1454" s="1"/>
      <c r="F1454" s="1" t="s">
        <v>1603</v>
      </c>
      <c r="G1454" s="1">
        <v>24</v>
      </c>
      <c r="H1454" s="1" t="s">
        <v>19</v>
      </c>
      <c r="I1454" s="1" t="s">
        <v>426</v>
      </c>
      <c r="J1454" s="1">
        <v>0.02</v>
      </c>
      <c r="K1454" s="1">
        <v>0.48</v>
      </c>
      <c r="L1454" s="42">
        <v>5</v>
      </c>
      <c r="M1454" s="43">
        <v>46055</v>
      </c>
      <c r="N1454" s="1" t="e">
        <f>VLOOKUP(B1454,MICRO!E:L,8,0)</f>
        <v>#N/A</v>
      </c>
    </row>
    <row r="1455" spans="1:14" ht="20.25" x14ac:dyDescent="0.25">
      <c r="A1455" s="1">
        <v>199</v>
      </c>
      <c r="B1455" s="159"/>
      <c r="C1455" s="1" t="s">
        <v>1563</v>
      </c>
      <c r="D1455" s="1"/>
      <c r="E1455" s="1"/>
      <c r="F1455" s="1" t="s">
        <v>1604</v>
      </c>
      <c r="G1455" s="1">
        <v>146</v>
      </c>
      <c r="H1455" s="1" t="s">
        <v>19</v>
      </c>
      <c r="I1455" s="1" t="s">
        <v>427</v>
      </c>
      <c r="J1455" s="1">
        <v>0.02</v>
      </c>
      <c r="K1455" s="1">
        <v>2.92</v>
      </c>
      <c r="L1455" s="42">
        <v>5</v>
      </c>
      <c r="M1455" s="43">
        <v>46055</v>
      </c>
      <c r="N1455" s="1" t="e">
        <f>VLOOKUP(B1455,MICRO!E:L,8,0)</f>
        <v>#N/A</v>
      </c>
    </row>
    <row r="1456" spans="1:14" ht="20.25" x14ac:dyDescent="0.25">
      <c r="A1456" s="1">
        <v>200</v>
      </c>
      <c r="B1456" s="159"/>
      <c r="C1456" s="1" t="s">
        <v>1605</v>
      </c>
      <c r="D1456" s="1"/>
      <c r="E1456" s="1"/>
      <c r="F1456" s="1" t="s">
        <v>1606</v>
      </c>
      <c r="G1456" s="1">
        <v>1</v>
      </c>
      <c r="H1456" s="1" t="s">
        <v>19</v>
      </c>
      <c r="I1456" s="1" t="s">
        <v>1598</v>
      </c>
      <c r="J1456" s="1">
        <v>0.02</v>
      </c>
      <c r="K1456" s="1">
        <v>0.02</v>
      </c>
      <c r="L1456" s="42">
        <v>5</v>
      </c>
      <c r="M1456" s="43">
        <v>46055</v>
      </c>
      <c r="N1456" s="1" t="e">
        <f>VLOOKUP(B1456,MICRO!E:L,8,0)</f>
        <v>#N/A</v>
      </c>
    </row>
    <row r="1457" spans="1:14" ht="20.25" x14ac:dyDescent="0.25">
      <c r="A1457" s="1">
        <v>201</v>
      </c>
      <c r="B1457" s="159"/>
      <c r="C1457" s="1" t="s">
        <v>1594</v>
      </c>
      <c r="D1457" s="1"/>
      <c r="E1457" s="1"/>
      <c r="F1457" s="1" t="s">
        <v>1607</v>
      </c>
      <c r="G1457" s="1">
        <v>90</v>
      </c>
      <c r="H1457" s="1" t="s">
        <v>19</v>
      </c>
      <c r="I1457" s="1" t="s">
        <v>1558</v>
      </c>
      <c r="J1457" s="1">
        <v>0.02</v>
      </c>
      <c r="K1457" s="1">
        <v>1.8</v>
      </c>
      <c r="L1457" s="42">
        <v>5</v>
      </c>
      <c r="M1457" s="43">
        <v>46055</v>
      </c>
      <c r="N1457" s="1" t="e">
        <f>VLOOKUP(B1457,MICRO!E:L,8,0)</f>
        <v>#N/A</v>
      </c>
    </row>
    <row r="1458" spans="1:14" ht="20.25" x14ac:dyDescent="0.25">
      <c r="A1458" s="1">
        <v>202</v>
      </c>
      <c r="B1458" s="159"/>
      <c r="C1458" s="1" t="s">
        <v>1608</v>
      </c>
      <c r="D1458" s="1"/>
      <c r="E1458" s="1"/>
      <c r="F1458" s="1" t="s">
        <v>1609</v>
      </c>
      <c r="G1458" s="1">
        <v>40</v>
      </c>
      <c r="H1458" s="1" t="s">
        <v>19</v>
      </c>
      <c r="I1458" s="1" t="s">
        <v>424</v>
      </c>
      <c r="J1458" s="1">
        <v>0.02</v>
      </c>
      <c r="K1458" s="1">
        <v>0.8</v>
      </c>
      <c r="L1458" s="42">
        <v>5</v>
      </c>
      <c r="M1458" s="43">
        <v>46055</v>
      </c>
      <c r="N1458" s="1" t="e">
        <f>VLOOKUP(B1458,MICRO!E:L,8,0)</f>
        <v>#N/A</v>
      </c>
    </row>
    <row r="1459" spans="1:14" ht="20.25" x14ac:dyDescent="0.25">
      <c r="A1459" s="1">
        <v>203</v>
      </c>
      <c r="B1459" s="159"/>
      <c r="C1459" s="1" t="s">
        <v>1610</v>
      </c>
      <c r="D1459" s="1"/>
      <c r="E1459" s="1"/>
      <c r="F1459" s="1" t="s">
        <v>1611</v>
      </c>
      <c r="G1459" s="1">
        <v>44</v>
      </c>
      <c r="H1459" s="1" t="s">
        <v>19</v>
      </c>
      <c r="I1459" s="1" t="s">
        <v>425</v>
      </c>
      <c r="J1459" s="1">
        <v>0.02</v>
      </c>
      <c r="K1459" s="1">
        <v>0.88</v>
      </c>
      <c r="L1459" s="42">
        <v>5</v>
      </c>
      <c r="M1459" s="43">
        <v>46055</v>
      </c>
      <c r="N1459" s="1" t="e">
        <f>VLOOKUP(B1459,MICRO!E:L,8,0)</f>
        <v>#N/A</v>
      </c>
    </row>
    <row r="1460" spans="1:14" ht="20.25" x14ac:dyDescent="0.25">
      <c r="A1460" s="1">
        <v>204</v>
      </c>
      <c r="B1460" s="159"/>
      <c r="C1460" s="1" t="s">
        <v>1612</v>
      </c>
      <c r="D1460" s="1"/>
      <c r="E1460" s="1"/>
      <c r="F1460" s="1" t="s">
        <v>1613</v>
      </c>
      <c r="G1460" s="1">
        <v>12</v>
      </c>
      <c r="H1460" s="1" t="s">
        <v>19</v>
      </c>
      <c r="I1460" s="1" t="s">
        <v>424</v>
      </c>
      <c r="J1460" s="1">
        <v>0.02</v>
      </c>
      <c r="K1460" s="1">
        <v>0.24</v>
      </c>
      <c r="L1460" s="42">
        <v>5</v>
      </c>
      <c r="M1460" s="43">
        <v>46055</v>
      </c>
      <c r="N1460" s="1" t="e">
        <f>VLOOKUP(B1460,MICRO!E:L,8,0)</f>
        <v>#N/A</v>
      </c>
    </row>
    <row r="1461" spans="1:14" ht="20.25" x14ac:dyDescent="0.25">
      <c r="A1461" s="1">
        <v>205</v>
      </c>
      <c r="B1461" s="159"/>
      <c r="C1461" s="1" t="s">
        <v>1610</v>
      </c>
      <c r="D1461" s="1"/>
      <c r="E1461" s="1"/>
      <c r="F1461" s="1" t="s">
        <v>1614</v>
      </c>
      <c r="G1461" s="1">
        <v>12</v>
      </c>
      <c r="H1461" s="1" t="s">
        <v>19</v>
      </c>
      <c r="I1461" s="1" t="s">
        <v>425</v>
      </c>
      <c r="J1461" s="1">
        <v>0.02</v>
      </c>
      <c r="K1461" s="1">
        <v>0.24</v>
      </c>
      <c r="L1461" s="42">
        <v>5</v>
      </c>
      <c r="M1461" s="43">
        <v>46055</v>
      </c>
      <c r="N1461" s="1" t="e">
        <f>VLOOKUP(B1461,MICRO!E:L,8,0)</f>
        <v>#N/A</v>
      </c>
    </row>
    <row r="1462" spans="1:14" ht="20.25" x14ac:dyDescent="0.25">
      <c r="A1462" s="1">
        <v>206</v>
      </c>
      <c r="B1462" s="159"/>
      <c r="C1462" s="1" t="s">
        <v>1610</v>
      </c>
      <c r="D1462" s="1"/>
      <c r="E1462" s="1"/>
      <c r="F1462" s="1" t="s">
        <v>1614</v>
      </c>
      <c r="G1462" s="1">
        <v>12</v>
      </c>
      <c r="H1462" s="1" t="s">
        <v>19</v>
      </c>
      <c r="I1462" s="1" t="s">
        <v>425</v>
      </c>
      <c r="J1462" s="1">
        <v>0.02</v>
      </c>
      <c r="K1462" s="1">
        <v>0.24</v>
      </c>
      <c r="L1462" s="42">
        <v>5</v>
      </c>
      <c r="M1462" s="43">
        <v>46055</v>
      </c>
      <c r="N1462" s="1" t="e">
        <f>VLOOKUP(B1462,MICRO!E:L,8,0)</f>
        <v>#N/A</v>
      </c>
    </row>
    <row r="1463" spans="1:14" ht="20.25" x14ac:dyDescent="0.25">
      <c r="A1463" s="1">
        <v>207</v>
      </c>
      <c r="B1463" s="159"/>
      <c r="C1463" s="1" t="s">
        <v>1615</v>
      </c>
      <c r="D1463" s="1"/>
      <c r="E1463" s="1"/>
      <c r="F1463" s="1" t="s">
        <v>1616</v>
      </c>
      <c r="G1463" s="1">
        <v>48</v>
      </c>
      <c r="H1463" s="1" t="s">
        <v>19</v>
      </c>
      <c r="I1463" s="1" t="s">
        <v>426</v>
      </c>
      <c r="J1463" s="1">
        <v>0.02</v>
      </c>
      <c r="K1463" s="1">
        <v>0.96</v>
      </c>
      <c r="L1463" s="42">
        <v>5</v>
      </c>
      <c r="M1463" s="43">
        <v>46055</v>
      </c>
      <c r="N1463" s="1" t="e">
        <f>VLOOKUP(B1463,MICRO!E:L,8,0)</f>
        <v>#N/A</v>
      </c>
    </row>
    <row r="1464" spans="1:14" ht="20.25" x14ac:dyDescent="0.25">
      <c r="A1464" s="1">
        <v>208</v>
      </c>
      <c r="B1464" s="159"/>
      <c r="C1464" s="1" t="s">
        <v>1596</v>
      </c>
      <c r="D1464" s="1"/>
      <c r="E1464" s="1"/>
      <c r="F1464" s="1" t="s">
        <v>1617</v>
      </c>
      <c r="G1464" s="1">
        <v>2</v>
      </c>
      <c r="H1464" s="1" t="s">
        <v>19</v>
      </c>
      <c r="I1464" s="1" t="s">
        <v>1598</v>
      </c>
      <c r="J1464" s="1">
        <v>0.02</v>
      </c>
      <c r="K1464" s="1">
        <v>0.04</v>
      </c>
      <c r="L1464" s="42">
        <v>5</v>
      </c>
      <c r="M1464" s="43">
        <v>46055</v>
      </c>
      <c r="N1464" s="1" t="e">
        <f>VLOOKUP(B1464,MICRO!E:L,8,0)</f>
        <v>#N/A</v>
      </c>
    </row>
    <row r="1465" spans="1:14" ht="20.25" x14ac:dyDescent="0.25">
      <c r="A1465" s="1">
        <v>209</v>
      </c>
      <c r="B1465" s="159"/>
      <c r="C1465" s="1" t="s">
        <v>1559</v>
      </c>
      <c r="D1465" s="1"/>
      <c r="E1465" s="1"/>
      <c r="F1465" s="1" t="s">
        <v>1618</v>
      </c>
      <c r="G1465" s="1">
        <v>7</v>
      </c>
      <c r="H1465" s="1" t="s">
        <v>19</v>
      </c>
      <c r="I1465" s="1" t="s">
        <v>424</v>
      </c>
      <c r="J1465" s="1">
        <v>0.05</v>
      </c>
      <c r="K1465" s="1">
        <v>0.35000000000000003</v>
      </c>
      <c r="L1465" s="42">
        <v>5</v>
      </c>
      <c r="M1465" s="43">
        <v>46055</v>
      </c>
      <c r="N1465" s="1" t="e">
        <f>VLOOKUP(B1465,MICRO!E:L,8,0)</f>
        <v>#N/A</v>
      </c>
    </row>
    <row r="1466" spans="1:14" ht="20.25" x14ac:dyDescent="0.25">
      <c r="A1466" s="1">
        <v>210</v>
      </c>
      <c r="B1466" s="159"/>
      <c r="C1466" s="1" t="s">
        <v>1559</v>
      </c>
      <c r="D1466" s="1"/>
      <c r="E1466" s="1"/>
      <c r="F1466" s="1" t="s">
        <v>1618</v>
      </c>
      <c r="G1466" s="1">
        <v>48</v>
      </c>
      <c r="H1466" s="1" t="s">
        <v>19</v>
      </c>
      <c r="I1466" s="1" t="s">
        <v>424</v>
      </c>
      <c r="J1466" s="1">
        <v>0.05</v>
      </c>
      <c r="K1466" s="1">
        <v>2.4000000000000004</v>
      </c>
      <c r="L1466" s="42">
        <v>5</v>
      </c>
      <c r="M1466" s="43">
        <v>46055</v>
      </c>
      <c r="N1466" s="1" t="e">
        <f>VLOOKUP(B1466,MICRO!E:L,8,0)</f>
        <v>#N/A</v>
      </c>
    </row>
    <row r="1467" spans="1:14" ht="20.25" x14ac:dyDescent="0.25">
      <c r="A1467" s="1">
        <v>211</v>
      </c>
      <c r="B1467" s="159"/>
      <c r="C1467" s="1" t="s">
        <v>1561</v>
      </c>
      <c r="D1467" s="1"/>
      <c r="E1467" s="1"/>
      <c r="F1467" s="1" t="s">
        <v>1619</v>
      </c>
      <c r="G1467" s="1">
        <v>10</v>
      </c>
      <c r="H1467" s="1" t="s">
        <v>19</v>
      </c>
      <c r="I1467" s="1" t="s">
        <v>425</v>
      </c>
      <c r="J1467" s="1">
        <v>0.05</v>
      </c>
      <c r="K1467" s="1">
        <v>0.5</v>
      </c>
      <c r="L1467" s="42">
        <v>5</v>
      </c>
      <c r="M1467" s="43">
        <v>46055</v>
      </c>
      <c r="N1467" s="1" t="e">
        <f>VLOOKUP(B1467,MICRO!E:L,8,0)</f>
        <v>#N/A</v>
      </c>
    </row>
    <row r="1468" spans="1:14" ht="20.25" x14ac:dyDescent="0.25">
      <c r="A1468" s="1">
        <v>212</v>
      </c>
      <c r="B1468" s="159"/>
      <c r="C1468" s="1" t="s">
        <v>1565</v>
      </c>
      <c r="D1468" s="1"/>
      <c r="E1468" s="1"/>
      <c r="F1468" s="1" t="s">
        <v>1620</v>
      </c>
      <c r="G1468" s="1">
        <v>24</v>
      </c>
      <c r="H1468" s="1" t="s">
        <v>19</v>
      </c>
      <c r="I1468" s="1" t="s">
        <v>426</v>
      </c>
      <c r="J1468" s="1">
        <v>0.05</v>
      </c>
      <c r="K1468" s="1">
        <v>1.2000000000000002</v>
      </c>
      <c r="L1468" s="42">
        <v>5</v>
      </c>
      <c r="M1468" s="43">
        <v>46055</v>
      </c>
      <c r="N1468" s="1" t="e">
        <f>VLOOKUP(B1468,MICRO!E:L,8,0)</f>
        <v>#N/A</v>
      </c>
    </row>
    <row r="1469" spans="1:14" ht="20.25" x14ac:dyDescent="0.25">
      <c r="A1469" s="1">
        <v>213</v>
      </c>
      <c r="B1469" s="159"/>
      <c r="C1469" s="1" t="s">
        <v>1563</v>
      </c>
      <c r="D1469" s="1"/>
      <c r="E1469" s="1"/>
      <c r="F1469" s="1" t="s">
        <v>1621</v>
      </c>
      <c r="G1469" s="1">
        <v>146</v>
      </c>
      <c r="H1469" s="1" t="s">
        <v>19</v>
      </c>
      <c r="I1469" s="1" t="s">
        <v>427</v>
      </c>
      <c r="J1469" s="1">
        <v>0.05</v>
      </c>
      <c r="K1469" s="1">
        <v>7.3000000000000007</v>
      </c>
      <c r="L1469" s="42">
        <v>5</v>
      </c>
      <c r="M1469" s="43">
        <v>46055</v>
      </c>
      <c r="N1469" s="1" t="e">
        <f>VLOOKUP(B1469,MICRO!E:L,8,0)</f>
        <v>#N/A</v>
      </c>
    </row>
    <row r="1470" spans="1:14" ht="20.25" x14ac:dyDescent="0.25">
      <c r="A1470" s="1">
        <v>214</v>
      </c>
      <c r="B1470" s="159"/>
      <c r="C1470" s="1" t="s">
        <v>1594</v>
      </c>
      <c r="D1470" s="1"/>
      <c r="E1470" s="1"/>
      <c r="F1470" s="1" t="s">
        <v>1622</v>
      </c>
      <c r="G1470" s="1">
        <v>16</v>
      </c>
      <c r="H1470" s="1" t="s">
        <v>19</v>
      </c>
      <c r="I1470" s="1" t="s">
        <v>1558</v>
      </c>
      <c r="J1470" s="1">
        <v>0.05</v>
      </c>
      <c r="K1470" s="1">
        <v>0.8</v>
      </c>
      <c r="L1470" s="42">
        <v>5</v>
      </c>
      <c r="M1470" s="43">
        <v>46055</v>
      </c>
      <c r="N1470" s="1" t="e">
        <f>VLOOKUP(B1470,MICRO!E:L,8,0)</f>
        <v>#N/A</v>
      </c>
    </row>
    <row r="1471" spans="1:14" ht="20.25" x14ac:dyDescent="0.25">
      <c r="A1471" s="1">
        <v>215</v>
      </c>
      <c r="B1471" s="159"/>
      <c r="C1471" s="1" t="s">
        <v>1596</v>
      </c>
      <c r="D1471" s="1"/>
      <c r="E1471" s="1"/>
      <c r="F1471" s="1" t="s">
        <v>1623</v>
      </c>
      <c r="G1471" s="1">
        <v>2</v>
      </c>
      <c r="H1471" s="1" t="s">
        <v>19</v>
      </c>
      <c r="I1471" s="1" t="s">
        <v>1598</v>
      </c>
      <c r="J1471" s="1">
        <v>0.05</v>
      </c>
      <c r="K1471" s="1">
        <v>0.1</v>
      </c>
      <c r="L1471" s="42">
        <v>5</v>
      </c>
      <c r="M1471" s="43">
        <v>46055</v>
      </c>
      <c r="N1471" s="1" t="e">
        <f>VLOOKUP(B1471,MICRO!E:L,8,0)</f>
        <v>#N/A</v>
      </c>
    </row>
    <row r="1472" spans="1:14" ht="20.25" x14ac:dyDescent="0.25">
      <c r="A1472" s="1">
        <v>216</v>
      </c>
      <c r="B1472" s="159"/>
      <c r="C1472" s="1" t="s">
        <v>1610</v>
      </c>
      <c r="D1472" s="1"/>
      <c r="E1472" s="1"/>
      <c r="F1472" s="1" t="s">
        <v>1624</v>
      </c>
      <c r="G1472" s="1">
        <v>16</v>
      </c>
      <c r="H1472" s="1" t="s">
        <v>19</v>
      </c>
      <c r="I1472" s="1" t="s">
        <v>425</v>
      </c>
      <c r="J1472" s="1">
        <v>0.05</v>
      </c>
      <c r="K1472" s="1">
        <v>0.8</v>
      </c>
      <c r="L1472" s="42">
        <v>5</v>
      </c>
      <c r="M1472" s="43">
        <v>46055</v>
      </c>
      <c r="N1472" s="1" t="e">
        <f>VLOOKUP(B1472,MICRO!E:L,8,0)</f>
        <v>#N/A</v>
      </c>
    </row>
    <row r="1473" spans="1:14" ht="20.25" x14ac:dyDescent="0.25">
      <c r="A1473" s="1">
        <v>217</v>
      </c>
      <c r="B1473" s="159"/>
      <c r="C1473" s="1" t="s">
        <v>1608</v>
      </c>
      <c r="D1473" s="1"/>
      <c r="E1473" s="1"/>
      <c r="F1473" s="1" t="s">
        <v>1625</v>
      </c>
      <c r="G1473" s="1">
        <v>12</v>
      </c>
      <c r="H1473" s="1" t="s">
        <v>19</v>
      </c>
      <c r="I1473" s="1" t="s">
        <v>424</v>
      </c>
      <c r="J1473" s="1">
        <v>0.05</v>
      </c>
      <c r="K1473" s="1">
        <v>0.60000000000000009</v>
      </c>
      <c r="L1473" s="42">
        <v>5</v>
      </c>
      <c r="M1473" s="43">
        <v>46055</v>
      </c>
      <c r="N1473" s="1" t="e">
        <f>VLOOKUP(B1473,MICRO!E:L,8,0)</f>
        <v>#N/A</v>
      </c>
    </row>
    <row r="1474" spans="1:14" ht="20.25" x14ac:dyDescent="0.25">
      <c r="A1474" s="1">
        <v>218</v>
      </c>
      <c r="B1474" s="159"/>
      <c r="C1474" s="1" t="s">
        <v>1594</v>
      </c>
      <c r="D1474" s="1"/>
      <c r="E1474" s="1"/>
      <c r="F1474" s="1" t="s">
        <v>1626</v>
      </c>
      <c r="G1474" s="1">
        <v>80</v>
      </c>
      <c r="H1474" s="1" t="s">
        <v>19</v>
      </c>
      <c r="I1474" s="1" t="s">
        <v>1558</v>
      </c>
      <c r="J1474" s="1">
        <v>0.05</v>
      </c>
      <c r="K1474" s="1">
        <v>4</v>
      </c>
      <c r="L1474" s="42">
        <v>5</v>
      </c>
      <c r="M1474" s="43">
        <v>46055</v>
      </c>
      <c r="N1474" s="1" t="e">
        <f>VLOOKUP(B1474,MICRO!E:L,8,0)</f>
        <v>#N/A</v>
      </c>
    </row>
    <row r="1475" spans="1:14" ht="20.25" x14ac:dyDescent="0.25">
      <c r="A1475" s="1">
        <v>219</v>
      </c>
      <c r="B1475" s="159"/>
      <c r="C1475" s="1" t="s">
        <v>1612</v>
      </c>
      <c r="D1475" s="1"/>
      <c r="E1475" s="1"/>
      <c r="F1475" s="1" t="s">
        <v>1627</v>
      </c>
      <c r="G1475" s="1">
        <v>12</v>
      </c>
      <c r="H1475" s="1" t="s">
        <v>19</v>
      </c>
      <c r="I1475" s="1" t="s">
        <v>424</v>
      </c>
      <c r="J1475" s="1">
        <v>0.05</v>
      </c>
      <c r="K1475" s="1">
        <v>0.60000000000000009</v>
      </c>
      <c r="L1475" s="42">
        <v>5</v>
      </c>
      <c r="M1475" s="43">
        <v>46055</v>
      </c>
      <c r="N1475" s="1" t="e">
        <f>VLOOKUP(B1475,MICRO!E:L,8,0)</f>
        <v>#N/A</v>
      </c>
    </row>
    <row r="1476" spans="1:14" ht="20.25" x14ac:dyDescent="0.25">
      <c r="A1476" s="1">
        <v>220</v>
      </c>
      <c r="B1476" s="159"/>
      <c r="C1476" s="1" t="s">
        <v>1610</v>
      </c>
      <c r="D1476" s="1"/>
      <c r="E1476" s="1"/>
      <c r="F1476" s="1" t="s">
        <v>1628</v>
      </c>
      <c r="G1476" s="1">
        <v>12</v>
      </c>
      <c r="H1476" s="1" t="s">
        <v>19</v>
      </c>
      <c r="I1476" s="1" t="s">
        <v>425</v>
      </c>
      <c r="J1476" s="1">
        <v>0.05</v>
      </c>
      <c r="K1476" s="1">
        <v>0.60000000000000009</v>
      </c>
      <c r="L1476" s="42">
        <v>5</v>
      </c>
      <c r="M1476" s="43">
        <v>46055</v>
      </c>
      <c r="N1476" s="1" t="e">
        <f>VLOOKUP(B1476,MICRO!E:L,8,0)</f>
        <v>#N/A</v>
      </c>
    </row>
    <row r="1477" spans="1:14" ht="20.25" x14ac:dyDescent="0.25">
      <c r="A1477" s="1">
        <v>221</v>
      </c>
      <c r="B1477" s="159"/>
      <c r="C1477" s="1" t="s">
        <v>1615</v>
      </c>
      <c r="D1477" s="1"/>
      <c r="E1477" s="1"/>
      <c r="F1477" s="1" t="s">
        <v>1629</v>
      </c>
      <c r="G1477" s="1">
        <v>20</v>
      </c>
      <c r="H1477" s="1" t="s">
        <v>19</v>
      </c>
      <c r="I1477" s="1" t="s">
        <v>426</v>
      </c>
      <c r="J1477" s="1">
        <v>0.05</v>
      </c>
      <c r="K1477" s="1">
        <v>1</v>
      </c>
      <c r="L1477" s="42">
        <v>5</v>
      </c>
      <c r="M1477" s="43">
        <v>46055</v>
      </c>
      <c r="N1477" s="1" t="e">
        <f>VLOOKUP(B1477,MICRO!E:L,8,0)</f>
        <v>#N/A</v>
      </c>
    </row>
    <row r="1478" spans="1:14" ht="20.25" x14ac:dyDescent="0.25">
      <c r="A1478" s="1">
        <v>222</v>
      </c>
      <c r="B1478" s="159"/>
      <c r="C1478" s="1" t="s">
        <v>1594</v>
      </c>
      <c r="D1478" s="1"/>
      <c r="E1478" s="1"/>
      <c r="F1478" s="1" t="s">
        <v>1630</v>
      </c>
      <c r="G1478" s="1">
        <v>16</v>
      </c>
      <c r="H1478" s="1" t="s">
        <v>19</v>
      </c>
      <c r="I1478" s="1" t="s">
        <v>1558</v>
      </c>
      <c r="J1478" s="1">
        <v>0.05</v>
      </c>
      <c r="K1478" s="1">
        <v>0.8</v>
      </c>
      <c r="L1478" s="42">
        <v>5</v>
      </c>
      <c r="M1478" s="43">
        <v>46055</v>
      </c>
      <c r="N1478" s="1" t="e">
        <f>VLOOKUP(B1478,MICRO!E:L,8,0)</f>
        <v>#N/A</v>
      </c>
    </row>
    <row r="1479" spans="1:14" ht="20.25" x14ac:dyDescent="0.25">
      <c r="A1479" s="1">
        <v>223</v>
      </c>
      <c r="B1479" s="159"/>
      <c r="C1479" s="1" t="s">
        <v>1610</v>
      </c>
      <c r="D1479" s="1"/>
      <c r="E1479" s="1"/>
      <c r="F1479" s="1" t="s">
        <v>1631</v>
      </c>
      <c r="G1479" s="1">
        <v>28</v>
      </c>
      <c r="H1479" s="1" t="s">
        <v>19</v>
      </c>
      <c r="I1479" s="1" t="s">
        <v>425</v>
      </c>
      <c r="J1479" s="1">
        <v>0.05</v>
      </c>
      <c r="K1479" s="1">
        <v>1.4000000000000001</v>
      </c>
      <c r="L1479" s="42">
        <v>5</v>
      </c>
      <c r="M1479" s="43">
        <v>46055</v>
      </c>
      <c r="N1479" s="1" t="e">
        <f>VLOOKUP(B1479,MICRO!E:L,8,0)</f>
        <v>#N/A</v>
      </c>
    </row>
    <row r="1480" spans="1:14" ht="20.25" x14ac:dyDescent="0.25">
      <c r="A1480" s="1">
        <v>224</v>
      </c>
      <c r="B1480" s="159"/>
      <c r="C1480" s="1" t="s">
        <v>1608</v>
      </c>
      <c r="D1480" s="1"/>
      <c r="E1480" s="1"/>
      <c r="F1480" s="1" t="s">
        <v>1632</v>
      </c>
      <c r="G1480" s="1">
        <v>28</v>
      </c>
      <c r="H1480" s="1" t="s">
        <v>19</v>
      </c>
      <c r="I1480" s="1" t="s">
        <v>424</v>
      </c>
      <c r="J1480" s="1">
        <v>0.05</v>
      </c>
      <c r="K1480" s="1">
        <v>1.4000000000000001</v>
      </c>
      <c r="L1480" s="42">
        <v>5</v>
      </c>
      <c r="M1480" s="43">
        <v>46055</v>
      </c>
      <c r="N1480" s="1" t="e">
        <f>VLOOKUP(B1480,MICRO!E:L,8,0)</f>
        <v>#N/A</v>
      </c>
    </row>
    <row r="1481" spans="1:14" ht="20.25" x14ac:dyDescent="0.25">
      <c r="A1481" s="1">
        <v>225</v>
      </c>
      <c r="B1481" s="159"/>
      <c r="C1481" s="1" t="s">
        <v>1615</v>
      </c>
      <c r="D1481" s="1"/>
      <c r="E1481" s="1"/>
      <c r="F1481" s="1" t="s">
        <v>1633</v>
      </c>
      <c r="G1481" s="1">
        <v>28</v>
      </c>
      <c r="H1481" s="1" t="s">
        <v>19</v>
      </c>
      <c r="I1481" s="1" t="s">
        <v>426</v>
      </c>
      <c r="J1481" s="1">
        <v>0.05</v>
      </c>
      <c r="K1481" s="1">
        <v>1.4000000000000001</v>
      </c>
      <c r="L1481" s="42">
        <v>5</v>
      </c>
      <c r="M1481" s="43">
        <v>46055</v>
      </c>
      <c r="N1481" s="1" t="e">
        <f>VLOOKUP(B1481,MICRO!E:L,8,0)</f>
        <v>#N/A</v>
      </c>
    </row>
    <row r="1482" spans="1:14" ht="20.25" x14ac:dyDescent="0.25">
      <c r="A1482" s="1">
        <v>226</v>
      </c>
      <c r="B1482" s="159"/>
      <c r="C1482" s="1" t="s">
        <v>1596</v>
      </c>
      <c r="D1482" s="1"/>
      <c r="E1482" s="1"/>
      <c r="F1482" s="1" t="s">
        <v>1634</v>
      </c>
      <c r="G1482" s="1">
        <v>2</v>
      </c>
      <c r="H1482" s="1" t="s">
        <v>19</v>
      </c>
      <c r="I1482" s="1" t="s">
        <v>1598</v>
      </c>
      <c r="J1482" s="1">
        <v>0.03</v>
      </c>
      <c r="K1482" s="1">
        <v>0.06</v>
      </c>
      <c r="L1482" s="42">
        <v>5</v>
      </c>
      <c r="M1482" s="43">
        <v>46055</v>
      </c>
      <c r="N1482" s="1" t="e">
        <f>VLOOKUP(B1482,MICRO!E:L,8,0)</f>
        <v>#N/A</v>
      </c>
    </row>
    <row r="1483" spans="1:14" ht="20.25" x14ac:dyDescent="0.25">
      <c r="A1483" s="1">
        <v>227</v>
      </c>
      <c r="B1483" s="159"/>
      <c r="C1483" s="1" t="s">
        <v>1559</v>
      </c>
      <c r="D1483" s="1"/>
      <c r="E1483" s="1"/>
      <c r="F1483" s="1" t="s">
        <v>1635</v>
      </c>
      <c r="G1483" s="1">
        <v>7</v>
      </c>
      <c r="H1483" s="1" t="s">
        <v>19</v>
      </c>
      <c r="I1483" s="1" t="s">
        <v>424</v>
      </c>
      <c r="J1483" s="1">
        <v>0.03</v>
      </c>
      <c r="K1483" s="1">
        <v>0.21</v>
      </c>
      <c r="L1483" s="42">
        <v>5</v>
      </c>
      <c r="M1483" s="43">
        <v>46055</v>
      </c>
      <c r="N1483" s="1" t="e">
        <f>VLOOKUP(B1483,MICRO!E:L,8,0)</f>
        <v>#N/A</v>
      </c>
    </row>
    <row r="1484" spans="1:14" ht="20.25" x14ac:dyDescent="0.25">
      <c r="A1484" s="1">
        <v>228</v>
      </c>
      <c r="B1484" s="159"/>
      <c r="C1484" s="1" t="s">
        <v>1561</v>
      </c>
      <c r="D1484" s="1"/>
      <c r="E1484" s="1"/>
      <c r="F1484" s="1" t="s">
        <v>1576</v>
      </c>
      <c r="G1484" s="1">
        <v>10</v>
      </c>
      <c r="H1484" s="1" t="s">
        <v>19</v>
      </c>
      <c r="I1484" s="1" t="s">
        <v>425</v>
      </c>
      <c r="J1484" s="1">
        <v>0.03</v>
      </c>
      <c r="K1484" s="1">
        <v>0.3</v>
      </c>
      <c r="L1484" s="42">
        <v>5</v>
      </c>
      <c r="M1484" s="43">
        <v>46055</v>
      </c>
      <c r="N1484" s="1" t="e">
        <f>VLOOKUP(B1484,MICRO!E:L,8,0)</f>
        <v>#N/A</v>
      </c>
    </row>
    <row r="1485" spans="1:14" ht="20.25" x14ac:dyDescent="0.25">
      <c r="A1485" s="1">
        <v>229</v>
      </c>
      <c r="B1485" s="159"/>
      <c r="C1485" s="1" t="s">
        <v>1565</v>
      </c>
      <c r="D1485" s="1"/>
      <c r="E1485" s="1"/>
      <c r="F1485" s="1" t="s">
        <v>1577</v>
      </c>
      <c r="G1485" s="1">
        <v>24</v>
      </c>
      <c r="H1485" s="1" t="s">
        <v>19</v>
      </c>
      <c r="I1485" s="1" t="s">
        <v>426</v>
      </c>
      <c r="J1485" s="1">
        <v>0.03</v>
      </c>
      <c r="K1485" s="1">
        <v>0.72</v>
      </c>
      <c r="L1485" s="42">
        <v>5</v>
      </c>
      <c r="M1485" s="43">
        <v>46055</v>
      </c>
      <c r="N1485" s="1" t="e">
        <f>VLOOKUP(B1485,MICRO!E:L,8,0)</f>
        <v>#N/A</v>
      </c>
    </row>
    <row r="1486" spans="1:14" ht="20.25" x14ac:dyDescent="0.25">
      <c r="A1486" s="1">
        <v>230</v>
      </c>
      <c r="B1486" s="159"/>
      <c r="C1486" s="1" t="s">
        <v>1563</v>
      </c>
      <c r="D1486" s="1"/>
      <c r="E1486" s="1"/>
      <c r="F1486" s="1" t="s">
        <v>1578</v>
      </c>
      <c r="G1486" s="1">
        <v>146</v>
      </c>
      <c r="H1486" s="1" t="s">
        <v>19</v>
      </c>
      <c r="I1486" s="1" t="s">
        <v>427</v>
      </c>
      <c r="J1486" s="1">
        <v>0.03</v>
      </c>
      <c r="K1486" s="1">
        <v>4.38</v>
      </c>
      <c r="L1486" s="42">
        <v>5</v>
      </c>
      <c r="M1486" s="43">
        <v>46055</v>
      </c>
      <c r="N1486" s="1" t="e">
        <f>VLOOKUP(B1486,MICRO!E:L,8,0)</f>
        <v>#N/A</v>
      </c>
    </row>
    <row r="1487" spans="1:14" ht="20.25" x14ac:dyDescent="0.25">
      <c r="A1487" s="1">
        <v>231</v>
      </c>
      <c r="B1487" s="159"/>
      <c r="C1487" s="1" t="s">
        <v>1556</v>
      </c>
      <c r="D1487" s="1"/>
      <c r="E1487" s="1"/>
      <c r="F1487" s="1" t="s">
        <v>1636</v>
      </c>
      <c r="G1487" s="1">
        <v>48</v>
      </c>
      <c r="H1487" s="1" t="s">
        <v>19</v>
      </c>
      <c r="I1487" s="1" t="s">
        <v>423</v>
      </c>
      <c r="J1487" s="1">
        <v>0.03</v>
      </c>
      <c r="K1487" s="1">
        <v>1.44</v>
      </c>
      <c r="L1487" s="42">
        <v>5</v>
      </c>
      <c r="M1487" s="43">
        <v>46055</v>
      </c>
      <c r="N1487" s="1" t="e">
        <f>VLOOKUP(B1487,MICRO!E:L,8,0)</f>
        <v>#N/A</v>
      </c>
    </row>
    <row r="1488" spans="1:14" ht="20.25" x14ac:dyDescent="0.25">
      <c r="A1488" s="1">
        <v>232</v>
      </c>
      <c r="B1488" s="159"/>
      <c r="C1488" s="1" t="s">
        <v>1594</v>
      </c>
      <c r="D1488" s="1"/>
      <c r="E1488" s="1"/>
      <c r="F1488" s="1" t="s">
        <v>1637</v>
      </c>
      <c r="G1488" s="1">
        <v>16</v>
      </c>
      <c r="H1488" s="1" t="s">
        <v>19</v>
      </c>
      <c r="I1488" s="1" t="s">
        <v>1558</v>
      </c>
      <c r="J1488" s="1">
        <v>0.03</v>
      </c>
      <c r="K1488" s="1">
        <v>0.48</v>
      </c>
      <c r="L1488" s="42">
        <v>5</v>
      </c>
      <c r="M1488" s="43">
        <v>46055</v>
      </c>
      <c r="N1488" s="1" t="e">
        <f>VLOOKUP(B1488,MICRO!E:L,8,0)</f>
        <v>#N/A</v>
      </c>
    </row>
    <row r="1489" spans="1:14" ht="20.25" x14ac:dyDescent="0.25">
      <c r="A1489" s="1">
        <v>233</v>
      </c>
      <c r="B1489" s="159"/>
      <c r="C1489" s="1" t="s">
        <v>1605</v>
      </c>
      <c r="D1489" s="1"/>
      <c r="E1489" s="1"/>
      <c r="F1489" s="1" t="s">
        <v>1638</v>
      </c>
      <c r="G1489" s="1">
        <v>1</v>
      </c>
      <c r="H1489" s="1" t="s">
        <v>19</v>
      </c>
      <c r="I1489" s="1" t="s">
        <v>1598</v>
      </c>
      <c r="J1489" s="1">
        <v>0.03</v>
      </c>
      <c r="K1489" s="1">
        <v>0.03</v>
      </c>
      <c r="L1489" s="42">
        <v>5</v>
      </c>
      <c r="M1489" s="43">
        <v>46055</v>
      </c>
      <c r="N1489" s="1" t="e">
        <f>VLOOKUP(B1489,MICRO!E:L,8,0)</f>
        <v>#N/A</v>
      </c>
    </row>
    <row r="1490" spans="1:14" ht="20.25" x14ac:dyDescent="0.25">
      <c r="A1490" s="1">
        <v>234</v>
      </c>
      <c r="B1490" s="159"/>
      <c r="C1490" s="1" t="s">
        <v>1596</v>
      </c>
      <c r="D1490" s="1"/>
      <c r="E1490" s="1"/>
      <c r="F1490" s="1" t="s">
        <v>1639</v>
      </c>
      <c r="G1490" s="1">
        <v>2</v>
      </c>
      <c r="H1490" s="1" t="s">
        <v>19</v>
      </c>
      <c r="I1490" s="1" t="s">
        <v>1598</v>
      </c>
      <c r="J1490" s="1">
        <v>0.03</v>
      </c>
      <c r="K1490" s="1">
        <v>0.06</v>
      </c>
      <c r="L1490" s="42">
        <v>5</v>
      </c>
      <c r="M1490" s="43">
        <v>46055</v>
      </c>
      <c r="N1490" s="1" t="e">
        <f>VLOOKUP(B1490,MICRO!E:L,8,0)</f>
        <v>#N/A</v>
      </c>
    </row>
    <row r="1491" spans="1:14" ht="20.25" x14ac:dyDescent="0.25">
      <c r="A1491" s="1">
        <v>235</v>
      </c>
      <c r="B1491" s="159"/>
      <c r="C1491" s="1" t="s">
        <v>1608</v>
      </c>
      <c r="D1491" s="1"/>
      <c r="E1491" s="1"/>
      <c r="F1491" s="1" t="s">
        <v>1640</v>
      </c>
      <c r="G1491" s="1">
        <v>40</v>
      </c>
      <c r="H1491" s="1" t="s">
        <v>19</v>
      </c>
      <c r="I1491" s="1" t="s">
        <v>424</v>
      </c>
      <c r="J1491" s="1">
        <v>0.03</v>
      </c>
      <c r="K1491" s="1">
        <v>1.2</v>
      </c>
      <c r="L1491" s="42">
        <v>5</v>
      </c>
      <c r="M1491" s="43">
        <v>46055</v>
      </c>
      <c r="N1491" s="1" t="e">
        <f>VLOOKUP(B1491,MICRO!E:L,8,0)</f>
        <v>#N/A</v>
      </c>
    </row>
    <row r="1492" spans="1:14" ht="20.25" x14ac:dyDescent="0.25">
      <c r="A1492" s="1">
        <v>236</v>
      </c>
      <c r="B1492" s="159"/>
      <c r="C1492" s="1" t="s">
        <v>1615</v>
      </c>
      <c r="D1492" s="1"/>
      <c r="E1492" s="1"/>
      <c r="F1492" s="1" t="s">
        <v>1641</v>
      </c>
      <c r="G1492" s="1">
        <v>48</v>
      </c>
      <c r="H1492" s="1" t="s">
        <v>19</v>
      </c>
      <c r="I1492" s="1" t="s">
        <v>426</v>
      </c>
      <c r="J1492" s="1">
        <v>0.03</v>
      </c>
      <c r="K1492" s="1">
        <v>1.44</v>
      </c>
      <c r="L1492" s="42">
        <v>5</v>
      </c>
      <c r="M1492" s="43">
        <v>46055</v>
      </c>
      <c r="N1492" s="1" t="e">
        <f>VLOOKUP(B1492,MICRO!E:L,8,0)</f>
        <v>#N/A</v>
      </c>
    </row>
    <row r="1493" spans="1:14" ht="20.25" x14ac:dyDescent="0.25">
      <c r="A1493" s="1">
        <v>237</v>
      </c>
      <c r="B1493" s="159"/>
      <c r="C1493" s="1" t="s">
        <v>1594</v>
      </c>
      <c r="D1493" s="1"/>
      <c r="E1493" s="1"/>
      <c r="F1493" s="1" t="s">
        <v>1642</v>
      </c>
      <c r="G1493" s="1">
        <v>96</v>
      </c>
      <c r="H1493" s="1" t="s">
        <v>19</v>
      </c>
      <c r="I1493" s="1" t="s">
        <v>1558</v>
      </c>
      <c r="J1493" s="1">
        <v>0.03</v>
      </c>
      <c r="K1493" s="1">
        <v>2.88</v>
      </c>
      <c r="L1493" s="42">
        <v>5</v>
      </c>
      <c r="M1493" s="43">
        <v>46055</v>
      </c>
      <c r="N1493" s="1" t="e">
        <f>VLOOKUP(B1493,MICRO!E:L,8,0)</f>
        <v>#N/A</v>
      </c>
    </row>
    <row r="1494" spans="1:14" ht="20.25" x14ac:dyDescent="0.25">
      <c r="A1494" s="1">
        <v>238</v>
      </c>
      <c r="B1494" s="159"/>
      <c r="C1494" s="1" t="s">
        <v>1612</v>
      </c>
      <c r="D1494" s="1"/>
      <c r="E1494" s="1"/>
      <c r="F1494" s="1" t="s">
        <v>1643</v>
      </c>
      <c r="G1494" s="1">
        <v>12</v>
      </c>
      <c r="H1494" s="1" t="s">
        <v>19</v>
      </c>
      <c r="I1494" s="1" t="s">
        <v>424</v>
      </c>
      <c r="J1494" s="1">
        <v>0.03</v>
      </c>
      <c r="K1494" s="1">
        <v>0.36</v>
      </c>
      <c r="L1494" s="42">
        <v>5</v>
      </c>
      <c r="M1494" s="43">
        <v>46055</v>
      </c>
      <c r="N1494" s="1" t="e">
        <f>VLOOKUP(B1494,MICRO!E:L,8,0)</f>
        <v>#N/A</v>
      </c>
    </row>
    <row r="1495" spans="1:14" ht="20.25" x14ac:dyDescent="0.25">
      <c r="A1495" s="1">
        <v>1</v>
      </c>
      <c r="B1495" s="159"/>
      <c r="C1495" s="1" t="s">
        <v>2478</v>
      </c>
      <c r="D1495" s="1"/>
      <c r="E1495" s="1"/>
      <c r="F1495" s="1" t="s">
        <v>2479</v>
      </c>
      <c r="G1495" s="1">
        <v>2</v>
      </c>
      <c r="H1495" s="1" t="s">
        <v>19</v>
      </c>
      <c r="I1495" s="1" t="s">
        <v>570</v>
      </c>
      <c r="J1495" s="1">
        <v>0.01</v>
      </c>
      <c r="K1495" s="1">
        <v>0.02</v>
      </c>
      <c r="L1495" s="42">
        <v>10</v>
      </c>
      <c r="M1495" s="43">
        <v>46121</v>
      </c>
      <c r="N1495" s="1" t="e">
        <f>VLOOKUP(B1495,MICRO!E:L,8,0)</f>
        <v>#N/A</v>
      </c>
    </row>
    <row r="1496" spans="1:14" ht="20.25" x14ac:dyDescent="0.25">
      <c r="A1496" s="1">
        <v>2</v>
      </c>
      <c r="B1496" s="159"/>
      <c r="C1496" s="1" t="s">
        <v>2478</v>
      </c>
      <c r="D1496" s="1"/>
      <c r="E1496" s="1"/>
      <c r="F1496" s="1" t="s">
        <v>2480</v>
      </c>
      <c r="G1496" s="1">
        <v>3</v>
      </c>
      <c r="H1496" s="1" t="s">
        <v>19</v>
      </c>
      <c r="I1496" s="1" t="s">
        <v>570</v>
      </c>
      <c r="J1496" s="1">
        <v>0.02</v>
      </c>
      <c r="K1496" s="1">
        <v>0.06</v>
      </c>
      <c r="L1496" s="42">
        <v>10</v>
      </c>
      <c r="M1496" s="43">
        <v>46121</v>
      </c>
      <c r="N1496" s="1" t="e">
        <f>VLOOKUP(B1496,MICRO!E:L,8,0)</f>
        <v>#N/A</v>
      </c>
    </row>
    <row r="1497" spans="1:14" ht="20.25" x14ac:dyDescent="0.25">
      <c r="A1497" s="1">
        <v>3</v>
      </c>
      <c r="B1497" s="159"/>
      <c r="C1497" s="1" t="s">
        <v>2478</v>
      </c>
      <c r="D1497" s="1"/>
      <c r="E1497" s="1"/>
      <c r="F1497" s="1" t="s">
        <v>2481</v>
      </c>
      <c r="G1497" s="1">
        <v>3</v>
      </c>
      <c r="H1497" s="1" t="s">
        <v>19</v>
      </c>
      <c r="I1497" s="1" t="s">
        <v>570</v>
      </c>
      <c r="J1497" s="1">
        <v>0.03</v>
      </c>
      <c r="K1497" s="1">
        <v>0.09</v>
      </c>
      <c r="L1497" s="42">
        <v>10</v>
      </c>
      <c r="M1497" s="43">
        <v>46121</v>
      </c>
      <c r="N1497" s="1" t="e">
        <f>VLOOKUP(B1497,MICRO!E:L,8,0)</f>
        <v>#N/A</v>
      </c>
    </row>
    <row r="1498" spans="1:14" ht="20.25" x14ac:dyDescent="0.25">
      <c r="A1498" s="1">
        <v>4</v>
      </c>
      <c r="B1498" s="159"/>
      <c r="C1498" s="1" t="s">
        <v>2482</v>
      </c>
      <c r="D1498" s="1"/>
      <c r="E1498" s="1"/>
      <c r="F1498" s="1" t="s">
        <v>1911</v>
      </c>
      <c r="G1498" s="1">
        <v>2</v>
      </c>
      <c r="H1498" s="1" t="s">
        <v>19</v>
      </c>
      <c r="I1498" s="1" t="s">
        <v>572</v>
      </c>
      <c r="J1498" s="1">
        <v>0.02</v>
      </c>
      <c r="K1498" s="1">
        <v>0.04</v>
      </c>
      <c r="L1498" s="42">
        <v>10</v>
      </c>
      <c r="M1498" s="43">
        <v>46121</v>
      </c>
      <c r="N1498" s="1" t="e">
        <f>VLOOKUP(B1498,MICRO!E:L,8,0)</f>
        <v>#N/A</v>
      </c>
    </row>
    <row r="1499" spans="1:14" ht="20.25" x14ac:dyDescent="0.25">
      <c r="A1499" s="1">
        <v>5</v>
      </c>
      <c r="B1499" s="159"/>
      <c r="C1499" s="1" t="s">
        <v>2482</v>
      </c>
      <c r="D1499" s="1"/>
      <c r="E1499" s="1"/>
      <c r="F1499" s="1" t="s">
        <v>2479</v>
      </c>
      <c r="G1499" s="1">
        <v>2</v>
      </c>
      <c r="H1499" s="1" t="s">
        <v>19</v>
      </c>
      <c r="I1499" s="1" t="s">
        <v>572</v>
      </c>
      <c r="J1499" s="1">
        <v>0.01</v>
      </c>
      <c r="K1499" s="1">
        <v>0.02</v>
      </c>
      <c r="L1499" s="42">
        <v>10</v>
      </c>
      <c r="M1499" s="43">
        <v>46121</v>
      </c>
      <c r="N1499" s="1" t="e">
        <f>VLOOKUP(B1499,MICRO!E:L,8,0)</f>
        <v>#N/A</v>
      </c>
    </row>
    <row r="1500" spans="1:14" ht="20.25" x14ac:dyDescent="0.25">
      <c r="A1500" s="1">
        <v>6</v>
      </c>
      <c r="B1500" s="159"/>
      <c r="C1500" s="1" t="s">
        <v>2482</v>
      </c>
      <c r="D1500" s="1"/>
      <c r="E1500" s="1"/>
      <c r="F1500" s="1" t="s">
        <v>2480</v>
      </c>
      <c r="G1500" s="1">
        <v>3</v>
      </c>
      <c r="H1500" s="1" t="s">
        <v>19</v>
      </c>
      <c r="I1500" s="1" t="s">
        <v>572</v>
      </c>
      <c r="J1500" s="1">
        <v>0.02</v>
      </c>
      <c r="K1500" s="1">
        <v>0.06</v>
      </c>
      <c r="L1500" s="42">
        <v>10</v>
      </c>
      <c r="M1500" s="43">
        <v>46121</v>
      </c>
      <c r="N1500" s="1" t="e">
        <f>VLOOKUP(B1500,MICRO!E:L,8,0)</f>
        <v>#N/A</v>
      </c>
    </row>
    <row r="1501" spans="1:14" ht="20.25" x14ac:dyDescent="0.25">
      <c r="A1501" s="1">
        <v>7</v>
      </c>
      <c r="B1501" s="159"/>
      <c r="C1501" s="1" t="s">
        <v>2482</v>
      </c>
      <c r="D1501" s="1"/>
      <c r="E1501" s="1"/>
      <c r="F1501" s="1" t="s">
        <v>2481</v>
      </c>
      <c r="G1501" s="1">
        <v>3</v>
      </c>
      <c r="H1501" s="1" t="s">
        <v>19</v>
      </c>
      <c r="I1501" s="1" t="s">
        <v>572</v>
      </c>
      <c r="J1501" s="1">
        <v>0.03</v>
      </c>
      <c r="K1501" s="1">
        <v>0.09</v>
      </c>
      <c r="L1501" s="42">
        <v>10</v>
      </c>
      <c r="M1501" s="43">
        <v>46121</v>
      </c>
      <c r="N1501" s="1" t="e">
        <f>VLOOKUP(B1501,MICRO!E:L,8,0)</f>
        <v>#N/A</v>
      </c>
    </row>
    <row r="1502" spans="1:14" ht="20.25" x14ac:dyDescent="0.25">
      <c r="A1502" s="1">
        <v>8</v>
      </c>
      <c r="B1502" s="159"/>
      <c r="C1502" s="1" t="s">
        <v>2483</v>
      </c>
      <c r="D1502" s="1"/>
      <c r="E1502" s="1"/>
      <c r="F1502" s="1" t="s">
        <v>2484</v>
      </c>
      <c r="G1502" s="1">
        <v>3</v>
      </c>
      <c r="H1502" s="1" t="s">
        <v>19</v>
      </c>
      <c r="I1502" s="1" t="s">
        <v>569</v>
      </c>
      <c r="J1502" s="1">
        <v>0.01</v>
      </c>
      <c r="K1502" s="1">
        <v>0.03</v>
      </c>
      <c r="L1502" s="42">
        <v>10</v>
      </c>
      <c r="M1502" s="43">
        <v>46121</v>
      </c>
      <c r="N1502" s="1" t="e">
        <f>VLOOKUP(B1502,MICRO!E:L,8,0)</f>
        <v>#N/A</v>
      </c>
    </row>
    <row r="1503" spans="1:14" ht="20.25" x14ac:dyDescent="0.25">
      <c r="A1503" s="1">
        <v>9</v>
      </c>
      <c r="B1503" s="159"/>
      <c r="C1503" s="1" t="s">
        <v>2483</v>
      </c>
      <c r="D1503" s="1"/>
      <c r="E1503" s="1"/>
      <c r="F1503" s="1" t="s">
        <v>2485</v>
      </c>
      <c r="G1503" s="1">
        <v>3</v>
      </c>
      <c r="H1503" s="1" t="s">
        <v>19</v>
      </c>
      <c r="I1503" s="1" t="s">
        <v>569</v>
      </c>
      <c r="J1503" s="1">
        <v>0.7</v>
      </c>
      <c r="K1503" s="1">
        <v>2.0999999999999996</v>
      </c>
      <c r="L1503" s="42">
        <v>10</v>
      </c>
      <c r="M1503" s="43">
        <v>46121</v>
      </c>
      <c r="N1503" s="1" t="e">
        <f>VLOOKUP(B1503,MICRO!E:L,8,0)</f>
        <v>#N/A</v>
      </c>
    </row>
    <row r="1504" spans="1:14" ht="20.25" x14ac:dyDescent="0.25">
      <c r="A1504" s="1">
        <v>10</v>
      </c>
      <c r="B1504" s="159"/>
      <c r="C1504" s="1" t="s">
        <v>2483</v>
      </c>
      <c r="D1504" s="1"/>
      <c r="E1504" s="1"/>
      <c r="F1504" s="1" t="s">
        <v>2486</v>
      </c>
      <c r="G1504" s="1">
        <v>2</v>
      </c>
      <c r="H1504" s="1" t="s">
        <v>19</v>
      </c>
      <c r="I1504" s="1" t="s">
        <v>569</v>
      </c>
      <c r="J1504" s="1">
        <v>0.04</v>
      </c>
      <c r="K1504" s="1">
        <v>0.08</v>
      </c>
      <c r="L1504" s="42">
        <v>10</v>
      </c>
      <c r="M1504" s="43">
        <v>46121</v>
      </c>
      <c r="N1504" s="1" t="e">
        <f>VLOOKUP(B1504,MICRO!E:L,8,0)</f>
        <v>#N/A</v>
      </c>
    </row>
    <row r="1505" spans="1:14" ht="20.25" x14ac:dyDescent="0.25">
      <c r="A1505" s="1">
        <v>11</v>
      </c>
      <c r="B1505" s="159"/>
      <c r="C1505" s="1" t="s">
        <v>2483</v>
      </c>
      <c r="D1505" s="1"/>
      <c r="E1505" s="1"/>
      <c r="F1505" s="1" t="s">
        <v>2487</v>
      </c>
      <c r="G1505" s="1">
        <v>2</v>
      </c>
      <c r="H1505" s="1" t="s">
        <v>19</v>
      </c>
      <c r="I1505" s="1" t="s">
        <v>569</v>
      </c>
      <c r="J1505" s="1">
        <v>0.03</v>
      </c>
      <c r="K1505" s="1">
        <v>0.06</v>
      </c>
      <c r="L1505" s="42">
        <v>10</v>
      </c>
      <c r="M1505" s="43">
        <v>46121</v>
      </c>
      <c r="N1505" s="1" t="e">
        <f>VLOOKUP(B1505,MICRO!E:L,8,0)</f>
        <v>#N/A</v>
      </c>
    </row>
    <row r="1506" spans="1:14" ht="20.25" x14ac:dyDescent="0.25">
      <c r="A1506" s="1">
        <v>12</v>
      </c>
      <c r="B1506" s="159"/>
      <c r="C1506" s="1" t="s">
        <v>2488</v>
      </c>
      <c r="D1506" s="1"/>
      <c r="E1506" s="1"/>
      <c r="F1506" s="1" t="s">
        <v>1911</v>
      </c>
      <c r="G1506" s="1">
        <v>2</v>
      </c>
      <c r="H1506" s="1" t="s">
        <v>19</v>
      </c>
      <c r="I1506" s="1" t="s">
        <v>571</v>
      </c>
      <c r="J1506" s="1">
        <v>0.02</v>
      </c>
      <c r="K1506" s="1">
        <v>0.04</v>
      </c>
      <c r="L1506" s="42">
        <v>10</v>
      </c>
      <c r="M1506" s="43">
        <v>46121</v>
      </c>
      <c r="N1506" s="1" t="e">
        <f>VLOOKUP(B1506,MICRO!E:L,8,0)</f>
        <v>#N/A</v>
      </c>
    </row>
    <row r="1507" spans="1:14" ht="20.25" x14ac:dyDescent="0.25">
      <c r="A1507" s="1">
        <v>13</v>
      </c>
      <c r="B1507" s="159"/>
      <c r="C1507" s="1" t="s">
        <v>2488</v>
      </c>
      <c r="D1507" s="1"/>
      <c r="E1507" s="1"/>
      <c r="F1507" s="1" t="s">
        <v>2479</v>
      </c>
      <c r="G1507" s="1">
        <v>2</v>
      </c>
      <c r="H1507" s="1" t="s">
        <v>19</v>
      </c>
      <c r="I1507" s="1" t="s">
        <v>571</v>
      </c>
      <c r="J1507" s="1">
        <v>0.01</v>
      </c>
      <c r="K1507" s="1">
        <v>0.02</v>
      </c>
      <c r="L1507" s="42">
        <v>10</v>
      </c>
      <c r="M1507" s="43">
        <v>46121</v>
      </c>
      <c r="N1507" s="1" t="e">
        <f>VLOOKUP(B1507,MICRO!E:L,8,0)</f>
        <v>#N/A</v>
      </c>
    </row>
    <row r="1508" spans="1:14" ht="20.25" x14ac:dyDescent="0.25">
      <c r="A1508" s="1">
        <v>14</v>
      </c>
      <c r="B1508" s="159"/>
      <c r="C1508" s="1" t="s">
        <v>2488</v>
      </c>
      <c r="D1508" s="1"/>
      <c r="E1508" s="1"/>
      <c r="F1508" s="1" t="s">
        <v>2480</v>
      </c>
      <c r="G1508" s="1">
        <v>3</v>
      </c>
      <c r="H1508" s="1" t="s">
        <v>19</v>
      </c>
      <c r="I1508" s="1" t="s">
        <v>571</v>
      </c>
      <c r="J1508" s="1">
        <v>0.02</v>
      </c>
      <c r="K1508" s="1">
        <v>0.06</v>
      </c>
      <c r="L1508" s="42">
        <v>10</v>
      </c>
      <c r="M1508" s="43">
        <v>46121</v>
      </c>
      <c r="N1508" s="1" t="e">
        <f>VLOOKUP(B1508,MICRO!E:L,8,0)</f>
        <v>#N/A</v>
      </c>
    </row>
    <row r="1509" spans="1:14" ht="20.25" x14ac:dyDescent="0.25">
      <c r="A1509" s="1">
        <v>15</v>
      </c>
      <c r="B1509" s="159"/>
      <c r="C1509" s="1" t="s">
        <v>2488</v>
      </c>
      <c r="D1509" s="1"/>
      <c r="E1509" s="1"/>
      <c r="F1509" s="1" t="s">
        <v>2481</v>
      </c>
      <c r="G1509" s="1">
        <v>3</v>
      </c>
      <c r="H1509" s="1" t="s">
        <v>19</v>
      </c>
      <c r="I1509" s="1" t="s">
        <v>571</v>
      </c>
      <c r="J1509" s="1">
        <v>0.03</v>
      </c>
      <c r="K1509" s="1">
        <v>0.09</v>
      </c>
      <c r="L1509" s="42">
        <v>10</v>
      </c>
      <c r="M1509" s="43">
        <v>46121</v>
      </c>
      <c r="N1509" s="1" t="e">
        <f>VLOOKUP(B1509,MICRO!E:L,8,0)</f>
        <v>#N/A</v>
      </c>
    </row>
    <row r="1510" spans="1:14" ht="20.25" x14ac:dyDescent="0.25">
      <c r="A1510" s="1">
        <v>16</v>
      </c>
      <c r="B1510" s="159"/>
      <c r="C1510" s="1" t="s">
        <v>2488</v>
      </c>
      <c r="D1510" s="1"/>
      <c r="E1510" s="1"/>
      <c r="F1510" s="1" t="s">
        <v>2489</v>
      </c>
      <c r="G1510" s="1">
        <v>1</v>
      </c>
      <c r="H1510" s="1" t="s">
        <v>19</v>
      </c>
      <c r="I1510" s="1" t="s">
        <v>571</v>
      </c>
      <c r="J1510" s="1">
        <v>2.8</v>
      </c>
      <c r="K1510" s="1">
        <v>2.8</v>
      </c>
      <c r="L1510" s="42">
        <v>10</v>
      </c>
      <c r="M1510" s="43">
        <v>46121</v>
      </c>
      <c r="N1510" s="1" t="e">
        <f>VLOOKUP(B1510,MICRO!E:L,8,0)</f>
        <v>#N/A</v>
      </c>
    </row>
    <row r="1511" spans="1:14" ht="20.25" x14ac:dyDescent="0.25">
      <c r="A1511" s="1">
        <v>17</v>
      </c>
      <c r="B1511" s="159"/>
      <c r="C1511" s="1" t="s">
        <v>2488</v>
      </c>
      <c r="D1511" s="1"/>
      <c r="E1511" s="1"/>
      <c r="F1511" s="1" t="s">
        <v>2490</v>
      </c>
      <c r="G1511" s="1">
        <v>2</v>
      </c>
      <c r="H1511" s="1" t="s">
        <v>19</v>
      </c>
      <c r="I1511" s="1" t="s">
        <v>571</v>
      </c>
      <c r="J1511" s="1">
        <v>0.3</v>
      </c>
      <c r="K1511" s="1">
        <v>0.6</v>
      </c>
      <c r="L1511" s="42">
        <v>10</v>
      </c>
      <c r="M1511" s="43">
        <v>46121</v>
      </c>
      <c r="N1511" s="1" t="e">
        <f>VLOOKUP(B1511,MICRO!E:L,8,0)</f>
        <v>#N/A</v>
      </c>
    </row>
    <row r="1512" spans="1:14" ht="20.25" x14ac:dyDescent="0.25">
      <c r="A1512" s="1">
        <v>18</v>
      </c>
      <c r="B1512" s="159"/>
      <c r="C1512" s="1" t="s">
        <v>2488</v>
      </c>
      <c r="D1512" s="1"/>
      <c r="E1512" s="1"/>
      <c r="F1512" s="1" t="s">
        <v>2491</v>
      </c>
      <c r="G1512" s="1">
        <v>4</v>
      </c>
      <c r="H1512" s="1" t="s">
        <v>19</v>
      </c>
      <c r="I1512" s="1" t="s">
        <v>571</v>
      </c>
      <c r="J1512" s="1">
        <v>0.2</v>
      </c>
      <c r="K1512" s="1">
        <v>0.8</v>
      </c>
      <c r="L1512" s="42">
        <v>10</v>
      </c>
      <c r="M1512" s="43">
        <v>46121</v>
      </c>
      <c r="N1512" s="1" t="e">
        <f>VLOOKUP(B1512,MICRO!E:L,8,0)</f>
        <v>#N/A</v>
      </c>
    </row>
    <row r="1513" spans="1:14" ht="20.25" x14ac:dyDescent="0.25">
      <c r="A1513" s="1">
        <v>19</v>
      </c>
      <c r="B1513" s="159"/>
      <c r="C1513" s="1" t="s">
        <v>2488</v>
      </c>
      <c r="D1513" s="1"/>
      <c r="E1513" s="1"/>
      <c r="F1513" s="1" t="s">
        <v>2492</v>
      </c>
      <c r="G1513" s="1">
        <v>2</v>
      </c>
      <c r="H1513" s="1" t="s">
        <v>19</v>
      </c>
      <c r="I1513" s="1" t="s">
        <v>571</v>
      </c>
      <c r="J1513" s="1">
        <v>0.3</v>
      </c>
      <c r="K1513" s="1">
        <v>0.6</v>
      </c>
      <c r="L1513" s="42">
        <v>10</v>
      </c>
      <c r="M1513" s="43">
        <v>46121</v>
      </c>
      <c r="N1513" s="1" t="e">
        <f>VLOOKUP(B1513,MICRO!E:L,8,0)</f>
        <v>#N/A</v>
      </c>
    </row>
    <row r="1514" spans="1:14" ht="20.25" x14ac:dyDescent="0.25">
      <c r="A1514" s="1">
        <v>20</v>
      </c>
      <c r="B1514" s="159"/>
      <c r="C1514" s="1" t="s">
        <v>2488</v>
      </c>
      <c r="D1514" s="1"/>
      <c r="E1514" s="1"/>
      <c r="F1514" s="1" t="s">
        <v>2493</v>
      </c>
      <c r="G1514" s="1">
        <v>4</v>
      </c>
      <c r="H1514" s="1" t="s">
        <v>19</v>
      </c>
      <c r="I1514" s="1" t="s">
        <v>571</v>
      </c>
      <c r="J1514" s="1">
        <v>0.2</v>
      </c>
      <c r="K1514" s="1">
        <v>0.8</v>
      </c>
      <c r="L1514" s="42">
        <v>10</v>
      </c>
      <c r="M1514" s="43">
        <v>46121</v>
      </c>
      <c r="N1514" s="1" t="e">
        <f>VLOOKUP(B1514,MICRO!E:L,8,0)</f>
        <v>#N/A</v>
      </c>
    </row>
    <row r="1515" spans="1:14" ht="20.25" x14ac:dyDescent="0.25">
      <c r="A1515" s="1">
        <v>21</v>
      </c>
      <c r="B1515" s="159"/>
      <c r="C1515" s="1" t="s">
        <v>2488</v>
      </c>
      <c r="D1515" s="1"/>
      <c r="E1515" s="1"/>
      <c r="F1515" s="1" t="s">
        <v>2494</v>
      </c>
      <c r="G1515" s="1">
        <v>4</v>
      </c>
      <c r="H1515" s="1" t="s">
        <v>19</v>
      </c>
      <c r="I1515" s="1" t="s">
        <v>571</v>
      </c>
      <c r="J1515" s="1">
        <v>0.3</v>
      </c>
      <c r="K1515" s="1">
        <v>1.2</v>
      </c>
      <c r="L1515" s="42">
        <v>10</v>
      </c>
      <c r="M1515" s="43">
        <v>46121</v>
      </c>
      <c r="N1515" s="1" t="e">
        <f>VLOOKUP(B1515,MICRO!E:L,8,0)</f>
        <v>#N/A</v>
      </c>
    </row>
    <row r="1516" spans="1:14" ht="20.25" x14ac:dyDescent="0.25">
      <c r="A1516" s="1">
        <v>22</v>
      </c>
      <c r="B1516" s="159"/>
      <c r="C1516" s="1" t="s">
        <v>2488</v>
      </c>
      <c r="D1516" s="1"/>
      <c r="E1516" s="1"/>
      <c r="F1516" s="1" t="s">
        <v>2495</v>
      </c>
      <c r="G1516" s="1">
        <v>2</v>
      </c>
      <c r="H1516" s="1" t="s">
        <v>19</v>
      </c>
      <c r="I1516" s="1" t="s">
        <v>571</v>
      </c>
      <c r="J1516" s="1">
        <v>0.2</v>
      </c>
      <c r="K1516" s="1">
        <v>0.4</v>
      </c>
      <c r="L1516" s="42">
        <v>10</v>
      </c>
      <c r="M1516" s="43">
        <v>46121</v>
      </c>
      <c r="N1516" s="1" t="e">
        <f>VLOOKUP(B1516,MICRO!E:L,8,0)</f>
        <v>#N/A</v>
      </c>
    </row>
    <row r="1517" spans="1:14" ht="20.25" x14ac:dyDescent="0.25">
      <c r="A1517" s="1">
        <v>23</v>
      </c>
      <c r="B1517" s="159"/>
      <c r="C1517" s="1" t="s">
        <v>2488</v>
      </c>
      <c r="D1517" s="1"/>
      <c r="E1517" s="1"/>
      <c r="F1517" s="1" t="s">
        <v>2496</v>
      </c>
      <c r="G1517" s="1">
        <v>2</v>
      </c>
      <c r="H1517" s="1" t="s">
        <v>19</v>
      </c>
      <c r="I1517" s="1" t="s">
        <v>571</v>
      </c>
      <c r="J1517" s="1">
        <v>0.3</v>
      </c>
      <c r="K1517" s="1">
        <v>0.6</v>
      </c>
      <c r="L1517" s="42">
        <v>10</v>
      </c>
      <c r="M1517" s="43">
        <v>46121</v>
      </c>
      <c r="N1517" s="1" t="e">
        <f>VLOOKUP(B1517,MICRO!E:L,8,0)</f>
        <v>#N/A</v>
      </c>
    </row>
    <row r="1518" spans="1:14" ht="20.25" x14ac:dyDescent="0.25">
      <c r="A1518" s="1">
        <v>24</v>
      </c>
      <c r="B1518" s="159"/>
      <c r="C1518" s="1" t="s">
        <v>2488</v>
      </c>
      <c r="D1518" s="1"/>
      <c r="E1518" s="1"/>
      <c r="F1518" s="1" t="s">
        <v>2497</v>
      </c>
      <c r="G1518" s="1">
        <v>9</v>
      </c>
      <c r="H1518" s="1" t="s">
        <v>19</v>
      </c>
      <c r="I1518" s="1" t="s">
        <v>571</v>
      </c>
      <c r="J1518" s="1">
        <v>1.5</v>
      </c>
      <c r="K1518" s="1">
        <v>13.5</v>
      </c>
      <c r="L1518" s="42">
        <v>10</v>
      </c>
      <c r="M1518" s="43">
        <v>46121</v>
      </c>
      <c r="N1518" s="1" t="e">
        <f>VLOOKUP(B1518,MICRO!E:L,8,0)</f>
        <v>#N/A</v>
      </c>
    </row>
    <row r="1519" spans="1:14" ht="20.25" x14ac:dyDescent="0.25">
      <c r="A1519" s="1">
        <v>25</v>
      </c>
      <c r="B1519" s="159"/>
      <c r="C1519" s="1" t="s">
        <v>2478</v>
      </c>
      <c r="D1519" s="1"/>
      <c r="E1519" s="1"/>
      <c r="F1519" s="1" t="s">
        <v>2490</v>
      </c>
      <c r="G1519" s="1">
        <v>2</v>
      </c>
      <c r="H1519" s="1" t="s">
        <v>19</v>
      </c>
      <c r="I1519" s="1" t="s">
        <v>570</v>
      </c>
      <c r="J1519" s="1">
        <v>0.3</v>
      </c>
      <c r="K1519" s="1">
        <v>0.6</v>
      </c>
      <c r="L1519" s="42">
        <v>10</v>
      </c>
      <c r="M1519" s="43">
        <v>46121</v>
      </c>
      <c r="N1519" s="1" t="e">
        <f>VLOOKUP(B1519,MICRO!E:L,8,0)</f>
        <v>#N/A</v>
      </c>
    </row>
    <row r="1520" spans="1:14" ht="20.25" x14ac:dyDescent="0.25">
      <c r="A1520" s="1">
        <v>26</v>
      </c>
      <c r="B1520" s="159"/>
      <c r="C1520" s="1" t="s">
        <v>2478</v>
      </c>
      <c r="D1520" s="1"/>
      <c r="E1520" s="1"/>
      <c r="F1520" s="1" t="s">
        <v>2491</v>
      </c>
      <c r="G1520" s="1">
        <v>4</v>
      </c>
      <c r="H1520" s="1" t="s">
        <v>19</v>
      </c>
      <c r="I1520" s="1" t="s">
        <v>570</v>
      </c>
      <c r="J1520" s="1">
        <v>0.2</v>
      </c>
      <c r="K1520" s="1">
        <v>0.8</v>
      </c>
      <c r="L1520" s="42">
        <v>10</v>
      </c>
      <c r="M1520" s="43">
        <v>46121</v>
      </c>
      <c r="N1520" s="1" t="e">
        <f>VLOOKUP(B1520,MICRO!E:L,8,0)</f>
        <v>#N/A</v>
      </c>
    </row>
    <row r="1521" spans="1:14" ht="20.25" x14ac:dyDescent="0.25">
      <c r="A1521" s="1">
        <v>27</v>
      </c>
      <c r="B1521" s="159"/>
      <c r="C1521" s="1" t="s">
        <v>2478</v>
      </c>
      <c r="D1521" s="1"/>
      <c r="E1521" s="1"/>
      <c r="F1521" s="1" t="s">
        <v>2492</v>
      </c>
      <c r="G1521" s="1">
        <v>2</v>
      </c>
      <c r="H1521" s="1" t="s">
        <v>19</v>
      </c>
      <c r="I1521" s="1" t="s">
        <v>570</v>
      </c>
      <c r="J1521" s="1">
        <v>0.3</v>
      </c>
      <c r="K1521" s="1">
        <v>0.6</v>
      </c>
      <c r="L1521" s="42">
        <v>10</v>
      </c>
      <c r="M1521" s="43">
        <v>46121</v>
      </c>
      <c r="N1521" s="1" t="e">
        <f>VLOOKUP(B1521,MICRO!E:L,8,0)</f>
        <v>#N/A</v>
      </c>
    </row>
    <row r="1522" spans="1:14" ht="20.25" x14ac:dyDescent="0.25">
      <c r="A1522" s="1">
        <v>28</v>
      </c>
      <c r="B1522" s="159"/>
      <c r="C1522" s="1" t="s">
        <v>2478</v>
      </c>
      <c r="D1522" s="1"/>
      <c r="E1522" s="1"/>
      <c r="F1522" s="1" t="s">
        <v>2493</v>
      </c>
      <c r="G1522" s="1">
        <v>4</v>
      </c>
      <c r="H1522" s="1" t="s">
        <v>19</v>
      </c>
      <c r="I1522" s="1" t="s">
        <v>570</v>
      </c>
      <c r="J1522" s="1">
        <v>0.2</v>
      </c>
      <c r="K1522" s="1">
        <v>0.8</v>
      </c>
      <c r="L1522" s="42">
        <v>10</v>
      </c>
      <c r="M1522" s="43">
        <v>46121</v>
      </c>
      <c r="N1522" s="1" t="e">
        <f>VLOOKUP(B1522,MICRO!E:L,8,0)</f>
        <v>#N/A</v>
      </c>
    </row>
    <row r="1523" spans="1:14" ht="20.25" x14ac:dyDescent="0.25">
      <c r="A1523" s="1">
        <v>29</v>
      </c>
      <c r="B1523" s="159"/>
      <c r="C1523" s="1" t="s">
        <v>2478</v>
      </c>
      <c r="D1523" s="1"/>
      <c r="E1523" s="1"/>
      <c r="F1523" s="1" t="s">
        <v>2494</v>
      </c>
      <c r="G1523" s="1">
        <v>4</v>
      </c>
      <c r="H1523" s="1" t="s">
        <v>19</v>
      </c>
      <c r="I1523" s="1" t="s">
        <v>570</v>
      </c>
      <c r="J1523" s="1">
        <v>0.3</v>
      </c>
      <c r="K1523" s="1">
        <v>1.2</v>
      </c>
      <c r="L1523" s="42">
        <v>10</v>
      </c>
      <c r="M1523" s="43">
        <v>46121</v>
      </c>
      <c r="N1523" s="1" t="e">
        <f>VLOOKUP(B1523,MICRO!E:L,8,0)</f>
        <v>#N/A</v>
      </c>
    </row>
    <row r="1524" spans="1:14" ht="20.25" x14ac:dyDescent="0.25">
      <c r="A1524" s="1">
        <v>30</v>
      </c>
      <c r="B1524" s="159"/>
      <c r="C1524" s="1" t="s">
        <v>2478</v>
      </c>
      <c r="D1524" s="1"/>
      <c r="E1524" s="1"/>
      <c r="F1524" s="1" t="s">
        <v>2495</v>
      </c>
      <c r="G1524" s="1">
        <v>2</v>
      </c>
      <c r="H1524" s="1" t="s">
        <v>19</v>
      </c>
      <c r="I1524" s="1" t="s">
        <v>570</v>
      </c>
      <c r="J1524" s="1">
        <v>0.2</v>
      </c>
      <c r="K1524" s="1">
        <v>0.4</v>
      </c>
      <c r="L1524" s="42">
        <v>10</v>
      </c>
      <c r="M1524" s="43">
        <v>46121</v>
      </c>
      <c r="N1524" s="1" t="e">
        <f>VLOOKUP(B1524,MICRO!E:L,8,0)</f>
        <v>#N/A</v>
      </c>
    </row>
    <row r="1525" spans="1:14" ht="20.25" x14ac:dyDescent="0.25">
      <c r="A1525" s="1">
        <v>31</v>
      </c>
      <c r="B1525" s="159"/>
      <c r="C1525" s="1" t="s">
        <v>2478</v>
      </c>
      <c r="D1525" s="1"/>
      <c r="E1525" s="1"/>
      <c r="F1525" s="1" t="s">
        <v>2496</v>
      </c>
      <c r="G1525" s="1">
        <v>2</v>
      </c>
      <c r="H1525" s="1" t="s">
        <v>19</v>
      </c>
      <c r="I1525" s="1" t="s">
        <v>570</v>
      </c>
      <c r="J1525" s="1">
        <v>0.3</v>
      </c>
      <c r="K1525" s="1">
        <v>0.6</v>
      </c>
      <c r="L1525" s="42">
        <v>10</v>
      </c>
      <c r="M1525" s="43">
        <v>46121</v>
      </c>
      <c r="N1525" s="1" t="e">
        <f>VLOOKUP(B1525,MICRO!E:L,8,0)</f>
        <v>#N/A</v>
      </c>
    </row>
    <row r="1526" spans="1:14" ht="20.25" x14ac:dyDescent="0.25">
      <c r="A1526" s="1">
        <v>32</v>
      </c>
      <c r="B1526" s="159"/>
      <c r="C1526" s="1" t="s">
        <v>2478</v>
      </c>
      <c r="D1526" s="1"/>
      <c r="E1526" s="1"/>
      <c r="F1526" s="1" t="s">
        <v>2498</v>
      </c>
      <c r="G1526" s="1">
        <v>1</v>
      </c>
      <c r="H1526" s="1" t="s">
        <v>19</v>
      </c>
      <c r="I1526" s="1" t="s">
        <v>570</v>
      </c>
      <c r="J1526" s="1">
        <v>2.8</v>
      </c>
      <c r="K1526" s="1">
        <v>2.8</v>
      </c>
      <c r="L1526" s="42">
        <v>10</v>
      </c>
      <c r="M1526" s="43">
        <v>46121</v>
      </c>
      <c r="N1526" s="1" t="e">
        <f>VLOOKUP(B1526,MICRO!E:L,8,0)</f>
        <v>#N/A</v>
      </c>
    </row>
    <row r="1527" spans="1:14" ht="20.25" x14ac:dyDescent="0.25">
      <c r="A1527" s="1">
        <v>33</v>
      </c>
      <c r="B1527" s="159"/>
      <c r="C1527" s="1" t="s">
        <v>2478</v>
      </c>
      <c r="D1527" s="1"/>
      <c r="E1527" s="1"/>
      <c r="F1527" s="1" t="s">
        <v>2497</v>
      </c>
      <c r="G1527" s="1">
        <v>9</v>
      </c>
      <c r="H1527" s="1"/>
      <c r="I1527" s="1" t="s">
        <v>570</v>
      </c>
      <c r="J1527" s="1">
        <v>1.5</v>
      </c>
      <c r="K1527" s="1">
        <v>13.5</v>
      </c>
      <c r="L1527" s="42">
        <v>10</v>
      </c>
      <c r="M1527" s="43">
        <v>46121</v>
      </c>
      <c r="N1527" s="1" t="e">
        <f>VLOOKUP(B1527,MICRO!E:L,8,0)</f>
        <v>#N/A</v>
      </c>
    </row>
    <row r="1528" spans="1:14" ht="20.25" x14ac:dyDescent="0.25">
      <c r="A1528" s="1">
        <v>34</v>
      </c>
      <c r="B1528" s="159"/>
      <c r="C1528" s="1" t="s">
        <v>2499</v>
      </c>
      <c r="D1528" s="1"/>
      <c r="E1528" s="1"/>
      <c r="F1528" s="1" t="s">
        <v>2500</v>
      </c>
      <c r="G1528" s="1">
        <v>10</v>
      </c>
      <c r="H1528" s="1"/>
      <c r="I1528" s="1" t="s">
        <v>569</v>
      </c>
      <c r="J1528" s="1">
        <v>1.5</v>
      </c>
      <c r="K1528" s="1">
        <v>15</v>
      </c>
      <c r="L1528" s="42">
        <v>10</v>
      </c>
      <c r="M1528" s="43">
        <v>46121</v>
      </c>
      <c r="N1528" s="1" t="e">
        <f>VLOOKUP(B1528,MICRO!E:L,8,0)</f>
        <v>#N/A</v>
      </c>
    </row>
    <row r="1529" spans="1:14" ht="20.25" x14ac:dyDescent="0.25">
      <c r="A1529" s="1">
        <v>35</v>
      </c>
      <c r="B1529" s="159"/>
      <c r="C1529" s="1" t="s">
        <v>2499</v>
      </c>
      <c r="D1529" s="1"/>
      <c r="E1529" s="1"/>
      <c r="F1529" s="1" t="s">
        <v>2501</v>
      </c>
      <c r="G1529" s="1">
        <v>2</v>
      </c>
      <c r="H1529" s="1" t="s">
        <v>19</v>
      </c>
      <c r="I1529" s="1" t="s">
        <v>569</v>
      </c>
      <c r="J1529" s="1">
        <v>0.3</v>
      </c>
      <c r="K1529" s="1">
        <v>0.6</v>
      </c>
      <c r="L1529" s="42">
        <v>10</v>
      </c>
      <c r="M1529" s="43">
        <v>46121</v>
      </c>
      <c r="N1529" s="1" t="e">
        <f>VLOOKUP(B1529,MICRO!E:L,8,0)</f>
        <v>#N/A</v>
      </c>
    </row>
    <row r="1530" spans="1:14" ht="20.25" x14ac:dyDescent="0.25">
      <c r="A1530" s="1">
        <v>36</v>
      </c>
      <c r="B1530" s="159"/>
      <c r="C1530" s="1" t="s">
        <v>2499</v>
      </c>
      <c r="D1530" s="1"/>
      <c r="E1530" s="1"/>
      <c r="F1530" s="1" t="s">
        <v>2502</v>
      </c>
      <c r="G1530" s="1">
        <v>4</v>
      </c>
      <c r="H1530" s="1" t="s">
        <v>19</v>
      </c>
      <c r="I1530" s="1" t="s">
        <v>569</v>
      </c>
      <c r="J1530" s="1">
        <v>0.2</v>
      </c>
      <c r="K1530" s="1">
        <v>0.8</v>
      </c>
      <c r="L1530" s="42">
        <v>10</v>
      </c>
      <c r="M1530" s="43">
        <v>46121</v>
      </c>
      <c r="N1530" s="1" t="e">
        <f>VLOOKUP(B1530,MICRO!E:L,8,0)</f>
        <v>#N/A</v>
      </c>
    </row>
    <row r="1531" spans="1:14" ht="20.25" x14ac:dyDescent="0.25">
      <c r="A1531" s="1">
        <v>37</v>
      </c>
      <c r="B1531" s="159"/>
      <c r="C1531" s="1" t="s">
        <v>2499</v>
      </c>
      <c r="D1531" s="1"/>
      <c r="E1531" s="1"/>
      <c r="F1531" s="1" t="s">
        <v>2503</v>
      </c>
      <c r="G1531" s="1">
        <v>2</v>
      </c>
      <c r="H1531" s="1" t="s">
        <v>19</v>
      </c>
      <c r="I1531" s="1" t="s">
        <v>569</v>
      </c>
      <c r="J1531" s="1">
        <v>0.3</v>
      </c>
      <c r="K1531" s="1">
        <v>0.6</v>
      </c>
      <c r="L1531" s="42">
        <v>10</v>
      </c>
      <c r="M1531" s="43">
        <v>46121</v>
      </c>
      <c r="N1531" s="1" t="e">
        <f>VLOOKUP(B1531,MICRO!E:L,8,0)</f>
        <v>#N/A</v>
      </c>
    </row>
    <row r="1532" spans="1:14" ht="20.25" x14ac:dyDescent="0.25">
      <c r="A1532" s="1">
        <v>38</v>
      </c>
      <c r="B1532" s="159"/>
      <c r="C1532" s="1" t="s">
        <v>2499</v>
      </c>
      <c r="D1532" s="1"/>
      <c r="E1532" s="1"/>
      <c r="F1532" s="1" t="s">
        <v>2504</v>
      </c>
      <c r="G1532" s="1">
        <v>4</v>
      </c>
      <c r="H1532" s="1" t="s">
        <v>19</v>
      </c>
      <c r="I1532" s="1" t="s">
        <v>569</v>
      </c>
      <c r="J1532" s="1">
        <v>0.2</v>
      </c>
      <c r="K1532" s="1">
        <v>0.8</v>
      </c>
      <c r="L1532" s="42">
        <v>10</v>
      </c>
      <c r="M1532" s="43">
        <v>46121</v>
      </c>
      <c r="N1532" s="1" t="e">
        <f>VLOOKUP(B1532,MICRO!E:L,8,0)</f>
        <v>#N/A</v>
      </c>
    </row>
    <row r="1533" spans="1:14" ht="20.25" x14ac:dyDescent="0.25">
      <c r="A1533" s="1">
        <v>39</v>
      </c>
      <c r="B1533" s="159"/>
      <c r="C1533" s="1" t="s">
        <v>2499</v>
      </c>
      <c r="D1533" s="1"/>
      <c r="E1533" s="1"/>
      <c r="F1533" s="1" t="s">
        <v>2505</v>
      </c>
      <c r="G1533" s="1">
        <v>4</v>
      </c>
      <c r="H1533" s="1" t="s">
        <v>19</v>
      </c>
      <c r="I1533" s="1" t="s">
        <v>569</v>
      </c>
      <c r="J1533" s="1">
        <v>0.3</v>
      </c>
      <c r="K1533" s="1">
        <v>1.2</v>
      </c>
      <c r="L1533" s="42">
        <v>10</v>
      </c>
      <c r="M1533" s="43">
        <v>46121</v>
      </c>
      <c r="N1533" s="1" t="e">
        <f>VLOOKUP(B1533,MICRO!E:L,8,0)</f>
        <v>#N/A</v>
      </c>
    </row>
    <row r="1534" spans="1:14" ht="20.25" x14ac:dyDescent="0.25">
      <c r="A1534" s="1">
        <v>40</v>
      </c>
      <c r="B1534" s="159"/>
      <c r="C1534" s="1" t="s">
        <v>2499</v>
      </c>
      <c r="D1534" s="1"/>
      <c r="E1534" s="1"/>
      <c r="F1534" s="1" t="s">
        <v>2506</v>
      </c>
      <c r="G1534" s="1">
        <v>2</v>
      </c>
      <c r="H1534" s="1" t="s">
        <v>19</v>
      </c>
      <c r="I1534" s="1" t="s">
        <v>569</v>
      </c>
      <c r="J1534" s="1">
        <v>0.2</v>
      </c>
      <c r="K1534" s="1">
        <v>0.4</v>
      </c>
      <c r="L1534" s="42">
        <v>10</v>
      </c>
      <c r="M1534" s="43">
        <v>46121</v>
      </c>
      <c r="N1534" s="1" t="e">
        <f>VLOOKUP(B1534,MICRO!E:L,8,0)</f>
        <v>#N/A</v>
      </c>
    </row>
    <row r="1535" spans="1:14" ht="20.25" x14ac:dyDescent="0.25">
      <c r="A1535" s="1">
        <v>41</v>
      </c>
      <c r="B1535" s="159"/>
      <c r="C1535" s="1" t="s">
        <v>2499</v>
      </c>
      <c r="D1535" s="1"/>
      <c r="E1535" s="1"/>
      <c r="F1535" s="1" t="s">
        <v>2507</v>
      </c>
      <c r="G1535" s="1">
        <v>2</v>
      </c>
      <c r="H1535" s="1" t="s">
        <v>19</v>
      </c>
      <c r="I1535" s="1" t="s">
        <v>569</v>
      </c>
      <c r="J1535" s="1">
        <v>0.3</v>
      </c>
      <c r="K1535" s="1">
        <v>0.6</v>
      </c>
      <c r="L1535" s="42">
        <v>10</v>
      </c>
      <c r="M1535" s="43">
        <v>46121</v>
      </c>
      <c r="N1535" s="1" t="e">
        <f>VLOOKUP(B1535,MICRO!E:L,8,0)</f>
        <v>#N/A</v>
      </c>
    </row>
    <row r="1536" spans="1:14" ht="20.25" x14ac:dyDescent="0.25">
      <c r="A1536" s="1">
        <v>42</v>
      </c>
      <c r="B1536" s="159"/>
      <c r="C1536" s="1" t="s">
        <v>2499</v>
      </c>
      <c r="D1536" s="1"/>
      <c r="E1536" s="1"/>
      <c r="F1536" s="1" t="s">
        <v>2508</v>
      </c>
      <c r="G1536" s="1">
        <v>1</v>
      </c>
      <c r="H1536" s="1" t="s">
        <v>19</v>
      </c>
      <c r="I1536" s="1" t="s">
        <v>569</v>
      </c>
      <c r="J1536" s="1">
        <v>2.8</v>
      </c>
      <c r="K1536" s="1">
        <v>2.8</v>
      </c>
      <c r="L1536" s="42">
        <v>10</v>
      </c>
      <c r="M1536" s="43">
        <v>46121</v>
      </c>
      <c r="N1536" s="1" t="e">
        <f>VLOOKUP(B1536,MICRO!E:L,8,0)</f>
        <v>#N/A</v>
      </c>
    </row>
    <row r="1537" spans="1:14" ht="20.25" x14ac:dyDescent="0.25">
      <c r="A1537" s="1">
        <v>43</v>
      </c>
      <c r="B1537" s="159"/>
      <c r="C1537" s="1" t="s">
        <v>2509</v>
      </c>
      <c r="D1537" s="1"/>
      <c r="E1537" s="1"/>
      <c r="F1537" s="1" t="s">
        <v>2510</v>
      </c>
      <c r="G1537" s="1">
        <v>1</v>
      </c>
      <c r="H1537" s="1" t="s">
        <v>19</v>
      </c>
      <c r="I1537" s="1" t="s">
        <v>572</v>
      </c>
      <c r="J1537" s="1">
        <v>2.8</v>
      </c>
      <c r="K1537" s="1">
        <v>2.8</v>
      </c>
      <c r="L1537" s="42">
        <v>10</v>
      </c>
      <c r="M1537" s="43">
        <v>46121</v>
      </c>
      <c r="N1537" s="1" t="e">
        <f>VLOOKUP(B1537,MICRO!E:L,8,0)</f>
        <v>#N/A</v>
      </c>
    </row>
    <row r="1538" spans="1:14" ht="20.25" x14ac:dyDescent="0.25">
      <c r="A1538" s="1">
        <v>44</v>
      </c>
      <c r="B1538" s="159"/>
      <c r="C1538" s="1" t="s">
        <v>2509</v>
      </c>
      <c r="D1538" s="1"/>
      <c r="E1538" s="1"/>
      <c r="F1538" s="1" t="s">
        <v>2490</v>
      </c>
      <c r="G1538" s="1">
        <v>2</v>
      </c>
      <c r="H1538" s="1" t="s">
        <v>19</v>
      </c>
      <c r="I1538" s="1" t="s">
        <v>572</v>
      </c>
      <c r="J1538" s="1">
        <v>0.3</v>
      </c>
      <c r="K1538" s="1">
        <v>0.6</v>
      </c>
      <c r="L1538" s="42">
        <v>10</v>
      </c>
      <c r="M1538" s="43">
        <v>46121</v>
      </c>
      <c r="N1538" s="1" t="e">
        <f>VLOOKUP(B1538,MICRO!E:L,8,0)</f>
        <v>#N/A</v>
      </c>
    </row>
    <row r="1539" spans="1:14" ht="20.25" x14ac:dyDescent="0.25">
      <c r="A1539" s="1">
        <v>45</v>
      </c>
      <c r="B1539" s="159"/>
      <c r="C1539" s="1" t="s">
        <v>2509</v>
      </c>
      <c r="D1539" s="1"/>
      <c r="E1539" s="1"/>
      <c r="F1539" s="1" t="s">
        <v>2491</v>
      </c>
      <c r="G1539" s="1">
        <v>4</v>
      </c>
      <c r="H1539" s="1" t="s">
        <v>19</v>
      </c>
      <c r="I1539" s="1" t="s">
        <v>572</v>
      </c>
      <c r="J1539" s="1">
        <v>0.2</v>
      </c>
      <c r="K1539" s="1">
        <v>0.8</v>
      </c>
      <c r="L1539" s="42">
        <v>10</v>
      </c>
      <c r="M1539" s="43">
        <v>46121</v>
      </c>
      <c r="N1539" s="1" t="e">
        <f>VLOOKUP(B1539,MICRO!E:L,8,0)</f>
        <v>#N/A</v>
      </c>
    </row>
    <row r="1540" spans="1:14" ht="20.25" x14ac:dyDescent="0.25">
      <c r="A1540" s="1">
        <v>46</v>
      </c>
      <c r="B1540" s="159"/>
      <c r="C1540" s="1" t="s">
        <v>2509</v>
      </c>
      <c r="D1540" s="1"/>
      <c r="E1540" s="1"/>
      <c r="F1540" s="1" t="s">
        <v>2492</v>
      </c>
      <c r="G1540" s="1">
        <v>2</v>
      </c>
      <c r="H1540" s="1" t="s">
        <v>19</v>
      </c>
      <c r="I1540" s="1" t="s">
        <v>572</v>
      </c>
      <c r="J1540" s="1">
        <v>0.3</v>
      </c>
      <c r="K1540" s="1">
        <v>0.6</v>
      </c>
      <c r="L1540" s="42">
        <v>10</v>
      </c>
      <c r="M1540" s="43">
        <v>46121</v>
      </c>
      <c r="N1540" s="1" t="e">
        <f>VLOOKUP(B1540,MICRO!E:L,8,0)</f>
        <v>#N/A</v>
      </c>
    </row>
    <row r="1541" spans="1:14" ht="20.25" x14ac:dyDescent="0.25">
      <c r="A1541" s="1">
        <v>47</v>
      </c>
      <c r="B1541" s="159"/>
      <c r="C1541" s="1" t="s">
        <v>2509</v>
      </c>
      <c r="D1541" s="1"/>
      <c r="E1541" s="1"/>
      <c r="F1541" s="1" t="s">
        <v>2493</v>
      </c>
      <c r="G1541" s="1">
        <v>4</v>
      </c>
      <c r="H1541" s="1" t="s">
        <v>19</v>
      </c>
      <c r="I1541" s="1" t="s">
        <v>572</v>
      </c>
      <c r="J1541" s="1">
        <v>0.2</v>
      </c>
      <c r="K1541" s="1">
        <v>0.8</v>
      </c>
      <c r="L1541" s="42">
        <v>10</v>
      </c>
      <c r="M1541" s="43">
        <v>46121</v>
      </c>
      <c r="N1541" s="1" t="e">
        <f>VLOOKUP(B1541,MICRO!E:L,8,0)</f>
        <v>#N/A</v>
      </c>
    </row>
    <row r="1542" spans="1:14" ht="20.25" x14ac:dyDescent="0.25">
      <c r="A1542" s="1">
        <v>48</v>
      </c>
      <c r="B1542" s="159"/>
      <c r="C1542" s="1" t="s">
        <v>2509</v>
      </c>
      <c r="D1542" s="1"/>
      <c r="E1542" s="1"/>
      <c r="F1542" s="1" t="s">
        <v>2494</v>
      </c>
      <c r="G1542" s="1">
        <v>4</v>
      </c>
      <c r="H1542" s="1" t="s">
        <v>19</v>
      </c>
      <c r="I1542" s="1" t="s">
        <v>572</v>
      </c>
      <c r="J1542" s="1">
        <v>0.3</v>
      </c>
      <c r="K1542" s="1">
        <v>1.2</v>
      </c>
      <c r="L1542" s="42">
        <v>10</v>
      </c>
      <c r="M1542" s="43">
        <v>46121</v>
      </c>
      <c r="N1542" s="1" t="e">
        <f>VLOOKUP(B1542,MICRO!E:L,8,0)</f>
        <v>#N/A</v>
      </c>
    </row>
    <row r="1543" spans="1:14" ht="20.25" x14ac:dyDescent="0.25">
      <c r="A1543" s="1">
        <v>49</v>
      </c>
      <c r="B1543" s="159"/>
      <c r="C1543" s="1" t="s">
        <v>2509</v>
      </c>
      <c r="D1543" s="1"/>
      <c r="E1543" s="1"/>
      <c r="F1543" s="1" t="s">
        <v>2495</v>
      </c>
      <c r="G1543" s="1">
        <v>2</v>
      </c>
      <c r="H1543" s="1" t="s">
        <v>19</v>
      </c>
      <c r="I1543" s="1" t="s">
        <v>572</v>
      </c>
      <c r="J1543" s="1">
        <v>0.2</v>
      </c>
      <c r="K1543" s="1">
        <v>0.4</v>
      </c>
      <c r="L1543" s="42">
        <v>10</v>
      </c>
      <c r="M1543" s="43">
        <v>46121</v>
      </c>
      <c r="N1543" s="1" t="e">
        <f>VLOOKUP(B1543,MICRO!E:L,8,0)</f>
        <v>#N/A</v>
      </c>
    </row>
    <row r="1544" spans="1:14" ht="20.25" x14ac:dyDescent="0.25">
      <c r="A1544" s="1">
        <v>50</v>
      </c>
      <c r="B1544" s="159"/>
      <c r="C1544" s="1" t="s">
        <v>2509</v>
      </c>
      <c r="D1544" s="1"/>
      <c r="E1544" s="1"/>
      <c r="F1544" s="1" t="s">
        <v>2496</v>
      </c>
      <c r="G1544" s="1">
        <v>1</v>
      </c>
      <c r="H1544" s="1" t="s">
        <v>19</v>
      </c>
      <c r="I1544" s="1" t="s">
        <v>572</v>
      </c>
      <c r="J1544" s="1">
        <v>0.3</v>
      </c>
      <c r="K1544" s="1">
        <v>0.3</v>
      </c>
      <c r="L1544" s="42">
        <v>10</v>
      </c>
      <c r="M1544" s="43">
        <v>46121</v>
      </c>
      <c r="N1544" s="1" t="e">
        <f>VLOOKUP(B1544,MICRO!E:L,8,0)</f>
        <v>#N/A</v>
      </c>
    </row>
    <row r="1545" spans="1:14" ht="20.25" x14ac:dyDescent="0.25">
      <c r="A1545" s="1">
        <v>51</v>
      </c>
      <c r="B1545" s="159"/>
      <c r="C1545" s="1" t="s">
        <v>2509</v>
      </c>
      <c r="D1545" s="1"/>
      <c r="E1545" s="1"/>
      <c r="F1545" s="1" t="s">
        <v>2497</v>
      </c>
      <c r="G1545" s="1">
        <v>7</v>
      </c>
      <c r="H1545" s="1"/>
      <c r="I1545" s="1" t="s">
        <v>572</v>
      </c>
      <c r="J1545" s="1">
        <v>1.5</v>
      </c>
      <c r="K1545" s="1">
        <v>10.5</v>
      </c>
      <c r="L1545" s="42">
        <v>10</v>
      </c>
      <c r="M1545" s="43">
        <v>46121</v>
      </c>
      <c r="N1545" s="1" t="e">
        <f>VLOOKUP(B1545,MICRO!E:L,8,0)</f>
        <v>#N/A</v>
      </c>
    </row>
    <row r="1546" spans="1:14" ht="20.25" x14ac:dyDescent="0.25">
      <c r="A1546" s="1">
        <v>52</v>
      </c>
      <c r="B1546" s="159"/>
      <c r="C1546" s="1"/>
      <c r="D1546" s="1" t="s">
        <v>2135</v>
      </c>
      <c r="E1546" s="1"/>
      <c r="F1546" s="1" t="s">
        <v>2136</v>
      </c>
      <c r="G1546" s="1">
        <v>280</v>
      </c>
      <c r="H1546" s="1" t="s">
        <v>19</v>
      </c>
      <c r="I1546" s="1" t="s">
        <v>569</v>
      </c>
      <c r="J1546" s="1">
        <v>0.05</v>
      </c>
      <c r="K1546" s="1">
        <v>14</v>
      </c>
      <c r="L1546" s="42">
        <v>10</v>
      </c>
      <c r="M1546" s="43">
        <v>46121</v>
      </c>
      <c r="N1546" s="1" t="e">
        <f>VLOOKUP(B1546,MICRO!E:L,8,0)</f>
        <v>#N/A</v>
      </c>
    </row>
    <row r="1547" spans="1:14" ht="20.25" x14ac:dyDescent="0.25">
      <c r="A1547" s="1">
        <v>53</v>
      </c>
      <c r="B1547" s="159"/>
      <c r="C1547" s="1"/>
      <c r="D1547" s="1" t="s">
        <v>2135</v>
      </c>
      <c r="E1547" s="1"/>
      <c r="F1547" s="1" t="s">
        <v>2137</v>
      </c>
      <c r="G1547" s="1">
        <v>16</v>
      </c>
      <c r="H1547" s="1" t="s">
        <v>19</v>
      </c>
      <c r="I1547" s="1" t="s">
        <v>569</v>
      </c>
      <c r="J1547" s="1">
        <v>0.05</v>
      </c>
      <c r="K1547" s="1">
        <v>0.8</v>
      </c>
      <c r="L1547" s="42">
        <v>10</v>
      </c>
      <c r="M1547" s="43">
        <v>46121</v>
      </c>
      <c r="N1547" s="1" t="e">
        <f>VLOOKUP(B1547,MICRO!E:L,8,0)</f>
        <v>#N/A</v>
      </c>
    </row>
    <row r="1548" spans="1:14" ht="20.25" x14ac:dyDescent="0.25">
      <c r="A1548" s="1">
        <v>54</v>
      </c>
      <c r="B1548" s="159"/>
      <c r="C1548" s="1"/>
      <c r="D1548" s="1" t="s">
        <v>2135</v>
      </c>
      <c r="E1548" s="1"/>
      <c r="F1548" s="1" t="s">
        <v>2138</v>
      </c>
      <c r="G1548" s="1">
        <v>8</v>
      </c>
      <c r="H1548" s="1" t="s">
        <v>19</v>
      </c>
      <c r="I1548" s="1" t="s">
        <v>569</v>
      </c>
      <c r="J1548" s="1">
        <v>0.05</v>
      </c>
      <c r="K1548" s="1">
        <v>0.4</v>
      </c>
      <c r="L1548" s="42">
        <v>10</v>
      </c>
      <c r="M1548" s="43">
        <v>46121</v>
      </c>
      <c r="N1548" s="1" t="e">
        <f>VLOOKUP(B1548,MICRO!E:L,8,0)</f>
        <v>#N/A</v>
      </c>
    </row>
    <row r="1549" spans="1:14" ht="20.25" x14ac:dyDescent="0.25">
      <c r="A1549" s="1">
        <v>55</v>
      </c>
      <c r="B1549" s="159"/>
      <c r="C1549" s="1"/>
      <c r="D1549" s="1" t="s">
        <v>2135</v>
      </c>
      <c r="E1549" s="1"/>
      <c r="F1549" s="1" t="s">
        <v>2139</v>
      </c>
      <c r="G1549" s="1">
        <v>256</v>
      </c>
      <c r="H1549" s="1" t="s">
        <v>19</v>
      </c>
      <c r="I1549" s="1" t="s">
        <v>569</v>
      </c>
      <c r="J1549" s="1">
        <v>0.03</v>
      </c>
      <c r="K1549" s="1">
        <v>7.68</v>
      </c>
      <c r="L1549" s="42">
        <v>10</v>
      </c>
      <c r="M1549" s="43">
        <v>46121</v>
      </c>
      <c r="N1549" s="1" t="e">
        <f>VLOOKUP(B1549,MICRO!E:L,8,0)</f>
        <v>#N/A</v>
      </c>
    </row>
    <row r="1550" spans="1:14" ht="20.25" x14ac:dyDescent="0.25">
      <c r="A1550" s="1">
        <v>56</v>
      </c>
      <c r="B1550" s="159"/>
      <c r="C1550" s="1"/>
      <c r="D1550" s="1" t="s">
        <v>2135</v>
      </c>
      <c r="E1550" s="1"/>
      <c r="F1550" s="1" t="s">
        <v>2140</v>
      </c>
      <c r="G1550" s="1">
        <v>296</v>
      </c>
      <c r="H1550" s="1" t="s">
        <v>19</v>
      </c>
      <c r="I1550" s="1" t="s">
        <v>569</v>
      </c>
      <c r="J1550" s="1">
        <v>0.02</v>
      </c>
      <c r="K1550" s="1">
        <v>5.92</v>
      </c>
      <c r="L1550" s="42">
        <v>10</v>
      </c>
      <c r="M1550" s="43">
        <v>46121</v>
      </c>
      <c r="N1550" s="1" t="e">
        <f>VLOOKUP(B1550,MICRO!E:L,8,0)</f>
        <v>#N/A</v>
      </c>
    </row>
    <row r="1551" spans="1:14" ht="20.25" x14ac:dyDescent="0.25">
      <c r="A1551" s="1">
        <v>57</v>
      </c>
      <c r="B1551" s="159"/>
      <c r="C1551" s="1"/>
      <c r="D1551" s="1" t="s">
        <v>2141</v>
      </c>
      <c r="E1551" s="1"/>
      <c r="F1551" s="1" t="s">
        <v>2142</v>
      </c>
      <c r="G1551" s="1">
        <v>252</v>
      </c>
      <c r="H1551" s="1" t="s">
        <v>19</v>
      </c>
      <c r="I1551" s="1" t="s">
        <v>570</v>
      </c>
      <c r="J1551" s="1">
        <v>0.05</v>
      </c>
      <c r="K1551" s="1">
        <v>12.600000000000001</v>
      </c>
      <c r="L1551" s="42">
        <v>10</v>
      </c>
      <c r="M1551" s="43">
        <v>46121</v>
      </c>
      <c r="N1551" s="1" t="e">
        <f>VLOOKUP(B1551,MICRO!E:L,8,0)</f>
        <v>#N/A</v>
      </c>
    </row>
    <row r="1552" spans="1:14" ht="20.25" x14ac:dyDescent="0.25">
      <c r="A1552" s="1">
        <v>58</v>
      </c>
      <c r="B1552" s="159"/>
      <c r="C1552" s="1"/>
      <c r="D1552" s="1" t="s">
        <v>2141</v>
      </c>
      <c r="E1552" s="1"/>
      <c r="F1552" s="1" t="s">
        <v>2143</v>
      </c>
      <c r="G1552" s="1">
        <v>16</v>
      </c>
      <c r="H1552" s="1" t="s">
        <v>19</v>
      </c>
      <c r="I1552" s="1" t="s">
        <v>570</v>
      </c>
      <c r="J1552" s="1">
        <v>0.05</v>
      </c>
      <c r="K1552" s="1">
        <v>0.8</v>
      </c>
      <c r="L1552" s="42">
        <v>10</v>
      </c>
      <c r="M1552" s="43">
        <v>46121</v>
      </c>
      <c r="N1552" s="1" t="e">
        <f>VLOOKUP(B1552,MICRO!E:L,8,0)</f>
        <v>#N/A</v>
      </c>
    </row>
    <row r="1553" spans="1:14" ht="20.25" x14ac:dyDescent="0.25">
      <c r="A1553" s="1">
        <v>59</v>
      </c>
      <c r="B1553" s="159"/>
      <c r="C1553" s="1"/>
      <c r="D1553" s="1" t="s">
        <v>2141</v>
      </c>
      <c r="E1553" s="1"/>
      <c r="F1553" s="1" t="s">
        <v>2144</v>
      </c>
      <c r="G1553" s="1">
        <v>8</v>
      </c>
      <c r="H1553" s="1" t="s">
        <v>19</v>
      </c>
      <c r="I1553" s="1" t="s">
        <v>570</v>
      </c>
      <c r="J1553" s="1">
        <v>0.05</v>
      </c>
      <c r="K1553" s="1">
        <v>0.4</v>
      </c>
      <c r="L1553" s="42">
        <v>10</v>
      </c>
      <c r="M1553" s="43">
        <v>46121</v>
      </c>
      <c r="N1553" s="1" t="e">
        <f>VLOOKUP(B1553,MICRO!E:L,8,0)</f>
        <v>#N/A</v>
      </c>
    </row>
    <row r="1554" spans="1:14" ht="20.25" x14ac:dyDescent="0.25">
      <c r="A1554" s="1">
        <v>60</v>
      </c>
      <c r="B1554" s="159"/>
      <c r="C1554" s="1"/>
      <c r="D1554" s="1" t="s">
        <v>2141</v>
      </c>
      <c r="E1554" s="1"/>
      <c r="F1554" s="1" t="s">
        <v>2145</v>
      </c>
      <c r="G1554" s="1">
        <v>228</v>
      </c>
      <c r="H1554" s="1" t="s">
        <v>19</v>
      </c>
      <c r="I1554" s="1" t="s">
        <v>570</v>
      </c>
      <c r="J1554" s="1">
        <v>0.03</v>
      </c>
      <c r="K1554" s="1">
        <v>6.84</v>
      </c>
      <c r="L1554" s="42">
        <v>10</v>
      </c>
      <c r="M1554" s="43">
        <v>46121</v>
      </c>
      <c r="N1554" s="1" t="e">
        <f>VLOOKUP(B1554,MICRO!E:L,8,0)</f>
        <v>#N/A</v>
      </c>
    </row>
    <row r="1555" spans="1:14" ht="20.25" x14ac:dyDescent="0.25">
      <c r="A1555" s="1">
        <v>61</v>
      </c>
      <c r="B1555" s="159"/>
      <c r="C1555" s="1"/>
      <c r="D1555" s="1" t="s">
        <v>2141</v>
      </c>
      <c r="E1555" s="1"/>
      <c r="F1555" s="1" t="s">
        <v>2146</v>
      </c>
      <c r="G1555" s="1">
        <v>268</v>
      </c>
      <c r="H1555" s="1" t="s">
        <v>19</v>
      </c>
      <c r="I1555" s="1" t="s">
        <v>570</v>
      </c>
      <c r="J1555" s="1">
        <v>0.02</v>
      </c>
      <c r="K1555" s="1">
        <v>5.36</v>
      </c>
      <c r="L1555" s="42">
        <v>10</v>
      </c>
      <c r="M1555" s="43">
        <v>46121</v>
      </c>
      <c r="N1555" s="1" t="e">
        <f>VLOOKUP(B1555,MICRO!E:L,8,0)</f>
        <v>#N/A</v>
      </c>
    </row>
    <row r="1556" spans="1:14" ht="20.25" x14ac:dyDescent="0.25">
      <c r="A1556" s="1">
        <v>62</v>
      </c>
      <c r="B1556" s="159"/>
      <c r="C1556" s="1"/>
      <c r="D1556" s="1" t="s">
        <v>2147</v>
      </c>
      <c r="E1556" s="1"/>
      <c r="F1556" s="1" t="s">
        <v>2148</v>
      </c>
      <c r="G1556" s="1">
        <v>252</v>
      </c>
      <c r="H1556" s="1" t="s">
        <v>19</v>
      </c>
      <c r="I1556" s="1" t="s">
        <v>571</v>
      </c>
      <c r="J1556" s="1">
        <v>0.05</v>
      </c>
      <c r="K1556" s="1">
        <v>12.600000000000001</v>
      </c>
      <c r="L1556" s="42">
        <v>10</v>
      </c>
      <c r="M1556" s="43">
        <v>46121</v>
      </c>
      <c r="N1556" s="1" t="e">
        <f>VLOOKUP(B1556,MICRO!E:L,8,0)</f>
        <v>#N/A</v>
      </c>
    </row>
    <row r="1557" spans="1:14" ht="20.25" x14ac:dyDescent="0.25">
      <c r="A1557" s="1">
        <v>63</v>
      </c>
      <c r="B1557" s="159"/>
      <c r="C1557" s="1"/>
      <c r="D1557" s="1" t="s">
        <v>2147</v>
      </c>
      <c r="E1557" s="1"/>
      <c r="F1557" s="1" t="s">
        <v>2149</v>
      </c>
      <c r="G1557" s="1">
        <v>16</v>
      </c>
      <c r="H1557" s="1" t="s">
        <v>19</v>
      </c>
      <c r="I1557" s="1" t="s">
        <v>571</v>
      </c>
      <c r="J1557" s="1">
        <v>0.05</v>
      </c>
      <c r="K1557" s="1">
        <v>0.8</v>
      </c>
      <c r="L1557" s="42">
        <v>10</v>
      </c>
      <c r="M1557" s="43">
        <v>46121</v>
      </c>
      <c r="N1557" s="1" t="e">
        <f>VLOOKUP(B1557,MICRO!E:L,8,0)</f>
        <v>#N/A</v>
      </c>
    </row>
    <row r="1558" spans="1:14" ht="20.25" x14ac:dyDescent="0.25">
      <c r="A1558" s="1">
        <v>64</v>
      </c>
      <c r="B1558" s="159"/>
      <c r="C1558" s="1"/>
      <c r="D1558" s="1" t="s">
        <v>2147</v>
      </c>
      <c r="E1558" s="1"/>
      <c r="F1558" s="1" t="s">
        <v>2150</v>
      </c>
      <c r="G1558" s="1">
        <v>8</v>
      </c>
      <c r="H1558" s="1" t="s">
        <v>19</v>
      </c>
      <c r="I1558" s="1" t="s">
        <v>571</v>
      </c>
      <c r="J1558" s="1">
        <v>0.05</v>
      </c>
      <c r="K1558" s="1">
        <v>0.4</v>
      </c>
      <c r="L1558" s="42">
        <v>10</v>
      </c>
      <c r="M1558" s="43">
        <v>46121</v>
      </c>
      <c r="N1558" s="1" t="e">
        <f>VLOOKUP(B1558,MICRO!E:L,8,0)</f>
        <v>#N/A</v>
      </c>
    </row>
    <row r="1559" spans="1:14" ht="20.25" x14ac:dyDescent="0.25">
      <c r="A1559" s="1">
        <v>65</v>
      </c>
      <c r="B1559" s="159"/>
      <c r="C1559" s="1"/>
      <c r="D1559" s="1" t="s">
        <v>2147</v>
      </c>
      <c r="E1559" s="1"/>
      <c r="F1559" s="1" t="s">
        <v>2151</v>
      </c>
      <c r="G1559" s="1">
        <v>228</v>
      </c>
      <c r="H1559" s="1" t="s">
        <v>19</v>
      </c>
      <c r="I1559" s="1" t="s">
        <v>571</v>
      </c>
      <c r="J1559" s="1">
        <v>0.03</v>
      </c>
      <c r="K1559" s="1">
        <v>6.84</v>
      </c>
      <c r="L1559" s="42">
        <v>10</v>
      </c>
      <c r="M1559" s="43">
        <v>46121</v>
      </c>
      <c r="N1559" s="1" t="e">
        <f>VLOOKUP(B1559,MICRO!E:L,8,0)</f>
        <v>#N/A</v>
      </c>
    </row>
    <row r="1560" spans="1:14" ht="20.25" x14ac:dyDescent="0.25">
      <c r="A1560" s="1">
        <v>66</v>
      </c>
      <c r="B1560" s="159"/>
      <c r="C1560" s="1"/>
      <c r="D1560" s="1" t="s">
        <v>2147</v>
      </c>
      <c r="E1560" s="1"/>
      <c r="F1560" s="1" t="s">
        <v>2152</v>
      </c>
      <c r="G1560" s="1">
        <v>268</v>
      </c>
      <c r="H1560" s="1" t="s">
        <v>19</v>
      </c>
      <c r="I1560" s="1" t="s">
        <v>571</v>
      </c>
      <c r="J1560" s="1">
        <v>0.02</v>
      </c>
      <c r="K1560" s="1">
        <v>5.36</v>
      </c>
      <c r="L1560" s="42">
        <v>10</v>
      </c>
      <c r="M1560" s="43">
        <v>46121</v>
      </c>
      <c r="N1560" s="1" t="e">
        <f>VLOOKUP(B1560,MICRO!E:L,8,0)</f>
        <v>#N/A</v>
      </c>
    </row>
    <row r="1561" spans="1:14" ht="20.25" x14ac:dyDescent="0.25">
      <c r="A1561" s="1">
        <v>67</v>
      </c>
      <c r="B1561" s="159"/>
      <c r="C1561" s="1"/>
      <c r="D1561" s="1" t="s">
        <v>2153</v>
      </c>
      <c r="E1561" s="1"/>
      <c r="F1561" s="1" t="s">
        <v>2154</v>
      </c>
      <c r="G1561" s="1">
        <v>182</v>
      </c>
      <c r="H1561" s="1" t="s">
        <v>19</v>
      </c>
      <c r="I1561" s="1" t="s">
        <v>572</v>
      </c>
      <c r="J1561" s="1">
        <v>0.05</v>
      </c>
      <c r="K1561" s="1">
        <v>9.1</v>
      </c>
      <c r="L1561" s="42">
        <v>10</v>
      </c>
      <c r="M1561" s="43">
        <v>46121</v>
      </c>
      <c r="N1561" s="1" t="e">
        <f>VLOOKUP(B1561,MICRO!E:L,8,0)</f>
        <v>#N/A</v>
      </c>
    </row>
    <row r="1562" spans="1:14" ht="20.25" x14ac:dyDescent="0.25">
      <c r="A1562" s="1">
        <v>68</v>
      </c>
      <c r="B1562" s="159"/>
      <c r="C1562" s="1"/>
      <c r="D1562" s="1" t="s">
        <v>2153</v>
      </c>
      <c r="E1562" s="1"/>
      <c r="F1562" s="1" t="s">
        <v>2155</v>
      </c>
      <c r="G1562" s="1">
        <v>16</v>
      </c>
      <c r="H1562" s="1" t="s">
        <v>19</v>
      </c>
      <c r="I1562" s="1" t="s">
        <v>572</v>
      </c>
      <c r="J1562" s="1">
        <v>0.05</v>
      </c>
      <c r="K1562" s="1">
        <v>0.8</v>
      </c>
      <c r="L1562" s="42">
        <v>10</v>
      </c>
      <c r="M1562" s="43">
        <v>46121</v>
      </c>
      <c r="N1562" s="1" t="e">
        <f>VLOOKUP(B1562,MICRO!E:L,8,0)</f>
        <v>#N/A</v>
      </c>
    </row>
    <row r="1563" spans="1:14" ht="20.25" x14ac:dyDescent="0.25">
      <c r="A1563" s="1">
        <v>69</v>
      </c>
      <c r="B1563" s="159"/>
      <c r="C1563" s="1"/>
      <c r="D1563" s="1" t="s">
        <v>2153</v>
      </c>
      <c r="E1563" s="1"/>
      <c r="F1563" s="1" t="s">
        <v>2156</v>
      </c>
      <c r="G1563" s="1">
        <v>8</v>
      </c>
      <c r="H1563" s="1" t="s">
        <v>19</v>
      </c>
      <c r="I1563" s="1" t="s">
        <v>572</v>
      </c>
      <c r="J1563" s="1">
        <v>0.05</v>
      </c>
      <c r="K1563" s="1">
        <v>0.4</v>
      </c>
      <c r="L1563" s="42">
        <v>10</v>
      </c>
      <c r="M1563" s="43">
        <v>46121</v>
      </c>
      <c r="N1563" s="1" t="e">
        <f>VLOOKUP(B1563,MICRO!E:L,8,0)</f>
        <v>#N/A</v>
      </c>
    </row>
    <row r="1564" spans="1:14" ht="20.25" x14ac:dyDescent="0.25">
      <c r="A1564" s="1">
        <v>70</v>
      </c>
      <c r="B1564" s="159"/>
      <c r="C1564" s="1"/>
      <c r="D1564" s="1" t="s">
        <v>2153</v>
      </c>
      <c r="E1564" s="1"/>
      <c r="F1564" s="1" t="s">
        <v>2157</v>
      </c>
      <c r="G1564" s="1">
        <v>158</v>
      </c>
      <c r="H1564" s="1" t="s">
        <v>19</v>
      </c>
      <c r="I1564" s="1" t="s">
        <v>572</v>
      </c>
      <c r="J1564" s="1">
        <v>0.03</v>
      </c>
      <c r="K1564" s="1">
        <v>4.74</v>
      </c>
      <c r="L1564" s="42">
        <v>10</v>
      </c>
      <c r="M1564" s="43">
        <v>46121</v>
      </c>
      <c r="N1564" s="1" t="e">
        <f>VLOOKUP(B1564,MICRO!E:L,8,0)</f>
        <v>#N/A</v>
      </c>
    </row>
    <row r="1565" spans="1:14" ht="20.25" x14ac:dyDescent="0.25">
      <c r="A1565" s="1">
        <v>71</v>
      </c>
      <c r="B1565" s="159"/>
      <c r="C1565" s="1"/>
      <c r="D1565" s="1" t="s">
        <v>2153</v>
      </c>
      <c r="E1565" s="1"/>
      <c r="F1565" s="1" t="s">
        <v>2158</v>
      </c>
      <c r="G1565" s="1">
        <v>198</v>
      </c>
      <c r="H1565" s="1" t="s">
        <v>19</v>
      </c>
      <c r="I1565" s="1" t="s">
        <v>572</v>
      </c>
      <c r="J1565" s="1">
        <v>0.02</v>
      </c>
      <c r="K1565" s="1">
        <v>3.96</v>
      </c>
      <c r="L1565" s="42">
        <v>10</v>
      </c>
      <c r="M1565" s="43">
        <v>46121</v>
      </c>
      <c r="N1565" s="1" t="e">
        <f>VLOOKUP(B1565,MICRO!E:L,8,0)</f>
        <v>#N/A</v>
      </c>
    </row>
    <row r="1566" spans="1:14" ht="20.25" x14ac:dyDescent="0.25">
      <c r="A1566" s="1">
        <v>72</v>
      </c>
      <c r="B1566" s="159"/>
      <c r="C1566" s="1"/>
      <c r="D1566" s="1" t="s">
        <v>2159</v>
      </c>
      <c r="E1566" s="1"/>
      <c r="F1566" s="1" t="s">
        <v>2160</v>
      </c>
      <c r="G1566" s="1">
        <v>36</v>
      </c>
      <c r="H1566" s="1" t="s">
        <v>19</v>
      </c>
      <c r="I1566" s="1" t="s">
        <v>424</v>
      </c>
      <c r="J1566" s="1">
        <v>0.05</v>
      </c>
      <c r="K1566" s="1">
        <v>1.8</v>
      </c>
      <c r="L1566" s="42">
        <v>10</v>
      </c>
      <c r="M1566" s="43">
        <v>46121</v>
      </c>
      <c r="N1566" s="1" t="e">
        <f>VLOOKUP(B1566,MICRO!E:L,8,0)</f>
        <v>#N/A</v>
      </c>
    </row>
    <row r="1567" spans="1:14" ht="20.25" x14ac:dyDescent="0.25">
      <c r="A1567" s="1">
        <v>73</v>
      </c>
      <c r="B1567" s="159"/>
      <c r="C1567" s="1"/>
      <c r="D1567" s="1" t="s">
        <v>2159</v>
      </c>
      <c r="E1567" s="1"/>
      <c r="F1567" s="1" t="s">
        <v>2161</v>
      </c>
      <c r="G1567" s="1">
        <v>36</v>
      </c>
      <c r="H1567" s="1" t="s">
        <v>19</v>
      </c>
      <c r="I1567" s="1" t="s">
        <v>424</v>
      </c>
      <c r="J1567" s="1">
        <v>0.03</v>
      </c>
      <c r="K1567" s="1">
        <v>1.08</v>
      </c>
      <c r="L1567" s="42">
        <v>10</v>
      </c>
      <c r="M1567" s="43">
        <v>46121</v>
      </c>
      <c r="N1567" s="1" t="e">
        <f>VLOOKUP(B1567,MICRO!E:L,8,0)</f>
        <v>#N/A</v>
      </c>
    </row>
    <row r="1568" spans="1:14" ht="20.25" x14ac:dyDescent="0.25">
      <c r="A1568" s="1">
        <v>74</v>
      </c>
      <c r="B1568" s="159"/>
      <c r="C1568" s="1"/>
      <c r="D1568" s="1" t="s">
        <v>2159</v>
      </c>
      <c r="E1568" s="1"/>
      <c r="F1568" s="1" t="s">
        <v>2162</v>
      </c>
      <c r="G1568" s="1">
        <v>36</v>
      </c>
      <c r="H1568" s="1" t="s">
        <v>19</v>
      </c>
      <c r="I1568" s="1" t="s">
        <v>424</v>
      </c>
      <c r="J1568" s="1">
        <v>0.03</v>
      </c>
      <c r="K1568" s="1">
        <v>1.08</v>
      </c>
      <c r="L1568" s="42">
        <v>10</v>
      </c>
      <c r="M1568" s="43">
        <v>46121</v>
      </c>
      <c r="N1568" s="1" t="e">
        <f>VLOOKUP(B1568,MICRO!E:L,8,0)</f>
        <v>#N/A</v>
      </c>
    </row>
    <row r="1569" spans="1:14" ht="20.25" x14ac:dyDescent="0.25">
      <c r="A1569" s="1">
        <v>75</v>
      </c>
      <c r="B1569" s="159"/>
      <c r="C1569" s="1"/>
      <c r="D1569" s="1" t="s">
        <v>2159</v>
      </c>
      <c r="E1569" s="1"/>
      <c r="F1569" s="1" t="s">
        <v>2163</v>
      </c>
      <c r="G1569" s="1">
        <v>18</v>
      </c>
      <c r="H1569" s="1" t="s">
        <v>19</v>
      </c>
      <c r="I1569" s="1" t="s">
        <v>424</v>
      </c>
      <c r="J1569" s="1">
        <v>0.05</v>
      </c>
      <c r="K1569" s="1">
        <v>0.9</v>
      </c>
      <c r="L1569" s="42">
        <v>10</v>
      </c>
      <c r="M1569" s="43">
        <v>46121</v>
      </c>
      <c r="N1569" s="1" t="e">
        <f>VLOOKUP(B1569,MICRO!E:L,8,0)</f>
        <v>#N/A</v>
      </c>
    </row>
    <row r="1570" spans="1:14" ht="20.25" x14ac:dyDescent="0.25">
      <c r="A1570" s="1">
        <v>76</v>
      </c>
      <c r="B1570" s="159"/>
      <c r="C1570" s="1"/>
      <c r="D1570" s="1" t="s">
        <v>2159</v>
      </c>
      <c r="E1570" s="1"/>
      <c r="F1570" s="1" t="s">
        <v>2164</v>
      </c>
      <c r="G1570" s="1">
        <v>18</v>
      </c>
      <c r="H1570" s="1" t="s">
        <v>19</v>
      </c>
      <c r="I1570" s="1" t="s">
        <v>424</v>
      </c>
      <c r="J1570" s="1">
        <v>0.03</v>
      </c>
      <c r="K1570" s="1">
        <v>0.54</v>
      </c>
      <c r="L1570" s="42">
        <v>10</v>
      </c>
      <c r="M1570" s="43">
        <v>46121</v>
      </c>
      <c r="N1570" s="1" t="e">
        <f>VLOOKUP(B1570,MICRO!E:L,8,0)</f>
        <v>#N/A</v>
      </c>
    </row>
    <row r="1571" spans="1:14" ht="20.25" x14ac:dyDescent="0.25">
      <c r="A1571" s="1">
        <v>77</v>
      </c>
      <c r="B1571" s="159"/>
      <c r="C1571" s="1"/>
      <c r="D1571" s="1" t="s">
        <v>2159</v>
      </c>
      <c r="E1571" s="1"/>
      <c r="F1571" s="1" t="s">
        <v>2165</v>
      </c>
      <c r="G1571" s="1">
        <v>18</v>
      </c>
      <c r="H1571" s="1" t="s">
        <v>19</v>
      </c>
      <c r="I1571" s="1" t="s">
        <v>424</v>
      </c>
      <c r="J1571" s="1">
        <v>0.03</v>
      </c>
      <c r="K1571" s="1">
        <v>0.54</v>
      </c>
      <c r="L1571" s="42">
        <v>10</v>
      </c>
      <c r="M1571" s="43">
        <v>46121</v>
      </c>
      <c r="N1571" s="1" t="e">
        <f>VLOOKUP(B1571,MICRO!E:L,8,0)</f>
        <v>#N/A</v>
      </c>
    </row>
    <row r="1572" spans="1:14" ht="20.25" x14ac:dyDescent="0.25">
      <c r="A1572" s="1">
        <v>78</v>
      </c>
      <c r="B1572" s="159"/>
      <c r="C1572" s="1"/>
      <c r="D1572" s="1" t="s">
        <v>2166</v>
      </c>
      <c r="E1572" s="1"/>
      <c r="F1572" s="1" t="s">
        <v>2167</v>
      </c>
      <c r="G1572" s="1">
        <v>27</v>
      </c>
      <c r="H1572" s="1" t="s">
        <v>19</v>
      </c>
      <c r="I1572" s="1" t="s">
        <v>425</v>
      </c>
      <c r="J1572" s="1">
        <v>0.05</v>
      </c>
      <c r="K1572" s="1">
        <v>1.35</v>
      </c>
      <c r="L1572" s="42">
        <v>10</v>
      </c>
      <c r="M1572" s="43">
        <v>46121</v>
      </c>
      <c r="N1572" s="1" t="e">
        <f>VLOOKUP(B1572,MICRO!E:L,8,0)</f>
        <v>#N/A</v>
      </c>
    </row>
    <row r="1573" spans="1:14" ht="20.25" x14ac:dyDescent="0.25">
      <c r="A1573" s="1">
        <v>79</v>
      </c>
      <c r="B1573" s="159"/>
      <c r="C1573" s="1"/>
      <c r="D1573" s="1" t="s">
        <v>2166</v>
      </c>
      <c r="E1573" s="1"/>
      <c r="F1573" s="1" t="s">
        <v>2168</v>
      </c>
      <c r="G1573" s="1">
        <v>27</v>
      </c>
      <c r="H1573" s="1" t="s">
        <v>19</v>
      </c>
      <c r="I1573" s="1" t="s">
        <v>425</v>
      </c>
      <c r="J1573" s="1">
        <v>0.03</v>
      </c>
      <c r="K1573" s="1">
        <v>0.80999999999999994</v>
      </c>
      <c r="L1573" s="42">
        <v>10</v>
      </c>
      <c r="M1573" s="43">
        <v>46121</v>
      </c>
      <c r="N1573" s="1" t="e">
        <f>VLOOKUP(B1573,MICRO!E:L,8,0)</f>
        <v>#N/A</v>
      </c>
    </row>
    <row r="1574" spans="1:14" ht="20.25" x14ac:dyDescent="0.25">
      <c r="A1574" s="1">
        <v>80</v>
      </c>
      <c r="B1574" s="159"/>
      <c r="C1574" s="1"/>
      <c r="D1574" s="1" t="s">
        <v>2166</v>
      </c>
      <c r="E1574" s="1"/>
      <c r="F1574" s="1" t="s">
        <v>2169</v>
      </c>
      <c r="G1574" s="1">
        <v>27</v>
      </c>
      <c r="H1574" s="1" t="s">
        <v>19</v>
      </c>
      <c r="I1574" s="1" t="s">
        <v>425</v>
      </c>
      <c r="J1574" s="1">
        <v>0.03</v>
      </c>
      <c r="K1574" s="1">
        <v>0.80999999999999994</v>
      </c>
      <c r="L1574" s="42">
        <v>10</v>
      </c>
      <c r="M1574" s="43">
        <v>46121</v>
      </c>
      <c r="N1574" s="1" t="e">
        <f>VLOOKUP(B1574,MICRO!E:L,8,0)</f>
        <v>#N/A</v>
      </c>
    </row>
    <row r="1575" spans="1:14" ht="20.25" x14ac:dyDescent="0.25">
      <c r="A1575" s="1">
        <v>81</v>
      </c>
      <c r="B1575" s="159"/>
      <c r="C1575" s="1"/>
      <c r="D1575" s="1" t="s">
        <v>2170</v>
      </c>
      <c r="E1575" s="1"/>
      <c r="F1575" s="1" t="s">
        <v>2171</v>
      </c>
      <c r="G1575" s="1">
        <v>36</v>
      </c>
      <c r="H1575" s="1" t="s">
        <v>19</v>
      </c>
      <c r="I1575" s="1" t="s">
        <v>426</v>
      </c>
      <c r="J1575" s="1">
        <v>0.05</v>
      </c>
      <c r="K1575" s="1">
        <v>1.8</v>
      </c>
      <c r="L1575" s="42">
        <v>10</v>
      </c>
      <c r="M1575" s="43">
        <v>46121</v>
      </c>
      <c r="N1575" s="1" t="e">
        <f>VLOOKUP(B1575,MICRO!E:L,8,0)</f>
        <v>#N/A</v>
      </c>
    </row>
    <row r="1576" spans="1:14" ht="20.25" x14ac:dyDescent="0.25">
      <c r="A1576" s="1">
        <v>82</v>
      </c>
      <c r="B1576" s="159"/>
      <c r="C1576" s="1"/>
      <c r="D1576" s="1" t="s">
        <v>2170</v>
      </c>
      <c r="E1576" s="1"/>
      <c r="F1576" s="1" t="s">
        <v>2172</v>
      </c>
      <c r="G1576" s="1">
        <v>36</v>
      </c>
      <c r="H1576" s="1" t="s">
        <v>19</v>
      </c>
      <c r="I1576" s="1" t="s">
        <v>426</v>
      </c>
      <c r="J1576" s="1">
        <v>0.03</v>
      </c>
      <c r="K1576" s="1">
        <v>1.08</v>
      </c>
      <c r="L1576" s="42">
        <v>10</v>
      </c>
      <c r="M1576" s="43">
        <v>46121</v>
      </c>
      <c r="N1576" s="1" t="e">
        <f>VLOOKUP(B1576,MICRO!E:L,8,0)</f>
        <v>#N/A</v>
      </c>
    </row>
    <row r="1577" spans="1:14" ht="20.25" x14ac:dyDescent="0.25">
      <c r="A1577" s="1">
        <v>83</v>
      </c>
      <c r="B1577" s="159"/>
      <c r="C1577" s="1"/>
      <c r="D1577" s="1" t="s">
        <v>2170</v>
      </c>
      <c r="E1577" s="1"/>
      <c r="F1577" s="1" t="s">
        <v>2173</v>
      </c>
      <c r="G1577" s="1">
        <v>36</v>
      </c>
      <c r="H1577" s="1" t="s">
        <v>19</v>
      </c>
      <c r="I1577" s="1" t="s">
        <v>426</v>
      </c>
      <c r="J1577" s="1">
        <v>0.03</v>
      </c>
      <c r="K1577" s="1">
        <v>1.08</v>
      </c>
      <c r="L1577" s="42">
        <v>10</v>
      </c>
      <c r="M1577" s="43">
        <v>46121</v>
      </c>
      <c r="N1577" s="1" t="e">
        <f>VLOOKUP(B1577,MICRO!E:L,8,0)</f>
        <v>#N/A</v>
      </c>
    </row>
    <row r="1578" spans="1:14" ht="20.25" x14ac:dyDescent="0.25">
      <c r="A1578" s="1">
        <v>84</v>
      </c>
      <c r="B1578" s="159"/>
      <c r="C1578" s="1"/>
      <c r="D1578" s="1" t="s">
        <v>2174</v>
      </c>
      <c r="E1578" s="1"/>
      <c r="F1578" s="1" t="s">
        <v>2175</v>
      </c>
      <c r="G1578" s="1">
        <v>72</v>
      </c>
      <c r="H1578" s="1" t="s">
        <v>19</v>
      </c>
      <c r="I1578" s="1" t="s">
        <v>427</v>
      </c>
      <c r="J1578" s="1">
        <v>0.05</v>
      </c>
      <c r="K1578" s="1">
        <v>3.6</v>
      </c>
      <c r="L1578" s="42">
        <v>10</v>
      </c>
      <c r="M1578" s="43">
        <v>46121</v>
      </c>
      <c r="N1578" s="1" t="e">
        <f>VLOOKUP(B1578,MICRO!E:L,8,0)</f>
        <v>#N/A</v>
      </c>
    </row>
    <row r="1579" spans="1:14" ht="20.25" x14ac:dyDescent="0.25">
      <c r="A1579" s="1">
        <v>85</v>
      </c>
      <c r="B1579" s="159"/>
      <c r="C1579" s="1"/>
      <c r="D1579" s="1" t="s">
        <v>2174</v>
      </c>
      <c r="E1579" s="1"/>
      <c r="F1579" s="1" t="s">
        <v>2176</v>
      </c>
      <c r="G1579" s="1">
        <v>72</v>
      </c>
      <c r="H1579" s="1" t="s">
        <v>19</v>
      </c>
      <c r="I1579" s="1" t="s">
        <v>427</v>
      </c>
      <c r="J1579" s="1">
        <v>0.03</v>
      </c>
      <c r="K1579" s="1">
        <v>2.16</v>
      </c>
      <c r="L1579" s="42">
        <v>10</v>
      </c>
      <c r="M1579" s="43">
        <v>46121</v>
      </c>
      <c r="N1579" s="1" t="e">
        <f>VLOOKUP(B1579,MICRO!E:L,8,0)</f>
        <v>#N/A</v>
      </c>
    </row>
    <row r="1580" spans="1:14" ht="20.25" x14ac:dyDescent="0.25">
      <c r="A1580" s="1">
        <v>86</v>
      </c>
      <c r="B1580" s="159"/>
      <c r="C1580" s="1"/>
      <c r="D1580" s="1" t="s">
        <v>2174</v>
      </c>
      <c r="E1580" s="1"/>
      <c r="F1580" s="1" t="s">
        <v>2177</v>
      </c>
      <c r="G1580" s="1">
        <v>72</v>
      </c>
      <c r="H1580" s="1" t="s">
        <v>19</v>
      </c>
      <c r="I1580" s="1" t="s">
        <v>427</v>
      </c>
      <c r="J1580" s="1">
        <v>0.03</v>
      </c>
      <c r="K1580" s="1">
        <v>2.16</v>
      </c>
      <c r="L1580" s="42">
        <v>10</v>
      </c>
      <c r="M1580" s="43">
        <v>46121</v>
      </c>
      <c r="N1580" s="1" t="e">
        <f>VLOOKUP(B1580,MICRO!E:L,8,0)</f>
        <v>#N/A</v>
      </c>
    </row>
    <row r="1581" spans="1:14" ht="20.25" x14ac:dyDescent="0.25">
      <c r="A1581" s="1">
        <v>87</v>
      </c>
      <c r="B1581" s="159"/>
      <c r="C1581" s="1" t="s">
        <v>2483</v>
      </c>
      <c r="D1581" s="1" t="s">
        <v>2511</v>
      </c>
      <c r="E1581" s="1"/>
      <c r="F1581" s="1" t="s">
        <v>2121</v>
      </c>
      <c r="G1581" s="1">
        <v>8</v>
      </c>
      <c r="H1581" s="1" t="s">
        <v>19</v>
      </c>
      <c r="I1581" s="1" t="s">
        <v>569</v>
      </c>
      <c r="J1581" s="1">
        <v>1.5</v>
      </c>
      <c r="K1581" s="1">
        <v>12</v>
      </c>
      <c r="L1581" s="42">
        <v>10</v>
      </c>
      <c r="M1581" s="43">
        <v>46121</v>
      </c>
      <c r="N1581" s="1" t="e">
        <f>VLOOKUP(B1581,MICRO!E:L,8,0)</f>
        <v>#N/A</v>
      </c>
    </row>
    <row r="1582" spans="1:14" ht="20.25" x14ac:dyDescent="0.25">
      <c r="A1582" s="1">
        <v>88</v>
      </c>
      <c r="B1582" s="159"/>
      <c r="C1582" s="1" t="s">
        <v>2483</v>
      </c>
      <c r="D1582" s="1" t="s">
        <v>2511</v>
      </c>
      <c r="E1582" s="1"/>
      <c r="F1582" s="1" t="s">
        <v>2512</v>
      </c>
      <c r="G1582" s="1">
        <v>5</v>
      </c>
      <c r="H1582" s="1" t="s">
        <v>19</v>
      </c>
      <c r="I1582" s="1" t="s">
        <v>569</v>
      </c>
      <c r="J1582" s="1">
        <v>1.5</v>
      </c>
      <c r="K1582" s="1">
        <v>7.5</v>
      </c>
      <c r="L1582" s="42">
        <v>10</v>
      </c>
      <c r="M1582" s="43">
        <v>46121</v>
      </c>
      <c r="N1582" s="1" t="e">
        <f>VLOOKUP(B1582,MICRO!E:L,8,0)</f>
        <v>#N/A</v>
      </c>
    </row>
    <row r="1583" spans="1:14" ht="20.25" x14ac:dyDescent="0.25">
      <c r="A1583" s="1">
        <v>89</v>
      </c>
      <c r="B1583" s="159"/>
      <c r="C1583" s="1" t="s">
        <v>2478</v>
      </c>
      <c r="D1583" s="1" t="s">
        <v>2513</v>
      </c>
      <c r="E1583" s="1"/>
      <c r="F1583" s="1" t="s">
        <v>2121</v>
      </c>
      <c r="G1583" s="1">
        <v>7</v>
      </c>
      <c r="H1583" s="1" t="s">
        <v>19</v>
      </c>
      <c r="I1583" s="1" t="s">
        <v>570</v>
      </c>
      <c r="J1583" s="1">
        <v>1.5</v>
      </c>
      <c r="K1583" s="1">
        <v>10.5</v>
      </c>
      <c r="L1583" s="42">
        <v>10</v>
      </c>
      <c r="M1583" s="43">
        <v>46121</v>
      </c>
      <c r="N1583" s="1" t="e">
        <f>VLOOKUP(B1583,MICRO!E:L,8,0)</f>
        <v>#N/A</v>
      </c>
    </row>
    <row r="1584" spans="1:14" ht="20.25" x14ac:dyDescent="0.25">
      <c r="A1584" s="1">
        <v>90</v>
      </c>
      <c r="B1584" s="159"/>
      <c r="C1584" s="1" t="s">
        <v>2478</v>
      </c>
      <c r="D1584" s="1" t="s">
        <v>2513</v>
      </c>
      <c r="E1584" s="1"/>
      <c r="F1584" s="1" t="s">
        <v>2512</v>
      </c>
      <c r="G1584" s="1">
        <v>5</v>
      </c>
      <c r="H1584" s="1" t="s">
        <v>19</v>
      </c>
      <c r="I1584" s="1" t="s">
        <v>570</v>
      </c>
      <c r="J1584" s="1">
        <v>1.5</v>
      </c>
      <c r="K1584" s="1">
        <v>7.5</v>
      </c>
      <c r="L1584" s="42">
        <v>10</v>
      </c>
      <c r="M1584" s="43">
        <v>46121</v>
      </c>
      <c r="N1584" s="1" t="e">
        <f>VLOOKUP(B1584,MICRO!E:L,8,0)</f>
        <v>#N/A</v>
      </c>
    </row>
    <row r="1585" spans="1:14" ht="20.25" x14ac:dyDescent="0.25">
      <c r="A1585" s="1">
        <v>91</v>
      </c>
      <c r="B1585" s="159"/>
      <c r="C1585" s="1" t="s">
        <v>2488</v>
      </c>
      <c r="D1585" s="1" t="s">
        <v>2514</v>
      </c>
      <c r="E1585" s="1"/>
      <c r="F1585" s="1" t="s">
        <v>2121</v>
      </c>
      <c r="G1585" s="1">
        <v>7</v>
      </c>
      <c r="H1585" s="1" t="s">
        <v>19</v>
      </c>
      <c r="I1585" s="1" t="s">
        <v>571</v>
      </c>
      <c r="J1585" s="1">
        <v>1.5</v>
      </c>
      <c r="K1585" s="1">
        <v>10.5</v>
      </c>
      <c r="L1585" s="42">
        <v>10</v>
      </c>
      <c r="M1585" s="43">
        <v>46121</v>
      </c>
      <c r="N1585" s="1" t="e">
        <f>VLOOKUP(B1585,MICRO!E:L,8,0)</f>
        <v>#N/A</v>
      </c>
    </row>
    <row r="1586" spans="1:14" ht="20.25" x14ac:dyDescent="0.25">
      <c r="A1586" s="1">
        <v>92</v>
      </c>
      <c r="B1586" s="159"/>
      <c r="C1586" s="1" t="s">
        <v>2488</v>
      </c>
      <c r="D1586" s="1" t="s">
        <v>2514</v>
      </c>
      <c r="E1586" s="1"/>
      <c r="F1586" s="1" t="s">
        <v>2512</v>
      </c>
      <c r="G1586" s="1">
        <v>5</v>
      </c>
      <c r="H1586" s="1" t="s">
        <v>19</v>
      </c>
      <c r="I1586" s="1" t="s">
        <v>571</v>
      </c>
      <c r="J1586" s="1">
        <v>1.5</v>
      </c>
      <c r="K1586" s="1">
        <v>7.5</v>
      </c>
      <c r="L1586" s="42">
        <v>10</v>
      </c>
      <c r="M1586" s="43">
        <v>46121</v>
      </c>
      <c r="N1586" s="1" t="e">
        <f>VLOOKUP(B1586,MICRO!E:L,8,0)</f>
        <v>#N/A</v>
      </c>
    </row>
    <row r="1587" spans="1:14" ht="20.25" x14ac:dyDescent="0.25">
      <c r="A1587" s="1">
        <v>93</v>
      </c>
      <c r="B1587" s="159"/>
      <c r="C1587" s="1" t="s">
        <v>2482</v>
      </c>
      <c r="D1587" s="1" t="s">
        <v>2515</v>
      </c>
      <c r="E1587" s="1"/>
      <c r="F1587" s="1" t="s">
        <v>2121</v>
      </c>
      <c r="G1587" s="1">
        <v>5</v>
      </c>
      <c r="H1587" s="1" t="s">
        <v>19</v>
      </c>
      <c r="I1587" s="1" t="s">
        <v>572</v>
      </c>
      <c r="J1587" s="1">
        <v>1.5</v>
      </c>
      <c r="K1587" s="1">
        <v>7.5</v>
      </c>
      <c r="L1587" s="42">
        <v>10</v>
      </c>
      <c r="M1587" s="43">
        <v>46121</v>
      </c>
      <c r="N1587" s="1" t="e">
        <f>VLOOKUP(B1587,MICRO!E:L,8,0)</f>
        <v>#N/A</v>
      </c>
    </row>
    <row r="1588" spans="1:14" ht="20.25" x14ac:dyDescent="0.25">
      <c r="A1588" s="1">
        <v>94</v>
      </c>
      <c r="B1588" s="159"/>
      <c r="C1588" s="1" t="s">
        <v>2482</v>
      </c>
      <c r="D1588" s="1" t="s">
        <v>2515</v>
      </c>
      <c r="E1588" s="1"/>
      <c r="F1588" s="1" t="s">
        <v>2512</v>
      </c>
      <c r="G1588" s="1">
        <v>5</v>
      </c>
      <c r="H1588" s="1" t="s">
        <v>19</v>
      </c>
      <c r="I1588" s="1" t="s">
        <v>572</v>
      </c>
      <c r="J1588" s="1">
        <v>1.5</v>
      </c>
      <c r="K1588" s="1">
        <v>7.5</v>
      </c>
      <c r="L1588" s="42">
        <v>10</v>
      </c>
      <c r="M1588" s="43">
        <v>46121</v>
      </c>
      <c r="N1588" s="1" t="e">
        <f>VLOOKUP(B1588,MICRO!E:L,8,0)</f>
        <v>#N/A</v>
      </c>
    </row>
    <row r="1589" spans="1:14" ht="20.25" x14ac:dyDescent="0.25">
      <c r="A1589" s="1">
        <v>95</v>
      </c>
      <c r="B1589" s="159"/>
      <c r="C1589" s="1" t="s">
        <v>2482</v>
      </c>
      <c r="D1589" s="1"/>
      <c r="E1589" s="1"/>
      <c r="F1589" s="1" t="s">
        <v>2516</v>
      </c>
      <c r="G1589" s="1">
        <v>1</v>
      </c>
      <c r="H1589" s="1" t="s">
        <v>19</v>
      </c>
      <c r="I1589" s="1" t="s">
        <v>572</v>
      </c>
      <c r="J1589" s="1">
        <v>0.8</v>
      </c>
      <c r="K1589" s="1">
        <v>0.8</v>
      </c>
      <c r="L1589" s="42">
        <v>10</v>
      </c>
      <c r="M1589" s="43">
        <v>46121</v>
      </c>
      <c r="N1589" s="1" t="e">
        <f>VLOOKUP(B1589,MICRO!E:L,8,0)</f>
        <v>#N/A</v>
      </c>
    </row>
    <row r="1590" spans="1:14" ht="20.25" x14ac:dyDescent="0.25">
      <c r="A1590" s="1">
        <v>96</v>
      </c>
      <c r="B1590" s="159"/>
      <c r="C1590" s="1" t="s">
        <v>2482</v>
      </c>
      <c r="D1590" s="1"/>
      <c r="E1590" s="1"/>
      <c r="F1590" s="1" t="s">
        <v>2516</v>
      </c>
      <c r="G1590" s="1">
        <v>1</v>
      </c>
      <c r="H1590" s="1" t="s">
        <v>19</v>
      </c>
      <c r="I1590" s="1" t="s">
        <v>572</v>
      </c>
      <c r="J1590" s="1">
        <v>0.8</v>
      </c>
      <c r="K1590" s="1">
        <v>0.8</v>
      </c>
      <c r="L1590" s="42">
        <v>10</v>
      </c>
      <c r="M1590" s="43">
        <v>46121</v>
      </c>
      <c r="N1590" s="1" t="e">
        <f>VLOOKUP(B1590,MICRO!E:L,8,0)</f>
        <v>#N/A</v>
      </c>
    </row>
    <row r="1591" spans="1:14" ht="20.25" x14ac:dyDescent="0.25">
      <c r="A1591" s="1">
        <v>97</v>
      </c>
      <c r="B1591" s="159"/>
      <c r="C1591" s="1" t="s">
        <v>2482</v>
      </c>
      <c r="D1591" s="1"/>
      <c r="E1591" s="1"/>
      <c r="F1591" s="1" t="s">
        <v>2516</v>
      </c>
      <c r="G1591" s="1">
        <v>1</v>
      </c>
      <c r="H1591" s="1" t="s">
        <v>19</v>
      </c>
      <c r="I1591" s="1" t="s">
        <v>572</v>
      </c>
      <c r="J1591" s="1">
        <v>0.8</v>
      </c>
      <c r="K1591" s="1">
        <v>0.8</v>
      </c>
      <c r="L1591" s="42">
        <v>10</v>
      </c>
      <c r="M1591" s="43">
        <v>46121</v>
      </c>
      <c r="N1591" s="1" t="e">
        <f>VLOOKUP(B1591,MICRO!E:L,8,0)</f>
        <v>#N/A</v>
      </c>
    </row>
    <row r="1592" spans="1:14" ht="20.25" x14ac:dyDescent="0.25">
      <c r="A1592" s="1">
        <v>98</v>
      </c>
      <c r="B1592" s="159"/>
      <c r="C1592" s="1" t="s">
        <v>2482</v>
      </c>
      <c r="D1592" s="1"/>
      <c r="E1592" s="1"/>
      <c r="F1592" s="1" t="s">
        <v>2517</v>
      </c>
      <c r="G1592" s="1">
        <v>1</v>
      </c>
      <c r="H1592" s="1" t="s">
        <v>19</v>
      </c>
      <c r="I1592" s="1" t="s">
        <v>572</v>
      </c>
      <c r="J1592" s="1">
        <v>0.8</v>
      </c>
      <c r="K1592" s="1">
        <v>0.8</v>
      </c>
      <c r="L1592" s="42">
        <v>10</v>
      </c>
      <c r="M1592" s="43">
        <v>46121</v>
      </c>
      <c r="N1592" s="1" t="e">
        <f>VLOOKUP(B1592,MICRO!E:L,8,0)</f>
        <v>#N/A</v>
      </c>
    </row>
    <row r="1593" spans="1:14" ht="20.25" x14ac:dyDescent="0.25">
      <c r="A1593" s="1">
        <v>99</v>
      </c>
      <c r="B1593" s="159"/>
      <c r="C1593" s="1" t="s">
        <v>2482</v>
      </c>
      <c r="D1593" s="1"/>
      <c r="E1593" s="1"/>
      <c r="F1593" s="1" t="s">
        <v>2518</v>
      </c>
      <c r="G1593" s="1">
        <v>1</v>
      </c>
      <c r="H1593" s="1" t="s">
        <v>19</v>
      </c>
      <c r="I1593" s="1" t="s">
        <v>572</v>
      </c>
      <c r="J1593" s="1">
        <v>0.8</v>
      </c>
      <c r="K1593" s="1">
        <v>0.8</v>
      </c>
      <c r="L1593" s="42">
        <v>10</v>
      </c>
      <c r="M1593" s="43">
        <v>46121</v>
      </c>
      <c r="N1593" s="1" t="e">
        <f>VLOOKUP(B1593,MICRO!E:L,8,0)</f>
        <v>#N/A</v>
      </c>
    </row>
    <row r="1594" spans="1:14" ht="20.25" x14ac:dyDescent="0.25">
      <c r="A1594" s="1">
        <v>100</v>
      </c>
      <c r="B1594" s="159"/>
      <c r="C1594" s="1" t="s">
        <v>2482</v>
      </c>
      <c r="D1594" s="1"/>
      <c r="E1594" s="1"/>
      <c r="F1594" s="1" t="s">
        <v>2518</v>
      </c>
      <c r="G1594" s="1">
        <v>1</v>
      </c>
      <c r="H1594" s="1" t="s">
        <v>19</v>
      </c>
      <c r="I1594" s="1" t="s">
        <v>572</v>
      </c>
      <c r="J1594" s="1">
        <v>0.8</v>
      </c>
      <c r="K1594" s="1">
        <v>0.8</v>
      </c>
      <c r="L1594" s="42">
        <v>10</v>
      </c>
      <c r="M1594" s="43">
        <v>46121</v>
      </c>
      <c r="N1594" s="1" t="e">
        <f>VLOOKUP(B1594,MICRO!E:L,8,0)</f>
        <v>#N/A</v>
      </c>
    </row>
    <row r="1595" spans="1:14" ht="20.25" x14ac:dyDescent="0.25">
      <c r="A1595" s="1">
        <v>100</v>
      </c>
      <c r="B1595" s="159"/>
      <c r="C1595" s="1" t="s">
        <v>2187</v>
      </c>
      <c r="D1595" s="1"/>
      <c r="E1595" s="1"/>
      <c r="F1595" s="1" t="s">
        <v>2519</v>
      </c>
      <c r="G1595" s="1">
        <v>4</v>
      </c>
      <c r="H1595" s="1" t="s">
        <v>19</v>
      </c>
      <c r="I1595" s="1" t="s">
        <v>1345</v>
      </c>
      <c r="J1595" s="1">
        <v>0.5</v>
      </c>
      <c r="K1595" s="1">
        <v>2</v>
      </c>
      <c r="L1595" s="42">
        <v>10</v>
      </c>
      <c r="M1595" s="43">
        <v>46121</v>
      </c>
      <c r="N1595" s="1" t="e">
        <f>VLOOKUP(B1595,MICRO!E:L,8,0)</f>
        <v>#N/A</v>
      </c>
    </row>
    <row r="1596" spans="1:14" ht="20.25" x14ac:dyDescent="0.25">
      <c r="A1596" s="1">
        <v>15</v>
      </c>
      <c r="B1596" s="159"/>
      <c r="C1596" s="1" t="s">
        <v>1049</v>
      </c>
      <c r="D1596" s="1"/>
      <c r="E1596" s="1"/>
      <c r="F1596" s="1" t="s">
        <v>1735</v>
      </c>
      <c r="G1596" s="1">
        <v>66</v>
      </c>
      <c r="H1596" s="1" t="s">
        <v>19</v>
      </c>
      <c r="I1596" s="1" t="s">
        <v>652</v>
      </c>
      <c r="J1596" s="1">
        <v>0.02</v>
      </c>
      <c r="K1596" s="1">
        <v>1.32</v>
      </c>
      <c r="L1596" s="42">
        <v>10</v>
      </c>
      <c r="M1596" s="43">
        <v>46121</v>
      </c>
      <c r="N1596" s="1" t="e">
        <f>VLOOKUP(B1596,MICRO!E:L,8,0)</f>
        <v>#N/A</v>
      </c>
    </row>
    <row r="1597" spans="1:14" ht="20.25" x14ac:dyDescent="0.25">
      <c r="A1597" s="1">
        <v>16</v>
      </c>
      <c r="B1597" s="159"/>
      <c r="C1597" s="1" t="s">
        <v>1049</v>
      </c>
      <c r="D1597" s="1"/>
      <c r="E1597" s="1"/>
      <c r="F1597" s="1" t="s">
        <v>1762</v>
      </c>
      <c r="G1597" s="1">
        <v>66</v>
      </c>
      <c r="H1597" s="1" t="s">
        <v>19</v>
      </c>
      <c r="I1597" s="1" t="s">
        <v>652</v>
      </c>
      <c r="J1597" s="1">
        <v>0.04</v>
      </c>
      <c r="K1597" s="1">
        <v>2.64</v>
      </c>
      <c r="L1597" s="42">
        <v>10</v>
      </c>
      <c r="M1597" s="43">
        <v>46121</v>
      </c>
      <c r="N1597" s="1" t="e">
        <f>VLOOKUP(B1597,MICRO!E:L,8,0)</f>
        <v>#N/A</v>
      </c>
    </row>
    <row r="1598" spans="1:14" ht="20.25" x14ac:dyDescent="0.25">
      <c r="A1598" s="1">
        <v>17</v>
      </c>
      <c r="B1598" s="159"/>
      <c r="C1598" s="1" t="s">
        <v>1049</v>
      </c>
      <c r="D1598" s="1"/>
      <c r="E1598" s="1"/>
      <c r="F1598" s="1" t="s">
        <v>1778</v>
      </c>
      <c r="G1598" s="1">
        <v>66</v>
      </c>
      <c r="H1598" s="1" t="s">
        <v>19</v>
      </c>
      <c r="I1598" s="1" t="s">
        <v>652</v>
      </c>
      <c r="J1598" s="1">
        <v>0.03</v>
      </c>
      <c r="K1598" s="1">
        <v>1.98</v>
      </c>
      <c r="L1598" s="42">
        <v>10</v>
      </c>
      <c r="M1598" s="43">
        <v>46121</v>
      </c>
      <c r="N1598" s="1" t="e">
        <f>VLOOKUP(B1598,MICRO!E:L,8,0)</f>
        <v>#N/A</v>
      </c>
    </row>
    <row r="1599" spans="1:14" ht="20.25" x14ac:dyDescent="0.25">
      <c r="A1599" s="1">
        <v>24</v>
      </c>
      <c r="B1599" s="159"/>
      <c r="C1599" s="1" t="s">
        <v>1132</v>
      </c>
      <c r="D1599" s="1"/>
      <c r="E1599" s="1" t="s">
        <v>43</v>
      </c>
      <c r="F1599" s="1" t="s">
        <v>1134</v>
      </c>
      <c r="G1599" s="1">
        <v>1</v>
      </c>
      <c r="H1599" s="1" t="s">
        <v>19</v>
      </c>
      <c r="I1599" s="1" t="s">
        <v>652</v>
      </c>
      <c r="J1599" s="1">
        <v>55.2</v>
      </c>
      <c r="K1599" s="1">
        <v>55.2</v>
      </c>
      <c r="L1599" s="42">
        <v>7</v>
      </c>
      <c r="M1599" s="43">
        <v>46073</v>
      </c>
      <c r="N1599" s="1" t="e">
        <f>VLOOKUP(B1599,MICRO!E:L,8,0)</f>
        <v>#N/A</v>
      </c>
    </row>
    <row r="1600" spans="1:14" ht="20.25" x14ac:dyDescent="0.25">
      <c r="A1600" s="1">
        <v>28</v>
      </c>
      <c r="B1600" s="159"/>
      <c r="C1600" s="1" t="s">
        <v>1140</v>
      </c>
      <c r="D1600" s="1"/>
      <c r="E1600" s="1" t="s">
        <v>1837</v>
      </c>
      <c r="F1600" s="1" t="s">
        <v>1935</v>
      </c>
      <c r="G1600" s="1">
        <v>1</v>
      </c>
      <c r="H1600" s="1" t="s">
        <v>19</v>
      </c>
      <c r="I1600" s="1" t="s">
        <v>652</v>
      </c>
      <c r="J1600" s="1">
        <v>7.1</v>
      </c>
      <c r="K1600" s="1">
        <v>7.1</v>
      </c>
      <c r="L1600" s="42">
        <v>7</v>
      </c>
      <c r="M1600" s="43">
        <v>46073</v>
      </c>
      <c r="N1600" s="1" t="e">
        <f>VLOOKUP(B1600,MICRO!E:L,8,0)</f>
        <v>#N/A</v>
      </c>
    </row>
    <row r="1601" spans="1:14" ht="18" customHeight="1" x14ac:dyDescent="0.25">
      <c r="A1601" s="1">
        <v>2</v>
      </c>
      <c r="B1601" s="159"/>
      <c r="C1601" s="1" t="s">
        <v>1081</v>
      </c>
      <c r="D1601" s="1"/>
      <c r="E1601" s="1"/>
      <c r="F1601" s="1" t="s">
        <v>1082</v>
      </c>
      <c r="G1601" s="1">
        <v>1</v>
      </c>
      <c r="H1601" s="1" t="s">
        <v>19</v>
      </c>
      <c r="I1601" s="1" t="s">
        <v>652</v>
      </c>
      <c r="J1601" s="1">
        <v>69.099999999999994</v>
      </c>
      <c r="K1601" s="1">
        <v>69.099999999999994</v>
      </c>
      <c r="L1601" s="42">
        <v>9</v>
      </c>
      <c r="M1601" s="43"/>
      <c r="N1601" s="1" t="e">
        <f>VLOOKUP(B1601,MICRO!E:L,8,0)</f>
        <v>#N/A</v>
      </c>
    </row>
    <row r="1602" spans="1:14" ht="18" customHeight="1" x14ac:dyDescent="0.25">
      <c r="A1602" s="1">
        <v>3</v>
      </c>
      <c r="B1602" s="159"/>
      <c r="C1602" s="1" t="s">
        <v>1081</v>
      </c>
      <c r="D1602" s="1"/>
      <c r="E1602" s="1"/>
      <c r="F1602" s="1" t="s">
        <v>1083</v>
      </c>
      <c r="G1602" s="1">
        <v>9</v>
      </c>
      <c r="H1602" s="1" t="s">
        <v>19</v>
      </c>
      <c r="I1602" s="1" t="s">
        <v>652</v>
      </c>
      <c r="J1602" s="1">
        <v>98.8</v>
      </c>
      <c r="K1602" s="1">
        <v>889.19999999999993</v>
      </c>
      <c r="L1602" s="42">
        <v>9</v>
      </c>
      <c r="M1602" s="43" t="s">
        <v>2534</v>
      </c>
      <c r="N1602" s="1" t="e">
        <f>VLOOKUP(B1602,MICRO!E:L,8,0)</f>
        <v>#N/A</v>
      </c>
    </row>
    <row r="1603" spans="1:14" ht="18" customHeight="1" x14ac:dyDescent="0.25">
      <c r="A1603" s="1">
        <v>4</v>
      </c>
      <c r="B1603" s="159"/>
      <c r="C1603" s="1" t="s">
        <v>1081</v>
      </c>
      <c r="D1603" s="1"/>
      <c r="E1603" s="1"/>
      <c r="F1603" s="1" t="s">
        <v>1084</v>
      </c>
      <c r="G1603" s="1">
        <v>1</v>
      </c>
      <c r="H1603" s="1" t="s">
        <v>19</v>
      </c>
      <c r="I1603" s="1" t="s">
        <v>652</v>
      </c>
      <c r="J1603" s="1">
        <v>138.30000000000001</v>
      </c>
      <c r="K1603" s="1">
        <v>138.30000000000001</v>
      </c>
      <c r="L1603" s="42">
        <v>9</v>
      </c>
      <c r="M1603" s="43"/>
      <c r="N1603" s="1" t="e">
        <f>VLOOKUP(B1603,MICRO!E:L,8,0)</f>
        <v>#N/A</v>
      </c>
    </row>
    <row r="1604" spans="1:14" ht="18" customHeight="1" x14ac:dyDescent="0.25">
      <c r="A1604" s="1">
        <v>5</v>
      </c>
      <c r="B1604" s="159"/>
      <c r="C1604" s="1" t="s">
        <v>1797</v>
      </c>
      <c r="D1604" s="1"/>
      <c r="E1604" s="1"/>
      <c r="F1604" s="1" t="s">
        <v>2178</v>
      </c>
      <c r="G1604" s="1">
        <v>4</v>
      </c>
      <c r="H1604" s="1" t="s">
        <v>19</v>
      </c>
      <c r="I1604" s="1" t="s">
        <v>652</v>
      </c>
      <c r="J1604" s="1">
        <v>0.01</v>
      </c>
      <c r="K1604" s="1">
        <v>0.04</v>
      </c>
      <c r="L1604" s="42">
        <v>9</v>
      </c>
      <c r="M1604" s="43"/>
      <c r="N1604" s="1" t="e">
        <f>VLOOKUP(B1604,MICRO!E:L,8,0)</f>
        <v>#N/A</v>
      </c>
    </row>
    <row r="1605" spans="1:14" ht="18" customHeight="1" x14ac:dyDescent="0.25">
      <c r="A1605" s="1">
        <v>6</v>
      </c>
      <c r="B1605" s="159"/>
      <c r="C1605" s="1"/>
      <c r="D1605" s="1" t="s">
        <v>2179</v>
      </c>
      <c r="E1605" s="1"/>
      <c r="F1605" s="1" t="s">
        <v>2180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2">
        <v>9</v>
      </c>
      <c r="M1605" s="43"/>
      <c r="N1605" s="1" t="e">
        <f>VLOOKUP(B1605,MICRO!E:L,8,0)</f>
        <v>#N/A</v>
      </c>
    </row>
    <row r="1606" spans="1:14" ht="18" customHeight="1" x14ac:dyDescent="0.25">
      <c r="A1606" s="1">
        <v>7</v>
      </c>
      <c r="B1606" s="159"/>
      <c r="C1606" s="1"/>
      <c r="D1606" s="1" t="s">
        <v>2179</v>
      </c>
      <c r="E1606" s="1"/>
      <c r="F1606" s="1" t="s">
        <v>2181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2">
        <v>9</v>
      </c>
      <c r="M1606" s="43"/>
      <c r="N1606" s="1" t="e">
        <f>VLOOKUP(B1606,MICRO!E:L,8,0)</f>
        <v>#N/A</v>
      </c>
    </row>
    <row r="1607" spans="1:14" ht="18" customHeight="1" x14ac:dyDescent="0.25">
      <c r="A1607" s="1">
        <v>8</v>
      </c>
      <c r="B1607" s="159"/>
      <c r="C1607" s="1"/>
      <c r="D1607" s="1" t="s">
        <v>2179</v>
      </c>
      <c r="E1607" s="1"/>
      <c r="F1607" s="1" t="s">
        <v>2182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2">
        <v>9</v>
      </c>
      <c r="M1607" s="43"/>
      <c r="N1607" s="1" t="e">
        <f>VLOOKUP(B1607,MICRO!E:L,8,0)</f>
        <v>#N/A</v>
      </c>
    </row>
    <row r="1608" spans="1:14" ht="18" customHeight="1" x14ac:dyDescent="0.25">
      <c r="A1608" s="1">
        <v>9</v>
      </c>
      <c r="B1608" s="159"/>
      <c r="C1608" s="1"/>
      <c r="D1608" s="1" t="s">
        <v>2179</v>
      </c>
      <c r="E1608" s="1"/>
      <c r="F1608" s="1" t="s">
        <v>2183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2">
        <v>9</v>
      </c>
      <c r="M1608" s="43"/>
      <c r="N1608" s="1" t="e">
        <f>VLOOKUP(B1608,MICRO!E:L,8,0)</f>
        <v>#N/A</v>
      </c>
    </row>
    <row r="1609" spans="1:14" ht="18" customHeight="1" x14ac:dyDescent="0.25">
      <c r="A1609" s="1">
        <v>15</v>
      </c>
      <c r="B1609" s="159"/>
      <c r="C1609" s="1" t="s">
        <v>2184</v>
      </c>
      <c r="D1609" s="1"/>
      <c r="E1609" s="1" t="s">
        <v>2185</v>
      </c>
      <c r="F1609" s="1" t="s">
        <v>2186</v>
      </c>
      <c r="G1609" s="1">
        <v>22</v>
      </c>
      <c r="H1609" s="1" t="s">
        <v>19</v>
      </c>
      <c r="I1609" s="1" t="s">
        <v>652</v>
      </c>
      <c r="J1609" s="1">
        <v>0.2</v>
      </c>
      <c r="K1609" s="1">
        <v>4.4000000000000004</v>
      </c>
      <c r="L1609" s="42">
        <v>9</v>
      </c>
      <c r="M1609" s="43"/>
      <c r="N1609" s="1" t="e">
        <f>VLOOKUP(B1609,MICRO!E:L,8,0)</f>
        <v>#N/A</v>
      </c>
    </row>
    <row r="1610" spans="1:14" ht="18" customHeight="1" x14ac:dyDescent="0.25">
      <c r="A1610" s="1">
        <v>16</v>
      </c>
      <c r="B1610" s="159"/>
      <c r="C1610" s="1" t="s">
        <v>2187</v>
      </c>
      <c r="D1610" s="1"/>
      <c r="E1610" s="1"/>
      <c r="F1610" s="1" t="s">
        <v>2188</v>
      </c>
      <c r="G1610" s="1">
        <v>1</v>
      </c>
      <c r="H1610" s="1" t="s">
        <v>19</v>
      </c>
      <c r="I1610" s="1" t="s">
        <v>652</v>
      </c>
      <c r="J1610" s="1">
        <v>0.5</v>
      </c>
      <c r="K1610" s="1">
        <v>0.5</v>
      </c>
      <c r="L1610" s="42">
        <v>9</v>
      </c>
      <c r="M1610" s="43"/>
      <c r="N1610" s="1" t="e">
        <f>VLOOKUP(B1610,MICRO!E:L,8,0)</f>
        <v>#N/A</v>
      </c>
    </row>
    <row r="1611" spans="1:14" ht="20.25" x14ac:dyDescent="0.25">
      <c r="A1611" s="1">
        <v>1</v>
      </c>
      <c r="B1611" s="159"/>
      <c r="C1611" s="1" t="s">
        <v>1298</v>
      </c>
      <c r="D1611" s="1"/>
      <c r="E1611" s="1" t="s">
        <v>2</v>
      </c>
      <c r="F1611" s="1" t="s">
        <v>1299</v>
      </c>
      <c r="G1611" s="1">
        <v>64</v>
      </c>
      <c r="H1611" s="1" t="s">
        <v>19</v>
      </c>
      <c r="I1611" s="1" t="s">
        <v>1300</v>
      </c>
      <c r="J1611" s="1">
        <v>12.7</v>
      </c>
      <c r="K1611" s="1">
        <v>812.8</v>
      </c>
      <c r="L1611" s="42"/>
      <c r="M1611" s="43"/>
      <c r="N1611" s="1" t="e">
        <f>VLOOKUP(B1611,MICRO!E:L,8,0)</f>
        <v>#N/A</v>
      </c>
    </row>
    <row r="1612" spans="1:14" ht="20.25" x14ac:dyDescent="0.25">
      <c r="A1612" s="1">
        <v>2</v>
      </c>
      <c r="B1612" s="159"/>
      <c r="C1612" s="1" t="s">
        <v>2291</v>
      </c>
      <c r="D1612" s="1"/>
      <c r="E1612" s="1"/>
      <c r="F1612" s="1" t="s">
        <v>2292</v>
      </c>
      <c r="G1612" s="1">
        <v>1360</v>
      </c>
      <c r="H1612" s="1" t="s">
        <v>19</v>
      </c>
      <c r="I1612" s="1" t="s">
        <v>2293</v>
      </c>
      <c r="J1612" s="1">
        <v>0.03</v>
      </c>
      <c r="K1612" s="1">
        <v>40.799999999999997</v>
      </c>
      <c r="L1612" s="42">
        <v>2</v>
      </c>
      <c r="M1612" s="43"/>
      <c r="N1612" s="1" t="e">
        <f>VLOOKUP(B1612,MICRO!E:L,8,0)</f>
        <v>#N/A</v>
      </c>
    </row>
    <row r="1613" spans="1:14" ht="20.25" x14ac:dyDescent="0.25">
      <c r="A1613" s="1">
        <v>3</v>
      </c>
      <c r="B1613" s="159"/>
      <c r="C1613" s="1" t="s">
        <v>2291</v>
      </c>
      <c r="D1613" s="1"/>
      <c r="E1613" s="1"/>
      <c r="F1613" s="1" t="s">
        <v>2294</v>
      </c>
      <c r="G1613" s="1">
        <v>840</v>
      </c>
      <c r="H1613" s="1" t="s">
        <v>19</v>
      </c>
      <c r="I1613" s="1" t="s">
        <v>2295</v>
      </c>
      <c r="J1613" s="1">
        <v>0.03</v>
      </c>
      <c r="K1613" s="1">
        <v>25.2</v>
      </c>
      <c r="L1613" s="42">
        <v>2</v>
      </c>
      <c r="M1613" s="43"/>
      <c r="N1613" s="1" t="e">
        <f>VLOOKUP(B1613,MICRO!E:L,8,0)</f>
        <v>#N/A</v>
      </c>
    </row>
    <row r="1614" spans="1:14" ht="20.25" x14ac:dyDescent="0.25">
      <c r="A1614" s="1">
        <v>4</v>
      </c>
      <c r="B1614" s="159"/>
      <c r="C1614" s="1" t="s">
        <v>2291</v>
      </c>
      <c r="D1614" s="1"/>
      <c r="E1614" s="1"/>
      <c r="F1614" s="1" t="s">
        <v>2296</v>
      </c>
      <c r="G1614" s="1">
        <v>1360</v>
      </c>
      <c r="H1614" s="1" t="s">
        <v>19</v>
      </c>
      <c r="I1614" s="1" t="s">
        <v>2293</v>
      </c>
      <c r="J1614" s="1">
        <v>0.05</v>
      </c>
      <c r="K1614" s="1">
        <v>68</v>
      </c>
      <c r="L1614" s="42">
        <v>2</v>
      </c>
      <c r="M1614" s="43"/>
      <c r="N1614" s="1" t="e">
        <f>VLOOKUP(B1614,MICRO!E:L,8,0)</f>
        <v>#N/A</v>
      </c>
    </row>
    <row r="1615" spans="1:14" ht="20.25" x14ac:dyDescent="0.25">
      <c r="A1615" s="1">
        <v>5</v>
      </c>
      <c r="B1615" s="159"/>
      <c r="C1615" s="1" t="s">
        <v>2291</v>
      </c>
      <c r="D1615" s="1"/>
      <c r="E1615" s="1"/>
      <c r="F1615" s="1" t="s">
        <v>2297</v>
      </c>
      <c r="G1615" s="1">
        <v>840</v>
      </c>
      <c r="H1615" s="1" t="s">
        <v>19</v>
      </c>
      <c r="I1615" s="1" t="s">
        <v>2295</v>
      </c>
      <c r="J1615" s="1">
        <v>0.05</v>
      </c>
      <c r="K1615" s="1">
        <v>42</v>
      </c>
      <c r="L1615" s="42">
        <v>2</v>
      </c>
      <c r="M1615" s="43"/>
      <c r="N1615" s="1" t="e">
        <f>VLOOKUP(B1615,MICRO!E:L,8,0)</f>
        <v>#N/A</v>
      </c>
    </row>
    <row r="1616" spans="1:14" ht="20.25" x14ac:dyDescent="0.25">
      <c r="A1616" s="1">
        <v>6</v>
      </c>
      <c r="B1616" s="159"/>
      <c r="C1616" s="1" t="s">
        <v>2291</v>
      </c>
      <c r="D1616" s="1"/>
      <c r="E1616" s="1"/>
      <c r="F1616" s="1" t="s">
        <v>2298</v>
      </c>
      <c r="G1616" s="1">
        <v>840</v>
      </c>
      <c r="H1616" s="1" t="s">
        <v>19</v>
      </c>
      <c r="I1616" s="1" t="s">
        <v>2295</v>
      </c>
      <c r="J1616" s="1">
        <v>0.08</v>
      </c>
      <c r="K1616" s="1">
        <v>67.2</v>
      </c>
      <c r="L1616" s="42">
        <v>2</v>
      </c>
      <c r="M1616" s="43"/>
      <c r="N1616" s="1" t="e">
        <f>VLOOKUP(B1616,MICRO!E:L,8,0)</f>
        <v>#N/A</v>
      </c>
    </row>
    <row r="1617" spans="1:14" ht="20.25" x14ac:dyDescent="0.25">
      <c r="A1617" s="1">
        <v>7</v>
      </c>
      <c r="B1617" s="159"/>
      <c r="C1617" s="1" t="s">
        <v>2291</v>
      </c>
      <c r="D1617" s="1"/>
      <c r="E1617" s="1"/>
      <c r="F1617" s="1" t="s">
        <v>2299</v>
      </c>
      <c r="G1617" s="1">
        <v>1360</v>
      </c>
      <c r="H1617" s="1" t="s">
        <v>19</v>
      </c>
      <c r="I1617" s="1" t="s">
        <v>2300</v>
      </c>
      <c r="J1617" s="1">
        <v>0.08</v>
      </c>
      <c r="K1617" s="1">
        <v>108.8</v>
      </c>
      <c r="L1617" s="42">
        <v>2</v>
      </c>
      <c r="M1617" s="43"/>
      <c r="N1617" s="1" t="e">
        <f>VLOOKUP(B1617,MICRO!E:L,8,0)</f>
        <v>#N/A</v>
      </c>
    </row>
    <row r="1618" spans="1:14" ht="20.25" x14ac:dyDescent="0.25">
      <c r="A1618" s="1">
        <v>6</v>
      </c>
      <c r="B1618" s="159"/>
      <c r="C1618" s="1" t="s">
        <v>1361</v>
      </c>
      <c r="D1618" s="1"/>
      <c r="E1618" s="1"/>
      <c r="F1618" s="1" t="s">
        <v>2301</v>
      </c>
      <c r="G1618" s="1">
        <v>1</v>
      </c>
      <c r="H1618" s="1" t="s">
        <v>19</v>
      </c>
      <c r="I1618" s="1" t="s">
        <v>1300</v>
      </c>
      <c r="J1618" s="1">
        <v>23</v>
      </c>
      <c r="K1618" s="1">
        <v>23</v>
      </c>
      <c r="L1618" s="42">
        <v>3</v>
      </c>
      <c r="M1618" s="43"/>
      <c r="N1618" s="1" t="e">
        <f>VLOOKUP(B1618,MICRO!E:L,8,0)</f>
        <v>#N/A</v>
      </c>
    </row>
    <row r="1619" spans="1:14" ht="20.25" x14ac:dyDescent="0.25">
      <c r="A1619" s="1">
        <v>7</v>
      </c>
      <c r="B1619" s="159"/>
      <c r="C1619" s="1" t="s">
        <v>1361</v>
      </c>
      <c r="D1619" s="1"/>
      <c r="E1619" s="1"/>
      <c r="F1619" s="1" t="s">
        <v>2302</v>
      </c>
      <c r="G1619" s="1">
        <v>1</v>
      </c>
      <c r="H1619" s="1" t="s">
        <v>19</v>
      </c>
      <c r="I1619" s="1" t="s">
        <v>1300</v>
      </c>
      <c r="J1619" s="1">
        <v>23</v>
      </c>
      <c r="K1619" s="1">
        <v>23</v>
      </c>
      <c r="L1619" s="42">
        <v>3</v>
      </c>
      <c r="M1619" s="43"/>
      <c r="N1619" s="1" t="e">
        <f>VLOOKUP(B1619,MICRO!E:L,8,0)</f>
        <v>#N/A</v>
      </c>
    </row>
    <row r="1620" spans="1:14" ht="20.25" x14ac:dyDescent="0.25">
      <c r="A1620" s="1">
        <v>13</v>
      </c>
      <c r="B1620" s="159"/>
      <c r="C1620" s="1" t="s">
        <v>1361</v>
      </c>
      <c r="D1620" s="1"/>
      <c r="E1620" s="1"/>
      <c r="F1620" s="1" t="s">
        <v>2301</v>
      </c>
      <c r="G1620" s="1">
        <v>1</v>
      </c>
      <c r="H1620" s="1" t="s">
        <v>19</v>
      </c>
      <c r="I1620" s="1" t="s">
        <v>1295</v>
      </c>
      <c r="J1620" s="1">
        <v>23</v>
      </c>
      <c r="K1620" s="1">
        <v>23</v>
      </c>
      <c r="L1620" s="42">
        <v>3</v>
      </c>
      <c r="M1620" s="43"/>
      <c r="N1620" s="1" t="e">
        <f>VLOOKUP(B1620,MICRO!E:L,8,0)</f>
        <v>#N/A</v>
      </c>
    </row>
    <row r="1621" spans="1:14" ht="20.25" x14ac:dyDescent="0.25">
      <c r="A1621" s="1">
        <v>14</v>
      </c>
      <c r="B1621" s="159"/>
      <c r="C1621" s="1" t="s">
        <v>1361</v>
      </c>
      <c r="D1621" s="1"/>
      <c r="E1621" s="1"/>
      <c r="F1621" s="1" t="s">
        <v>2302</v>
      </c>
      <c r="G1621" s="1">
        <v>1</v>
      </c>
      <c r="H1621" s="1" t="s">
        <v>19</v>
      </c>
      <c r="I1621" s="1" t="s">
        <v>1295</v>
      </c>
      <c r="J1621" s="1">
        <v>23</v>
      </c>
      <c r="K1621" s="1">
        <v>23</v>
      </c>
      <c r="L1621" s="42">
        <v>3</v>
      </c>
      <c r="M1621" s="43"/>
      <c r="N1621" s="1" t="e">
        <f>VLOOKUP(B1621,MICRO!E:L,8,0)</f>
        <v>#N/A</v>
      </c>
    </row>
    <row r="1622" spans="1:14" ht="20.25" x14ac:dyDescent="0.25">
      <c r="A1622" s="1">
        <v>20</v>
      </c>
      <c r="B1622" s="159"/>
      <c r="C1622" s="1" t="s">
        <v>1361</v>
      </c>
      <c r="D1622" s="1"/>
      <c r="E1622" s="1"/>
      <c r="F1622" s="1" t="s">
        <v>2301</v>
      </c>
      <c r="G1622" s="1">
        <v>1</v>
      </c>
      <c r="H1622" s="1" t="s">
        <v>19</v>
      </c>
      <c r="I1622" s="1" t="s">
        <v>1301</v>
      </c>
      <c r="J1622" s="1">
        <v>23</v>
      </c>
      <c r="K1622" s="1">
        <v>23</v>
      </c>
      <c r="L1622" s="42">
        <v>3</v>
      </c>
      <c r="M1622" s="43"/>
      <c r="N1622" s="1" t="e">
        <f>VLOOKUP(B1622,MICRO!E:L,8,0)</f>
        <v>#N/A</v>
      </c>
    </row>
    <row r="1623" spans="1:14" ht="20.25" x14ac:dyDescent="0.25">
      <c r="A1623" s="1">
        <v>21</v>
      </c>
      <c r="B1623" s="159"/>
      <c r="C1623" s="1" t="s">
        <v>1361</v>
      </c>
      <c r="D1623" s="1"/>
      <c r="E1623" s="1"/>
      <c r="F1623" s="1" t="s">
        <v>2302</v>
      </c>
      <c r="G1623" s="1">
        <v>1</v>
      </c>
      <c r="H1623" s="1" t="s">
        <v>19</v>
      </c>
      <c r="I1623" s="1" t="s">
        <v>1301</v>
      </c>
      <c r="J1623" s="1">
        <v>23</v>
      </c>
      <c r="K1623" s="1">
        <v>23</v>
      </c>
      <c r="L1623" s="42">
        <v>3</v>
      </c>
      <c r="M1623" s="43"/>
      <c r="N1623" s="1" t="e">
        <f>VLOOKUP(B1623,MICRO!E:L,8,0)</f>
        <v>#N/A</v>
      </c>
    </row>
    <row r="1624" spans="1:14" ht="20.25" x14ac:dyDescent="0.25">
      <c r="A1624" s="1">
        <v>27</v>
      </c>
      <c r="B1624" s="159"/>
      <c r="C1624" s="1" t="s">
        <v>1361</v>
      </c>
      <c r="D1624" s="1"/>
      <c r="E1624" s="1"/>
      <c r="F1624" s="1" t="s">
        <v>2301</v>
      </c>
      <c r="G1624" s="1">
        <v>1</v>
      </c>
      <c r="H1624" s="1" t="s">
        <v>19</v>
      </c>
      <c r="I1624" s="1" t="s">
        <v>1290</v>
      </c>
      <c r="J1624" s="1">
        <v>23</v>
      </c>
      <c r="K1624" s="1">
        <v>23</v>
      </c>
      <c r="L1624" s="42">
        <v>3</v>
      </c>
      <c r="M1624" s="43"/>
      <c r="N1624" s="1" t="e">
        <f>VLOOKUP(B1624,MICRO!E:L,8,0)</f>
        <v>#N/A</v>
      </c>
    </row>
    <row r="1625" spans="1:14" ht="20.25" x14ac:dyDescent="0.25">
      <c r="A1625" s="1">
        <v>28</v>
      </c>
      <c r="B1625" s="159"/>
      <c r="C1625" s="1" t="s">
        <v>1361</v>
      </c>
      <c r="D1625" s="1"/>
      <c r="E1625" s="1"/>
      <c r="F1625" s="1" t="s">
        <v>2302</v>
      </c>
      <c r="G1625" s="1">
        <v>1</v>
      </c>
      <c r="H1625" s="1" t="s">
        <v>19</v>
      </c>
      <c r="I1625" s="1" t="s">
        <v>1290</v>
      </c>
      <c r="J1625" s="1">
        <v>23</v>
      </c>
      <c r="K1625" s="1">
        <v>23</v>
      </c>
      <c r="L1625" s="42">
        <v>3</v>
      </c>
      <c r="M1625" s="43"/>
      <c r="N1625" s="1" t="e">
        <f>VLOOKUP(B1625,MICRO!E:L,8,0)</f>
        <v>#N/A</v>
      </c>
    </row>
    <row r="1626" spans="1:14" ht="20.25" x14ac:dyDescent="0.25">
      <c r="A1626" s="1">
        <v>29</v>
      </c>
      <c r="B1626" s="159"/>
      <c r="C1626" s="1" t="s">
        <v>2303</v>
      </c>
      <c r="D1626" s="1"/>
      <c r="E1626" s="1"/>
      <c r="F1626" s="1" t="s">
        <v>2304</v>
      </c>
      <c r="G1626" s="1">
        <v>1</v>
      </c>
      <c r="H1626" s="1" t="s">
        <v>19</v>
      </c>
      <c r="I1626" s="1" t="s">
        <v>1300</v>
      </c>
      <c r="J1626" s="1">
        <v>1020</v>
      </c>
      <c r="K1626" s="1">
        <v>1020</v>
      </c>
      <c r="L1626" s="42">
        <v>3</v>
      </c>
      <c r="M1626" s="43"/>
      <c r="N1626" s="1" t="e">
        <f>VLOOKUP(B1626,MICRO!E:L,8,0)</f>
        <v>#N/A</v>
      </c>
    </row>
    <row r="1627" spans="1:14" ht="20.25" x14ac:dyDescent="0.25">
      <c r="A1627" s="1">
        <v>30</v>
      </c>
      <c r="B1627" s="159"/>
      <c r="C1627" s="1" t="s">
        <v>2303</v>
      </c>
      <c r="D1627" s="1"/>
      <c r="E1627" s="1"/>
      <c r="F1627" s="1" t="s">
        <v>2305</v>
      </c>
      <c r="G1627" s="1">
        <v>1</v>
      </c>
      <c r="H1627" s="1" t="s">
        <v>19</v>
      </c>
      <c r="I1627" s="1" t="s">
        <v>1290</v>
      </c>
      <c r="J1627" s="1">
        <v>1020</v>
      </c>
      <c r="K1627" s="1">
        <v>1020</v>
      </c>
      <c r="L1627" s="42">
        <v>3</v>
      </c>
      <c r="M1627" s="43"/>
      <c r="N1627" s="1" t="e">
        <f>VLOOKUP(B1627,MICRO!E:L,8,0)</f>
        <v>#N/A</v>
      </c>
    </row>
    <row r="1628" spans="1:14" ht="20.25" x14ac:dyDescent="0.25">
      <c r="A1628" s="1">
        <v>31</v>
      </c>
      <c r="B1628" s="159"/>
      <c r="C1628" s="1" t="s">
        <v>2303</v>
      </c>
      <c r="D1628" s="1"/>
      <c r="E1628" s="1"/>
      <c r="F1628" s="1" t="s">
        <v>2306</v>
      </c>
      <c r="G1628" s="1">
        <v>1</v>
      </c>
      <c r="H1628" s="1" t="s">
        <v>19</v>
      </c>
      <c r="I1628" s="1" t="s">
        <v>1295</v>
      </c>
      <c r="J1628" s="1">
        <v>1020</v>
      </c>
      <c r="K1628" s="1">
        <v>1020</v>
      </c>
      <c r="L1628" s="42">
        <v>3</v>
      </c>
      <c r="M1628" s="43"/>
      <c r="N1628" s="1" t="e">
        <f>VLOOKUP(B1628,MICRO!E:L,8,0)</f>
        <v>#N/A</v>
      </c>
    </row>
    <row r="1629" spans="1:14" ht="20.25" x14ac:dyDescent="0.25">
      <c r="A1629" s="1">
        <v>32</v>
      </c>
      <c r="B1629" s="159"/>
      <c r="C1629" s="1" t="s">
        <v>2303</v>
      </c>
      <c r="D1629" s="1"/>
      <c r="E1629" s="1"/>
      <c r="F1629" s="1" t="s">
        <v>2307</v>
      </c>
      <c r="G1629" s="1">
        <v>1</v>
      </c>
      <c r="H1629" s="1" t="s">
        <v>19</v>
      </c>
      <c r="I1629" s="1" t="s">
        <v>1301</v>
      </c>
      <c r="J1629" s="1">
        <v>1020</v>
      </c>
      <c r="K1629" s="1">
        <v>1020</v>
      </c>
      <c r="L1629" s="42">
        <v>3</v>
      </c>
      <c r="M1629" s="43"/>
      <c r="N1629" s="1" t="e">
        <f>VLOOKUP(B1629,MICRO!E:L,8,0)</f>
        <v>#N/A</v>
      </c>
    </row>
    <row r="1630" spans="1:14" ht="20.25" x14ac:dyDescent="0.25">
      <c r="A1630" s="1">
        <v>1</v>
      </c>
      <c r="B1630" s="159"/>
      <c r="C1630" s="1" t="s">
        <v>2535</v>
      </c>
      <c r="D1630" s="1" t="s">
        <v>2536</v>
      </c>
      <c r="E1630" s="1"/>
      <c r="F1630" s="1" t="s">
        <v>2537</v>
      </c>
      <c r="G1630" s="1">
        <v>1</v>
      </c>
      <c r="H1630" s="1" t="s">
        <v>19</v>
      </c>
      <c r="I1630" s="1" t="s">
        <v>1300</v>
      </c>
      <c r="J1630" s="1">
        <v>1138</v>
      </c>
      <c r="K1630" s="1">
        <v>1138</v>
      </c>
      <c r="L1630" s="42">
        <v>4</v>
      </c>
      <c r="M1630" s="43"/>
      <c r="N1630" s="1" t="e">
        <f>VLOOKUP(B1630,MICRO!E:L,8,0)</f>
        <v>#N/A</v>
      </c>
    </row>
    <row r="1631" spans="1:14" ht="20.25" x14ac:dyDescent="0.25">
      <c r="A1631" s="1">
        <v>2</v>
      </c>
      <c r="B1631" s="159"/>
      <c r="C1631" s="1" t="s">
        <v>2538</v>
      </c>
      <c r="D1631" s="1" t="s">
        <v>2539</v>
      </c>
      <c r="E1631" s="1"/>
      <c r="F1631" s="1" t="s">
        <v>2537</v>
      </c>
      <c r="G1631" s="1">
        <v>1</v>
      </c>
      <c r="H1631" s="1" t="s">
        <v>19</v>
      </c>
      <c r="I1631" s="1" t="s">
        <v>1295</v>
      </c>
      <c r="J1631" s="1">
        <v>1004</v>
      </c>
      <c r="K1631" s="1">
        <v>1004</v>
      </c>
      <c r="L1631" s="42">
        <v>4</v>
      </c>
      <c r="M1631" s="43"/>
      <c r="N1631" s="1" t="e">
        <f>VLOOKUP(B1631,MICRO!E:L,8,0)</f>
        <v>#N/A</v>
      </c>
    </row>
    <row r="1632" spans="1:14" ht="20.25" x14ac:dyDescent="0.25">
      <c r="A1632" s="1">
        <v>3</v>
      </c>
      <c r="B1632" s="159"/>
      <c r="C1632" s="1" t="s">
        <v>2540</v>
      </c>
      <c r="D1632" s="1" t="s">
        <v>2541</v>
      </c>
      <c r="E1632" s="1"/>
      <c r="F1632" s="1" t="s">
        <v>2537</v>
      </c>
      <c r="G1632" s="1">
        <v>1</v>
      </c>
      <c r="H1632" s="1" t="s">
        <v>19</v>
      </c>
      <c r="I1632" s="1" t="s">
        <v>1301</v>
      </c>
      <c r="J1632" s="1">
        <v>282.8</v>
      </c>
      <c r="K1632" s="1">
        <v>282.8</v>
      </c>
      <c r="L1632" s="42">
        <v>4</v>
      </c>
      <c r="M1632" s="43"/>
      <c r="N1632" s="1" t="e">
        <f>VLOOKUP(B1632,MICRO!E:L,8,0)</f>
        <v>#N/A</v>
      </c>
    </row>
    <row r="1633" spans="1:14" ht="20.25" x14ac:dyDescent="0.25">
      <c r="A1633" s="1">
        <v>4</v>
      </c>
      <c r="B1633" s="159"/>
      <c r="C1633" s="1" t="s">
        <v>2542</v>
      </c>
      <c r="D1633" s="1" t="s">
        <v>2543</v>
      </c>
      <c r="E1633" s="1"/>
      <c r="F1633" s="1" t="s">
        <v>2537</v>
      </c>
      <c r="G1633" s="1">
        <v>1</v>
      </c>
      <c r="H1633" s="1" t="s">
        <v>19</v>
      </c>
      <c r="I1633" s="1" t="s">
        <v>1290</v>
      </c>
      <c r="J1633" s="1">
        <v>316.89999999999998</v>
      </c>
      <c r="K1633" s="1">
        <v>316.89999999999998</v>
      </c>
      <c r="L1633" s="42">
        <v>4</v>
      </c>
      <c r="M1633" s="43"/>
      <c r="N1633" s="1" t="e">
        <f>VLOOKUP(B1633,MICRO!E:L,8,0)</f>
        <v>#N/A</v>
      </c>
    </row>
    <row r="1634" spans="1:14" ht="20.25" x14ac:dyDescent="0.25">
      <c r="A1634" s="1">
        <v>1</v>
      </c>
      <c r="B1634" s="159">
        <v>3105</v>
      </c>
      <c r="C1634" s="1" t="s">
        <v>1361</v>
      </c>
      <c r="D1634" s="1"/>
      <c r="E1634" s="1" t="s">
        <v>2</v>
      </c>
      <c r="F1634" s="1" t="s">
        <v>1362</v>
      </c>
      <c r="G1634" s="1">
        <v>1</v>
      </c>
      <c r="H1634" s="1" t="s">
        <v>19</v>
      </c>
      <c r="I1634" s="1" t="s">
        <v>1300</v>
      </c>
      <c r="J1634" s="1">
        <v>40</v>
      </c>
      <c r="K1634" s="1">
        <v>40</v>
      </c>
      <c r="L1634" s="42">
        <v>3</v>
      </c>
      <c r="M1634" s="43"/>
      <c r="N1634" s="1" t="e">
        <f>VLOOKUP(B1634,MICRO!E:L,8,0)</f>
        <v>#N/A</v>
      </c>
    </row>
    <row r="1635" spans="1:14" ht="20.25" x14ac:dyDescent="0.25">
      <c r="A1635" s="1">
        <v>2</v>
      </c>
      <c r="B1635" s="159">
        <v>3106</v>
      </c>
      <c r="C1635" s="1" t="s">
        <v>1361</v>
      </c>
      <c r="D1635" s="1"/>
      <c r="E1635" s="1" t="s">
        <v>43</v>
      </c>
      <c r="F1635" s="1" t="s">
        <v>1363</v>
      </c>
      <c r="G1635" s="1">
        <v>1</v>
      </c>
      <c r="H1635" s="1" t="s">
        <v>19</v>
      </c>
      <c r="I1635" s="1" t="s">
        <v>1300</v>
      </c>
      <c r="J1635" s="1">
        <v>57.1</v>
      </c>
      <c r="K1635" s="1">
        <v>57.1</v>
      </c>
      <c r="L1635" s="42">
        <v>3</v>
      </c>
      <c r="M1635" s="43"/>
      <c r="N1635" s="1" t="e">
        <f>VLOOKUP(B1635,MICRO!E:L,8,0)</f>
        <v>#N/A</v>
      </c>
    </row>
    <row r="1636" spans="1:14" ht="20.25" x14ac:dyDescent="0.25">
      <c r="A1636" s="1">
        <v>3</v>
      </c>
      <c r="B1636" s="159">
        <v>3107</v>
      </c>
      <c r="C1636" s="1" t="s">
        <v>1361</v>
      </c>
      <c r="D1636" s="1"/>
      <c r="E1636" s="1" t="s">
        <v>746</v>
      </c>
      <c r="F1636" s="1" t="s">
        <v>1364</v>
      </c>
      <c r="G1636" s="1">
        <v>1</v>
      </c>
      <c r="H1636" s="1" t="s">
        <v>19</v>
      </c>
      <c r="I1636" s="1" t="s">
        <v>1300</v>
      </c>
      <c r="J1636" s="1">
        <v>53.5</v>
      </c>
      <c r="K1636" s="1">
        <v>53.5</v>
      </c>
      <c r="L1636" s="42">
        <v>3</v>
      </c>
      <c r="M1636" s="43"/>
      <c r="N1636" s="1" t="e">
        <f>VLOOKUP(B1636,MICRO!E:L,8,0)</f>
        <v>#N/A</v>
      </c>
    </row>
    <row r="1637" spans="1:14" ht="20.25" x14ac:dyDescent="0.25">
      <c r="A1637" s="1">
        <v>4</v>
      </c>
      <c r="B1637" s="159">
        <v>3108</v>
      </c>
      <c r="C1637" s="1" t="s">
        <v>1361</v>
      </c>
      <c r="D1637" s="1"/>
      <c r="E1637" s="1" t="s">
        <v>1101</v>
      </c>
      <c r="F1637" s="1" t="s">
        <v>1365</v>
      </c>
      <c r="G1637" s="1">
        <v>1</v>
      </c>
      <c r="H1637" s="1" t="s">
        <v>19</v>
      </c>
      <c r="I1637" s="1" t="s">
        <v>1300</v>
      </c>
      <c r="J1637" s="1">
        <v>0.9</v>
      </c>
      <c r="K1637" s="1">
        <v>0.9</v>
      </c>
      <c r="L1637" s="42">
        <v>3</v>
      </c>
      <c r="M1637" s="43"/>
      <c r="N1637" s="1" t="e">
        <f>VLOOKUP(B1637,MICRO!E:L,8,0)</f>
        <v>#N/A</v>
      </c>
    </row>
    <row r="1638" spans="1:14" ht="20.25" x14ac:dyDescent="0.25">
      <c r="A1638" s="1">
        <v>5</v>
      </c>
      <c r="B1638" s="159">
        <v>3109</v>
      </c>
      <c r="C1638" s="1" t="s">
        <v>1361</v>
      </c>
      <c r="D1638" s="1"/>
      <c r="E1638" s="1" t="s">
        <v>100</v>
      </c>
      <c r="F1638" s="1" t="s">
        <v>1366</v>
      </c>
      <c r="G1638" s="1">
        <v>1</v>
      </c>
      <c r="H1638" s="1" t="s">
        <v>19</v>
      </c>
      <c r="I1638" s="1" t="s">
        <v>1300</v>
      </c>
      <c r="J1638" s="1">
        <v>0.1</v>
      </c>
      <c r="K1638" s="1">
        <v>0.1</v>
      </c>
      <c r="L1638" s="42">
        <v>3</v>
      </c>
      <c r="M1638" s="43"/>
      <c r="N1638" s="1" t="e">
        <f>VLOOKUP(B1638,MICRO!E:L,8,0)</f>
        <v>#N/A</v>
      </c>
    </row>
    <row r="1639" spans="1:14" ht="20.25" x14ac:dyDescent="0.25">
      <c r="A1639" s="1">
        <v>6</v>
      </c>
      <c r="B1639" s="159"/>
      <c r="C1639" s="1" t="s">
        <v>1361</v>
      </c>
      <c r="D1639" s="1"/>
      <c r="E1639" s="1"/>
      <c r="F1639" s="1" t="s">
        <v>2301</v>
      </c>
      <c r="G1639" s="1">
        <v>1</v>
      </c>
      <c r="H1639" s="1" t="s">
        <v>19</v>
      </c>
      <c r="I1639" s="1" t="s">
        <v>1300</v>
      </c>
      <c r="J1639" s="1">
        <v>23</v>
      </c>
      <c r="K1639" s="1">
        <v>23</v>
      </c>
      <c r="L1639" s="42">
        <v>3</v>
      </c>
      <c r="M1639" s="43"/>
      <c r="N1639" s="1" t="e">
        <f>VLOOKUP(B1639,MICRO!E:L,8,0)</f>
        <v>#N/A</v>
      </c>
    </row>
    <row r="1640" spans="1:14" ht="20.25" x14ac:dyDescent="0.25">
      <c r="A1640" s="1">
        <v>7</v>
      </c>
      <c r="B1640" s="159"/>
      <c r="C1640" s="1" t="s">
        <v>1361</v>
      </c>
      <c r="D1640" s="1"/>
      <c r="E1640" s="1"/>
      <c r="F1640" s="1" t="s">
        <v>2302</v>
      </c>
      <c r="G1640" s="1">
        <v>1</v>
      </c>
      <c r="H1640" s="1" t="s">
        <v>19</v>
      </c>
      <c r="I1640" s="1" t="s">
        <v>1300</v>
      </c>
      <c r="J1640" s="1">
        <v>23</v>
      </c>
      <c r="K1640" s="1">
        <v>23</v>
      </c>
      <c r="L1640" s="42">
        <v>3</v>
      </c>
      <c r="M1640" s="43"/>
      <c r="N1640" s="1" t="e">
        <f>VLOOKUP(B1640,MICRO!E:L,8,0)</f>
        <v>#N/A</v>
      </c>
    </row>
    <row r="1641" spans="1:14" ht="20.25" x14ac:dyDescent="0.25">
      <c r="A1641" s="1">
        <v>8</v>
      </c>
      <c r="B1641" s="159">
        <v>3110</v>
      </c>
      <c r="C1641" s="1" t="s">
        <v>1361</v>
      </c>
      <c r="D1641" s="1"/>
      <c r="E1641" s="1" t="s">
        <v>2</v>
      </c>
      <c r="F1641" s="1" t="s">
        <v>1362</v>
      </c>
      <c r="G1641" s="1">
        <v>1</v>
      </c>
      <c r="H1641" s="1" t="s">
        <v>19</v>
      </c>
      <c r="I1641" s="1" t="s">
        <v>1295</v>
      </c>
      <c r="J1641" s="1">
        <v>40</v>
      </c>
      <c r="K1641" s="1">
        <v>40</v>
      </c>
      <c r="L1641" s="42">
        <v>3</v>
      </c>
      <c r="M1641" s="43"/>
      <c r="N1641" s="1" t="e">
        <f>VLOOKUP(B1641,MICRO!E:L,8,0)</f>
        <v>#N/A</v>
      </c>
    </row>
    <row r="1642" spans="1:14" ht="20.25" x14ac:dyDescent="0.25">
      <c r="A1642" s="1">
        <v>9</v>
      </c>
      <c r="B1642" s="159">
        <v>3111</v>
      </c>
      <c r="C1642" s="1" t="s">
        <v>1361</v>
      </c>
      <c r="D1642" s="1"/>
      <c r="E1642" s="1" t="s">
        <v>43</v>
      </c>
      <c r="F1642" s="1" t="s">
        <v>1363</v>
      </c>
      <c r="G1642" s="1">
        <v>1</v>
      </c>
      <c r="H1642" s="1" t="s">
        <v>19</v>
      </c>
      <c r="I1642" s="1" t="s">
        <v>1295</v>
      </c>
      <c r="J1642" s="1">
        <v>57.1</v>
      </c>
      <c r="K1642" s="1">
        <v>57.1</v>
      </c>
      <c r="L1642" s="42">
        <v>3</v>
      </c>
      <c r="M1642" s="43"/>
      <c r="N1642" s="1" t="e">
        <f>VLOOKUP(B1642,MICRO!E:L,8,0)</f>
        <v>#N/A</v>
      </c>
    </row>
    <row r="1643" spans="1:14" ht="20.25" x14ac:dyDescent="0.25">
      <c r="A1643" s="1">
        <v>10</v>
      </c>
      <c r="B1643" s="159">
        <v>3112</v>
      </c>
      <c r="C1643" s="1" t="s">
        <v>1361</v>
      </c>
      <c r="D1643" s="1"/>
      <c r="E1643" s="1" t="s">
        <v>746</v>
      </c>
      <c r="F1643" s="1" t="s">
        <v>1364</v>
      </c>
      <c r="G1643" s="1">
        <v>1</v>
      </c>
      <c r="H1643" s="1" t="s">
        <v>19</v>
      </c>
      <c r="I1643" s="1" t="s">
        <v>1295</v>
      </c>
      <c r="J1643" s="1">
        <v>53.5</v>
      </c>
      <c r="K1643" s="1">
        <v>53.5</v>
      </c>
      <c r="L1643" s="42">
        <v>3</v>
      </c>
      <c r="M1643" s="43"/>
      <c r="N1643" s="1" t="e">
        <f>VLOOKUP(B1643,MICRO!E:L,8,0)</f>
        <v>#N/A</v>
      </c>
    </row>
    <row r="1644" spans="1:14" ht="20.25" x14ac:dyDescent="0.25">
      <c r="A1644" s="1">
        <v>11</v>
      </c>
      <c r="B1644" s="159">
        <v>3113</v>
      </c>
      <c r="C1644" s="1" t="s">
        <v>1361</v>
      </c>
      <c r="D1644" s="1"/>
      <c r="E1644" s="1" t="s">
        <v>1101</v>
      </c>
      <c r="F1644" s="1" t="s">
        <v>1365</v>
      </c>
      <c r="G1644" s="1">
        <v>1</v>
      </c>
      <c r="H1644" s="1" t="s">
        <v>19</v>
      </c>
      <c r="I1644" s="1" t="s">
        <v>1295</v>
      </c>
      <c r="J1644" s="1">
        <v>0.9</v>
      </c>
      <c r="K1644" s="1">
        <v>0.9</v>
      </c>
      <c r="L1644" s="42">
        <v>3</v>
      </c>
      <c r="M1644" s="43"/>
      <c r="N1644" s="1" t="e">
        <f>VLOOKUP(B1644,MICRO!E:L,8,0)</f>
        <v>#N/A</v>
      </c>
    </row>
    <row r="1645" spans="1:14" ht="20.25" x14ac:dyDescent="0.25">
      <c r="A1645" s="1">
        <v>12</v>
      </c>
      <c r="B1645" s="159">
        <v>3114</v>
      </c>
      <c r="C1645" s="1" t="s">
        <v>1361</v>
      </c>
      <c r="D1645" s="1"/>
      <c r="E1645" s="1" t="s">
        <v>100</v>
      </c>
      <c r="F1645" s="1" t="s">
        <v>1366</v>
      </c>
      <c r="G1645" s="1">
        <v>1</v>
      </c>
      <c r="H1645" s="1" t="s">
        <v>19</v>
      </c>
      <c r="I1645" s="1" t="s">
        <v>1295</v>
      </c>
      <c r="J1645" s="1">
        <v>0.1</v>
      </c>
      <c r="K1645" s="1">
        <v>0.1</v>
      </c>
      <c r="L1645" s="42">
        <v>3</v>
      </c>
      <c r="M1645" s="43"/>
      <c r="N1645" s="1" t="e">
        <f>VLOOKUP(B1645,MICRO!E:L,8,0)</f>
        <v>#N/A</v>
      </c>
    </row>
    <row r="1646" spans="1:14" ht="20.25" x14ac:dyDescent="0.25">
      <c r="A1646" s="1">
        <v>13</v>
      </c>
      <c r="B1646" s="159"/>
      <c r="C1646" s="1" t="s">
        <v>1361</v>
      </c>
      <c r="D1646" s="1"/>
      <c r="E1646" s="1"/>
      <c r="F1646" s="1" t="s">
        <v>2301</v>
      </c>
      <c r="G1646" s="1">
        <v>1</v>
      </c>
      <c r="H1646" s="1" t="s">
        <v>19</v>
      </c>
      <c r="I1646" s="1" t="s">
        <v>1295</v>
      </c>
      <c r="J1646" s="1">
        <v>23</v>
      </c>
      <c r="K1646" s="1">
        <v>23</v>
      </c>
      <c r="L1646" s="42">
        <v>3</v>
      </c>
      <c r="M1646" s="43"/>
      <c r="N1646" s="1" t="e">
        <f>VLOOKUP(B1646,MICRO!E:L,8,0)</f>
        <v>#N/A</v>
      </c>
    </row>
    <row r="1647" spans="1:14" ht="20.25" x14ac:dyDescent="0.25">
      <c r="A1647" s="1">
        <v>14</v>
      </c>
      <c r="B1647" s="159"/>
      <c r="C1647" s="1" t="s">
        <v>1361</v>
      </c>
      <c r="D1647" s="1"/>
      <c r="E1647" s="1"/>
      <c r="F1647" s="1" t="s">
        <v>2302</v>
      </c>
      <c r="G1647" s="1">
        <v>1</v>
      </c>
      <c r="H1647" s="1" t="s">
        <v>19</v>
      </c>
      <c r="I1647" s="1" t="s">
        <v>1295</v>
      </c>
      <c r="J1647" s="1">
        <v>23</v>
      </c>
      <c r="K1647" s="1">
        <v>23</v>
      </c>
      <c r="L1647" s="42">
        <v>3</v>
      </c>
      <c r="M1647" s="43"/>
      <c r="N1647" s="1" t="e">
        <f>VLOOKUP(B1647,MICRO!E:L,8,0)</f>
        <v>#N/A</v>
      </c>
    </row>
    <row r="1648" spans="1:14" ht="20.25" x14ac:dyDescent="0.25">
      <c r="A1648" s="1">
        <v>15</v>
      </c>
      <c r="B1648" s="159">
        <v>3115</v>
      </c>
      <c r="C1648" s="1" t="s">
        <v>1361</v>
      </c>
      <c r="D1648" s="1"/>
      <c r="E1648" s="1" t="s">
        <v>2</v>
      </c>
      <c r="F1648" s="1" t="s">
        <v>1362</v>
      </c>
      <c r="G1648" s="1">
        <v>1</v>
      </c>
      <c r="H1648" s="1" t="s">
        <v>19</v>
      </c>
      <c r="I1648" s="1" t="s">
        <v>1301</v>
      </c>
      <c r="J1648" s="1">
        <v>40</v>
      </c>
      <c r="K1648" s="1">
        <v>40</v>
      </c>
      <c r="L1648" s="42">
        <v>3</v>
      </c>
      <c r="M1648" s="43"/>
      <c r="N1648" s="1" t="e">
        <f>VLOOKUP(B1648,MICRO!E:L,8,0)</f>
        <v>#N/A</v>
      </c>
    </row>
    <row r="1649" spans="1:14" ht="20.25" x14ac:dyDescent="0.25">
      <c r="A1649" s="1">
        <v>16</v>
      </c>
      <c r="B1649" s="159">
        <v>3116</v>
      </c>
      <c r="C1649" s="1" t="s">
        <v>1361</v>
      </c>
      <c r="D1649" s="1"/>
      <c r="E1649" s="1" t="s">
        <v>43</v>
      </c>
      <c r="F1649" s="1" t="s">
        <v>1363</v>
      </c>
      <c r="G1649" s="1">
        <v>1</v>
      </c>
      <c r="H1649" s="1" t="s">
        <v>19</v>
      </c>
      <c r="I1649" s="1" t="s">
        <v>1301</v>
      </c>
      <c r="J1649" s="1">
        <v>57.1</v>
      </c>
      <c r="K1649" s="1">
        <v>57.1</v>
      </c>
      <c r="L1649" s="42">
        <v>3</v>
      </c>
      <c r="M1649" s="43"/>
      <c r="N1649" s="1" t="e">
        <f>VLOOKUP(B1649,MICRO!E:L,8,0)</f>
        <v>#N/A</v>
      </c>
    </row>
    <row r="1650" spans="1:14" ht="20.25" x14ac:dyDescent="0.25">
      <c r="A1650" s="1">
        <v>17</v>
      </c>
      <c r="B1650" s="159">
        <v>3117</v>
      </c>
      <c r="C1650" s="1" t="s">
        <v>1361</v>
      </c>
      <c r="D1650" s="1"/>
      <c r="E1650" s="1" t="s">
        <v>746</v>
      </c>
      <c r="F1650" s="1" t="s">
        <v>1364</v>
      </c>
      <c r="G1650" s="1">
        <v>1</v>
      </c>
      <c r="H1650" s="1" t="s">
        <v>19</v>
      </c>
      <c r="I1650" s="1" t="s">
        <v>1301</v>
      </c>
      <c r="J1650" s="1">
        <v>53.5</v>
      </c>
      <c r="K1650" s="1">
        <v>53.5</v>
      </c>
      <c r="L1650" s="42">
        <v>3</v>
      </c>
      <c r="M1650" s="43"/>
      <c r="N1650" s="1" t="e">
        <f>VLOOKUP(B1650,MICRO!E:L,8,0)</f>
        <v>#N/A</v>
      </c>
    </row>
    <row r="1651" spans="1:14" ht="20.25" x14ac:dyDescent="0.25">
      <c r="A1651" s="1">
        <v>18</v>
      </c>
      <c r="B1651" s="159">
        <v>3118</v>
      </c>
      <c r="C1651" s="1" t="s">
        <v>1361</v>
      </c>
      <c r="D1651" s="1"/>
      <c r="E1651" s="1" t="s">
        <v>1101</v>
      </c>
      <c r="F1651" s="1" t="s">
        <v>1365</v>
      </c>
      <c r="G1651" s="1">
        <v>1</v>
      </c>
      <c r="H1651" s="1" t="s">
        <v>19</v>
      </c>
      <c r="I1651" s="1" t="s">
        <v>1301</v>
      </c>
      <c r="J1651" s="1">
        <v>0.9</v>
      </c>
      <c r="K1651" s="1">
        <v>0.9</v>
      </c>
      <c r="L1651" s="42">
        <v>3</v>
      </c>
      <c r="M1651" s="43"/>
      <c r="N1651" s="1" t="e">
        <f>VLOOKUP(B1651,MICRO!E:L,8,0)</f>
        <v>#N/A</v>
      </c>
    </row>
    <row r="1652" spans="1:14" ht="20.25" x14ac:dyDescent="0.25">
      <c r="A1652" s="1">
        <v>19</v>
      </c>
      <c r="B1652" s="159">
        <v>3119</v>
      </c>
      <c r="C1652" s="1" t="s">
        <v>1361</v>
      </c>
      <c r="D1652" s="1"/>
      <c r="E1652" s="1" t="s">
        <v>100</v>
      </c>
      <c r="F1652" s="1" t="s">
        <v>1366</v>
      </c>
      <c r="G1652" s="1">
        <v>1</v>
      </c>
      <c r="H1652" s="1" t="s">
        <v>19</v>
      </c>
      <c r="I1652" s="1" t="s">
        <v>1301</v>
      </c>
      <c r="J1652" s="1">
        <v>0.1</v>
      </c>
      <c r="K1652" s="1">
        <v>0.1</v>
      </c>
      <c r="L1652" s="42">
        <v>3</v>
      </c>
      <c r="M1652" s="43"/>
      <c r="N1652" s="1" t="e">
        <f>VLOOKUP(B1652,MICRO!E:L,8,0)</f>
        <v>#N/A</v>
      </c>
    </row>
    <row r="1653" spans="1:14" ht="20.25" x14ac:dyDescent="0.25">
      <c r="A1653" s="1">
        <v>20</v>
      </c>
      <c r="B1653" s="159"/>
      <c r="C1653" s="1" t="s">
        <v>1361</v>
      </c>
      <c r="D1653" s="1"/>
      <c r="E1653" s="1"/>
      <c r="F1653" s="1" t="s">
        <v>2301</v>
      </c>
      <c r="G1653" s="1">
        <v>1</v>
      </c>
      <c r="H1653" s="1" t="s">
        <v>19</v>
      </c>
      <c r="I1653" s="1" t="s">
        <v>1301</v>
      </c>
      <c r="J1653" s="1">
        <v>23</v>
      </c>
      <c r="K1653" s="1">
        <v>23</v>
      </c>
      <c r="L1653" s="42">
        <v>3</v>
      </c>
      <c r="M1653" s="43"/>
      <c r="N1653" s="1" t="e">
        <f>VLOOKUP(B1653,MICRO!E:L,8,0)</f>
        <v>#N/A</v>
      </c>
    </row>
    <row r="1654" spans="1:14" ht="20.25" x14ac:dyDescent="0.25">
      <c r="A1654" s="1">
        <v>21</v>
      </c>
      <c r="B1654" s="159"/>
      <c r="C1654" s="1" t="s">
        <v>1361</v>
      </c>
      <c r="D1654" s="1"/>
      <c r="E1654" s="1"/>
      <c r="F1654" s="1" t="s">
        <v>2302</v>
      </c>
      <c r="G1654" s="1">
        <v>1</v>
      </c>
      <c r="H1654" s="1" t="s">
        <v>19</v>
      </c>
      <c r="I1654" s="1" t="s">
        <v>1301</v>
      </c>
      <c r="J1654" s="1">
        <v>23</v>
      </c>
      <c r="K1654" s="1">
        <v>23</v>
      </c>
      <c r="L1654" s="42">
        <v>3</v>
      </c>
      <c r="M1654" s="43"/>
      <c r="N1654" s="1" t="e">
        <f>VLOOKUP(B1654,MICRO!E:L,8,0)</f>
        <v>#N/A</v>
      </c>
    </row>
    <row r="1655" spans="1:14" ht="20.25" x14ac:dyDescent="0.25">
      <c r="A1655" s="1">
        <v>22</v>
      </c>
      <c r="B1655" s="159">
        <v>3120</v>
      </c>
      <c r="C1655" s="1" t="s">
        <v>1361</v>
      </c>
      <c r="D1655" s="1"/>
      <c r="E1655" s="1" t="s">
        <v>2</v>
      </c>
      <c r="F1655" s="1" t="s">
        <v>1362</v>
      </c>
      <c r="G1655" s="1">
        <v>1</v>
      </c>
      <c r="H1655" s="1" t="s">
        <v>19</v>
      </c>
      <c r="I1655" s="1" t="s">
        <v>1290</v>
      </c>
      <c r="J1655" s="1">
        <v>40</v>
      </c>
      <c r="K1655" s="1">
        <v>40</v>
      </c>
      <c r="L1655" s="42">
        <v>3</v>
      </c>
      <c r="M1655" s="43"/>
      <c r="N1655" s="1" t="e">
        <f>VLOOKUP(B1655,MICRO!E:L,8,0)</f>
        <v>#N/A</v>
      </c>
    </row>
    <row r="1656" spans="1:14" ht="20.25" x14ac:dyDescent="0.25">
      <c r="A1656" s="1">
        <v>23</v>
      </c>
      <c r="B1656" s="159">
        <v>3121</v>
      </c>
      <c r="C1656" s="1" t="s">
        <v>1361</v>
      </c>
      <c r="D1656" s="1"/>
      <c r="E1656" s="1" t="s">
        <v>43</v>
      </c>
      <c r="F1656" s="1" t="s">
        <v>1363</v>
      </c>
      <c r="G1656" s="1">
        <v>1</v>
      </c>
      <c r="H1656" s="1" t="s">
        <v>19</v>
      </c>
      <c r="I1656" s="1" t="s">
        <v>1290</v>
      </c>
      <c r="J1656" s="1">
        <v>57.1</v>
      </c>
      <c r="K1656" s="1">
        <v>57.1</v>
      </c>
      <c r="L1656" s="42">
        <v>3</v>
      </c>
      <c r="M1656" s="43"/>
      <c r="N1656" s="1" t="e">
        <f>VLOOKUP(B1656,MICRO!E:L,8,0)</f>
        <v>#N/A</v>
      </c>
    </row>
    <row r="1657" spans="1:14" ht="20.25" x14ac:dyDescent="0.25">
      <c r="A1657" s="1">
        <v>24</v>
      </c>
      <c r="B1657" s="159">
        <v>3122</v>
      </c>
      <c r="C1657" s="1" t="s">
        <v>1361</v>
      </c>
      <c r="D1657" s="1"/>
      <c r="E1657" s="1" t="s">
        <v>746</v>
      </c>
      <c r="F1657" s="1" t="s">
        <v>1364</v>
      </c>
      <c r="G1657" s="1">
        <v>1</v>
      </c>
      <c r="H1657" s="1" t="s">
        <v>19</v>
      </c>
      <c r="I1657" s="1" t="s">
        <v>1290</v>
      </c>
      <c r="J1657" s="1">
        <v>53.5</v>
      </c>
      <c r="K1657" s="1">
        <v>53.5</v>
      </c>
      <c r="L1657" s="42">
        <v>3</v>
      </c>
      <c r="M1657" s="43"/>
      <c r="N1657" s="1" t="e">
        <f>VLOOKUP(B1657,MICRO!E:L,8,0)</f>
        <v>#N/A</v>
      </c>
    </row>
    <row r="1658" spans="1:14" ht="20.25" x14ac:dyDescent="0.25">
      <c r="A1658" s="1">
        <v>25</v>
      </c>
      <c r="B1658" s="159">
        <v>3123</v>
      </c>
      <c r="C1658" s="1" t="s">
        <v>1361</v>
      </c>
      <c r="D1658" s="1"/>
      <c r="E1658" s="1" t="s">
        <v>1101</v>
      </c>
      <c r="F1658" s="1" t="s">
        <v>1365</v>
      </c>
      <c r="G1658" s="1">
        <v>1</v>
      </c>
      <c r="H1658" s="1" t="s">
        <v>19</v>
      </c>
      <c r="I1658" s="1" t="s">
        <v>1290</v>
      </c>
      <c r="J1658" s="1">
        <v>0.9</v>
      </c>
      <c r="K1658" s="1">
        <v>0.9</v>
      </c>
      <c r="L1658" s="42">
        <v>3</v>
      </c>
      <c r="M1658" s="43"/>
      <c r="N1658" s="1" t="e">
        <f>VLOOKUP(B1658,MICRO!E:L,8,0)</f>
        <v>#N/A</v>
      </c>
    </row>
    <row r="1659" spans="1:14" ht="20.25" x14ac:dyDescent="0.25">
      <c r="A1659" s="1">
        <v>26</v>
      </c>
      <c r="B1659" s="159">
        <v>3124</v>
      </c>
      <c r="C1659" s="1" t="s">
        <v>1361</v>
      </c>
      <c r="D1659" s="1"/>
      <c r="E1659" s="1" t="s">
        <v>100</v>
      </c>
      <c r="F1659" s="1" t="s">
        <v>1366</v>
      </c>
      <c r="G1659" s="1">
        <v>1</v>
      </c>
      <c r="H1659" s="1" t="s">
        <v>19</v>
      </c>
      <c r="I1659" s="1" t="s">
        <v>1290</v>
      </c>
      <c r="J1659" s="1">
        <v>0.1</v>
      </c>
      <c r="K1659" s="1">
        <v>0.1</v>
      </c>
      <c r="L1659" s="42">
        <v>3</v>
      </c>
      <c r="M1659" s="43"/>
      <c r="N1659" s="1" t="e">
        <f>VLOOKUP(B1659,MICRO!E:L,8,0)</f>
        <v>#N/A</v>
      </c>
    </row>
    <row r="1660" spans="1:14" ht="20.25" x14ac:dyDescent="0.25">
      <c r="A1660" s="1">
        <v>27</v>
      </c>
      <c r="B1660" s="159"/>
      <c r="C1660" s="1" t="s">
        <v>1361</v>
      </c>
      <c r="D1660" s="1"/>
      <c r="E1660" s="1"/>
      <c r="F1660" s="1" t="s">
        <v>2301</v>
      </c>
      <c r="G1660" s="1">
        <v>1</v>
      </c>
      <c r="H1660" s="1" t="s">
        <v>19</v>
      </c>
      <c r="I1660" s="1" t="s">
        <v>1290</v>
      </c>
      <c r="J1660" s="1">
        <v>23</v>
      </c>
      <c r="K1660" s="1">
        <v>23</v>
      </c>
      <c r="L1660" s="42">
        <v>3</v>
      </c>
      <c r="M1660" s="43"/>
      <c r="N1660" s="1" t="e">
        <f>VLOOKUP(B1660,MICRO!E:L,8,0)</f>
        <v>#N/A</v>
      </c>
    </row>
    <row r="1661" spans="1:14" ht="20.25" x14ac:dyDescent="0.25">
      <c r="A1661" s="1">
        <v>28</v>
      </c>
      <c r="B1661" s="159"/>
      <c r="C1661" s="1" t="s">
        <v>1361</v>
      </c>
      <c r="D1661" s="1"/>
      <c r="E1661" s="1"/>
      <c r="F1661" s="1" t="s">
        <v>2302</v>
      </c>
      <c r="G1661" s="1">
        <v>1</v>
      </c>
      <c r="H1661" s="1" t="s">
        <v>19</v>
      </c>
      <c r="I1661" s="1" t="s">
        <v>1290</v>
      </c>
      <c r="J1661" s="1">
        <v>23</v>
      </c>
      <c r="K1661" s="1">
        <v>23</v>
      </c>
      <c r="L1661" s="42">
        <v>3</v>
      </c>
      <c r="M1661" s="43"/>
      <c r="N1661" s="1" t="e">
        <f>VLOOKUP(B1661,MICRO!E:L,8,0)</f>
        <v>#N/A</v>
      </c>
    </row>
    <row r="1662" spans="1:14" ht="20.25" x14ac:dyDescent="0.25">
      <c r="A1662" s="1">
        <v>29</v>
      </c>
      <c r="B1662" s="159"/>
      <c r="C1662" s="1" t="s">
        <v>2303</v>
      </c>
      <c r="D1662" s="1"/>
      <c r="E1662" s="1"/>
      <c r="F1662" s="1" t="s">
        <v>2304</v>
      </c>
      <c r="G1662" s="1">
        <v>1</v>
      </c>
      <c r="H1662" s="1" t="s">
        <v>19</v>
      </c>
      <c r="I1662" s="1" t="s">
        <v>1300</v>
      </c>
      <c r="J1662" s="1">
        <v>1020</v>
      </c>
      <c r="K1662" s="1">
        <v>1020</v>
      </c>
      <c r="L1662" s="42">
        <v>3</v>
      </c>
      <c r="M1662" s="43"/>
      <c r="N1662" s="1" t="e">
        <f>VLOOKUP(B1662,MICRO!E:L,8,0)</f>
        <v>#N/A</v>
      </c>
    </row>
    <row r="1663" spans="1:14" ht="20.25" x14ac:dyDescent="0.25">
      <c r="A1663" s="1">
        <v>30</v>
      </c>
      <c r="B1663" s="159"/>
      <c r="C1663" s="1" t="s">
        <v>2303</v>
      </c>
      <c r="D1663" s="1"/>
      <c r="E1663" s="1"/>
      <c r="F1663" s="1" t="s">
        <v>2305</v>
      </c>
      <c r="G1663" s="1">
        <v>1</v>
      </c>
      <c r="H1663" s="1" t="s">
        <v>19</v>
      </c>
      <c r="I1663" s="1" t="s">
        <v>1290</v>
      </c>
      <c r="J1663" s="1">
        <v>1020</v>
      </c>
      <c r="K1663" s="1">
        <v>1020</v>
      </c>
      <c r="L1663" s="42">
        <v>3</v>
      </c>
      <c r="M1663" s="43"/>
      <c r="N1663" s="1" t="e">
        <f>VLOOKUP(B1663,MICRO!E:L,8,0)</f>
        <v>#N/A</v>
      </c>
    </row>
    <row r="1664" spans="1:14" ht="20.25" x14ac:dyDescent="0.25">
      <c r="A1664" s="1">
        <v>31</v>
      </c>
      <c r="B1664" s="159"/>
      <c r="C1664" s="1" t="s">
        <v>2303</v>
      </c>
      <c r="D1664" s="1"/>
      <c r="E1664" s="1"/>
      <c r="F1664" s="1" t="s">
        <v>2306</v>
      </c>
      <c r="G1664" s="1">
        <v>1</v>
      </c>
      <c r="H1664" s="1" t="s">
        <v>19</v>
      </c>
      <c r="I1664" s="1" t="s">
        <v>1295</v>
      </c>
      <c r="J1664" s="1">
        <v>1020</v>
      </c>
      <c r="K1664" s="1">
        <v>1020</v>
      </c>
      <c r="L1664" s="42">
        <v>3</v>
      </c>
      <c r="M1664" s="43"/>
      <c r="N1664" s="1" t="e">
        <f>VLOOKUP(B1664,MICRO!E:L,8,0)</f>
        <v>#N/A</v>
      </c>
    </row>
    <row r="1665" spans="1:14" ht="20.25" x14ac:dyDescent="0.25">
      <c r="A1665" s="1">
        <v>32</v>
      </c>
      <c r="B1665" s="159"/>
      <c r="C1665" s="1" t="s">
        <v>2303</v>
      </c>
      <c r="D1665" s="1"/>
      <c r="E1665" s="1"/>
      <c r="F1665" s="1" t="s">
        <v>2307</v>
      </c>
      <c r="G1665" s="1">
        <v>1</v>
      </c>
      <c r="H1665" s="1" t="s">
        <v>19</v>
      </c>
      <c r="I1665" s="1" t="s">
        <v>1301</v>
      </c>
      <c r="J1665" s="1">
        <v>1020</v>
      </c>
      <c r="K1665" s="1">
        <v>1020</v>
      </c>
      <c r="L1665" s="42">
        <v>3</v>
      </c>
      <c r="M1665" s="43"/>
      <c r="N1665" s="1" t="e">
        <f>VLOOKUP(B1665,MICRO!E:L,8,0)</f>
        <v>#N/A</v>
      </c>
    </row>
    <row r="1666" spans="1:14" ht="20.25" x14ac:dyDescent="0.25">
      <c r="A1666" s="1">
        <v>1</v>
      </c>
      <c r="B1666" s="159"/>
      <c r="C1666" s="1" t="s">
        <v>2535</v>
      </c>
      <c r="D1666" s="1" t="s">
        <v>2536</v>
      </c>
      <c r="E1666" s="1"/>
      <c r="F1666" s="1" t="s">
        <v>2537</v>
      </c>
      <c r="G1666" s="1">
        <v>1</v>
      </c>
      <c r="H1666" s="1" t="s">
        <v>19</v>
      </c>
      <c r="I1666" s="1" t="s">
        <v>1300</v>
      </c>
      <c r="J1666" s="1">
        <v>1138</v>
      </c>
      <c r="K1666" s="1">
        <v>1138</v>
      </c>
      <c r="L1666" s="42">
        <v>4</v>
      </c>
      <c r="M1666" s="43"/>
      <c r="N1666" s="1" t="e">
        <f>VLOOKUP(B1666,MICRO!E:L,8,0)</f>
        <v>#N/A</v>
      </c>
    </row>
    <row r="1667" spans="1:14" ht="20.25" x14ac:dyDescent="0.25">
      <c r="A1667" s="1">
        <v>2</v>
      </c>
      <c r="B1667" s="159"/>
      <c r="C1667" s="1" t="s">
        <v>2538</v>
      </c>
      <c r="D1667" s="1" t="s">
        <v>2539</v>
      </c>
      <c r="E1667" s="1"/>
      <c r="F1667" s="1" t="s">
        <v>2537</v>
      </c>
      <c r="G1667" s="1">
        <v>1</v>
      </c>
      <c r="H1667" s="1" t="s">
        <v>19</v>
      </c>
      <c r="I1667" s="1" t="s">
        <v>1295</v>
      </c>
      <c r="J1667" s="1">
        <v>1004</v>
      </c>
      <c r="K1667" s="1">
        <v>1004</v>
      </c>
      <c r="L1667" s="42">
        <v>4</v>
      </c>
      <c r="M1667" s="43"/>
      <c r="N1667" s="1" t="e">
        <f>VLOOKUP(B1667,MICRO!E:L,8,0)</f>
        <v>#N/A</v>
      </c>
    </row>
    <row r="1668" spans="1:14" ht="20.25" x14ac:dyDescent="0.25">
      <c r="A1668" s="1">
        <v>3</v>
      </c>
      <c r="B1668" s="159"/>
      <c r="C1668" s="1" t="s">
        <v>2540</v>
      </c>
      <c r="D1668" s="1" t="s">
        <v>2541</v>
      </c>
      <c r="E1668" s="1"/>
      <c r="F1668" s="1" t="s">
        <v>2537</v>
      </c>
      <c r="G1668" s="1">
        <v>1</v>
      </c>
      <c r="H1668" s="1" t="s">
        <v>19</v>
      </c>
      <c r="I1668" s="1" t="s">
        <v>1301</v>
      </c>
      <c r="J1668" s="1">
        <v>282.8</v>
      </c>
      <c r="K1668" s="1">
        <v>282.8</v>
      </c>
      <c r="L1668" s="42">
        <v>4</v>
      </c>
      <c r="M1668" s="43"/>
      <c r="N1668" s="1" t="e">
        <f>VLOOKUP(B1668,MICRO!E:L,8,0)</f>
        <v>#N/A</v>
      </c>
    </row>
    <row r="1669" spans="1:14" ht="20.25" x14ac:dyDescent="0.25">
      <c r="A1669" s="1">
        <v>4</v>
      </c>
      <c r="B1669" s="159"/>
      <c r="C1669" s="1" t="s">
        <v>2542</v>
      </c>
      <c r="D1669" s="1" t="s">
        <v>2543</v>
      </c>
      <c r="E1669" s="1"/>
      <c r="F1669" s="1" t="s">
        <v>2537</v>
      </c>
      <c r="G1669" s="1">
        <v>1</v>
      </c>
      <c r="H1669" s="1" t="s">
        <v>19</v>
      </c>
      <c r="I1669" s="1" t="s">
        <v>1290</v>
      </c>
      <c r="J1669" s="1">
        <v>316.89999999999998</v>
      </c>
      <c r="K1669" s="1">
        <v>316.89999999999998</v>
      </c>
      <c r="L1669" s="42">
        <v>4</v>
      </c>
      <c r="M1669" s="43"/>
      <c r="N1669" s="1" t="e">
        <f>VLOOKUP(B1669,MICRO!E:L,8,0)</f>
        <v>#N/A</v>
      </c>
    </row>
    <row r="1670" spans="1:14" ht="20.25" x14ac:dyDescent="0.25">
      <c r="A1670" s="1">
        <v>5</v>
      </c>
      <c r="B1670" s="159">
        <v>2971</v>
      </c>
      <c r="C1670" s="1" t="s">
        <v>1298</v>
      </c>
      <c r="D1670" s="1"/>
      <c r="E1670" s="1" t="s">
        <v>2</v>
      </c>
      <c r="F1670" s="1" t="s">
        <v>1299</v>
      </c>
      <c r="G1670" s="1">
        <v>39</v>
      </c>
      <c r="H1670" s="1" t="s">
        <v>19</v>
      </c>
      <c r="I1670" s="1" t="s">
        <v>1300</v>
      </c>
      <c r="J1670" s="1">
        <v>12.7</v>
      </c>
      <c r="K1670" s="1">
        <v>495.29999999999995</v>
      </c>
      <c r="L1670" s="42">
        <v>4</v>
      </c>
      <c r="M1670" s="43"/>
      <c r="N1670" s="1" t="e">
        <f>VLOOKUP(B1670,MICRO!E:L,8,0)</f>
        <v>#N/A</v>
      </c>
    </row>
    <row r="1671" spans="1:14" ht="20.25" x14ac:dyDescent="0.25">
      <c r="A1671" s="1">
        <v>6</v>
      </c>
      <c r="B1671" s="159">
        <v>3081</v>
      </c>
      <c r="C1671" s="1" t="s">
        <v>1360</v>
      </c>
      <c r="D1671" s="1"/>
      <c r="E1671" s="1" t="s">
        <v>2</v>
      </c>
      <c r="F1671" s="1" t="s">
        <v>2544</v>
      </c>
      <c r="G1671" s="1">
        <v>78</v>
      </c>
      <c r="H1671" s="1" t="s">
        <v>19</v>
      </c>
      <c r="I1671" s="1" t="s">
        <v>1300</v>
      </c>
      <c r="J1671" s="1">
        <v>4.0999999999999996</v>
      </c>
      <c r="K1671" s="1">
        <v>319.79999999999995</v>
      </c>
      <c r="L1671" s="42">
        <v>4</v>
      </c>
      <c r="M1671" s="43"/>
      <c r="N1671" s="1" t="e">
        <f>VLOOKUP(B1671,MICRO!E:L,8,0)</f>
        <v>#N/A</v>
      </c>
    </row>
    <row r="1672" spans="1:14" ht="20.25" x14ac:dyDescent="0.25">
      <c r="A1672" s="1">
        <v>7</v>
      </c>
      <c r="B1672" s="159">
        <v>3087</v>
      </c>
      <c r="C1672" s="1" t="s">
        <v>1360</v>
      </c>
      <c r="D1672" s="1"/>
      <c r="E1672" s="1" t="s">
        <v>2</v>
      </c>
      <c r="F1672" s="1" t="s">
        <v>2544</v>
      </c>
      <c r="G1672" s="1">
        <v>26</v>
      </c>
      <c r="H1672" s="1" t="s">
        <v>19</v>
      </c>
      <c r="I1672" s="1" t="s">
        <v>1295</v>
      </c>
      <c r="J1672" s="1">
        <v>4.0999999999999996</v>
      </c>
      <c r="K1672" s="1">
        <v>106.6</v>
      </c>
      <c r="L1672" s="42">
        <v>4</v>
      </c>
      <c r="M1672" s="43"/>
      <c r="N1672" s="1" t="e">
        <f>VLOOKUP(B1672,MICRO!E:L,8,0)</f>
        <v>#N/A</v>
      </c>
    </row>
    <row r="1673" spans="1:14" ht="20.25" x14ac:dyDescent="0.25">
      <c r="A1673" s="1">
        <v>8</v>
      </c>
      <c r="B1673" s="159">
        <v>3093</v>
      </c>
      <c r="C1673" s="1" t="s">
        <v>1360</v>
      </c>
      <c r="D1673" s="1"/>
      <c r="E1673" s="1" t="s">
        <v>2</v>
      </c>
      <c r="F1673" s="1" t="s">
        <v>2544</v>
      </c>
      <c r="G1673" s="1">
        <v>46</v>
      </c>
      <c r="H1673" s="1" t="s">
        <v>19</v>
      </c>
      <c r="I1673" s="1" t="s">
        <v>1301</v>
      </c>
      <c r="J1673" s="1">
        <v>4.0999999999999996</v>
      </c>
      <c r="K1673" s="1">
        <v>188.6</v>
      </c>
      <c r="L1673" s="42">
        <v>4</v>
      </c>
      <c r="M1673" s="43"/>
      <c r="N1673" s="1" t="e">
        <f>VLOOKUP(B1673,MICRO!E:L,8,0)</f>
        <v>#N/A</v>
      </c>
    </row>
    <row r="1674" spans="1:14" ht="20.25" x14ac:dyDescent="0.25">
      <c r="A1674" s="1">
        <v>9</v>
      </c>
      <c r="B1674" s="159">
        <v>3239</v>
      </c>
      <c r="C1674" s="1" t="s">
        <v>1391</v>
      </c>
      <c r="D1674" s="1"/>
      <c r="E1674" s="1" t="s">
        <v>2</v>
      </c>
      <c r="F1674" s="1" t="s">
        <v>2545</v>
      </c>
      <c r="G1674" s="1">
        <v>1</v>
      </c>
      <c r="H1674" s="1" t="s">
        <v>19</v>
      </c>
      <c r="I1674" s="1" t="s">
        <v>1295</v>
      </c>
      <c r="J1674" s="1">
        <v>1196.7</v>
      </c>
      <c r="K1674" s="1">
        <v>1196.7</v>
      </c>
      <c r="L1674" s="42">
        <v>4</v>
      </c>
      <c r="M1674" s="43"/>
      <c r="N1674" s="1" t="e">
        <f>VLOOKUP(B1674,MICRO!E:L,8,0)</f>
        <v>#N/A</v>
      </c>
    </row>
    <row r="1675" spans="1:14" ht="20.25" x14ac:dyDescent="0.25">
      <c r="A1675" s="1">
        <v>10</v>
      </c>
      <c r="B1675" s="159">
        <v>3250</v>
      </c>
      <c r="C1675" s="1" t="s">
        <v>1843</v>
      </c>
      <c r="D1675" s="1"/>
      <c r="E1675" s="1" t="s">
        <v>2</v>
      </c>
      <c r="F1675" s="1" t="s">
        <v>1844</v>
      </c>
      <c r="G1675" s="1">
        <v>1</v>
      </c>
      <c r="H1675" s="1" t="s">
        <v>19</v>
      </c>
      <c r="I1675" s="1" t="s">
        <v>1290</v>
      </c>
      <c r="J1675" s="1">
        <v>612.79999999999995</v>
      </c>
      <c r="K1675" s="1">
        <v>612.79999999999995</v>
      </c>
      <c r="L1675" s="42">
        <v>4</v>
      </c>
      <c r="M1675" s="43"/>
      <c r="N1675" s="1" t="e">
        <f>VLOOKUP(B1675,MICRO!E:L,8,0)</f>
        <v>#N/A</v>
      </c>
    </row>
    <row r="1676" spans="1:14" ht="20.25" x14ac:dyDescent="0.25">
      <c r="A1676" s="1">
        <v>11</v>
      </c>
      <c r="B1676" s="159">
        <v>3251</v>
      </c>
      <c r="C1676" s="1" t="s">
        <v>1843</v>
      </c>
      <c r="D1676" s="1"/>
      <c r="E1676" s="1" t="s">
        <v>43</v>
      </c>
      <c r="F1676" s="1" t="s">
        <v>1845</v>
      </c>
      <c r="G1676" s="1">
        <v>1</v>
      </c>
      <c r="H1676" s="1" t="s">
        <v>19</v>
      </c>
      <c r="I1676" s="1" t="s">
        <v>1290</v>
      </c>
      <c r="J1676" s="1">
        <v>58.6</v>
      </c>
      <c r="K1676" s="1">
        <v>58.6</v>
      </c>
      <c r="L1676" s="42">
        <v>4</v>
      </c>
      <c r="M1676" s="43"/>
      <c r="N1676" s="1" t="e">
        <f>VLOOKUP(B1676,MICRO!E:L,8,0)</f>
        <v>#N/A</v>
      </c>
    </row>
    <row r="1677" spans="1:14" ht="20.25" x14ac:dyDescent="0.25">
      <c r="A1677" s="1">
        <v>12</v>
      </c>
      <c r="B1677" s="159">
        <v>3252</v>
      </c>
      <c r="C1677" s="1" t="s">
        <v>1843</v>
      </c>
      <c r="D1677" s="1"/>
      <c r="E1677" s="1" t="s">
        <v>43</v>
      </c>
      <c r="F1677" s="1" t="s">
        <v>1846</v>
      </c>
      <c r="G1677" s="1">
        <v>1</v>
      </c>
      <c r="H1677" s="1" t="s">
        <v>19</v>
      </c>
      <c r="I1677" s="1" t="s">
        <v>1290</v>
      </c>
      <c r="J1677" s="1">
        <v>62.6</v>
      </c>
      <c r="K1677" s="1">
        <v>62.6</v>
      </c>
      <c r="L1677" s="42">
        <v>4</v>
      </c>
      <c r="M1677" s="43"/>
      <c r="N1677" s="1" t="e">
        <f>VLOOKUP(B1677,MICRO!E:L,8,0)</f>
        <v>#N/A</v>
      </c>
    </row>
    <row r="1678" spans="1:14" ht="20.25" x14ac:dyDescent="0.25">
      <c r="A1678" s="1">
        <v>13</v>
      </c>
      <c r="B1678" s="159">
        <v>3254</v>
      </c>
      <c r="C1678" s="1" t="s">
        <v>1847</v>
      </c>
      <c r="D1678" s="1"/>
      <c r="E1678" s="1" t="s">
        <v>43</v>
      </c>
      <c r="F1678" s="1" t="s">
        <v>1849</v>
      </c>
      <c r="G1678" s="1">
        <v>1</v>
      </c>
      <c r="H1678" s="1" t="s">
        <v>19</v>
      </c>
      <c r="I1678" s="1" t="s">
        <v>1301</v>
      </c>
      <c r="J1678" s="1">
        <v>108.4</v>
      </c>
      <c r="K1678" s="1">
        <v>108.4</v>
      </c>
      <c r="L1678" s="42">
        <v>4</v>
      </c>
      <c r="M1678" s="43"/>
      <c r="N1678" s="1" t="e">
        <f>VLOOKUP(B1678,MICRO!E:L,8,0)</f>
        <v>#N/A</v>
      </c>
    </row>
    <row r="1679" spans="1:14" ht="20.25" x14ac:dyDescent="0.25">
      <c r="A1679" s="1">
        <v>1</v>
      </c>
      <c r="B1679" s="159">
        <v>3093</v>
      </c>
      <c r="C1679" s="1" t="s">
        <v>1360</v>
      </c>
      <c r="D1679" s="1"/>
      <c r="E1679" s="1" t="s">
        <v>2</v>
      </c>
      <c r="F1679" s="1" t="s">
        <v>2544</v>
      </c>
      <c r="G1679" s="1">
        <v>8</v>
      </c>
      <c r="H1679" s="1" t="s">
        <v>19</v>
      </c>
      <c r="I1679" s="1" t="s">
        <v>1301</v>
      </c>
      <c r="J1679" s="1">
        <v>5.3</v>
      </c>
      <c r="K1679" s="1">
        <v>42.4</v>
      </c>
      <c r="L1679" s="42">
        <v>5</v>
      </c>
      <c r="M1679" s="43"/>
      <c r="N1679" s="1" t="e">
        <f>VLOOKUP(B1679,MICRO!E:L,8,0)</f>
        <v>#N/A</v>
      </c>
    </row>
    <row r="1680" spans="1:14" ht="20.25" x14ac:dyDescent="0.25">
      <c r="A1680" s="1">
        <v>2</v>
      </c>
      <c r="B1680" s="159">
        <v>3099</v>
      </c>
      <c r="C1680" s="1" t="s">
        <v>1360</v>
      </c>
      <c r="D1680" s="1"/>
      <c r="E1680" s="1" t="s">
        <v>2</v>
      </c>
      <c r="F1680" s="1" t="s">
        <v>2544</v>
      </c>
      <c r="G1680" s="1">
        <v>52</v>
      </c>
      <c r="H1680" s="1" t="s">
        <v>19</v>
      </c>
      <c r="I1680" s="1" t="s">
        <v>1290</v>
      </c>
      <c r="J1680" s="1">
        <v>5.3</v>
      </c>
      <c r="K1680" s="1">
        <v>275.59999999999997</v>
      </c>
      <c r="L1680" s="42">
        <v>5</v>
      </c>
      <c r="M1680" s="43"/>
      <c r="N1680" s="1" t="e">
        <f>VLOOKUP(B1680,MICRO!E:L,8,0)</f>
        <v>#N/A</v>
      </c>
    </row>
    <row r="1681" spans="1:14" ht="20.25" x14ac:dyDescent="0.25">
      <c r="A1681" s="1">
        <v>3</v>
      </c>
      <c r="B1681" s="159">
        <v>3177</v>
      </c>
      <c r="C1681" s="1" t="s">
        <v>1379</v>
      </c>
      <c r="D1681" s="1"/>
      <c r="E1681" s="1" t="s">
        <v>43</v>
      </c>
      <c r="F1681" s="1" t="s">
        <v>1380</v>
      </c>
      <c r="G1681" s="1">
        <v>1</v>
      </c>
      <c r="H1681" s="1" t="s">
        <v>19</v>
      </c>
      <c r="I1681" s="1" t="s">
        <v>1300</v>
      </c>
      <c r="J1681" s="1">
        <v>155.4</v>
      </c>
      <c r="K1681" s="1">
        <v>155.4</v>
      </c>
      <c r="L1681" s="42">
        <v>5</v>
      </c>
      <c r="M1681" s="43"/>
      <c r="N1681" s="1" t="e">
        <f>VLOOKUP(B1681,MICRO!E:L,8,0)</f>
        <v>#N/A</v>
      </c>
    </row>
    <row r="1682" spans="1:14" ht="20.25" x14ac:dyDescent="0.25">
      <c r="A1682" s="1">
        <v>4</v>
      </c>
      <c r="B1682" s="159">
        <v>3178</v>
      </c>
      <c r="C1682" s="1" t="s">
        <v>1379</v>
      </c>
      <c r="D1682" s="1"/>
      <c r="E1682" s="1" t="s">
        <v>746</v>
      </c>
      <c r="F1682" s="1" t="s">
        <v>1381</v>
      </c>
      <c r="G1682" s="1">
        <v>1</v>
      </c>
      <c r="H1682" s="1" t="s">
        <v>19</v>
      </c>
      <c r="I1682" s="1" t="s">
        <v>1300</v>
      </c>
      <c r="J1682" s="1">
        <v>12.9</v>
      </c>
      <c r="K1682" s="1">
        <v>12.9</v>
      </c>
      <c r="L1682" s="42">
        <v>5</v>
      </c>
      <c r="M1682" s="43"/>
      <c r="N1682" s="1" t="e">
        <f>VLOOKUP(B1682,MICRO!E:L,8,0)</f>
        <v>#N/A</v>
      </c>
    </row>
    <row r="1683" spans="1:14" ht="20.25" x14ac:dyDescent="0.25">
      <c r="A1683" s="1">
        <v>5</v>
      </c>
      <c r="B1683" s="159">
        <v>3241</v>
      </c>
      <c r="C1683" s="1" t="s">
        <v>1393</v>
      </c>
      <c r="D1683" s="1"/>
      <c r="E1683" s="1" t="s">
        <v>2</v>
      </c>
      <c r="F1683" s="1" t="s">
        <v>1394</v>
      </c>
      <c r="G1683" s="1">
        <v>1</v>
      </c>
      <c r="H1683" s="1" t="s">
        <v>19</v>
      </c>
      <c r="I1683" s="1" t="s">
        <v>1300</v>
      </c>
      <c r="J1683" s="1">
        <v>336.7</v>
      </c>
      <c r="K1683" s="1">
        <v>336.7</v>
      </c>
      <c r="L1683" s="42">
        <v>5</v>
      </c>
      <c r="M1683" s="43"/>
      <c r="N1683" s="1" t="e">
        <f>VLOOKUP(B1683,MICRO!E:L,8,0)</f>
        <v>#N/A</v>
      </c>
    </row>
    <row r="1684" spans="1:14" ht="20.25" x14ac:dyDescent="0.25">
      <c r="A1684" s="1">
        <v>6</v>
      </c>
      <c r="B1684" s="159">
        <v>3242</v>
      </c>
      <c r="C1684" s="1" t="s">
        <v>1393</v>
      </c>
      <c r="D1684" s="1"/>
      <c r="E1684" s="1" t="s">
        <v>43</v>
      </c>
      <c r="F1684" s="1" t="s">
        <v>1395</v>
      </c>
      <c r="G1684" s="1">
        <v>1</v>
      </c>
      <c r="H1684" s="1" t="s">
        <v>19</v>
      </c>
      <c r="I1684" s="1" t="s">
        <v>1300</v>
      </c>
      <c r="J1684" s="1">
        <v>87.2</v>
      </c>
      <c r="K1684" s="1">
        <v>87.2</v>
      </c>
      <c r="L1684" s="42">
        <v>5</v>
      </c>
      <c r="M1684" s="43"/>
      <c r="N1684" s="1" t="e">
        <f>VLOOKUP(B1684,MICRO!E:L,8,0)</f>
        <v>#N/A</v>
      </c>
    </row>
    <row r="1685" spans="1:14" ht="20.25" x14ac:dyDescent="0.25">
      <c r="A1685" s="1">
        <v>7</v>
      </c>
      <c r="B1685" s="159">
        <v>3243</v>
      </c>
      <c r="C1685" s="1" t="s">
        <v>1393</v>
      </c>
      <c r="D1685" s="1"/>
      <c r="E1685" s="1" t="s">
        <v>746</v>
      </c>
      <c r="F1685" s="1" t="s">
        <v>1397</v>
      </c>
      <c r="G1685" s="1">
        <v>4</v>
      </c>
      <c r="H1685" s="1" t="s">
        <v>19</v>
      </c>
      <c r="I1685" s="1" t="s">
        <v>1300</v>
      </c>
      <c r="J1685" s="1">
        <v>59.6</v>
      </c>
      <c r="K1685" s="1">
        <v>238.4</v>
      </c>
      <c r="L1685" s="42">
        <v>5</v>
      </c>
      <c r="M1685" s="43"/>
      <c r="N1685" s="1" t="e">
        <f>VLOOKUP(B1685,MICRO!E:L,8,0)</f>
        <v>#N/A</v>
      </c>
    </row>
    <row r="1686" spans="1:14" ht="20.25" x14ac:dyDescent="0.25">
      <c r="A1686" s="1">
        <v>8</v>
      </c>
      <c r="B1686" s="159">
        <v>3244</v>
      </c>
      <c r="C1686" s="1" t="s">
        <v>1396</v>
      </c>
      <c r="D1686" s="1"/>
      <c r="E1686" s="1" t="s">
        <v>2</v>
      </c>
      <c r="F1686" s="1" t="s">
        <v>1399</v>
      </c>
      <c r="G1686" s="1">
        <v>1</v>
      </c>
      <c r="H1686" s="1" t="s">
        <v>19</v>
      </c>
      <c r="I1686" s="1" t="s">
        <v>1300</v>
      </c>
      <c r="J1686" s="1">
        <v>1361</v>
      </c>
      <c r="K1686" s="1">
        <v>1361</v>
      </c>
      <c r="L1686" s="42">
        <v>5</v>
      </c>
      <c r="M1686" s="43"/>
      <c r="N1686" s="1" t="e">
        <f>VLOOKUP(B1686,MICRO!E:L,8,0)</f>
        <v>#N/A</v>
      </c>
    </row>
    <row r="1687" spans="1:14" ht="20.25" x14ac:dyDescent="0.25">
      <c r="A1687" s="1">
        <v>9</v>
      </c>
      <c r="B1687" s="159">
        <v>3246</v>
      </c>
      <c r="C1687" s="1" t="s">
        <v>1400</v>
      </c>
      <c r="D1687" s="1"/>
      <c r="E1687" s="1" t="s">
        <v>2</v>
      </c>
      <c r="F1687" s="1" t="s">
        <v>1401</v>
      </c>
      <c r="G1687" s="1">
        <v>1</v>
      </c>
      <c r="H1687" s="1" t="s">
        <v>19</v>
      </c>
      <c r="I1687" s="1" t="s">
        <v>1290</v>
      </c>
      <c r="J1687" s="1">
        <v>405.6</v>
      </c>
      <c r="K1687" s="1">
        <v>405.6</v>
      </c>
      <c r="L1687" s="42">
        <v>5</v>
      </c>
      <c r="M1687" s="43"/>
      <c r="N1687" s="1" t="e">
        <f>VLOOKUP(B1687,MICRO!E:L,8,0)</f>
        <v>#N/A</v>
      </c>
    </row>
    <row r="1688" spans="1:14" ht="20.25" x14ac:dyDescent="0.25">
      <c r="A1688" s="1">
        <v>10</v>
      </c>
      <c r="B1688" s="159">
        <v>3247</v>
      </c>
      <c r="C1688" s="1" t="s">
        <v>1400</v>
      </c>
      <c r="D1688" s="1"/>
      <c r="E1688" s="1" t="s">
        <v>2</v>
      </c>
      <c r="F1688" s="1" t="s">
        <v>1841</v>
      </c>
      <c r="G1688" s="1">
        <v>1</v>
      </c>
      <c r="H1688" s="1" t="s">
        <v>19</v>
      </c>
      <c r="I1688" s="1" t="s">
        <v>1290</v>
      </c>
      <c r="J1688" s="1">
        <v>666.4</v>
      </c>
      <c r="K1688" s="1">
        <v>666.4</v>
      </c>
      <c r="L1688" s="42">
        <v>5</v>
      </c>
      <c r="M1688" s="43"/>
      <c r="N1688" s="1" t="e">
        <f>VLOOKUP(B1688,MICRO!E:L,8,0)</f>
        <v>#N/A</v>
      </c>
    </row>
    <row r="1689" spans="1:14" ht="20.25" x14ac:dyDescent="0.25">
      <c r="A1689" s="1">
        <v>11</v>
      </c>
      <c r="B1689" s="159">
        <v>3248</v>
      </c>
      <c r="C1689" s="1" t="s">
        <v>1400</v>
      </c>
      <c r="D1689" s="1"/>
      <c r="E1689" s="1" t="s">
        <v>43</v>
      </c>
      <c r="F1689" s="1" t="s">
        <v>1840</v>
      </c>
      <c r="G1689" s="1">
        <v>1</v>
      </c>
      <c r="H1689" s="1" t="s">
        <v>19</v>
      </c>
      <c r="I1689" s="1" t="s">
        <v>1290</v>
      </c>
      <c r="J1689" s="1">
        <v>66.599999999999994</v>
      </c>
      <c r="K1689" s="1">
        <v>66.599999999999994</v>
      </c>
      <c r="L1689" s="42">
        <v>5</v>
      </c>
      <c r="M1689" s="43"/>
      <c r="N1689" s="1" t="e">
        <f>VLOOKUP(B1689,MICRO!E:L,8,0)</f>
        <v>#N/A</v>
      </c>
    </row>
    <row r="1690" spans="1:14" ht="20.25" x14ac:dyDescent="0.25">
      <c r="A1690" s="1">
        <v>12</v>
      </c>
      <c r="B1690" s="159">
        <v>3249</v>
      </c>
      <c r="C1690" s="1" t="s">
        <v>1400</v>
      </c>
      <c r="D1690" s="1"/>
      <c r="E1690" s="1" t="s">
        <v>746</v>
      </c>
      <c r="F1690" s="1" t="s">
        <v>1842</v>
      </c>
      <c r="G1690" s="1">
        <v>1</v>
      </c>
      <c r="H1690" s="1" t="s">
        <v>19</v>
      </c>
      <c r="I1690" s="1" t="s">
        <v>1290</v>
      </c>
      <c r="J1690" s="1">
        <v>62.6</v>
      </c>
      <c r="K1690" s="1">
        <v>62.6</v>
      </c>
      <c r="L1690" s="42">
        <v>5</v>
      </c>
      <c r="M1690" s="43"/>
      <c r="N1690" s="1" t="e">
        <f>VLOOKUP(B1690,MICRO!E:L,8,0)</f>
        <v>#N/A</v>
      </c>
    </row>
    <row r="1691" spans="1:14" ht="20.25" x14ac:dyDescent="0.25">
      <c r="A1691" s="1">
        <v>13</v>
      </c>
      <c r="B1691" s="159"/>
      <c r="C1691" s="1" t="s">
        <v>1843</v>
      </c>
      <c r="D1691" s="1"/>
      <c r="E1691" s="1" t="s">
        <v>2574</v>
      </c>
      <c r="F1691" s="1" t="s">
        <v>2575</v>
      </c>
      <c r="G1691" s="1">
        <v>2</v>
      </c>
      <c r="H1691" s="1" t="s">
        <v>19</v>
      </c>
      <c r="I1691" s="1" t="s">
        <v>1290</v>
      </c>
      <c r="J1691" s="1">
        <v>3</v>
      </c>
      <c r="K1691" s="1">
        <v>6</v>
      </c>
      <c r="L1691" s="42">
        <v>5</v>
      </c>
      <c r="M1691" s="43"/>
      <c r="N1691" s="1" t="e">
        <f>VLOOKUP(B1691,MICRO!E:L,8,0)</f>
        <v>#N/A</v>
      </c>
    </row>
    <row r="1692" spans="1:14" ht="20.25" x14ac:dyDescent="0.25">
      <c r="A1692" s="1">
        <v>14</v>
      </c>
      <c r="B1692" s="159">
        <v>3255</v>
      </c>
      <c r="C1692" s="1" t="s">
        <v>1847</v>
      </c>
      <c r="D1692" s="1"/>
      <c r="E1692" s="1" t="s">
        <v>746</v>
      </c>
      <c r="F1692" s="1" t="s">
        <v>1850</v>
      </c>
      <c r="G1692" s="1">
        <v>4</v>
      </c>
      <c r="H1692" s="1" t="s">
        <v>19</v>
      </c>
      <c r="I1692" s="1" t="s">
        <v>1301</v>
      </c>
      <c r="J1692" s="1">
        <v>13.2</v>
      </c>
      <c r="K1692" s="1">
        <v>52.8</v>
      </c>
      <c r="L1692" s="42">
        <v>5</v>
      </c>
      <c r="M1692" s="43"/>
      <c r="N1692" s="1" t="e">
        <f>VLOOKUP(B1692,MICRO!E:L,8,0)</f>
        <v>#N/A</v>
      </c>
    </row>
    <row r="1693" spans="1:14" ht="20.25" x14ac:dyDescent="0.25">
      <c r="A1693" s="1">
        <v>15</v>
      </c>
      <c r="B1693" s="159">
        <v>3256</v>
      </c>
      <c r="C1693" s="1" t="s">
        <v>1851</v>
      </c>
      <c r="D1693" s="1"/>
      <c r="E1693" s="1" t="s">
        <v>2</v>
      </c>
      <c r="F1693" s="1" t="s">
        <v>1852</v>
      </c>
      <c r="G1693" s="1">
        <v>1</v>
      </c>
      <c r="H1693" s="1" t="s">
        <v>19</v>
      </c>
      <c r="I1693" s="1" t="s">
        <v>1290</v>
      </c>
      <c r="J1693" s="1">
        <v>116</v>
      </c>
      <c r="K1693" s="1">
        <v>116</v>
      </c>
      <c r="L1693" s="42">
        <v>5</v>
      </c>
      <c r="M1693" s="43"/>
      <c r="N1693" s="1" t="e">
        <f>VLOOKUP(B1693,MICRO!E:L,8,0)</f>
        <v>#N/A</v>
      </c>
    </row>
    <row r="1694" spans="1:14" ht="20.25" x14ac:dyDescent="0.25">
      <c r="A1694" s="1">
        <v>16</v>
      </c>
      <c r="B1694" s="159">
        <v>3258</v>
      </c>
      <c r="C1694" s="1" t="s">
        <v>1851</v>
      </c>
      <c r="D1694" s="1"/>
      <c r="E1694" s="1" t="s">
        <v>746</v>
      </c>
      <c r="F1694" s="1" t="s">
        <v>1853</v>
      </c>
      <c r="G1694" s="1">
        <v>1</v>
      </c>
      <c r="H1694" s="1" t="s">
        <v>19</v>
      </c>
      <c r="I1694" s="1" t="s">
        <v>1290</v>
      </c>
      <c r="J1694" s="1">
        <v>37.200000000000003</v>
      </c>
      <c r="K1694" s="1">
        <v>37.200000000000003</v>
      </c>
      <c r="L1694" s="42">
        <v>5</v>
      </c>
      <c r="M1694" s="43"/>
      <c r="N1694" s="1" t="e">
        <f>VLOOKUP(B1694,MICRO!E:L,8,0)</f>
        <v>#N/A</v>
      </c>
    </row>
    <row r="1695" spans="1:14" ht="20.25" x14ac:dyDescent="0.25">
      <c r="A1695" s="1">
        <v>17</v>
      </c>
      <c r="B1695" s="159">
        <v>3294</v>
      </c>
      <c r="C1695" s="1" t="s">
        <v>1884</v>
      </c>
      <c r="D1695" s="1"/>
      <c r="E1695" s="1" t="s">
        <v>2</v>
      </c>
      <c r="F1695" s="1" t="s">
        <v>1885</v>
      </c>
      <c r="G1695" s="1">
        <v>1</v>
      </c>
      <c r="H1695" s="1" t="s">
        <v>19</v>
      </c>
      <c r="I1695" s="1" t="s">
        <v>1295</v>
      </c>
      <c r="J1695" s="1">
        <v>110.1</v>
      </c>
      <c r="K1695" s="1">
        <v>110.1</v>
      </c>
      <c r="L1695" s="42">
        <v>5</v>
      </c>
      <c r="M1695" s="43"/>
      <c r="N1695" s="1" t="e">
        <f>VLOOKUP(B1695,MICRO!E:L,8,0)</f>
        <v>#N/A</v>
      </c>
    </row>
    <row r="1696" spans="1:14" ht="20.25" x14ac:dyDescent="0.25">
      <c r="A1696" s="1">
        <v>18</v>
      </c>
      <c r="B1696" s="159">
        <v>3295</v>
      </c>
      <c r="C1696" s="1" t="s">
        <v>1884</v>
      </c>
      <c r="D1696" s="1"/>
      <c r="E1696" s="1" t="s">
        <v>43</v>
      </c>
      <c r="F1696" s="1" t="s">
        <v>1886</v>
      </c>
      <c r="G1696" s="1">
        <v>1</v>
      </c>
      <c r="H1696" s="1" t="s">
        <v>19</v>
      </c>
      <c r="I1696" s="1" t="s">
        <v>1295</v>
      </c>
      <c r="J1696" s="1">
        <v>29.8</v>
      </c>
      <c r="K1696" s="1">
        <v>29.8</v>
      </c>
      <c r="L1696" s="42">
        <v>5</v>
      </c>
      <c r="M1696" s="43"/>
      <c r="N1696" s="1" t="e">
        <f>VLOOKUP(B1696,MICRO!E:L,8,0)</f>
        <v>#N/A</v>
      </c>
    </row>
    <row r="1697" spans="1:14" ht="20.25" x14ac:dyDescent="0.25">
      <c r="A1697" s="1">
        <v>19</v>
      </c>
      <c r="B1697" s="159">
        <v>3296</v>
      </c>
      <c r="C1697" s="1" t="s">
        <v>1884</v>
      </c>
      <c r="D1697" s="1"/>
      <c r="E1697" s="1" t="s">
        <v>746</v>
      </c>
      <c r="F1697" s="1" t="s">
        <v>1887</v>
      </c>
      <c r="G1697" s="1">
        <v>1</v>
      </c>
      <c r="H1697" s="1" t="s">
        <v>19</v>
      </c>
      <c r="I1697" s="1" t="s">
        <v>1295</v>
      </c>
      <c r="J1697" s="1">
        <v>57.1</v>
      </c>
      <c r="K1697" s="1">
        <v>57.1</v>
      </c>
      <c r="L1697" s="42">
        <v>5</v>
      </c>
      <c r="M1697" s="43"/>
      <c r="N1697" s="1" t="e">
        <f>VLOOKUP(B1697,MICRO!E:L,8,0)</f>
        <v>#N/A</v>
      </c>
    </row>
    <row r="1698" spans="1:14" ht="20.25" x14ac:dyDescent="0.25">
      <c r="A1698" s="1">
        <v>20</v>
      </c>
      <c r="B1698" s="159">
        <v>3297</v>
      </c>
      <c r="C1698" s="1" t="s">
        <v>1884</v>
      </c>
      <c r="D1698" s="1"/>
      <c r="E1698" s="1" t="s">
        <v>1101</v>
      </c>
      <c r="F1698" s="1" t="s">
        <v>1888</v>
      </c>
      <c r="G1698" s="1">
        <v>1</v>
      </c>
      <c r="H1698" s="1" t="s">
        <v>19</v>
      </c>
      <c r="I1698" s="1" t="s">
        <v>1295</v>
      </c>
      <c r="J1698" s="1">
        <v>28.2</v>
      </c>
      <c r="K1698" s="1">
        <v>28.2</v>
      </c>
      <c r="L1698" s="42">
        <v>5</v>
      </c>
      <c r="M1698" s="43"/>
      <c r="N1698" s="1" t="e">
        <f>VLOOKUP(B1698,MICRO!E:L,8,0)</f>
        <v>#N/A</v>
      </c>
    </row>
    <row r="1699" spans="1:14" ht="20.25" x14ac:dyDescent="0.25">
      <c r="A1699" s="1">
        <v>1</v>
      </c>
      <c r="B1699" s="159">
        <v>3125</v>
      </c>
      <c r="C1699" s="1" t="s">
        <v>1367</v>
      </c>
      <c r="D1699" s="1"/>
      <c r="E1699" s="1" t="s">
        <v>2</v>
      </c>
      <c r="F1699" s="1" t="s">
        <v>1368</v>
      </c>
      <c r="G1699" s="1">
        <v>2</v>
      </c>
      <c r="H1699" s="1" t="s">
        <v>19</v>
      </c>
      <c r="I1699" s="1" t="s">
        <v>1300</v>
      </c>
      <c r="J1699" s="1">
        <v>9.1</v>
      </c>
      <c r="K1699" s="1">
        <v>18.2</v>
      </c>
      <c r="L1699" s="42">
        <v>6</v>
      </c>
      <c r="M1699" s="43"/>
      <c r="N1699" s="1" t="e">
        <f>VLOOKUP(B1699,MICRO!E:L,8,0)</f>
        <v>#N/A</v>
      </c>
    </row>
    <row r="1700" spans="1:14" ht="20.25" x14ac:dyDescent="0.25">
      <c r="A1700" s="1">
        <v>2</v>
      </c>
      <c r="B1700" s="159">
        <v>3126</v>
      </c>
      <c r="C1700" s="1" t="s">
        <v>1367</v>
      </c>
      <c r="D1700" s="1"/>
      <c r="E1700" s="1" t="s">
        <v>43</v>
      </c>
      <c r="F1700" s="1" t="s">
        <v>1369</v>
      </c>
      <c r="G1700" s="1">
        <v>2</v>
      </c>
      <c r="H1700" s="1" t="s">
        <v>19</v>
      </c>
      <c r="I1700" s="1" t="s">
        <v>1300</v>
      </c>
      <c r="J1700" s="1">
        <v>1</v>
      </c>
      <c r="K1700" s="1">
        <v>2</v>
      </c>
      <c r="L1700" s="42">
        <v>6</v>
      </c>
      <c r="M1700" s="43"/>
      <c r="N1700" s="1" t="e">
        <f>VLOOKUP(B1700,MICRO!E:L,8,0)</f>
        <v>#N/A</v>
      </c>
    </row>
    <row r="1701" spans="1:14" ht="20.25" x14ac:dyDescent="0.25">
      <c r="A1701" s="1">
        <v>3</v>
      </c>
      <c r="B1701" s="159">
        <v>3127</v>
      </c>
      <c r="C1701" s="1" t="s">
        <v>1367</v>
      </c>
      <c r="D1701" s="1"/>
      <c r="E1701" s="1" t="s">
        <v>746</v>
      </c>
      <c r="F1701" s="1" t="s">
        <v>2576</v>
      </c>
      <c r="G1701" s="1">
        <v>2</v>
      </c>
      <c r="H1701" s="1" t="s">
        <v>19</v>
      </c>
      <c r="I1701" s="1" t="s">
        <v>1300</v>
      </c>
      <c r="J1701" s="1">
        <v>1.3</v>
      </c>
      <c r="K1701" s="1">
        <v>2.6</v>
      </c>
      <c r="L1701" s="42">
        <v>6</v>
      </c>
      <c r="M1701" s="43"/>
      <c r="N1701" s="1" t="e">
        <f>VLOOKUP(B1701,MICRO!E:L,8,0)</f>
        <v>#N/A</v>
      </c>
    </row>
    <row r="1702" spans="1:14" ht="20.25" x14ac:dyDescent="0.25">
      <c r="A1702" s="1">
        <v>4</v>
      </c>
      <c r="B1702" s="159">
        <v>3128</v>
      </c>
      <c r="C1702" s="1" t="s">
        <v>1367</v>
      </c>
      <c r="D1702" s="1"/>
      <c r="E1702" s="1" t="s">
        <v>1101</v>
      </c>
      <c r="F1702" s="1" t="s">
        <v>2577</v>
      </c>
      <c r="G1702" s="1">
        <v>2</v>
      </c>
      <c r="H1702" s="1" t="s">
        <v>19</v>
      </c>
      <c r="I1702" s="1" t="s">
        <v>1300</v>
      </c>
      <c r="J1702" s="1">
        <v>1.2</v>
      </c>
      <c r="K1702" s="1">
        <v>2.4</v>
      </c>
      <c r="L1702" s="42">
        <v>6</v>
      </c>
      <c r="M1702" s="43"/>
      <c r="N1702" s="1" t="e">
        <f>VLOOKUP(B1702,MICRO!E:L,8,0)</f>
        <v>#N/A</v>
      </c>
    </row>
    <row r="1703" spans="1:14" ht="20.25" x14ac:dyDescent="0.25">
      <c r="A1703" s="1">
        <v>5</v>
      </c>
      <c r="B1703" s="159">
        <v>3129</v>
      </c>
      <c r="C1703" s="1" t="s">
        <v>1367</v>
      </c>
      <c r="D1703" s="1"/>
      <c r="E1703" s="1" t="s">
        <v>100</v>
      </c>
      <c r="F1703" s="1" t="s">
        <v>2578</v>
      </c>
      <c r="G1703" s="1">
        <v>2</v>
      </c>
      <c r="H1703" s="1" t="s">
        <v>19</v>
      </c>
      <c r="I1703" s="1" t="s">
        <v>1300</v>
      </c>
      <c r="J1703" s="1">
        <v>9.1999999999999993</v>
      </c>
      <c r="K1703" s="1">
        <v>18.399999999999999</v>
      </c>
      <c r="L1703" s="42">
        <v>6</v>
      </c>
      <c r="M1703" s="43"/>
      <c r="N1703" s="1" t="e">
        <f>VLOOKUP(B1703,MICRO!E:L,8,0)</f>
        <v>#N/A</v>
      </c>
    </row>
    <row r="1704" spans="1:14" ht="20.25" x14ac:dyDescent="0.25">
      <c r="A1704" s="1">
        <v>6</v>
      </c>
      <c r="B1704" s="159">
        <v>3130</v>
      </c>
      <c r="C1704" s="1" t="s">
        <v>1367</v>
      </c>
      <c r="D1704" s="1"/>
      <c r="E1704" s="1" t="s">
        <v>173</v>
      </c>
      <c r="F1704" s="1" t="s">
        <v>1373</v>
      </c>
      <c r="G1704" s="1">
        <v>2</v>
      </c>
      <c r="H1704" s="1" t="s">
        <v>19</v>
      </c>
      <c r="I1704" s="1" t="s">
        <v>1300</v>
      </c>
      <c r="J1704" s="1">
        <v>3.2</v>
      </c>
      <c r="K1704" s="1">
        <v>6.4</v>
      </c>
      <c r="L1704" s="42">
        <v>6</v>
      </c>
      <c r="M1704" s="43"/>
      <c r="N1704" s="1" t="e">
        <f>VLOOKUP(B1704,MICRO!E:L,8,0)</f>
        <v>#N/A</v>
      </c>
    </row>
    <row r="1705" spans="1:14" ht="20.25" x14ac:dyDescent="0.25">
      <c r="A1705" s="1">
        <v>7</v>
      </c>
      <c r="B1705" s="159">
        <v>3131</v>
      </c>
      <c r="C1705" s="1" t="s">
        <v>1367</v>
      </c>
      <c r="D1705" s="1"/>
      <c r="E1705" s="1" t="s">
        <v>461</v>
      </c>
      <c r="F1705" s="1" t="s">
        <v>1374</v>
      </c>
      <c r="G1705" s="1">
        <v>2</v>
      </c>
      <c r="H1705" s="1" t="s">
        <v>19</v>
      </c>
      <c r="I1705" s="1" t="s">
        <v>1300</v>
      </c>
      <c r="J1705" s="1">
        <v>0.65</v>
      </c>
      <c r="K1705" s="1">
        <v>1.3</v>
      </c>
      <c r="L1705" s="42">
        <v>6</v>
      </c>
      <c r="M1705" s="43"/>
      <c r="N1705" s="1" t="e">
        <f>VLOOKUP(B1705,MICRO!E:L,8,0)</f>
        <v>#N/A</v>
      </c>
    </row>
    <row r="1706" spans="1:14" ht="20.25" x14ac:dyDescent="0.25">
      <c r="A1706" s="1">
        <v>8</v>
      </c>
      <c r="B1706" s="159">
        <v>3132</v>
      </c>
      <c r="C1706" s="1" t="s">
        <v>1367</v>
      </c>
      <c r="D1706" s="1"/>
      <c r="E1706" s="1" t="s">
        <v>2</v>
      </c>
      <c r="F1706" s="1" t="s">
        <v>1368</v>
      </c>
      <c r="G1706" s="1">
        <v>2</v>
      </c>
      <c r="H1706" s="1" t="s">
        <v>19</v>
      </c>
      <c r="I1706" s="1" t="s">
        <v>1295</v>
      </c>
      <c r="J1706" s="1">
        <v>9.1</v>
      </c>
      <c r="K1706" s="1">
        <v>18.2</v>
      </c>
      <c r="L1706" s="42">
        <v>6</v>
      </c>
      <c r="M1706" s="43"/>
      <c r="N1706" s="1" t="e">
        <f>VLOOKUP(B1706,MICRO!E:L,8,0)</f>
        <v>#N/A</v>
      </c>
    </row>
    <row r="1707" spans="1:14" ht="20.25" x14ac:dyDescent="0.25">
      <c r="A1707" s="1">
        <v>9</v>
      </c>
      <c r="B1707" s="159">
        <v>3133</v>
      </c>
      <c r="C1707" s="1" t="s">
        <v>1367</v>
      </c>
      <c r="D1707" s="1"/>
      <c r="E1707" s="1" t="s">
        <v>43</v>
      </c>
      <c r="F1707" s="1" t="s">
        <v>1369</v>
      </c>
      <c r="G1707" s="1">
        <v>2</v>
      </c>
      <c r="H1707" s="1" t="s">
        <v>19</v>
      </c>
      <c r="I1707" s="1" t="s">
        <v>1295</v>
      </c>
      <c r="J1707" s="1">
        <v>1</v>
      </c>
      <c r="K1707" s="1">
        <v>2</v>
      </c>
      <c r="L1707" s="42">
        <v>6</v>
      </c>
      <c r="M1707" s="43"/>
      <c r="N1707" s="1" t="e">
        <f>VLOOKUP(B1707,MICRO!E:L,8,0)</f>
        <v>#N/A</v>
      </c>
    </row>
    <row r="1708" spans="1:14" ht="20.25" x14ac:dyDescent="0.25">
      <c r="A1708" s="1">
        <v>10</v>
      </c>
      <c r="B1708" s="159">
        <v>3134</v>
      </c>
      <c r="C1708" s="1" t="s">
        <v>1367</v>
      </c>
      <c r="D1708" s="1"/>
      <c r="E1708" s="1" t="s">
        <v>746</v>
      </c>
      <c r="F1708" s="1" t="s">
        <v>1370</v>
      </c>
      <c r="G1708" s="1">
        <v>2</v>
      </c>
      <c r="H1708" s="1" t="s">
        <v>19</v>
      </c>
      <c r="I1708" s="1" t="s">
        <v>1295</v>
      </c>
      <c r="J1708" s="1">
        <v>1.3</v>
      </c>
      <c r="K1708" s="1">
        <v>2.6</v>
      </c>
      <c r="L1708" s="42">
        <v>6</v>
      </c>
      <c r="M1708" s="43"/>
      <c r="N1708" s="1" t="e">
        <f>VLOOKUP(B1708,MICRO!E:L,8,0)</f>
        <v>#N/A</v>
      </c>
    </row>
    <row r="1709" spans="1:14" ht="20.25" x14ac:dyDescent="0.25">
      <c r="A1709" s="1">
        <v>11</v>
      </c>
      <c r="B1709" s="159">
        <v>3135</v>
      </c>
      <c r="C1709" s="1" t="s">
        <v>1367</v>
      </c>
      <c r="D1709" s="1"/>
      <c r="E1709" s="1" t="s">
        <v>1101</v>
      </c>
      <c r="F1709" s="1" t="s">
        <v>2577</v>
      </c>
      <c r="G1709" s="1">
        <v>2</v>
      </c>
      <c r="H1709" s="1" t="s">
        <v>19</v>
      </c>
      <c r="I1709" s="1" t="s">
        <v>1295</v>
      </c>
      <c r="J1709" s="1">
        <v>1.2</v>
      </c>
      <c r="K1709" s="1">
        <v>2.4</v>
      </c>
      <c r="L1709" s="42">
        <v>6</v>
      </c>
      <c r="M1709" s="43"/>
      <c r="N1709" s="1" t="e">
        <f>VLOOKUP(B1709,MICRO!E:L,8,0)</f>
        <v>#N/A</v>
      </c>
    </row>
    <row r="1710" spans="1:14" ht="20.25" x14ac:dyDescent="0.25">
      <c r="A1710" s="1">
        <v>12</v>
      </c>
      <c r="B1710" s="159">
        <v>3136</v>
      </c>
      <c r="C1710" s="1" t="s">
        <v>1367</v>
      </c>
      <c r="D1710" s="1"/>
      <c r="E1710" s="1" t="s">
        <v>100</v>
      </c>
      <c r="F1710" s="1" t="s">
        <v>2578</v>
      </c>
      <c r="G1710" s="1">
        <v>2</v>
      </c>
      <c r="H1710" s="1" t="s">
        <v>19</v>
      </c>
      <c r="I1710" s="1" t="s">
        <v>1295</v>
      </c>
      <c r="J1710" s="1">
        <v>9.1999999999999993</v>
      </c>
      <c r="K1710" s="1">
        <v>18.399999999999999</v>
      </c>
      <c r="L1710" s="42">
        <v>6</v>
      </c>
      <c r="M1710" s="43"/>
      <c r="N1710" s="1" t="e">
        <f>VLOOKUP(B1710,MICRO!E:L,8,0)</f>
        <v>#N/A</v>
      </c>
    </row>
    <row r="1711" spans="1:14" ht="20.25" x14ac:dyDescent="0.25">
      <c r="A1711" s="1">
        <v>13</v>
      </c>
      <c r="B1711" s="159">
        <v>3137</v>
      </c>
      <c r="C1711" s="1" t="s">
        <v>1367</v>
      </c>
      <c r="D1711" s="1"/>
      <c r="E1711" s="1" t="s">
        <v>173</v>
      </c>
      <c r="F1711" s="1" t="s">
        <v>1373</v>
      </c>
      <c r="G1711" s="1">
        <v>2</v>
      </c>
      <c r="H1711" s="1" t="s">
        <v>19</v>
      </c>
      <c r="I1711" s="1" t="s">
        <v>1295</v>
      </c>
      <c r="J1711" s="1">
        <v>3.2</v>
      </c>
      <c r="K1711" s="1">
        <v>6.4</v>
      </c>
      <c r="L1711" s="42">
        <v>6</v>
      </c>
      <c r="M1711" s="43"/>
      <c r="N1711" s="1" t="e">
        <f>VLOOKUP(B1711,MICRO!E:L,8,0)</f>
        <v>#N/A</v>
      </c>
    </row>
    <row r="1712" spans="1:14" ht="20.25" x14ac:dyDescent="0.25">
      <c r="A1712" s="1">
        <v>14</v>
      </c>
      <c r="B1712" s="159">
        <v>3138</v>
      </c>
      <c r="C1712" s="1" t="s">
        <v>1367</v>
      </c>
      <c r="D1712" s="1"/>
      <c r="E1712" s="1" t="s">
        <v>461</v>
      </c>
      <c r="F1712" s="1" t="s">
        <v>1374</v>
      </c>
      <c r="G1712" s="1">
        <v>2</v>
      </c>
      <c r="H1712" s="1" t="s">
        <v>19</v>
      </c>
      <c r="I1712" s="1" t="s">
        <v>1295</v>
      </c>
      <c r="J1712" s="1">
        <v>0.65</v>
      </c>
      <c r="K1712" s="1">
        <v>1.3</v>
      </c>
      <c r="L1712" s="42">
        <v>6</v>
      </c>
      <c r="M1712" s="43"/>
      <c r="N1712" s="1" t="e">
        <f>VLOOKUP(B1712,MICRO!E:L,8,0)</f>
        <v>#N/A</v>
      </c>
    </row>
    <row r="1713" spans="1:14" ht="20.25" x14ac:dyDescent="0.25">
      <c r="A1713" s="1">
        <v>15</v>
      </c>
      <c r="B1713" s="159">
        <v>3139</v>
      </c>
      <c r="C1713" s="1" t="s">
        <v>1367</v>
      </c>
      <c r="D1713" s="1"/>
      <c r="E1713" s="1" t="s">
        <v>2</v>
      </c>
      <c r="F1713" s="1" t="s">
        <v>1368</v>
      </c>
      <c r="G1713" s="1">
        <v>2</v>
      </c>
      <c r="H1713" s="1" t="s">
        <v>19</v>
      </c>
      <c r="I1713" s="1" t="s">
        <v>1301</v>
      </c>
      <c r="J1713" s="1">
        <v>9.1</v>
      </c>
      <c r="K1713" s="1">
        <v>18.2</v>
      </c>
      <c r="L1713" s="42">
        <v>6</v>
      </c>
      <c r="M1713" s="43"/>
      <c r="N1713" s="1" t="e">
        <f>VLOOKUP(B1713,MICRO!E:L,8,0)</f>
        <v>#N/A</v>
      </c>
    </row>
    <row r="1714" spans="1:14" ht="20.25" x14ac:dyDescent="0.25">
      <c r="A1714" s="1">
        <v>16</v>
      </c>
      <c r="B1714" s="159">
        <v>3140</v>
      </c>
      <c r="C1714" s="1" t="s">
        <v>1367</v>
      </c>
      <c r="D1714" s="1"/>
      <c r="E1714" s="1" t="s">
        <v>43</v>
      </c>
      <c r="F1714" s="1" t="s">
        <v>1369</v>
      </c>
      <c r="G1714" s="1">
        <v>2</v>
      </c>
      <c r="H1714" s="1" t="s">
        <v>19</v>
      </c>
      <c r="I1714" s="1" t="s">
        <v>1301</v>
      </c>
      <c r="J1714" s="1">
        <v>1</v>
      </c>
      <c r="K1714" s="1">
        <v>2</v>
      </c>
      <c r="L1714" s="42">
        <v>6</v>
      </c>
      <c r="M1714" s="43"/>
      <c r="N1714" s="1" t="e">
        <f>VLOOKUP(B1714,MICRO!E:L,8,0)</f>
        <v>#N/A</v>
      </c>
    </row>
    <row r="1715" spans="1:14" ht="20.25" x14ac:dyDescent="0.25">
      <c r="A1715" s="1">
        <v>17</v>
      </c>
      <c r="B1715" s="159">
        <v>3141</v>
      </c>
      <c r="C1715" s="1" t="s">
        <v>1367</v>
      </c>
      <c r="D1715" s="1"/>
      <c r="E1715" s="1" t="s">
        <v>746</v>
      </c>
      <c r="F1715" s="1" t="s">
        <v>2576</v>
      </c>
      <c r="G1715" s="1">
        <v>2</v>
      </c>
      <c r="H1715" s="1" t="s">
        <v>19</v>
      </c>
      <c r="I1715" s="1" t="s">
        <v>1301</v>
      </c>
      <c r="J1715" s="1">
        <v>1.3</v>
      </c>
      <c r="K1715" s="1">
        <v>2.6</v>
      </c>
      <c r="L1715" s="42">
        <v>6</v>
      </c>
      <c r="M1715" s="43"/>
      <c r="N1715" s="1" t="e">
        <f>VLOOKUP(B1715,MICRO!E:L,8,0)</f>
        <v>#N/A</v>
      </c>
    </row>
    <row r="1716" spans="1:14" ht="20.25" x14ac:dyDescent="0.25">
      <c r="A1716" s="1">
        <v>18</v>
      </c>
      <c r="B1716" s="159">
        <v>3142</v>
      </c>
      <c r="C1716" s="1" t="s">
        <v>1367</v>
      </c>
      <c r="D1716" s="1"/>
      <c r="E1716" s="1" t="s">
        <v>1101</v>
      </c>
      <c r="F1716" s="1" t="s">
        <v>2577</v>
      </c>
      <c r="G1716" s="1">
        <v>2</v>
      </c>
      <c r="H1716" s="1" t="s">
        <v>19</v>
      </c>
      <c r="I1716" s="1" t="s">
        <v>1301</v>
      </c>
      <c r="J1716" s="1">
        <v>1.2</v>
      </c>
      <c r="K1716" s="1">
        <v>2.4</v>
      </c>
      <c r="L1716" s="42">
        <v>6</v>
      </c>
      <c r="M1716" s="43"/>
      <c r="N1716" s="1" t="e">
        <f>VLOOKUP(B1716,MICRO!E:L,8,0)</f>
        <v>#N/A</v>
      </c>
    </row>
    <row r="1717" spans="1:14" ht="20.25" x14ac:dyDescent="0.25">
      <c r="A1717" s="1">
        <v>19</v>
      </c>
      <c r="B1717" s="159">
        <v>3143</v>
      </c>
      <c r="C1717" s="1" t="s">
        <v>1367</v>
      </c>
      <c r="D1717" s="1"/>
      <c r="E1717" s="1" t="s">
        <v>100</v>
      </c>
      <c r="F1717" s="1" t="s">
        <v>2578</v>
      </c>
      <c r="G1717" s="1">
        <v>2</v>
      </c>
      <c r="H1717" s="1" t="s">
        <v>19</v>
      </c>
      <c r="I1717" s="1" t="s">
        <v>1301</v>
      </c>
      <c r="J1717" s="1">
        <v>9.1999999999999993</v>
      </c>
      <c r="K1717" s="1">
        <v>18.399999999999999</v>
      </c>
      <c r="L1717" s="42">
        <v>6</v>
      </c>
      <c r="M1717" s="43"/>
      <c r="N1717" s="1" t="e">
        <f>VLOOKUP(B1717,MICRO!E:L,8,0)</f>
        <v>#N/A</v>
      </c>
    </row>
    <row r="1718" spans="1:14" ht="20.25" x14ac:dyDescent="0.25">
      <c r="A1718" s="1">
        <v>20</v>
      </c>
      <c r="B1718" s="159">
        <v>3144</v>
      </c>
      <c r="C1718" s="1" t="s">
        <v>1367</v>
      </c>
      <c r="D1718" s="1"/>
      <c r="E1718" s="1" t="s">
        <v>173</v>
      </c>
      <c r="F1718" s="1" t="s">
        <v>1373</v>
      </c>
      <c r="G1718" s="1">
        <v>2</v>
      </c>
      <c r="H1718" s="1" t="s">
        <v>19</v>
      </c>
      <c r="I1718" s="1" t="s">
        <v>1301</v>
      </c>
      <c r="J1718" s="1">
        <v>3.2</v>
      </c>
      <c r="K1718" s="1">
        <v>6.4</v>
      </c>
      <c r="L1718" s="42">
        <v>6</v>
      </c>
      <c r="M1718" s="43"/>
      <c r="N1718" s="1" t="e">
        <f>VLOOKUP(B1718,MICRO!E:L,8,0)</f>
        <v>#N/A</v>
      </c>
    </row>
    <row r="1719" spans="1:14" ht="20.25" x14ac:dyDescent="0.25">
      <c r="A1719" s="1">
        <v>21</v>
      </c>
      <c r="B1719" s="159">
        <v>3145</v>
      </c>
      <c r="C1719" s="1" t="s">
        <v>1367</v>
      </c>
      <c r="D1719" s="1"/>
      <c r="E1719" s="1" t="s">
        <v>461</v>
      </c>
      <c r="F1719" s="1" t="s">
        <v>1374</v>
      </c>
      <c r="G1719" s="1">
        <v>2</v>
      </c>
      <c r="H1719" s="1" t="s">
        <v>19</v>
      </c>
      <c r="I1719" s="1" t="s">
        <v>1301</v>
      </c>
      <c r="J1719" s="1">
        <v>0.65</v>
      </c>
      <c r="K1719" s="1">
        <v>1.3</v>
      </c>
      <c r="L1719" s="42">
        <v>6</v>
      </c>
      <c r="M1719" s="43"/>
      <c r="N1719" s="1" t="e">
        <f>VLOOKUP(B1719,MICRO!E:L,8,0)</f>
        <v>#N/A</v>
      </c>
    </row>
    <row r="1720" spans="1:14" ht="20.25" x14ac:dyDescent="0.25">
      <c r="A1720" s="1">
        <v>22</v>
      </c>
      <c r="B1720" s="159">
        <v>3146</v>
      </c>
      <c r="C1720" s="1" t="s">
        <v>1367</v>
      </c>
      <c r="D1720" s="1"/>
      <c r="E1720" s="1" t="s">
        <v>2</v>
      </c>
      <c r="F1720" s="1" t="s">
        <v>1368</v>
      </c>
      <c r="G1720" s="1">
        <v>2</v>
      </c>
      <c r="H1720" s="1" t="s">
        <v>19</v>
      </c>
      <c r="I1720" s="1" t="s">
        <v>1290</v>
      </c>
      <c r="J1720" s="1">
        <v>9.1</v>
      </c>
      <c r="K1720" s="1">
        <v>18.2</v>
      </c>
      <c r="L1720" s="42">
        <v>6</v>
      </c>
      <c r="M1720" s="43"/>
      <c r="N1720" s="1" t="e">
        <f>VLOOKUP(B1720,MICRO!E:L,8,0)</f>
        <v>#N/A</v>
      </c>
    </row>
    <row r="1721" spans="1:14" ht="20.25" x14ac:dyDescent="0.25">
      <c r="A1721" s="1">
        <v>23</v>
      </c>
      <c r="B1721" s="159">
        <v>3147</v>
      </c>
      <c r="C1721" s="1" t="s">
        <v>1367</v>
      </c>
      <c r="D1721" s="1"/>
      <c r="E1721" s="1" t="s">
        <v>43</v>
      </c>
      <c r="F1721" s="1" t="s">
        <v>1369</v>
      </c>
      <c r="G1721" s="1">
        <v>2</v>
      </c>
      <c r="H1721" s="1" t="s">
        <v>19</v>
      </c>
      <c r="I1721" s="1" t="s">
        <v>1290</v>
      </c>
      <c r="J1721" s="1">
        <v>1</v>
      </c>
      <c r="K1721" s="1">
        <v>2</v>
      </c>
      <c r="L1721" s="42">
        <v>6</v>
      </c>
      <c r="M1721" s="43"/>
      <c r="N1721" s="1" t="e">
        <f>VLOOKUP(B1721,MICRO!E:L,8,0)</f>
        <v>#N/A</v>
      </c>
    </row>
    <row r="1722" spans="1:14" ht="20.25" x14ac:dyDescent="0.25">
      <c r="A1722" s="1">
        <v>24</v>
      </c>
      <c r="B1722" s="159">
        <v>3148</v>
      </c>
      <c r="C1722" s="1" t="s">
        <v>1367</v>
      </c>
      <c r="D1722" s="1"/>
      <c r="E1722" s="1" t="s">
        <v>746</v>
      </c>
      <c r="F1722" s="1" t="s">
        <v>1370</v>
      </c>
      <c r="G1722" s="1">
        <v>2</v>
      </c>
      <c r="H1722" s="1" t="s">
        <v>19</v>
      </c>
      <c r="I1722" s="1" t="s">
        <v>1290</v>
      </c>
      <c r="J1722" s="1">
        <v>1.3</v>
      </c>
      <c r="K1722" s="1">
        <v>2.6</v>
      </c>
      <c r="L1722" s="42">
        <v>6</v>
      </c>
      <c r="M1722" s="43"/>
      <c r="N1722" s="1" t="e">
        <f>VLOOKUP(B1722,MICRO!E:L,8,0)</f>
        <v>#N/A</v>
      </c>
    </row>
    <row r="1723" spans="1:14" ht="20.25" x14ac:dyDescent="0.25">
      <c r="A1723" s="1">
        <v>25</v>
      </c>
      <c r="B1723" s="159">
        <v>3149</v>
      </c>
      <c r="C1723" s="1" t="s">
        <v>1367</v>
      </c>
      <c r="D1723" s="1"/>
      <c r="E1723" s="1" t="s">
        <v>1101</v>
      </c>
      <c r="F1723" s="1" t="s">
        <v>1371</v>
      </c>
      <c r="G1723" s="1">
        <v>2</v>
      </c>
      <c r="H1723" s="1" t="s">
        <v>19</v>
      </c>
      <c r="I1723" s="1" t="s">
        <v>1290</v>
      </c>
      <c r="J1723" s="1">
        <v>1.2</v>
      </c>
      <c r="K1723" s="1">
        <v>2.4</v>
      </c>
      <c r="L1723" s="42">
        <v>6</v>
      </c>
      <c r="M1723" s="43"/>
      <c r="N1723" s="1" t="e">
        <f>VLOOKUP(B1723,MICRO!E:L,8,0)</f>
        <v>#N/A</v>
      </c>
    </row>
    <row r="1724" spans="1:14" ht="20.25" x14ac:dyDescent="0.25">
      <c r="A1724" s="1">
        <v>26</v>
      </c>
      <c r="B1724" s="159">
        <v>3150</v>
      </c>
      <c r="C1724" s="1" t="s">
        <v>1367</v>
      </c>
      <c r="D1724" s="1"/>
      <c r="E1724" s="1" t="s">
        <v>100</v>
      </c>
      <c r="F1724" s="1" t="s">
        <v>1372</v>
      </c>
      <c r="G1724" s="1">
        <v>2</v>
      </c>
      <c r="H1724" s="1" t="s">
        <v>19</v>
      </c>
      <c r="I1724" s="1" t="s">
        <v>1290</v>
      </c>
      <c r="J1724" s="1">
        <v>9.1999999999999993</v>
      </c>
      <c r="K1724" s="1">
        <v>18.399999999999999</v>
      </c>
      <c r="L1724" s="42">
        <v>6</v>
      </c>
      <c r="M1724" s="43"/>
      <c r="N1724" s="1" t="e">
        <f>VLOOKUP(B1724,MICRO!E:L,8,0)</f>
        <v>#N/A</v>
      </c>
    </row>
    <row r="1725" spans="1:14" ht="20.25" x14ac:dyDescent="0.25">
      <c r="A1725" s="1">
        <v>27</v>
      </c>
      <c r="B1725" s="159">
        <v>3151</v>
      </c>
      <c r="C1725" s="1" t="s">
        <v>1367</v>
      </c>
      <c r="D1725" s="1"/>
      <c r="E1725" s="1" t="s">
        <v>173</v>
      </c>
      <c r="F1725" s="1" t="s">
        <v>1373</v>
      </c>
      <c r="G1725" s="1">
        <v>2</v>
      </c>
      <c r="H1725" s="1" t="s">
        <v>19</v>
      </c>
      <c r="I1725" s="1" t="s">
        <v>1290</v>
      </c>
      <c r="J1725" s="1">
        <v>3.2</v>
      </c>
      <c r="K1725" s="1">
        <v>6.4</v>
      </c>
      <c r="L1725" s="42">
        <v>6</v>
      </c>
      <c r="M1725" s="43"/>
      <c r="N1725" s="1" t="e">
        <f>VLOOKUP(B1725,MICRO!E:L,8,0)</f>
        <v>#N/A</v>
      </c>
    </row>
    <row r="1726" spans="1:14" ht="20.25" x14ac:dyDescent="0.25">
      <c r="A1726" s="1">
        <v>28</v>
      </c>
      <c r="B1726" s="159">
        <v>3152</v>
      </c>
      <c r="C1726" s="1" t="s">
        <v>1367</v>
      </c>
      <c r="D1726" s="1"/>
      <c r="E1726" s="1" t="s">
        <v>461</v>
      </c>
      <c r="F1726" s="1" t="s">
        <v>1374</v>
      </c>
      <c r="G1726" s="1">
        <v>2</v>
      </c>
      <c r="H1726" s="1" t="s">
        <v>19</v>
      </c>
      <c r="I1726" s="1" t="s">
        <v>1290</v>
      </c>
      <c r="J1726" s="1">
        <v>0.65</v>
      </c>
      <c r="K1726" s="1">
        <v>1.3</v>
      </c>
      <c r="L1726" s="42">
        <v>6</v>
      </c>
      <c r="M1726" s="43"/>
      <c r="N1726" s="1" t="e">
        <f>VLOOKUP(B1726,MICRO!E:L,8,0)</f>
        <v>#N/A</v>
      </c>
    </row>
    <row r="1727" spans="1:14" ht="20.25" x14ac:dyDescent="0.25">
      <c r="A1727" s="1">
        <v>29</v>
      </c>
      <c r="B1727" s="159">
        <v>3176</v>
      </c>
      <c r="C1727" s="1" t="s">
        <v>1379</v>
      </c>
      <c r="D1727" s="1"/>
      <c r="E1727" s="1" t="s">
        <v>2</v>
      </c>
      <c r="F1727" s="1" t="s">
        <v>1378</v>
      </c>
      <c r="G1727" s="1">
        <v>2</v>
      </c>
      <c r="H1727" s="1" t="s">
        <v>19</v>
      </c>
      <c r="I1727" s="1" t="s">
        <v>1300</v>
      </c>
      <c r="J1727" s="1">
        <v>179.6</v>
      </c>
      <c r="K1727" s="1">
        <v>359.2</v>
      </c>
      <c r="L1727" s="42">
        <v>6</v>
      </c>
      <c r="M1727" s="43"/>
      <c r="N1727" s="1" t="e">
        <f>VLOOKUP(B1727,MICRO!E:L,8,0)</f>
        <v>#N/A</v>
      </c>
    </row>
    <row r="1728" spans="1:14" ht="20.25" x14ac:dyDescent="0.25">
      <c r="A1728" s="1">
        <v>30</v>
      </c>
      <c r="B1728" s="159">
        <v>3240</v>
      </c>
      <c r="C1728" s="1" t="s">
        <v>1392</v>
      </c>
      <c r="D1728" s="1"/>
      <c r="E1728" s="1" t="s">
        <v>2</v>
      </c>
      <c r="F1728" s="1" t="s">
        <v>1387</v>
      </c>
      <c r="G1728" s="1">
        <v>1</v>
      </c>
      <c r="H1728" s="1" t="s">
        <v>19</v>
      </c>
      <c r="I1728" s="1" t="s">
        <v>1290</v>
      </c>
      <c r="J1728" s="1">
        <v>315</v>
      </c>
      <c r="K1728" s="1">
        <v>315</v>
      </c>
      <c r="L1728" s="42">
        <v>6</v>
      </c>
      <c r="M1728" s="43"/>
      <c r="N1728" s="1" t="e">
        <f>VLOOKUP(B1728,MICRO!E:L,8,0)</f>
        <v>#N/A</v>
      </c>
    </row>
    <row r="1729" spans="1:14" ht="20.25" x14ac:dyDescent="0.25">
      <c r="A1729" s="1">
        <v>31</v>
      </c>
      <c r="B1729" s="159">
        <v>3253</v>
      </c>
      <c r="C1729" s="1" t="s">
        <v>1847</v>
      </c>
      <c r="D1729" s="1"/>
      <c r="E1729" s="1" t="s">
        <v>2</v>
      </c>
      <c r="F1729" s="1" t="s">
        <v>1848</v>
      </c>
      <c r="G1729" s="1">
        <v>1</v>
      </c>
      <c r="H1729" s="1" t="s">
        <v>19</v>
      </c>
      <c r="I1729" s="1" t="s">
        <v>1301</v>
      </c>
      <c r="J1729" s="1">
        <v>170.4</v>
      </c>
      <c r="K1729" s="1">
        <v>170.4</v>
      </c>
      <c r="L1729" s="42">
        <v>6</v>
      </c>
      <c r="M1729" s="43"/>
      <c r="N1729" s="1" t="e">
        <f>VLOOKUP(B1729,MICRO!E:L,8,0)</f>
        <v>#N/A</v>
      </c>
    </row>
    <row r="1730" spans="1:14" ht="20.25" x14ac:dyDescent="0.25">
      <c r="A1730" s="1">
        <v>32</v>
      </c>
      <c r="B1730" s="159"/>
      <c r="C1730" s="1" t="s">
        <v>2060</v>
      </c>
      <c r="D1730" s="1" t="s">
        <v>2579</v>
      </c>
      <c r="E1730" s="1"/>
      <c r="F1730" s="1" t="s">
        <v>2580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2">
        <v>6</v>
      </c>
      <c r="M1730" s="43"/>
      <c r="N1730" s="1" t="e">
        <f>VLOOKUP(B1730,MICRO!E:L,8,0)</f>
        <v>#N/A</v>
      </c>
    </row>
    <row r="1731" spans="1:14" ht="20.25" x14ac:dyDescent="0.25">
      <c r="A1731" s="1">
        <v>33</v>
      </c>
      <c r="B1731" s="159"/>
      <c r="C1731" s="1" t="s">
        <v>2060</v>
      </c>
      <c r="D1731" s="1" t="s">
        <v>2579</v>
      </c>
      <c r="E1731" s="1"/>
      <c r="F1731" s="1" t="s">
        <v>2581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2">
        <v>6</v>
      </c>
      <c r="M1731" s="43"/>
      <c r="N1731" s="1" t="e">
        <f>VLOOKUP(B1731,MICRO!E:L,8,0)</f>
        <v>#N/A</v>
      </c>
    </row>
    <row r="1732" spans="1:14" ht="20.25" x14ac:dyDescent="0.25">
      <c r="A1732" s="1">
        <v>34</v>
      </c>
      <c r="B1732" s="159"/>
      <c r="C1732" s="1" t="s">
        <v>2060</v>
      </c>
      <c r="D1732" s="1" t="s">
        <v>2579</v>
      </c>
      <c r="E1732" s="1"/>
      <c r="F1732" s="1" t="s">
        <v>2582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2">
        <v>6</v>
      </c>
      <c r="M1732" s="43"/>
      <c r="N1732" s="1" t="e">
        <f>VLOOKUP(B1732,MICRO!E:L,8,0)</f>
        <v>#N/A</v>
      </c>
    </row>
    <row r="1733" spans="1:14" ht="20.25" x14ac:dyDescent="0.25">
      <c r="A1733" s="1">
        <v>35</v>
      </c>
      <c r="B1733" s="159"/>
      <c r="C1733" s="1" t="s">
        <v>2583</v>
      </c>
      <c r="D1733" s="1" t="s">
        <v>2584</v>
      </c>
      <c r="E1733" s="1"/>
      <c r="F1733" s="1" t="s">
        <v>2585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2">
        <v>6</v>
      </c>
      <c r="M1733" s="43"/>
      <c r="N1733" s="1" t="e">
        <f>VLOOKUP(B1733,MICRO!E:L,8,0)</f>
        <v>#N/A</v>
      </c>
    </row>
    <row r="1734" spans="1:14" ht="20.25" x14ac:dyDescent="0.25">
      <c r="A1734" s="1">
        <v>36</v>
      </c>
      <c r="B1734" s="159"/>
      <c r="C1734" s="1" t="s">
        <v>2583</v>
      </c>
      <c r="D1734" s="1" t="s">
        <v>2584</v>
      </c>
      <c r="E1734" s="1"/>
      <c r="F1734" s="1" t="s">
        <v>2586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2">
        <v>6</v>
      </c>
      <c r="M1734" s="43"/>
      <c r="N1734" s="1" t="e">
        <f>VLOOKUP(B1734,MICRO!E:L,8,0)</f>
        <v>#N/A</v>
      </c>
    </row>
    <row r="1735" spans="1:14" ht="20.25" x14ac:dyDescent="0.25">
      <c r="A1735" s="1">
        <v>37</v>
      </c>
      <c r="B1735" s="159"/>
      <c r="C1735" s="1" t="s">
        <v>2583</v>
      </c>
      <c r="D1735" s="1" t="s">
        <v>2584</v>
      </c>
      <c r="E1735" s="1"/>
      <c r="F1735" s="1" t="s">
        <v>2587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2">
        <v>6</v>
      </c>
      <c r="M1735" s="43"/>
      <c r="N1735" s="1" t="e">
        <f>VLOOKUP(B1735,MICRO!E:L,8,0)</f>
        <v>#N/A</v>
      </c>
    </row>
    <row r="1736" spans="1:14" ht="20.25" x14ac:dyDescent="0.25">
      <c r="A1736" s="1">
        <v>38</v>
      </c>
      <c r="B1736" s="159"/>
      <c r="C1736" s="1" t="s">
        <v>2588</v>
      </c>
      <c r="D1736" s="1" t="s">
        <v>2589</v>
      </c>
      <c r="E1736" s="1"/>
      <c r="F1736" s="1" t="s">
        <v>2590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2">
        <v>6</v>
      </c>
      <c r="M1736" s="43"/>
      <c r="N1736" s="1" t="e">
        <f>VLOOKUP(B1736,MICRO!E:L,8,0)</f>
        <v>#N/A</v>
      </c>
    </row>
    <row r="1737" spans="1:14" ht="20.25" x14ac:dyDescent="0.25">
      <c r="A1737" s="1">
        <v>39</v>
      </c>
      <c r="B1737" s="159"/>
      <c r="C1737" s="1" t="s">
        <v>2588</v>
      </c>
      <c r="D1737" s="1" t="s">
        <v>2589</v>
      </c>
      <c r="E1737" s="1"/>
      <c r="F1737" s="1" t="s">
        <v>2591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2">
        <v>6</v>
      </c>
      <c r="M1737" s="43"/>
      <c r="N1737" s="1" t="e">
        <f>VLOOKUP(B1737,MICRO!E:L,8,0)</f>
        <v>#N/A</v>
      </c>
    </row>
    <row r="1738" spans="1:14" ht="20.25" x14ac:dyDescent="0.25">
      <c r="A1738" s="1">
        <v>40</v>
      </c>
      <c r="B1738" s="159"/>
      <c r="C1738" s="1" t="s">
        <v>2588</v>
      </c>
      <c r="D1738" s="1" t="s">
        <v>2589</v>
      </c>
      <c r="E1738" s="1"/>
      <c r="F1738" s="1" t="s">
        <v>2592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2">
        <v>6</v>
      </c>
      <c r="M1738" s="43"/>
      <c r="N1738" s="1" t="e">
        <f>VLOOKUP(B1738,MICRO!E:L,8,0)</f>
        <v>#N/A</v>
      </c>
    </row>
    <row r="1739" spans="1:14" ht="20.25" x14ac:dyDescent="0.25">
      <c r="A1739" s="1">
        <v>41</v>
      </c>
      <c r="B1739" s="159"/>
      <c r="C1739" s="1" t="s">
        <v>2593</v>
      </c>
      <c r="D1739" s="1" t="s">
        <v>2594</v>
      </c>
      <c r="E1739" s="1"/>
      <c r="F1739" s="1" t="s">
        <v>2595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2">
        <v>6</v>
      </c>
      <c r="M1739" s="43"/>
      <c r="N1739" s="1" t="e">
        <f>VLOOKUP(B1739,MICRO!E:L,8,0)</f>
        <v>#N/A</v>
      </c>
    </row>
    <row r="1740" spans="1:14" ht="20.25" x14ac:dyDescent="0.25">
      <c r="A1740" s="1">
        <v>42</v>
      </c>
      <c r="B1740" s="159"/>
      <c r="C1740" s="1" t="s">
        <v>2593</v>
      </c>
      <c r="D1740" s="1" t="s">
        <v>2594</v>
      </c>
      <c r="E1740" s="1"/>
      <c r="F1740" s="1" t="s">
        <v>2596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2">
        <v>6</v>
      </c>
      <c r="M1740" s="43"/>
      <c r="N1740" s="1" t="e">
        <f>VLOOKUP(B1740,MICRO!E:L,8,0)</f>
        <v>#N/A</v>
      </c>
    </row>
    <row r="1741" spans="1:14" ht="20.25" x14ac:dyDescent="0.25">
      <c r="A1741" s="1">
        <v>43</v>
      </c>
      <c r="B1741" s="159"/>
      <c r="C1741" s="1" t="s">
        <v>2593</v>
      </c>
      <c r="D1741" s="1" t="s">
        <v>2594</v>
      </c>
      <c r="E1741" s="1"/>
      <c r="F1741" s="1" t="s">
        <v>2597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2">
        <v>6</v>
      </c>
      <c r="M1741" s="43"/>
      <c r="N1741" s="1" t="e">
        <f>VLOOKUP(B1741,MICRO!E:L,8,0)</f>
        <v>#N/A</v>
      </c>
    </row>
    <row r="1742" spans="1:14" ht="20.25" x14ac:dyDescent="0.25">
      <c r="A1742" s="1">
        <v>44</v>
      </c>
      <c r="B1742" s="159"/>
      <c r="C1742" s="1" t="s">
        <v>2598</v>
      </c>
      <c r="D1742" s="1" t="s">
        <v>2599</v>
      </c>
      <c r="E1742" s="1"/>
      <c r="F1742" s="1" t="s">
        <v>2600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2">
        <v>6</v>
      </c>
      <c r="M1742" s="43"/>
      <c r="N1742" s="1" t="e">
        <f>VLOOKUP(B1742,MICRO!E:L,8,0)</f>
        <v>#N/A</v>
      </c>
    </row>
    <row r="1743" spans="1:14" ht="20.25" x14ac:dyDescent="0.25">
      <c r="A1743" s="1">
        <v>45</v>
      </c>
      <c r="B1743" s="159"/>
      <c r="C1743" s="1" t="s">
        <v>2598</v>
      </c>
      <c r="D1743" s="1" t="s">
        <v>2599</v>
      </c>
      <c r="E1743" s="1"/>
      <c r="F1743" s="1" t="s">
        <v>2601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2">
        <v>6</v>
      </c>
      <c r="M1743" s="43"/>
      <c r="N1743" s="1" t="e">
        <f>VLOOKUP(B1743,MICRO!E:L,8,0)</f>
        <v>#N/A</v>
      </c>
    </row>
    <row r="1744" spans="1:14" ht="20.25" x14ac:dyDescent="0.25">
      <c r="A1744" s="1">
        <v>46</v>
      </c>
      <c r="B1744" s="159"/>
      <c r="C1744" s="1" t="s">
        <v>2598</v>
      </c>
      <c r="D1744" s="1" t="s">
        <v>2599</v>
      </c>
      <c r="E1744" s="1"/>
      <c r="F1744" s="1" t="s">
        <v>2602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2">
        <v>6</v>
      </c>
      <c r="M1744" s="43"/>
      <c r="N1744" s="1" t="e">
        <f>VLOOKUP(B1744,MICRO!E:L,8,0)</f>
        <v>#N/A</v>
      </c>
    </row>
    <row r="1745" spans="1:14" ht="20.25" x14ac:dyDescent="0.25">
      <c r="A1745" s="1">
        <v>47</v>
      </c>
      <c r="B1745" s="159"/>
      <c r="C1745" s="1" t="s">
        <v>2603</v>
      </c>
      <c r="D1745" s="1" t="s">
        <v>2604</v>
      </c>
      <c r="E1745" s="1"/>
      <c r="F1745" s="1" t="s">
        <v>2605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2">
        <v>6</v>
      </c>
      <c r="M1745" s="43"/>
      <c r="N1745" s="1" t="e">
        <f>VLOOKUP(B1745,MICRO!E:L,8,0)</f>
        <v>#N/A</v>
      </c>
    </row>
    <row r="1746" spans="1:14" ht="20.25" x14ac:dyDescent="0.25">
      <c r="A1746" s="1">
        <v>48</v>
      </c>
      <c r="B1746" s="159"/>
      <c r="C1746" s="1" t="s">
        <v>2603</v>
      </c>
      <c r="D1746" s="1" t="s">
        <v>2604</v>
      </c>
      <c r="E1746" s="1"/>
      <c r="F1746" s="1" t="s">
        <v>2606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2">
        <v>6</v>
      </c>
      <c r="M1746" s="43"/>
      <c r="N1746" s="1" t="e">
        <f>VLOOKUP(B1746,MICRO!E:L,8,0)</f>
        <v>#N/A</v>
      </c>
    </row>
    <row r="1747" spans="1:14" ht="20.25" x14ac:dyDescent="0.25">
      <c r="A1747" s="1">
        <v>49</v>
      </c>
      <c r="B1747" s="159"/>
      <c r="C1747" s="1" t="s">
        <v>2603</v>
      </c>
      <c r="D1747" s="1" t="s">
        <v>2604</v>
      </c>
      <c r="E1747" s="1"/>
      <c r="F1747" s="1" t="s">
        <v>2607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2">
        <v>6</v>
      </c>
      <c r="M1747" s="43"/>
      <c r="N1747" s="1" t="e">
        <f>VLOOKUP(B1747,MICRO!E:L,8,0)</f>
        <v>#N/A</v>
      </c>
    </row>
    <row r="1748" spans="1:14" ht="20.25" x14ac:dyDescent="0.25">
      <c r="A1748" s="1">
        <v>50</v>
      </c>
      <c r="B1748" s="159"/>
      <c r="C1748" s="1" t="s">
        <v>2608</v>
      </c>
      <c r="D1748" s="1" t="s">
        <v>2609</v>
      </c>
      <c r="E1748" s="1"/>
      <c r="F1748" s="1" t="s">
        <v>2610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2">
        <v>6</v>
      </c>
      <c r="M1748" s="43"/>
      <c r="N1748" s="1" t="e">
        <f>VLOOKUP(B1748,MICRO!E:L,8,0)</f>
        <v>#N/A</v>
      </c>
    </row>
    <row r="1749" spans="1:14" ht="20.25" x14ac:dyDescent="0.25">
      <c r="A1749" s="1">
        <v>51</v>
      </c>
      <c r="B1749" s="159"/>
      <c r="C1749" s="1" t="s">
        <v>2608</v>
      </c>
      <c r="D1749" s="1" t="s">
        <v>2609</v>
      </c>
      <c r="E1749" s="1"/>
      <c r="F1749" s="1" t="s">
        <v>2611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2">
        <v>6</v>
      </c>
      <c r="M1749" s="43"/>
      <c r="N1749" s="1" t="e">
        <f>VLOOKUP(B1749,MICRO!E:L,8,0)</f>
        <v>#N/A</v>
      </c>
    </row>
    <row r="1750" spans="1:14" ht="20.25" x14ac:dyDescent="0.25">
      <c r="A1750" s="1">
        <v>52</v>
      </c>
      <c r="B1750" s="159"/>
      <c r="C1750" s="1" t="s">
        <v>2608</v>
      </c>
      <c r="D1750" s="1" t="s">
        <v>2609</v>
      </c>
      <c r="E1750" s="1"/>
      <c r="F1750" s="1" t="s">
        <v>2612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2">
        <v>6</v>
      </c>
      <c r="M1750" s="43"/>
      <c r="N1750" s="1" t="e">
        <f>VLOOKUP(B1750,MICRO!E:L,8,0)</f>
        <v>#N/A</v>
      </c>
    </row>
    <row r="1751" spans="1:14" ht="20.25" x14ac:dyDescent="0.25">
      <c r="A1751" s="1">
        <v>53</v>
      </c>
      <c r="B1751" s="159"/>
      <c r="C1751" s="1" t="s">
        <v>2613</v>
      </c>
      <c r="D1751" s="1" t="s">
        <v>2614</v>
      </c>
      <c r="E1751" s="1"/>
      <c r="F1751" s="1" t="s">
        <v>2615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2">
        <v>6</v>
      </c>
      <c r="M1751" s="43"/>
      <c r="N1751" s="1" t="e">
        <f>VLOOKUP(B1751,MICRO!E:L,8,0)</f>
        <v>#N/A</v>
      </c>
    </row>
    <row r="1752" spans="1:14" ht="20.25" x14ac:dyDescent="0.25">
      <c r="A1752" s="1">
        <v>54</v>
      </c>
      <c r="B1752" s="159"/>
      <c r="C1752" s="1" t="s">
        <v>2613</v>
      </c>
      <c r="D1752" s="1" t="s">
        <v>2614</v>
      </c>
      <c r="E1752" s="1"/>
      <c r="F1752" s="1" t="s">
        <v>2616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2">
        <v>6</v>
      </c>
      <c r="M1752" s="43"/>
      <c r="N1752" s="1" t="e">
        <f>VLOOKUP(B1752,MICRO!E:L,8,0)</f>
        <v>#N/A</v>
      </c>
    </row>
    <row r="1753" spans="1:14" ht="20.25" x14ac:dyDescent="0.25">
      <c r="A1753" s="1">
        <v>55</v>
      </c>
      <c r="B1753" s="159"/>
      <c r="C1753" s="1" t="s">
        <v>2613</v>
      </c>
      <c r="D1753" s="1" t="s">
        <v>2614</v>
      </c>
      <c r="E1753" s="1"/>
      <c r="F1753" s="1" t="s">
        <v>2617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2">
        <v>6</v>
      </c>
      <c r="M1753" s="43"/>
      <c r="N1753" s="1" t="e">
        <f>VLOOKUP(B1753,MICRO!E:L,8,0)</f>
        <v>#N/A</v>
      </c>
    </row>
    <row r="1754" spans="1:14" ht="20.25" x14ac:dyDescent="0.25">
      <c r="A1754" s="1">
        <v>56</v>
      </c>
      <c r="B1754" s="159"/>
      <c r="C1754" s="1" t="s">
        <v>1884</v>
      </c>
      <c r="D1754" s="1"/>
      <c r="E1754" s="1"/>
      <c r="F1754" s="1" t="s">
        <v>2618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2">
        <v>6</v>
      </c>
      <c r="M1754" s="43"/>
      <c r="N1754" s="1" t="e">
        <f>VLOOKUP(B1754,MICRO!E:L,8,0)</f>
        <v>#N/A</v>
      </c>
    </row>
    <row r="1755" spans="1:14" ht="20.25" x14ac:dyDescent="0.25">
      <c r="A1755" s="1">
        <v>57</v>
      </c>
      <c r="B1755" s="159"/>
      <c r="C1755" s="1" t="s">
        <v>1884</v>
      </c>
      <c r="D1755" s="1"/>
      <c r="E1755" s="1"/>
      <c r="F1755" s="1" t="s">
        <v>2619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2">
        <v>6</v>
      </c>
      <c r="M1755" s="43"/>
      <c r="N1755" s="1" t="e">
        <f>VLOOKUP(B1755,MICRO!E:L,8,0)</f>
        <v>#N/A</v>
      </c>
    </row>
    <row r="1756" spans="1:14" ht="20.25" x14ac:dyDescent="0.25">
      <c r="A1756" s="1">
        <v>58</v>
      </c>
      <c r="B1756" s="159"/>
      <c r="C1756" s="1" t="s">
        <v>1884</v>
      </c>
      <c r="D1756" s="1"/>
      <c r="E1756" s="1"/>
      <c r="F1756" s="1" t="s">
        <v>2620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2">
        <v>6</v>
      </c>
      <c r="M1756" s="43"/>
      <c r="N1756" s="1" t="e">
        <f>VLOOKUP(B1756,MICRO!E:L,8,0)</f>
        <v>#N/A</v>
      </c>
    </row>
    <row r="1757" spans="1:14" ht="20.25" x14ac:dyDescent="0.25">
      <c r="A1757" s="1">
        <v>59</v>
      </c>
      <c r="B1757" s="159"/>
      <c r="C1757" s="1" t="s">
        <v>1884</v>
      </c>
      <c r="D1757" s="1"/>
      <c r="E1757" s="1"/>
      <c r="F1757" s="1" t="s">
        <v>2621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2">
        <v>6</v>
      </c>
      <c r="M1757" s="43"/>
      <c r="N1757" s="1" t="e">
        <f>VLOOKUP(B1757,MICRO!E:L,8,0)</f>
        <v>#N/A</v>
      </c>
    </row>
    <row r="1758" spans="1:14" ht="20.25" x14ac:dyDescent="0.25">
      <c r="A1758" s="1">
        <v>60</v>
      </c>
      <c r="B1758" s="159"/>
      <c r="C1758" s="1" t="s">
        <v>2622</v>
      </c>
      <c r="D1758" s="1"/>
      <c r="E1758" s="1"/>
      <c r="F1758" s="1" t="s">
        <v>2623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2">
        <v>6</v>
      </c>
      <c r="M1758" s="43"/>
      <c r="N1758" s="1" t="e">
        <f>VLOOKUP(B1758,MICRO!E:L,8,0)</f>
        <v>#N/A</v>
      </c>
    </row>
    <row r="1759" spans="1:14" ht="20.25" x14ac:dyDescent="0.25">
      <c r="A1759" s="1">
        <v>61</v>
      </c>
      <c r="B1759" s="159"/>
      <c r="C1759" s="1" t="s">
        <v>2622</v>
      </c>
      <c r="D1759" s="1"/>
      <c r="E1759" s="1"/>
      <c r="F1759" s="1" t="s">
        <v>2624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2">
        <v>6</v>
      </c>
      <c r="M1759" s="43"/>
      <c r="N1759" s="1" t="e">
        <f>VLOOKUP(B1759,MICRO!E:L,8,0)</f>
        <v>#N/A</v>
      </c>
    </row>
    <row r="1760" spans="1:14" ht="20.25" x14ac:dyDescent="0.25">
      <c r="A1760" s="1">
        <v>62</v>
      </c>
      <c r="B1760" s="159"/>
      <c r="C1760" s="1" t="s">
        <v>2622</v>
      </c>
      <c r="D1760" s="1"/>
      <c r="E1760" s="1"/>
      <c r="F1760" s="1" t="s">
        <v>2625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2">
        <v>6</v>
      </c>
      <c r="M1760" s="43"/>
      <c r="N1760" s="1" t="e">
        <f>VLOOKUP(B1760,MICRO!E:L,8,0)</f>
        <v>#N/A</v>
      </c>
    </row>
    <row r="1761" spans="1:14" ht="20.25" x14ac:dyDescent="0.25">
      <c r="A1761" s="1">
        <v>63</v>
      </c>
      <c r="B1761" s="159"/>
      <c r="C1761" s="1" t="s">
        <v>1889</v>
      </c>
      <c r="D1761" s="1" t="s">
        <v>2626</v>
      </c>
      <c r="E1761" s="1"/>
      <c r="F1761" s="1" t="s">
        <v>2627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2">
        <v>6</v>
      </c>
      <c r="M1761" s="43"/>
      <c r="N1761" s="1" t="e">
        <f>VLOOKUP(B1761,MICRO!E:L,8,0)</f>
        <v>#N/A</v>
      </c>
    </row>
    <row r="1762" spans="1:14" ht="20.25" x14ac:dyDescent="0.25">
      <c r="A1762" s="1">
        <v>64</v>
      </c>
      <c r="B1762" s="159"/>
      <c r="C1762" s="1" t="s">
        <v>1889</v>
      </c>
      <c r="D1762" s="1" t="s">
        <v>2626</v>
      </c>
      <c r="E1762" s="1"/>
      <c r="F1762" s="1" t="s">
        <v>2628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2">
        <v>6</v>
      </c>
      <c r="M1762" s="43"/>
      <c r="N1762" s="1" t="e">
        <f>VLOOKUP(B1762,MICRO!E:L,8,0)</f>
        <v>#N/A</v>
      </c>
    </row>
    <row r="1763" spans="1:14" ht="20.25" x14ac:dyDescent="0.25">
      <c r="A1763" s="1">
        <v>65</v>
      </c>
      <c r="B1763" s="159"/>
      <c r="C1763" s="1" t="s">
        <v>1889</v>
      </c>
      <c r="D1763" s="1" t="s">
        <v>2626</v>
      </c>
      <c r="E1763" s="1"/>
      <c r="F1763" s="1" t="s">
        <v>2629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2">
        <v>6</v>
      </c>
      <c r="M1763" s="43"/>
      <c r="N1763" s="1" t="e">
        <f>VLOOKUP(B1763,MICRO!E:L,8,0)</f>
        <v>#N/A</v>
      </c>
    </row>
    <row r="1764" spans="1:14" ht="20.25" x14ac:dyDescent="0.25">
      <c r="A1764" s="1">
        <v>66</v>
      </c>
      <c r="B1764" s="159"/>
      <c r="C1764" s="1" t="s">
        <v>2630</v>
      </c>
      <c r="D1764" s="1" t="s">
        <v>2631</v>
      </c>
      <c r="E1764" s="1"/>
      <c r="F1764" s="1" t="s">
        <v>2632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2">
        <v>6</v>
      </c>
      <c r="M1764" s="43"/>
      <c r="N1764" s="1" t="e">
        <f>VLOOKUP(B1764,MICRO!E:L,8,0)</f>
        <v>#N/A</v>
      </c>
    </row>
    <row r="1765" spans="1:14" ht="20.25" x14ac:dyDescent="0.25">
      <c r="A1765" s="1">
        <v>67</v>
      </c>
      <c r="B1765" s="159"/>
      <c r="C1765" s="1" t="s">
        <v>2630</v>
      </c>
      <c r="D1765" s="1" t="s">
        <v>2631</v>
      </c>
      <c r="E1765" s="1"/>
      <c r="F1765" s="1" t="s">
        <v>2633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2">
        <v>6</v>
      </c>
      <c r="M1765" s="43"/>
      <c r="N1765" s="1" t="e">
        <f>VLOOKUP(B1765,MICRO!E:L,8,0)</f>
        <v>#N/A</v>
      </c>
    </row>
    <row r="1766" spans="1:14" ht="20.25" x14ac:dyDescent="0.25">
      <c r="A1766" s="1">
        <v>68</v>
      </c>
      <c r="B1766" s="159"/>
      <c r="C1766" s="1" t="s">
        <v>2630</v>
      </c>
      <c r="D1766" s="1" t="s">
        <v>2631</v>
      </c>
      <c r="E1766" s="1"/>
      <c r="F1766" s="1" t="s">
        <v>2634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2">
        <v>6</v>
      </c>
      <c r="M1766" s="43"/>
      <c r="N1766" s="1" t="e">
        <f>VLOOKUP(B1766,MICRO!E:L,8,0)</f>
        <v>#N/A</v>
      </c>
    </row>
    <row r="1767" spans="1:14" ht="20.25" x14ac:dyDescent="0.25">
      <c r="A1767" s="1">
        <v>69</v>
      </c>
      <c r="B1767" s="159"/>
      <c r="C1767" s="1" t="s">
        <v>2635</v>
      </c>
      <c r="D1767" s="1" t="s">
        <v>2636</v>
      </c>
      <c r="E1767" s="1"/>
      <c r="F1767" s="1" t="s">
        <v>2637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2">
        <v>6</v>
      </c>
      <c r="M1767" s="43"/>
      <c r="N1767" s="1" t="e">
        <f>VLOOKUP(B1767,MICRO!E:L,8,0)</f>
        <v>#N/A</v>
      </c>
    </row>
    <row r="1768" spans="1:14" ht="20.25" x14ac:dyDescent="0.25">
      <c r="A1768" s="1">
        <v>70</v>
      </c>
      <c r="B1768" s="159"/>
      <c r="C1768" s="1" t="s">
        <v>2635</v>
      </c>
      <c r="D1768" s="1" t="s">
        <v>2636</v>
      </c>
      <c r="E1768" s="1"/>
      <c r="F1768" s="1" t="s">
        <v>2638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2">
        <v>6</v>
      </c>
      <c r="M1768" s="43"/>
      <c r="N1768" s="1" t="e">
        <f>VLOOKUP(B1768,MICRO!E:L,8,0)</f>
        <v>#N/A</v>
      </c>
    </row>
    <row r="1769" spans="1:14" ht="20.25" x14ac:dyDescent="0.25">
      <c r="A1769" s="1">
        <v>71</v>
      </c>
      <c r="B1769" s="159"/>
      <c r="C1769" s="1" t="s">
        <v>2635</v>
      </c>
      <c r="D1769" s="1" t="s">
        <v>2636</v>
      </c>
      <c r="E1769" s="1"/>
      <c r="F1769" s="1" t="s">
        <v>2639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2">
        <v>6</v>
      </c>
      <c r="M1769" s="43"/>
      <c r="N1769" s="1" t="e">
        <f>VLOOKUP(B1769,MICRO!E:L,8,0)</f>
        <v>#N/A</v>
      </c>
    </row>
    <row r="1770" spans="1:14" ht="20.25" x14ac:dyDescent="0.25">
      <c r="A1770" s="1">
        <v>72</v>
      </c>
      <c r="B1770" s="159"/>
      <c r="C1770" s="1" t="s">
        <v>2640</v>
      </c>
      <c r="D1770" s="1" t="s">
        <v>2641</v>
      </c>
      <c r="E1770" s="1"/>
      <c r="F1770" s="1" t="s">
        <v>2642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2">
        <v>6</v>
      </c>
      <c r="M1770" s="43"/>
      <c r="N1770" s="1" t="e">
        <f>VLOOKUP(B1770,MICRO!E:L,8,0)</f>
        <v>#N/A</v>
      </c>
    </row>
    <row r="1771" spans="1:14" ht="20.25" x14ac:dyDescent="0.25">
      <c r="A1771" s="1">
        <v>73</v>
      </c>
      <c r="B1771" s="159"/>
      <c r="C1771" s="1" t="s">
        <v>2640</v>
      </c>
      <c r="D1771" s="1" t="s">
        <v>2641</v>
      </c>
      <c r="E1771" s="1"/>
      <c r="F1771" s="1" t="s">
        <v>2643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2">
        <v>6</v>
      </c>
      <c r="M1771" s="43"/>
      <c r="N1771" s="1" t="e">
        <f>VLOOKUP(B1771,MICRO!E:L,8,0)</f>
        <v>#N/A</v>
      </c>
    </row>
    <row r="1772" spans="1:14" ht="20.25" x14ac:dyDescent="0.25">
      <c r="A1772" s="1">
        <v>74</v>
      </c>
      <c r="B1772" s="159"/>
      <c r="C1772" s="1" t="s">
        <v>2640</v>
      </c>
      <c r="D1772" s="1" t="s">
        <v>2641</v>
      </c>
      <c r="E1772" s="1"/>
      <c r="F1772" s="1" t="s">
        <v>2644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2">
        <v>6</v>
      </c>
      <c r="M1772" s="43"/>
      <c r="N1772" s="1" t="e">
        <f>VLOOKUP(B1772,MICRO!E:L,8,0)</f>
        <v>#N/A</v>
      </c>
    </row>
    <row r="1773" spans="1:14" ht="20.25" x14ac:dyDescent="0.25">
      <c r="A1773" s="1">
        <v>75</v>
      </c>
      <c r="B1773" s="159"/>
      <c r="C1773" s="1" t="s">
        <v>1900</v>
      </c>
      <c r="D1773" s="1" t="s">
        <v>2645</v>
      </c>
      <c r="E1773" s="1"/>
      <c r="F1773" s="1" t="s">
        <v>2646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2">
        <v>6</v>
      </c>
      <c r="M1773" s="43"/>
      <c r="N1773" s="1" t="e">
        <f>VLOOKUP(B1773,MICRO!E:L,8,0)</f>
        <v>#N/A</v>
      </c>
    </row>
    <row r="1774" spans="1:14" ht="20.25" x14ac:dyDescent="0.25">
      <c r="A1774" s="1">
        <v>76</v>
      </c>
      <c r="B1774" s="159"/>
      <c r="C1774" s="1" t="s">
        <v>1900</v>
      </c>
      <c r="D1774" s="1" t="s">
        <v>2645</v>
      </c>
      <c r="E1774" s="1"/>
      <c r="F1774" s="1" t="s">
        <v>2647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2">
        <v>6</v>
      </c>
      <c r="M1774" s="43"/>
      <c r="N1774" s="1" t="e">
        <f>VLOOKUP(B1774,MICRO!E:L,8,0)</f>
        <v>#N/A</v>
      </c>
    </row>
    <row r="1775" spans="1:14" ht="20.25" x14ac:dyDescent="0.25">
      <c r="A1775" s="1">
        <v>77</v>
      </c>
      <c r="B1775" s="159"/>
      <c r="C1775" s="1" t="s">
        <v>1900</v>
      </c>
      <c r="D1775" s="1" t="s">
        <v>2645</v>
      </c>
      <c r="E1775" s="1"/>
      <c r="F1775" s="1" t="s">
        <v>2648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2">
        <v>6</v>
      </c>
      <c r="M1775" s="43"/>
      <c r="N1775" s="1" t="e">
        <f>VLOOKUP(B1775,MICRO!E:L,8,0)</f>
        <v>#N/A</v>
      </c>
    </row>
    <row r="1776" spans="1:14" ht="20.25" x14ac:dyDescent="0.25">
      <c r="A1776" s="1">
        <v>78</v>
      </c>
      <c r="B1776" s="159"/>
      <c r="C1776" s="1" t="s">
        <v>1900</v>
      </c>
      <c r="D1776" s="1" t="s">
        <v>2645</v>
      </c>
      <c r="E1776" s="1"/>
      <c r="F1776" s="1" t="s">
        <v>2649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2">
        <v>6</v>
      </c>
      <c r="M1776" s="43"/>
      <c r="N1776" s="1" t="e">
        <f>VLOOKUP(B1776,MICRO!E:L,8,0)</f>
        <v>#N/A</v>
      </c>
    </row>
    <row r="1777" spans="1:14" ht="20.25" x14ac:dyDescent="0.25">
      <c r="A1777" s="1">
        <v>79</v>
      </c>
      <c r="B1777" s="159"/>
      <c r="C1777" s="1" t="s">
        <v>1900</v>
      </c>
      <c r="D1777" s="1" t="s">
        <v>2645</v>
      </c>
      <c r="E1777" s="1"/>
      <c r="F1777" s="1" t="s">
        <v>2650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2">
        <v>6</v>
      </c>
      <c r="M1777" s="43"/>
      <c r="N1777" s="1" t="e">
        <f>VLOOKUP(B1777,MICRO!E:L,8,0)</f>
        <v>#N/A</v>
      </c>
    </row>
    <row r="1778" spans="1:14" ht="20.25" x14ac:dyDescent="0.25">
      <c r="A1778" s="1">
        <v>80</v>
      </c>
      <c r="B1778" s="159"/>
      <c r="C1778" s="1" t="s">
        <v>1900</v>
      </c>
      <c r="D1778" s="1" t="s">
        <v>2645</v>
      </c>
      <c r="E1778" s="1"/>
      <c r="F1778" s="1" t="s">
        <v>2651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2">
        <v>6</v>
      </c>
      <c r="M1778" s="43"/>
      <c r="N1778" s="1" t="e">
        <f>VLOOKUP(B1778,MICRO!E:L,8,0)</f>
        <v>#N/A</v>
      </c>
    </row>
    <row r="1779" spans="1:14" ht="20.25" x14ac:dyDescent="0.25">
      <c r="A1779" s="1">
        <v>81</v>
      </c>
      <c r="B1779" s="159"/>
      <c r="C1779" s="1" t="s">
        <v>2652</v>
      </c>
      <c r="D1779" s="1"/>
      <c r="E1779" s="1"/>
      <c r="F1779" s="1" t="s">
        <v>2653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2">
        <v>6</v>
      </c>
      <c r="M1779" s="43"/>
      <c r="N1779" s="1" t="e">
        <f>VLOOKUP(B1779,MICRO!E:L,8,0)</f>
        <v>#N/A</v>
      </c>
    </row>
    <row r="1780" spans="1:14" ht="20.25" x14ac:dyDescent="0.25">
      <c r="A1780" s="1">
        <v>82</v>
      </c>
      <c r="B1780" s="159"/>
      <c r="C1780" s="1" t="s">
        <v>2652</v>
      </c>
      <c r="D1780" s="1"/>
      <c r="E1780" s="1"/>
      <c r="F1780" s="1" t="s">
        <v>2654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2">
        <v>6</v>
      </c>
      <c r="M1780" s="43"/>
      <c r="N1780" s="1" t="e">
        <f>VLOOKUP(B1780,MICRO!E:L,8,0)</f>
        <v>#N/A</v>
      </c>
    </row>
    <row r="1781" spans="1:14" ht="20.25" x14ac:dyDescent="0.25">
      <c r="A1781" s="1">
        <v>83</v>
      </c>
      <c r="B1781" s="159"/>
      <c r="C1781" s="1" t="s">
        <v>2652</v>
      </c>
      <c r="D1781" s="1"/>
      <c r="E1781" s="1"/>
      <c r="F1781" s="1" t="s">
        <v>2655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2">
        <v>6</v>
      </c>
      <c r="M1781" s="43"/>
      <c r="N1781" s="1" t="e">
        <f>VLOOKUP(B1781,MICRO!E:L,8,0)</f>
        <v>#N/A</v>
      </c>
    </row>
    <row r="1782" spans="1:14" ht="20.25" x14ac:dyDescent="0.25">
      <c r="A1782" s="1">
        <v>84</v>
      </c>
      <c r="B1782" s="159"/>
      <c r="C1782" s="1" t="s">
        <v>1902</v>
      </c>
      <c r="D1782" s="1" t="s">
        <v>2656</v>
      </c>
      <c r="E1782" s="1"/>
      <c r="F1782" s="1" t="s">
        <v>2657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2">
        <v>6</v>
      </c>
      <c r="M1782" s="43"/>
      <c r="N1782" s="1" t="e">
        <f>VLOOKUP(B1782,MICRO!E:L,8,0)</f>
        <v>#N/A</v>
      </c>
    </row>
    <row r="1783" spans="1:14" ht="20.25" x14ac:dyDescent="0.25">
      <c r="A1783" s="1">
        <v>85</v>
      </c>
      <c r="B1783" s="159"/>
      <c r="C1783" s="1" t="s">
        <v>1902</v>
      </c>
      <c r="D1783" s="1" t="s">
        <v>2656</v>
      </c>
      <c r="E1783" s="1"/>
      <c r="F1783" s="1" t="s">
        <v>2658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2">
        <v>6</v>
      </c>
      <c r="M1783" s="43"/>
      <c r="N1783" s="1" t="e">
        <f>VLOOKUP(B1783,MICRO!E:L,8,0)</f>
        <v>#N/A</v>
      </c>
    </row>
    <row r="1784" spans="1:14" ht="20.25" x14ac:dyDescent="0.25">
      <c r="A1784" s="1">
        <v>86</v>
      </c>
      <c r="B1784" s="159"/>
      <c r="C1784" s="1" t="s">
        <v>1902</v>
      </c>
      <c r="D1784" s="1" t="s">
        <v>2656</v>
      </c>
      <c r="E1784" s="1"/>
      <c r="F1784" s="1" t="s">
        <v>2659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2">
        <v>6</v>
      </c>
      <c r="M1784" s="43"/>
      <c r="N1784" s="1" t="e">
        <f>VLOOKUP(B1784,MICRO!E:L,8,0)</f>
        <v>#N/A</v>
      </c>
    </row>
    <row r="1785" spans="1:14" ht="20.25" x14ac:dyDescent="0.25">
      <c r="A1785" s="1">
        <v>87</v>
      </c>
      <c r="B1785" s="159"/>
      <c r="C1785" s="1" t="s">
        <v>1902</v>
      </c>
      <c r="D1785" s="1" t="s">
        <v>2656</v>
      </c>
      <c r="E1785" s="1"/>
      <c r="F1785" s="1" t="s">
        <v>2660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2">
        <v>6</v>
      </c>
      <c r="M1785" s="43"/>
      <c r="N1785" s="1" t="e">
        <f>VLOOKUP(B1785,MICRO!E:L,8,0)</f>
        <v>#N/A</v>
      </c>
    </row>
    <row r="1786" spans="1:14" ht="20.25" x14ac:dyDescent="0.25">
      <c r="A1786" s="1">
        <v>88</v>
      </c>
      <c r="B1786" s="159"/>
      <c r="C1786" s="1" t="s">
        <v>1903</v>
      </c>
      <c r="D1786" s="1"/>
      <c r="E1786" s="1"/>
      <c r="F1786" s="1" t="s">
        <v>2661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2">
        <v>6</v>
      </c>
      <c r="M1786" s="43"/>
      <c r="N1786" s="1" t="e">
        <f>VLOOKUP(B1786,MICRO!E:L,8,0)</f>
        <v>#N/A</v>
      </c>
    </row>
    <row r="1787" spans="1:14" ht="20.25" x14ac:dyDescent="0.25">
      <c r="A1787" s="1">
        <v>89</v>
      </c>
      <c r="B1787" s="159"/>
      <c r="C1787" s="1" t="s">
        <v>1903</v>
      </c>
      <c r="D1787" s="1"/>
      <c r="E1787" s="1"/>
      <c r="F1787" s="1" t="s">
        <v>2662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2">
        <v>6</v>
      </c>
      <c r="M1787" s="43"/>
      <c r="N1787" s="1" t="e">
        <f>VLOOKUP(B1787,MICRO!E:L,8,0)</f>
        <v>#N/A</v>
      </c>
    </row>
    <row r="1788" spans="1:14" ht="20.25" x14ac:dyDescent="0.25">
      <c r="A1788" s="1">
        <v>90</v>
      </c>
      <c r="B1788" s="159"/>
      <c r="C1788" s="1" t="s">
        <v>1903</v>
      </c>
      <c r="D1788" s="1"/>
      <c r="E1788" s="1"/>
      <c r="F1788" s="1" t="s">
        <v>2663</v>
      </c>
      <c r="G1788" s="1"/>
      <c r="H1788" s="1" t="s">
        <v>19</v>
      </c>
      <c r="I1788" s="1"/>
      <c r="J1788" s="1">
        <v>0.01</v>
      </c>
      <c r="K1788" s="1">
        <v>0</v>
      </c>
      <c r="L1788" s="42">
        <v>6</v>
      </c>
      <c r="M1788" s="43"/>
      <c r="N1788" s="1" t="e">
        <f>VLOOKUP(B1788,MICRO!E:L,8,0)</f>
        <v>#N/A</v>
      </c>
    </row>
    <row r="1789" spans="1:14" ht="20.25" x14ac:dyDescent="0.25">
      <c r="A1789" s="1">
        <v>91</v>
      </c>
      <c r="B1789" s="159"/>
      <c r="C1789" s="1" t="s">
        <v>1903</v>
      </c>
      <c r="D1789" s="1"/>
      <c r="E1789" s="1"/>
      <c r="F1789" s="1" t="s">
        <v>2664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2">
        <v>6</v>
      </c>
      <c r="M1789" s="43"/>
      <c r="N1789" s="1" t="e">
        <f>VLOOKUP(B1789,MICRO!E:L,8,0)</f>
        <v>#N/A</v>
      </c>
    </row>
    <row r="1790" spans="1:14" ht="20.25" x14ac:dyDescent="0.25">
      <c r="A1790" s="1">
        <v>92</v>
      </c>
      <c r="B1790" s="159"/>
      <c r="C1790" s="1" t="s">
        <v>1903</v>
      </c>
      <c r="D1790" s="1"/>
      <c r="E1790" s="1"/>
      <c r="F1790" s="1" t="s">
        <v>2665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2">
        <v>6</v>
      </c>
      <c r="M1790" s="43"/>
      <c r="N1790" s="1" t="e">
        <f>VLOOKUP(B1790,MICRO!E:L,8,0)</f>
        <v>#N/A</v>
      </c>
    </row>
    <row r="1791" spans="1:14" ht="20.25" x14ac:dyDescent="0.25">
      <c r="A1791" s="1">
        <v>93</v>
      </c>
      <c r="B1791" s="159"/>
      <c r="C1791" s="1" t="s">
        <v>1903</v>
      </c>
      <c r="D1791" s="1"/>
      <c r="E1791" s="1"/>
      <c r="F1791" s="1" t="s">
        <v>2666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2">
        <v>6</v>
      </c>
      <c r="M1791" s="43"/>
      <c r="N1791" s="1" t="e">
        <f>VLOOKUP(B1791,MICRO!E:L,8,0)</f>
        <v>#N/A</v>
      </c>
    </row>
    <row r="1792" spans="1:14" ht="20.25" x14ac:dyDescent="0.25">
      <c r="A1792" s="1">
        <v>94</v>
      </c>
      <c r="B1792" s="159"/>
      <c r="C1792" s="1" t="s">
        <v>1903</v>
      </c>
      <c r="D1792" s="1"/>
      <c r="E1792" s="1"/>
      <c r="F1792" s="1" t="s">
        <v>2667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2">
        <v>6</v>
      </c>
      <c r="M1792" s="43"/>
      <c r="N1792" s="1" t="e">
        <f>VLOOKUP(B1792,MICRO!E:L,8,0)</f>
        <v>#N/A</v>
      </c>
    </row>
    <row r="1793" spans="1:14" ht="20.25" x14ac:dyDescent="0.25">
      <c r="A1793" s="1">
        <v>95</v>
      </c>
      <c r="B1793" s="159"/>
      <c r="C1793" s="1" t="s">
        <v>1903</v>
      </c>
      <c r="D1793" s="1"/>
      <c r="E1793" s="1"/>
      <c r="F1793" s="1" t="s">
        <v>2668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2">
        <v>6</v>
      </c>
      <c r="M1793" s="43"/>
      <c r="N1793" s="1" t="e">
        <f>VLOOKUP(B1793,MICRO!E:L,8,0)</f>
        <v>#N/A</v>
      </c>
    </row>
    <row r="1794" spans="1:14" ht="20.25" x14ac:dyDescent="0.25">
      <c r="A1794" s="1">
        <v>96</v>
      </c>
      <c r="B1794" s="159"/>
      <c r="C1794" s="1" t="s">
        <v>1903</v>
      </c>
      <c r="D1794" s="1"/>
      <c r="E1794" s="1"/>
      <c r="F1794" s="1" t="s">
        <v>2669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2">
        <v>6</v>
      </c>
      <c r="M1794" s="43"/>
      <c r="N1794" s="1" t="e">
        <f>VLOOKUP(B1794,MICRO!E:L,8,0)</f>
        <v>#N/A</v>
      </c>
    </row>
    <row r="1795" spans="1:14" ht="20.25" x14ac:dyDescent="0.25">
      <c r="A1795" s="1">
        <v>97</v>
      </c>
      <c r="B1795" s="159"/>
      <c r="C1795" s="1" t="s">
        <v>1904</v>
      </c>
      <c r="D1795" s="1"/>
      <c r="E1795" s="1"/>
      <c r="F1795" s="1" t="s">
        <v>2670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2">
        <v>6</v>
      </c>
      <c r="M1795" s="43"/>
      <c r="N1795" s="1" t="e">
        <f>VLOOKUP(B1795,MICRO!E:L,8,0)</f>
        <v>#N/A</v>
      </c>
    </row>
    <row r="1796" spans="1:14" ht="20.25" x14ac:dyDescent="0.25">
      <c r="A1796" s="1">
        <v>98</v>
      </c>
      <c r="B1796" s="159"/>
      <c r="C1796" s="1" t="s">
        <v>1904</v>
      </c>
      <c r="D1796" s="1"/>
      <c r="E1796" s="1"/>
      <c r="F1796" s="1" t="s">
        <v>2671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2">
        <v>6</v>
      </c>
      <c r="M1796" s="43"/>
      <c r="N1796" s="1" t="e">
        <f>VLOOKUP(B1796,MICRO!E:L,8,0)</f>
        <v>#N/A</v>
      </c>
    </row>
    <row r="1797" spans="1:14" ht="20.25" x14ac:dyDescent="0.25">
      <c r="A1797" s="1">
        <v>99</v>
      </c>
      <c r="B1797" s="159"/>
      <c r="C1797" s="1" t="s">
        <v>1904</v>
      </c>
      <c r="D1797" s="1"/>
      <c r="E1797" s="1"/>
      <c r="F1797" s="1" t="s">
        <v>2672</v>
      </c>
      <c r="G1797" s="1"/>
      <c r="H1797" s="1" t="s">
        <v>19</v>
      </c>
      <c r="I1797" s="1"/>
      <c r="J1797" s="1">
        <v>0.01</v>
      </c>
      <c r="K1797" s="1">
        <v>0</v>
      </c>
      <c r="L1797" s="42">
        <v>6</v>
      </c>
      <c r="M1797" s="43"/>
      <c r="N1797" s="1" t="e">
        <f>VLOOKUP(B1797,MICRO!E:L,8,0)</f>
        <v>#N/A</v>
      </c>
    </row>
    <row r="1798" spans="1:14" ht="20.25" x14ac:dyDescent="0.25">
      <c r="A1798" s="1">
        <v>100</v>
      </c>
      <c r="B1798" s="159"/>
      <c r="C1798" s="1" t="s">
        <v>1905</v>
      </c>
      <c r="D1798" s="1"/>
      <c r="E1798" s="1"/>
      <c r="F1798" s="1" t="s">
        <v>2673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2">
        <v>6</v>
      </c>
      <c r="M1798" s="43"/>
      <c r="N1798" s="1" t="e">
        <f>VLOOKUP(B1798,MICRO!E:L,8,0)</f>
        <v>#N/A</v>
      </c>
    </row>
    <row r="1799" spans="1:14" ht="20.25" x14ac:dyDescent="0.25">
      <c r="A1799" s="1">
        <v>101</v>
      </c>
      <c r="B1799" s="159"/>
      <c r="C1799" s="1" t="s">
        <v>1908</v>
      </c>
      <c r="D1799" s="1"/>
      <c r="E1799" s="1"/>
      <c r="F1799" s="1" t="s">
        <v>2674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2">
        <v>6</v>
      </c>
      <c r="M1799" s="43"/>
      <c r="N1799" s="1" t="e">
        <f>VLOOKUP(B1799,MICRO!E:L,8,0)</f>
        <v>#N/A</v>
      </c>
    </row>
    <row r="1800" spans="1:14" ht="20.25" x14ac:dyDescent="0.25">
      <c r="A1800" s="1">
        <v>102</v>
      </c>
      <c r="B1800" s="159"/>
      <c r="C1800" s="1" t="s">
        <v>1908</v>
      </c>
      <c r="D1800" s="1"/>
      <c r="E1800" s="1"/>
      <c r="F1800" s="1" t="s">
        <v>2675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2">
        <v>6</v>
      </c>
      <c r="M1800" s="43"/>
      <c r="N1800" s="1" t="e">
        <f>VLOOKUP(B1800,MICRO!E:L,8,0)</f>
        <v>#N/A</v>
      </c>
    </row>
    <row r="1801" spans="1:14" ht="20.25" x14ac:dyDescent="0.25">
      <c r="A1801" s="1">
        <v>103</v>
      </c>
      <c r="B1801" s="159"/>
      <c r="C1801" s="1" t="s">
        <v>1908</v>
      </c>
      <c r="D1801" s="1"/>
      <c r="E1801" s="1"/>
      <c r="F1801" s="1" t="s">
        <v>2676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2">
        <v>6</v>
      </c>
      <c r="M1801" s="43"/>
      <c r="N1801" s="1" t="e">
        <f>VLOOKUP(B1801,MICRO!E:L,8,0)</f>
        <v>#N/A</v>
      </c>
    </row>
    <row r="1802" spans="1:14" ht="20.25" x14ac:dyDescent="0.25">
      <c r="A1802" s="1">
        <v>104</v>
      </c>
      <c r="B1802" s="159"/>
      <c r="C1802" s="1" t="s">
        <v>1851</v>
      </c>
      <c r="D1802" s="1"/>
      <c r="E1802" s="1"/>
      <c r="F1802" s="1" t="s">
        <v>2677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2">
        <v>6</v>
      </c>
      <c r="M1802" s="43"/>
      <c r="N1802" s="1" t="e">
        <f>VLOOKUP(B1802,MICRO!E:L,8,0)</f>
        <v>#N/A</v>
      </c>
    </row>
    <row r="1803" spans="1:14" ht="20.25" x14ac:dyDescent="0.25">
      <c r="A1803" s="1">
        <v>105</v>
      </c>
      <c r="B1803" s="159"/>
      <c r="C1803" s="1" t="s">
        <v>2678</v>
      </c>
      <c r="D1803" s="1"/>
      <c r="E1803" s="1"/>
      <c r="F1803" s="1" t="s">
        <v>2679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2">
        <v>6</v>
      </c>
      <c r="M1803" s="43"/>
      <c r="N1803" s="1" t="e">
        <f>VLOOKUP(B1803,MICRO!E:L,8,0)</f>
        <v>#N/A</v>
      </c>
    </row>
    <row r="1804" spans="1:14" ht="20.25" x14ac:dyDescent="0.25">
      <c r="A1804" s="1">
        <v>106</v>
      </c>
      <c r="B1804" s="159"/>
      <c r="C1804" s="1" t="s">
        <v>2678</v>
      </c>
      <c r="D1804" s="1"/>
      <c r="E1804" s="1"/>
      <c r="F1804" s="1" t="s">
        <v>2680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2">
        <v>6</v>
      </c>
      <c r="M1804" s="43"/>
      <c r="N1804" s="1" t="e">
        <f>VLOOKUP(B1804,MICRO!E:L,8,0)</f>
        <v>#N/A</v>
      </c>
    </row>
    <row r="1805" spans="1:14" ht="20.25" x14ac:dyDescent="0.25">
      <c r="A1805" s="1">
        <v>107</v>
      </c>
      <c r="B1805" s="159"/>
      <c r="C1805" s="1" t="s">
        <v>2678</v>
      </c>
      <c r="D1805" s="1"/>
      <c r="E1805" s="1"/>
      <c r="F1805" s="1" t="s">
        <v>2681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2">
        <v>6</v>
      </c>
      <c r="M1805" s="43"/>
      <c r="N1805" s="1" t="e">
        <f>VLOOKUP(B1805,MICRO!E:L,8,0)</f>
        <v>#N/A</v>
      </c>
    </row>
    <row r="1806" spans="1:14" ht="20.25" x14ac:dyDescent="0.25">
      <c r="A1806" s="1">
        <v>108</v>
      </c>
      <c r="B1806" s="159"/>
      <c r="C1806" s="1" t="s">
        <v>2678</v>
      </c>
      <c r="D1806" s="1"/>
      <c r="E1806" s="1"/>
      <c r="F1806" s="1" t="s">
        <v>2682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2">
        <v>6</v>
      </c>
      <c r="M1806" s="43"/>
      <c r="N1806" s="1" t="e">
        <f>VLOOKUP(B1806,MICRO!E:L,8,0)</f>
        <v>#N/A</v>
      </c>
    </row>
    <row r="1807" spans="1:14" ht="20.25" x14ac:dyDescent="0.25">
      <c r="A1807" s="1">
        <v>109</v>
      </c>
      <c r="B1807" s="159"/>
      <c r="C1807" s="1" t="s">
        <v>2683</v>
      </c>
      <c r="D1807" s="1"/>
      <c r="E1807" s="1"/>
      <c r="F1807" s="1" t="s">
        <v>2684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2">
        <v>6</v>
      </c>
      <c r="M1807" s="43"/>
      <c r="N1807" s="1" t="e">
        <f>VLOOKUP(B1807,MICRO!E:L,8,0)</f>
        <v>#N/A</v>
      </c>
    </row>
    <row r="1808" spans="1:14" ht="20.25" x14ac:dyDescent="0.25">
      <c r="A1808" s="1">
        <v>110</v>
      </c>
      <c r="B1808" s="159"/>
      <c r="C1808" s="1" t="s">
        <v>2683</v>
      </c>
      <c r="D1808" s="1"/>
      <c r="E1808" s="1"/>
      <c r="F1808" s="1" t="s">
        <v>2685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2">
        <v>6</v>
      </c>
      <c r="M1808" s="43"/>
      <c r="N1808" s="1" t="e">
        <f>VLOOKUP(B1808,MICRO!E:L,8,0)</f>
        <v>#N/A</v>
      </c>
    </row>
    <row r="1809" spans="1:14" ht="20.25" x14ac:dyDescent="0.25">
      <c r="A1809" s="1">
        <v>111</v>
      </c>
      <c r="B1809" s="159"/>
      <c r="C1809" s="1" t="s">
        <v>2683</v>
      </c>
      <c r="D1809" s="1"/>
      <c r="E1809" s="1"/>
      <c r="F1809" s="1" t="s">
        <v>2686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2">
        <v>6</v>
      </c>
      <c r="M1809" s="43"/>
      <c r="N1809" s="1" t="e">
        <f>VLOOKUP(B1809,MICRO!E:L,8,0)</f>
        <v>#N/A</v>
      </c>
    </row>
    <row r="1810" spans="1:14" ht="20.25" x14ac:dyDescent="0.25">
      <c r="A1810" s="1">
        <v>112</v>
      </c>
      <c r="B1810" s="159"/>
      <c r="C1810" s="1" t="s">
        <v>2683</v>
      </c>
      <c r="D1810" s="1"/>
      <c r="E1810" s="1"/>
      <c r="F1810" s="1" t="s">
        <v>2684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2">
        <v>6</v>
      </c>
      <c r="M1810" s="43"/>
      <c r="N1810" s="1" t="e">
        <f>VLOOKUP(B1810,MICRO!E:L,8,0)</f>
        <v>#N/A</v>
      </c>
    </row>
    <row r="1811" spans="1:14" ht="20.25" x14ac:dyDescent="0.25">
      <c r="A1811" s="1">
        <v>113</v>
      </c>
      <c r="B1811" s="159"/>
      <c r="C1811" s="1" t="s">
        <v>2683</v>
      </c>
      <c r="D1811" s="1"/>
      <c r="E1811" s="1"/>
      <c r="F1811" s="1" t="s">
        <v>2687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2">
        <v>6</v>
      </c>
      <c r="M1811" s="43"/>
      <c r="N1811" s="1" t="e">
        <f>VLOOKUP(B1811,MICRO!E:L,8,0)</f>
        <v>#N/A</v>
      </c>
    </row>
    <row r="1812" spans="1:14" ht="20.25" x14ac:dyDescent="0.25">
      <c r="A1812" s="1">
        <v>114</v>
      </c>
      <c r="B1812" s="159"/>
      <c r="C1812" s="1" t="s">
        <v>2688</v>
      </c>
      <c r="D1812" s="1"/>
      <c r="E1812" s="1"/>
      <c r="F1812" s="1" t="s">
        <v>2689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2">
        <v>6</v>
      </c>
      <c r="M1812" s="43"/>
      <c r="N1812" s="1" t="e">
        <f>VLOOKUP(B1812,MICRO!E:L,8,0)</f>
        <v>#N/A</v>
      </c>
    </row>
    <row r="1813" spans="1:14" ht="20.25" x14ac:dyDescent="0.25">
      <c r="A1813" s="1">
        <v>115</v>
      </c>
      <c r="B1813" s="159"/>
      <c r="C1813" s="1" t="s">
        <v>2688</v>
      </c>
      <c r="D1813" s="1"/>
      <c r="E1813" s="1"/>
      <c r="F1813" s="1" t="s">
        <v>2690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2">
        <v>6</v>
      </c>
      <c r="M1813" s="43"/>
      <c r="N1813" s="1" t="e">
        <f>VLOOKUP(B1813,MICRO!E:L,8,0)</f>
        <v>#N/A</v>
      </c>
    </row>
    <row r="1814" spans="1:14" ht="20.25" x14ac:dyDescent="0.25">
      <c r="A1814" s="1">
        <v>116</v>
      </c>
      <c r="B1814" s="159"/>
      <c r="C1814" s="1" t="s">
        <v>2688</v>
      </c>
      <c r="D1814" s="1"/>
      <c r="E1814" s="1"/>
      <c r="F1814" s="1" t="s">
        <v>2691</v>
      </c>
      <c r="G1814" s="1"/>
      <c r="H1814" s="1" t="s">
        <v>19</v>
      </c>
      <c r="I1814" s="1"/>
      <c r="J1814" s="1">
        <v>0.01</v>
      </c>
      <c r="K1814" s="1">
        <v>0</v>
      </c>
      <c r="L1814" s="42">
        <v>6</v>
      </c>
      <c r="M1814" s="43"/>
      <c r="N1814" s="1" t="e">
        <f>VLOOKUP(B1814,MICRO!E:L,8,0)</f>
        <v>#N/A</v>
      </c>
    </row>
    <row r="1815" spans="1:14" ht="20.25" x14ac:dyDescent="0.25">
      <c r="A1815" s="1">
        <v>117</v>
      </c>
      <c r="B1815" s="159"/>
      <c r="C1815" s="1" t="s">
        <v>2688</v>
      </c>
      <c r="D1815" s="1"/>
      <c r="E1815" s="1"/>
      <c r="F1815" s="1" t="s">
        <v>2692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2">
        <v>6</v>
      </c>
      <c r="M1815" s="43"/>
      <c r="N1815" s="1" t="e">
        <f>VLOOKUP(B1815,MICRO!E:L,8,0)</f>
        <v>#N/A</v>
      </c>
    </row>
    <row r="1816" spans="1:14" ht="20.25" x14ac:dyDescent="0.25">
      <c r="A1816" s="1">
        <v>118</v>
      </c>
      <c r="B1816" s="159"/>
      <c r="C1816" s="1" t="s">
        <v>2688</v>
      </c>
      <c r="D1816" s="1"/>
      <c r="E1816" s="1"/>
      <c r="F1816" s="1" t="s">
        <v>2693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2">
        <v>6</v>
      </c>
      <c r="M1816" s="43"/>
      <c r="N1816" s="1" t="e">
        <f>VLOOKUP(B1816,MICRO!E:L,8,0)</f>
        <v>#N/A</v>
      </c>
    </row>
    <row r="1817" spans="1:14" ht="20.25" x14ac:dyDescent="0.25">
      <c r="A1817" s="1">
        <v>119</v>
      </c>
      <c r="B1817" s="159"/>
      <c r="C1817" s="1" t="s">
        <v>2688</v>
      </c>
      <c r="D1817" s="1"/>
      <c r="E1817" s="1"/>
      <c r="F1817" s="1" t="s">
        <v>2694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2">
        <v>6</v>
      </c>
      <c r="M1817" s="43"/>
      <c r="N1817" s="1" t="e">
        <f>VLOOKUP(B1817,MICRO!E:L,8,0)</f>
        <v>#N/A</v>
      </c>
    </row>
    <row r="1818" spans="1:14" ht="20.25" x14ac:dyDescent="0.25">
      <c r="A1818" s="1">
        <v>120</v>
      </c>
      <c r="B1818" s="159"/>
      <c r="C1818" s="1" t="s">
        <v>2688</v>
      </c>
      <c r="D1818" s="1"/>
      <c r="E1818" s="1"/>
      <c r="F1818" s="1" t="s">
        <v>2695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2">
        <v>6</v>
      </c>
      <c r="M1818" s="43"/>
      <c r="N1818" s="1" t="e">
        <f>VLOOKUP(B1818,MICRO!E:L,8,0)</f>
        <v>#N/A</v>
      </c>
    </row>
    <row r="1819" spans="1:14" ht="20.25" x14ac:dyDescent="0.25">
      <c r="A1819" s="1">
        <v>121</v>
      </c>
      <c r="B1819" s="159"/>
      <c r="C1819" s="1" t="s">
        <v>1391</v>
      </c>
      <c r="D1819" s="1"/>
      <c r="E1819" s="1"/>
      <c r="F1819" s="1" t="s">
        <v>2696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2">
        <v>6</v>
      </c>
      <c r="M1819" s="43"/>
      <c r="N1819" s="1" t="e">
        <f>VLOOKUP(B1819,MICRO!E:L,8,0)</f>
        <v>#N/A</v>
      </c>
    </row>
    <row r="1820" spans="1:14" ht="20.25" x14ac:dyDescent="0.25">
      <c r="A1820" s="1">
        <v>122</v>
      </c>
      <c r="B1820" s="159"/>
      <c r="C1820" s="1" t="s">
        <v>1391</v>
      </c>
      <c r="D1820" s="1"/>
      <c r="E1820" s="1"/>
      <c r="F1820" s="1" t="s">
        <v>2697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2">
        <v>6</v>
      </c>
      <c r="M1820" s="43"/>
      <c r="N1820" s="1" t="e">
        <f>VLOOKUP(B1820,MICRO!E:L,8,0)</f>
        <v>#N/A</v>
      </c>
    </row>
    <row r="1821" spans="1:14" ht="20.25" x14ac:dyDescent="0.25">
      <c r="A1821" s="1">
        <v>123</v>
      </c>
      <c r="B1821" s="159"/>
      <c r="C1821" s="1" t="s">
        <v>1391</v>
      </c>
      <c r="D1821" s="1"/>
      <c r="E1821" s="1"/>
      <c r="F1821" s="1" t="s">
        <v>2698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2">
        <v>6</v>
      </c>
      <c r="M1821" s="43"/>
      <c r="N1821" s="1" t="e">
        <f>VLOOKUP(B1821,MICRO!E:L,8,0)</f>
        <v>#N/A</v>
      </c>
    </row>
    <row r="1822" spans="1:14" ht="20.25" x14ac:dyDescent="0.25">
      <c r="A1822" s="1">
        <v>124</v>
      </c>
      <c r="B1822" s="159"/>
      <c r="C1822" s="1" t="s">
        <v>1391</v>
      </c>
      <c r="D1822" s="1"/>
      <c r="E1822" s="1"/>
      <c r="F1822" s="1" t="s">
        <v>2699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2">
        <v>6</v>
      </c>
      <c r="M1822" s="43"/>
      <c r="N1822" s="1" t="e">
        <f>VLOOKUP(B1822,MICRO!E:L,8,0)</f>
        <v>#N/A</v>
      </c>
    </row>
    <row r="1823" spans="1:14" ht="20.25" x14ac:dyDescent="0.25">
      <c r="A1823" s="1">
        <v>125</v>
      </c>
      <c r="B1823" s="159"/>
      <c r="C1823" s="1" t="s">
        <v>1391</v>
      </c>
      <c r="D1823" s="1"/>
      <c r="E1823" s="1"/>
      <c r="F1823" s="1" t="s">
        <v>2700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2">
        <v>6</v>
      </c>
      <c r="M1823" s="43"/>
      <c r="N1823" s="1" t="e">
        <f>VLOOKUP(B1823,MICRO!E:L,8,0)</f>
        <v>#N/A</v>
      </c>
    </row>
    <row r="1824" spans="1:14" ht="20.25" x14ac:dyDescent="0.25">
      <c r="A1824" s="1">
        <v>126</v>
      </c>
      <c r="B1824" s="159"/>
      <c r="C1824" s="1" t="s">
        <v>1393</v>
      </c>
      <c r="D1824" s="1"/>
      <c r="E1824" s="1"/>
      <c r="F1824" s="1" t="s">
        <v>2701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2">
        <v>6</v>
      </c>
      <c r="M1824" s="43"/>
      <c r="N1824" s="1" t="e">
        <f>VLOOKUP(B1824,MICRO!E:L,8,0)</f>
        <v>#N/A</v>
      </c>
    </row>
    <row r="1825" spans="1:14" ht="20.25" x14ac:dyDescent="0.25">
      <c r="A1825" s="1">
        <v>127</v>
      </c>
      <c r="B1825" s="159"/>
      <c r="C1825" s="1" t="s">
        <v>1393</v>
      </c>
      <c r="D1825" s="1"/>
      <c r="E1825" s="1"/>
      <c r="F1825" s="1" t="s">
        <v>2702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2">
        <v>6</v>
      </c>
      <c r="M1825" s="43"/>
      <c r="N1825" s="1" t="e">
        <f>VLOOKUP(B1825,MICRO!E:L,8,0)</f>
        <v>#N/A</v>
      </c>
    </row>
    <row r="1826" spans="1:14" ht="20.25" x14ac:dyDescent="0.25">
      <c r="A1826" s="1">
        <v>128</v>
      </c>
      <c r="B1826" s="159"/>
      <c r="C1826" s="1" t="s">
        <v>1393</v>
      </c>
      <c r="D1826" s="1"/>
      <c r="E1826" s="1"/>
      <c r="F1826" s="1" t="s">
        <v>2703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2">
        <v>6</v>
      </c>
      <c r="M1826" s="43"/>
      <c r="N1826" s="1" t="e">
        <f>VLOOKUP(B1826,MICRO!E:L,8,0)</f>
        <v>#N/A</v>
      </c>
    </row>
    <row r="1827" spans="1:14" ht="20.25" x14ac:dyDescent="0.25">
      <c r="A1827" s="1">
        <v>129</v>
      </c>
      <c r="B1827" s="159"/>
      <c r="C1827" s="1" t="s">
        <v>1393</v>
      </c>
      <c r="D1827" s="1"/>
      <c r="E1827" s="1"/>
      <c r="F1827" s="1" t="s">
        <v>2704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2">
        <v>6</v>
      </c>
      <c r="M1827" s="43"/>
      <c r="N1827" s="1" t="e">
        <f>VLOOKUP(B1827,MICRO!E:L,8,0)</f>
        <v>#N/A</v>
      </c>
    </row>
    <row r="1828" spans="1:14" ht="20.25" x14ac:dyDescent="0.25">
      <c r="A1828" s="1">
        <v>130</v>
      </c>
      <c r="B1828" s="159"/>
      <c r="C1828" s="1" t="s">
        <v>2705</v>
      </c>
      <c r="D1828" s="1"/>
      <c r="E1828" s="1"/>
      <c r="F1828" s="1" t="s">
        <v>2706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2">
        <v>6</v>
      </c>
      <c r="M1828" s="43"/>
      <c r="N1828" s="1" t="e">
        <f>VLOOKUP(B1828,MICRO!E:L,8,0)</f>
        <v>#N/A</v>
      </c>
    </row>
    <row r="1829" spans="1:14" ht="20.25" x14ac:dyDescent="0.25">
      <c r="A1829" s="1">
        <v>131</v>
      </c>
      <c r="B1829" s="159"/>
      <c r="C1829" s="1" t="s">
        <v>2705</v>
      </c>
      <c r="D1829" s="1"/>
      <c r="E1829" s="1"/>
      <c r="F1829" s="1" t="s">
        <v>2707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2">
        <v>6</v>
      </c>
      <c r="M1829" s="43"/>
      <c r="N1829" s="1" t="e">
        <f>VLOOKUP(B1829,MICRO!E:L,8,0)</f>
        <v>#N/A</v>
      </c>
    </row>
    <row r="1830" spans="1:14" ht="20.25" x14ac:dyDescent="0.25">
      <c r="A1830" s="1">
        <v>132</v>
      </c>
      <c r="B1830" s="159"/>
      <c r="C1830" s="1" t="s">
        <v>2705</v>
      </c>
      <c r="D1830" s="1"/>
      <c r="E1830" s="1"/>
      <c r="F1830" s="1" t="s">
        <v>2708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2">
        <v>6</v>
      </c>
      <c r="M1830" s="43"/>
      <c r="N1830" s="1" t="e">
        <f>VLOOKUP(B1830,MICRO!E:L,8,0)</f>
        <v>#N/A</v>
      </c>
    </row>
    <row r="1831" spans="1:14" ht="20.25" x14ac:dyDescent="0.25">
      <c r="A1831" s="1">
        <v>133</v>
      </c>
      <c r="B1831" s="159"/>
      <c r="C1831" s="1" t="s">
        <v>2705</v>
      </c>
      <c r="D1831" s="1"/>
      <c r="E1831" s="1"/>
      <c r="F1831" s="1" t="s">
        <v>2709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2">
        <v>6</v>
      </c>
      <c r="M1831" s="43"/>
      <c r="N1831" s="1" t="e">
        <f>VLOOKUP(B1831,MICRO!E:L,8,0)</f>
        <v>#N/A</v>
      </c>
    </row>
    <row r="1832" spans="1:14" ht="20.25" x14ac:dyDescent="0.25">
      <c r="A1832" s="1">
        <v>134</v>
      </c>
      <c r="B1832" s="159"/>
      <c r="C1832" s="1" t="s">
        <v>2705</v>
      </c>
      <c r="D1832" s="1"/>
      <c r="E1832" s="1"/>
      <c r="F1832" s="1" t="s">
        <v>2710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2">
        <v>6</v>
      </c>
      <c r="M1832" s="43"/>
      <c r="N1832" s="1" t="e">
        <f>VLOOKUP(B1832,MICRO!E:L,8,0)</f>
        <v>#N/A</v>
      </c>
    </row>
    <row r="1833" spans="1:14" ht="20.25" x14ac:dyDescent="0.25">
      <c r="A1833" s="1">
        <v>135</v>
      </c>
      <c r="B1833" s="159"/>
      <c r="C1833" s="1" t="s">
        <v>2705</v>
      </c>
      <c r="D1833" s="1"/>
      <c r="E1833" s="1"/>
      <c r="F1833" s="1" t="s">
        <v>2711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2">
        <v>6</v>
      </c>
      <c r="M1833" s="43"/>
      <c r="N1833" s="1" t="e">
        <f>VLOOKUP(B1833,MICRO!E:L,8,0)</f>
        <v>#N/A</v>
      </c>
    </row>
    <row r="1834" spans="1:14" ht="20.25" x14ac:dyDescent="0.25">
      <c r="A1834" s="1">
        <v>136</v>
      </c>
      <c r="B1834" s="159"/>
      <c r="C1834" s="1" t="s">
        <v>2705</v>
      </c>
      <c r="D1834" s="1"/>
      <c r="E1834" s="1"/>
      <c r="F1834" s="1" t="s">
        <v>2712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2">
        <v>6</v>
      </c>
      <c r="M1834" s="43"/>
      <c r="N1834" s="1" t="e">
        <f>VLOOKUP(B1834,MICRO!E:L,8,0)</f>
        <v>#N/A</v>
      </c>
    </row>
    <row r="1835" spans="1:14" ht="20.25" x14ac:dyDescent="0.25">
      <c r="A1835" s="1">
        <v>137</v>
      </c>
      <c r="B1835" s="159"/>
      <c r="C1835" s="1" t="s">
        <v>1379</v>
      </c>
      <c r="D1835" s="1"/>
      <c r="E1835" s="1"/>
      <c r="F1835" s="1" t="s">
        <v>2713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2">
        <v>6</v>
      </c>
      <c r="M1835" s="43"/>
      <c r="N1835" s="1" t="e">
        <f>VLOOKUP(B1835,MICRO!E:L,8,0)</f>
        <v>#N/A</v>
      </c>
    </row>
    <row r="1836" spans="1:14" ht="20.25" x14ac:dyDescent="0.25">
      <c r="A1836" s="1">
        <v>138</v>
      </c>
      <c r="B1836" s="159"/>
      <c r="C1836" s="1" t="s">
        <v>1379</v>
      </c>
      <c r="D1836" s="1"/>
      <c r="E1836" s="1"/>
      <c r="F1836" s="1" t="s">
        <v>2714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2">
        <v>6</v>
      </c>
      <c r="M1836" s="43"/>
      <c r="N1836" s="1" t="e">
        <f>VLOOKUP(B1836,MICRO!E:L,8,0)</f>
        <v>#N/A</v>
      </c>
    </row>
    <row r="1837" spans="1:14" ht="20.25" x14ac:dyDescent="0.25">
      <c r="A1837" s="1">
        <v>139</v>
      </c>
      <c r="B1837" s="159"/>
      <c r="C1837" s="1" t="s">
        <v>1379</v>
      </c>
      <c r="D1837" s="1"/>
      <c r="E1837" s="1"/>
      <c r="F1837" s="1" t="s">
        <v>2715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2">
        <v>6</v>
      </c>
      <c r="M1837" s="43"/>
      <c r="N1837" s="1" t="e">
        <f>VLOOKUP(B1837,MICRO!E:L,8,0)</f>
        <v>#N/A</v>
      </c>
    </row>
    <row r="1838" spans="1:14" ht="20.25" x14ac:dyDescent="0.25">
      <c r="A1838" s="1">
        <v>140</v>
      </c>
      <c r="B1838" s="159"/>
      <c r="C1838" s="1" t="s">
        <v>1379</v>
      </c>
      <c r="D1838" s="1"/>
      <c r="E1838" s="1"/>
      <c r="F1838" s="1" t="s">
        <v>2716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2">
        <v>6</v>
      </c>
      <c r="M1838" s="43"/>
      <c r="N1838" s="1" t="e">
        <f>VLOOKUP(B1838,MICRO!E:L,8,0)</f>
        <v>#N/A</v>
      </c>
    </row>
    <row r="1839" spans="1:14" ht="20.25" x14ac:dyDescent="0.25">
      <c r="A1839" s="1">
        <v>141</v>
      </c>
      <c r="B1839" s="159"/>
      <c r="C1839" s="1" t="s">
        <v>1367</v>
      </c>
      <c r="D1839" s="1"/>
      <c r="E1839" s="1"/>
      <c r="F1839" s="1" t="s">
        <v>2717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2">
        <v>6</v>
      </c>
      <c r="M1839" s="43"/>
      <c r="N1839" s="1" t="e">
        <f>VLOOKUP(B1839,MICRO!E:L,8,0)</f>
        <v>#N/A</v>
      </c>
    </row>
    <row r="1840" spans="1:14" ht="20.25" x14ac:dyDescent="0.25">
      <c r="A1840" s="1">
        <v>142</v>
      </c>
      <c r="B1840" s="159"/>
      <c r="C1840" s="1" t="s">
        <v>2718</v>
      </c>
      <c r="D1840" s="1"/>
      <c r="E1840" s="1"/>
      <c r="F1840" s="1" t="s">
        <v>2719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2">
        <v>6</v>
      </c>
      <c r="M1840" s="43"/>
      <c r="N1840" s="1" t="e">
        <f>VLOOKUP(B1840,MICRO!E:L,8,0)</f>
        <v>#N/A</v>
      </c>
    </row>
    <row r="1841" spans="1:14" ht="20.25" x14ac:dyDescent="0.25">
      <c r="A1841" s="1">
        <v>143</v>
      </c>
      <c r="B1841" s="159"/>
      <c r="C1841" s="1" t="s">
        <v>2718</v>
      </c>
      <c r="D1841" s="1"/>
      <c r="E1841" s="1"/>
      <c r="F1841" s="1" t="s">
        <v>2720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2">
        <v>6</v>
      </c>
      <c r="M1841" s="43"/>
      <c r="N1841" s="1" t="e">
        <f>VLOOKUP(B1841,MICRO!E:L,8,0)</f>
        <v>#N/A</v>
      </c>
    </row>
    <row r="1842" spans="1:14" ht="20.25" x14ac:dyDescent="0.25">
      <c r="A1842" s="1">
        <v>144</v>
      </c>
      <c r="B1842" s="159"/>
      <c r="C1842" s="1" t="s">
        <v>2718</v>
      </c>
      <c r="D1842" s="1"/>
      <c r="E1842" s="1"/>
      <c r="F1842" s="1" t="s">
        <v>2721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2">
        <v>6</v>
      </c>
      <c r="M1842" s="43"/>
      <c r="N1842" s="1" t="e">
        <f>VLOOKUP(B1842,MICRO!E:L,8,0)</f>
        <v>#N/A</v>
      </c>
    </row>
    <row r="1843" spans="1:14" ht="20.25" x14ac:dyDescent="0.25">
      <c r="A1843" s="1">
        <v>1</v>
      </c>
      <c r="B1843" s="159">
        <v>1774</v>
      </c>
      <c r="C1843" s="1" t="s">
        <v>420</v>
      </c>
      <c r="D1843" s="1"/>
      <c r="E1843" s="1" t="s">
        <v>2</v>
      </c>
      <c r="F1843" s="1" t="s">
        <v>421</v>
      </c>
      <c r="G1843" s="1">
        <v>3</v>
      </c>
      <c r="H1843" s="1" t="s">
        <v>19</v>
      </c>
      <c r="I1843" s="1" t="s">
        <v>423</v>
      </c>
      <c r="J1843" s="1">
        <v>237.9</v>
      </c>
      <c r="K1843" s="1">
        <v>713.7</v>
      </c>
      <c r="L1843" s="42">
        <v>1</v>
      </c>
      <c r="M1843" s="43"/>
      <c r="N1843" s="1" t="e">
        <f>VLOOKUP(B1843,MICRO!E:L,8,0)</f>
        <v>#N/A</v>
      </c>
    </row>
    <row r="1844" spans="1:14" ht="20.25" x14ac:dyDescent="0.25">
      <c r="A1844" s="1">
        <v>2</v>
      </c>
      <c r="B1844" s="159">
        <v>1775</v>
      </c>
      <c r="C1844" s="1" t="s">
        <v>420</v>
      </c>
      <c r="D1844" s="1"/>
      <c r="E1844" s="1" t="s">
        <v>2</v>
      </c>
      <c r="F1844" s="1" t="s">
        <v>421</v>
      </c>
      <c r="G1844" s="1">
        <v>1</v>
      </c>
      <c r="H1844" s="1" t="s">
        <v>19</v>
      </c>
      <c r="I1844" s="1" t="s">
        <v>424</v>
      </c>
      <c r="J1844" s="1">
        <v>237.9</v>
      </c>
      <c r="K1844" s="1">
        <v>237.9</v>
      </c>
      <c r="L1844" s="42">
        <v>1</v>
      </c>
      <c r="M1844" s="43"/>
      <c r="N1844" s="1" t="e">
        <f>VLOOKUP(B1844,MICRO!E:L,8,0)</f>
        <v>#N/A</v>
      </c>
    </row>
    <row r="1845" spans="1:14" ht="20.25" x14ac:dyDescent="0.25">
      <c r="A1845" s="1">
        <v>3</v>
      </c>
      <c r="B1845" s="159">
        <v>1776</v>
      </c>
      <c r="C1845" s="1" t="s">
        <v>420</v>
      </c>
      <c r="D1845" s="1"/>
      <c r="E1845" s="1" t="s">
        <v>2</v>
      </c>
      <c r="F1845" s="1" t="s">
        <v>421</v>
      </c>
      <c r="G1845" s="1">
        <v>1</v>
      </c>
      <c r="H1845" s="1" t="s">
        <v>19</v>
      </c>
      <c r="I1845" s="1" t="s">
        <v>425</v>
      </c>
      <c r="J1845" s="1">
        <v>237.9</v>
      </c>
      <c r="K1845" s="1">
        <v>237.9</v>
      </c>
      <c r="L1845" s="42">
        <v>1</v>
      </c>
      <c r="M1845" s="43"/>
      <c r="N1845" s="1" t="e">
        <f>VLOOKUP(B1845,MICRO!E:L,8,0)</f>
        <v>#N/A</v>
      </c>
    </row>
    <row r="1846" spans="1:14" ht="20.25" x14ac:dyDescent="0.25">
      <c r="A1846" s="1">
        <v>4</v>
      </c>
      <c r="B1846" s="159">
        <v>1777</v>
      </c>
      <c r="C1846" s="1" t="s">
        <v>420</v>
      </c>
      <c r="D1846" s="1"/>
      <c r="E1846" s="1" t="s">
        <v>2</v>
      </c>
      <c r="F1846" s="1" t="s">
        <v>421</v>
      </c>
      <c r="G1846" s="1">
        <v>3</v>
      </c>
      <c r="H1846" s="1" t="s">
        <v>19</v>
      </c>
      <c r="I1846" s="1" t="s">
        <v>426</v>
      </c>
      <c r="J1846" s="1">
        <v>237.9</v>
      </c>
      <c r="K1846" s="1">
        <v>713.7</v>
      </c>
      <c r="L1846" s="42">
        <v>1</v>
      </c>
      <c r="M1846" s="43"/>
      <c r="N1846" s="1" t="e">
        <f>VLOOKUP(B1846,MICRO!E:L,8,0)</f>
        <v>#N/A</v>
      </c>
    </row>
    <row r="1847" spans="1:14" ht="20.25" x14ac:dyDescent="0.25">
      <c r="A1847" s="1">
        <v>5</v>
      </c>
      <c r="B1847" s="159">
        <v>1778</v>
      </c>
      <c r="C1847" s="1" t="s">
        <v>420</v>
      </c>
      <c r="D1847" s="1"/>
      <c r="E1847" s="1" t="s">
        <v>2</v>
      </c>
      <c r="F1847" s="1" t="s">
        <v>421</v>
      </c>
      <c r="G1847" s="1">
        <v>6</v>
      </c>
      <c r="H1847" s="1" t="s">
        <v>19</v>
      </c>
      <c r="I1847" s="1" t="s">
        <v>427</v>
      </c>
      <c r="J1847" s="1">
        <v>237.9</v>
      </c>
      <c r="K1847" s="1">
        <v>1427.4</v>
      </c>
      <c r="L1847" s="42">
        <v>1</v>
      </c>
      <c r="M1847" s="43"/>
      <c r="N1847" s="1" t="e">
        <f>VLOOKUP(B1847,MICRO!E:L,8,0)</f>
        <v>#N/A</v>
      </c>
    </row>
    <row r="1848" spans="1:14" ht="20.25" x14ac:dyDescent="0.25">
      <c r="A1848" s="1">
        <v>6</v>
      </c>
      <c r="B1848" s="159">
        <v>1779</v>
      </c>
      <c r="C1848" s="1" t="s">
        <v>420</v>
      </c>
      <c r="D1848" s="1"/>
      <c r="E1848" s="1" t="s">
        <v>43</v>
      </c>
      <c r="F1848" s="1" t="s">
        <v>422</v>
      </c>
      <c r="G1848" s="1">
        <v>6</v>
      </c>
      <c r="H1848" s="1" t="s">
        <v>19</v>
      </c>
      <c r="I1848" s="1" t="s">
        <v>423</v>
      </c>
      <c r="J1848" s="1">
        <v>36.4</v>
      </c>
      <c r="K1848" s="1">
        <v>218.39999999999998</v>
      </c>
      <c r="L1848" s="42">
        <v>1</v>
      </c>
      <c r="M1848" s="43"/>
      <c r="N1848" s="1" t="e">
        <f>VLOOKUP(B1848,MICRO!E:L,8,0)</f>
        <v>#N/A</v>
      </c>
    </row>
    <row r="1849" spans="1:14" ht="20.25" x14ac:dyDescent="0.25">
      <c r="A1849" s="1">
        <v>7</v>
      </c>
      <c r="B1849" s="159">
        <v>1780</v>
      </c>
      <c r="C1849" s="1" t="s">
        <v>420</v>
      </c>
      <c r="D1849" s="1"/>
      <c r="E1849" s="1" t="s">
        <v>43</v>
      </c>
      <c r="F1849" s="1" t="s">
        <v>422</v>
      </c>
      <c r="G1849" s="1">
        <v>2</v>
      </c>
      <c r="H1849" s="1" t="s">
        <v>19</v>
      </c>
      <c r="I1849" s="1" t="s">
        <v>424</v>
      </c>
      <c r="J1849" s="1">
        <v>36.4</v>
      </c>
      <c r="K1849" s="1">
        <v>72.8</v>
      </c>
      <c r="L1849" s="42">
        <v>1</v>
      </c>
      <c r="M1849" s="43"/>
      <c r="N1849" s="1" t="e">
        <f>VLOOKUP(B1849,MICRO!E:L,8,0)</f>
        <v>#N/A</v>
      </c>
    </row>
    <row r="1850" spans="1:14" ht="20.25" x14ac:dyDescent="0.25">
      <c r="A1850" s="1">
        <v>8</v>
      </c>
      <c r="B1850" s="159">
        <v>1781</v>
      </c>
      <c r="C1850" s="1" t="s">
        <v>420</v>
      </c>
      <c r="D1850" s="1"/>
      <c r="E1850" s="1" t="s">
        <v>43</v>
      </c>
      <c r="F1850" s="1" t="s">
        <v>422</v>
      </c>
      <c r="G1850" s="1">
        <v>2</v>
      </c>
      <c r="H1850" s="1" t="s">
        <v>19</v>
      </c>
      <c r="I1850" s="1" t="s">
        <v>425</v>
      </c>
      <c r="J1850" s="1">
        <v>36.4</v>
      </c>
      <c r="K1850" s="1">
        <v>72.8</v>
      </c>
      <c r="L1850" s="42">
        <v>1</v>
      </c>
      <c r="M1850" s="43"/>
      <c r="N1850" s="1" t="e">
        <f>VLOOKUP(B1850,MICRO!E:L,8,0)</f>
        <v>#N/A</v>
      </c>
    </row>
    <row r="1851" spans="1:14" ht="20.25" x14ac:dyDescent="0.25">
      <c r="A1851" s="1">
        <v>9</v>
      </c>
      <c r="B1851" s="159">
        <v>1782</v>
      </c>
      <c r="C1851" s="1" t="s">
        <v>420</v>
      </c>
      <c r="D1851" s="1"/>
      <c r="E1851" s="1" t="s">
        <v>43</v>
      </c>
      <c r="F1851" s="1" t="s">
        <v>422</v>
      </c>
      <c r="G1851" s="1">
        <v>6</v>
      </c>
      <c r="H1851" s="1" t="s">
        <v>19</v>
      </c>
      <c r="I1851" s="1" t="s">
        <v>426</v>
      </c>
      <c r="J1851" s="1">
        <v>36.4</v>
      </c>
      <c r="K1851" s="1">
        <v>218.39999999999998</v>
      </c>
      <c r="L1851" s="42">
        <v>1</v>
      </c>
      <c r="M1851" s="43"/>
      <c r="N1851" s="1" t="e">
        <f>VLOOKUP(B1851,MICRO!E:L,8,0)</f>
        <v>#N/A</v>
      </c>
    </row>
    <row r="1852" spans="1:14" ht="20.25" x14ac:dyDescent="0.25">
      <c r="A1852" s="1">
        <v>10</v>
      </c>
      <c r="B1852" s="159">
        <v>1783</v>
      </c>
      <c r="C1852" s="1" t="s">
        <v>420</v>
      </c>
      <c r="D1852" s="1"/>
      <c r="E1852" s="1" t="s">
        <v>43</v>
      </c>
      <c r="F1852" s="1" t="s">
        <v>422</v>
      </c>
      <c r="G1852" s="1">
        <v>12</v>
      </c>
      <c r="H1852" s="1" t="s">
        <v>19</v>
      </c>
      <c r="I1852" s="1" t="s">
        <v>427</v>
      </c>
      <c r="J1852" s="1">
        <v>36.4</v>
      </c>
      <c r="K1852" s="1">
        <v>436.79999999999995</v>
      </c>
      <c r="L1852" s="42">
        <v>1</v>
      </c>
      <c r="M1852" s="43"/>
      <c r="N1852" s="1" t="e">
        <f>VLOOKUP(B1852,MICRO!E:L,8,0)</f>
        <v>#N/A</v>
      </c>
    </row>
    <row r="1853" spans="1:14" ht="20.25" x14ac:dyDescent="0.25">
      <c r="A1853" s="1">
        <v>11</v>
      </c>
      <c r="B1853" s="159">
        <v>1784</v>
      </c>
      <c r="C1853" s="1" t="s">
        <v>428</v>
      </c>
      <c r="D1853" s="1"/>
      <c r="E1853" s="1"/>
      <c r="F1853" s="1" t="s">
        <v>429</v>
      </c>
      <c r="G1853" s="1">
        <v>8</v>
      </c>
      <c r="H1853" s="1" t="s">
        <v>19</v>
      </c>
      <c r="I1853" s="1" t="s">
        <v>423</v>
      </c>
      <c r="J1853" s="1">
        <v>15</v>
      </c>
      <c r="K1853" s="1">
        <v>120</v>
      </c>
      <c r="L1853" s="42">
        <v>1</v>
      </c>
      <c r="M1853" s="43"/>
      <c r="N1853" s="1" t="e">
        <f>VLOOKUP(B1853,MICRO!E:L,8,0)</f>
        <v>#N/A</v>
      </c>
    </row>
    <row r="1854" spans="1:14" ht="20.25" x14ac:dyDescent="0.25">
      <c r="A1854" s="1">
        <v>12</v>
      </c>
      <c r="B1854" s="159">
        <v>1785</v>
      </c>
      <c r="C1854" s="1" t="s">
        <v>428</v>
      </c>
      <c r="D1854" s="1"/>
      <c r="E1854" s="1"/>
      <c r="F1854" s="1" t="s">
        <v>429</v>
      </c>
      <c r="G1854" s="1">
        <v>2</v>
      </c>
      <c r="H1854" s="1" t="s">
        <v>19</v>
      </c>
      <c r="I1854" s="1" t="s">
        <v>424</v>
      </c>
      <c r="J1854" s="1">
        <v>15</v>
      </c>
      <c r="K1854" s="1">
        <v>30</v>
      </c>
      <c r="L1854" s="42">
        <v>1</v>
      </c>
      <c r="M1854" s="43"/>
      <c r="N1854" s="1" t="e">
        <f>VLOOKUP(B1854,MICRO!E:L,8,0)</f>
        <v>#N/A</v>
      </c>
    </row>
    <row r="1855" spans="1:14" ht="20.25" x14ac:dyDescent="0.25">
      <c r="A1855" s="1">
        <v>13</v>
      </c>
      <c r="B1855" s="159">
        <v>1786</v>
      </c>
      <c r="C1855" s="1" t="s">
        <v>428</v>
      </c>
      <c r="D1855" s="1"/>
      <c r="E1855" s="1"/>
      <c r="F1855" s="1" t="s">
        <v>429</v>
      </c>
      <c r="G1855" s="1">
        <v>2</v>
      </c>
      <c r="H1855" s="1" t="s">
        <v>19</v>
      </c>
      <c r="I1855" s="1" t="s">
        <v>425</v>
      </c>
      <c r="J1855" s="1">
        <v>15</v>
      </c>
      <c r="K1855" s="1">
        <v>30</v>
      </c>
      <c r="L1855" s="42">
        <v>1</v>
      </c>
      <c r="M1855" s="43"/>
      <c r="N1855" s="1" t="e">
        <f>VLOOKUP(B1855,MICRO!E:L,8,0)</f>
        <v>#N/A</v>
      </c>
    </row>
    <row r="1856" spans="1:14" ht="20.25" x14ac:dyDescent="0.25">
      <c r="A1856" s="1">
        <v>14</v>
      </c>
      <c r="B1856" s="159">
        <v>1787</v>
      </c>
      <c r="C1856" s="1" t="s">
        <v>428</v>
      </c>
      <c r="D1856" s="1"/>
      <c r="E1856" s="1"/>
      <c r="F1856" s="1" t="s">
        <v>429</v>
      </c>
      <c r="G1856" s="1">
        <v>6</v>
      </c>
      <c r="H1856" s="1" t="s">
        <v>19</v>
      </c>
      <c r="I1856" s="1" t="s">
        <v>426</v>
      </c>
      <c r="J1856" s="1">
        <v>15</v>
      </c>
      <c r="K1856" s="1">
        <v>90</v>
      </c>
      <c r="L1856" s="42">
        <v>1</v>
      </c>
      <c r="M1856" s="43"/>
      <c r="N1856" s="1" t="e">
        <f>VLOOKUP(B1856,MICRO!E:L,8,0)</f>
        <v>#N/A</v>
      </c>
    </row>
    <row r="1857" spans="1:14" ht="20.25" x14ac:dyDescent="0.25">
      <c r="A1857" s="1">
        <v>15</v>
      </c>
      <c r="B1857" s="159">
        <v>1788</v>
      </c>
      <c r="C1857" s="1" t="s">
        <v>428</v>
      </c>
      <c r="D1857" s="1"/>
      <c r="E1857" s="1"/>
      <c r="F1857" s="1" t="s">
        <v>429</v>
      </c>
      <c r="G1857" s="1">
        <v>12</v>
      </c>
      <c r="H1857" s="1" t="s">
        <v>19</v>
      </c>
      <c r="I1857" s="1" t="s">
        <v>427</v>
      </c>
      <c r="J1857" s="1">
        <v>15</v>
      </c>
      <c r="K1857" s="1">
        <v>180</v>
      </c>
      <c r="L1857" s="42">
        <v>1</v>
      </c>
      <c r="M1857" s="43"/>
      <c r="N1857" s="1" t="e">
        <f>VLOOKUP(B1857,MICRO!E:L,8,0)</f>
        <v>#N/A</v>
      </c>
    </row>
    <row r="1858" spans="1:14" ht="20.25" x14ac:dyDescent="0.25">
      <c r="A1858" s="1">
        <v>1</v>
      </c>
      <c r="B1858" s="159">
        <v>1959</v>
      </c>
      <c r="C1858" s="1" t="s">
        <v>590</v>
      </c>
      <c r="D1858" s="1"/>
      <c r="E1858" s="1" t="s">
        <v>2</v>
      </c>
      <c r="F1858" s="1" t="s">
        <v>598</v>
      </c>
      <c r="G1858" s="1">
        <v>1</v>
      </c>
      <c r="H1858" s="1" t="s">
        <v>19</v>
      </c>
      <c r="I1858" s="1" t="s">
        <v>427</v>
      </c>
      <c r="J1858" s="1">
        <v>141.80000000000001</v>
      </c>
      <c r="K1858" s="1">
        <v>141.80000000000001</v>
      </c>
      <c r="L1858" s="42">
        <v>2</v>
      </c>
      <c r="M1858" s="43"/>
      <c r="N1858" s="1" t="e">
        <f>VLOOKUP(B1858,MICRO!E:L,8,0)</f>
        <v>#N/A</v>
      </c>
    </row>
    <row r="1859" spans="1:14" ht="20.25" x14ac:dyDescent="0.25">
      <c r="A1859" s="1">
        <v>2</v>
      </c>
      <c r="B1859" s="159">
        <v>1960</v>
      </c>
      <c r="C1859" s="1" t="s">
        <v>590</v>
      </c>
      <c r="D1859" s="1"/>
      <c r="E1859" s="1" t="s">
        <v>43</v>
      </c>
      <c r="F1859" s="1" t="s">
        <v>594</v>
      </c>
      <c r="G1859" s="1">
        <v>1</v>
      </c>
      <c r="H1859" s="1" t="s">
        <v>19</v>
      </c>
      <c r="I1859" s="1" t="s">
        <v>427</v>
      </c>
      <c r="J1859" s="1">
        <v>4.0999999999999996</v>
      </c>
      <c r="K1859" s="1">
        <v>4.0999999999999996</v>
      </c>
      <c r="L1859" s="42">
        <v>2</v>
      </c>
      <c r="M1859" s="43"/>
      <c r="N1859" s="1" t="e">
        <f>VLOOKUP(B1859,MICRO!E:L,8,0)</f>
        <v>#N/A</v>
      </c>
    </row>
    <row r="1860" spans="1:14" ht="20.25" x14ac:dyDescent="0.25">
      <c r="A1860" s="1">
        <v>3</v>
      </c>
      <c r="B1860" s="159">
        <v>1961</v>
      </c>
      <c r="C1860" s="1" t="s">
        <v>590</v>
      </c>
      <c r="D1860" s="1"/>
      <c r="E1860" s="1" t="s">
        <v>746</v>
      </c>
      <c r="F1860" s="1" t="s">
        <v>593</v>
      </c>
      <c r="G1860" s="1">
        <v>1</v>
      </c>
      <c r="H1860" s="1" t="s">
        <v>19</v>
      </c>
      <c r="I1860" s="1" t="s">
        <v>427</v>
      </c>
      <c r="J1860" s="1">
        <v>4.0999999999999996</v>
      </c>
      <c r="K1860" s="1">
        <v>4.0999999999999996</v>
      </c>
      <c r="L1860" s="42">
        <v>2</v>
      </c>
      <c r="M1860" s="43"/>
      <c r="N1860" s="1" t="e">
        <f>VLOOKUP(B1860,MICRO!E:L,8,0)</f>
        <v>#N/A</v>
      </c>
    </row>
    <row r="1861" spans="1:14" ht="20.25" x14ac:dyDescent="0.25">
      <c r="A1861" s="1">
        <v>4</v>
      </c>
      <c r="B1861" s="159">
        <v>1962</v>
      </c>
      <c r="C1861" s="1" t="s">
        <v>590</v>
      </c>
      <c r="D1861" s="1"/>
      <c r="E1861" s="1" t="s">
        <v>1101</v>
      </c>
      <c r="F1861" s="1" t="s">
        <v>591</v>
      </c>
      <c r="G1861" s="1">
        <v>1</v>
      </c>
      <c r="H1861" s="1" t="s">
        <v>19</v>
      </c>
      <c r="I1861" s="1" t="s">
        <v>427</v>
      </c>
      <c r="J1861" s="1">
        <v>12.4</v>
      </c>
      <c r="K1861" s="1">
        <v>12.4</v>
      </c>
      <c r="L1861" s="42">
        <v>2</v>
      </c>
      <c r="M1861" s="43"/>
      <c r="N1861" s="1" t="e">
        <f>VLOOKUP(B1861,MICRO!E:L,8,0)</f>
        <v>#N/A</v>
      </c>
    </row>
    <row r="1862" spans="1:14" ht="20.25" x14ac:dyDescent="0.25">
      <c r="A1862" s="1">
        <v>5</v>
      </c>
      <c r="B1862" s="159">
        <v>1963</v>
      </c>
      <c r="C1862" s="1" t="s">
        <v>590</v>
      </c>
      <c r="D1862" s="1"/>
      <c r="E1862" s="1" t="s">
        <v>100</v>
      </c>
      <c r="F1862" s="1" t="s">
        <v>592</v>
      </c>
      <c r="G1862" s="1">
        <v>1</v>
      </c>
      <c r="H1862" s="1" t="s">
        <v>19</v>
      </c>
      <c r="I1862" s="1" t="s">
        <v>427</v>
      </c>
      <c r="J1862" s="1">
        <v>3.2</v>
      </c>
      <c r="K1862" s="1">
        <v>3.2</v>
      </c>
      <c r="L1862" s="42">
        <v>2</v>
      </c>
      <c r="M1862" s="43"/>
      <c r="N1862" s="1" t="e">
        <f>VLOOKUP(B1862,MICRO!E:L,8,0)</f>
        <v>#N/A</v>
      </c>
    </row>
    <row r="1863" spans="1:14" ht="20.25" x14ac:dyDescent="0.25">
      <c r="A1863" s="1">
        <v>6</v>
      </c>
      <c r="B1863" s="159" t="s">
        <v>687</v>
      </c>
      <c r="C1863" s="1" t="s">
        <v>596</v>
      </c>
      <c r="D1863" s="1"/>
      <c r="E1863" s="1" t="s">
        <v>2</v>
      </c>
      <c r="F1863" s="1" t="s">
        <v>597</v>
      </c>
      <c r="G1863" s="1">
        <v>1</v>
      </c>
      <c r="H1863" s="1" t="s">
        <v>19</v>
      </c>
      <c r="I1863" s="1" t="s">
        <v>426</v>
      </c>
      <c r="J1863" s="1">
        <v>101.2</v>
      </c>
      <c r="K1863" s="1">
        <v>101.2</v>
      </c>
      <c r="L1863" s="42">
        <v>2</v>
      </c>
      <c r="M1863" s="43"/>
      <c r="N1863" s="1" t="e">
        <f>VLOOKUP(B1863,MICRO!E:L,8,0)</f>
        <v>#N/A</v>
      </c>
    </row>
    <row r="1864" spans="1:14" ht="20.25" x14ac:dyDescent="0.25">
      <c r="A1864" s="1">
        <v>7</v>
      </c>
      <c r="B1864" s="159" t="s">
        <v>688</v>
      </c>
      <c r="C1864" s="1" t="s">
        <v>596</v>
      </c>
      <c r="D1864" s="1"/>
      <c r="E1864" s="1" t="s">
        <v>43</v>
      </c>
      <c r="F1864" s="1" t="s">
        <v>599</v>
      </c>
      <c r="G1864" s="1">
        <v>1</v>
      </c>
      <c r="H1864" s="1" t="s">
        <v>19</v>
      </c>
      <c r="I1864" s="1" t="s">
        <v>426</v>
      </c>
      <c r="J1864" s="1">
        <v>3.5</v>
      </c>
      <c r="K1864" s="1">
        <v>3.5</v>
      </c>
      <c r="L1864" s="42">
        <v>2</v>
      </c>
      <c r="M1864" s="43"/>
      <c r="N1864" s="1" t="e">
        <f>VLOOKUP(B1864,MICRO!E:L,8,0)</f>
        <v>#N/A</v>
      </c>
    </row>
    <row r="1865" spans="1:14" ht="20.25" x14ac:dyDescent="0.25">
      <c r="A1865" s="1">
        <v>8</v>
      </c>
      <c r="B1865" s="159" t="s">
        <v>689</v>
      </c>
      <c r="C1865" s="1" t="s">
        <v>596</v>
      </c>
      <c r="D1865" s="1"/>
      <c r="E1865" s="1" t="s">
        <v>746</v>
      </c>
      <c r="F1865" s="1" t="s">
        <v>600</v>
      </c>
      <c r="G1865" s="1">
        <v>1</v>
      </c>
      <c r="H1865" s="1" t="s">
        <v>19</v>
      </c>
      <c r="I1865" s="1" t="s">
        <v>426</v>
      </c>
      <c r="J1865" s="1">
        <v>3.5</v>
      </c>
      <c r="K1865" s="1">
        <v>3.5</v>
      </c>
      <c r="L1865" s="42">
        <v>2</v>
      </c>
      <c r="M1865" s="43"/>
      <c r="N1865" s="1" t="e">
        <f>VLOOKUP(B1865,MICRO!E:L,8,0)</f>
        <v>#N/A</v>
      </c>
    </row>
    <row r="1866" spans="1:14" ht="20.25" x14ac:dyDescent="0.25">
      <c r="A1866" s="1">
        <v>9</v>
      </c>
      <c r="B1866" s="159" t="s">
        <v>690</v>
      </c>
      <c r="C1866" s="1" t="s">
        <v>596</v>
      </c>
      <c r="D1866" s="1"/>
      <c r="E1866" s="1" t="s">
        <v>1101</v>
      </c>
      <c r="F1866" s="1" t="s">
        <v>601</v>
      </c>
      <c r="G1866" s="1">
        <v>1</v>
      </c>
      <c r="H1866" s="1" t="s">
        <v>19</v>
      </c>
      <c r="I1866" s="1" t="s">
        <v>426</v>
      </c>
      <c r="J1866" s="1">
        <v>12.4</v>
      </c>
      <c r="K1866" s="1">
        <v>12.4</v>
      </c>
      <c r="L1866" s="42">
        <v>2</v>
      </c>
      <c r="M1866" s="43"/>
      <c r="N1866" s="1" t="e">
        <f>VLOOKUP(B1866,MICRO!E:L,8,0)</f>
        <v>#N/A</v>
      </c>
    </row>
    <row r="1867" spans="1:14" ht="20.25" x14ac:dyDescent="0.25">
      <c r="A1867" s="1">
        <v>10</v>
      </c>
      <c r="B1867" s="159" t="s">
        <v>691</v>
      </c>
      <c r="C1867" s="1" t="s">
        <v>596</v>
      </c>
      <c r="D1867" s="1"/>
      <c r="E1867" s="1" t="s">
        <v>100</v>
      </c>
      <c r="F1867" s="1" t="s">
        <v>602</v>
      </c>
      <c r="G1867" s="1">
        <v>1</v>
      </c>
      <c r="H1867" s="1" t="s">
        <v>19</v>
      </c>
      <c r="I1867" s="1" t="s">
        <v>426</v>
      </c>
      <c r="J1867" s="1">
        <v>3.2</v>
      </c>
      <c r="K1867" s="1">
        <v>3.2</v>
      </c>
      <c r="L1867" s="42">
        <v>2</v>
      </c>
      <c r="M1867" s="43"/>
      <c r="N1867" s="1" t="e">
        <f>VLOOKUP(B1867,MICRO!E:L,8,0)</f>
        <v>#N/A</v>
      </c>
    </row>
    <row r="1868" spans="1:14" ht="20.25" x14ac:dyDescent="0.25">
      <c r="A1868" s="1">
        <v>11</v>
      </c>
      <c r="B1868" s="159" t="s">
        <v>692</v>
      </c>
      <c r="C1868" s="1" t="s">
        <v>596</v>
      </c>
      <c r="D1868" s="1"/>
      <c r="E1868" s="1" t="s">
        <v>173</v>
      </c>
      <c r="F1868" s="1" t="s">
        <v>603</v>
      </c>
      <c r="G1868" s="1">
        <v>2</v>
      </c>
      <c r="H1868" s="1" t="s">
        <v>19</v>
      </c>
      <c r="I1868" s="1" t="s">
        <v>426</v>
      </c>
      <c r="J1868" s="1">
        <v>6.4</v>
      </c>
      <c r="K1868" s="1">
        <v>12.8</v>
      </c>
      <c r="L1868" s="42">
        <v>2</v>
      </c>
      <c r="M1868" s="43"/>
      <c r="N1868" s="1" t="e">
        <f>VLOOKUP(B1868,MICRO!E:L,8,0)</f>
        <v>#N/A</v>
      </c>
    </row>
    <row r="1869" spans="1:14" ht="20.25" x14ac:dyDescent="0.25">
      <c r="A1869" s="1">
        <v>12</v>
      </c>
      <c r="B1869" s="159">
        <v>1971</v>
      </c>
      <c r="C1869" s="1" t="s">
        <v>604</v>
      </c>
      <c r="D1869" s="1"/>
      <c r="E1869" s="1" t="s">
        <v>2</v>
      </c>
      <c r="F1869" s="1" t="s">
        <v>605</v>
      </c>
      <c r="G1869" s="1">
        <v>1</v>
      </c>
      <c r="H1869" s="1" t="s">
        <v>19</v>
      </c>
      <c r="I1869" s="1" t="s">
        <v>424</v>
      </c>
      <c r="J1869" s="1">
        <v>125</v>
      </c>
      <c r="K1869" s="1">
        <v>125</v>
      </c>
      <c r="L1869" s="42">
        <v>2</v>
      </c>
      <c r="M1869" s="43"/>
      <c r="N1869" s="1" t="e">
        <f>VLOOKUP(B1869,MICRO!E:L,8,0)</f>
        <v>#N/A</v>
      </c>
    </row>
    <row r="1870" spans="1:14" ht="20.25" x14ac:dyDescent="0.25">
      <c r="A1870" s="1">
        <v>13</v>
      </c>
      <c r="B1870" s="159">
        <v>1972</v>
      </c>
      <c r="C1870" s="1" t="s">
        <v>604</v>
      </c>
      <c r="D1870" s="1"/>
      <c r="E1870" s="1" t="s">
        <v>43</v>
      </c>
      <c r="F1870" s="1" t="s">
        <v>606</v>
      </c>
      <c r="G1870" s="1">
        <v>1</v>
      </c>
      <c r="H1870" s="1" t="s">
        <v>19</v>
      </c>
      <c r="I1870" s="1" t="s">
        <v>424</v>
      </c>
      <c r="J1870" s="1">
        <v>3.5</v>
      </c>
      <c r="K1870" s="1">
        <v>3.5</v>
      </c>
      <c r="L1870" s="42">
        <v>2</v>
      </c>
      <c r="M1870" s="43"/>
      <c r="N1870" s="1" t="e">
        <f>VLOOKUP(B1870,MICRO!E:L,8,0)</f>
        <v>#N/A</v>
      </c>
    </row>
    <row r="1871" spans="1:14" ht="20.25" x14ac:dyDescent="0.25">
      <c r="A1871" s="1">
        <v>14</v>
      </c>
      <c r="B1871" s="159">
        <v>1973</v>
      </c>
      <c r="C1871" s="1" t="s">
        <v>604</v>
      </c>
      <c r="D1871" s="1"/>
      <c r="E1871" s="1" t="s">
        <v>746</v>
      </c>
      <c r="F1871" s="1" t="s">
        <v>607</v>
      </c>
      <c r="G1871" s="1">
        <v>1</v>
      </c>
      <c r="H1871" s="1" t="s">
        <v>19</v>
      </c>
      <c r="I1871" s="1" t="s">
        <v>424</v>
      </c>
      <c r="J1871" s="1">
        <v>3.5</v>
      </c>
      <c r="K1871" s="1">
        <v>3.5</v>
      </c>
      <c r="L1871" s="42">
        <v>2</v>
      </c>
      <c r="M1871" s="43"/>
      <c r="N1871" s="1" t="e">
        <f>VLOOKUP(B1871,MICRO!E:L,8,0)</f>
        <v>#N/A</v>
      </c>
    </row>
    <row r="1872" spans="1:14" ht="20.25" x14ac:dyDescent="0.25">
      <c r="A1872" s="1">
        <v>15</v>
      </c>
      <c r="B1872" s="159">
        <v>1974</v>
      </c>
      <c r="C1872" s="1" t="s">
        <v>604</v>
      </c>
      <c r="D1872" s="1"/>
      <c r="E1872" s="1" t="s">
        <v>1101</v>
      </c>
      <c r="F1872" s="1" t="s">
        <v>608</v>
      </c>
      <c r="G1872" s="1">
        <v>1</v>
      </c>
      <c r="H1872" s="1" t="s">
        <v>19</v>
      </c>
      <c r="I1872" s="1" t="s">
        <v>424</v>
      </c>
      <c r="J1872" s="1">
        <v>12.4</v>
      </c>
      <c r="K1872" s="1">
        <v>12.4</v>
      </c>
      <c r="L1872" s="42">
        <v>2</v>
      </c>
      <c r="M1872" s="43"/>
      <c r="N1872" s="1" t="e">
        <f>VLOOKUP(B1872,MICRO!E:L,8,0)</f>
        <v>#N/A</v>
      </c>
    </row>
    <row r="1873" spans="1:14" ht="20.25" x14ac:dyDescent="0.25">
      <c r="A1873" s="1">
        <v>16</v>
      </c>
      <c r="B1873" s="159">
        <v>1975</v>
      </c>
      <c r="C1873" s="1" t="s">
        <v>604</v>
      </c>
      <c r="D1873" s="1"/>
      <c r="E1873" s="1" t="s">
        <v>100</v>
      </c>
      <c r="F1873" s="1" t="s">
        <v>609</v>
      </c>
      <c r="G1873" s="1">
        <v>1</v>
      </c>
      <c r="H1873" s="1" t="s">
        <v>19</v>
      </c>
      <c r="I1873" s="1" t="s">
        <v>424</v>
      </c>
      <c r="J1873" s="1">
        <v>3.2</v>
      </c>
      <c r="K1873" s="1">
        <v>3.2</v>
      </c>
      <c r="L1873" s="42">
        <v>2</v>
      </c>
      <c r="M1873" s="43"/>
      <c r="N1873" s="1" t="e">
        <f>VLOOKUP(B1873,MICRO!E:L,8,0)</f>
        <v>#N/A</v>
      </c>
    </row>
    <row r="1874" spans="1:14" ht="20.25" x14ac:dyDescent="0.25">
      <c r="A1874" s="1">
        <v>17</v>
      </c>
      <c r="B1874" s="159">
        <v>1977</v>
      </c>
      <c r="C1874" s="1" t="s">
        <v>604</v>
      </c>
      <c r="D1874" s="1"/>
      <c r="E1874" s="1" t="s">
        <v>2</v>
      </c>
      <c r="F1874" s="1" t="s">
        <v>605</v>
      </c>
      <c r="G1874" s="1">
        <v>1</v>
      </c>
      <c r="H1874" s="1" t="s">
        <v>19</v>
      </c>
      <c r="I1874" s="1" t="s">
        <v>425</v>
      </c>
      <c r="J1874" s="1">
        <v>125</v>
      </c>
      <c r="K1874" s="1">
        <v>125</v>
      </c>
      <c r="L1874" s="42">
        <v>2</v>
      </c>
      <c r="M1874" s="43"/>
      <c r="N1874" s="1" t="e">
        <f>VLOOKUP(B1874,MICRO!E:L,8,0)</f>
        <v>#N/A</v>
      </c>
    </row>
    <row r="1875" spans="1:14" ht="20.25" x14ac:dyDescent="0.25">
      <c r="A1875" s="1">
        <v>18</v>
      </c>
      <c r="B1875" s="159">
        <v>1978</v>
      </c>
      <c r="C1875" s="1" t="s">
        <v>604</v>
      </c>
      <c r="D1875" s="1"/>
      <c r="E1875" s="1" t="s">
        <v>43</v>
      </c>
      <c r="F1875" s="1" t="s">
        <v>606</v>
      </c>
      <c r="G1875" s="1">
        <v>1</v>
      </c>
      <c r="H1875" s="1" t="s">
        <v>19</v>
      </c>
      <c r="I1875" s="1" t="s">
        <v>425</v>
      </c>
      <c r="J1875" s="1">
        <v>3.5</v>
      </c>
      <c r="K1875" s="1">
        <v>3.5</v>
      </c>
      <c r="L1875" s="42">
        <v>2</v>
      </c>
      <c r="M1875" s="43"/>
      <c r="N1875" s="1" t="e">
        <f>VLOOKUP(B1875,MICRO!E:L,8,0)</f>
        <v>#N/A</v>
      </c>
    </row>
    <row r="1876" spans="1:14" ht="20.25" x14ac:dyDescent="0.25">
      <c r="A1876" s="1">
        <v>19</v>
      </c>
      <c r="B1876" s="159">
        <v>1979</v>
      </c>
      <c r="C1876" s="1" t="s">
        <v>604</v>
      </c>
      <c r="D1876" s="1"/>
      <c r="E1876" s="1" t="s">
        <v>746</v>
      </c>
      <c r="F1876" s="1" t="s">
        <v>607</v>
      </c>
      <c r="G1876" s="1">
        <v>1</v>
      </c>
      <c r="H1876" s="1" t="s">
        <v>19</v>
      </c>
      <c r="I1876" s="1" t="s">
        <v>425</v>
      </c>
      <c r="J1876" s="1">
        <v>3.5</v>
      </c>
      <c r="K1876" s="1">
        <v>3.5</v>
      </c>
      <c r="L1876" s="42">
        <v>2</v>
      </c>
      <c r="M1876" s="43"/>
      <c r="N1876" s="1" t="e">
        <f>VLOOKUP(B1876,MICRO!E:L,8,0)</f>
        <v>#N/A</v>
      </c>
    </row>
    <row r="1877" spans="1:14" ht="20.25" x14ac:dyDescent="0.25">
      <c r="A1877" s="1">
        <v>20</v>
      </c>
      <c r="B1877" s="159">
        <v>1981</v>
      </c>
      <c r="C1877" s="1" t="s">
        <v>604</v>
      </c>
      <c r="D1877" s="1"/>
      <c r="E1877" s="1" t="s">
        <v>100</v>
      </c>
      <c r="F1877" s="1" t="s">
        <v>609</v>
      </c>
      <c r="G1877" s="1">
        <v>1</v>
      </c>
      <c r="H1877" s="1" t="s">
        <v>19</v>
      </c>
      <c r="I1877" s="1" t="s">
        <v>425</v>
      </c>
      <c r="J1877" s="1">
        <v>3.2</v>
      </c>
      <c r="K1877" s="1">
        <v>3.2</v>
      </c>
      <c r="L1877" s="42">
        <v>2</v>
      </c>
      <c r="M1877" s="43"/>
      <c r="N1877" s="1" t="e">
        <f>VLOOKUP(B1877,MICRO!E:L,8,0)</f>
        <v>#N/A</v>
      </c>
    </row>
    <row r="1878" spans="1:14" ht="20.25" x14ac:dyDescent="0.25">
      <c r="A1878" s="1">
        <v>21</v>
      </c>
      <c r="B1878" s="159">
        <v>1983</v>
      </c>
      <c r="C1878" s="1" t="s">
        <v>611</v>
      </c>
      <c r="D1878" s="1"/>
      <c r="E1878" s="1" t="s">
        <v>2</v>
      </c>
      <c r="F1878" s="1" t="s">
        <v>612</v>
      </c>
      <c r="G1878" s="1">
        <v>1</v>
      </c>
      <c r="H1878" s="1" t="s">
        <v>19</v>
      </c>
      <c r="I1878" s="1" t="s">
        <v>423</v>
      </c>
      <c r="J1878" s="1">
        <v>181</v>
      </c>
      <c r="K1878" s="1">
        <v>181</v>
      </c>
      <c r="L1878" s="42">
        <v>2</v>
      </c>
      <c r="M1878" s="43"/>
      <c r="N1878" s="1" t="e">
        <f>VLOOKUP(B1878,MICRO!E:L,8,0)</f>
        <v>#N/A</v>
      </c>
    </row>
    <row r="1879" spans="1:14" ht="20.25" x14ac:dyDescent="0.25">
      <c r="A1879" s="1">
        <v>22</v>
      </c>
      <c r="B1879" s="159">
        <v>1984</v>
      </c>
      <c r="C1879" s="1" t="s">
        <v>611</v>
      </c>
      <c r="D1879" s="1"/>
      <c r="E1879" s="1" t="s">
        <v>43</v>
      </c>
      <c r="F1879" s="1" t="s">
        <v>613</v>
      </c>
      <c r="G1879" s="1">
        <v>1</v>
      </c>
      <c r="H1879" s="1" t="s">
        <v>19</v>
      </c>
      <c r="I1879" s="1" t="s">
        <v>423</v>
      </c>
      <c r="J1879" s="1">
        <v>9.8000000000000007</v>
      </c>
      <c r="K1879" s="1">
        <v>9.8000000000000007</v>
      </c>
      <c r="L1879" s="42">
        <v>2</v>
      </c>
      <c r="M1879" s="43"/>
      <c r="N1879" s="1" t="e">
        <f>VLOOKUP(B1879,MICRO!E:L,8,0)</f>
        <v>#N/A</v>
      </c>
    </row>
    <row r="1880" spans="1:14" ht="20.25" x14ac:dyDescent="0.25">
      <c r="A1880" s="1">
        <v>23</v>
      </c>
      <c r="B1880" s="159">
        <v>1985</v>
      </c>
      <c r="C1880" s="1" t="s">
        <v>611</v>
      </c>
      <c r="D1880" s="1"/>
      <c r="E1880" s="1" t="s">
        <v>746</v>
      </c>
      <c r="F1880" s="1" t="s">
        <v>614</v>
      </c>
      <c r="G1880" s="1">
        <v>1</v>
      </c>
      <c r="H1880" s="1" t="s">
        <v>19</v>
      </c>
      <c r="I1880" s="1" t="s">
        <v>423</v>
      </c>
      <c r="J1880" s="1">
        <v>9.8000000000000007</v>
      </c>
      <c r="K1880" s="1">
        <v>9.8000000000000007</v>
      </c>
      <c r="L1880" s="42">
        <v>2</v>
      </c>
      <c r="M1880" s="43"/>
      <c r="N1880" s="1" t="e">
        <f>VLOOKUP(B1880,MICRO!E:L,8,0)</f>
        <v>#N/A</v>
      </c>
    </row>
    <row r="1881" spans="1:14" ht="20.25" x14ac:dyDescent="0.25">
      <c r="A1881" s="1">
        <v>24</v>
      </c>
      <c r="B1881" s="159">
        <v>1986</v>
      </c>
      <c r="C1881" s="1" t="s">
        <v>611</v>
      </c>
      <c r="D1881" s="1"/>
      <c r="E1881" s="1" t="s">
        <v>1101</v>
      </c>
      <c r="F1881" s="1" t="s">
        <v>615</v>
      </c>
      <c r="G1881" s="1">
        <v>1</v>
      </c>
      <c r="H1881" s="1" t="s">
        <v>19</v>
      </c>
      <c r="I1881" s="1" t="s">
        <v>423</v>
      </c>
      <c r="J1881" s="1">
        <v>11.6</v>
      </c>
      <c r="K1881" s="1">
        <v>11.6</v>
      </c>
      <c r="L1881" s="42">
        <v>2</v>
      </c>
      <c r="M1881" s="43"/>
      <c r="N1881" s="1" t="e">
        <f>VLOOKUP(B1881,MICRO!E:L,8,0)</f>
        <v>#N/A</v>
      </c>
    </row>
    <row r="1882" spans="1:14" ht="20.25" x14ac:dyDescent="0.25">
      <c r="A1882" s="1">
        <v>25</v>
      </c>
      <c r="B1882" s="159">
        <v>1987</v>
      </c>
      <c r="C1882" s="1" t="s">
        <v>611</v>
      </c>
      <c r="D1882" s="1"/>
      <c r="E1882" s="1" t="s">
        <v>100</v>
      </c>
      <c r="F1882" s="1" t="s">
        <v>616</v>
      </c>
      <c r="G1882" s="1">
        <v>1</v>
      </c>
      <c r="H1882" s="1" t="s">
        <v>19</v>
      </c>
      <c r="I1882" s="1" t="s">
        <v>423</v>
      </c>
      <c r="J1882" s="1">
        <v>3.2</v>
      </c>
      <c r="K1882" s="1">
        <v>3.2</v>
      </c>
      <c r="L1882" s="42">
        <v>2</v>
      </c>
      <c r="M1882" s="43"/>
      <c r="N1882" s="1" t="e">
        <f>VLOOKUP(B1882,MICRO!E:L,8,0)</f>
        <v>#N/A</v>
      </c>
    </row>
    <row r="1883" spans="1:14" ht="20.25" x14ac:dyDescent="0.25">
      <c r="A1883" s="1">
        <v>26</v>
      </c>
      <c r="B1883" s="159">
        <v>1988</v>
      </c>
      <c r="C1883" s="1" t="s">
        <v>611</v>
      </c>
      <c r="D1883" s="1"/>
      <c r="E1883" s="1" t="s">
        <v>173</v>
      </c>
      <c r="F1883" s="1" t="s">
        <v>617</v>
      </c>
      <c r="G1883" s="1">
        <v>2</v>
      </c>
      <c r="H1883" s="1" t="s">
        <v>19</v>
      </c>
      <c r="I1883" s="1" t="s">
        <v>423</v>
      </c>
      <c r="J1883" s="1">
        <v>6.4</v>
      </c>
      <c r="K1883" s="1">
        <v>12.8</v>
      </c>
      <c r="L1883" s="42">
        <v>2</v>
      </c>
      <c r="M1883" s="43"/>
      <c r="N1883" s="1" t="e">
        <f>VLOOKUP(B1883,MICRO!E:L,8,0)</f>
        <v>#N/A</v>
      </c>
    </row>
    <row r="1884" spans="1:14" ht="20.25" x14ac:dyDescent="0.25">
      <c r="A1884" s="1">
        <v>27</v>
      </c>
      <c r="B1884" s="159">
        <v>2017</v>
      </c>
      <c r="C1884" s="1" t="s">
        <v>638</v>
      </c>
      <c r="D1884" s="1"/>
      <c r="E1884" s="1" t="s">
        <v>2</v>
      </c>
      <c r="F1884" s="1" t="s">
        <v>639</v>
      </c>
      <c r="G1884" s="1">
        <v>1</v>
      </c>
      <c r="H1884" s="1" t="s">
        <v>19</v>
      </c>
      <c r="I1884" s="1" t="s">
        <v>425</v>
      </c>
      <c r="J1884" s="1">
        <v>215.2</v>
      </c>
      <c r="K1884" s="1">
        <v>215.2</v>
      </c>
      <c r="L1884" s="42">
        <v>2</v>
      </c>
      <c r="M1884" s="43"/>
      <c r="N1884" s="1" t="e">
        <f>VLOOKUP(B1884,MICRO!E:L,8,0)</f>
        <v>#N/A</v>
      </c>
    </row>
    <row r="1885" spans="1:14" ht="20.25" x14ac:dyDescent="0.25">
      <c r="A1885" s="1">
        <v>28</v>
      </c>
      <c r="B1885" s="159">
        <v>2018</v>
      </c>
      <c r="C1885" s="1" t="s">
        <v>638</v>
      </c>
      <c r="D1885" s="1"/>
      <c r="E1885" s="1" t="s">
        <v>43</v>
      </c>
      <c r="F1885" s="1" t="s">
        <v>640</v>
      </c>
      <c r="G1885" s="1">
        <v>1</v>
      </c>
      <c r="H1885" s="1" t="s">
        <v>19</v>
      </c>
      <c r="I1885" s="1" t="s">
        <v>425</v>
      </c>
      <c r="J1885" s="1">
        <v>13.7</v>
      </c>
      <c r="K1885" s="1">
        <v>13.7</v>
      </c>
      <c r="L1885" s="42">
        <v>2</v>
      </c>
      <c r="M1885" s="43"/>
      <c r="N1885" s="1" t="e">
        <f>VLOOKUP(B1885,MICRO!E:L,8,0)</f>
        <v>#N/A</v>
      </c>
    </row>
    <row r="1886" spans="1:14" ht="20.25" x14ac:dyDescent="0.25">
      <c r="A1886" s="1">
        <v>29</v>
      </c>
      <c r="B1886" s="159">
        <v>2019</v>
      </c>
      <c r="C1886" s="1" t="s">
        <v>638</v>
      </c>
      <c r="D1886" s="1"/>
      <c r="E1886" s="1" t="s">
        <v>746</v>
      </c>
      <c r="F1886" s="1" t="s">
        <v>641</v>
      </c>
      <c r="G1886" s="1">
        <v>1</v>
      </c>
      <c r="H1886" s="1" t="s">
        <v>19</v>
      </c>
      <c r="I1886" s="1" t="s">
        <v>425</v>
      </c>
      <c r="J1886" s="1">
        <v>13.7</v>
      </c>
      <c r="K1886" s="1">
        <v>13.7</v>
      </c>
      <c r="L1886" s="42">
        <v>2</v>
      </c>
      <c r="M1886" s="43"/>
      <c r="N1886" s="1" t="e">
        <f>VLOOKUP(B1886,MICRO!E:L,8,0)</f>
        <v>#N/A</v>
      </c>
    </row>
    <row r="1887" spans="1:14" ht="20.25" x14ac:dyDescent="0.25">
      <c r="A1887" s="1">
        <v>30</v>
      </c>
      <c r="B1887" s="159">
        <v>2258</v>
      </c>
      <c r="C1887" s="1" t="s">
        <v>854</v>
      </c>
      <c r="D1887" s="1"/>
      <c r="E1887" s="1" t="s">
        <v>2</v>
      </c>
      <c r="F1887" s="1" t="s">
        <v>825</v>
      </c>
      <c r="G1887" s="1">
        <v>1</v>
      </c>
      <c r="H1887" s="1" t="s">
        <v>19</v>
      </c>
      <c r="I1887" s="1" t="s">
        <v>423</v>
      </c>
      <c r="J1887" s="1">
        <v>9.6999999999999993</v>
      </c>
      <c r="K1887" s="1">
        <v>9.6999999999999993</v>
      </c>
      <c r="L1887" s="42">
        <v>2</v>
      </c>
      <c r="M1887" s="43"/>
      <c r="N1887" s="1" t="e">
        <f>VLOOKUP(B1887,MICRO!E:L,8,0)</f>
        <v>#N/A</v>
      </c>
    </row>
    <row r="1888" spans="1:14" ht="20.25" x14ac:dyDescent="0.25">
      <c r="A1888" s="1">
        <v>31</v>
      </c>
      <c r="B1888" s="159">
        <v>2259</v>
      </c>
      <c r="C1888" s="1" t="s">
        <v>854</v>
      </c>
      <c r="D1888" s="1"/>
      <c r="E1888" s="1" t="s">
        <v>2</v>
      </c>
      <c r="F1888" s="1" t="s">
        <v>825</v>
      </c>
      <c r="G1888" s="1">
        <v>1</v>
      </c>
      <c r="H1888" s="1" t="s">
        <v>19</v>
      </c>
      <c r="I1888" s="1" t="s">
        <v>424</v>
      </c>
      <c r="J1888" s="1">
        <v>9.6999999999999993</v>
      </c>
      <c r="K1888" s="1">
        <v>9.6999999999999993</v>
      </c>
      <c r="L1888" s="42">
        <v>2</v>
      </c>
      <c r="M1888" s="43"/>
      <c r="N1888" s="1" t="e">
        <f>VLOOKUP(B1888,MICRO!E:L,8,0)</f>
        <v>#N/A</v>
      </c>
    </row>
    <row r="1889" spans="1:14" ht="20.25" x14ac:dyDescent="0.25">
      <c r="A1889" s="1">
        <v>32</v>
      </c>
      <c r="B1889" s="159">
        <v>2260</v>
      </c>
      <c r="C1889" s="1" t="s">
        <v>854</v>
      </c>
      <c r="D1889" s="1"/>
      <c r="E1889" s="1" t="s">
        <v>43</v>
      </c>
      <c r="F1889" s="1" t="s">
        <v>826</v>
      </c>
      <c r="G1889" s="1">
        <v>17</v>
      </c>
      <c r="H1889" s="1" t="s">
        <v>19</v>
      </c>
      <c r="I1889" s="1" t="s">
        <v>423</v>
      </c>
      <c r="J1889" s="1">
        <v>11.3</v>
      </c>
      <c r="K1889" s="1">
        <v>192.10000000000002</v>
      </c>
      <c r="L1889" s="42">
        <v>2</v>
      </c>
      <c r="M1889" s="43"/>
      <c r="N1889" s="1" t="e">
        <f>VLOOKUP(B1889,MICRO!E:L,8,0)</f>
        <v>#N/A</v>
      </c>
    </row>
    <row r="1890" spans="1:14" ht="20.25" x14ac:dyDescent="0.25">
      <c r="A1890" s="1">
        <v>33</v>
      </c>
      <c r="B1890" s="159">
        <v>2261</v>
      </c>
      <c r="C1890" s="1" t="s">
        <v>854</v>
      </c>
      <c r="D1890" s="1"/>
      <c r="E1890" s="1" t="s">
        <v>43</v>
      </c>
      <c r="F1890" s="1" t="s">
        <v>826</v>
      </c>
      <c r="G1890" s="1">
        <v>7</v>
      </c>
      <c r="H1890" s="1" t="s">
        <v>19</v>
      </c>
      <c r="I1890" s="1" t="s">
        <v>424</v>
      </c>
      <c r="J1890" s="1">
        <v>11.3</v>
      </c>
      <c r="K1890" s="1">
        <v>79.100000000000009</v>
      </c>
      <c r="L1890" s="42">
        <v>2</v>
      </c>
      <c r="M1890" s="43"/>
      <c r="N1890" s="1" t="e">
        <f>VLOOKUP(B1890,MICRO!E:L,8,0)</f>
        <v>#N/A</v>
      </c>
    </row>
    <row r="1891" spans="1:14" ht="20.25" x14ac:dyDescent="0.25">
      <c r="A1891" s="1">
        <v>34</v>
      </c>
      <c r="B1891" s="159">
        <v>2262</v>
      </c>
      <c r="C1891" s="1" t="s">
        <v>854</v>
      </c>
      <c r="D1891" s="1"/>
      <c r="E1891" s="1" t="s">
        <v>43</v>
      </c>
      <c r="F1891" s="1" t="s">
        <v>826</v>
      </c>
      <c r="G1891" s="1">
        <v>5</v>
      </c>
      <c r="H1891" s="1" t="s">
        <v>19</v>
      </c>
      <c r="I1891" s="1" t="s">
        <v>425</v>
      </c>
      <c r="J1891" s="1">
        <v>11.3</v>
      </c>
      <c r="K1891" s="1">
        <v>56.5</v>
      </c>
      <c r="L1891" s="42">
        <v>2</v>
      </c>
      <c r="M1891" s="43"/>
      <c r="N1891" s="1" t="e">
        <f>VLOOKUP(B1891,MICRO!E:L,8,0)</f>
        <v>#N/A</v>
      </c>
    </row>
    <row r="1892" spans="1:14" ht="20.25" x14ac:dyDescent="0.25">
      <c r="A1892" s="1">
        <v>35</v>
      </c>
      <c r="B1892" s="159">
        <v>2263</v>
      </c>
      <c r="C1892" s="1" t="s">
        <v>854</v>
      </c>
      <c r="D1892" s="1"/>
      <c r="E1892" s="1" t="s">
        <v>43</v>
      </c>
      <c r="F1892" s="1" t="s">
        <v>826</v>
      </c>
      <c r="G1892" s="1">
        <v>15</v>
      </c>
      <c r="H1892" s="1" t="s">
        <v>19</v>
      </c>
      <c r="I1892" s="1" t="s">
        <v>426</v>
      </c>
      <c r="J1892" s="1">
        <v>11.3</v>
      </c>
      <c r="K1892" s="1">
        <v>169.5</v>
      </c>
      <c r="L1892" s="42">
        <v>2</v>
      </c>
      <c r="M1892" s="43"/>
      <c r="N1892" s="1" t="e">
        <f>VLOOKUP(B1892,MICRO!E:L,8,0)</f>
        <v>#N/A</v>
      </c>
    </row>
    <row r="1893" spans="1:14" ht="20.25" x14ac:dyDescent="0.25">
      <c r="A1893" s="1">
        <v>36</v>
      </c>
      <c r="B1893" s="159">
        <v>2264</v>
      </c>
      <c r="C1893" s="1" t="s">
        <v>854</v>
      </c>
      <c r="D1893" s="1"/>
      <c r="E1893" s="1" t="s">
        <v>43</v>
      </c>
      <c r="F1893" s="1" t="s">
        <v>826</v>
      </c>
      <c r="G1893" s="1">
        <v>30</v>
      </c>
      <c r="H1893" s="1" t="s">
        <v>19</v>
      </c>
      <c r="I1893" s="1" t="s">
        <v>427</v>
      </c>
      <c r="J1893" s="1">
        <v>11.3</v>
      </c>
      <c r="K1893" s="1">
        <v>339</v>
      </c>
      <c r="L1893" s="42">
        <v>2</v>
      </c>
      <c r="M1893" s="43"/>
      <c r="N1893" s="1" t="e">
        <f>VLOOKUP(B1893,MICRO!E:L,8,0)</f>
        <v>#N/A</v>
      </c>
    </row>
    <row r="1894" spans="1:14" ht="20.25" x14ac:dyDescent="0.25">
      <c r="A1894" s="1">
        <v>37</v>
      </c>
      <c r="B1894" s="159">
        <v>2265</v>
      </c>
      <c r="C1894" s="1" t="s">
        <v>854</v>
      </c>
      <c r="D1894" s="1"/>
      <c r="E1894" s="1" t="s">
        <v>746</v>
      </c>
      <c r="F1894" s="1" t="s">
        <v>827</v>
      </c>
      <c r="G1894" s="1">
        <v>1</v>
      </c>
      <c r="H1894" s="1" t="s">
        <v>19</v>
      </c>
      <c r="I1894" s="1" t="s">
        <v>423</v>
      </c>
      <c r="J1894" s="1">
        <v>9.5</v>
      </c>
      <c r="K1894" s="1">
        <v>9.5</v>
      </c>
      <c r="L1894" s="42">
        <v>2</v>
      </c>
      <c r="M1894" s="43"/>
      <c r="N1894" s="1" t="e">
        <f>VLOOKUP(B1894,MICRO!E:L,8,0)</f>
        <v>#N/A</v>
      </c>
    </row>
    <row r="1895" spans="1:14" ht="20.25" x14ac:dyDescent="0.25">
      <c r="A1895" s="1">
        <v>38</v>
      </c>
      <c r="B1895" s="159">
        <v>2266</v>
      </c>
      <c r="C1895" s="1" t="s">
        <v>854</v>
      </c>
      <c r="D1895" s="1"/>
      <c r="E1895" s="1" t="s">
        <v>746</v>
      </c>
      <c r="F1895" s="1" t="s">
        <v>827</v>
      </c>
      <c r="G1895" s="1">
        <v>1</v>
      </c>
      <c r="H1895" s="1" t="s">
        <v>19</v>
      </c>
      <c r="I1895" s="1" t="s">
        <v>424</v>
      </c>
      <c r="J1895" s="1">
        <v>9.5</v>
      </c>
      <c r="K1895" s="1">
        <v>9.5</v>
      </c>
      <c r="L1895" s="42">
        <v>2</v>
      </c>
      <c r="M1895" s="43"/>
      <c r="N1895" s="1" t="e">
        <f>VLOOKUP(B1895,MICRO!E:L,8,0)</f>
        <v>#N/A</v>
      </c>
    </row>
    <row r="1896" spans="1:14" ht="20.25" x14ac:dyDescent="0.25">
      <c r="A1896" s="1">
        <v>39</v>
      </c>
      <c r="B1896" s="159">
        <v>2267</v>
      </c>
      <c r="C1896" s="1" t="s">
        <v>854</v>
      </c>
      <c r="D1896" s="1"/>
      <c r="E1896" s="1" t="s">
        <v>1101</v>
      </c>
      <c r="F1896" s="1" t="s">
        <v>828</v>
      </c>
      <c r="G1896" s="1">
        <v>3</v>
      </c>
      <c r="H1896" s="1" t="s">
        <v>19</v>
      </c>
      <c r="I1896" s="1" t="s">
        <v>423</v>
      </c>
      <c r="J1896" s="1">
        <v>7.5</v>
      </c>
      <c r="K1896" s="1">
        <v>22.5</v>
      </c>
      <c r="L1896" s="42">
        <v>2</v>
      </c>
      <c r="M1896" s="43"/>
      <c r="N1896" s="1" t="e">
        <f>VLOOKUP(B1896,MICRO!E:L,8,0)</f>
        <v>#N/A</v>
      </c>
    </row>
    <row r="1897" spans="1:14" ht="20.25" x14ac:dyDescent="0.25">
      <c r="A1897" s="1">
        <v>40</v>
      </c>
      <c r="B1897" s="159">
        <v>2268</v>
      </c>
      <c r="C1897" s="1" t="s">
        <v>854</v>
      </c>
      <c r="D1897" s="1"/>
      <c r="E1897" s="1" t="s">
        <v>100</v>
      </c>
      <c r="F1897" s="1" t="s">
        <v>829</v>
      </c>
      <c r="G1897" s="1">
        <v>1</v>
      </c>
      <c r="H1897" s="1" t="s">
        <v>19</v>
      </c>
      <c r="I1897" s="1" t="s">
        <v>423</v>
      </c>
      <c r="J1897" s="1">
        <v>6.4</v>
      </c>
      <c r="K1897" s="1">
        <v>6.4</v>
      </c>
      <c r="L1897" s="42">
        <v>2</v>
      </c>
      <c r="M1897" s="43"/>
      <c r="N1897" s="1" t="e">
        <f>VLOOKUP(B1897,MICRO!E:L,8,0)</f>
        <v>#N/A</v>
      </c>
    </row>
    <row r="1898" spans="1:14" ht="20.25" x14ac:dyDescent="0.25">
      <c r="A1898" s="1">
        <v>41</v>
      </c>
      <c r="B1898" s="159">
        <v>2269</v>
      </c>
      <c r="C1898" s="1" t="s">
        <v>854</v>
      </c>
      <c r="D1898" s="1"/>
      <c r="E1898" s="1" t="s">
        <v>173</v>
      </c>
      <c r="F1898" s="1" t="s">
        <v>830</v>
      </c>
      <c r="G1898" s="1">
        <v>2</v>
      </c>
      <c r="H1898" s="1" t="s">
        <v>19</v>
      </c>
      <c r="I1898" s="1" t="s">
        <v>423</v>
      </c>
      <c r="J1898" s="1">
        <v>5</v>
      </c>
      <c r="K1898" s="1">
        <v>10</v>
      </c>
      <c r="L1898" s="42">
        <v>2</v>
      </c>
      <c r="M1898" s="43"/>
      <c r="N1898" s="1" t="e">
        <f>VLOOKUP(B1898,MICRO!E:L,8,0)</f>
        <v>#N/A</v>
      </c>
    </row>
    <row r="1899" spans="1:14" ht="20.25" x14ac:dyDescent="0.25">
      <c r="A1899" s="1">
        <v>42</v>
      </c>
      <c r="B1899" s="159">
        <v>2270</v>
      </c>
      <c r="C1899" s="1" t="s">
        <v>854</v>
      </c>
      <c r="D1899" s="1"/>
      <c r="E1899" s="1" t="s">
        <v>173</v>
      </c>
      <c r="F1899" s="1" t="s">
        <v>830</v>
      </c>
      <c r="G1899" s="1">
        <v>2</v>
      </c>
      <c r="H1899" s="1" t="s">
        <v>19</v>
      </c>
      <c r="I1899" s="1" t="s">
        <v>424</v>
      </c>
      <c r="J1899" s="1">
        <v>5</v>
      </c>
      <c r="K1899" s="1">
        <v>10</v>
      </c>
      <c r="L1899" s="42">
        <v>2</v>
      </c>
      <c r="M1899" s="43"/>
      <c r="N1899" s="1" t="e">
        <f>VLOOKUP(B1899,MICRO!E:L,8,0)</f>
        <v>#N/A</v>
      </c>
    </row>
    <row r="1900" spans="1:14" ht="20.25" x14ac:dyDescent="0.25">
      <c r="A1900" s="1">
        <v>43</v>
      </c>
      <c r="B1900" s="159">
        <v>2271</v>
      </c>
      <c r="C1900" s="1" t="s">
        <v>854</v>
      </c>
      <c r="D1900" s="1"/>
      <c r="E1900" s="1" t="s">
        <v>461</v>
      </c>
      <c r="F1900" s="1" t="s">
        <v>831</v>
      </c>
      <c r="G1900" s="1">
        <v>2</v>
      </c>
      <c r="H1900" s="1" t="s">
        <v>19</v>
      </c>
      <c r="I1900" s="1" t="s">
        <v>423</v>
      </c>
      <c r="J1900" s="1">
        <v>6</v>
      </c>
      <c r="K1900" s="1">
        <v>12</v>
      </c>
      <c r="L1900" s="42">
        <v>2</v>
      </c>
      <c r="M1900" s="43"/>
      <c r="N1900" s="1" t="e">
        <f>VLOOKUP(B1900,MICRO!E:L,8,0)</f>
        <v>#N/A</v>
      </c>
    </row>
    <row r="1901" spans="1:14" ht="20.25" x14ac:dyDescent="0.25">
      <c r="A1901" s="1">
        <v>44</v>
      </c>
      <c r="B1901" s="159">
        <v>2272</v>
      </c>
      <c r="C1901" s="1" t="s">
        <v>854</v>
      </c>
      <c r="D1901" s="1"/>
      <c r="E1901" s="1" t="s">
        <v>461</v>
      </c>
      <c r="F1901" s="1" t="s">
        <v>831</v>
      </c>
      <c r="G1901" s="1">
        <v>4</v>
      </c>
      <c r="H1901" s="1" t="s">
        <v>19</v>
      </c>
      <c r="I1901" s="1" t="s">
        <v>424</v>
      </c>
      <c r="J1901" s="1">
        <v>6</v>
      </c>
      <c r="K1901" s="1">
        <v>24</v>
      </c>
      <c r="L1901" s="42">
        <v>2</v>
      </c>
      <c r="M1901" s="43"/>
      <c r="N1901" s="1" t="e">
        <f>VLOOKUP(B1901,MICRO!E:L,8,0)</f>
        <v>#N/A</v>
      </c>
    </row>
    <row r="1902" spans="1:14" ht="20.25" x14ac:dyDescent="0.25">
      <c r="A1902" s="1">
        <v>45</v>
      </c>
      <c r="B1902" s="159">
        <v>2273</v>
      </c>
      <c r="C1902" s="1" t="s">
        <v>854</v>
      </c>
      <c r="D1902" s="1"/>
      <c r="E1902" s="1" t="s">
        <v>464</v>
      </c>
      <c r="F1902" s="1" t="s">
        <v>832</v>
      </c>
      <c r="G1902" s="1">
        <v>12</v>
      </c>
      <c r="H1902" s="1" t="s">
        <v>19</v>
      </c>
      <c r="I1902" s="1" t="s">
        <v>423</v>
      </c>
      <c r="J1902" s="1">
        <v>7.5</v>
      </c>
      <c r="K1902" s="1">
        <v>90</v>
      </c>
      <c r="L1902" s="42">
        <v>2</v>
      </c>
      <c r="M1902" s="43"/>
      <c r="N1902" s="1" t="e">
        <f>VLOOKUP(B1902,MICRO!E:L,8,0)</f>
        <v>#N/A</v>
      </c>
    </row>
    <row r="1903" spans="1:14" ht="20.25" x14ac:dyDescent="0.25">
      <c r="A1903" s="1">
        <v>46</v>
      </c>
      <c r="B1903" s="159">
        <v>2274</v>
      </c>
      <c r="C1903" s="1" t="s">
        <v>854</v>
      </c>
      <c r="D1903" s="1"/>
      <c r="E1903" s="1" t="s">
        <v>464</v>
      </c>
      <c r="F1903" s="1" t="s">
        <v>832</v>
      </c>
      <c r="G1903" s="1">
        <v>4</v>
      </c>
      <c r="H1903" s="1" t="s">
        <v>19</v>
      </c>
      <c r="I1903" s="1" t="s">
        <v>424</v>
      </c>
      <c r="J1903" s="1">
        <v>7.5</v>
      </c>
      <c r="K1903" s="1">
        <v>30</v>
      </c>
      <c r="L1903" s="42">
        <v>2</v>
      </c>
      <c r="M1903" s="43"/>
      <c r="N1903" s="1" t="e">
        <f>VLOOKUP(B1903,MICRO!E:L,8,0)</f>
        <v>#N/A</v>
      </c>
    </row>
    <row r="1904" spans="1:14" ht="20.25" x14ac:dyDescent="0.25">
      <c r="A1904" s="1">
        <v>47</v>
      </c>
      <c r="B1904" s="159">
        <v>2275</v>
      </c>
      <c r="C1904" s="1" t="s">
        <v>854</v>
      </c>
      <c r="D1904" s="1"/>
      <c r="E1904" s="1" t="s">
        <v>464</v>
      </c>
      <c r="F1904" s="1" t="s">
        <v>832</v>
      </c>
      <c r="G1904" s="1">
        <v>4</v>
      </c>
      <c r="H1904" s="1" t="s">
        <v>19</v>
      </c>
      <c r="I1904" s="1" t="s">
        <v>425</v>
      </c>
      <c r="J1904" s="1">
        <v>7.5</v>
      </c>
      <c r="K1904" s="1">
        <v>30</v>
      </c>
      <c r="L1904" s="42">
        <v>2</v>
      </c>
      <c r="M1904" s="43"/>
      <c r="N1904" s="1" t="e">
        <f>VLOOKUP(B1904,MICRO!E:L,8,0)</f>
        <v>#N/A</v>
      </c>
    </row>
    <row r="1905" spans="1:14" ht="20.25" x14ac:dyDescent="0.25">
      <c r="A1905" s="1">
        <v>48</v>
      </c>
      <c r="B1905" s="159">
        <v>2276</v>
      </c>
      <c r="C1905" s="1" t="s">
        <v>854</v>
      </c>
      <c r="D1905" s="1"/>
      <c r="E1905" s="1" t="s">
        <v>464</v>
      </c>
      <c r="F1905" s="1" t="s">
        <v>832</v>
      </c>
      <c r="G1905" s="1">
        <v>12</v>
      </c>
      <c r="H1905" s="1" t="s">
        <v>19</v>
      </c>
      <c r="I1905" s="1" t="s">
        <v>426</v>
      </c>
      <c r="J1905" s="1">
        <v>7.5</v>
      </c>
      <c r="K1905" s="1">
        <v>90</v>
      </c>
      <c r="L1905" s="42">
        <v>2</v>
      </c>
      <c r="M1905" s="43"/>
      <c r="N1905" s="1" t="e">
        <f>VLOOKUP(B1905,MICRO!E:L,8,0)</f>
        <v>#N/A</v>
      </c>
    </row>
    <row r="1906" spans="1:14" ht="20.25" x14ac:dyDescent="0.25">
      <c r="A1906" s="1">
        <v>49</v>
      </c>
      <c r="B1906" s="159">
        <v>2277</v>
      </c>
      <c r="C1906" s="1" t="s">
        <v>854</v>
      </c>
      <c r="D1906" s="1"/>
      <c r="E1906" s="1" t="s">
        <v>464</v>
      </c>
      <c r="F1906" s="1" t="s">
        <v>832</v>
      </c>
      <c r="G1906" s="1">
        <v>24</v>
      </c>
      <c r="H1906" s="1" t="s">
        <v>19</v>
      </c>
      <c r="I1906" s="1" t="s">
        <v>427</v>
      </c>
      <c r="J1906" s="1">
        <v>7.5</v>
      </c>
      <c r="K1906" s="1">
        <v>180</v>
      </c>
      <c r="L1906" s="42">
        <v>2</v>
      </c>
      <c r="M1906" s="43"/>
      <c r="N1906" s="1" t="e">
        <f>VLOOKUP(B1906,MICRO!E:L,8,0)</f>
        <v>#N/A</v>
      </c>
    </row>
    <row r="1907" spans="1:14" ht="20.25" x14ac:dyDescent="0.25">
      <c r="A1907" s="1">
        <v>50</v>
      </c>
      <c r="B1907" s="159">
        <v>2278</v>
      </c>
      <c r="C1907" s="1" t="s">
        <v>854</v>
      </c>
      <c r="D1907" s="1"/>
      <c r="E1907" s="1" t="s">
        <v>1102</v>
      </c>
      <c r="F1907" s="1" t="s">
        <v>833</v>
      </c>
      <c r="G1907" s="1">
        <v>6</v>
      </c>
      <c r="H1907" s="1" t="s">
        <v>19</v>
      </c>
      <c r="I1907" s="1" t="s">
        <v>423</v>
      </c>
      <c r="J1907" s="1">
        <v>2</v>
      </c>
      <c r="K1907" s="1">
        <v>12</v>
      </c>
      <c r="L1907" s="42">
        <v>2</v>
      </c>
      <c r="M1907" s="43"/>
      <c r="N1907" s="1" t="e">
        <f>VLOOKUP(B1907,MICRO!E:L,8,0)</f>
        <v>#N/A</v>
      </c>
    </row>
    <row r="1908" spans="1:14" ht="20.25" x14ac:dyDescent="0.25">
      <c r="A1908" s="1">
        <v>51</v>
      </c>
      <c r="B1908" s="159">
        <v>2279</v>
      </c>
      <c r="C1908" s="1" t="s">
        <v>854</v>
      </c>
      <c r="D1908" s="1"/>
      <c r="E1908" s="1" t="s">
        <v>1103</v>
      </c>
      <c r="F1908" s="1" t="s">
        <v>834</v>
      </c>
      <c r="G1908" s="1">
        <v>2</v>
      </c>
      <c r="H1908" s="1" t="s">
        <v>19</v>
      </c>
      <c r="I1908" s="1" t="s">
        <v>423</v>
      </c>
      <c r="J1908" s="1">
        <v>1.7</v>
      </c>
      <c r="K1908" s="1">
        <v>3.4</v>
      </c>
      <c r="L1908" s="42">
        <v>2</v>
      </c>
      <c r="M1908" s="43"/>
      <c r="N1908" s="1" t="e">
        <f>VLOOKUP(B1908,MICRO!E:L,8,0)</f>
        <v>#N/A</v>
      </c>
    </row>
    <row r="1909" spans="1:14" ht="20.25" x14ac:dyDescent="0.25">
      <c r="A1909" s="1">
        <v>52</v>
      </c>
      <c r="B1909" s="159">
        <v>2280</v>
      </c>
      <c r="C1909" s="1" t="s">
        <v>854</v>
      </c>
      <c r="D1909" s="1"/>
      <c r="E1909" s="1" t="s">
        <v>1104</v>
      </c>
      <c r="F1909" s="1" t="s">
        <v>835</v>
      </c>
      <c r="G1909" s="1">
        <v>1</v>
      </c>
      <c r="H1909" s="1" t="s">
        <v>19</v>
      </c>
      <c r="I1909" s="1" t="s">
        <v>423</v>
      </c>
      <c r="J1909" s="1">
        <v>6</v>
      </c>
      <c r="K1909" s="1">
        <v>6</v>
      </c>
      <c r="L1909" s="42">
        <v>2</v>
      </c>
      <c r="M1909" s="43"/>
      <c r="N1909" s="1" t="e">
        <f>VLOOKUP(B1909,MICRO!E:L,8,0)</f>
        <v>#N/A</v>
      </c>
    </row>
    <row r="1910" spans="1:14" ht="20.25" x14ac:dyDescent="0.25">
      <c r="A1910" s="1">
        <v>53</v>
      </c>
      <c r="B1910" s="159">
        <v>2281</v>
      </c>
      <c r="C1910" s="1" t="s">
        <v>854</v>
      </c>
      <c r="D1910" s="1"/>
      <c r="E1910" s="1" t="s">
        <v>1104</v>
      </c>
      <c r="F1910" s="1" t="s">
        <v>835</v>
      </c>
      <c r="G1910" s="1">
        <v>1</v>
      </c>
      <c r="H1910" s="1" t="s">
        <v>19</v>
      </c>
      <c r="I1910" s="1" t="s">
        <v>424</v>
      </c>
      <c r="J1910" s="1">
        <v>6</v>
      </c>
      <c r="K1910" s="1">
        <v>6</v>
      </c>
      <c r="L1910" s="42">
        <v>2</v>
      </c>
      <c r="M1910" s="43"/>
      <c r="N1910" s="1" t="e">
        <f>VLOOKUP(B1910,MICRO!E:L,8,0)</f>
        <v>#N/A</v>
      </c>
    </row>
    <row r="1911" spans="1:14" ht="20.25" x14ac:dyDescent="0.25">
      <c r="A1911" s="1">
        <v>54</v>
      </c>
      <c r="B1911" s="159">
        <v>2282</v>
      </c>
      <c r="C1911" s="1" t="s">
        <v>854</v>
      </c>
      <c r="D1911" s="1"/>
      <c r="E1911" s="1" t="s">
        <v>1105</v>
      </c>
      <c r="F1911" s="1" t="s">
        <v>836</v>
      </c>
      <c r="G1911" s="1">
        <v>1</v>
      </c>
      <c r="H1911" s="1" t="s">
        <v>19</v>
      </c>
      <c r="I1911" s="1" t="s">
        <v>423</v>
      </c>
      <c r="J1911" s="1">
        <v>6</v>
      </c>
      <c r="K1911" s="1">
        <v>6</v>
      </c>
      <c r="L1911" s="42">
        <v>2</v>
      </c>
      <c r="M1911" s="43"/>
      <c r="N1911" s="1" t="e">
        <f>VLOOKUP(B1911,MICRO!E:L,8,0)</f>
        <v>#N/A</v>
      </c>
    </row>
    <row r="1912" spans="1:14" ht="20.25" x14ac:dyDescent="0.25">
      <c r="A1912" s="1">
        <v>55</v>
      </c>
      <c r="B1912" s="159">
        <v>2283</v>
      </c>
      <c r="C1912" s="1" t="s">
        <v>854</v>
      </c>
      <c r="D1912" s="1"/>
      <c r="E1912" s="1" t="s">
        <v>1105</v>
      </c>
      <c r="F1912" s="1" t="s">
        <v>836</v>
      </c>
      <c r="G1912" s="1">
        <v>1</v>
      </c>
      <c r="H1912" s="1" t="s">
        <v>19</v>
      </c>
      <c r="I1912" s="1" t="s">
        <v>424</v>
      </c>
      <c r="J1912" s="1">
        <v>6</v>
      </c>
      <c r="K1912" s="1">
        <v>6</v>
      </c>
      <c r="L1912" s="42">
        <v>2</v>
      </c>
      <c r="M1912" s="43"/>
      <c r="N1912" s="1" t="e">
        <f>VLOOKUP(B1912,MICRO!E:L,8,0)</f>
        <v>#N/A</v>
      </c>
    </row>
    <row r="1913" spans="1:14" ht="20.25" x14ac:dyDescent="0.25">
      <c r="A1913" s="1">
        <v>56</v>
      </c>
      <c r="B1913" s="159">
        <v>2284</v>
      </c>
      <c r="C1913" s="1" t="s">
        <v>854</v>
      </c>
      <c r="D1913" s="1"/>
      <c r="E1913" s="1" t="s">
        <v>1106</v>
      </c>
      <c r="F1913" s="1" t="s">
        <v>837</v>
      </c>
      <c r="G1913" s="1">
        <v>4</v>
      </c>
      <c r="H1913" s="1" t="s">
        <v>19</v>
      </c>
      <c r="I1913" s="1" t="s">
        <v>423</v>
      </c>
      <c r="J1913" s="1">
        <v>12</v>
      </c>
      <c r="K1913" s="1">
        <v>48</v>
      </c>
      <c r="L1913" s="42">
        <v>2</v>
      </c>
      <c r="M1913" s="43"/>
      <c r="N1913" s="1" t="e">
        <f>VLOOKUP(B1913,MICRO!E:L,8,0)</f>
        <v>#N/A</v>
      </c>
    </row>
    <row r="1914" spans="1:14" ht="20.25" x14ac:dyDescent="0.25">
      <c r="A1914" s="1">
        <v>57</v>
      </c>
      <c r="B1914" s="159">
        <v>2285</v>
      </c>
      <c r="C1914" s="1" t="s">
        <v>854</v>
      </c>
      <c r="D1914" s="1"/>
      <c r="E1914" s="1" t="s">
        <v>1106</v>
      </c>
      <c r="F1914" s="1" t="s">
        <v>837</v>
      </c>
      <c r="G1914" s="1">
        <v>4</v>
      </c>
      <c r="H1914" s="1" t="s">
        <v>19</v>
      </c>
      <c r="I1914" s="1" t="s">
        <v>424</v>
      </c>
      <c r="J1914" s="1">
        <v>12</v>
      </c>
      <c r="K1914" s="1">
        <v>48</v>
      </c>
      <c r="L1914" s="42">
        <v>2</v>
      </c>
      <c r="M1914" s="43"/>
      <c r="N1914" s="1" t="e">
        <f>VLOOKUP(B1914,MICRO!E:L,8,0)</f>
        <v>#N/A</v>
      </c>
    </row>
    <row r="1915" spans="1:14" ht="20.25" x14ac:dyDescent="0.25">
      <c r="A1915" s="1">
        <v>58</v>
      </c>
      <c r="B1915" s="159">
        <v>2286</v>
      </c>
      <c r="C1915" s="1" t="s">
        <v>854</v>
      </c>
      <c r="D1915" s="1"/>
      <c r="E1915" s="1" t="s">
        <v>1107</v>
      </c>
      <c r="F1915" s="1" t="s">
        <v>838</v>
      </c>
      <c r="G1915" s="1">
        <v>18</v>
      </c>
      <c r="H1915" s="1" t="s">
        <v>19</v>
      </c>
      <c r="I1915" s="1" t="s">
        <v>423</v>
      </c>
      <c r="J1915" s="1">
        <v>7.9</v>
      </c>
      <c r="K1915" s="1">
        <v>142.20000000000002</v>
      </c>
      <c r="L1915" s="42">
        <v>2</v>
      </c>
      <c r="M1915" s="43"/>
      <c r="N1915" s="1" t="e">
        <f>VLOOKUP(B1915,MICRO!E:L,8,0)</f>
        <v>#N/A</v>
      </c>
    </row>
    <row r="1916" spans="1:14" ht="20.25" x14ac:dyDescent="0.25">
      <c r="A1916" s="1">
        <v>59</v>
      </c>
      <c r="B1916" s="159">
        <v>2287</v>
      </c>
      <c r="C1916" s="1" t="s">
        <v>854</v>
      </c>
      <c r="D1916" s="1"/>
      <c r="E1916" s="1" t="s">
        <v>1107</v>
      </c>
      <c r="F1916" s="1" t="s">
        <v>838</v>
      </c>
      <c r="G1916" s="1">
        <v>6</v>
      </c>
      <c r="H1916" s="1" t="s">
        <v>19</v>
      </c>
      <c r="I1916" s="1" t="s">
        <v>424</v>
      </c>
      <c r="J1916" s="1">
        <v>7.9</v>
      </c>
      <c r="K1916" s="1">
        <v>47.400000000000006</v>
      </c>
      <c r="L1916" s="42">
        <v>2</v>
      </c>
      <c r="M1916" s="43"/>
      <c r="N1916" s="1" t="e">
        <f>VLOOKUP(B1916,MICRO!E:L,8,0)</f>
        <v>#N/A</v>
      </c>
    </row>
    <row r="1917" spans="1:14" ht="20.25" x14ac:dyDescent="0.25">
      <c r="A1917" s="1">
        <v>60</v>
      </c>
      <c r="B1917" s="159">
        <v>2288</v>
      </c>
      <c r="C1917" s="1" t="s">
        <v>854</v>
      </c>
      <c r="D1917" s="1"/>
      <c r="E1917" s="1" t="s">
        <v>1107</v>
      </c>
      <c r="F1917" s="1" t="s">
        <v>838</v>
      </c>
      <c r="G1917" s="1">
        <v>4</v>
      </c>
      <c r="H1917" s="1" t="s">
        <v>19</v>
      </c>
      <c r="I1917" s="1" t="s">
        <v>425</v>
      </c>
      <c r="J1917" s="1">
        <v>7.9</v>
      </c>
      <c r="K1917" s="1">
        <v>31.6</v>
      </c>
      <c r="L1917" s="42">
        <v>2</v>
      </c>
      <c r="M1917" s="43"/>
      <c r="N1917" s="1" t="e">
        <f>VLOOKUP(B1917,MICRO!E:L,8,0)</f>
        <v>#N/A</v>
      </c>
    </row>
    <row r="1918" spans="1:14" ht="20.25" x14ac:dyDescent="0.25">
      <c r="A1918" s="1">
        <v>61</v>
      </c>
      <c r="B1918" s="159">
        <v>2289</v>
      </c>
      <c r="C1918" s="1" t="s">
        <v>854</v>
      </c>
      <c r="D1918" s="1"/>
      <c r="E1918" s="1" t="s">
        <v>1107</v>
      </c>
      <c r="F1918" s="1" t="s">
        <v>838</v>
      </c>
      <c r="G1918" s="1">
        <v>12</v>
      </c>
      <c r="H1918" s="1" t="s">
        <v>19</v>
      </c>
      <c r="I1918" s="1" t="s">
        <v>426</v>
      </c>
      <c r="J1918" s="1">
        <v>7.9</v>
      </c>
      <c r="K1918" s="1">
        <v>94.800000000000011</v>
      </c>
      <c r="L1918" s="42">
        <v>2</v>
      </c>
      <c r="M1918" s="43"/>
      <c r="N1918" s="1" t="e">
        <f>VLOOKUP(B1918,MICRO!E:L,8,0)</f>
        <v>#N/A</v>
      </c>
    </row>
    <row r="1919" spans="1:14" ht="20.25" x14ac:dyDescent="0.25">
      <c r="A1919" s="1">
        <v>62</v>
      </c>
      <c r="B1919" s="159">
        <v>2290</v>
      </c>
      <c r="C1919" s="1" t="s">
        <v>854</v>
      </c>
      <c r="D1919" s="1"/>
      <c r="E1919" s="1" t="s">
        <v>1107</v>
      </c>
      <c r="F1919" s="1" t="s">
        <v>838</v>
      </c>
      <c r="G1919" s="1">
        <v>24</v>
      </c>
      <c r="H1919" s="1" t="s">
        <v>19</v>
      </c>
      <c r="I1919" s="1" t="s">
        <v>427</v>
      </c>
      <c r="J1919" s="1">
        <v>7.9</v>
      </c>
      <c r="K1919" s="1">
        <v>189.60000000000002</v>
      </c>
      <c r="L1919" s="42">
        <v>2</v>
      </c>
      <c r="M1919" s="43"/>
      <c r="N1919" s="1" t="e">
        <f>VLOOKUP(B1919,MICRO!E:L,8,0)</f>
        <v>#N/A</v>
      </c>
    </row>
    <row r="1920" spans="1:14" ht="20.25" x14ac:dyDescent="0.25">
      <c r="A1920" s="1">
        <v>63</v>
      </c>
      <c r="B1920" s="159">
        <v>2291</v>
      </c>
      <c r="C1920" s="1" t="s">
        <v>854</v>
      </c>
      <c r="D1920" s="1"/>
      <c r="E1920" s="1" t="s">
        <v>1108</v>
      </c>
      <c r="F1920" s="1" t="s">
        <v>839</v>
      </c>
      <c r="G1920" s="1">
        <v>6</v>
      </c>
      <c r="H1920" s="1" t="s">
        <v>19</v>
      </c>
      <c r="I1920" s="1" t="s">
        <v>423</v>
      </c>
      <c r="J1920" s="1">
        <v>14.9</v>
      </c>
      <c r="K1920" s="1">
        <v>89.4</v>
      </c>
      <c r="L1920" s="42">
        <v>2</v>
      </c>
      <c r="M1920" s="43"/>
      <c r="N1920" s="1" t="e">
        <f>VLOOKUP(B1920,MICRO!E:L,8,0)</f>
        <v>#N/A</v>
      </c>
    </row>
    <row r="1921" spans="1:14" ht="20.25" x14ac:dyDescent="0.25">
      <c r="A1921" s="1">
        <v>64</v>
      </c>
      <c r="B1921" s="159">
        <v>2292</v>
      </c>
      <c r="C1921" s="1" t="s">
        <v>854</v>
      </c>
      <c r="D1921" s="1"/>
      <c r="E1921" s="1" t="s">
        <v>1108</v>
      </c>
      <c r="F1921" s="1" t="s">
        <v>839</v>
      </c>
      <c r="G1921" s="1">
        <v>2</v>
      </c>
      <c r="H1921" s="1" t="s">
        <v>19</v>
      </c>
      <c r="I1921" s="1" t="s">
        <v>425</v>
      </c>
      <c r="J1921" s="1">
        <v>14.9</v>
      </c>
      <c r="K1921" s="1">
        <v>29.8</v>
      </c>
      <c r="L1921" s="42">
        <v>2</v>
      </c>
      <c r="M1921" s="43"/>
      <c r="N1921" s="1" t="e">
        <f>VLOOKUP(B1921,MICRO!E:L,8,0)</f>
        <v>#N/A</v>
      </c>
    </row>
    <row r="1922" spans="1:14" ht="20.25" x14ac:dyDescent="0.25">
      <c r="A1922" s="1">
        <v>65</v>
      </c>
      <c r="B1922" s="159">
        <v>2293</v>
      </c>
      <c r="C1922" s="1" t="s">
        <v>854</v>
      </c>
      <c r="D1922" s="1"/>
      <c r="E1922" s="1" t="s">
        <v>1108</v>
      </c>
      <c r="F1922" s="1" t="s">
        <v>839</v>
      </c>
      <c r="G1922" s="1">
        <v>6</v>
      </c>
      <c r="H1922" s="1" t="s">
        <v>19</v>
      </c>
      <c r="I1922" s="1" t="s">
        <v>426</v>
      </c>
      <c r="J1922" s="1">
        <v>14.9</v>
      </c>
      <c r="K1922" s="1">
        <v>89.4</v>
      </c>
      <c r="L1922" s="42">
        <v>2</v>
      </c>
      <c r="M1922" s="43"/>
      <c r="N1922" s="1" t="e">
        <f>VLOOKUP(B1922,MICRO!E:L,8,0)</f>
        <v>#N/A</v>
      </c>
    </row>
    <row r="1923" spans="1:14" ht="20.25" x14ac:dyDescent="0.25">
      <c r="A1923" s="1">
        <v>66</v>
      </c>
      <c r="B1923" s="159">
        <v>2294</v>
      </c>
      <c r="C1923" s="1" t="s">
        <v>854</v>
      </c>
      <c r="D1923" s="1"/>
      <c r="E1923" s="1" t="s">
        <v>1108</v>
      </c>
      <c r="F1923" s="1" t="s">
        <v>839</v>
      </c>
      <c r="G1923" s="1">
        <v>12</v>
      </c>
      <c r="H1923" s="1" t="s">
        <v>19</v>
      </c>
      <c r="I1923" s="1" t="s">
        <v>427</v>
      </c>
      <c r="J1923" s="1">
        <v>14.9</v>
      </c>
      <c r="K1923" s="1">
        <v>178.8</v>
      </c>
      <c r="L1923" s="42">
        <v>2</v>
      </c>
      <c r="M1923" s="43"/>
      <c r="N1923" s="1" t="e">
        <f>VLOOKUP(B1923,MICRO!E:L,8,0)</f>
        <v>#N/A</v>
      </c>
    </row>
    <row r="1924" spans="1:14" ht="20.25" x14ac:dyDescent="0.25">
      <c r="A1924" s="1">
        <v>67</v>
      </c>
      <c r="B1924" s="159">
        <v>2295</v>
      </c>
      <c r="C1924" s="1" t="s">
        <v>854</v>
      </c>
      <c r="D1924" s="1"/>
      <c r="E1924" s="1" t="s">
        <v>1109</v>
      </c>
      <c r="F1924" s="1" t="s">
        <v>840</v>
      </c>
      <c r="G1924" s="1">
        <v>6</v>
      </c>
      <c r="H1924" s="1" t="s">
        <v>19</v>
      </c>
      <c r="I1924" s="1" t="s">
        <v>423</v>
      </c>
      <c r="J1924" s="1">
        <v>14.5</v>
      </c>
      <c r="K1924" s="1">
        <v>87</v>
      </c>
      <c r="L1924" s="42">
        <v>2</v>
      </c>
      <c r="M1924" s="43"/>
      <c r="N1924" s="1" t="e">
        <f>VLOOKUP(B1924,MICRO!E:L,8,0)</f>
        <v>#N/A</v>
      </c>
    </row>
    <row r="1925" spans="1:14" ht="20.25" x14ac:dyDescent="0.25">
      <c r="A1925" s="1">
        <v>68</v>
      </c>
      <c r="B1925" s="159">
        <v>2296</v>
      </c>
      <c r="C1925" s="1" t="s">
        <v>854</v>
      </c>
      <c r="D1925" s="1"/>
      <c r="E1925" s="1" t="s">
        <v>1109</v>
      </c>
      <c r="F1925" s="1" t="s">
        <v>840</v>
      </c>
      <c r="G1925" s="1">
        <v>2</v>
      </c>
      <c r="H1925" s="1" t="s">
        <v>19</v>
      </c>
      <c r="I1925" s="1" t="s">
        <v>424</v>
      </c>
      <c r="J1925" s="1">
        <v>14.5</v>
      </c>
      <c r="K1925" s="1">
        <v>29</v>
      </c>
      <c r="L1925" s="42">
        <v>2</v>
      </c>
      <c r="M1925" s="43"/>
      <c r="N1925" s="1" t="e">
        <f>VLOOKUP(B1925,MICRO!E:L,8,0)</f>
        <v>#N/A</v>
      </c>
    </row>
    <row r="1926" spans="1:14" ht="20.25" x14ac:dyDescent="0.25">
      <c r="A1926" s="1">
        <v>69</v>
      </c>
      <c r="B1926" s="159">
        <v>2297</v>
      </c>
      <c r="C1926" s="1" t="s">
        <v>854</v>
      </c>
      <c r="D1926" s="1"/>
      <c r="E1926" s="1" t="s">
        <v>1109</v>
      </c>
      <c r="F1926" s="1" t="s">
        <v>840</v>
      </c>
      <c r="G1926" s="1">
        <v>2</v>
      </c>
      <c r="H1926" s="1" t="s">
        <v>19</v>
      </c>
      <c r="I1926" s="1" t="s">
        <v>425</v>
      </c>
      <c r="J1926" s="1">
        <v>14.5</v>
      </c>
      <c r="K1926" s="1">
        <v>29</v>
      </c>
      <c r="L1926" s="42">
        <v>2</v>
      </c>
      <c r="M1926" s="43"/>
      <c r="N1926" s="1" t="e">
        <f>VLOOKUP(B1926,MICRO!E:L,8,0)</f>
        <v>#N/A</v>
      </c>
    </row>
    <row r="1927" spans="1:14" ht="20.25" x14ac:dyDescent="0.25">
      <c r="A1927" s="1">
        <v>70</v>
      </c>
      <c r="B1927" s="159">
        <v>2298</v>
      </c>
      <c r="C1927" s="1" t="s">
        <v>854</v>
      </c>
      <c r="D1927" s="1"/>
      <c r="E1927" s="1" t="s">
        <v>1109</v>
      </c>
      <c r="F1927" s="1" t="s">
        <v>840</v>
      </c>
      <c r="G1927" s="1">
        <v>6</v>
      </c>
      <c r="H1927" s="1" t="s">
        <v>19</v>
      </c>
      <c r="I1927" s="1" t="s">
        <v>426</v>
      </c>
      <c r="J1927" s="1">
        <v>14.5</v>
      </c>
      <c r="K1927" s="1">
        <v>87</v>
      </c>
      <c r="L1927" s="42">
        <v>2</v>
      </c>
      <c r="M1927" s="43"/>
      <c r="N1927" s="1" t="e">
        <f>VLOOKUP(B1927,MICRO!E:L,8,0)</f>
        <v>#N/A</v>
      </c>
    </row>
    <row r="1928" spans="1:14" ht="20.25" x14ac:dyDescent="0.25">
      <c r="A1928" s="1">
        <v>71</v>
      </c>
      <c r="B1928" s="159">
        <v>2299</v>
      </c>
      <c r="C1928" s="1" t="s">
        <v>854</v>
      </c>
      <c r="D1928" s="1"/>
      <c r="E1928" s="1" t="s">
        <v>1109</v>
      </c>
      <c r="F1928" s="1" t="s">
        <v>840</v>
      </c>
      <c r="G1928" s="1">
        <v>12</v>
      </c>
      <c r="H1928" s="1" t="s">
        <v>19</v>
      </c>
      <c r="I1928" s="1" t="s">
        <v>427</v>
      </c>
      <c r="J1928" s="1">
        <v>14.5</v>
      </c>
      <c r="K1928" s="1">
        <v>174</v>
      </c>
      <c r="L1928" s="42">
        <v>2</v>
      </c>
      <c r="M1928" s="43"/>
      <c r="N1928" s="1" t="e">
        <f>VLOOKUP(B1928,MICRO!E:L,8,0)</f>
        <v>#N/A</v>
      </c>
    </row>
    <row r="1929" spans="1:14" ht="20.25" x14ac:dyDescent="0.25">
      <c r="A1929" s="1">
        <v>72</v>
      </c>
      <c r="B1929" s="159">
        <v>2300</v>
      </c>
      <c r="C1929" s="1" t="s">
        <v>854</v>
      </c>
      <c r="D1929" s="1"/>
      <c r="E1929" s="1" t="s">
        <v>1110</v>
      </c>
      <c r="F1929" s="1" t="s">
        <v>841</v>
      </c>
      <c r="G1929" s="1">
        <v>1</v>
      </c>
      <c r="H1929" s="1" t="s">
        <v>19</v>
      </c>
      <c r="I1929" s="1" t="s">
        <v>423</v>
      </c>
      <c r="J1929" s="1">
        <v>9.8000000000000007</v>
      </c>
      <c r="K1929" s="1">
        <v>9.8000000000000007</v>
      </c>
      <c r="L1929" s="42">
        <v>2</v>
      </c>
      <c r="M1929" s="43"/>
      <c r="N1929" s="1" t="e">
        <f>VLOOKUP(B1929,MICRO!E:L,8,0)</f>
        <v>#N/A</v>
      </c>
    </row>
    <row r="1930" spans="1:14" ht="20.25" x14ac:dyDescent="0.25">
      <c r="A1930" s="1">
        <v>73</v>
      </c>
      <c r="B1930" s="159">
        <v>2301</v>
      </c>
      <c r="C1930" s="1" t="s">
        <v>854</v>
      </c>
      <c r="D1930" s="1"/>
      <c r="E1930" s="1" t="s">
        <v>1111</v>
      </c>
      <c r="F1930" s="1" t="s">
        <v>842</v>
      </c>
      <c r="G1930" s="1">
        <v>1</v>
      </c>
      <c r="H1930" s="1" t="s">
        <v>19</v>
      </c>
      <c r="I1930" s="1" t="s">
        <v>423</v>
      </c>
      <c r="J1930" s="1">
        <v>9.8000000000000007</v>
      </c>
      <c r="K1930" s="1">
        <v>9.8000000000000007</v>
      </c>
      <c r="L1930" s="42">
        <v>2</v>
      </c>
      <c r="M1930" s="43"/>
      <c r="N1930" s="1" t="e">
        <f>VLOOKUP(B1930,MICRO!E:L,8,0)</f>
        <v>#N/A</v>
      </c>
    </row>
    <row r="1931" spans="1:14" ht="20.25" x14ac:dyDescent="0.25">
      <c r="A1931" s="1">
        <v>74</v>
      </c>
      <c r="B1931" s="159">
        <v>2302</v>
      </c>
      <c r="C1931" s="1" t="s">
        <v>854</v>
      </c>
      <c r="D1931" s="1"/>
      <c r="E1931" s="1" t="s">
        <v>1112</v>
      </c>
      <c r="F1931" s="1" t="s">
        <v>843</v>
      </c>
      <c r="G1931" s="1">
        <v>2</v>
      </c>
      <c r="H1931" s="1" t="s">
        <v>19</v>
      </c>
      <c r="I1931" s="1" t="s">
        <v>423</v>
      </c>
      <c r="J1931" s="1">
        <v>6.7</v>
      </c>
      <c r="K1931" s="1">
        <v>13.4</v>
      </c>
      <c r="L1931" s="42">
        <v>2</v>
      </c>
      <c r="M1931" s="43"/>
      <c r="N1931" s="1" t="e">
        <f>VLOOKUP(B1931,MICRO!E:L,8,0)</f>
        <v>#N/A</v>
      </c>
    </row>
    <row r="1932" spans="1:14" ht="20.25" x14ac:dyDescent="0.25">
      <c r="A1932" s="1">
        <v>75</v>
      </c>
      <c r="B1932" s="159">
        <v>2303</v>
      </c>
      <c r="C1932" s="1" t="s">
        <v>854</v>
      </c>
      <c r="D1932" s="1"/>
      <c r="E1932" s="1" t="s">
        <v>1112</v>
      </c>
      <c r="F1932" s="1" t="s">
        <v>843</v>
      </c>
      <c r="G1932" s="1">
        <v>2</v>
      </c>
      <c r="H1932" s="1" t="s">
        <v>19</v>
      </c>
      <c r="I1932" s="1" t="s">
        <v>424</v>
      </c>
      <c r="J1932" s="1">
        <v>6.7</v>
      </c>
      <c r="K1932" s="1">
        <v>13.4</v>
      </c>
      <c r="L1932" s="42">
        <v>2</v>
      </c>
      <c r="M1932" s="43"/>
      <c r="N1932" s="1" t="e">
        <f>VLOOKUP(B1932,MICRO!E:L,8,0)</f>
        <v>#N/A</v>
      </c>
    </row>
    <row r="1933" spans="1:14" ht="20.25" x14ac:dyDescent="0.25">
      <c r="A1933" s="1">
        <v>76</v>
      </c>
      <c r="B1933" s="159">
        <v>2304</v>
      </c>
      <c r="C1933" s="1" t="s">
        <v>854</v>
      </c>
      <c r="D1933" s="1"/>
      <c r="E1933" s="1" t="s">
        <v>1113</v>
      </c>
      <c r="F1933" s="1" t="s">
        <v>844</v>
      </c>
      <c r="G1933" s="1">
        <v>14</v>
      </c>
      <c r="H1933" s="1" t="s">
        <v>19</v>
      </c>
      <c r="I1933" s="1" t="s">
        <v>423</v>
      </c>
      <c r="J1933" s="1">
        <v>3.9</v>
      </c>
      <c r="K1933" s="1">
        <v>54.6</v>
      </c>
      <c r="L1933" s="42">
        <v>2</v>
      </c>
      <c r="M1933" s="43"/>
      <c r="N1933" s="1" t="e">
        <f>VLOOKUP(B1933,MICRO!E:L,8,0)</f>
        <v>#N/A</v>
      </c>
    </row>
    <row r="1934" spans="1:14" ht="20.25" x14ac:dyDescent="0.25">
      <c r="A1934" s="1">
        <v>77</v>
      </c>
      <c r="B1934" s="159">
        <v>2305</v>
      </c>
      <c r="C1934" s="1" t="s">
        <v>854</v>
      </c>
      <c r="D1934" s="1"/>
      <c r="E1934" s="1" t="s">
        <v>1113</v>
      </c>
      <c r="F1934" s="1" t="s">
        <v>844</v>
      </c>
      <c r="G1934" s="1">
        <v>4</v>
      </c>
      <c r="H1934" s="1" t="s">
        <v>19</v>
      </c>
      <c r="I1934" s="1" t="s">
        <v>424</v>
      </c>
      <c r="J1934" s="1">
        <v>3.9</v>
      </c>
      <c r="K1934" s="1">
        <v>15.6</v>
      </c>
      <c r="L1934" s="42">
        <v>2</v>
      </c>
      <c r="M1934" s="43"/>
      <c r="N1934" s="1" t="e">
        <f>VLOOKUP(B1934,MICRO!E:L,8,0)</f>
        <v>#N/A</v>
      </c>
    </row>
    <row r="1935" spans="1:14" ht="20.25" x14ac:dyDescent="0.25">
      <c r="A1935" s="1">
        <v>78</v>
      </c>
      <c r="B1935" s="159">
        <v>2306</v>
      </c>
      <c r="C1935" s="1" t="s">
        <v>854</v>
      </c>
      <c r="D1935" s="1"/>
      <c r="E1935" s="1" t="s">
        <v>1113</v>
      </c>
      <c r="F1935" s="1" t="s">
        <v>844</v>
      </c>
      <c r="G1935" s="1">
        <v>4</v>
      </c>
      <c r="H1935" s="1" t="s">
        <v>19</v>
      </c>
      <c r="I1935" s="1" t="s">
        <v>425</v>
      </c>
      <c r="J1935" s="1">
        <v>3.9</v>
      </c>
      <c r="K1935" s="1">
        <v>15.6</v>
      </c>
      <c r="L1935" s="42">
        <v>2</v>
      </c>
      <c r="M1935" s="43"/>
      <c r="N1935" s="1" t="e">
        <f>VLOOKUP(B1935,MICRO!E:L,8,0)</f>
        <v>#N/A</v>
      </c>
    </row>
    <row r="1936" spans="1:14" ht="20.25" x14ac:dyDescent="0.25">
      <c r="A1936" s="1">
        <v>79</v>
      </c>
      <c r="B1936" s="159">
        <v>2307</v>
      </c>
      <c r="C1936" s="1" t="s">
        <v>854</v>
      </c>
      <c r="D1936" s="1"/>
      <c r="E1936" s="1" t="s">
        <v>1113</v>
      </c>
      <c r="F1936" s="1" t="s">
        <v>844</v>
      </c>
      <c r="G1936" s="1">
        <v>12</v>
      </c>
      <c r="H1936" s="1" t="s">
        <v>19</v>
      </c>
      <c r="I1936" s="1" t="s">
        <v>426</v>
      </c>
      <c r="J1936" s="1">
        <v>3.9</v>
      </c>
      <c r="K1936" s="1">
        <v>46.8</v>
      </c>
      <c r="L1936" s="42">
        <v>2</v>
      </c>
      <c r="M1936" s="43"/>
      <c r="N1936" s="1" t="e">
        <f>VLOOKUP(B1936,MICRO!E:L,8,0)</f>
        <v>#N/A</v>
      </c>
    </row>
    <row r="1937" spans="1:14" ht="20.25" x14ac:dyDescent="0.25">
      <c r="A1937" s="1">
        <v>80</v>
      </c>
      <c r="B1937" s="159">
        <v>2308</v>
      </c>
      <c r="C1937" s="1" t="s">
        <v>854</v>
      </c>
      <c r="D1937" s="1"/>
      <c r="E1937" s="1" t="s">
        <v>1113</v>
      </c>
      <c r="F1937" s="1" t="s">
        <v>844</v>
      </c>
      <c r="G1937" s="1">
        <v>24</v>
      </c>
      <c r="H1937" s="1" t="s">
        <v>19</v>
      </c>
      <c r="I1937" s="1" t="s">
        <v>427</v>
      </c>
      <c r="J1937" s="1">
        <v>3.9</v>
      </c>
      <c r="K1937" s="1">
        <v>93.6</v>
      </c>
      <c r="L1937" s="42">
        <v>2</v>
      </c>
      <c r="M1937" s="43"/>
      <c r="N1937" s="1" t="e">
        <f>VLOOKUP(B1937,MICRO!E:L,8,0)</f>
        <v>#N/A</v>
      </c>
    </row>
    <row r="1938" spans="1:14" ht="20.25" x14ac:dyDescent="0.25">
      <c r="A1938" s="1">
        <v>81</v>
      </c>
      <c r="B1938" s="159">
        <v>2309</v>
      </c>
      <c r="C1938" s="1" t="s">
        <v>854</v>
      </c>
      <c r="D1938" s="1"/>
      <c r="E1938" s="1" t="s">
        <v>213</v>
      </c>
      <c r="F1938" s="1" t="s">
        <v>845</v>
      </c>
      <c r="G1938" s="1">
        <v>12</v>
      </c>
      <c r="H1938" s="1" t="s">
        <v>19</v>
      </c>
      <c r="I1938" s="1" t="s">
        <v>423</v>
      </c>
      <c r="J1938" s="1">
        <v>4.5</v>
      </c>
      <c r="K1938" s="1">
        <v>54</v>
      </c>
      <c r="L1938" s="42">
        <v>2</v>
      </c>
      <c r="M1938" s="43"/>
      <c r="N1938" s="1" t="e">
        <f>VLOOKUP(B1938,MICRO!E:L,8,0)</f>
        <v>#N/A</v>
      </c>
    </row>
    <row r="1939" spans="1:14" ht="20.25" x14ac:dyDescent="0.25">
      <c r="A1939" s="1">
        <v>82</v>
      </c>
      <c r="B1939" s="159">
        <v>2310</v>
      </c>
      <c r="C1939" s="1" t="s">
        <v>854</v>
      </c>
      <c r="D1939" s="1"/>
      <c r="E1939" s="1" t="s">
        <v>213</v>
      </c>
      <c r="F1939" s="1" t="s">
        <v>845</v>
      </c>
      <c r="G1939" s="1">
        <v>4</v>
      </c>
      <c r="H1939" s="1" t="s">
        <v>19</v>
      </c>
      <c r="I1939" s="1" t="s">
        <v>424</v>
      </c>
      <c r="J1939" s="1">
        <v>4.5</v>
      </c>
      <c r="K1939" s="1">
        <v>18</v>
      </c>
      <c r="L1939" s="42">
        <v>2</v>
      </c>
      <c r="M1939" s="43"/>
      <c r="N1939" s="1" t="e">
        <f>VLOOKUP(B1939,MICRO!E:L,8,0)</f>
        <v>#N/A</v>
      </c>
    </row>
    <row r="1940" spans="1:14" ht="20.25" x14ac:dyDescent="0.25">
      <c r="A1940" s="1">
        <v>83</v>
      </c>
      <c r="B1940" s="159">
        <v>2311</v>
      </c>
      <c r="C1940" s="1" t="s">
        <v>854</v>
      </c>
      <c r="D1940" s="1"/>
      <c r="E1940" s="1" t="s">
        <v>213</v>
      </c>
      <c r="F1940" s="1" t="s">
        <v>845</v>
      </c>
      <c r="G1940" s="1">
        <v>4</v>
      </c>
      <c r="H1940" s="1" t="s">
        <v>19</v>
      </c>
      <c r="I1940" s="1" t="s">
        <v>425</v>
      </c>
      <c r="J1940" s="1">
        <v>4.5</v>
      </c>
      <c r="K1940" s="1">
        <v>18</v>
      </c>
      <c r="L1940" s="42">
        <v>2</v>
      </c>
      <c r="M1940" s="43"/>
      <c r="N1940" s="1" t="e">
        <f>VLOOKUP(B1940,MICRO!E:L,8,0)</f>
        <v>#N/A</v>
      </c>
    </row>
    <row r="1941" spans="1:14" ht="20.25" x14ac:dyDescent="0.25">
      <c r="A1941" s="1">
        <v>84</v>
      </c>
      <c r="B1941" s="159">
        <v>2312</v>
      </c>
      <c r="C1941" s="1" t="s">
        <v>854</v>
      </c>
      <c r="D1941" s="1"/>
      <c r="E1941" s="1" t="s">
        <v>213</v>
      </c>
      <c r="F1941" s="1" t="s">
        <v>845</v>
      </c>
      <c r="G1941" s="1">
        <v>12</v>
      </c>
      <c r="H1941" s="1" t="s">
        <v>19</v>
      </c>
      <c r="I1941" s="1" t="s">
        <v>426</v>
      </c>
      <c r="J1941" s="1">
        <v>4.5</v>
      </c>
      <c r="K1941" s="1">
        <v>54</v>
      </c>
      <c r="L1941" s="42">
        <v>2</v>
      </c>
      <c r="M1941" s="43"/>
      <c r="N1941" s="1" t="e">
        <f>VLOOKUP(B1941,MICRO!E:L,8,0)</f>
        <v>#N/A</v>
      </c>
    </row>
    <row r="1942" spans="1:14" ht="20.25" x14ac:dyDescent="0.25">
      <c r="A1942" s="1">
        <v>85</v>
      </c>
      <c r="B1942" s="159">
        <v>2313</v>
      </c>
      <c r="C1942" s="1" t="s">
        <v>854</v>
      </c>
      <c r="D1942" s="1"/>
      <c r="E1942" s="1" t="s">
        <v>213</v>
      </c>
      <c r="F1942" s="1" t="s">
        <v>845</v>
      </c>
      <c r="G1942" s="1">
        <v>24</v>
      </c>
      <c r="H1942" s="1" t="s">
        <v>19</v>
      </c>
      <c r="I1942" s="1" t="s">
        <v>427</v>
      </c>
      <c r="J1942" s="1">
        <v>4.5</v>
      </c>
      <c r="K1942" s="1">
        <v>108</v>
      </c>
      <c r="L1942" s="42">
        <v>2</v>
      </c>
      <c r="M1942" s="43"/>
      <c r="N1942" s="1" t="e">
        <f>VLOOKUP(B1942,MICRO!E:L,8,0)</f>
        <v>#N/A</v>
      </c>
    </row>
    <row r="1943" spans="1:14" ht="20.25" x14ac:dyDescent="0.25">
      <c r="A1943" s="1">
        <v>86</v>
      </c>
      <c r="B1943" s="159">
        <v>2314</v>
      </c>
      <c r="C1943" s="1" t="s">
        <v>854</v>
      </c>
      <c r="D1943" s="1"/>
      <c r="E1943" s="1" t="s">
        <v>1114</v>
      </c>
      <c r="F1943" s="1" t="s">
        <v>846</v>
      </c>
      <c r="G1943" s="1">
        <v>4</v>
      </c>
      <c r="H1943" s="1" t="s">
        <v>19</v>
      </c>
      <c r="I1943" s="1" t="s">
        <v>423</v>
      </c>
      <c r="J1943" s="1">
        <v>2.2000000000000002</v>
      </c>
      <c r="K1943" s="1">
        <v>8.8000000000000007</v>
      </c>
      <c r="L1943" s="42">
        <v>2</v>
      </c>
      <c r="M1943" s="43"/>
      <c r="N1943" s="1" t="e">
        <f>VLOOKUP(B1943,MICRO!E:L,8,0)</f>
        <v>#N/A</v>
      </c>
    </row>
    <row r="1944" spans="1:14" ht="20.25" x14ac:dyDescent="0.25">
      <c r="A1944" s="1">
        <v>87</v>
      </c>
      <c r="B1944" s="159">
        <v>2315</v>
      </c>
      <c r="C1944" s="1" t="s">
        <v>854</v>
      </c>
      <c r="D1944" s="1"/>
      <c r="E1944" s="1" t="s">
        <v>1114</v>
      </c>
      <c r="F1944" s="1" t="s">
        <v>846</v>
      </c>
      <c r="G1944" s="1">
        <v>4</v>
      </c>
      <c r="H1944" s="1" t="s">
        <v>19</v>
      </c>
      <c r="I1944" s="1" t="s">
        <v>424</v>
      </c>
      <c r="J1944" s="1">
        <v>2.2000000000000002</v>
      </c>
      <c r="K1944" s="1">
        <v>8.8000000000000007</v>
      </c>
      <c r="L1944" s="42">
        <v>2</v>
      </c>
      <c r="M1944" s="43"/>
      <c r="N1944" s="1" t="e">
        <f>VLOOKUP(B1944,MICRO!E:L,8,0)</f>
        <v>#N/A</v>
      </c>
    </row>
    <row r="1945" spans="1:14" ht="20.25" x14ac:dyDescent="0.25">
      <c r="A1945" s="1">
        <v>88</v>
      </c>
      <c r="B1945" s="159">
        <v>2316</v>
      </c>
      <c r="C1945" s="1" t="s">
        <v>854</v>
      </c>
      <c r="D1945" s="1"/>
      <c r="E1945" s="1" t="s">
        <v>1115</v>
      </c>
      <c r="F1945" s="1" t="s">
        <v>847</v>
      </c>
      <c r="G1945" s="1">
        <v>2</v>
      </c>
      <c r="H1945" s="1" t="s">
        <v>19</v>
      </c>
      <c r="I1945" s="1" t="s">
        <v>423</v>
      </c>
      <c r="J1945" s="1">
        <v>5</v>
      </c>
      <c r="K1945" s="1">
        <v>10</v>
      </c>
      <c r="L1945" s="42">
        <v>2</v>
      </c>
      <c r="M1945" s="43"/>
      <c r="N1945" s="1" t="e">
        <f>VLOOKUP(B1945,MICRO!E:L,8,0)</f>
        <v>#N/A</v>
      </c>
    </row>
    <row r="1946" spans="1:14" ht="20.25" x14ac:dyDescent="0.25">
      <c r="A1946" s="1">
        <v>89</v>
      </c>
      <c r="B1946" s="159">
        <v>2317</v>
      </c>
      <c r="C1946" s="1" t="s">
        <v>854</v>
      </c>
      <c r="D1946" s="1"/>
      <c r="E1946" s="1" t="s">
        <v>1115</v>
      </c>
      <c r="F1946" s="1" t="s">
        <v>847</v>
      </c>
      <c r="G1946" s="1">
        <v>2</v>
      </c>
      <c r="H1946" s="1" t="s">
        <v>19</v>
      </c>
      <c r="I1946" s="1" t="s">
        <v>424</v>
      </c>
      <c r="J1946" s="1">
        <v>5</v>
      </c>
      <c r="K1946" s="1">
        <v>10</v>
      </c>
      <c r="L1946" s="42">
        <v>2</v>
      </c>
      <c r="M1946" s="43"/>
      <c r="N1946" s="1" t="e">
        <f>VLOOKUP(B1946,MICRO!E:L,8,0)</f>
        <v>#N/A</v>
      </c>
    </row>
    <row r="1947" spans="1:14" ht="20.25" x14ac:dyDescent="0.25">
      <c r="A1947" s="1">
        <v>90</v>
      </c>
      <c r="B1947" s="159">
        <v>2327</v>
      </c>
      <c r="C1947" s="1" t="s">
        <v>854</v>
      </c>
      <c r="D1947" s="1"/>
      <c r="E1947" s="1" t="s">
        <v>11</v>
      </c>
      <c r="F1947" s="1" t="s">
        <v>849</v>
      </c>
      <c r="G1947" s="1">
        <v>12</v>
      </c>
      <c r="H1947" s="1" t="s">
        <v>19</v>
      </c>
      <c r="I1947" s="1" t="s">
        <v>423</v>
      </c>
      <c r="J1947" s="1">
        <v>4</v>
      </c>
      <c r="K1947" s="1">
        <v>48</v>
      </c>
      <c r="L1947" s="42">
        <v>2</v>
      </c>
      <c r="M1947" s="43"/>
      <c r="N1947" s="1" t="e">
        <f>VLOOKUP(B1947,MICRO!E:L,8,0)</f>
        <v>#N/A</v>
      </c>
    </row>
    <row r="1948" spans="1:14" ht="20.25" x14ac:dyDescent="0.25">
      <c r="A1948" s="1">
        <v>91</v>
      </c>
      <c r="B1948" s="159">
        <v>2328</v>
      </c>
      <c r="C1948" s="1" t="s">
        <v>854</v>
      </c>
      <c r="D1948" s="1"/>
      <c r="E1948" s="1" t="s">
        <v>11</v>
      </c>
      <c r="F1948" s="1" t="s">
        <v>849</v>
      </c>
      <c r="G1948" s="1">
        <v>4</v>
      </c>
      <c r="H1948" s="1" t="s">
        <v>19</v>
      </c>
      <c r="I1948" s="1" t="s">
        <v>424</v>
      </c>
      <c r="J1948" s="1">
        <v>4</v>
      </c>
      <c r="K1948" s="1">
        <v>16</v>
      </c>
      <c r="L1948" s="42">
        <v>2</v>
      </c>
      <c r="M1948" s="43"/>
      <c r="N1948" s="1" t="e">
        <f>VLOOKUP(B1948,MICRO!E:L,8,0)</f>
        <v>#N/A</v>
      </c>
    </row>
    <row r="1949" spans="1:14" ht="20.25" x14ac:dyDescent="0.25">
      <c r="A1949" s="1">
        <v>92</v>
      </c>
      <c r="B1949" s="159">
        <v>2329</v>
      </c>
      <c r="C1949" s="1" t="s">
        <v>854</v>
      </c>
      <c r="D1949" s="1"/>
      <c r="E1949" s="1" t="s">
        <v>11</v>
      </c>
      <c r="F1949" s="1" t="s">
        <v>849</v>
      </c>
      <c r="G1949" s="1">
        <v>4</v>
      </c>
      <c r="H1949" s="1" t="s">
        <v>19</v>
      </c>
      <c r="I1949" s="1" t="s">
        <v>425</v>
      </c>
      <c r="J1949" s="1">
        <v>4</v>
      </c>
      <c r="K1949" s="1">
        <v>16</v>
      </c>
      <c r="L1949" s="42">
        <v>2</v>
      </c>
      <c r="M1949" s="43"/>
      <c r="N1949" s="1" t="e">
        <f>VLOOKUP(B1949,MICRO!E:L,8,0)</f>
        <v>#N/A</v>
      </c>
    </row>
    <row r="1950" spans="1:14" ht="20.25" x14ac:dyDescent="0.25">
      <c r="A1950" s="1">
        <v>93</v>
      </c>
      <c r="B1950" s="159">
        <v>2330</v>
      </c>
      <c r="C1950" s="1" t="s">
        <v>854</v>
      </c>
      <c r="D1950" s="1"/>
      <c r="E1950" s="1" t="s">
        <v>11</v>
      </c>
      <c r="F1950" s="1" t="s">
        <v>849</v>
      </c>
      <c r="G1950" s="1">
        <v>12</v>
      </c>
      <c r="H1950" s="1" t="s">
        <v>19</v>
      </c>
      <c r="I1950" s="1" t="s">
        <v>426</v>
      </c>
      <c r="J1950" s="1">
        <v>4</v>
      </c>
      <c r="K1950" s="1">
        <v>48</v>
      </c>
      <c r="L1950" s="42">
        <v>2</v>
      </c>
      <c r="M1950" s="43"/>
      <c r="N1950" s="1" t="e">
        <f>VLOOKUP(B1950,MICRO!E:L,8,0)</f>
        <v>#N/A</v>
      </c>
    </row>
    <row r="1951" spans="1:14" ht="20.25" x14ac:dyDescent="0.25">
      <c r="A1951" s="1">
        <v>94</v>
      </c>
      <c r="B1951" s="159">
        <v>2331</v>
      </c>
      <c r="C1951" s="1" t="s">
        <v>854</v>
      </c>
      <c r="D1951" s="1"/>
      <c r="E1951" s="1" t="s">
        <v>11</v>
      </c>
      <c r="F1951" s="1" t="s">
        <v>849</v>
      </c>
      <c r="G1951" s="1">
        <v>24</v>
      </c>
      <c r="H1951" s="1" t="s">
        <v>19</v>
      </c>
      <c r="I1951" s="1" t="s">
        <v>427</v>
      </c>
      <c r="J1951" s="1">
        <v>4</v>
      </c>
      <c r="K1951" s="1">
        <v>96</v>
      </c>
      <c r="L1951" s="42">
        <v>2</v>
      </c>
      <c r="M1951" s="43"/>
      <c r="N1951" s="1" t="e">
        <f>VLOOKUP(B1951,MICRO!E:L,8,0)</f>
        <v>#N/A</v>
      </c>
    </row>
    <row r="1952" spans="1:14" ht="20.25" x14ac:dyDescent="0.25">
      <c r="A1952" s="1">
        <v>95</v>
      </c>
      <c r="B1952" s="159">
        <v>2336</v>
      </c>
      <c r="C1952" s="1" t="s">
        <v>854</v>
      </c>
      <c r="D1952" s="1"/>
      <c r="E1952" s="1" t="s">
        <v>1116</v>
      </c>
      <c r="F1952" s="1" t="s">
        <v>850</v>
      </c>
      <c r="G1952" s="1">
        <v>1</v>
      </c>
      <c r="H1952" s="1" t="s">
        <v>19</v>
      </c>
      <c r="I1952" s="1" t="s">
        <v>424</v>
      </c>
      <c r="J1952" s="1">
        <v>9.5</v>
      </c>
      <c r="K1952" s="1">
        <v>9.5</v>
      </c>
      <c r="L1952" s="42">
        <v>2</v>
      </c>
      <c r="M1952" s="43"/>
      <c r="N1952" s="1" t="e">
        <f>VLOOKUP(B1952,MICRO!E:L,8,0)</f>
        <v>#N/A</v>
      </c>
    </row>
    <row r="1953" spans="1:14" ht="20.25" x14ac:dyDescent="0.25">
      <c r="A1953" s="1">
        <v>96</v>
      </c>
      <c r="B1953" s="159">
        <v>2337</v>
      </c>
      <c r="C1953" s="1" t="s">
        <v>854</v>
      </c>
      <c r="D1953" s="1"/>
      <c r="E1953" s="1" t="s">
        <v>1117</v>
      </c>
      <c r="F1953" s="1" t="s">
        <v>851</v>
      </c>
      <c r="G1953" s="1">
        <v>1</v>
      </c>
      <c r="H1953" s="1" t="s">
        <v>19</v>
      </c>
      <c r="I1953" s="1" t="s">
        <v>424</v>
      </c>
      <c r="J1953" s="1">
        <v>5.2</v>
      </c>
      <c r="K1953" s="1">
        <v>5.2</v>
      </c>
      <c r="L1953" s="42">
        <v>2</v>
      </c>
      <c r="M1953" s="43"/>
      <c r="N1953" s="1" t="e">
        <f>VLOOKUP(B1953,MICRO!E:L,8,0)</f>
        <v>#N/A</v>
      </c>
    </row>
    <row r="1954" spans="1:14" ht="20.25" x14ac:dyDescent="0.25">
      <c r="A1954" s="1">
        <v>97</v>
      </c>
      <c r="B1954" s="159">
        <v>2338</v>
      </c>
      <c r="C1954" s="1" t="s">
        <v>854</v>
      </c>
      <c r="D1954" s="1"/>
      <c r="E1954" s="1" t="s">
        <v>1118</v>
      </c>
      <c r="F1954" s="1" t="s">
        <v>852</v>
      </c>
      <c r="G1954" s="1">
        <v>1</v>
      </c>
      <c r="H1954" s="1" t="s">
        <v>19</v>
      </c>
      <c r="I1954" s="1" t="s">
        <v>424</v>
      </c>
      <c r="J1954" s="1">
        <v>5.2</v>
      </c>
      <c r="K1954" s="1">
        <v>5.2</v>
      </c>
      <c r="L1954" s="42">
        <v>2</v>
      </c>
      <c r="M1954" s="43"/>
      <c r="N1954" s="1" t="e">
        <f>VLOOKUP(B1954,MICRO!E:L,8,0)</f>
        <v>#N/A</v>
      </c>
    </row>
    <row r="1955" spans="1:14" ht="20.25" x14ac:dyDescent="0.25">
      <c r="A1955" s="1">
        <v>98</v>
      </c>
      <c r="B1955" s="159">
        <v>2339</v>
      </c>
      <c r="C1955" s="1" t="s">
        <v>854</v>
      </c>
      <c r="D1955" s="1"/>
      <c r="E1955" s="1" t="s">
        <v>1119</v>
      </c>
      <c r="F1955" s="1" t="s">
        <v>853</v>
      </c>
      <c r="G1955" s="1">
        <v>2</v>
      </c>
      <c r="H1955" s="1" t="s">
        <v>19</v>
      </c>
      <c r="I1955" s="1" t="s">
        <v>424</v>
      </c>
      <c r="J1955" s="1">
        <v>5.6</v>
      </c>
      <c r="K1955" s="1">
        <v>11.2</v>
      </c>
      <c r="L1955" s="42">
        <v>2</v>
      </c>
      <c r="M1955" s="43"/>
      <c r="N1955" s="1" t="e">
        <f>VLOOKUP(B1955,MICRO!E:L,8,0)</f>
        <v>#N/A</v>
      </c>
    </row>
    <row r="1956" spans="1:14" ht="20.25" x14ac:dyDescent="0.25">
      <c r="A1956" s="1">
        <v>1</v>
      </c>
      <c r="B1956" s="159">
        <v>1867</v>
      </c>
      <c r="C1956" s="1" t="s">
        <v>2722</v>
      </c>
      <c r="D1956" s="1" t="s">
        <v>2723</v>
      </c>
      <c r="E1956" s="1" t="s">
        <v>2724</v>
      </c>
      <c r="F1956" s="1" t="s">
        <v>2725</v>
      </c>
      <c r="G1956" s="1">
        <v>1</v>
      </c>
      <c r="H1956" s="1" t="s">
        <v>19</v>
      </c>
      <c r="I1956" s="1" t="s">
        <v>423</v>
      </c>
      <c r="J1956" s="1">
        <v>309.60000000000002</v>
      </c>
      <c r="K1956" s="1">
        <v>309.60000000000002</v>
      </c>
      <c r="L1956" s="42">
        <v>3</v>
      </c>
      <c r="M1956" s="43"/>
      <c r="N1956" s="1" t="e">
        <f>VLOOKUP(B1956,MICRO!E:L,8,0)</f>
        <v>#N/A</v>
      </c>
    </row>
    <row r="1957" spans="1:14" ht="20.25" x14ac:dyDescent="0.25">
      <c r="A1957" s="1">
        <v>2</v>
      </c>
      <c r="B1957" s="159">
        <v>1868</v>
      </c>
      <c r="C1957" s="1" t="s">
        <v>2722</v>
      </c>
      <c r="D1957" s="1" t="s">
        <v>2723</v>
      </c>
      <c r="E1957" s="1" t="s">
        <v>2726</v>
      </c>
      <c r="F1957" s="1" t="s">
        <v>2727</v>
      </c>
      <c r="G1957" s="1">
        <v>1</v>
      </c>
      <c r="H1957" s="1" t="s">
        <v>19</v>
      </c>
      <c r="I1957" s="1" t="s">
        <v>424</v>
      </c>
      <c r="J1957" s="1">
        <v>144</v>
      </c>
      <c r="K1957" s="1">
        <v>144</v>
      </c>
      <c r="L1957" s="42">
        <v>3</v>
      </c>
      <c r="M1957" s="43"/>
      <c r="N1957" s="1" t="e">
        <f>VLOOKUP(B1957,MICRO!E:L,8,0)</f>
        <v>#N/A</v>
      </c>
    </row>
    <row r="1958" spans="1:14" ht="20.25" x14ac:dyDescent="0.25">
      <c r="A1958" s="1">
        <v>3</v>
      </c>
      <c r="B1958" s="159">
        <v>1869</v>
      </c>
      <c r="C1958" s="1" t="s">
        <v>2722</v>
      </c>
      <c r="D1958" s="1" t="s">
        <v>2723</v>
      </c>
      <c r="E1958" s="1" t="s">
        <v>2728</v>
      </c>
      <c r="F1958" s="1" t="s">
        <v>2729</v>
      </c>
      <c r="G1958" s="1">
        <v>1</v>
      </c>
      <c r="H1958" s="1" t="s">
        <v>19</v>
      </c>
      <c r="I1958" s="1" t="s">
        <v>425</v>
      </c>
      <c r="J1958" s="1">
        <v>196.8</v>
      </c>
      <c r="K1958" s="1">
        <v>196.8</v>
      </c>
      <c r="L1958" s="42">
        <v>3</v>
      </c>
      <c r="M1958" s="43"/>
      <c r="N1958" s="1" t="e">
        <f>VLOOKUP(B1958,MICRO!E:L,8,0)</f>
        <v>#N/A</v>
      </c>
    </row>
    <row r="1959" spans="1:14" ht="20.25" x14ac:dyDescent="0.25">
      <c r="A1959" s="1">
        <v>4</v>
      </c>
      <c r="B1959" s="159">
        <v>1870</v>
      </c>
      <c r="C1959" s="1" t="s">
        <v>2722</v>
      </c>
      <c r="D1959" s="1" t="s">
        <v>2723</v>
      </c>
      <c r="E1959" s="1" t="s">
        <v>2730</v>
      </c>
      <c r="F1959" s="1" t="s">
        <v>2731</v>
      </c>
      <c r="G1959" s="1">
        <v>1</v>
      </c>
      <c r="H1959" s="1" t="s">
        <v>19</v>
      </c>
      <c r="I1959" s="1" t="s">
        <v>426</v>
      </c>
      <c r="J1959" s="1">
        <v>266.39999999999998</v>
      </c>
      <c r="K1959" s="1">
        <v>266.39999999999998</v>
      </c>
      <c r="L1959" s="42">
        <v>3</v>
      </c>
      <c r="M1959" s="43"/>
      <c r="N1959" s="1" t="e">
        <f>VLOOKUP(B1959,MICRO!E:L,8,0)</f>
        <v>#N/A</v>
      </c>
    </row>
    <row r="1960" spans="1:14" ht="20.25" x14ac:dyDescent="0.25">
      <c r="A1960" s="1">
        <v>5</v>
      </c>
      <c r="B1960" s="159">
        <v>1871</v>
      </c>
      <c r="C1960" s="1" t="s">
        <v>2722</v>
      </c>
      <c r="D1960" s="1" t="s">
        <v>2723</v>
      </c>
      <c r="E1960" s="1" t="s">
        <v>2732</v>
      </c>
      <c r="F1960" s="1" t="s">
        <v>2733</v>
      </c>
      <c r="G1960" s="1">
        <v>1</v>
      </c>
      <c r="H1960" s="1" t="s">
        <v>19</v>
      </c>
      <c r="I1960" s="1" t="s">
        <v>427</v>
      </c>
      <c r="J1960" s="1">
        <v>525.6</v>
      </c>
      <c r="K1960" s="1">
        <v>525.6</v>
      </c>
      <c r="L1960" s="42">
        <v>3</v>
      </c>
      <c r="M1960" s="43"/>
      <c r="N1960" s="1" t="e">
        <f>VLOOKUP(B1960,MICRO!E:L,8,0)</f>
        <v>#N/A</v>
      </c>
    </row>
    <row r="1961" spans="1:14" ht="20.25" x14ac:dyDescent="0.25">
      <c r="A1961" s="1">
        <v>1</v>
      </c>
      <c r="B1961" s="159">
        <v>1796</v>
      </c>
      <c r="C1961" s="1" t="s">
        <v>500</v>
      </c>
      <c r="D1961" s="1"/>
      <c r="E1961" s="1" t="s">
        <v>2</v>
      </c>
      <c r="F1961" s="1" t="s">
        <v>501</v>
      </c>
      <c r="G1961" s="1">
        <v>1</v>
      </c>
      <c r="H1961" s="1" t="s">
        <v>19</v>
      </c>
      <c r="I1961" s="1" t="s">
        <v>423</v>
      </c>
      <c r="J1961" s="1">
        <v>340.7</v>
      </c>
      <c r="K1961" s="1">
        <v>340.7</v>
      </c>
      <c r="L1961" s="42">
        <v>4</v>
      </c>
      <c r="M1961" s="43"/>
      <c r="N1961" s="1" t="e">
        <f>VLOOKUP(B1961,MICRO!E:L,8,0)</f>
        <v>#N/A</v>
      </c>
    </row>
    <row r="1962" spans="1:14" ht="20.25" x14ac:dyDescent="0.25">
      <c r="A1962" s="1">
        <v>2</v>
      </c>
      <c r="B1962" s="159">
        <v>1797</v>
      </c>
      <c r="C1962" s="1" t="s">
        <v>500</v>
      </c>
      <c r="D1962" s="1"/>
      <c r="E1962" s="1" t="s">
        <v>2</v>
      </c>
      <c r="F1962" s="1" t="s">
        <v>501</v>
      </c>
      <c r="G1962" s="1">
        <v>1</v>
      </c>
      <c r="H1962" s="1" t="s">
        <v>19</v>
      </c>
      <c r="I1962" s="1" t="s">
        <v>424</v>
      </c>
      <c r="J1962" s="1">
        <v>340.7</v>
      </c>
      <c r="K1962" s="1">
        <v>340.7</v>
      </c>
      <c r="L1962" s="42">
        <v>4</v>
      </c>
      <c r="M1962" s="43"/>
      <c r="N1962" s="1" t="e">
        <f>VLOOKUP(B1962,MICRO!E:L,8,0)</f>
        <v>#N/A</v>
      </c>
    </row>
    <row r="1963" spans="1:14" ht="20.25" x14ac:dyDescent="0.25">
      <c r="A1963" s="1">
        <v>3</v>
      </c>
      <c r="B1963" s="159">
        <v>1798</v>
      </c>
      <c r="C1963" s="1" t="s">
        <v>500</v>
      </c>
      <c r="D1963" s="1"/>
      <c r="E1963" s="1" t="s">
        <v>2</v>
      </c>
      <c r="F1963" s="1" t="s">
        <v>501</v>
      </c>
      <c r="G1963" s="1">
        <v>1</v>
      </c>
      <c r="H1963" s="1" t="s">
        <v>19</v>
      </c>
      <c r="I1963" s="1" t="s">
        <v>425</v>
      </c>
      <c r="J1963" s="1">
        <v>340.7</v>
      </c>
      <c r="K1963" s="1">
        <v>340.7</v>
      </c>
      <c r="L1963" s="42">
        <v>4</v>
      </c>
      <c r="M1963" s="43"/>
      <c r="N1963" s="1" t="e">
        <f>VLOOKUP(B1963,MICRO!E:L,8,0)</f>
        <v>#N/A</v>
      </c>
    </row>
    <row r="1964" spans="1:14" ht="20.25" x14ac:dyDescent="0.25">
      <c r="A1964" s="1">
        <v>4</v>
      </c>
      <c r="B1964" s="159">
        <v>1799</v>
      </c>
      <c r="C1964" s="1" t="s">
        <v>500</v>
      </c>
      <c r="D1964" s="1"/>
      <c r="E1964" s="1" t="s">
        <v>2</v>
      </c>
      <c r="F1964" s="1" t="s">
        <v>501</v>
      </c>
      <c r="G1964" s="1">
        <v>1</v>
      </c>
      <c r="H1964" s="1" t="s">
        <v>19</v>
      </c>
      <c r="I1964" s="1" t="s">
        <v>427</v>
      </c>
      <c r="J1964" s="1">
        <v>340.7</v>
      </c>
      <c r="K1964" s="1">
        <v>340.7</v>
      </c>
      <c r="L1964" s="42">
        <v>4</v>
      </c>
      <c r="M1964" s="43"/>
      <c r="N1964" s="1" t="e">
        <f>VLOOKUP(B1964,MICRO!E:L,8,0)</f>
        <v>#N/A</v>
      </c>
    </row>
    <row r="1965" spans="1:14" ht="20.25" x14ac:dyDescent="0.25">
      <c r="A1965" s="1">
        <v>5</v>
      </c>
      <c r="B1965" s="159">
        <v>1800</v>
      </c>
      <c r="C1965" s="1" t="s">
        <v>500</v>
      </c>
      <c r="D1965" s="1"/>
      <c r="E1965" s="1" t="s">
        <v>43</v>
      </c>
      <c r="F1965" s="1" t="s">
        <v>502</v>
      </c>
      <c r="G1965" s="1">
        <v>1</v>
      </c>
      <c r="H1965" s="1" t="s">
        <v>19</v>
      </c>
      <c r="I1965" s="1" t="s">
        <v>423</v>
      </c>
      <c r="J1965" s="1">
        <v>8.3000000000000007</v>
      </c>
      <c r="K1965" s="1">
        <v>8.3000000000000007</v>
      </c>
      <c r="L1965" s="42">
        <v>4</v>
      </c>
      <c r="M1965" s="43"/>
      <c r="N1965" s="1" t="e">
        <f>VLOOKUP(B1965,MICRO!E:L,8,0)</f>
        <v>#N/A</v>
      </c>
    </row>
    <row r="1966" spans="1:14" ht="20.25" x14ac:dyDescent="0.25">
      <c r="A1966" s="1">
        <v>6</v>
      </c>
      <c r="B1966" s="159">
        <v>1801</v>
      </c>
      <c r="C1966" s="1" t="s">
        <v>500</v>
      </c>
      <c r="D1966" s="1"/>
      <c r="E1966" s="1" t="s">
        <v>43</v>
      </c>
      <c r="F1966" s="1" t="s">
        <v>502</v>
      </c>
      <c r="G1966" s="1">
        <v>1</v>
      </c>
      <c r="H1966" s="1" t="s">
        <v>19</v>
      </c>
      <c r="I1966" s="1" t="s">
        <v>424</v>
      </c>
      <c r="J1966" s="1">
        <v>8.3000000000000007</v>
      </c>
      <c r="K1966" s="1">
        <v>8.3000000000000007</v>
      </c>
      <c r="L1966" s="42">
        <v>4</v>
      </c>
      <c r="M1966" s="43"/>
      <c r="N1966" s="1" t="e">
        <f>VLOOKUP(B1966,MICRO!E:L,8,0)</f>
        <v>#N/A</v>
      </c>
    </row>
    <row r="1967" spans="1:14" ht="20.25" x14ac:dyDescent="0.25">
      <c r="A1967" s="1">
        <v>7</v>
      </c>
      <c r="B1967" s="159">
        <v>1802</v>
      </c>
      <c r="C1967" s="1" t="s">
        <v>500</v>
      </c>
      <c r="D1967" s="1"/>
      <c r="E1967" s="1" t="s">
        <v>43</v>
      </c>
      <c r="F1967" s="1" t="s">
        <v>502</v>
      </c>
      <c r="G1967" s="1">
        <v>1</v>
      </c>
      <c r="H1967" s="1" t="s">
        <v>19</v>
      </c>
      <c r="I1967" s="1" t="s">
        <v>425</v>
      </c>
      <c r="J1967" s="1">
        <v>8.3000000000000007</v>
      </c>
      <c r="K1967" s="1">
        <v>8.3000000000000007</v>
      </c>
      <c r="L1967" s="42">
        <v>4</v>
      </c>
      <c r="M1967" s="43"/>
      <c r="N1967" s="1" t="e">
        <f>VLOOKUP(B1967,MICRO!E:L,8,0)</f>
        <v>#N/A</v>
      </c>
    </row>
    <row r="1968" spans="1:14" ht="20.25" x14ac:dyDescent="0.25">
      <c r="A1968" s="1">
        <v>8</v>
      </c>
      <c r="B1968" s="159">
        <v>1803</v>
      </c>
      <c r="C1968" s="1" t="s">
        <v>500</v>
      </c>
      <c r="D1968" s="1"/>
      <c r="E1968" s="1" t="s">
        <v>43</v>
      </c>
      <c r="F1968" s="1" t="s">
        <v>502</v>
      </c>
      <c r="G1968" s="1">
        <v>1</v>
      </c>
      <c r="H1968" s="1" t="s">
        <v>19</v>
      </c>
      <c r="I1968" s="1" t="s">
        <v>427</v>
      </c>
      <c r="J1968" s="1">
        <v>8.3000000000000007</v>
      </c>
      <c r="K1968" s="1">
        <v>8.3000000000000007</v>
      </c>
      <c r="L1968" s="42">
        <v>4</v>
      </c>
      <c r="M1968" s="43"/>
      <c r="N1968" s="1" t="e">
        <f>VLOOKUP(B1968,MICRO!E:L,8,0)</f>
        <v>#N/A</v>
      </c>
    </row>
    <row r="1969" spans="1:14" ht="20.25" x14ac:dyDescent="0.25">
      <c r="A1969" s="1">
        <v>9</v>
      </c>
      <c r="B1969" s="159">
        <v>1804</v>
      </c>
      <c r="C1969" s="1" t="s">
        <v>500</v>
      </c>
      <c r="D1969" s="1"/>
      <c r="E1969" s="1" t="s">
        <v>746</v>
      </c>
      <c r="F1969" s="1" t="s">
        <v>503</v>
      </c>
      <c r="G1969" s="1">
        <v>1</v>
      </c>
      <c r="H1969" s="1" t="s">
        <v>19</v>
      </c>
      <c r="I1969" s="1" t="s">
        <v>423</v>
      </c>
      <c r="J1969" s="1">
        <v>8.3000000000000007</v>
      </c>
      <c r="K1969" s="1">
        <v>8.3000000000000007</v>
      </c>
      <c r="L1969" s="42">
        <v>4</v>
      </c>
      <c r="M1969" s="43"/>
      <c r="N1969" s="1" t="e">
        <f>VLOOKUP(B1969,MICRO!E:L,8,0)</f>
        <v>#N/A</v>
      </c>
    </row>
    <row r="1970" spans="1:14" ht="20.25" x14ac:dyDescent="0.25">
      <c r="A1970" s="1">
        <v>10</v>
      </c>
      <c r="B1970" s="159">
        <v>1805</v>
      </c>
      <c r="C1970" s="1" t="s">
        <v>500</v>
      </c>
      <c r="D1970" s="1"/>
      <c r="E1970" s="1" t="s">
        <v>746</v>
      </c>
      <c r="F1970" s="1" t="s">
        <v>503</v>
      </c>
      <c r="G1970" s="1">
        <v>1</v>
      </c>
      <c r="H1970" s="1" t="s">
        <v>19</v>
      </c>
      <c r="I1970" s="1" t="s">
        <v>424</v>
      </c>
      <c r="J1970" s="1">
        <v>8.3000000000000007</v>
      </c>
      <c r="K1970" s="1">
        <v>8.3000000000000007</v>
      </c>
      <c r="L1970" s="42">
        <v>4</v>
      </c>
      <c r="M1970" s="43"/>
      <c r="N1970" s="1" t="e">
        <f>VLOOKUP(B1970,MICRO!E:L,8,0)</f>
        <v>#N/A</v>
      </c>
    </row>
    <row r="1971" spans="1:14" ht="20.25" x14ac:dyDescent="0.25">
      <c r="A1971" s="1">
        <v>11</v>
      </c>
      <c r="B1971" s="159">
        <v>1806</v>
      </c>
      <c r="C1971" s="1" t="s">
        <v>500</v>
      </c>
      <c r="D1971" s="1"/>
      <c r="E1971" s="1" t="s">
        <v>746</v>
      </c>
      <c r="F1971" s="1" t="s">
        <v>503</v>
      </c>
      <c r="G1971" s="1">
        <v>1</v>
      </c>
      <c r="H1971" s="1" t="s">
        <v>19</v>
      </c>
      <c r="I1971" s="1" t="s">
        <v>425</v>
      </c>
      <c r="J1971" s="1">
        <v>8.3000000000000007</v>
      </c>
      <c r="K1971" s="1">
        <v>8.3000000000000007</v>
      </c>
      <c r="L1971" s="42">
        <v>4</v>
      </c>
      <c r="M1971" s="43"/>
      <c r="N1971" s="1" t="e">
        <f>VLOOKUP(B1971,MICRO!E:L,8,0)</f>
        <v>#N/A</v>
      </c>
    </row>
    <row r="1972" spans="1:14" ht="20.25" x14ac:dyDescent="0.25">
      <c r="A1972" s="1">
        <v>12</v>
      </c>
      <c r="B1972" s="159">
        <v>1807</v>
      </c>
      <c r="C1972" s="1" t="s">
        <v>500</v>
      </c>
      <c r="D1972" s="1"/>
      <c r="E1972" s="1" t="s">
        <v>746</v>
      </c>
      <c r="F1972" s="1" t="s">
        <v>503</v>
      </c>
      <c r="G1972" s="1">
        <v>1</v>
      </c>
      <c r="H1972" s="1" t="s">
        <v>19</v>
      </c>
      <c r="I1972" s="1" t="s">
        <v>427</v>
      </c>
      <c r="J1972" s="1">
        <v>8.3000000000000007</v>
      </c>
      <c r="K1972" s="1">
        <v>8.3000000000000007</v>
      </c>
      <c r="L1972" s="42">
        <v>4</v>
      </c>
      <c r="M1972" s="43"/>
      <c r="N1972" s="1" t="e">
        <f>VLOOKUP(B1972,MICRO!E:L,8,0)</f>
        <v>#N/A</v>
      </c>
    </row>
    <row r="1973" spans="1:14" ht="20.25" x14ac:dyDescent="0.25">
      <c r="A1973" s="1">
        <v>13</v>
      </c>
      <c r="B1973" s="159">
        <v>1808</v>
      </c>
      <c r="C1973" s="1" t="s">
        <v>500</v>
      </c>
      <c r="D1973" s="1"/>
      <c r="E1973" s="1" t="s">
        <v>1101</v>
      </c>
      <c r="F1973" s="1" t="s">
        <v>504</v>
      </c>
      <c r="G1973" s="1">
        <v>1</v>
      </c>
      <c r="H1973" s="1" t="s">
        <v>19</v>
      </c>
      <c r="I1973" s="1" t="s">
        <v>423</v>
      </c>
      <c r="J1973" s="1">
        <v>11.6</v>
      </c>
      <c r="K1973" s="1">
        <v>11.6</v>
      </c>
      <c r="L1973" s="42">
        <v>4</v>
      </c>
      <c r="M1973" s="43"/>
      <c r="N1973" s="1" t="e">
        <f>VLOOKUP(B1973,MICRO!E:L,8,0)</f>
        <v>#N/A</v>
      </c>
    </row>
    <row r="1974" spans="1:14" ht="20.25" x14ac:dyDescent="0.25">
      <c r="A1974" s="1">
        <v>14</v>
      </c>
      <c r="B1974" s="159">
        <v>1809</v>
      </c>
      <c r="C1974" s="1" t="s">
        <v>500</v>
      </c>
      <c r="D1974" s="1"/>
      <c r="E1974" s="1" t="s">
        <v>1101</v>
      </c>
      <c r="F1974" s="1" t="s">
        <v>504</v>
      </c>
      <c r="G1974" s="1">
        <v>1</v>
      </c>
      <c r="H1974" s="1" t="s">
        <v>19</v>
      </c>
      <c r="I1974" s="1" t="s">
        <v>424</v>
      </c>
      <c r="J1974" s="1">
        <v>11.6</v>
      </c>
      <c r="K1974" s="1">
        <v>11.6</v>
      </c>
      <c r="L1974" s="42">
        <v>4</v>
      </c>
      <c r="M1974" s="43"/>
      <c r="N1974" s="1" t="e">
        <f>VLOOKUP(B1974,MICRO!E:L,8,0)</f>
        <v>#N/A</v>
      </c>
    </row>
    <row r="1975" spans="1:14" ht="20.25" x14ac:dyDescent="0.25">
      <c r="A1975" s="1">
        <v>15</v>
      </c>
      <c r="B1975" s="159">
        <v>1810</v>
      </c>
      <c r="C1975" s="1" t="s">
        <v>500</v>
      </c>
      <c r="D1975" s="1"/>
      <c r="E1975" s="1" t="s">
        <v>1101</v>
      </c>
      <c r="F1975" s="1" t="s">
        <v>504</v>
      </c>
      <c r="G1975" s="1">
        <v>1</v>
      </c>
      <c r="H1975" s="1" t="s">
        <v>19</v>
      </c>
      <c r="I1975" s="1" t="s">
        <v>425</v>
      </c>
      <c r="J1975" s="1">
        <v>11.6</v>
      </c>
      <c r="K1975" s="1">
        <v>11.6</v>
      </c>
      <c r="L1975" s="42">
        <v>4</v>
      </c>
      <c r="M1975" s="43"/>
      <c r="N1975" s="1" t="e">
        <f>VLOOKUP(B1975,MICRO!E:L,8,0)</f>
        <v>#N/A</v>
      </c>
    </row>
    <row r="1976" spans="1:14" ht="20.25" x14ac:dyDescent="0.25">
      <c r="A1976" s="1">
        <v>16</v>
      </c>
      <c r="B1976" s="159">
        <v>1811</v>
      </c>
      <c r="C1976" s="1" t="s">
        <v>500</v>
      </c>
      <c r="D1976" s="1"/>
      <c r="E1976" s="1" t="s">
        <v>1101</v>
      </c>
      <c r="F1976" s="1" t="s">
        <v>504</v>
      </c>
      <c r="G1976" s="1">
        <v>1</v>
      </c>
      <c r="H1976" s="1" t="s">
        <v>19</v>
      </c>
      <c r="I1976" s="1" t="s">
        <v>427</v>
      </c>
      <c r="J1976" s="1">
        <v>11.6</v>
      </c>
      <c r="K1976" s="1">
        <v>11.6</v>
      </c>
      <c r="L1976" s="42">
        <v>4</v>
      </c>
      <c r="M1976" s="43"/>
      <c r="N1976" s="1" t="e">
        <f>VLOOKUP(B1976,MICRO!E:L,8,0)</f>
        <v>#N/A</v>
      </c>
    </row>
    <row r="1977" spans="1:14" ht="20.25" x14ac:dyDescent="0.25">
      <c r="A1977" s="1">
        <v>17</v>
      </c>
      <c r="B1977" s="159">
        <v>1812</v>
      </c>
      <c r="C1977" s="1" t="s">
        <v>500</v>
      </c>
      <c r="D1977" s="1"/>
      <c r="E1977" s="1" t="s">
        <v>100</v>
      </c>
      <c r="F1977" s="1" t="s">
        <v>505</v>
      </c>
      <c r="G1977" s="1">
        <v>2</v>
      </c>
      <c r="H1977" s="1" t="s">
        <v>19</v>
      </c>
      <c r="I1977" s="1" t="s">
        <v>423</v>
      </c>
      <c r="J1977" s="1">
        <v>0.3</v>
      </c>
      <c r="K1977" s="1">
        <v>0.6</v>
      </c>
      <c r="L1977" s="42">
        <v>4</v>
      </c>
      <c r="M1977" s="43"/>
      <c r="N1977" s="1" t="e">
        <f>VLOOKUP(B1977,MICRO!E:L,8,0)</f>
        <v>#N/A</v>
      </c>
    </row>
    <row r="1978" spans="1:14" ht="20.25" x14ac:dyDescent="0.25">
      <c r="A1978" s="1">
        <v>18</v>
      </c>
      <c r="B1978" s="159">
        <v>1813</v>
      </c>
      <c r="C1978" s="1" t="s">
        <v>500</v>
      </c>
      <c r="D1978" s="1"/>
      <c r="E1978" s="1" t="s">
        <v>100</v>
      </c>
      <c r="F1978" s="1" t="s">
        <v>505</v>
      </c>
      <c r="G1978" s="1">
        <v>2</v>
      </c>
      <c r="H1978" s="1" t="s">
        <v>19</v>
      </c>
      <c r="I1978" s="1" t="s">
        <v>424</v>
      </c>
      <c r="J1978" s="1">
        <v>0.3</v>
      </c>
      <c r="K1978" s="1">
        <v>0.6</v>
      </c>
      <c r="L1978" s="42">
        <v>4</v>
      </c>
      <c r="M1978" s="43"/>
      <c r="N1978" s="1" t="e">
        <f>VLOOKUP(B1978,MICRO!E:L,8,0)</f>
        <v>#N/A</v>
      </c>
    </row>
    <row r="1979" spans="1:14" ht="20.25" x14ac:dyDescent="0.25">
      <c r="A1979" s="1">
        <v>19</v>
      </c>
      <c r="B1979" s="159">
        <v>1814</v>
      </c>
      <c r="C1979" s="1" t="s">
        <v>500</v>
      </c>
      <c r="D1979" s="1"/>
      <c r="E1979" s="1" t="s">
        <v>100</v>
      </c>
      <c r="F1979" s="1" t="s">
        <v>505</v>
      </c>
      <c r="G1979" s="1">
        <v>2</v>
      </c>
      <c r="H1979" s="1" t="s">
        <v>19</v>
      </c>
      <c r="I1979" s="1" t="s">
        <v>425</v>
      </c>
      <c r="J1979" s="1">
        <v>0.3</v>
      </c>
      <c r="K1979" s="1">
        <v>0.6</v>
      </c>
      <c r="L1979" s="42">
        <v>4</v>
      </c>
      <c r="M1979" s="43"/>
      <c r="N1979" s="1" t="e">
        <f>VLOOKUP(B1979,MICRO!E:L,8,0)</f>
        <v>#N/A</v>
      </c>
    </row>
    <row r="1980" spans="1:14" ht="20.25" x14ac:dyDescent="0.25">
      <c r="A1980" s="1">
        <v>20</v>
      </c>
      <c r="B1980" s="159">
        <v>1815</v>
      </c>
      <c r="C1980" s="1" t="s">
        <v>500</v>
      </c>
      <c r="D1980" s="1"/>
      <c r="E1980" s="1" t="s">
        <v>100</v>
      </c>
      <c r="F1980" s="1" t="s">
        <v>505</v>
      </c>
      <c r="G1980" s="1">
        <v>2</v>
      </c>
      <c r="H1980" s="1" t="s">
        <v>19</v>
      </c>
      <c r="I1980" s="1" t="s">
        <v>427</v>
      </c>
      <c r="J1980" s="1">
        <v>0.3</v>
      </c>
      <c r="K1980" s="1">
        <v>0.6</v>
      </c>
      <c r="L1980" s="42">
        <v>4</v>
      </c>
      <c r="M1980" s="43"/>
      <c r="N1980" s="1" t="e">
        <f>VLOOKUP(B1980,MICRO!E:L,8,0)</f>
        <v>#N/A</v>
      </c>
    </row>
    <row r="1981" spans="1:14" ht="20.25" x14ac:dyDescent="0.25">
      <c r="A1981" s="1">
        <v>21</v>
      </c>
      <c r="B1981" s="159"/>
      <c r="C1981" s="1" t="s">
        <v>1243</v>
      </c>
      <c r="D1981" s="1"/>
      <c r="E1981" s="1"/>
      <c r="F1981" s="1" t="s">
        <v>1244</v>
      </c>
      <c r="G1981" s="1">
        <v>1</v>
      </c>
      <c r="H1981" s="1" t="s">
        <v>19</v>
      </c>
      <c r="I1981" s="1" t="s">
        <v>423</v>
      </c>
      <c r="J1981" s="1">
        <v>404.1</v>
      </c>
      <c r="K1981" s="1">
        <v>404.1</v>
      </c>
      <c r="L1981" s="42">
        <v>4</v>
      </c>
      <c r="M1981" s="43"/>
      <c r="N1981" s="1" t="e">
        <f>VLOOKUP(B1981,MICRO!E:L,8,0)</f>
        <v>#N/A</v>
      </c>
    </row>
    <row r="1982" spans="1:14" ht="20.25" x14ac:dyDescent="0.25">
      <c r="A1982" s="1">
        <v>22</v>
      </c>
      <c r="B1982" s="159"/>
      <c r="C1982" s="1" t="s">
        <v>1243</v>
      </c>
      <c r="D1982" s="1"/>
      <c r="E1982" s="1"/>
      <c r="F1982" s="1" t="s">
        <v>1244</v>
      </c>
      <c r="G1982" s="1">
        <v>1</v>
      </c>
      <c r="H1982" s="1" t="s">
        <v>19</v>
      </c>
      <c r="I1982" s="1" t="s">
        <v>424</v>
      </c>
      <c r="J1982" s="1">
        <v>404.1</v>
      </c>
      <c r="K1982" s="1">
        <v>404.1</v>
      </c>
      <c r="L1982" s="42">
        <v>4</v>
      </c>
      <c r="M1982" s="43"/>
      <c r="N1982" s="1" t="e">
        <f>VLOOKUP(B1982,MICRO!E:L,8,0)</f>
        <v>#N/A</v>
      </c>
    </row>
    <row r="1983" spans="1:14" ht="20.25" x14ac:dyDescent="0.25">
      <c r="A1983" s="1">
        <v>23</v>
      </c>
      <c r="B1983" s="159"/>
      <c r="C1983" s="1" t="s">
        <v>1243</v>
      </c>
      <c r="D1983" s="1"/>
      <c r="E1983" s="1"/>
      <c r="F1983" s="1" t="s">
        <v>1244</v>
      </c>
      <c r="G1983" s="1">
        <v>1</v>
      </c>
      <c r="H1983" s="1" t="s">
        <v>19</v>
      </c>
      <c r="I1983" s="1" t="s">
        <v>425</v>
      </c>
      <c r="J1983" s="1">
        <v>404.1</v>
      </c>
      <c r="K1983" s="1">
        <v>404.1</v>
      </c>
      <c r="L1983" s="42">
        <v>4</v>
      </c>
      <c r="M1983" s="43"/>
      <c r="N1983" s="1" t="e">
        <f>VLOOKUP(B1983,MICRO!E:L,8,0)</f>
        <v>#N/A</v>
      </c>
    </row>
    <row r="1984" spans="1:14" ht="20.25" x14ac:dyDescent="0.25">
      <c r="A1984" s="1">
        <v>24</v>
      </c>
      <c r="B1984" s="159"/>
      <c r="C1984" s="1" t="s">
        <v>1243</v>
      </c>
      <c r="D1984" s="1"/>
      <c r="E1984" s="1"/>
      <c r="F1984" s="1" t="s">
        <v>1244</v>
      </c>
      <c r="G1984" s="1">
        <v>1</v>
      </c>
      <c r="H1984" s="1" t="s">
        <v>19</v>
      </c>
      <c r="I1984" s="1" t="s">
        <v>426</v>
      </c>
      <c r="J1984" s="1">
        <v>404.1</v>
      </c>
      <c r="K1984" s="1">
        <v>404.1</v>
      </c>
      <c r="L1984" s="42">
        <v>4</v>
      </c>
      <c r="M1984" s="43"/>
      <c r="N1984" s="1" t="e">
        <f>VLOOKUP(B1984,MICRO!E:L,8,0)</f>
        <v>#N/A</v>
      </c>
    </row>
    <row r="1985" spans="1:14" ht="20.25" x14ac:dyDescent="0.25">
      <c r="A1985" s="1">
        <v>25</v>
      </c>
      <c r="B1985" s="159"/>
      <c r="C1985" s="1" t="s">
        <v>1243</v>
      </c>
      <c r="D1985" s="1"/>
      <c r="E1985" s="1"/>
      <c r="F1985" s="1" t="s">
        <v>1244</v>
      </c>
      <c r="G1985" s="1">
        <v>1</v>
      </c>
      <c r="H1985" s="1" t="s">
        <v>19</v>
      </c>
      <c r="I1985" s="1" t="s">
        <v>427</v>
      </c>
      <c r="J1985" s="1">
        <v>404.1</v>
      </c>
      <c r="K1985" s="1">
        <v>404.1</v>
      </c>
      <c r="L1985" s="42">
        <v>4</v>
      </c>
      <c r="M1985" s="43"/>
      <c r="N1985" s="1" t="e">
        <f>VLOOKUP(B1985,MICRO!E:L,8,0)</f>
        <v>#N/A</v>
      </c>
    </row>
    <row r="1986" spans="1:14" ht="20.25" x14ac:dyDescent="0.25">
      <c r="A1986" s="1">
        <v>26</v>
      </c>
      <c r="B1986" s="159"/>
      <c r="C1986" s="1" t="s">
        <v>1245</v>
      </c>
      <c r="D1986" s="1"/>
      <c r="E1986" s="1"/>
      <c r="F1986" s="1" t="s">
        <v>1246</v>
      </c>
      <c r="G1986" s="1">
        <v>1</v>
      </c>
      <c r="H1986" s="1" t="s">
        <v>19</v>
      </c>
      <c r="I1986" s="1" t="s">
        <v>423</v>
      </c>
      <c r="J1986" s="1">
        <v>394.6</v>
      </c>
      <c r="K1986" s="1">
        <v>394.6</v>
      </c>
      <c r="L1986" s="42">
        <v>4</v>
      </c>
      <c r="M1986" s="43"/>
      <c r="N1986" s="1" t="e">
        <f>VLOOKUP(B1986,MICRO!E:L,8,0)</f>
        <v>#N/A</v>
      </c>
    </row>
    <row r="1987" spans="1:14" ht="20.25" x14ac:dyDescent="0.25">
      <c r="A1987" s="1">
        <v>27</v>
      </c>
      <c r="B1987" s="159"/>
      <c r="C1987" s="1" t="s">
        <v>1245</v>
      </c>
      <c r="D1987" s="1"/>
      <c r="E1987" s="1"/>
      <c r="F1987" s="1" t="s">
        <v>1246</v>
      </c>
      <c r="G1987" s="1">
        <v>1</v>
      </c>
      <c r="H1987" s="1" t="s">
        <v>19</v>
      </c>
      <c r="I1987" s="1" t="s">
        <v>424</v>
      </c>
      <c r="J1987" s="1">
        <v>394.6</v>
      </c>
      <c r="K1987" s="1">
        <v>394.6</v>
      </c>
      <c r="L1987" s="42">
        <v>4</v>
      </c>
      <c r="M1987" s="43"/>
      <c r="N1987" s="1" t="e">
        <f>VLOOKUP(B1987,MICRO!E:L,8,0)</f>
        <v>#N/A</v>
      </c>
    </row>
    <row r="1988" spans="1:14" ht="20.25" x14ac:dyDescent="0.25">
      <c r="A1988" s="1">
        <v>28</v>
      </c>
      <c r="B1988" s="159"/>
      <c r="C1988" s="1" t="s">
        <v>1245</v>
      </c>
      <c r="D1988" s="1"/>
      <c r="E1988" s="1"/>
      <c r="F1988" s="1" t="s">
        <v>1246</v>
      </c>
      <c r="G1988" s="1">
        <v>1</v>
      </c>
      <c r="H1988" s="1" t="s">
        <v>19</v>
      </c>
      <c r="I1988" s="1" t="s">
        <v>425</v>
      </c>
      <c r="J1988" s="1">
        <v>394.6</v>
      </c>
      <c r="K1988" s="1">
        <v>394.6</v>
      </c>
      <c r="L1988" s="42">
        <v>4</v>
      </c>
      <c r="M1988" s="43"/>
      <c r="N1988" s="1" t="e">
        <f>VLOOKUP(B1988,MICRO!E:L,8,0)</f>
        <v>#N/A</v>
      </c>
    </row>
    <row r="1989" spans="1:14" ht="20.25" x14ac:dyDescent="0.25">
      <c r="A1989" s="1">
        <v>29</v>
      </c>
      <c r="B1989" s="159"/>
      <c r="C1989" s="1" t="s">
        <v>1245</v>
      </c>
      <c r="D1989" s="1"/>
      <c r="E1989" s="1"/>
      <c r="F1989" s="1" t="s">
        <v>1246</v>
      </c>
      <c r="G1989" s="1">
        <v>1</v>
      </c>
      <c r="H1989" s="1" t="s">
        <v>19</v>
      </c>
      <c r="I1989" s="1" t="s">
        <v>426</v>
      </c>
      <c r="J1989" s="1">
        <v>394.6</v>
      </c>
      <c r="K1989" s="1">
        <v>394.6</v>
      </c>
      <c r="L1989" s="42">
        <v>4</v>
      </c>
      <c r="M1989" s="43"/>
      <c r="N1989" s="1" t="e">
        <f>VLOOKUP(B1989,MICRO!E:L,8,0)</f>
        <v>#N/A</v>
      </c>
    </row>
    <row r="1990" spans="1:14" ht="20.25" x14ac:dyDescent="0.25">
      <c r="A1990" s="1">
        <v>30</v>
      </c>
      <c r="B1990" s="159"/>
      <c r="C1990" s="1" t="s">
        <v>1245</v>
      </c>
      <c r="D1990" s="1"/>
      <c r="E1990" s="1"/>
      <c r="F1990" s="1" t="s">
        <v>1246</v>
      </c>
      <c r="G1990" s="1">
        <v>1</v>
      </c>
      <c r="H1990" s="1" t="s">
        <v>19</v>
      </c>
      <c r="I1990" s="1" t="s">
        <v>427</v>
      </c>
      <c r="J1990" s="1">
        <v>394.6</v>
      </c>
      <c r="K1990" s="1">
        <v>394.6</v>
      </c>
      <c r="L1990" s="42">
        <v>4</v>
      </c>
      <c r="M1990" s="43"/>
      <c r="N1990" s="1" t="e">
        <f>VLOOKUP(B1990,MICRO!E:L,8,0)</f>
        <v>#N/A</v>
      </c>
    </row>
    <row r="1991" spans="1:14" ht="20.25" x14ac:dyDescent="0.25">
      <c r="A1991" s="1">
        <v>31</v>
      </c>
      <c r="B1991" s="159"/>
      <c r="C1991" s="1" t="s">
        <v>1150</v>
      </c>
      <c r="D1991" s="1"/>
      <c r="E1991" s="1" t="s">
        <v>1101</v>
      </c>
      <c r="F1991" s="1" t="s">
        <v>1154</v>
      </c>
      <c r="G1991" s="1">
        <v>2</v>
      </c>
      <c r="H1991" s="1" t="s">
        <v>19</v>
      </c>
      <c r="I1991" s="1" t="s">
        <v>423</v>
      </c>
      <c r="J1991" s="1">
        <v>1</v>
      </c>
      <c r="K1991" s="1">
        <v>2</v>
      </c>
      <c r="L1991" s="42">
        <v>4</v>
      </c>
      <c r="M1991" s="43"/>
      <c r="N1991" s="1" t="e">
        <f>VLOOKUP(B1991,MICRO!E:L,8,0)</f>
        <v>#N/A</v>
      </c>
    </row>
    <row r="1992" spans="1:14" ht="20.25" x14ac:dyDescent="0.25">
      <c r="A1992" s="1">
        <v>32</v>
      </c>
      <c r="B1992" s="159"/>
      <c r="C1992" s="1" t="s">
        <v>1150</v>
      </c>
      <c r="D1992" s="1"/>
      <c r="E1992" s="1" t="s">
        <v>1101</v>
      </c>
      <c r="F1992" s="1" t="s">
        <v>1154</v>
      </c>
      <c r="G1992" s="1">
        <v>2</v>
      </c>
      <c r="H1992" s="1" t="s">
        <v>19</v>
      </c>
      <c r="I1992" s="1" t="s">
        <v>424</v>
      </c>
      <c r="J1992" s="1">
        <v>1</v>
      </c>
      <c r="K1992" s="1">
        <v>2</v>
      </c>
      <c r="L1992" s="42">
        <v>4</v>
      </c>
      <c r="M1992" s="43"/>
      <c r="N1992" s="1" t="e">
        <f>VLOOKUP(B1992,MICRO!E:L,8,0)</f>
        <v>#N/A</v>
      </c>
    </row>
    <row r="1993" spans="1:14" ht="20.25" x14ac:dyDescent="0.25">
      <c r="A1993" s="1">
        <v>33</v>
      </c>
      <c r="B1993" s="159"/>
      <c r="C1993" s="1" t="s">
        <v>1150</v>
      </c>
      <c r="D1993" s="1"/>
      <c r="E1993" s="1" t="s">
        <v>1101</v>
      </c>
      <c r="F1993" s="1" t="s">
        <v>1154</v>
      </c>
      <c r="G1993" s="1">
        <v>2</v>
      </c>
      <c r="H1993" s="1" t="s">
        <v>19</v>
      </c>
      <c r="I1993" s="1" t="s">
        <v>425</v>
      </c>
      <c r="J1993" s="1">
        <v>1</v>
      </c>
      <c r="K1993" s="1">
        <v>2</v>
      </c>
      <c r="L1993" s="42">
        <v>4</v>
      </c>
      <c r="M1993" s="43"/>
      <c r="N1993" s="1" t="e">
        <f>VLOOKUP(B1993,MICRO!E:L,8,0)</f>
        <v>#N/A</v>
      </c>
    </row>
    <row r="1994" spans="1:14" ht="20.25" x14ac:dyDescent="0.25">
      <c r="A1994" s="1">
        <v>34</v>
      </c>
      <c r="B1994" s="159"/>
      <c r="C1994" s="1" t="s">
        <v>1150</v>
      </c>
      <c r="D1994" s="1"/>
      <c r="E1994" s="1" t="s">
        <v>1101</v>
      </c>
      <c r="F1994" s="1" t="s">
        <v>1154</v>
      </c>
      <c r="G1994" s="1">
        <v>2</v>
      </c>
      <c r="H1994" s="1" t="s">
        <v>19</v>
      </c>
      <c r="I1994" s="1" t="s">
        <v>426</v>
      </c>
      <c r="J1994" s="1">
        <v>1</v>
      </c>
      <c r="K1994" s="1">
        <v>2</v>
      </c>
      <c r="L1994" s="42">
        <v>4</v>
      </c>
      <c r="M1994" s="43"/>
      <c r="N1994" s="1" t="e">
        <f>VLOOKUP(B1994,MICRO!E:L,8,0)</f>
        <v>#N/A</v>
      </c>
    </row>
    <row r="1995" spans="1:14" ht="20.25" x14ac:dyDescent="0.25">
      <c r="A1995" s="1">
        <v>35</v>
      </c>
      <c r="B1995" s="159"/>
      <c r="C1995" s="1" t="s">
        <v>1150</v>
      </c>
      <c r="D1995" s="1"/>
      <c r="E1995" s="1" t="s">
        <v>1101</v>
      </c>
      <c r="F1995" s="1" t="s">
        <v>1154</v>
      </c>
      <c r="G1995" s="1">
        <v>2</v>
      </c>
      <c r="H1995" s="1" t="s">
        <v>19</v>
      </c>
      <c r="I1995" s="1" t="s">
        <v>427</v>
      </c>
      <c r="J1995" s="1">
        <v>1</v>
      </c>
      <c r="K1995" s="1">
        <v>2</v>
      </c>
      <c r="L1995" s="42">
        <v>4</v>
      </c>
      <c r="M1995" s="43"/>
      <c r="N1995" s="1" t="e">
        <f>VLOOKUP(B1995,MICRO!E:L,8,0)</f>
        <v>#N/A</v>
      </c>
    </row>
    <row r="1996" spans="1:14" ht="20.25" x14ac:dyDescent="0.25">
      <c r="A1996" s="1">
        <v>36</v>
      </c>
      <c r="B1996" s="159"/>
      <c r="C1996" s="1" t="s">
        <v>1247</v>
      </c>
      <c r="D1996" s="1"/>
      <c r="E1996" s="1"/>
      <c r="F1996" s="1" t="s">
        <v>575</v>
      </c>
      <c r="G1996" s="1">
        <v>1</v>
      </c>
      <c r="H1996" s="1"/>
      <c r="I1996" s="1" t="s">
        <v>423</v>
      </c>
      <c r="J1996" s="1">
        <v>223.4</v>
      </c>
      <c r="K1996" s="1">
        <v>223.4</v>
      </c>
      <c r="L1996" s="42">
        <v>4</v>
      </c>
      <c r="M1996" s="43"/>
      <c r="N1996" s="1" t="e">
        <f>VLOOKUP(B1996,MICRO!E:L,8,0)</f>
        <v>#N/A</v>
      </c>
    </row>
    <row r="1997" spans="1:14" ht="20.25" x14ac:dyDescent="0.25">
      <c r="A1997" s="1">
        <v>37</v>
      </c>
      <c r="B1997" s="159"/>
      <c r="C1997" s="1" t="s">
        <v>1247</v>
      </c>
      <c r="D1997" s="1"/>
      <c r="E1997" s="1"/>
      <c r="F1997" s="1" t="s">
        <v>576</v>
      </c>
      <c r="G1997" s="1">
        <v>1</v>
      </c>
      <c r="H1997" s="1"/>
      <c r="I1997" s="1" t="s">
        <v>424</v>
      </c>
      <c r="J1997" s="1">
        <v>223.4</v>
      </c>
      <c r="K1997" s="1">
        <v>223.4</v>
      </c>
      <c r="L1997" s="42">
        <v>4</v>
      </c>
      <c r="M1997" s="43"/>
      <c r="N1997" s="1" t="e">
        <f>VLOOKUP(B1997,MICRO!E:L,8,0)</f>
        <v>#N/A</v>
      </c>
    </row>
    <row r="1998" spans="1:14" ht="20.25" x14ac:dyDescent="0.25">
      <c r="A1998" s="1">
        <v>38</v>
      </c>
      <c r="B1998" s="159"/>
      <c r="C1998" s="1" t="s">
        <v>1247</v>
      </c>
      <c r="D1998" s="1"/>
      <c r="E1998" s="1"/>
      <c r="F1998" s="1" t="s">
        <v>576</v>
      </c>
      <c r="G1998" s="1">
        <v>1</v>
      </c>
      <c r="H1998" s="1"/>
      <c r="I1998" s="1" t="s">
        <v>425</v>
      </c>
      <c r="J1998" s="1">
        <v>223.4</v>
      </c>
      <c r="K1998" s="1">
        <v>223.4</v>
      </c>
      <c r="L1998" s="42">
        <v>4</v>
      </c>
      <c r="M1998" s="43"/>
      <c r="N1998" s="1" t="e">
        <f>VLOOKUP(B1998,MICRO!E:L,8,0)</f>
        <v>#N/A</v>
      </c>
    </row>
    <row r="1999" spans="1:14" ht="20.25" x14ac:dyDescent="0.25">
      <c r="A1999" s="1">
        <v>39</v>
      </c>
      <c r="B1999" s="159"/>
      <c r="C1999" s="1" t="s">
        <v>1247</v>
      </c>
      <c r="D1999" s="1"/>
      <c r="E1999" s="1"/>
      <c r="F1999" s="1" t="s">
        <v>576</v>
      </c>
      <c r="G1999" s="1">
        <v>1</v>
      </c>
      <c r="H1999" s="1"/>
      <c r="I1999" s="1" t="s">
        <v>426</v>
      </c>
      <c r="J1999" s="1">
        <v>223.4</v>
      </c>
      <c r="K1999" s="1">
        <v>223.4</v>
      </c>
      <c r="L1999" s="42">
        <v>4</v>
      </c>
      <c r="M1999" s="43"/>
      <c r="N1999" s="1" t="e">
        <f>VLOOKUP(B1999,MICRO!E:L,8,0)</f>
        <v>#N/A</v>
      </c>
    </row>
    <row r="2000" spans="1:14" ht="20.25" x14ac:dyDescent="0.25">
      <c r="A2000" s="1">
        <v>40</v>
      </c>
      <c r="B2000" s="159"/>
      <c r="C2000" s="1" t="s">
        <v>1247</v>
      </c>
      <c r="D2000" s="1"/>
      <c r="E2000" s="1"/>
      <c r="F2000" s="1" t="s">
        <v>575</v>
      </c>
      <c r="G2000" s="1">
        <v>1</v>
      </c>
      <c r="H2000" s="1"/>
      <c r="I2000" s="1" t="s">
        <v>427</v>
      </c>
      <c r="J2000" s="1">
        <v>223.4</v>
      </c>
      <c r="K2000" s="1">
        <v>223.4</v>
      </c>
      <c r="L2000" s="42">
        <v>4</v>
      </c>
      <c r="M2000" s="43"/>
      <c r="N2000" s="1" t="e">
        <f>VLOOKUP(B2000,MICRO!E:L,8,0)</f>
        <v>#N/A</v>
      </c>
    </row>
    <row r="2001" spans="1:14" ht="20.25" x14ac:dyDescent="0.25">
      <c r="A2001" s="1">
        <v>41</v>
      </c>
      <c r="B2001" s="159">
        <v>1816</v>
      </c>
      <c r="C2001" s="1" t="s">
        <v>506</v>
      </c>
      <c r="D2001" s="1"/>
      <c r="E2001" s="1" t="s">
        <v>2</v>
      </c>
      <c r="F2001" s="1" t="s">
        <v>1250</v>
      </c>
      <c r="G2001" s="1">
        <v>1</v>
      </c>
      <c r="H2001" s="1" t="s">
        <v>19</v>
      </c>
      <c r="I2001" s="1" t="s">
        <v>426</v>
      </c>
      <c r="J2001" s="1">
        <v>296.39999999999998</v>
      </c>
      <c r="K2001" s="1">
        <v>296.39999999999998</v>
      </c>
      <c r="L2001" s="42">
        <v>4</v>
      </c>
      <c r="M2001" s="43"/>
      <c r="N2001" s="1" t="e">
        <f>VLOOKUP(B2001,MICRO!E:L,8,0)</f>
        <v>#N/A</v>
      </c>
    </row>
    <row r="2002" spans="1:14" ht="20.25" x14ac:dyDescent="0.25">
      <c r="A2002" s="1">
        <v>42</v>
      </c>
      <c r="B2002" s="159">
        <v>1817</v>
      </c>
      <c r="C2002" s="1" t="s">
        <v>506</v>
      </c>
      <c r="D2002" s="1"/>
      <c r="E2002" s="1" t="s">
        <v>43</v>
      </c>
      <c r="F2002" s="1" t="s">
        <v>502</v>
      </c>
      <c r="G2002" s="1">
        <v>1</v>
      </c>
      <c r="H2002" s="1" t="s">
        <v>19</v>
      </c>
      <c r="I2002" s="1" t="s">
        <v>426</v>
      </c>
      <c r="J2002" s="1">
        <v>5.7</v>
      </c>
      <c r="K2002" s="1">
        <v>5.7</v>
      </c>
      <c r="L2002" s="42">
        <v>4</v>
      </c>
      <c r="M2002" s="43"/>
      <c r="N2002" s="1" t="e">
        <f>VLOOKUP(B2002,MICRO!E:L,8,0)</f>
        <v>#N/A</v>
      </c>
    </row>
    <row r="2003" spans="1:14" ht="20.25" x14ac:dyDescent="0.25">
      <c r="A2003" s="1">
        <v>43</v>
      </c>
      <c r="B2003" s="159">
        <v>1818</v>
      </c>
      <c r="C2003" s="1" t="s">
        <v>506</v>
      </c>
      <c r="D2003" s="1"/>
      <c r="E2003" s="1" t="s">
        <v>746</v>
      </c>
      <c r="F2003" s="1" t="s">
        <v>503</v>
      </c>
      <c r="G2003" s="1">
        <v>1</v>
      </c>
      <c r="H2003" s="1" t="s">
        <v>19</v>
      </c>
      <c r="I2003" s="1" t="s">
        <v>426</v>
      </c>
      <c r="J2003" s="1">
        <v>5.7</v>
      </c>
      <c r="K2003" s="1">
        <v>5.7</v>
      </c>
      <c r="L2003" s="42">
        <v>4</v>
      </c>
      <c r="M2003" s="43"/>
      <c r="N2003" s="1" t="e">
        <f>VLOOKUP(B2003,MICRO!E:L,8,0)</f>
        <v>#N/A</v>
      </c>
    </row>
    <row r="2004" spans="1:14" ht="20.25" x14ac:dyDescent="0.25">
      <c r="A2004" s="1">
        <v>44</v>
      </c>
      <c r="B2004" s="159">
        <v>1819</v>
      </c>
      <c r="C2004" s="1" t="s">
        <v>506</v>
      </c>
      <c r="D2004" s="1"/>
      <c r="E2004" s="1" t="s">
        <v>1101</v>
      </c>
      <c r="F2004" s="1" t="s">
        <v>504</v>
      </c>
      <c r="G2004" s="1">
        <v>1</v>
      </c>
      <c r="H2004" s="1" t="s">
        <v>19</v>
      </c>
      <c r="I2004" s="1" t="s">
        <v>426</v>
      </c>
      <c r="J2004" s="1">
        <v>11.6</v>
      </c>
      <c r="K2004" s="1">
        <v>11.6</v>
      </c>
      <c r="L2004" s="42">
        <v>4</v>
      </c>
      <c r="M2004" s="43"/>
      <c r="N2004" s="1" t="e">
        <f>VLOOKUP(B2004,MICRO!E:L,8,0)</f>
        <v>#N/A</v>
      </c>
    </row>
    <row r="2005" spans="1:14" ht="20.25" x14ac:dyDescent="0.25">
      <c r="A2005" s="1">
        <v>45</v>
      </c>
      <c r="B2005" s="159">
        <v>1820</v>
      </c>
      <c r="C2005" s="1" t="s">
        <v>506</v>
      </c>
      <c r="D2005" s="1"/>
      <c r="E2005" s="1" t="s">
        <v>100</v>
      </c>
      <c r="F2005" s="1" t="s">
        <v>505</v>
      </c>
      <c r="G2005" s="1">
        <v>2</v>
      </c>
      <c r="H2005" s="1" t="s">
        <v>19</v>
      </c>
      <c r="I2005" s="1" t="s">
        <v>426</v>
      </c>
      <c r="J2005" s="1">
        <v>0.3</v>
      </c>
      <c r="K2005" s="1">
        <v>0.6</v>
      </c>
      <c r="L2005" s="42">
        <v>4</v>
      </c>
      <c r="M2005" s="43"/>
      <c r="N2005" s="1" t="e">
        <f>VLOOKUP(B2005,MICRO!E:L,8,0)</f>
        <v>#N/A</v>
      </c>
    </row>
    <row r="2006" spans="1:14" ht="20.25" x14ac:dyDescent="0.25">
      <c r="A2006" s="1">
        <v>1</v>
      </c>
      <c r="B2006" s="159"/>
      <c r="C2006" s="1" t="s">
        <v>1150</v>
      </c>
      <c r="D2006" s="1"/>
      <c r="E2006" s="1" t="s">
        <v>2</v>
      </c>
      <c r="F2006" s="1" t="s">
        <v>1151</v>
      </c>
      <c r="G2006" s="1">
        <v>2</v>
      </c>
      <c r="H2006" s="1" t="s">
        <v>19</v>
      </c>
      <c r="I2006" s="1" t="s">
        <v>423</v>
      </c>
      <c r="J2006" s="1">
        <v>11.5</v>
      </c>
      <c r="K2006" s="1">
        <v>23</v>
      </c>
      <c r="L2006" s="42">
        <v>5</v>
      </c>
      <c r="M2006" s="43"/>
      <c r="N2006" s="1" t="e">
        <f>VLOOKUP(B2006,MICRO!E:L,8,0)</f>
        <v>#N/A</v>
      </c>
    </row>
    <row r="2007" spans="1:14" ht="20.25" x14ac:dyDescent="0.25">
      <c r="A2007" s="1">
        <v>2</v>
      </c>
      <c r="B2007" s="159"/>
      <c r="C2007" s="1" t="s">
        <v>1150</v>
      </c>
      <c r="D2007" s="1"/>
      <c r="E2007" s="1" t="s">
        <v>43</v>
      </c>
      <c r="F2007" s="1" t="s">
        <v>1152</v>
      </c>
      <c r="G2007" s="1">
        <v>4</v>
      </c>
      <c r="H2007" s="1" t="s">
        <v>19</v>
      </c>
      <c r="I2007" s="1" t="s">
        <v>423</v>
      </c>
      <c r="J2007" s="1">
        <v>1.5</v>
      </c>
      <c r="K2007" s="1">
        <v>6</v>
      </c>
      <c r="L2007" s="42">
        <v>5</v>
      </c>
      <c r="M2007" s="43"/>
      <c r="N2007" s="1" t="e">
        <f>VLOOKUP(B2007,MICRO!E:L,8,0)</f>
        <v>#N/A</v>
      </c>
    </row>
    <row r="2008" spans="1:14" ht="20.25" x14ac:dyDescent="0.25">
      <c r="A2008" s="1">
        <v>3</v>
      </c>
      <c r="B2008" s="159"/>
      <c r="C2008" s="1" t="s">
        <v>1150</v>
      </c>
      <c r="D2008" s="1"/>
      <c r="E2008" s="1" t="s">
        <v>746</v>
      </c>
      <c r="F2008" s="1" t="s">
        <v>1153</v>
      </c>
      <c r="G2008" s="1">
        <v>2</v>
      </c>
      <c r="H2008" s="1" t="s">
        <v>19</v>
      </c>
      <c r="I2008" s="1" t="s">
        <v>423</v>
      </c>
      <c r="J2008" s="1">
        <v>5</v>
      </c>
      <c r="K2008" s="1">
        <v>10</v>
      </c>
      <c r="L2008" s="42">
        <v>5</v>
      </c>
      <c r="M2008" s="43"/>
      <c r="N2008" s="1" t="e">
        <f>VLOOKUP(B2008,MICRO!E:L,8,0)</f>
        <v>#N/A</v>
      </c>
    </row>
    <row r="2009" spans="1:14" ht="20.25" x14ac:dyDescent="0.25">
      <c r="A2009" s="1">
        <v>4</v>
      </c>
      <c r="B2009" s="159"/>
      <c r="C2009" s="1" t="s">
        <v>1150</v>
      </c>
      <c r="D2009" s="1"/>
      <c r="E2009" s="1" t="s">
        <v>100</v>
      </c>
      <c r="F2009" s="1" t="s">
        <v>1155</v>
      </c>
      <c r="G2009" s="1">
        <v>4</v>
      </c>
      <c r="H2009" s="1" t="s">
        <v>19</v>
      </c>
      <c r="I2009" s="1" t="s">
        <v>423</v>
      </c>
      <c r="J2009" s="1">
        <v>0.3</v>
      </c>
      <c r="K2009" s="1">
        <v>1.2</v>
      </c>
      <c r="L2009" s="42">
        <v>5</v>
      </c>
      <c r="M2009" s="43"/>
      <c r="N2009" s="1" t="e">
        <f>VLOOKUP(B2009,MICRO!E:L,8,0)</f>
        <v>#N/A</v>
      </c>
    </row>
    <row r="2010" spans="1:14" ht="20.25" x14ac:dyDescent="0.25">
      <c r="A2010" s="1">
        <v>5</v>
      </c>
      <c r="B2010" s="159"/>
      <c r="C2010" s="1" t="s">
        <v>1150</v>
      </c>
      <c r="D2010" s="1"/>
      <c r="E2010" s="1" t="s">
        <v>173</v>
      </c>
      <c r="F2010" s="1" t="s">
        <v>1156</v>
      </c>
      <c r="G2010" s="1">
        <v>8</v>
      </c>
      <c r="H2010" s="1" t="s">
        <v>19</v>
      </c>
      <c r="I2010" s="1" t="s">
        <v>423</v>
      </c>
      <c r="J2010" s="1">
        <v>1</v>
      </c>
      <c r="K2010" s="1">
        <v>8</v>
      </c>
      <c r="L2010" s="42">
        <v>5</v>
      </c>
      <c r="M2010" s="43"/>
      <c r="N2010" s="1" t="e">
        <f>VLOOKUP(B2010,MICRO!E:L,8,0)</f>
        <v>#N/A</v>
      </c>
    </row>
    <row r="2011" spans="1:14" ht="20.25" x14ac:dyDescent="0.25">
      <c r="A2011" s="1">
        <v>6</v>
      </c>
      <c r="B2011" s="159"/>
      <c r="C2011" s="1" t="s">
        <v>1150</v>
      </c>
      <c r="D2011" s="1"/>
      <c r="E2011" s="1" t="s">
        <v>461</v>
      </c>
      <c r="F2011" s="1" t="s">
        <v>1157</v>
      </c>
      <c r="G2011" s="1">
        <v>2</v>
      </c>
      <c r="H2011" s="1" t="s">
        <v>19</v>
      </c>
      <c r="I2011" s="1" t="s">
        <v>423</v>
      </c>
      <c r="J2011" s="1">
        <v>0.6</v>
      </c>
      <c r="K2011" s="1">
        <v>1.2</v>
      </c>
      <c r="L2011" s="42">
        <v>5</v>
      </c>
      <c r="M2011" s="43"/>
      <c r="N2011" s="1" t="e">
        <f>VLOOKUP(B2011,MICRO!E:L,8,0)</f>
        <v>#N/A</v>
      </c>
    </row>
    <row r="2012" spans="1:14" ht="20.25" x14ac:dyDescent="0.25">
      <c r="A2012" s="1">
        <v>7</v>
      </c>
      <c r="B2012" s="159"/>
      <c r="C2012" s="1" t="s">
        <v>1150</v>
      </c>
      <c r="D2012" s="1"/>
      <c r="E2012" s="1" t="s">
        <v>2</v>
      </c>
      <c r="F2012" s="1" t="s">
        <v>1151</v>
      </c>
      <c r="G2012" s="1">
        <v>2</v>
      </c>
      <c r="H2012" s="1" t="s">
        <v>19</v>
      </c>
      <c r="I2012" s="1" t="s">
        <v>424</v>
      </c>
      <c r="J2012" s="1">
        <v>11.5</v>
      </c>
      <c r="K2012" s="1">
        <v>23</v>
      </c>
      <c r="L2012" s="42">
        <v>5</v>
      </c>
      <c r="M2012" s="43"/>
      <c r="N2012" s="1" t="e">
        <f>VLOOKUP(B2012,MICRO!E:L,8,0)</f>
        <v>#N/A</v>
      </c>
    </row>
    <row r="2013" spans="1:14" ht="20.25" x14ac:dyDescent="0.25">
      <c r="A2013" s="1">
        <v>8</v>
      </c>
      <c r="B2013" s="159"/>
      <c r="C2013" s="1" t="s">
        <v>1150</v>
      </c>
      <c r="D2013" s="1"/>
      <c r="E2013" s="1" t="s">
        <v>43</v>
      </c>
      <c r="F2013" s="1" t="s">
        <v>1152</v>
      </c>
      <c r="G2013" s="1">
        <v>4</v>
      </c>
      <c r="H2013" s="1" t="s">
        <v>19</v>
      </c>
      <c r="I2013" s="1" t="s">
        <v>424</v>
      </c>
      <c r="J2013" s="1">
        <v>1.5</v>
      </c>
      <c r="K2013" s="1">
        <v>6</v>
      </c>
      <c r="L2013" s="42">
        <v>5</v>
      </c>
      <c r="M2013" s="43"/>
      <c r="N2013" s="1" t="e">
        <f>VLOOKUP(B2013,MICRO!E:L,8,0)</f>
        <v>#N/A</v>
      </c>
    </row>
    <row r="2014" spans="1:14" ht="20.25" x14ac:dyDescent="0.25">
      <c r="A2014" s="1">
        <v>9</v>
      </c>
      <c r="B2014" s="159"/>
      <c r="C2014" s="1" t="s">
        <v>1150</v>
      </c>
      <c r="D2014" s="1"/>
      <c r="E2014" s="1" t="s">
        <v>746</v>
      </c>
      <c r="F2014" s="1" t="s">
        <v>1153</v>
      </c>
      <c r="G2014" s="1">
        <v>2</v>
      </c>
      <c r="H2014" s="1" t="s">
        <v>19</v>
      </c>
      <c r="I2014" s="1" t="s">
        <v>424</v>
      </c>
      <c r="J2014" s="1">
        <v>5</v>
      </c>
      <c r="K2014" s="1">
        <v>10</v>
      </c>
      <c r="L2014" s="42">
        <v>5</v>
      </c>
      <c r="M2014" s="43"/>
      <c r="N2014" s="1" t="e">
        <f>VLOOKUP(B2014,MICRO!E:L,8,0)</f>
        <v>#N/A</v>
      </c>
    </row>
    <row r="2015" spans="1:14" ht="20.25" x14ac:dyDescent="0.25">
      <c r="A2015" s="1">
        <v>10</v>
      </c>
      <c r="B2015" s="159"/>
      <c r="C2015" s="1" t="s">
        <v>1150</v>
      </c>
      <c r="D2015" s="1"/>
      <c r="E2015" s="1" t="s">
        <v>100</v>
      </c>
      <c r="F2015" s="1" t="s">
        <v>1155</v>
      </c>
      <c r="G2015" s="1">
        <v>4</v>
      </c>
      <c r="H2015" s="1" t="s">
        <v>19</v>
      </c>
      <c r="I2015" s="1" t="s">
        <v>424</v>
      </c>
      <c r="J2015" s="1">
        <v>0.3</v>
      </c>
      <c r="K2015" s="1">
        <v>1.2</v>
      </c>
      <c r="L2015" s="42">
        <v>5</v>
      </c>
      <c r="M2015" s="43"/>
      <c r="N2015" s="1" t="e">
        <f>VLOOKUP(B2015,MICRO!E:L,8,0)</f>
        <v>#N/A</v>
      </c>
    </row>
    <row r="2016" spans="1:14" ht="20.25" x14ac:dyDescent="0.25">
      <c r="A2016" s="1">
        <v>11</v>
      </c>
      <c r="B2016" s="159"/>
      <c r="C2016" s="1" t="s">
        <v>1150</v>
      </c>
      <c r="D2016" s="1"/>
      <c r="E2016" s="1" t="s">
        <v>173</v>
      </c>
      <c r="F2016" s="1" t="s">
        <v>1156</v>
      </c>
      <c r="G2016" s="1">
        <v>8</v>
      </c>
      <c r="H2016" s="1" t="s">
        <v>19</v>
      </c>
      <c r="I2016" s="1" t="s">
        <v>424</v>
      </c>
      <c r="J2016" s="1">
        <v>1</v>
      </c>
      <c r="K2016" s="1">
        <v>8</v>
      </c>
      <c r="L2016" s="42">
        <v>5</v>
      </c>
      <c r="M2016" s="43"/>
      <c r="N2016" s="1" t="e">
        <f>VLOOKUP(B2016,MICRO!E:L,8,0)</f>
        <v>#N/A</v>
      </c>
    </row>
    <row r="2017" spans="1:14" ht="20.25" x14ac:dyDescent="0.25">
      <c r="A2017" s="1">
        <v>12</v>
      </c>
      <c r="B2017" s="159"/>
      <c r="C2017" s="1" t="s">
        <v>1150</v>
      </c>
      <c r="D2017" s="1"/>
      <c r="E2017" s="1" t="s">
        <v>461</v>
      </c>
      <c r="F2017" s="1" t="s">
        <v>1157</v>
      </c>
      <c r="G2017" s="1">
        <v>2</v>
      </c>
      <c r="H2017" s="1" t="s">
        <v>19</v>
      </c>
      <c r="I2017" s="1" t="s">
        <v>424</v>
      </c>
      <c r="J2017" s="1">
        <v>0.6</v>
      </c>
      <c r="K2017" s="1">
        <v>1.2</v>
      </c>
      <c r="L2017" s="42">
        <v>5</v>
      </c>
      <c r="M2017" s="43"/>
      <c r="N2017" s="1" t="e">
        <f>VLOOKUP(B2017,MICRO!E:L,8,0)</f>
        <v>#N/A</v>
      </c>
    </row>
    <row r="2018" spans="1:14" ht="20.25" x14ac:dyDescent="0.25">
      <c r="A2018" s="1">
        <v>13</v>
      </c>
      <c r="B2018" s="159"/>
      <c r="C2018" s="1" t="s">
        <v>1150</v>
      </c>
      <c r="D2018" s="1"/>
      <c r="E2018" s="1" t="s">
        <v>2</v>
      </c>
      <c r="F2018" s="1" t="s">
        <v>1151</v>
      </c>
      <c r="G2018" s="1">
        <v>2</v>
      </c>
      <c r="H2018" s="1" t="s">
        <v>19</v>
      </c>
      <c r="I2018" s="1" t="s">
        <v>425</v>
      </c>
      <c r="J2018" s="1">
        <v>11.5</v>
      </c>
      <c r="K2018" s="1">
        <v>23</v>
      </c>
      <c r="L2018" s="42">
        <v>5</v>
      </c>
      <c r="M2018" s="43"/>
      <c r="N2018" s="1" t="e">
        <f>VLOOKUP(B2018,MICRO!E:L,8,0)</f>
        <v>#N/A</v>
      </c>
    </row>
    <row r="2019" spans="1:14" ht="20.25" x14ac:dyDescent="0.25">
      <c r="A2019" s="1">
        <v>14</v>
      </c>
      <c r="B2019" s="159"/>
      <c r="C2019" s="1" t="s">
        <v>1150</v>
      </c>
      <c r="D2019" s="1"/>
      <c r="E2019" s="1" t="s">
        <v>43</v>
      </c>
      <c r="F2019" s="1" t="s">
        <v>1152</v>
      </c>
      <c r="G2019" s="1">
        <v>4</v>
      </c>
      <c r="H2019" s="1" t="s">
        <v>19</v>
      </c>
      <c r="I2019" s="1" t="s">
        <v>425</v>
      </c>
      <c r="J2019" s="1">
        <v>1.5</v>
      </c>
      <c r="K2019" s="1">
        <v>6</v>
      </c>
      <c r="L2019" s="42">
        <v>5</v>
      </c>
      <c r="M2019" s="43"/>
      <c r="N2019" s="1" t="e">
        <f>VLOOKUP(B2019,MICRO!E:L,8,0)</f>
        <v>#N/A</v>
      </c>
    </row>
    <row r="2020" spans="1:14" ht="20.25" x14ac:dyDescent="0.25">
      <c r="A2020" s="1">
        <v>15</v>
      </c>
      <c r="B2020" s="159"/>
      <c r="C2020" s="1" t="s">
        <v>1150</v>
      </c>
      <c r="D2020" s="1"/>
      <c r="E2020" s="1" t="s">
        <v>746</v>
      </c>
      <c r="F2020" s="1" t="s">
        <v>1153</v>
      </c>
      <c r="G2020" s="1">
        <v>2</v>
      </c>
      <c r="H2020" s="1" t="s">
        <v>19</v>
      </c>
      <c r="I2020" s="1" t="s">
        <v>425</v>
      </c>
      <c r="J2020" s="1">
        <v>5</v>
      </c>
      <c r="K2020" s="1">
        <v>10</v>
      </c>
      <c r="L2020" s="42">
        <v>5</v>
      </c>
      <c r="M2020" s="43"/>
      <c r="N2020" s="1" t="e">
        <f>VLOOKUP(B2020,MICRO!E:L,8,0)</f>
        <v>#N/A</v>
      </c>
    </row>
    <row r="2021" spans="1:14" ht="20.25" x14ac:dyDescent="0.25">
      <c r="A2021" s="1">
        <v>16</v>
      </c>
      <c r="B2021" s="159"/>
      <c r="C2021" s="1" t="s">
        <v>1150</v>
      </c>
      <c r="D2021" s="1"/>
      <c r="E2021" s="1" t="s">
        <v>100</v>
      </c>
      <c r="F2021" s="1" t="s">
        <v>1155</v>
      </c>
      <c r="G2021" s="1">
        <v>4</v>
      </c>
      <c r="H2021" s="1" t="s">
        <v>19</v>
      </c>
      <c r="I2021" s="1" t="s">
        <v>425</v>
      </c>
      <c r="J2021" s="1">
        <v>0.3</v>
      </c>
      <c r="K2021" s="1">
        <v>1.2</v>
      </c>
      <c r="L2021" s="42">
        <v>5</v>
      </c>
      <c r="M2021" s="43"/>
      <c r="N2021" s="1" t="e">
        <f>VLOOKUP(B2021,MICRO!E:L,8,0)</f>
        <v>#N/A</v>
      </c>
    </row>
    <row r="2022" spans="1:14" ht="20.25" x14ac:dyDescent="0.25">
      <c r="A2022" s="1">
        <v>17</v>
      </c>
      <c r="B2022" s="159"/>
      <c r="C2022" s="1" t="s">
        <v>1150</v>
      </c>
      <c r="D2022" s="1"/>
      <c r="E2022" s="1" t="s">
        <v>173</v>
      </c>
      <c r="F2022" s="1" t="s">
        <v>1156</v>
      </c>
      <c r="G2022" s="1">
        <v>8</v>
      </c>
      <c r="H2022" s="1" t="s">
        <v>19</v>
      </c>
      <c r="I2022" s="1" t="s">
        <v>425</v>
      </c>
      <c r="J2022" s="1">
        <v>1</v>
      </c>
      <c r="K2022" s="1">
        <v>8</v>
      </c>
      <c r="L2022" s="42">
        <v>5</v>
      </c>
      <c r="M2022" s="43"/>
      <c r="N2022" s="1" t="e">
        <f>VLOOKUP(B2022,MICRO!E:L,8,0)</f>
        <v>#N/A</v>
      </c>
    </row>
    <row r="2023" spans="1:14" ht="20.25" x14ac:dyDescent="0.25">
      <c r="A2023" s="1">
        <v>18</v>
      </c>
      <c r="B2023" s="159"/>
      <c r="C2023" s="1" t="s">
        <v>1150</v>
      </c>
      <c r="D2023" s="1"/>
      <c r="E2023" s="1" t="s">
        <v>461</v>
      </c>
      <c r="F2023" s="1" t="s">
        <v>1157</v>
      </c>
      <c r="G2023" s="1">
        <v>2</v>
      </c>
      <c r="H2023" s="1" t="s">
        <v>19</v>
      </c>
      <c r="I2023" s="1" t="s">
        <v>425</v>
      </c>
      <c r="J2023" s="1">
        <v>0.6</v>
      </c>
      <c r="K2023" s="1">
        <v>1.2</v>
      </c>
      <c r="L2023" s="42">
        <v>5</v>
      </c>
      <c r="M2023" s="43"/>
      <c r="N2023" s="1" t="e">
        <f>VLOOKUP(B2023,MICRO!E:L,8,0)</f>
        <v>#N/A</v>
      </c>
    </row>
    <row r="2024" spans="1:14" ht="20.25" x14ac:dyDescent="0.25">
      <c r="A2024" s="1">
        <v>19</v>
      </c>
      <c r="B2024" s="159"/>
      <c r="C2024" s="1" t="s">
        <v>1150</v>
      </c>
      <c r="D2024" s="1"/>
      <c r="E2024" s="1" t="s">
        <v>2</v>
      </c>
      <c r="F2024" s="1" t="s">
        <v>1151</v>
      </c>
      <c r="G2024" s="1">
        <v>2</v>
      </c>
      <c r="H2024" s="1" t="s">
        <v>19</v>
      </c>
      <c r="I2024" s="1" t="s">
        <v>426</v>
      </c>
      <c r="J2024" s="1">
        <v>11.5</v>
      </c>
      <c r="K2024" s="1">
        <v>23</v>
      </c>
      <c r="L2024" s="42">
        <v>5</v>
      </c>
      <c r="M2024" s="43"/>
      <c r="N2024" s="1" t="e">
        <f>VLOOKUP(B2024,MICRO!E:L,8,0)</f>
        <v>#N/A</v>
      </c>
    </row>
    <row r="2025" spans="1:14" ht="20.25" x14ac:dyDescent="0.25">
      <c r="A2025" s="1">
        <v>20</v>
      </c>
      <c r="B2025" s="159"/>
      <c r="C2025" s="1" t="s">
        <v>1150</v>
      </c>
      <c r="D2025" s="1"/>
      <c r="E2025" s="1" t="s">
        <v>43</v>
      </c>
      <c r="F2025" s="1" t="s">
        <v>1152</v>
      </c>
      <c r="G2025" s="1">
        <v>4</v>
      </c>
      <c r="H2025" s="1" t="s">
        <v>19</v>
      </c>
      <c r="I2025" s="1" t="s">
        <v>426</v>
      </c>
      <c r="J2025" s="1">
        <v>1.5</v>
      </c>
      <c r="K2025" s="1">
        <v>6</v>
      </c>
      <c r="L2025" s="42">
        <v>5</v>
      </c>
      <c r="M2025" s="43"/>
      <c r="N2025" s="1" t="e">
        <f>VLOOKUP(B2025,MICRO!E:L,8,0)</f>
        <v>#N/A</v>
      </c>
    </row>
    <row r="2026" spans="1:14" ht="20.25" x14ac:dyDescent="0.25">
      <c r="A2026" s="1">
        <v>21</v>
      </c>
      <c r="B2026" s="159"/>
      <c r="C2026" s="1" t="s">
        <v>1150</v>
      </c>
      <c r="D2026" s="1"/>
      <c r="E2026" s="1" t="s">
        <v>746</v>
      </c>
      <c r="F2026" s="1" t="s">
        <v>1153</v>
      </c>
      <c r="G2026" s="1">
        <v>2</v>
      </c>
      <c r="H2026" s="1" t="s">
        <v>19</v>
      </c>
      <c r="I2026" s="1" t="s">
        <v>426</v>
      </c>
      <c r="J2026" s="1">
        <v>5</v>
      </c>
      <c r="K2026" s="1">
        <v>10</v>
      </c>
      <c r="L2026" s="42">
        <v>5</v>
      </c>
      <c r="M2026" s="43"/>
      <c r="N2026" s="1" t="e">
        <f>VLOOKUP(B2026,MICRO!E:L,8,0)</f>
        <v>#N/A</v>
      </c>
    </row>
    <row r="2027" spans="1:14" ht="20.25" x14ac:dyDescent="0.25">
      <c r="A2027" s="1">
        <v>22</v>
      </c>
      <c r="B2027" s="159"/>
      <c r="C2027" s="1" t="s">
        <v>1150</v>
      </c>
      <c r="D2027" s="1"/>
      <c r="E2027" s="1" t="s">
        <v>100</v>
      </c>
      <c r="F2027" s="1" t="s">
        <v>1155</v>
      </c>
      <c r="G2027" s="1">
        <v>4</v>
      </c>
      <c r="H2027" s="1" t="s">
        <v>19</v>
      </c>
      <c r="I2027" s="1" t="s">
        <v>426</v>
      </c>
      <c r="J2027" s="1">
        <v>0.3</v>
      </c>
      <c r="K2027" s="1">
        <v>1.2</v>
      </c>
      <c r="L2027" s="42">
        <v>5</v>
      </c>
      <c r="M2027" s="43"/>
      <c r="N2027" s="1" t="e">
        <f>VLOOKUP(B2027,MICRO!E:L,8,0)</f>
        <v>#N/A</v>
      </c>
    </row>
    <row r="2028" spans="1:14" ht="20.25" x14ac:dyDescent="0.25">
      <c r="A2028" s="1">
        <v>23</v>
      </c>
      <c r="B2028" s="159"/>
      <c r="C2028" s="1" t="s">
        <v>1150</v>
      </c>
      <c r="D2028" s="1"/>
      <c r="E2028" s="1" t="s">
        <v>173</v>
      </c>
      <c r="F2028" s="1" t="s">
        <v>1156</v>
      </c>
      <c r="G2028" s="1">
        <v>8</v>
      </c>
      <c r="H2028" s="1" t="s">
        <v>19</v>
      </c>
      <c r="I2028" s="1" t="s">
        <v>426</v>
      </c>
      <c r="J2028" s="1">
        <v>1</v>
      </c>
      <c r="K2028" s="1">
        <v>8</v>
      </c>
      <c r="L2028" s="42">
        <v>5</v>
      </c>
      <c r="M2028" s="43"/>
      <c r="N2028" s="1" t="e">
        <f>VLOOKUP(B2028,MICRO!E:L,8,0)</f>
        <v>#N/A</v>
      </c>
    </row>
    <row r="2029" spans="1:14" ht="20.25" x14ac:dyDescent="0.25">
      <c r="A2029" s="1">
        <v>24</v>
      </c>
      <c r="B2029" s="159"/>
      <c r="C2029" s="1" t="s">
        <v>1150</v>
      </c>
      <c r="D2029" s="1"/>
      <c r="E2029" s="1" t="s">
        <v>461</v>
      </c>
      <c r="F2029" s="1" t="s">
        <v>1157</v>
      </c>
      <c r="G2029" s="1">
        <v>2</v>
      </c>
      <c r="H2029" s="1" t="s">
        <v>19</v>
      </c>
      <c r="I2029" s="1" t="s">
        <v>426</v>
      </c>
      <c r="J2029" s="1">
        <v>0.6</v>
      </c>
      <c r="K2029" s="1">
        <v>1.2</v>
      </c>
      <c r="L2029" s="42">
        <v>5</v>
      </c>
      <c r="M2029" s="43"/>
      <c r="N2029" s="1" t="e">
        <f>VLOOKUP(B2029,MICRO!E:L,8,0)</f>
        <v>#N/A</v>
      </c>
    </row>
    <row r="2030" spans="1:14" ht="20.25" x14ac:dyDescent="0.25">
      <c r="A2030" s="1">
        <v>25</v>
      </c>
      <c r="B2030" s="159"/>
      <c r="C2030" s="1" t="s">
        <v>1150</v>
      </c>
      <c r="D2030" s="1"/>
      <c r="E2030" s="1" t="s">
        <v>2</v>
      </c>
      <c r="F2030" s="1" t="s">
        <v>1151</v>
      </c>
      <c r="G2030" s="1">
        <v>2</v>
      </c>
      <c r="H2030" s="1" t="s">
        <v>19</v>
      </c>
      <c r="I2030" s="1" t="s">
        <v>427</v>
      </c>
      <c r="J2030" s="1">
        <v>11.5</v>
      </c>
      <c r="K2030" s="1">
        <v>23</v>
      </c>
      <c r="L2030" s="42">
        <v>5</v>
      </c>
      <c r="M2030" s="43"/>
      <c r="N2030" s="1" t="e">
        <f>VLOOKUP(B2030,MICRO!E:L,8,0)</f>
        <v>#N/A</v>
      </c>
    </row>
    <row r="2031" spans="1:14" ht="20.25" x14ac:dyDescent="0.25">
      <c r="A2031" s="1">
        <v>26</v>
      </c>
      <c r="B2031" s="159"/>
      <c r="C2031" s="1" t="s">
        <v>1150</v>
      </c>
      <c r="D2031" s="1"/>
      <c r="E2031" s="1" t="s">
        <v>43</v>
      </c>
      <c r="F2031" s="1" t="s">
        <v>1152</v>
      </c>
      <c r="G2031" s="1">
        <v>4</v>
      </c>
      <c r="H2031" s="1" t="s">
        <v>19</v>
      </c>
      <c r="I2031" s="1" t="s">
        <v>427</v>
      </c>
      <c r="J2031" s="1">
        <v>1.5</v>
      </c>
      <c r="K2031" s="1">
        <v>6</v>
      </c>
      <c r="L2031" s="42">
        <v>5</v>
      </c>
      <c r="M2031" s="43"/>
      <c r="N2031" s="1" t="e">
        <f>VLOOKUP(B2031,MICRO!E:L,8,0)</f>
        <v>#N/A</v>
      </c>
    </row>
    <row r="2032" spans="1:14" ht="20.25" x14ac:dyDescent="0.25">
      <c r="A2032" s="1">
        <v>27</v>
      </c>
      <c r="B2032" s="159"/>
      <c r="C2032" s="1" t="s">
        <v>1150</v>
      </c>
      <c r="D2032" s="1"/>
      <c r="E2032" s="1" t="s">
        <v>746</v>
      </c>
      <c r="F2032" s="1" t="s">
        <v>1153</v>
      </c>
      <c r="G2032" s="1">
        <v>2</v>
      </c>
      <c r="H2032" s="1" t="s">
        <v>19</v>
      </c>
      <c r="I2032" s="1" t="s">
        <v>427</v>
      </c>
      <c r="J2032" s="1">
        <v>5</v>
      </c>
      <c r="K2032" s="1">
        <v>10</v>
      </c>
      <c r="L2032" s="42">
        <v>5</v>
      </c>
      <c r="M2032" s="43"/>
      <c r="N2032" s="1" t="e">
        <f>VLOOKUP(B2032,MICRO!E:L,8,0)</f>
        <v>#N/A</v>
      </c>
    </row>
    <row r="2033" spans="1:14" ht="20.25" x14ac:dyDescent="0.25">
      <c r="A2033" s="1">
        <v>28</v>
      </c>
      <c r="B2033" s="159"/>
      <c r="C2033" s="1" t="s">
        <v>1150</v>
      </c>
      <c r="D2033" s="1"/>
      <c r="E2033" s="1" t="s">
        <v>100</v>
      </c>
      <c r="F2033" s="1" t="s">
        <v>1155</v>
      </c>
      <c r="G2033" s="1">
        <v>4</v>
      </c>
      <c r="H2033" s="1" t="s">
        <v>19</v>
      </c>
      <c r="I2033" s="1" t="s">
        <v>427</v>
      </c>
      <c r="J2033" s="1">
        <v>0.3</v>
      </c>
      <c r="K2033" s="1">
        <v>1.2</v>
      </c>
      <c r="L2033" s="42">
        <v>5</v>
      </c>
      <c r="M2033" s="43"/>
      <c r="N2033" s="1" t="e">
        <f>VLOOKUP(B2033,MICRO!E:L,8,0)</f>
        <v>#N/A</v>
      </c>
    </row>
    <row r="2034" spans="1:14" ht="20.25" x14ac:dyDescent="0.25">
      <c r="A2034" s="1">
        <v>29</v>
      </c>
      <c r="B2034" s="159"/>
      <c r="C2034" s="1" t="s">
        <v>1150</v>
      </c>
      <c r="D2034" s="1"/>
      <c r="E2034" s="1" t="s">
        <v>173</v>
      </c>
      <c r="F2034" s="1" t="s">
        <v>1156</v>
      </c>
      <c r="G2034" s="1">
        <v>8</v>
      </c>
      <c r="H2034" s="1" t="s">
        <v>19</v>
      </c>
      <c r="I2034" s="1" t="s">
        <v>427</v>
      </c>
      <c r="J2034" s="1">
        <v>1</v>
      </c>
      <c r="K2034" s="1">
        <v>8</v>
      </c>
      <c r="L2034" s="42">
        <v>5</v>
      </c>
      <c r="M2034" s="43"/>
      <c r="N2034" s="1" t="e">
        <f>VLOOKUP(B2034,MICRO!E:L,8,0)</f>
        <v>#N/A</v>
      </c>
    </row>
    <row r="2035" spans="1:14" ht="20.25" x14ac:dyDescent="0.25">
      <c r="A2035" s="1">
        <v>30</v>
      </c>
      <c r="B2035" s="159"/>
      <c r="C2035" s="1" t="s">
        <v>1150</v>
      </c>
      <c r="D2035" s="1"/>
      <c r="E2035" s="1" t="s">
        <v>461</v>
      </c>
      <c r="F2035" s="1" t="s">
        <v>1157</v>
      </c>
      <c r="G2035" s="1">
        <v>2</v>
      </c>
      <c r="H2035" s="1" t="s">
        <v>19</v>
      </c>
      <c r="I2035" s="1" t="s">
        <v>427</v>
      </c>
      <c r="J2035" s="1">
        <v>0.6</v>
      </c>
      <c r="K2035" s="1">
        <v>1.2</v>
      </c>
      <c r="L2035" s="42">
        <v>5</v>
      </c>
      <c r="M2035" s="43"/>
      <c r="N2035" s="1" t="e">
        <f>VLOOKUP(B2035,MICRO!E:L,8,0)</f>
        <v>#N/A</v>
      </c>
    </row>
    <row r="2036" spans="1:14" ht="20.25" x14ac:dyDescent="0.25">
      <c r="A2036" s="1">
        <v>31</v>
      </c>
      <c r="B2036" s="159">
        <v>1964</v>
      </c>
      <c r="C2036" s="1" t="s">
        <v>590</v>
      </c>
      <c r="D2036" s="1"/>
      <c r="E2036" s="1" t="s">
        <v>173</v>
      </c>
      <c r="F2036" s="1" t="s">
        <v>595</v>
      </c>
      <c r="G2036" s="1">
        <v>2</v>
      </c>
      <c r="H2036" s="1" t="s">
        <v>19</v>
      </c>
      <c r="I2036" s="1" t="s">
        <v>427</v>
      </c>
      <c r="J2036" s="1">
        <v>7.4</v>
      </c>
      <c r="K2036" s="1">
        <v>14.8</v>
      </c>
      <c r="L2036" s="42">
        <v>5</v>
      </c>
      <c r="M2036" s="43"/>
      <c r="N2036" s="1" t="e">
        <f>VLOOKUP(B2036,MICRO!E:L,8,0)</f>
        <v>#N/A</v>
      </c>
    </row>
    <row r="2037" spans="1:14" ht="20.25" x14ac:dyDescent="0.25">
      <c r="A2037" s="1">
        <v>32</v>
      </c>
      <c r="B2037" s="159" t="s">
        <v>692</v>
      </c>
      <c r="C2037" s="1" t="s">
        <v>596</v>
      </c>
      <c r="D2037" s="1"/>
      <c r="E2037" s="1" t="s">
        <v>173</v>
      </c>
      <c r="F2037" s="1" t="s">
        <v>603</v>
      </c>
      <c r="G2037" s="1">
        <v>2</v>
      </c>
      <c r="H2037" s="1" t="s">
        <v>19</v>
      </c>
      <c r="I2037" s="1" t="s">
        <v>426</v>
      </c>
      <c r="J2037" s="1">
        <v>6.4</v>
      </c>
      <c r="K2037" s="1">
        <v>12.8</v>
      </c>
      <c r="L2037" s="42">
        <v>5</v>
      </c>
      <c r="M2037" s="43"/>
      <c r="N2037" s="1" t="e">
        <f>VLOOKUP(B2037,MICRO!E:L,8,0)</f>
        <v>#N/A</v>
      </c>
    </row>
    <row r="2038" spans="1:14" ht="20.25" x14ac:dyDescent="0.25">
      <c r="A2038" s="1">
        <v>33</v>
      </c>
      <c r="B2038" s="159">
        <v>1976</v>
      </c>
      <c r="C2038" s="1" t="s">
        <v>604</v>
      </c>
      <c r="D2038" s="1"/>
      <c r="E2038" s="1" t="s">
        <v>173</v>
      </c>
      <c r="F2038" s="1" t="s">
        <v>610</v>
      </c>
      <c r="G2038" s="1">
        <v>2</v>
      </c>
      <c r="H2038" s="1" t="s">
        <v>19</v>
      </c>
      <c r="I2038" s="1" t="s">
        <v>424</v>
      </c>
      <c r="J2038" s="1">
        <v>6.4</v>
      </c>
      <c r="K2038" s="1">
        <v>12.8</v>
      </c>
      <c r="L2038" s="42">
        <v>5</v>
      </c>
      <c r="M2038" s="43"/>
      <c r="N2038" s="1" t="e">
        <f>VLOOKUP(B2038,MICRO!E:L,8,0)</f>
        <v>#N/A</v>
      </c>
    </row>
    <row r="2039" spans="1:14" ht="20.25" x14ac:dyDescent="0.25">
      <c r="A2039" s="1">
        <v>34</v>
      </c>
      <c r="B2039" s="159">
        <v>1982</v>
      </c>
      <c r="C2039" s="1" t="s">
        <v>604</v>
      </c>
      <c r="D2039" s="1"/>
      <c r="E2039" s="1" t="s">
        <v>173</v>
      </c>
      <c r="F2039" s="1" t="s">
        <v>610</v>
      </c>
      <c r="G2039" s="1">
        <v>2</v>
      </c>
      <c r="H2039" s="1" t="s">
        <v>19</v>
      </c>
      <c r="I2039" s="1" t="s">
        <v>425</v>
      </c>
      <c r="J2039" s="1">
        <v>6.4</v>
      </c>
      <c r="K2039" s="1">
        <v>12.8</v>
      </c>
      <c r="L2039" s="42">
        <v>5</v>
      </c>
      <c r="M2039" s="43"/>
      <c r="N2039" s="1" t="e">
        <f>VLOOKUP(B2039,MICRO!E:L,8,0)</f>
        <v>#N/A</v>
      </c>
    </row>
    <row r="2040" spans="1:14" ht="20.25" x14ac:dyDescent="0.25">
      <c r="A2040" s="1">
        <v>35</v>
      </c>
      <c r="B2040" s="159">
        <v>1988</v>
      </c>
      <c r="C2040" s="1" t="s">
        <v>611</v>
      </c>
      <c r="D2040" s="1"/>
      <c r="E2040" s="1" t="s">
        <v>173</v>
      </c>
      <c r="F2040" s="1" t="s">
        <v>617</v>
      </c>
      <c r="G2040" s="1">
        <v>2</v>
      </c>
      <c r="H2040" s="1" t="s">
        <v>19</v>
      </c>
      <c r="I2040" s="1" t="s">
        <v>423</v>
      </c>
      <c r="J2040" s="1">
        <v>6.4</v>
      </c>
      <c r="K2040" s="1">
        <v>12.8</v>
      </c>
      <c r="L2040" s="42">
        <v>5</v>
      </c>
      <c r="M2040" s="43"/>
      <c r="N2040" s="1" t="e">
        <f>VLOOKUP(B2040,MICRO!E:L,8,0)</f>
        <v>#N/A</v>
      </c>
    </row>
    <row r="2041" spans="1:14" ht="20.25" x14ac:dyDescent="0.25">
      <c r="A2041" s="1">
        <v>36</v>
      </c>
      <c r="B2041" s="159"/>
      <c r="C2041" s="1" t="s">
        <v>1402</v>
      </c>
      <c r="D2041" s="1"/>
      <c r="E2041" s="1"/>
      <c r="F2041" s="1" t="s">
        <v>1403</v>
      </c>
      <c r="G2041" s="1">
        <v>16</v>
      </c>
      <c r="H2041" s="1" t="s">
        <v>19</v>
      </c>
      <c r="I2041" s="1" t="s">
        <v>1404</v>
      </c>
      <c r="J2041" s="1">
        <v>0.02</v>
      </c>
      <c r="K2041" s="1">
        <v>0.32</v>
      </c>
      <c r="L2041" s="42">
        <v>5</v>
      </c>
      <c r="M2041" s="43"/>
      <c r="N2041" s="1" t="e">
        <f>VLOOKUP(B2041,MICRO!E:L,8,0)</f>
        <v>#N/A</v>
      </c>
    </row>
    <row r="2042" spans="1:14" ht="20.25" x14ac:dyDescent="0.25">
      <c r="A2042" s="1">
        <v>37</v>
      </c>
      <c r="B2042" s="159"/>
      <c r="C2042" s="1" t="s">
        <v>1405</v>
      </c>
      <c r="D2042" s="1"/>
      <c r="E2042" s="1"/>
      <c r="F2042" s="1" t="s">
        <v>1406</v>
      </c>
      <c r="G2042" s="1">
        <v>32</v>
      </c>
      <c r="H2042" s="1" t="s">
        <v>19</v>
      </c>
      <c r="I2042" s="1" t="s">
        <v>425</v>
      </c>
      <c r="J2042" s="1">
        <v>0.02</v>
      </c>
      <c r="K2042" s="1">
        <v>0.64</v>
      </c>
      <c r="L2042" s="42">
        <v>5</v>
      </c>
      <c r="M2042" s="43"/>
      <c r="N2042" s="1" t="e">
        <f>VLOOKUP(B2042,MICRO!E:L,8,0)</f>
        <v>#N/A</v>
      </c>
    </row>
    <row r="2043" spans="1:14" ht="20.25" x14ac:dyDescent="0.25">
      <c r="A2043" s="1">
        <v>38</v>
      </c>
      <c r="B2043" s="159"/>
      <c r="C2043" s="1" t="s">
        <v>1407</v>
      </c>
      <c r="D2043" s="1"/>
      <c r="E2043" s="1"/>
      <c r="F2043" s="1" t="s">
        <v>1408</v>
      </c>
      <c r="G2043" s="1">
        <v>16</v>
      </c>
      <c r="H2043" s="1" t="s">
        <v>19</v>
      </c>
      <c r="I2043" s="1" t="s">
        <v>425</v>
      </c>
      <c r="J2043" s="1">
        <v>0.02</v>
      </c>
      <c r="K2043" s="1">
        <v>0.32</v>
      </c>
      <c r="L2043" s="42">
        <v>5</v>
      </c>
      <c r="M2043" s="43"/>
      <c r="N2043" s="1" t="e">
        <f>VLOOKUP(B2043,MICRO!E:L,8,0)</f>
        <v>#N/A</v>
      </c>
    </row>
    <row r="2044" spans="1:14" ht="20.25" x14ac:dyDescent="0.25">
      <c r="A2044" s="1">
        <v>39</v>
      </c>
      <c r="B2044" s="159"/>
      <c r="C2044" s="1" t="s">
        <v>1409</v>
      </c>
      <c r="D2044" s="1"/>
      <c r="E2044" s="1"/>
      <c r="F2044" s="1" t="s">
        <v>1410</v>
      </c>
      <c r="G2044" s="1">
        <v>8</v>
      </c>
      <c r="H2044" s="1" t="s">
        <v>19</v>
      </c>
      <c r="I2044" s="1" t="s">
        <v>426</v>
      </c>
      <c r="J2044" s="1">
        <v>0.02</v>
      </c>
      <c r="K2044" s="1">
        <v>0.16</v>
      </c>
      <c r="L2044" s="42">
        <v>5</v>
      </c>
      <c r="M2044" s="43"/>
      <c r="N2044" s="1" t="e">
        <f>VLOOKUP(B2044,MICRO!E:L,8,0)</f>
        <v>#N/A</v>
      </c>
    </row>
    <row r="2045" spans="1:14" ht="20.25" x14ac:dyDescent="0.25">
      <c r="A2045" s="1">
        <v>40</v>
      </c>
      <c r="B2045" s="159"/>
      <c r="C2045" s="1" t="s">
        <v>1213</v>
      </c>
      <c r="D2045" s="1"/>
      <c r="E2045" s="1"/>
      <c r="F2045" s="1" t="s">
        <v>1411</v>
      </c>
      <c r="G2045" s="1">
        <v>16</v>
      </c>
      <c r="H2045" s="1" t="s">
        <v>19</v>
      </c>
      <c r="I2045" s="1" t="s">
        <v>425</v>
      </c>
      <c r="J2045" s="1">
        <v>0.02</v>
      </c>
      <c r="K2045" s="1">
        <v>0.32</v>
      </c>
      <c r="L2045" s="42">
        <v>5</v>
      </c>
      <c r="M2045" s="43"/>
      <c r="N2045" s="1" t="e">
        <f>VLOOKUP(B2045,MICRO!E:L,8,0)</f>
        <v>#N/A</v>
      </c>
    </row>
    <row r="2046" spans="1:14" ht="20.25" x14ac:dyDescent="0.25">
      <c r="A2046" s="1">
        <v>41</v>
      </c>
      <c r="B2046" s="159"/>
      <c r="C2046" s="1" t="s">
        <v>1412</v>
      </c>
      <c r="D2046" s="1"/>
      <c r="E2046" s="1"/>
      <c r="F2046" s="1" t="s">
        <v>1413</v>
      </c>
      <c r="G2046" s="1">
        <v>16</v>
      </c>
      <c r="H2046" s="1" t="s">
        <v>19</v>
      </c>
      <c r="I2046" s="1" t="s">
        <v>427</v>
      </c>
      <c r="J2046" s="1">
        <v>0.02</v>
      </c>
      <c r="K2046" s="1">
        <v>0.32</v>
      </c>
      <c r="L2046" s="42">
        <v>5</v>
      </c>
      <c r="M2046" s="43"/>
      <c r="N2046" s="1" t="e">
        <f>VLOOKUP(B2046,MICRO!E:L,8,0)</f>
        <v>#N/A</v>
      </c>
    </row>
    <row r="2047" spans="1:14" ht="20.25" x14ac:dyDescent="0.25">
      <c r="A2047" s="1">
        <v>42</v>
      </c>
      <c r="B2047" s="159"/>
      <c r="C2047" s="1" t="s">
        <v>1414</v>
      </c>
      <c r="D2047" s="1"/>
      <c r="E2047" s="1"/>
      <c r="F2047" s="1" t="s">
        <v>1415</v>
      </c>
      <c r="G2047" s="1">
        <v>16</v>
      </c>
      <c r="H2047" s="1" t="s">
        <v>19</v>
      </c>
      <c r="I2047" s="1" t="s">
        <v>423</v>
      </c>
      <c r="J2047" s="1">
        <v>0.02</v>
      </c>
      <c r="K2047" s="1">
        <v>0.32</v>
      </c>
      <c r="L2047" s="42">
        <v>5</v>
      </c>
      <c r="M2047" s="43"/>
      <c r="N2047" s="1" t="e">
        <f>VLOOKUP(B2047,MICRO!E:L,8,0)</f>
        <v>#N/A</v>
      </c>
    </row>
    <row r="2048" spans="1:14" ht="20.25" x14ac:dyDescent="0.25">
      <c r="A2048" s="1">
        <v>43</v>
      </c>
      <c r="B2048" s="159"/>
      <c r="C2048" s="1" t="s">
        <v>1416</v>
      </c>
      <c r="D2048" s="1"/>
      <c r="E2048" s="1"/>
      <c r="F2048" s="1" t="s">
        <v>1417</v>
      </c>
      <c r="G2048" s="1">
        <v>16</v>
      </c>
      <c r="H2048" s="1" t="s">
        <v>19</v>
      </c>
      <c r="I2048" s="1" t="s">
        <v>426</v>
      </c>
      <c r="J2048" s="1">
        <v>0.02</v>
      </c>
      <c r="K2048" s="1">
        <v>0.32</v>
      </c>
      <c r="L2048" s="42">
        <v>5</v>
      </c>
      <c r="M2048" s="43"/>
      <c r="N2048" s="1" t="e">
        <f>VLOOKUP(B2048,MICRO!E:L,8,0)</f>
        <v>#N/A</v>
      </c>
    </row>
    <row r="2049" spans="1:14" ht="20.25" x14ac:dyDescent="0.25">
      <c r="A2049" s="1">
        <v>44</v>
      </c>
      <c r="B2049" s="159"/>
      <c r="C2049" s="1" t="s">
        <v>1418</v>
      </c>
      <c r="D2049" s="1"/>
      <c r="E2049" s="1"/>
      <c r="F2049" s="1" t="s">
        <v>1419</v>
      </c>
      <c r="G2049" s="1">
        <v>14</v>
      </c>
      <c r="H2049" s="1" t="s">
        <v>19</v>
      </c>
      <c r="I2049" s="1" t="s">
        <v>1420</v>
      </c>
      <c r="J2049" s="1">
        <v>0.02</v>
      </c>
      <c r="K2049" s="1">
        <v>0.28000000000000003</v>
      </c>
      <c r="L2049" s="42">
        <v>5</v>
      </c>
      <c r="M2049" s="43"/>
      <c r="N2049" s="1" t="e">
        <f>VLOOKUP(B2049,MICRO!E:L,8,0)</f>
        <v>#N/A</v>
      </c>
    </row>
    <row r="2050" spans="1:14" ht="20.25" x14ac:dyDescent="0.25">
      <c r="A2050" s="1">
        <v>45</v>
      </c>
      <c r="B2050" s="159"/>
      <c r="C2050" s="1" t="s">
        <v>1421</v>
      </c>
      <c r="D2050" s="1"/>
      <c r="E2050" s="1"/>
      <c r="F2050" s="1" t="s">
        <v>1422</v>
      </c>
      <c r="G2050" s="1">
        <v>8</v>
      </c>
      <c r="H2050" s="1" t="s">
        <v>19</v>
      </c>
      <c r="I2050" s="1" t="s">
        <v>1420</v>
      </c>
      <c r="J2050" s="1">
        <v>0.02</v>
      </c>
      <c r="K2050" s="1">
        <v>0.16</v>
      </c>
      <c r="L2050" s="42">
        <v>5</v>
      </c>
      <c r="M2050" s="43"/>
      <c r="N2050" s="1" t="e">
        <f>VLOOKUP(B2050,MICRO!E:L,8,0)</f>
        <v>#N/A</v>
      </c>
    </row>
    <row r="2051" spans="1:14" ht="20.25" x14ac:dyDescent="0.25">
      <c r="A2051" s="1">
        <v>46</v>
      </c>
      <c r="B2051" s="159"/>
      <c r="C2051" s="1" t="s">
        <v>1423</v>
      </c>
      <c r="D2051" s="1"/>
      <c r="E2051" s="1"/>
      <c r="F2051" s="1" t="s">
        <v>1424</v>
      </c>
      <c r="G2051" s="1">
        <v>28</v>
      </c>
      <c r="H2051" s="1" t="s">
        <v>19</v>
      </c>
      <c r="I2051" s="1" t="s">
        <v>423</v>
      </c>
      <c r="J2051" s="1">
        <v>0.02</v>
      </c>
      <c r="K2051" s="1">
        <v>0.56000000000000005</v>
      </c>
      <c r="L2051" s="42">
        <v>5</v>
      </c>
      <c r="M2051" s="43"/>
      <c r="N2051" s="1" t="e">
        <f>VLOOKUP(B2051,MICRO!E:L,8,0)</f>
        <v>#N/A</v>
      </c>
    </row>
    <row r="2052" spans="1:14" ht="20.25" x14ac:dyDescent="0.25">
      <c r="A2052" s="1">
        <v>47</v>
      </c>
      <c r="B2052" s="159"/>
      <c r="C2052" s="1" t="s">
        <v>1222</v>
      </c>
      <c r="D2052" s="1"/>
      <c r="E2052" s="1"/>
      <c r="F2052" s="1" t="s">
        <v>1425</v>
      </c>
      <c r="G2052" s="1">
        <v>44</v>
      </c>
      <c r="H2052" s="1" t="s">
        <v>19</v>
      </c>
      <c r="I2052" s="1" t="s">
        <v>423</v>
      </c>
      <c r="J2052" s="1">
        <v>0.02</v>
      </c>
      <c r="K2052" s="1">
        <v>0.88</v>
      </c>
      <c r="L2052" s="42">
        <v>5</v>
      </c>
      <c r="M2052" s="43"/>
      <c r="N2052" s="1" t="e">
        <f>VLOOKUP(B2052,MICRO!E:L,8,0)</f>
        <v>#N/A</v>
      </c>
    </row>
    <row r="2053" spans="1:14" ht="20.25" x14ac:dyDescent="0.25">
      <c r="A2053" s="1">
        <v>48</v>
      </c>
      <c r="B2053" s="159"/>
      <c r="C2053" s="1" t="s">
        <v>1426</v>
      </c>
      <c r="D2053" s="1"/>
      <c r="E2053" s="1"/>
      <c r="F2053" s="1" t="s">
        <v>1427</v>
      </c>
      <c r="G2053" s="1">
        <v>10</v>
      </c>
      <c r="H2053" s="1" t="s">
        <v>19</v>
      </c>
      <c r="I2053" s="1" t="s">
        <v>424</v>
      </c>
      <c r="J2053" s="1">
        <v>0.02</v>
      </c>
      <c r="K2053" s="1">
        <v>0.2</v>
      </c>
      <c r="L2053" s="42">
        <v>5</v>
      </c>
      <c r="M2053" s="43"/>
      <c r="N2053" s="1" t="e">
        <f>VLOOKUP(B2053,MICRO!E:L,8,0)</f>
        <v>#N/A</v>
      </c>
    </row>
    <row r="2054" spans="1:14" ht="20.25" x14ac:dyDescent="0.25">
      <c r="A2054" s="1">
        <v>49</v>
      </c>
      <c r="B2054" s="159"/>
      <c r="C2054" s="1" t="s">
        <v>1428</v>
      </c>
      <c r="D2054" s="1"/>
      <c r="E2054" s="1"/>
      <c r="F2054" s="1" t="s">
        <v>1429</v>
      </c>
      <c r="G2054" s="1">
        <v>32</v>
      </c>
      <c r="H2054" s="1" t="s">
        <v>19</v>
      </c>
      <c r="I2054" s="1" t="s">
        <v>426</v>
      </c>
      <c r="J2054" s="1">
        <v>0.02</v>
      </c>
      <c r="K2054" s="1">
        <v>0.64</v>
      </c>
      <c r="L2054" s="42">
        <v>5</v>
      </c>
      <c r="M2054" s="43"/>
      <c r="N2054" s="1" t="e">
        <f>VLOOKUP(B2054,MICRO!E:L,8,0)</f>
        <v>#N/A</v>
      </c>
    </row>
    <row r="2055" spans="1:14" ht="20.25" x14ac:dyDescent="0.25">
      <c r="A2055" s="1">
        <v>50</v>
      </c>
      <c r="B2055" s="159"/>
      <c r="C2055" s="1" t="s">
        <v>1430</v>
      </c>
      <c r="D2055" s="1"/>
      <c r="E2055" s="1"/>
      <c r="F2055" s="1" t="s">
        <v>1431</v>
      </c>
      <c r="G2055" s="1">
        <v>16</v>
      </c>
      <c r="H2055" s="1" t="s">
        <v>19</v>
      </c>
      <c r="I2055" s="1" t="s">
        <v>424</v>
      </c>
      <c r="J2055" s="1">
        <v>0.02</v>
      </c>
      <c r="K2055" s="1">
        <v>0.32</v>
      </c>
      <c r="L2055" s="42">
        <v>5</v>
      </c>
      <c r="M2055" s="43"/>
      <c r="N2055" s="1" t="e">
        <f>VLOOKUP(B2055,MICRO!E:L,8,0)</f>
        <v>#N/A</v>
      </c>
    </row>
    <row r="2056" spans="1:14" ht="20.25" x14ac:dyDescent="0.25">
      <c r="A2056" s="1">
        <v>51</v>
      </c>
      <c r="B2056" s="159"/>
      <c r="C2056" s="1" t="s">
        <v>1432</v>
      </c>
      <c r="D2056" s="1"/>
      <c r="E2056" s="1"/>
      <c r="F2056" s="1" t="s">
        <v>1433</v>
      </c>
      <c r="G2056" s="1">
        <v>10</v>
      </c>
      <c r="H2056" s="1" t="s">
        <v>19</v>
      </c>
      <c r="I2056" s="1" t="s">
        <v>1434</v>
      </c>
      <c r="J2056" s="1">
        <v>0.02</v>
      </c>
      <c r="K2056" s="1">
        <v>0.2</v>
      </c>
      <c r="L2056" s="42">
        <v>5</v>
      </c>
      <c r="M2056" s="43"/>
      <c r="N2056" s="1" t="e">
        <f>VLOOKUP(B2056,MICRO!E:L,8,0)</f>
        <v>#N/A</v>
      </c>
    </row>
    <row r="2057" spans="1:14" ht="20.25" x14ac:dyDescent="0.25">
      <c r="A2057" s="1">
        <v>52</v>
      </c>
      <c r="B2057" s="159"/>
      <c r="C2057" s="1" t="s">
        <v>1435</v>
      </c>
      <c r="D2057" s="1"/>
      <c r="E2057" s="1"/>
      <c r="F2057" s="1" t="s">
        <v>1436</v>
      </c>
      <c r="G2057" s="1">
        <v>14</v>
      </c>
      <c r="H2057" s="1" t="s">
        <v>19</v>
      </c>
      <c r="I2057" s="1" t="s">
        <v>426</v>
      </c>
      <c r="J2057" s="1">
        <v>0.02</v>
      </c>
      <c r="K2057" s="1">
        <v>0.28000000000000003</v>
      </c>
      <c r="L2057" s="42">
        <v>5</v>
      </c>
      <c r="M2057" s="43"/>
      <c r="N2057" s="1" t="e">
        <f>VLOOKUP(B2057,MICRO!E:L,8,0)</f>
        <v>#N/A</v>
      </c>
    </row>
    <row r="2058" spans="1:14" ht="20.25" x14ac:dyDescent="0.25">
      <c r="A2058" s="1">
        <v>53</v>
      </c>
      <c r="B2058" s="159"/>
      <c r="C2058" s="1" t="s">
        <v>1437</v>
      </c>
      <c r="D2058" s="1"/>
      <c r="E2058" s="1"/>
      <c r="F2058" s="1" t="s">
        <v>1438</v>
      </c>
      <c r="G2058" s="1">
        <v>8</v>
      </c>
      <c r="H2058" s="1" t="s">
        <v>19</v>
      </c>
      <c r="I2058" s="1" t="s">
        <v>426</v>
      </c>
      <c r="J2058" s="1">
        <v>0.02</v>
      </c>
      <c r="K2058" s="1">
        <v>0.16</v>
      </c>
      <c r="L2058" s="42">
        <v>5</v>
      </c>
      <c r="M2058" s="43"/>
      <c r="N2058" s="1" t="e">
        <f>VLOOKUP(B2058,MICRO!E:L,8,0)</f>
        <v>#N/A</v>
      </c>
    </row>
    <row r="2059" spans="1:14" ht="20.25" x14ac:dyDescent="0.25">
      <c r="A2059" s="1">
        <v>54</v>
      </c>
      <c r="B2059" s="159"/>
      <c r="C2059" s="1" t="s">
        <v>1439</v>
      </c>
      <c r="D2059" s="1"/>
      <c r="E2059" s="1"/>
      <c r="F2059" s="1" t="s">
        <v>1440</v>
      </c>
      <c r="G2059" s="1">
        <v>32</v>
      </c>
      <c r="H2059" s="1" t="s">
        <v>19</v>
      </c>
      <c r="I2059" s="1" t="s">
        <v>426</v>
      </c>
      <c r="J2059" s="1">
        <v>0.02</v>
      </c>
      <c r="K2059" s="1">
        <v>0.64</v>
      </c>
      <c r="L2059" s="42">
        <v>5</v>
      </c>
      <c r="M2059" s="43"/>
      <c r="N2059" s="1" t="e">
        <f>VLOOKUP(B2059,MICRO!E:L,8,0)</f>
        <v>#N/A</v>
      </c>
    </row>
    <row r="2060" spans="1:14" ht="20.25" x14ac:dyDescent="0.25">
      <c r="A2060" s="1">
        <v>55</v>
      </c>
      <c r="B2060" s="159"/>
      <c r="C2060" s="1" t="s">
        <v>1441</v>
      </c>
      <c r="D2060" s="1"/>
      <c r="E2060" s="1"/>
      <c r="F2060" s="1" t="s">
        <v>1442</v>
      </c>
      <c r="G2060" s="1">
        <v>24</v>
      </c>
      <c r="H2060" s="1" t="s">
        <v>19</v>
      </c>
      <c r="I2060" s="1" t="s">
        <v>426</v>
      </c>
      <c r="J2060" s="1">
        <v>0.02</v>
      </c>
      <c r="K2060" s="1">
        <v>0.48</v>
      </c>
      <c r="L2060" s="42">
        <v>5</v>
      </c>
      <c r="M2060" s="43"/>
      <c r="N2060" s="1" t="e">
        <f>VLOOKUP(B2060,MICRO!E:L,8,0)</f>
        <v>#N/A</v>
      </c>
    </row>
    <row r="2061" spans="1:14" ht="20.25" x14ac:dyDescent="0.25">
      <c r="A2061" s="1">
        <v>56</v>
      </c>
      <c r="B2061" s="159"/>
      <c r="C2061" s="1" t="s">
        <v>1443</v>
      </c>
      <c r="D2061" s="1"/>
      <c r="E2061" s="1"/>
      <c r="F2061" s="1" t="s">
        <v>1444</v>
      </c>
      <c r="G2061" s="1">
        <v>24</v>
      </c>
      <c r="H2061" s="1" t="s">
        <v>19</v>
      </c>
      <c r="I2061" s="1" t="s">
        <v>426</v>
      </c>
      <c r="J2061" s="1">
        <v>0.02</v>
      </c>
      <c r="K2061" s="1">
        <v>0.48</v>
      </c>
      <c r="L2061" s="42">
        <v>5</v>
      </c>
      <c r="M2061" s="43"/>
      <c r="N2061" s="1" t="e">
        <f>VLOOKUP(B2061,MICRO!E:L,8,0)</f>
        <v>#N/A</v>
      </c>
    </row>
    <row r="2062" spans="1:14" ht="20.25" x14ac:dyDescent="0.25">
      <c r="A2062" s="1">
        <v>57</v>
      </c>
      <c r="B2062" s="159"/>
      <c r="C2062" s="1" t="s">
        <v>1445</v>
      </c>
      <c r="D2062" s="1"/>
      <c r="E2062" s="1"/>
      <c r="F2062" s="1" t="s">
        <v>1446</v>
      </c>
      <c r="G2062" s="1">
        <v>12</v>
      </c>
      <c r="H2062" s="1" t="s">
        <v>19</v>
      </c>
      <c r="I2062" s="1" t="s">
        <v>427</v>
      </c>
      <c r="J2062" s="1">
        <v>0.02</v>
      </c>
      <c r="K2062" s="1">
        <v>0.24</v>
      </c>
      <c r="L2062" s="42">
        <v>5</v>
      </c>
      <c r="M2062" s="43"/>
      <c r="N2062" s="1" t="e">
        <f>VLOOKUP(B2062,MICRO!E:L,8,0)</f>
        <v>#N/A</v>
      </c>
    </row>
    <row r="2063" spans="1:14" ht="20.25" x14ac:dyDescent="0.25">
      <c r="A2063" s="1">
        <v>58</v>
      </c>
      <c r="B2063" s="159"/>
      <c r="C2063" s="1" t="s">
        <v>1447</v>
      </c>
      <c r="D2063" s="1"/>
      <c r="E2063" s="1"/>
      <c r="F2063" s="1" t="s">
        <v>1448</v>
      </c>
      <c r="G2063" s="1">
        <v>28</v>
      </c>
      <c r="H2063" s="1" t="s">
        <v>19</v>
      </c>
      <c r="I2063" s="1" t="s">
        <v>427</v>
      </c>
      <c r="J2063" s="1">
        <v>0.02</v>
      </c>
      <c r="K2063" s="1">
        <v>0.56000000000000005</v>
      </c>
      <c r="L2063" s="42">
        <v>5</v>
      </c>
      <c r="M2063" s="43"/>
      <c r="N2063" s="1" t="e">
        <f>VLOOKUP(B2063,MICRO!E:L,8,0)</f>
        <v>#N/A</v>
      </c>
    </row>
    <row r="2064" spans="1:14" ht="20.25" x14ac:dyDescent="0.25">
      <c r="A2064" s="1">
        <v>59</v>
      </c>
      <c r="B2064" s="159"/>
      <c r="C2064" s="1" t="s">
        <v>1402</v>
      </c>
      <c r="D2064" s="1"/>
      <c r="E2064" s="1"/>
      <c r="F2064" s="1" t="s">
        <v>1449</v>
      </c>
      <c r="G2064" s="1">
        <v>8</v>
      </c>
      <c r="H2064" s="1" t="s">
        <v>19</v>
      </c>
      <c r="I2064" s="1" t="s">
        <v>1404</v>
      </c>
      <c r="J2064" s="1">
        <v>0.02</v>
      </c>
      <c r="K2064" s="1">
        <v>0.16</v>
      </c>
      <c r="L2064" s="42">
        <v>5</v>
      </c>
      <c r="M2064" s="43"/>
      <c r="N2064" s="1" t="e">
        <f>VLOOKUP(B2064,MICRO!E:L,8,0)</f>
        <v>#N/A</v>
      </c>
    </row>
    <row r="2065" spans="1:14" ht="20.25" x14ac:dyDescent="0.25">
      <c r="A2065" s="1">
        <v>60</v>
      </c>
      <c r="B2065" s="159"/>
      <c r="C2065" s="1" t="s">
        <v>1414</v>
      </c>
      <c r="D2065" s="1"/>
      <c r="E2065" s="1"/>
      <c r="F2065" s="1" t="s">
        <v>1450</v>
      </c>
      <c r="G2065" s="1">
        <v>8</v>
      </c>
      <c r="H2065" s="1" t="s">
        <v>19</v>
      </c>
      <c r="I2065" s="1" t="s">
        <v>423</v>
      </c>
      <c r="J2065" s="1">
        <v>0.02</v>
      </c>
      <c r="K2065" s="1">
        <v>0.16</v>
      </c>
      <c r="L2065" s="42">
        <v>5</v>
      </c>
      <c r="M2065" s="43"/>
      <c r="N2065" s="1" t="e">
        <f>VLOOKUP(B2065,MICRO!E:L,8,0)</f>
        <v>#N/A</v>
      </c>
    </row>
    <row r="2066" spans="1:14" ht="20.25" x14ac:dyDescent="0.25">
      <c r="A2066" s="1">
        <v>61</v>
      </c>
      <c r="B2066" s="159"/>
      <c r="C2066" s="1" t="s">
        <v>1412</v>
      </c>
      <c r="D2066" s="1"/>
      <c r="E2066" s="1"/>
      <c r="F2066" s="1" t="s">
        <v>1451</v>
      </c>
      <c r="G2066" s="1">
        <v>12</v>
      </c>
      <c r="H2066" s="1" t="s">
        <v>19</v>
      </c>
      <c r="I2066" s="1" t="s">
        <v>427</v>
      </c>
      <c r="J2066" s="1">
        <v>0.02</v>
      </c>
      <c r="K2066" s="1">
        <v>0.24</v>
      </c>
      <c r="L2066" s="42">
        <v>5</v>
      </c>
      <c r="M2066" s="43"/>
      <c r="N2066" s="1" t="e">
        <f>VLOOKUP(B2066,MICRO!E:L,8,0)</f>
        <v>#N/A</v>
      </c>
    </row>
    <row r="2067" spans="1:14" ht="20.25" x14ac:dyDescent="0.25">
      <c r="A2067" s="1">
        <v>62</v>
      </c>
      <c r="B2067" s="159"/>
      <c r="C2067" s="1" t="s">
        <v>1416</v>
      </c>
      <c r="D2067" s="1"/>
      <c r="E2067" s="1"/>
      <c r="F2067" s="1" t="s">
        <v>1452</v>
      </c>
      <c r="G2067" s="1">
        <v>8</v>
      </c>
      <c r="H2067" s="1" t="s">
        <v>19</v>
      </c>
      <c r="I2067" s="1" t="s">
        <v>426</v>
      </c>
      <c r="J2067" s="1">
        <v>0.02</v>
      </c>
      <c r="K2067" s="1">
        <v>0.16</v>
      </c>
      <c r="L2067" s="42">
        <v>5</v>
      </c>
      <c r="M2067" s="43"/>
      <c r="N2067" s="1" t="e">
        <f>VLOOKUP(B2067,MICRO!E:L,8,0)</f>
        <v>#N/A</v>
      </c>
    </row>
    <row r="2068" spans="1:14" ht="20.25" x14ac:dyDescent="0.25">
      <c r="A2068" s="1">
        <v>63</v>
      </c>
      <c r="B2068" s="159"/>
      <c r="C2068" s="1" t="s">
        <v>1453</v>
      </c>
      <c r="D2068" s="1"/>
      <c r="E2068" s="1"/>
      <c r="F2068" s="1" t="s">
        <v>1454</v>
      </c>
      <c r="G2068" s="1">
        <v>14</v>
      </c>
      <c r="H2068" s="1" t="s">
        <v>19</v>
      </c>
      <c r="I2068" s="1" t="s">
        <v>1455</v>
      </c>
      <c r="J2068" s="1">
        <v>0.02</v>
      </c>
      <c r="K2068" s="1">
        <v>0.28000000000000003</v>
      </c>
      <c r="L2068" s="42">
        <v>5</v>
      </c>
      <c r="M2068" s="43"/>
      <c r="N2068" s="1" t="e">
        <f>VLOOKUP(B2068,MICRO!E:L,8,0)</f>
        <v>#N/A</v>
      </c>
    </row>
    <row r="2069" spans="1:14" ht="20.25" x14ac:dyDescent="0.25">
      <c r="A2069" s="1">
        <v>64</v>
      </c>
      <c r="B2069" s="159"/>
      <c r="C2069" s="1" t="s">
        <v>1418</v>
      </c>
      <c r="D2069" s="1"/>
      <c r="E2069" s="1"/>
      <c r="F2069" s="1" t="s">
        <v>1456</v>
      </c>
      <c r="G2069" s="1">
        <v>16</v>
      </c>
      <c r="H2069" s="1" t="s">
        <v>19</v>
      </c>
      <c r="I2069" s="1" t="s">
        <v>1420</v>
      </c>
      <c r="J2069" s="1">
        <v>0.02</v>
      </c>
      <c r="K2069" s="1">
        <v>0.32</v>
      </c>
      <c r="L2069" s="42">
        <v>5</v>
      </c>
      <c r="M2069" s="43"/>
      <c r="N2069" s="1" t="e">
        <f>VLOOKUP(B2069,MICRO!E:L,8,0)</f>
        <v>#N/A</v>
      </c>
    </row>
    <row r="2070" spans="1:14" ht="20.25" x14ac:dyDescent="0.25">
      <c r="A2070" s="1">
        <v>65</v>
      </c>
      <c r="B2070" s="159"/>
      <c r="C2070" s="1" t="s">
        <v>1421</v>
      </c>
      <c r="D2070" s="1"/>
      <c r="E2070" s="1"/>
      <c r="F2070" s="1" t="s">
        <v>1457</v>
      </c>
      <c r="G2070" s="1">
        <v>16</v>
      </c>
      <c r="H2070" s="1" t="s">
        <v>19</v>
      </c>
      <c r="I2070" s="1" t="s">
        <v>1420</v>
      </c>
      <c r="J2070" s="1">
        <v>0.02</v>
      </c>
      <c r="K2070" s="1">
        <v>0.32</v>
      </c>
      <c r="L2070" s="42">
        <v>5</v>
      </c>
      <c r="M2070" s="43"/>
      <c r="N2070" s="1" t="e">
        <f>VLOOKUP(B2070,MICRO!E:L,8,0)</f>
        <v>#N/A</v>
      </c>
    </row>
    <row r="2071" spans="1:14" ht="20.25" x14ac:dyDescent="0.25">
      <c r="A2071" s="1">
        <v>66</v>
      </c>
      <c r="B2071" s="159"/>
      <c r="C2071" s="1" t="s">
        <v>1458</v>
      </c>
      <c r="D2071" s="1"/>
      <c r="E2071" s="1"/>
      <c r="F2071" s="1" t="s">
        <v>1459</v>
      </c>
      <c r="G2071" s="1">
        <v>7</v>
      </c>
      <c r="H2071" s="1" t="s">
        <v>19</v>
      </c>
      <c r="I2071" s="1" t="s">
        <v>425</v>
      </c>
      <c r="J2071" s="1">
        <v>0.02</v>
      </c>
      <c r="K2071" s="1">
        <v>0.14000000000000001</v>
      </c>
      <c r="L2071" s="42">
        <v>5</v>
      </c>
      <c r="M2071" s="43"/>
      <c r="N2071" s="1" t="e">
        <f>VLOOKUP(B2071,MICRO!E:L,8,0)</f>
        <v>#N/A</v>
      </c>
    </row>
    <row r="2072" spans="1:14" ht="20.25" x14ac:dyDescent="0.25">
      <c r="A2072" s="1">
        <v>67</v>
      </c>
      <c r="B2072" s="159"/>
      <c r="C2072" s="1" t="s">
        <v>1460</v>
      </c>
      <c r="D2072" s="1"/>
      <c r="E2072" s="1"/>
      <c r="F2072" s="1" t="s">
        <v>1461</v>
      </c>
      <c r="G2072" s="1">
        <v>16</v>
      </c>
      <c r="H2072" s="1" t="s">
        <v>19</v>
      </c>
      <c r="I2072" s="1" t="s">
        <v>426</v>
      </c>
      <c r="J2072" s="1">
        <v>0.02</v>
      </c>
      <c r="K2072" s="1">
        <v>0.32</v>
      </c>
      <c r="L2072" s="42">
        <v>5</v>
      </c>
      <c r="M2072" s="43"/>
      <c r="N2072" s="1" t="e">
        <f>VLOOKUP(B2072,MICRO!E:L,8,0)</f>
        <v>#N/A</v>
      </c>
    </row>
    <row r="2073" spans="1:14" ht="20.25" x14ac:dyDescent="0.25">
      <c r="A2073" s="1">
        <v>68</v>
      </c>
      <c r="B2073" s="159"/>
      <c r="C2073" s="1" t="s">
        <v>1437</v>
      </c>
      <c r="D2073" s="1"/>
      <c r="E2073" s="1"/>
      <c r="F2073" s="1" t="s">
        <v>1462</v>
      </c>
      <c r="G2073" s="1">
        <v>16</v>
      </c>
      <c r="H2073" s="1" t="s">
        <v>19</v>
      </c>
      <c r="I2073" s="1" t="s">
        <v>426</v>
      </c>
      <c r="J2073" s="1">
        <v>0.02</v>
      </c>
      <c r="K2073" s="1">
        <v>0.32</v>
      </c>
      <c r="L2073" s="42">
        <v>5</v>
      </c>
      <c r="M2073" s="43"/>
      <c r="N2073" s="1" t="e">
        <f>VLOOKUP(B2073,MICRO!E:L,8,0)</f>
        <v>#N/A</v>
      </c>
    </row>
    <row r="2074" spans="1:14" ht="20.25" x14ac:dyDescent="0.25">
      <c r="A2074" s="1">
        <v>69</v>
      </c>
      <c r="B2074" s="159"/>
      <c r="C2074" s="1" t="s">
        <v>1463</v>
      </c>
      <c r="D2074" s="1"/>
      <c r="E2074" s="1"/>
      <c r="F2074" s="1" t="s">
        <v>1464</v>
      </c>
      <c r="G2074" s="1">
        <v>68</v>
      </c>
      <c r="H2074" s="1" t="s">
        <v>19</v>
      </c>
      <c r="I2074" s="1" t="s">
        <v>425</v>
      </c>
      <c r="J2074" s="1">
        <v>0.02</v>
      </c>
      <c r="K2074" s="1">
        <v>1.36</v>
      </c>
      <c r="L2074" s="42">
        <v>5</v>
      </c>
      <c r="M2074" s="43"/>
      <c r="N2074" s="1" t="e">
        <f>VLOOKUP(B2074,MICRO!E:L,8,0)</f>
        <v>#N/A</v>
      </c>
    </row>
    <row r="2075" spans="1:14" ht="20.25" x14ac:dyDescent="0.25">
      <c r="A2075" s="1">
        <v>70</v>
      </c>
      <c r="B2075" s="159"/>
      <c r="C2075" s="1" t="s">
        <v>1426</v>
      </c>
      <c r="D2075" s="1"/>
      <c r="E2075" s="1"/>
      <c r="F2075" s="1" t="s">
        <v>1465</v>
      </c>
      <c r="G2075" s="1">
        <v>8</v>
      </c>
      <c r="H2075" s="1" t="s">
        <v>19</v>
      </c>
      <c r="I2075" s="1" t="s">
        <v>424</v>
      </c>
      <c r="J2075" s="1">
        <v>0.02</v>
      </c>
      <c r="K2075" s="1">
        <v>0.16</v>
      </c>
      <c r="L2075" s="42">
        <v>5</v>
      </c>
      <c r="M2075" s="43"/>
      <c r="N2075" s="1" t="e">
        <f>VLOOKUP(B2075,MICRO!E:L,8,0)</f>
        <v>#N/A</v>
      </c>
    </row>
    <row r="2076" spans="1:14" ht="20.25" x14ac:dyDescent="0.25">
      <c r="A2076" s="1">
        <v>71</v>
      </c>
      <c r="B2076" s="159"/>
      <c r="C2076" s="1" t="s">
        <v>1466</v>
      </c>
      <c r="D2076" s="1"/>
      <c r="E2076" s="1"/>
      <c r="F2076" s="1" t="s">
        <v>1467</v>
      </c>
      <c r="G2076" s="1">
        <v>8</v>
      </c>
      <c r="H2076" s="1" t="s">
        <v>19</v>
      </c>
      <c r="I2076" s="1" t="s">
        <v>425</v>
      </c>
      <c r="J2076" s="1">
        <v>0.02</v>
      </c>
      <c r="K2076" s="1">
        <v>0.16</v>
      </c>
      <c r="L2076" s="42">
        <v>5</v>
      </c>
      <c r="M2076" s="43"/>
      <c r="N2076" s="1" t="e">
        <f>VLOOKUP(B2076,MICRO!E:L,8,0)</f>
        <v>#N/A</v>
      </c>
    </row>
    <row r="2077" spans="1:14" ht="20.25" x14ac:dyDescent="0.25">
      <c r="A2077" s="1">
        <v>72</v>
      </c>
      <c r="B2077" s="159"/>
      <c r="C2077" s="1" t="s">
        <v>1468</v>
      </c>
      <c r="D2077" s="1"/>
      <c r="E2077" s="1"/>
      <c r="F2077" s="1" t="s">
        <v>1469</v>
      </c>
      <c r="G2077" s="1">
        <v>12</v>
      </c>
      <c r="H2077" s="1" t="s">
        <v>19</v>
      </c>
      <c r="I2077" s="1" t="s">
        <v>427</v>
      </c>
      <c r="J2077" s="1">
        <v>0.02</v>
      </c>
      <c r="K2077" s="1">
        <v>0.24</v>
      </c>
      <c r="L2077" s="42">
        <v>5</v>
      </c>
      <c r="M2077" s="43"/>
      <c r="N2077" s="1" t="e">
        <f>VLOOKUP(B2077,MICRO!E:L,8,0)</f>
        <v>#N/A</v>
      </c>
    </row>
    <row r="2078" spans="1:14" ht="20.25" x14ac:dyDescent="0.25">
      <c r="A2078" s="1">
        <v>73</v>
      </c>
      <c r="B2078" s="159"/>
      <c r="C2078" s="1" t="s">
        <v>1470</v>
      </c>
      <c r="D2078" s="1"/>
      <c r="E2078" s="1"/>
      <c r="F2078" s="1" t="s">
        <v>1471</v>
      </c>
      <c r="G2078" s="1">
        <v>20</v>
      </c>
      <c r="H2078" s="1" t="s">
        <v>19</v>
      </c>
      <c r="I2078" s="1" t="s">
        <v>423</v>
      </c>
      <c r="J2078" s="1">
        <v>0.02</v>
      </c>
      <c r="K2078" s="1">
        <v>0.4</v>
      </c>
      <c r="L2078" s="42">
        <v>5</v>
      </c>
      <c r="M2078" s="43"/>
      <c r="N2078" s="1" t="e">
        <f>VLOOKUP(B2078,MICRO!E:L,8,0)</f>
        <v>#N/A</v>
      </c>
    </row>
    <row r="2079" spans="1:14" ht="20.25" x14ac:dyDescent="0.25">
      <c r="A2079" s="1">
        <v>74</v>
      </c>
      <c r="B2079" s="159"/>
      <c r="C2079" s="1" t="s">
        <v>1463</v>
      </c>
      <c r="D2079" s="1"/>
      <c r="E2079" s="1"/>
      <c r="F2079" s="1" t="s">
        <v>1472</v>
      </c>
      <c r="G2079" s="1">
        <v>16</v>
      </c>
      <c r="H2079" s="1" t="s">
        <v>19</v>
      </c>
      <c r="I2079" s="1" t="s">
        <v>425</v>
      </c>
      <c r="J2079" s="1">
        <v>0.02</v>
      </c>
      <c r="K2079" s="1">
        <v>0.32</v>
      </c>
      <c r="L2079" s="42">
        <v>5</v>
      </c>
      <c r="M2079" s="43"/>
      <c r="N2079" s="1" t="e">
        <f>VLOOKUP(B2079,MICRO!E:L,8,0)</f>
        <v>#N/A</v>
      </c>
    </row>
    <row r="2080" spans="1:14" ht="20.25" x14ac:dyDescent="0.25">
      <c r="A2080" s="1">
        <v>75</v>
      </c>
      <c r="B2080" s="159"/>
      <c r="C2080" s="1" t="s">
        <v>1468</v>
      </c>
      <c r="D2080" s="1"/>
      <c r="E2080" s="1"/>
      <c r="F2080" s="1" t="s">
        <v>1473</v>
      </c>
      <c r="G2080" s="1">
        <v>4</v>
      </c>
      <c r="H2080" s="1" t="s">
        <v>19</v>
      </c>
      <c r="I2080" s="1" t="s">
        <v>427</v>
      </c>
      <c r="J2080" s="1">
        <v>0.05</v>
      </c>
      <c r="K2080" s="1">
        <v>0.2</v>
      </c>
      <c r="L2080" s="42">
        <v>5</v>
      </c>
      <c r="M2080" s="43"/>
      <c r="N2080" s="1" t="e">
        <f>VLOOKUP(B2080,MICRO!E:L,8,0)</f>
        <v>#N/A</v>
      </c>
    </row>
    <row r="2081" spans="1:14" ht="20.25" x14ac:dyDescent="0.25">
      <c r="A2081" s="1">
        <v>76</v>
      </c>
      <c r="B2081" s="159"/>
      <c r="C2081" s="1" t="s">
        <v>1453</v>
      </c>
      <c r="D2081" s="1"/>
      <c r="E2081" s="1"/>
      <c r="F2081" s="1" t="s">
        <v>1474</v>
      </c>
      <c r="G2081" s="1">
        <v>14</v>
      </c>
      <c r="H2081" s="1" t="s">
        <v>19</v>
      </c>
      <c r="I2081" s="1" t="s">
        <v>1475</v>
      </c>
      <c r="J2081" s="1">
        <v>0.05</v>
      </c>
      <c r="K2081" s="1">
        <v>0.70000000000000007</v>
      </c>
      <c r="L2081" s="42">
        <v>5</v>
      </c>
      <c r="M2081" s="43"/>
      <c r="N2081" s="1" t="e">
        <f>VLOOKUP(B2081,MICRO!E:L,8,0)</f>
        <v>#N/A</v>
      </c>
    </row>
    <row r="2082" spans="1:14" ht="20.25" x14ac:dyDescent="0.25">
      <c r="A2082" s="1">
        <v>77</v>
      </c>
      <c r="B2082" s="159"/>
      <c r="C2082" s="1" t="s">
        <v>1476</v>
      </c>
      <c r="D2082" s="1"/>
      <c r="E2082" s="1"/>
      <c r="F2082" s="1" t="s">
        <v>1477</v>
      </c>
      <c r="G2082" s="1">
        <v>10</v>
      </c>
      <c r="H2082" s="1" t="s">
        <v>19</v>
      </c>
      <c r="I2082" s="1" t="s">
        <v>1420</v>
      </c>
      <c r="J2082" s="1">
        <v>0.05</v>
      </c>
      <c r="K2082" s="1">
        <v>0.5</v>
      </c>
      <c r="L2082" s="42">
        <v>5</v>
      </c>
      <c r="M2082" s="43"/>
      <c r="N2082" s="1" t="e">
        <f>VLOOKUP(B2082,MICRO!E:L,8,0)</f>
        <v>#N/A</v>
      </c>
    </row>
    <row r="2083" spans="1:14" ht="20.25" x14ac:dyDescent="0.25">
      <c r="A2083" s="1">
        <v>78</v>
      </c>
      <c r="B2083" s="159"/>
      <c r="C2083" s="1" t="s">
        <v>1423</v>
      </c>
      <c r="D2083" s="1"/>
      <c r="E2083" s="1"/>
      <c r="F2083" s="1" t="s">
        <v>1478</v>
      </c>
      <c r="G2083" s="1">
        <v>28</v>
      </c>
      <c r="H2083" s="1" t="s">
        <v>19</v>
      </c>
      <c r="I2083" s="1" t="s">
        <v>423</v>
      </c>
      <c r="J2083" s="1">
        <v>0.05</v>
      </c>
      <c r="K2083" s="1">
        <v>1.4000000000000001</v>
      </c>
      <c r="L2083" s="42">
        <v>5</v>
      </c>
      <c r="M2083" s="43"/>
      <c r="N2083" s="1" t="e">
        <f>VLOOKUP(B2083,MICRO!E:L,8,0)</f>
        <v>#N/A</v>
      </c>
    </row>
    <row r="2084" spans="1:14" ht="20.25" x14ac:dyDescent="0.25">
      <c r="A2084" s="1">
        <v>79</v>
      </c>
      <c r="B2084" s="159"/>
      <c r="C2084" s="1" t="s">
        <v>1426</v>
      </c>
      <c r="D2084" s="1"/>
      <c r="E2084" s="1"/>
      <c r="F2084" s="1" t="s">
        <v>1479</v>
      </c>
      <c r="G2084" s="1">
        <v>10</v>
      </c>
      <c r="H2084" s="1" t="s">
        <v>19</v>
      </c>
      <c r="I2084" s="1" t="s">
        <v>424</v>
      </c>
      <c r="J2084" s="1">
        <v>0.05</v>
      </c>
      <c r="K2084" s="1">
        <v>0.5</v>
      </c>
      <c r="L2084" s="42">
        <v>5</v>
      </c>
      <c r="M2084" s="43"/>
      <c r="N2084" s="1" t="e">
        <f>VLOOKUP(B2084,MICRO!E:L,8,0)</f>
        <v>#N/A</v>
      </c>
    </row>
    <row r="2085" spans="1:14" ht="20.25" x14ac:dyDescent="0.25">
      <c r="A2085" s="1">
        <v>80</v>
      </c>
      <c r="B2085" s="159"/>
      <c r="C2085" s="1" t="s">
        <v>1466</v>
      </c>
      <c r="D2085" s="1"/>
      <c r="E2085" s="1"/>
      <c r="F2085" s="1" t="s">
        <v>1480</v>
      </c>
      <c r="G2085" s="1">
        <v>16</v>
      </c>
      <c r="H2085" s="1" t="s">
        <v>19</v>
      </c>
      <c r="I2085" s="1" t="s">
        <v>425</v>
      </c>
      <c r="J2085" s="1">
        <v>0.05</v>
      </c>
      <c r="K2085" s="1">
        <v>0.8</v>
      </c>
      <c r="L2085" s="42">
        <v>5</v>
      </c>
      <c r="M2085" s="43"/>
      <c r="N2085" s="1" t="e">
        <f>VLOOKUP(B2085,MICRO!E:L,8,0)</f>
        <v>#N/A</v>
      </c>
    </row>
    <row r="2086" spans="1:14" ht="20.25" x14ac:dyDescent="0.25">
      <c r="A2086" s="1">
        <v>81</v>
      </c>
      <c r="B2086" s="159"/>
      <c r="C2086" s="1" t="s">
        <v>1428</v>
      </c>
      <c r="D2086" s="1"/>
      <c r="E2086" s="1"/>
      <c r="F2086" s="1" t="s">
        <v>1481</v>
      </c>
      <c r="G2086" s="1">
        <v>32</v>
      </c>
      <c r="H2086" s="1" t="s">
        <v>19</v>
      </c>
      <c r="I2086" s="1" t="s">
        <v>426</v>
      </c>
      <c r="J2086" s="1">
        <v>0.05</v>
      </c>
      <c r="K2086" s="1">
        <v>1.6</v>
      </c>
      <c r="L2086" s="42">
        <v>5</v>
      </c>
      <c r="M2086" s="43"/>
      <c r="N2086" s="1" t="e">
        <f>VLOOKUP(B2086,MICRO!E:L,8,0)</f>
        <v>#N/A</v>
      </c>
    </row>
    <row r="2087" spans="1:14" ht="20.25" x14ac:dyDescent="0.25">
      <c r="A2087" s="1">
        <v>82</v>
      </c>
      <c r="B2087" s="159"/>
      <c r="C2087" s="1" t="s">
        <v>1409</v>
      </c>
      <c r="D2087" s="1"/>
      <c r="E2087" s="1"/>
      <c r="F2087" s="1" t="s">
        <v>1482</v>
      </c>
      <c r="G2087" s="1">
        <v>4</v>
      </c>
      <c r="H2087" s="1" t="s">
        <v>19</v>
      </c>
      <c r="I2087" s="1" t="s">
        <v>426</v>
      </c>
      <c r="J2087" s="1">
        <v>0.05</v>
      </c>
      <c r="K2087" s="1">
        <v>0.2</v>
      </c>
      <c r="L2087" s="42">
        <v>5</v>
      </c>
      <c r="M2087" s="43"/>
      <c r="N2087" s="1" t="e">
        <f>VLOOKUP(B2087,MICRO!E:L,8,0)</f>
        <v>#N/A</v>
      </c>
    </row>
    <row r="2088" spans="1:14" ht="20.25" x14ac:dyDescent="0.25">
      <c r="A2088" s="1">
        <v>83</v>
      </c>
      <c r="B2088" s="159"/>
      <c r="C2088" s="1" t="s">
        <v>1432</v>
      </c>
      <c r="D2088" s="1"/>
      <c r="E2088" s="1"/>
      <c r="F2088" s="1" t="s">
        <v>1483</v>
      </c>
      <c r="G2088" s="1">
        <v>4</v>
      </c>
      <c r="H2088" s="1" t="s">
        <v>19</v>
      </c>
      <c r="I2088" s="1" t="s">
        <v>1484</v>
      </c>
      <c r="J2088" s="1">
        <v>0.05</v>
      </c>
      <c r="K2088" s="1">
        <v>0.2</v>
      </c>
      <c r="L2088" s="42">
        <v>5</v>
      </c>
      <c r="M2088" s="43"/>
      <c r="N2088" s="1" t="e">
        <f>VLOOKUP(B2088,MICRO!E:L,8,0)</f>
        <v>#N/A</v>
      </c>
    </row>
    <row r="2089" spans="1:14" ht="20.25" x14ac:dyDescent="0.25">
      <c r="A2089" s="1">
        <v>84</v>
      </c>
      <c r="B2089" s="159"/>
      <c r="C2089" s="1" t="s">
        <v>1485</v>
      </c>
      <c r="D2089" s="1"/>
      <c r="E2089" s="1"/>
      <c r="F2089" s="1" t="s">
        <v>1486</v>
      </c>
      <c r="G2089" s="1">
        <v>7</v>
      </c>
      <c r="H2089" s="1" t="s">
        <v>19</v>
      </c>
      <c r="I2089" s="1" t="s">
        <v>425</v>
      </c>
      <c r="J2089" s="1">
        <v>0.05</v>
      </c>
      <c r="K2089" s="1">
        <v>0.35000000000000003</v>
      </c>
      <c r="L2089" s="42">
        <v>5</v>
      </c>
      <c r="M2089" s="43"/>
      <c r="N2089" s="1" t="e">
        <f>VLOOKUP(B2089,MICRO!E:L,8,0)</f>
        <v>#N/A</v>
      </c>
    </row>
    <row r="2090" spans="1:14" ht="20.25" x14ac:dyDescent="0.25">
      <c r="A2090" s="1">
        <v>85</v>
      </c>
      <c r="B2090" s="159"/>
      <c r="C2090" s="1" t="s">
        <v>1460</v>
      </c>
      <c r="D2090" s="1"/>
      <c r="E2090" s="1"/>
      <c r="F2090" s="1" t="s">
        <v>1487</v>
      </c>
      <c r="G2090" s="1">
        <v>16</v>
      </c>
      <c r="H2090" s="1" t="s">
        <v>19</v>
      </c>
      <c r="I2090" s="1" t="s">
        <v>426</v>
      </c>
      <c r="J2090" s="1">
        <v>0.05</v>
      </c>
      <c r="K2090" s="1">
        <v>0.8</v>
      </c>
      <c r="L2090" s="42">
        <v>5</v>
      </c>
      <c r="M2090" s="43"/>
      <c r="N2090" s="1" t="e">
        <f>VLOOKUP(B2090,MICRO!E:L,8,0)</f>
        <v>#N/A</v>
      </c>
    </row>
    <row r="2091" spans="1:14" ht="20.25" x14ac:dyDescent="0.25">
      <c r="A2091" s="1">
        <v>86</v>
      </c>
      <c r="B2091" s="159"/>
      <c r="C2091" s="1" t="s">
        <v>1460</v>
      </c>
      <c r="D2091" s="1"/>
      <c r="E2091" s="1"/>
      <c r="F2091" s="1" t="s">
        <v>1487</v>
      </c>
      <c r="G2091" s="1">
        <v>10</v>
      </c>
      <c r="H2091" s="1" t="s">
        <v>19</v>
      </c>
      <c r="I2091" s="1" t="s">
        <v>426</v>
      </c>
      <c r="J2091" s="1">
        <v>0.05</v>
      </c>
      <c r="K2091" s="1">
        <v>0.5</v>
      </c>
      <c r="L2091" s="42">
        <v>5</v>
      </c>
      <c r="M2091" s="43"/>
      <c r="N2091" s="1" t="e">
        <f>VLOOKUP(B2091,MICRO!E:L,8,0)</f>
        <v>#N/A</v>
      </c>
    </row>
    <row r="2092" spans="1:14" ht="20.25" x14ac:dyDescent="0.25">
      <c r="A2092" s="1">
        <v>87</v>
      </c>
      <c r="B2092" s="159"/>
      <c r="C2092" s="1" t="s">
        <v>1445</v>
      </c>
      <c r="D2092" s="1"/>
      <c r="E2092" s="1"/>
      <c r="F2092" s="1" t="s">
        <v>1488</v>
      </c>
      <c r="G2092" s="1">
        <v>12</v>
      </c>
      <c r="H2092" s="1" t="s">
        <v>19</v>
      </c>
      <c r="I2092" s="1" t="s">
        <v>427</v>
      </c>
      <c r="J2092" s="1">
        <v>0.05</v>
      </c>
      <c r="K2092" s="1">
        <v>0.60000000000000009</v>
      </c>
      <c r="L2092" s="42">
        <v>5</v>
      </c>
      <c r="M2092" s="43"/>
      <c r="N2092" s="1" t="e">
        <f>VLOOKUP(B2092,MICRO!E:L,8,0)</f>
        <v>#N/A</v>
      </c>
    </row>
    <row r="2093" spans="1:14" ht="20.25" x14ac:dyDescent="0.25">
      <c r="A2093" s="1">
        <v>88</v>
      </c>
      <c r="B2093" s="159"/>
      <c r="C2093" s="1" t="s">
        <v>1470</v>
      </c>
      <c r="D2093" s="1"/>
      <c r="E2093" s="1"/>
      <c r="F2093" s="1" t="s">
        <v>1489</v>
      </c>
      <c r="G2093" s="1">
        <v>4</v>
      </c>
      <c r="H2093" s="1" t="s">
        <v>19</v>
      </c>
      <c r="I2093" s="1" t="s">
        <v>423</v>
      </c>
      <c r="J2093" s="1">
        <v>0.05</v>
      </c>
      <c r="K2093" s="1">
        <v>0.2</v>
      </c>
      <c r="L2093" s="42">
        <v>5</v>
      </c>
      <c r="M2093" s="43"/>
      <c r="N2093" s="1" t="e">
        <f>VLOOKUP(B2093,MICRO!E:L,8,0)</f>
        <v>#N/A</v>
      </c>
    </row>
    <row r="2094" spans="1:14" ht="20.25" x14ac:dyDescent="0.25">
      <c r="A2094" s="1">
        <v>89</v>
      </c>
      <c r="B2094" s="159"/>
      <c r="C2094" s="1" t="s">
        <v>1463</v>
      </c>
      <c r="D2094" s="1"/>
      <c r="E2094" s="1"/>
      <c r="F2094" s="1" t="s">
        <v>1490</v>
      </c>
      <c r="G2094" s="1">
        <v>40</v>
      </c>
      <c r="H2094" s="1" t="s">
        <v>19</v>
      </c>
      <c r="I2094" s="1" t="s">
        <v>425</v>
      </c>
      <c r="J2094" s="1">
        <v>0.05</v>
      </c>
      <c r="K2094" s="1">
        <v>2</v>
      </c>
      <c r="L2094" s="42">
        <v>5</v>
      </c>
      <c r="M2094" s="43"/>
      <c r="N2094" s="1" t="e">
        <f>VLOOKUP(B2094,MICRO!E:L,8,0)</f>
        <v>#N/A</v>
      </c>
    </row>
    <row r="2095" spans="1:14" ht="20.25" x14ac:dyDescent="0.25">
      <c r="A2095" s="1">
        <v>90</v>
      </c>
      <c r="B2095" s="159"/>
      <c r="C2095" s="1" t="s">
        <v>1468</v>
      </c>
      <c r="D2095" s="1"/>
      <c r="E2095" s="1"/>
      <c r="F2095" s="1" t="s">
        <v>1491</v>
      </c>
      <c r="G2095" s="1">
        <v>8</v>
      </c>
      <c r="H2095" s="1" t="s">
        <v>19</v>
      </c>
      <c r="I2095" s="1" t="s">
        <v>427</v>
      </c>
      <c r="J2095" s="1">
        <v>0.05</v>
      </c>
      <c r="K2095" s="1">
        <v>0.4</v>
      </c>
      <c r="L2095" s="42">
        <v>5</v>
      </c>
      <c r="M2095" s="43"/>
      <c r="N2095" s="1" t="e">
        <f>VLOOKUP(B2095,MICRO!E:L,8,0)</f>
        <v>#N/A</v>
      </c>
    </row>
    <row r="2096" spans="1:14" ht="20.25" x14ac:dyDescent="0.25">
      <c r="A2096" s="1">
        <v>91</v>
      </c>
      <c r="B2096" s="159"/>
      <c r="C2096" s="1" t="s">
        <v>1421</v>
      </c>
      <c r="D2096" s="1"/>
      <c r="E2096" s="1"/>
      <c r="F2096" s="1" t="s">
        <v>1492</v>
      </c>
      <c r="G2096" s="1">
        <v>8</v>
      </c>
      <c r="H2096" s="1" t="s">
        <v>19</v>
      </c>
      <c r="I2096" s="1" t="s">
        <v>1420</v>
      </c>
      <c r="J2096" s="1">
        <v>0.05</v>
      </c>
      <c r="K2096" s="1">
        <v>0.4</v>
      </c>
      <c r="L2096" s="42">
        <v>5</v>
      </c>
      <c r="M2096" s="43"/>
      <c r="N2096" s="1" t="e">
        <f>VLOOKUP(B2096,MICRO!E:L,8,0)</f>
        <v>#N/A</v>
      </c>
    </row>
    <row r="2097" spans="1:14" ht="20.25" x14ac:dyDescent="0.25">
      <c r="A2097" s="1">
        <v>92</v>
      </c>
      <c r="B2097" s="159"/>
      <c r="C2097" s="1" t="s">
        <v>1470</v>
      </c>
      <c r="D2097" s="1"/>
      <c r="E2097" s="1"/>
      <c r="F2097" s="1" t="s">
        <v>1493</v>
      </c>
      <c r="G2097" s="1">
        <v>16</v>
      </c>
      <c r="H2097" s="1" t="s">
        <v>19</v>
      </c>
      <c r="I2097" s="1" t="s">
        <v>423</v>
      </c>
      <c r="J2097" s="1">
        <v>0.05</v>
      </c>
      <c r="K2097" s="1">
        <v>0.8</v>
      </c>
      <c r="L2097" s="42">
        <v>5</v>
      </c>
      <c r="M2097" s="43"/>
      <c r="N2097" s="1" t="e">
        <f>VLOOKUP(B2097,MICRO!E:L,8,0)</f>
        <v>#N/A</v>
      </c>
    </row>
    <row r="2098" spans="1:14" ht="20.25" x14ac:dyDescent="0.25">
      <c r="A2098" s="1">
        <v>93</v>
      </c>
      <c r="B2098" s="159"/>
      <c r="C2098" s="1" t="s">
        <v>1409</v>
      </c>
      <c r="D2098" s="1"/>
      <c r="E2098" s="1"/>
      <c r="F2098" s="1" t="s">
        <v>1494</v>
      </c>
      <c r="G2098" s="1">
        <v>4</v>
      </c>
      <c r="H2098" s="1" t="s">
        <v>19</v>
      </c>
      <c r="I2098" s="1" t="s">
        <v>426</v>
      </c>
      <c r="J2098" s="1">
        <v>0.05</v>
      </c>
      <c r="K2098" s="1">
        <v>0.2</v>
      </c>
      <c r="L2098" s="42">
        <v>5</v>
      </c>
      <c r="M2098" s="43"/>
      <c r="N2098" s="1" t="e">
        <f>VLOOKUP(B2098,MICRO!E:L,8,0)</f>
        <v>#N/A</v>
      </c>
    </row>
    <row r="2099" spans="1:14" ht="20.25" x14ac:dyDescent="0.25">
      <c r="A2099" s="1">
        <v>94</v>
      </c>
      <c r="B2099" s="159"/>
      <c r="C2099" s="1" t="s">
        <v>1432</v>
      </c>
      <c r="D2099" s="1"/>
      <c r="E2099" s="1"/>
      <c r="F2099" s="1" t="s">
        <v>1495</v>
      </c>
      <c r="G2099" s="1">
        <v>6</v>
      </c>
      <c r="H2099" s="1" t="s">
        <v>19</v>
      </c>
      <c r="I2099" s="1" t="s">
        <v>1434</v>
      </c>
      <c r="J2099" s="1">
        <v>0.05</v>
      </c>
      <c r="K2099" s="1">
        <v>0.30000000000000004</v>
      </c>
      <c r="L2099" s="42">
        <v>5</v>
      </c>
      <c r="M2099" s="43"/>
      <c r="N2099" s="1" t="e">
        <f>VLOOKUP(B2099,MICRO!E:L,8,0)</f>
        <v>#N/A</v>
      </c>
    </row>
    <row r="2100" spans="1:14" ht="20.25" x14ac:dyDescent="0.25">
      <c r="A2100" s="1">
        <v>95</v>
      </c>
      <c r="B2100" s="159"/>
      <c r="C2100" s="1" t="s">
        <v>1460</v>
      </c>
      <c r="D2100" s="1"/>
      <c r="E2100" s="1"/>
      <c r="F2100" s="1" t="s">
        <v>1496</v>
      </c>
      <c r="G2100" s="1">
        <v>4</v>
      </c>
      <c r="H2100" s="1" t="s">
        <v>19</v>
      </c>
      <c r="I2100" s="1" t="s">
        <v>426</v>
      </c>
      <c r="J2100" s="1">
        <v>0.05</v>
      </c>
      <c r="K2100" s="1">
        <v>0.2</v>
      </c>
      <c r="L2100" s="42">
        <v>5</v>
      </c>
      <c r="M2100" s="43"/>
      <c r="N2100" s="1" t="e">
        <f>VLOOKUP(B2100,MICRO!E:L,8,0)</f>
        <v>#N/A</v>
      </c>
    </row>
    <row r="2101" spans="1:14" ht="20.25" x14ac:dyDescent="0.25">
      <c r="A2101" s="1">
        <v>96</v>
      </c>
      <c r="B2101" s="159"/>
      <c r="C2101" s="1" t="s">
        <v>1437</v>
      </c>
      <c r="D2101" s="1"/>
      <c r="E2101" s="1"/>
      <c r="F2101" s="1" t="s">
        <v>1497</v>
      </c>
      <c r="G2101" s="1">
        <v>8</v>
      </c>
      <c r="H2101" s="1" t="s">
        <v>19</v>
      </c>
      <c r="I2101" s="1" t="s">
        <v>426</v>
      </c>
      <c r="J2101" s="1">
        <v>0.05</v>
      </c>
      <c r="K2101" s="1">
        <v>0.4</v>
      </c>
      <c r="L2101" s="42">
        <v>5</v>
      </c>
      <c r="M2101" s="43"/>
      <c r="N2101" s="1" t="e">
        <f>VLOOKUP(B2101,MICRO!E:L,8,0)</f>
        <v>#N/A</v>
      </c>
    </row>
    <row r="2102" spans="1:14" ht="20.25" x14ac:dyDescent="0.25">
      <c r="A2102" s="1">
        <v>97</v>
      </c>
      <c r="B2102" s="159"/>
      <c r="C2102" s="1" t="s">
        <v>1418</v>
      </c>
      <c r="D2102" s="1"/>
      <c r="E2102" s="1"/>
      <c r="F2102" s="1" t="s">
        <v>1498</v>
      </c>
      <c r="G2102" s="1">
        <v>4</v>
      </c>
      <c r="H2102" s="1" t="s">
        <v>19</v>
      </c>
      <c r="I2102" s="1" t="s">
        <v>1420</v>
      </c>
      <c r="J2102" s="1">
        <v>0.05</v>
      </c>
      <c r="K2102" s="1">
        <v>0.2</v>
      </c>
      <c r="L2102" s="42">
        <v>5</v>
      </c>
      <c r="M2102" s="43"/>
      <c r="N2102" s="1" t="e">
        <f>VLOOKUP(B2102,MICRO!E:L,8,0)</f>
        <v>#N/A</v>
      </c>
    </row>
    <row r="2103" spans="1:14" ht="20.25" x14ac:dyDescent="0.25">
      <c r="A2103" s="1">
        <v>98</v>
      </c>
      <c r="B2103" s="159"/>
      <c r="C2103" s="1" t="s">
        <v>1499</v>
      </c>
      <c r="D2103" s="1"/>
      <c r="E2103" s="1"/>
      <c r="F2103" s="1" t="s">
        <v>1500</v>
      </c>
      <c r="G2103" s="1">
        <v>8</v>
      </c>
      <c r="H2103" s="1" t="s">
        <v>19</v>
      </c>
      <c r="I2103" s="1" t="s">
        <v>423</v>
      </c>
      <c r="J2103" s="1">
        <v>0.05</v>
      </c>
      <c r="K2103" s="1">
        <v>0.4</v>
      </c>
      <c r="L2103" s="42">
        <v>5</v>
      </c>
      <c r="M2103" s="43"/>
      <c r="N2103" s="1" t="e">
        <f>VLOOKUP(B2103,MICRO!E:L,8,0)</f>
        <v>#N/A</v>
      </c>
    </row>
    <row r="2104" spans="1:14" ht="20.25" x14ac:dyDescent="0.25">
      <c r="A2104" s="1">
        <v>99</v>
      </c>
      <c r="B2104" s="159"/>
      <c r="C2104" s="1" t="s">
        <v>1402</v>
      </c>
      <c r="D2104" s="1"/>
      <c r="E2104" s="1"/>
      <c r="F2104" s="1" t="s">
        <v>1501</v>
      </c>
      <c r="G2104" s="1">
        <v>8</v>
      </c>
      <c r="H2104" s="1" t="s">
        <v>19</v>
      </c>
      <c r="I2104" s="1" t="s">
        <v>1404</v>
      </c>
      <c r="J2104" s="1">
        <v>0.05</v>
      </c>
      <c r="K2104" s="1">
        <v>0.4</v>
      </c>
      <c r="L2104" s="42">
        <v>5</v>
      </c>
      <c r="M2104" s="43"/>
      <c r="N2104" s="1" t="e">
        <f>VLOOKUP(B2104,MICRO!E:L,8,0)</f>
        <v>#N/A</v>
      </c>
    </row>
    <row r="2105" spans="1:14" ht="20.25" x14ac:dyDescent="0.25">
      <c r="A2105" s="1">
        <v>100</v>
      </c>
      <c r="B2105" s="159"/>
      <c r="C2105" s="1" t="s">
        <v>1412</v>
      </c>
      <c r="D2105" s="1"/>
      <c r="E2105" s="1"/>
      <c r="F2105" s="1" t="s">
        <v>1502</v>
      </c>
      <c r="G2105" s="1">
        <v>8</v>
      </c>
      <c r="H2105" s="1" t="s">
        <v>19</v>
      </c>
      <c r="I2105" s="1" t="s">
        <v>427</v>
      </c>
      <c r="J2105" s="1">
        <v>0.05</v>
      </c>
      <c r="K2105" s="1">
        <v>0.4</v>
      </c>
      <c r="L2105" s="42">
        <v>5</v>
      </c>
      <c r="M2105" s="43"/>
      <c r="N2105" s="1" t="e">
        <f>VLOOKUP(B2105,MICRO!E:L,8,0)</f>
        <v>#N/A</v>
      </c>
    </row>
    <row r="2106" spans="1:14" ht="20.25" x14ac:dyDescent="0.25">
      <c r="A2106" s="1">
        <v>101</v>
      </c>
      <c r="B2106" s="159"/>
      <c r="C2106" s="1" t="s">
        <v>1416</v>
      </c>
      <c r="D2106" s="1"/>
      <c r="E2106" s="1"/>
      <c r="F2106" s="1" t="s">
        <v>1503</v>
      </c>
      <c r="G2106" s="1">
        <v>8</v>
      </c>
      <c r="H2106" s="1" t="s">
        <v>19</v>
      </c>
      <c r="I2106" s="1" t="s">
        <v>426</v>
      </c>
      <c r="J2106" s="1">
        <v>0.05</v>
      </c>
      <c r="K2106" s="1">
        <v>0.4</v>
      </c>
      <c r="L2106" s="42">
        <v>5</v>
      </c>
      <c r="M2106" s="43"/>
      <c r="N2106" s="1" t="e">
        <f>VLOOKUP(B2106,MICRO!E:L,8,0)</f>
        <v>#N/A</v>
      </c>
    </row>
    <row r="2107" spans="1:14" ht="20.25" x14ac:dyDescent="0.25">
      <c r="A2107" s="1">
        <v>102</v>
      </c>
      <c r="B2107" s="159"/>
      <c r="C2107" s="1" t="s">
        <v>1426</v>
      </c>
      <c r="D2107" s="1"/>
      <c r="E2107" s="1"/>
      <c r="F2107" s="1" t="s">
        <v>1504</v>
      </c>
      <c r="G2107" s="1">
        <v>8</v>
      </c>
      <c r="H2107" s="1" t="s">
        <v>19</v>
      </c>
      <c r="I2107" s="1" t="s">
        <v>424</v>
      </c>
      <c r="J2107" s="1">
        <v>0.05</v>
      </c>
      <c r="K2107" s="1">
        <v>0.4</v>
      </c>
      <c r="L2107" s="42">
        <v>5</v>
      </c>
      <c r="M2107" s="43"/>
      <c r="N2107" s="1" t="e">
        <f>VLOOKUP(B2107,MICRO!E:L,8,0)</f>
        <v>#N/A</v>
      </c>
    </row>
    <row r="2108" spans="1:14" ht="20.25" x14ac:dyDescent="0.25">
      <c r="A2108" s="1">
        <v>103</v>
      </c>
      <c r="B2108" s="159"/>
      <c r="C2108" s="1" t="s">
        <v>1407</v>
      </c>
      <c r="D2108" s="1"/>
      <c r="E2108" s="1"/>
      <c r="F2108" s="1" t="s">
        <v>1505</v>
      </c>
      <c r="G2108" s="1">
        <v>8</v>
      </c>
      <c r="H2108" s="1" t="s">
        <v>19</v>
      </c>
      <c r="I2108" s="1" t="s">
        <v>425</v>
      </c>
      <c r="J2108" s="1">
        <v>0.05</v>
      </c>
      <c r="K2108" s="1">
        <v>0.4</v>
      </c>
      <c r="L2108" s="42">
        <v>5</v>
      </c>
      <c r="M2108" s="43"/>
      <c r="N2108" s="1" t="e">
        <f>VLOOKUP(B2108,MICRO!E:L,8,0)</f>
        <v>#N/A</v>
      </c>
    </row>
    <row r="2109" spans="1:14" ht="20.25" x14ac:dyDescent="0.25">
      <c r="A2109" s="1">
        <v>104</v>
      </c>
      <c r="B2109" s="159"/>
      <c r="C2109" s="1" t="s">
        <v>1463</v>
      </c>
      <c r="D2109" s="1"/>
      <c r="E2109" s="1"/>
      <c r="F2109" s="1" t="s">
        <v>1506</v>
      </c>
      <c r="G2109" s="1">
        <v>16</v>
      </c>
      <c r="H2109" s="1" t="s">
        <v>19</v>
      </c>
      <c r="I2109" s="1" t="s">
        <v>425</v>
      </c>
      <c r="J2109" s="1">
        <v>0.05</v>
      </c>
      <c r="K2109" s="1">
        <v>0.8</v>
      </c>
      <c r="L2109" s="42">
        <v>5</v>
      </c>
      <c r="M2109" s="43"/>
      <c r="N2109" s="1" t="e">
        <f>VLOOKUP(B2109,MICRO!E:L,8,0)</f>
        <v>#N/A</v>
      </c>
    </row>
    <row r="2110" spans="1:14" ht="20.25" x14ac:dyDescent="0.25">
      <c r="A2110" s="1">
        <v>105</v>
      </c>
      <c r="B2110" s="159"/>
      <c r="C2110" s="1" t="s">
        <v>1463</v>
      </c>
      <c r="D2110" s="1"/>
      <c r="E2110" s="1"/>
      <c r="F2110" s="1" t="s">
        <v>1507</v>
      </c>
      <c r="G2110" s="1">
        <v>60</v>
      </c>
      <c r="H2110" s="1" t="s">
        <v>19</v>
      </c>
      <c r="I2110" s="1" t="s">
        <v>425</v>
      </c>
      <c r="J2110" s="1">
        <v>0.05</v>
      </c>
      <c r="K2110" s="1">
        <v>3</v>
      </c>
      <c r="L2110" s="42">
        <v>5</v>
      </c>
      <c r="M2110" s="43"/>
      <c r="N2110" s="1" t="e">
        <f>VLOOKUP(B2110,MICRO!E:L,8,0)</f>
        <v>#N/A</v>
      </c>
    </row>
    <row r="2111" spans="1:14" ht="20.25" x14ac:dyDescent="0.25">
      <c r="A2111" s="1">
        <v>106</v>
      </c>
      <c r="B2111" s="159"/>
      <c r="C2111" s="1" t="s">
        <v>1414</v>
      </c>
      <c r="D2111" s="1"/>
      <c r="E2111" s="1"/>
      <c r="F2111" s="1" t="s">
        <v>1508</v>
      </c>
      <c r="G2111" s="1">
        <v>4</v>
      </c>
      <c r="H2111" s="1" t="s">
        <v>19</v>
      </c>
      <c r="I2111" s="1" t="s">
        <v>423</v>
      </c>
      <c r="J2111" s="1">
        <v>0.03</v>
      </c>
      <c r="K2111" s="1">
        <v>0.12</v>
      </c>
      <c r="L2111" s="42">
        <v>5</v>
      </c>
      <c r="M2111" s="43"/>
      <c r="N2111" s="1" t="e">
        <f>VLOOKUP(B2111,MICRO!E:L,8,0)</f>
        <v>#N/A</v>
      </c>
    </row>
    <row r="2112" spans="1:14" ht="20.25" x14ac:dyDescent="0.25">
      <c r="A2112" s="1">
        <v>107</v>
      </c>
      <c r="B2112" s="159"/>
      <c r="C2112" s="1" t="s">
        <v>1402</v>
      </c>
      <c r="D2112" s="1"/>
      <c r="E2112" s="1"/>
      <c r="F2112" s="1" t="s">
        <v>1509</v>
      </c>
      <c r="G2112" s="1">
        <v>4</v>
      </c>
      <c r="H2112" s="1" t="s">
        <v>19</v>
      </c>
      <c r="I2112" s="1" t="s">
        <v>1404</v>
      </c>
      <c r="J2112" s="1">
        <v>0.03</v>
      </c>
      <c r="K2112" s="1">
        <v>0.12</v>
      </c>
      <c r="L2112" s="42">
        <v>5</v>
      </c>
      <c r="M2112" s="43"/>
      <c r="N2112" s="1" t="e">
        <f>VLOOKUP(B2112,MICRO!E:L,8,0)</f>
        <v>#N/A</v>
      </c>
    </row>
    <row r="2113" spans="1:14" ht="20.25" x14ac:dyDescent="0.25">
      <c r="A2113" s="1">
        <v>108</v>
      </c>
      <c r="B2113" s="159"/>
      <c r="C2113" s="1" t="s">
        <v>1412</v>
      </c>
      <c r="D2113" s="1"/>
      <c r="E2113" s="1"/>
      <c r="F2113" s="1" t="s">
        <v>1510</v>
      </c>
      <c r="G2113" s="1">
        <v>4</v>
      </c>
      <c r="H2113" s="1" t="s">
        <v>19</v>
      </c>
      <c r="I2113" s="1" t="s">
        <v>427</v>
      </c>
      <c r="J2113" s="1">
        <v>0.03</v>
      </c>
      <c r="K2113" s="1">
        <v>0.12</v>
      </c>
      <c r="L2113" s="42">
        <v>5</v>
      </c>
      <c r="M2113" s="43"/>
      <c r="N2113" s="1" t="e">
        <f>VLOOKUP(B2113,MICRO!E:L,8,0)</f>
        <v>#N/A</v>
      </c>
    </row>
    <row r="2114" spans="1:14" ht="20.25" x14ac:dyDescent="0.25">
      <c r="A2114" s="1">
        <v>109</v>
      </c>
      <c r="B2114" s="159"/>
      <c r="C2114" s="1" t="s">
        <v>1416</v>
      </c>
      <c r="D2114" s="1"/>
      <c r="E2114" s="1"/>
      <c r="F2114" s="1" t="s">
        <v>1511</v>
      </c>
      <c r="G2114" s="1">
        <v>4</v>
      </c>
      <c r="H2114" s="1" t="s">
        <v>19</v>
      </c>
      <c r="I2114" s="1" t="s">
        <v>426</v>
      </c>
      <c r="J2114" s="1">
        <v>0.03</v>
      </c>
      <c r="K2114" s="1">
        <v>0.12</v>
      </c>
      <c r="L2114" s="42">
        <v>5</v>
      </c>
      <c r="M2114" s="43"/>
      <c r="N2114" s="1" t="e">
        <f>VLOOKUP(B2114,MICRO!E:L,8,0)</f>
        <v>#N/A</v>
      </c>
    </row>
    <row r="2115" spans="1:14" ht="20.25" x14ac:dyDescent="0.25">
      <c r="A2115" s="1">
        <v>110</v>
      </c>
      <c r="B2115" s="159"/>
      <c r="C2115" s="1" t="s">
        <v>1463</v>
      </c>
      <c r="D2115" s="1"/>
      <c r="E2115" s="1"/>
      <c r="F2115" s="1" t="s">
        <v>1512</v>
      </c>
      <c r="G2115" s="1">
        <v>16</v>
      </c>
      <c r="H2115" s="1" t="s">
        <v>19</v>
      </c>
      <c r="I2115" s="1" t="s">
        <v>425</v>
      </c>
      <c r="J2115" s="1">
        <v>0.03</v>
      </c>
      <c r="K2115" s="1">
        <v>0.48</v>
      </c>
      <c r="L2115" s="42">
        <v>5</v>
      </c>
      <c r="M2115" s="43"/>
      <c r="N2115" s="1" t="e">
        <f>VLOOKUP(B2115,MICRO!E:L,8,0)</f>
        <v>#N/A</v>
      </c>
    </row>
    <row r="2116" spans="1:14" ht="20.25" x14ac:dyDescent="0.25">
      <c r="A2116" s="1">
        <v>111</v>
      </c>
      <c r="B2116" s="159"/>
      <c r="C2116" s="1" t="s">
        <v>1409</v>
      </c>
      <c r="D2116" s="1"/>
      <c r="E2116" s="1"/>
      <c r="F2116" s="1" t="s">
        <v>1513</v>
      </c>
      <c r="G2116" s="1">
        <v>12</v>
      </c>
      <c r="H2116" s="1" t="s">
        <v>19</v>
      </c>
      <c r="I2116" s="1" t="s">
        <v>426</v>
      </c>
      <c r="J2116" s="1">
        <v>0.03</v>
      </c>
      <c r="K2116" s="1">
        <v>0.36</v>
      </c>
      <c r="L2116" s="42">
        <v>5</v>
      </c>
      <c r="M2116" s="43"/>
      <c r="N2116" s="1" t="e">
        <f>VLOOKUP(B2116,MICRO!E:L,8,0)</f>
        <v>#N/A</v>
      </c>
    </row>
    <row r="2117" spans="1:14" ht="20.25" x14ac:dyDescent="0.25">
      <c r="A2117" s="1">
        <v>112</v>
      </c>
      <c r="B2117" s="159"/>
      <c r="C2117" s="1" t="s">
        <v>1460</v>
      </c>
      <c r="D2117" s="1"/>
      <c r="E2117" s="1"/>
      <c r="F2117" s="1" t="s">
        <v>1514</v>
      </c>
      <c r="G2117" s="1">
        <v>14</v>
      </c>
      <c r="H2117" s="1" t="s">
        <v>19</v>
      </c>
      <c r="I2117" s="1" t="s">
        <v>426</v>
      </c>
      <c r="J2117" s="1">
        <v>0.03</v>
      </c>
      <c r="K2117" s="1">
        <v>0.42</v>
      </c>
      <c r="L2117" s="42">
        <v>5</v>
      </c>
      <c r="M2117" s="43"/>
      <c r="N2117" s="1" t="e">
        <f>VLOOKUP(B2117,MICRO!E:L,8,0)</f>
        <v>#N/A</v>
      </c>
    </row>
    <row r="2118" spans="1:14" ht="20.25" x14ac:dyDescent="0.25">
      <c r="A2118" s="1">
        <v>113</v>
      </c>
      <c r="B2118" s="159"/>
      <c r="C2118" s="1" t="s">
        <v>1437</v>
      </c>
      <c r="D2118" s="1"/>
      <c r="E2118" s="1"/>
      <c r="F2118" s="1" t="s">
        <v>1515</v>
      </c>
      <c r="G2118" s="1">
        <v>16</v>
      </c>
      <c r="H2118" s="1" t="s">
        <v>19</v>
      </c>
      <c r="I2118" s="1" t="s">
        <v>426</v>
      </c>
      <c r="J2118" s="1">
        <v>0.03</v>
      </c>
      <c r="K2118" s="1">
        <v>0.48</v>
      </c>
      <c r="L2118" s="42">
        <v>5</v>
      </c>
      <c r="M2118" s="43"/>
      <c r="N2118" s="1" t="e">
        <f>VLOOKUP(B2118,MICRO!E:L,8,0)</f>
        <v>#N/A</v>
      </c>
    </row>
    <row r="2119" spans="1:14" ht="20.25" x14ac:dyDescent="0.25">
      <c r="A2119" s="1">
        <v>114</v>
      </c>
      <c r="B2119" s="159"/>
      <c r="C2119" s="1" t="s">
        <v>1304</v>
      </c>
      <c r="D2119" s="1"/>
      <c r="E2119" s="1"/>
      <c r="F2119" s="1" t="s">
        <v>1516</v>
      </c>
      <c r="G2119" s="1">
        <v>28</v>
      </c>
      <c r="H2119" s="1" t="s">
        <v>19</v>
      </c>
      <c r="I2119" s="1" t="s">
        <v>427</v>
      </c>
      <c r="J2119" s="1">
        <v>0.03</v>
      </c>
      <c r="K2119" s="1">
        <v>0.84</v>
      </c>
      <c r="L2119" s="42">
        <v>5</v>
      </c>
      <c r="M2119" s="43"/>
      <c r="N2119" s="1" t="e">
        <f>VLOOKUP(B2119,MICRO!E:L,8,0)</f>
        <v>#N/A</v>
      </c>
    </row>
    <row r="2120" spans="1:14" ht="20.25" x14ac:dyDescent="0.25">
      <c r="A2120" s="1">
        <v>115</v>
      </c>
      <c r="B2120" s="159"/>
      <c r="C2120" s="1" t="s">
        <v>1517</v>
      </c>
      <c r="D2120" s="1"/>
      <c r="E2120" s="1"/>
      <c r="F2120" s="1" t="s">
        <v>1518</v>
      </c>
      <c r="G2120" s="1">
        <v>14</v>
      </c>
      <c r="H2120" s="1" t="s">
        <v>19</v>
      </c>
      <c r="I2120" s="1" t="s">
        <v>1475</v>
      </c>
      <c r="J2120" s="1">
        <v>0.03</v>
      </c>
      <c r="K2120" s="1">
        <v>0.42</v>
      </c>
      <c r="L2120" s="42">
        <v>5</v>
      </c>
      <c r="M2120" s="43"/>
      <c r="N2120" s="1" t="e">
        <f>VLOOKUP(B2120,MICRO!E:L,8,0)</f>
        <v>#N/A</v>
      </c>
    </row>
    <row r="2121" spans="1:14" ht="20.25" x14ac:dyDescent="0.25">
      <c r="A2121" s="1">
        <v>116</v>
      </c>
      <c r="B2121" s="159"/>
      <c r="C2121" s="1" t="s">
        <v>1476</v>
      </c>
      <c r="D2121" s="1"/>
      <c r="E2121" s="1"/>
      <c r="F2121" s="1" t="s">
        <v>1519</v>
      </c>
      <c r="G2121" s="1">
        <v>14</v>
      </c>
      <c r="H2121" s="1" t="s">
        <v>19</v>
      </c>
      <c r="I2121" s="1" t="s">
        <v>1420</v>
      </c>
      <c r="J2121" s="1">
        <v>0.03</v>
      </c>
      <c r="K2121" s="1">
        <v>0.42</v>
      </c>
      <c r="L2121" s="42">
        <v>5</v>
      </c>
      <c r="M2121" s="43"/>
      <c r="N2121" s="1" t="e">
        <f>VLOOKUP(B2121,MICRO!E:L,8,0)</f>
        <v>#N/A</v>
      </c>
    </row>
    <row r="2122" spans="1:14" ht="20.25" x14ac:dyDescent="0.25">
      <c r="A2122" s="1">
        <v>117</v>
      </c>
      <c r="B2122" s="159"/>
      <c r="C2122" s="1" t="s">
        <v>1421</v>
      </c>
      <c r="D2122" s="1"/>
      <c r="E2122" s="1"/>
      <c r="F2122" s="1" t="s">
        <v>1520</v>
      </c>
      <c r="G2122" s="1">
        <v>16</v>
      </c>
      <c r="H2122" s="1" t="s">
        <v>19</v>
      </c>
      <c r="I2122" s="1" t="s">
        <v>1420</v>
      </c>
      <c r="J2122" s="1">
        <v>0.03</v>
      </c>
      <c r="K2122" s="1">
        <v>0.48</v>
      </c>
      <c r="L2122" s="42">
        <v>5</v>
      </c>
      <c r="M2122" s="43"/>
      <c r="N2122" s="1" t="e">
        <f>VLOOKUP(B2122,MICRO!E:L,8,0)</f>
        <v>#N/A</v>
      </c>
    </row>
    <row r="2123" spans="1:14" ht="20.25" x14ac:dyDescent="0.25">
      <c r="A2123" s="1">
        <v>118</v>
      </c>
      <c r="B2123" s="159"/>
      <c r="C2123" s="1" t="s">
        <v>1470</v>
      </c>
      <c r="D2123" s="1"/>
      <c r="E2123" s="1"/>
      <c r="F2123" s="1" t="s">
        <v>1521</v>
      </c>
      <c r="G2123" s="1">
        <v>36</v>
      </c>
      <c r="H2123" s="1" t="s">
        <v>19</v>
      </c>
      <c r="I2123" s="1" t="s">
        <v>423</v>
      </c>
      <c r="J2123" s="1">
        <v>0.03</v>
      </c>
      <c r="K2123" s="1">
        <v>1.08</v>
      </c>
      <c r="L2123" s="42">
        <v>5</v>
      </c>
      <c r="M2123" s="43"/>
      <c r="N2123" s="1" t="e">
        <f>VLOOKUP(B2123,MICRO!E:L,8,0)</f>
        <v>#N/A</v>
      </c>
    </row>
    <row r="2124" spans="1:14" ht="20.25" x14ac:dyDescent="0.25">
      <c r="A2124" s="1">
        <v>119</v>
      </c>
      <c r="B2124" s="159"/>
      <c r="C2124" s="1" t="s">
        <v>1423</v>
      </c>
      <c r="D2124" s="1"/>
      <c r="E2124" s="1"/>
      <c r="F2124" s="1" t="s">
        <v>1522</v>
      </c>
      <c r="G2124" s="1">
        <v>28</v>
      </c>
      <c r="H2124" s="1" t="s">
        <v>19</v>
      </c>
      <c r="I2124" s="1" t="s">
        <v>423</v>
      </c>
      <c r="J2124" s="1">
        <v>0.03</v>
      </c>
      <c r="K2124" s="1">
        <v>0.84</v>
      </c>
      <c r="L2124" s="42">
        <v>5</v>
      </c>
      <c r="M2124" s="43"/>
      <c r="N2124" s="1" t="e">
        <f>VLOOKUP(B2124,MICRO!E:L,8,0)</f>
        <v>#N/A</v>
      </c>
    </row>
    <row r="2125" spans="1:14" ht="20.25" x14ac:dyDescent="0.25">
      <c r="A2125" s="1">
        <v>120</v>
      </c>
      <c r="B2125" s="159"/>
      <c r="C2125" s="1" t="s">
        <v>1222</v>
      </c>
      <c r="D2125" s="1"/>
      <c r="E2125" s="1"/>
      <c r="F2125" s="1" t="s">
        <v>1523</v>
      </c>
      <c r="G2125" s="1">
        <v>44</v>
      </c>
      <c r="H2125" s="1" t="s">
        <v>19</v>
      </c>
      <c r="I2125" s="1" t="s">
        <v>423</v>
      </c>
      <c r="J2125" s="1">
        <v>0.03</v>
      </c>
      <c r="K2125" s="1">
        <v>1.3199999999999998</v>
      </c>
      <c r="L2125" s="42">
        <v>5</v>
      </c>
      <c r="M2125" s="43"/>
      <c r="N2125" s="1" t="e">
        <f>VLOOKUP(B2125,MICRO!E:L,8,0)</f>
        <v>#N/A</v>
      </c>
    </row>
    <row r="2126" spans="1:14" ht="20.25" x14ac:dyDescent="0.25">
      <c r="A2126" s="1">
        <v>121</v>
      </c>
      <c r="B2126" s="159"/>
      <c r="C2126" s="1" t="s">
        <v>1426</v>
      </c>
      <c r="D2126" s="1"/>
      <c r="E2126" s="1"/>
      <c r="F2126" s="1" t="s">
        <v>1524</v>
      </c>
      <c r="G2126" s="1">
        <v>10</v>
      </c>
      <c r="H2126" s="1" t="s">
        <v>19</v>
      </c>
      <c r="I2126" s="1" t="s">
        <v>424</v>
      </c>
      <c r="J2126" s="1">
        <v>0.03</v>
      </c>
      <c r="K2126" s="1">
        <v>0.3</v>
      </c>
      <c r="L2126" s="42">
        <v>5</v>
      </c>
      <c r="M2126" s="43"/>
      <c r="N2126" s="1" t="e">
        <f>VLOOKUP(B2126,MICRO!E:L,8,0)</f>
        <v>#N/A</v>
      </c>
    </row>
    <row r="2127" spans="1:14" ht="20.25" x14ac:dyDescent="0.25">
      <c r="A2127" s="1">
        <v>122</v>
      </c>
      <c r="B2127" s="159"/>
      <c r="C2127" s="1" t="s">
        <v>1407</v>
      </c>
      <c r="D2127" s="1"/>
      <c r="E2127" s="1"/>
      <c r="F2127" s="1" t="s">
        <v>1525</v>
      </c>
      <c r="G2127" s="1">
        <v>16</v>
      </c>
      <c r="H2127" s="1" t="s">
        <v>19</v>
      </c>
      <c r="I2127" s="1" t="s">
        <v>425</v>
      </c>
      <c r="J2127" s="1">
        <v>0.03</v>
      </c>
      <c r="K2127" s="1">
        <v>0.48</v>
      </c>
      <c r="L2127" s="42">
        <v>5</v>
      </c>
      <c r="M2127" s="43"/>
      <c r="N2127" s="1" t="e">
        <f>VLOOKUP(B2127,MICRO!E:L,8,0)</f>
        <v>#N/A</v>
      </c>
    </row>
    <row r="2128" spans="1:14" ht="20.25" x14ac:dyDescent="0.25">
      <c r="A2128" s="1">
        <v>123</v>
      </c>
      <c r="B2128" s="159"/>
      <c r="C2128" s="1" t="s">
        <v>1428</v>
      </c>
      <c r="D2128" s="1"/>
      <c r="E2128" s="1"/>
      <c r="F2128" s="1" t="s">
        <v>1526</v>
      </c>
      <c r="G2128" s="1">
        <v>32</v>
      </c>
      <c r="H2128" s="1" t="s">
        <v>19</v>
      </c>
      <c r="I2128" s="1" t="s">
        <v>426</v>
      </c>
      <c r="J2128" s="1">
        <v>0.03</v>
      </c>
      <c r="K2128" s="1">
        <v>0.96</v>
      </c>
      <c r="L2128" s="42">
        <v>5</v>
      </c>
      <c r="M2128" s="43"/>
      <c r="N2128" s="1" t="e">
        <f>VLOOKUP(B2128,MICRO!E:L,8,0)</f>
        <v>#N/A</v>
      </c>
    </row>
    <row r="2129" spans="1:14" ht="20.25" x14ac:dyDescent="0.25">
      <c r="A2129" s="1">
        <v>124</v>
      </c>
      <c r="B2129" s="159"/>
      <c r="C2129" s="1" t="s">
        <v>1218</v>
      </c>
      <c r="D2129" s="1"/>
      <c r="E2129" s="1"/>
      <c r="F2129" s="1" t="s">
        <v>1527</v>
      </c>
      <c r="G2129" s="1">
        <v>16</v>
      </c>
      <c r="H2129" s="1" t="s">
        <v>19</v>
      </c>
      <c r="I2129" s="1" t="s">
        <v>424</v>
      </c>
      <c r="J2129" s="1">
        <v>0.03</v>
      </c>
      <c r="K2129" s="1">
        <v>0.48</v>
      </c>
      <c r="L2129" s="42">
        <v>5</v>
      </c>
      <c r="M2129" s="43"/>
      <c r="N2129" s="1" t="e">
        <f>VLOOKUP(B2129,MICRO!E:L,8,0)</f>
        <v>#N/A</v>
      </c>
    </row>
    <row r="2130" spans="1:14" ht="20.25" x14ac:dyDescent="0.25">
      <c r="A2130" s="1">
        <v>125</v>
      </c>
      <c r="B2130" s="159"/>
      <c r="C2130" s="1" t="s">
        <v>1528</v>
      </c>
      <c r="D2130" s="1"/>
      <c r="E2130" s="1"/>
      <c r="F2130" s="1" t="s">
        <v>1529</v>
      </c>
      <c r="G2130" s="1">
        <v>16</v>
      </c>
      <c r="H2130" s="1" t="s">
        <v>19</v>
      </c>
      <c r="I2130" s="1" t="s">
        <v>425</v>
      </c>
      <c r="J2130" s="1">
        <v>0.03</v>
      </c>
      <c r="K2130" s="1">
        <v>0.48</v>
      </c>
      <c r="L2130" s="42">
        <v>5</v>
      </c>
      <c r="M2130" s="43"/>
      <c r="N2130" s="1" t="e">
        <f>VLOOKUP(B2130,MICRO!E:L,8,0)</f>
        <v>#N/A</v>
      </c>
    </row>
    <row r="2131" spans="1:14" ht="20.25" x14ac:dyDescent="0.25">
      <c r="A2131" s="1">
        <v>126</v>
      </c>
      <c r="B2131" s="159"/>
      <c r="C2131" s="1" t="s">
        <v>1432</v>
      </c>
      <c r="D2131" s="1"/>
      <c r="E2131" s="1"/>
      <c r="F2131" s="1" t="s">
        <v>1530</v>
      </c>
      <c r="G2131" s="1">
        <v>16</v>
      </c>
      <c r="H2131" s="1" t="s">
        <v>19</v>
      </c>
      <c r="I2131" s="1" t="s">
        <v>1434</v>
      </c>
      <c r="J2131" s="1">
        <v>0.03</v>
      </c>
      <c r="K2131" s="1">
        <v>0.48</v>
      </c>
      <c r="L2131" s="42">
        <v>5</v>
      </c>
      <c r="M2131" s="43"/>
      <c r="N2131" s="1" t="e">
        <f>VLOOKUP(B2131,MICRO!E:L,8,0)</f>
        <v>#N/A</v>
      </c>
    </row>
    <row r="2132" spans="1:14" ht="20.25" x14ac:dyDescent="0.25">
      <c r="A2132" s="1">
        <v>127</v>
      </c>
      <c r="B2132" s="159"/>
      <c r="C2132" s="1" t="s">
        <v>1437</v>
      </c>
      <c r="D2132" s="1"/>
      <c r="E2132" s="1"/>
      <c r="F2132" s="1" t="s">
        <v>1531</v>
      </c>
      <c r="G2132" s="1">
        <v>7</v>
      </c>
      <c r="H2132" s="1" t="s">
        <v>19</v>
      </c>
      <c r="I2132" s="1" t="s">
        <v>426</v>
      </c>
      <c r="J2132" s="1">
        <v>0.03</v>
      </c>
      <c r="K2132" s="1">
        <v>0.21</v>
      </c>
      <c r="L2132" s="42">
        <v>5</v>
      </c>
      <c r="M2132" s="43"/>
      <c r="N2132" s="1" t="e">
        <f>VLOOKUP(B2132,MICRO!E:L,8,0)</f>
        <v>#N/A</v>
      </c>
    </row>
    <row r="2133" spans="1:14" ht="20.25" x14ac:dyDescent="0.25">
      <c r="A2133" s="1">
        <v>128</v>
      </c>
      <c r="B2133" s="159"/>
      <c r="C2133" s="1" t="s">
        <v>1468</v>
      </c>
      <c r="D2133" s="1"/>
      <c r="E2133" s="1"/>
      <c r="F2133" s="1" t="s">
        <v>1532</v>
      </c>
      <c r="G2133" s="1">
        <v>20</v>
      </c>
      <c r="H2133" s="1" t="s">
        <v>19</v>
      </c>
      <c r="I2133" s="1" t="s">
        <v>427</v>
      </c>
      <c r="J2133" s="1">
        <v>0.03</v>
      </c>
      <c r="K2133" s="1">
        <v>0.6</v>
      </c>
      <c r="L2133" s="42">
        <v>5</v>
      </c>
      <c r="M2133" s="43"/>
      <c r="N2133" s="1" t="e">
        <f>VLOOKUP(B2133,MICRO!E:L,8,0)</f>
        <v>#N/A</v>
      </c>
    </row>
    <row r="2134" spans="1:14" ht="20.25" x14ac:dyDescent="0.25">
      <c r="A2134" s="1">
        <v>129</v>
      </c>
      <c r="B2134" s="159"/>
      <c r="C2134" s="1" t="s">
        <v>1439</v>
      </c>
      <c r="D2134" s="1"/>
      <c r="E2134" s="1"/>
      <c r="F2134" s="1" t="s">
        <v>1533</v>
      </c>
      <c r="G2134" s="1">
        <v>32</v>
      </c>
      <c r="H2134" s="1" t="s">
        <v>19</v>
      </c>
      <c r="I2134" s="1" t="s">
        <v>426</v>
      </c>
      <c r="J2134" s="1">
        <v>0.03</v>
      </c>
      <c r="K2134" s="1">
        <v>0.96</v>
      </c>
      <c r="L2134" s="42">
        <v>5</v>
      </c>
      <c r="M2134" s="43"/>
      <c r="N2134" s="1" t="e">
        <f>VLOOKUP(B2134,MICRO!E:L,8,0)</f>
        <v>#N/A</v>
      </c>
    </row>
    <row r="2135" spans="1:14" ht="20.25" x14ac:dyDescent="0.25">
      <c r="A2135" s="1">
        <v>130</v>
      </c>
      <c r="B2135" s="159"/>
      <c r="C2135" s="1" t="s">
        <v>1441</v>
      </c>
      <c r="D2135" s="1"/>
      <c r="E2135" s="1"/>
      <c r="F2135" s="1" t="s">
        <v>1534</v>
      </c>
      <c r="G2135" s="1">
        <v>24</v>
      </c>
      <c r="H2135" s="1" t="s">
        <v>19</v>
      </c>
      <c r="I2135" s="1" t="s">
        <v>426</v>
      </c>
      <c r="J2135" s="1">
        <v>0.03</v>
      </c>
      <c r="K2135" s="1">
        <v>0.72</v>
      </c>
      <c r="L2135" s="42">
        <v>5</v>
      </c>
      <c r="M2135" s="43"/>
      <c r="N2135" s="1" t="e">
        <f>VLOOKUP(B2135,MICRO!E:L,8,0)</f>
        <v>#N/A</v>
      </c>
    </row>
    <row r="2136" spans="1:14" ht="20.25" x14ac:dyDescent="0.25">
      <c r="A2136" s="1">
        <v>131</v>
      </c>
      <c r="B2136" s="159"/>
      <c r="C2136" s="1" t="s">
        <v>1310</v>
      </c>
      <c r="D2136" s="1"/>
      <c r="E2136" s="1"/>
      <c r="F2136" s="1" t="s">
        <v>1535</v>
      </c>
      <c r="G2136" s="1">
        <v>24</v>
      </c>
      <c r="H2136" s="1" t="s">
        <v>19</v>
      </c>
      <c r="I2136" s="1" t="s">
        <v>426</v>
      </c>
      <c r="J2136" s="1">
        <v>0.03</v>
      </c>
      <c r="K2136" s="1">
        <v>0.72</v>
      </c>
      <c r="L2136" s="42">
        <v>5</v>
      </c>
      <c r="M2136" s="43"/>
      <c r="N2136" s="1" t="e">
        <f>VLOOKUP(B2136,MICRO!E:L,8,0)</f>
        <v>#N/A</v>
      </c>
    </row>
    <row r="2137" spans="1:14" ht="20.25" x14ac:dyDescent="0.25">
      <c r="A2137" s="1">
        <v>132</v>
      </c>
      <c r="B2137" s="159"/>
      <c r="C2137" s="1" t="s">
        <v>1445</v>
      </c>
      <c r="D2137" s="1"/>
      <c r="E2137" s="1"/>
      <c r="F2137" s="1" t="s">
        <v>1536</v>
      </c>
      <c r="G2137" s="1">
        <v>12</v>
      </c>
      <c r="H2137" s="1" t="s">
        <v>19</v>
      </c>
      <c r="I2137" s="1" t="s">
        <v>427</v>
      </c>
      <c r="J2137" s="1">
        <v>0.03</v>
      </c>
      <c r="K2137" s="1">
        <v>0.36</v>
      </c>
      <c r="L2137" s="42">
        <v>5</v>
      </c>
      <c r="M2137" s="43"/>
      <c r="N2137" s="1" t="e">
        <f>VLOOKUP(B2137,MICRO!E:L,8,0)</f>
        <v>#N/A</v>
      </c>
    </row>
    <row r="2138" spans="1:14" ht="20.25" x14ac:dyDescent="0.25">
      <c r="A2138" s="1">
        <v>133</v>
      </c>
      <c r="B2138" s="159"/>
      <c r="C2138" s="1" t="s">
        <v>1437</v>
      </c>
      <c r="D2138" s="1"/>
      <c r="E2138" s="1"/>
      <c r="F2138" s="1" t="s">
        <v>1537</v>
      </c>
      <c r="G2138" s="1">
        <v>16</v>
      </c>
      <c r="H2138" s="1" t="s">
        <v>19</v>
      </c>
      <c r="I2138" s="1" t="s">
        <v>426</v>
      </c>
      <c r="J2138" s="1">
        <v>0.03</v>
      </c>
      <c r="K2138" s="1">
        <v>0.48</v>
      </c>
      <c r="L2138" s="42">
        <v>5</v>
      </c>
      <c r="M2138" s="43"/>
      <c r="N2138" s="1" t="e">
        <f>VLOOKUP(B2138,MICRO!E:L,8,0)</f>
        <v>#N/A</v>
      </c>
    </row>
    <row r="2139" spans="1:14" ht="20.25" x14ac:dyDescent="0.25">
      <c r="A2139" s="1">
        <v>134</v>
      </c>
      <c r="B2139" s="159"/>
      <c r="C2139" s="1" t="s">
        <v>1414</v>
      </c>
      <c r="D2139" s="1"/>
      <c r="E2139" s="1"/>
      <c r="F2139" s="1" t="s">
        <v>1538</v>
      </c>
      <c r="G2139" s="1">
        <v>8</v>
      </c>
      <c r="H2139" s="1" t="s">
        <v>19</v>
      </c>
      <c r="I2139" s="1" t="s">
        <v>423</v>
      </c>
      <c r="J2139" s="1">
        <v>0.03</v>
      </c>
      <c r="K2139" s="1">
        <v>0.24</v>
      </c>
      <c r="L2139" s="42">
        <v>5</v>
      </c>
      <c r="M2139" s="43"/>
      <c r="N2139" s="1" t="e">
        <f>VLOOKUP(B2139,MICRO!E:L,8,0)</f>
        <v>#N/A</v>
      </c>
    </row>
    <row r="2140" spans="1:14" ht="20.25" x14ac:dyDescent="0.25">
      <c r="A2140" s="1">
        <v>135</v>
      </c>
      <c r="B2140" s="159"/>
      <c r="C2140" s="1" t="s">
        <v>1402</v>
      </c>
      <c r="D2140" s="1"/>
      <c r="E2140" s="1"/>
      <c r="F2140" s="1" t="s">
        <v>1539</v>
      </c>
      <c r="G2140" s="1">
        <v>8</v>
      </c>
      <c r="H2140" s="1" t="s">
        <v>19</v>
      </c>
      <c r="I2140" s="1" t="s">
        <v>1404</v>
      </c>
      <c r="J2140" s="1">
        <v>0.03</v>
      </c>
      <c r="K2140" s="1">
        <v>0.24</v>
      </c>
      <c r="L2140" s="42">
        <v>5</v>
      </c>
      <c r="M2140" s="43"/>
      <c r="N2140" s="1" t="e">
        <f>VLOOKUP(B2140,MICRO!E:L,8,0)</f>
        <v>#N/A</v>
      </c>
    </row>
    <row r="2141" spans="1:14" ht="20.25" x14ac:dyDescent="0.25">
      <c r="A2141" s="1">
        <v>136</v>
      </c>
      <c r="B2141" s="159"/>
      <c r="C2141" s="1" t="s">
        <v>1412</v>
      </c>
      <c r="D2141" s="1"/>
      <c r="E2141" s="1"/>
      <c r="F2141" s="1" t="s">
        <v>1540</v>
      </c>
      <c r="G2141" s="1">
        <v>12</v>
      </c>
      <c r="H2141" s="1" t="s">
        <v>19</v>
      </c>
      <c r="I2141" s="1" t="s">
        <v>427</v>
      </c>
      <c r="J2141" s="1">
        <v>0.03</v>
      </c>
      <c r="K2141" s="1">
        <v>0.36</v>
      </c>
      <c r="L2141" s="42">
        <v>5</v>
      </c>
      <c r="M2141" s="43"/>
      <c r="N2141" s="1" t="e">
        <f>VLOOKUP(B2141,MICRO!E:L,8,0)</f>
        <v>#N/A</v>
      </c>
    </row>
    <row r="2142" spans="1:14" ht="20.25" x14ac:dyDescent="0.25">
      <c r="A2142" s="1">
        <v>137</v>
      </c>
      <c r="B2142" s="159"/>
      <c r="C2142" s="1" t="s">
        <v>1416</v>
      </c>
      <c r="D2142" s="1"/>
      <c r="E2142" s="1"/>
      <c r="F2142" s="1" t="s">
        <v>1541</v>
      </c>
      <c r="G2142" s="1">
        <v>8</v>
      </c>
      <c r="H2142" s="1" t="s">
        <v>19</v>
      </c>
      <c r="I2142" s="1" t="s">
        <v>426</v>
      </c>
      <c r="J2142" s="1">
        <v>0.03</v>
      </c>
      <c r="K2142" s="1">
        <v>0.24</v>
      </c>
      <c r="L2142" s="42">
        <v>5</v>
      </c>
      <c r="M2142" s="43"/>
      <c r="N2142" s="1" t="e">
        <f>VLOOKUP(B2142,MICRO!E:L,8,0)</f>
        <v>#N/A</v>
      </c>
    </row>
    <row r="2143" spans="1:14" ht="20.25" x14ac:dyDescent="0.25">
      <c r="A2143" s="1">
        <v>138</v>
      </c>
      <c r="B2143" s="159"/>
      <c r="C2143" s="1" t="s">
        <v>1476</v>
      </c>
      <c r="D2143" s="1"/>
      <c r="E2143" s="1"/>
      <c r="F2143" s="1" t="s">
        <v>1542</v>
      </c>
      <c r="G2143" s="1">
        <v>16</v>
      </c>
      <c r="H2143" s="1" t="s">
        <v>19</v>
      </c>
      <c r="I2143" s="1" t="s">
        <v>1420</v>
      </c>
      <c r="J2143" s="1">
        <v>0.03</v>
      </c>
      <c r="K2143" s="1">
        <v>0.48</v>
      </c>
      <c r="L2143" s="42">
        <v>5</v>
      </c>
      <c r="M2143" s="43"/>
      <c r="N2143" s="1" t="e">
        <f>VLOOKUP(B2143,MICRO!E:L,8,0)</f>
        <v>#N/A</v>
      </c>
    </row>
    <row r="2144" spans="1:14" ht="20.25" x14ac:dyDescent="0.25">
      <c r="A2144" s="1">
        <v>139</v>
      </c>
      <c r="B2144" s="159"/>
      <c r="C2144" s="1" t="s">
        <v>1476</v>
      </c>
      <c r="D2144" s="1"/>
      <c r="E2144" s="1"/>
      <c r="F2144" s="1" t="s">
        <v>1542</v>
      </c>
      <c r="G2144" s="1">
        <v>16</v>
      </c>
      <c r="H2144" s="1" t="s">
        <v>19</v>
      </c>
      <c r="I2144" s="1" t="s">
        <v>1420</v>
      </c>
      <c r="J2144" s="1">
        <v>0.03</v>
      </c>
      <c r="K2144" s="1">
        <v>0.48</v>
      </c>
      <c r="L2144" s="42">
        <v>5</v>
      </c>
      <c r="M2144" s="43"/>
      <c r="N2144" s="1" t="e">
        <f>VLOOKUP(B2144,MICRO!E:L,8,0)</f>
        <v>#N/A</v>
      </c>
    </row>
    <row r="2145" spans="1:14" ht="20.25" x14ac:dyDescent="0.25">
      <c r="A2145" s="1">
        <v>140</v>
      </c>
      <c r="B2145" s="159"/>
      <c r="C2145" s="1" t="s">
        <v>1421</v>
      </c>
      <c r="D2145" s="1"/>
      <c r="E2145" s="1"/>
      <c r="F2145" s="1" t="s">
        <v>1543</v>
      </c>
      <c r="G2145" s="1">
        <v>16</v>
      </c>
      <c r="H2145" s="1" t="s">
        <v>19</v>
      </c>
      <c r="I2145" s="1" t="s">
        <v>1420</v>
      </c>
      <c r="J2145" s="1">
        <v>0.03</v>
      </c>
      <c r="K2145" s="1">
        <v>0.48</v>
      </c>
      <c r="L2145" s="42">
        <v>5</v>
      </c>
      <c r="M2145" s="43"/>
      <c r="N2145" s="1" t="e">
        <f>VLOOKUP(B2145,MICRO!E:L,8,0)</f>
        <v>#N/A</v>
      </c>
    </row>
    <row r="2146" spans="1:14" ht="20.25" x14ac:dyDescent="0.25">
      <c r="A2146" s="1">
        <v>141</v>
      </c>
      <c r="B2146" s="159"/>
      <c r="C2146" s="1" t="s">
        <v>1414</v>
      </c>
      <c r="D2146" s="1"/>
      <c r="E2146" s="1"/>
      <c r="F2146" s="1" t="s">
        <v>1544</v>
      </c>
      <c r="G2146" s="1">
        <v>8</v>
      </c>
      <c r="H2146" s="1" t="s">
        <v>19</v>
      </c>
      <c r="I2146" s="1" t="s">
        <v>423</v>
      </c>
      <c r="J2146" s="1">
        <v>0.03</v>
      </c>
      <c r="K2146" s="1">
        <v>0.24</v>
      </c>
      <c r="L2146" s="42">
        <v>5</v>
      </c>
      <c r="M2146" s="43"/>
      <c r="N2146" s="1" t="e">
        <f>VLOOKUP(B2146,MICRO!E:L,8,0)</f>
        <v>#N/A</v>
      </c>
    </row>
    <row r="2147" spans="1:14" ht="20.25" x14ac:dyDescent="0.25">
      <c r="A2147" s="1">
        <v>142</v>
      </c>
      <c r="B2147" s="159"/>
      <c r="C2147" s="1" t="s">
        <v>1402</v>
      </c>
      <c r="D2147" s="1"/>
      <c r="E2147" s="1"/>
      <c r="F2147" s="1" t="s">
        <v>1545</v>
      </c>
      <c r="G2147" s="1">
        <v>8</v>
      </c>
      <c r="H2147" s="1" t="s">
        <v>19</v>
      </c>
      <c r="I2147" s="1" t="s">
        <v>1404</v>
      </c>
      <c r="J2147" s="1">
        <v>0.03</v>
      </c>
      <c r="K2147" s="1">
        <v>0.24</v>
      </c>
      <c r="L2147" s="42">
        <v>5</v>
      </c>
      <c r="M2147" s="43"/>
      <c r="N2147" s="1" t="e">
        <f>VLOOKUP(B2147,MICRO!E:L,8,0)</f>
        <v>#N/A</v>
      </c>
    </row>
    <row r="2148" spans="1:14" ht="20.25" x14ac:dyDescent="0.25">
      <c r="A2148" s="1">
        <v>143</v>
      </c>
      <c r="B2148" s="159"/>
      <c r="C2148" s="1" t="s">
        <v>1412</v>
      </c>
      <c r="D2148" s="1"/>
      <c r="E2148" s="1"/>
      <c r="F2148" s="1" t="s">
        <v>1546</v>
      </c>
      <c r="G2148" s="1">
        <v>8</v>
      </c>
      <c r="H2148" s="1" t="s">
        <v>19</v>
      </c>
      <c r="I2148" s="1" t="s">
        <v>427</v>
      </c>
      <c r="J2148" s="1">
        <v>0.03</v>
      </c>
      <c r="K2148" s="1">
        <v>0.24</v>
      </c>
      <c r="L2148" s="42">
        <v>5</v>
      </c>
      <c r="M2148" s="43"/>
      <c r="N2148" s="1" t="e">
        <f>VLOOKUP(B2148,MICRO!E:L,8,0)</f>
        <v>#N/A</v>
      </c>
    </row>
    <row r="2149" spans="1:14" ht="20.25" x14ac:dyDescent="0.25">
      <c r="A2149" s="1">
        <v>144</v>
      </c>
      <c r="B2149" s="159"/>
      <c r="C2149" s="1" t="s">
        <v>1416</v>
      </c>
      <c r="D2149" s="1"/>
      <c r="E2149" s="1"/>
      <c r="F2149" s="1" t="s">
        <v>1547</v>
      </c>
      <c r="G2149" s="1">
        <v>8</v>
      </c>
      <c r="H2149" s="1" t="s">
        <v>19</v>
      </c>
      <c r="I2149" s="1" t="s">
        <v>426</v>
      </c>
      <c r="J2149" s="1">
        <v>0.03</v>
      </c>
      <c r="K2149" s="1">
        <v>0.24</v>
      </c>
      <c r="L2149" s="42">
        <v>5</v>
      </c>
      <c r="M2149" s="43"/>
      <c r="N2149" s="1" t="e">
        <f>VLOOKUP(B2149,MICRO!E:L,8,0)</f>
        <v>#N/A</v>
      </c>
    </row>
    <row r="2150" spans="1:14" ht="20.25" x14ac:dyDescent="0.25">
      <c r="A2150" s="1">
        <v>145</v>
      </c>
      <c r="B2150" s="159"/>
      <c r="C2150" s="1" t="s">
        <v>1463</v>
      </c>
      <c r="D2150" s="1"/>
      <c r="E2150" s="1"/>
      <c r="F2150" s="1" t="s">
        <v>1548</v>
      </c>
      <c r="G2150" s="1">
        <v>100</v>
      </c>
      <c r="H2150" s="1" t="s">
        <v>19</v>
      </c>
      <c r="I2150" s="1" t="s">
        <v>425</v>
      </c>
      <c r="J2150" s="1">
        <v>0.03</v>
      </c>
      <c r="K2150" s="1">
        <v>3</v>
      </c>
      <c r="L2150" s="42">
        <v>5</v>
      </c>
      <c r="M2150" s="43"/>
      <c r="N2150" s="1" t="e">
        <f>VLOOKUP(B2150,MICRO!E:L,8,0)</f>
        <v>#N/A</v>
      </c>
    </row>
    <row r="2151" spans="1:14" ht="20.25" x14ac:dyDescent="0.25">
      <c r="A2151" s="1">
        <v>146</v>
      </c>
      <c r="B2151" s="159"/>
      <c r="C2151" s="1" t="s">
        <v>1426</v>
      </c>
      <c r="D2151" s="1"/>
      <c r="E2151" s="1"/>
      <c r="F2151" s="1" t="s">
        <v>1549</v>
      </c>
      <c r="G2151" s="1">
        <v>8</v>
      </c>
      <c r="H2151" s="1" t="s">
        <v>19</v>
      </c>
      <c r="I2151" s="1" t="s">
        <v>424</v>
      </c>
      <c r="J2151" s="1">
        <v>0.03</v>
      </c>
      <c r="K2151" s="1">
        <v>0.24</v>
      </c>
      <c r="L2151" s="42">
        <v>5</v>
      </c>
      <c r="M2151" s="43"/>
      <c r="N2151" s="1" t="e">
        <f>VLOOKUP(B2151,MICRO!E:L,8,0)</f>
        <v>#N/A</v>
      </c>
    </row>
    <row r="2152" spans="1:14" ht="20.25" x14ac:dyDescent="0.25">
      <c r="A2152" s="1">
        <v>147</v>
      </c>
      <c r="B2152" s="159"/>
      <c r="C2152" s="1" t="s">
        <v>1407</v>
      </c>
      <c r="D2152" s="1"/>
      <c r="E2152" s="1"/>
      <c r="F2152" s="1" t="s">
        <v>1550</v>
      </c>
      <c r="G2152" s="1">
        <v>8</v>
      </c>
      <c r="H2152" s="1" t="s">
        <v>19</v>
      </c>
      <c r="I2152" s="1" t="s">
        <v>425</v>
      </c>
      <c r="J2152" s="1">
        <v>0.03</v>
      </c>
      <c r="K2152" s="1">
        <v>0.24</v>
      </c>
      <c r="L2152" s="42">
        <v>5</v>
      </c>
      <c r="M2152" s="43"/>
      <c r="N2152" s="1" t="e">
        <f>VLOOKUP(B2152,MICRO!E:L,8,0)</f>
        <v>#N/A</v>
      </c>
    </row>
    <row r="2153" spans="1:14" ht="20.25" x14ac:dyDescent="0.25">
      <c r="A2153" s="1">
        <v>148</v>
      </c>
      <c r="B2153" s="159">
        <v>2856</v>
      </c>
      <c r="C2153" s="1" t="s">
        <v>1164</v>
      </c>
      <c r="D2153" s="1"/>
      <c r="E2153" s="1" t="s">
        <v>2</v>
      </c>
      <c r="F2153" s="1" t="s">
        <v>1165</v>
      </c>
      <c r="G2153" s="1">
        <v>1</v>
      </c>
      <c r="H2153" s="1" t="s">
        <v>19</v>
      </c>
      <c r="I2153" s="1" t="s">
        <v>423</v>
      </c>
      <c r="J2153" s="1">
        <v>189.2</v>
      </c>
      <c r="K2153" s="1">
        <v>189.2</v>
      </c>
      <c r="L2153" s="42">
        <v>5</v>
      </c>
      <c r="M2153" s="43"/>
      <c r="N2153" s="1" t="e">
        <f>VLOOKUP(B2153,MICRO!E:L,8,0)</f>
        <v>#N/A</v>
      </c>
    </row>
    <row r="2154" spans="1:14" ht="20.25" x14ac:dyDescent="0.25">
      <c r="A2154" s="1">
        <v>149</v>
      </c>
      <c r="B2154" s="159">
        <v>2857</v>
      </c>
      <c r="C2154" s="1" t="s">
        <v>1164</v>
      </c>
      <c r="D2154" s="1"/>
      <c r="E2154" s="1" t="s">
        <v>43</v>
      </c>
      <c r="F2154" s="1" t="s">
        <v>1166</v>
      </c>
      <c r="G2154" s="1">
        <v>1</v>
      </c>
      <c r="H2154" s="1" t="s">
        <v>19</v>
      </c>
      <c r="I2154" s="1" t="s">
        <v>423</v>
      </c>
      <c r="J2154" s="1">
        <v>176.6</v>
      </c>
      <c r="K2154" s="1">
        <v>176.6</v>
      </c>
      <c r="L2154" s="42">
        <v>5</v>
      </c>
      <c r="M2154" s="43"/>
      <c r="N2154" s="1" t="e">
        <f>VLOOKUP(B2154,MICRO!E:L,8,0)</f>
        <v>#N/A</v>
      </c>
    </row>
    <row r="2155" spans="1:14" ht="20.25" x14ac:dyDescent="0.25">
      <c r="A2155" s="1">
        <v>150</v>
      </c>
      <c r="B2155" s="159">
        <v>2863</v>
      </c>
      <c r="C2155" s="1" t="s">
        <v>1173</v>
      </c>
      <c r="D2155" s="1"/>
      <c r="E2155" s="1" t="s">
        <v>2</v>
      </c>
      <c r="F2155" s="1" t="s">
        <v>1174</v>
      </c>
      <c r="G2155" s="1">
        <v>1</v>
      </c>
      <c r="H2155" s="1" t="s">
        <v>19</v>
      </c>
      <c r="I2155" s="1" t="s">
        <v>423</v>
      </c>
      <c r="J2155" s="1">
        <v>19.8</v>
      </c>
      <c r="K2155" s="1">
        <v>19.8</v>
      </c>
      <c r="L2155" s="42">
        <v>5</v>
      </c>
      <c r="M2155" s="43"/>
      <c r="N2155" s="1" t="e">
        <f>VLOOKUP(B2155,MICRO!E:L,8,0)</f>
        <v>#N/A</v>
      </c>
    </row>
    <row r="2156" spans="1:14" ht="20.25" x14ac:dyDescent="0.25">
      <c r="A2156" s="1">
        <v>151</v>
      </c>
      <c r="B2156" s="159">
        <v>2864</v>
      </c>
      <c r="C2156" s="1" t="s">
        <v>1173</v>
      </c>
      <c r="D2156" s="1"/>
      <c r="E2156" s="1" t="s">
        <v>2</v>
      </c>
      <c r="F2156" s="1" t="s">
        <v>1174</v>
      </c>
      <c r="G2156" s="1">
        <v>1</v>
      </c>
      <c r="H2156" s="1" t="s">
        <v>19</v>
      </c>
      <c r="I2156" s="1" t="s">
        <v>424</v>
      </c>
      <c r="J2156" s="1">
        <v>19.8</v>
      </c>
      <c r="K2156" s="1">
        <v>19.8</v>
      </c>
      <c r="L2156" s="42">
        <v>5</v>
      </c>
      <c r="M2156" s="43"/>
      <c r="N2156" s="1" t="e">
        <f>VLOOKUP(B2156,MICRO!E:L,8,0)</f>
        <v>#N/A</v>
      </c>
    </row>
    <row r="2157" spans="1:14" ht="20.25" x14ac:dyDescent="0.25">
      <c r="A2157" s="1">
        <v>152</v>
      </c>
      <c r="B2157" s="159">
        <v>2865</v>
      </c>
      <c r="C2157" s="1" t="s">
        <v>1173</v>
      </c>
      <c r="D2157" s="1"/>
      <c r="E2157" s="1" t="s">
        <v>2</v>
      </c>
      <c r="F2157" s="1" t="s">
        <v>1174</v>
      </c>
      <c r="G2157" s="1">
        <v>1</v>
      </c>
      <c r="H2157" s="1" t="s">
        <v>19</v>
      </c>
      <c r="I2157" s="1" t="s">
        <v>425</v>
      </c>
      <c r="J2157" s="1">
        <v>19.8</v>
      </c>
      <c r="K2157" s="1">
        <v>19.8</v>
      </c>
      <c r="L2157" s="42">
        <v>5</v>
      </c>
      <c r="M2157" s="43"/>
      <c r="N2157" s="1" t="e">
        <f>VLOOKUP(B2157,MICRO!E:L,8,0)</f>
        <v>#N/A</v>
      </c>
    </row>
    <row r="2158" spans="1:14" ht="20.25" x14ac:dyDescent="0.25">
      <c r="A2158" s="1">
        <v>153</v>
      </c>
      <c r="B2158" s="159">
        <v>2866</v>
      </c>
      <c r="C2158" s="1" t="s">
        <v>1173</v>
      </c>
      <c r="D2158" s="1"/>
      <c r="E2158" s="1" t="s">
        <v>2</v>
      </c>
      <c r="F2158" s="1" t="s">
        <v>1174</v>
      </c>
      <c r="G2158" s="1">
        <v>1</v>
      </c>
      <c r="H2158" s="1" t="s">
        <v>19</v>
      </c>
      <c r="I2158" s="1" t="s">
        <v>426</v>
      </c>
      <c r="J2158" s="1">
        <v>19.8</v>
      </c>
      <c r="K2158" s="1">
        <v>19.8</v>
      </c>
      <c r="L2158" s="42">
        <v>5</v>
      </c>
      <c r="M2158" s="43"/>
      <c r="N2158" s="1" t="e">
        <f>VLOOKUP(B2158,MICRO!E:L,8,0)</f>
        <v>#N/A</v>
      </c>
    </row>
    <row r="2159" spans="1:14" ht="20.25" x14ac:dyDescent="0.25">
      <c r="A2159" s="1">
        <v>154</v>
      </c>
      <c r="B2159" s="159">
        <v>2867</v>
      </c>
      <c r="C2159" s="1" t="s">
        <v>1173</v>
      </c>
      <c r="D2159" s="1"/>
      <c r="E2159" s="1" t="s">
        <v>2</v>
      </c>
      <c r="F2159" s="1" t="s">
        <v>1174</v>
      </c>
      <c r="G2159" s="1">
        <v>1</v>
      </c>
      <c r="H2159" s="1" t="s">
        <v>19</v>
      </c>
      <c r="I2159" s="1" t="s">
        <v>427</v>
      </c>
      <c r="J2159" s="1">
        <v>19.8</v>
      </c>
      <c r="K2159" s="1">
        <v>19.8</v>
      </c>
      <c r="L2159" s="42">
        <v>5</v>
      </c>
      <c r="M2159" s="43"/>
      <c r="N2159" s="1" t="e">
        <f>VLOOKUP(B2159,MICRO!E:L,8,0)</f>
        <v>#N/A</v>
      </c>
    </row>
    <row r="2160" spans="1:14" ht="20.25" x14ac:dyDescent="0.25">
      <c r="A2160" s="1">
        <v>155</v>
      </c>
      <c r="B2160" s="159">
        <v>2868</v>
      </c>
      <c r="C2160" s="1" t="s">
        <v>1173</v>
      </c>
      <c r="D2160" s="1"/>
      <c r="E2160" s="1" t="s">
        <v>43</v>
      </c>
      <c r="F2160" s="1" t="s">
        <v>1175</v>
      </c>
      <c r="G2160" s="1">
        <v>1</v>
      </c>
      <c r="H2160" s="1" t="s">
        <v>19</v>
      </c>
      <c r="I2160" s="1" t="s">
        <v>423</v>
      </c>
      <c r="J2160" s="1">
        <v>2.6</v>
      </c>
      <c r="K2160" s="1">
        <v>2.6</v>
      </c>
      <c r="L2160" s="42">
        <v>5</v>
      </c>
      <c r="M2160" s="43"/>
      <c r="N2160" s="1" t="e">
        <f>VLOOKUP(B2160,MICRO!E:L,8,0)</f>
        <v>#N/A</v>
      </c>
    </row>
    <row r="2161" spans="1:14" ht="20.25" x14ac:dyDescent="0.25">
      <c r="A2161" s="1">
        <v>156</v>
      </c>
      <c r="B2161" s="159">
        <v>2869</v>
      </c>
      <c r="C2161" s="1" t="s">
        <v>1173</v>
      </c>
      <c r="D2161" s="1"/>
      <c r="E2161" s="1" t="s">
        <v>43</v>
      </c>
      <c r="F2161" s="1" t="s">
        <v>1175</v>
      </c>
      <c r="G2161" s="1">
        <v>1</v>
      </c>
      <c r="H2161" s="1" t="s">
        <v>19</v>
      </c>
      <c r="I2161" s="1" t="s">
        <v>424</v>
      </c>
      <c r="J2161" s="1">
        <v>2.6</v>
      </c>
      <c r="K2161" s="1">
        <v>2.6</v>
      </c>
      <c r="L2161" s="42">
        <v>5</v>
      </c>
      <c r="M2161" s="43"/>
      <c r="N2161" s="1" t="e">
        <f>VLOOKUP(B2161,MICRO!E:L,8,0)</f>
        <v>#N/A</v>
      </c>
    </row>
    <row r="2162" spans="1:14" ht="20.25" x14ac:dyDescent="0.25">
      <c r="A2162" s="1">
        <v>157</v>
      </c>
      <c r="B2162" s="159">
        <v>2870</v>
      </c>
      <c r="C2162" s="1" t="s">
        <v>1173</v>
      </c>
      <c r="D2162" s="1"/>
      <c r="E2162" s="1" t="s">
        <v>43</v>
      </c>
      <c r="F2162" s="1" t="s">
        <v>1175</v>
      </c>
      <c r="G2162" s="1">
        <v>1</v>
      </c>
      <c r="H2162" s="1" t="s">
        <v>19</v>
      </c>
      <c r="I2162" s="1" t="s">
        <v>425</v>
      </c>
      <c r="J2162" s="1">
        <v>2.6</v>
      </c>
      <c r="K2162" s="1">
        <v>2.6</v>
      </c>
      <c r="L2162" s="42">
        <v>5</v>
      </c>
      <c r="M2162" s="43"/>
      <c r="N2162" s="1" t="e">
        <f>VLOOKUP(B2162,MICRO!E:L,8,0)</f>
        <v>#N/A</v>
      </c>
    </row>
    <row r="2163" spans="1:14" ht="20.25" x14ac:dyDescent="0.25">
      <c r="A2163" s="1">
        <v>158</v>
      </c>
      <c r="B2163" s="159">
        <v>2871</v>
      </c>
      <c r="C2163" s="1" t="s">
        <v>1173</v>
      </c>
      <c r="D2163" s="1"/>
      <c r="E2163" s="1" t="s">
        <v>43</v>
      </c>
      <c r="F2163" s="1" t="s">
        <v>1175</v>
      </c>
      <c r="G2163" s="1">
        <v>1</v>
      </c>
      <c r="H2163" s="1" t="s">
        <v>19</v>
      </c>
      <c r="I2163" s="1" t="s">
        <v>426</v>
      </c>
      <c r="J2163" s="1">
        <v>2.6</v>
      </c>
      <c r="K2163" s="1">
        <v>2.6</v>
      </c>
      <c r="L2163" s="42">
        <v>5</v>
      </c>
      <c r="M2163" s="43"/>
      <c r="N2163" s="1" t="e">
        <f>VLOOKUP(B2163,MICRO!E:L,8,0)</f>
        <v>#N/A</v>
      </c>
    </row>
    <row r="2164" spans="1:14" ht="20.25" x14ac:dyDescent="0.25">
      <c r="A2164" s="1">
        <v>159</v>
      </c>
      <c r="B2164" s="159">
        <v>2872</v>
      </c>
      <c r="C2164" s="1" t="s">
        <v>1173</v>
      </c>
      <c r="D2164" s="1"/>
      <c r="E2164" s="1" t="s">
        <v>43</v>
      </c>
      <c r="F2164" s="1" t="s">
        <v>1175</v>
      </c>
      <c r="G2164" s="1">
        <v>1</v>
      </c>
      <c r="H2164" s="1" t="s">
        <v>19</v>
      </c>
      <c r="I2164" s="1" t="s">
        <v>427</v>
      </c>
      <c r="J2164" s="1">
        <v>2.6</v>
      </c>
      <c r="K2164" s="1">
        <v>2.6</v>
      </c>
      <c r="L2164" s="42">
        <v>5</v>
      </c>
      <c r="M2164" s="43"/>
      <c r="N2164" s="1" t="e">
        <f>VLOOKUP(B2164,MICRO!E:L,8,0)</f>
        <v>#N/A</v>
      </c>
    </row>
    <row r="2165" spans="1:14" ht="20.25" x14ac:dyDescent="0.25">
      <c r="A2165" s="1">
        <v>160</v>
      </c>
      <c r="B2165" s="159">
        <v>2932</v>
      </c>
      <c r="C2165" s="1" t="s">
        <v>1209</v>
      </c>
      <c r="D2165" s="1"/>
      <c r="E2165" s="1" t="s">
        <v>2</v>
      </c>
      <c r="F2165" s="1" t="s">
        <v>1210</v>
      </c>
      <c r="G2165" s="1">
        <v>2</v>
      </c>
      <c r="H2165" s="1" t="s">
        <v>19</v>
      </c>
      <c r="I2165" s="1" t="s">
        <v>427</v>
      </c>
      <c r="J2165" s="1">
        <v>75.900000000000006</v>
      </c>
      <c r="K2165" s="1">
        <v>151.80000000000001</v>
      </c>
      <c r="L2165" s="42">
        <v>5</v>
      </c>
      <c r="M2165" s="43"/>
      <c r="N2165" s="1" t="e">
        <f>VLOOKUP(B2165,MICRO!E:L,8,0)</f>
        <v>#N/A</v>
      </c>
    </row>
    <row r="2166" spans="1:14" ht="20.25" x14ac:dyDescent="0.25">
      <c r="A2166" s="1">
        <v>161</v>
      </c>
      <c r="B2166" s="159">
        <v>2933</v>
      </c>
      <c r="C2166" s="1" t="s">
        <v>1209</v>
      </c>
      <c r="D2166" s="1"/>
      <c r="E2166" s="1" t="s">
        <v>43</v>
      </c>
      <c r="F2166" s="1" t="s">
        <v>1211</v>
      </c>
      <c r="G2166" s="1">
        <v>2</v>
      </c>
      <c r="H2166" s="1" t="s">
        <v>19</v>
      </c>
      <c r="I2166" s="1" t="s">
        <v>427</v>
      </c>
      <c r="J2166" s="1">
        <v>78.599999999999994</v>
      </c>
      <c r="K2166" s="1">
        <v>157.19999999999999</v>
      </c>
      <c r="L2166" s="42">
        <v>5</v>
      </c>
      <c r="M2166" s="43"/>
      <c r="N2166" s="1" t="e">
        <f>VLOOKUP(B2166,MICRO!E:L,8,0)</f>
        <v>#N/A</v>
      </c>
    </row>
    <row r="2167" spans="1:14" ht="20.25" x14ac:dyDescent="0.25">
      <c r="A2167" s="1">
        <v>162</v>
      </c>
      <c r="B2167" s="159">
        <v>2934</v>
      </c>
      <c r="C2167" s="1" t="s">
        <v>1209</v>
      </c>
      <c r="D2167" s="1"/>
      <c r="E2167" s="1" t="s">
        <v>746</v>
      </c>
      <c r="F2167" s="1" t="s">
        <v>1212</v>
      </c>
      <c r="G2167" s="1">
        <v>2</v>
      </c>
      <c r="H2167" s="1" t="s">
        <v>19</v>
      </c>
      <c r="I2167" s="1" t="s">
        <v>427</v>
      </c>
      <c r="J2167" s="1">
        <v>30.4</v>
      </c>
      <c r="K2167" s="1">
        <v>60.8</v>
      </c>
      <c r="L2167" s="42">
        <v>5</v>
      </c>
      <c r="M2167" s="43"/>
      <c r="N2167" s="1" t="e">
        <f>VLOOKUP(B2167,MICRO!E:L,8,0)</f>
        <v>#N/A</v>
      </c>
    </row>
    <row r="2168" spans="1:14" ht="20.25" x14ac:dyDescent="0.25">
      <c r="A2168" s="1">
        <v>163</v>
      </c>
      <c r="B2168" s="159"/>
      <c r="C2168" s="1" t="s">
        <v>1551</v>
      </c>
      <c r="D2168" s="1"/>
      <c r="E2168" s="1"/>
      <c r="F2168" s="1" t="s">
        <v>1552</v>
      </c>
      <c r="G2168" s="1">
        <v>260</v>
      </c>
      <c r="H2168" s="1" t="s">
        <v>19</v>
      </c>
      <c r="I2168" s="1" t="s">
        <v>1553</v>
      </c>
      <c r="J2168" s="1">
        <v>0.02</v>
      </c>
      <c r="K2168" s="1">
        <v>5.2</v>
      </c>
      <c r="L2168" s="42">
        <v>5</v>
      </c>
      <c r="M2168" s="43"/>
      <c r="N2168" s="1" t="e">
        <f>VLOOKUP(B2168,MICRO!E:L,8,0)</f>
        <v>#N/A</v>
      </c>
    </row>
    <row r="2169" spans="1:14" ht="20.25" x14ac:dyDescent="0.25">
      <c r="A2169" s="1">
        <v>164</v>
      </c>
      <c r="B2169" s="159"/>
      <c r="C2169" s="1" t="s">
        <v>1551</v>
      </c>
      <c r="D2169" s="1"/>
      <c r="E2169" s="1"/>
      <c r="F2169" s="1" t="s">
        <v>1554</v>
      </c>
      <c r="G2169" s="1">
        <v>260</v>
      </c>
      <c r="H2169" s="1" t="s">
        <v>19</v>
      </c>
      <c r="I2169" s="1" t="s">
        <v>1553</v>
      </c>
      <c r="J2169" s="1">
        <v>0.05</v>
      </c>
      <c r="K2169" s="1">
        <v>13</v>
      </c>
      <c r="L2169" s="42">
        <v>5</v>
      </c>
      <c r="M2169" s="43"/>
      <c r="N2169" s="1" t="e">
        <f>VLOOKUP(B2169,MICRO!E:L,8,0)</f>
        <v>#N/A</v>
      </c>
    </row>
    <row r="2170" spans="1:14" ht="20.25" x14ac:dyDescent="0.25">
      <c r="A2170" s="1">
        <v>165</v>
      </c>
      <c r="B2170" s="159"/>
      <c r="C2170" s="1" t="s">
        <v>1551</v>
      </c>
      <c r="D2170" s="1"/>
      <c r="E2170" s="1"/>
      <c r="F2170" s="1" t="s">
        <v>1555</v>
      </c>
      <c r="G2170" s="1">
        <v>260</v>
      </c>
      <c r="H2170" s="1" t="s">
        <v>19</v>
      </c>
      <c r="I2170" s="1" t="s">
        <v>1553</v>
      </c>
      <c r="J2170" s="1">
        <v>0.03</v>
      </c>
      <c r="K2170" s="1">
        <v>7.8</v>
      </c>
      <c r="L2170" s="42">
        <v>5</v>
      </c>
      <c r="M2170" s="43"/>
      <c r="N2170" s="1" t="e">
        <f>VLOOKUP(B2170,MICRO!E:L,8,0)</f>
        <v>#N/A</v>
      </c>
    </row>
    <row r="2171" spans="1:14" ht="20.25" x14ac:dyDescent="0.25">
      <c r="A2171" s="1">
        <v>166</v>
      </c>
      <c r="B2171" s="159"/>
      <c r="C2171" s="1" t="s">
        <v>1556</v>
      </c>
      <c r="D2171" s="1"/>
      <c r="E2171" s="1"/>
      <c r="F2171" s="1" t="s">
        <v>1557</v>
      </c>
      <c r="G2171" s="1">
        <v>408</v>
      </c>
      <c r="H2171" s="1" t="s">
        <v>19</v>
      </c>
      <c r="I2171" s="1" t="s">
        <v>1558</v>
      </c>
      <c r="J2171" s="1">
        <v>0.02</v>
      </c>
      <c r="K2171" s="1">
        <v>8.16</v>
      </c>
      <c r="L2171" s="42">
        <v>5</v>
      </c>
      <c r="M2171" s="43"/>
      <c r="N2171" s="1" t="e">
        <f>VLOOKUP(B2171,MICRO!E:L,8,0)</f>
        <v>#N/A</v>
      </c>
    </row>
    <row r="2172" spans="1:14" ht="20.25" x14ac:dyDescent="0.25">
      <c r="A2172" s="1">
        <v>167</v>
      </c>
      <c r="B2172" s="159"/>
      <c r="C2172" s="1" t="s">
        <v>1559</v>
      </c>
      <c r="D2172" s="1"/>
      <c r="E2172" s="1"/>
      <c r="F2172" s="1" t="s">
        <v>1560</v>
      </c>
      <c r="G2172" s="1">
        <v>174</v>
      </c>
      <c r="H2172" s="1" t="s">
        <v>19</v>
      </c>
      <c r="I2172" s="1" t="s">
        <v>424</v>
      </c>
      <c r="J2172" s="1">
        <v>0.02</v>
      </c>
      <c r="K2172" s="1">
        <v>3.48</v>
      </c>
      <c r="L2172" s="42">
        <v>5</v>
      </c>
      <c r="M2172" s="43"/>
      <c r="N2172" s="1" t="e">
        <f>VLOOKUP(B2172,MICRO!E:L,8,0)</f>
        <v>#N/A</v>
      </c>
    </row>
    <row r="2173" spans="1:14" ht="20.25" x14ac:dyDescent="0.25">
      <c r="A2173" s="1">
        <v>168</v>
      </c>
      <c r="B2173" s="159"/>
      <c r="C2173" s="1" t="s">
        <v>1561</v>
      </c>
      <c r="D2173" s="1"/>
      <c r="E2173" s="1"/>
      <c r="F2173" s="1" t="s">
        <v>1562</v>
      </c>
      <c r="G2173" s="1">
        <v>258</v>
      </c>
      <c r="H2173" s="1" t="s">
        <v>19</v>
      </c>
      <c r="I2173" s="1" t="s">
        <v>425</v>
      </c>
      <c r="J2173" s="1">
        <v>0.02</v>
      </c>
      <c r="K2173" s="1">
        <v>5.16</v>
      </c>
      <c r="L2173" s="42">
        <v>5</v>
      </c>
      <c r="M2173" s="43"/>
      <c r="N2173" s="1" t="e">
        <f>VLOOKUP(B2173,MICRO!E:L,8,0)</f>
        <v>#N/A</v>
      </c>
    </row>
    <row r="2174" spans="1:14" ht="20.25" x14ac:dyDescent="0.25">
      <c r="A2174" s="1">
        <v>169</v>
      </c>
      <c r="B2174" s="159"/>
      <c r="C2174" s="1" t="s">
        <v>1563</v>
      </c>
      <c r="D2174" s="1"/>
      <c r="E2174" s="1"/>
      <c r="F2174" s="1" t="s">
        <v>1564</v>
      </c>
      <c r="G2174" s="1">
        <v>597</v>
      </c>
      <c r="H2174" s="1" t="s">
        <v>19</v>
      </c>
      <c r="I2174" s="1" t="s">
        <v>427</v>
      </c>
      <c r="J2174" s="1">
        <v>0.02</v>
      </c>
      <c r="K2174" s="1">
        <v>11.94</v>
      </c>
      <c r="L2174" s="42">
        <v>5</v>
      </c>
      <c r="M2174" s="43"/>
      <c r="N2174" s="1" t="e">
        <f>VLOOKUP(B2174,MICRO!E:L,8,0)</f>
        <v>#N/A</v>
      </c>
    </row>
    <row r="2175" spans="1:14" ht="20.25" x14ac:dyDescent="0.25">
      <c r="A2175" s="1">
        <v>170</v>
      </c>
      <c r="B2175" s="159"/>
      <c r="C2175" s="1" t="s">
        <v>1565</v>
      </c>
      <c r="D2175" s="1"/>
      <c r="E2175" s="1"/>
      <c r="F2175" s="1" t="s">
        <v>1566</v>
      </c>
      <c r="G2175" s="1">
        <v>362</v>
      </c>
      <c r="H2175" s="1" t="s">
        <v>19</v>
      </c>
      <c r="I2175" s="1" t="s">
        <v>426</v>
      </c>
      <c r="J2175" s="1">
        <v>0.02</v>
      </c>
      <c r="K2175" s="1">
        <v>7.24</v>
      </c>
      <c r="L2175" s="42">
        <v>5</v>
      </c>
      <c r="M2175" s="43"/>
      <c r="N2175" s="1" t="e">
        <f>VLOOKUP(B2175,MICRO!E:L,8,0)</f>
        <v>#N/A</v>
      </c>
    </row>
    <row r="2176" spans="1:14" ht="20.25" x14ac:dyDescent="0.25">
      <c r="A2176" s="1">
        <v>171</v>
      </c>
      <c r="B2176" s="159"/>
      <c r="C2176" s="1" t="s">
        <v>1567</v>
      </c>
      <c r="D2176" s="1"/>
      <c r="E2176" s="1"/>
      <c r="F2176" s="1" t="s">
        <v>1568</v>
      </c>
      <c r="G2176" s="1">
        <v>131</v>
      </c>
      <c r="H2176" s="1" t="s">
        <v>19</v>
      </c>
      <c r="I2176" s="1" t="s">
        <v>427</v>
      </c>
      <c r="J2176" s="1">
        <v>0.02</v>
      </c>
      <c r="K2176" s="1">
        <v>2.62</v>
      </c>
      <c r="L2176" s="42">
        <v>5</v>
      </c>
      <c r="M2176" s="43"/>
      <c r="N2176" s="1" t="e">
        <f>VLOOKUP(B2176,MICRO!E:L,8,0)</f>
        <v>#N/A</v>
      </c>
    </row>
    <row r="2177" spans="1:14" ht="20.25" x14ac:dyDescent="0.25">
      <c r="A2177" s="1">
        <v>172</v>
      </c>
      <c r="B2177" s="159"/>
      <c r="C2177" s="1" t="s">
        <v>1567</v>
      </c>
      <c r="D2177" s="1"/>
      <c r="E2177" s="1"/>
      <c r="F2177" s="1" t="s">
        <v>1569</v>
      </c>
      <c r="G2177" s="1">
        <v>131</v>
      </c>
      <c r="H2177" s="1" t="s">
        <v>19</v>
      </c>
      <c r="I2177" s="1" t="s">
        <v>427</v>
      </c>
      <c r="J2177" s="1">
        <v>0.05</v>
      </c>
      <c r="K2177" s="1">
        <v>6.5500000000000007</v>
      </c>
      <c r="L2177" s="42">
        <v>5</v>
      </c>
      <c r="M2177" s="43"/>
      <c r="N2177" s="1" t="e">
        <f>VLOOKUP(B2177,MICRO!E:L,8,0)</f>
        <v>#N/A</v>
      </c>
    </row>
    <row r="2178" spans="1:14" ht="20.25" x14ac:dyDescent="0.25">
      <c r="A2178" s="1">
        <v>173</v>
      </c>
      <c r="B2178" s="159"/>
      <c r="C2178" s="1" t="s">
        <v>1567</v>
      </c>
      <c r="D2178" s="1"/>
      <c r="E2178" s="1"/>
      <c r="F2178" s="1" t="s">
        <v>1570</v>
      </c>
      <c r="G2178" s="1">
        <v>131</v>
      </c>
      <c r="H2178" s="1" t="s">
        <v>19</v>
      </c>
      <c r="I2178" s="1" t="s">
        <v>427</v>
      </c>
      <c r="J2178" s="1">
        <v>0.03</v>
      </c>
      <c r="K2178" s="1">
        <v>3.9299999999999997</v>
      </c>
      <c r="L2178" s="42">
        <v>5</v>
      </c>
      <c r="M2178" s="43"/>
      <c r="N2178" s="1" t="e">
        <f>VLOOKUP(B2178,MICRO!E:L,8,0)</f>
        <v>#N/A</v>
      </c>
    </row>
    <row r="2179" spans="1:14" ht="20.25" x14ac:dyDescent="0.25">
      <c r="A2179" s="1">
        <v>174</v>
      </c>
      <c r="B2179" s="159"/>
      <c r="C2179" s="1" t="s">
        <v>1571</v>
      </c>
      <c r="D2179" s="1"/>
      <c r="E2179" s="1"/>
      <c r="F2179" s="1" t="s">
        <v>1572</v>
      </c>
      <c r="G2179" s="1">
        <v>1</v>
      </c>
      <c r="H2179" s="1" t="s">
        <v>19</v>
      </c>
      <c r="I2179" s="1" t="s">
        <v>1573</v>
      </c>
      <c r="J2179" s="1">
        <v>0.02</v>
      </c>
      <c r="K2179" s="1">
        <v>0.02</v>
      </c>
      <c r="L2179" s="42">
        <v>5</v>
      </c>
      <c r="M2179" s="43"/>
      <c r="N2179" s="1" t="e">
        <f>VLOOKUP(B2179,MICRO!E:L,8,0)</f>
        <v>#N/A</v>
      </c>
    </row>
    <row r="2180" spans="1:14" ht="20.25" x14ac:dyDescent="0.25">
      <c r="A2180" s="1">
        <v>175</v>
      </c>
      <c r="B2180" s="159"/>
      <c r="C2180" s="1" t="s">
        <v>1571</v>
      </c>
      <c r="D2180" s="1"/>
      <c r="E2180" s="1"/>
      <c r="F2180" s="1" t="s">
        <v>1574</v>
      </c>
      <c r="G2180" s="1">
        <v>1</v>
      </c>
      <c r="H2180" s="1" t="s">
        <v>19</v>
      </c>
      <c r="I2180" s="1" t="s">
        <v>1573</v>
      </c>
      <c r="J2180" s="1">
        <v>0.05</v>
      </c>
      <c r="K2180" s="1">
        <v>0.05</v>
      </c>
      <c r="L2180" s="42">
        <v>5</v>
      </c>
      <c r="M2180" s="43"/>
      <c r="N2180" s="1" t="e">
        <f>VLOOKUP(B2180,MICRO!E:L,8,0)</f>
        <v>#N/A</v>
      </c>
    </row>
    <row r="2181" spans="1:14" ht="20.25" x14ac:dyDescent="0.25">
      <c r="A2181" s="1">
        <v>176</v>
      </c>
      <c r="B2181" s="159"/>
      <c r="C2181" s="1" t="s">
        <v>1559</v>
      </c>
      <c r="D2181" s="1"/>
      <c r="E2181" s="1"/>
      <c r="F2181" s="1" t="s">
        <v>1575</v>
      </c>
      <c r="G2181" s="1">
        <v>174</v>
      </c>
      <c r="H2181" s="1" t="s">
        <v>19</v>
      </c>
      <c r="I2181" s="1" t="s">
        <v>424</v>
      </c>
      <c r="J2181" s="1">
        <v>0.03</v>
      </c>
      <c r="K2181" s="1">
        <v>5.22</v>
      </c>
      <c r="L2181" s="42">
        <v>5</v>
      </c>
      <c r="M2181" s="43"/>
      <c r="N2181" s="1" t="e">
        <f>VLOOKUP(B2181,MICRO!E:L,8,0)</f>
        <v>#N/A</v>
      </c>
    </row>
    <row r="2182" spans="1:14" ht="20.25" x14ac:dyDescent="0.25">
      <c r="A2182" s="1">
        <v>177</v>
      </c>
      <c r="B2182" s="159"/>
      <c r="C2182" s="1" t="s">
        <v>1561</v>
      </c>
      <c r="D2182" s="1"/>
      <c r="E2182" s="1"/>
      <c r="F2182" s="1" t="s">
        <v>1576</v>
      </c>
      <c r="G2182" s="1">
        <v>258</v>
      </c>
      <c r="H2182" s="1" t="s">
        <v>19</v>
      </c>
      <c r="I2182" s="1" t="s">
        <v>425</v>
      </c>
      <c r="J2182" s="1">
        <v>0.03</v>
      </c>
      <c r="K2182" s="1">
        <v>7.7399999999999993</v>
      </c>
      <c r="L2182" s="42">
        <v>5</v>
      </c>
      <c r="M2182" s="43"/>
      <c r="N2182" s="1" t="e">
        <f>VLOOKUP(B2182,MICRO!E:L,8,0)</f>
        <v>#N/A</v>
      </c>
    </row>
    <row r="2183" spans="1:14" ht="20.25" x14ac:dyDescent="0.25">
      <c r="A2183" s="1">
        <v>178</v>
      </c>
      <c r="B2183" s="159"/>
      <c r="C2183" s="1" t="s">
        <v>1565</v>
      </c>
      <c r="D2183" s="1"/>
      <c r="E2183" s="1"/>
      <c r="F2183" s="1" t="s">
        <v>1577</v>
      </c>
      <c r="G2183" s="1">
        <v>362</v>
      </c>
      <c r="H2183" s="1" t="s">
        <v>19</v>
      </c>
      <c r="I2183" s="1" t="s">
        <v>426</v>
      </c>
      <c r="J2183" s="1">
        <v>0.03</v>
      </c>
      <c r="K2183" s="1">
        <v>10.86</v>
      </c>
      <c r="L2183" s="42">
        <v>5</v>
      </c>
      <c r="M2183" s="43"/>
      <c r="N2183" s="1" t="e">
        <f>VLOOKUP(B2183,MICRO!E:L,8,0)</f>
        <v>#N/A</v>
      </c>
    </row>
    <row r="2184" spans="1:14" ht="20.25" x14ac:dyDescent="0.25">
      <c r="A2184" s="1">
        <v>179</v>
      </c>
      <c r="B2184" s="159"/>
      <c r="C2184" s="1" t="s">
        <v>1563</v>
      </c>
      <c r="D2184" s="1"/>
      <c r="E2184" s="1"/>
      <c r="F2184" s="1" t="s">
        <v>1578</v>
      </c>
      <c r="G2184" s="1">
        <v>597</v>
      </c>
      <c r="H2184" s="1" t="s">
        <v>19</v>
      </c>
      <c r="I2184" s="1" t="s">
        <v>427</v>
      </c>
      <c r="J2184" s="1">
        <v>0.03</v>
      </c>
      <c r="K2184" s="1">
        <v>17.91</v>
      </c>
      <c r="L2184" s="42">
        <v>5</v>
      </c>
      <c r="M2184" s="43"/>
      <c r="N2184" s="1" t="e">
        <f>VLOOKUP(B2184,MICRO!E:L,8,0)</f>
        <v>#N/A</v>
      </c>
    </row>
    <row r="2185" spans="1:14" ht="20.25" x14ac:dyDescent="0.25">
      <c r="A2185" s="1">
        <v>180</v>
      </c>
      <c r="B2185" s="159"/>
      <c r="C2185" s="1" t="s">
        <v>1556</v>
      </c>
      <c r="D2185" s="1"/>
      <c r="E2185" s="1"/>
      <c r="F2185" s="1" t="s">
        <v>1579</v>
      </c>
      <c r="G2185" s="1">
        <v>408</v>
      </c>
      <c r="H2185" s="1" t="s">
        <v>19</v>
      </c>
      <c r="I2185" s="1" t="s">
        <v>423</v>
      </c>
      <c r="J2185" s="1">
        <v>0.03</v>
      </c>
      <c r="K2185" s="1">
        <v>12.24</v>
      </c>
      <c r="L2185" s="42">
        <v>5</v>
      </c>
      <c r="M2185" s="43"/>
      <c r="N2185" s="1" t="e">
        <f>VLOOKUP(B2185,MICRO!E:L,8,0)</f>
        <v>#N/A</v>
      </c>
    </row>
    <row r="2186" spans="1:14" ht="20.25" x14ac:dyDescent="0.25">
      <c r="A2186" s="1">
        <v>181</v>
      </c>
      <c r="B2186" s="159"/>
      <c r="C2186" s="1" t="s">
        <v>1571</v>
      </c>
      <c r="D2186" s="1"/>
      <c r="E2186" s="1"/>
      <c r="F2186" s="1" t="s">
        <v>1580</v>
      </c>
      <c r="G2186" s="1">
        <v>1</v>
      </c>
      <c r="H2186" s="1" t="s">
        <v>19</v>
      </c>
      <c r="I2186" s="1" t="s">
        <v>1573</v>
      </c>
      <c r="J2186" s="1">
        <v>0.03</v>
      </c>
      <c r="K2186" s="1">
        <v>0.03</v>
      </c>
      <c r="L2186" s="42">
        <v>5</v>
      </c>
      <c r="M2186" s="43"/>
      <c r="N2186" s="1" t="e">
        <f>VLOOKUP(B2186,MICRO!E:L,8,0)</f>
        <v>#N/A</v>
      </c>
    </row>
    <row r="2187" spans="1:14" ht="20.25" x14ac:dyDescent="0.25">
      <c r="A2187" s="1">
        <v>182</v>
      </c>
      <c r="B2187" s="159"/>
      <c r="C2187" s="1" t="s">
        <v>638</v>
      </c>
      <c r="D2187" s="1"/>
      <c r="E2187" s="1"/>
      <c r="F2187" s="1" t="s">
        <v>1581</v>
      </c>
      <c r="G2187" s="1">
        <v>14</v>
      </c>
      <c r="H2187" s="1" t="s">
        <v>19</v>
      </c>
      <c r="I2187" s="1" t="s">
        <v>425</v>
      </c>
      <c r="J2187" s="1">
        <v>0.02</v>
      </c>
      <c r="K2187" s="1">
        <v>0.28000000000000003</v>
      </c>
      <c r="L2187" s="42">
        <v>5</v>
      </c>
      <c r="M2187" s="43"/>
      <c r="N2187" s="1" t="e">
        <f>VLOOKUP(B2187,MICRO!E:L,8,0)</f>
        <v>#N/A</v>
      </c>
    </row>
    <row r="2188" spans="1:14" ht="20.25" x14ac:dyDescent="0.25">
      <c r="A2188" s="1">
        <v>183</v>
      </c>
      <c r="B2188" s="159"/>
      <c r="C2188" s="1" t="s">
        <v>1582</v>
      </c>
      <c r="D2188" s="1"/>
      <c r="E2188" s="1"/>
      <c r="F2188" s="1" t="s">
        <v>1583</v>
      </c>
      <c r="G2188" s="1">
        <v>20</v>
      </c>
      <c r="H2188" s="1" t="s">
        <v>19</v>
      </c>
      <c r="I2188" s="1" t="s">
        <v>427</v>
      </c>
      <c r="J2188" s="1">
        <v>0.02</v>
      </c>
      <c r="K2188" s="1">
        <v>0.4</v>
      </c>
      <c r="L2188" s="42">
        <v>5</v>
      </c>
      <c r="M2188" s="43"/>
      <c r="N2188" s="1" t="e">
        <f>VLOOKUP(B2188,MICRO!E:L,8,0)</f>
        <v>#N/A</v>
      </c>
    </row>
    <row r="2189" spans="1:14" ht="20.25" x14ac:dyDescent="0.25">
      <c r="A2189" s="1">
        <v>184</v>
      </c>
      <c r="B2189" s="159"/>
      <c r="C2189" s="1" t="s">
        <v>1584</v>
      </c>
      <c r="D2189" s="1"/>
      <c r="E2189" s="1"/>
      <c r="F2189" s="1" t="s">
        <v>1585</v>
      </c>
      <c r="G2189" s="1">
        <v>230</v>
      </c>
      <c r="H2189" s="1" t="s">
        <v>19</v>
      </c>
      <c r="I2189" s="1" t="s">
        <v>1586</v>
      </c>
      <c r="J2189" s="1">
        <v>0.02</v>
      </c>
      <c r="K2189" s="1">
        <v>4.6000000000000005</v>
      </c>
      <c r="L2189" s="42">
        <v>5</v>
      </c>
      <c r="M2189" s="43"/>
      <c r="N2189" s="1" t="e">
        <f>VLOOKUP(B2189,MICRO!E:L,8,0)</f>
        <v>#N/A</v>
      </c>
    </row>
    <row r="2190" spans="1:14" ht="20.25" x14ac:dyDescent="0.25">
      <c r="A2190" s="1">
        <v>185</v>
      </c>
      <c r="B2190" s="159"/>
      <c r="C2190" s="1" t="s">
        <v>638</v>
      </c>
      <c r="D2190" s="1"/>
      <c r="E2190" s="1"/>
      <c r="F2190" s="1" t="s">
        <v>1587</v>
      </c>
      <c r="G2190" s="1">
        <v>20</v>
      </c>
      <c r="H2190" s="1" t="s">
        <v>19</v>
      </c>
      <c r="I2190" s="1" t="s">
        <v>425</v>
      </c>
      <c r="J2190" s="1">
        <v>0.05</v>
      </c>
      <c r="K2190" s="1">
        <v>1</v>
      </c>
      <c r="L2190" s="42">
        <v>5</v>
      </c>
      <c r="M2190" s="43"/>
      <c r="N2190" s="1" t="e">
        <f>VLOOKUP(B2190,MICRO!E:L,8,0)</f>
        <v>#N/A</v>
      </c>
    </row>
    <row r="2191" spans="1:14" ht="20.25" x14ac:dyDescent="0.25">
      <c r="A2191" s="1">
        <v>186</v>
      </c>
      <c r="B2191" s="159"/>
      <c r="C2191" s="1" t="s">
        <v>1582</v>
      </c>
      <c r="D2191" s="1"/>
      <c r="E2191" s="1"/>
      <c r="F2191" s="1" t="s">
        <v>1588</v>
      </c>
      <c r="G2191" s="1">
        <v>20</v>
      </c>
      <c r="H2191" s="1" t="s">
        <v>19</v>
      </c>
      <c r="I2191" s="1" t="s">
        <v>427</v>
      </c>
      <c r="J2191" s="1">
        <v>0.05</v>
      </c>
      <c r="K2191" s="1">
        <v>1</v>
      </c>
      <c r="L2191" s="42">
        <v>5</v>
      </c>
      <c r="M2191" s="43"/>
      <c r="N2191" s="1" t="e">
        <f>VLOOKUP(B2191,MICRO!E:L,8,0)</f>
        <v>#N/A</v>
      </c>
    </row>
    <row r="2192" spans="1:14" ht="20.25" x14ac:dyDescent="0.25">
      <c r="A2192" s="1">
        <v>187</v>
      </c>
      <c r="B2192" s="159"/>
      <c r="C2192" s="1" t="s">
        <v>1584</v>
      </c>
      <c r="D2192" s="1"/>
      <c r="E2192" s="1"/>
      <c r="F2192" s="1" t="s">
        <v>1589</v>
      </c>
      <c r="G2192" s="1">
        <v>230</v>
      </c>
      <c r="H2192" s="1" t="s">
        <v>19</v>
      </c>
      <c r="I2192" s="1" t="s">
        <v>1586</v>
      </c>
      <c r="J2192" s="1">
        <v>0.05</v>
      </c>
      <c r="K2192" s="1">
        <v>11.5</v>
      </c>
      <c r="L2192" s="42">
        <v>5</v>
      </c>
      <c r="M2192" s="43"/>
      <c r="N2192" s="1" t="e">
        <f>VLOOKUP(B2192,MICRO!E:L,8,0)</f>
        <v>#N/A</v>
      </c>
    </row>
    <row r="2193" spans="1:14" ht="20.25" x14ac:dyDescent="0.25">
      <c r="A2193" s="1">
        <v>188</v>
      </c>
      <c r="B2193" s="159"/>
      <c r="C2193" s="1" t="s">
        <v>638</v>
      </c>
      <c r="D2193" s="1"/>
      <c r="E2193" s="1"/>
      <c r="F2193" s="1" t="s">
        <v>1590</v>
      </c>
      <c r="G2193" s="1">
        <v>50</v>
      </c>
      <c r="H2193" s="1" t="s">
        <v>19</v>
      </c>
      <c r="I2193" s="1" t="s">
        <v>425</v>
      </c>
      <c r="J2193" s="1">
        <v>0.05</v>
      </c>
      <c r="K2193" s="1">
        <v>2.5</v>
      </c>
      <c r="L2193" s="42">
        <v>5</v>
      </c>
      <c r="M2193" s="43"/>
      <c r="N2193" s="1" t="e">
        <f>VLOOKUP(B2193,MICRO!E:L,8,0)</f>
        <v>#N/A</v>
      </c>
    </row>
    <row r="2194" spans="1:14" ht="20.25" x14ac:dyDescent="0.25">
      <c r="A2194" s="1">
        <v>189</v>
      </c>
      <c r="B2194" s="159"/>
      <c r="C2194" s="1" t="s">
        <v>638</v>
      </c>
      <c r="D2194" s="1"/>
      <c r="E2194" s="1"/>
      <c r="F2194" s="1" t="s">
        <v>1591</v>
      </c>
      <c r="G2194" s="1">
        <v>26</v>
      </c>
      <c r="H2194" s="1" t="s">
        <v>19</v>
      </c>
      <c r="I2194" s="1" t="s">
        <v>425</v>
      </c>
      <c r="J2194" s="1">
        <v>0.03</v>
      </c>
      <c r="K2194" s="1">
        <v>0.78</v>
      </c>
      <c r="L2194" s="42">
        <v>5</v>
      </c>
      <c r="M2194" s="43"/>
      <c r="N2194" s="1" t="e">
        <f>VLOOKUP(B2194,MICRO!E:L,8,0)</f>
        <v>#N/A</v>
      </c>
    </row>
    <row r="2195" spans="1:14" ht="20.25" x14ac:dyDescent="0.25">
      <c r="A2195" s="1">
        <v>190</v>
      </c>
      <c r="B2195" s="159"/>
      <c r="C2195" s="1" t="s">
        <v>1582</v>
      </c>
      <c r="D2195" s="1"/>
      <c r="E2195" s="1"/>
      <c r="F2195" s="1" t="s">
        <v>1592</v>
      </c>
      <c r="G2195" s="1">
        <v>40</v>
      </c>
      <c r="H2195" s="1" t="s">
        <v>19</v>
      </c>
      <c r="I2195" s="1" t="s">
        <v>427</v>
      </c>
      <c r="J2195" s="1">
        <v>0.03</v>
      </c>
      <c r="K2195" s="1">
        <v>1.2</v>
      </c>
      <c r="L2195" s="42">
        <v>5</v>
      </c>
      <c r="M2195" s="43"/>
      <c r="N2195" s="1" t="e">
        <f>VLOOKUP(B2195,MICRO!E:L,8,0)</f>
        <v>#N/A</v>
      </c>
    </row>
    <row r="2196" spans="1:14" ht="20.25" x14ac:dyDescent="0.25">
      <c r="A2196" s="1">
        <v>191</v>
      </c>
      <c r="B2196" s="159"/>
      <c r="C2196" s="1" t="s">
        <v>1584</v>
      </c>
      <c r="D2196" s="1"/>
      <c r="E2196" s="1"/>
      <c r="F2196" s="1" t="s">
        <v>1593</v>
      </c>
      <c r="G2196" s="1">
        <v>460</v>
      </c>
      <c r="H2196" s="1" t="s">
        <v>19</v>
      </c>
      <c r="I2196" s="1" t="s">
        <v>1586</v>
      </c>
      <c r="J2196" s="1">
        <v>0.03</v>
      </c>
      <c r="K2196" s="1">
        <v>13.799999999999999</v>
      </c>
      <c r="L2196" s="42">
        <v>5</v>
      </c>
      <c r="M2196" s="43"/>
      <c r="N2196" s="1" t="e">
        <f>VLOOKUP(B2196,MICRO!E:L,8,0)</f>
        <v>#N/A</v>
      </c>
    </row>
    <row r="2197" spans="1:14" ht="20.25" x14ac:dyDescent="0.25">
      <c r="A2197" s="1">
        <v>192</v>
      </c>
      <c r="B2197" s="159"/>
      <c r="C2197" s="1" t="s">
        <v>1594</v>
      </c>
      <c r="D2197" s="1"/>
      <c r="E2197" s="1"/>
      <c r="F2197" s="1" t="s">
        <v>1595</v>
      </c>
      <c r="G2197" s="1">
        <v>6</v>
      </c>
      <c r="H2197" s="1" t="s">
        <v>19</v>
      </c>
      <c r="I2197" s="1" t="s">
        <v>1558</v>
      </c>
      <c r="J2197" s="1">
        <v>0.02</v>
      </c>
      <c r="K2197" s="1">
        <v>0.12</v>
      </c>
      <c r="L2197" s="42">
        <v>5</v>
      </c>
      <c r="M2197" s="43"/>
      <c r="N2197" s="1" t="e">
        <f>VLOOKUP(B2197,MICRO!E:L,8,0)</f>
        <v>#N/A</v>
      </c>
    </row>
    <row r="2198" spans="1:14" ht="20.25" x14ac:dyDescent="0.25">
      <c r="A2198" s="1">
        <v>193</v>
      </c>
      <c r="B2198" s="159"/>
      <c r="C2198" s="1" t="s">
        <v>1596</v>
      </c>
      <c r="D2198" s="1"/>
      <c r="E2198" s="1"/>
      <c r="F2198" s="1" t="s">
        <v>1597</v>
      </c>
      <c r="G2198" s="1">
        <v>2</v>
      </c>
      <c r="H2198" s="1" t="s">
        <v>19</v>
      </c>
      <c r="I2198" s="1" t="s">
        <v>1598</v>
      </c>
      <c r="J2198" s="1">
        <v>0.02</v>
      </c>
      <c r="K2198" s="1">
        <v>0.04</v>
      </c>
      <c r="L2198" s="42">
        <v>5</v>
      </c>
      <c r="M2198" s="43"/>
      <c r="N2198" s="1" t="e">
        <f>VLOOKUP(B2198,MICRO!E:L,8,0)</f>
        <v>#N/A</v>
      </c>
    </row>
    <row r="2199" spans="1:14" ht="20.25" x14ac:dyDescent="0.25">
      <c r="A2199" s="1">
        <v>194</v>
      </c>
      <c r="B2199" s="159"/>
      <c r="C2199" s="1" t="s">
        <v>1594</v>
      </c>
      <c r="D2199" s="1"/>
      <c r="E2199" s="1"/>
      <c r="F2199" s="1" t="s">
        <v>1599</v>
      </c>
      <c r="G2199" s="1">
        <v>16</v>
      </c>
      <c r="H2199" s="1" t="s">
        <v>19</v>
      </c>
      <c r="I2199" s="1" t="s">
        <v>1558</v>
      </c>
      <c r="J2199" s="1">
        <v>0.02</v>
      </c>
      <c r="K2199" s="1">
        <v>0.32</v>
      </c>
      <c r="L2199" s="42">
        <v>5</v>
      </c>
      <c r="M2199" s="43"/>
      <c r="N2199" s="1" t="e">
        <f>VLOOKUP(B2199,MICRO!E:L,8,0)</f>
        <v>#N/A</v>
      </c>
    </row>
    <row r="2200" spans="1:14" ht="20.25" x14ac:dyDescent="0.25">
      <c r="A2200" s="1">
        <v>195</v>
      </c>
      <c r="B2200" s="159"/>
      <c r="C2200" s="1" t="s">
        <v>1556</v>
      </c>
      <c r="D2200" s="1"/>
      <c r="E2200" s="1"/>
      <c r="F2200" s="1" t="s">
        <v>1600</v>
      </c>
      <c r="G2200" s="1">
        <v>48</v>
      </c>
      <c r="H2200" s="1" t="s">
        <v>19</v>
      </c>
      <c r="I2200" s="1" t="s">
        <v>423</v>
      </c>
      <c r="J2200" s="1">
        <v>0.02</v>
      </c>
      <c r="K2200" s="1">
        <v>0.96</v>
      </c>
      <c r="L2200" s="42">
        <v>5</v>
      </c>
      <c r="M2200" s="43"/>
      <c r="N2200" s="1" t="e">
        <f>VLOOKUP(B2200,MICRO!E:L,8,0)</f>
        <v>#N/A</v>
      </c>
    </row>
    <row r="2201" spans="1:14" ht="20.25" x14ac:dyDescent="0.25">
      <c r="A2201" s="1">
        <v>196</v>
      </c>
      <c r="B2201" s="159"/>
      <c r="C2201" s="1" t="s">
        <v>1559</v>
      </c>
      <c r="D2201" s="1"/>
      <c r="E2201" s="1"/>
      <c r="F2201" s="1" t="s">
        <v>1601</v>
      </c>
      <c r="G2201" s="1">
        <v>7</v>
      </c>
      <c r="H2201" s="1" t="s">
        <v>19</v>
      </c>
      <c r="I2201" s="1" t="s">
        <v>424</v>
      </c>
      <c r="J2201" s="1">
        <v>0.02</v>
      </c>
      <c r="K2201" s="1">
        <v>0.14000000000000001</v>
      </c>
      <c r="L2201" s="42">
        <v>5</v>
      </c>
      <c r="M2201" s="43"/>
      <c r="N2201" s="1" t="e">
        <f>VLOOKUP(B2201,MICRO!E:L,8,0)</f>
        <v>#N/A</v>
      </c>
    </row>
    <row r="2202" spans="1:14" ht="20.25" x14ac:dyDescent="0.25">
      <c r="A2202" s="1">
        <v>197</v>
      </c>
      <c r="B2202" s="159"/>
      <c r="C2202" s="1" t="s">
        <v>1561</v>
      </c>
      <c r="D2202" s="1"/>
      <c r="E2202" s="1"/>
      <c r="F2202" s="1" t="s">
        <v>1602</v>
      </c>
      <c r="G2202" s="1">
        <v>10</v>
      </c>
      <c r="H2202" s="1" t="s">
        <v>19</v>
      </c>
      <c r="I2202" s="1" t="s">
        <v>425</v>
      </c>
      <c r="J2202" s="1">
        <v>0.02</v>
      </c>
      <c r="K2202" s="1">
        <v>0.2</v>
      </c>
      <c r="L2202" s="42">
        <v>5</v>
      </c>
      <c r="M2202" s="43"/>
      <c r="N2202" s="1" t="e">
        <f>VLOOKUP(B2202,MICRO!E:L,8,0)</f>
        <v>#N/A</v>
      </c>
    </row>
    <row r="2203" spans="1:14" ht="20.25" x14ac:dyDescent="0.25">
      <c r="A2203" s="1">
        <v>198</v>
      </c>
      <c r="B2203" s="159"/>
      <c r="C2203" s="1" t="s">
        <v>1565</v>
      </c>
      <c r="D2203" s="1"/>
      <c r="E2203" s="1"/>
      <c r="F2203" s="1" t="s">
        <v>1603</v>
      </c>
      <c r="G2203" s="1">
        <v>24</v>
      </c>
      <c r="H2203" s="1" t="s">
        <v>19</v>
      </c>
      <c r="I2203" s="1" t="s">
        <v>426</v>
      </c>
      <c r="J2203" s="1">
        <v>0.02</v>
      </c>
      <c r="K2203" s="1">
        <v>0.48</v>
      </c>
      <c r="L2203" s="42">
        <v>5</v>
      </c>
      <c r="M2203" s="43"/>
      <c r="N2203" s="1" t="e">
        <f>VLOOKUP(B2203,MICRO!E:L,8,0)</f>
        <v>#N/A</v>
      </c>
    </row>
    <row r="2204" spans="1:14" ht="20.25" x14ac:dyDescent="0.25">
      <c r="A2204" s="1">
        <v>199</v>
      </c>
      <c r="B2204" s="159"/>
      <c r="C2204" s="1" t="s">
        <v>1563</v>
      </c>
      <c r="D2204" s="1"/>
      <c r="E2204" s="1"/>
      <c r="F2204" s="1" t="s">
        <v>1604</v>
      </c>
      <c r="G2204" s="1">
        <v>146</v>
      </c>
      <c r="H2204" s="1" t="s">
        <v>19</v>
      </c>
      <c r="I2204" s="1" t="s">
        <v>427</v>
      </c>
      <c r="J2204" s="1">
        <v>0.02</v>
      </c>
      <c r="K2204" s="1">
        <v>2.92</v>
      </c>
      <c r="L2204" s="42">
        <v>5</v>
      </c>
      <c r="M2204" s="43"/>
      <c r="N2204" s="1" t="e">
        <f>VLOOKUP(B2204,MICRO!E:L,8,0)</f>
        <v>#N/A</v>
      </c>
    </row>
    <row r="2205" spans="1:14" ht="20.25" x14ac:dyDescent="0.25">
      <c r="A2205" s="1">
        <v>200</v>
      </c>
      <c r="B2205" s="159"/>
      <c r="C2205" s="1" t="s">
        <v>1605</v>
      </c>
      <c r="D2205" s="1"/>
      <c r="E2205" s="1"/>
      <c r="F2205" s="1" t="s">
        <v>1606</v>
      </c>
      <c r="G2205" s="1">
        <v>1</v>
      </c>
      <c r="H2205" s="1" t="s">
        <v>19</v>
      </c>
      <c r="I2205" s="1" t="s">
        <v>1598</v>
      </c>
      <c r="J2205" s="1">
        <v>0.02</v>
      </c>
      <c r="K2205" s="1">
        <v>0.02</v>
      </c>
      <c r="L2205" s="42">
        <v>5</v>
      </c>
      <c r="M2205" s="43"/>
      <c r="N2205" s="1" t="e">
        <f>VLOOKUP(B2205,MICRO!E:L,8,0)</f>
        <v>#N/A</v>
      </c>
    </row>
    <row r="2206" spans="1:14" ht="20.25" x14ac:dyDescent="0.25">
      <c r="A2206" s="1">
        <v>201</v>
      </c>
      <c r="B2206" s="159"/>
      <c r="C2206" s="1" t="s">
        <v>1594</v>
      </c>
      <c r="D2206" s="1"/>
      <c r="E2206" s="1"/>
      <c r="F2206" s="1" t="s">
        <v>1607</v>
      </c>
      <c r="G2206" s="1">
        <v>90</v>
      </c>
      <c r="H2206" s="1" t="s">
        <v>19</v>
      </c>
      <c r="I2206" s="1" t="s">
        <v>1558</v>
      </c>
      <c r="J2206" s="1">
        <v>0.02</v>
      </c>
      <c r="K2206" s="1">
        <v>1.8</v>
      </c>
      <c r="L2206" s="42">
        <v>5</v>
      </c>
      <c r="M2206" s="43"/>
      <c r="N2206" s="1" t="e">
        <f>VLOOKUP(B2206,MICRO!E:L,8,0)</f>
        <v>#N/A</v>
      </c>
    </row>
    <row r="2207" spans="1:14" ht="20.25" x14ac:dyDescent="0.25">
      <c r="A2207" s="1">
        <v>202</v>
      </c>
      <c r="B2207" s="159"/>
      <c r="C2207" s="1" t="s">
        <v>1608</v>
      </c>
      <c r="D2207" s="1"/>
      <c r="E2207" s="1"/>
      <c r="F2207" s="1" t="s">
        <v>1609</v>
      </c>
      <c r="G2207" s="1">
        <v>40</v>
      </c>
      <c r="H2207" s="1" t="s">
        <v>19</v>
      </c>
      <c r="I2207" s="1" t="s">
        <v>424</v>
      </c>
      <c r="J2207" s="1">
        <v>0.02</v>
      </c>
      <c r="K2207" s="1">
        <v>0.8</v>
      </c>
      <c r="L2207" s="42">
        <v>5</v>
      </c>
      <c r="M2207" s="43"/>
      <c r="N2207" s="1" t="e">
        <f>VLOOKUP(B2207,MICRO!E:L,8,0)</f>
        <v>#N/A</v>
      </c>
    </row>
    <row r="2208" spans="1:14" ht="20.25" x14ac:dyDescent="0.25">
      <c r="A2208" s="1">
        <v>203</v>
      </c>
      <c r="B2208" s="159"/>
      <c r="C2208" s="1" t="s">
        <v>1610</v>
      </c>
      <c r="D2208" s="1"/>
      <c r="E2208" s="1"/>
      <c r="F2208" s="1" t="s">
        <v>1611</v>
      </c>
      <c r="G2208" s="1">
        <v>44</v>
      </c>
      <c r="H2208" s="1" t="s">
        <v>19</v>
      </c>
      <c r="I2208" s="1" t="s">
        <v>425</v>
      </c>
      <c r="J2208" s="1">
        <v>0.02</v>
      </c>
      <c r="K2208" s="1">
        <v>0.88</v>
      </c>
      <c r="L2208" s="42">
        <v>5</v>
      </c>
      <c r="M2208" s="43"/>
      <c r="N2208" s="1" t="e">
        <f>VLOOKUP(B2208,MICRO!E:L,8,0)</f>
        <v>#N/A</v>
      </c>
    </row>
    <row r="2209" spans="1:14" ht="20.25" x14ac:dyDescent="0.25">
      <c r="A2209" s="1">
        <v>204</v>
      </c>
      <c r="B2209" s="159"/>
      <c r="C2209" s="1" t="s">
        <v>1612</v>
      </c>
      <c r="D2209" s="1"/>
      <c r="E2209" s="1"/>
      <c r="F2209" s="1" t="s">
        <v>1613</v>
      </c>
      <c r="G2209" s="1">
        <v>12</v>
      </c>
      <c r="H2209" s="1" t="s">
        <v>19</v>
      </c>
      <c r="I2209" s="1" t="s">
        <v>424</v>
      </c>
      <c r="J2209" s="1">
        <v>0.02</v>
      </c>
      <c r="K2209" s="1">
        <v>0.24</v>
      </c>
      <c r="L2209" s="42">
        <v>5</v>
      </c>
      <c r="M2209" s="43"/>
      <c r="N2209" s="1" t="e">
        <f>VLOOKUP(B2209,MICRO!E:L,8,0)</f>
        <v>#N/A</v>
      </c>
    </row>
    <row r="2210" spans="1:14" ht="20.25" x14ac:dyDescent="0.25">
      <c r="A2210" s="1">
        <v>205</v>
      </c>
      <c r="B2210" s="159"/>
      <c r="C2210" s="1" t="s">
        <v>1610</v>
      </c>
      <c r="D2210" s="1"/>
      <c r="E2210" s="1"/>
      <c r="F2210" s="1" t="s">
        <v>1614</v>
      </c>
      <c r="G2210" s="1">
        <v>12</v>
      </c>
      <c r="H2210" s="1" t="s">
        <v>19</v>
      </c>
      <c r="I2210" s="1" t="s">
        <v>425</v>
      </c>
      <c r="J2210" s="1">
        <v>0.02</v>
      </c>
      <c r="K2210" s="1">
        <v>0.24</v>
      </c>
      <c r="L2210" s="42">
        <v>5</v>
      </c>
      <c r="M2210" s="43"/>
      <c r="N2210" s="1" t="e">
        <f>VLOOKUP(B2210,MICRO!E:L,8,0)</f>
        <v>#N/A</v>
      </c>
    </row>
    <row r="2211" spans="1:14" ht="20.25" x14ac:dyDescent="0.25">
      <c r="A2211" s="1">
        <v>206</v>
      </c>
      <c r="B2211" s="159"/>
      <c r="C2211" s="1" t="s">
        <v>1610</v>
      </c>
      <c r="D2211" s="1"/>
      <c r="E2211" s="1"/>
      <c r="F2211" s="1" t="s">
        <v>1614</v>
      </c>
      <c r="G2211" s="1">
        <v>12</v>
      </c>
      <c r="H2211" s="1" t="s">
        <v>19</v>
      </c>
      <c r="I2211" s="1" t="s">
        <v>425</v>
      </c>
      <c r="J2211" s="1">
        <v>0.02</v>
      </c>
      <c r="K2211" s="1">
        <v>0.24</v>
      </c>
      <c r="L2211" s="42">
        <v>5</v>
      </c>
      <c r="M2211" s="43"/>
      <c r="N2211" s="1" t="e">
        <f>VLOOKUP(B2211,MICRO!E:L,8,0)</f>
        <v>#N/A</v>
      </c>
    </row>
    <row r="2212" spans="1:14" ht="20.25" x14ac:dyDescent="0.25">
      <c r="A2212" s="1">
        <v>207</v>
      </c>
      <c r="B2212" s="159"/>
      <c r="C2212" s="1" t="s">
        <v>1615</v>
      </c>
      <c r="D2212" s="1"/>
      <c r="E2212" s="1"/>
      <c r="F2212" s="1" t="s">
        <v>1616</v>
      </c>
      <c r="G2212" s="1">
        <v>48</v>
      </c>
      <c r="H2212" s="1" t="s">
        <v>19</v>
      </c>
      <c r="I2212" s="1" t="s">
        <v>426</v>
      </c>
      <c r="J2212" s="1">
        <v>0.02</v>
      </c>
      <c r="K2212" s="1">
        <v>0.96</v>
      </c>
      <c r="L2212" s="42">
        <v>5</v>
      </c>
      <c r="M2212" s="43"/>
      <c r="N2212" s="1" t="e">
        <f>VLOOKUP(B2212,MICRO!E:L,8,0)</f>
        <v>#N/A</v>
      </c>
    </row>
    <row r="2213" spans="1:14" ht="20.25" x14ac:dyDescent="0.25">
      <c r="A2213" s="1">
        <v>208</v>
      </c>
      <c r="B2213" s="159"/>
      <c r="C2213" s="1" t="s">
        <v>1596</v>
      </c>
      <c r="D2213" s="1"/>
      <c r="E2213" s="1"/>
      <c r="F2213" s="1" t="s">
        <v>1617</v>
      </c>
      <c r="G2213" s="1">
        <v>2</v>
      </c>
      <c r="H2213" s="1" t="s">
        <v>19</v>
      </c>
      <c r="I2213" s="1" t="s">
        <v>1598</v>
      </c>
      <c r="J2213" s="1">
        <v>0.02</v>
      </c>
      <c r="K2213" s="1">
        <v>0.04</v>
      </c>
      <c r="L2213" s="42">
        <v>5</v>
      </c>
      <c r="M2213" s="43"/>
      <c r="N2213" s="1" t="e">
        <f>VLOOKUP(B2213,MICRO!E:L,8,0)</f>
        <v>#N/A</v>
      </c>
    </row>
    <row r="2214" spans="1:14" ht="20.25" x14ac:dyDescent="0.25">
      <c r="A2214" s="1">
        <v>209</v>
      </c>
      <c r="B2214" s="159"/>
      <c r="C2214" s="1" t="s">
        <v>1559</v>
      </c>
      <c r="D2214" s="1"/>
      <c r="E2214" s="1"/>
      <c r="F2214" s="1" t="s">
        <v>1618</v>
      </c>
      <c r="G2214" s="1">
        <v>7</v>
      </c>
      <c r="H2214" s="1" t="s">
        <v>19</v>
      </c>
      <c r="I2214" s="1" t="s">
        <v>424</v>
      </c>
      <c r="J2214" s="1">
        <v>0.05</v>
      </c>
      <c r="K2214" s="1">
        <v>0.35000000000000003</v>
      </c>
      <c r="L2214" s="42">
        <v>5</v>
      </c>
      <c r="M2214" s="43"/>
      <c r="N2214" s="1" t="e">
        <f>VLOOKUP(B2214,MICRO!E:L,8,0)</f>
        <v>#N/A</v>
      </c>
    </row>
    <row r="2215" spans="1:14" ht="20.25" x14ac:dyDescent="0.25">
      <c r="A2215" s="1">
        <v>210</v>
      </c>
      <c r="B2215" s="159"/>
      <c r="C2215" s="1" t="s">
        <v>1559</v>
      </c>
      <c r="D2215" s="1"/>
      <c r="E2215" s="1"/>
      <c r="F2215" s="1" t="s">
        <v>1618</v>
      </c>
      <c r="G2215" s="1">
        <v>48</v>
      </c>
      <c r="H2215" s="1" t="s">
        <v>19</v>
      </c>
      <c r="I2215" s="1" t="s">
        <v>424</v>
      </c>
      <c r="J2215" s="1">
        <v>0.05</v>
      </c>
      <c r="K2215" s="1">
        <v>2.4000000000000004</v>
      </c>
      <c r="L2215" s="42">
        <v>5</v>
      </c>
      <c r="M2215" s="43"/>
      <c r="N2215" s="1" t="e">
        <f>VLOOKUP(B2215,MICRO!E:L,8,0)</f>
        <v>#N/A</v>
      </c>
    </row>
    <row r="2216" spans="1:14" ht="20.25" x14ac:dyDescent="0.25">
      <c r="A2216" s="1">
        <v>211</v>
      </c>
      <c r="B2216" s="159"/>
      <c r="C2216" s="1" t="s">
        <v>1561</v>
      </c>
      <c r="D2216" s="1"/>
      <c r="E2216" s="1"/>
      <c r="F2216" s="1" t="s">
        <v>1619</v>
      </c>
      <c r="G2216" s="1">
        <v>10</v>
      </c>
      <c r="H2216" s="1" t="s">
        <v>19</v>
      </c>
      <c r="I2216" s="1" t="s">
        <v>425</v>
      </c>
      <c r="J2216" s="1">
        <v>0.05</v>
      </c>
      <c r="K2216" s="1">
        <v>0.5</v>
      </c>
      <c r="L2216" s="42">
        <v>5</v>
      </c>
      <c r="M2216" s="43"/>
      <c r="N2216" s="1" t="e">
        <f>VLOOKUP(B2216,MICRO!E:L,8,0)</f>
        <v>#N/A</v>
      </c>
    </row>
    <row r="2217" spans="1:14" ht="20.25" x14ac:dyDescent="0.25">
      <c r="A2217" s="1">
        <v>212</v>
      </c>
      <c r="B2217" s="159"/>
      <c r="C2217" s="1" t="s">
        <v>1565</v>
      </c>
      <c r="D2217" s="1"/>
      <c r="E2217" s="1"/>
      <c r="F2217" s="1" t="s">
        <v>1620</v>
      </c>
      <c r="G2217" s="1">
        <v>24</v>
      </c>
      <c r="H2217" s="1" t="s">
        <v>19</v>
      </c>
      <c r="I2217" s="1" t="s">
        <v>426</v>
      </c>
      <c r="J2217" s="1">
        <v>0.05</v>
      </c>
      <c r="K2217" s="1">
        <v>1.2000000000000002</v>
      </c>
      <c r="L2217" s="42">
        <v>5</v>
      </c>
      <c r="M2217" s="43"/>
      <c r="N2217" s="1" t="e">
        <f>VLOOKUP(B2217,MICRO!E:L,8,0)</f>
        <v>#N/A</v>
      </c>
    </row>
    <row r="2218" spans="1:14" ht="20.25" x14ac:dyDescent="0.25">
      <c r="A2218" s="1">
        <v>213</v>
      </c>
      <c r="B2218" s="159"/>
      <c r="C2218" s="1" t="s">
        <v>1563</v>
      </c>
      <c r="D2218" s="1"/>
      <c r="E2218" s="1"/>
      <c r="F2218" s="1" t="s">
        <v>1621</v>
      </c>
      <c r="G2218" s="1">
        <v>146</v>
      </c>
      <c r="H2218" s="1" t="s">
        <v>19</v>
      </c>
      <c r="I2218" s="1" t="s">
        <v>427</v>
      </c>
      <c r="J2218" s="1">
        <v>0.05</v>
      </c>
      <c r="K2218" s="1">
        <v>7.3000000000000007</v>
      </c>
      <c r="L2218" s="42">
        <v>5</v>
      </c>
      <c r="M2218" s="43"/>
      <c r="N2218" s="1" t="e">
        <f>VLOOKUP(B2218,MICRO!E:L,8,0)</f>
        <v>#N/A</v>
      </c>
    </row>
    <row r="2219" spans="1:14" ht="20.25" x14ac:dyDescent="0.25">
      <c r="A2219" s="1">
        <v>214</v>
      </c>
      <c r="B2219" s="159"/>
      <c r="C2219" s="1" t="s">
        <v>1594</v>
      </c>
      <c r="D2219" s="1"/>
      <c r="E2219" s="1"/>
      <c r="F2219" s="1" t="s">
        <v>1622</v>
      </c>
      <c r="G2219" s="1">
        <v>16</v>
      </c>
      <c r="H2219" s="1" t="s">
        <v>19</v>
      </c>
      <c r="I2219" s="1" t="s">
        <v>1558</v>
      </c>
      <c r="J2219" s="1">
        <v>0.05</v>
      </c>
      <c r="K2219" s="1">
        <v>0.8</v>
      </c>
      <c r="L2219" s="42">
        <v>5</v>
      </c>
      <c r="M2219" s="43"/>
      <c r="N2219" s="1" t="e">
        <f>VLOOKUP(B2219,MICRO!E:L,8,0)</f>
        <v>#N/A</v>
      </c>
    </row>
    <row r="2220" spans="1:14" ht="20.25" x14ac:dyDescent="0.25">
      <c r="A2220" s="1">
        <v>215</v>
      </c>
      <c r="B2220" s="159"/>
      <c r="C2220" s="1" t="s">
        <v>1596</v>
      </c>
      <c r="D2220" s="1"/>
      <c r="E2220" s="1"/>
      <c r="F2220" s="1" t="s">
        <v>1623</v>
      </c>
      <c r="G2220" s="1">
        <v>2</v>
      </c>
      <c r="H2220" s="1" t="s">
        <v>19</v>
      </c>
      <c r="I2220" s="1" t="s">
        <v>1598</v>
      </c>
      <c r="J2220" s="1">
        <v>0.05</v>
      </c>
      <c r="K2220" s="1">
        <v>0.1</v>
      </c>
      <c r="L2220" s="42">
        <v>5</v>
      </c>
      <c r="M2220" s="43"/>
      <c r="N2220" s="1" t="e">
        <f>VLOOKUP(B2220,MICRO!E:L,8,0)</f>
        <v>#N/A</v>
      </c>
    </row>
    <row r="2221" spans="1:14" ht="20.25" x14ac:dyDescent="0.25">
      <c r="A2221" s="1">
        <v>216</v>
      </c>
      <c r="B2221" s="159"/>
      <c r="C2221" s="1" t="s">
        <v>1610</v>
      </c>
      <c r="D2221" s="1"/>
      <c r="E2221" s="1"/>
      <c r="F2221" s="1" t="s">
        <v>1624</v>
      </c>
      <c r="G2221" s="1">
        <v>16</v>
      </c>
      <c r="H2221" s="1" t="s">
        <v>19</v>
      </c>
      <c r="I2221" s="1" t="s">
        <v>425</v>
      </c>
      <c r="J2221" s="1">
        <v>0.05</v>
      </c>
      <c r="K2221" s="1">
        <v>0.8</v>
      </c>
      <c r="L2221" s="42">
        <v>5</v>
      </c>
      <c r="M2221" s="43"/>
      <c r="N2221" s="1" t="e">
        <f>VLOOKUP(B2221,MICRO!E:L,8,0)</f>
        <v>#N/A</v>
      </c>
    </row>
    <row r="2222" spans="1:14" ht="20.25" x14ac:dyDescent="0.25">
      <c r="A2222" s="1">
        <v>217</v>
      </c>
      <c r="B2222" s="159"/>
      <c r="C2222" s="1" t="s">
        <v>1608</v>
      </c>
      <c r="D2222" s="1"/>
      <c r="E2222" s="1"/>
      <c r="F2222" s="1" t="s">
        <v>1625</v>
      </c>
      <c r="G2222" s="1">
        <v>12</v>
      </c>
      <c r="H2222" s="1" t="s">
        <v>19</v>
      </c>
      <c r="I2222" s="1" t="s">
        <v>424</v>
      </c>
      <c r="J2222" s="1">
        <v>0.05</v>
      </c>
      <c r="K2222" s="1">
        <v>0.60000000000000009</v>
      </c>
      <c r="L2222" s="42">
        <v>5</v>
      </c>
      <c r="M2222" s="43"/>
      <c r="N2222" s="1" t="e">
        <f>VLOOKUP(B2222,MICRO!E:L,8,0)</f>
        <v>#N/A</v>
      </c>
    </row>
    <row r="2223" spans="1:14" ht="20.25" x14ac:dyDescent="0.25">
      <c r="A2223" s="1">
        <v>218</v>
      </c>
      <c r="B2223" s="159"/>
      <c r="C2223" s="1" t="s">
        <v>1594</v>
      </c>
      <c r="D2223" s="1"/>
      <c r="E2223" s="1"/>
      <c r="F2223" s="1" t="s">
        <v>1626</v>
      </c>
      <c r="G2223" s="1">
        <v>80</v>
      </c>
      <c r="H2223" s="1" t="s">
        <v>19</v>
      </c>
      <c r="I2223" s="1" t="s">
        <v>1558</v>
      </c>
      <c r="J2223" s="1">
        <v>0.05</v>
      </c>
      <c r="K2223" s="1">
        <v>4</v>
      </c>
      <c r="L2223" s="42">
        <v>5</v>
      </c>
      <c r="M2223" s="43"/>
      <c r="N2223" s="1" t="e">
        <f>VLOOKUP(B2223,MICRO!E:L,8,0)</f>
        <v>#N/A</v>
      </c>
    </row>
    <row r="2224" spans="1:14" ht="20.25" x14ac:dyDescent="0.25">
      <c r="A2224" s="1">
        <v>219</v>
      </c>
      <c r="B2224" s="159"/>
      <c r="C2224" s="1" t="s">
        <v>1612</v>
      </c>
      <c r="D2224" s="1"/>
      <c r="E2224" s="1"/>
      <c r="F2224" s="1" t="s">
        <v>1627</v>
      </c>
      <c r="G2224" s="1">
        <v>12</v>
      </c>
      <c r="H2224" s="1" t="s">
        <v>19</v>
      </c>
      <c r="I2224" s="1" t="s">
        <v>424</v>
      </c>
      <c r="J2224" s="1">
        <v>0.05</v>
      </c>
      <c r="K2224" s="1">
        <v>0.60000000000000009</v>
      </c>
      <c r="L2224" s="42">
        <v>5</v>
      </c>
      <c r="M2224" s="43"/>
      <c r="N2224" s="1" t="e">
        <f>VLOOKUP(B2224,MICRO!E:L,8,0)</f>
        <v>#N/A</v>
      </c>
    </row>
    <row r="2225" spans="1:14" ht="20.25" x14ac:dyDescent="0.25">
      <c r="A2225" s="1">
        <v>220</v>
      </c>
      <c r="B2225" s="159"/>
      <c r="C2225" s="1" t="s">
        <v>1610</v>
      </c>
      <c r="D2225" s="1"/>
      <c r="E2225" s="1"/>
      <c r="F2225" s="1" t="s">
        <v>1628</v>
      </c>
      <c r="G2225" s="1">
        <v>12</v>
      </c>
      <c r="H2225" s="1" t="s">
        <v>19</v>
      </c>
      <c r="I2225" s="1" t="s">
        <v>425</v>
      </c>
      <c r="J2225" s="1">
        <v>0.05</v>
      </c>
      <c r="K2225" s="1">
        <v>0.60000000000000009</v>
      </c>
      <c r="L2225" s="42">
        <v>5</v>
      </c>
      <c r="M2225" s="43"/>
      <c r="N2225" s="1" t="e">
        <f>VLOOKUP(B2225,MICRO!E:L,8,0)</f>
        <v>#N/A</v>
      </c>
    </row>
    <row r="2226" spans="1:14" ht="20.25" x14ac:dyDescent="0.25">
      <c r="A2226" s="1">
        <v>221</v>
      </c>
      <c r="B2226" s="159"/>
      <c r="C2226" s="1" t="s">
        <v>1615</v>
      </c>
      <c r="D2226" s="1"/>
      <c r="E2226" s="1"/>
      <c r="F2226" s="1" t="s">
        <v>1629</v>
      </c>
      <c r="G2226" s="1">
        <v>20</v>
      </c>
      <c r="H2226" s="1" t="s">
        <v>19</v>
      </c>
      <c r="I2226" s="1" t="s">
        <v>426</v>
      </c>
      <c r="J2226" s="1">
        <v>0.05</v>
      </c>
      <c r="K2226" s="1">
        <v>1</v>
      </c>
      <c r="L2226" s="42">
        <v>5</v>
      </c>
      <c r="M2226" s="43"/>
      <c r="N2226" s="1" t="e">
        <f>VLOOKUP(B2226,MICRO!E:L,8,0)</f>
        <v>#N/A</v>
      </c>
    </row>
    <row r="2227" spans="1:14" ht="20.25" x14ac:dyDescent="0.25">
      <c r="A2227" s="1">
        <v>222</v>
      </c>
      <c r="B2227" s="159"/>
      <c r="C2227" s="1" t="s">
        <v>1594</v>
      </c>
      <c r="D2227" s="1"/>
      <c r="E2227" s="1"/>
      <c r="F2227" s="1" t="s">
        <v>1630</v>
      </c>
      <c r="G2227" s="1">
        <v>16</v>
      </c>
      <c r="H2227" s="1" t="s">
        <v>19</v>
      </c>
      <c r="I2227" s="1" t="s">
        <v>1558</v>
      </c>
      <c r="J2227" s="1">
        <v>0.05</v>
      </c>
      <c r="K2227" s="1">
        <v>0.8</v>
      </c>
      <c r="L2227" s="42">
        <v>5</v>
      </c>
      <c r="M2227" s="43"/>
      <c r="N2227" s="1" t="e">
        <f>VLOOKUP(B2227,MICRO!E:L,8,0)</f>
        <v>#N/A</v>
      </c>
    </row>
    <row r="2228" spans="1:14" ht="20.25" x14ac:dyDescent="0.25">
      <c r="A2228" s="1">
        <v>223</v>
      </c>
      <c r="B2228" s="159"/>
      <c r="C2228" s="1" t="s">
        <v>1610</v>
      </c>
      <c r="D2228" s="1"/>
      <c r="E2228" s="1"/>
      <c r="F2228" s="1" t="s">
        <v>1631</v>
      </c>
      <c r="G2228" s="1">
        <v>28</v>
      </c>
      <c r="H2228" s="1" t="s">
        <v>19</v>
      </c>
      <c r="I2228" s="1" t="s">
        <v>425</v>
      </c>
      <c r="J2228" s="1">
        <v>0.05</v>
      </c>
      <c r="K2228" s="1">
        <v>1.4000000000000001</v>
      </c>
      <c r="L2228" s="42">
        <v>5</v>
      </c>
      <c r="M2228" s="43"/>
      <c r="N2228" s="1" t="e">
        <f>VLOOKUP(B2228,MICRO!E:L,8,0)</f>
        <v>#N/A</v>
      </c>
    </row>
    <row r="2229" spans="1:14" ht="20.25" x14ac:dyDescent="0.25">
      <c r="A2229" s="1">
        <v>224</v>
      </c>
      <c r="B2229" s="159"/>
      <c r="C2229" s="1" t="s">
        <v>1608</v>
      </c>
      <c r="D2229" s="1"/>
      <c r="E2229" s="1"/>
      <c r="F2229" s="1" t="s">
        <v>1632</v>
      </c>
      <c r="G2229" s="1">
        <v>28</v>
      </c>
      <c r="H2229" s="1" t="s">
        <v>19</v>
      </c>
      <c r="I2229" s="1" t="s">
        <v>424</v>
      </c>
      <c r="J2229" s="1">
        <v>0.05</v>
      </c>
      <c r="K2229" s="1">
        <v>1.4000000000000001</v>
      </c>
      <c r="L2229" s="42">
        <v>5</v>
      </c>
      <c r="M2229" s="43"/>
      <c r="N2229" s="1" t="e">
        <f>VLOOKUP(B2229,MICRO!E:L,8,0)</f>
        <v>#N/A</v>
      </c>
    </row>
    <row r="2230" spans="1:14" ht="20.25" x14ac:dyDescent="0.25">
      <c r="A2230" s="1">
        <v>225</v>
      </c>
      <c r="B2230" s="159"/>
      <c r="C2230" s="1" t="s">
        <v>1615</v>
      </c>
      <c r="D2230" s="1"/>
      <c r="E2230" s="1"/>
      <c r="F2230" s="1" t="s">
        <v>1633</v>
      </c>
      <c r="G2230" s="1">
        <v>28</v>
      </c>
      <c r="H2230" s="1" t="s">
        <v>19</v>
      </c>
      <c r="I2230" s="1" t="s">
        <v>426</v>
      </c>
      <c r="J2230" s="1">
        <v>0.05</v>
      </c>
      <c r="K2230" s="1">
        <v>1.4000000000000001</v>
      </c>
      <c r="L2230" s="42">
        <v>5</v>
      </c>
      <c r="M2230" s="43"/>
      <c r="N2230" s="1" t="e">
        <f>VLOOKUP(B2230,MICRO!E:L,8,0)</f>
        <v>#N/A</v>
      </c>
    </row>
    <row r="2231" spans="1:14" ht="20.25" x14ac:dyDescent="0.25">
      <c r="A2231" s="1">
        <v>226</v>
      </c>
      <c r="B2231" s="159"/>
      <c r="C2231" s="1" t="s">
        <v>1596</v>
      </c>
      <c r="D2231" s="1"/>
      <c r="E2231" s="1"/>
      <c r="F2231" s="1" t="s">
        <v>1634</v>
      </c>
      <c r="G2231" s="1">
        <v>2</v>
      </c>
      <c r="H2231" s="1" t="s">
        <v>19</v>
      </c>
      <c r="I2231" s="1" t="s">
        <v>1598</v>
      </c>
      <c r="J2231" s="1">
        <v>0.03</v>
      </c>
      <c r="K2231" s="1">
        <v>0.06</v>
      </c>
      <c r="L2231" s="42">
        <v>5</v>
      </c>
      <c r="M2231" s="43"/>
      <c r="N2231" s="1" t="e">
        <f>VLOOKUP(B2231,MICRO!E:L,8,0)</f>
        <v>#N/A</v>
      </c>
    </row>
    <row r="2232" spans="1:14" ht="20.25" x14ac:dyDescent="0.25">
      <c r="A2232" s="1">
        <v>227</v>
      </c>
      <c r="B2232" s="159"/>
      <c r="C2232" s="1" t="s">
        <v>1559</v>
      </c>
      <c r="D2232" s="1"/>
      <c r="E2232" s="1"/>
      <c r="F2232" s="1" t="s">
        <v>1635</v>
      </c>
      <c r="G2232" s="1">
        <v>7</v>
      </c>
      <c r="H2232" s="1" t="s">
        <v>19</v>
      </c>
      <c r="I2232" s="1" t="s">
        <v>424</v>
      </c>
      <c r="J2232" s="1">
        <v>0.03</v>
      </c>
      <c r="K2232" s="1">
        <v>0.21</v>
      </c>
      <c r="L2232" s="42">
        <v>5</v>
      </c>
      <c r="M2232" s="43"/>
      <c r="N2232" s="1" t="e">
        <f>VLOOKUP(B2232,MICRO!E:L,8,0)</f>
        <v>#N/A</v>
      </c>
    </row>
    <row r="2233" spans="1:14" ht="20.25" x14ac:dyDescent="0.25">
      <c r="A2233" s="1">
        <v>228</v>
      </c>
      <c r="B2233" s="159"/>
      <c r="C2233" s="1" t="s">
        <v>1561</v>
      </c>
      <c r="D2233" s="1"/>
      <c r="E2233" s="1"/>
      <c r="F2233" s="1" t="s">
        <v>1576</v>
      </c>
      <c r="G2233" s="1">
        <v>10</v>
      </c>
      <c r="H2233" s="1" t="s">
        <v>19</v>
      </c>
      <c r="I2233" s="1" t="s">
        <v>425</v>
      </c>
      <c r="J2233" s="1">
        <v>0.03</v>
      </c>
      <c r="K2233" s="1">
        <v>0.3</v>
      </c>
      <c r="L2233" s="42">
        <v>5</v>
      </c>
      <c r="M2233" s="43"/>
      <c r="N2233" s="1" t="e">
        <f>VLOOKUP(B2233,MICRO!E:L,8,0)</f>
        <v>#N/A</v>
      </c>
    </row>
    <row r="2234" spans="1:14" ht="20.25" x14ac:dyDescent="0.25">
      <c r="A2234" s="1">
        <v>229</v>
      </c>
      <c r="B2234" s="159"/>
      <c r="C2234" s="1" t="s">
        <v>1565</v>
      </c>
      <c r="D2234" s="1"/>
      <c r="E2234" s="1"/>
      <c r="F2234" s="1" t="s">
        <v>1577</v>
      </c>
      <c r="G2234" s="1">
        <v>24</v>
      </c>
      <c r="H2234" s="1" t="s">
        <v>19</v>
      </c>
      <c r="I2234" s="1" t="s">
        <v>426</v>
      </c>
      <c r="J2234" s="1">
        <v>0.03</v>
      </c>
      <c r="K2234" s="1">
        <v>0.72</v>
      </c>
      <c r="L2234" s="42">
        <v>5</v>
      </c>
      <c r="M2234" s="43"/>
      <c r="N2234" s="1" t="e">
        <f>VLOOKUP(B2234,MICRO!E:L,8,0)</f>
        <v>#N/A</v>
      </c>
    </row>
    <row r="2235" spans="1:14" ht="20.25" x14ac:dyDescent="0.25">
      <c r="A2235" s="1">
        <v>230</v>
      </c>
      <c r="B2235" s="159"/>
      <c r="C2235" s="1" t="s">
        <v>1563</v>
      </c>
      <c r="D2235" s="1"/>
      <c r="E2235" s="1"/>
      <c r="F2235" s="1" t="s">
        <v>1578</v>
      </c>
      <c r="G2235" s="1">
        <v>146</v>
      </c>
      <c r="H2235" s="1" t="s">
        <v>19</v>
      </c>
      <c r="I2235" s="1" t="s">
        <v>427</v>
      </c>
      <c r="J2235" s="1">
        <v>0.03</v>
      </c>
      <c r="K2235" s="1">
        <v>4.38</v>
      </c>
      <c r="L2235" s="42">
        <v>5</v>
      </c>
      <c r="M2235" s="43"/>
      <c r="N2235" s="1" t="e">
        <f>VLOOKUP(B2235,MICRO!E:L,8,0)</f>
        <v>#N/A</v>
      </c>
    </row>
    <row r="2236" spans="1:14" ht="20.25" x14ac:dyDescent="0.25">
      <c r="A2236" s="1">
        <v>231</v>
      </c>
      <c r="B2236" s="159"/>
      <c r="C2236" s="1" t="s">
        <v>1556</v>
      </c>
      <c r="D2236" s="1"/>
      <c r="E2236" s="1"/>
      <c r="F2236" s="1" t="s">
        <v>1636</v>
      </c>
      <c r="G2236" s="1">
        <v>48</v>
      </c>
      <c r="H2236" s="1" t="s">
        <v>19</v>
      </c>
      <c r="I2236" s="1" t="s">
        <v>423</v>
      </c>
      <c r="J2236" s="1">
        <v>0.03</v>
      </c>
      <c r="K2236" s="1">
        <v>1.44</v>
      </c>
      <c r="L2236" s="42">
        <v>5</v>
      </c>
      <c r="M2236" s="43"/>
      <c r="N2236" s="1" t="e">
        <f>VLOOKUP(B2236,MICRO!E:L,8,0)</f>
        <v>#N/A</v>
      </c>
    </row>
    <row r="2237" spans="1:14" ht="20.25" x14ac:dyDescent="0.25">
      <c r="A2237" s="1">
        <v>232</v>
      </c>
      <c r="B2237" s="159"/>
      <c r="C2237" s="1" t="s">
        <v>1594</v>
      </c>
      <c r="D2237" s="1"/>
      <c r="E2237" s="1"/>
      <c r="F2237" s="1" t="s">
        <v>1637</v>
      </c>
      <c r="G2237" s="1">
        <v>16</v>
      </c>
      <c r="H2237" s="1" t="s">
        <v>19</v>
      </c>
      <c r="I2237" s="1" t="s">
        <v>1558</v>
      </c>
      <c r="J2237" s="1">
        <v>0.03</v>
      </c>
      <c r="K2237" s="1">
        <v>0.48</v>
      </c>
      <c r="L2237" s="42">
        <v>5</v>
      </c>
      <c r="M2237" s="43"/>
      <c r="N2237" s="1" t="e">
        <f>VLOOKUP(B2237,MICRO!E:L,8,0)</f>
        <v>#N/A</v>
      </c>
    </row>
    <row r="2238" spans="1:14" ht="20.25" x14ac:dyDescent="0.25">
      <c r="A2238" s="1">
        <v>233</v>
      </c>
      <c r="B2238" s="159"/>
      <c r="C2238" s="1" t="s">
        <v>1605</v>
      </c>
      <c r="D2238" s="1"/>
      <c r="E2238" s="1"/>
      <c r="F2238" s="1" t="s">
        <v>1638</v>
      </c>
      <c r="G2238" s="1">
        <v>1</v>
      </c>
      <c r="H2238" s="1" t="s">
        <v>19</v>
      </c>
      <c r="I2238" s="1" t="s">
        <v>1598</v>
      </c>
      <c r="J2238" s="1">
        <v>0.03</v>
      </c>
      <c r="K2238" s="1">
        <v>0.03</v>
      </c>
      <c r="L2238" s="42">
        <v>5</v>
      </c>
      <c r="M2238" s="43"/>
      <c r="N2238" s="1" t="e">
        <f>VLOOKUP(B2238,MICRO!E:L,8,0)</f>
        <v>#N/A</v>
      </c>
    </row>
    <row r="2239" spans="1:14" ht="20.25" x14ac:dyDescent="0.25">
      <c r="A2239" s="1">
        <v>234</v>
      </c>
      <c r="B2239" s="159"/>
      <c r="C2239" s="1" t="s">
        <v>1596</v>
      </c>
      <c r="D2239" s="1"/>
      <c r="E2239" s="1"/>
      <c r="F2239" s="1" t="s">
        <v>1639</v>
      </c>
      <c r="G2239" s="1">
        <v>2</v>
      </c>
      <c r="H2239" s="1" t="s">
        <v>19</v>
      </c>
      <c r="I2239" s="1" t="s">
        <v>1598</v>
      </c>
      <c r="J2239" s="1">
        <v>0.03</v>
      </c>
      <c r="K2239" s="1">
        <v>0.06</v>
      </c>
      <c r="L2239" s="42">
        <v>5</v>
      </c>
      <c r="M2239" s="43"/>
      <c r="N2239" s="1" t="e">
        <f>VLOOKUP(B2239,MICRO!E:L,8,0)</f>
        <v>#N/A</v>
      </c>
    </row>
    <row r="2240" spans="1:14" ht="20.25" x14ac:dyDescent="0.25">
      <c r="A2240" s="1">
        <v>235</v>
      </c>
      <c r="B2240" s="159"/>
      <c r="C2240" s="1" t="s">
        <v>1608</v>
      </c>
      <c r="D2240" s="1"/>
      <c r="E2240" s="1"/>
      <c r="F2240" s="1" t="s">
        <v>1640</v>
      </c>
      <c r="G2240" s="1">
        <v>40</v>
      </c>
      <c r="H2240" s="1" t="s">
        <v>19</v>
      </c>
      <c r="I2240" s="1" t="s">
        <v>424</v>
      </c>
      <c r="J2240" s="1">
        <v>0.03</v>
      </c>
      <c r="K2240" s="1">
        <v>1.2</v>
      </c>
      <c r="L2240" s="42">
        <v>5</v>
      </c>
      <c r="M2240" s="43"/>
      <c r="N2240" s="1" t="e">
        <f>VLOOKUP(B2240,MICRO!E:L,8,0)</f>
        <v>#N/A</v>
      </c>
    </row>
    <row r="2241" spans="1:14" ht="20.25" x14ac:dyDescent="0.25">
      <c r="A2241" s="1">
        <v>236</v>
      </c>
      <c r="B2241" s="159"/>
      <c r="C2241" s="1" t="s">
        <v>1615</v>
      </c>
      <c r="D2241" s="1"/>
      <c r="E2241" s="1"/>
      <c r="F2241" s="1" t="s">
        <v>1641</v>
      </c>
      <c r="G2241" s="1">
        <v>48</v>
      </c>
      <c r="H2241" s="1" t="s">
        <v>19</v>
      </c>
      <c r="I2241" s="1" t="s">
        <v>426</v>
      </c>
      <c r="J2241" s="1">
        <v>0.03</v>
      </c>
      <c r="K2241" s="1">
        <v>1.44</v>
      </c>
      <c r="L2241" s="42">
        <v>5</v>
      </c>
      <c r="M2241" s="43"/>
      <c r="N2241" s="1" t="e">
        <f>VLOOKUP(B2241,MICRO!E:L,8,0)</f>
        <v>#N/A</v>
      </c>
    </row>
    <row r="2242" spans="1:14" ht="20.25" x14ac:dyDescent="0.25">
      <c r="A2242" s="1">
        <v>237</v>
      </c>
      <c r="B2242" s="159"/>
      <c r="C2242" s="1" t="s">
        <v>1594</v>
      </c>
      <c r="D2242" s="1"/>
      <c r="E2242" s="1"/>
      <c r="F2242" s="1" t="s">
        <v>1642</v>
      </c>
      <c r="G2242" s="1">
        <v>96</v>
      </c>
      <c r="H2242" s="1" t="s">
        <v>19</v>
      </c>
      <c r="I2242" s="1" t="s">
        <v>1558</v>
      </c>
      <c r="J2242" s="1">
        <v>0.03</v>
      </c>
      <c r="K2242" s="1">
        <v>2.88</v>
      </c>
      <c r="L2242" s="42">
        <v>5</v>
      </c>
      <c r="M2242" s="43"/>
      <c r="N2242" s="1" t="e">
        <f>VLOOKUP(B2242,MICRO!E:L,8,0)</f>
        <v>#N/A</v>
      </c>
    </row>
    <row r="2243" spans="1:14" ht="20.25" x14ac:dyDescent="0.25">
      <c r="A2243" s="1">
        <v>238</v>
      </c>
      <c r="B2243" s="159"/>
      <c r="C2243" s="1" t="s">
        <v>1612</v>
      </c>
      <c r="D2243" s="1"/>
      <c r="E2243" s="1"/>
      <c r="F2243" s="1" t="s">
        <v>1643</v>
      </c>
      <c r="G2243" s="1">
        <v>12</v>
      </c>
      <c r="H2243" s="1" t="s">
        <v>19</v>
      </c>
      <c r="I2243" s="1" t="s">
        <v>424</v>
      </c>
      <c r="J2243" s="1">
        <v>0.03</v>
      </c>
      <c r="K2243" s="1">
        <v>0.36</v>
      </c>
      <c r="L2243" s="42">
        <v>5</v>
      </c>
      <c r="M2243" s="43"/>
      <c r="N2243" s="1" t="e">
        <f>VLOOKUP(B2243,MICRO!E:L,8,0)</f>
        <v>#N/A</v>
      </c>
    </row>
    <row r="2244" spans="1:14" ht="20.25" x14ac:dyDescent="0.25">
      <c r="A2244" s="1">
        <v>239</v>
      </c>
      <c r="B2244" s="159">
        <v>2897</v>
      </c>
      <c r="C2244" s="1" t="s">
        <v>1181</v>
      </c>
      <c r="D2244" s="1"/>
      <c r="E2244" s="1" t="s">
        <v>2</v>
      </c>
      <c r="F2244" s="1" t="s">
        <v>1182</v>
      </c>
      <c r="G2244" s="1">
        <v>1</v>
      </c>
      <c r="H2244" s="1" t="s">
        <v>19</v>
      </c>
      <c r="I2244" s="1" t="s">
        <v>423</v>
      </c>
      <c r="J2244" s="1">
        <v>9.4</v>
      </c>
      <c r="K2244" s="1">
        <v>9.4</v>
      </c>
      <c r="L2244" s="42">
        <v>5</v>
      </c>
      <c r="M2244" s="43"/>
      <c r="N2244" s="1" t="e">
        <f>VLOOKUP(B2244,MICRO!E:L,8,0)</f>
        <v>#N/A</v>
      </c>
    </row>
    <row r="2245" spans="1:14" ht="20.25" x14ac:dyDescent="0.25">
      <c r="A2245" s="1">
        <v>240</v>
      </c>
      <c r="B2245" s="159">
        <v>2898</v>
      </c>
      <c r="C2245" s="1" t="s">
        <v>1181</v>
      </c>
      <c r="D2245" s="1"/>
      <c r="E2245" s="1" t="s">
        <v>2</v>
      </c>
      <c r="F2245" s="1" t="s">
        <v>1182</v>
      </c>
      <c r="G2245" s="1">
        <v>1</v>
      </c>
      <c r="H2245" s="1" t="s">
        <v>19</v>
      </c>
      <c r="I2245" s="1" t="s">
        <v>427</v>
      </c>
      <c r="J2245" s="1">
        <v>9.4</v>
      </c>
      <c r="K2245" s="1">
        <v>9.4</v>
      </c>
      <c r="L2245" s="42">
        <v>5</v>
      </c>
      <c r="M2245" s="43"/>
      <c r="N2245" s="1" t="e">
        <f>VLOOKUP(B2245,MICRO!E:L,8,0)</f>
        <v>#N/A</v>
      </c>
    </row>
    <row r="2246" spans="1:14" ht="20.25" x14ac:dyDescent="0.25">
      <c r="A2246" s="1">
        <v>241</v>
      </c>
      <c r="B2246" s="159">
        <v>2899</v>
      </c>
      <c r="C2246" s="1" t="s">
        <v>1181</v>
      </c>
      <c r="D2246" s="1"/>
      <c r="E2246" s="1" t="s">
        <v>43</v>
      </c>
      <c r="F2246" s="1" t="s">
        <v>1183</v>
      </c>
      <c r="G2246" s="1">
        <v>1</v>
      </c>
      <c r="H2246" s="1" t="s">
        <v>19</v>
      </c>
      <c r="I2246" s="1" t="s">
        <v>424</v>
      </c>
      <c r="J2246" s="1">
        <v>8.1999999999999993</v>
      </c>
      <c r="K2246" s="1">
        <v>8.1999999999999993</v>
      </c>
      <c r="L2246" s="42">
        <v>5</v>
      </c>
      <c r="M2246" s="43"/>
      <c r="N2246" s="1" t="e">
        <f>VLOOKUP(B2246,MICRO!E:L,8,0)</f>
        <v>#N/A</v>
      </c>
    </row>
    <row r="2247" spans="1:14" ht="20.25" x14ac:dyDescent="0.25">
      <c r="A2247" s="1">
        <v>242</v>
      </c>
      <c r="B2247" s="159">
        <v>2900</v>
      </c>
      <c r="C2247" s="1" t="s">
        <v>1181</v>
      </c>
      <c r="D2247" s="1"/>
      <c r="E2247" s="1" t="s">
        <v>43</v>
      </c>
      <c r="F2247" s="1" t="s">
        <v>1183</v>
      </c>
      <c r="G2247" s="1">
        <v>1</v>
      </c>
      <c r="H2247" s="1" t="s">
        <v>19</v>
      </c>
      <c r="I2247" s="1" t="s">
        <v>425</v>
      </c>
      <c r="J2247" s="1">
        <v>8.1999999999999993</v>
      </c>
      <c r="K2247" s="1">
        <v>8.1999999999999993</v>
      </c>
      <c r="L2247" s="42">
        <v>5</v>
      </c>
      <c r="M2247" s="43"/>
      <c r="N2247" s="1" t="e">
        <f>VLOOKUP(B2247,MICRO!E:L,8,0)</f>
        <v>#N/A</v>
      </c>
    </row>
    <row r="2248" spans="1:14" ht="20.25" x14ac:dyDescent="0.25">
      <c r="A2248" s="1">
        <v>243</v>
      </c>
      <c r="B2248" s="159">
        <v>2901</v>
      </c>
      <c r="C2248" s="1" t="s">
        <v>1181</v>
      </c>
      <c r="D2248" s="1"/>
      <c r="E2248" s="1" t="s">
        <v>43</v>
      </c>
      <c r="F2248" s="1" t="s">
        <v>1183</v>
      </c>
      <c r="G2248" s="1">
        <v>1</v>
      </c>
      <c r="H2248" s="1" t="s">
        <v>19</v>
      </c>
      <c r="I2248" s="1" t="s">
        <v>426</v>
      </c>
      <c r="J2248" s="1">
        <v>8.1999999999999993</v>
      </c>
      <c r="K2248" s="1">
        <v>8.1999999999999993</v>
      </c>
      <c r="L2248" s="42">
        <v>5</v>
      </c>
      <c r="M2248" s="43"/>
      <c r="N2248" s="1" t="e">
        <f>VLOOKUP(B2248,MICRO!E:L,8,0)</f>
        <v>#N/A</v>
      </c>
    </row>
    <row r="2249" spans="1:14" ht="20.25" x14ac:dyDescent="0.25">
      <c r="A2249" s="1">
        <v>1</v>
      </c>
      <c r="B2249" s="159">
        <v>2020</v>
      </c>
      <c r="C2249" s="1" t="s">
        <v>642</v>
      </c>
      <c r="D2249" s="1"/>
      <c r="E2249" s="1" t="s">
        <v>2</v>
      </c>
      <c r="F2249" s="1" t="s">
        <v>643</v>
      </c>
      <c r="G2249" s="1">
        <v>1</v>
      </c>
      <c r="H2249" s="1" t="s">
        <v>19</v>
      </c>
      <c r="I2249" s="1" t="s">
        <v>427</v>
      </c>
      <c r="J2249" s="1">
        <v>101.6</v>
      </c>
      <c r="K2249" s="1">
        <v>101.6</v>
      </c>
      <c r="L2249" s="42">
        <v>6</v>
      </c>
      <c r="M2249" s="43"/>
      <c r="N2249" s="1" t="e">
        <f>VLOOKUP(B2249,MICRO!E:L,8,0)</f>
        <v>#N/A</v>
      </c>
    </row>
    <row r="2250" spans="1:14" ht="20.25" x14ac:dyDescent="0.25">
      <c r="A2250" s="1">
        <v>2</v>
      </c>
      <c r="B2250" s="159">
        <v>2858</v>
      </c>
      <c r="C2250" s="1" t="s">
        <v>1163</v>
      </c>
      <c r="D2250" s="1"/>
      <c r="E2250" s="1" t="s">
        <v>746</v>
      </c>
      <c r="F2250" s="1" t="s">
        <v>1167</v>
      </c>
      <c r="G2250" s="1">
        <v>2</v>
      </c>
      <c r="H2250" s="1" t="s">
        <v>19</v>
      </c>
      <c r="I2250" s="1" t="s">
        <v>423</v>
      </c>
      <c r="J2250" s="1">
        <v>6</v>
      </c>
      <c r="K2250" s="1">
        <v>12</v>
      </c>
      <c r="L2250" s="42">
        <v>6</v>
      </c>
      <c r="M2250" s="43"/>
      <c r="N2250" s="1" t="e">
        <f>VLOOKUP(B2250,MICRO!E:L,8,0)</f>
        <v>#N/A</v>
      </c>
    </row>
    <row r="2251" spans="1:14" ht="20.25" x14ac:dyDescent="0.25">
      <c r="A2251" s="1">
        <v>3</v>
      </c>
      <c r="B2251" s="159">
        <v>2859</v>
      </c>
      <c r="C2251" s="1" t="s">
        <v>1163</v>
      </c>
      <c r="D2251" s="1"/>
      <c r="E2251" s="1" t="s">
        <v>1101</v>
      </c>
      <c r="F2251" s="1" t="s">
        <v>1168</v>
      </c>
      <c r="G2251" s="1">
        <v>2</v>
      </c>
      <c r="H2251" s="1" t="s">
        <v>19</v>
      </c>
      <c r="I2251" s="1" t="s">
        <v>423</v>
      </c>
      <c r="J2251" s="1">
        <v>3</v>
      </c>
      <c r="K2251" s="1">
        <v>6</v>
      </c>
      <c r="L2251" s="42">
        <v>6</v>
      </c>
      <c r="M2251" s="43"/>
      <c r="N2251" s="1" t="e">
        <f>VLOOKUP(B2251,MICRO!E:L,8,0)</f>
        <v>#N/A</v>
      </c>
    </row>
    <row r="2252" spans="1:14" ht="20.25" x14ac:dyDescent="0.25">
      <c r="A2252" s="1">
        <v>4</v>
      </c>
      <c r="B2252" s="159">
        <v>2860</v>
      </c>
      <c r="C2252" s="1" t="s">
        <v>1163</v>
      </c>
      <c r="D2252" s="1"/>
      <c r="E2252" s="1" t="s">
        <v>100</v>
      </c>
      <c r="F2252" s="1" t="s">
        <v>1169</v>
      </c>
      <c r="G2252" s="1">
        <v>1</v>
      </c>
      <c r="H2252" s="1" t="s">
        <v>19</v>
      </c>
      <c r="I2252" s="1" t="s">
        <v>423</v>
      </c>
      <c r="J2252" s="1">
        <v>28.6</v>
      </c>
      <c r="K2252" s="1">
        <v>28.6</v>
      </c>
      <c r="L2252" s="42">
        <v>6</v>
      </c>
      <c r="M2252" s="43"/>
      <c r="N2252" s="1" t="e">
        <f>VLOOKUP(B2252,MICRO!E:L,8,0)</f>
        <v>#N/A</v>
      </c>
    </row>
    <row r="2253" spans="1:14" ht="20.25" x14ac:dyDescent="0.25">
      <c r="A2253" s="1">
        <v>5</v>
      </c>
      <c r="B2253" s="159">
        <v>2862</v>
      </c>
      <c r="C2253" s="1" t="s">
        <v>1163</v>
      </c>
      <c r="D2253" s="1"/>
      <c r="E2253" s="1" t="s">
        <v>461</v>
      </c>
      <c r="F2253" s="1" t="s">
        <v>1171</v>
      </c>
      <c r="G2253" s="1">
        <v>2</v>
      </c>
      <c r="H2253" s="1" t="s">
        <v>19</v>
      </c>
      <c r="I2253" s="1" t="s">
        <v>423</v>
      </c>
      <c r="J2253" s="1">
        <v>4</v>
      </c>
      <c r="K2253" s="1">
        <v>8</v>
      </c>
      <c r="L2253" s="42">
        <v>6</v>
      </c>
      <c r="M2253" s="43"/>
      <c r="N2253" s="1" t="e">
        <f>VLOOKUP(B2253,MICRO!E:L,8,0)</f>
        <v>#N/A</v>
      </c>
    </row>
    <row r="2254" spans="1:14" ht="20.25" x14ac:dyDescent="0.25">
      <c r="A2254" s="1">
        <v>6</v>
      </c>
      <c r="B2254" s="159"/>
      <c r="C2254" s="1" t="s">
        <v>1163</v>
      </c>
      <c r="D2254" s="1"/>
      <c r="E2254" s="1" t="s">
        <v>464</v>
      </c>
      <c r="F2254" s="1" t="s">
        <v>2315</v>
      </c>
      <c r="G2254" s="1">
        <v>1</v>
      </c>
      <c r="H2254" s="1" t="s">
        <v>19</v>
      </c>
      <c r="I2254" s="1" t="s">
        <v>423</v>
      </c>
      <c r="J2254" s="1">
        <v>12.6</v>
      </c>
      <c r="K2254" s="1">
        <v>12.6</v>
      </c>
      <c r="L2254" s="42">
        <v>6</v>
      </c>
      <c r="M2254" s="43"/>
      <c r="N2254" s="1" t="e">
        <f>VLOOKUP(B2254,MICRO!E:L,8,0)</f>
        <v>#N/A</v>
      </c>
    </row>
    <row r="2255" spans="1:14" ht="20.25" x14ac:dyDescent="0.25">
      <c r="A2255" s="1">
        <v>7</v>
      </c>
      <c r="B2255" s="159"/>
      <c r="C2255" s="1" t="s">
        <v>1163</v>
      </c>
      <c r="D2255" s="1"/>
      <c r="E2255" s="1" t="s">
        <v>1103</v>
      </c>
      <c r="F2255" s="1" t="s">
        <v>2316</v>
      </c>
      <c r="G2255" s="1">
        <v>2</v>
      </c>
      <c r="H2255" s="1" t="s">
        <v>19</v>
      </c>
      <c r="I2255" s="1" t="s">
        <v>423</v>
      </c>
      <c r="J2255" s="1">
        <v>4.3</v>
      </c>
      <c r="K2255" s="1">
        <v>8.6</v>
      </c>
      <c r="L2255" s="42">
        <v>6</v>
      </c>
      <c r="M2255" s="43"/>
      <c r="N2255" s="1" t="e">
        <f>VLOOKUP(B2255,MICRO!E:L,8,0)</f>
        <v>#N/A</v>
      </c>
    </row>
    <row r="2256" spans="1:14" ht="20.25" x14ac:dyDescent="0.25">
      <c r="A2256" s="1">
        <v>8</v>
      </c>
      <c r="B2256" s="159">
        <v>2902</v>
      </c>
      <c r="C2256" s="1" t="s">
        <v>1184</v>
      </c>
      <c r="D2256" s="1"/>
      <c r="E2256" s="1" t="s">
        <v>2</v>
      </c>
      <c r="F2256" s="1" t="s">
        <v>1185</v>
      </c>
      <c r="G2256" s="1">
        <v>2</v>
      </c>
      <c r="H2256" s="1" t="s">
        <v>19</v>
      </c>
      <c r="I2256" s="1" t="s">
        <v>424</v>
      </c>
      <c r="J2256" s="1">
        <v>8</v>
      </c>
      <c r="K2256" s="1">
        <v>16</v>
      </c>
      <c r="L2256" s="42">
        <v>6</v>
      </c>
      <c r="M2256" s="43"/>
      <c r="N2256" s="1" t="e">
        <f>VLOOKUP(B2256,MICRO!E:L,8,0)</f>
        <v>#N/A</v>
      </c>
    </row>
    <row r="2257" spans="1:14" ht="20.25" x14ac:dyDescent="0.25">
      <c r="A2257" s="1">
        <v>9</v>
      </c>
      <c r="B2257" s="159">
        <v>2903</v>
      </c>
      <c r="C2257" s="1" t="s">
        <v>1184</v>
      </c>
      <c r="D2257" s="1"/>
      <c r="E2257" s="1" t="s">
        <v>43</v>
      </c>
      <c r="F2257" s="1" t="s">
        <v>1186</v>
      </c>
      <c r="G2257" s="1">
        <v>1</v>
      </c>
      <c r="H2257" s="1" t="s">
        <v>19</v>
      </c>
      <c r="I2257" s="1" t="s">
        <v>424</v>
      </c>
      <c r="J2257" s="1">
        <v>10.4</v>
      </c>
      <c r="K2257" s="1">
        <v>10.4</v>
      </c>
      <c r="L2257" s="42">
        <v>6</v>
      </c>
      <c r="M2257" s="43"/>
      <c r="N2257" s="1" t="e">
        <f>VLOOKUP(B2257,MICRO!E:L,8,0)</f>
        <v>#N/A</v>
      </c>
    </row>
    <row r="2258" spans="1:14" ht="20.25" x14ac:dyDescent="0.25">
      <c r="A2258" s="1">
        <v>10</v>
      </c>
      <c r="B2258" s="159">
        <v>2904</v>
      </c>
      <c r="C2258" s="1" t="s">
        <v>1184</v>
      </c>
      <c r="D2258" s="1"/>
      <c r="E2258" s="1" t="s">
        <v>746</v>
      </c>
      <c r="F2258" s="1" t="s">
        <v>1187</v>
      </c>
      <c r="G2258" s="1">
        <v>1</v>
      </c>
      <c r="H2258" s="1" t="s">
        <v>19</v>
      </c>
      <c r="I2258" s="1" t="s">
        <v>424</v>
      </c>
      <c r="J2258" s="1">
        <v>94.7</v>
      </c>
      <c r="K2258" s="1">
        <v>94.7</v>
      </c>
      <c r="L2258" s="42">
        <v>6</v>
      </c>
      <c r="M2258" s="43"/>
      <c r="N2258" s="1" t="e">
        <f>VLOOKUP(B2258,MICRO!E:L,8,0)</f>
        <v>#N/A</v>
      </c>
    </row>
    <row r="2259" spans="1:14" ht="20.25" x14ac:dyDescent="0.25">
      <c r="A2259" s="1">
        <v>11</v>
      </c>
      <c r="B2259" s="159">
        <v>2915</v>
      </c>
      <c r="C2259" s="1" t="s">
        <v>1191</v>
      </c>
      <c r="D2259" s="1"/>
      <c r="E2259" s="1" t="s">
        <v>2</v>
      </c>
      <c r="F2259" s="1" t="s">
        <v>1192</v>
      </c>
      <c r="G2259" s="1">
        <v>2</v>
      </c>
      <c r="H2259" s="1" t="s">
        <v>19</v>
      </c>
      <c r="I2259" s="1" t="s">
        <v>426</v>
      </c>
      <c r="J2259" s="1">
        <v>8</v>
      </c>
      <c r="K2259" s="1">
        <v>16</v>
      </c>
      <c r="L2259" s="42">
        <v>6</v>
      </c>
      <c r="M2259" s="43"/>
      <c r="N2259" s="1" t="e">
        <f>VLOOKUP(B2259,MICRO!E:L,8,0)</f>
        <v>#N/A</v>
      </c>
    </row>
    <row r="2260" spans="1:14" ht="20.25" x14ac:dyDescent="0.25">
      <c r="A2260" s="1">
        <v>12</v>
      </c>
      <c r="B2260" s="159">
        <v>2916</v>
      </c>
      <c r="C2260" s="1" t="s">
        <v>1191</v>
      </c>
      <c r="D2260" s="1"/>
      <c r="E2260" s="1" t="s">
        <v>43</v>
      </c>
      <c r="F2260" s="1" t="s">
        <v>1193</v>
      </c>
      <c r="G2260" s="1">
        <v>3</v>
      </c>
      <c r="H2260" s="1" t="s">
        <v>19</v>
      </c>
      <c r="I2260" s="1" t="s">
        <v>426</v>
      </c>
      <c r="J2260" s="1">
        <v>10.4</v>
      </c>
      <c r="K2260" s="1">
        <v>31.200000000000003</v>
      </c>
      <c r="L2260" s="42">
        <v>6</v>
      </c>
      <c r="M2260" s="43"/>
      <c r="N2260" s="1" t="e">
        <f>VLOOKUP(B2260,MICRO!E:L,8,0)</f>
        <v>#N/A</v>
      </c>
    </row>
    <row r="2261" spans="1:14" ht="20.25" x14ac:dyDescent="0.25">
      <c r="A2261" s="1">
        <v>13</v>
      </c>
      <c r="B2261" s="159">
        <v>2917</v>
      </c>
      <c r="C2261" s="1" t="s">
        <v>1191</v>
      </c>
      <c r="D2261" s="1"/>
      <c r="E2261" s="1" t="s">
        <v>746</v>
      </c>
      <c r="F2261" s="1" t="s">
        <v>1194</v>
      </c>
      <c r="G2261" s="1">
        <v>1</v>
      </c>
      <c r="H2261" s="1" t="s">
        <v>19</v>
      </c>
      <c r="I2261" s="1" t="s">
        <v>426</v>
      </c>
      <c r="J2261" s="1">
        <v>106.2</v>
      </c>
      <c r="K2261" s="1">
        <v>106.2</v>
      </c>
      <c r="L2261" s="42">
        <v>6</v>
      </c>
      <c r="M2261" s="43"/>
      <c r="N2261" s="1" t="e">
        <f>VLOOKUP(B2261,MICRO!E:L,8,0)</f>
        <v>#N/A</v>
      </c>
    </row>
    <row r="2262" spans="1:14" ht="20.25" x14ac:dyDescent="0.25">
      <c r="A2262" s="1">
        <v>14</v>
      </c>
      <c r="B2262" s="159">
        <v>2918</v>
      </c>
      <c r="C2262" s="1" t="s">
        <v>1184</v>
      </c>
      <c r="D2262" s="1"/>
      <c r="E2262" s="1" t="s">
        <v>1101</v>
      </c>
      <c r="F2262" s="1" t="s">
        <v>1195</v>
      </c>
      <c r="G2262" s="1">
        <v>1</v>
      </c>
      <c r="H2262" s="1" t="s">
        <v>19</v>
      </c>
      <c r="I2262" s="1" t="s">
        <v>424</v>
      </c>
      <c r="J2262" s="1">
        <v>30.7</v>
      </c>
      <c r="K2262" s="1">
        <v>30.7</v>
      </c>
      <c r="L2262" s="42">
        <v>6</v>
      </c>
      <c r="M2262" s="43"/>
      <c r="N2262" s="1" t="e">
        <f>VLOOKUP(B2262,MICRO!E:L,8,0)</f>
        <v>#N/A</v>
      </c>
    </row>
    <row r="2263" spans="1:14" ht="20.25" x14ac:dyDescent="0.25">
      <c r="A2263" s="1">
        <v>15</v>
      </c>
      <c r="B2263" s="159">
        <v>2873</v>
      </c>
      <c r="C2263" s="1" t="s">
        <v>1176</v>
      </c>
      <c r="D2263" s="1"/>
      <c r="E2263" s="1" t="s">
        <v>2</v>
      </c>
      <c r="F2263" s="1" t="s">
        <v>1177</v>
      </c>
      <c r="G2263" s="1">
        <v>2</v>
      </c>
      <c r="H2263" s="1" t="s">
        <v>19</v>
      </c>
      <c r="I2263" s="1" t="s">
        <v>425</v>
      </c>
      <c r="J2263" s="1">
        <v>8</v>
      </c>
      <c r="K2263" s="1">
        <v>16</v>
      </c>
      <c r="L2263" s="42">
        <v>6</v>
      </c>
      <c r="M2263" s="43"/>
      <c r="N2263" s="1" t="e">
        <f>VLOOKUP(B2263,MICRO!E:L,8,0)</f>
        <v>#N/A</v>
      </c>
    </row>
    <row r="2264" spans="1:14" ht="20.25" x14ac:dyDescent="0.25">
      <c r="A2264" s="1">
        <v>16</v>
      </c>
      <c r="B2264" s="159">
        <v>2874</v>
      </c>
      <c r="C2264" s="1" t="s">
        <v>1176</v>
      </c>
      <c r="D2264" s="1"/>
      <c r="E2264" s="1" t="s">
        <v>43</v>
      </c>
      <c r="F2264" s="1" t="s">
        <v>1178</v>
      </c>
      <c r="G2264" s="1">
        <v>1</v>
      </c>
      <c r="H2264" s="1" t="s">
        <v>19</v>
      </c>
      <c r="I2264" s="1" t="s">
        <v>425</v>
      </c>
      <c r="J2264" s="1">
        <v>10.4</v>
      </c>
      <c r="K2264" s="1">
        <v>10.4</v>
      </c>
      <c r="L2264" s="42">
        <v>6</v>
      </c>
      <c r="M2264" s="43"/>
      <c r="N2264" s="1" t="e">
        <f>VLOOKUP(B2264,MICRO!E:L,8,0)</f>
        <v>#N/A</v>
      </c>
    </row>
    <row r="2265" spans="1:14" ht="20.25" x14ac:dyDescent="0.25">
      <c r="A2265" s="1">
        <v>17</v>
      </c>
      <c r="B2265" s="159">
        <v>2875</v>
      </c>
      <c r="C2265" s="1" t="s">
        <v>1176</v>
      </c>
      <c r="D2265" s="1"/>
      <c r="E2265" s="1" t="s">
        <v>746</v>
      </c>
      <c r="F2265" s="1" t="s">
        <v>1179</v>
      </c>
      <c r="G2265" s="1">
        <v>1</v>
      </c>
      <c r="H2265" s="1" t="s">
        <v>19</v>
      </c>
      <c r="I2265" s="1" t="s">
        <v>425</v>
      </c>
      <c r="J2265" s="1">
        <v>10.4</v>
      </c>
      <c r="K2265" s="1">
        <v>10.4</v>
      </c>
      <c r="L2265" s="42">
        <v>6</v>
      </c>
      <c r="M2265" s="43"/>
      <c r="N2265" s="1" t="e">
        <f>VLOOKUP(B2265,MICRO!E:L,8,0)</f>
        <v>#N/A</v>
      </c>
    </row>
    <row r="2266" spans="1:14" ht="20.25" x14ac:dyDescent="0.25">
      <c r="A2266" s="1">
        <v>18</v>
      </c>
      <c r="B2266" s="159">
        <v>2876</v>
      </c>
      <c r="C2266" s="1" t="s">
        <v>1176</v>
      </c>
      <c r="D2266" s="1"/>
      <c r="E2266" s="1" t="s">
        <v>1101</v>
      </c>
      <c r="F2266" s="1" t="s">
        <v>1180</v>
      </c>
      <c r="G2266" s="1">
        <v>1</v>
      </c>
      <c r="H2266" s="1" t="s">
        <v>19</v>
      </c>
      <c r="I2266" s="1" t="s">
        <v>425</v>
      </c>
      <c r="J2266" s="1">
        <v>94.7</v>
      </c>
      <c r="K2266" s="1">
        <v>94.7</v>
      </c>
      <c r="L2266" s="42">
        <v>6</v>
      </c>
      <c r="M2266" s="43"/>
      <c r="N2266" s="1" t="e">
        <f>VLOOKUP(B2266,MICRO!E:L,8,0)</f>
        <v>#N/A</v>
      </c>
    </row>
    <row r="2267" spans="1:14" ht="20.25" x14ac:dyDescent="0.25">
      <c r="A2267" s="1">
        <v>19</v>
      </c>
      <c r="B2267" s="159">
        <v>2919</v>
      </c>
      <c r="C2267" s="1" t="s">
        <v>1176</v>
      </c>
      <c r="D2267" s="1"/>
      <c r="E2267" s="1" t="s">
        <v>100</v>
      </c>
      <c r="F2267" s="1" t="s">
        <v>1868</v>
      </c>
      <c r="G2267" s="1">
        <v>1</v>
      </c>
      <c r="H2267" s="1" t="s">
        <v>19</v>
      </c>
      <c r="I2267" s="1" t="s">
        <v>424</v>
      </c>
      <c r="J2267" s="1">
        <v>30.7</v>
      </c>
      <c r="K2267" s="1">
        <v>30.7</v>
      </c>
      <c r="L2267" s="42">
        <v>6</v>
      </c>
      <c r="M2267" s="43"/>
      <c r="N2267" s="1" t="e">
        <f>VLOOKUP(B2267,MICRO!E:L,8,0)</f>
        <v>#N/A</v>
      </c>
    </row>
    <row r="2268" spans="1:14" ht="20.25" x14ac:dyDescent="0.25">
      <c r="A2268" s="1">
        <v>20</v>
      </c>
      <c r="B2268" s="159">
        <v>2926</v>
      </c>
      <c r="C2268" s="1" t="s">
        <v>1201</v>
      </c>
      <c r="D2268" s="1"/>
      <c r="E2268" s="1" t="s">
        <v>43</v>
      </c>
      <c r="F2268" s="1" t="s">
        <v>1203</v>
      </c>
      <c r="G2268" s="1">
        <v>2</v>
      </c>
      <c r="H2268" s="1" t="s">
        <v>19</v>
      </c>
      <c r="I2268" s="1" t="s">
        <v>425</v>
      </c>
      <c r="J2268" s="1">
        <v>9.4</v>
      </c>
      <c r="K2268" s="1">
        <v>18.8</v>
      </c>
      <c r="L2268" s="42">
        <v>6</v>
      </c>
      <c r="M2268" s="43"/>
      <c r="N2268" s="1" t="e">
        <f>VLOOKUP(B2268,MICRO!E:L,8,0)</f>
        <v>#N/A</v>
      </c>
    </row>
    <row r="2269" spans="1:14" ht="20.25" x14ac:dyDescent="0.25">
      <c r="A2269" s="1">
        <v>21</v>
      </c>
      <c r="B2269" s="159">
        <v>2927</v>
      </c>
      <c r="C2269" s="1" t="s">
        <v>1201</v>
      </c>
      <c r="D2269" s="1"/>
      <c r="E2269" s="1" t="s">
        <v>746</v>
      </c>
      <c r="F2269" s="1" t="s">
        <v>1204</v>
      </c>
      <c r="G2269" s="1">
        <v>1</v>
      </c>
      <c r="H2269" s="1" t="s">
        <v>19</v>
      </c>
      <c r="I2269" s="1" t="s">
        <v>425</v>
      </c>
      <c r="J2269" s="1">
        <v>12.7</v>
      </c>
      <c r="K2269" s="1">
        <v>12.7</v>
      </c>
      <c r="L2269" s="42">
        <v>6</v>
      </c>
      <c r="M2269" s="43"/>
      <c r="N2269" s="1" t="e">
        <f>VLOOKUP(B2269,MICRO!E:L,8,0)</f>
        <v>#N/A</v>
      </c>
    </row>
    <row r="2270" spans="1:14" ht="20.25" x14ac:dyDescent="0.25">
      <c r="A2270" s="1">
        <v>22</v>
      </c>
      <c r="B2270" s="159">
        <v>2928</v>
      </c>
      <c r="C2270" s="1" t="s">
        <v>1201</v>
      </c>
      <c r="D2270" s="1"/>
      <c r="E2270" s="1" t="s">
        <v>1101</v>
      </c>
      <c r="F2270" s="1" t="s">
        <v>1205</v>
      </c>
      <c r="G2270" s="1">
        <v>2</v>
      </c>
      <c r="H2270" s="1" t="s">
        <v>19</v>
      </c>
      <c r="I2270" s="1" t="s">
        <v>425</v>
      </c>
      <c r="J2270" s="1">
        <v>4.3</v>
      </c>
      <c r="K2270" s="1">
        <v>8.6</v>
      </c>
      <c r="L2270" s="42">
        <v>6</v>
      </c>
      <c r="M2270" s="43"/>
      <c r="N2270" s="1" t="e">
        <f>VLOOKUP(B2270,MICRO!E:L,8,0)</f>
        <v>#N/A</v>
      </c>
    </row>
    <row r="2271" spans="1:14" ht="20.25" x14ac:dyDescent="0.25">
      <c r="A2271" s="1">
        <v>23</v>
      </c>
      <c r="B2271" s="159">
        <v>2929</v>
      </c>
      <c r="C2271" s="1" t="s">
        <v>1201</v>
      </c>
      <c r="D2271" s="1"/>
      <c r="E2271" s="1" t="s">
        <v>100</v>
      </c>
      <c r="F2271" s="1" t="s">
        <v>1206</v>
      </c>
      <c r="G2271" s="1">
        <v>1</v>
      </c>
      <c r="H2271" s="1" t="s">
        <v>19</v>
      </c>
      <c r="I2271" s="1" t="s">
        <v>425</v>
      </c>
      <c r="J2271" s="1">
        <v>40.799999999999997</v>
      </c>
      <c r="K2271" s="1">
        <v>40.799999999999997</v>
      </c>
      <c r="L2271" s="42">
        <v>6</v>
      </c>
      <c r="M2271" s="43"/>
      <c r="N2271" s="1" t="e">
        <f>VLOOKUP(B2271,MICRO!E:L,8,0)</f>
        <v>#N/A</v>
      </c>
    </row>
    <row r="2272" spans="1:14" ht="20.25" x14ac:dyDescent="0.25">
      <c r="A2272" s="1">
        <v>24</v>
      </c>
      <c r="B2272" s="159">
        <v>2930</v>
      </c>
      <c r="C2272" s="1" t="s">
        <v>1201</v>
      </c>
      <c r="D2272" s="1"/>
      <c r="E2272" s="1" t="s">
        <v>173</v>
      </c>
      <c r="F2272" s="1" t="s">
        <v>1207</v>
      </c>
      <c r="G2272" s="1">
        <v>3</v>
      </c>
      <c r="H2272" s="1" t="s">
        <v>19</v>
      </c>
      <c r="I2272" s="1" t="s">
        <v>425</v>
      </c>
      <c r="J2272" s="1">
        <v>11.2</v>
      </c>
      <c r="K2272" s="1">
        <v>33.599999999999994</v>
      </c>
      <c r="L2272" s="42">
        <v>6</v>
      </c>
      <c r="M2272" s="43"/>
      <c r="N2272" s="1" t="e">
        <f>VLOOKUP(B2272,MICRO!E:L,8,0)</f>
        <v>#N/A</v>
      </c>
    </row>
    <row r="2273" spans="1:14" ht="20.25" x14ac:dyDescent="0.25">
      <c r="A2273" s="1">
        <v>25</v>
      </c>
      <c r="B2273" s="159">
        <v>2931</v>
      </c>
      <c r="C2273" s="1" t="s">
        <v>1201</v>
      </c>
      <c r="D2273" s="1"/>
      <c r="E2273" s="1" t="s">
        <v>461</v>
      </c>
      <c r="F2273" s="1" t="s">
        <v>1208</v>
      </c>
      <c r="G2273" s="1">
        <v>1</v>
      </c>
      <c r="H2273" s="1" t="s">
        <v>19</v>
      </c>
      <c r="I2273" s="1" t="s">
        <v>425</v>
      </c>
      <c r="J2273" s="1">
        <v>11.5</v>
      </c>
      <c r="K2273" s="1">
        <v>11.5</v>
      </c>
      <c r="L2273" s="42">
        <v>6</v>
      </c>
      <c r="M2273" s="43"/>
      <c r="N2273" s="1" t="e">
        <f>VLOOKUP(B2273,MICRO!E:L,8,0)</f>
        <v>#N/A</v>
      </c>
    </row>
    <row r="2274" spans="1:14" ht="20.25" x14ac:dyDescent="0.25">
      <c r="A2274" s="1">
        <v>26</v>
      </c>
      <c r="B2274" s="159">
        <v>2942</v>
      </c>
      <c r="C2274" s="1" t="s">
        <v>1214</v>
      </c>
      <c r="D2274" s="1"/>
      <c r="E2274" s="1" t="s">
        <v>2</v>
      </c>
      <c r="F2274" s="1" t="s">
        <v>1215</v>
      </c>
      <c r="G2274" s="1">
        <v>1</v>
      </c>
      <c r="H2274" s="1" t="s">
        <v>19</v>
      </c>
      <c r="I2274" s="1" t="s">
        <v>425</v>
      </c>
      <c r="J2274" s="1">
        <v>17.899999999999999</v>
      </c>
      <c r="K2274" s="1">
        <v>17.899999999999999</v>
      </c>
      <c r="L2274" s="42">
        <v>6</v>
      </c>
      <c r="M2274" s="43"/>
      <c r="N2274" s="1" t="e">
        <f>VLOOKUP(B2274,MICRO!E:L,8,0)</f>
        <v>#N/A</v>
      </c>
    </row>
    <row r="2275" spans="1:14" ht="20.25" x14ac:dyDescent="0.25">
      <c r="A2275" s="1">
        <v>27</v>
      </c>
      <c r="B2275" s="159">
        <v>2943</v>
      </c>
      <c r="C2275" s="1" t="s">
        <v>1216</v>
      </c>
      <c r="D2275" s="1"/>
      <c r="E2275" s="1" t="s">
        <v>2</v>
      </c>
      <c r="F2275" s="1" t="s">
        <v>1217</v>
      </c>
      <c r="G2275" s="1">
        <v>1</v>
      </c>
      <c r="H2275" s="1" t="s">
        <v>19</v>
      </c>
      <c r="I2275" s="1" t="s">
        <v>425</v>
      </c>
      <c r="J2275" s="1">
        <v>19.899999999999999</v>
      </c>
      <c r="K2275" s="1">
        <v>19.899999999999999</v>
      </c>
      <c r="L2275" s="42">
        <v>6</v>
      </c>
      <c r="M2275" s="43"/>
      <c r="N2275" s="1" t="e">
        <f>VLOOKUP(B2275,MICRO!E:L,8,0)</f>
        <v>#N/A</v>
      </c>
    </row>
    <row r="2276" spans="1:14" ht="20.25" x14ac:dyDescent="0.25">
      <c r="A2276" s="1">
        <v>28</v>
      </c>
      <c r="B2276" s="159">
        <v>2949</v>
      </c>
      <c r="C2276" s="1" t="s">
        <v>1220</v>
      </c>
      <c r="D2276" s="1"/>
      <c r="E2276" s="1" t="s">
        <v>2</v>
      </c>
      <c r="F2276" s="1" t="s">
        <v>1221</v>
      </c>
      <c r="G2276" s="1">
        <v>1</v>
      </c>
      <c r="H2276" s="1" t="s">
        <v>19</v>
      </c>
      <c r="I2276" s="1" t="s">
        <v>424</v>
      </c>
      <c r="J2276" s="1">
        <v>31.9</v>
      </c>
      <c r="K2276" s="1">
        <v>31.9</v>
      </c>
      <c r="L2276" s="42">
        <v>6</v>
      </c>
      <c r="M2276" s="43"/>
      <c r="N2276" s="1" t="e">
        <f>VLOOKUP(B2276,MICRO!E:L,8,0)</f>
        <v>#N/A</v>
      </c>
    </row>
    <row r="2277" spans="1:14" ht="20.25" x14ac:dyDescent="0.25">
      <c r="A2277" s="1">
        <v>29</v>
      </c>
      <c r="B2277" s="159">
        <v>2964</v>
      </c>
      <c r="C2277" s="1" t="s">
        <v>1237</v>
      </c>
      <c r="D2277" s="1"/>
      <c r="E2277" s="1" t="s">
        <v>2</v>
      </c>
      <c r="F2277" s="1" t="s">
        <v>1238</v>
      </c>
      <c r="G2277" s="1">
        <v>1</v>
      </c>
      <c r="H2277" s="1" t="s">
        <v>19</v>
      </c>
      <c r="I2277" s="1" t="s">
        <v>423</v>
      </c>
      <c r="J2277" s="1">
        <v>13.4</v>
      </c>
      <c r="K2277" s="1">
        <v>13.4</v>
      </c>
      <c r="L2277" s="42">
        <v>6</v>
      </c>
      <c r="M2277" s="43"/>
      <c r="N2277" s="1" t="e">
        <f>VLOOKUP(B2277,MICRO!E:L,8,0)</f>
        <v>#N/A</v>
      </c>
    </row>
    <row r="2278" spans="1:14" ht="20.25" x14ac:dyDescent="0.25">
      <c r="A2278" s="1">
        <v>30</v>
      </c>
      <c r="B2278" s="159">
        <v>2965</v>
      </c>
      <c r="C2278" s="1" t="s">
        <v>1239</v>
      </c>
      <c r="D2278" s="1"/>
      <c r="E2278" s="1" t="s">
        <v>2</v>
      </c>
      <c r="F2278" s="1" t="s">
        <v>1240</v>
      </c>
      <c r="G2278" s="1">
        <v>1</v>
      </c>
      <c r="H2278" s="1" t="s">
        <v>19</v>
      </c>
      <c r="I2278" s="1" t="s">
        <v>423</v>
      </c>
      <c r="J2278" s="1">
        <v>16</v>
      </c>
      <c r="K2278" s="1">
        <v>16</v>
      </c>
      <c r="L2278" s="42">
        <v>6</v>
      </c>
      <c r="M2278" s="43"/>
      <c r="N2278" s="1" t="e">
        <f>VLOOKUP(B2278,MICRO!E:L,8,0)</f>
        <v>#N/A</v>
      </c>
    </row>
    <row r="2279" spans="1:14" ht="20.25" x14ac:dyDescent="0.25">
      <c r="A2279" s="1">
        <v>31</v>
      </c>
      <c r="B2279" s="159">
        <v>2966</v>
      </c>
      <c r="C2279" s="1" t="s">
        <v>1241</v>
      </c>
      <c r="D2279" s="1"/>
      <c r="E2279" s="1" t="s">
        <v>2</v>
      </c>
      <c r="F2279" s="1" t="s">
        <v>1242</v>
      </c>
      <c r="G2279" s="1">
        <v>1</v>
      </c>
      <c r="H2279" s="1" t="s">
        <v>19</v>
      </c>
      <c r="I2279" s="1" t="s">
        <v>423</v>
      </c>
      <c r="J2279" s="1">
        <v>24.9</v>
      </c>
      <c r="K2279" s="1">
        <v>24.9</v>
      </c>
      <c r="L2279" s="42">
        <v>6</v>
      </c>
      <c r="M2279" s="43"/>
      <c r="N2279" s="1" t="e">
        <f>VLOOKUP(B2279,MICRO!E:L,8,0)</f>
        <v>#N/A</v>
      </c>
    </row>
    <row r="2280" spans="1:14" ht="20.25" x14ac:dyDescent="0.25">
      <c r="A2280" s="1">
        <v>32</v>
      </c>
      <c r="B2280" s="159">
        <v>2981</v>
      </c>
      <c r="C2280" s="1" t="s">
        <v>1308</v>
      </c>
      <c r="D2280" s="1"/>
      <c r="E2280" s="1" t="s">
        <v>2</v>
      </c>
      <c r="F2280" s="1" t="s">
        <v>1309</v>
      </c>
      <c r="G2280" s="1">
        <v>1</v>
      </c>
      <c r="H2280" s="1" t="s">
        <v>19</v>
      </c>
      <c r="I2280" s="1" t="s">
        <v>427</v>
      </c>
      <c r="J2280" s="1">
        <v>62</v>
      </c>
      <c r="K2280" s="1">
        <v>62</v>
      </c>
      <c r="L2280" s="42">
        <v>6</v>
      </c>
      <c r="M2280" s="43"/>
      <c r="N2280" s="1" t="e">
        <f>VLOOKUP(B2280,MICRO!E:L,8,0)</f>
        <v>#N/A</v>
      </c>
    </row>
    <row r="2281" spans="1:14" ht="20.25" x14ac:dyDescent="0.25">
      <c r="A2281" s="1">
        <v>33</v>
      </c>
      <c r="B2281" s="159">
        <v>2995</v>
      </c>
      <c r="C2281" s="1" t="s">
        <v>1326</v>
      </c>
      <c r="D2281" s="1"/>
      <c r="E2281" s="1" t="s">
        <v>2</v>
      </c>
      <c r="F2281" s="1" t="s">
        <v>1327</v>
      </c>
      <c r="G2281" s="1">
        <v>1</v>
      </c>
      <c r="H2281" s="1" t="s">
        <v>19</v>
      </c>
      <c r="I2281" s="1" t="s">
        <v>426</v>
      </c>
      <c r="J2281" s="1">
        <v>21.2</v>
      </c>
      <c r="K2281" s="1">
        <v>21.2</v>
      </c>
      <c r="L2281" s="42">
        <v>6</v>
      </c>
      <c r="M2281" s="43"/>
      <c r="N2281" s="1" t="e">
        <f>VLOOKUP(B2281,MICRO!E:L,8,0)</f>
        <v>#N/A</v>
      </c>
    </row>
    <row r="2282" spans="1:14" ht="20.25" x14ac:dyDescent="0.25">
      <c r="A2282" s="1">
        <v>34</v>
      </c>
      <c r="B2282" s="159">
        <v>2996</v>
      </c>
      <c r="C2282" s="1" t="s">
        <v>1328</v>
      </c>
      <c r="D2282" s="1"/>
      <c r="E2282" s="1" t="s">
        <v>2</v>
      </c>
      <c r="F2282" s="1" t="s">
        <v>1329</v>
      </c>
      <c r="G2282" s="1">
        <v>1</v>
      </c>
      <c r="H2282" s="1" t="s">
        <v>19</v>
      </c>
      <c r="I2282" s="1" t="s">
        <v>426</v>
      </c>
      <c r="J2282" s="1">
        <v>23.2</v>
      </c>
      <c r="K2282" s="1">
        <v>23.2</v>
      </c>
      <c r="L2282" s="42">
        <v>6</v>
      </c>
      <c r="M2282" s="43"/>
      <c r="N2282" s="1" t="e">
        <f>VLOOKUP(B2282,MICRO!E:L,8,0)</f>
        <v>#N/A</v>
      </c>
    </row>
    <row r="2283" spans="1:14" ht="20.25" x14ac:dyDescent="0.25">
      <c r="A2283" s="1">
        <v>35</v>
      </c>
      <c r="B2283" s="159">
        <v>2997</v>
      </c>
      <c r="C2283" s="1" t="s">
        <v>1330</v>
      </c>
      <c r="D2283" s="1"/>
      <c r="E2283" s="1" t="s">
        <v>2</v>
      </c>
      <c r="F2283" s="1" t="s">
        <v>1331</v>
      </c>
      <c r="G2283" s="1">
        <v>1</v>
      </c>
      <c r="H2283" s="1" t="s">
        <v>19</v>
      </c>
      <c r="I2283" s="1" t="s">
        <v>426</v>
      </c>
      <c r="J2283" s="1">
        <v>12.4</v>
      </c>
      <c r="K2283" s="1">
        <v>12.4</v>
      </c>
      <c r="L2283" s="42">
        <v>6</v>
      </c>
      <c r="M2283" s="43"/>
      <c r="N2283" s="1" t="e">
        <f>VLOOKUP(B2283,MICRO!E:L,8,0)</f>
        <v>#N/A</v>
      </c>
    </row>
    <row r="2284" spans="1:14" ht="20.25" x14ac:dyDescent="0.25">
      <c r="A2284" s="1">
        <v>36</v>
      </c>
      <c r="B2284" s="159">
        <v>2998</v>
      </c>
      <c r="C2284" s="1" t="s">
        <v>1332</v>
      </c>
      <c r="D2284" s="1"/>
      <c r="E2284" s="1" t="s">
        <v>2</v>
      </c>
      <c r="F2284" s="1" t="s">
        <v>1333</v>
      </c>
      <c r="G2284" s="1">
        <v>1</v>
      </c>
      <c r="H2284" s="1" t="s">
        <v>19</v>
      </c>
      <c r="I2284" s="1" t="s">
        <v>426</v>
      </c>
      <c r="J2284" s="1">
        <v>25.8</v>
      </c>
      <c r="K2284" s="1">
        <v>25.8</v>
      </c>
      <c r="L2284" s="42">
        <v>6</v>
      </c>
      <c r="M2284" s="43"/>
      <c r="N2284" s="1" t="e">
        <f>VLOOKUP(B2284,MICRO!E:L,8,0)</f>
        <v>#N/A</v>
      </c>
    </row>
    <row r="2285" spans="1:14" ht="20.25" x14ac:dyDescent="0.25">
      <c r="A2285" s="1">
        <v>37</v>
      </c>
      <c r="B2285" s="159"/>
      <c r="C2285" s="1" t="s">
        <v>2317</v>
      </c>
      <c r="D2285" s="1"/>
      <c r="E2285" s="1"/>
      <c r="F2285" s="1" t="s">
        <v>2318</v>
      </c>
      <c r="G2285" s="1">
        <v>1</v>
      </c>
      <c r="H2285" s="1" t="s">
        <v>19</v>
      </c>
      <c r="I2285" s="1" t="s">
        <v>2317</v>
      </c>
      <c r="J2285" s="1">
        <v>12.5</v>
      </c>
      <c r="K2285" s="1">
        <v>12.5</v>
      </c>
      <c r="L2285" s="42">
        <v>6</v>
      </c>
      <c r="M2285" s="43"/>
      <c r="N2285" s="1" t="e">
        <f>VLOOKUP(B2285,MICRO!E:L,8,0)</f>
        <v>#N/A</v>
      </c>
    </row>
    <row r="2286" spans="1:14" ht="20.25" x14ac:dyDescent="0.25">
      <c r="A2286" s="1">
        <v>38</v>
      </c>
      <c r="B2286" s="159"/>
      <c r="C2286" s="1" t="s">
        <v>2319</v>
      </c>
      <c r="D2286" s="1"/>
      <c r="E2286" s="1"/>
      <c r="F2286" s="1" t="s">
        <v>2320</v>
      </c>
      <c r="G2286" s="1">
        <v>1</v>
      </c>
      <c r="H2286" s="1" t="s">
        <v>19</v>
      </c>
      <c r="I2286" s="1" t="s">
        <v>2319</v>
      </c>
      <c r="J2286" s="1">
        <v>12.5</v>
      </c>
      <c r="K2286" s="1">
        <v>12.5</v>
      </c>
      <c r="L2286" s="42">
        <v>6</v>
      </c>
      <c r="M2286" s="43"/>
      <c r="N2286" s="1" t="e">
        <f>VLOOKUP(B2286,MICRO!E:L,8,0)</f>
        <v>#N/A</v>
      </c>
    </row>
    <row r="2287" spans="1:14" ht="20.25" x14ac:dyDescent="0.25">
      <c r="A2287" s="1">
        <v>39</v>
      </c>
      <c r="B2287" s="159"/>
      <c r="C2287" s="1" t="s">
        <v>2321</v>
      </c>
      <c r="D2287" s="1"/>
      <c r="E2287" s="1"/>
      <c r="F2287" s="1" t="s">
        <v>2322</v>
      </c>
      <c r="G2287" s="1">
        <v>1</v>
      </c>
      <c r="H2287" s="1" t="s">
        <v>19</v>
      </c>
      <c r="I2287" s="1" t="s">
        <v>2321</v>
      </c>
      <c r="J2287" s="1">
        <v>12.5</v>
      </c>
      <c r="K2287" s="1">
        <v>12.5</v>
      </c>
      <c r="L2287" s="42">
        <v>6</v>
      </c>
      <c r="M2287" s="43"/>
      <c r="N2287" s="1" t="e">
        <f>VLOOKUP(B2287,MICRO!E:L,8,0)</f>
        <v>#N/A</v>
      </c>
    </row>
    <row r="2288" spans="1:14" ht="20.25" x14ac:dyDescent="0.25">
      <c r="A2288" s="1">
        <v>40</v>
      </c>
      <c r="B2288" s="159"/>
      <c r="C2288" s="1" t="s">
        <v>2323</v>
      </c>
      <c r="D2288" s="1"/>
      <c r="E2288" s="1"/>
      <c r="F2288" s="1" t="s">
        <v>2324</v>
      </c>
      <c r="G2288" s="1">
        <v>1</v>
      </c>
      <c r="H2288" s="1" t="s">
        <v>19</v>
      </c>
      <c r="I2288" s="1" t="s">
        <v>2323</v>
      </c>
      <c r="J2288" s="1">
        <v>12.5</v>
      </c>
      <c r="K2288" s="1">
        <v>12.5</v>
      </c>
      <c r="L2288" s="42">
        <v>6</v>
      </c>
      <c r="M2288" s="43"/>
      <c r="N2288" s="1" t="e">
        <f>VLOOKUP(B2288,MICRO!E:L,8,0)</f>
        <v>#N/A</v>
      </c>
    </row>
    <row r="2289" spans="1:14" ht="20.25" x14ac:dyDescent="0.25">
      <c r="A2289" s="1">
        <v>41</v>
      </c>
      <c r="B2289" s="159"/>
      <c r="C2289" s="1" t="s">
        <v>2325</v>
      </c>
      <c r="D2289" s="1"/>
      <c r="E2289" s="1"/>
      <c r="F2289" s="1" t="s">
        <v>2326</v>
      </c>
      <c r="G2289" s="1">
        <v>1</v>
      </c>
      <c r="H2289" s="1" t="s">
        <v>19</v>
      </c>
      <c r="I2289" s="1" t="s">
        <v>2325</v>
      </c>
      <c r="J2289" s="1">
        <v>12.5</v>
      </c>
      <c r="K2289" s="1">
        <v>12.5</v>
      </c>
      <c r="L2289" s="42">
        <v>6</v>
      </c>
      <c r="M2289" s="43"/>
      <c r="N2289" s="1" t="e">
        <f>VLOOKUP(B2289,MICRO!E:L,8,0)</f>
        <v>#N/A</v>
      </c>
    </row>
    <row r="2290" spans="1:14" ht="20.25" x14ac:dyDescent="0.25">
      <c r="A2290" s="1">
        <v>42</v>
      </c>
      <c r="B2290" s="159"/>
      <c r="C2290" s="1" t="s">
        <v>2083</v>
      </c>
      <c r="D2290" s="1"/>
      <c r="E2290" s="1"/>
      <c r="F2290" s="1" t="s">
        <v>2327</v>
      </c>
      <c r="G2290" s="1">
        <v>35</v>
      </c>
      <c r="H2290" s="1" t="s">
        <v>1253</v>
      </c>
      <c r="I2290" s="1" t="s">
        <v>2328</v>
      </c>
      <c r="J2290" s="1">
        <v>0.8</v>
      </c>
      <c r="K2290" s="1">
        <v>28</v>
      </c>
      <c r="L2290" s="42">
        <v>6</v>
      </c>
      <c r="M2290" s="43"/>
      <c r="N2290" s="1" t="e">
        <f>VLOOKUP(B2290,MICRO!E:L,8,0)</f>
        <v>#N/A</v>
      </c>
    </row>
    <row r="2291" spans="1:14" ht="20.25" x14ac:dyDescent="0.25">
      <c r="A2291" s="1">
        <v>43</v>
      </c>
      <c r="B2291" s="159"/>
      <c r="C2291" s="1" t="s">
        <v>2083</v>
      </c>
      <c r="D2291" s="1"/>
      <c r="E2291" s="1"/>
      <c r="F2291" s="1" t="s">
        <v>2329</v>
      </c>
      <c r="G2291" s="1">
        <v>38</v>
      </c>
      <c r="H2291" s="1" t="s">
        <v>1253</v>
      </c>
      <c r="I2291" s="1" t="s">
        <v>2328</v>
      </c>
      <c r="J2291" s="1">
        <v>1.2</v>
      </c>
      <c r="K2291" s="1">
        <v>45.6</v>
      </c>
      <c r="L2291" s="42">
        <v>6</v>
      </c>
      <c r="M2291" s="43"/>
      <c r="N2291" s="1" t="e">
        <f>VLOOKUP(B2291,MICRO!E:L,8,0)</f>
        <v>#N/A</v>
      </c>
    </row>
    <row r="2292" spans="1:14" ht="20.25" x14ac:dyDescent="0.25">
      <c r="A2292" s="1">
        <v>44</v>
      </c>
      <c r="B2292" s="159"/>
      <c r="C2292" s="1" t="s">
        <v>2083</v>
      </c>
      <c r="D2292" s="1"/>
      <c r="E2292" s="1"/>
      <c r="F2292" s="1" t="s">
        <v>2330</v>
      </c>
      <c r="G2292" s="1">
        <v>2</v>
      </c>
      <c r="H2292" s="1" t="s">
        <v>19</v>
      </c>
      <c r="I2292" s="1" t="s">
        <v>2328</v>
      </c>
      <c r="J2292" s="1">
        <v>1</v>
      </c>
      <c r="K2292" s="1">
        <v>2</v>
      </c>
      <c r="L2292" s="42">
        <v>6</v>
      </c>
      <c r="M2292" s="43"/>
      <c r="N2292" s="1" t="e">
        <f>VLOOKUP(B2292,MICRO!E:L,8,0)</f>
        <v>#N/A</v>
      </c>
    </row>
    <row r="2293" spans="1:14" ht="20.25" x14ac:dyDescent="0.25">
      <c r="A2293" s="1">
        <v>45</v>
      </c>
      <c r="B2293" s="159"/>
      <c r="C2293" s="1" t="s">
        <v>2083</v>
      </c>
      <c r="D2293" s="1"/>
      <c r="E2293" s="1"/>
      <c r="F2293" s="1" t="s">
        <v>2331</v>
      </c>
      <c r="G2293" s="1">
        <v>6</v>
      </c>
      <c r="H2293" s="1" t="s">
        <v>1253</v>
      </c>
      <c r="I2293" s="1" t="s">
        <v>2328</v>
      </c>
      <c r="J2293" s="1">
        <v>3.4</v>
      </c>
      <c r="K2293" s="1">
        <v>20.399999999999999</v>
      </c>
      <c r="L2293" s="42">
        <v>6</v>
      </c>
      <c r="M2293" s="43"/>
      <c r="N2293" s="1" t="e">
        <f>VLOOKUP(B2293,MICRO!E:L,8,0)</f>
        <v>#N/A</v>
      </c>
    </row>
    <row r="2294" spans="1:14" ht="20.25" x14ac:dyDescent="0.25">
      <c r="A2294" s="1">
        <v>46</v>
      </c>
      <c r="B2294" s="159"/>
      <c r="C2294" s="1" t="s">
        <v>2083</v>
      </c>
      <c r="D2294" s="1"/>
      <c r="E2294" s="1"/>
      <c r="F2294" s="1" t="s">
        <v>2332</v>
      </c>
      <c r="G2294" s="1">
        <v>3</v>
      </c>
      <c r="H2294" s="1" t="s">
        <v>1253</v>
      </c>
      <c r="I2294" s="1" t="s">
        <v>2328</v>
      </c>
      <c r="J2294" s="1">
        <v>5.8</v>
      </c>
      <c r="K2294" s="1">
        <v>17.399999999999999</v>
      </c>
      <c r="L2294" s="42">
        <v>6</v>
      </c>
      <c r="M2294" s="43"/>
      <c r="N2294" s="1" t="e">
        <f>VLOOKUP(B2294,MICRO!E:L,8,0)</f>
        <v>#N/A</v>
      </c>
    </row>
    <row r="2295" spans="1:14" ht="20.25" x14ac:dyDescent="0.25">
      <c r="A2295" s="1">
        <v>47</v>
      </c>
      <c r="B2295" s="159"/>
      <c r="C2295" s="1" t="s">
        <v>2083</v>
      </c>
      <c r="D2295" s="1"/>
      <c r="E2295" s="1"/>
      <c r="F2295" s="1" t="s">
        <v>2333</v>
      </c>
      <c r="G2295" s="1">
        <v>18</v>
      </c>
      <c r="H2295" s="1" t="s">
        <v>19</v>
      </c>
      <c r="I2295" s="1" t="s">
        <v>2328</v>
      </c>
      <c r="J2295" s="1">
        <v>0.08</v>
      </c>
      <c r="K2295" s="1">
        <v>1.44</v>
      </c>
      <c r="L2295" s="42">
        <v>6</v>
      </c>
      <c r="M2295" s="43"/>
      <c r="N2295" s="1" t="e">
        <f>VLOOKUP(B2295,MICRO!E:L,8,0)</f>
        <v>#N/A</v>
      </c>
    </row>
    <row r="2296" spans="1:14" ht="20.25" x14ac:dyDescent="0.25">
      <c r="A2296" s="1">
        <v>48</v>
      </c>
      <c r="B2296" s="159"/>
      <c r="C2296" s="1" t="s">
        <v>2083</v>
      </c>
      <c r="D2296" s="1"/>
      <c r="E2296" s="1"/>
      <c r="F2296" s="1" t="s">
        <v>2334</v>
      </c>
      <c r="G2296" s="1">
        <v>10</v>
      </c>
      <c r="H2296" s="1" t="s">
        <v>19</v>
      </c>
      <c r="I2296" s="1" t="s">
        <v>2328</v>
      </c>
      <c r="J2296" s="1">
        <v>0.09</v>
      </c>
      <c r="K2296" s="1">
        <v>0.89999999999999991</v>
      </c>
      <c r="L2296" s="42">
        <v>6</v>
      </c>
      <c r="M2296" s="43"/>
      <c r="N2296" s="1" t="e">
        <f>VLOOKUP(B2296,MICRO!E:L,8,0)</f>
        <v>#N/A</v>
      </c>
    </row>
    <row r="2297" spans="1:14" ht="20.25" x14ac:dyDescent="0.25">
      <c r="A2297" s="1">
        <v>49</v>
      </c>
      <c r="B2297" s="159"/>
      <c r="C2297" s="1" t="s">
        <v>2083</v>
      </c>
      <c r="D2297" s="1"/>
      <c r="E2297" s="1"/>
      <c r="F2297" s="1" t="s">
        <v>2335</v>
      </c>
      <c r="G2297" s="1">
        <v>10</v>
      </c>
      <c r="H2297" s="1" t="s">
        <v>19</v>
      </c>
      <c r="I2297" s="1" t="s">
        <v>2328</v>
      </c>
      <c r="J2297" s="1">
        <v>0.1</v>
      </c>
      <c r="K2297" s="1">
        <v>1</v>
      </c>
      <c r="L2297" s="42">
        <v>6</v>
      </c>
      <c r="M2297" s="43"/>
      <c r="N2297" s="1" t="e">
        <f>VLOOKUP(B2297,MICRO!E:L,8,0)</f>
        <v>#N/A</v>
      </c>
    </row>
    <row r="2298" spans="1:14" ht="20.25" x14ac:dyDescent="0.25">
      <c r="A2298" s="1">
        <v>50</v>
      </c>
      <c r="B2298" s="159"/>
      <c r="C2298" s="1" t="s">
        <v>2083</v>
      </c>
      <c r="D2298" s="1"/>
      <c r="E2298" s="1"/>
      <c r="F2298" s="1" t="s">
        <v>2336</v>
      </c>
      <c r="G2298" s="1">
        <v>6</v>
      </c>
      <c r="H2298" s="1" t="s">
        <v>1253</v>
      </c>
      <c r="I2298" s="1" t="s">
        <v>2328</v>
      </c>
      <c r="J2298" s="1">
        <v>6.2</v>
      </c>
      <c r="K2298" s="1">
        <v>37.200000000000003</v>
      </c>
      <c r="L2298" s="42">
        <v>6</v>
      </c>
      <c r="M2298" s="43"/>
      <c r="N2298" s="1" t="e">
        <f>VLOOKUP(B2298,MICRO!E:L,8,0)</f>
        <v>#N/A</v>
      </c>
    </row>
    <row r="2299" spans="1:14" ht="20.25" x14ac:dyDescent="0.25">
      <c r="A2299" s="1">
        <v>51</v>
      </c>
      <c r="B2299" s="159"/>
      <c r="C2299" s="1" t="s">
        <v>2083</v>
      </c>
      <c r="D2299" s="1"/>
      <c r="E2299" s="1"/>
      <c r="F2299" s="1" t="s">
        <v>2337</v>
      </c>
      <c r="G2299" s="1">
        <v>2</v>
      </c>
      <c r="H2299" s="1"/>
      <c r="I2299" s="1" t="s">
        <v>2328</v>
      </c>
      <c r="J2299" s="1">
        <v>0.05</v>
      </c>
      <c r="K2299" s="1">
        <v>0.1</v>
      </c>
      <c r="L2299" s="42">
        <v>6</v>
      </c>
      <c r="M2299" s="43"/>
      <c r="N2299" s="1" t="e">
        <f>VLOOKUP(B2299,MICRO!E:L,8,0)</f>
        <v>#N/A</v>
      </c>
    </row>
    <row r="2300" spans="1:14" ht="20.25" x14ac:dyDescent="0.25">
      <c r="A2300" s="1">
        <v>52</v>
      </c>
      <c r="B2300" s="159"/>
      <c r="C2300" s="1" t="s">
        <v>2083</v>
      </c>
      <c r="D2300" s="1"/>
      <c r="E2300" s="1"/>
      <c r="F2300" s="1" t="s">
        <v>2338</v>
      </c>
      <c r="G2300" s="1">
        <v>4</v>
      </c>
      <c r="H2300" s="1"/>
      <c r="I2300" s="1" t="s">
        <v>2328</v>
      </c>
      <c r="J2300" s="1">
        <v>0.03</v>
      </c>
      <c r="K2300" s="1">
        <v>0.12</v>
      </c>
      <c r="L2300" s="42">
        <v>6</v>
      </c>
      <c r="M2300" s="43"/>
      <c r="N2300" s="1" t="e">
        <f>VLOOKUP(B2300,MICRO!E:L,8,0)</f>
        <v>#N/A</v>
      </c>
    </row>
    <row r="2301" spans="1:14" ht="20.25" x14ac:dyDescent="0.25">
      <c r="A2301" s="1">
        <v>53</v>
      </c>
      <c r="B2301" s="159"/>
      <c r="C2301" s="1" t="s">
        <v>2083</v>
      </c>
      <c r="D2301" s="1"/>
      <c r="E2301" s="1"/>
      <c r="F2301" s="1" t="s">
        <v>2339</v>
      </c>
      <c r="G2301" s="1">
        <v>2</v>
      </c>
      <c r="H2301" s="1"/>
      <c r="I2301" s="1" t="s">
        <v>2328</v>
      </c>
      <c r="J2301" s="1">
        <v>0.02</v>
      </c>
      <c r="K2301" s="1">
        <v>0.04</v>
      </c>
      <c r="L2301" s="42">
        <v>6</v>
      </c>
      <c r="M2301" s="43"/>
      <c r="N2301" s="1" t="e">
        <f>VLOOKUP(B2301,MICRO!E:L,8,0)</f>
        <v>#N/A</v>
      </c>
    </row>
    <row r="2302" spans="1:14" ht="20.25" x14ac:dyDescent="0.25">
      <c r="A2302" s="1">
        <v>54</v>
      </c>
      <c r="B2302" s="159"/>
      <c r="C2302" s="1" t="s">
        <v>2083</v>
      </c>
      <c r="D2302" s="1"/>
      <c r="E2302" s="1"/>
      <c r="F2302" s="1" t="s">
        <v>2340</v>
      </c>
      <c r="G2302" s="1">
        <v>4</v>
      </c>
      <c r="H2302" s="1"/>
      <c r="I2302" s="1" t="s">
        <v>2328</v>
      </c>
      <c r="J2302" s="1">
        <v>0.03</v>
      </c>
      <c r="K2302" s="1">
        <v>0.12</v>
      </c>
      <c r="L2302" s="42">
        <v>6</v>
      </c>
      <c r="M2302" s="43"/>
      <c r="N2302" s="1" t="e">
        <f>VLOOKUP(B2302,MICRO!E:L,8,0)</f>
        <v>#N/A</v>
      </c>
    </row>
    <row r="2303" spans="1:14" ht="20.25" x14ac:dyDescent="0.25">
      <c r="A2303" s="1">
        <v>55</v>
      </c>
      <c r="B2303" s="159"/>
      <c r="C2303" s="1" t="s">
        <v>2083</v>
      </c>
      <c r="D2303" s="1"/>
      <c r="E2303" s="1"/>
      <c r="F2303" s="1" t="s">
        <v>2341</v>
      </c>
      <c r="G2303" s="1">
        <v>2</v>
      </c>
      <c r="H2303" s="1"/>
      <c r="I2303" s="1" t="s">
        <v>2328</v>
      </c>
      <c r="J2303" s="1">
        <v>0.02</v>
      </c>
      <c r="K2303" s="1">
        <v>0.04</v>
      </c>
      <c r="L2303" s="42">
        <v>6</v>
      </c>
      <c r="M2303" s="43"/>
      <c r="N2303" s="1" t="e">
        <f>VLOOKUP(B2303,MICRO!E:L,8,0)</f>
        <v>#N/A</v>
      </c>
    </row>
    <row r="2304" spans="1:14" ht="20.25" x14ac:dyDescent="0.25">
      <c r="A2304" s="1">
        <v>56</v>
      </c>
      <c r="B2304" s="159"/>
      <c r="C2304" s="1" t="s">
        <v>2083</v>
      </c>
      <c r="D2304" s="1"/>
      <c r="E2304" s="1"/>
      <c r="F2304" s="1" t="s">
        <v>2342</v>
      </c>
      <c r="G2304" s="1">
        <v>2</v>
      </c>
      <c r="H2304" s="1"/>
      <c r="I2304" s="1" t="s">
        <v>2328</v>
      </c>
      <c r="J2304" s="1">
        <v>0.02</v>
      </c>
      <c r="K2304" s="1">
        <v>0.04</v>
      </c>
      <c r="L2304" s="42">
        <v>6</v>
      </c>
      <c r="M2304" s="43"/>
      <c r="N2304" s="1" t="e">
        <f>VLOOKUP(B2304,MICRO!E:L,8,0)</f>
        <v>#N/A</v>
      </c>
    </row>
    <row r="2305" spans="1:14" ht="20.25" x14ac:dyDescent="0.25">
      <c r="A2305" s="1">
        <v>57</v>
      </c>
      <c r="B2305" s="159"/>
      <c r="C2305" s="1" t="s">
        <v>2083</v>
      </c>
      <c r="D2305" s="1"/>
      <c r="E2305" s="1"/>
      <c r="F2305" s="1" t="s">
        <v>2343</v>
      </c>
      <c r="G2305" s="1">
        <v>3</v>
      </c>
      <c r="H2305" s="1"/>
      <c r="I2305" s="1" t="s">
        <v>2328</v>
      </c>
      <c r="J2305" s="1">
        <v>0.03</v>
      </c>
      <c r="K2305" s="1">
        <v>0.09</v>
      </c>
      <c r="L2305" s="42">
        <v>6</v>
      </c>
      <c r="M2305" s="43"/>
      <c r="N2305" s="1" t="e">
        <f>VLOOKUP(B2305,MICRO!E:L,8,0)</f>
        <v>#N/A</v>
      </c>
    </row>
    <row r="2306" spans="1:14" ht="20.25" x14ac:dyDescent="0.25">
      <c r="A2306" s="1">
        <v>58</v>
      </c>
      <c r="B2306" s="159"/>
      <c r="C2306" s="1" t="s">
        <v>2083</v>
      </c>
      <c r="D2306" s="1"/>
      <c r="E2306" s="1"/>
      <c r="F2306" s="1" t="s">
        <v>2344</v>
      </c>
      <c r="G2306" s="1">
        <v>5</v>
      </c>
      <c r="H2306" s="1"/>
      <c r="I2306" s="1" t="s">
        <v>2328</v>
      </c>
      <c r="J2306" s="1">
        <v>0.02</v>
      </c>
      <c r="K2306" s="1">
        <v>0.1</v>
      </c>
      <c r="L2306" s="42">
        <v>6</v>
      </c>
      <c r="M2306" s="43"/>
      <c r="N2306" s="1" t="e">
        <f>VLOOKUP(B2306,MICRO!E:L,8,0)</f>
        <v>#N/A</v>
      </c>
    </row>
    <row r="2307" spans="1:14" ht="20.25" x14ac:dyDescent="0.25">
      <c r="A2307" s="1">
        <v>59</v>
      </c>
      <c r="B2307" s="159"/>
      <c r="C2307" s="1" t="s">
        <v>2083</v>
      </c>
      <c r="D2307" s="1"/>
      <c r="E2307" s="1"/>
      <c r="F2307" s="1" t="s">
        <v>2345</v>
      </c>
      <c r="G2307" s="1">
        <v>5</v>
      </c>
      <c r="H2307" s="1"/>
      <c r="I2307" s="1" t="s">
        <v>2328</v>
      </c>
      <c r="J2307" s="1">
        <v>0.03</v>
      </c>
      <c r="K2307" s="1">
        <v>0.15</v>
      </c>
      <c r="L2307" s="42">
        <v>6</v>
      </c>
      <c r="M2307" s="43"/>
      <c r="N2307" s="1" t="e">
        <f>VLOOKUP(B2307,MICRO!E:L,8,0)</f>
        <v>#N/A</v>
      </c>
    </row>
    <row r="2308" spans="1:14" ht="20.25" x14ac:dyDescent="0.25">
      <c r="A2308" s="1">
        <v>60</v>
      </c>
      <c r="B2308" s="159"/>
      <c r="C2308" s="1" t="s">
        <v>2083</v>
      </c>
      <c r="D2308" s="1"/>
      <c r="E2308" s="1"/>
      <c r="F2308" s="1" t="s">
        <v>2346</v>
      </c>
      <c r="G2308" s="1">
        <v>2</v>
      </c>
      <c r="H2308" s="1"/>
      <c r="I2308" s="1" t="s">
        <v>2328</v>
      </c>
      <c r="J2308" s="1">
        <v>0.04</v>
      </c>
      <c r="K2308" s="1">
        <v>0.08</v>
      </c>
      <c r="L2308" s="42">
        <v>6</v>
      </c>
      <c r="M2308" s="43"/>
      <c r="N2308" s="1" t="e">
        <f>VLOOKUP(B2308,MICRO!E:L,8,0)</f>
        <v>#N/A</v>
      </c>
    </row>
    <row r="2309" spans="1:14" ht="20.25" x14ac:dyDescent="0.25">
      <c r="A2309" s="1">
        <v>61</v>
      </c>
      <c r="B2309" s="159"/>
      <c r="C2309" s="1" t="s">
        <v>2083</v>
      </c>
      <c r="D2309" s="1"/>
      <c r="E2309" s="1"/>
      <c r="F2309" s="1" t="s">
        <v>2347</v>
      </c>
      <c r="G2309" s="1">
        <v>3</v>
      </c>
      <c r="H2309" s="1"/>
      <c r="I2309" s="1" t="s">
        <v>2328</v>
      </c>
      <c r="J2309" s="1">
        <v>0.04</v>
      </c>
      <c r="K2309" s="1">
        <v>0.12</v>
      </c>
      <c r="L2309" s="42">
        <v>6</v>
      </c>
      <c r="M2309" s="43"/>
      <c r="N2309" s="1" t="e">
        <f>VLOOKUP(B2309,MICRO!E:L,8,0)</f>
        <v>#N/A</v>
      </c>
    </row>
    <row r="2310" spans="1:14" ht="20.25" x14ac:dyDescent="0.25">
      <c r="A2310" s="1">
        <v>62</v>
      </c>
      <c r="B2310" s="159"/>
      <c r="C2310" s="1" t="s">
        <v>2083</v>
      </c>
      <c r="D2310" s="1"/>
      <c r="E2310" s="1"/>
      <c r="F2310" s="1" t="s">
        <v>2348</v>
      </c>
      <c r="G2310" s="1">
        <v>6</v>
      </c>
      <c r="H2310" s="1"/>
      <c r="I2310" s="1" t="s">
        <v>2328</v>
      </c>
      <c r="J2310" s="1">
        <v>0.05</v>
      </c>
      <c r="K2310" s="1">
        <v>0.30000000000000004</v>
      </c>
      <c r="L2310" s="42">
        <v>6</v>
      </c>
      <c r="M2310" s="43"/>
      <c r="N2310" s="1" t="e">
        <f>VLOOKUP(B2310,MICRO!E:L,8,0)</f>
        <v>#N/A</v>
      </c>
    </row>
    <row r="2311" spans="1:14" ht="20.25" x14ac:dyDescent="0.25">
      <c r="A2311" s="1">
        <v>63</v>
      </c>
      <c r="B2311" s="159"/>
      <c r="C2311" s="1" t="s">
        <v>2092</v>
      </c>
      <c r="D2311" s="1"/>
      <c r="E2311" s="1"/>
      <c r="F2311" s="1" t="s">
        <v>2349</v>
      </c>
      <c r="G2311" s="1">
        <v>10</v>
      </c>
      <c r="H2311" s="1" t="s">
        <v>19</v>
      </c>
      <c r="I2311" s="1" t="s">
        <v>2124</v>
      </c>
      <c r="J2311" s="1">
        <v>0.02</v>
      </c>
      <c r="K2311" s="1">
        <v>0.2</v>
      </c>
      <c r="L2311" s="42">
        <v>6</v>
      </c>
      <c r="M2311" s="43"/>
      <c r="N2311" s="1" t="e">
        <f>VLOOKUP(B2311,MICRO!E:L,8,0)</f>
        <v>#N/A</v>
      </c>
    </row>
    <row r="2312" spans="1:14" ht="20.25" x14ac:dyDescent="0.25">
      <c r="A2312" s="1">
        <v>64</v>
      </c>
      <c r="B2312" s="159"/>
      <c r="C2312" s="1" t="s">
        <v>2092</v>
      </c>
      <c r="D2312" s="1"/>
      <c r="E2312" s="1"/>
      <c r="F2312" s="1" t="s">
        <v>2350</v>
      </c>
      <c r="G2312" s="1">
        <v>12</v>
      </c>
      <c r="H2312" s="1" t="s">
        <v>19</v>
      </c>
      <c r="I2312" s="1" t="s">
        <v>2124</v>
      </c>
      <c r="J2312" s="1">
        <v>0.02</v>
      </c>
      <c r="K2312" s="1">
        <v>0.24</v>
      </c>
      <c r="L2312" s="42">
        <v>6</v>
      </c>
      <c r="M2312" s="43"/>
      <c r="N2312" s="1" t="e">
        <f>VLOOKUP(B2312,MICRO!E:L,8,0)</f>
        <v>#N/A</v>
      </c>
    </row>
    <row r="2313" spans="1:14" ht="20.25" x14ac:dyDescent="0.25">
      <c r="A2313" s="1">
        <v>65</v>
      </c>
      <c r="B2313" s="159"/>
      <c r="C2313" s="1" t="s">
        <v>2092</v>
      </c>
      <c r="D2313" s="1"/>
      <c r="E2313" s="1"/>
      <c r="F2313" s="1" t="s">
        <v>2351</v>
      </c>
      <c r="G2313" s="1">
        <v>15</v>
      </c>
      <c r="H2313" s="1" t="s">
        <v>19</v>
      </c>
      <c r="I2313" s="1" t="s">
        <v>2124</v>
      </c>
      <c r="J2313" s="1">
        <v>0.02</v>
      </c>
      <c r="K2313" s="1">
        <v>0.3</v>
      </c>
      <c r="L2313" s="42">
        <v>6</v>
      </c>
      <c r="M2313" s="43"/>
      <c r="N2313" s="1" t="e">
        <f>VLOOKUP(B2313,MICRO!E:L,8,0)</f>
        <v>#N/A</v>
      </c>
    </row>
    <row r="2314" spans="1:14" ht="20.25" x14ac:dyDescent="0.25">
      <c r="A2314" s="1">
        <v>66</v>
      </c>
      <c r="B2314" s="159"/>
      <c r="C2314" s="1" t="s">
        <v>2092</v>
      </c>
      <c r="D2314" s="1"/>
      <c r="E2314" s="1"/>
      <c r="F2314" s="1" t="s">
        <v>2352</v>
      </c>
      <c r="G2314" s="1">
        <v>30</v>
      </c>
      <c r="H2314" s="1" t="s">
        <v>1253</v>
      </c>
      <c r="I2314" s="1" t="s">
        <v>2124</v>
      </c>
      <c r="J2314" s="1">
        <v>0.8</v>
      </c>
      <c r="K2314" s="1">
        <v>24</v>
      </c>
      <c r="L2314" s="42">
        <v>6</v>
      </c>
      <c r="M2314" s="43"/>
      <c r="N2314" s="1" t="e">
        <f>VLOOKUP(B2314,MICRO!E:L,8,0)</f>
        <v>#N/A</v>
      </c>
    </row>
    <row r="2315" spans="1:14" ht="20.25" x14ac:dyDescent="0.25">
      <c r="A2315" s="1">
        <v>67</v>
      </c>
      <c r="B2315" s="159"/>
      <c r="C2315" s="1" t="s">
        <v>2092</v>
      </c>
      <c r="D2315" s="1"/>
      <c r="E2315" s="1"/>
      <c r="F2315" s="1" t="s">
        <v>2353</v>
      </c>
      <c r="G2315" s="1">
        <v>6</v>
      </c>
      <c r="H2315" s="1" t="s">
        <v>19</v>
      </c>
      <c r="I2315" s="1" t="s">
        <v>2124</v>
      </c>
      <c r="J2315" s="1">
        <v>1.2</v>
      </c>
      <c r="K2315" s="1">
        <v>7.1999999999999993</v>
      </c>
      <c r="L2315" s="42">
        <v>6</v>
      </c>
      <c r="M2315" s="43"/>
      <c r="N2315" s="1" t="e">
        <f>VLOOKUP(B2315,MICRO!E:L,8,0)</f>
        <v>#N/A</v>
      </c>
    </row>
    <row r="2316" spans="1:14" ht="20.25" x14ac:dyDescent="0.25">
      <c r="A2316" s="1">
        <v>68</v>
      </c>
      <c r="B2316" s="159"/>
      <c r="C2316" s="1" t="s">
        <v>2092</v>
      </c>
      <c r="D2316" s="1"/>
      <c r="E2316" s="1"/>
      <c r="F2316" s="1" t="s">
        <v>2354</v>
      </c>
      <c r="G2316" s="1">
        <v>34</v>
      </c>
      <c r="H2316" s="1" t="s">
        <v>1253</v>
      </c>
      <c r="I2316" s="1" t="s">
        <v>2124</v>
      </c>
      <c r="J2316" s="1">
        <v>1</v>
      </c>
      <c r="K2316" s="1">
        <v>34</v>
      </c>
      <c r="L2316" s="42">
        <v>6</v>
      </c>
      <c r="M2316" s="43"/>
      <c r="N2316" s="1" t="e">
        <f>VLOOKUP(B2316,MICRO!E:L,8,0)</f>
        <v>#N/A</v>
      </c>
    </row>
    <row r="2317" spans="1:14" ht="20.25" x14ac:dyDescent="0.25">
      <c r="A2317" s="1">
        <v>69</v>
      </c>
      <c r="B2317" s="159"/>
      <c r="C2317" s="1" t="s">
        <v>2092</v>
      </c>
      <c r="D2317" s="1"/>
      <c r="E2317" s="1"/>
      <c r="F2317" s="1" t="s">
        <v>2355</v>
      </c>
      <c r="G2317" s="1">
        <v>5</v>
      </c>
      <c r="H2317" s="1" t="s">
        <v>19</v>
      </c>
      <c r="I2317" s="1" t="s">
        <v>2124</v>
      </c>
      <c r="J2317" s="1">
        <v>0.02</v>
      </c>
      <c r="K2317" s="1">
        <v>0.1</v>
      </c>
      <c r="L2317" s="42">
        <v>6</v>
      </c>
      <c r="M2317" s="43"/>
      <c r="N2317" s="1" t="e">
        <f>VLOOKUP(B2317,MICRO!E:L,8,0)</f>
        <v>#N/A</v>
      </c>
    </row>
    <row r="2318" spans="1:14" ht="20.25" x14ac:dyDescent="0.25">
      <c r="A2318" s="1">
        <v>70</v>
      </c>
      <c r="B2318" s="159"/>
      <c r="C2318" s="1" t="s">
        <v>2092</v>
      </c>
      <c r="D2318" s="1"/>
      <c r="E2318" s="1"/>
      <c r="F2318" s="1" t="s">
        <v>2356</v>
      </c>
      <c r="G2318" s="1">
        <v>6</v>
      </c>
      <c r="H2318" s="1" t="s">
        <v>1253</v>
      </c>
      <c r="I2318" s="1" t="s">
        <v>2124</v>
      </c>
      <c r="J2318" s="1">
        <v>0.6</v>
      </c>
      <c r="K2318" s="1">
        <v>3.5999999999999996</v>
      </c>
      <c r="L2318" s="42">
        <v>6</v>
      </c>
      <c r="M2318" s="43"/>
      <c r="N2318" s="1" t="e">
        <f>VLOOKUP(B2318,MICRO!E:L,8,0)</f>
        <v>#N/A</v>
      </c>
    </row>
    <row r="2319" spans="1:14" ht="20.25" x14ac:dyDescent="0.25">
      <c r="A2319" s="1">
        <v>71</v>
      </c>
      <c r="B2319" s="159"/>
      <c r="C2319" s="1" t="s">
        <v>2092</v>
      </c>
      <c r="D2319" s="1"/>
      <c r="E2319" s="1"/>
      <c r="F2319" s="1" t="s">
        <v>2357</v>
      </c>
      <c r="G2319" s="1">
        <v>4</v>
      </c>
      <c r="H2319" s="1" t="s">
        <v>1253</v>
      </c>
      <c r="I2319" s="1" t="s">
        <v>2124</v>
      </c>
      <c r="J2319" s="1">
        <v>0.8</v>
      </c>
      <c r="K2319" s="1">
        <v>3.2</v>
      </c>
      <c r="L2319" s="42">
        <v>6</v>
      </c>
      <c r="M2319" s="43"/>
      <c r="N2319" s="1" t="e">
        <f>VLOOKUP(B2319,MICRO!E:L,8,0)</f>
        <v>#N/A</v>
      </c>
    </row>
    <row r="2320" spans="1:14" ht="20.25" x14ac:dyDescent="0.25">
      <c r="A2320" s="1">
        <v>72</v>
      </c>
      <c r="B2320" s="159"/>
      <c r="C2320" s="1" t="s">
        <v>2092</v>
      </c>
      <c r="D2320" s="1"/>
      <c r="E2320" s="1"/>
      <c r="F2320" s="1" t="s">
        <v>2358</v>
      </c>
      <c r="G2320" s="1">
        <v>3</v>
      </c>
      <c r="H2320" s="1" t="s">
        <v>19</v>
      </c>
      <c r="I2320" s="1" t="s">
        <v>2124</v>
      </c>
      <c r="J2320" s="1">
        <v>0.04</v>
      </c>
      <c r="K2320" s="1">
        <v>0.12</v>
      </c>
      <c r="L2320" s="42">
        <v>6</v>
      </c>
      <c r="M2320" s="43"/>
      <c r="N2320" s="1" t="e">
        <f>VLOOKUP(B2320,MICRO!E:L,8,0)</f>
        <v>#N/A</v>
      </c>
    </row>
    <row r="2321" spans="1:14" ht="20.25" x14ac:dyDescent="0.25">
      <c r="A2321" s="1">
        <v>73</v>
      </c>
      <c r="B2321" s="159"/>
      <c r="C2321" s="1" t="s">
        <v>2092</v>
      </c>
      <c r="D2321" s="1"/>
      <c r="E2321" s="1"/>
      <c r="F2321" s="1" t="s">
        <v>2359</v>
      </c>
      <c r="G2321" s="1">
        <v>2</v>
      </c>
      <c r="H2321" s="1" t="s">
        <v>19</v>
      </c>
      <c r="I2321" s="1" t="s">
        <v>2124</v>
      </c>
      <c r="J2321" s="1">
        <v>0.03</v>
      </c>
      <c r="K2321" s="1">
        <v>0.06</v>
      </c>
      <c r="L2321" s="42">
        <v>6</v>
      </c>
      <c r="M2321" s="43"/>
      <c r="N2321" s="1" t="e">
        <f>VLOOKUP(B2321,MICRO!E:L,8,0)</f>
        <v>#N/A</v>
      </c>
    </row>
    <row r="2322" spans="1:14" ht="20.25" x14ac:dyDescent="0.25">
      <c r="A2322" s="1">
        <v>74</v>
      </c>
      <c r="B2322" s="159"/>
      <c r="C2322" s="1" t="s">
        <v>2092</v>
      </c>
      <c r="D2322" s="1"/>
      <c r="E2322" s="1"/>
      <c r="F2322" s="1" t="s">
        <v>2360</v>
      </c>
      <c r="G2322" s="1">
        <v>6</v>
      </c>
      <c r="H2322" s="1" t="s">
        <v>19</v>
      </c>
      <c r="I2322" s="1" t="s">
        <v>2124</v>
      </c>
      <c r="J2322" s="1">
        <v>0.03</v>
      </c>
      <c r="K2322" s="1">
        <v>0.18</v>
      </c>
      <c r="L2322" s="42">
        <v>6</v>
      </c>
      <c r="M2322" s="43"/>
      <c r="N2322" s="1" t="e">
        <f>VLOOKUP(B2322,MICRO!E:L,8,0)</f>
        <v>#N/A</v>
      </c>
    </row>
    <row r="2323" spans="1:14" ht="20.25" x14ac:dyDescent="0.25">
      <c r="A2323" s="1">
        <v>75</v>
      </c>
      <c r="B2323" s="159"/>
      <c r="C2323" s="1" t="s">
        <v>2092</v>
      </c>
      <c r="D2323" s="1"/>
      <c r="E2323" s="1"/>
      <c r="F2323" s="1" t="s">
        <v>2361</v>
      </c>
      <c r="G2323" s="1">
        <v>2</v>
      </c>
      <c r="H2323" s="1" t="s">
        <v>19</v>
      </c>
      <c r="I2323" s="1" t="s">
        <v>2124</v>
      </c>
      <c r="J2323" s="1">
        <v>0.03</v>
      </c>
      <c r="K2323" s="1">
        <v>0.06</v>
      </c>
      <c r="L2323" s="42">
        <v>6</v>
      </c>
      <c r="M2323" s="43"/>
      <c r="N2323" s="1" t="e">
        <f>VLOOKUP(B2323,MICRO!E:L,8,0)</f>
        <v>#N/A</v>
      </c>
    </row>
    <row r="2324" spans="1:14" ht="20.25" x14ac:dyDescent="0.25">
      <c r="A2324" s="1">
        <v>76</v>
      </c>
      <c r="B2324" s="159"/>
      <c r="C2324" s="1" t="s">
        <v>2092</v>
      </c>
      <c r="D2324" s="1"/>
      <c r="E2324" s="1"/>
      <c r="F2324" s="1" t="s">
        <v>2362</v>
      </c>
      <c r="G2324" s="1">
        <v>6</v>
      </c>
      <c r="H2324" s="1" t="s">
        <v>19</v>
      </c>
      <c r="I2324" s="1" t="s">
        <v>2124</v>
      </c>
      <c r="J2324" s="1">
        <v>0.03</v>
      </c>
      <c r="K2324" s="1">
        <v>0.18</v>
      </c>
      <c r="L2324" s="42">
        <v>6</v>
      </c>
      <c r="M2324" s="43"/>
      <c r="N2324" s="1" t="e">
        <f>VLOOKUP(B2324,MICRO!E:L,8,0)</f>
        <v>#N/A</v>
      </c>
    </row>
    <row r="2325" spans="1:14" ht="20.25" x14ac:dyDescent="0.25">
      <c r="A2325" s="1">
        <v>77</v>
      </c>
      <c r="B2325" s="159"/>
      <c r="C2325" s="1" t="s">
        <v>2092</v>
      </c>
      <c r="D2325" s="1"/>
      <c r="E2325" s="1"/>
      <c r="F2325" s="1" t="s">
        <v>2363</v>
      </c>
      <c r="G2325" s="1">
        <v>3</v>
      </c>
      <c r="H2325" s="1" t="s">
        <v>19</v>
      </c>
      <c r="I2325" s="1" t="s">
        <v>2124</v>
      </c>
      <c r="J2325" s="1">
        <v>0.04</v>
      </c>
      <c r="K2325" s="1">
        <v>0.12</v>
      </c>
      <c r="L2325" s="42">
        <v>6</v>
      </c>
      <c r="M2325" s="43"/>
      <c r="N2325" s="1" t="e">
        <f>VLOOKUP(B2325,MICRO!E:L,8,0)</f>
        <v>#N/A</v>
      </c>
    </row>
    <row r="2326" spans="1:14" ht="20.25" x14ac:dyDescent="0.25">
      <c r="A2326" s="1">
        <v>78</v>
      </c>
      <c r="B2326" s="159"/>
      <c r="C2326" s="1" t="s">
        <v>2092</v>
      </c>
      <c r="D2326" s="1"/>
      <c r="E2326" s="1"/>
      <c r="F2326" s="1" t="s">
        <v>2364</v>
      </c>
      <c r="G2326" s="1">
        <v>2</v>
      </c>
      <c r="H2326" s="1" t="s">
        <v>19</v>
      </c>
      <c r="I2326" s="1" t="s">
        <v>2124</v>
      </c>
      <c r="J2326" s="1">
        <v>0.02</v>
      </c>
      <c r="K2326" s="1">
        <v>0.04</v>
      </c>
      <c r="L2326" s="42">
        <v>6</v>
      </c>
      <c r="M2326" s="43"/>
      <c r="N2326" s="1" t="e">
        <f>VLOOKUP(B2326,MICRO!E:L,8,0)</f>
        <v>#N/A</v>
      </c>
    </row>
    <row r="2327" spans="1:14" ht="20.25" x14ac:dyDescent="0.25">
      <c r="A2327" s="1">
        <v>79</v>
      </c>
      <c r="B2327" s="159"/>
      <c r="C2327" s="1" t="s">
        <v>2092</v>
      </c>
      <c r="D2327" s="1"/>
      <c r="E2327" s="1"/>
      <c r="F2327" s="1" t="s">
        <v>2365</v>
      </c>
      <c r="G2327" s="1">
        <v>2</v>
      </c>
      <c r="H2327" s="1" t="s">
        <v>19</v>
      </c>
      <c r="I2327" s="1" t="s">
        <v>2124</v>
      </c>
      <c r="J2327" s="1">
        <v>0.03</v>
      </c>
      <c r="K2327" s="1">
        <v>0.06</v>
      </c>
      <c r="L2327" s="42">
        <v>6</v>
      </c>
      <c r="M2327" s="43"/>
      <c r="N2327" s="1" t="e">
        <f>VLOOKUP(B2327,MICRO!E:L,8,0)</f>
        <v>#N/A</v>
      </c>
    </row>
    <row r="2328" spans="1:14" ht="20.25" x14ac:dyDescent="0.25">
      <c r="A2328" s="1">
        <v>80</v>
      </c>
      <c r="B2328" s="159"/>
      <c r="C2328" s="1" t="s">
        <v>2092</v>
      </c>
      <c r="D2328" s="1"/>
      <c r="E2328" s="1"/>
      <c r="F2328" s="1" t="s">
        <v>2366</v>
      </c>
      <c r="G2328" s="1">
        <v>6</v>
      </c>
      <c r="H2328" s="1" t="s">
        <v>19</v>
      </c>
      <c r="I2328" s="1" t="s">
        <v>2124</v>
      </c>
      <c r="J2328" s="1">
        <v>0.03</v>
      </c>
      <c r="K2328" s="1">
        <v>0.18</v>
      </c>
      <c r="L2328" s="42">
        <v>6</v>
      </c>
      <c r="M2328" s="43"/>
      <c r="N2328" s="1" t="e">
        <f>VLOOKUP(B2328,MICRO!E:L,8,0)</f>
        <v>#N/A</v>
      </c>
    </row>
    <row r="2329" spans="1:14" ht="20.25" x14ac:dyDescent="0.25">
      <c r="A2329" s="1">
        <v>81</v>
      </c>
      <c r="B2329" s="159"/>
      <c r="C2329" s="1" t="s">
        <v>2097</v>
      </c>
      <c r="D2329" s="1"/>
      <c r="E2329" s="1"/>
      <c r="F2329" s="1" t="s">
        <v>2367</v>
      </c>
      <c r="G2329" s="1">
        <v>33</v>
      </c>
      <c r="H2329" s="1" t="s">
        <v>1253</v>
      </c>
      <c r="I2329" s="1" t="s">
        <v>2125</v>
      </c>
      <c r="J2329" s="1">
        <v>0.9</v>
      </c>
      <c r="K2329" s="1">
        <v>29.7</v>
      </c>
      <c r="L2329" s="42">
        <v>6</v>
      </c>
      <c r="M2329" s="43"/>
      <c r="N2329" s="1" t="e">
        <f>VLOOKUP(B2329,MICRO!E:L,8,0)</f>
        <v>#N/A</v>
      </c>
    </row>
    <row r="2330" spans="1:14" ht="20.25" x14ac:dyDescent="0.25">
      <c r="A2330" s="1">
        <v>82</v>
      </c>
      <c r="B2330" s="159"/>
      <c r="C2330" s="1" t="s">
        <v>2097</v>
      </c>
      <c r="D2330" s="1"/>
      <c r="E2330" s="1"/>
      <c r="F2330" s="1" t="s">
        <v>2368</v>
      </c>
      <c r="G2330" s="1">
        <v>4</v>
      </c>
      <c r="H2330" s="1" t="s">
        <v>1253</v>
      </c>
      <c r="I2330" s="1" t="s">
        <v>2125</v>
      </c>
      <c r="J2330" s="1">
        <v>0.5</v>
      </c>
      <c r="K2330" s="1">
        <v>2</v>
      </c>
      <c r="L2330" s="42">
        <v>6</v>
      </c>
      <c r="M2330" s="43"/>
      <c r="N2330" s="1" t="e">
        <f>VLOOKUP(B2330,MICRO!E:L,8,0)</f>
        <v>#N/A</v>
      </c>
    </row>
    <row r="2331" spans="1:14" ht="20.25" x14ac:dyDescent="0.25">
      <c r="A2331" s="1">
        <v>83</v>
      </c>
      <c r="B2331" s="159"/>
      <c r="C2331" s="1" t="s">
        <v>2097</v>
      </c>
      <c r="D2331" s="1"/>
      <c r="E2331" s="1"/>
      <c r="F2331" s="1" t="s">
        <v>2369</v>
      </c>
      <c r="G2331" s="1">
        <v>36</v>
      </c>
      <c r="H2331" s="1" t="s">
        <v>1253</v>
      </c>
      <c r="I2331" s="1" t="s">
        <v>2125</v>
      </c>
      <c r="J2331" s="1">
        <v>1.1000000000000001</v>
      </c>
      <c r="K2331" s="1">
        <v>39.6</v>
      </c>
      <c r="L2331" s="42">
        <v>6</v>
      </c>
      <c r="M2331" s="43"/>
      <c r="N2331" s="1" t="e">
        <f>VLOOKUP(B2331,MICRO!E:L,8,0)</f>
        <v>#N/A</v>
      </c>
    </row>
    <row r="2332" spans="1:14" ht="20.25" x14ac:dyDescent="0.25">
      <c r="A2332" s="1">
        <v>84</v>
      </c>
      <c r="B2332" s="159"/>
      <c r="C2332" s="1" t="s">
        <v>2097</v>
      </c>
      <c r="D2332" s="1"/>
      <c r="E2332" s="1"/>
      <c r="F2332" s="1" t="s">
        <v>2370</v>
      </c>
      <c r="G2332" s="1">
        <v>5</v>
      </c>
      <c r="H2332" s="1" t="s">
        <v>19</v>
      </c>
      <c r="I2332" s="1" t="s">
        <v>2125</v>
      </c>
      <c r="J2332" s="1">
        <v>0.02</v>
      </c>
      <c r="K2332" s="1">
        <v>0.1</v>
      </c>
      <c r="L2332" s="42">
        <v>6</v>
      </c>
      <c r="M2332" s="43"/>
      <c r="N2332" s="1" t="e">
        <f>VLOOKUP(B2332,MICRO!E:L,8,0)</f>
        <v>#N/A</v>
      </c>
    </row>
    <row r="2333" spans="1:14" ht="20.25" x14ac:dyDescent="0.25">
      <c r="A2333" s="1">
        <v>85</v>
      </c>
      <c r="B2333" s="159"/>
      <c r="C2333" s="1" t="s">
        <v>2097</v>
      </c>
      <c r="D2333" s="1"/>
      <c r="E2333" s="1"/>
      <c r="F2333" s="1" t="s">
        <v>2371</v>
      </c>
      <c r="G2333" s="1">
        <v>15</v>
      </c>
      <c r="H2333" s="1" t="s">
        <v>19</v>
      </c>
      <c r="I2333" s="1" t="s">
        <v>2125</v>
      </c>
      <c r="J2333" s="1">
        <v>0.02</v>
      </c>
      <c r="K2333" s="1">
        <v>0.3</v>
      </c>
      <c r="L2333" s="42">
        <v>6</v>
      </c>
      <c r="M2333" s="43"/>
      <c r="N2333" s="1" t="e">
        <f>VLOOKUP(B2333,MICRO!E:L,8,0)</f>
        <v>#N/A</v>
      </c>
    </row>
    <row r="2334" spans="1:14" ht="20.25" x14ac:dyDescent="0.25">
      <c r="A2334" s="1">
        <v>86</v>
      </c>
      <c r="B2334" s="159"/>
      <c r="C2334" s="1" t="s">
        <v>2097</v>
      </c>
      <c r="D2334" s="1"/>
      <c r="E2334" s="1"/>
      <c r="F2334" s="1" t="s">
        <v>2372</v>
      </c>
      <c r="G2334" s="1">
        <v>10</v>
      </c>
      <c r="H2334" s="1" t="s">
        <v>19</v>
      </c>
      <c r="I2334" s="1" t="s">
        <v>2125</v>
      </c>
      <c r="J2334" s="1">
        <v>0.02</v>
      </c>
      <c r="K2334" s="1">
        <v>0.2</v>
      </c>
      <c r="L2334" s="42">
        <v>6</v>
      </c>
      <c r="M2334" s="43"/>
      <c r="N2334" s="1" t="e">
        <f>VLOOKUP(B2334,MICRO!E:L,8,0)</f>
        <v>#N/A</v>
      </c>
    </row>
    <row r="2335" spans="1:14" ht="20.25" x14ac:dyDescent="0.25">
      <c r="A2335" s="1">
        <v>87</v>
      </c>
      <c r="B2335" s="159"/>
      <c r="C2335" s="1" t="s">
        <v>2097</v>
      </c>
      <c r="D2335" s="1"/>
      <c r="E2335" s="1"/>
      <c r="F2335" s="1" t="s">
        <v>2373</v>
      </c>
      <c r="G2335" s="1">
        <v>10</v>
      </c>
      <c r="H2335" s="1" t="s">
        <v>19</v>
      </c>
      <c r="I2335" s="1" t="s">
        <v>2125</v>
      </c>
      <c r="J2335" s="1">
        <v>0.02</v>
      </c>
      <c r="K2335" s="1">
        <v>0.2</v>
      </c>
      <c r="L2335" s="42">
        <v>6</v>
      </c>
      <c r="M2335" s="43"/>
      <c r="N2335" s="1" t="e">
        <f>VLOOKUP(B2335,MICRO!E:L,8,0)</f>
        <v>#N/A</v>
      </c>
    </row>
    <row r="2336" spans="1:14" ht="20.25" x14ac:dyDescent="0.25">
      <c r="A2336" s="1">
        <v>88</v>
      </c>
      <c r="B2336" s="159"/>
      <c r="C2336" s="1" t="s">
        <v>2097</v>
      </c>
      <c r="D2336" s="1"/>
      <c r="E2336" s="1"/>
      <c r="F2336" s="1" t="s">
        <v>2374</v>
      </c>
      <c r="G2336" s="1">
        <v>6</v>
      </c>
      <c r="H2336" s="1" t="s">
        <v>1253</v>
      </c>
      <c r="I2336" s="1" t="s">
        <v>2125</v>
      </c>
      <c r="J2336" s="1">
        <v>0.8</v>
      </c>
      <c r="K2336" s="1">
        <v>4.8000000000000007</v>
      </c>
      <c r="L2336" s="42">
        <v>6</v>
      </c>
      <c r="M2336" s="43"/>
      <c r="N2336" s="1" t="e">
        <f>VLOOKUP(B2336,MICRO!E:L,8,0)</f>
        <v>#N/A</v>
      </c>
    </row>
    <row r="2337" spans="1:14" ht="20.25" x14ac:dyDescent="0.25">
      <c r="A2337" s="1">
        <v>89</v>
      </c>
      <c r="B2337" s="159"/>
      <c r="C2337" s="1" t="s">
        <v>2097</v>
      </c>
      <c r="D2337" s="1"/>
      <c r="E2337" s="1"/>
      <c r="F2337" s="1" t="s">
        <v>2375</v>
      </c>
      <c r="G2337" s="1">
        <v>2</v>
      </c>
      <c r="H2337" s="1" t="s">
        <v>19</v>
      </c>
      <c r="I2337" s="1" t="s">
        <v>2125</v>
      </c>
      <c r="J2337" s="1">
        <v>1</v>
      </c>
      <c r="K2337" s="1">
        <v>2</v>
      </c>
      <c r="L2337" s="42">
        <v>6</v>
      </c>
      <c r="M2337" s="43"/>
      <c r="N2337" s="1" t="e">
        <f>VLOOKUP(B2337,MICRO!E:L,8,0)</f>
        <v>#N/A</v>
      </c>
    </row>
    <row r="2338" spans="1:14" ht="20.25" x14ac:dyDescent="0.25">
      <c r="A2338" s="1">
        <v>90</v>
      </c>
      <c r="B2338" s="159"/>
      <c r="C2338" s="1" t="s">
        <v>2097</v>
      </c>
      <c r="D2338" s="1"/>
      <c r="E2338" s="1"/>
      <c r="F2338" s="1" t="s">
        <v>2376</v>
      </c>
      <c r="G2338" s="1">
        <v>6</v>
      </c>
      <c r="H2338" s="1" t="s">
        <v>1253</v>
      </c>
      <c r="I2338" s="1" t="s">
        <v>2125</v>
      </c>
      <c r="J2338" s="1">
        <v>0.6</v>
      </c>
      <c r="K2338" s="1">
        <v>3.5999999999999996</v>
      </c>
      <c r="L2338" s="42">
        <v>6</v>
      </c>
      <c r="M2338" s="43"/>
      <c r="N2338" s="1" t="e">
        <f>VLOOKUP(B2338,MICRO!E:L,8,0)</f>
        <v>#N/A</v>
      </c>
    </row>
    <row r="2339" spans="1:14" ht="20.25" x14ac:dyDescent="0.25">
      <c r="A2339" s="1">
        <v>91</v>
      </c>
      <c r="B2339" s="159"/>
      <c r="C2339" s="1" t="s">
        <v>2097</v>
      </c>
      <c r="D2339" s="1"/>
      <c r="E2339" s="1"/>
      <c r="F2339" s="1" t="s">
        <v>2377</v>
      </c>
      <c r="G2339" s="1">
        <v>3</v>
      </c>
      <c r="H2339" s="1" t="s">
        <v>19</v>
      </c>
      <c r="I2339" s="1" t="s">
        <v>2125</v>
      </c>
      <c r="J2339" s="1">
        <v>0.05</v>
      </c>
      <c r="K2339" s="1">
        <v>0.15000000000000002</v>
      </c>
      <c r="L2339" s="42">
        <v>6</v>
      </c>
      <c r="M2339" s="43"/>
      <c r="N2339" s="1" t="e">
        <f>VLOOKUP(B2339,MICRO!E:L,8,0)</f>
        <v>#N/A</v>
      </c>
    </row>
    <row r="2340" spans="1:14" ht="20.25" x14ac:dyDescent="0.25">
      <c r="A2340" s="1">
        <v>92</v>
      </c>
      <c r="B2340" s="159"/>
      <c r="C2340" s="1" t="s">
        <v>2097</v>
      </c>
      <c r="D2340" s="1"/>
      <c r="E2340" s="1"/>
      <c r="F2340" s="1" t="s">
        <v>2378</v>
      </c>
      <c r="G2340" s="1">
        <v>2</v>
      </c>
      <c r="H2340" s="1" t="s">
        <v>19</v>
      </c>
      <c r="I2340" s="1" t="s">
        <v>2125</v>
      </c>
      <c r="J2340" s="1">
        <v>0.03</v>
      </c>
      <c r="K2340" s="1">
        <v>0.06</v>
      </c>
      <c r="L2340" s="42">
        <v>6</v>
      </c>
      <c r="M2340" s="43"/>
      <c r="N2340" s="1" t="e">
        <f>VLOOKUP(B2340,MICRO!E:L,8,0)</f>
        <v>#N/A</v>
      </c>
    </row>
    <row r="2341" spans="1:14" ht="20.25" x14ac:dyDescent="0.25">
      <c r="A2341" s="1">
        <v>93</v>
      </c>
      <c r="B2341" s="159"/>
      <c r="C2341" s="1" t="s">
        <v>2097</v>
      </c>
      <c r="D2341" s="1"/>
      <c r="E2341" s="1"/>
      <c r="F2341" s="1" t="s">
        <v>2379</v>
      </c>
      <c r="G2341" s="1">
        <v>5</v>
      </c>
      <c r="H2341" s="1" t="s">
        <v>19</v>
      </c>
      <c r="I2341" s="1" t="s">
        <v>2125</v>
      </c>
      <c r="J2341" s="1">
        <v>0.02</v>
      </c>
      <c r="K2341" s="1">
        <v>0.1</v>
      </c>
      <c r="L2341" s="42">
        <v>6</v>
      </c>
      <c r="M2341" s="43"/>
      <c r="N2341" s="1" t="e">
        <f>VLOOKUP(B2341,MICRO!E:L,8,0)</f>
        <v>#N/A</v>
      </c>
    </row>
    <row r="2342" spans="1:14" ht="20.25" x14ac:dyDescent="0.25">
      <c r="A2342" s="1">
        <v>94</v>
      </c>
      <c r="B2342" s="159"/>
      <c r="C2342" s="1" t="s">
        <v>2097</v>
      </c>
      <c r="D2342" s="1"/>
      <c r="E2342" s="1"/>
      <c r="F2342" s="1" t="s">
        <v>2380</v>
      </c>
      <c r="G2342" s="1">
        <v>2</v>
      </c>
      <c r="H2342" s="1" t="s">
        <v>19</v>
      </c>
      <c r="I2342" s="1" t="s">
        <v>2125</v>
      </c>
      <c r="J2342" s="1">
        <v>0.03</v>
      </c>
      <c r="K2342" s="1">
        <v>0.06</v>
      </c>
      <c r="L2342" s="42">
        <v>6</v>
      </c>
      <c r="M2342" s="43"/>
      <c r="N2342" s="1" t="e">
        <f>VLOOKUP(B2342,MICRO!E:L,8,0)</f>
        <v>#N/A</v>
      </c>
    </row>
    <row r="2343" spans="1:14" ht="20.25" x14ac:dyDescent="0.25">
      <c r="A2343" s="1">
        <v>95</v>
      </c>
      <c r="B2343" s="159"/>
      <c r="C2343" s="1" t="s">
        <v>2097</v>
      </c>
      <c r="D2343" s="1"/>
      <c r="E2343" s="1"/>
      <c r="F2343" s="1" t="s">
        <v>2381</v>
      </c>
      <c r="G2343" s="1">
        <v>5</v>
      </c>
      <c r="H2343" s="1" t="s">
        <v>19</v>
      </c>
      <c r="I2343" s="1" t="s">
        <v>2125</v>
      </c>
      <c r="J2343" s="1">
        <v>0.02</v>
      </c>
      <c r="K2343" s="1">
        <v>0.1</v>
      </c>
      <c r="L2343" s="42">
        <v>6</v>
      </c>
      <c r="M2343" s="43"/>
      <c r="N2343" s="1" t="e">
        <f>VLOOKUP(B2343,MICRO!E:L,8,0)</f>
        <v>#N/A</v>
      </c>
    </row>
    <row r="2344" spans="1:14" ht="20.25" x14ac:dyDescent="0.25">
      <c r="A2344" s="1">
        <v>96</v>
      </c>
      <c r="B2344" s="159"/>
      <c r="C2344" s="1" t="s">
        <v>2097</v>
      </c>
      <c r="D2344" s="1"/>
      <c r="E2344" s="1"/>
      <c r="F2344" s="1" t="s">
        <v>2382</v>
      </c>
      <c r="G2344" s="1">
        <v>2</v>
      </c>
      <c r="H2344" s="1" t="s">
        <v>19</v>
      </c>
      <c r="I2344" s="1" t="s">
        <v>2125</v>
      </c>
      <c r="J2344" s="1">
        <v>0.02</v>
      </c>
      <c r="K2344" s="1">
        <v>0.04</v>
      </c>
      <c r="L2344" s="42">
        <v>6</v>
      </c>
      <c r="M2344" s="43"/>
      <c r="N2344" s="1" t="e">
        <f>VLOOKUP(B2344,MICRO!E:L,8,0)</f>
        <v>#N/A</v>
      </c>
    </row>
    <row r="2345" spans="1:14" ht="20.25" x14ac:dyDescent="0.25">
      <c r="A2345" s="1">
        <v>97</v>
      </c>
      <c r="B2345" s="159"/>
      <c r="C2345" s="1" t="s">
        <v>2097</v>
      </c>
      <c r="D2345" s="1"/>
      <c r="E2345" s="1"/>
      <c r="F2345" s="1" t="s">
        <v>2383</v>
      </c>
      <c r="G2345" s="1">
        <v>2</v>
      </c>
      <c r="H2345" s="1" t="s">
        <v>19</v>
      </c>
      <c r="I2345" s="1" t="s">
        <v>2125</v>
      </c>
      <c r="J2345" s="1">
        <v>0.03</v>
      </c>
      <c r="K2345" s="1">
        <v>0.06</v>
      </c>
      <c r="L2345" s="42">
        <v>6</v>
      </c>
      <c r="M2345" s="43"/>
      <c r="N2345" s="1" t="e">
        <f>VLOOKUP(B2345,MICRO!E:L,8,0)</f>
        <v>#N/A</v>
      </c>
    </row>
    <row r="2346" spans="1:14" ht="20.25" x14ac:dyDescent="0.25">
      <c r="A2346" s="1">
        <v>98</v>
      </c>
      <c r="B2346" s="159"/>
      <c r="C2346" s="1" t="s">
        <v>2097</v>
      </c>
      <c r="D2346" s="1"/>
      <c r="E2346" s="1"/>
      <c r="F2346" s="1" t="s">
        <v>2384</v>
      </c>
      <c r="G2346" s="1">
        <v>2</v>
      </c>
      <c r="H2346" s="1" t="s">
        <v>19</v>
      </c>
      <c r="I2346" s="1" t="s">
        <v>2125</v>
      </c>
      <c r="J2346" s="1">
        <v>0.02</v>
      </c>
      <c r="K2346" s="1">
        <v>0.04</v>
      </c>
      <c r="L2346" s="42">
        <v>6</v>
      </c>
      <c r="M2346" s="43"/>
      <c r="N2346" s="1" t="e">
        <f>VLOOKUP(B2346,MICRO!E:L,8,0)</f>
        <v>#N/A</v>
      </c>
    </row>
    <row r="2347" spans="1:14" ht="20.25" x14ac:dyDescent="0.25">
      <c r="A2347" s="1">
        <v>99</v>
      </c>
      <c r="B2347" s="159"/>
      <c r="C2347" s="1" t="s">
        <v>2097</v>
      </c>
      <c r="D2347" s="1"/>
      <c r="E2347" s="1"/>
      <c r="F2347" s="1" t="s">
        <v>2385</v>
      </c>
      <c r="G2347" s="1">
        <v>2</v>
      </c>
      <c r="H2347" s="1" t="s">
        <v>19</v>
      </c>
      <c r="I2347" s="1" t="s">
        <v>2125</v>
      </c>
      <c r="J2347" s="1">
        <v>0.03</v>
      </c>
      <c r="K2347" s="1">
        <v>0.06</v>
      </c>
      <c r="L2347" s="42">
        <v>6</v>
      </c>
      <c r="M2347" s="43"/>
      <c r="N2347" s="1" t="e">
        <f>VLOOKUP(B2347,MICRO!E:L,8,0)</f>
        <v>#N/A</v>
      </c>
    </row>
    <row r="2348" spans="1:14" ht="20.25" x14ac:dyDescent="0.25">
      <c r="A2348" s="1">
        <v>100</v>
      </c>
      <c r="B2348" s="159"/>
      <c r="C2348" s="1" t="s">
        <v>2097</v>
      </c>
      <c r="D2348" s="1"/>
      <c r="E2348" s="1"/>
      <c r="F2348" s="1" t="s">
        <v>2386</v>
      </c>
      <c r="G2348" s="1">
        <v>4</v>
      </c>
      <c r="H2348" s="1" t="s">
        <v>19</v>
      </c>
      <c r="I2348" s="1" t="s">
        <v>2125</v>
      </c>
      <c r="J2348" s="1">
        <v>0.04</v>
      </c>
      <c r="K2348" s="1">
        <v>0.16</v>
      </c>
      <c r="L2348" s="42">
        <v>6</v>
      </c>
      <c r="M2348" s="43"/>
      <c r="N2348" s="1" t="e">
        <f>VLOOKUP(B2348,MICRO!E:L,8,0)</f>
        <v>#N/A</v>
      </c>
    </row>
    <row r="2349" spans="1:14" ht="20.25" x14ac:dyDescent="0.25">
      <c r="A2349" s="1">
        <v>101</v>
      </c>
      <c r="B2349" s="159"/>
      <c r="C2349" s="1" t="s">
        <v>2097</v>
      </c>
      <c r="D2349" s="1"/>
      <c r="E2349" s="1"/>
      <c r="F2349" s="1" t="s">
        <v>2387</v>
      </c>
      <c r="G2349" s="1">
        <v>2</v>
      </c>
      <c r="H2349" s="1" t="s">
        <v>19</v>
      </c>
      <c r="I2349" s="1" t="s">
        <v>2125</v>
      </c>
      <c r="J2349" s="1">
        <v>0.04</v>
      </c>
      <c r="K2349" s="1">
        <v>0.08</v>
      </c>
      <c r="L2349" s="42">
        <v>6</v>
      </c>
      <c r="M2349" s="43"/>
      <c r="N2349" s="1" t="e">
        <f>VLOOKUP(B2349,MICRO!E:L,8,0)</f>
        <v>#N/A</v>
      </c>
    </row>
    <row r="2350" spans="1:14" ht="20.25" x14ac:dyDescent="0.25">
      <c r="A2350" s="1">
        <v>102</v>
      </c>
      <c r="B2350" s="159"/>
      <c r="C2350" s="1" t="s">
        <v>2097</v>
      </c>
      <c r="D2350" s="1"/>
      <c r="E2350" s="1"/>
      <c r="F2350" s="1" t="s">
        <v>2388</v>
      </c>
      <c r="G2350" s="1">
        <v>3</v>
      </c>
      <c r="H2350" s="1" t="s">
        <v>19</v>
      </c>
      <c r="I2350" s="1" t="s">
        <v>2125</v>
      </c>
      <c r="J2350" s="1">
        <v>0.05</v>
      </c>
      <c r="K2350" s="1">
        <v>0.15000000000000002</v>
      </c>
      <c r="L2350" s="42">
        <v>6</v>
      </c>
      <c r="M2350" s="43"/>
      <c r="N2350" s="1" t="e">
        <f>VLOOKUP(B2350,MICRO!E:L,8,0)</f>
        <v>#N/A</v>
      </c>
    </row>
    <row r="2351" spans="1:14" ht="20.25" x14ac:dyDescent="0.25">
      <c r="A2351" s="1">
        <v>103</v>
      </c>
      <c r="B2351" s="159"/>
      <c r="C2351" s="1" t="s">
        <v>2103</v>
      </c>
      <c r="D2351" s="1"/>
      <c r="E2351" s="1"/>
      <c r="F2351" s="1" t="s">
        <v>2389</v>
      </c>
      <c r="G2351" s="1">
        <v>3</v>
      </c>
      <c r="H2351" s="1" t="s">
        <v>19</v>
      </c>
      <c r="I2351" s="1" t="s">
        <v>2126</v>
      </c>
      <c r="J2351" s="1">
        <v>0.03</v>
      </c>
      <c r="K2351" s="1">
        <v>0.09</v>
      </c>
      <c r="L2351" s="42">
        <v>6</v>
      </c>
      <c r="M2351" s="43"/>
      <c r="N2351" s="1" t="e">
        <f>VLOOKUP(B2351,MICRO!E:L,8,0)</f>
        <v>#N/A</v>
      </c>
    </row>
    <row r="2352" spans="1:14" ht="20.25" x14ac:dyDescent="0.25">
      <c r="A2352" s="1">
        <v>104</v>
      </c>
      <c r="B2352" s="159"/>
      <c r="C2352" s="1" t="s">
        <v>2103</v>
      </c>
      <c r="D2352" s="1"/>
      <c r="E2352" s="1"/>
      <c r="F2352" s="1" t="s">
        <v>2390</v>
      </c>
      <c r="G2352" s="1">
        <v>2</v>
      </c>
      <c r="H2352" s="1" t="s">
        <v>19</v>
      </c>
      <c r="I2352" s="1" t="s">
        <v>2126</v>
      </c>
      <c r="J2352" s="1">
        <v>0.02</v>
      </c>
      <c r="K2352" s="1">
        <v>0.04</v>
      </c>
      <c r="L2352" s="42">
        <v>6</v>
      </c>
      <c r="M2352" s="43"/>
      <c r="N2352" s="1" t="e">
        <f>VLOOKUP(B2352,MICRO!E:L,8,0)</f>
        <v>#N/A</v>
      </c>
    </row>
    <row r="2353" spans="1:14" ht="20.25" x14ac:dyDescent="0.25">
      <c r="A2353" s="1">
        <v>105</v>
      </c>
      <c r="B2353" s="159"/>
      <c r="C2353" s="1" t="s">
        <v>2103</v>
      </c>
      <c r="D2353" s="1"/>
      <c r="E2353" s="1"/>
      <c r="F2353" s="1" t="s">
        <v>2391</v>
      </c>
      <c r="G2353" s="1">
        <v>4</v>
      </c>
      <c r="H2353" s="1" t="s">
        <v>19</v>
      </c>
      <c r="I2353" s="1" t="s">
        <v>2126</v>
      </c>
      <c r="J2353" s="1">
        <v>0.04</v>
      </c>
      <c r="K2353" s="1">
        <v>0.16</v>
      </c>
      <c r="L2353" s="42">
        <v>6</v>
      </c>
      <c r="M2353" s="43"/>
      <c r="N2353" s="1" t="e">
        <f>VLOOKUP(B2353,MICRO!E:L,8,0)</f>
        <v>#N/A</v>
      </c>
    </row>
    <row r="2354" spans="1:14" ht="20.25" x14ac:dyDescent="0.25">
      <c r="A2354" s="1">
        <v>106</v>
      </c>
      <c r="B2354" s="159"/>
      <c r="C2354" s="1" t="s">
        <v>2103</v>
      </c>
      <c r="D2354" s="1"/>
      <c r="E2354" s="1"/>
      <c r="F2354" s="1" t="s">
        <v>2392</v>
      </c>
      <c r="G2354" s="1">
        <v>2</v>
      </c>
      <c r="H2354" s="1" t="s">
        <v>19</v>
      </c>
      <c r="I2354" s="1" t="s">
        <v>2126</v>
      </c>
      <c r="J2354" s="1">
        <v>0.05</v>
      </c>
      <c r="K2354" s="1">
        <v>0.1</v>
      </c>
      <c r="L2354" s="42">
        <v>6</v>
      </c>
      <c r="M2354" s="43"/>
      <c r="N2354" s="1" t="e">
        <f>VLOOKUP(B2354,MICRO!E:L,8,0)</f>
        <v>#N/A</v>
      </c>
    </row>
    <row r="2355" spans="1:14" ht="20.25" x14ac:dyDescent="0.25">
      <c r="A2355" s="1">
        <v>107</v>
      </c>
      <c r="B2355" s="159"/>
      <c r="C2355" s="1" t="s">
        <v>2103</v>
      </c>
      <c r="D2355" s="1"/>
      <c r="E2355" s="1"/>
      <c r="F2355" s="1" t="s">
        <v>2393</v>
      </c>
      <c r="G2355" s="1">
        <v>3</v>
      </c>
      <c r="H2355" s="1" t="s">
        <v>19</v>
      </c>
      <c r="I2355" s="1" t="s">
        <v>2126</v>
      </c>
      <c r="J2355" s="1">
        <v>0.04</v>
      </c>
      <c r="K2355" s="1">
        <v>0.12</v>
      </c>
      <c r="L2355" s="42">
        <v>6</v>
      </c>
      <c r="M2355" s="43"/>
      <c r="N2355" s="1" t="e">
        <f>VLOOKUP(B2355,MICRO!E:L,8,0)</f>
        <v>#N/A</v>
      </c>
    </row>
    <row r="2356" spans="1:14" ht="20.25" x14ac:dyDescent="0.25">
      <c r="A2356" s="1">
        <v>108</v>
      </c>
      <c r="B2356" s="159"/>
      <c r="C2356" s="1" t="s">
        <v>2103</v>
      </c>
      <c r="D2356" s="1"/>
      <c r="E2356" s="1"/>
      <c r="F2356" s="1" t="s">
        <v>2394</v>
      </c>
      <c r="G2356" s="1">
        <v>6</v>
      </c>
      <c r="H2356" s="1" t="s">
        <v>19</v>
      </c>
      <c r="I2356" s="1" t="s">
        <v>2126</v>
      </c>
      <c r="J2356" s="1">
        <v>0.03</v>
      </c>
      <c r="K2356" s="1">
        <v>0.18</v>
      </c>
      <c r="L2356" s="42">
        <v>6</v>
      </c>
      <c r="M2356" s="43"/>
      <c r="N2356" s="1" t="e">
        <f>VLOOKUP(B2356,MICRO!E:L,8,0)</f>
        <v>#N/A</v>
      </c>
    </row>
    <row r="2357" spans="1:14" ht="20.25" x14ac:dyDescent="0.25">
      <c r="A2357" s="1">
        <v>109</v>
      </c>
      <c r="B2357" s="159"/>
      <c r="C2357" s="1" t="s">
        <v>2103</v>
      </c>
      <c r="D2357" s="1"/>
      <c r="E2357" s="1"/>
      <c r="F2357" s="1" t="s">
        <v>2395</v>
      </c>
      <c r="G2357" s="1">
        <v>2</v>
      </c>
      <c r="H2357" s="1" t="s">
        <v>19</v>
      </c>
      <c r="I2357" s="1" t="s">
        <v>2126</v>
      </c>
      <c r="J2357" s="1">
        <v>0.03</v>
      </c>
      <c r="K2357" s="1">
        <v>0.06</v>
      </c>
      <c r="L2357" s="42">
        <v>6</v>
      </c>
      <c r="M2357" s="43"/>
      <c r="N2357" s="1" t="e">
        <f>VLOOKUP(B2357,MICRO!E:L,8,0)</f>
        <v>#N/A</v>
      </c>
    </row>
    <row r="2358" spans="1:14" ht="20.25" x14ac:dyDescent="0.25">
      <c r="A2358" s="1">
        <v>110</v>
      </c>
      <c r="B2358" s="159"/>
      <c r="C2358" s="1" t="s">
        <v>2103</v>
      </c>
      <c r="D2358" s="1"/>
      <c r="E2358" s="1"/>
      <c r="F2358" s="1" t="s">
        <v>2396</v>
      </c>
      <c r="G2358" s="1">
        <v>2</v>
      </c>
      <c r="H2358" s="1" t="s">
        <v>19</v>
      </c>
      <c r="I2358" s="1" t="s">
        <v>2126</v>
      </c>
      <c r="J2358" s="1">
        <v>0.02</v>
      </c>
      <c r="K2358" s="1">
        <v>0.04</v>
      </c>
      <c r="L2358" s="42">
        <v>6</v>
      </c>
      <c r="M2358" s="43"/>
      <c r="N2358" s="1" t="e">
        <f>VLOOKUP(B2358,MICRO!E:L,8,0)</f>
        <v>#N/A</v>
      </c>
    </row>
    <row r="2359" spans="1:14" ht="20.25" x14ac:dyDescent="0.25">
      <c r="A2359" s="1">
        <v>111</v>
      </c>
      <c r="B2359" s="159"/>
      <c r="C2359" s="1" t="s">
        <v>2103</v>
      </c>
      <c r="D2359" s="1"/>
      <c r="E2359" s="1"/>
      <c r="F2359" s="1" t="s">
        <v>2397</v>
      </c>
      <c r="G2359" s="1">
        <v>2</v>
      </c>
      <c r="H2359" s="1" t="s">
        <v>19</v>
      </c>
      <c r="I2359" s="1" t="s">
        <v>2126</v>
      </c>
      <c r="J2359" s="1">
        <v>2.5000000000000001E-2</v>
      </c>
      <c r="K2359" s="1">
        <v>0.05</v>
      </c>
      <c r="L2359" s="42">
        <v>6</v>
      </c>
      <c r="M2359" s="43"/>
      <c r="N2359" s="1" t="e">
        <f>VLOOKUP(B2359,MICRO!E:L,8,0)</f>
        <v>#N/A</v>
      </c>
    </row>
    <row r="2360" spans="1:14" ht="20.25" x14ac:dyDescent="0.25">
      <c r="A2360" s="1">
        <v>112</v>
      </c>
      <c r="B2360" s="159"/>
      <c r="C2360" s="1" t="s">
        <v>2103</v>
      </c>
      <c r="D2360" s="1"/>
      <c r="E2360" s="1"/>
      <c r="F2360" s="1" t="s">
        <v>2398</v>
      </c>
      <c r="G2360" s="1">
        <v>2</v>
      </c>
      <c r="H2360" s="1" t="s">
        <v>19</v>
      </c>
      <c r="I2360" s="1" t="s">
        <v>2126</v>
      </c>
      <c r="J2360" s="1">
        <v>0</v>
      </c>
      <c r="K2360" s="1">
        <v>0</v>
      </c>
      <c r="L2360" s="42">
        <v>6</v>
      </c>
      <c r="M2360" s="43"/>
      <c r="N2360" s="1" t="e">
        <f>VLOOKUP(B2360,MICRO!E:L,8,0)</f>
        <v>#N/A</v>
      </c>
    </row>
    <row r="2361" spans="1:14" ht="20.25" x14ac:dyDescent="0.25">
      <c r="A2361" s="1">
        <v>113</v>
      </c>
      <c r="B2361" s="159"/>
      <c r="C2361" s="1" t="s">
        <v>2103</v>
      </c>
      <c r="D2361" s="1"/>
      <c r="E2361" s="1"/>
      <c r="F2361" s="1" t="s">
        <v>2399</v>
      </c>
      <c r="G2361" s="1">
        <v>6</v>
      </c>
      <c r="H2361" s="1" t="s">
        <v>19</v>
      </c>
      <c r="I2361" s="1" t="s">
        <v>2126</v>
      </c>
      <c r="J2361" s="1">
        <v>0.03</v>
      </c>
      <c r="K2361" s="1">
        <v>0.18</v>
      </c>
      <c r="L2361" s="42">
        <v>6</v>
      </c>
      <c r="M2361" s="43"/>
      <c r="N2361" s="1" t="e">
        <f>VLOOKUP(B2361,MICRO!E:L,8,0)</f>
        <v>#N/A</v>
      </c>
    </row>
    <row r="2362" spans="1:14" ht="20.25" x14ac:dyDescent="0.25">
      <c r="A2362" s="1">
        <v>114</v>
      </c>
      <c r="B2362" s="159"/>
      <c r="C2362" s="1" t="s">
        <v>2103</v>
      </c>
      <c r="D2362" s="1"/>
      <c r="E2362" s="1"/>
      <c r="F2362" s="1" t="s">
        <v>2400</v>
      </c>
      <c r="G2362" s="1">
        <v>2</v>
      </c>
      <c r="H2362" s="1" t="s">
        <v>19</v>
      </c>
      <c r="I2362" s="1" t="s">
        <v>2126</v>
      </c>
      <c r="J2362" s="1">
        <v>0.02</v>
      </c>
      <c r="K2362" s="1">
        <v>0.04</v>
      </c>
      <c r="L2362" s="42">
        <v>6</v>
      </c>
      <c r="M2362" s="43"/>
      <c r="N2362" s="1" t="e">
        <f>VLOOKUP(B2362,MICRO!E:L,8,0)</f>
        <v>#N/A</v>
      </c>
    </row>
    <row r="2363" spans="1:14" ht="20.25" x14ac:dyDescent="0.25">
      <c r="A2363" s="1">
        <v>115</v>
      </c>
      <c r="B2363" s="159"/>
      <c r="C2363" s="1" t="s">
        <v>2103</v>
      </c>
      <c r="D2363" s="1"/>
      <c r="E2363" s="1"/>
      <c r="F2363" s="1" t="s">
        <v>2401</v>
      </c>
      <c r="G2363" s="1">
        <v>2</v>
      </c>
      <c r="H2363" s="1" t="s">
        <v>19</v>
      </c>
      <c r="I2363" s="1" t="s">
        <v>2126</v>
      </c>
      <c r="J2363" s="1">
        <v>0.03</v>
      </c>
      <c r="K2363" s="1">
        <v>0.06</v>
      </c>
      <c r="L2363" s="42">
        <v>6</v>
      </c>
      <c r="M2363" s="43"/>
      <c r="N2363" s="1" t="e">
        <f>VLOOKUP(B2363,MICRO!E:L,8,0)</f>
        <v>#N/A</v>
      </c>
    </row>
    <row r="2364" spans="1:14" ht="20.25" x14ac:dyDescent="0.25">
      <c r="A2364" s="1">
        <v>116</v>
      </c>
      <c r="B2364" s="159"/>
      <c r="C2364" s="1" t="s">
        <v>2103</v>
      </c>
      <c r="D2364" s="1"/>
      <c r="E2364" s="1"/>
      <c r="F2364" s="1" t="s">
        <v>2402</v>
      </c>
      <c r="G2364" s="1">
        <v>4</v>
      </c>
      <c r="H2364" s="1" t="s">
        <v>1253</v>
      </c>
      <c r="I2364" s="1" t="s">
        <v>2126</v>
      </c>
      <c r="J2364" s="1">
        <v>0.9</v>
      </c>
      <c r="K2364" s="1">
        <v>3.6</v>
      </c>
      <c r="L2364" s="42">
        <v>6</v>
      </c>
      <c r="M2364" s="43"/>
      <c r="N2364" s="1" t="e">
        <f>VLOOKUP(B2364,MICRO!E:L,8,0)</f>
        <v>#N/A</v>
      </c>
    </row>
    <row r="2365" spans="1:14" ht="20.25" x14ac:dyDescent="0.25">
      <c r="A2365" s="1">
        <v>117</v>
      </c>
      <c r="B2365" s="159"/>
      <c r="C2365" s="1" t="s">
        <v>2103</v>
      </c>
      <c r="D2365" s="1"/>
      <c r="E2365" s="1"/>
      <c r="F2365" s="1" t="s">
        <v>2403</v>
      </c>
      <c r="G2365" s="1">
        <v>15</v>
      </c>
      <c r="H2365" s="1" t="s">
        <v>19</v>
      </c>
      <c r="I2365" s="1" t="s">
        <v>2126</v>
      </c>
      <c r="J2365" s="1">
        <v>0.02</v>
      </c>
      <c r="K2365" s="1">
        <v>0.3</v>
      </c>
      <c r="L2365" s="42">
        <v>6</v>
      </c>
      <c r="M2365" s="43"/>
      <c r="N2365" s="1" t="e">
        <f>VLOOKUP(B2365,MICRO!E:L,8,0)</f>
        <v>#N/A</v>
      </c>
    </row>
    <row r="2366" spans="1:14" ht="20.25" x14ac:dyDescent="0.25">
      <c r="A2366" s="1">
        <v>118</v>
      </c>
      <c r="B2366" s="159"/>
      <c r="C2366" s="1" t="s">
        <v>2103</v>
      </c>
      <c r="D2366" s="1"/>
      <c r="E2366" s="1"/>
      <c r="F2366" s="1" t="s">
        <v>2404</v>
      </c>
      <c r="G2366" s="1">
        <v>10</v>
      </c>
      <c r="H2366" s="1" t="s">
        <v>19</v>
      </c>
      <c r="I2366" s="1" t="s">
        <v>2126</v>
      </c>
      <c r="J2366" s="1">
        <v>0.02</v>
      </c>
      <c r="K2366" s="1">
        <v>0.2</v>
      </c>
      <c r="L2366" s="42">
        <v>6</v>
      </c>
      <c r="M2366" s="43"/>
      <c r="N2366" s="1" t="e">
        <f>VLOOKUP(B2366,MICRO!E:L,8,0)</f>
        <v>#N/A</v>
      </c>
    </row>
    <row r="2367" spans="1:14" ht="20.25" x14ac:dyDescent="0.25">
      <c r="A2367" s="1">
        <v>119</v>
      </c>
      <c r="B2367" s="159"/>
      <c r="C2367" s="1" t="s">
        <v>2103</v>
      </c>
      <c r="D2367" s="1"/>
      <c r="E2367" s="1"/>
      <c r="F2367" s="1" t="s">
        <v>2405</v>
      </c>
      <c r="G2367" s="1">
        <v>18</v>
      </c>
      <c r="H2367" s="1" t="s">
        <v>19</v>
      </c>
      <c r="I2367" s="1" t="s">
        <v>2126</v>
      </c>
      <c r="J2367" s="1">
        <v>0.02</v>
      </c>
      <c r="K2367" s="1">
        <v>0.36</v>
      </c>
      <c r="L2367" s="42">
        <v>6</v>
      </c>
      <c r="M2367" s="43"/>
      <c r="N2367" s="1" t="e">
        <f>VLOOKUP(B2367,MICRO!E:L,8,0)</f>
        <v>#N/A</v>
      </c>
    </row>
    <row r="2368" spans="1:14" ht="20.25" x14ac:dyDescent="0.25">
      <c r="A2368" s="1">
        <v>120</v>
      </c>
      <c r="B2368" s="159"/>
      <c r="C2368" s="1" t="s">
        <v>2103</v>
      </c>
      <c r="D2368" s="1"/>
      <c r="E2368" s="1"/>
      <c r="F2368" s="1" t="s">
        <v>2352</v>
      </c>
      <c r="G2368" s="1">
        <v>35</v>
      </c>
      <c r="H2368" s="1" t="s">
        <v>1253</v>
      </c>
      <c r="I2368" s="1" t="s">
        <v>2126</v>
      </c>
      <c r="J2368" s="1">
        <v>0.6</v>
      </c>
      <c r="K2368" s="1">
        <v>21</v>
      </c>
      <c r="L2368" s="42">
        <v>6</v>
      </c>
      <c r="M2368" s="43"/>
      <c r="N2368" s="1" t="e">
        <f>VLOOKUP(B2368,MICRO!E:L,8,0)</f>
        <v>#N/A</v>
      </c>
    </row>
    <row r="2369" spans="1:14" ht="20.25" x14ac:dyDescent="0.25">
      <c r="A2369" s="1">
        <v>121</v>
      </c>
      <c r="B2369" s="159"/>
      <c r="C2369" s="1" t="s">
        <v>2103</v>
      </c>
      <c r="D2369" s="1"/>
      <c r="E2369" s="1"/>
      <c r="F2369" s="1" t="s">
        <v>2406</v>
      </c>
      <c r="G2369" s="1">
        <v>36</v>
      </c>
      <c r="H2369" s="1" t="s">
        <v>1253</v>
      </c>
      <c r="I2369" s="1" t="s">
        <v>2126</v>
      </c>
      <c r="J2369" s="1">
        <v>0.8</v>
      </c>
      <c r="K2369" s="1">
        <v>28.8</v>
      </c>
      <c r="L2369" s="42">
        <v>6</v>
      </c>
      <c r="M2369" s="43"/>
      <c r="N2369" s="1" t="e">
        <f>VLOOKUP(B2369,MICRO!E:L,8,0)</f>
        <v>#N/A</v>
      </c>
    </row>
    <row r="2370" spans="1:14" ht="20.25" x14ac:dyDescent="0.25">
      <c r="A2370" s="1">
        <v>122</v>
      </c>
      <c r="B2370" s="159"/>
      <c r="C2370" s="1" t="s">
        <v>2103</v>
      </c>
      <c r="D2370" s="1"/>
      <c r="E2370" s="1"/>
      <c r="F2370" s="1" t="s">
        <v>2407</v>
      </c>
      <c r="G2370" s="1">
        <v>2</v>
      </c>
      <c r="H2370" s="1" t="s">
        <v>19</v>
      </c>
      <c r="I2370" s="1" t="s">
        <v>2126</v>
      </c>
      <c r="J2370" s="1">
        <v>1</v>
      </c>
      <c r="K2370" s="1">
        <v>2</v>
      </c>
      <c r="L2370" s="42">
        <v>6</v>
      </c>
      <c r="M2370" s="43"/>
      <c r="N2370" s="1" t="e">
        <f>VLOOKUP(B2370,MICRO!E:L,8,0)</f>
        <v>#N/A</v>
      </c>
    </row>
    <row r="2371" spans="1:14" ht="20.25" x14ac:dyDescent="0.25">
      <c r="A2371" s="1">
        <v>123</v>
      </c>
      <c r="B2371" s="159"/>
      <c r="C2371" s="1" t="s">
        <v>2103</v>
      </c>
      <c r="D2371" s="1"/>
      <c r="E2371" s="1"/>
      <c r="F2371" s="1" t="s">
        <v>2408</v>
      </c>
      <c r="G2371" s="1">
        <v>6</v>
      </c>
      <c r="H2371" s="1" t="s">
        <v>1253</v>
      </c>
      <c r="I2371" s="1" t="s">
        <v>2126</v>
      </c>
      <c r="J2371" s="1">
        <v>0.4</v>
      </c>
      <c r="K2371" s="1">
        <v>2.4000000000000004</v>
      </c>
      <c r="L2371" s="42">
        <v>6</v>
      </c>
      <c r="M2371" s="43"/>
      <c r="N2371" s="1" t="e">
        <f>VLOOKUP(B2371,MICRO!E:L,8,0)</f>
        <v>#N/A</v>
      </c>
    </row>
    <row r="2372" spans="1:14" ht="20.25" x14ac:dyDescent="0.25">
      <c r="A2372" s="1">
        <v>124</v>
      </c>
      <c r="B2372" s="159"/>
      <c r="C2372" s="1" t="s">
        <v>2103</v>
      </c>
      <c r="D2372" s="1"/>
      <c r="E2372" s="1"/>
      <c r="F2372" s="1" t="s">
        <v>2409</v>
      </c>
      <c r="G2372" s="1">
        <v>6</v>
      </c>
      <c r="H2372" s="1" t="s">
        <v>1253</v>
      </c>
      <c r="I2372" s="1" t="s">
        <v>2126</v>
      </c>
      <c r="J2372" s="1">
        <v>0.2</v>
      </c>
      <c r="K2372" s="1">
        <v>1.2000000000000002</v>
      </c>
      <c r="L2372" s="42">
        <v>6</v>
      </c>
      <c r="M2372" s="43"/>
      <c r="N2372" s="1" t="e">
        <f>VLOOKUP(B2372,MICRO!E:L,8,0)</f>
        <v>#N/A</v>
      </c>
    </row>
    <row r="2373" spans="1:14" ht="20.25" x14ac:dyDescent="0.25">
      <c r="A2373" s="1">
        <v>125</v>
      </c>
      <c r="B2373" s="159"/>
      <c r="C2373" s="1" t="s">
        <v>2103</v>
      </c>
      <c r="D2373" s="1"/>
      <c r="E2373" s="1"/>
      <c r="F2373" s="1" t="s">
        <v>2410</v>
      </c>
      <c r="G2373" s="1">
        <v>5</v>
      </c>
      <c r="H2373" s="1" t="s">
        <v>1253</v>
      </c>
      <c r="I2373" s="1" t="s">
        <v>2126</v>
      </c>
      <c r="J2373" s="1">
        <v>0.5</v>
      </c>
      <c r="K2373" s="1">
        <v>2.5</v>
      </c>
      <c r="L2373" s="42">
        <v>6</v>
      </c>
      <c r="M2373" s="43"/>
      <c r="N2373" s="1" t="e">
        <f>VLOOKUP(B2373,MICRO!E:L,8,0)</f>
        <v>#N/A</v>
      </c>
    </row>
    <row r="2374" spans="1:14" ht="20.25" x14ac:dyDescent="0.25">
      <c r="A2374" s="1">
        <v>126</v>
      </c>
      <c r="B2374" s="159"/>
      <c r="C2374" s="1" t="s">
        <v>2108</v>
      </c>
      <c r="D2374" s="1"/>
      <c r="E2374" s="1"/>
      <c r="F2374" s="1" t="s">
        <v>2411</v>
      </c>
      <c r="G2374" s="1">
        <v>50</v>
      </c>
      <c r="H2374" s="1" t="s">
        <v>1253</v>
      </c>
      <c r="I2374" s="1" t="s">
        <v>2412</v>
      </c>
      <c r="J2374" s="1">
        <v>0.6</v>
      </c>
      <c r="K2374" s="1">
        <v>30</v>
      </c>
      <c r="L2374" s="42">
        <v>6</v>
      </c>
      <c r="M2374" s="43"/>
      <c r="N2374" s="1" t="e">
        <f>VLOOKUP(B2374,MICRO!E:L,8,0)</f>
        <v>#N/A</v>
      </c>
    </row>
    <row r="2375" spans="1:14" ht="20.25" x14ac:dyDescent="0.25">
      <c r="A2375" s="1">
        <v>127</v>
      </c>
      <c r="B2375" s="159"/>
      <c r="C2375" s="1" t="s">
        <v>2108</v>
      </c>
      <c r="D2375" s="1"/>
      <c r="E2375" s="1"/>
      <c r="F2375" s="1" t="s">
        <v>2413</v>
      </c>
      <c r="G2375" s="1">
        <v>4</v>
      </c>
      <c r="H2375" s="1" t="s">
        <v>1253</v>
      </c>
      <c r="I2375" s="1" t="s">
        <v>2412</v>
      </c>
      <c r="J2375" s="1">
        <v>0.5</v>
      </c>
      <c r="K2375" s="1">
        <v>2</v>
      </c>
      <c r="L2375" s="42">
        <v>6</v>
      </c>
      <c r="M2375" s="43"/>
      <c r="N2375" s="1" t="e">
        <f>VLOOKUP(B2375,MICRO!E:L,8,0)</f>
        <v>#N/A</v>
      </c>
    </row>
    <row r="2376" spans="1:14" ht="20.25" x14ac:dyDescent="0.25">
      <c r="A2376" s="1">
        <v>128</v>
      </c>
      <c r="B2376" s="159"/>
      <c r="C2376" s="1" t="s">
        <v>2108</v>
      </c>
      <c r="D2376" s="1"/>
      <c r="E2376" s="1"/>
      <c r="F2376" s="1" t="s">
        <v>2414</v>
      </c>
      <c r="G2376" s="1">
        <v>52</v>
      </c>
      <c r="H2376" s="1" t="s">
        <v>1253</v>
      </c>
      <c r="I2376" s="1" t="s">
        <v>2412</v>
      </c>
      <c r="J2376" s="1">
        <v>0.7</v>
      </c>
      <c r="K2376" s="1">
        <v>36.4</v>
      </c>
      <c r="L2376" s="42">
        <v>6</v>
      </c>
      <c r="M2376" s="43"/>
      <c r="N2376" s="1" t="e">
        <f>VLOOKUP(B2376,MICRO!E:L,8,0)</f>
        <v>#N/A</v>
      </c>
    </row>
    <row r="2377" spans="1:14" ht="20.25" x14ac:dyDescent="0.25">
      <c r="A2377" s="1">
        <v>129</v>
      </c>
      <c r="B2377" s="159"/>
      <c r="C2377" s="1" t="s">
        <v>2108</v>
      </c>
      <c r="D2377" s="1"/>
      <c r="E2377" s="1"/>
      <c r="F2377" s="1" t="s">
        <v>2415</v>
      </c>
      <c r="G2377" s="1">
        <v>5</v>
      </c>
      <c r="H2377" s="1" t="s">
        <v>19</v>
      </c>
      <c r="I2377" s="1" t="s">
        <v>2412</v>
      </c>
      <c r="J2377" s="1">
        <v>0.02</v>
      </c>
      <c r="K2377" s="1">
        <v>0.1</v>
      </c>
      <c r="L2377" s="42">
        <v>6</v>
      </c>
      <c r="M2377" s="43"/>
      <c r="N2377" s="1" t="e">
        <f>VLOOKUP(B2377,MICRO!E:L,8,0)</f>
        <v>#N/A</v>
      </c>
    </row>
    <row r="2378" spans="1:14" ht="20.25" x14ac:dyDescent="0.25">
      <c r="A2378" s="1">
        <v>130</v>
      </c>
      <c r="B2378" s="159"/>
      <c r="C2378" s="1" t="s">
        <v>2108</v>
      </c>
      <c r="D2378" s="1"/>
      <c r="E2378" s="1"/>
      <c r="F2378" s="1" t="s">
        <v>2416</v>
      </c>
      <c r="G2378" s="1">
        <v>20</v>
      </c>
      <c r="H2378" s="1" t="s">
        <v>19</v>
      </c>
      <c r="I2378" s="1" t="s">
        <v>2412</v>
      </c>
      <c r="J2378" s="1">
        <v>0.02</v>
      </c>
      <c r="K2378" s="1">
        <v>0.4</v>
      </c>
      <c r="L2378" s="42">
        <v>6</v>
      </c>
      <c r="M2378" s="43"/>
      <c r="N2378" s="1" t="e">
        <f>VLOOKUP(B2378,MICRO!E:L,8,0)</f>
        <v>#N/A</v>
      </c>
    </row>
    <row r="2379" spans="1:14" ht="20.25" x14ac:dyDescent="0.25">
      <c r="A2379" s="1">
        <v>131</v>
      </c>
      <c r="B2379" s="159"/>
      <c r="C2379" s="1" t="s">
        <v>2108</v>
      </c>
      <c r="D2379" s="1"/>
      <c r="E2379" s="1"/>
      <c r="F2379" s="1" t="s">
        <v>2417</v>
      </c>
      <c r="G2379" s="1">
        <v>6</v>
      </c>
      <c r="H2379" s="1" t="s">
        <v>19</v>
      </c>
      <c r="I2379" s="1" t="s">
        <v>2412</v>
      </c>
      <c r="J2379" s="1">
        <v>0.02</v>
      </c>
      <c r="K2379" s="1">
        <v>0.12</v>
      </c>
      <c r="L2379" s="42">
        <v>6</v>
      </c>
      <c r="M2379" s="43"/>
      <c r="N2379" s="1" t="e">
        <f>VLOOKUP(B2379,MICRO!E:L,8,0)</f>
        <v>#N/A</v>
      </c>
    </row>
    <row r="2380" spans="1:14" ht="20.25" x14ac:dyDescent="0.25">
      <c r="A2380" s="1">
        <v>132</v>
      </c>
      <c r="B2380" s="159"/>
      <c r="C2380" s="1" t="s">
        <v>2108</v>
      </c>
      <c r="D2380" s="1"/>
      <c r="E2380" s="1"/>
      <c r="F2380" s="1" t="s">
        <v>2418</v>
      </c>
      <c r="G2380" s="1">
        <v>15</v>
      </c>
      <c r="H2380" s="1" t="s">
        <v>19</v>
      </c>
      <c r="I2380" s="1" t="s">
        <v>2412</v>
      </c>
      <c r="J2380" s="1">
        <v>0.02</v>
      </c>
      <c r="K2380" s="1">
        <v>0.3</v>
      </c>
      <c r="L2380" s="42">
        <v>6</v>
      </c>
      <c r="M2380" s="43"/>
      <c r="N2380" s="1" t="e">
        <f>VLOOKUP(B2380,MICRO!E:L,8,0)</f>
        <v>#N/A</v>
      </c>
    </row>
    <row r="2381" spans="1:14" ht="20.25" x14ac:dyDescent="0.25">
      <c r="A2381" s="1">
        <v>133</v>
      </c>
      <c r="B2381" s="159"/>
      <c r="C2381" s="1" t="s">
        <v>2108</v>
      </c>
      <c r="D2381" s="1"/>
      <c r="E2381" s="1"/>
      <c r="F2381" s="1" t="s">
        <v>2419</v>
      </c>
      <c r="G2381" s="1">
        <v>6</v>
      </c>
      <c r="H2381" s="1" t="s">
        <v>1253</v>
      </c>
      <c r="I2381" s="1" t="s">
        <v>2412</v>
      </c>
      <c r="J2381" s="1">
        <v>0.8</v>
      </c>
      <c r="K2381" s="1">
        <v>4.8000000000000007</v>
      </c>
      <c r="L2381" s="42">
        <v>6</v>
      </c>
      <c r="M2381" s="43"/>
      <c r="N2381" s="1" t="e">
        <f>VLOOKUP(B2381,MICRO!E:L,8,0)</f>
        <v>#N/A</v>
      </c>
    </row>
    <row r="2382" spans="1:14" ht="20.25" x14ac:dyDescent="0.25">
      <c r="A2382" s="1">
        <v>134</v>
      </c>
      <c r="B2382" s="159"/>
      <c r="C2382" s="1" t="s">
        <v>2108</v>
      </c>
      <c r="D2382" s="1"/>
      <c r="E2382" s="1"/>
      <c r="F2382" s="1" t="s">
        <v>2420</v>
      </c>
      <c r="G2382" s="1">
        <v>2</v>
      </c>
      <c r="H2382" s="1" t="s">
        <v>19</v>
      </c>
      <c r="I2382" s="1" t="s">
        <v>2412</v>
      </c>
      <c r="J2382" s="1">
        <v>1</v>
      </c>
      <c r="K2382" s="1">
        <v>2</v>
      </c>
      <c r="L2382" s="42">
        <v>6</v>
      </c>
      <c r="M2382" s="43"/>
      <c r="N2382" s="1" t="e">
        <f>VLOOKUP(B2382,MICRO!E:L,8,0)</f>
        <v>#N/A</v>
      </c>
    </row>
    <row r="2383" spans="1:14" ht="20.25" x14ac:dyDescent="0.25">
      <c r="A2383" s="1">
        <v>135</v>
      </c>
      <c r="B2383" s="159"/>
      <c r="C2383" s="1" t="s">
        <v>2108</v>
      </c>
      <c r="D2383" s="1"/>
      <c r="E2383" s="1"/>
      <c r="F2383" s="1" t="s">
        <v>2421</v>
      </c>
      <c r="G2383" s="1">
        <v>10</v>
      </c>
      <c r="H2383" s="1" t="s">
        <v>1253</v>
      </c>
      <c r="I2383" s="1" t="s">
        <v>2412</v>
      </c>
      <c r="J2383" s="1">
        <v>0.5</v>
      </c>
      <c r="K2383" s="1">
        <v>5</v>
      </c>
      <c r="L2383" s="42">
        <v>6</v>
      </c>
      <c r="M2383" s="43"/>
      <c r="N2383" s="1" t="e">
        <f>VLOOKUP(B2383,MICRO!E:L,8,0)</f>
        <v>#N/A</v>
      </c>
    </row>
    <row r="2384" spans="1:14" ht="20.25" x14ac:dyDescent="0.25">
      <c r="A2384" s="1">
        <v>136</v>
      </c>
      <c r="B2384" s="159"/>
      <c r="C2384" s="1" t="s">
        <v>2108</v>
      </c>
      <c r="D2384" s="1"/>
      <c r="E2384" s="1"/>
      <c r="F2384" s="1" t="s">
        <v>2422</v>
      </c>
      <c r="G2384" s="1">
        <v>2</v>
      </c>
      <c r="H2384" s="1" t="s">
        <v>19</v>
      </c>
      <c r="I2384" s="1" t="s">
        <v>2412</v>
      </c>
      <c r="J2384" s="1">
        <v>0.02</v>
      </c>
      <c r="K2384" s="1">
        <v>0.04</v>
      </c>
      <c r="L2384" s="42">
        <v>6</v>
      </c>
      <c r="M2384" s="43"/>
      <c r="N2384" s="1" t="e">
        <f>VLOOKUP(B2384,MICRO!E:L,8,0)</f>
        <v>#N/A</v>
      </c>
    </row>
    <row r="2385" spans="1:14" ht="20.25" x14ac:dyDescent="0.25">
      <c r="A2385" s="1">
        <v>137</v>
      </c>
      <c r="B2385" s="159"/>
      <c r="C2385" s="1" t="s">
        <v>2108</v>
      </c>
      <c r="D2385" s="1"/>
      <c r="E2385" s="1"/>
      <c r="F2385" s="1" t="s">
        <v>2423</v>
      </c>
      <c r="G2385" s="1">
        <v>3</v>
      </c>
      <c r="H2385" s="1" t="s">
        <v>19</v>
      </c>
      <c r="I2385" s="1" t="s">
        <v>2412</v>
      </c>
      <c r="J2385" s="1">
        <v>0.05</v>
      </c>
      <c r="K2385" s="1">
        <v>0.15000000000000002</v>
      </c>
      <c r="L2385" s="42">
        <v>6</v>
      </c>
      <c r="M2385" s="43"/>
      <c r="N2385" s="1" t="e">
        <f>VLOOKUP(B2385,MICRO!E:L,8,0)</f>
        <v>#N/A</v>
      </c>
    </row>
    <row r="2386" spans="1:14" ht="20.25" x14ac:dyDescent="0.25">
      <c r="A2386" s="1">
        <v>138</v>
      </c>
      <c r="B2386" s="159"/>
      <c r="C2386" s="1" t="s">
        <v>2108</v>
      </c>
      <c r="D2386" s="1"/>
      <c r="E2386" s="1"/>
      <c r="F2386" s="1" t="s">
        <v>2424</v>
      </c>
      <c r="G2386" s="1">
        <v>2</v>
      </c>
      <c r="H2386" s="1" t="s">
        <v>19</v>
      </c>
      <c r="I2386" s="1" t="s">
        <v>2412</v>
      </c>
      <c r="J2386" s="1">
        <v>0.03</v>
      </c>
      <c r="K2386" s="1">
        <v>0.06</v>
      </c>
      <c r="L2386" s="42">
        <v>6</v>
      </c>
      <c r="M2386" s="43"/>
      <c r="N2386" s="1" t="e">
        <f>VLOOKUP(B2386,MICRO!E:L,8,0)</f>
        <v>#N/A</v>
      </c>
    </row>
    <row r="2387" spans="1:14" ht="20.25" x14ac:dyDescent="0.25">
      <c r="A2387" s="1">
        <v>139</v>
      </c>
      <c r="B2387" s="159"/>
      <c r="C2387" s="1" t="s">
        <v>2108</v>
      </c>
      <c r="D2387" s="1"/>
      <c r="E2387" s="1"/>
      <c r="F2387" s="1" t="s">
        <v>2425</v>
      </c>
      <c r="G2387" s="1">
        <v>5</v>
      </c>
      <c r="H2387" s="1" t="s">
        <v>19</v>
      </c>
      <c r="I2387" s="1" t="s">
        <v>2412</v>
      </c>
      <c r="J2387" s="1">
        <v>0.02</v>
      </c>
      <c r="K2387" s="1">
        <v>0.1</v>
      </c>
      <c r="L2387" s="42">
        <v>6</v>
      </c>
      <c r="M2387" s="43"/>
      <c r="N2387" s="1" t="e">
        <f>VLOOKUP(B2387,MICRO!E:L,8,0)</f>
        <v>#N/A</v>
      </c>
    </row>
    <row r="2388" spans="1:14" ht="20.25" x14ac:dyDescent="0.25">
      <c r="A2388" s="1">
        <v>140</v>
      </c>
      <c r="B2388" s="159"/>
      <c r="C2388" s="1" t="s">
        <v>2108</v>
      </c>
      <c r="D2388" s="1"/>
      <c r="E2388" s="1"/>
      <c r="F2388" s="1" t="s">
        <v>2426</v>
      </c>
      <c r="G2388" s="1">
        <v>2</v>
      </c>
      <c r="H2388" s="1" t="s">
        <v>19</v>
      </c>
      <c r="I2388" s="1" t="s">
        <v>2412</v>
      </c>
      <c r="J2388" s="1">
        <v>0.03</v>
      </c>
      <c r="K2388" s="1">
        <v>0.06</v>
      </c>
      <c r="L2388" s="42">
        <v>6</v>
      </c>
      <c r="M2388" s="43"/>
      <c r="N2388" s="1" t="e">
        <f>VLOOKUP(B2388,MICRO!E:L,8,0)</f>
        <v>#N/A</v>
      </c>
    </row>
    <row r="2389" spans="1:14" ht="20.25" x14ac:dyDescent="0.25">
      <c r="A2389" s="1">
        <v>141</v>
      </c>
      <c r="B2389" s="159"/>
      <c r="C2389" s="1" t="s">
        <v>2108</v>
      </c>
      <c r="D2389" s="1"/>
      <c r="E2389" s="1"/>
      <c r="F2389" s="1" t="s">
        <v>2427</v>
      </c>
      <c r="G2389" s="1">
        <v>5</v>
      </c>
      <c r="H2389" s="1" t="s">
        <v>19</v>
      </c>
      <c r="I2389" s="1" t="s">
        <v>2412</v>
      </c>
      <c r="J2389" s="1">
        <v>0.02</v>
      </c>
      <c r="K2389" s="1">
        <v>0.1</v>
      </c>
      <c r="L2389" s="42">
        <v>6</v>
      </c>
      <c r="M2389" s="43"/>
      <c r="N2389" s="1" t="e">
        <f>VLOOKUP(B2389,MICRO!E:L,8,0)</f>
        <v>#N/A</v>
      </c>
    </row>
    <row r="2390" spans="1:14" ht="20.25" x14ac:dyDescent="0.25">
      <c r="A2390" s="1">
        <v>142</v>
      </c>
      <c r="B2390" s="159"/>
      <c r="C2390" s="1" t="s">
        <v>2108</v>
      </c>
      <c r="D2390" s="1"/>
      <c r="E2390" s="1"/>
      <c r="F2390" s="1" t="s">
        <v>2428</v>
      </c>
      <c r="G2390" s="1">
        <v>2</v>
      </c>
      <c r="H2390" s="1" t="s">
        <v>19</v>
      </c>
      <c r="I2390" s="1" t="s">
        <v>2412</v>
      </c>
      <c r="J2390" s="1">
        <v>0.02</v>
      </c>
      <c r="K2390" s="1">
        <v>0.04</v>
      </c>
      <c r="L2390" s="42">
        <v>6</v>
      </c>
      <c r="M2390" s="43"/>
      <c r="N2390" s="1" t="e">
        <f>VLOOKUP(B2390,MICRO!E:L,8,0)</f>
        <v>#N/A</v>
      </c>
    </row>
    <row r="2391" spans="1:14" ht="20.25" x14ac:dyDescent="0.25">
      <c r="A2391" s="1">
        <v>143</v>
      </c>
      <c r="B2391" s="159"/>
      <c r="C2391" s="1" t="s">
        <v>2108</v>
      </c>
      <c r="D2391" s="1"/>
      <c r="E2391" s="1"/>
      <c r="F2391" s="1" t="s">
        <v>2429</v>
      </c>
      <c r="G2391" s="1">
        <v>2</v>
      </c>
      <c r="H2391" s="1" t="s">
        <v>19</v>
      </c>
      <c r="I2391" s="1" t="s">
        <v>2412</v>
      </c>
      <c r="J2391" s="1">
        <v>0.03</v>
      </c>
      <c r="K2391" s="1">
        <v>0.06</v>
      </c>
      <c r="L2391" s="42">
        <v>6</v>
      </c>
      <c r="M2391" s="43"/>
      <c r="N2391" s="1" t="e">
        <f>VLOOKUP(B2391,MICRO!E:L,8,0)</f>
        <v>#N/A</v>
      </c>
    </row>
    <row r="2392" spans="1:14" ht="20.25" x14ac:dyDescent="0.25">
      <c r="A2392" s="1">
        <v>144</v>
      </c>
      <c r="B2392" s="159"/>
      <c r="C2392" s="1" t="s">
        <v>2108</v>
      </c>
      <c r="D2392" s="1"/>
      <c r="E2392" s="1"/>
      <c r="F2392" s="1" t="s">
        <v>2430</v>
      </c>
      <c r="G2392" s="1">
        <v>2</v>
      </c>
      <c r="H2392" s="1" t="s">
        <v>19</v>
      </c>
      <c r="I2392" s="1" t="s">
        <v>2412</v>
      </c>
      <c r="J2392" s="1">
        <v>0.02</v>
      </c>
      <c r="K2392" s="1">
        <v>0.04</v>
      </c>
      <c r="L2392" s="42">
        <v>6</v>
      </c>
      <c r="M2392" s="43"/>
      <c r="N2392" s="1" t="e">
        <f>VLOOKUP(B2392,MICRO!E:L,8,0)</f>
        <v>#N/A</v>
      </c>
    </row>
    <row r="2393" spans="1:14" ht="20.25" x14ac:dyDescent="0.25">
      <c r="A2393" s="1">
        <v>145</v>
      </c>
      <c r="B2393" s="159"/>
      <c r="C2393" s="1" t="s">
        <v>2108</v>
      </c>
      <c r="D2393" s="1"/>
      <c r="E2393" s="1"/>
      <c r="F2393" s="1" t="s">
        <v>2431</v>
      </c>
      <c r="G2393" s="1">
        <v>2</v>
      </c>
      <c r="H2393" s="1" t="s">
        <v>19</v>
      </c>
      <c r="I2393" s="1" t="s">
        <v>2412</v>
      </c>
      <c r="J2393" s="1">
        <v>0.03</v>
      </c>
      <c r="K2393" s="1">
        <v>0.06</v>
      </c>
      <c r="L2393" s="42">
        <v>6</v>
      </c>
      <c r="M2393" s="43"/>
      <c r="N2393" s="1" t="e">
        <f>VLOOKUP(B2393,MICRO!E:L,8,0)</f>
        <v>#N/A</v>
      </c>
    </row>
    <row r="2394" spans="1:14" ht="20.25" x14ac:dyDescent="0.25">
      <c r="A2394" s="1">
        <v>146</v>
      </c>
      <c r="B2394" s="159"/>
      <c r="C2394" s="1" t="s">
        <v>2108</v>
      </c>
      <c r="D2394" s="1"/>
      <c r="E2394" s="1"/>
      <c r="F2394" s="1" t="s">
        <v>2432</v>
      </c>
      <c r="G2394" s="1">
        <v>4</v>
      </c>
      <c r="H2394" s="1" t="s">
        <v>19</v>
      </c>
      <c r="I2394" s="1" t="s">
        <v>2412</v>
      </c>
      <c r="J2394" s="1">
        <v>0.04</v>
      </c>
      <c r="K2394" s="1">
        <v>0.16</v>
      </c>
      <c r="L2394" s="42">
        <v>6</v>
      </c>
      <c r="M2394" s="43"/>
      <c r="N2394" s="1" t="e">
        <f>VLOOKUP(B2394,MICRO!E:L,8,0)</f>
        <v>#N/A</v>
      </c>
    </row>
    <row r="2395" spans="1:14" ht="20.25" x14ac:dyDescent="0.25">
      <c r="A2395" s="1">
        <v>147</v>
      </c>
      <c r="B2395" s="159"/>
      <c r="C2395" s="1" t="s">
        <v>2108</v>
      </c>
      <c r="D2395" s="1"/>
      <c r="E2395" s="1"/>
      <c r="F2395" s="1" t="s">
        <v>2433</v>
      </c>
      <c r="G2395" s="1">
        <v>2</v>
      </c>
      <c r="H2395" s="1" t="s">
        <v>19</v>
      </c>
      <c r="I2395" s="1" t="s">
        <v>2412</v>
      </c>
      <c r="J2395" s="1">
        <v>0.04</v>
      </c>
      <c r="K2395" s="1">
        <v>0.08</v>
      </c>
      <c r="L2395" s="42">
        <v>6</v>
      </c>
      <c r="M2395" s="43"/>
      <c r="N2395" s="1" t="e">
        <f>VLOOKUP(B2395,MICRO!E:L,8,0)</f>
        <v>#N/A</v>
      </c>
    </row>
    <row r="2396" spans="1:14" ht="20.25" x14ac:dyDescent="0.25">
      <c r="A2396" s="1">
        <v>148</v>
      </c>
      <c r="B2396" s="159"/>
      <c r="C2396" s="1" t="s">
        <v>2108</v>
      </c>
      <c r="D2396" s="1"/>
      <c r="E2396" s="1"/>
      <c r="F2396" s="1" t="s">
        <v>2434</v>
      </c>
      <c r="G2396" s="1">
        <v>3</v>
      </c>
      <c r="H2396" s="1" t="s">
        <v>19</v>
      </c>
      <c r="I2396" s="1" t="s">
        <v>2412</v>
      </c>
      <c r="J2396" s="1">
        <v>0.05</v>
      </c>
      <c r="K2396" s="1">
        <v>0.15000000000000002</v>
      </c>
      <c r="L2396" s="42">
        <v>6</v>
      </c>
      <c r="M2396" s="43"/>
      <c r="N2396" s="1" t="e">
        <f>VLOOKUP(B2396,MICRO!E:L,8,0)</f>
        <v>#N/A</v>
      </c>
    </row>
    <row r="2397" spans="1:14" ht="20.25" x14ac:dyDescent="0.25">
      <c r="A2397" s="1">
        <v>149</v>
      </c>
      <c r="B2397" s="159"/>
      <c r="C2397" s="1" t="s">
        <v>1135</v>
      </c>
      <c r="D2397" s="1"/>
      <c r="E2397" s="1" t="s">
        <v>2</v>
      </c>
      <c r="F2397" s="1" t="s">
        <v>1356</v>
      </c>
      <c r="G2397" s="1">
        <v>2</v>
      </c>
      <c r="H2397" s="1" t="s">
        <v>19</v>
      </c>
      <c r="I2397" s="1" t="s">
        <v>423</v>
      </c>
      <c r="J2397" s="1">
        <v>83</v>
      </c>
      <c r="K2397" s="1">
        <v>166</v>
      </c>
      <c r="L2397" s="42">
        <v>6</v>
      </c>
      <c r="M2397" s="43"/>
      <c r="N2397" s="1" t="e">
        <f>VLOOKUP(B2397,MICRO!E:L,8,0)</f>
        <v>#N/A</v>
      </c>
    </row>
    <row r="2398" spans="1:14" ht="20.25" x14ac:dyDescent="0.25">
      <c r="A2398" s="1">
        <v>150</v>
      </c>
      <c r="B2398" s="159"/>
      <c r="C2398" s="1" t="s">
        <v>1135</v>
      </c>
      <c r="D2398" s="1"/>
      <c r="E2398" s="1" t="s">
        <v>43</v>
      </c>
      <c r="F2398" s="1" t="s">
        <v>1357</v>
      </c>
      <c r="G2398" s="1">
        <v>2</v>
      </c>
      <c r="H2398" s="1" t="s">
        <v>19</v>
      </c>
      <c r="I2398" s="1" t="s">
        <v>424</v>
      </c>
      <c r="J2398" s="1">
        <v>84.2</v>
      </c>
      <c r="K2398" s="1">
        <v>168.4</v>
      </c>
      <c r="L2398" s="42">
        <v>6</v>
      </c>
      <c r="M2398" s="43"/>
      <c r="N2398" s="1" t="e">
        <f>VLOOKUP(B2398,MICRO!E:L,8,0)</f>
        <v>#N/A</v>
      </c>
    </row>
    <row r="2399" spans="1:14" ht="20.25" x14ac:dyDescent="0.25">
      <c r="A2399" s="1">
        <v>151</v>
      </c>
      <c r="B2399" s="159"/>
      <c r="C2399" s="1" t="s">
        <v>1135</v>
      </c>
      <c r="D2399" s="1"/>
      <c r="E2399" s="1" t="s">
        <v>43</v>
      </c>
      <c r="F2399" s="1" t="s">
        <v>1357</v>
      </c>
      <c r="G2399" s="1">
        <v>2</v>
      </c>
      <c r="H2399" s="1" t="s">
        <v>19</v>
      </c>
      <c r="I2399" s="1" t="s">
        <v>425</v>
      </c>
      <c r="J2399" s="1">
        <v>84.2</v>
      </c>
      <c r="K2399" s="1">
        <v>168.4</v>
      </c>
      <c r="L2399" s="42">
        <v>6</v>
      </c>
      <c r="M2399" s="43"/>
      <c r="N2399" s="1" t="e">
        <f>VLOOKUP(B2399,MICRO!E:L,8,0)</f>
        <v>#N/A</v>
      </c>
    </row>
    <row r="2400" spans="1:14" ht="20.25" x14ac:dyDescent="0.25">
      <c r="A2400" s="1">
        <v>152</v>
      </c>
      <c r="B2400" s="159"/>
      <c r="C2400" s="1" t="s">
        <v>1135</v>
      </c>
      <c r="D2400" s="1"/>
      <c r="E2400" s="1" t="s">
        <v>43</v>
      </c>
      <c r="F2400" s="1" t="s">
        <v>1358</v>
      </c>
      <c r="G2400" s="1">
        <v>2</v>
      </c>
      <c r="H2400" s="1" t="s">
        <v>19</v>
      </c>
      <c r="I2400" s="1" t="s">
        <v>426</v>
      </c>
      <c r="J2400" s="1">
        <v>84.2</v>
      </c>
      <c r="K2400" s="1">
        <v>168.4</v>
      </c>
      <c r="L2400" s="42">
        <v>6</v>
      </c>
      <c r="M2400" s="43"/>
      <c r="N2400" s="1" t="e">
        <f>VLOOKUP(B2400,MICRO!E:L,8,0)</f>
        <v>#N/A</v>
      </c>
    </row>
    <row r="2401" spans="1:14" ht="20.25" x14ac:dyDescent="0.25">
      <c r="A2401" s="1">
        <v>153</v>
      </c>
      <c r="B2401" s="159"/>
      <c r="C2401" s="1" t="s">
        <v>1135</v>
      </c>
      <c r="D2401" s="1"/>
      <c r="E2401" s="1" t="s">
        <v>746</v>
      </c>
      <c r="F2401" s="1" t="s">
        <v>1359</v>
      </c>
      <c r="G2401" s="1">
        <v>2</v>
      </c>
      <c r="H2401" s="1" t="s">
        <v>19</v>
      </c>
      <c r="I2401" s="1" t="s">
        <v>427</v>
      </c>
      <c r="J2401" s="1">
        <v>82.6</v>
      </c>
      <c r="K2401" s="1">
        <v>165.2</v>
      </c>
      <c r="L2401" s="42">
        <v>6</v>
      </c>
      <c r="M2401" s="43"/>
      <c r="N2401" s="1" t="e">
        <f>VLOOKUP(B2401,MICRO!E:L,8,0)</f>
        <v>#N/A</v>
      </c>
    </row>
    <row r="2402" spans="1:14" ht="20.25" x14ac:dyDescent="0.25">
      <c r="A2402" s="1">
        <v>154</v>
      </c>
      <c r="B2402" s="159">
        <v>2262</v>
      </c>
      <c r="C2402" s="1" t="s">
        <v>854</v>
      </c>
      <c r="D2402" s="1"/>
      <c r="E2402" s="1" t="s">
        <v>43</v>
      </c>
      <c r="F2402" s="1" t="s">
        <v>826</v>
      </c>
      <c r="G2402" s="1">
        <v>2</v>
      </c>
      <c r="H2402" s="1" t="s">
        <v>19</v>
      </c>
      <c r="I2402" s="1" t="s">
        <v>425</v>
      </c>
      <c r="J2402" s="1">
        <v>11.3</v>
      </c>
      <c r="K2402" s="1">
        <v>22.6</v>
      </c>
      <c r="L2402" s="42">
        <v>6</v>
      </c>
      <c r="M2402" s="43"/>
      <c r="N2402" s="1" t="e">
        <f>VLOOKUP(B2402,MICRO!E:L,8,0)</f>
        <v>#N/A</v>
      </c>
    </row>
    <row r="2403" spans="1:14" ht="20.25" x14ac:dyDescent="0.25">
      <c r="A2403" s="1">
        <v>155</v>
      </c>
      <c r="B2403" s="159">
        <v>2286</v>
      </c>
      <c r="C2403" s="1" t="s">
        <v>854</v>
      </c>
      <c r="D2403" s="1"/>
      <c r="E2403" s="1" t="s">
        <v>1107</v>
      </c>
      <c r="F2403" s="1" t="s">
        <v>838</v>
      </c>
      <c r="G2403" s="1">
        <v>2</v>
      </c>
      <c r="H2403" s="1" t="s">
        <v>19</v>
      </c>
      <c r="I2403" s="1" t="s">
        <v>423</v>
      </c>
      <c r="J2403" s="1">
        <v>7.9</v>
      </c>
      <c r="K2403" s="1">
        <v>15.8</v>
      </c>
      <c r="L2403" s="42">
        <v>6</v>
      </c>
      <c r="M2403" s="43"/>
      <c r="N2403" s="1" t="e">
        <f>VLOOKUP(B2403,MICRO!E:L,8,0)</f>
        <v>#N/A</v>
      </c>
    </row>
    <row r="2404" spans="1:14" ht="20.25" x14ac:dyDescent="0.25">
      <c r="A2404" s="1">
        <v>156</v>
      </c>
      <c r="B2404" s="159">
        <v>2287</v>
      </c>
      <c r="C2404" s="1" t="s">
        <v>854</v>
      </c>
      <c r="D2404" s="1"/>
      <c r="E2404" s="1" t="s">
        <v>1107</v>
      </c>
      <c r="F2404" s="1" t="s">
        <v>838</v>
      </c>
      <c r="G2404" s="1">
        <v>2</v>
      </c>
      <c r="H2404" s="1" t="s">
        <v>19</v>
      </c>
      <c r="I2404" s="1" t="s">
        <v>424</v>
      </c>
      <c r="J2404" s="1">
        <v>7.9</v>
      </c>
      <c r="K2404" s="1">
        <v>15.8</v>
      </c>
      <c r="L2404" s="42">
        <v>6</v>
      </c>
      <c r="M2404" s="43"/>
      <c r="N2404" s="1" t="e">
        <f>VLOOKUP(B2404,MICRO!E:L,8,0)</f>
        <v>#N/A</v>
      </c>
    </row>
    <row r="2405" spans="1:14" ht="20.25" x14ac:dyDescent="0.25">
      <c r="A2405" s="1">
        <v>157</v>
      </c>
      <c r="B2405" s="159">
        <v>2288</v>
      </c>
      <c r="C2405" s="1" t="s">
        <v>854</v>
      </c>
      <c r="D2405" s="1"/>
      <c r="E2405" s="1" t="s">
        <v>1107</v>
      </c>
      <c r="F2405" s="1" t="s">
        <v>838</v>
      </c>
      <c r="G2405" s="1">
        <v>10</v>
      </c>
      <c r="H2405" s="1" t="s">
        <v>19</v>
      </c>
      <c r="I2405" s="1" t="s">
        <v>425</v>
      </c>
      <c r="J2405" s="1">
        <v>7.9</v>
      </c>
      <c r="K2405" s="1">
        <v>79</v>
      </c>
      <c r="L2405" s="42">
        <v>6</v>
      </c>
      <c r="M2405" s="43"/>
      <c r="N2405" s="1" t="e">
        <f>VLOOKUP(B2405,MICRO!E:L,8,0)</f>
        <v>#N/A</v>
      </c>
    </row>
    <row r="2406" spans="1:14" ht="20.25" x14ac:dyDescent="0.25">
      <c r="A2406" s="1">
        <v>158</v>
      </c>
      <c r="B2406" s="159"/>
      <c r="C2406" s="1" t="s">
        <v>854</v>
      </c>
      <c r="D2406" s="1"/>
      <c r="E2406" s="1" t="s">
        <v>746</v>
      </c>
      <c r="F2406" s="1" t="s">
        <v>827</v>
      </c>
      <c r="G2406" s="1">
        <v>1</v>
      </c>
      <c r="H2406" s="1" t="s">
        <v>19</v>
      </c>
      <c r="I2406" s="1" t="s">
        <v>425</v>
      </c>
      <c r="J2406" s="1">
        <v>9.5</v>
      </c>
      <c r="K2406" s="1">
        <v>9.5</v>
      </c>
      <c r="L2406" s="42">
        <v>6</v>
      </c>
      <c r="M2406" s="43"/>
      <c r="N2406" s="1" t="e">
        <f>VLOOKUP(B2406,MICRO!E:L,8,0)</f>
        <v>#N/A</v>
      </c>
    </row>
    <row r="2407" spans="1:14" ht="20.25" x14ac:dyDescent="0.25">
      <c r="A2407" s="1">
        <v>159</v>
      </c>
      <c r="B2407" s="159"/>
      <c r="C2407" s="1" t="s">
        <v>854</v>
      </c>
      <c r="D2407" s="1"/>
      <c r="E2407" s="1" t="s">
        <v>746</v>
      </c>
      <c r="F2407" s="1" t="s">
        <v>827</v>
      </c>
      <c r="G2407" s="1">
        <v>1</v>
      </c>
      <c r="H2407" s="1" t="s">
        <v>19</v>
      </c>
      <c r="I2407" s="1" t="s">
        <v>427</v>
      </c>
      <c r="J2407" s="1">
        <v>9.5</v>
      </c>
      <c r="K2407" s="1">
        <v>9.5</v>
      </c>
      <c r="L2407" s="42">
        <v>6</v>
      </c>
      <c r="M2407" s="43"/>
      <c r="N2407" s="1" t="e">
        <f>VLOOKUP(B2407,MICRO!E:L,8,0)</f>
        <v>#N/A</v>
      </c>
    </row>
    <row r="2408" spans="1:14" ht="20.25" x14ac:dyDescent="0.25">
      <c r="A2408" s="1">
        <v>160</v>
      </c>
      <c r="B2408" s="159"/>
      <c r="C2408" s="1" t="s">
        <v>854</v>
      </c>
      <c r="D2408" s="1"/>
      <c r="E2408" s="1" t="s">
        <v>1101</v>
      </c>
      <c r="F2408" s="1" t="s">
        <v>828</v>
      </c>
      <c r="G2408" s="1">
        <v>1</v>
      </c>
      <c r="H2408" s="1" t="s">
        <v>19</v>
      </c>
      <c r="I2408" s="1" t="s">
        <v>425</v>
      </c>
      <c r="J2408" s="1">
        <v>7.5</v>
      </c>
      <c r="K2408" s="1">
        <v>7.5</v>
      </c>
      <c r="L2408" s="42">
        <v>6</v>
      </c>
      <c r="M2408" s="43"/>
      <c r="N2408" s="1" t="e">
        <f>VLOOKUP(B2408,MICRO!E:L,8,0)</f>
        <v>#N/A</v>
      </c>
    </row>
    <row r="2409" spans="1:14" ht="20.25" x14ac:dyDescent="0.25">
      <c r="A2409" s="1">
        <v>161</v>
      </c>
      <c r="B2409" s="159"/>
      <c r="C2409" s="1" t="s">
        <v>854</v>
      </c>
      <c r="D2409" s="1"/>
      <c r="E2409" s="1" t="s">
        <v>1108</v>
      </c>
      <c r="F2409" s="1" t="s">
        <v>839</v>
      </c>
      <c r="G2409" s="1">
        <v>2</v>
      </c>
      <c r="H2409" s="1" t="s">
        <v>19</v>
      </c>
      <c r="I2409" s="1" t="s">
        <v>424</v>
      </c>
      <c r="J2409" s="1">
        <v>14.9</v>
      </c>
      <c r="K2409" s="1">
        <v>29.8</v>
      </c>
      <c r="L2409" s="42">
        <v>6</v>
      </c>
      <c r="M2409" s="43"/>
      <c r="N2409" s="1" t="e">
        <f>VLOOKUP(B2409,MICRO!E:L,8,0)</f>
        <v>#N/A</v>
      </c>
    </row>
    <row r="2410" spans="1:14" ht="20.25" x14ac:dyDescent="0.25">
      <c r="A2410" s="1">
        <v>162</v>
      </c>
      <c r="B2410" s="159"/>
      <c r="C2410" s="1" t="s">
        <v>854</v>
      </c>
      <c r="D2410" s="1"/>
      <c r="E2410" s="1" t="s">
        <v>1112</v>
      </c>
      <c r="F2410" s="1" t="s">
        <v>843</v>
      </c>
      <c r="G2410" s="1">
        <v>2</v>
      </c>
      <c r="H2410" s="1" t="s">
        <v>19</v>
      </c>
      <c r="I2410" s="1" t="s">
        <v>425</v>
      </c>
      <c r="J2410" s="1">
        <v>6.7</v>
      </c>
      <c r="K2410" s="1">
        <v>13.4</v>
      </c>
      <c r="L2410" s="42">
        <v>6</v>
      </c>
      <c r="M2410" s="43"/>
      <c r="N2410" s="1" t="e">
        <f>VLOOKUP(B2410,MICRO!E:L,8,0)</f>
        <v>#N/A</v>
      </c>
    </row>
    <row r="2411" spans="1:14" ht="20.25" x14ac:dyDescent="0.25">
      <c r="A2411" s="1">
        <v>163</v>
      </c>
      <c r="B2411" s="159"/>
      <c r="C2411" s="1" t="s">
        <v>854</v>
      </c>
      <c r="D2411" s="1"/>
      <c r="E2411" s="1" t="s">
        <v>1112</v>
      </c>
      <c r="F2411" s="1" t="s">
        <v>843</v>
      </c>
      <c r="G2411" s="1">
        <v>2</v>
      </c>
      <c r="H2411" s="1" t="s">
        <v>19</v>
      </c>
      <c r="I2411" s="1" t="s">
        <v>427</v>
      </c>
      <c r="J2411" s="1">
        <v>6.7</v>
      </c>
      <c r="K2411" s="1">
        <v>13.4</v>
      </c>
      <c r="L2411" s="42">
        <v>6</v>
      </c>
      <c r="M2411" s="43"/>
      <c r="N2411" s="1" t="e">
        <f>VLOOKUP(B2411,MICRO!E:L,8,0)</f>
        <v>#N/A</v>
      </c>
    </row>
    <row r="2412" spans="1:14" ht="20.25" x14ac:dyDescent="0.25">
      <c r="A2412" s="1">
        <v>164</v>
      </c>
      <c r="B2412" s="159"/>
      <c r="C2412" s="1" t="s">
        <v>854</v>
      </c>
      <c r="D2412" s="1"/>
      <c r="E2412" s="1" t="s">
        <v>1113</v>
      </c>
      <c r="F2412" s="1" t="s">
        <v>844</v>
      </c>
      <c r="G2412" s="1">
        <v>2</v>
      </c>
      <c r="H2412" s="1" t="s">
        <v>19</v>
      </c>
      <c r="I2412" s="1" t="s">
        <v>425</v>
      </c>
      <c r="J2412" s="1">
        <v>3.9</v>
      </c>
      <c r="K2412" s="1">
        <v>7.8</v>
      </c>
      <c r="L2412" s="42">
        <v>6</v>
      </c>
      <c r="M2412" s="43"/>
      <c r="N2412" s="1" t="e">
        <f>VLOOKUP(B2412,MICRO!E:L,8,0)</f>
        <v>#N/A</v>
      </c>
    </row>
    <row r="2413" spans="1:14" ht="20.25" x14ac:dyDescent="0.25">
      <c r="A2413" s="1">
        <v>165</v>
      </c>
      <c r="B2413" s="159">
        <v>2307</v>
      </c>
      <c r="C2413" s="1" t="s">
        <v>854</v>
      </c>
      <c r="D2413" s="1"/>
      <c r="E2413" s="1" t="s">
        <v>1113</v>
      </c>
      <c r="F2413" s="1" t="s">
        <v>844</v>
      </c>
      <c r="G2413" s="1">
        <v>2</v>
      </c>
      <c r="H2413" s="1" t="s">
        <v>19</v>
      </c>
      <c r="I2413" s="1" t="s">
        <v>427</v>
      </c>
      <c r="J2413" s="1">
        <v>3.9</v>
      </c>
      <c r="K2413" s="1">
        <v>7.8</v>
      </c>
      <c r="L2413" s="42">
        <v>6</v>
      </c>
      <c r="M2413" s="43"/>
      <c r="N2413" s="1" t="e">
        <f>VLOOKUP(B2413,MICRO!E:L,8,0)</f>
        <v>#N/A</v>
      </c>
    </row>
    <row r="2414" spans="1:14" ht="20.25" x14ac:dyDescent="0.25">
      <c r="A2414" s="1">
        <v>166</v>
      </c>
      <c r="B2414" s="159">
        <v>2311</v>
      </c>
      <c r="C2414" s="1" t="s">
        <v>854</v>
      </c>
      <c r="D2414" s="1"/>
      <c r="E2414" s="1" t="s">
        <v>213</v>
      </c>
      <c r="F2414" s="1" t="s">
        <v>845</v>
      </c>
      <c r="G2414" s="1">
        <v>2</v>
      </c>
      <c r="H2414" s="1" t="s">
        <v>19</v>
      </c>
      <c r="I2414" s="1" t="s">
        <v>425</v>
      </c>
      <c r="J2414" s="1">
        <v>4.5</v>
      </c>
      <c r="K2414" s="1">
        <v>9</v>
      </c>
      <c r="L2414" s="42">
        <v>6</v>
      </c>
      <c r="M2414" s="43"/>
      <c r="N2414" s="1" t="e">
        <f>VLOOKUP(B2414,MICRO!E:L,8,0)</f>
        <v>#N/A</v>
      </c>
    </row>
    <row r="2415" spans="1:14" ht="20.25" x14ac:dyDescent="0.25">
      <c r="A2415" s="1">
        <v>167</v>
      </c>
      <c r="B2415" s="159">
        <v>2322</v>
      </c>
      <c r="C2415" s="1" t="s">
        <v>854</v>
      </c>
      <c r="D2415" s="1"/>
      <c r="E2415" s="1" t="s">
        <v>2435</v>
      </c>
      <c r="F2415" s="1" t="s">
        <v>848</v>
      </c>
      <c r="G2415" s="1">
        <v>7</v>
      </c>
      <c r="H2415" s="1" t="s">
        <v>19</v>
      </c>
      <c r="I2415" s="1" t="s">
        <v>423</v>
      </c>
      <c r="J2415" s="1">
        <v>3.5</v>
      </c>
      <c r="K2415" s="1">
        <v>24.5</v>
      </c>
      <c r="L2415" s="42">
        <v>6</v>
      </c>
      <c r="M2415" s="43"/>
      <c r="N2415" s="1" t="e">
        <f>VLOOKUP(B2415,MICRO!E:L,8,0)</f>
        <v>#N/A</v>
      </c>
    </row>
    <row r="2416" spans="1:14" ht="20.25" x14ac:dyDescent="0.25">
      <c r="A2416" s="1">
        <v>168</v>
      </c>
      <c r="B2416" s="159">
        <v>2323</v>
      </c>
      <c r="C2416" s="1" t="s">
        <v>854</v>
      </c>
      <c r="D2416" s="1"/>
      <c r="E2416" s="1" t="s">
        <v>2435</v>
      </c>
      <c r="F2416" s="1" t="s">
        <v>848</v>
      </c>
      <c r="G2416" s="1">
        <v>3</v>
      </c>
      <c r="H2416" s="1" t="s">
        <v>19</v>
      </c>
      <c r="I2416" s="1" t="s">
        <v>424</v>
      </c>
      <c r="J2416" s="1">
        <v>3.5</v>
      </c>
      <c r="K2416" s="1">
        <v>10.5</v>
      </c>
      <c r="L2416" s="42">
        <v>6</v>
      </c>
      <c r="M2416" s="43"/>
      <c r="N2416" s="1" t="e">
        <f>VLOOKUP(B2416,MICRO!E:L,8,0)</f>
        <v>#N/A</v>
      </c>
    </row>
    <row r="2417" spans="1:14" ht="20.25" x14ac:dyDescent="0.25">
      <c r="A2417" s="1">
        <v>169</v>
      </c>
      <c r="B2417" s="159">
        <v>2324</v>
      </c>
      <c r="C2417" s="1" t="s">
        <v>854</v>
      </c>
      <c r="D2417" s="1"/>
      <c r="E2417" s="1" t="s">
        <v>2435</v>
      </c>
      <c r="F2417" s="1" t="s">
        <v>848</v>
      </c>
      <c r="G2417" s="1">
        <v>4</v>
      </c>
      <c r="H2417" s="1" t="s">
        <v>19</v>
      </c>
      <c r="I2417" s="1" t="s">
        <v>425</v>
      </c>
      <c r="J2417" s="1">
        <v>3.5</v>
      </c>
      <c r="K2417" s="1">
        <v>14</v>
      </c>
      <c r="L2417" s="42">
        <v>6</v>
      </c>
      <c r="M2417" s="43"/>
      <c r="N2417" s="1" t="e">
        <f>VLOOKUP(B2417,MICRO!E:L,8,0)</f>
        <v>#N/A</v>
      </c>
    </row>
    <row r="2418" spans="1:14" ht="20.25" x14ac:dyDescent="0.25">
      <c r="A2418" s="1">
        <v>170</v>
      </c>
      <c r="B2418" s="159">
        <v>2325</v>
      </c>
      <c r="C2418" s="1" t="s">
        <v>854</v>
      </c>
      <c r="D2418" s="1"/>
      <c r="E2418" s="1" t="s">
        <v>2435</v>
      </c>
      <c r="F2418" s="1" t="s">
        <v>848</v>
      </c>
      <c r="G2418" s="1">
        <v>3</v>
      </c>
      <c r="H2418" s="1" t="s">
        <v>19</v>
      </c>
      <c r="I2418" s="1" t="s">
        <v>426</v>
      </c>
      <c r="J2418" s="1">
        <v>3.5</v>
      </c>
      <c r="K2418" s="1">
        <v>10.5</v>
      </c>
      <c r="L2418" s="42">
        <v>6</v>
      </c>
      <c r="M2418" s="43"/>
      <c r="N2418" s="1" t="e">
        <f>VLOOKUP(B2418,MICRO!E:L,8,0)</f>
        <v>#N/A</v>
      </c>
    </row>
    <row r="2419" spans="1:14" ht="20.25" x14ac:dyDescent="0.25">
      <c r="A2419" s="1">
        <v>171</v>
      </c>
      <c r="B2419" s="159">
        <v>2326</v>
      </c>
      <c r="C2419" s="1" t="s">
        <v>854</v>
      </c>
      <c r="D2419" s="1"/>
      <c r="E2419" s="1" t="s">
        <v>2435</v>
      </c>
      <c r="F2419" s="1" t="s">
        <v>848</v>
      </c>
      <c r="G2419" s="1">
        <v>6</v>
      </c>
      <c r="H2419" s="1" t="s">
        <v>19</v>
      </c>
      <c r="I2419" s="1" t="s">
        <v>427</v>
      </c>
      <c r="J2419" s="1">
        <v>3.5</v>
      </c>
      <c r="K2419" s="1">
        <v>21</v>
      </c>
      <c r="L2419" s="42">
        <v>6</v>
      </c>
      <c r="M2419" s="43"/>
      <c r="N2419" s="1" t="e">
        <f>VLOOKUP(B2419,MICRO!E:L,8,0)</f>
        <v>#N/A</v>
      </c>
    </row>
    <row r="2420" spans="1:14" ht="20.25" x14ac:dyDescent="0.25">
      <c r="A2420" s="1">
        <v>172</v>
      </c>
      <c r="B2420" s="159">
        <v>2629</v>
      </c>
      <c r="C2420" s="1" t="s">
        <v>854</v>
      </c>
      <c r="D2420" s="1"/>
      <c r="E2420" s="1" t="s">
        <v>2</v>
      </c>
      <c r="F2420" s="1" t="s">
        <v>1054</v>
      </c>
      <c r="G2420" s="1">
        <v>1</v>
      </c>
      <c r="H2420" s="1" t="s">
        <v>19</v>
      </c>
      <c r="I2420" s="1" t="s">
        <v>425</v>
      </c>
      <c r="J2420" s="1">
        <v>9.6999999999999993</v>
      </c>
      <c r="K2420" s="1">
        <v>9.6999999999999993</v>
      </c>
      <c r="L2420" s="42">
        <v>6</v>
      </c>
      <c r="M2420" s="43"/>
      <c r="N2420" s="1" t="e">
        <f>VLOOKUP(B2420,MICRO!E:L,8,0)</f>
        <v>#N/A</v>
      </c>
    </row>
    <row r="2421" spans="1:14" ht="20.25" x14ac:dyDescent="0.25">
      <c r="A2421" s="1">
        <v>173</v>
      </c>
      <c r="B2421" s="159">
        <v>2630</v>
      </c>
      <c r="C2421" s="1" t="s">
        <v>854</v>
      </c>
      <c r="D2421" s="1"/>
      <c r="E2421" s="1" t="s">
        <v>2</v>
      </c>
      <c r="F2421" s="1" t="s">
        <v>1054</v>
      </c>
      <c r="G2421" s="1">
        <v>1</v>
      </c>
      <c r="H2421" s="1" t="s">
        <v>19</v>
      </c>
      <c r="I2421" s="1" t="s">
        <v>427</v>
      </c>
      <c r="J2421" s="1">
        <v>9.6999999999999993</v>
      </c>
      <c r="K2421" s="1">
        <v>9.6999999999999993</v>
      </c>
      <c r="L2421" s="42">
        <v>6</v>
      </c>
      <c r="M2421" s="43"/>
      <c r="N2421" s="1" t="e">
        <f>VLOOKUP(B2421,MICRO!E:L,8,0)</f>
        <v>#N/A</v>
      </c>
    </row>
    <row r="2422" spans="1:14" ht="20.25" x14ac:dyDescent="0.25">
      <c r="A2422" s="1">
        <v>174</v>
      </c>
      <c r="B2422" s="159">
        <v>2634</v>
      </c>
      <c r="C2422" s="1" t="s">
        <v>854</v>
      </c>
      <c r="D2422" s="1"/>
      <c r="E2422" s="1" t="s">
        <v>173</v>
      </c>
      <c r="F2422" s="1" t="s">
        <v>1055</v>
      </c>
      <c r="G2422" s="1">
        <v>2</v>
      </c>
      <c r="H2422" s="1" t="s">
        <v>19</v>
      </c>
      <c r="I2422" s="1" t="s">
        <v>425</v>
      </c>
      <c r="J2422" s="1">
        <v>5</v>
      </c>
      <c r="K2422" s="1">
        <v>10</v>
      </c>
      <c r="L2422" s="42">
        <v>6</v>
      </c>
      <c r="M2422" s="43"/>
      <c r="N2422" s="1" t="e">
        <f>VLOOKUP(B2422,MICRO!E:L,8,0)</f>
        <v>#N/A</v>
      </c>
    </row>
    <row r="2423" spans="1:14" ht="20.25" x14ac:dyDescent="0.25">
      <c r="A2423" s="1">
        <v>175</v>
      </c>
      <c r="B2423" s="159">
        <v>2635</v>
      </c>
      <c r="C2423" s="1" t="s">
        <v>854</v>
      </c>
      <c r="D2423" s="1"/>
      <c r="E2423" s="1" t="s">
        <v>173</v>
      </c>
      <c r="F2423" s="1" t="s">
        <v>1055</v>
      </c>
      <c r="G2423" s="1">
        <v>2</v>
      </c>
      <c r="H2423" s="1" t="s">
        <v>19</v>
      </c>
      <c r="I2423" s="1" t="s">
        <v>427</v>
      </c>
      <c r="J2423" s="1">
        <v>5</v>
      </c>
      <c r="K2423" s="1">
        <v>10</v>
      </c>
      <c r="L2423" s="42">
        <v>6</v>
      </c>
      <c r="M2423" s="43"/>
      <c r="N2423" s="1" t="e">
        <f>VLOOKUP(B2423,MICRO!E:L,8,0)</f>
        <v>#N/A</v>
      </c>
    </row>
    <row r="2424" spans="1:14" ht="20.25" x14ac:dyDescent="0.25">
      <c r="A2424" s="1">
        <v>176</v>
      </c>
      <c r="B2424" s="159">
        <v>2636</v>
      </c>
      <c r="C2424" s="1" t="s">
        <v>854</v>
      </c>
      <c r="D2424" s="1"/>
      <c r="E2424" s="1" t="s">
        <v>461</v>
      </c>
      <c r="F2424" s="1" t="s">
        <v>1056</v>
      </c>
      <c r="G2424" s="1">
        <v>2</v>
      </c>
      <c r="H2424" s="1" t="s">
        <v>19</v>
      </c>
      <c r="I2424" s="1" t="s">
        <v>425</v>
      </c>
      <c r="J2424" s="1">
        <v>6</v>
      </c>
      <c r="K2424" s="1">
        <v>12</v>
      </c>
      <c r="L2424" s="42">
        <v>6</v>
      </c>
      <c r="M2424" s="43"/>
      <c r="N2424" s="1" t="e">
        <f>VLOOKUP(B2424,MICRO!E:L,8,0)</f>
        <v>#N/A</v>
      </c>
    </row>
    <row r="2425" spans="1:14" ht="20.25" x14ac:dyDescent="0.25">
      <c r="A2425" s="1">
        <v>177</v>
      </c>
      <c r="B2425" s="159">
        <v>2637</v>
      </c>
      <c r="C2425" s="1" t="s">
        <v>854</v>
      </c>
      <c r="D2425" s="1"/>
      <c r="E2425" s="1" t="s">
        <v>461</v>
      </c>
      <c r="F2425" s="1" t="s">
        <v>1056</v>
      </c>
      <c r="G2425" s="1">
        <v>2</v>
      </c>
      <c r="H2425" s="1" t="s">
        <v>19</v>
      </c>
      <c r="I2425" s="1" t="s">
        <v>427</v>
      </c>
      <c r="J2425" s="1">
        <v>6</v>
      </c>
      <c r="K2425" s="1">
        <v>12</v>
      </c>
      <c r="L2425" s="42">
        <v>6</v>
      </c>
      <c r="M2425" s="43"/>
      <c r="N2425" s="1" t="e">
        <f>VLOOKUP(B2425,MICRO!E:L,8,0)</f>
        <v>#N/A</v>
      </c>
    </row>
    <row r="2426" spans="1:14" ht="20.25" x14ac:dyDescent="0.25">
      <c r="A2426" s="1">
        <v>178</v>
      </c>
      <c r="B2426" s="159">
        <v>2642</v>
      </c>
      <c r="C2426" s="1" t="s">
        <v>854</v>
      </c>
      <c r="D2426" s="1"/>
      <c r="E2426" s="1" t="s">
        <v>1106</v>
      </c>
      <c r="F2426" s="1" t="s">
        <v>1057</v>
      </c>
      <c r="G2426" s="1">
        <v>2</v>
      </c>
      <c r="H2426" s="1" t="s">
        <v>19</v>
      </c>
      <c r="I2426" s="1" t="s">
        <v>425</v>
      </c>
      <c r="J2426" s="1">
        <v>12</v>
      </c>
      <c r="K2426" s="1">
        <v>24</v>
      </c>
      <c r="L2426" s="42">
        <v>6</v>
      </c>
      <c r="M2426" s="43"/>
      <c r="N2426" s="1" t="e">
        <f>VLOOKUP(B2426,MICRO!E:L,8,0)</f>
        <v>#N/A</v>
      </c>
    </row>
    <row r="2427" spans="1:14" ht="20.25" x14ac:dyDescent="0.25">
      <c r="A2427" s="1">
        <v>179</v>
      </c>
      <c r="B2427" s="159">
        <v>2643</v>
      </c>
      <c r="C2427" s="1" t="s">
        <v>854</v>
      </c>
      <c r="D2427" s="1"/>
      <c r="E2427" s="1" t="s">
        <v>1106</v>
      </c>
      <c r="F2427" s="1" t="s">
        <v>1057</v>
      </c>
      <c r="G2427" s="1">
        <v>2</v>
      </c>
      <c r="H2427" s="1" t="s">
        <v>19</v>
      </c>
      <c r="I2427" s="1" t="s">
        <v>427</v>
      </c>
      <c r="J2427" s="1">
        <v>12</v>
      </c>
      <c r="K2427" s="1">
        <v>24</v>
      </c>
      <c r="L2427" s="42">
        <v>6</v>
      </c>
      <c r="M2427" s="43"/>
      <c r="N2427" s="1" t="e">
        <f>VLOOKUP(B2427,MICRO!E:L,8,0)</f>
        <v>#N/A</v>
      </c>
    </row>
    <row r="2428" spans="1:14" ht="20.25" x14ac:dyDescent="0.25">
      <c r="A2428" s="1">
        <v>180</v>
      </c>
      <c r="B2428" s="159">
        <v>2644</v>
      </c>
      <c r="C2428" s="1" t="s">
        <v>854</v>
      </c>
      <c r="D2428" s="1"/>
      <c r="E2428" s="1" t="s">
        <v>1108</v>
      </c>
      <c r="F2428" s="1" t="s">
        <v>1058</v>
      </c>
      <c r="G2428" s="1">
        <v>2</v>
      </c>
      <c r="H2428" s="1" t="s">
        <v>19</v>
      </c>
      <c r="I2428" s="1" t="s">
        <v>424</v>
      </c>
      <c r="J2428" s="1">
        <v>14.9</v>
      </c>
      <c r="K2428" s="1">
        <v>29.8</v>
      </c>
      <c r="L2428" s="42">
        <v>6</v>
      </c>
      <c r="M2428" s="43"/>
      <c r="N2428" s="1" t="e">
        <f>VLOOKUP(B2428,MICRO!E:L,8,0)</f>
        <v>#N/A</v>
      </c>
    </row>
    <row r="2429" spans="1:14" ht="20.25" x14ac:dyDescent="0.25">
      <c r="A2429" s="1">
        <v>181</v>
      </c>
      <c r="B2429" s="159">
        <v>2651</v>
      </c>
      <c r="C2429" s="1" t="s">
        <v>854</v>
      </c>
      <c r="D2429" s="1"/>
      <c r="E2429" s="1" t="s">
        <v>1116</v>
      </c>
      <c r="F2429" s="1" t="s">
        <v>1059</v>
      </c>
      <c r="G2429" s="1">
        <v>1</v>
      </c>
      <c r="H2429" s="1" t="s">
        <v>19</v>
      </c>
      <c r="I2429" s="1" t="s">
        <v>425</v>
      </c>
      <c r="J2429" s="1">
        <v>9.5</v>
      </c>
      <c r="K2429" s="1">
        <v>9.5</v>
      </c>
      <c r="L2429" s="42">
        <v>6</v>
      </c>
      <c r="M2429" s="43"/>
      <c r="N2429" s="1" t="e">
        <f>VLOOKUP(B2429,MICRO!E:L,8,0)</f>
        <v>#N/A</v>
      </c>
    </row>
    <row r="2430" spans="1:14" ht="20.25" x14ac:dyDescent="0.25">
      <c r="A2430" s="1">
        <v>182</v>
      </c>
      <c r="B2430" s="159">
        <v>2654</v>
      </c>
      <c r="C2430" s="1" t="s">
        <v>854</v>
      </c>
      <c r="D2430" s="1"/>
      <c r="E2430" s="1" t="s">
        <v>1119</v>
      </c>
      <c r="F2430" s="1" t="s">
        <v>1060</v>
      </c>
      <c r="G2430" s="1">
        <v>1</v>
      </c>
      <c r="H2430" s="1" t="s">
        <v>19</v>
      </c>
      <c r="I2430" s="1" t="s">
        <v>425</v>
      </c>
      <c r="J2430" s="1">
        <v>5</v>
      </c>
      <c r="K2430" s="1">
        <v>5</v>
      </c>
      <c r="L2430" s="42">
        <v>6</v>
      </c>
      <c r="M2430" s="43"/>
      <c r="N2430" s="1" t="e">
        <f>VLOOKUP(B2430,MICRO!E:L,8,0)</f>
        <v>#N/A</v>
      </c>
    </row>
    <row r="2431" spans="1:14" ht="20.25" x14ac:dyDescent="0.25">
      <c r="A2431" s="1">
        <v>183</v>
      </c>
      <c r="B2431" s="159">
        <v>2657</v>
      </c>
      <c r="C2431" s="1" t="s">
        <v>854</v>
      </c>
      <c r="D2431" s="1"/>
      <c r="E2431" s="1" t="s">
        <v>2436</v>
      </c>
      <c r="F2431" s="1" t="s">
        <v>1061</v>
      </c>
      <c r="G2431" s="1">
        <v>1</v>
      </c>
      <c r="H2431" s="1" t="s">
        <v>19</v>
      </c>
      <c r="I2431" s="1" t="s">
        <v>425</v>
      </c>
      <c r="J2431" s="1">
        <v>12.2</v>
      </c>
      <c r="K2431" s="1">
        <v>12.2</v>
      </c>
      <c r="L2431" s="42">
        <v>6</v>
      </c>
      <c r="M2431" s="43"/>
      <c r="N2431" s="1" t="e">
        <f>VLOOKUP(B2431,MICRO!E:L,8,0)</f>
        <v>#N/A</v>
      </c>
    </row>
    <row r="2432" spans="1:14" ht="20.25" x14ac:dyDescent="0.25">
      <c r="A2432" s="1">
        <v>184</v>
      </c>
      <c r="B2432" s="159">
        <v>2658</v>
      </c>
      <c r="C2432" s="1" t="s">
        <v>854</v>
      </c>
      <c r="D2432" s="1"/>
      <c r="E2432" s="1" t="s">
        <v>2437</v>
      </c>
      <c r="F2432" s="1" t="s">
        <v>1062</v>
      </c>
      <c r="G2432" s="1">
        <v>2</v>
      </c>
      <c r="H2432" s="1" t="s">
        <v>19</v>
      </c>
      <c r="I2432" s="1" t="s">
        <v>425</v>
      </c>
      <c r="J2432" s="1">
        <v>5</v>
      </c>
      <c r="K2432" s="1">
        <v>10</v>
      </c>
      <c r="L2432" s="42">
        <v>6</v>
      </c>
      <c r="M2432" s="43"/>
      <c r="N2432" s="1" t="e">
        <f>VLOOKUP(B2432,MICRO!E:L,8,0)</f>
        <v>#N/A</v>
      </c>
    </row>
    <row r="2433" spans="1:14" ht="20.25" x14ac:dyDescent="0.25">
      <c r="A2433" s="1">
        <v>185</v>
      </c>
      <c r="B2433" s="159">
        <v>2659</v>
      </c>
      <c r="C2433" s="1" t="s">
        <v>854</v>
      </c>
      <c r="D2433" s="1"/>
      <c r="E2433" s="1" t="s">
        <v>2438</v>
      </c>
      <c r="F2433" s="1" t="s">
        <v>1063</v>
      </c>
      <c r="G2433" s="1">
        <v>1</v>
      </c>
      <c r="H2433" s="1" t="s">
        <v>19</v>
      </c>
      <c r="I2433" s="1" t="s">
        <v>425</v>
      </c>
      <c r="J2433" s="1">
        <v>5.7</v>
      </c>
      <c r="K2433" s="1">
        <v>5.7</v>
      </c>
      <c r="L2433" s="42">
        <v>6</v>
      </c>
      <c r="M2433" s="43"/>
      <c r="N2433" s="1" t="e">
        <f>VLOOKUP(B2433,MICRO!E:L,8,0)</f>
        <v>#N/A</v>
      </c>
    </row>
    <row r="2434" spans="1:14" ht="20.25" x14ac:dyDescent="0.25">
      <c r="A2434" s="1">
        <v>186</v>
      </c>
      <c r="B2434" s="159">
        <v>2660</v>
      </c>
      <c r="C2434" s="1" t="s">
        <v>854</v>
      </c>
      <c r="D2434" s="1"/>
      <c r="E2434" s="1" t="s">
        <v>2439</v>
      </c>
      <c r="F2434" s="1" t="s">
        <v>1064</v>
      </c>
      <c r="G2434" s="1">
        <v>1</v>
      </c>
      <c r="H2434" s="1" t="s">
        <v>19</v>
      </c>
      <c r="I2434" s="1" t="s">
        <v>425</v>
      </c>
      <c r="J2434" s="1">
        <v>3.7</v>
      </c>
      <c r="K2434" s="1">
        <v>3.7</v>
      </c>
      <c r="L2434" s="42">
        <v>6</v>
      </c>
      <c r="M2434" s="43"/>
      <c r="N2434" s="1" t="e">
        <f>VLOOKUP(B2434,MICRO!E:L,8,0)</f>
        <v>#N/A</v>
      </c>
    </row>
    <row r="2435" spans="1:14" ht="20.25" x14ac:dyDescent="0.25">
      <c r="A2435" s="1">
        <v>187</v>
      </c>
      <c r="B2435" s="159">
        <v>2661</v>
      </c>
      <c r="C2435" s="1" t="s">
        <v>854</v>
      </c>
      <c r="D2435" s="1"/>
      <c r="E2435" s="1" t="s">
        <v>2440</v>
      </c>
      <c r="F2435" s="1" t="s">
        <v>1065</v>
      </c>
      <c r="G2435" s="1">
        <v>1</v>
      </c>
      <c r="H2435" s="1" t="s">
        <v>19</v>
      </c>
      <c r="I2435" s="1" t="s">
        <v>425</v>
      </c>
      <c r="J2435" s="1">
        <v>3.7</v>
      </c>
      <c r="K2435" s="1">
        <v>3.7</v>
      </c>
      <c r="L2435" s="42">
        <v>6</v>
      </c>
      <c r="M2435" s="43"/>
      <c r="N2435" s="1" t="e">
        <f>VLOOKUP(B2435,MICRO!E:L,8,0)</f>
        <v>#N/A</v>
      </c>
    </row>
    <row r="2436" spans="1:14" ht="20.25" x14ac:dyDescent="0.25">
      <c r="A2436" s="1">
        <v>188</v>
      </c>
      <c r="B2436" s="159">
        <v>2662</v>
      </c>
      <c r="C2436" s="1" t="s">
        <v>854</v>
      </c>
      <c r="D2436" s="1"/>
      <c r="E2436" s="1" t="s">
        <v>2441</v>
      </c>
      <c r="F2436" s="1" t="s">
        <v>1066</v>
      </c>
      <c r="G2436" s="1">
        <v>2</v>
      </c>
      <c r="H2436" s="1" t="s">
        <v>19</v>
      </c>
      <c r="I2436" s="1" t="s">
        <v>425</v>
      </c>
      <c r="J2436" s="1">
        <v>6.1</v>
      </c>
      <c r="K2436" s="1">
        <v>12.2</v>
      </c>
      <c r="L2436" s="42">
        <v>6</v>
      </c>
      <c r="M2436" s="43"/>
      <c r="N2436" s="1" t="e">
        <f>VLOOKUP(B2436,MICRO!E:L,8,0)</f>
        <v>#N/A</v>
      </c>
    </row>
    <row r="2437" spans="1:14" ht="20.25" x14ac:dyDescent="0.25">
      <c r="A2437" s="1">
        <v>189</v>
      </c>
      <c r="B2437" s="159">
        <v>2663</v>
      </c>
      <c r="C2437" s="1" t="s">
        <v>854</v>
      </c>
      <c r="D2437" s="1"/>
      <c r="E2437" s="1" t="s">
        <v>2442</v>
      </c>
      <c r="F2437" s="1" t="s">
        <v>1067</v>
      </c>
      <c r="G2437" s="1">
        <v>2</v>
      </c>
      <c r="H2437" s="1" t="s">
        <v>19</v>
      </c>
      <c r="I2437" s="1" t="s">
        <v>425</v>
      </c>
      <c r="J2437" s="1">
        <v>6.4</v>
      </c>
      <c r="K2437" s="1">
        <v>12.8</v>
      </c>
      <c r="L2437" s="42">
        <v>6</v>
      </c>
      <c r="M2437" s="43"/>
      <c r="N2437" s="1" t="e">
        <f>VLOOKUP(B2437,MICRO!E:L,8,0)</f>
        <v>#N/A</v>
      </c>
    </row>
    <row r="2438" spans="1:14" ht="20.25" x14ac:dyDescent="0.25">
      <c r="A2438" s="1">
        <v>190</v>
      </c>
      <c r="B2438" s="159">
        <v>2664</v>
      </c>
      <c r="C2438" s="1" t="s">
        <v>854</v>
      </c>
      <c r="D2438" s="1"/>
      <c r="E2438" s="1" t="s">
        <v>2443</v>
      </c>
      <c r="F2438" s="1" t="s">
        <v>1068</v>
      </c>
      <c r="G2438" s="1">
        <v>2</v>
      </c>
      <c r="H2438" s="1" t="s">
        <v>19</v>
      </c>
      <c r="I2438" s="1" t="s">
        <v>425</v>
      </c>
      <c r="J2438" s="1">
        <v>12.6</v>
      </c>
      <c r="K2438" s="1">
        <v>25.2</v>
      </c>
      <c r="L2438" s="42">
        <v>6</v>
      </c>
      <c r="M2438" s="43"/>
      <c r="N2438" s="1" t="e">
        <f>VLOOKUP(B2438,MICRO!E:L,8,0)</f>
        <v>#N/A</v>
      </c>
    </row>
    <row r="2439" spans="1:14" ht="20.25" x14ac:dyDescent="0.25">
      <c r="A2439" s="1">
        <v>191</v>
      </c>
      <c r="B2439" s="159">
        <v>2665</v>
      </c>
      <c r="C2439" s="1" t="s">
        <v>854</v>
      </c>
      <c r="D2439" s="1"/>
      <c r="E2439" s="1" t="s">
        <v>2444</v>
      </c>
      <c r="F2439" s="1" t="s">
        <v>1069</v>
      </c>
      <c r="G2439" s="1">
        <v>2</v>
      </c>
      <c r="H2439" s="1" t="s">
        <v>19</v>
      </c>
      <c r="I2439" s="1" t="s">
        <v>425</v>
      </c>
      <c r="J2439" s="1">
        <v>14.6</v>
      </c>
      <c r="K2439" s="1">
        <v>29.2</v>
      </c>
      <c r="L2439" s="42">
        <v>6</v>
      </c>
      <c r="M2439" s="43"/>
      <c r="N2439" s="1" t="e">
        <f>VLOOKUP(B2439,MICRO!E:L,8,0)</f>
        <v>#N/A</v>
      </c>
    </row>
    <row r="2440" spans="1:14" ht="20.25" x14ac:dyDescent="0.25">
      <c r="A2440" s="1">
        <v>192</v>
      </c>
      <c r="B2440" s="159">
        <v>2667</v>
      </c>
      <c r="C2440" s="1" t="s">
        <v>854</v>
      </c>
      <c r="D2440" s="1"/>
      <c r="E2440" s="1" t="s">
        <v>2445</v>
      </c>
      <c r="F2440" s="1" t="s">
        <v>1070</v>
      </c>
      <c r="G2440" s="1">
        <v>7</v>
      </c>
      <c r="H2440" s="1" t="s">
        <v>19</v>
      </c>
      <c r="I2440" s="1" t="s">
        <v>423</v>
      </c>
      <c r="J2440" s="1">
        <v>3.5</v>
      </c>
      <c r="K2440" s="1">
        <v>24.5</v>
      </c>
      <c r="L2440" s="42">
        <v>6</v>
      </c>
      <c r="M2440" s="43"/>
      <c r="N2440" s="1" t="e">
        <f>VLOOKUP(B2440,MICRO!E:L,8,0)</f>
        <v>#N/A</v>
      </c>
    </row>
    <row r="2441" spans="1:14" ht="20.25" x14ac:dyDescent="0.25">
      <c r="A2441" s="1">
        <v>193</v>
      </c>
      <c r="B2441" s="159">
        <v>2668</v>
      </c>
      <c r="C2441" s="1" t="s">
        <v>854</v>
      </c>
      <c r="D2441" s="1"/>
      <c r="E2441" s="1" t="s">
        <v>2445</v>
      </c>
      <c r="F2441" s="1" t="s">
        <v>1070</v>
      </c>
      <c r="G2441" s="1">
        <v>3</v>
      </c>
      <c r="H2441" s="1" t="s">
        <v>19</v>
      </c>
      <c r="I2441" s="1" t="s">
        <v>424</v>
      </c>
      <c r="J2441" s="1">
        <v>3.5</v>
      </c>
      <c r="K2441" s="1">
        <v>10.5</v>
      </c>
      <c r="L2441" s="42">
        <v>6</v>
      </c>
      <c r="M2441" s="43"/>
      <c r="N2441" s="1" t="e">
        <f>VLOOKUP(B2441,MICRO!E:L,8,0)</f>
        <v>#N/A</v>
      </c>
    </row>
    <row r="2442" spans="1:14" ht="20.25" x14ac:dyDescent="0.25">
      <c r="A2442" s="1">
        <v>194</v>
      </c>
      <c r="B2442" s="159">
        <v>2669</v>
      </c>
      <c r="C2442" s="1" t="s">
        <v>854</v>
      </c>
      <c r="D2442" s="1"/>
      <c r="E2442" s="1" t="s">
        <v>2445</v>
      </c>
      <c r="F2442" s="1" t="s">
        <v>1070</v>
      </c>
      <c r="G2442" s="1">
        <v>4</v>
      </c>
      <c r="H2442" s="1" t="s">
        <v>19</v>
      </c>
      <c r="I2442" s="1" t="s">
        <v>425</v>
      </c>
      <c r="J2442" s="1">
        <v>3.5</v>
      </c>
      <c r="K2442" s="1">
        <v>14</v>
      </c>
      <c r="L2442" s="42">
        <v>6</v>
      </c>
      <c r="M2442" s="43"/>
      <c r="N2442" s="1" t="e">
        <f>VLOOKUP(B2442,MICRO!E:L,8,0)</f>
        <v>#N/A</v>
      </c>
    </row>
    <row r="2443" spans="1:14" ht="20.25" x14ac:dyDescent="0.25">
      <c r="A2443" s="1">
        <v>195</v>
      </c>
      <c r="B2443" s="159">
        <v>2670</v>
      </c>
      <c r="C2443" s="1" t="s">
        <v>854</v>
      </c>
      <c r="D2443" s="1"/>
      <c r="E2443" s="1" t="s">
        <v>2445</v>
      </c>
      <c r="F2443" s="1" t="s">
        <v>1070</v>
      </c>
      <c r="G2443" s="1">
        <v>3</v>
      </c>
      <c r="H2443" s="1" t="s">
        <v>19</v>
      </c>
      <c r="I2443" s="1" t="s">
        <v>426</v>
      </c>
      <c r="J2443" s="1">
        <v>3.5</v>
      </c>
      <c r="K2443" s="1">
        <v>10.5</v>
      </c>
      <c r="L2443" s="42">
        <v>6</v>
      </c>
      <c r="M2443" s="43"/>
      <c r="N2443" s="1" t="e">
        <f>VLOOKUP(B2443,MICRO!E:L,8,0)</f>
        <v>#N/A</v>
      </c>
    </row>
    <row r="2444" spans="1:14" ht="20.25" x14ac:dyDescent="0.25">
      <c r="A2444" s="1">
        <v>196</v>
      </c>
      <c r="B2444" s="159">
        <v>2671</v>
      </c>
      <c r="C2444" s="1" t="s">
        <v>854</v>
      </c>
      <c r="D2444" s="1"/>
      <c r="E2444" s="1" t="s">
        <v>2445</v>
      </c>
      <c r="F2444" s="1" t="s">
        <v>1070</v>
      </c>
      <c r="G2444" s="1">
        <v>6</v>
      </c>
      <c r="H2444" s="1" t="s">
        <v>19</v>
      </c>
      <c r="I2444" s="1" t="s">
        <v>427</v>
      </c>
      <c r="J2444" s="1">
        <v>3.5</v>
      </c>
      <c r="K2444" s="1">
        <v>21</v>
      </c>
      <c r="L2444" s="42">
        <v>6</v>
      </c>
      <c r="M2444" s="43"/>
      <c r="N2444" s="1" t="e">
        <f>VLOOKUP(B2444,MICRO!E:L,8,0)</f>
        <v>#N/A</v>
      </c>
    </row>
    <row r="2445" spans="1:14" ht="20.25" x14ac:dyDescent="0.25">
      <c r="A2445" s="1">
        <v>197</v>
      </c>
      <c r="B2445" s="159">
        <v>2685</v>
      </c>
      <c r="C2445" s="1" t="s">
        <v>854</v>
      </c>
      <c r="D2445" s="1"/>
      <c r="E2445" s="1" t="s">
        <v>2446</v>
      </c>
      <c r="F2445" s="1" t="s">
        <v>1072</v>
      </c>
      <c r="G2445" s="1">
        <v>4</v>
      </c>
      <c r="H2445" s="1" t="s">
        <v>19</v>
      </c>
      <c r="I2445" s="1" t="s">
        <v>426</v>
      </c>
      <c r="J2445" s="1">
        <v>4</v>
      </c>
      <c r="K2445" s="1">
        <v>16</v>
      </c>
      <c r="L2445" s="42">
        <v>6</v>
      </c>
      <c r="M2445" s="43"/>
      <c r="N2445" s="1" t="e">
        <f>VLOOKUP(B2445,MICRO!E:L,8,0)</f>
        <v>#N/A</v>
      </c>
    </row>
    <row r="2446" spans="1:14" ht="20.25" x14ac:dyDescent="0.25">
      <c r="A2446" s="1">
        <v>198</v>
      </c>
      <c r="B2446" s="159">
        <v>2686</v>
      </c>
      <c r="C2446" s="1" t="s">
        <v>854</v>
      </c>
      <c r="D2446" s="1"/>
      <c r="E2446" s="1" t="s">
        <v>2447</v>
      </c>
      <c r="F2446" s="1" t="s">
        <v>1073</v>
      </c>
      <c r="G2446" s="1">
        <v>2</v>
      </c>
      <c r="H2446" s="1" t="s">
        <v>19</v>
      </c>
      <c r="I2446" s="1" t="s">
        <v>426</v>
      </c>
      <c r="J2446" s="1">
        <v>12</v>
      </c>
      <c r="K2446" s="1">
        <v>24</v>
      </c>
      <c r="L2446" s="42">
        <v>6</v>
      </c>
      <c r="M2446" s="43"/>
      <c r="N2446" s="1" t="e">
        <f>VLOOKUP(B2446,MICRO!E:L,8,0)</f>
        <v>#N/A</v>
      </c>
    </row>
    <row r="2447" spans="1:14" ht="20.25" x14ac:dyDescent="0.25">
      <c r="A2447" s="1">
        <v>199</v>
      </c>
      <c r="B2447" s="159">
        <v>2695</v>
      </c>
      <c r="C2447" s="1" t="s">
        <v>854</v>
      </c>
      <c r="D2447" s="1"/>
      <c r="E2447" s="1" t="s">
        <v>2448</v>
      </c>
      <c r="F2447" s="1" t="s">
        <v>1074</v>
      </c>
      <c r="G2447" s="1">
        <v>2</v>
      </c>
      <c r="H2447" s="1" t="s">
        <v>19</v>
      </c>
      <c r="I2447" s="1" t="s">
        <v>427</v>
      </c>
      <c r="J2447" s="1">
        <v>7.9</v>
      </c>
      <c r="K2447" s="1">
        <v>15.8</v>
      </c>
      <c r="L2447" s="42">
        <v>6</v>
      </c>
      <c r="M2447" s="43"/>
      <c r="N2447" s="1" t="e">
        <f>VLOOKUP(B2447,MICRO!E:L,8,0)</f>
        <v>#N/A</v>
      </c>
    </row>
    <row r="2448" spans="1:14" ht="20.25" x14ac:dyDescent="0.25">
      <c r="A2448" s="1">
        <v>200</v>
      </c>
      <c r="B2448" s="159">
        <v>2696</v>
      </c>
      <c r="C2448" s="1" t="s">
        <v>854</v>
      </c>
      <c r="D2448" s="1"/>
      <c r="E2448" s="1" t="s">
        <v>2449</v>
      </c>
      <c r="F2448" s="1" t="s">
        <v>1075</v>
      </c>
      <c r="G2448" s="1">
        <v>2</v>
      </c>
      <c r="H2448" s="1" t="s">
        <v>19</v>
      </c>
      <c r="I2448" s="1" t="s">
        <v>427</v>
      </c>
      <c r="J2448" s="1">
        <v>4.2</v>
      </c>
      <c r="K2448" s="1">
        <v>8.4</v>
      </c>
      <c r="L2448" s="42">
        <v>6</v>
      </c>
      <c r="M2448" s="43"/>
      <c r="N2448" s="1" t="e">
        <f>VLOOKUP(B2448,MICRO!E:L,8,0)</f>
        <v>#N/A</v>
      </c>
    </row>
    <row r="2449" spans="1:14" ht="20.25" x14ac:dyDescent="0.25">
      <c r="A2449" s="1">
        <v>201</v>
      </c>
      <c r="B2449" s="159">
        <v>2701</v>
      </c>
      <c r="C2449" s="1" t="s">
        <v>854</v>
      </c>
      <c r="D2449" s="1"/>
      <c r="E2449" s="1" t="s">
        <v>2450</v>
      </c>
      <c r="F2449" s="1" t="s">
        <v>1076</v>
      </c>
      <c r="G2449" s="1">
        <v>2</v>
      </c>
      <c r="H2449" s="1" t="s">
        <v>19</v>
      </c>
      <c r="I2449" s="1" t="s">
        <v>427</v>
      </c>
      <c r="J2449" s="1">
        <v>6.7</v>
      </c>
      <c r="K2449" s="1">
        <v>13.4</v>
      </c>
      <c r="L2449" s="42">
        <v>6</v>
      </c>
      <c r="M2449" s="43"/>
      <c r="N2449" s="1" t="e">
        <f>VLOOKUP(B2449,MICRO!E:L,8,0)</f>
        <v>#N/A</v>
      </c>
    </row>
    <row r="2450" spans="1:14" ht="20.25" x14ac:dyDescent="0.25">
      <c r="A2450" s="1">
        <v>202</v>
      </c>
      <c r="B2450" s="159">
        <v>2781</v>
      </c>
      <c r="C2450" s="1" t="s">
        <v>854</v>
      </c>
      <c r="D2450" s="1"/>
      <c r="E2450" s="1" t="s">
        <v>2451</v>
      </c>
      <c r="F2450" s="1" t="s">
        <v>1138</v>
      </c>
      <c r="G2450" s="1">
        <v>6</v>
      </c>
      <c r="H2450" s="1" t="s">
        <v>19</v>
      </c>
      <c r="I2450" s="1" t="s">
        <v>423</v>
      </c>
      <c r="J2450" s="1">
        <v>14.5</v>
      </c>
      <c r="K2450" s="1">
        <v>87</v>
      </c>
      <c r="L2450" s="42">
        <v>6</v>
      </c>
      <c r="M2450" s="43"/>
      <c r="N2450" s="1" t="e">
        <f>VLOOKUP(B2450,MICRO!E:L,8,0)</f>
        <v>#N/A</v>
      </c>
    </row>
    <row r="2451" spans="1:14" ht="20.25" x14ac:dyDescent="0.25">
      <c r="A2451" s="1">
        <v>203</v>
      </c>
      <c r="B2451" s="159">
        <v>2782</v>
      </c>
      <c r="C2451" s="1" t="s">
        <v>854</v>
      </c>
      <c r="D2451" s="1"/>
      <c r="E2451" s="1" t="s">
        <v>2451</v>
      </c>
      <c r="F2451" s="1" t="s">
        <v>1138</v>
      </c>
      <c r="G2451" s="1">
        <v>2</v>
      </c>
      <c r="H2451" s="1" t="s">
        <v>19</v>
      </c>
      <c r="I2451" s="1" t="s">
        <v>424</v>
      </c>
      <c r="J2451" s="1">
        <v>14.5</v>
      </c>
      <c r="K2451" s="1">
        <v>29</v>
      </c>
      <c r="L2451" s="42">
        <v>6</v>
      </c>
      <c r="M2451" s="43"/>
      <c r="N2451" s="1" t="e">
        <f>VLOOKUP(B2451,MICRO!E:L,8,0)</f>
        <v>#N/A</v>
      </c>
    </row>
    <row r="2452" spans="1:14" ht="20.25" x14ac:dyDescent="0.25">
      <c r="A2452" s="1">
        <v>204</v>
      </c>
      <c r="B2452" s="159">
        <v>2783</v>
      </c>
      <c r="C2452" s="1" t="s">
        <v>854</v>
      </c>
      <c r="D2452" s="1"/>
      <c r="E2452" s="1" t="s">
        <v>2451</v>
      </c>
      <c r="F2452" s="1" t="s">
        <v>1138</v>
      </c>
      <c r="G2452" s="1">
        <v>2</v>
      </c>
      <c r="H2452" s="1" t="s">
        <v>19</v>
      </c>
      <c r="I2452" s="1" t="s">
        <v>425</v>
      </c>
      <c r="J2452" s="1">
        <v>14.5</v>
      </c>
      <c r="K2452" s="1">
        <v>29</v>
      </c>
      <c r="L2452" s="42">
        <v>6</v>
      </c>
      <c r="M2452" s="43"/>
      <c r="N2452" s="1" t="e">
        <f>VLOOKUP(B2452,MICRO!E:L,8,0)</f>
        <v>#N/A</v>
      </c>
    </row>
    <row r="2453" spans="1:14" ht="20.25" x14ac:dyDescent="0.25">
      <c r="A2453" s="1">
        <v>205</v>
      </c>
      <c r="B2453" s="159">
        <v>2784</v>
      </c>
      <c r="C2453" s="1" t="s">
        <v>854</v>
      </c>
      <c r="D2453" s="1"/>
      <c r="E2453" s="1" t="s">
        <v>2451</v>
      </c>
      <c r="F2453" s="1" t="s">
        <v>1138</v>
      </c>
      <c r="G2453" s="1">
        <v>6</v>
      </c>
      <c r="H2453" s="1" t="s">
        <v>19</v>
      </c>
      <c r="I2453" s="1" t="s">
        <v>426</v>
      </c>
      <c r="J2453" s="1">
        <v>14.5</v>
      </c>
      <c r="K2453" s="1">
        <v>87</v>
      </c>
      <c r="L2453" s="42">
        <v>6</v>
      </c>
      <c r="M2453" s="43"/>
      <c r="N2453" s="1" t="e">
        <f>VLOOKUP(B2453,MICRO!E:L,8,0)</f>
        <v>#N/A</v>
      </c>
    </row>
    <row r="2454" spans="1:14" ht="20.25" x14ac:dyDescent="0.25">
      <c r="A2454" s="1">
        <v>206</v>
      </c>
      <c r="B2454" s="159">
        <v>2786</v>
      </c>
      <c r="C2454" s="1" t="s">
        <v>854</v>
      </c>
      <c r="D2454" s="1"/>
      <c r="E2454" s="1" t="s">
        <v>2452</v>
      </c>
      <c r="F2454" s="1" t="s">
        <v>1139</v>
      </c>
      <c r="G2454" s="1">
        <v>2</v>
      </c>
      <c r="H2454" s="1" t="s">
        <v>19</v>
      </c>
      <c r="I2454" s="1" t="s">
        <v>424</v>
      </c>
      <c r="J2454" s="1">
        <v>2.5</v>
      </c>
      <c r="K2454" s="1">
        <v>5</v>
      </c>
      <c r="L2454" s="42">
        <v>6</v>
      </c>
      <c r="M2454" s="43"/>
      <c r="N2454" s="1" t="e">
        <f>VLOOKUP(B2454,MICRO!E:L,8,0)</f>
        <v>#N/A</v>
      </c>
    </row>
    <row r="2455" spans="1:14" ht="20.25" x14ac:dyDescent="0.25">
      <c r="A2455" s="1">
        <v>207</v>
      </c>
      <c r="B2455" s="159">
        <v>2787</v>
      </c>
      <c r="C2455" s="1" t="s">
        <v>854</v>
      </c>
      <c r="D2455" s="1"/>
      <c r="E2455" s="1" t="s">
        <v>2452</v>
      </c>
      <c r="F2455" s="1" t="s">
        <v>1139</v>
      </c>
      <c r="G2455" s="1">
        <v>2</v>
      </c>
      <c r="H2455" s="1" t="s">
        <v>19</v>
      </c>
      <c r="I2455" s="1" t="s">
        <v>425</v>
      </c>
      <c r="J2455" s="1">
        <v>2.5</v>
      </c>
      <c r="K2455" s="1">
        <v>5</v>
      </c>
      <c r="L2455" s="42">
        <v>6</v>
      </c>
      <c r="M2455" s="43"/>
      <c r="N2455" s="1" t="e">
        <f>VLOOKUP(B2455,MICRO!E:L,8,0)</f>
        <v>#N/A</v>
      </c>
    </row>
    <row r="2456" spans="1:14" ht="20.25" x14ac:dyDescent="0.25">
      <c r="A2456" s="1">
        <v>208</v>
      </c>
      <c r="B2456" s="159">
        <v>2854</v>
      </c>
      <c r="C2456" s="1" t="s">
        <v>854</v>
      </c>
      <c r="D2456" s="1"/>
      <c r="E2456" s="1" t="s">
        <v>2453</v>
      </c>
      <c r="F2456" s="1" t="s">
        <v>1071</v>
      </c>
      <c r="G2456" s="1">
        <v>6</v>
      </c>
      <c r="H2456" s="1" t="s">
        <v>19</v>
      </c>
      <c r="I2456" s="1" t="s">
        <v>423</v>
      </c>
      <c r="J2456" s="1">
        <v>2</v>
      </c>
      <c r="K2456" s="1">
        <v>12</v>
      </c>
      <c r="L2456" s="42">
        <v>6</v>
      </c>
      <c r="M2456" s="43"/>
      <c r="N2456" s="1" t="e">
        <f>VLOOKUP(B2456,MICRO!E:L,8,0)</f>
        <v>#N/A</v>
      </c>
    </row>
    <row r="2457" spans="1:14" ht="20.25" x14ac:dyDescent="0.25">
      <c r="A2457" s="1">
        <v>209</v>
      </c>
      <c r="B2457" s="159">
        <v>2855</v>
      </c>
      <c r="C2457" s="1" t="s">
        <v>854</v>
      </c>
      <c r="D2457" s="1"/>
      <c r="E2457" s="1" t="s">
        <v>2453</v>
      </c>
      <c r="F2457" s="1" t="s">
        <v>1071</v>
      </c>
      <c r="G2457" s="1">
        <v>2</v>
      </c>
      <c r="H2457" s="1" t="s">
        <v>19</v>
      </c>
      <c r="I2457" s="1" t="s">
        <v>427</v>
      </c>
      <c r="J2457" s="1">
        <v>2</v>
      </c>
      <c r="K2457" s="1">
        <v>4</v>
      </c>
      <c r="L2457" s="42">
        <v>6</v>
      </c>
      <c r="M2457" s="43"/>
      <c r="N2457" s="1" t="e">
        <f>VLOOKUP(B2457,MICRO!E:L,8,0)</f>
        <v>#N/A</v>
      </c>
    </row>
    <row r="2458" spans="1:14" ht="20.25" x14ac:dyDescent="0.25">
      <c r="A2458" s="1">
        <v>210</v>
      </c>
      <c r="B2458" s="159">
        <v>2549</v>
      </c>
      <c r="C2458" s="1" t="s">
        <v>995</v>
      </c>
      <c r="D2458" s="1"/>
      <c r="E2458" s="1" t="s">
        <v>464</v>
      </c>
      <c r="F2458" s="1" t="s">
        <v>996</v>
      </c>
      <c r="G2458" s="1">
        <v>1</v>
      </c>
      <c r="H2458" s="1" t="s">
        <v>19</v>
      </c>
      <c r="I2458" s="1" t="s">
        <v>427</v>
      </c>
      <c r="J2458" s="1">
        <v>11.7</v>
      </c>
      <c r="K2458" s="1">
        <v>11.7</v>
      </c>
      <c r="L2458" s="42">
        <v>6</v>
      </c>
      <c r="M2458" s="43"/>
      <c r="N2458" s="1" t="e">
        <f>VLOOKUP(B2458,MICRO!E:L,8,0)</f>
        <v>#N/A</v>
      </c>
    </row>
    <row r="2459" spans="1:14" ht="20.25" x14ac:dyDescent="0.25">
      <c r="A2459" s="1">
        <v>211</v>
      </c>
      <c r="B2459" s="159">
        <v>2550</v>
      </c>
      <c r="C2459" s="1" t="s">
        <v>995</v>
      </c>
      <c r="D2459" s="1"/>
      <c r="E2459" s="1" t="s">
        <v>1103</v>
      </c>
      <c r="F2459" s="1" t="s">
        <v>997</v>
      </c>
      <c r="G2459" s="1">
        <v>1</v>
      </c>
      <c r="H2459" s="1" t="s">
        <v>19</v>
      </c>
      <c r="I2459" s="1" t="s">
        <v>427</v>
      </c>
      <c r="J2459" s="1">
        <v>8.1</v>
      </c>
      <c r="K2459" s="1">
        <v>8.1</v>
      </c>
      <c r="L2459" s="42">
        <v>6</v>
      </c>
      <c r="M2459" s="43"/>
      <c r="N2459" s="1" t="e">
        <f>VLOOKUP(B2459,MICRO!E:L,8,0)</f>
        <v>#N/A</v>
      </c>
    </row>
    <row r="2460" spans="1:14" ht="20.25" x14ac:dyDescent="0.25">
      <c r="A2460" s="1">
        <v>212</v>
      </c>
      <c r="B2460" s="159">
        <v>2551</v>
      </c>
      <c r="C2460" s="1" t="s">
        <v>998</v>
      </c>
      <c r="D2460" s="1"/>
      <c r="E2460" s="1" t="s">
        <v>746</v>
      </c>
      <c r="F2460" s="1" t="s">
        <v>999</v>
      </c>
      <c r="G2460" s="1">
        <v>1</v>
      </c>
      <c r="H2460" s="1" t="s">
        <v>19</v>
      </c>
      <c r="I2460" s="1" t="s">
        <v>427</v>
      </c>
      <c r="J2460" s="1">
        <v>11.7</v>
      </c>
      <c r="K2460" s="1">
        <v>11.7</v>
      </c>
      <c r="L2460" s="42">
        <v>6</v>
      </c>
      <c r="M2460" s="43"/>
      <c r="N2460" s="1" t="e">
        <f>VLOOKUP(B2460,MICRO!E:L,8,0)</f>
        <v>#N/A</v>
      </c>
    </row>
    <row r="2461" spans="1:14" ht="20.25" x14ac:dyDescent="0.25">
      <c r="A2461" s="1">
        <v>213</v>
      </c>
      <c r="B2461" s="159">
        <v>2552</v>
      </c>
      <c r="C2461" s="1" t="s">
        <v>998</v>
      </c>
      <c r="D2461" s="1"/>
      <c r="E2461" s="1" t="s">
        <v>1101</v>
      </c>
      <c r="F2461" s="1" t="s">
        <v>1000</v>
      </c>
      <c r="G2461" s="1">
        <v>1</v>
      </c>
      <c r="H2461" s="1" t="s">
        <v>19</v>
      </c>
      <c r="I2461" s="1" t="s">
        <v>427</v>
      </c>
      <c r="J2461" s="1">
        <v>11.7</v>
      </c>
      <c r="K2461" s="1">
        <v>11.7</v>
      </c>
      <c r="L2461" s="42">
        <v>6</v>
      </c>
      <c r="M2461" s="43"/>
      <c r="N2461" s="1" t="e">
        <f>VLOOKUP(B2461,MICRO!E:L,8,0)</f>
        <v>#N/A</v>
      </c>
    </row>
    <row r="2462" spans="1:14" ht="20.25" x14ac:dyDescent="0.25">
      <c r="A2462" s="1">
        <v>214</v>
      </c>
      <c r="B2462" s="159">
        <v>2556</v>
      </c>
      <c r="C2462" s="1" t="s">
        <v>1003</v>
      </c>
      <c r="D2462" s="1"/>
      <c r="E2462" s="1" t="s">
        <v>2</v>
      </c>
      <c r="F2462" s="1" t="s">
        <v>1004</v>
      </c>
      <c r="G2462" s="1">
        <v>1</v>
      </c>
      <c r="H2462" s="1" t="s">
        <v>19</v>
      </c>
      <c r="I2462" s="1" t="s">
        <v>427</v>
      </c>
      <c r="J2462" s="1">
        <v>14.3</v>
      </c>
      <c r="K2462" s="1">
        <v>14.3</v>
      </c>
      <c r="L2462" s="42">
        <v>6</v>
      </c>
      <c r="M2462" s="43"/>
      <c r="N2462" s="1" t="e">
        <f>VLOOKUP(B2462,MICRO!E:L,8,0)</f>
        <v>#N/A</v>
      </c>
    </row>
    <row r="2463" spans="1:14" ht="20.25" x14ac:dyDescent="0.25">
      <c r="A2463" s="1">
        <v>215</v>
      </c>
      <c r="B2463" s="159">
        <v>2353</v>
      </c>
      <c r="C2463" s="1" t="s">
        <v>870</v>
      </c>
      <c r="D2463" s="1"/>
      <c r="E2463" s="1" t="s">
        <v>1101</v>
      </c>
      <c r="F2463" s="1" t="s">
        <v>871</v>
      </c>
      <c r="G2463" s="1">
        <v>1</v>
      </c>
      <c r="H2463" s="1" t="s">
        <v>19</v>
      </c>
      <c r="I2463" s="1" t="s">
        <v>425</v>
      </c>
      <c r="J2463" s="1">
        <v>11.7</v>
      </c>
      <c r="K2463" s="1">
        <v>11.7</v>
      </c>
      <c r="L2463" s="42">
        <v>6</v>
      </c>
      <c r="M2463" s="43"/>
      <c r="N2463" s="1" t="e">
        <f>VLOOKUP(B2463,MICRO!E:L,8,0)</f>
        <v>#N/A</v>
      </c>
    </row>
    <row r="2464" spans="1:14" ht="20.25" x14ac:dyDescent="0.25">
      <c r="A2464" s="1">
        <v>216</v>
      </c>
      <c r="B2464" s="159">
        <v>2354</v>
      </c>
      <c r="C2464" s="1" t="s">
        <v>870</v>
      </c>
      <c r="D2464" s="1"/>
      <c r="E2464" s="1" t="s">
        <v>100</v>
      </c>
      <c r="F2464" s="1" t="s">
        <v>872</v>
      </c>
      <c r="G2464" s="1">
        <v>1</v>
      </c>
      <c r="H2464" s="1" t="s">
        <v>19</v>
      </c>
      <c r="I2464" s="1" t="s">
        <v>425</v>
      </c>
      <c r="J2464" s="1">
        <v>11.7</v>
      </c>
      <c r="K2464" s="1">
        <v>11.7</v>
      </c>
      <c r="L2464" s="42">
        <v>6</v>
      </c>
      <c r="M2464" s="43"/>
      <c r="N2464" s="1" t="e">
        <f>VLOOKUP(B2464,MICRO!E:L,8,0)</f>
        <v>#N/A</v>
      </c>
    </row>
    <row r="2465" spans="1:14" ht="20.25" x14ac:dyDescent="0.25">
      <c r="A2465" s="1">
        <v>217</v>
      </c>
      <c r="B2465" s="159">
        <v>2355</v>
      </c>
      <c r="C2465" s="1" t="s">
        <v>870</v>
      </c>
      <c r="D2465" s="1"/>
      <c r="E2465" s="1" t="s">
        <v>173</v>
      </c>
      <c r="F2465" s="1" t="s">
        <v>873</v>
      </c>
      <c r="G2465" s="1">
        <v>1</v>
      </c>
      <c r="H2465" s="1" t="s">
        <v>19</v>
      </c>
      <c r="I2465" s="1" t="s">
        <v>425</v>
      </c>
      <c r="J2465" s="1">
        <v>12.9</v>
      </c>
      <c r="K2465" s="1">
        <v>12.9</v>
      </c>
      <c r="L2465" s="42">
        <v>6</v>
      </c>
      <c r="M2465" s="43"/>
      <c r="N2465" s="1" t="e">
        <f>VLOOKUP(B2465,MICRO!E:L,8,0)</f>
        <v>#N/A</v>
      </c>
    </row>
    <row r="2466" spans="1:14" ht="20.25" x14ac:dyDescent="0.25">
      <c r="A2466" s="1">
        <v>218</v>
      </c>
      <c r="B2466" s="159">
        <v>2356</v>
      </c>
      <c r="C2466" s="1" t="s">
        <v>874</v>
      </c>
      <c r="D2466" s="1"/>
      <c r="E2466" s="1" t="s">
        <v>43</v>
      </c>
      <c r="F2466" s="1" t="s">
        <v>875</v>
      </c>
      <c r="G2466" s="1">
        <v>1</v>
      </c>
      <c r="H2466" s="1" t="s">
        <v>19</v>
      </c>
      <c r="I2466" s="1" t="s">
        <v>425</v>
      </c>
      <c r="J2466" s="1">
        <v>14.4</v>
      </c>
      <c r="K2466" s="1">
        <v>14.4</v>
      </c>
      <c r="L2466" s="42">
        <v>6</v>
      </c>
      <c r="M2466" s="43"/>
      <c r="N2466" s="1" t="e">
        <f>VLOOKUP(B2466,MICRO!E:L,8,0)</f>
        <v>#N/A</v>
      </c>
    </row>
    <row r="2467" spans="1:14" ht="20.25" x14ac:dyDescent="0.25">
      <c r="A2467" s="1">
        <v>219</v>
      </c>
      <c r="B2467" s="159">
        <v>2357</v>
      </c>
      <c r="C2467" s="1" t="s">
        <v>874</v>
      </c>
      <c r="D2467" s="1"/>
      <c r="E2467" s="1" t="s">
        <v>746</v>
      </c>
      <c r="F2467" s="1" t="s">
        <v>876</v>
      </c>
      <c r="G2467" s="1">
        <v>1</v>
      </c>
      <c r="H2467" s="1" t="s">
        <v>19</v>
      </c>
      <c r="I2467" s="1" t="s">
        <v>425</v>
      </c>
      <c r="J2467" s="1">
        <v>11.7</v>
      </c>
      <c r="K2467" s="1">
        <v>11.7</v>
      </c>
      <c r="L2467" s="42">
        <v>6</v>
      </c>
      <c r="M2467" s="43"/>
      <c r="N2467" s="1" t="e">
        <f>VLOOKUP(B2467,MICRO!E:L,8,0)</f>
        <v>#N/A</v>
      </c>
    </row>
    <row r="2468" spans="1:14" ht="20.25" x14ac:dyDescent="0.25">
      <c r="A2468" s="1">
        <v>220</v>
      </c>
      <c r="B2468" s="159">
        <v>2358</v>
      </c>
      <c r="C2468" s="1" t="s">
        <v>877</v>
      </c>
      <c r="D2468" s="1"/>
      <c r="E2468" s="1" t="s">
        <v>2</v>
      </c>
      <c r="F2468" s="1" t="s">
        <v>878</v>
      </c>
      <c r="G2468" s="1">
        <v>1</v>
      </c>
      <c r="H2468" s="1" t="s">
        <v>19</v>
      </c>
      <c r="I2468" s="1" t="s">
        <v>425</v>
      </c>
      <c r="J2468" s="1">
        <v>15</v>
      </c>
      <c r="K2468" s="1">
        <v>15</v>
      </c>
      <c r="L2468" s="42">
        <v>6</v>
      </c>
      <c r="M2468" s="43"/>
      <c r="N2468" s="1" t="e">
        <f>VLOOKUP(B2468,MICRO!E:L,8,0)</f>
        <v>#N/A</v>
      </c>
    </row>
    <row r="2469" spans="1:14" ht="20.25" x14ac:dyDescent="0.25">
      <c r="A2469" s="1">
        <v>221</v>
      </c>
      <c r="B2469" s="159">
        <v>2405</v>
      </c>
      <c r="C2469" s="1" t="s">
        <v>898</v>
      </c>
      <c r="D2469" s="1"/>
      <c r="E2469" s="1" t="s">
        <v>2</v>
      </c>
      <c r="F2469" s="1" t="s">
        <v>899</v>
      </c>
      <c r="G2469" s="1">
        <v>1</v>
      </c>
      <c r="H2469" s="1" t="s">
        <v>19</v>
      </c>
      <c r="I2469" s="1" t="s">
        <v>426</v>
      </c>
      <c r="J2469" s="1">
        <v>11</v>
      </c>
      <c r="K2469" s="1">
        <v>11</v>
      </c>
      <c r="L2469" s="42">
        <v>6</v>
      </c>
      <c r="M2469" s="43"/>
      <c r="N2469" s="1" t="e">
        <f>VLOOKUP(B2469,MICRO!E:L,8,0)</f>
        <v>#N/A</v>
      </c>
    </row>
    <row r="2470" spans="1:14" ht="20.25" x14ac:dyDescent="0.25">
      <c r="A2470" s="1">
        <v>222</v>
      </c>
      <c r="B2470" s="159">
        <v>2410</v>
      </c>
      <c r="C2470" s="1" t="s">
        <v>905</v>
      </c>
      <c r="D2470" s="1"/>
      <c r="E2470" s="1" t="s">
        <v>173</v>
      </c>
      <c r="F2470" s="1" t="s">
        <v>906</v>
      </c>
      <c r="G2470" s="1">
        <v>1</v>
      </c>
      <c r="H2470" s="1" t="s">
        <v>19</v>
      </c>
      <c r="I2470" s="1" t="s">
        <v>426</v>
      </c>
      <c r="J2470" s="1">
        <v>11.7</v>
      </c>
      <c r="K2470" s="1">
        <v>11.7</v>
      </c>
      <c r="L2470" s="42">
        <v>6</v>
      </c>
      <c r="M2470" s="43"/>
      <c r="N2470" s="1" t="e">
        <f>VLOOKUP(B2470,MICRO!E:L,8,0)</f>
        <v>#N/A</v>
      </c>
    </row>
    <row r="2471" spans="1:14" ht="20.25" x14ac:dyDescent="0.25">
      <c r="A2471" s="1">
        <v>223</v>
      </c>
      <c r="B2471" s="159">
        <v>2411</v>
      </c>
      <c r="C2471" s="1" t="s">
        <v>905</v>
      </c>
      <c r="D2471" s="1"/>
      <c r="E2471" s="1" t="s">
        <v>461</v>
      </c>
      <c r="F2471" s="1" t="s">
        <v>907</v>
      </c>
      <c r="G2471" s="1">
        <v>1</v>
      </c>
      <c r="H2471" s="1" t="s">
        <v>19</v>
      </c>
      <c r="I2471" s="1" t="s">
        <v>426</v>
      </c>
      <c r="J2471" s="1">
        <v>9.6999999999999993</v>
      </c>
      <c r="K2471" s="1">
        <v>9.6999999999999993</v>
      </c>
      <c r="L2471" s="42">
        <v>6</v>
      </c>
      <c r="M2471" s="43"/>
      <c r="N2471" s="1" t="e">
        <f>VLOOKUP(B2471,MICRO!E:L,8,0)</f>
        <v>#N/A</v>
      </c>
    </row>
    <row r="2472" spans="1:14" ht="20.25" x14ac:dyDescent="0.25">
      <c r="A2472" s="1">
        <v>224</v>
      </c>
      <c r="B2472" s="159">
        <v>2342</v>
      </c>
      <c r="C2472" s="1" t="s">
        <v>855</v>
      </c>
      <c r="D2472" s="1"/>
      <c r="E2472" s="1" t="s">
        <v>100</v>
      </c>
      <c r="F2472" s="1" t="s">
        <v>856</v>
      </c>
      <c r="G2472" s="1">
        <v>1</v>
      </c>
      <c r="H2472" s="1" t="s">
        <v>19</v>
      </c>
      <c r="I2472" s="1" t="s">
        <v>423</v>
      </c>
      <c r="J2472" s="1">
        <v>30.2</v>
      </c>
      <c r="K2472" s="1">
        <v>30.2</v>
      </c>
      <c r="L2472" s="42">
        <v>6</v>
      </c>
      <c r="M2472" s="43"/>
      <c r="N2472" s="1" t="e">
        <f>VLOOKUP(B2472,MICRO!E:L,8,0)</f>
        <v>#N/A</v>
      </c>
    </row>
    <row r="2473" spans="1:14" ht="20.25" x14ac:dyDescent="0.25">
      <c r="A2473" s="1">
        <v>225</v>
      </c>
      <c r="B2473" s="159">
        <v>2343</v>
      </c>
      <c r="C2473" s="1" t="s">
        <v>857</v>
      </c>
      <c r="D2473" s="1"/>
      <c r="E2473" s="1" t="s">
        <v>746</v>
      </c>
      <c r="F2473" s="1" t="s">
        <v>858</v>
      </c>
      <c r="G2473" s="1">
        <v>6</v>
      </c>
      <c r="H2473" s="1" t="s">
        <v>19</v>
      </c>
      <c r="I2473" s="1" t="s">
        <v>423</v>
      </c>
      <c r="J2473" s="1">
        <v>11.7</v>
      </c>
      <c r="K2473" s="1">
        <v>70.199999999999989</v>
      </c>
      <c r="L2473" s="42">
        <v>6</v>
      </c>
      <c r="M2473" s="43"/>
      <c r="N2473" s="1" t="e">
        <f>VLOOKUP(B2473,MICRO!E:L,8,0)</f>
        <v>#N/A</v>
      </c>
    </row>
    <row r="2474" spans="1:14" ht="20.25" x14ac:dyDescent="0.25">
      <c r="A2474" s="1">
        <v>226</v>
      </c>
      <c r="B2474" s="159">
        <v>2344</v>
      </c>
      <c r="C2474" s="1" t="s">
        <v>857</v>
      </c>
      <c r="D2474" s="1"/>
      <c r="E2474" s="1" t="s">
        <v>1101</v>
      </c>
      <c r="F2474" s="1" t="s">
        <v>859</v>
      </c>
      <c r="G2474" s="1">
        <v>3</v>
      </c>
      <c r="H2474" s="1" t="s">
        <v>19</v>
      </c>
      <c r="I2474" s="1" t="s">
        <v>423</v>
      </c>
      <c r="J2474" s="1">
        <v>11.7</v>
      </c>
      <c r="K2474" s="1">
        <v>35.099999999999994</v>
      </c>
      <c r="L2474" s="42">
        <v>6</v>
      </c>
      <c r="M2474" s="43"/>
      <c r="N2474" s="1" t="e">
        <f>VLOOKUP(B2474,MICRO!E:L,8,0)</f>
        <v>#N/A</v>
      </c>
    </row>
    <row r="2475" spans="1:14" ht="20.25" x14ac:dyDescent="0.25">
      <c r="A2475" s="1">
        <v>227</v>
      </c>
      <c r="B2475" s="159">
        <v>2345</v>
      </c>
      <c r="C2475" s="1" t="s">
        <v>860</v>
      </c>
      <c r="D2475" s="1"/>
      <c r="E2475" s="1" t="s">
        <v>2</v>
      </c>
      <c r="F2475" s="1" t="s">
        <v>861</v>
      </c>
      <c r="G2475" s="1">
        <v>1</v>
      </c>
      <c r="H2475" s="1" t="s">
        <v>19</v>
      </c>
      <c r="I2475" s="1" t="s">
        <v>423</v>
      </c>
      <c r="J2475" s="1">
        <v>16</v>
      </c>
      <c r="K2475" s="1">
        <v>16</v>
      </c>
      <c r="L2475" s="42">
        <v>6</v>
      </c>
      <c r="M2475" s="43"/>
      <c r="N2475" s="1" t="e">
        <f>VLOOKUP(B2475,MICRO!E:L,8,0)</f>
        <v>#N/A</v>
      </c>
    </row>
    <row r="2476" spans="1:14" ht="20.25" x14ac:dyDescent="0.25">
      <c r="A2476" s="1">
        <v>228</v>
      </c>
      <c r="B2476" s="159">
        <v>2346</v>
      </c>
      <c r="C2476" s="1" t="s">
        <v>860</v>
      </c>
      <c r="D2476" s="1"/>
      <c r="E2476" s="1" t="s">
        <v>43</v>
      </c>
      <c r="F2476" s="1" t="s">
        <v>862</v>
      </c>
      <c r="G2476" s="1">
        <v>1</v>
      </c>
      <c r="H2476" s="1" t="s">
        <v>19</v>
      </c>
      <c r="I2476" s="1" t="s">
        <v>423</v>
      </c>
      <c r="J2476" s="1">
        <v>11.7</v>
      </c>
      <c r="K2476" s="1">
        <v>11.7</v>
      </c>
      <c r="L2476" s="42">
        <v>6</v>
      </c>
      <c r="M2476" s="43"/>
      <c r="N2476" s="1" t="e">
        <f>VLOOKUP(B2476,MICRO!E:L,8,0)</f>
        <v>#N/A</v>
      </c>
    </row>
    <row r="2477" spans="1:14" ht="20.25" x14ac:dyDescent="0.25">
      <c r="A2477" s="1">
        <v>229</v>
      </c>
      <c r="B2477" s="159">
        <v>2348</v>
      </c>
      <c r="C2477" s="1" t="s">
        <v>1053</v>
      </c>
      <c r="D2477" s="1"/>
      <c r="E2477" s="1" t="s">
        <v>43</v>
      </c>
      <c r="F2477" s="1" t="s">
        <v>865</v>
      </c>
      <c r="G2477" s="1">
        <v>1</v>
      </c>
      <c r="H2477" s="1" t="s">
        <v>19</v>
      </c>
      <c r="I2477" s="1" t="s">
        <v>424</v>
      </c>
      <c r="J2477" s="1">
        <v>11.7</v>
      </c>
      <c r="K2477" s="1">
        <v>11.7</v>
      </c>
      <c r="L2477" s="42">
        <v>6</v>
      </c>
      <c r="M2477" s="43"/>
      <c r="N2477" s="1" t="e">
        <f>VLOOKUP(B2477,MICRO!E:L,8,0)</f>
        <v>#N/A</v>
      </c>
    </row>
    <row r="2478" spans="1:14" ht="20.25" x14ac:dyDescent="0.25">
      <c r="A2478" s="1">
        <v>230</v>
      </c>
      <c r="B2478" s="159">
        <v>2349</v>
      </c>
      <c r="C2478" s="1" t="s">
        <v>1053</v>
      </c>
      <c r="D2478" s="1"/>
      <c r="E2478" s="1" t="s">
        <v>746</v>
      </c>
      <c r="F2478" s="1" t="s">
        <v>866</v>
      </c>
      <c r="G2478" s="1">
        <v>1</v>
      </c>
      <c r="H2478" s="1" t="s">
        <v>19</v>
      </c>
      <c r="I2478" s="1" t="s">
        <v>424</v>
      </c>
      <c r="J2478" s="1">
        <v>11.7</v>
      </c>
      <c r="K2478" s="1">
        <v>11.7</v>
      </c>
      <c r="L2478" s="42">
        <v>6</v>
      </c>
      <c r="M2478" s="43"/>
      <c r="N2478" s="1" t="e">
        <f>VLOOKUP(B2478,MICRO!E:L,8,0)</f>
        <v>#N/A</v>
      </c>
    </row>
    <row r="2479" spans="1:14" ht="20.25" x14ac:dyDescent="0.25">
      <c r="A2479" s="1">
        <v>231</v>
      </c>
      <c r="B2479" s="159"/>
      <c r="C2479" s="1"/>
      <c r="D2479" s="1"/>
      <c r="E2479" s="1"/>
      <c r="F2479" s="1" t="s">
        <v>2454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2">
        <v>6</v>
      </c>
      <c r="M2479" s="43"/>
      <c r="N2479" s="1" t="e">
        <f>VLOOKUP(B2479,MICRO!E:L,8,0)</f>
        <v>#N/A</v>
      </c>
    </row>
    <row r="2480" spans="1:14" ht="20.25" x14ac:dyDescent="0.25">
      <c r="A2480" s="1">
        <v>232</v>
      </c>
      <c r="B2480" s="159"/>
      <c r="C2480" s="1"/>
      <c r="D2480" s="1"/>
      <c r="E2480" s="1"/>
      <c r="F2480" s="1" t="s">
        <v>2455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2">
        <v>6</v>
      </c>
      <c r="M2480" s="43"/>
      <c r="N2480" s="1" t="e">
        <f>VLOOKUP(B2480,MICRO!E:L,8,0)</f>
        <v>#N/A</v>
      </c>
    </row>
    <row r="2481" spans="1:14" ht="20.25" x14ac:dyDescent="0.25">
      <c r="A2481" s="1">
        <v>233</v>
      </c>
      <c r="B2481" s="159"/>
      <c r="C2481" s="1"/>
      <c r="D2481" s="1"/>
      <c r="E2481" s="1"/>
      <c r="F2481" s="1" t="s">
        <v>2456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2">
        <v>6</v>
      </c>
      <c r="M2481" s="43"/>
      <c r="N2481" s="1" t="e">
        <f>VLOOKUP(B2481,MICRO!E:L,8,0)</f>
        <v>#N/A</v>
      </c>
    </row>
    <row r="2482" spans="1:14" ht="20.25" x14ac:dyDescent="0.25">
      <c r="A2482" s="1">
        <v>234</v>
      </c>
      <c r="B2482" s="159"/>
      <c r="C2482" s="1"/>
      <c r="D2482" s="1"/>
      <c r="E2482" s="1"/>
      <c r="F2482" s="1" t="s">
        <v>2457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2">
        <v>6</v>
      </c>
      <c r="M2482" s="43"/>
      <c r="N2482" s="1" t="e">
        <f>VLOOKUP(B2482,MICRO!E:L,8,0)</f>
        <v>#N/A</v>
      </c>
    </row>
    <row r="2483" spans="1:14" ht="20.25" x14ac:dyDescent="0.25">
      <c r="A2483" s="1">
        <v>235</v>
      </c>
      <c r="B2483" s="159"/>
      <c r="C2483" s="1"/>
      <c r="D2483" s="1"/>
      <c r="E2483" s="1"/>
      <c r="F2483" s="1" t="s">
        <v>2458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2">
        <v>6</v>
      </c>
      <c r="M2483" s="43"/>
      <c r="N2483" s="1" t="e">
        <f>VLOOKUP(B2483,MICRO!E:L,8,0)</f>
        <v>#N/A</v>
      </c>
    </row>
    <row r="2484" spans="1:14" ht="20.25" x14ac:dyDescent="0.25">
      <c r="A2484" s="1">
        <v>236</v>
      </c>
      <c r="B2484" s="159"/>
      <c r="C2484" s="1"/>
      <c r="D2484" s="1"/>
      <c r="E2484" s="1"/>
      <c r="F2484" s="1" t="s">
        <v>2314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2">
        <v>6</v>
      </c>
      <c r="M2484" s="43"/>
      <c r="N2484" s="1" t="e">
        <f>VLOOKUP(B2484,MICRO!E:L,8,0)</f>
        <v>#N/A</v>
      </c>
    </row>
    <row r="2485" spans="1:14" ht="20.25" x14ac:dyDescent="0.25">
      <c r="A2485" s="1">
        <v>237</v>
      </c>
      <c r="B2485" s="159"/>
      <c r="C2485" s="1"/>
      <c r="D2485" s="1"/>
      <c r="E2485" s="1"/>
      <c r="F2485" s="1" t="s">
        <v>2459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2">
        <v>6</v>
      </c>
      <c r="M2485" s="43"/>
      <c r="N2485" s="1" t="e">
        <f>VLOOKUP(B2485,MICRO!E:L,8,0)</f>
        <v>#N/A</v>
      </c>
    </row>
    <row r="2486" spans="1:14" ht="20.25" x14ac:dyDescent="0.25">
      <c r="A2486" s="1">
        <v>238</v>
      </c>
      <c r="B2486" s="159"/>
      <c r="C2486" s="1"/>
      <c r="D2486" s="1"/>
      <c r="E2486" s="1"/>
      <c r="F2486" s="1" t="s">
        <v>2460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2">
        <v>6</v>
      </c>
      <c r="M2486" s="43"/>
      <c r="N2486" s="1" t="e">
        <f>VLOOKUP(B2486,MICRO!E:L,8,0)</f>
        <v>#N/A</v>
      </c>
    </row>
    <row r="2487" spans="1:14" ht="20.25" x14ac:dyDescent="0.25">
      <c r="A2487" s="1">
        <v>239</v>
      </c>
      <c r="B2487" s="159"/>
      <c r="C2487" s="1"/>
      <c r="D2487" s="1"/>
      <c r="E2487" s="1"/>
      <c r="F2487" s="1" t="s">
        <v>2461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2">
        <v>6</v>
      </c>
      <c r="M2487" s="43"/>
      <c r="N2487" s="1" t="e">
        <f>VLOOKUP(B2487,MICRO!E:L,8,0)</f>
        <v>#N/A</v>
      </c>
    </row>
    <row r="2488" spans="1:14" ht="20.25" x14ac:dyDescent="0.25">
      <c r="A2488" s="1">
        <v>240</v>
      </c>
      <c r="B2488" s="159"/>
      <c r="C2488" s="1" t="s">
        <v>2462</v>
      </c>
      <c r="D2488" s="1"/>
      <c r="E2488" s="1"/>
      <c r="F2488" s="1" t="s">
        <v>2463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2">
        <v>6</v>
      </c>
      <c r="M2488" s="43"/>
      <c r="N2488" s="1" t="e">
        <f>VLOOKUP(B2488,MICRO!E:L,8,0)</f>
        <v>#N/A</v>
      </c>
    </row>
    <row r="2489" spans="1:14" ht="20.25" x14ac:dyDescent="0.25">
      <c r="A2489" s="1">
        <v>241</v>
      </c>
      <c r="B2489" s="159"/>
      <c r="C2489" s="1"/>
      <c r="D2489" s="1"/>
      <c r="E2489" s="1"/>
      <c r="F2489" s="1" t="s">
        <v>2464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2">
        <v>6</v>
      </c>
      <c r="M2489" s="43"/>
      <c r="N2489" s="1" t="e">
        <f>VLOOKUP(B2489,MICRO!E:L,8,0)</f>
        <v>#N/A</v>
      </c>
    </row>
    <row r="2490" spans="1:14" ht="20.25" x14ac:dyDescent="0.25">
      <c r="A2490" s="1">
        <v>242</v>
      </c>
      <c r="B2490" s="159"/>
      <c r="C2490" s="1"/>
      <c r="D2490" s="1"/>
      <c r="E2490" s="1"/>
      <c r="F2490" s="1" t="s">
        <v>2465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2">
        <v>6</v>
      </c>
      <c r="M2490" s="43"/>
      <c r="N2490" s="1" t="e">
        <f>VLOOKUP(B2490,MICRO!E:L,8,0)</f>
        <v>#N/A</v>
      </c>
    </row>
    <row r="2491" spans="1:14" ht="20.25" x14ac:dyDescent="0.25">
      <c r="A2491" s="1">
        <v>243</v>
      </c>
      <c r="B2491" s="159"/>
      <c r="C2491" s="1"/>
      <c r="D2491" s="1"/>
      <c r="E2491" s="1"/>
      <c r="F2491" s="1" t="s">
        <v>2466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2">
        <v>6</v>
      </c>
      <c r="M2491" s="43"/>
      <c r="N2491" s="1" t="e">
        <f>VLOOKUP(B2491,MICRO!E:L,8,0)</f>
        <v>#N/A</v>
      </c>
    </row>
    <row r="2492" spans="1:14" ht="20.25" x14ac:dyDescent="0.25">
      <c r="A2492" s="1">
        <v>244</v>
      </c>
      <c r="B2492" s="159"/>
      <c r="C2492" s="1"/>
      <c r="D2492" s="1"/>
      <c r="E2492" s="1"/>
      <c r="F2492" s="1" t="s">
        <v>2467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2">
        <v>6</v>
      </c>
      <c r="M2492" s="43"/>
      <c r="N2492" s="1" t="e">
        <f>VLOOKUP(B2492,MICRO!E:L,8,0)</f>
        <v>#N/A</v>
      </c>
    </row>
    <row r="2493" spans="1:14" ht="20.25" x14ac:dyDescent="0.25">
      <c r="A2493" s="1">
        <v>245</v>
      </c>
      <c r="B2493" s="159"/>
      <c r="C2493" s="1"/>
      <c r="D2493" s="1"/>
      <c r="E2493" s="1"/>
      <c r="F2493" s="1" t="s">
        <v>2468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2">
        <v>6</v>
      </c>
      <c r="M2493" s="43"/>
      <c r="N2493" s="1" t="e">
        <f>VLOOKUP(B2493,MICRO!E:L,8,0)</f>
        <v>#N/A</v>
      </c>
    </row>
    <row r="2494" spans="1:14" ht="20.25" x14ac:dyDescent="0.25">
      <c r="A2494" s="1">
        <v>246</v>
      </c>
      <c r="B2494" s="159"/>
      <c r="C2494" s="1"/>
      <c r="D2494" s="1"/>
      <c r="E2494" s="1"/>
      <c r="F2494" s="1" t="s">
        <v>2469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2">
        <v>6</v>
      </c>
      <c r="M2494" s="43"/>
      <c r="N2494" s="1" t="e">
        <f>VLOOKUP(B2494,MICRO!E:L,8,0)</f>
        <v>#N/A</v>
      </c>
    </row>
    <row r="2495" spans="1:14" ht="20.25" x14ac:dyDescent="0.25">
      <c r="A2495" s="1">
        <v>247</v>
      </c>
      <c r="B2495" s="159"/>
      <c r="C2495" s="1"/>
      <c r="D2495" s="1"/>
      <c r="E2495" s="1"/>
      <c r="F2495" s="1" t="s">
        <v>2470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2">
        <v>6</v>
      </c>
      <c r="M2495" s="43"/>
      <c r="N2495" s="1" t="e">
        <f>VLOOKUP(B2495,MICRO!E:L,8,0)</f>
        <v>#N/A</v>
      </c>
    </row>
    <row r="2496" spans="1:14" ht="20.25" x14ac:dyDescent="0.25">
      <c r="A2496" s="1">
        <v>248</v>
      </c>
      <c r="B2496" s="159"/>
      <c r="C2496" s="1"/>
      <c r="D2496" s="1"/>
      <c r="E2496" s="1"/>
      <c r="F2496" s="1" t="s">
        <v>2471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2">
        <v>6</v>
      </c>
      <c r="M2496" s="43"/>
      <c r="N2496" s="1" t="e">
        <f>VLOOKUP(B2496,MICRO!E:L,8,0)</f>
        <v>#N/A</v>
      </c>
    </row>
    <row r="2497" spans="1:14" ht="20.25" x14ac:dyDescent="0.25">
      <c r="A2497" s="1">
        <v>249</v>
      </c>
      <c r="B2497" s="159"/>
      <c r="C2497" s="1"/>
      <c r="D2497" s="1"/>
      <c r="E2497" s="1"/>
      <c r="F2497" s="1" t="s">
        <v>2472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2">
        <v>6</v>
      </c>
      <c r="M2497" s="43"/>
      <c r="N2497" s="1" t="e">
        <f>VLOOKUP(B2497,MICRO!E:L,8,0)</f>
        <v>#N/A</v>
      </c>
    </row>
    <row r="2498" spans="1:14" ht="20.25" x14ac:dyDescent="0.25">
      <c r="A2498" s="1">
        <v>250</v>
      </c>
      <c r="B2498" s="159"/>
      <c r="C2498" s="1" t="s">
        <v>2317</v>
      </c>
      <c r="D2498" s="1"/>
      <c r="E2498" s="1"/>
      <c r="F2498" s="1" t="s">
        <v>2473</v>
      </c>
      <c r="G2498" s="1">
        <v>1</v>
      </c>
      <c r="H2498" s="1" t="s">
        <v>19</v>
      </c>
      <c r="I2498" s="1" t="s">
        <v>2317</v>
      </c>
      <c r="J2498" s="1">
        <v>2.8</v>
      </c>
      <c r="K2498" s="1">
        <v>2.8</v>
      </c>
      <c r="L2498" s="42">
        <v>6</v>
      </c>
      <c r="M2498" s="43"/>
      <c r="N2498" s="1" t="e">
        <f>VLOOKUP(B2498,MICRO!E:L,8,0)</f>
        <v>#N/A</v>
      </c>
    </row>
    <row r="2499" spans="1:14" ht="20.25" x14ac:dyDescent="0.25">
      <c r="A2499" s="1">
        <v>251</v>
      </c>
      <c r="B2499" s="159"/>
      <c r="C2499" s="1" t="s">
        <v>2319</v>
      </c>
      <c r="D2499" s="1"/>
      <c r="E2499" s="1"/>
      <c r="F2499" s="1" t="s">
        <v>2474</v>
      </c>
      <c r="G2499" s="1">
        <v>1</v>
      </c>
      <c r="H2499" s="1" t="s">
        <v>19</v>
      </c>
      <c r="I2499" s="1" t="s">
        <v>2319</v>
      </c>
      <c r="J2499" s="1">
        <v>2.8</v>
      </c>
      <c r="K2499" s="1">
        <v>2.8</v>
      </c>
      <c r="L2499" s="42">
        <v>6</v>
      </c>
      <c r="M2499" s="43"/>
      <c r="N2499" s="1" t="e">
        <f>VLOOKUP(B2499,MICRO!E:L,8,0)</f>
        <v>#N/A</v>
      </c>
    </row>
    <row r="2500" spans="1:14" ht="20.25" x14ac:dyDescent="0.25">
      <c r="A2500" s="1">
        <v>252</v>
      </c>
      <c r="B2500" s="159"/>
      <c r="C2500" s="1" t="s">
        <v>2321</v>
      </c>
      <c r="D2500" s="1"/>
      <c r="E2500" s="1"/>
      <c r="F2500" s="1" t="s">
        <v>2475</v>
      </c>
      <c r="G2500" s="1">
        <v>1</v>
      </c>
      <c r="H2500" s="1" t="s">
        <v>19</v>
      </c>
      <c r="I2500" s="1" t="s">
        <v>2321</v>
      </c>
      <c r="J2500" s="1">
        <v>2.8</v>
      </c>
      <c r="K2500" s="1">
        <v>2.8</v>
      </c>
      <c r="L2500" s="42">
        <v>6</v>
      </c>
      <c r="M2500" s="43"/>
      <c r="N2500" s="1" t="e">
        <f>VLOOKUP(B2500,MICRO!E:L,8,0)</f>
        <v>#N/A</v>
      </c>
    </row>
    <row r="2501" spans="1:14" ht="20.25" x14ac:dyDescent="0.25">
      <c r="A2501" s="1">
        <v>253</v>
      </c>
      <c r="B2501" s="159"/>
      <c r="C2501" s="1" t="s">
        <v>2323</v>
      </c>
      <c r="D2501" s="1"/>
      <c r="E2501" s="1"/>
      <c r="F2501" s="1" t="s">
        <v>2476</v>
      </c>
      <c r="G2501" s="1">
        <v>1</v>
      </c>
      <c r="H2501" s="1" t="s">
        <v>19</v>
      </c>
      <c r="I2501" s="1" t="s">
        <v>2323</v>
      </c>
      <c r="J2501" s="1">
        <v>2.8</v>
      </c>
      <c r="K2501" s="1">
        <v>2.8</v>
      </c>
      <c r="L2501" s="42">
        <v>6</v>
      </c>
      <c r="M2501" s="43"/>
      <c r="N2501" s="1" t="e">
        <f>VLOOKUP(B2501,MICRO!E:L,8,0)</f>
        <v>#N/A</v>
      </c>
    </row>
    <row r="2502" spans="1:14" ht="20.25" x14ac:dyDescent="0.25">
      <c r="A2502" s="1">
        <v>254</v>
      </c>
      <c r="B2502" s="159"/>
      <c r="C2502" s="1" t="s">
        <v>2325</v>
      </c>
      <c r="D2502" s="1"/>
      <c r="E2502" s="1"/>
      <c r="F2502" s="1" t="s">
        <v>2477</v>
      </c>
      <c r="G2502" s="1">
        <v>1</v>
      </c>
      <c r="H2502" s="1" t="s">
        <v>19</v>
      </c>
      <c r="I2502" s="1" t="s">
        <v>2325</v>
      </c>
      <c r="J2502" s="1">
        <v>2.8</v>
      </c>
      <c r="K2502" s="1">
        <v>2.8</v>
      </c>
      <c r="L2502" s="42">
        <v>6</v>
      </c>
      <c r="M2502" s="43"/>
      <c r="N2502" s="1" t="e">
        <f>VLOOKUP(B2502,MICRO!E:L,8,0)</f>
        <v>#N/A</v>
      </c>
    </row>
    <row r="2503" spans="1:14" ht="20.25" x14ac:dyDescent="0.25">
      <c r="A2503" s="1">
        <v>1</v>
      </c>
      <c r="B2503" s="159"/>
      <c r="C2503" s="1" t="s">
        <v>2072</v>
      </c>
      <c r="D2503" s="1"/>
      <c r="E2503" s="1"/>
      <c r="F2503" s="1" t="s">
        <v>2073</v>
      </c>
      <c r="G2503" s="1">
        <v>44</v>
      </c>
      <c r="H2503" s="1" t="s">
        <v>19</v>
      </c>
      <c r="I2503" s="1" t="s">
        <v>423</v>
      </c>
      <c r="J2503" s="1">
        <v>0.05</v>
      </c>
      <c r="K2503" s="1">
        <v>2.2000000000000002</v>
      </c>
      <c r="L2503" s="42">
        <v>7</v>
      </c>
      <c r="M2503" s="43"/>
      <c r="N2503" s="1" t="e">
        <f>VLOOKUP(B2503,MICRO!E:L,8,0)</f>
        <v>#N/A</v>
      </c>
    </row>
    <row r="2504" spans="1:14" ht="20.25" x14ac:dyDescent="0.25">
      <c r="A2504" s="1">
        <v>2</v>
      </c>
      <c r="B2504" s="159"/>
      <c r="C2504" s="1" t="s">
        <v>1528</v>
      </c>
      <c r="D2504" s="1"/>
      <c r="E2504" s="1"/>
      <c r="F2504" s="1" t="s">
        <v>2074</v>
      </c>
      <c r="G2504" s="1">
        <v>16</v>
      </c>
      <c r="H2504" s="1" t="s">
        <v>19</v>
      </c>
      <c r="I2504" s="1" t="s">
        <v>425</v>
      </c>
      <c r="J2504" s="1">
        <v>0.05</v>
      </c>
      <c r="K2504" s="1">
        <v>0.8</v>
      </c>
      <c r="L2504" s="42">
        <v>7</v>
      </c>
      <c r="M2504" s="43"/>
      <c r="N2504" s="1" t="e">
        <f>VLOOKUP(B2504,MICRO!E:L,8,0)</f>
        <v>#N/A</v>
      </c>
    </row>
    <row r="2505" spans="1:14" ht="20.25" x14ac:dyDescent="0.25">
      <c r="A2505" s="1">
        <v>3</v>
      </c>
      <c r="B2505" s="159"/>
      <c r="C2505" s="1" t="s">
        <v>1439</v>
      </c>
      <c r="D2505" s="1"/>
      <c r="E2505" s="1"/>
      <c r="F2505" s="1" t="s">
        <v>2075</v>
      </c>
      <c r="G2505" s="1">
        <v>32</v>
      </c>
      <c r="H2505" s="1" t="s">
        <v>19</v>
      </c>
      <c r="I2505" s="1" t="s">
        <v>426</v>
      </c>
      <c r="J2505" s="1">
        <v>0.05</v>
      </c>
      <c r="K2505" s="1">
        <v>1.6</v>
      </c>
      <c r="L2505" s="42">
        <v>7</v>
      </c>
      <c r="M2505" s="43"/>
      <c r="N2505" s="1" t="e">
        <f>VLOOKUP(B2505,MICRO!E:L,8,0)</f>
        <v>#N/A</v>
      </c>
    </row>
    <row r="2506" spans="1:14" ht="20.25" x14ac:dyDescent="0.25">
      <c r="A2506" s="1">
        <v>4</v>
      </c>
      <c r="B2506" s="159"/>
      <c r="C2506" s="1" t="s">
        <v>1441</v>
      </c>
      <c r="D2506" s="1"/>
      <c r="E2506" s="1"/>
      <c r="F2506" s="1" t="s">
        <v>2076</v>
      </c>
      <c r="G2506" s="1">
        <v>24</v>
      </c>
      <c r="H2506" s="1" t="s">
        <v>19</v>
      </c>
      <c r="I2506" s="1" t="s">
        <v>426</v>
      </c>
      <c r="J2506" s="1">
        <v>0.05</v>
      </c>
      <c r="K2506" s="1">
        <v>1.2000000000000002</v>
      </c>
      <c r="L2506" s="42">
        <v>7</v>
      </c>
      <c r="M2506" s="43"/>
      <c r="N2506" s="1" t="e">
        <f>VLOOKUP(B2506,MICRO!E:L,8,0)</f>
        <v>#N/A</v>
      </c>
    </row>
    <row r="2507" spans="1:14" ht="20.25" x14ac:dyDescent="0.25">
      <c r="A2507" s="1">
        <v>5</v>
      </c>
      <c r="B2507" s="159"/>
      <c r="C2507" s="1" t="s">
        <v>1443</v>
      </c>
      <c r="D2507" s="1"/>
      <c r="E2507" s="1"/>
      <c r="F2507" s="1" t="s">
        <v>2077</v>
      </c>
      <c r="G2507" s="1">
        <v>24</v>
      </c>
      <c r="H2507" s="1" t="s">
        <v>19</v>
      </c>
      <c r="I2507" s="1" t="s">
        <v>426</v>
      </c>
      <c r="J2507" s="1">
        <v>0.05</v>
      </c>
      <c r="K2507" s="1">
        <v>1.2000000000000002</v>
      </c>
      <c r="L2507" s="42">
        <v>7</v>
      </c>
      <c r="M2507" s="43"/>
      <c r="N2507" s="1" t="e">
        <f>VLOOKUP(B2507,MICRO!E:L,8,0)</f>
        <v>#N/A</v>
      </c>
    </row>
    <row r="2508" spans="1:14" ht="20.25" x14ac:dyDescent="0.25">
      <c r="A2508" s="1">
        <v>6</v>
      </c>
      <c r="B2508" s="159"/>
      <c r="C2508" s="1" t="s">
        <v>1430</v>
      </c>
      <c r="D2508" s="1"/>
      <c r="E2508" s="1"/>
      <c r="F2508" s="1" t="s">
        <v>2077</v>
      </c>
      <c r="G2508" s="1">
        <v>16</v>
      </c>
      <c r="H2508" s="1" t="s">
        <v>19</v>
      </c>
      <c r="I2508" s="1" t="s">
        <v>424</v>
      </c>
      <c r="J2508" s="1">
        <v>0.05</v>
      </c>
      <c r="K2508" s="1">
        <v>0.8</v>
      </c>
      <c r="L2508" s="42">
        <v>7</v>
      </c>
      <c r="M2508" s="43"/>
      <c r="N2508" s="1" t="e">
        <f>VLOOKUP(B2508,MICRO!E:L,8,0)</f>
        <v>#N/A</v>
      </c>
    </row>
    <row r="2509" spans="1:14" ht="20.25" x14ac:dyDescent="0.25">
      <c r="A2509" s="1">
        <v>7</v>
      </c>
      <c r="B2509" s="159"/>
      <c r="C2509" s="1" t="s">
        <v>1447</v>
      </c>
      <c r="D2509" s="1"/>
      <c r="E2509" s="1"/>
      <c r="F2509" s="1" t="s">
        <v>2078</v>
      </c>
      <c r="G2509" s="1">
        <v>28</v>
      </c>
      <c r="H2509" s="1" t="s">
        <v>19</v>
      </c>
      <c r="I2509" s="1" t="s">
        <v>427</v>
      </c>
      <c r="J2509" s="1">
        <v>0.05</v>
      </c>
      <c r="K2509" s="1">
        <v>1.4000000000000001</v>
      </c>
      <c r="L2509" s="42">
        <v>7</v>
      </c>
      <c r="M2509" s="43"/>
      <c r="N2509" s="1" t="e">
        <f>VLOOKUP(B2509,MICRO!E:L,8,0)</f>
        <v>#N/A</v>
      </c>
    </row>
    <row r="2510" spans="1:14" ht="20.25" x14ac:dyDescent="0.25">
      <c r="A2510" s="1">
        <v>8</v>
      </c>
      <c r="B2510" s="159"/>
      <c r="C2510" s="1" t="s">
        <v>1414</v>
      </c>
      <c r="D2510" s="1"/>
      <c r="E2510" s="1"/>
      <c r="F2510" s="1" t="s">
        <v>2079</v>
      </c>
      <c r="G2510" s="1">
        <v>2</v>
      </c>
      <c r="H2510" s="1" t="s">
        <v>19</v>
      </c>
      <c r="I2510" s="1" t="s">
        <v>423</v>
      </c>
      <c r="J2510" s="1">
        <v>0.05</v>
      </c>
      <c r="K2510" s="1">
        <v>0.1</v>
      </c>
      <c r="L2510" s="42">
        <v>7</v>
      </c>
      <c r="M2510" s="43"/>
      <c r="N2510" s="1" t="e">
        <f>VLOOKUP(B2510,MICRO!E:L,8,0)</f>
        <v>#N/A</v>
      </c>
    </row>
    <row r="2511" spans="1:14" ht="20.25" x14ac:dyDescent="0.25">
      <c r="A2511" s="1">
        <v>9</v>
      </c>
      <c r="B2511" s="159"/>
      <c r="C2511" s="1" t="s">
        <v>1402</v>
      </c>
      <c r="D2511" s="1"/>
      <c r="E2511" s="1"/>
      <c r="F2511" s="1" t="s">
        <v>2080</v>
      </c>
      <c r="G2511" s="1">
        <v>2</v>
      </c>
      <c r="H2511" s="1" t="s">
        <v>19</v>
      </c>
      <c r="I2511" s="1" t="s">
        <v>1404</v>
      </c>
      <c r="J2511" s="1">
        <v>0.05</v>
      </c>
      <c r="K2511" s="1">
        <v>0.1</v>
      </c>
      <c r="L2511" s="42">
        <v>7</v>
      </c>
      <c r="M2511" s="43"/>
      <c r="N2511" s="1" t="e">
        <f>VLOOKUP(B2511,MICRO!E:L,8,0)</f>
        <v>#N/A</v>
      </c>
    </row>
    <row r="2512" spans="1:14" ht="20.25" x14ac:dyDescent="0.25">
      <c r="A2512" s="1">
        <v>10</v>
      </c>
      <c r="B2512" s="159"/>
      <c r="C2512" s="1" t="s">
        <v>1412</v>
      </c>
      <c r="D2512" s="1"/>
      <c r="E2512" s="1"/>
      <c r="F2512" s="1" t="s">
        <v>2081</v>
      </c>
      <c r="G2512" s="1">
        <v>2</v>
      </c>
      <c r="H2512" s="1" t="s">
        <v>19</v>
      </c>
      <c r="I2512" s="1" t="s">
        <v>427</v>
      </c>
      <c r="J2512" s="1">
        <v>0.05</v>
      </c>
      <c r="K2512" s="1">
        <v>0.1</v>
      </c>
      <c r="L2512" s="42">
        <v>7</v>
      </c>
      <c r="M2512" s="43"/>
      <c r="N2512" s="1" t="e">
        <f>VLOOKUP(B2512,MICRO!E:L,8,0)</f>
        <v>#N/A</v>
      </c>
    </row>
    <row r="2513" spans="1:14" ht="20.25" x14ac:dyDescent="0.25">
      <c r="A2513" s="1">
        <v>11</v>
      </c>
      <c r="B2513" s="159"/>
      <c r="C2513" s="1" t="s">
        <v>1416</v>
      </c>
      <c r="D2513" s="1"/>
      <c r="E2513" s="1"/>
      <c r="F2513" s="1" t="s">
        <v>2082</v>
      </c>
      <c r="G2513" s="1">
        <v>2</v>
      </c>
      <c r="H2513" s="1" t="s">
        <v>19</v>
      </c>
      <c r="I2513" s="1" t="s">
        <v>426</v>
      </c>
      <c r="J2513" s="1">
        <v>0.05</v>
      </c>
      <c r="K2513" s="1">
        <v>0.1</v>
      </c>
      <c r="L2513" s="42">
        <v>7</v>
      </c>
      <c r="M2513" s="43"/>
      <c r="N2513" s="1" t="e">
        <f>VLOOKUP(B2513,MICRO!E:L,8,0)</f>
        <v>#N/A</v>
      </c>
    </row>
    <row r="2514" spans="1:14" ht="20.25" x14ac:dyDescent="0.25">
      <c r="A2514" s="1">
        <v>12</v>
      </c>
      <c r="B2514" s="159">
        <v>2861</v>
      </c>
      <c r="C2514" s="1" t="s">
        <v>1163</v>
      </c>
      <c r="D2514" s="1"/>
      <c r="E2514" s="1" t="s">
        <v>173</v>
      </c>
      <c r="F2514" s="1" t="s">
        <v>1170</v>
      </c>
      <c r="G2514" s="1">
        <v>1</v>
      </c>
      <c r="H2514" s="1" t="s">
        <v>19</v>
      </c>
      <c r="I2514" s="1" t="s">
        <v>423</v>
      </c>
      <c r="J2514" s="1">
        <v>416.1</v>
      </c>
      <c r="K2514" s="1">
        <v>416.1</v>
      </c>
      <c r="L2514" s="42">
        <v>7</v>
      </c>
      <c r="M2514" s="43"/>
      <c r="N2514" s="1" t="e">
        <f>VLOOKUP(B2514,MICRO!E:L,8,0)</f>
        <v>#N/A</v>
      </c>
    </row>
    <row r="2515" spans="1:14" ht="20.25" x14ac:dyDescent="0.25">
      <c r="A2515" s="1">
        <v>14</v>
      </c>
      <c r="B2515" s="159"/>
      <c r="C2515" s="1" t="s">
        <v>2083</v>
      </c>
      <c r="D2515" s="1"/>
      <c r="E2515" s="1"/>
      <c r="F2515" s="1" t="s">
        <v>2084</v>
      </c>
      <c r="G2515" s="1">
        <v>5</v>
      </c>
      <c r="H2515" s="1" t="s">
        <v>19</v>
      </c>
      <c r="I2515" s="1" t="s">
        <v>423</v>
      </c>
      <c r="J2515" s="1">
        <v>0.05</v>
      </c>
      <c r="K2515" s="1">
        <v>0.25</v>
      </c>
      <c r="L2515" s="42">
        <v>7</v>
      </c>
      <c r="M2515" s="43"/>
      <c r="N2515" s="1" t="e">
        <f>VLOOKUP(B2515,MICRO!E:L,8,0)</f>
        <v>#N/A</v>
      </c>
    </row>
    <row r="2516" spans="1:14" ht="20.25" x14ac:dyDescent="0.25">
      <c r="A2516" s="1">
        <v>15</v>
      </c>
      <c r="B2516" s="159"/>
      <c r="C2516" s="1" t="s">
        <v>2083</v>
      </c>
      <c r="D2516" s="1"/>
      <c r="E2516" s="1"/>
      <c r="F2516" s="1" t="s">
        <v>2085</v>
      </c>
      <c r="G2516" s="1">
        <v>3</v>
      </c>
      <c r="H2516" s="1" t="s">
        <v>19</v>
      </c>
      <c r="I2516" s="1" t="s">
        <v>423</v>
      </c>
      <c r="J2516" s="1">
        <v>0.02</v>
      </c>
      <c r="K2516" s="1">
        <v>0.06</v>
      </c>
      <c r="L2516" s="42">
        <v>7</v>
      </c>
      <c r="M2516" s="43"/>
      <c r="N2516" s="1" t="e">
        <f>VLOOKUP(B2516,MICRO!E:L,8,0)</f>
        <v>#N/A</v>
      </c>
    </row>
    <row r="2517" spans="1:14" ht="20.25" x14ac:dyDescent="0.25">
      <c r="A2517" s="1">
        <v>16</v>
      </c>
      <c r="B2517" s="159"/>
      <c r="C2517" s="1" t="s">
        <v>2083</v>
      </c>
      <c r="D2517" s="1"/>
      <c r="E2517" s="1"/>
      <c r="F2517" s="1" t="s">
        <v>2086</v>
      </c>
      <c r="G2517" s="1">
        <v>3</v>
      </c>
      <c r="H2517" s="1" t="s">
        <v>19</v>
      </c>
      <c r="I2517" s="1" t="s">
        <v>423</v>
      </c>
      <c r="J2517" s="1">
        <v>0.05</v>
      </c>
      <c r="K2517" s="1">
        <v>0.15000000000000002</v>
      </c>
      <c r="L2517" s="42">
        <v>7</v>
      </c>
      <c r="M2517" s="43"/>
      <c r="N2517" s="1" t="e">
        <f>VLOOKUP(B2517,MICRO!E:L,8,0)</f>
        <v>#N/A</v>
      </c>
    </row>
    <row r="2518" spans="1:14" ht="20.25" x14ac:dyDescent="0.25">
      <c r="A2518" s="1">
        <v>17</v>
      </c>
      <c r="B2518" s="159"/>
      <c r="C2518" s="1" t="s">
        <v>2083</v>
      </c>
      <c r="D2518" s="1"/>
      <c r="E2518" s="1"/>
      <c r="F2518" s="1" t="s">
        <v>2087</v>
      </c>
      <c r="G2518" s="1">
        <v>3</v>
      </c>
      <c r="H2518" s="1" t="s">
        <v>19</v>
      </c>
      <c r="I2518" s="1" t="s">
        <v>423</v>
      </c>
      <c r="J2518" s="1">
        <v>0.04</v>
      </c>
      <c r="K2518" s="1">
        <v>0.12</v>
      </c>
      <c r="L2518" s="42">
        <v>7</v>
      </c>
      <c r="M2518" s="43"/>
      <c r="N2518" s="1" t="e">
        <f>VLOOKUP(B2518,MICRO!E:L,8,0)</f>
        <v>#N/A</v>
      </c>
    </row>
    <row r="2519" spans="1:14" ht="20.25" x14ac:dyDescent="0.25">
      <c r="A2519" s="1">
        <v>18</v>
      </c>
      <c r="B2519" s="159"/>
      <c r="C2519" s="1" t="s">
        <v>2083</v>
      </c>
      <c r="D2519" s="1"/>
      <c r="E2519" s="1"/>
      <c r="F2519" s="1" t="s">
        <v>2088</v>
      </c>
      <c r="G2519" s="1">
        <v>6</v>
      </c>
      <c r="H2519" s="1" t="s">
        <v>19</v>
      </c>
      <c r="I2519" s="1" t="s">
        <v>423</v>
      </c>
      <c r="J2519" s="1">
        <v>0.03</v>
      </c>
      <c r="K2519" s="1">
        <v>0.18</v>
      </c>
      <c r="L2519" s="42">
        <v>7</v>
      </c>
      <c r="M2519" s="43"/>
      <c r="N2519" s="1" t="e">
        <f>VLOOKUP(B2519,MICRO!E:L,8,0)</f>
        <v>#N/A</v>
      </c>
    </row>
    <row r="2520" spans="1:14" ht="20.25" x14ac:dyDescent="0.25">
      <c r="A2520" s="1">
        <v>19</v>
      </c>
      <c r="B2520" s="159">
        <v>2714</v>
      </c>
      <c r="C2520" s="1" t="s">
        <v>1079</v>
      </c>
      <c r="D2520" s="1"/>
      <c r="E2520" s="1" t="s">
        <v>2</v>
      </c>
      <c r="F2520" s="1" t="s">
        <v>1085</v>
      </c>
      <c r="G2520" s="1">
        <v>129</v>
      </c>
      <c r="H2520" s="1" t="s">
        <v>19</v>
      </c>
      <c r="I2520" s="1" t="s">
        <v>423</v>
      </c>
      <c r="J2520" s="1">
        <v>0.5</v>
      </c>
      <c r="K2520" s="1">
        <v>64.5</v>
      </c>
      <c r="L2520" s="42">
        <v>7</v>
      </c>
      <c r="M2520" s="43"/>
      <c r="N2520" s="1" t="e">
        <f>VLOOKUP(B2520,MICRO!E:L,8,0)</f>
        <v>#N/A</v>
      </c>
    </row>
    <row r="2521" spans="1:14" ht="20.25" x14ac:dyDescent="0.25">
      <c r="A2521" s="1">
        <v>20</v>
      </c>
      <c r="B2521" s="159">
        <v>2715</v>
      </c>
      <c r="C2521" s="1" t="s">
        <v>1079</v>
      </c>
      <c r="D2521" s="1"/>
      <c r="E2521" s="1" t="s">
        <v>2</v>
      </c>
      <c r="F2521" s="1" t="s">
        <v>1085</v>
      </c>
      <c r="G2521" s="1">
        <v>60</v>
      </c>
      <c r="H2521" s="1" t="s">
        <v>19</v>
      </c>
      <c r="I2521" s="1" t="s">
        <v>424</v>
      </c>
      <c r="J2521" s="1">
        <v>0.5</v>
      </c>
      <c r="K2521" s="1">
        <v>30</v>
      </c>
      <c r="L2521" s="42">
        <v>7</v>
      </c>
      <c r="M2521" s="43"/>
      <c r="N2521" s="1" t="e">
        <f>VLOOKUP(B2521,MICRO!E:L,8,0)</f>
        <v>#N/A</v>
      </c>
    </row>
    <row r="2522" spans="1:14" ht="20.25" x14ac:dyDescent="0.25">
      <c r="A2522" s="1">
        <v>21</v>
      </c>
      <c r="B2522" s="159">
        <v>2716</v>
      </c>
      <c r="C2522" s="1" t="s">
        <v>1079</v>
      </c>
      <c r="D2522" s="1"/>
      <c r="E2522" s="1" t="s">
        <v>2</v>
      </c>
      <c r="F2522" s="1" t="s">
        <v>1080</v>
      </c>
      <c r="G2522" s="1">
        <v>82</v>
      </c>
      <c r="H2522" s="1" t="s">
        <v>19</v>
      </c>
      <c r="I2522" s="1" t="s">
        <v>425</v>
      </c>
      <c r="J2522" s="1">
        <v>0.5</v>
      </c>
      <c r="K2522" s="1">
        <v>41</v>
      </c>
      <c r="L2522" s="42">
        <v>7</v>
      </c>
      <c r="M2522" s="43"/>
      <c r="N2522" s="1" t="e">
        <f>VLOOKUP(B2522,MICRO!E:L,8,0)</f>
        <v>#N/A</v>
      </c>
    </row>
    <row r="2523" spans="1:14" ht="20.25" x14ac:dyDescent="0.25">
      <c r="A2523" s="1">
        <v>22</v>
      </c>
      <c r="B2523" s="159">
        <v>2717</v>
      </c>
      <c r="C2523" s="1" t="s">
        <v>1079</v>
      </c>
      <c r="D2523" s="1"/>
      <c r="E2523" s="1" t="s">
        <v>2</v>
      </c>
      <c r="F2523" s="1" t="s">
        <v>1080</v>
      </c>
      <c r="G2523" s="1">
        <v>111</v>
      </c>
      <c r="H2523" s="1" t="s">
        <v>19</v>
      </c>
      <c r="I2523" s="1" t="s">
        <v>426</v>
      </c>
      <c r="J2523" s="1">
        <v>0.5</v>
      </c>
      <c r="K2523" s="1">
        <v>55.5</v>
      </c>
      <c r="L2523" s="42">
        <v>7</v>
      </c>
      <c r="M2523" s="43"/>
      <c r="N2523" s="1" t="e">
        <f>VLOOKUP(B2523,MICRO!E:L,8,0)</f>
        <v>#N/A</v>
      </c>
    </row>
    <row r="2524" spans="1:14" ht="20.25" x14ac:dyDescent="0.25">
      <c r="A2524" s="1">
        <v>23</v>
      </c>
      <c r="B2524" s="159">
        <v>2718</v>
      </c>
      <c r="C2524" s="1" t="s">
        <v>1079</v>
      </c>
      <c r="D2524" s="1"/>
      <c r="E2524" s="1" t="s">
        <v>2</v>
      </c>
      <c r="F2524" s="1" t="s">
        <v>1080</v>
      </c>
      <c r="G2524" s="1">
        <v>219</v>
      </c>
      <c r="H2524" s="1" t="s">
        <v>19</v>
      </c>
      <c r="I2524" s="1" t="s">
        <v>427</v>
      </c>
      <c r="J2524" s="1">
        <v>0.5</v>
      </c>
      <c r="K2524" s="1">
        <v>109.5</v>
      </c>
      <c r="L2524" s="42">
        <v>7</v>
      </c>
      <c r="M2524" s="43"/>
      <c r="N2524" s="1" t="e">
        <f>VLOOKUP(B2524,MICRO!E:L,8,0)</f>
        <v>#N/A</v>
      </c>
    </row>
    <row r="2525" spans="1:14" ht="20.25" x14ac:dyDescent="0.25">
      <c r="A2525" s="1">
        <v>24</v>
      </c>
      <c r="B2525" s="159"/>
      <c r="C2525" s="1" t="s">
        <v>2089</v>
      </c>
      <c r="D2525" s="1"/>
      <c r="E2525" s="1"/>
      <c r="F2525" s="1" t="s">
        <v>2090</v>
      </c>
      <c r="G2525" s="1">
        <v>5</v>
      </c>
      <c r="H2525" s="1" t="s">
        <v>19</v>
      </c>
      <c r="I2525" s="1" t="s">
        <v>2091</v>
      </c>
      <c r="J2525" s="1">
        <v>0.5</v>
      </c>
      <c r="K2525" s="1">
        <v>2.5</v>
      </c>
      <c r="L2525" s="42">
        <v>7</v>
      </c>
      <c r="M2525" s="43"/>
      <c r="N2525" s="1" t="e">
        <f>VLOOKUP(B2525,MICRO!E:L,8,0)</f>
        <v>#N/A</v>
      </c>
    </row>
    <row r="2526" spans="1:14" ht="20.25" x14ac:dyDescent="0.25">
      <c r="A2526" s="1">
        <v>25</v>
      </c>
      <c r="B2526" s="159"/>
      <c r="C2526" s="1" t="s">
        <v>2092</v>
      </c>
      <c r="D2526" s="1"/>
      <c r="E2526" s="1"/>
      <c r="F2526" s="1" t="s">
        <v>2093</v>
      </c>
      <c r="G2526" s="1">
        <v>3</v>
      </c>
      <c r="H2526" s="1" t="s">
        <v>19</v>
      </c>
      <c r="I2526" s="1" t="s">
        <v>424</v>
      </c>
      <c r="J2526" s="1">
        <v>0.05</v>
      </c>
      <c r="K2526" s="1">
        <v>0.15000000000000002</v>
      </c>
      <c r="L2526" s="42">
        <v>7</v>
      </c>
      <c r="M2526" s="43"/>
      <c r="N2526" s="1" t="e">
        <f>VLOOKUP(B2526,MICRO!E:L,8,0)</f>
        <v>#N/A</v>
      </c>
    </row>
    <row r="2527" spans="1:14" ht="20.25" x14ac:dyDescent="0.25">
      <c r="A2527" s="1">
        <v>26</v>
      </c>
      <c r="B2527" s="159"/>
      <c r="C2527" s="1" t="s">
        <v>2092</v>
      </c>
      <c r="D2527" s="1"/>
      <c r="E2527" s="1"/>
      <c r="F2527" s="1" t="s">
        <v>2094</v>
      </c>
      <c r="G2527" s="1">
        <v>3</v>
      </c>
      <c r="H2527" s="1" t="s">
        <v>19</v>
      </c>
      <c r="I2527" s="1" t="s">
        <v>424</v>
      </c>
      <c r="J2527" s="1">
        <v>0.05</v>
      </c>
      <c r="K2527" s="1">
        <v>0.15000000000000002</v>
      </c>
      <c r="L2527" s="42">
        <v>7</v>
      </c>
      <c r="M2527" s="43"/>
      <c r="N2527" s="1" t="e">
        <f>VLOOKUP(B2527,MICRO!E:L,8,0)</f>
        <v>#N/A</v>
      </c>
    </row>
    <row r="2528" spans="1:14" ht="20.25" x14ac:dyDescent="0.25">
      <c r="A2528" s="1">
        <v>27</v>
      </c>
      <c r="B2528" s="159"/>
      <c r="C2528" s="1" t="s">
        <v>2092</v>
      </c>
      <c r="D2528" s="1"/>
      <c r="E2528" s="1"/>
      <c r="F2528" s="1" t="s">
        <v>2095</v>
      </c>
      <c r="G2528" s="1">
        <v>7</v>
      </c>
      <c r="H2528" s="1" t="s">
        <v>19</v>
      </c>
      <c r="I2528" s="1" t="s">
        <v>424</v>
      </c>
      <c r="J2528" s="1">
        <v>0.02</v>
      </c>
      <c r="K2528" s="1">
        <v>0.14000000000000001</v>
      </c>
      <c r="L2528" s="42">
        <v>7</v>
      </c>
      <c r="M2528" s="43"/>
      <c r="N2528" s="1" t="e">
        <f>VLOOKUP(B2528,MICRO!E:L,8,0)</f>
        <v>#N/A</v>
      </c>
    </row>
    <row r="2529" spans="1:14" ht="20.25" x14ac:dyDescent="0.25">
      <c r="A2529" s="1">
        <v>28</v>
      </c>
      <c r="B2529" s="159"/>
      <c r="C2529" s="1" t="s">
        <v>2092</v>
      </c>
      <c r="D2529" s="1"/>
      <c r="E2529" s="1"/>
      <c r="F2529" s="1" t="s">
        <v>2096</v>
      </c>
      <c r="G2529" s="1">
        <v>7</v>
      </c>
      <c r="H2529" s="1" t="s">
        <v>19</v>
      </c>
      <c r="I2529" s="1" t="s">
        <v>424</v>
      </c>
      <c r="J2529" s="1">
        <v>0.02</v>
      </c>
      <c r="K2529" s="1">
        <v>0.14000000000000001</v>
      </c>
      <c r="L2529" s="42">
        <v>7</v>
      </c>
      <c r="M2529" s="43"/>
      <c r="N2529" s="1" t="e">
        <f>VLOOKUP(B2529,MICRO!E:L,8,0)</f>
        <v>#N/A</v>
      </c>
    </row>
    <row r="2530" spans="1:14" ht="20.25" x14ac:dyDescent="0.25">
      <c r="A2530" s="1">
        <v>29</v>
      </c>
      <c r="B2530" s="159"/>
      <c r="C2530" s="1" t="s">
        <v>2097</v>
      </c>
      <c r="D2530" s="1"/>
      <c r="E2530" s="1"/>
      <c r="F2530" s="1" t="s">
        <v>2098</v>
      </c>
      <c r="G2530" s="1">
        <v>2</v>
      </c>
      <c r="H2530" s="1" t="s">
        <v>19</v>
      </c>
      <c r="I2530" s="1" t="s">
        <v>425</v>
      </c>
      <c r="J2530" s="1">
        <v>0.02</v>
      </c>
      <c r="K2530" s="1">
        <v>0.04</v>
      </c>
      <c r="L2530" s="42">
        <v>7</v>
      </c>
      <c r="M2530" s="43"/>
      <c r="N2530" s="1" t="e">
        <f>VLOOKUP(B2530,MICRO!E:L,8,0)</f>
        <v>#N/A</v>
      </c>
    </row>
    <row r="2531" spans="1:14" ht="20.25" x14ac:dyDescent="0.25">
      <c r="A2531" s="1">
        <v>30</v>
      </c>
      <c r="B2531" s="159"/>
      <c r="C2531" s="1" t="s">
        <v>2097</v>
      </c>
      <c r="D2531" s="1"/>
      <c r="E2531" s="1"/>
      <c r="F2531" s="1" t="s">
        <v>2099</v>
      </c>
      <c r="G2531" s="1">
        <v>3</v>
      </c>
      <c r="H2531" s="1" t="s">
        <v>19</v>
      </c>
      <c r="I2531" s="1" t="s">
        <v>425</v>
      </c>
      <c r="J2531" s="1">
        <v>0.05</v>
      </c>
      <c r="K2531" s="1">
        <v>0.15000000000000002</v>
      </c>
      <c r="L2531" s="42">
        <v>7</v>
      </c>
      <c r="M2531" s="43"/>
      <c r="N2531" s="1" t="e">
        <f>VLOOKUP(B2531,MICRO!E:L,8,0)</f>
        <v>#N/A</v>
      </c>
    </row>
    <row r="2532" spans="1:14" ht="20.25" x14ac:dyDescent="0.25">
      <c r="A2532" s="1">
        <v>31</v>
      </c>
      <c r="B2532" s="159"/>
      <c r="C2532" s="1" t="s">
        <v>2097</v>
      </c>
      <c r="D2532" s="1"/>
      <c r="E2532" s="1"/>
      <c r="F2532" s="1" t="s">
        <v>2100</v>
      </c>
      <c r="G2532" s="1">
        <v>3</v>
      </c>
      <c r="H2532" s="1" t="s">
        <v>19</v>
      </c>
      <c r="I2532" s="1" t="s">
        <v>425</v>
      </c>
      <c r="J2532" s="1">
        <v>0.04</v>
      </c>
      <c r="K2532" s="1">
        <v>0.12</v>
      </c>
      <c r="L2532" s="42">
        <v>7</v>
      </c>
      <c r="M2532" s="43"/>
      <c r="N2532" s="1" t="e">
        <f>VLOOKUP(B2532,MICRO!E:L,8,0)</f>
        <v>#N/A</v>
      </c>
    </row>
    <row r="2533" spans="1:14" ht="20.25" x14ac:dyDescent="0.25">
      <c r="A2533" s="1">
        <v>32</v>
      </c>
      <c r="B2533" s="159"/>
      <c r="C2533" s="1" t="s">
        <v>2097</v>
      </c>
      <c r="D2533" s="1"/>
      <c r="E2533" s="1"/>
      <c r="F2533" s="1" t="s">
        <v>2101</v>
      </c>
      <c r="G2533" s="1">
        <v>7</v>
      </c>
      <c r="H2533" s="1" t="s">
        <v>19</v>
      </c>
      <c r="I2533" s="1" t="s">
        <v>425</v>
      </c>
      <c r="J2533" s="1">
        <v>0.03</v>
      </c>
      <c r="K2533" s="1">
        <v>0.21</v>
      </c>
      <c r="L2533" s="42">
        <v>7</v>
      </c>
      <c r="M2533" s="43"/>
      <c r="N2533" s="1" t="e">
        <f>VLOOKUP(B2533,MICRO!E:L,8,0)</f>
        <v>#N/A</v>
      </c>
    </row>
    <row r="2534" spans="1:14" ht="20.25" x14ac:dyDescent="0.25">
      <c r="A2534" s="1">
        <v>33</v>
      </c>
      <c r="B2534" s="159"/>
      <c r="C2534" s="1" t="s">
        <v>2097</v>
      </c>
      <c r="D2534" s="1"/>
      <c r="E2534" s="1"/>
      <c r="F2534" s="1" t="s">
        <v>2102</v>
      </c>
      <c r="G2534" s="1">
        <v>7</v>
      </c>
      <c r="H2534" s="1" t="s">
        <v>19</v>
      </c>
      <c r="I2534" s="1" t="s">
        <v>425</v>
      </c>
      <c r="J2534" s="1">
        <v>0.03</v>
      </c>
      <c r="K2534" s="1">
        <v>0.21</v>
      </c>
      <c r="L2534" s="42">
        <v>7</v>
      </c>
      <c r="M2534" s="43"/>
      <c r="N2534" s="1" t="e">
        <f>VLOOKUP(B2534,MICRO!E:L,8,0)</f>
        <v>#N/A</v>
      </c>
    </row>
    <row r="2535" spans="1:14" ht="20.25" x14ac:dyDescent="0.25">
      <c r="A2535" s="1">
        <v>34</v>
      </c>
      <c r="B2535" s="159"/>
      <c r="C2535" s="1" t="s">
        <v>2103</v>
      </c>
      <c r="D2535" s="1"/>
      <c r="E2535" s="1"/>
      <c r="F2535" s="1" t="s">
        <v>2104</v>
      </c>
      <c r="G2535" s="1">
        <v>3</v>
      </c>
      <c r="H2535" s="1" t="s">
        <v>19</v>
      </c>
      <c r="I2535" s="1" t="s">
        <v>426</v>
      </c>
      <c r="J2535" s="1">
        <v>0.04</v>
      </c>
      <c r="K2535" s="1">
        <v>0.12</v>
      </c>
      <c r="L2535" s="42">
        <v>7</v>
      </c>
      <c r="M2535" s="43"/>
      <c r="N2535" s="1" t="e">
        <f>VLOOKUP(B2535,MICRO!E:L,8,0)</f>
        <v>#N/A</v>
      </c>
    </row>
    <row r="2536" spans="1:14" ht="20.25" x14ac:dyDescent="0.25">
      <c r="A2536" s="1">
        <v>35</v>
      </c>
      <c r="B2536" s="159"/>
      <c r="C2536" s="1" t="s">
        <v>2103</v>
      </c>
      <c r="D2536" s="1"/>
      <c r="E2536" s="1"/>
      <c r="F2536" s="1" t="s">
        <v>2105</v>
      </c>
      <c r="G2536" s="1">
        <v>7</v>
      </c>
      <c r="H2536" s="1" t="s">
        <v>19</v>
      </c>
      <c r="I2536" s="1" t="s">
        <v>426</v>
      </c>
      <c r="J2536" s="1">
        <v>0.02</v>
      </c>
      <c r="K2536" s="1">
        <v>0.14000000000000001</v>
      </c>
      <c r="L2536" s="42">
        <v>7</v>
      </c>
      <c r="M2536" s="43"/>
      <c r="N2536" s="1" t="e">
        <f>VLOOKUP(B2536,MICRO!E:L,8,0)</f>
        <v>#N/A</v>
      </c>
    </row>
    <row r="2537" spans="1:14" ht="20.25" x14ac:dyDescent="0.25">
      <c r="A2537" s="1">
        <v>36</v>
      </c>
      <c r="B2537" s="159"/>
      <c r="C2537" s="1" t="s">
        <v>2103</v>
      </c>
      <c r="D2537" s="1"/>
      <c r="E2537" s="1"/>
      <c r="F2537" s="1" t="s">
        <v>2106</v>
      </c>
      <c r="G2537" s="1">
        <v>3</v>
      </c>
      <c r="H2537" s="1" t="s">
        <v>19</v>
      </c>
      <c r="I2537" s="1" t="s">
        <v>426</v>
      </c>
      <c r="J2537" s="1">
        <v>0.04</v>
      </c>
      <c r="K2537" s="1">
        <v>0.12</v>
      </c>
      <c r="L2537" s="42">
        <v>7</v>
      </c>
      <c r="M2537" s="43"/>
      <c r="N2537" s="1" t="e">
        <f>VLOOKUP(B2537,MICRO!E:L,8,0)</f>
        <v>#N/A</v>
      </c>
    </row>
    <row r="2538" spans="1:14" ht="20.25" x14ac:dyDescent="0.25">
      <c r="A2538" s="1">
        <v>37</v>
      </c>
      <c r="B2538" s="159"/>
      <c r="C2538" s="1" t="s">
        <v>2103</v>
      </c>
      <c r="D2538" s="1"/>
      <c r="E2538" s="1"/>
      <c r="F2538" s="1" t="s">
        <v>2107</v>
      </c>
      <c r="G2538" s="1">
        <v>7</v>
      </c>
      <c r="H2538" s="1" t="s">
        <v>19</v>
      </c>
      <c r="I2538" s="1" t="s">
        <v>426</v>
      </c>
      <c r="J2538" s="1">
        <v>0.02</v>
      </c>
      <c r="K2538" s="1">
        <v>0.14000000000000001</v>
      </c>
      <c r="L2538" s="42">
        <v>7</v>
      </c>
      <c r="M2538" s="43"/>
      <c r="N2538" s="1" t="e">
        <f>VLOOKUP(B2538,MICRO!E:L,8,0)</f>
        <v>#N/A</v>
      </c>
    </row>
    <row r="2539" spans="1:14" ht="20.25" x14ac:dyDescent="0.25">
      <c r="A2539" s="1">
        <v>38</v>
      </c>
      <c r="B2539" s="159"/>
      <c r="C2539" s="1" t="s">
        <v>2108</v>
      </c>
      <c r="D2539" s="1"/>
      <c r="E2539" s="1"/>
      <c r="F2539" s="1" t="s">
        <v>2109</v>
      </c>
      <c r="G2539" s="1">
        <v>3</v>
      </c>
      <c r="H2539" s="1" t="s">
        <v>19</v>
      </c>
      <c r="I2539" s="1" t="s">
        <v>427</v>
      </c>
      <c r="J2539" s="1">
        <v>0.05</v>
      </c>
      <c r="K2539" s="1">
        <v>0.15000000000000002</v>
      </c>
      <c r="L2539" s="42">
        <v>7</v>
      </c>
      <c r="M2539" s="43"/>
      <c r="N2539" s="1" t="e">
        <f>VLOOKUP(B2539,MICRO!E:L,8,0)</f>
        <v>#N/A</v>
      </c>
    </row>
    <row r="2540" spans="1:14" ht="20.25" x14ac:dyDescent="0.25">
      <c r="A2540" s="1">
        <v>39</v>
      </c>
      <c r="B2540" s="159"/>
      <c r="C2540" s="1" t="s">
        <v>2108</v>
      </c>
      <c r="D2540" s="1"/>
      <c r="E2540" s="1"/>
      <c r="F2540" s="1" t="s">
        <v>2110</v>
      </c>
      <c r="G2540" s="1">
        <v>3</v>
      </c>
      <c r="H2540" s="1" t="s">
        <v>19</v>
      </c>
      <c r="I2540" s="1" t="s">
        <v>427</v>
      </c>
      <c r="J2540" s="1">
        <v>0.04</v>
      </c>
      <c r="K2540" s="1">
        <v>0.12</v>
      </c>
      <c r="L2540" s="42">
        <v>7</v>
      </c>
      <c r="M2540" s="43"/>
      <c r="N2540" s="1" t="e">
        <f>VLOOKUP(B2540,MICRO!E:L,8,0)</f>
        <v>#N/A</v>
      </c>
    </row>
    <row r="2541" spans="1:14" ht="20.25" x14ac:dyDescent="0.25">
      <c r="A2541" s="1">
        <v>40</v>
      </c>
      <c r="B2541" s="159"/>
      <c r="C2541" s="1" t="s">
        <v>2108</v>
      </c>
      <c r="D2541" s="1"/>
      <c r="E2541" s="1"/>
      <c r="F2541" s="1" t="s">
        <v>2111</v>
      </c>
      <c r="G2541" s="1">
        <v>7</v>
      </c>
      <c r="H2541" s="1" t="s">
        <v>19</v>
      </c>
      <c r="I2541" s="1" t="s">
        <v>427</v>
      </c>
      <c r="J2541" s="1">
        <v>0.03</v>
      </c>
      <c r="K2541" s="1">
        <v>0.21</v>
      </c>
      <c r="L2541" s="42">
        <v>7</v>
      </c>
      <c r="M2541" s="43"/>
      <c r="N2541" s="1" t="e">
        <f>VLOOKUP(B2541,MICRO!E:L,8,0)</f>
        <v>#N/A</v>
      </c>
    </row>
    <row r="2542" spans="1:14" ht="20.25" x14ac:dyDescent="0.25">
      <c r="A2542" s="1">
        <v>41</v>
      </c>
      <c r="B2542" s="159"/>
      <c r="C2542" s="1" t="s">
        <v>2108</v>
      </c>
      <c r="D2542" s="1"/>
      <c r="E2542" s="1"/>
      <c r="F2542" s="1" t="s">
        <v>2112</v>
      </c>
      <c r="G2542" s="1">
        <v>7</v>
      </c>
      <c r="H2542" s="1" t="s">
        <v>19</v>
      </c>
      <c r="I2542" s="1" t="s">
        <v>427</v>
      </c>
      <c r="J2542" s="1">
        <v>0.03</v>
      </c>
      <c r="K2542" s="1">
        <v>0.21</v>
      </c>
      <c r="L2542" s="42">
        <v>7</v>
      </c>
      <c r="M2542" s="43"/>
      <c r="N2542" s="1" t="e">
        <f>VLOOKUP(B2542,MICRO!E:L,8,0)</f>
        <v>#N/A</v>
      </c>
    </row>
    <row r="2543" spans="1:14" ht="20.25" x14ac:dyDescent="0.25">
      <c r="A2543" s="1">
        <v>42</v>
      </c>
      <c r="B2543" s="159"/>
      <c r="C2543" s="1" t="s">
        <v>2113</v>
      </c>
      <c r="D2543" s="1"/>
      <c r="E2543" s="1"/>
      <c r="F2543" s="1" t="s">
        <v>2114</v>
      </c>
      <c r="G2543" s="1">
        <v>408</v>
      </c>
      <c r="H2543" s="1" t="s">
        <v>19</v>
      </c>
      <c r="I2543" s="1" t="s">
        <v>423</v>
      </c>
      <c r="J2543" s="1">
        <v>3.4000000000000002E-2</v>
      </c>
      <c r="K2543" s="1">
        <v>13.872000000000002</v>
      </c>
      <c r="L2543" s="42">
        <v>7</v>
      </c>
      <c r="M2543" s="43"/>
      <c r="N2543" s="1" t="e">
        <f>VLOOKUP(B2543,MICRO!E:L,8,0)</f>
        <v>#N/A</v>
      </c>
    </row>
    <row r="2544" spans="1:14" ht="20.25" x14ac:dyDescent="0.25">
      <c r="A2544" s="1">
        <v>43</v>
      </c>
      <c r="B2544" s="159"/>
      <c r="C2544" s="1" t="s">
        <v>1559</v>
      </c>
      <c r="D2544" s="1"/>
      <c r="E2544" s="1"/>
      <c r="F2544" s="1" t="s">
        <v>2115</v>
      </c>
      <c r="G2544" s="1">
        <v>174</v>
      </c>
      <c r="H2544" s="1" t="s">
        <v>19</v>
      </c>
      <c r="I2544" s="1" t="s">
        <v>424</v>
      </c>
      <c r="J2544" s="1">
        <v>3.4000000000000002E-2</v>
      </c>
      <c r="K2544" s="1">
        <v>5.9160000000000004</v>
      </c>
      <c r="L2544" s="42">
        <v>7</v>
      </c>
      <c r="M2544" s="43"/>
      <c r="N2544" s="1" t="e">
        <f>VLOOKUP(B2544,MICRO!E:L,8,0)</f>
        <v>#N/A</v>
      </c>
    </row>
    <row r="2545" spans="1:14" ht="20.25" x14ac:dyDescent="0.25">
      <c r="A2545" s="1">
        <v>44</v>
      </c>
      <c r="B2545" s="159"/>
      <c r="C2545" s="1" t="s">
        <v>1561</v>
      </c>
      <c r="D2545" s="1"/>
      <c r="E2545" s="1"/>
      <c r="F2545" s="1" t="s">
        <v>1619</v>
      </c>
      <c r="G2545" s="1">
        <v>258</v>
      </c>
      <c r="H2545" s="1" t="s">
        <v>19</v>
      </c>
      <c r="I2545" s="1" t="s">
        <v>425</v>
      </c>
      <c r="J2545" s="1">
        <v>3.4000000000000002E-2</v>
      </c>
      <c r="K2545" s="1">
        <v>8.7720000000000002</v>
      </c>
      <c r="L2545" s="42">
        <v>7</v>
      </c>
      <c r="M2545" s="43"/>
      <c r="N2545" s="1" t="e">
        <f>VLOOKUP(B2545,MICRO!E:L,8,0)</f>
        <v>#N/A</v>
      </c>
    </row>
    <row r="2546" spans="1:14" ht="20.25" x14ac:dyDescent="0.25">
      <c r="A2546" s="1">
        <v>45</v>
      </c>
      <c r="B2546" s="159"/>
      <c r="C2546" s="1" t="s">
        <v>1565</v>
      </c>
      <c r="D2546" s="1"/>
      <c r="E2546" s="1"/>
      <c r="F2546" s="1" t="s">
        <v>1620</v>
      </c>
      <c r="G2546" s="1">
        <v>362</v>
      </c>
      <c r="H2546" s="1" t="s">
        <v>19</v>
      </c>
      <c r="I2546" s="1" t="s">
        <v>426</v>
      </c>
      <c r="J2546" s="1">
        <v>3.4000000000000002E-2</v>
      </c>
      <c r="K2546" s="1">
        <v>12.308000000000002</v>
      </c>
      <c r="L2546" s="42">
        <v>7</v>
      </c>
      <c r="M2546" s="43"/>
      <c r="N2546" s="1" t="e">
        <f>VLOOKUP(B2546,MICRO!E:L,8,0)</f>
        <v>#N/A</v>
      </c>
    </row>
    <row r="2547" spans="1:14" ht="20.25" x14ac:dyDescent="0.25">
      <c r="A2547" s="1">
        <v>46</v>
      </c>
      <c r="B2547" s="159"/>
      <c r="C2547" s="1" t="s">
        <v>1563</v>
      </c>
      <c r="D2547" s="1"/>
      <c r="E2547" s="1"/>
      <c r="F2547" s="1" t="s">
        <v>2116</v>
      </c>
      <c r="G2547" s="1">
        <v>597</v>
      </c>
      <c r="H2547" s="1" t="s">
        <v>19</v>
      </c>
      <c r="I2547" s="1" t="s">
        <v>427</v>
      </c>
      <c r="J2547" s="1">
        <v>3.4000000000000002E-2</v>
      </c>
      <c r="K2547" s="1">
        <v>20.298000000000002</v>
      </c>
      <c r="L2547" s="42">
        <v>7</v>
      </c>
      <c r="M2547" s="43"/>
      <c r="N2547" s="1" t="e">
        <f>VLOOKUP(B2547,MICRO!E:L,8,0)</f>
        <v>#N/A</v>
      </c>
    </row>
    <row r="2548" spans="1:14" ht="20.25" x14ac:dyDescent="0.25">
      <c r="A2548" s="1">
        <v>47</v>
      </c>
      <c r="B2548" s="159"/>
      <c r="C2548" s="1" t="s">
        <v>1559</v>
      </c>
      <c r="D2548" s="1"/>
      <c r="E2548" s="1"/>
      <c r="F2548" s="1" t="s">
        <v>1618</v>
      </c>
      <c r="G2548" s="1">
        <v>7</v>
      </c>
      <c r="H2548" s="1" t="s">
        <v>19</v>
      </c>
      <c r="I2548" s="1" t="s">
        <v>424</v>
      </c>
      <c r="J2548" s="1">
        <v>0.05</v>
      </c>
      <c r="K2548" s="1">
        <v>0.35000000000000003</v>
      </c>
      <c r="L2548" s="42">
        <v>7</v>
      </c>
      <c r="M2548" s="43"/>
      <c r="N2548" s="1" t="e">
        <f>VLOOKUP(B2548,MICRO!E:L,8,0)</f>
        <v>#N/A</v>
      </c>
    </row>
    <row r="2549" spans="1:14" ht="20.25" x14ac:dyDescent="0.25">
      <c r="A2549" s="1">
        <v>48</v>
      </c>
      <c r="B2549" s="159"/>
      <c r="C2549" s="1" t="s">
        <v>1559</v>
      </c>
      <c r="D2549" s="1"/>
      <c r="E2549" s="1"/>
      <c r="F2549" s="1" t="s">
        <v>1618</v>
      </c>
      <c r="G2549" s="1">
        <v>48</v>
      </c>
      <c r="H2549" s="1" t="s">
        <v>19</v>
      </c>
      <c r="I2549" s="1" t="s">
        <v>424</v>
      </c>
      <c r="J2549" s="1">
        <v>0.05</v>
      </c>
      <c r="K2549" s="1">
        <v>2.4000000000000004</v>
      </c>
      <c r="L2549" s="42">
        <v>7</v>
      </c>
      <c r="M2549" s="43"/>
      <c r="N2549" s="1" t="e">
        <f>VLOOKUP(B2549,MICRO!E:L,8,0)</f>
        <v>#N/A</v>
      </c>
    </row>
    <row r="2550" spans="1:14" ht="20.25" x14ac:dyDescent="0.25">
      <c r="A2550" s="1">
        <v>49</v>
      </c>
      <c r="B2550" s="159"/>
      <c r="C2550" s="1" t="s">
        <v>1561</v>
      </c>
      <c r="D2550" s="1"/>
      <c r="E2550" s="1"/>
      <c r="F2550" s="1" t="s">
        <v>1619</v>
      </c>
      <c r="G2550" s="1">
        <v>10</v>
      </c>
      <c r="H2550" s="1" t="s">
        <v>19</v>
      </c>
      <c r="I2550" s="1" t="s">
        <v>425</v>
      </c>
      <c r="J2550" s="1">
        <v>0.05</v>
      </c>
      <c r="K2550" s="1">
        <v>0.5</v>
      </c>
      <c r="L2550" s="42">
        <v>7</v>
      </c>
      <c r="M2550" s="43"/>
      <c r="N2550" s="1" t="e">
        <f>VLOOKUP(B2550,MICRO!E:L,8,0)</f>
        <v>#N/A</v>
      </c>
    </row>
    <row r="2551" spans="1:14" ht="20.25" x14ac:dyDescent="0.25">
      <c r="A2551" s="1">
        <v>50</v>
      </c>
      <c r="B2551" s="159"/>
      <c r="C2551" s="1" t="s">
        <v>1565</v>
      </c>
      <c r="D2551" s="1"/>
      <c r="E2551" s="1"/>
      <c r="F2551" s="1" t="s">
        <v>1620</v>
      </c>
      <c r="G2551" s="1">
        <v>24</v>
      </c>
      <c r="H2551" s="1" t="s">
        <v>19</v>
      </c>
      <c r="I2551" s="1" t="s">
        <v>426</v>
      </c>
      <c r="J2551" s="1">
        <v>0.05</v>
      </c>
      <c r="K2551" s="1">
        <v>1.2000000000000002</v>
      </c>
      <c r="L2551" s="42">
        <v>7</v>
      </c>
      <c r="M2551" s="43"/>
      <c r="N2551" s="1" t="e">
        <f>VLOOKUP(B2551,MICRO!E:L,8,0)</f>
        <v>#N/A</v>
      </c>
    </row>
    <row r="2552" spans="1:14" ht="20.25" x14ac:dyDescent="0.25">
      <c r="A2552" s="1">
        <v>51</v>
      </c>
      <c r="B2552" s="159"/>
      <c r="C2552" s="1" t="s">
        <v>1563</v>
      </c>
      <c r="D2552" s="1"/>
      <c r="E2552" s="1"/>
      <c r="F2552" s="1" t="s">
        <v>1621</v>
      </c>
      <c r="G2552" s="1">
        <v>146</v>
      </c>
      <c r="H2552" s="1" t="s">
        <v>19</v>
      </c>
      <c r="I2552" s="1" t="s">
        <v>427</v>
      </c>
      <c r="J2552" s="1">
        <v>0.05</v>
      </c>
      <c r="K2552" s="1">
        <v>7.3000000000000007</v>
      </c>
      <c r="L2552" s="42">
        <v>7</v>
      </c>
      <c r="M2552" s="43"/>
      <c r="N2552" s="1" t="e">
        <f>VLOOKUP(B2552,MICRO!E:L,8,0)</f>
        <v>#N/A</v>
      </c>
    </row>
    <row r="2553" spans="1:14" ht="20.25" x14ac:dyDescent="0.25">
      <c r="A2553" s="1">
        <v>52</v>
      </c>
      <c r="B2553" s="159"/>
      <c r="C2553" s="1" t="s">
        <v>1596</v>
      </c>
      <c r="D2553" s="1"/>
      <c r="E2553" s="1"/>
      <c r="F2553" s="1" t="s">
        <v>2117</v>
      </c>
      <c r="G2553" s="1">
        <v>2</v>
      </c>
      <c r="H2553" s="1" t="s">
        <v>19</v>
      </c>
      <c r="I2553" s="1" t="s">
        <v>1598</v>
      </c>
      <c r="J2553" s="1">
        <v>1.5</v>
      </c>
      <c r="K2553" s="1">
        <v>3</v>
      </c>
      <c r="L2553" s="42">
        <v>7</v>
      </c>
      <c r="M2553" s="43"/>
      <c r="N2553" s="1" t="e">
        <f>VLOOKUP(B2553,MICRO!E:L,8,0)</f>
        <v>#N/A</v>
      </c>
    </row>
    <row r="2554" spans="1:14" ht="20.25" x14ac:dyDescent="0.25">
      <c r="A2554" s="1">
        <v>53</v>
      </c>
      <c r="B2554" s="159">
        <v>2555</v>
      </c>
      <c r="C2554" s="1" t="s">
        <v>998</v>
      </c>
      <c r="D2554" s="1"/>
      <c r="E2554" s="1" t="s">
        <v>461</v>
      </c>
      <c r="F2554" s="1" t="s">
        <v>1002</v>
      </c>
      <c r="G2554" s="1">
        <v>1</v>
      </c>
      <c r="H2554" s="1" t="s">
        <v>19</v>
      </c>
      <c r="I2554" s="1" t="s">
        <v>427</v>
      </c>
      <c r="J2554" s="1">
        <v>16.399999999999999</v>
      </c>
      <c r="K2554" s="1">
        <v>16.399999999999999</v>
      </c>
      <c r="L2554" s="42">
        <v>7</v>
      </c>
      <c r="M2554" s="43"/>
      <c r="N2554" s="1" t="e">
        <f>VLOOKUP(B2554,MICRO!E:L,8,0)</f>
        <v>#N/A</v>
      </c>
    </row>
    <row r="2555" spans="1:14" ht="20.25" x14ac:dyDescent="0.25">
      <c r="A2555" s="1">
        <v>54</v>
      </c>
      <c r="B2555" s="159">
        <v>2405</v>
      </c>
      <c r="C2555" s="1" t="s">
        <v>898</v>
      </c>
      <c r="D2555" s="1"/>
      <c r="E2555" s="1" t="s">
        <v>2</v>
      </c>
      <c r="F2555" s="1" t="s">
        <v>899</v>
      </c>
      <c r="G2555" s="1">
        <v>1</v>
      </c>
      <c r="H2555" s="1" t="s">
        <v>19</v>
      </c>
      <c r="I2555" s="1" t="s">
        <v>426</v>
      </c>
      <c r="J2555" s="1">
        <v>11</v>
      </c>
      <c r="K2555" s="1">
        <v>11</v>
      </c>
      <c r="L2555" s="42">
        <v>7</v>
      </c>
      <c r="M2555" s="43"/>
      <c r="N2555" s="1" t="e">
        <f>VLOOKUP(B2555,MICRO!E:L,8,0)</f>
        <v>#N/A</v>
      </c>
    </row>
    <row r="2556" spans="1:14" ht="20.25" x14ac:dyDescent="0.25">
      <c r="A2556" s="1">
        <v>55</v>
      </c>
      <c r="B2556" s="159">
        <v>2406</v>
      </c>
      <c r="C2556" s="1" t="s">
        <v>900</v>
      </c>
      <c r="D2556" s="1"/>
      <c r="E2556" s="1" t="s">
        <v>43</v>
      </c>
      <c r="F2556" s="1" t="s">
        <v>901</v>
      </c>
      <c r="G2556" s="1">
        <v>4</v>
      </c>
      <c r="H2556" s="1" t="s">
        <v>19</v>
      </c>
      <c r="I2556" s="1" t="s">
        <v>426</v>
      </c>
      <c r="J2556" s="1">
        <v>11.7</v>
      </c>
      <c r="K2556" s="1">
        <v>46.8</v>
      </c>
      <c r="L2556" s="42">
        <v>7</v>
      </c>
      <c r="M2556" s="43"/>
      <c r="N2556" s="1" t="e">
        <f>VLOOKUP(B2556,MICRO!E:L,8,0)</f>
        <v>#N/A</v>
      </c>
    </row>
    <row r="2557" spans="1:14" ht="20.25" x14ac:dyDescent="0.25">
      <c r="A2557" s="1">
        <v>56</v>
      </c>
      <c r="B2557" s="159">
        <v>2407</v>
      </c>
      <c r="C2557" s="1" t="s">
        <v>900</v>
      </c>
      <c r="D2557" s="1"/>
      <c r="E2557" s="1" t="s">
        <v>746</v>
      </c>
      <c r="F2557" s="1" t="s">
        <v>902</v>
      </c>
      <c r="G2557" s="1">
        <v>1</v>
      </c>
      <c r="H2557" s="1" t="s">
        <v>19</v>
      </c>
      <c r="I2557" s="1" t="s">
        <v>426</v>
      </c>
      <c r="J2557" s="1">
        <v>11.7</v>
      </c>
      <c r="K2557" s="1">
        <v>11.7</v>
      </c>
      <c r="L2557" s="42">
        <v>7</v>
      </c>
      <c r="M2557" s="43"/>
      <c r="N2557" s="1" t="e">
        <f>VLOOKUP(B2557,MICRO!E:L,8,0)</f>
        <v>#N/A</v>
      </c>
    </row>
    <row r="2558" spans="1:14" ht="20.25" x14ac:dyDescent="0.25">
      <c r="A2558" s="1">
        <v>57</v>
      </c>
      <c r="B2558" s="159">
        <v>2408</v>
      </c>
      <c r="C2558" s="1" t="s">
        <v>900</v>
      </c>
      <c r="D2558" s="1"/>
      <c r="E2558" s="1" t="s">
        <v>1101</v>
      </c>
      <c r="F2558" s="1" t="s">
        <v>903</v>
      </c>
      <c r="G2558" s="1">
        <v>1</v>
      </c>
      <c r="H2558" s="1" t="s">
        <v>19</v>
      </c>
      <c r="I2558" s="1" t="s">
        <v>426</v>
      </c>
      <c r="J2558" s="1">
        <v>12.9</v>
      </c>
      <c r="K2558" s="1">
        <v>12.9</v>
      </c>
      <c r="L2558" s="42">
        <v>7</v>
      </c>
      <c r="M2558" s="43"/>
      <c r="N2558" s="1" t="e">
        <f>VLOOKUP(B2558,MICRO!E:L,8,0)</f>
        <v>#N/A</v>
      </c>
    </row>
    <row r="2559" spans="1:14" ht="20.25" x14ac:dyDescent="0.25">
      <c r="A2559" s="1">
        <v>58</v>
      </c>
      <c r="B2559" s="159">
        <v>2411</v>
      </c>
      <c r="C2559" s="1" t="s">
        <v>905</v>
      </c>
      <c r="D2559" s="1"/>
      <c r="E2559" s="1" t="s">
        <v>461</v>
      </c>
      <c r="F2559" s="1" t="s">
        <v>907</v>
      </c>
      <c r="G2559" s="1">
        <v>1</v>
      </c>
      <c r="H2559" s="1" t="s">
        <v>19</v>
      </c>
      <c r="I2559" s="1" t="s">
        <v>426</v>
      </c>
      <c r="J2559" s="1">
        <v>9.6999999999999993</v>
      </c>
      <c r="K2559" s="1">
        <v>9.6999999999999993</v>
      </c>
      <c r="L2559" s="42">
        <v>7</v>
      </c>
      <c r="M2559" s="43"/>
      <c r="N2559" s="1" t="e">
        <f>VLOOKUP(B2559,MICRO!E:L,8,0)</f>
        <v>#N/A</v>
      </c>
    </row>
    <row r="2560" spans="1:14" ht="20.25" x14ac:dyDescent="0.25">
      <c r="A2560" s="1">
        <v>59</v>
      </c>
      <c r="B2560" s="159">
        <v>2779</v>
      </c>
      <c r="C2560" s="1" t="s">
        <v>900</v>
      </c>
      <c r="D2560" s="1"/>
      <c r="E2560" s="1" t="s">
        <v>464</v>
      </c>
      <c r="F2560" s="1" t="s">
        <v>1136</v>
      </c>
      <c r="G2560" s="1">
        <v>1</v>
      </c>
      <c r="H2560" s="1" t="s">
        <v>19</v>
      </c>
      <c r="I2560" s="1" t="s">
        <v>426</v>
      </c>
      <c r="J2560" s="1">
        <v>12.9</v>
      </c>
      <c r="K2560" s="1">
        <v>12.9</v>
      </c>
      <c r="L2560" s="42">
        <v>7</v>
      </c>
      <c r="M2560" s="43"/>
      <c r="N2560" s="1" t="e">
        <f>VLOOKUP(B2560,MICRO!E:L,8,0)</f>
        <v>#N/A</v>
      </c>
    </row>
    <row r="2561" spans="1:14" ht="20.25" x14ac:dyDescent="0.25">
      <c r="A2561" s="1">
        <v>60</v>
      </c>
      <c r="B2561" s="159">
        <v>2780</v>
      </c>
      <c r="C2561" s="1" t="s">
        <v>900</v>
      </c>
      <c r="D2561" s="1"/>
      <c r="E2561" s="1" t="s">
        <v>1103</v>
      </c>
      <c r="F2561" s="1" t="s">
        <v>1137</v>
      </c>
      <c r="G2561" s="1">
        <v>1</v>
      </c>
      <c r="H2561" s="1" t="s">
        <v>19</v>
      </c>
      <c r="I2561" s="1" t="s">
        <v>426</v>
      </c>
      <c r="J2561" s="1">
        <v>16.399999999999999</v>
      </c>
      <c r="K2561" s="1">
        <v>16.399999999999999</v>
      </c>
      <c r="L2561" s="42">
        <v>7</v>
      </c>
      <c r="M2561" s="43"/>
      <c r="N2561" s="1" t="e">
        <f>VLOOKUP(B2561,MICRO!E:L,8,0)</f>
        <v>#N/A</v>
      </c>
    </row>
    <row r="2562" spans="1:14" ht="20.25" x14ac:dyDescent="0.25">
      <c r="A2562" s="1">
        <v>61</v>
      </c>
      <c r="B2562" s="159"/>
      <c r="C2562" s="1" t="s">
        <v>1222</v>
      </c>
      <c r="D2562" s="1"/>
      <c r="E2562" s="1"/>
      <c r="F2562" s="1" t="s">
        <v>2118</v>
      </c>
      <c r="G2562" s="1">
        <v>200</v>
      </c>
      <c r="H2562" s="1" t="s">
        <v>19</v>
      </c>
      <c r="I2562" s="1" t="s">
        <v>423</v>
      </c>
      <c r="J2562" s="1">
        <v>3.4000000000000002E-2</v>
      </c>
      <c r="K2562" s="1">
        <v>6.8000000000000007</v>
      </c>
      <c r="L2562" s="42">
        <v>7</v>
      </c>
      <c r="M2562" s="43"/>
      <c r="N2562" s="1" t="e">
        <f>VLOOKUP(B2562,MICRO!E:L,8,0)</f>
        <v>#N/A</v>
      </c>
    </row>
    <row r="2563" spans="1:14" ht="20.25" x14ac:dyDescent="0.25">
      <c r="A2563" s="1">
        <v>62</v>
      </c>
      <c r="B2563" s="159"/>
      <c r="C2563" s="1" t="s">
        <v>2119</v>
      </c>
      <c r="D2563" s="1" t="s">
        <v>2120</v>
      </c>
      <c r="E2563" s="1"/>
      <c r="F2563" s="1" t="s">
        <v>2121</v>
      </c>
      <c r="G2563" s="1">
        <v>8</v>
      </c>
      <c r="H2563" s="1" t="s">
        <v>19</v>
      </c>
      <c r="I2563" s="1" t="s">
        <v>423</v>
      </c>
      <c r="J2563" s="1">
        <v>1.5</v>
      </c>
      <c r="K2563" s="1">
        <v>12</v>
      </c>
      <c r="L2563" s="42">
        <v>7</v>
      </c>
      <c r="M2563" s="43"/>
      <c r="N2563" s="1" t="e">
        <f>VLOOKUP(B2563,MICRO!E:L,8,0)</f>
        <v>#N/A</v>
      </c>
    </row>
    <row r="2564" spans="1:14" ht="20.25" x14ac:dyDescent="0.25">
      <c r="A2564" s="1">
        <v>63</v>
      </c>
      <c r="B2564" s="159"/>
      <c r="C2564" s="1" t="s">
        <v>2119</v>
      </c>
      <c r="D2564" s="1" t="s">
        <v>2120</v>
      </c>
      <c r="E2564" s="1"/>
      <c r="F2564" s="1" t="s">
        <v>2122</v>
      </c>
      <c r="G2564" s="1">
        <v>3</v>
      </c>
      <c r="H2564" s="1" t="s">
        <v>19</v>
      </c>
      <c r="I2564" s="1" t="s">
        <v>423</v>
      </c>
      <c r="J2564" s="1">
        <v>3.2</v>
      </c>
      <c r="K2564" s="1">
        <v>9.6000000000000014</v>
      </c>
      <c r="L2564" s="42">
        <v>7</v>
      </c>
      <c r="M2564" s="43"/>
      <c r="N2564" s="1" t="e">
        <f>VLOOKUP(B2564,MICRO!E:L,8,0)</f>
        <v>#N/A</v>
      </c>
    </row>
    <row r="2565" spans="1:14" ht="20.25" x14ac:dyDescent="0.25">
      <c r="A2565" s="1">
        <v>64</v>
      </c>
      <c r="B2565" s="159"/>
      <c r="C2565" s="1" t="s">
        <v>2123</v>
      </c>
      <c r="D2565" s="1" t="s">
        <v>2124</v>
      </c>
      <c r="E2565" s="1"/>
      <c r="F2565" s="1" t="s">
        <v>2121</v>
      </c>
      <c r="G2565" s="1">
        <v>7</v>
      </c>
      <c r="H2565" s="1" t="s">
        <v>19</v>
      </c>
      <c r="I2565" s="1" t="s">
        <v>424</v>
      </c>
      <c r="J2565" s="1">
        <v>1.5</v>
      </c>
      <c r="K2565" s="1">
        <v>10.5</v>
      </c>
      <c r="L2565" s="42">
        <v>7</v>
      </c>
      <c r="M2565" s="43"/>
      <c r="N2565" s="1" t="e">
        <f>VLOOKUP(B2565,MICRO!E:L,8,0)</f>
        <v>#N/A</v>
      </c>
    </row>
    <row r="2566" spans="1:14" ht="20.25" x14ac:dyDescent="0.25">
      <c r="A2566" s="1">
        <v>65</v>
      </c>
      <c r="B2566" s="159"/>
      <c r="C2566" s="1" t="s">
        <v>2123</v>
      </c>
      <c r="D2566" s="1" t="s">
        <v>2124</v>
      </c>
      <c r="E2566" s="1"/>
      <c r="F2566" s="1" t="s">
        <v>2122</v>
      </c>
      <c r="G2566" s="1">
        <v>3</v>
      </c>
      <c r="H2566" s="1" t="s">
        <v>19</v>
      </c>
      <c r="I2566" s="1" t="s">
        <v>424</v>
      </c>
      <c r="J2566" s="1">
        <v>3.2</v>
      </c>
      <c r="K2566" s="1">
        <v>9.6000000000000014</v>
      </c>
      <c r="L2566" s="42">
        <v>7</v>
      </c>
      <c r="M2566" s="43"/>
      <c r="N2566" s="1" t="e">
        <f>VLOOKUP(B2566,MICRO!E:L,8,0)</f>
        <v>#N/A</v>
      </c>
    </row>
    <row r="2567" spans="1:14" ht="20.25" x14ac:dyDescent="0.25">
      <c r="A2567" s="1">
        <v>66</v>
      </c>
      <c r="B2567" s="159"/>
      <c r="C2567" s="1" t="s">
        <v>2097</v>
      </c>
      <c r="D2567" s="1" t="s">
        <v>2125</v>
      </c>
      <c r="E2567" s="1"/>
      <c r="F2567" s="1" t="s">
        <v>2121</v>
      </c>
      <c r="G2567" s="1">
        <v>8</v>
      </c>
      <c r="H2567" s="1" t="s">
        <v>19</v>
      </c>
      <c r="I2567" s="1" t="s">
        <v>425</v>
      </c>
      <c r="J2567" s="1">
        <v>1.5</v>
      </c>
      <c r="K2567" s="1">
        <v>12</v>
      </c>
      <c r="L2567" s="42">
        <v>7</v>
      </c>
      <c r="M2567" s="43"/>
      <c r="N2567" s="1" t="e">
        <f>VLOOKUP(B2567,MICRO!E:L,8,0)</f>
        <v>#N/A</v>
      </c>
    </row>
    <row r="2568" spans="1:14" ht="20.25" x14ac:dyDescent="0.25">
      <c r="A2568" s="1">
        <v>67</v>
      </c>
      <c r="B2568" s="159"/>
      <c r="C2568" s="1" t="s">
        <v>2097</v>
      </c>
      <c r="D2568" s="1" t="s">
        <v>2125</v>
      </c>
      <c r="E2568" s="1"/>
      <c r="F2568" s="1" t="s">
        <v>2122</v>
      </c>
      <c r="G2568" s="1">
        <v>3</v>
      </c>
      <c r="H2568" s="1" t="s">
        <v>19</v>
      </c>
      <c r="I2568" s="1" t="s">
        <v>425</v>
      </c>
      <c r="J2568" s="1">
        <v>3.2</v>
      </c>
      <c r="K2568" s="1">
        <v>9.6000000000000014</v>
      </c>
      <c r="L2568" s="42">
        <v>7</v>
      </c>
      <c r="M2568" s="43"/>
      <c r="N2568" s="1" t="e">
        <f>VLOOKUP(B2568,MICRO!E:L,8,0)</f>
        <v>#N/A</v>
      </c>
    </row>
    <row r="2569" spans="1:14" ht="20.25" x14ac:dyDescent="0.25">
      <c r="A2569" s="1">
        <v>68</v>
      </c>
      <c r="B2569" s="159"/>
      <c r="C2569" s="1" t="s">
        <v>2103</v>
      </c>
      <c r="D2569" s="1" t="s">
        <v>2126</v>
      </c>
      <c r="E2569" s="1"/>
      <c r="F2569" s="1" t="s">
        <v>2121</v>
      </c>
      <c r="G2569" s="1">
        <v>9</v>
      </c>
      <c r="H2569" s="1" t="s">
        <v>19</v>
      </c>
      <c r="I2569" s="1" t="s">
        <v>426</v>
      </c>
      <c r="J2569" s="1">
        <v>1.5</v>
      </c>
      <c r="K2569" s="1">
        <v>13.5</v>
      </c>
      <c r="L2569" s="42">
        <v>7</v>
      </c>
      <c r="M2569" s="43"/>
      <c r="N2569" s="1" t="e">
        <f>VLOOKUP(B2569,MICRO!E:L,8,0)</f>
        <v>#N/A</v>
      </c>
    </row>
    <row r="2570" spans="1:14" ht="20.25" x14ac:dyDescent="0.25">
      <c r="A2570" s="1">
        <v>69</v>
      </c>
      <c r="B2570" s="159"/>
      <c r="C2570" s="1" t="s">
        <v>2103</v>
      </c>
      <c r="D2570" s="1" t="s">
        <v>2126</v>
      </c>
      <c r="E2570" s="1"/>
      <c r="F2570" s="1" t="s">
        <v>2122</v>
      </c>
      <c r="G2570" s="1">
        <v>4</v>
      </c>
      <c r="H2570" s="1" t="s">
        <v>19</v>
      </c>
      <c r="I2570" s="1" t="s">
        <v>426</v>
      </c>
      <c r="J2570" s="1">
        <v>3.2</v>
      </c>
      <c r="K2570" s="1">
        <v>12.8</v>
      </c>
      <c r="L2570" s="42">
        <v>7</v>
      </c>
      <c r="M2570" s="43"/>
      <c r="N2570" s="1" t="e">
        <f>VLOOKUP(B2570,MICRO!E:L,8,0)</f>
        <v>#N/A</v>
      </c>
    </row>
    <row r="2571" spans="1:14" ht="20.25" x14ac:dyDescent="0.25">
      <c r="A2571" s="1">
        <v>70</v>
      </c>
      <c r="B2571" s="159"/>
      <c r="C2571" s="1" t="s">
        <v>2108</v>
      </c>
      <c r="D2571" s="1" t="s">
        <v>2127</v>
      </c>
      <c r="E2571" s="1"/>
      <c r="F2571" s="1" t="s">
        <v>2121</v>
      </c>
      <c r="G2571" s="1">
        <v>10</v>
      </c>
      <c r="H2571" s="1" t="s">
        <v>19</v>
      </c>
      <c r="I2571" s="1" t="s">
        <v>427</v>
      </c>
      <c r="J2571" s="1">
        <v>1.5</v>
      </c>
      <c r="K2571" s="1">
        <v>15</v>
      </c>
      <c r="L2571" s="42">
        <v>7</v>
      </c>
      <c r="M2571" s="43"/>
      <c r="N2571" s="1" t="e">
        <f>VLOOKUP(B2571,MICRO!E:L,8,0)</f>
        <v>#N/A</v>
      </c>
    </row>
    <row r="2572" spans="1:14" ht="20.25" x14ac:dyDescent="0.25">
      <c r="A2572" s="1">
        <v>71</v>
      </c>
      <c r="B2572" s="159"/>
      <c r="C2572" s="1" t="s">
        <v>2108</v>
      </c>
      <c r="D2572" s="1" t="s">
        <v>2127</v>
      </c>
      <c r="E2572" s="1"/>
      <c r="F2572" s="1" t="s">
        <v>2122</v>
      </c>
      <c r="G2572" s="1">
        <v>7</v>
      </c>
      <c r="H2572" s="1" t="s">
        <v>19</v>
      </c>
      <c r="I2572" s="1" t="s">
        <v>427</v>
      </c>
      <c r="J2572" s="1">
        <v>3.2</v>
      </c>
      <c r="K2572" s="1">
        <v>22.400000000000002</v>
      </c>
      <c r="L2572" s="42">
        <v>7</v>
      </c>
      <c r="M2572" s="43"/>
      <c r="N2572" s="1" t="e">
        <f>VLOOKUP(B2572,MICRO!E:L,8,0)</f>
        <v>#N/A</v>
      </c>
    </row>
    <row r="2573" spans="1:14" ht="20.25" x14ac:dyDescent="0.25">
      <c r="A2573" s="1">
        <v>72</v>
      </c>
      <c r="B2573" s="159"/>
      <c r="C2573" s="1"/>
      <c r="D2573" s="1" t="s">
        <v>2128</v>
      </c>
      <c r="E2573" s="1"/>
      <c r="F2573" s="1" t="s">
        <v>2129</v>
      </c>
      <c r="G2573" s="1">
        <v>189</v>
      </c>
      <c r="H2573" s="1" t="s">
        <v>19</v>
      </c>
      <c r="I2573" s="1" t="s">
        <v>2091</v>
      </c>
      <c r="J2573" s="1">
        <v>0.05</v>
      </c>
      <c r="K2573" s="1">
        <v>9.4500000000000011</v>
      </c>
      <c r="L2573" s="42">
        <v>7</v>
      </c>
      <c r="M2573" s="43"/>
      <c r="N2573" s="1" t="e">
        <f>VLOOKUP(B2573,MICRO!E:L,8,0)</f>
        <v>#N/A</v>
      </c>
    </row>
    <row r="2574" spans="1:14" ht="20.25" x14ac:dyDescent="0.25">
      <c r="A2574" s="1">
        <v>73</v>
      </c>
      <c r="B2574" s="159"/>
      <c r="C2574" s="1"/>
      <c r="D2574" s="1" t="s">
        <v>2128</v>
      </c>
      <c r="E2574" s="1"/>
      <c r="F2574" s="1" t="s">
        <v>2130</v>
      </c>
      <c r="G2574" s="1">
        <v>189</v>
      </c>
      <c r="H2574" s="1" t="s">
        <v>19</v>
      </c>
      <c r="I2574" s="1" t="s">
        <v>2091</v>
      </c>
      <c r="J2574" s="1">
        <v>0.03</v>
      </c>
      <c r="K2574" s="1">
        <v>5.67</v>
      </c>
      <c r="L2574" s="42">
        <v>7</v>
      </c>
      <c r="M2574" s="43"/>
      <c r="N2574" s="1" t="e">
        <f>VLOOKUP(B2574,MICRO!E:L,8,0)</f>
        <v>#N/A</v>
      </c>
    </row>
    <row r="2575" spans="1:14" ht="20.25" x14ac:dyDescent="0.25">
      <c r="A2575" s="1">
        <v>74</v>
      </c>
      <c r="B2575" s="159"/>
      <c r="C2575" s="1"/>
      <c r="D2575" s="1" t="s">
        <v>2128</v>
      </c>
      <c r="E2575" s="1"/>
      <c r="F2575" s="1" t="s">
        <v>2131</v>
      </c>
      <c r="G2575" s="1">
        <v>189</v>
      </c>
      <c r="H2575" s="1" t="s">
        <v>19</v>
      </c>
      <c r="I2575" s="1" t="s">
        <v>2091</v>
      </c>
      <c r="J2575" s="1">
        <v>0.02</v>
      </c>
      <c r="K2575" s="1">
        <v>3.7800000000000002</v>
      </c>
      <c r="L2575" s="42">
        <v>7</v>
      </c>
      <c r="M2575" s="43"/>
      <c r="N2575" s="1" t="e">
        <f>VLOOKUP(B2575,MICRO!E:L,8,0)</f>
        <v>#N/A</v>
      </c>
    </row>
    <row r="2576" spans="1:14" ht="20.25" x14ac:dyDescent="0.25">
      <c r="A2576" s="1">
        <v>75</v>
      </c>
      <c r="B2576" s="159"/>
      <c r="C2576" s="1" t="s">
        <v>2132</v>
      </c>
      <c r="D2576" s="1"/>
      <c r="E2576" s="1"/>
      <c r="F2576" s="1" t="s">
        <v>2133</v>
      </c>
      <c r="G2576" s="1">
        <v>60</v>
      </c>
      <c r="H2576" s="1" t="s">
        <v>19</v>
      </c>
      <c r="I2576" s="1" t="s">
        <v>2134</v>
      </c>
      <c r="J2576" s="1">
        <v>0.03</v>
      </c>
      <c r="K2576" s="1">
        <v>1.7999999999999998</v>
      </c>
      <c r="L2576" s="42">
        <v>7</v>
      </c>
      <c r="M2576" s="43"/>
      <c r="N2576" s="1" t="e">
        <f>VLOOKUP(B2576,MICRO!E:L,8,0)</f>
        <v>#N/A</v>
      </c>
    </row>
    <row r="2577" spans="1:14" ht="20.25" x14ac:dyDescent="0.25">
      <c r="A2577" s="1">
        <v>1</v>
      </c>
      <c r="B2577" s="159">
        <v>2925</v>
      </c>
      <c r="C2577" s="1" t="s">
        <v>1201</v>
      </c>
      <c r="D2577" s="1"/>
      <c r="E2577" s="1" t="s">
        <v>2</v>
      </c>
      <c r="F2577" s="1" t="s">
        <v>1202</v>
      </c>
      <c r="G2577" s="1">
        <v>1</v>
      </c>
      <c r="H2577" s="1" t="s">
        <v>19</v>
      </c>
      <c r="I2577" s="1" t="s">
        <v>425</v>
      </c>
      <c r="J2577" s="1">
        <v>179.9</v>
      </c>
      <c r="K2577" s="1">
        <v>179.9</v>
      </c>
      <c r="L2577" s="42">
        <v>8</v>
      </c>
      <c r="M2577" s="43"/>
      <c r="N2577" s="1" t="e">
        <f>VLOOKUP(B2577,MICRO!E:L,8,0)</f>
        <v>#N/A</v>
      </c>
    </row>
    <row r="2578" spans="1:14" ht="20.25" x14ac:dyDescent="0.25">
      <c r="A2578" s="1">
        <v>2</v>
      </c>
      <c r="B2578" s="159">
        <v>2936</v>
      </c>
      <c r="C2578" s="1" t="s">
        <v>1213</v>
      </c>
      <c r="D2578" s="1"/>
      <c r="E2578" s="1" t="s">
        <v>2</v>
      </c>
      <c r="F2578" s="1" t="s">
        <v>1334</v>
      </c>
      <c r="G2578" s="1">
        <v>2</v>
      </c>
      <c r="H2578" s="1" t="s">
        <v>19</v>
      </c>
      <c r="I2578" s="1" t="s">
        <v>425</v>
      </c>
      <c r="J2578" s="1">
        <v>5.9</v>
      </c>
      <c r="K2578" s="1">
        <v>11.8</v>
      </c>
      <c r="L2578" s="42">
        <v>8</v>
      </c>
      <c r="M2578" s="43"/>
      <c r="N2578" s="1" t="e">
        <f>VLOOKUP(B2578,MICRO!E:L,8,0)</f>
        <v>#N/A</v>
      </c>
    </row>
    <row r="2579" spans="1:14" ht="20.25" x14ac:dyDescent="0.25">
      <c r="A2579" s="1">
        <v>3</v>
      </c>
      <c r="B2579" s="159">
        <v>2937</v>
      </c>
      <c r="C2579" s="1" t="s">
        <v>1213</v>
      </c>
      <c r="D2579" s="1"/>
      <c r="E2579" s="1" t="s">
        <v>43</v>
      </c>
      <c r="F2579" s="1" t="s">
        <v>1335</v>
      </c>
      <c r="G2579" s="1">
        <v>1</v>
      </c>
      <c r="H2579" s="1" t="s">
        <v>19</v>
      </c>
      <c r="I2579" s="1" t="s">
        <v>425</v>
      </c>
      <c r="J2579" s="1">
        <v>3.6</v>
      </c>
      <c r="K2579" s="1">
        <v>3.6</v>
      </c>
      <c r="L2579" s="42">
        <v>8</v>
      </c>
      <c r="M2579" s="43"/>
      <c r="N2579" s="1" t="e">
        <f>VLOOKUP(B2579,MICRO!E:L,8,0)</f>
        <v>#N/A</v>
      </c>
    </row>
    <row r="2580" spans="1:14" ht="20.25" x14ac:dyDescent="0.25">
      <c r="A2580" s="1">
        <v>4</v>
      </c>
      <c r="B2580" s="159">
        <v>2938</v>
      </c>
      <c r="C2580" s="1" t="s">
        <v>1213</v>
      </c>
      <c r="D2580" s="1"/>
      <c r="E2580" s="1" t="s">
        <v>746</v>
      </c>
      <c r="F2580" s="1" t="s">
        <v>1336</v>
      </c>
      <c r="G2580" s="1">
        <v>1</v>
      </c>
      <c r="H2580" s="1" t="s">
        <v>19</v>
      </c>
      <c r="I2580" s="1" t="s">
        <v>425</v>
      </c>
      <c r="J2580" s="1">
        <v>3.8</v>
      </c>
      <c r="K2580" s="1">
        <v>3.8</v>
      </c>
      <c r="L2580" s="42">
        <v>8</v>
      </c>
      <c r="M2580" s="43"/>
      <c r="N2580" s="1" t="e">
        <f>VLOOKUP(B2580,MICRO!E:L,8,0)</f>
        <v>#N/A</v>
      </c>
    </row>
    <row r="2581" spans="1:14" ht="20.25" x14ac:dyDescent="0.25">
      <c r="A2581" s="1">
        <v>5</v>
      </c>
      <c r="B2581" s="159">
        <v>2939</v>
      </c>
      <c r="C2581" s="1" t="s">
        <v>1213</v>
      </c>
      <c r="D2581" s="1"/>
      <c r="E2581" s="1" t="s">
        <v>100</v>
      </c>
      <c r="F2581" s="1" t="s">
        <v>1337</v>
      </c>
      <c r="G2581" s="1">
        <v>2</v>
      </c>
      <c r="H2581" s="1" t="s">
        <v>19</v>
      </c>
      <c r="I2581" s="1" t="s">
        <v>425</v>
      </c>
      <c r="J2581" s="1">
        <v>4.4000000000000004</v>
      </c>
      <c r="K2581" s="1">
        <v>8.8000000000000007</v>
      </c>
      <c r="L2581" s="42">
        <v>8</v>
      </c>
      <c r="M2581" s="43"/>
      <c r="N2581" s="1" t="e">
        <f>VLOOKUP(B2581,MICRO!E:L,8,0)</f>
        <v>#N/A</v>
      </c>
    </row>
    <row r="2582" spans="1:14" ht="20.25" x14ac:dyDescent="0.25">
      <c r="A2582" s="1">
        <v>6</v>
      </c>
      <c r="B2582" s="159">
        <v>2940</v>
      </c>
      <c r="C2582" s="1" t="s">
        <v>1213</v>
      </c>
      <c r="D2582" s="1"/>
      <c r="E2582" s="1" t="s">
        <v>173</v>
      </c>
      <c r="F2582" s="1" t="s">
        <v>1338</v>
      </c>
      <c r="G2582" s="1">
        <v>1</v>
      </c>
      <c r="H2582" s="1" t="s">
        <v>19</v>
      </c>
      <c r="I2582" s="1" t="s">
        <v>425</v>
      </c>
      <c r="J2582" s="1">
        <v>3.8</v>
      </c>
      <c r="K2582" s="1">
        <v>3.8</v>
      </c>
      <c r="L2582" s="42">
        <v>8</v>
      </c>
      <c r="M2582" s="43"/>
      <c r="N2582" s="1" t="e">
        <f>VLOOKUP(B2582,MICRO!E:L,8,0)</f>
        <v>#N/A</v>
      </c>
    </row>
    <row r="2583" spans="1:14" ht="20.25" x14ac:dyDescent="0.25">
      <c r="A2583" s="1">
        <v>7</v>
      </c>
      <c r="B2583" s="159">
        <v>2941</v>
      </c>
      <c r="C2583" s="1" t="s">
        <v>1213</v>
      </c>
      <c r="D2583" s="1"/>
      <c r="E2583" s="1" t="s">
        <v>461</v>
      </c>
      <c r="F2583" s="1" t="s">
        <v>1339</v>
      </c>
      <c r="G2583" s="1">
        <v>1</v>
      </c>
      <c r="H2583" s="1" t="s">
        <v>19</v>
      </c>
      <c r="I2583" s="1" t="s">
        <v>425</v>
      </c>
      <c r="J2583" s="1">
        <v>3.8</v>
      </c>
      <c r="K2583" s="1">
        <v>3.8</v>
      </c>
      <c r="L2583" s="42">
        <v>8</v>
      </c>
      <c r="M2583" s="43"/>
      <c r="N2583" s="1" t="e">
        <f>VLOOKUP(B2583,MICRO!E:L,8,0)</f>
        <v>#N/A</v>
      </c>
    </row>
    <row r="2584" spans="1:14" ht="20.25" x14ac:dyDescent="0.25">
      <c r="A2584" s="1">
        <v>8</v>
      </c>
      <c r="B2584" s="159">
        <v>2947</v>
      </c>
      <c r="C2584" s="1" t="s">
        <v>1218</v>
      </c>
      <c r="D2584" s="1"/>
      <c r="E2584" s="1" t="s">
        <v>2</v>
      </c>
      <c r="F2584" s="1" t="s">
        <v>1219</v>
      </c>
      <c r="G2584" s="1">
        <v>2</v>
      </c>
      <c r="H2584" s="1" t="s">
        <v>19</v>
      </c>
      <c r="I2584" s="1" t="s">
        <v>424</v>
      </c>
      <c r="J2584" s="1">
        <v>6.2</v>
      </c>
      <c r="K2584" s="1">
        <v>12.4</v>
      </c>
      <c r="L2584" s="42">
        <v>8</v>
      </c>
      <c r="M2584" s="43"/>
      <c r="N2584" s="1" t="e">
        <f>VLOOKUP(B2584,MICRO!E:L,8,0)</f>
        <v>#N/A</v>
      </c>
    </row>
    <row r="2585" spans="1:14" ht="20.25" x14ac:dyDescent="0.25">
      <c r="A2585" s="1">
        <v>9</v>
      </c>
      <c r="B2585" s="159"/>
      <c r="C2585" s="1" t="s">
        <v>1218</v>
      </c>
      <c r="D2585" s="1"/>
      <c r="E2585" s="1" t="s">
        <v>43</v>
      </c>
      <c r="F2585" s="1" t="s">
        <v>2308</v>
      </c>
      <c r="G2585" s="1">
        <v>2</v>
      </c>
      <c r="H2585" s="1" t="s">
        <v>19</v>
      </c>
      <c r="I2585" s="1" t="s">
        <v>424</v>
      </c>
      <c r="J2585" s="1">
        <v>4.5</v>
      </c>
      <c r="K2585" s="1">
        <v>9</v>
      </c>
      <c r="L2585" s="42">
        <v>8</v>
      </c>
      <c r="M2585" s="43"/>
      <c r="N2585" s="1" t="e">
        <f>VLOOKUP(B2585,MICRO!E:L,8,0)</f>
        <v>#N/A</v>
      </c>
    </row>
    <row r="2586" spans="1:14" ht="20.25" x14ac:dyDescent="0.25">
      <c r="A2586" s="1">
        <v>10</v>
      </c>
      <c r="B2586" s="159">
        <v>2948</v>
      </c>
      <c r="C2586" s="1" t="s">
        <v>1218</v>
      </c>
      <c r="D2586" s="1"/>
      <c r="E2586" s="1" t="s">
        <v>746</v>
      </c>
      <c r="F2586" s="1" t="s">
        <v>2309</v>
      </c>
      <c r="G2586" s="1">
        <v>4</v>
      </c>
      <c r="H2586" s="1" t="s">
        <v>19</v>
      </c>
      <c r="I2586" s="1" t="s">
        <v>424</v>
      </c>
      <c r="J2586" s="1">
        <v>3.8</v>
      </c>
      <c r="K2586" s="1">
        <v>15.2</v>
      </c>
      <c r="L2586" s="42">
        <v>8</v>
      </c>
      <c r="M2586" s="43"/>
      <c r="N2586" s="1" t="e">
        <f>VLOOKUP(B2586,MICRO!E:L,8,0)</f>
        <v>#N/A</v>
      </c>
    </row>
    <row r="2587" spans="1:14" ht="20.25" x14ac:dyDescent="0.25">
      <c r="A2587" s="1">
        <v>11</v>
      </c>
      <c r="B2587" s="159">
        <v>2950</v>
      </c>
      <c r="C2587" s="1" t="s">
        <v>1222</v>
      </c>
      <c r="D2587" s="1"/>
      <c r="E2587" s="1" t="s">
        <v>2</v>
      </c>
      <c r="F2587" s="1" t="s">
        <v>1223</v>
      </c>
      <c r="G2587" s="1">
        <v>2</v>
      </c>
      <c r="H2587" s="1" t="s">
        <v>19</v>
      </c>
      <c r="I2587" s="1" t="s">
        <v>423</v>
      </c>
      <c r="J2587" s="1">
        <v>4.7</v>
      </c>
      <c r="K2587" s="1">
        <v>9.4</v>
      </c>
      <c r="L2587" s="42">
        <v>8</v>
      </c>
      <c r="M2587" s="43"/>
      <c r="N2587" s="1" t="e">
        <f>VLOOKUP(B2587,MICRO!E:L,8,0)</f>
        <v>#N/A</v>
      </c>
    </row>
    <row r="2588" spans="1:14" ht="20.25" x14ac:dyDescent="0.25">
      <c r="A2588" s="1">
        <v>12</v>
      </c>
      <c r="B2588" s="159">
        <v>2951</v>
      </c>
      <c r="C2588" s="1" t="s">
        <v>1222</v>
      </c>
      <c r="D2588" s="1"/>
      <c r="E2588" s="1" t="s">
        <v>43</v>
      </c>
      <c r="F2588" s="1" t="s">
        <v>1224</v>
      </c>
      <c r="G2588" s="1">
        <v>2</v>
      </c>
      <c r="H2588" s="1" t="s">
        <v>19</v>
      </c>
      <c r="I2588" s="1" t="s">
        <v>423</v>
      </c>
      <c r="J2588" s="1">
        <v>1.4</v>
      </c>
      <c r="K2588" s="1">
        <v>2.8</v>
      </c>
      <c r="L2588" s="42">
        <v>8</v>
      </c>
      <c r="M2588" s="43"/>
      <c r="N2588" s="1" t="e">
        <f>VLOOKUP(B2588,MICRO!E:L,8,0)</f>
        <v>#N/A</v>
      </c>
    </row>
    <row r="2589" spans="1:14" ht="20.25" x14ac:dyDescent="0.25">
      <c r="A2589" s="1">
        <v>13</v>
      </c>
      <c r="B2589" s="159">
        <v>2952</v>
      </c>
      <c r="C2589" s="1" t="s">
        <v>1222</v>
      </c>
      <c r="D2589" s="1"/>
      <c r="E2589" s="1" t="s">
        <v>746</v>
      </c>
      <c r="F2589" s="1" t="s">
        <v>1225</v>
      </c>
      <c r="G2589" s="1">
        <v>2</v>
      </c>
      <c r="H2589" s="1" t="s">
        <v>19</v>
      </c>
      <c r="I2589" s="1" t="s">
        <v>423</v>
      </c>
      <c r="J2589" s="1">
        <v>0.8</v>
      </c>
      <c r="K2589" s="1">
        <v>1.6</v>
      </c>
      <c r="L2589" s="42">
        <v>8</v>
      </c>
      <c r="M2589" s="43"/>
      <c r="N2589" s="1" t="e">
        <f>VLOOKUP(B2589,MICRO!E:L,8,0)</f>
        <v>#N/A</v>
      </c>
    </row>
    <row r="2590" spans="1:14" ht="20.25" x14ac:dyDescent="0.25">
      <c r="A2590" s="1">
        <v>14</v>
      </c>
      <c r="B2590" s="159">
        <v>2953</v>
      </c>
      <c r="C2590" s="1" t="s">
        <v>1222</v>
      </c>
      <c r="D2590" s="1"/>
      <c r="E2590" s="1" t="s">
        <v>1101</v>
      </c>
      <c r="F2590" s="1" t="s">
        <v>1226</v>
      </c>
      <c r="G2590" s="1">
        <v>1</v>
      </c>
      <c r="H2590" s="1" t="s">
        <v>19</v>
      </c>
      <c r="I2590" s="1" t="s">
        <v>423</v>
      </c>
      <c r="J2590" s="1">
        <v>2.2999999999999998</v>
      </c>
      <c r="K2590" s="1">
        <v>2.2999999999999998</v>
      </c>
      <c r="L2590" s="42">
        <v>8</v>
      </c>
      <c r="M2590" s="43"/>
      <c r="N2590" s="1" t="e">
        <f>VLOOKUP(B2590,MICRO!E:L,8,0)</f>
        <v>#N/A</v>
      </c>
    </row>
    <row r="2591" spans="1:14" ht="20.25" x14ac:dyDescent="0.25">
      <c r="A2591" s="1">
        <v>15</v>
      </c>
      <c r="B2591" s="159">
        <v>2954</v>
      </c>
      <c r="C2591" s="1" t="s">
        <v>1222</v>
      </c>
      <c r="D2591" s="1"/>
      <c r="E2591" s="1" t="s">
        <v>100</v>
      </c>
      <c r="F2591" s="1" t="s">
        <v>1227</v>
      </c>
      <c r="G2591" s="1">
        <v>1</v>
      </c>
      <c r="H2591" s="1" t="s">
        <v>19</v>
      </c>
      <c r="I2591" s="1" t="s">
        <v>423</v>
      </c>
      <c r="J2591" s="1">
        <v>2.6</v>
      </c>
      <c r="K2591" s="1">
        <v>2.6</v>
      </c>
      <c r="L2591" s="42">
        <v>8</v>
      </c>
      <c r="M2591" s="43"/>
      <c r="N2591" s="1" t="e">
        <f>VLOOKUP(B2591,MICRO!E:L,8,0)</f>
        <v>#N/A</v>
      </c>
    </row>
    <row r="2592" spans="1:14" ht="20.25" x14ac:dyDescent="0.25">
      <c r="A2592" s="1">
        <v>16</v>
      </c>
      <c r="B2592" s="159">
        <v>2955</v>
      </c>
      <c r="C2592" s="1" t="s">
        <v>1222</v>
      </c>
      <c r="D2592" s="1"/>
      <c r="E2592" s="1" t="s">
        <v>173</v>
      </c>
      <c r="F2592" s="1" t="s">
        <v>1228</v>
      </c>
      <c r="G2592" s="1">
        <v>2</v>
      </c>
      <c r="H2592" s="1" t="s">
        <v>19</v>
      </c>
      <c r="I2592" s="1" t="s">
        <v>423</v>
      </c>
      <c r="J2592" s="1">
        <v>0.7</v>
      </c>
      <c r="K2592" s="1">
        <v>1.4</v>
      </c>
      <c r="L2592" s="42">
        <v>8</v>
      </c>
      <c r="M2592" s="43"/>
      <c r="N2592" s="1" t="e">
        <f>VLOOKUP(B2592,MICRO!E:L,8,0)</f>
        <v>#N/A</v>
      </c>
    </row>
    <row r="2593" spans="1:14" ht="20.25" x14ac:dyDescent="0.25">
      <c r="A2593" s="1">
        <v>17</v>
      </c>
      <c r="B2593" s="159">
        <v>2956</v>
      </c>
      <c r="C2593" s="1" t="s">
        <v>1222</v>
      </c>
      <c r="D2593" s="1"/>
      <c r="E2593" s="1" t="s">
        <v>464</v>
      </c>
      <c r="F2593" s="1" t="s">
        <v>1229</v>
      </c>
      <c r="G2593" s="1">
        <v>2</v>
      </c>
      <c r="H2593" s="1" t="s">
        <v>19</v>
      </c>
      <c r="I2593" s="1" t="s">
        <v>423</v>
      </c>
      <c r="J2593" s="1">
        <v>0.7</v>
      </c>
      <c r="K2593" s="1">
        <v>1.4</v>
      </c>
      <c r="L2593" s="42">
        <v>8</v>
      </c>
      <c r="M2593" s="43"/>
      <c r="N2593" s="1" t="e">
        <f>VLOOKUP(B2593,MICRO!E:L,8,0)</f>
        <v>#N/A</v>
      </c>
    </row>
    <row r="2594" spans="1:14" ht="20.25" x14ac:dyDescent="0.25">
      <c r="A2594" s="1">
        <v>18</v>
      </c>
      <c r="B2594" s="159">
        <v>2957</v>
      </c>
      <c r="C2594" s="1" t="s">
        <v>1222</v>
      </c>
      <c r="D2594" s="1"/>
      <c r="E2594" s="1" t="s">
        <v>1102</v>
      </c>
      <c r="F2594" s="1" t="s">
        <v>1230</v>
      </c>
      <c r="G2594" s="1">
        <v>2</v>
      </c>
      <c r="H2594" s="1" t="s">
        <v>19</v>
      </c>
      <c r="I2594" s="1" t="s">
        <v>423</v>
      </c>
      <c r="J2594" s="1">
        <v>1.2</v>
      </c>
      <c r="K2594" s="1">
        <v>2.4</v>
      </c>
      <c r="L2594" s="42">
        <v>8</v>
      </c>
      <c r="M2594" s="43"/>
      <c r="N2594" s="1" t="e">
        <f>VLOOKUP(B2594,MICRO!E:L,8,0)</f>
        <v>#N/A</v>
      </c>
    </row>
    <row r="2595" spans="1:14" ht="20.25" x14ac:dyDescent="0.25">
      <c r="A2595" s="1">
        <v>19</v>
      </c>
      <c r="B2595" s="159">
        <v>2958</v>
      </c>
      <c r="C2595" s="1" t="s">
        <v>1222</v>
      </c>
      <c r="D2595" s="1"/>
      <c r="E2595" s="1" t="s">
        <v>1103</v>
      </c>
      <c r="F2595" s="1" t="s">
        <v>1231</v>
      </c>
      <c r="G2595" s="1">
        <v>1</v>
      </c>
      <c r="H2595" s="1" t="s">
        <v>19</v>
      </c>
      <c r="I2595" s="1" t="s">
        <v>423</v>
      </c>
      <c r="J2595" s="1">
        <v>1.4</v>
      </c>
      <c r="K2595" s="1">
        <v>1.4</v>
      </c>
      <c r="L2595" s="42">
        <v>8</v>
      </c>
      <c r="M2595" s="43"/>
      <c r="N2595" s="1" t="e">
        <f>VLOOKUP(B2595,MICRO!E:L,8,0)</f>
        <v>#N/A</v>
      </c>
    </row>
    <row r="2596" spans="1:14" ht="20.25" x14ac:dyDescent="0.25">
      <c r="A2596" s="1">
        <v>20</v>
      </c>
      <c r="B2596" s="159">
        <v>2959</v>
      </c>
      <c r="C2596" s="1" t="s">
        <v>1222</v>
      </c>
      <c r="D2596" s="1"/>
      <c r="E2596" s="1" t="s">
        <v>1104</v>
      </c>
      <c r="F2596" s="1" t="s">
        <v>1232</v>
      </c>
      <c r="G2596" s="1">
        <v>1</v>
      </c>
      <c r="H2596" s="1" t="s">
        <v>19</v>
      </c>
      <c r="I2596" s="1" t="s">
        <v>423</v>
      </c>
      <c r="J2596" s="1">
        <v>1.5</v>
      </c>
      <c r="K2596" s="1">
        <v>1.5</v>
      </c>
      <c r="L2596" s="42">
        <v>8</v>
      </c>
      <c r="M2596" s="43"/>
      <c r="N2596" s="1" t="e">
        <f>VLOOKUP(B2596,MICRO!E:L,8,0)</f>
        <v>#N/A</v>
      </c>
    </row>
    <row r="2597" spans="1:14" ht="20.25" x14ac:dyDescent="0.25">
      <c r="A2597" s="1">
        <v>21</v>
      </c>
      <c r="B2597" s="159">
        <v>2960</v>
      </c>
      <c r="C2597" s="1" t="s">
        <v>1222</v>
      </c>
      <c r="D2597" s="1"/>
      <c r="E2597" s="1" t="s">
        <v>1105</v>
      </c>
      <c r="F2597" s="1" t="s">
        <v>1233</v>
      </c>
      <c r="G2597" s="1">
        <v>2</v>
      </c>
      <c r="H2597" s="1" t="s">
        <v>19</v>
      </c>
      <c r="I2597" s="1" t="s">
        <v>423</v>
      </c>
      <c r="J2597" s="1">
        <v>2</v>
      </c>
      <c r="K2597" s="1">
        <v>4</v>
      </c>
      <c r="L2597" s="42">
        <v>8</v>
      </c>
      <c r="M2597" s="43"/>
      <c r="N2597" s="1" t="e">
        <f>VLOOKUP(B2597,MICRO!E:L,8,0)</f>
        <v>#N/A</v>
      </c>
    </row>
    <row r="2598" spans="1:14" ht="20.25" x14ac:dyDescent="0.25">
      <c r="A2598" s="1">
        <v>22</v>
      </c>
      <c r="B2598" s="159">
        <v>2961</v>
      </c>
      <c r="C2598" s="1" t="s">
        <v>1222</v>
      </c>
      <c r="D2598" s="1"/>
      <c r="E2598" s="1" t="s">
        <v>2310</v>
      </c>
      <c r="F2598" s="1" t="s">
        <v>1234</v>
      </c>
      <c r="G2598" s="1">
        <v>2</v>
      </c>
      <c r="H2598" s="1" t="s">
        <v>19</v>
      </c>
      <c r="I2598" s="1" t="s">
        <v>423</v>
      </c>
      <c r="J2598" s="1">
        <v>2.4</v>
      </c>
      <c r="K2598" s="1">
        <v>4.8</v>
      </c>
      <c r="L2598" s="42">
        <v>8</v>
      </c>
      <c r="M2598" s="43"/>
      <c r="N2598" s="1" t="e">
        <f>VLOOKUP(B2598,MICRO!E:L,8,0)</f>
        <v>#N/A</v>
      </c>
    </row>
    <row r="2599" spans="1:14" ht="20.25" x14ac:dyDescent="0.25">
      <c r="A2599" s="1">
        <v>23</v>
      </c>
      <c r="B2599" s="159">
        <v>2962</v>
      </c>
      <c r="C2599" s="1" t="s">
        <v>1222</v>
      </c>
      <c r="D2599" s="1"/>
      <c r="E2599" s="1" t="s">
        <v>1107</v>
      </c>
      <c r="F2599" s="1" t="s">
        <v>1236</v>
      </c>
      <c r="G2599" s="1">
        <v>1</v>
      </c>
      <c r="H2599" s="1" t="s">
        <v>19</v>
      </c>
      <c r="I2599" s="1" t="s">
        <v>423</v>
      </c>
      <c r="J2599" s="1">
        <v>2.2999999999999998</v>
      </c>
      <c r="K2599" s="1">
        <v>2.2999999999999998</v>
      </c>
      <c r="L2599" s="42">
        <v>8</v>
      </c>
      <c r="M2599" s="43"/>
      <c r="N2599" s="1" t="e">
        <f>VLOOKUP(B2599,MICRO!E:L,8,0)</f>
        <v>#N/A</v>
      </c>
    </row>
    <row r="2600" spans="1:14" ht="20.25" x14ac:dyDescent="0.25">
      <c r="A2600" s="1">
        <v>24</v>
      </c>
      <c r="B2600" s="159">
        <v>2963</v>
      </c>
      <c r="C2600" s="1" t="s">
        <v>1222</v>
      </c>
      <c r="D2600" s="1"/>
      <c r="E2600" s="1" t="s">
        <v>1108</v>
      </c>
      <c r="F2600" s="1" t="s">
        <v>1235</v>
      </c>
      <c r="G2600" s="1">
        <v>1</v>
      </c>
      <c r="H2600" s="1" t="s">
        <v>19</v>
      </c>
      <c r="I2600" s="1" t="s">
        <v>423</v>
      </c>
      <c r="J2600" s="1">
        <v>1.7</v>
      </c>
      <c r="K2600" s="1">
        <v>1.7</v>
      </c>
      <c r="L2600" s="42">
        <v>8</v>
      </c>
      <c r="M2600" s="43"/>
      <c r="N2600" s="1" t="e">
        <f>VLOOKUP(B2600,MICRO!E:L,8,0)</f>
        <v>#N/A</v>
      </c>
    </row>
    <row r="2601" spans="1:14" ht="20.25" x14ac:dyDescent="0.25">
      <c r="A2601" s="1">
        <v>25</v>
      </c>
      <c r="B2601" s="159">
        <v>2975</v>
      </c>
      <c r="C2601" s="1" t="s">
        <v>1304</v>
      </c>
      <c r="D2601" s="1"/>
      <c r="E2601" s="1" t="s">
        <v>2</v>
      </c>
      <c r="F2601" s="1" t="s">
        <v>1305</v>
      </c>
      <c r="G2601" s="1">
        <v>2</v>
      </c>
      <c r="H2601" s="1" t="s">
        <v>19</v>
      </c>
      <c r="I2601" s="1" t="s">
        <v>427</v>
      </c>
      <c r="J2601" s="1">
        <v>8.5</v>
      </c>
      <c r="K2601" s="1">
        <v>17</v>
      </c>
      <c r="L2601" s="42">
        <v>8</v>
      </c>
      <c r="M2601" s="43"/>
      <c r="N2601" s="1" t="e">
        <f>VLOOKUP(B2601,MICRO!E:L,8,0)</f>
        <v>#N/A</v>
      </c>
    </row>
    <row r="2602" spans="1:14" ht="20.25" x14ac:dyDescent="0.25">
      <c r="A2602" s="1">
        <v>26</v>
      </c>
      <c r="B2602" s="159">
        <v>2976</v>
      </c>
      <c r="C2602" s="1" t="s">
        <v>1304</v>
      </c>
      <c r="D2602" s="1"/>
      <c r="E2602" s="1" t="s">
        <v>43</v>
      </c>
      <c r="F2602" s="1" t="s">
        <v>1306</v>
      </c>
      <c r="G2602" s="1">
        <v>2</v>
      </c>
      <c r="H2602" s="1" t="s">
        <v>19</v>
      </c>
      <c r="I2602" s="1" t="s">
        <v>427</v>
      </c>
      <c r="J2602" s="1">
        <v>7.2</v>
      </c>
      <c r="K2602" s="1">
        <v>14.4</v>
      </c>
      <c r="L2602" s="42">
        <v>8</v>
      </c>
      <c r="M2602" s="43"/>
      <c r="N2602" s="1" t="e">
        <f>VLOOKUP(B2602,MICRO!E:L,8,0)</f>
        <v>#N/A</v>
      </c>
    </row>
    <row r="2603" spans="1:14" ht="20.25" x14ac:dyDescent="0.25">
      <c r="A2603" s="1">
        <v>27</v>
      </c>
      <c r="B2603" s="159">
        <v>2977</v>
      </c>
      <c r="C2603" s="1" t="s">
        <v>1304</v>
      </c>
      <c r="D2603" s="1"/>
      <c r="E2603" s="1" t="s">
        <v>746</v>
      </c>
      <c r="F2603" s="1" t="s">
        <v>1307</v>
      </c>
      <c r="G2603" s="1">
        <v>2</v>
      </c>
      <c r="H2603" s="1" t="s">
        <v>19</v>
      </c>
      <c r="I2603" s="1" t="s">
        <v>427</v>
      </c>
      <c r="J2603" s="1">
        <v>8.5</v>
      </c>
      <c r="K2603" s="1">
        <v>17</v>
      </c>
      <c r="L2603" s="42">
        <v>8</v>
      </c>
      <c r="M2603" s="43"/>
      <c r="N2603" s="1" t="e">
        <f>VLOOKUP(B2603,MICRO!E:L,8,0)</f>
        <v>#N/A</v>
      </c>
    </row>
    <row r="2604" spans="1:14" ht="20.25" x14ac:dyDescent="0.25">
      <c r="A2604" s="1">
        <v>28</v>
      </c>
      <c r="B2604" s="159">
        <v>2978</v>
      </c>
      <c r="C2604" s="1" t="s">
        <v>1304</v>
      </c>
      <c r="D2604" s="1"/>
      <c r="E2604" s="1" t="s">
        <v>1101</v>
      </c>
      <c r="F2604" s="1" t="s">
        <v>2311</v>
      </c>
      <c r="G2604" s="1">
        <v>1</v>
      </c>
      <c r="H2604" s="1" t="s">
        <v>19</v>
      </c>
      <c r="I2604" s="1" t="s">
        <v>427</v>
      </c>
      <c r="J2604" s="1">
        <v>0.9</v>
      </c>
      <c r="K2604" s="1">
        <v>0.9</v>
      </c>
      <c r="L2604" s="42">
        <v>8</v>
      </c>
      <c r="M2604" s="43"/>
      <c r="N2604" s="1" t="e">
        <f>VLOOKUP(B2604,MICRO!E:L,8,0)</f>
        <v>#N/A</v>
      </c>
    </row>
    <row r="2605" spans="1:14" ht="20.25" x14ac:dyDescent="0.25">
      <c r="A2605" s="1">
        <v>29</v>
      </c>
      <c r="B2605" s="159">
        <v>2979</v>
      </c>
      <c r="C2605" s="1" t="s">
        <v>1304</v>
      </c>
      <c r="D2605" s="1"/>
      <c r="E2605" s="1" t="s">
        <v>100</v>
      </c>
      <c r="F2605" s="1" t="s">
        <v>2312</v>
      </c>
      <c r="G2605" s="1">
        <v>6</v>
      </c>
      <c r="H2605" s="1" t="s">
        <v>19</v>
      </c>
      <c r="I2605" s="1" t="s">
        <v>427</v>
      </c>
      <c r="J2605" s="1">
        <v>5.0999999999999996</v>
      </c>
      <c r="K2605" s="1">
        <v>30.599999999999998</v>
      </c>
      <c r="L2605" s="42">
        <v>8</v>
      </c>
      <c r="M2605" s="43"/>
      <c r="N2605" s="1" t="e">
        <f>VLOOKUP(B2605,MICRO!E:L,8,0)</f>
        <v>#N/A</v>
      </c>
    </row>
    <row r="2606" spans="1:14" ht="20.25" x14ac:dyDescent="0.25">
      <c r="A2606" s="1">
        <v>30</v>
      </c>
      <c r="B2606" s="159">
        <v>2980</v>
      </c>
      <c r="C2606" s="1" t="s">
        <v>1304</v>
      </c>
      <c r="D2606" s="1"/>
      <c r="E2606" s="1" t="s">
        <v>173</v>
      </c>
      <c r="F2606" s="1" t="s">
        <v>2313</v>
      </c>
      <c r="G2606" s="1">
        <v>2</v>
      </c>
      <c r="H2606" s="1" t="s">
        <v>19</v>
      </c>
      <c r="I2606" s="1" t="s">
        <v>427</v>
      </c>
      <c r="J2606" s="1">
        <v>2.4</v>
      </c>
      <c r="K2606" s="1">
        <v>4.8</v>
      </c>
      <c r="L2606" s="42">
        <v>8</v>
      </c>
      <c r="M2606" s="43"/>
      <c r="N2606" s="1" t="e">
        <f>VLOOKUP(B2606,MICRO!E:L,8,0)</f>
        <v>#N/A</v>
      </c>
    </row>
    <row r="2607" spans="1:14" ht="20.25" x14ac:dyDescent="0.25">
      <c r="A2607" s="1">
        <v>31</v>
      </c>
      <c r="B2607" s="159">
        <v>2982</v>
      </c>
      <c r="C2607" s="1" t="s">
        <v>1310</v>
      </c>
      <c r="D2607" s="1"/>
      <c r="E2607" s="1" t="s">
        <v>2</v>
      </c>
      <c r="F2607" s="1" t="s">
        <v>1311</v>
      </c>
      <c r="G2607" s="1">
        <v>9</v>
      </c>
      <c r="H2607" s="1" t="s">
        <v>19</v>
      </c>
      <c r="I2607" s="1" t="s">
        <v>426</v>
      </c>
      <c r="J2607" s="1">
        <v>9</v>
      </c>
      <c r="K2607" s="1">
        <v>81</v>
      </c>
      <c r="L2607" s="42">
        <v>8</v>
      </c>
      <c r="M2607" s="43"/>
      <c r="N2607" s="1" t="e">
        <f>VLOOKUP(B2607,MICRO!E:L,8,0)</f>
        <v>#N/A</v>
      </c>
    </row>
    <row r="2608" spans="1:14" ht="20.25" x14ac:dyDescent="0.25">
      <c r="A2608" s="1">
        <v>32</v>
      </c>
      <c r="B2608" s="159">
        <v>2983</v>
      </c>
      <c r="C2608" s="1" t="s">
        <v>1310</v>
      </c>
      <c r="D2608" s="1"/>
      <c r="E2608" s="1" t="s">
        <v>43</v>
      </c>
      <c r="F2608" s="1" t="s">
        <v>1313</v>
      </c>
      <c r="G2608" s="1">
        <v>3</v>
      </c>
      <c r="H2608" s="1" t="s">
        <v>19</v>
      </c>
      <c r="I2608" s="1" t="s">
        <v>426</v>
      </c>
      <c r="J2608" s="1">
        <v>3</v>
      </c>
      <c r="K2608" s="1">
        <v>9</v>
      </c>
      <c r="L2608" s="42">
        <v>8</v>
      </c>
      <c r="M2608" s="43"/>
      <c r="N2608" s="1" t="e">
        <f>VLOOKUP(B2608,MICRO!E:L,8,0)</f>
        <v>#N/A</v>
      </c>
    </row>
    <row r="2609" spans="1:14" ht="20.25" x14ac:dyDescent="0.25">
      <c r="A2609" s="1">
        <v>33</v>
      </c>
      <c r="B2609" s="159">
        <v>2984</v>
      </c>
      <c r="C2609" s="1" t="s">
        <v>1312</v>
      </c>
      <c r="D2609" s="1"/>
      <c r="E2609" s="1" t="s">
        <v>2</v>
      </c>
      <c r="F2609" s="1" t="s">
        <v>1314</v>
      </c>
      <c r="G2609" s="1">
        <v>2</v>
      </c>
      <c r="H2609" s="1" t="s">
        <v>19</v>
      </c>
      <c r="I2609" s="1" t="s">
        <v>426</v>
      </c>
      <c r="J2609" s="1">
        <v>1.5</v>
      </c>
      <c r="K2609" s="1">
        <v>3</v>
      </c>
      <c r="L2609" s="42">
        <v>8</v>
      </c>
      <c r="M2609" s="43"/>
      <c r="N2609" s="1" t="e">
        <f>VLOOKUP(B2609,MICRO!E:L,8,0)</f>
        <v>#N/A</v>
      </c>
    </row>
    <row r="2610" spans="1:14" ht="20.25" x14ac:dyDescent="0.25">
      <c r="A2610" s="1">
        <v>34</v>
      </c>
      <c r="B2610" s="159">
        <v>2985</v>
      </c>
      <c r="C2610" s="1" t="s">
        <v>1312</v>
      </c>
      <c r="D2610" s="1"/>
      <c r="E2610" s="1" t="s">
        <v>43</v>
      </c>
      <c r="F2610" s="1" t="s">
        <v>1315</v>
      </c>
      <c r="G2610" s="1">
        <v>2</v>
      </c>
      <c r="H2610" s="1" t="s">
        <v>19</v>
      </c>
      <c r="I2610" s="1" t="s">
        <v>426</v>
      </c>
      <c r="J2610" s="1">
        <v>2.7</v>
      </c>
      <c r="K2610" s="1">
        <v>5.4</v>
      </c>
      <c r="L2610" s="42">
        <v>8</v>
      </c>
      <c r="M2610" s="43"/>
      <c r="N2610" s="1" t="e">
        <f>VLOOKUP(B2610,MICRO!E:L,8,0)</f>
        <v>#N/A</v>
      </c>
    </row>
    <row r="2611" spans="1:14" ht="20.25" x14ac:dyDescent="0.25">
      <c r="A2611" s="1">
        <v>35</v>
      </c>
      <c r="B2611" s="159">
        <v>2986</v>
      </c>
      <c r="C2611" s="1" t="s">
        <v>1312</v>
      </c>
      <c r="D2611" s="1"/>
      <c r="E2611" s="1" t="s">
        <v>746</v>
      </c>
      <c r="F2611" s="1" t="s">
        <v>1316</v>
      </c>
      <c r="G2611" s="1">
        <v>2</v>
      </c>
      <c r="H2611" s="1" t="s">
        <v>19</v>
      </c>
      <c r="I2611" s="1" t="s">
        <v>426</v>
      </c>
      <c r="J2611" s="1">
        <v>2</v>
      </c>
      <c r="K2611" s="1">
        <v>4</v>
      </c>
      <c r="L2611" s="42">
        <v>8</v>
      </c>
      <c r="M2611" s="43"/>
      <c r="N2611" s="1" t="e">
        <f>VLOOKUP(B2611,MICRO!E:L,8,0)</f>
        <v>#N/A</v>
      </c>
    </row>
    <row r="2612" spans="1:14" ht="20.25" x14ac:dyDescent="0.25">
      <c r="A2612" s="1">
        <v>36</v>
      </c>
      <c r="B2612" s="159">
        <v>2987</v>
      </c>
      <c r="C2612" s="1" t="s">
        <v>1312</v>
      </c>
      <c r="D2612" s="1"/>
      <c r="E2612" s="1" t="s">
        <v>1101</v>
      </c>
      <c r="F2612" s="1" t="s">
        <v>1317</v>
      </c>
      <c r="G2612" s="1">
        <v>3</v>
      </c>
      <c r="H2612" s="1" t="s">
        <v>19</v>
      </c>
      <c r="I2612" s="1" t="s">
        <v>426</v>
      </c>
      <c r="J2612" s="1">
        <v>1.3</v>
      </c>
      <c r="K2612" s="1">
        <v>3.9000000000000004</v>
      </c>
      <c r="L2612" s="42">
        <v>8</v>
      </c>
      <c r="M2612" s="43"/>
      <c r="N2612" s="1" t="e">
        <f>VLOOKUP(B2612,MICRO!E:L,8,0)</f>
        <v>#N/A</v>
      </c>
    </row>
    <row r="2613" spans="1:14" ht="20.25" x14ac:dyDescent="0.25">
      <c r="A2613" s="1">
        <v>37</v>
      </c>
      <c r="B2613" s="159">
        <v>2988</v>
      </c>
      <c r="C2613" s="1" t="s">
        <v>1312</v>
      </c>
      <c r="D2613" s="1"/>
      <c r="E2613" s="1" t="s">
        <v>100</v>
      </c>
      <c r="F2613" s="1" t="s">
        <v>1318</v>
      </c>
      <c r="G2613" s="1">
        <v>1</v>
      </c>
      <c r="H2613" s="1" t="s">
        <v>19</v>
      </c>
      <c r="I2613" s="1" t="s">
        <v>426</v>
      </c>
      <c r="J2613" s="1">
        <v>1.5</v>
      </c>
      <c r="K2613" s="1">
        <v>1.5</v>
      </c>
      <c r="L2613" s="42">
        <v>8</v>
      </c>
      <c r="M2613" s="43"/>
      <c r="N2613" s="1" t="e">
        <f>VLOOKUP(B2613,MICRO!E:L,8,0)</f>
        <v>#N/A</v>
      </c>
    </row>
    <row r="2614" spans="1:14" ht="20.25" x14ac:dyDescent="0.25">
      <c r="A2614" s="1">
        <v>38</v>
      </c>
      <c r="B2614" s="159">
        <v>2989</v>
      </c>
      <c r="C2614" s="1" t="s">
        <v>1312</v>
      </c>
      <c r="D2614" s="1"/>
      <c r="E2614" s="1" t="s">
        <v>173</v>
      </c>
      <c r="F2614" s="1" t="s">
        <v>1319</v>
      </c>
      <c r="G2614" s="1">
        <v>1</v>
      </c>
      <c r="H2614" s="1" t="s">
        <v>19</v>
      </c>
      <c r="I2614" s="1" t="s">
        <v>426</v>
      </c>
      <c r="J2614" s="1">
        <v>2.7</v>
      </c>
      <c r="K2614" s="1">
        <v>2.7</v>
      </c>
      <c r="L2614" s="42">
        <v>8</v>
      </c>
      <c r="M2614" s="43"/>
      <c r="N2614" s="1" t="e">
        <f>VLOOKUP(B2614,MICRO!E:L,8,0)</f>
        <v>#N/A</v>
      </c>
    </row>
    <row r="2615" spans="1:14" ht="20.25" x14ac:dyDescent="0.25">
      <c r="A2615" s="1">
        <v>39</v>
      </c>
      <c r="B2615" s="159">
        <v>2990</v>
      </c>
      <c r="C2615" s="1" t="s">
        <v>1312</v>
      </c>
      <c r="D2615" s="1"/>
      <c r="E2615" s="1" t="s">
        <v>461</v>
      </c>
      <c r="F2615" s="1" t="s">
        <v>1320</v>
      </c>
      <c r="G2615" s="1">
        <v>1</v>
      </c>
      <c r="H2615" s="1" t="s">
        <v>19</v>
      </c>
      <c r="I2615" s="1" t="s">
        <v>426</v>
      </c>
      <c r="J2615" s="1">
        <v>2</v>
      </c>
      <c r="K2615" s="1">
        <v>2</v>
      </c>
      <c r="L2615" s="42">
        <v>8</v>
      </c>
      <c r="M2615" s="43"/>
      <c r="N2615" s="1" t="e">
        <f>VLOOKUP(B2615,MICRO!E:L,8,0)</f>
        <v>#N/A</v>
      </c>
    </row>
    <row r="2616" spans="1:14" ht="20.25" x14ac:dyDescent="0.25">
      <c r="A2616" s="1">
        <v>40</v>
      </c>
      <c r="B2616" s="159">
        <v>2991</v>
      </c>
      <c r="C2616" s="1" t="s">
        <v>1321</v>
      </c>
      <c r="D2616" s="1"/>
      <c r="E2616" s="1" t="s">
        <v>2</v>
      </c>
      <c r="F2616" s="1" t="s">
        <v>1322</v>
      </c>
      <c r="G2616" s="1">
        <v>2</v>
      </c>
      <c r="H2616" s="1" t="s">
        <v>19</v>
      </c>
      <c r="I2616" s="1" t="s">
        <v>426</v>
      </c>
      <c r="J2616" s="1">
        <v>5.2</v>
      </c>
      <c r="K2616" s="1">
        <v>10.4</v>
      </c>
      <c r="L2616" s="42">
        <v>8</v>
      </c>
      <c r="M2616" s="43"/>
      <c r="N2616" s="1" t="e">
        <f>VLOOKUP(B2616,MICRO!E:L,8,0)</f>
        <v>#N/A</v>
      </c>
    </row>
    <row r="2617" spans="1:14" ht="20.25" x14ac:dyDescent="0.25">
      <c r="A2617" s="1">
        <v>41</v>
      </c>
      <c r="B2617" s="159">
        <v>2992</v>
      </c>
      <c r="C2617" s="1" t="s">
        <v>1321</v>
      </c>
      <c r="D2617" s="1"/>
      <c r="E2617" s="1" t="s">
        <v>43</v>
      </c>
      <c r="F2617" s="1" t="s">
        <v>1323</v>
      </c>
      <c r="G2617" s="1">
        <v>2</v>
      </c>
      <c r="H2617" s="1" t="s">
        <v>19</v>
      </c>
      <c r="I2617" s="1" t="s">
        <v>426</v>
      </c>
      <c r="J2617" s="1">
        <v>2.7</v>
      </c>
      <c r="K2617" s="1">
        <v>5.4</v>
      </c>
      <c r="L2617" s="42">
        <v>8</v>
      </c>
      <c r="M2617" s="43"/>
      <c r="N2617" s="1" t="e">
        <f>VLOOKUP(B2617,MICRO!E:L,8,0)</f>
        <v>#N/A</v>
      </c>
    </row>
    <row r="2618" spans="1:14" ht="20.25" x14ac:dyDescent="0.25">
      <c r="A2618" s="1">
        <v>42</v>
      </c>
      <c r="B2618" s="159">
        <v>2993</v>
      </c>
      <c r="C2618" s="1" t="s">
        <v>1321</v>
      </c>
      <c r="D2618" s="1"/>
      <c r="E2618" s="1" t="s">
        <v>746</v>
      </c>
      <c r="F2618" s="1" t="s">
        <v>1324</v>
      </c>
      <c r="G2618" s="1">
        <v>2</v>
      </c>
      <c r="H2618" s="1" t="s">
        <v>19</v>
      </c>
      <c r="I2618" s="1" t="s">
        <v>426</v>
      </c>
      <c r="J2618" s="1">
        <v>5.2</v>
      </c>
      <c r="K2618" s="1">
        <v>10.4</v>
      </c>
      <c r="L2618" s="42">
        <v>8</v>
      </c>
      <c r="M2618" s="43"/>
      <c r="N2618" s="1" t="e">
        <f>VLOOKUP(B2618,MICRO!E:L,8,0)</f>
        <v>#N/A</v>
      </c>
    </row>
    <row r="2619" spans="1:14" ht="20.25" x14ac:dyDescent="0.25">
      <c r="A2619" s="1">
        <v>43</v>
      </c>
      <c r="B2619" s="159">
        <v>2994</v>
      </c>
      <c r="C2619" s="1" t="s">
        <v>1321</v>
      </c>
      <c r="D2619" s="1"/>
      <c r="E2619" s="1" t="s">
        <v>1101</v>
      </c>
      <c r="F2619" s="1" t="s">
        <v>1325</v>
      </c>
      <c r="G2619" s="1">
        <v>2</v>
      </c>
      <c r="H2619" s="1" t="s">
        <v>19</v>
      </c>
      <c r="I2619" s="1" t="s">
        <v>426</v>
      </c>
      <c r="J2619" s="1">
        <v>2.4</v>
      </c>
      <c r="K2619" s="1">
        <v>4.8</v>
      </c>
      <c r="L2619" s="42">
        <v>8</v>
      </c>
      <c r="M2619" s="43"/>
      <c r="N2619" s="1" t="e">
        <f>VLOOKUP(B2619,MICRO!E:L,8,0)</f>
        <v>#N/A</v>
      </c>
    </row>
    <row r="2620" spans="1:14" ht="20.25" x14ac:dyDescent="0.25">
      <c r="A2620" s="1">
        <v>44</v>
      </c>
      <c r="B2620" s="159"/>
      <c r="C2620" s="1"/>
      <c r="D2620" s="1"/>
      <c r="E2620" s="1"/>
      <c r="F2620" s="1" t="s">
        <v>2314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2">
        <v>8</v>
      </c>
      <c r="M2620" s="43"/>
      <c r="N2620" s="1" t="e">
        <f>VLOOKUP(B2620,MICRO!E:L,8,0)</f>
        <v>#N/A</v>
      </c>
    </row>
    <row r="2621" spans="1:14" ht="20.25" x14ac:dyDescent="0.25">
      <c r="A2621" s="1">
        <v>1</v>
      </c>
      <c r="B2621" s="159">
        <v>2554</v>
      </c>
      <c r="C2621" s="1" t="s">
        <v>998</v>
      </c>
      <c r="D2621" s="1"/>
      <c r="E2621" s="1" t="s">
        <v>173</v>
      </c>
      <c r="F2621" s="1" t="s">
        <v>1001</v>
      </c>
      <c r="G2621" s="1">
        <v>1</v>
      </c>
      <c r="H2621" s="1" t="s">
        <v>19</v>
      </c>
      <c r="I2621" s="1" t="s">
        <v>427</v>
      </c>
      <c r="J2621" s="1">
        <v>16.399999999999999</v>
      </c>
      <c r="K2621" s="1">
        <v>16.399999999999999</v>
      </c>
      <c r="L2621" s="42">
        <v>9</v>
      </c>
      <c r="M2621" s="43"/>
      <c r="N2621" s="1" t="e">
        <f>VLOOKUP(B2621,MICRO!E:L,8,0)</f>
        <v>#N/A</v>
      </c>
    </row>
    <row r="2622" spans="1:14" ht="20.25" x14ac:dyDescent="0.25">
      <c r="A2622" s="1">
        <v>2</v>
      </c>
      <c r="B2622" s="159">
        <v>2557</v>
      </c>
      <c r="C2622" s="1" t="s">
        <v>1003</v>
      </c>
      <c r="D2622" s="1"/>
      <c r="E2622" s="1" t="s">
        <v>43</v>
      </c>
      <c r="F2622" s="1" t="s">
        <v>1005</v>
      </c>
      <c r="G2622" s="1">
        <v>1</v>
      </c>
      <c r="H2622" s="1" t="s">
        <v>19</v>
      </c>
      <c r="I2622" s="1" t="s">
        <v>427</v>
      </c>
      <c r="J2622" s="1">
        <v>16.399999999999999</v>
      </c>
      <c r="K2622" s="1">
        <v>16.399999999999999</v>
      </c>
      <c r="L2622" s="42">
        <v>9</v>
      </c>
      <c r="M2622" s="43"/>
      <c r="N2622" s="1" t="e">
        <f>VLOOKUP(B2622,MICRO!E:L,8,0)</f>
        <v>#N/A</v>
      </c>
    </row>
    <row r="2623" spans="1:14" ht="20.25" x14ac:dyDescent="0.25">
      <c r="A2623" s="1">
        <v>3</v>
      </c>
      <c r="B2623" s="159">
        <v>2352</v>
      </c>
      <c r="C2623" s="1" t="s">
        <v>868</v>
      </c>
      <c r="D2623" s="1"/>
      <c r="E2623" s="1" t="s">
        <v>461</v>
      </c>
      <c r="F2623" s="1" t="s">
        <v>869</v>
      </c>
      <c r="G2623" s="1">
        <v>1</v>
      </c>
      <c r="H2623" s="1" t="s">
        <v>19</v>
      </c>
      <c r="I2623" s="1" t="s">
        <v>425</v>
      </c>
      <c r="J2623" s="1">
        <v>30</v>
      </c>
      <c r="K2623" s="1">
        <v>30</v>
      </c>
      <c r="L2623" s="42">
        <v>9</v>
      </c>
      <c r="M2623" s="43"/>
      <c r="N2623" s="1" t="e">
        <f>VLOOKUP(B2623,MICRO!E:L,8,0)</f>
        <v>#N/A</v>
      </c>
    </row>
    <row r="2624" spans="1:14" ht="20.25" x14ac:dyDescent="0.25">
      <c r="A2624" s="1">
        <v>4</v>
      </c>
      <c r="B2624" s="159">
        <v>2409</v>
      </c>
      <c r="C2624" s="1" t="s">
        <v>900</v>
      </c>
      <c r="D2624" s="1"/>
      <c r="E2624" s="1" t="s">
        <v>100</v>
      </c>
      <c r="F2624" s="1" t="s">
        <v>904</v>
      </c>
      <c r="G2624" s="1">
        <v>1</v>
      </c>
      <c r="H2624" s="1" t="s">
        <v>19</v>
      </c>
      <c r="I2624" s="1" t="s">
        <v>426</v>
      </c>
      <c r="J2624" s="1">
        <v>16.399999999999999</v>
      </c>
      <c r="K2624" s="1">
        <v>16.399999999999999</v>
      </c>
      <c r="L2624" s="42">
        <v>9</v>
      </c>
      <c r="M2624" s="43"/>
      <c r="N2624" s="1" t="e">
        <f>VLOOKUP(B2624,MICRO!E:L,8,0)</f>
        <v>#N/A</v>
      </c>
    </row>
    <row r="2625" spans="1:14" ht="20.25" x14ac:dyDescent="0.25">
      <c r="A2625" s="1">
        <v>5</v>
      </c>
      <c r="B2625" s="159">
        <v>2347</v>
      </c>
      <c r="C2625" s="1" t="s">
        <v>863</v>
      </c>
      <c r="D2625" s="1"/>
      <c r="E2625" s="1" t="s">
        <v>100</v>
      </c>
      <c r="F2625" s="1" t="s">
        <v>864</v>
      </c>
      <c r="G2625" s="1">
        <v>1</v>
      </c>
      <c r="H2625" s="1" t="s">
        <v>19</v>
      </c>
      <c r="I2625" s="1" t="s">
        <v>424</v>
      </c>
      <c r="J2625" s="1">
        <v>30</v>
      </c>
      <c r="K2625" s="1">
        <v>30</v>
      </c>
      <c r="L2625" s="42">
        <v>9</v>
      </c>
      <c r="M2625" s="43"/>
      <c r="N2625" s="1" t="e">
        <f>VLOOKUP(B2625,MICRO!E:L,8,0)</f>
        <v>#N/A</v>
      </c>
    </row>
    <row r="2626" spans="1:14" ht="20.25" x14ac:dyDescent="0.25">
      <c r="A2626" s="1">
        <v>6</v>
      </c>
      <c r="B2626" s="159">
        <v>2350</v>
      </c>
      <c r="C2626" s="1" t="s">
        <v>1053</v>
      </c>
      <c r="D2626" s="1"/>
      <c r="E2626" s="1" t="s">
        <v>1101</v>
      </c>
      <c r="F2626" s="1" t="s">
        <v>867</v>
      </c>
      <c r="G2626" s="1">
        <v>1</v>
      </c>
      <c r="H2626" s="1" t="s">
        <v>19</v>
      </c>
      <c r="I2626" s="1" t="s">
        <v>424</v>
      </c>
      <c r="J2626" s="1">
        <v>12.9</v>
      </c>
      <c r="K2626" s="1">
        <v>12.9</v>
      </c>
      <c r="L2626" s="42">
        <v>9</v>
      </c>
      <c r="M2626" s="43"/>
      <c r="N2626" s="1" t="e">
        <f>VLOOKUP(B2626,MICRO!E:L,8,0)</f>
        <v>#N/A</v>
      </c>
    </row>
    <row r="2627" spans="1:14" ht="20.25" x14ac:dyDescent="0.25">
      <c r="A2627" s="1">
        <v>1</v>
      </c>
      <c r="B2627" s="159">
        <v>2834</v>
      </c>
      <c r="C2627" s="1" t="s">
        <v>1158</v>
      </c>
      <c r="D2627" s="1"/>
      <c r="E2627" s="1" t="s">
        <v>2</v>
      </c>
      <c r="F2627" s="1" t="s">
        <v>1159</v>
      </c>
      <c r="G2627" s="1">
        <v>2</v>
      </c>
      <c r="H2627" s="1" t="s">
        <v>19</v>
      </c>
      <c r="I2627" s="1" t="s">
        <v>423</v>
      </c>
      <c r="J2627" s="1">
        <v>2.5</v>
      </c>
      <c r="K2627" s="1">
        <v>5</v>
      </c>
      <c r="L2627" s="42">
        <v>10</v>
      </c>
      <c r="M2627" s="43"/>
      <c r="N2627" s="1" t="e">
        <f>VLOOKUP(B2627,MICRO!E:L,8,0)</f>
        <v>#N/A</v>
      </c>
    </row>
    <row r="2628" spans="1:14" ht="20.25" x14ac:dyDescent="0.25">
      <c r="A2628" s="1">
        <v>2</v>
      </c>
      <c r="B2628" s="159">
        <v>2835</v>
      </c>
      <c r="C2628" s="1" t="s">
        <v>1158</v>
      </c>
      <c r="D2628" s="1"/>
      <c r="E2628" s="1" t="s">
        <v>2</v>
      </c>
      <c r="F2628" s="1" t="s">
        <v>1159</v>
      </c>
      <c r="G2628" s="1">
        <v>2</v>
      </c>
      <c r="H2628" s="1" t="s">
        <v>19</v>
      </c>
      <c r="I2628" s="1" t="s">
        <v>424</v>
      </c>
      <c r="J2628" s="1">
        <v>2.5</v>
      </c>
      <c r="K2628" s="1">
        <v>5</v>
      </c>
      <c r="L2628" s="42">
        <v>10</v>
      </c>
      <c r="M2628" s="43"/>
      <c r="N2628" s="1" t="e">
        <f>VLOOKUP(B2628,MICRO!E:L,8,0)</f>
        <v>#N/A</v>
      </c>
    </row>
    <row r="2629" spans="1:14" ht="20.25" x14ac:dyDescent="0.25">
      <c r="A2629" s="1">
        <v>3</v>
      </c>
      <c r="B2629" s="159">
        <v>2836</v>
      </c>
      <c r="C2629" s="1" t="s">
        <v>1158</v>
      </c>
      <c r="D2629" s="1"/>
      <c r="E2629" s="1" t="s">
        <v>2</v>
      </c>
      <c r="F2629" s="1" t="s">
        <v>1159</v>
      </c>
      <c r="G2629" s="1">
        <v>2</v>
      </c>
      <c r="H2629" s="1" t="s">
        <v>19</v>
      </c>
      <c r="I2629" s="1" t="s">
        <v>425</v>
      </c>
      <c r="J2629" s="1">
        <v>2.5</v>
      </c>
      <c r="K2629" s="1">
        <v>5</v>
      </c>
      <c r="L2629" s="42">
        <v>10</v>
      </c>
      <c r="M2629" s="43"/>
      <c r="N2629" s="1" t="e">
        <f>VLOOKUP(B2629,MICRO!E:L,8,0)</f>
        <v>#N/A</v>
      </c>
    </row>
    <row r="2630" spans="1:14" ht="20.25" x14ac:dyDescent="0.25">
      <c r="A2630" s="1">
        <v>4</v>
      </c>
      <c r="B2630" s="159">
        <v>2837</v>
      </c>
      <c r="C2630" s="1" t="s">
        <v>1158</v>
      </c>
      <c r="D2630" s="1"/>
      <c r="E2630" s="1" t="s">
        <v>2</v>
      </c>
      <c r="F2630" s="1" t="s">
        <v>1159</v>
      </c>
      <c r="G2630" s="1">
        <v>2</v>
      </c>
      <c r="H2630" s="1" t="s">
        <v>19</v>
      </c>
      <c r="I2630" s="1" t="s">
        <v>427</v>
      </c>
      <c r="J2630" s="1">
        <v>2.5</v>
      </c>
      <c r="K2630" s="1">
        <v>5</v>
      </c>
      <c r="L2630" s="42">
        <v>10</v>
      </c>
      <c r="M2630" s="43"/>
      <c r="N2630" s="1" t="e">
        <f>VLOOKUP(B2630,MICRO!E:L,8,0)</f>
        <v>#N/A</v>
      </c>
    </row>
    <row r="2631" spans="1:14" ht="20.25" x14ac:dyDescent="0.25">
      <c r="A2631" s="1">
        <v>5</v>
      </c>
      <c r="B2631" s="159">
        <v>2838</v>
      </c>
      <c r="C2631" s="1" t="s">
        <v>1158</v>
      </c>
      <c r="D2631" s="1"/>
      <c r="E2631" s="1" t="s">
        <v>43</v>
      </c>
      <c r="F2631" s="1" t="s">
        <v>1160</v>
      </c>
      <c r="G2631" s="1">
        <v>2</v>
      </c>
      <c r="H2631" s="1" t="s">
        <v>19</v>
      </c>
      <c r="I2631" s="1" t="s">
        <v>426</v>
      </c>
      <c r="J2631" s="1">
        <v>2.4</v>
      </c>
      <c r="K2631" s="1">
        <v>4.8</v>
      </c>
      <c r="L2631" s="42">
        <v>10</v>
      </c>
      <c r="M2631" s="43"/>
      <c r="N2631" s="1" t="e">
        <f>VLOOKUP(B2631,MICRO!E:L,8,0)</f>
        <v>#N/A</v>
      </c>
    </row>
    <row r="2632" spans="1:14" ht="20.25" x14ac:dyDescent="0.25">
      <c r="A2632" s="1">
        <v>6</v>
      </c>
      <c r="B2632" s="159">
        <v>2844</v>
      </c>
      <c r="C2632" s="1" t="s">
        <v>1158</v>
      </c>
      <c r="D2632" s="1"/>
      <c r="E2632" s="1" t="s">
        <v>1101</v>
      </c>
      <c r="F2632" s="1" t="s">
        <v>1162</v>
      </c>
      <c r="G2632" s="1">
        <v>2</v>
      </c>
      <c r="H2632" s="1" t="s">
        <v>19</v>
      </c>
      <c r="I2632" s="1" t="s">
        <v>423</v>
      </c>
      <c r="J2632" s="1">
        <v>2.2999999999999998</v>
      </c>
      <c r="K2632" s="1">
        <v>4.5999999999999996</v>
      </c>
      <c r="L2632" s="42">
        <v>10</v>
      </c>
      <c r="M2632" s="43"/>
      <c r="N2632" s="1" t="e">
        <f>VLOOKUP(B2632,MICRO!E:L,8,0)</f>
        <v>#N/A</v>
      </c>
    </row>
    <row r="2633" spans="1:14" ht="20.25" x14ac:dyDescent="0.25">
      <c r="A2633" s="1">
        <v>7</v>
      </c>
      <c r="B2633" s="159">
        <v>2845</v>
      </c>
      <c r="C2633" s="1" t="s">
        <v>1158</v>
      </c>
      <c r="D2633" s="1"/>
      <c r="E2633" s="1" t="s">
        <v>1101</v>
      </c>
      <c r="F2633" s="1" t="s">
        <v>1162</v>
      </c>
      <c r="G2633" s="1">
        <v>2</v>
      </c>
      <c r="H2633" s="1" t="s">
        <v>19</v>
      </c>
      <c r="I2633" s="1" t="s">
        <v>424</v>
      </c>
      <c r="J2633" s="1">
        <v>2.2999999999999998</v>
      </c>
      <c r="K2633" s="1">
        <v>4.5999999999999996</v>
      </c>
      <c r="L2633" s="42">
        <v>10</v>
      </c>
      <c r="M2633" s="43"/>
      <c r="N2633" s="1" t="e">
        <f>VLOOKUP(B2633,MICRO!E:L,8,0)</f>
        <v>#N/A</v>
      </c>
    </row>
    <row r="2634" spans="1:14" ht="20.25" x14ac:dyDescent="0.25">
      <c r="A2634" s="1">
        <v>8</v>
      </c>
      <c r="B2634" s="159">
        <v>2846</v>
      </c>
      <c r="C2634" s="1" t="s">
        <v>1158</v>
      </c>
      <c r="D2634" s="1"/>
      <c r="E2634" s="1" t="s">
        <v>1101</v>
      </c>
      <c r="F2634" s="1" t="s">
        <v>1162</v>
      </c>
      <c r="G2634" s="1">
        <v>2</v>
      </c>
      <c r="H2634" s="1" t="s">
        <v>19</v>
      </c>
      <c r="I2634" s="1" t="s">
        <v>425</v>
      </c>
      <c r="J2634" s="1">
        <v>2.2999999999999998</v>
      </c>
      <c r="K2634" s="1">
        <v>4.5999999999999996</v>
      </c>
      <c r="L2634" s="42">
        <v>10</v>
      </c>
      <c r="M2634" s="43"/>
      <c r="N2634" s="1" t="e">
        <f>VLOOKUP(B2634,MICRO!E:L,8,0)</f>
        <v>#N/A</v>
      </c>
    </row>
    <row r="2635" spans="1:14" ht="20.25" x14ac:dyDescent="0.25">
      <c r="A2635" s="1">
        <v>9</v>
      </c>
      <c r="B2635" s="159">
        <v>2847</v>
      </c>
      <c r="C2635" s="1" t="s">
        <v>1158</v>
      </c>
      <c r="D2635" s="1"/>
      <c r="E2635" s="1" t="s">
        <v>1101</v>
      </c>
      <c r="F2635" s="1" t="s">
        <v>1162</v>
      </c>
      <c r="G2635" s="1">
        <v>2</v>
      </c>
      <c r="H2635" s="1" t="s">
        <v>19</v>
      </c>
      <c r="I2635" s="1" t="s">
        <v>426</v>
      </c>
      <c r="J2635" s="1">
        <v>2.2999999999999998</v>
      </c>
      <c r="K2635" s="1">
        <v>4.5999999999999996</v>
      </c>
      <c r="L2635" s="42">
        <v>10</v>
      </c>
      <c r="M2635" s="43"/>
      <c r="N2635" s="1" t="e">
        <f>VLOOKUP(B2635,MICRO!E:L,8,0)</f>
        <v>#N/A</v>
      </c>
    </row>
    <row r="2636" spans="1:14" ht="20.25" x14ac:dyDescent="0.25">
      <c r="A2636" s="1">
        <v>10</v>
      </c>
      <c r="B2636" s="159">
        <v>2848</v>
      </c>
      <c r="C2636" s="1" t="s">
        <v>1158</v>
      </c>
      <c r="D2636" s="1"/>
      <c r="E2636" s="1" t="s">
        <v>1101</v>
      </c>
      <c r="F2636" s="1" t="s">
        <v>1162</v>
      </c>
      <c r="G2636" s="1">
        <v>2</v>
      </c>
      <c r="H2636" s="1" t="s">
        <v>19</v>
      </c>
      <c r="I2636" s="1" t="s">
        <v>427</v>
      </c>
      <c r="J2636" s="1">
        <v>2.2999999999999998</v>
      </c>
      <c r="K2636" s="1">
        <v>4.5999999999999996</v>
      </c>
      <c r="L2636" s="42">
        <v>10</v>
      </c>
      <c r="M2636" s="43"/>
      <c r="N2636" s="1" t="e">
        <f>VLOOKUP(B2636,MICRO!E:L,8,0)</f>
        <v>#N/A</v>
      </c>
    </row>
    <row r="2637" spans="1:14" ht="20.25" x14ac:dyDescent="0.25">
      <c r="A2637" s="1">
        <v>11</v>
      </c>
      <c r="B2637" s="159">
        <v>2849</v>
      </c>
      <c r="C2637" s="1" t="s">
        <v>1158</v>
      </c>
      <c r="D2637" s="1"/>
      <c r="E2637" s="1" t="s">
        <v>100</v>
      </c>
      <c r="F2637" s="1" t="s">
        <v>1161</v>
      </c>
      <c r="G2637" s="1">
        <v>4</v>
      </c>
      <c r="H2637" s="1" t="s">
        <v>19</v>
      </c>
      <c r="I2637" s="1" t="s">
        <v>423</v>
      </c>
      <c r="J2637" s="1">
        <v>0.1</v>
      </c>
      <c r="K2637" s="1">
        <v>0.4</v>
      </c>
      <c r="L2637" s="42">
        <v>10</v>
      </c>
      <c r="M2637" s="43"/>
      <c r="N2637" s="1" t="e">
        <f>VLOOKUP(B2637,MICRO!E:L,8,0)</f>
        <v>#N/A</v>
      </c>
    </row>
    <row r="2638" spans="1:14" ht="20.25" x14ac:dyDescent="0.25">
      <c r="A2638" s="1">
        <v>12</v>
      </c>
      <c r="B2638" s="159">
        <v>2850</v>
      </c>
      <c r="C2638" s="1" t="s">
        <v>1158</v>
      </c>
      <c r="D2638" s="1"/>
      <c r="E2638" s="1" t="s">
        <v>100</v>
      </c>
      <c r="F2638" s="1" t="s">
        <v>1161</v>
      </c>
      <c r="G2638" s="1">
        <v>4</v>
      </c>
      <c r="H2638" s="1" t="s">
        <v>19</v>
      </c>
      <c r="I2638" s="1" t="s">
        <v>424</v>
      </c>
      <c r="J2638" s="1">
        <v>0.1</v>
      </c>
      <c r="K2638" s="1">
        <v>0.4</v>
      </c>
      <c r="L2638" s="42">
        <v>10</v>
      </c>
      <c r="M2638" s="43"/>
      <c r="N2638" s="1" t="e">
        <f>VLOOKUP(B2638,MICRO!E:L,8,0)</f>
        <v>#N/A</v>
      </c>
    </row>
    <row r="2639" spans="1:14" ht="20.25" x14ac:dyDescent="0.25">
      <c r="A2639" s="1">
        <v>13</v>
      </c>
      <c r="B2639" s="159">
        <v>2851</v>
      </c>
      <c r="C2639" s="1" t="s">
        <v>1158</v>
      </c>
      <c r="D2639" s="1"/>
      <c r="E2639" s="1" t="s">
        <v>100</v>
      </c>
      <c r="F2639" s="1" t="s">
        <v>1161</v>
      </c>
      <c r="G2639" s="1">
        <v>4</v>
      </c>
      <c r="H2639" s="1" t="s">
        <v>19</v>
      </c>
      <c r="I2639" s="1" t="s">
        <v>425</v>
      </c>
      <c r="J2639" s="1">
        <v>0.1</v>
      </c>
      <c r="K2639" s="1">
        <v>0.4</v>
      </c>
      <c r="L2639" s="42">
        <v>10</v>
      </c>
      <c r="M2639" s="43"/>
      <c r="N2639" s="1" t="e">
        <f>VLOOKUP(B2639,MICRO!E:L,8,0)</f>
        <v>#N/A</v>
      </c>
    </row>
    <row r="2640" spans="1:14" ht="20.25" x14ac:dyDescent="0.25">
      <c r="A2640" s="1">
        <v>14</v>
      </c>
      <c r="B2640" s="159">
        <v>2852</v>
      </c>
      <c r="C2640" s="1" t="s">
        <v>1158</v>
      </c>
      <c r="D2640" s="1"/>
      <c r="E2640" s="1" t="s">
        <v>100</v>
      </c>
      <c r="F2640" s="1" t="s">
        <v>1161</v>
      </c>
      <c r="G2640" s="1">
        <v>4</v>
      </c>
      <c r="H2640" s="1" t="s">
        <v>19</v>
      </c>
      <c r="I2640" s="1" t="s">
        <v>426</v>
      </c>
      <c r="J2640" s="1">
        <v>0.1</v>
      </c>
      <c r="K2640" s="1">
        <v>0.4</v>
      </c>
      <c r="L2640" s="42">
        <v>10</v>
      </c>
      <c r="M2640" s="43"/>
      <c r="N2640" s="1" t="e">
        <f>VLOOKUP(B2640,MICRO!E:L,8,0)</f>
        <v>#N/A</v>
      </c>
    </row>
    <row r="2641" spans="1:14" ht="20.25" x14ac:dyDescent="0.25">
      <c r="A2641" s="1">
        <v>15</v>
      </c>
      <c r="B2641" s="159">
        <v>2853</v>
      </c>
      <c r="C2641" s="1" t="s">
        <v>1158</v>
      </c>
      <c r="D2641" s="1"/>
      <c r="E2641" s="1" t="s">
        <v>100</v>
      </c>
      <c r="F2641" s="1" t="s">
        <v>1161</v>
      </c>
      <c r="G2641" s="1">
        <v>4</v>
      </c>
      <c r="H2641" s="1" t="s">
        <v>19</v>
      </c>
      <c r="I2641" s="1" t="s">
        <v>427</v>
      </c>
      <c r="J2641" s="1">
        <v>0.1</v>
      </c>
      <c r="K2641" s="1">
        <v>0.4</v>
      </c>
      <c r="L2641" s="42">
        <v>10</v>
      </c>
      <c r="M2641" s="43"/>
      <c r="N2641" s="1" t="e">
        <f>VLOOKUP(B2641,MICRO!E:L,8,0)</f>
        <v>#N/A</v>
      </c>
    </row>
    <row r="2642" spans="1:14" ht="20.25" x14ac:dyDescent="0.25">
      <c r="A2642" s="1">
        <v>16</v>
      </c>
      <c r="B2642" s="159"/>
      <c r="C2642" s="1" t="s">
        <v>1158</v>
      </c>
      <c r="D2642" s="1"/>
      <c r="E2642" s="1" t="s">
        <v>173</v>
      </c>
      <c r="F2642" s="1" t="s">
        <v>2734</v>
      </c>
      <c r="G2642" s="1">
        <v>4</v>
      </c>
      <c r="H2642" s="1" t="s">
        <v>19</v>
      </c>
      <c r="I2642" s="1" t="s">
        <v>423</v>
      </c>
      <c r="J2642" s="1">
        <v>0.1</v>
      </c>
      <c r="K2642" s="1">
        <v>0.4</v>
      </c>
      <c r="L2642" s="42">
        <v>10</v>
      </c>
      <c r="M2642" s="43"/>
      <c r="N2642" s="1" t="e">
        <f>VLOOKUP(B2642,MICRO!E:L,8,0)</f>
        <v>#N/A</v>
      </c>
    </row>
    <row r="2643" spans="1:14" ht="20.25" x14ac:dyDescent="0.25">
      <c r="A2643" s="1">
        <v>17</v>
      </c>
      <c r="B2643" s="159"/>
      <c r="C2643" s="1" t="s">
        <v>1158</v>
      </c>
      <c r="D2643" s="1"/>
      <c r="E2643" s="1" t="s">
        <v>173</v>
      </c>
      <c r="F2643" s="1" t="s">
        <v>2734</v>
      </c>
      <c r="G2643" s="1">
        <v>4</v>
      </c>
      <c r="H2643" s="1" t="s">
        <v>19</v>
      </c>
      <c r="I2643" s="1" t="s">
        <v>424</v>
      </c>
      <c r="J2643" s="1">
        <v>1</v>
      </c>
      <c r="K2643" s="1">
        <v>4</v>
      </c>
      <c r="L2643" s="42">
        <v>10</v>
      </c>
      <c r="M2643" s="43"/>
      <c r="N2643" s="1" t="e">
        <f>VLOOKUP(B2643,MICRO!E:L,8,0)</f>
        <v>#N/A</v>
      </c>
    </row>
    <row r="2644" spans="1:14" ht="20.25" x14ac:dyDescent="0.25">
      <c r="A2644" s="1">
        <v>18</v>
      </c>
      <c r="B2644" s="159"/>
      <c r="C2644" s="1" t="s">
        <v>1158</v>
      </c>
      <c r="D2644" s="1"/>
      <c r="E2644" s="1" t="s">
        <v>173</v>
      </c>
      <c r="F2644" s="1" t="s">
        <v>2734</v>
      </c>
      <c r="G2644" s="1">
        <v>4</v>
      </c>
      <c r="H2644" s="1" t="s">
        <v>19</v>
      </c>
      <c r="I2644" s="1" t="s">
        <v>425</v>
      </c>
      <c r="J2644" s="1">
        <v>1</v>
      </c>
      <c r="K2644" s="1">
        <v>4</v>
      </c>
      <c r="L2644" s="42">
        <v>10</v>
      </c>
      <c r="M2644" s="43"/>
      <c r="N2644" s="1" t="e">
        <f>VLOOKUP(B2644,MICRO!E:L,8,0)</f>
        <v>#N/A</v>
      </c>
    </row>
    <row r="2645" spans="1:14" ht="20.25" x14ac:dyDescent="0.25">
      <c r="A2645" s="1">
        <v>19</v>
      </c>
      <c r="B2645" s="159"/>
      <c r="C2645" s="1" t="s">
        <v>1158</v>
      </c>
      <c r="D2645" s="1"/>
      <c r="E2645" s="1" t="s">
        <v>173</v>
      </c>
      <c r="F2645" s="1" t="s">
        <v>2734</v>
      </c>
      <c r="G2645" s="1">
        <v>4</v>
      </c>
      <c r="H2645" s="1" t="s">
        <v>19</v>
      </c>
      <c r="I2645" s="1" t="s">
        <v>426</v>
      </c>
      <c r="J2645" s="1">
        <v>0.1</v>
      </c>
      <c r="K2645" s="1">
        <v>0.4</v>
      </c>
      <c r="L2645" s="42">
        <v>10</v>
      </c>
      <c r="M2645" s="43"/>
      <c r="N2645" s="1" t="e">
        <f>VLOOKUP(B2645,MICRO!E:L,8,0)</f>
        <v>#N/A</v>
      </c>
    </row>
    <row r="2646" spans="1:14" ht="20.25" x14ac:dyDescent="0.25">
      <c r="A2646" s="1">
        <v>20</v>
      </c>
      <c r="B2646" s="159"/>
      <c r="C2646" s="1" t="s">
        <v>1158</v>
      </c>
      <c r="D2646" s="1"/>
      <c r="E2646" s="1" t="s">
        <v>173</v>
      </c>
      <c r="F2646" s="1" t="s">
        <v>2734</v>
      </c>
      <c r="G2646" s="1">
        <v>4</v>
      </c>
      <c r="H2646" s="1" t="s">
        <v>19</v>
      </c>
      <c r="I2646" s="1" t="s">
        <v>427</v>
      </c>
      <c r="J2646" s="1">
        <v>0.1</v>
      </c>
      <c r="K2646" s="1">
        <v>0.4</v>
      </c>
      <c r="L2646" s="42">
        <v>10</v>
      </c>
      <c r="M2646" s="43"/>
      <c r="N2646" s="1" t="e">
        <f>VLOOKUP(B2646,MICRO!E:L,8,0)</f>
        <v>#N/A</v>
      </c>
    </row>
    <row r="2647" spans="1:14" ht="20.25" x14ac:dyDescent="0.25">
      <c r="A2647" s="1">
        <v>1</v>
      </c>
      <c r="B2647" s="159">
        <v>1857</v>
      </c>
      <c r="C2647" s="1" t="s">
        <v>573</v>
      </c>
      <c r="D2647" s="1"/>
      <c r="E2647" s="1"/>
      <c r="F2647" s="1" t="s">
        <v>574</v>
      </c>
      <c r="G2647" s="1">
        <v>15</v>
      </c>
      <c r="H2647" s="1" t="s">
        <v>19</v>
      </c>
      <c r="I2647" s="1" t="s">
        <v>569</v>
      </c>
      <c r="J2647" s="1">
        <v>132.19999999999999</v>
      </c>
      <c r="K2647" s="1">
        <v>1982.9999999999998</v>
      </c>
      <c r="L2647" s="42">
        <v>1</v>
      </c>
      <c r="M2647" s="43"/>
      <c r="N2647" s="1" t="e">
        <f>VLOOKUP(B2647,MICRO!E:L,8,0)</f>
        <v>#N/A</v>
      </c>
    </row>
    <row r="2648" spans="1:14" ht="20.25" x14ac:dyDescent="0.25">
      <c r="A2648" s="1">
        <v>2</v>
      </c>
      <c r="B2648" s="159">
        <v>1858</v>
      </c>
      <c r="C2648" s="1" t="s">
        <v>573</v>
      </c>
      <c r="D2648" s="1"/>
      <c r="E2648" s="1"/>
      <c r="F2648" s="1" t="s">
        <v>574</v>
      </c>
      <c r="G2648" s="1">
        <v>12</v>
      </c>
      <c r="H2648" s="1" t="s">
        <v>19</v>
      </c>
      <c r="I2648" s="1" t="s">
        <v>570</v>
      </c>
      <c r="J2648" s="1">
        <v>132.19999999999999</v>
      </c>
      <c r="K2648" s="1">
        <v>1586.3999999999999</v>
      </c>
      <c r="L2648" s="42">
        <v>1</v>
      </c>
      <c r="M2648" s="43"/>
      <c r="N2648" s="1" t="e">
        <f>VLOOKUP(B2648,MICRO!E:L,8,0)</f>
        <v>#N/A</v>
      </c>
    </row>
    <row r="2649" spans="1:14" ht="20.25" x14ac:dyDescent="0.25">
      <c r="A2649" s="1">
        <v>3</v>
      </c>
      <c r="B2649" s="159">
        <v>1859</v>
      </c>
      <c r="C2649" s="1" t="s">
        <v>573</v>
      </c>
      <c r="D2649" s="1"/>
      <c r="E2649" s="1"/>
      <c r="F2649" s="1" t="s">
        <v>574</v>
      </c>
      <c r="G2649" s="1">
        <v>12</v>
      </c>
      <c r="H2649" s="1" t="s">
        <v>19</v>
      </c>
      <c r="I2649" s="1" t="s">
        <v>571</v>
      </c>
      <c r="J2649" s="1">
        <v>132.19999999999999</v>
      </c>
      <c r="K2649" s="1">
        <v>1586.3999999999999</v>
      </c>
      <c r="L2649" s="42">
        <v>1</v>
      </c>
      <c r="M2649" s="43"/>
      <c r="N2649" s="1" t="e">
        <f>VLOOKUP(B2649,MICRO!E:L,8,0)</f>
        <v>#N/A</v>
      </c>
    </row>
    <row r="2650" spans="1:14" ht="20.25" x14ac:dyDescent="0.25">
      <c r="A2650" s="1">
        <v>4</v>
      </c>
      <c r="B2650" s="159">
        <v>1860</v>
      </c>
      <c r="C2650" s="1" t="s">
        <v>573</v>
      </c>
      <c r="D2650" s="1"/>
      <c r="E2650" s="1"/>
      <c r="F2650" s="1" t="s">
        <v>574</v>
      </c>
      <c r="G2650" s="1">
        <v>7</v>
      </c>
      <c r="H2650" s="1" t="s">
        <v>19</v>
      </c>
      <c r="I2650" s="1" t="s">
        <v>572</v>
      </c>
      <c r="J2650" s="1">
        <v>132.19999999999999</v>
      </c>
      <c r="K2650" s="1">
        <v>925.39999999999986</v>
      </c>
      <c r="L2650" s="42">
        <v>1</v>
      </c>
      <c r="M2650" s="43"/>
      <c r="N2650" s="1" t="e">
        <f>VLOOKUP(B2650,MICRO!E:L,8,0)</f>
        <v>#N/A</v>
      </c>
    </row>
    <row r="2651" spans="1:14" ht="20.25" x14ac:dyDescent="0.25">
      <c r="A2651" s="1">
        <v>5</v>
      </c>
      <c r="B2651" s="159">
        <v>1901</v>
      </c>
      <c r="C2651" s="1" t="s">
        <v>886</v>
      </c>
      <c r="D2651" s="1"/>
      <c r="E2651" s="1"/>
      <c r="F2651" s="1" t="s">
        <v>887</v>
      </c>
      <c r="G2651" s="1">
        <v>1</v>
      </c>
      <c r="H2651" s="1" t="s">
        <v>19</v>
      </c>
      <c r="I2651" s="1" t="s">
        <v>569</v>
      </c>
      <c r="J2651" s="1">
        <v>704</v>
      </c>
      <c r="K2651" s="1">
        <v>704</v>
      </c>
      <c r="L2651" s="42">
        <v>1</v>
      </c>
      <c r="M2651" s="43"/>
      <c r="N2651" s="1" t="e">
        <f>VLOOKUP(B2651,MICRO!E:L,8,0)</f>
        <v>#N/A</v>
      </c>
    </row>
    <row r="2652" spans="1:14" ht="20.25" x14ac:dyDescent="0.25">
      <c r="A2652" s="1">
        <v>6</v>
      </c>
      <c r="B2652" s="159">
        <v>1902</v>
      </c>
      <c r="C2652" s="1" t="s">
        <v>886</v>
      </c>
      <c r="D2652" s="1"/>
      <c r="E2652" s="1"/>
      <c r="F2652" s="1" t="s">
        <v>888</v>
      </c>
      <c r="G2652" s="1">
        <v>1</v>
      </c>
      <c r="H2652" s="1" t="s">
        <v>19</v>
      </c>
      <c r="I2652" s="1" t="s">
        <v>570</v>
      </c>
      <c r="J2652" s="1">
        <v>518.4</v>
      </c>
      <c r="K2652" s="1">
        <v>518.4</v>
      </c>
      <c r="L2652" s="42">
        <v>1</v>
      </c>
      <c r="M2652" s="43"/>
      <c r="N2652" s="1" t="e">
        <f>VLOOKUP(B2652,MICRO!E:L,8,0)</f>
        <v>#N/A</v>
      </c>
    </row>
    <row r="2653" spans="1:14" ht="20.25" x14ac:dyDescent="0.25">
      <c r="A2653" s="1">
        <v>7</v>
      </c>
      <c r="B2653" s="159">
        <v>1903</v>
      </c>
      <c r="C2653" s="1" t="s">
        <v>886</v>
      </c>
      <c r="D2653" s="1"/>
      <c r="E2653" s="1"/>
      <c r="F2653" s="1" t="s">
        <v>889</v>
      </c>
      <c r="G2653" s="1">
        <v>1</v>
      </c>
      <c r="H2653" s="1" t="s">
        <v>19</v>
      </c>
      <c r="I2653" s="1" t="s">
        <v>571</v>
      </c>
      <c r="J2653" s="1">
        <v>518.4</v>
      </c>
      <c r="K2653" s="1">
        <v>518.4</v>
      </c>
      <c r="L2653" s="42">
        <v>1</v>
      </c>
      <c r="M2653" s="43"/>
      <c r="N2653" s="1" t="e">
        <f>VLOOKUP(B2653,MICRO!E:L,8,0)</f>
        <v>#N/A</v>
      </c>
    </row>
    <row r="2654" spans="1:14" ht="20.25" x14ac:dyDescent="0.25">
      <c r="A2654" s="1">
        <v>8</v>
      </c>
      <c r="B2654" s="159">
        <v>1904</v>
      </c>
      <c r="C2654" s="1" t="s">
        <v>886</v>
      </c>
      <c r="D2654" s="1"/>
      <c r="E2654" s="1"/>
      <c r="F2654" s="1" t="s">
        <v>890</v>
      </c>
      <c r="G2654" s="1">
        <v>1</v>
      </c>
      <c r="H2654" s="1" t="s">
        <v>19</v>
      </c>
      <c r="I2654" s="1" t="s">
        <v>572</v>
      </c>
      <c r="J2654" s="1">
        <v>518.4</v>
      </c>
      <c r="K2654" s="1">
        <v>518.4</v>
      </c>
      <c r="L2654" s="42">
        <v>1</v>
      </c>
      <c r="M2654" s="43"/>
      <c r="N2654" s="1" t="e">
        <f>VLOOKUP(B2654,MICRO!E:L,8,0)</f>
        <v>#N/A</v>
      </c>
    </row>
    <row r="2655" spans="1:14" ht="20.25" x14ac:dyDescent="0.25">
      <c r="A2655" s="1">
        <v>1</v>
      </c>
      <c r="B2655" s="159">
        <v>1989</v>
      </c>
      <c r="C2655" s="1" t="s">
        <v>618</v>
      </c>
      <c r="D2655" s="1"/>
      <c r="E2655" s="1"/>
      <c r="F2655" s="1" t="s">
        <v>619</v>
      </c>
      <c r="G2655" s="1">
        <v>1</v>
      </c>
      <c r="H2655" s="1" t="s">
        <v>19</v>
      </c>
      <c r="I2655" s="1" t="s">
        <v>572</v>
      </c>
      <c r="J2655" s="1">
        <v>73.599999999999994</v>
      </c>
      <c r="K2655" s="1">
        <v>73.599999999999994</v>
      </c>
      <c r="L2655" s="42">
        <v>2</v>
      </c>
      <c r="M2655" s="43"/>
      <c r="N2655" s="1" t="e">
        <f>VLOOKUP(B2655,MICRO!E:L,8,0)</f>
        <v>#N/A</v>
      </c>
    </row>
    <row r="2656" spans="1:14" ht="20.25" x14ac:dyDescent="0.25">
      <c r="A2656" s="1">
        <v>2</v>
      </c>
      <c r="B2656" s="159">
        <v>1990</v>
      </c>
      <c r="C2656" s="1" t="s">
        <v>620</v>
      </c>
      <c r="D2656" s="1"/>
      <c r="E2656" s="1"/>
      <c r="F2656" s="1" t="s">
        <v>621</v>
      </c>
      <c r="G2656" s="1">
        <v>1</v>
      </c>
      <c r="H2656" s="1" t="s">
        <v>19</v>
      </c>
      <c r="I2656" s="1" t="s">
        <v>570</v>
      </c>
      <c r="J2656" s="1">
        <v>103.8</v>
      </c>
      <c r="K2656" s="1">
        <v>103.8</v>
      </c>
      <c r="L2656" s="42">
        <v>2</v>
      </c>
      <c r="M2656" s="43"/>
      <c r="N2656" s="1" t="e">
        <f>VLOOKUP(B2656,MICRO!E:L,8,0)</f>
        <v>#N/A</v>
      </c>
    </row>
    <row r="2657" spans="1:14" ht="20.25" x14ac:dyDescent="0.25">
      <c r="A2657" s="1">
        <v>3</v>
      </c>
      <c r="B2657" s="159">
        <v>1991</v>
      </c>
      <c r="C2657" s="1" t="s">
        <v>620</v>
      </c>
      <c r="D2657" s="1"/>
      <c r="E2657" s="1"/>
      <c r="F2657" s="1" t="s">
        <v>622</v>
      </c>
      <c r="G2657" s="1">
        <v>1</v>
      </c>
      <c r="H2657" s="1" t="s">
        <v>19</v>
      </c>
      <c r="I2657" s="1" t="s">
        <v>571</v>
      </c>
      <c r="J2657" s="1">
        <v>103.8</v>
      </c>
      <c r="K2657" s="1">
        <v>103.8</v>
      </c>
      <c r="L2657" s="42">
        <v>2</v>
      </c>
      <c r="M2657" s="43"/>
      <c r="N2657" s="1" t="e">
        <f>VLOOKUP(B2657,MICRO!E:L,8,0)</f>
        <v>#N/A</v>
      </c>
    </row>
    <row r="2658" spans="1:14" ht="20.25" x14ac:dyDescent="0.25">
      <c r="A2658" s="1">
        <v>4</v>
      </c>
      <c r="B2658" s="159"/>
      <c r="C2658" s="1" t="s">
        <v>821</v>
      </c>
      <c r="D2658" s="1"/>
      <c r="E2658" s="1"/>
      <c r="F2658" s="1" t="s">
        <v>1120</v>
      </c>
      <c r="G2658" s="1">
        <v>1</v>
      </c>
      <c r="H2658" s="1" t="s">
        <v>19</v>
      </c>
      <c r="I2658" s="1" t="s">
        <v>569</v>
      </c>
      <c r="J2658" s="1">
        <v>164.4</v>
      </c>
      <c r="K2658" s="1">
        <v>164.4</v>
      </c>
      <c r="L2658" s="42">
        <v>2</v>
      </c>
      <c r="M2658" s="43"/>
      <c r="N2658" s="1" t="e">
        <f>VLOOKUP(B2658,MICRO!E:L,8,0)</f>
        <v>#N/A</v>
      </c>
    </row>
    <row r="2659" spans="1:14" ht="20.25" x14ac:dyDescent="0.25">
      <c r="A2659" s="1">
        <v>5</v>
      </c>
      <c r="B2659" s="159"/>
      <c r="C2659" s="1" t="s">
        <v>821</v>
      </c>
      <c r="D2659" s="1"/>
      <c r="E2659" s="1"/>
      <c r="F2659" s="1" t="s">
        <v>1120</v>
      </c>
      <c r="G2659" s="1">
        <v>1</v>
      </c>
      <c r="H2659" s="1" t="s">
        <v>19</v>
      </c>
      <c r="I2659" s="1" t="s">
        <v>570</v>
      </c>
      <c r="J2659" s="1">
        <v>164.4</v>
      </c>
      <c r="K2659" s="1">
        <v>164.4</v>
      </c>
      <c r="L2659" s="42">
        <v>2</v>
      </c>
      <c r="M2659" s="43"/>
      <c r="N2659" s="1" t="e">
        <f>VLOOKUP(B2659,MICRO!E:L,8,0)</f>
        <v>#N/A</v>
      </c>
    </row>
    <row r="2660" spans="1:14" ht="20.25" x14ac:dyDescent="0.25">
      <c r="A2660" s="1">
        <v>6</v>
      </c>
      <c r="B2660" s="159"/>
      <c r="C2660" s="1" t="s">
        <v>821</v>
      </c>
      <c r="D2660" s="1"/>
      <c r="E2660" s="1"/>
      <c r="F2660" s="1" t="s">
        <v>1120</v>
      </c>
      <c r="G2660" s="1">
        <v>1</v>
      </c>
      <c r="H2660" s="1" t="s">
        <v>19</v>
      </c>
      <c r="I2660" s="1" t="s">
        <v>571</v>
      </c>
      <c r="J2660" s="1">
        <v>164.4</v>
      </c>
      <c r="K2660" s="1">
        <v>164.4</v>
      </c>
      <c r="L2660" s="42">
        <v>2</v>
      </c>
      <c r="M2660" s="43"/>
      <c r="N2660" s="1" t="e">
        <f>VLOOKUP(B2660,MICRO!E:L,8,0)</f>
        <v>#N/A</v>
      </c>
    </row>
    <row r="2661" spans="1:14" ht="20.25" x14ac:dyDescent="0.25">
      <c r="A2661" s="1">
        <v>7</v>
      </c>
      <c r="B2661" s="159"/>
      <c r="C2661" s="1" t="s">
        <v>821</v>
      </c>
      <c r="D2661" s="1"/>
      <c r="E2661" s="1"/>
      <c r="F2661" s="1" t="s">
        <v>1120</v>
      </c>
      <c r="G2661" s="1">
        <v>1</v>
      </c>
      <c r="H2661" s="1" t="s">
        <v>19</v>
      </c>
      <c r="I2661" s="1" t="s">
        <v>572</v>
      </c>
      <c r="J2661" s="1">
        <v>164.4</v>
      </c>
      <c r="K2661" s="1">
        <v>164.4</v>
      </c>
      <c r="L2661" s="42">
        <v>2</v>
      </c>
      <c r="M2661" s="43"/>
      <c r="N2661" s="1" t="e">
        <f>VLOOKUP(B2661,MICRO!E:L,8,0)</f>
        <v>#N/A</v>
      </c>
    </row>
    <row r="2662" spans="1:14" ht="20.25" x14ac:dyDescent="0.25">
      <c r="A2662" s="1">
        <v>1</v>
      </c>
      <c r="B2662" s="159">
        <v>2247</v>
      </c>
      <c r="C2662" s="1" t="s">
        <v>817</v>
      </c>
      <c r="D2662" s="1"/>
      <c r="E2662" s="1" t="s">
        <v>2</v>
      </c>
      <c r="F2662" s="1" t="s">
        <v>818</v>
      </c>
      <c r="G2662" s="1">
        <v>182</v>
      </c>
      <c r="H2662" s="1" t="s">
        <v>19</v>
      </c>
      <c r="I2662" s="1" t="s">
        <v>569</v>
      </c>
      <c r="J2662" s="1">
        <v>2.2000000000000002</v>
      </c>
      <c r="K2662" s="1">
        <v>400.40000000000003</v>
      </c>
      <c r="L2662" s="42">
        <v>3</v>
      </c>
      <c r="M2662" s="43"/>
      <c r="N2662" s="1" t="e">
        <f>VLOOKUP(B2662,MICRO!E:L,8,0)</f>
        <v>#N/A</v>
      </c>
    </row>
    <row r="2663" spans="1:14" ht="20.25" x14ac:dyDescent="0.25">
      <c r="A2663" s="1">
        <v>2</v>
      </c>
      <c r="B2663" s="159">
        <v>2248</v>
      </c>
      <c r="C2663" s="1" t="s">
        <v>817</v>
      </c>
      <c r="D2663" s="1"/>
      <c r="E2663" s="1" t="s">
        <v>2</v>
      </c>
      <c r="F2663" s="1" t="s">
        <v>818</v>
      </c>
      <c r="G2663" s="1">
        <v>162</v>
      </c>
      <c r="H2663" s="1" t="s">
        <v>19</v>
      </c>
      <c r="I2663" s="1" t="s">
        <v>570</v>
      </c>
      <c r="J2663" s="1">
        <v>2.2000000000000002</v>
      </c>
      <c r="K2663" s="1">
        <v>356.40000000000003</v>
      </c>
      <c r="L2663" s="42">
        <v>3</v>
      </c>
      <c r="M2663" s="43"/>
      <c r="N2663" s="1" t="e">
        <f>VLOOKUP(B2663,MICRO!E:L,8,0)</f>
        <v>#N/A</v>
      </c>
    </row>
    <row r="2664" spans="1:14" ht="20.25" x14ac:dyDescent="0.25">
      <c r="A2664" s="1">
        <v>3</v>
      </c>
      <c r="B2664" s="159">
        <v>2249</v>
      </c>
      <c r="C2664" s="1" t="s">
        <v>817</v>
      </c>
      <c r="D2664" s="1"/>
      <c r="E2664" s="1" t="s">
        <v>2</v>
      </c>
      <c r="F2664" s="1" t="s">
        <v>818</v>
      </c>
      <c r="G2664" s="1">
        <v>74</v>
      </c>
      <c r="H2664" s="1" t="s">
        <v>19</v>
      </c>
      <c r="I2664" s="1" t="s">
        <v>571</v>
      </c>
      <c r="J2664" s="1">
        <v>2.2000000000000002</v>
      </c>
      <c r="K2664" s="1">
        <v>162.80000000000001</v>
      </c>
      <c r="L2664" s="42">
        <v>3</v>
      </c>
      <c r="M2664" s="43"/>
      <c r="N2664" s="1" t="e">
        <f>VLOOKUP(B2664,MICRO!E:L,8,0)</f>
        <v>#N/A</v>
      </c>
    </row>
    <row r="2665" spans="1:14" ht="20.25" x14ac:dyDescent="0.25">
      <c r="A2665" s="1">
        <v>1</v>
      </c>
      <c r="B2665" s="159">
        <v>1910</v>
      </c>
      <c r="C2665" s="1" t="s">
        <v>1251</v>
      </c>
      <c r="D2665" s="1"/>
      <c r="E2665" s="1"/>
      <c r="F2665" s="1" t="s">
        <v>1252</v>
      </c>
      <c r="G2665" s="1">
        <v>1</v>
      </c>
      <c r="H2665" s="1" t="s">
        <v>19</v>
      </c>
      <c r="I2665" s="1" t="s">
        <v>569</v>
      </c>
      <c r="J2665" s="1">
        <v>428.7</v>
      </c>
      <c r="K2665" s="1">
        <v>428.7</v>
      </c>
      <c r="L2665" s="42">
        <v>3</v>
      </c>
      <c r="M2665" s="43"/>
      <c r="N2665" s="1" t="e">
        <f>VLOOKUP(B2665,MICRO!E:L,8,0)</f>
        <v>#N/A</v>
      </c>
    </row>
    <row r="2666" spans="1:14" ht="20.25" x14ac:dyDescent="0.25">
      <c r="A2666" s="1">
        <v>2</v>
      </c>
      <c r="B2666" s="159">
        <v>1910</v>
      </c>
      <c r="C2666" s="1" t="s">
        <v>1251</v>
      </c>
      <c r="D2666" s="1"/>
      <c r="E2666" s="1"/>
      <c r="F2666" s="1" t="s">
        <v>1252</v>
      </c>
      <c r="G2666" s="1">
        <v>1</v>
      </c>
      <c r="H2666" s="1" t="s">
        <v>19</v>
      </c>
      <c r="I2666" s="1" t="s">
        <v>570</v>
      </c>
      <c r="J2666" s="1">
        <v>428.7</v>
      </c>
      <c r="K2666" s="1">
        <v>428.7</v>
      </c>
      <c r="L2666" s="42">
        <v>3</v>
      </c>
      <c r="M2666" s="43"/>
      <c r="N2666" s="1" t="e">
        <f>VLOOKUP(B2666,MICRO!E:L,8,0)</f>
        <v>#N/A</v>
      </c>
    </row>
    <row r="2667" spans="1:14" ht="20.25" x14ac:dyDescent="0.25">
      <c r="A2667" s="1">
        <v>3</v>
      </c>
      <c r="B2667" s="159">
        <v>1910</v>
      </c>
      <c r="C2667" s="1" t="s">
        <v>1251</v>
      </c>
      <c r="D2667" s="1"/>
      <c r="E2667" s="1"/>
      <c r="F2667" s="1" t="s">
        <v>1252</v>
      </c>
      <c r="G2667" s="1">
        <v>1</v>
      </c>
      <c r="H2667" s="1" t="s">
        <v>19</v>
      </c>
      <c r="I2667" s="1" t="s">
        <v>571</v>
      </c>
      <c r="J2667" s="1">
        <v>428.7</v>
      </c>
      <c r="K2667" s="1">
        <v>428.7</v>
      </c>
      <c r="L2667" s="42">
        <v>3</v>
      </c>
      <c r="M2667" s="43"/>
      <c r="N2667" s="1" t="e">
        <f>VLOOKUP(B2667,MICRO!E:L,8,0)</f>
        <v>#N/A</v>
      </c>
    </row>
    <row r="2668" spans="1:14" ht="20.25" x14ac:dyDescent="0.25">
      <c r="A2668" s="1">
        <v>4</v>
      </c>
      <c r="B2668" s="159">
        <v>1910</v>
      </c>
      <c r="C2668" s="1" t="s">
        <v>1251</v>
      </c>
      <c r="D2668" s="1"/>
      <c r="E2668" s="1"/>
      <c r="F2668" s="1" t="s">
        <v>1252</v>
      </c>
      <c r="G2668" s="1">
        <v>1</v>
      </c>
      <c r="H2668" s="1" t="s">
        <v>19</v>
      </c>
      <c r="I2668" s="1" t="s">
        <v>572</v>
      </c>
      <c r="J2668" s="1">
        <v>428.7</v>
      </c>
      <c r="K2668" s="1">
        <v>428.7</v>
      </c>
      <c r="L2668" s="42">
        <v>3</v>
      </c>
      <c r="M2668" s="43"/>
      <c r="N2668" s="1" t="e">
        <f>VLOOKUP(B2668,MICRO!E:L,8,0)</f>
        <v>#N/A</v>
      </c>
    </row>
    <row r="2669" spans="1:14" ht="20.25" x14ac:dyDescent="0.25">
      <c r="A2669" s="1">
        <v>5</v>
      </c>
      <c r="B2669" s="159">
        <v>2249</v>
      </c>
      <c r="C2669" s="1" t="s">
        <v>817</v>
      </c>
      <c r="D2669" s="1"/>
      <c r="E2669" s="1" t="s">
        <v>2</v>
      </c>
      <c r="F2669" s="1" t="s">
        <v>818</v>
      </c>
      <c r="G2669" s="1">
        <v>88</v>
      </c>
      <c r="H2669" s="1" t="s">
        <v>19</v>
      </c>
      <c r="I2669" s="1" t="s">
        <v>571</v>
      </c>
      <c r="J2669" s="1">
        <v>2.2000000000000002</v>
      </c>
      <c r="K2669" s="1">
        <v>193.60000000000002</v>
      </c>
      <c r="L2669" s="42">
        <v>3</v>
      </c>
      <c r="M2669" s="43"/>
      <c r="N2669" s="1" t="e">
        <f>VLOOKUP(B2669,MICRO!E:L,8,0)</f>
        <v>#N/A</v>
      </c>
    </row>
    <row r="2670" spans="1:14" ht="20.25" x14ac:dyDescent="0.25">
      <c r="A2670" s="1">
        <v>6</v>
      </c>
      <c r="B2670" s="159">
        <v>2250</v>
      </c>
      <c r="C2670" s="1" t="s">
        <v>817</v>
      </c>
      <c r="D2670" s="1"/>
      <c r="E2670" s="1" t="s">
        <v>2</v>
      </c>
      <c r="F2670" s="1" t="s">
        <v>818</v>
      </c>
      <c r="G2670" s="1">
        <v>110</v>
      </c>
      <c r="H2670" s="1" t="s">
        <v>19</v>
      </c>
      <c r="I2670" s="1" t="s">
        <v>572</v>
      </c>
      <c r="J2670" s="1">
        <v>2.2000000000000002</v>
      </c>
      <c r="K2670" s="1">
        <v>242.00000000000003</v>
      </c>
      <c r="L2670" s="42">
        <v>3</v>
      </c>
      <c r="M2670" s="43"/>
      <c r="N2670" s="1" t="e">
        <f>VLOOKUP(B2670,MICRO!E:L,8,0)</f>
        <v>#N/A</v>
      </c>
    </row>
    <row r="2671" spans="1:14" ht="20.25" x14ac:dyDescent="0.25">
      <c r="A2671" s="1">
        <v>1</v>
      </c>
      <c r="B2671" s="159">
        <v>1910</v>
      </c>
      <c r="C2671" s="1" t="s">
        <v>1251</v>
      </c>
      <c r="D2671" s="1"/>
      <c r="E2671" s="1"/>
      <c r="F2671" s="1" t="s">
        <v>1252</v>
      </c>
      <c r="G2671" s="1">
        <v>1</v>
      </c>
      <c r="H2671" s="1" t="s">
        <v>19</v>
      </c>
      <c r="I2671" s="1" t="s">
        <v>569</v>
      </c>
      <c r="J2671" s="1">
        <v>428.7</v>
      </c>
      <c r="K2671" s="1">
        <v>428.7</v>
      </c>
      <c r="L2671" s="42">
        <v>4</v>
      </c>
      <c r="M2671" s="43"/>
      <c r="N2671" s="1" t="e">
        <f>VLOOKUP(B2671,MICRO!E:L,8,0)</f>
        <v>#N/A</v>
      </c>
    </row>
    <row r="2672" spans="1:14" ht="20.25" x14ac:dyDescent="0.25">
      <c r="A2672" s="1">
        <v>2</v>
      </c>
      <c r="B2672" s="159">
        <v>1910</v>
      </c>
      <c r="C2672" s="1" t="s">
        <v>1251</v>
      </c>
      <c r="D2672" s="1"/>
      <c r="E2672" s="1"/>
      <c r="F2672" s="1" t="s">
        <v>1252</v>
      </c>
      <c r="G2672" s="1">
        <v>1</v>
      </c>
      <c r="H2672" s="1" t="s">
        <v>19</v>
      </c>
      <c r="I2672" s="1" t="s">
        <v>570</v>
      </c>
      <c r="J2672" s="1">
        <v>428.7</v>
      </c>
      <c r="K2672" s="1">
        <v>428.7</v>
      </c>
      <c r="L2672" s="42">
        <v>4</v>
      </c>
      <c r="M2672" s="43"/>
      <c r="N2672" s="1" t="e">
        <f>VLOOKUP(B2672,MICRO!E:L,8,0)</f>
        <v>#N/A</v>
      </c>
    </row>
    <row r="2673" spans="1:14" ht="20.25" x14ac:dyDescent="0.25">
      <c r="A2673" s="1">
        <v>3</v>
      </c>
      <c r="B2673" s="159">
        <v>1910</v>
      </c>
      <c r="C2673" s="1" t="s">
        <v>1251</v>
      </c>
      <c r="D2673" s="1"/>
      <c r="E2673" s="1"/>
      <c r="F2673" s="1" t="s">
        <v>1252</v>
      </c>
      <c r="G2673" s="1">
        <v>1</v>
      </c>
      <c r="H2673" s="1" t="s">
        <v>19</v>
      </c>
      <c r="I2673" s="1" t="s">
        <v>571</v>
      </c>
      <c r="J2673" s="1">
        <v>428.7</v>
      </c>
      <c r="K2673" s="1">
        <v>428.7</v>
      </c>
      <c r="L2673" s="42">
        <v>4</v>
      </c>
      <c r="M2673" s="43"/>
      <c r="N2673" s="1" t="e">
        <f>VLOOKUP(B2673,MICRO!E:L,8,0)</f>
        <v>#N/A</v>
      </c>
    </row>
    <row r="2674" spans="1:14" ht="20.25" x14ac:dyDescent="0.25">
      <c r="A2674" s="1">
        <v>4</v>
      </c>
      <c r="B2674" s="159">
        <v>1910</v>
      </c>
      <c r="C2674" s="1" t="s">
        <v>1251</v>
      </c>
      <c r="D2674" s="1"/>
      <c r="E2674" s="1"/>
      <c r="F2674" s="1" t="s">
        <v>1252</v>
      </c>
      <c r="G2674" s="1">
        <v>1</v>
      </c>
      <c r="H2674" s="1" t="s">
        <v>19</v>
      </c>
      <c r="I2674" s="1" t="s">
        <v>572</v>
      </c>
      <c r="J2674" s="1">
        <v>428.7</v>
      </c>
      <c r="K2674" s="1">
        <v>428.7</v>
      </c>
      <c r="L2674" s="42">
        <v>4</v>
      </c>
      <c r="M2674" s="43"/>
      <c r="N2674" s="1" t="e">
        <f>VLOOKUP(B2674,MICRO!E:L,8,0)</f>
        <v>#N/A</v>
      </c>
    </row>
    <row r="2675" spans="1:14" ht="20.25" x14ac:dyDescent="0.25">
      <c r="A2675" s="1">
        <v>5</v>
      </c>
      <c r="B2675" s="159">
        <v>2249</v>
      </c>
      <c r="C2675" s="1" t="s">
        <v>817</v>
      </c>
      <c r="D2675" s="1"/>
      <c r="E2675" s="1" t="s">
        <v>2</v>
      </c>
      <c r="F2675" s="1" t="s">
        <v>818</v>
      </c>
      <c r="G2675" s="1">
        <v>88</v>
      </c>
      <c r="H2675" s="1" t="s">
        <v>19</v>
      </c>
      <c r="I2675" s="1" t="s">
        <v>571</v>
      </c>
      <c r="J2675" s="1">
        <v>2.2000000000000002</v>
      </c>
      <c r="K2675" s="1">
        <v>193.60000000000002</v>
      </c>
      <c r="L2675" s="42">
        <v>4</v>
      </c>
      <c r="M2675" s="43"/>
      <c r="N2675" s="1" t="e">
        <f>VLOOKUP(B2675,MICRO!E:L,8,0)</f>
        <v>#N/A</v>
      </c>
    </row>
    <row r="2676" spans="1:14" ht="20.25" x14ac:dyDescent="0.25">
      <c r="A2676" s="1">
        <v>6</v>
      </c>
      <c r="B2676" s="159">
        <v>2250</v>
      </c>
      <c r="C2676" s="1" t="s">
        <v>817</v>
      </c>
      <c r="D2676" s="1"/>
      <c r="E2676" s="1" t="s">
        <v>2</v>
      </c>
      <c r="F2676" s="1" t="s">
        <v>818</v>
      </c>
      <c r="G2676" s="1">
        <v>110</v>
      </c>
      <c r="H2676" s="1" t="s">
        <v>19</v>
      </c>
      <c r="I2676" s="1" t="s">
        <v>572</v>
      </c>
      <c r="J2676" s="1">
        <v>2.2000000000000002</v>
      </c>
      <c r="K2676" s="1">
        <v>242.00000000000003</v>
      </c>
      <c r="L2676" s="42">
        <v>4</v>
      </c>
      <c r="M2676" s="43"/>
      <c r="N2676" s="1" t="e">
        <f>VLOOKUP(B2676,MICRO!E:L,8,0)</f>
        <v>#N/A</v>
      </c>
    </row>
    <row r="2677" spans="1:14" ht="20.25" x14ac:dyDescent="0.25">
      <c r="A2677" s="1">
        <v>1</v>
      </c>
      <c r="B2677" s="159">
        <v>1853</v>
      </c>
      <c r="C2677" s="1" t="s">
        <v>567</v>
      </c>
      <c r="D2677" s="1"/>
      <c r="E2677" s="1" t="s">
        <v>2</v>
      </c>
      <c r="F2677" s="1" t="s">
        <v>568</v>
      </c>
      <c r="G2677" s="1">
        <v>1</v>
      </c>
      <c r="H2677" s="1" t="s">
        <v>19</v>
      </c>
      <c r="I2677" s="1" t="s">
        <v>569</v>
      </c>
      <c r="J2677" s="1">
        <v>75.7</v>
      </c>
      <c r="K2677" s="1">
        <v>75.7</v>
      </c>
      <c r="L2677" s="42">
        <v>5</v>
      </c>
      <c r="M2677" s="43"/>
      <c r="N2677" s="1" t="e">
        <f>VLOOKUP(B2677,MICRO!E:L,8,0)</f>
        <v>#N/A</v>
      </c>
    </row>
    <row r="2678" spans="1:14" ht="20.25" x14ac:dyDescent="0.25">
      <c r="A2678" s="1">
        <v>2</v>
      </c>
      <c r="B2678" s="159">
        <v>1854</v>
      </c>
      <c r="C2678" s="1" t="s">
        <v>567</v>
      </c>
      <c r="D2678" s="1"/>
      <c r="E2678" s="1" t="s">
        <v>2</v>
      </c>
      <c r="F2678" s="1" t="s">
        <v>568</v>
      </c>
      <c r="G2678" s="1">
        <v>1</v>
      </c>
      <c r="H2678" s="1" t="s">
        <v>19</v>
      </c>
      <c r="I2678" s="1" t="s">
        <v>570</v>
      </c>
      <c r="J2678" s="1">
        <v>75.7</v>
      </c>
      <c r="K2678" s="1">
        <v>75.7</v>
      </c>
      <c r="L2678" s="42">
        <v>5</v>
      </c>
      <c r="M2678" s="43"/>
      <c r="N2678" s="1" t="e">
        <f>VLOOKUP(B2678,MICRO!E:L,8,0)</f>
        <v>#N/A</v>
      </c>
    </row>
    <row r="2679" spans="1:14" ht="20.25" x14ac:dyDescent="0.25">
      <c r="A2679" s="1">
        <v>3</v>
      </c>
      <c r="B2679" s="159">
        <v>1855</v>
      </c>
      <c r="C2679" s="1" t="s">
        <v>567</v>
      </c>
      <c r="D2679" s="1"/>
      <c r="E2679" s="1"/>
      <c r="F2679" s="1" t="s">
        <v>568</v>
      </c>
      <c r="G2679" s="1">
        <v>1</v>
      </c>
      <c r="H2679" s="1" t="s">
        <v>19</v>
      </c>
      <c r="I2679" s="1" t="s">
        <v>571</v>
      </c>
      <c r="J2679" s="1">
        <v>75.7</v>
      </c>
      <c r="K2679" s="1">
        <v>75.7</v>
      </c>
      <c r="L2679" s="42">
        <v>5</v>
      </c>
      <c r="M2679" s="43"/>
      <c r="N2679" s="1" t="e">
        <f>VLOOKUP(B2679,MICRO!E:L,8,0)</f>
        <v>#N/A</v>
      </c>
    </row>
    <row r="2680" spans="1:14" ht="20.25" x14ac:dyDescent="0.25">
      <c r="A2680" s="1">
        <v>4</v>
      </c>
      <c r="B2680" s="159">
        <v>1856</v>
      </c>
      <c r="C2680" s="1" t="s">
        <v>567</v>
      </c>
      <c r="D2680" s="1"/>
      <c r="E2680" s="1" t="s">
        <v>2</v>
      </c>
      <c r="F2680" s="1" t="s">
        <v>568</v>
      </c>
      <c r="G2680" s="1">
        <v>1</v>
      </c>
      <c r="H2680" s="1" t="s">
        <v>19</v>
      </c>
      <c r="I2680" s="1" t="s">
        <v>572</v>
      </c>
      <c r="J2680" s="1">
        <v>75.7</v>
      </c>
      <c r="K2680" s="1">
        <v>75.7</v>
      </c>
      <c r="L2680" s="42">
        <v>5</v>
      </c>
      <c r="M2680" s="43"/>
      <c r="N2680" s="1" t="e">
        <f>VLOOKUP(B2680,MICRO!E:L,8,0)</f>
        <v>#N/A</v>
      </c>
    </row>
    <row r="2681" spans="1:14" ht="20.25" x14ac:dyDescent="0.25">
      <c r="A2681" s="1">
        <v>5</v>
      </c>
      <c r="B2681" s="159">
        <v>1992</v>
      </c>
      <c r="C2681" s="1" t="s">
        <v>623</v>
      </c>
      <c r="D2681" s="1"/>
      <c r="E2681" s="1" t="s">
        <v>2</v>
      </c>
      <c r="F2681" s="1" t="s">
        <v>624</v>
      </c>
      <c r="G2681" s="1">
        <v>1</v>
      </c>
      <c r="H2681" s="1" t="s">
        <v>19</v>
      </c>
      <c r="I2681" s="1" t="s">
        <v>570</v>
      </c>
      <c r="J2681" s="1">
        <v>153.80000000000001</v>
      </c>
      <c r="K2681" s="1">
        <v>153.80000000000001</v>
      </c>
      <c r="L2681" s="42">
        <v>5</v>
      </c>
      <c r="M2681" s="43"/>
      <c r="N2681" s="1" t="e">
        <f>VLOOKUP(B2681,MICRO!E:L,8,0)</f>
        <v>#N/A</v>
      </c>
    </row>
    <row r="2682" spans="1:14" ht="20.25" x14ac:dyDescent="0.25">
      <c r="A2682" s="1">
        <v>6</v>
      </c>
      <c r="B2682" s="159">
        <v>1993</v>
      </c>
      <c r="C2682" s="1" t="s">
        <v>623</v>
      </c>
      <c r="D2682" s="1"/>
      <c r="E2682" s="1" t="s">
        <v>2</v>
      </c>
      <c r="F2682" s="1" t="s">
        <v>625</v>
      </c>
      <c r="G2682" s="1">
        <v>1</v>
      </c>
      <c r="H2682" s="1" t="s">
        <v>19</v>
      </c>
      <c r="I2682" s="1" t="s">
        <v>571</v>
      </c>
      <c r="J2682" s="1">
        <v>153.80000000000001</v>
      </c>
      <c r="K2682" s="1">
        <v>153.80000000000001</v>
      </c>
      <c r="L2682" s="42">
        <v>5</v>
      </c>
      <c r="M2682" s="43"/>
      <c r="N2682" s="1" t="e">
        <f>VLOOKUP(B2682,MICRO!E:L,8,0)</f>
        <v>#N/A</v>
      </c>
    </row>
    <row r="2683" spans="1:14" ht="20.25" x14ac:dyDescent="0.25">
      <c r="A2683" s="1">
        <v>7</v>
      </c>
      <c r="B2683" s="159">
        <v>1994</v>
      </c>
      <c r="C2683" s="1" t="s">
        <v>628</v>
      </c>
      <c r="D2683" s="1"/>
      <c r="E2683" s="1"/>
      <c r="F2683" s="1" t="s">
        <v>627</v>
      </c>
      <c r="G2683" s="1">
        <v>1</v>
      </c>
      <c r="H2683" s="1" t="s">
        <v>19</v>
      </c>
      <c r="I2683" s="1" t="s">
        <v>569</v>
      </c>
      <c r="J2683" s="1">
        <v>204.2</v>
      </c>
      <c r="K2683" s="1">
        <v>204.2</v>
      </c>
      <c r="L2683" s="42">
        <v>5</v>
      </c>
      <c r="M2683" s="43"/>
      <c r="N2683" s="1" t="e">
        <f>VLOOKUP(B2683,MICRO!E:L,8,0)</f>
        <v>#N/A</v>
      </c>
    </row>
    <row r="2684" spans="1:14" ht="20.25" x14ac:dyDescent="0.25">
      <c r="A2684" s="1">
        <v>8</v>
      </c>
      <c r="B2684" s="159">
        <v>1995</v>
      </c>
      <c r="C2684" s="1" t="s">
        <v>628</v>
      </c>
      <c r="D2684" s="1"/>
      <c r="E2684" s="1" t="s">
        <v>2</v>
      </c>
      <c r="F2684" s="1" t="s">
        <v>626</v>
      </c>
      <c r="G2684" s="1">
        <v>1</v>
      </c>
      <c r="H2684" s="1" t="s">
        <v>19</v>
      </c>
      <c r="I2684" s="1" t="s">
        <v>572</v>
      </c>
      <c r="J2684" s="1">
        <v>204.2</v>
      </c>
      <c r="K2684" s="1">
        <v>204.2</v>
      </c>
      <c r="L2684" s="42">
        <v>5</v>
      </c>
      <c r="M2684" s="43"/>
      <c r="N2684" s="1" t="e">
        <f>VLOOKUP(B2684,MICRO!E:L,8,0)</f>
        <v>#N/A</v>
      </c>
    </row>
    <row r="2685" spans="1:14" ht="20.25" x14ac:dyDescent="0.25">
      <c r="A2685" s="1">
        <v>9</v>
      </c>
      <c r="B2685" s="159">
        <v>2091</v>
      </c>
      <c r="C2685" s="1" t="s">
        <v>673</v>
      </c>
      <c r="D2685" s="1"/>
      <c r="E2685" s="1" t="s">
        <v>2</v>
      </c>
      <c r="F2685" s="1" t="s">
        <v>1340</v>
      </c>
      <c r="G2685" s="1">
        <v>1</v>
      </c>
      <c r="H2685" s="1" t="s">
        <v>19</v>
      </c>
      <c r="I2685" s="1" t="s">
        <v>569</v>
      </c>
      <c r="J2685" s="1">
        <v>222.4</v>
      </c>
      <c r="K2685" s="1">
        <v>222.4</v>
      </c>
      <c r="L2685" s="42">
        <v>5</v>
      </c>
      <c r="M2685" s="43"/>
      <c r="N2685" s="1" t="e">
        <f>VLOOKUP(B2685,MICRO!E:L,8,0)</f>
        <v>#N/A</v>
      </c>
    </row>
    <row r="2686" spans="1:14" ht="20.25" x14ac:dyDescent="0.25">
      <c r="A2686" s="1">
        <v>10</v>
      </c>
      <c r="B2686" s="159">
        <v>2092</v>
      </c>
      <c r="C2686" s="1" t="s">
        <v>673</v>
      </c>
      <c r="D2686" s="1"/>
      <c r="E2686" s="1" t="s">
        <v>2</v>
      </c>
      <c r="F2686" s="1" t="s">
        <v>1340</v>
      </c>
      <c r="G2686" s="1">
        <v>1</v>
      </c>
      <c r="H2686" s="1" t="s">
        <v>19</v>
      </c>
      <c r="I2686" s="1" t="s">
        <v>570</v>
      </c>
      <c r="J2686" s="1">
        <v>222.4</v>
      </c>
      <c r="K2686" s="1">
        <v>222.4</v>
      </c>
      <c r="L2686" s="42">
        <v>5</v>
      </c>
      <c r="M2686" s="43"/>
      <c r="N2686" s="1" t="e">
        <f>VLOOKUP(B2686,MICRO!E:L,8,0)</f>
        <v>#N/A</v>
      </c>
    </row>
    <row r="2687" spans="1:14" ht="20.25" x14ac:dyDescent="0.25">
      <c r="A2687" s="1">
        <v>11</v>
      </c>
      <c r="B2687" s="159">
        <v>2093</v>
      </c>
      <c r="C2687" s="1" t="s">
        <v>673</v>
      </c>
      <c r="D2687" s="1"/>
      <c r="E2687" s="1" t="s">
        <v>2</v>
      </c>
      <c r="F2687" s="1" t="s">
        <v>1340</v>
      </c>
      <c r="G2687" s="1">
        <v>1</v>
      </c>
      <c r="H2687" s="1" t="s">
        <v>19</v>
      </c>
      <c r="I2687" s="1" t="s">
        <v>571</v>
      </c>
      <c r="J2687" s="1">
        <v>222.4</v>
      </c>
      <c r="K2687" s="1">
        <v>222.4</v>
      </c>
      <c r="L2687" s="42">
        <v>5</v>
      </c>
      <c r="M2687" s="43"/>
      <c r="N2687" s="1" t="e">
        <f>VLOOKUP(B2687,MICRO!E:L,8,0)</f>
        <v>#N/A</v>
      </c>
    </row>
    <row r="2688" spans="1:14" ht="20.25" x14ac:dyDescent="0.25">
      <c r="A2688" s="1">
        <v>12</v>
      </c>
      <c r="B2688" s="159">
        <v>2094</v>
      </c>
      <c r="C2688" s="1" t="s">
        <v>673</v>
      </c>
      <c r="D2688" s="1"/>
      <c r="E2688" s="1" t="s">
        <v>2</v>
      </c>
      <c r="F2688" s="1" t="s">
        <v>1340</v>
      </c>
      <c r="G2688" s="1">
        <v>1</v>
      </c>
      <c r="H2688" s="1" t="s">
        <v>19</v>
      </c>
      <c r="I2688" s="1" t="s">
        <v>572</v>
      </c>
      <c r="J2688" s="1">
        <v>222.4</v>
      </c>
      <c r="K2688" s="1">
        <v>222.4</v>
      </c>
      <c r="L2688" s="42">
        <v>5</v>
      </c>
      <c r="M2688" s="43"/>
      <c r="N2688" s="1" t="e">
        <f>VLOOKUP(B2688,MICRO!E:L,8,0)</f>
        <v>#N/A</v>
      </c>
    </row>
    <row r="2689" spans="1:14" ht="20.25" x14ac:dyDescent="0.25">
      <c r="A2689" s="1">
        <v>13</v>
      </c>
      <c r="B2689" s="159">
        <v>2095</v>
      </c>
      <c r="C2689" s="1" t="s">
        <v>674</v>
      </c>
      <c r="D2689" s="1"/>
      <c r="E2689" s="1" t="s">
        <v>2</v>
      </c>
      <c r="F2689" s="1" t="s">
        <v>675</v>
      </c>
      <c r="G2689" s="1">
        <v>1</v>
      </c>
      <c r="H2689" s="1" t="s">
        <v>19</v>
      </c>
      <c r="I2689" s="1" t="s">
        <v>569</v>
      </c>
      <c r="J2689" s="1">
        <v>65.099999999999994</v>
      </c>
      <c r="K2689" s="1">
        <v>65.099999999999994</v>
      </c>
      <c r="L2689" s="42">
        <v>5</v>
      </c>
      <c r="M2689" s="43"/>
      <c r="N2689" s="1" t="e">
        <f>VLOOKUP(B2689,MICRO!E:L,8,0)</f>
        <v>#N/A</v>
      </c>
    </row>
    <row r="2690" spans="1:14" ht="20.25" x14ac:dyDescent="0.25">
      <c r="A2690" s="1">
        <v>14</v>
      </c>
      <c r="B2690" s="159">
        <v>2096</v>
      </c>
      <c r="C2690" s="1" t="s">
        <v>674</v>
      </c>
      <c r="D2690" s="1"/>
      <c r="E2690" s="1" t="s">
        <v>2</v>
      </c>
      <c r="F2690" s="1" t="s">
        <v>675</v>
      </c>
      <c r="G2690" s="1">
        <v>1</v>
      </c>
      <c r="H2690" s="1" t="s">
        <v>19</v>
      </c>
      <c r="I2690" s="1" t="s">
        <v>570</v>
      </c>
      <c r="J2690" s="1">
        <v>65.099999999999994</v>
      </c>
      <c r="K2690" s="1">
        <v>65.099999999999994</v>
      </c>
      <c r="L2690" s="42">
        <v>5</v>
      </c>
      <c r="M2690" s="43"/>
      <c r="N2690" s="1" t="e">
        <f>VLOOKUP(B2690,MICRO!E:L,8,0)</f>
        <v>#N/A</v>
      </c>
    </row>
    <row r="2691" spans="1:14" ht="20.25" x14ac:dyDescent="0.25">
      <c r="A2691" s="1">
        <v>15</v>
      </c>
      <c r="B2691" s="159">
        <v>2097</v>
      </c>
      <c r="C2691" s="1" t="s">
        <v>674</v>
      </c>
      <c r="D2691" s="1"/>
      <c r="E2691" s="1" t="s">
        <v>2</v>
      </c>
      <c r="F2691" s="1" t="s">
        <v>675</v>
      </c>
      <c r="G2691" s="1">
        <v>1</v>
      </c>
      <c r="H2691" s="1" t="s">
        <v>19</v>
      </c>
      <c r="I2691" s="1" t="s">
        <v>571</v>
      </c>
      <c r="J2691" s="1">
        <v>65.099999999999994</v>
      </c>
      <c r="K2691" s="1">
        <v>65.099999999999994</v>
      </c>
      <c r="L2691" s="42">
        <v>5</v>
      </c>
      <c r="M2691" s="43"/>
      <c r="N2691" s="1" t="e">
        <f>VLOOKUP(B2691,MICRO!E:L,8,0)</f>
        <v>#N/A</v>
      </c>
    </row>
    <row r="2692" spans="1:14" ht="20.25" x14ac:dyDescent="0.25">
      <c r="A2692" s="1">
        <v>16</v>
      </c>
      <c r="B2692" s="159">
        <v>2098</v>
      </c>
      <c r="C2692" s="1" t="s">
        <v>674</v>
      </c>
      <c r="D2692" s="1"/>
      <c r="E2692" s="1" t="s">
        <v>2</v>
      </c>
      <c r="F2692" s="1" t="s">
        <v>675</v>
      </c>
      <c r="G2692" s="1">
        <v>1</v>
      </c>
      <c r="H2692" s="1" t="s">
        <v>19</v>
      </c>
      <c r="I2692" s="1" t="s">
        <v>572</v>
      </c>
      <c r="J2692" s="1">
        <v>65.099999999999994</v>
      </c>
      <c r="K2692" s="1">
        <v>65.099999999999994</v>
      </c>
      <c r="L2692" s="42">
        <v>5</v>
      </c>
      <c r="M2692" s="43"/>
      <c r="N2692" s="1" t="e">
        <f>VLOOKUP(B2692,MICRO!E:L,8,0)</f>
        <v>#N/A</v>
      </c>
    </row>
    <row r="2693" spans="1:14" ht="20.25" x14ac:dyDescent="0.25">
      <c r="A2693" s="1">
        <v>17</v>
      </c>
      <c r="B2693" s="159">
        <v>2099</v>
      </c>
      <c r="C2693" s="1" t="s">
        <v>674</v>
      </c>
      <c r="D2693" s="1"/>
      <c r="E2693" s="1" t="s">
        <v>43</v>
      </c>
      <c r="F2693" s="1" t="s">
        <v>676</v>
      </c>
      <c r="G2693" s="1">
        <v>1</v>
      </c>
      <c r="H2693" s="1" t="s">
        <v>19</v>
      </c>
      <c r="I2693" s="1" t="s">
        <v>569</v>
      </c>
      <c r="J2693" s="1">
        <v>73.5</v>
      </c>
      <c r="K2693" s="1">
        <v>73.5</v>
      </c>
      <c r="L2693" s="42">
        <v>5</v>
      </c>
      <c r="M2693" s="43"/>
      <c r="N2693" s="1" t="e">
        <f>VLOOKUP(B2693,MICRO!E:L,8,0)</f>
        <v>#N/A</v>
      </c>
    </row>
    <row r="2694" spans="1:14" ht="20.25" x14ac:dyDescent="0.25">
      <c r="A2694" s="1">
        <v>18</v>
      </c>
      <c r="B2694" s="159">
        <v>2100</v>
      </c>
      <c r="C2694" s="1" t="s">
        <v>674</v>
      </c>
      <c r="D2694" s="1"/>
      <c r="E2694" s="1" t="s">
        <v>43</v>
      </c>
      <c r="F2694" s="1" t="s">
        <v>676</v>
      </c>
      <c r="G2694" s="1">
        <v>1</v>
      </c>
      <c r="H2694" s="1" t="s">
        <v>19</v>
      </c>
      <c r="I2694" s="1" t="s">
        <v>570</v>
      </c>
      <c r="J2694" s="1">
        <v>73.5</v>
      </c>
      <c r="K2694" s="1">
        <v>73.5</v>
      </c>
      <c r="L2694" s="42">
        <v>5</v>
      </c>
      <c r="M2694" s="43"/>
      <c r="N2694" s="1" t="e">
        <f>VLOOKUP(B2694,MICRO!E:L,8,0)</f>
        <v>#N/A</v>
      </c>
    </row>
    <row r="2695" spans="1:14" ht="20.25" x14ac:dyDescent="0.25">
      <c r="A2695" s="1">
        <v>19</v>
      </c>
      <c r="B2695" s="159">
        <v>2101</v>
      </c>
      <c r="C2695" s="1" t="s">
        <v>674</v>
      </c>
      <c r="D2695" s="1"/>
      <c r="E2695" s="1" t="s">
        <v>43</v>
      </c>
      <c r="F2695" s="1" t="s">
        <v>676</v>
      </c>
      <c r="G2695" s="1">
        <v>1</v>
      </c>
      <c r="H2695" s="1" t="s">
        <v>19</v>
      </c>
      <c r="I2695" s="1" t="s">
        <v>571</v>
      </c>
      <c r="J2695" s="1">
        <v>73.5</v>
      </c>
      <c r="K2695" s="1">
        <v>73.5</v>
      </c>
      <c r="L2695" s="42">
        <v>5</v>
      </c>
      <c r="M2695" s="43"/>
      <c r="N2695" s="1" t="e">
        <f>VLOOKUP(B2695,MICRO!E:L,8,0)</f>
        <v>#N/A</v>
      </c>
    </row>
    <row r="2696" spans="1:14" ht="20.25" x14ac:dyDescent="0.25">
      <c r="A2696" s="1">
        <v>20</v>
      </c>
      <c r="B2696" s="159">
        <v>2102</v>
      </c>
      <c r="C2696" s="1" t="s">
        <v>674</v>
      </c>
      <c r="D2696" s="1"/>
      <c r="E2696" s="1" t="s">
        <v>43</v>
      </c>
      <c r="F2696" s="1" t="s">
        <v>676</v>
      </c>
      <c r="G2696" s="1">
        <v>1</v>
      </c>
      <c r="H2696" s="1" t="s">
        <v>19</v>
      </c>
      <c r="I2696" s="1" t="s">
        <v>572</v>
      </c>
      <c r="J2696" s="1">
        <v>73.5</v>
      </c>
      <c r="K2696" s="1">
        <v>73.5</v>
      </c>
      <c r="L2696" s="42">
        <v>5</v>
      </c>
      <c r="M2696" s="43"/>
      <c r="N2696" s="1" t="e">
        <f>VLOOKUP(B2696,MICRO!E:L,8,0)</f>
        <v>#N/A</v>
      </c>
    </row>
    <row r="2697" spans="1:14" ht="20.25" x14ac:dyDescent="0.25">
      <c r="A2697" s="1">
        <v>21</v>
      </c>
      <c r="B2697" s="159">
        <v>2107</v>
      </c>
      <c r="C2697" s="1" t="s">
        <v>693</v>
      </c>
      <c r="D2697" s="1"/>
      <c r="E2697" s="1" t="s">
        <v>2</v>
      </c>
      <c r="F2697" s="1" t="s">
        <v>694</v>
      </c>
      <c r="G2697" s="1">
        <v>2</v>
      </c>
      <c r="H2697" s="1" t="s">
        <v>19</v>
      </c>
      <c r="I2697" s="1" t="s">
        <v>569</v>
      </c>
      <c r="J2697" s="1">
        <v>5.0999999999999996</v>
      </c>
      <c r="K2697" s="1">
        <v>10.199999999999999</v>
      </c>
      <c r="L2697" s="42">
        <v>5</v>
      </c>
      <c r="M2697" s="43"/>
      <c r="N2697" s="1" t="e">
        <f>VLOOKUP(B2697,MICRO!E:L,8,0)</f>
        <v>#N/A</v>
      </c>
    </row>
    <row r="2698" spans="1:14" ht="20.25" x14ac:dyDescent="0.25">
      <c r="A2698" s="1">
        <v>22</v>
      </c>
      <c r="B2698" s="159">
        <v>2108</v>
      </c>
      <c r="C2698" s="1" t="s">
        <v>693</v>
      </c>
      <c r="D2698" s="1"/>
      <c r="E2698" s="1" t="s">
        <v>2</v>
      </c>
      <c r="F2698" s="1" t="s">
        <v>694</v>
      </c>
      <c r="G2698" s="1">
        <v>2</v>
      </c>
      <c r="H2698" s="1" t="s">
        <v>19</v>
      </c>
      <c r="I2698" s="1" t="s">
        <v>570</v>
      </c>
      <c r="J2698" s="1">
        <v>5.0999999999999996</v>
      </c>
      <c r="K2698" s="1">
        <v>10.199999999999999</v>
      </c>
      <c r="L2698" s="42">
        <v>5</v>
      </c>
      <c r="M2698" s="43"/>
      <c r="N2698" s="1" t="e">
        <f>VLOOKUP(B2698,MICRO!E:L,8,0)</f>
        <v>#N/A</v>
      </c>
    </row>
    <row r="2699" spans="1:14" ht="20.25" x14ac:dyDescent="0.25">
      <c r="A2699" s="1">
        <v>23</v>
      </c>
      <c r="B2699" s="159">
        <v>2109</v>
      </c>
      <c r="C2699" s="1" t="s">
        <v>693</v>
      </c>
      <c r="D2699" s="1"/>
      <c r="E2699" s="1" t="s">
        <v>2</v>
      </c>
      <c r="F2699" s="1" t="s">
        <v>694</v>
      </c>
      <c r="G2699" s="1">
        <v>2</v>
      </c>
      <c r="H2699" s="1" t="s">
        <v>19</v>
      </c>
      <c r="I2699" s="1" t="s">
        <v>571</v>
      </c>
      <c r="J2699" s="1">
        <v>5.0999999999999996</v>
      </c>
      <c r="K2699" s="1">
        <v>10.199999999999999</v>
      </c>
      <c r="L2699" s="42">
        <v>5</v>
      </c>
      <c r="M2699" s="43"/>
      <c r="N2699" s="1" t="e">
        <f>VLOOKUP(B2699,MICRO!E:L,8,0)</f>
        <v>#N/A</v>
      </c>
    </row>
    <row r="2700" spans="1:14" ht="20.25" x14ac:dyDescent="0.25">
      <c r="A2700" s="1">
        <v>24</v>
      </c>
      <c r="B2700" s="159">
        <v>2110</v>
      </c>
      <c r="C2700" s="1" t="s">
        <v>693</v>
      </c>
      <c r="D2700" s="1"/>
      <c r="E2700" s="1" t="s">
        <v>2</v>
      </c>
      <c r="F2700" s="1" t="s">
        <v>694</v>
      </c>
      <c r="G2700" s="1">
        <v>2</v>
      </c>
      <c r="H2700" s="1" t="s">
        <v>19</v>
      </c>
      <c r="I2700" s="1" t="s">
        <v>572</v>
      </c>
      <c r="J2700" s="1">
        <v>5.0999999999999996</v>
      </c>
      <c r="K2700" s="1">
        <v>10.199999999999999</v>
      </c>
      <c r="L2700" s="42">
        <v>5</v>
      </c>
      <c r="M2700" s="43"/>
      <c r="N2700" s="1" t="e">
        <f>VLOOKUP(B2700,MICRO!E:L,8,0)</f>
        <v>#N/A</v>
      </c>
    </row>
    <row r="2701" spans="1:14" ht="20.25" x14ac:dyDescent="0.25">
      <c r="A2701" s="1">
        <v>25</v>
      </c>
      <c r="B2701" s="159">
        <v>2117</v>
      </c>
      <c r="C2701" s="1" t="s">
        <v>698</v>
      </c>
      <c r="D2701" s="1"/>
      <c r="E2701" s="1"/>
      <c r="F2701" s="1" t="s">
        <v>699</v>
      </c>
      <c r="G2701" s="1">
        <v>2</v>
      </c>
      <c r="H2701" s="1" t="s">
        <v>19</v>
      </c>
      <c r="I2701" s="1" t="s">
        <v>569</v>
      </c>
      <c r="J2701" s="1">
        <v>107.6</v>
      </c>
      <c r="K2701" s="1">
        <v>215.2</v>
      </c>
      <c r="L2701" s="42">
        <v>5</v>
      </c>
      <c r="M2701" s="43"/>
      <c r="N2701" s="1" t="e">
        <f>VLOOKUP(B2701,MICRO!E:L,8,0)</f>
        <v>#N/A</v>
      </c>
    </row>
    <row r="2702" spans="1:14" ht="20.25" x14ac:dyDescent="0.25">
      <c r="A2702" s="1">
        <v>26</v>
      </c>
      <c r="B2702" s="159">
        <v>2118</v>
      </c>
      <c r="C2702" s="1" t="s">
        <v>698</v>
      </c>
      <c r="D2702" s="1"/>
      <c r="E2702" s="1"/>
      <c r="F2702" s="1" t="s">
        <v>699</v>
      </c>
      <c r="G2702" s="1">
        <v>2</v>
      </c>
      <c r="H2702" s="1" t="s">
        <v>19</v>
      </c>
      <c r="I2702" s="1" t="s">
        <v>570</v>
      </c>
      <c r="J2702" s="1">
        <v>107.6</v>
      </c>
      <c r="K2702" s="1">
        <v>215.2</v>
      </c>
      <c r="L2702" s="42">
        <v>5</v>
      </c>
      <c r="M2702" s="43"/>
      <c r="N2702" s="1" t="e">
        <f>VLOOKUP(B2702,MICRO!E:L,8,0)</f>
        <v>#N/A</v>
      </c>
    </row>
    <row r="2703" spans="1:14" ht="20.25" x14ac:dyDescent="0.25">
      <c r="A2703" s="1">
        <v>27</v>
      </c>
      <c r="B2703" s="159">
        <v>2119</v>
      </c>
      <c r="C2703" s="1" t="s">
        <v>698</v>
      </c>
      <c r="D2703" s="1"/>
      <c r="E2703" s="1"/>
      <c r="F2703" s="1" t="s">
        <v>699</v>
      </c>
      <c r="G2703" s="1">
        <v>2</v>
      </c>
      <c r="H2703" s="1" t="s">
        <v>19</v>
      </c>
      <c r="I2703" s="1" t="s">
        <v>571</v>
      </c>
      <c r="J2703" s="1">
        <v>107.6</v>
      </c>
      <c r="K2703" s="1">
        <v>215.2</v>
      </c>
      <c r="L2703" s="42">
        <v>5</v>
      </c>
      <c r="M2703" s="43"/>
      <c r="N2703" s="1" t="e">
        <f>VLOOKUP(B2703,MICRO!E:L,8,0)</f>
        <v>#N/A</v>
      </c>
    </row>
    <row r="2704" spans="1:14" ht="20.25" x14ac:dyDescent="0.25">
      <c r="A2704" s="1">
        <v>28</v>
      </c>
      <c r="B2704" s="159">
        <v>2120</v>
      </c>
      <c r="C2704" s="1" t="s">
        <v>698</v>
      </c>
      <c r="D2704" s="1"/>
      <c r="E2704" s="1"/>
      <c r="F2704" s="1" t="s">
        <v>699</v>
      </c>
      <c r="G2704" s="1">
        <v>2</v>
      </c>
      <c r="H2704" s="1" t="s">
        <v>19</v>
      </c>
      <c r="I2704" s="1" t="s">
        <v>572</v>
      </c>
      <c r="J2704" s="1">
        <v>107.6</v>
      </c>
      <c r="K2704" s="1">
        <v>215.2</v>
      </c>
      <c r="L2704" s="42">
        <v>5</v>
      </c>
      <c r="M2704" s="43"/>
      <c r="N2704" s="1" t="e">
        <f>VLOOKUP(B2704,MICRO!E:L,8,0)</f>
        <v>#N/A</v>
      </c>
    </row>
    <row r="2705" spans="1:14" ht="20.25" x14ac:dyDescent="0.25">
      <c r="A2705" s="1">
        <v>29</v>
      </c>
      <c r="B2705" s="159">
        <v>2121</v>
      </c>
      <c r="C2705" s="1" t="s">
        <v>1341</v>
      </c>
      <c r="D2705" s="1"/>
      <c r="E2705" s="1"/>
      <c r="F2705" s="1" t="s">
        <v>1342</v>
      </c>
      <c r="G2705" s="1">
        <v>1</v>
      </c>
      <c r="H2705" s="1" t="s">
        <v>19</v>
      </c>
      <c r="I2705" s="1" t="s">
        <v>569</v>
      </c>
      <c r="J2705" s="1">
        <v>127.6</v>
      </c>
      <c r="K2705" s="1">
        <v>127.6</v>
      </c>
      <c r="L2705" s="42">
        <v>5</v>
      </c>
      <c r="M2705" s="43"/>
      <c r="N2705" s="1" t="e">
        <f>VLOOKUP(B2705,MICRO!E:L,8,0)</f>
        <v>#N/A</v>
      </c>
    </row>
    <row r="2706" spans="1:14" ht="20.25" x14ac:dyDescent="0.25">
      <c r="A2706" s="1">
        <v>30</v>
      </c>
      <c r="B2706" s="159">
        <v>2122</v>
      </c>
      <c r="C2706" s="1" t="s">
        <v>1341</v>
      </c>
      <c r="D2706" s="1"/>
      <c r="E2706" s="1"/>
      <c r="F2706" s="1" t="s">
        <v>1342</v>
      </c>
      <c r="G2706" s="1">
        <v>1</v>
      </c>
      <c r="H2706" s="1" t="s">
        <v>19</v>
      </c>
      <c r="I2706" s="1" t="s">
        <v>570</v>
      </c>
      <c r="J2706" s="1">
        <v>127.6</v>
      </c>
      <c r="K2706" s="1">
        <v>127.6</v>
      </c>
      <c r="L2706" s="42">
        <v>5</v>
      </c>
      <c r="M2706" s="43"/>
      <c r="N2706" s="1" t="e">
        <f>VLOOKUP(B2706,MICRO!E:L,8,0)</f>
        <v>#N/A</v>
      </c>
    </row>
    <row r="2707" spans="1:14" ht="20.25" x14ac:dyDescent="0.25">
      <c r="A2707" s="1">
        <v>31</v>
      </c>
      <c r="B2707" s="159">
        <v>2123</v>
      </c>
      <c r="C2707" s="1" t="s">
        <v>1341</v>
      </c>
      <c r="D2707" s="1"/>
      <c r="E2707" s="1"/>
      <c r="F2707" s="1" t="s">
        <v>1342</v>
      </c>
      <c r="G2707" s="1">
        <v>1</v>
      </c>
      <c r="H2707" s="1" t="s">
        <v>19</v>
      </c>
      <c r="I2707" s="1" t="s">
        <v>571</v>
      </c>
      <c r="J2707" s="1">
        <v>127.6</v>
      </c>
      <c r="K2707" s="1">
        <v>127.6</v>
      </c>
      <c r="L2707" s="42">
        <v>5</v>
      </c>
      <c r="M2707" s="43"/>
      <c r="N2707" s="1" t="e">
        <f>VLOOKUP(B2707,MICRO!E:L,8,0)</f>
        <v>#N/A</v>
      </c>
    </row>
    <row r="2708" spans="1:14" ht="20.25" x14ac:dyDescent="0.25">
      <c r="A2708" s="1">
        <v>32</v>
      </c>
      <c r="B2708" s="159">
        <v>2124</v>
      </c>
      <c r="C2708" s="1" t="s">
        <v>1341</v>
      </c>
      <c r="D2708" s="1"/>
      <c r="E2708" s="1"/>
      <c r="F2708" s="1" t="s">
        <v>1342</v>
      </c>
      <c r="G2708" s="1">
        <v>1</v>
      </c>
      <c r="H2708" s="1" t="s">
        <v>19</v>
      </c>
      <c r="I2708" s="1" t="s">
        <v>572</v>
      </c>
      <c r="J2708" s="1">
        <v>127.6</v>
      </c>
      <c r="K2708" s="1">
        <v>127.6</v>
      </c>
      <c r="L2708" s="42">
        <v>5</v>
      </c>
      <c r="M2708" s="43"/>
      <c r="N2708" s="1" t="e">
        <f>VLOOKUP(B2708,MICRO!E:L,8,0)</f>
        <v>#N/A</v>
      </c>
    </row>
    <row r="2709" spans="1:14" ht="20.25" x14ac:dyDescent="0.25">
      <c r="A2709" s="1">
        <v>33</v>
      </c>
      <c r="B2709" s="159"/>
      <c r="C2709" s="1" t="s">
        <v>817</v>
      </c>
      <c r="D2709" s="1"/>
      <c r="E2709" s="1" t="s">
        <v>1343</v>
      </c>
      <c r="F2709" s="1" t="s">
        <v>1344</v>
      </c>
      <c r="G2709" s="1">
        <v>1264</v>
      </c>
      <c r="H2709" s="1" t="s">
        <v>19</v>
      </c>
      <c r="I2709" s="1" t="s">
        <v>1345</v>
      </c>
      <c r="J2709" s="1">
        <v>0.1</v>
      </c>
      <c r="K2709" s="1">
        <v>126.4</v>
      </c>
      <c r="L2709" s="42">
        <v>5</v>
      </c>
      <c r="M2709" s="43"/>
      <c r="N2709" s="1" t="e">
        <f>VLOOKUP(B2709,MICRO!E:L,8,0)</f>
        <v>#N/A</v>
      </c>
    </row>
    <row r="2710" spans="1:14" ht="20.25" x14ac:dyDescent="0.25">
      <c r="A2710" s="1">
        <v>34</v>
      </c>
      <c r="B2710" s="159"/>
      <c r="C2710" s="1" t="s">
        <v>1346</v>
      </c>
      <c r="D2710" s="1"/>
      <c r="E2710" s="1"/>
      <c r="F2710" s="1" t="s">
        <v>1347</v>
      </c>
      <c r="G2710" s="1">
        <v>1</v>
      </c>
      <c r="H2710" s="1" t="s">
        <v>19</v>
      </c>
      <c r="I2710" s="1" t="s">
        <v>569</v>
      </c>
      <c r="J2710" s="1">
        <v>178.6</v>
      </c>
      <c r="K2710" s="1">
        <v>178.6</v>
      </c>
      <c r="L2710" s="42">
        <v>5</v>
      </c>
      <c r="M2710" s="43"/>
      <c r="N2710" s="1" t="e">
        <f>VLOOKUP(B2710,MICRO!E:L,8,0)</f>
        <v>#N/A</v>
      </c>
    </row>
    <row r="2711" spans="1:14" ht="20.25" x14ac:dyDescent="0.25">
      <c r="A2711" s="1">
        <v>35</v>
      </c>
      <c r="B2711" s="159"/>
      <c r="C2711" s="1" t="s">
        <v>1346</v>
      </c>
      <c r="D2711" s="1"/>
      <c r="E2711" s="1"/>
      <c r="F2711" s="1" t="s">
        <v>1347</v>
      </c>
      <c r="G2711" s="1">
        <v>1</v>
      </c>
      <c r="H2711" s="1" t="s">
        <v>19</v>
      </c>
      <c r="I2711" s="1" t="s">
        <v>570</v>
      </c>
      <c r="J2711" s="1">
        <v>178.6</v>
      </c>
      <c r="K2711" s="1">
        <v>178.6</v>
      </c>
      <c r="L2711" s="42">
        <v>5</v>
      </c>
      <c r="M2711" s="43"/>
      <c r="N2711" s="1" t="e">
        <f>VLOOKUP(B2711,MICRO!E:L,8,0)</f>
        <v>#N/A</v>
      </c>
    </row>
    <row r="2712" spans="1:14" ht="20.25" x14ac:dyDescent="0.25">
      <c r="A2712" s="1">
        <v>36</v>
      </c>
      <c r="B2712" s="159"/>
      <c r="C2712" s="1" t="s">
        <v>1346</v>
      </c>
      <c r="D2712" s="1"/>
      <c r="E2712" s="1"/>
      <c r="F2712" s="1" t="s">
        <v>1347</v>
      </c>
      <c r="G2712" s="1">
        <v>1</v>
      </c>
      <c r="H2712" s="1" t="s">
        <v>19</v>
      </c>
      <c r="I2712" s="1" t="s">
        <v>571</v>
      </c>
      <c r="J2712" s="1">
        <v>178.6</v>
      </c>
      <c r="K2712" s="1">
        <v>178.6</v>
      </c>
      <c r="L2712" s="42">
        <v>5</v>
      </c>
      <c r="M2712" s="43"/>
      <c r="N2712" s="1" t="e">
        <f>VLOOKUP(B2712,MICRO!E:L,8,0)</f>
        <v>#N/A</v>
      </c>
    </row>
    <row r="2713" spans="1:14" ht="20.25" x14ac:dyDescent="0.25">
      <c r="A2713" s="1">
        <v>37</v>
      </c>
      <c r="B2713" s="159"/>
      <c r="C2713" s="1" t="s">
        <v>1346</v>
      </c>
      <c r="D2713" s="1"/>
      <c r="E2713" s="1"/>
      <c r="F2713" s="1" t="s">
        <v>1347</v>
      </c>
      <c r="G2713" s="1">
        <v>1</v>
      </c>
      <c r="H2713" s="1" t="s">
        <v>19</v>
      </c>
      <c r="I2713" s="1" t="s">
        <v>572</v>
      </c>
      <c r="J2713" s="1">
        <v>178.6</v>
      </c>
      <c r="K2713" s="1">
        <v>178.6</v>
      </c>
      <c r="L2713" s="42">
        <v>5</v>
      </c>
      <c r="M2713" s="43"/>
      <c r="N2713" s="1" t="e">
        <f>VLOOKUP(B2713,MICRO!E:L,8,0)</f>
        <v>#N/A</v>
      </c>
    </row>
    <row r="2714" spans="1:14" ht="20.25" x14ac:dyDescent="0.25">
      <c r="A2714" s="1">
        <v>38</v>
      </c>
      <c r="B2714" s="159">
        <v>2213</v>
      </c>
      <c r="C2714" s="1" t="s">
        <v>799</v>
      </c>
      <c r="D2714" s="1"/>
      <c r="E2714" s="1" t="s">
        <v>2</v>
      </c>
      <c r="F2714" s="1" t="s">
        <v>800</v>
      </c>
      <c r="G2714" s="1">
        <v>4</v>
      </c>
      <c r="H2714" s="1" t="s">
        <v>19</v>
      </c>
      <c r="I2714" s="1" t="s">
        <v>569</v>
      </c>
      <c r="J2714" s="1">
        <v>3.4</v>
      </c>
      <c r="K2714" s="1">
        <v>13.6</v>
      </c>
      <c r="L2714" s="42">
        <v>5</v>
      </c>
      <c r="M2714" s="43"/>
      <c r="N2714" s="1" t="e">
        <f>VLOOKUP(B2714,MICRO!E:L,8,0)</f>
        <v>#N/A</v>
      </c>
    </row>
    <row r="2715" spans="1:14" ht="20.25" x14ac:dyDescent="0.25">
      <c r="A2715" s="1">
        <v>39</v>
      </c>
      <c r="B2715" s="159">
        <v>2214</v>
      </c>
      <c r="C2715" s="1" t="s">
        <v>799</v>
      </c>
      <c r="D2715" s="1"/>
      <c r="E2715" s="1" t="s">
        <v>43</v>
      </c>
      <c r="F2715" s="1" t="s">
        <v>801</v>
      </c>
      <c r="G2715" s="1">
        <v>4</v>
      </c>
      <c r="H2715" s="1" t="s">
        <v>19</v>
      </c>
      <c r="I2715" s="1" t="s">
        <v>569</v>
      </c>
      <c r="J2715" s="1">
        <v>1.2</v>
      </c>
      <c r="K2715" s="1">
        <v>4.8</v>
      </c>
      <c r="L2715" s="42">
        <v>5</v>
      </c>
      <c r="M2715" s="43"/>
      <c r="N2715" s="1" t="e">
        <f>VLOOKUP(B2715,MICRO!E:L,8,0)</f>
        <v>#N/A</v>
      </c>
    </row>
    <row r="2716" spans="1:14" ht="20.25" x14ac:dyDescent="0.25">
      <c r="A2716" s="1">
        <v>40</v>
      </c>
      <c r="B2716" s="159">
        <v>2215</v>
      </c>
      <c r="C2716" s="1" t="s">
        <v>799</v>
      </c>
      <c r="D2716" s="1"/>
      <c r="E2716" s="1" t="s">
        <v>746</v>
      </c>
      <c r="F2716" s="1" t="s">
        <v>802</v>
      </c>
      <c r="G2716" s="1">
        <v>4</v>
      </c>
      <c r="H2716" s="1" t="s">
        <v>19</v>
      </c>
      <c r="I2716" s="1" t="s">
        <v>569</v>
      </c>
      <c r="J2716" s="1">
        <v>1.4</v>
      </c>
      <c r="K2716" s="1">
        <v>5.6</v>
      </c>
      <c r="L2716" s="42">
        <v>5</v>
      </c>
      <c r="M2716" s="43"/>
      <c r="N2716" s="1" t="e">
        <f>VLOOKUP(B2716,MICRO!E:L,8,0)</f>
        <v>#N/A</v>
      </c>
    </row>
    <row r="2717" spans="1:14" ht="20.25" x14ac:dyDescent="0.25">
      <c r="A2717" s="1">
        <v>41</v>
      </c>
      <c r="B2717" s="159">
        <v>2216</v>
      </c>
      <c r="C2717" s="1" t="s">
        <v>799</v>
      </c>
      <c r="D2717" s="1"/>
      <c r="E2717" s="1" t="s">
        <v>1101</v>
      </c>
      <c r="F2717" s="1" t="s">
        <v>803</v>
      </c>
      <c r="G2717" s="1">
        <v>8</v>
      </c>
      <c r="H2717" s="1" t="s">
        <v>19</v>
      </c>
      <c r="I2717" s="1" t="s">
        <v>569</v>
      </c>
      <c r="J2717" s="1">
        <v>0.4</v>
      </c>
      <c r="K2717" s="1">
        <v>3.2</v>
      </c>
      <c r="L2717" s="42">
        <v>5</v>
      </c>
      <c r="M2717" s="43"/>
      <c r="N2717" s="1" t="e">
        <f>VLOOKUP(B2717,MICRO!E:L,8,0)</f>
        <v>#N/A</v>
      </c>
    </row>
    <row r="2718" spans="1:14" ht="20.25" x14ac:dyDescent="0.25">
      <c r="A2718" s="1">
        <v>42</v>
      </c>
      <c r="B2718" s="159">
        <v>2217</v>
      </c>
      <c r="C2718" s="1" t="s">
        <v>799</v>
      </c>
      <c r="D2718" s="1"/>
      <c r="E2718" s="1" t="s">
        <v>2</v>
      </c>
      <c r="F2718" s="1" t="s">
        <v>800</v>
      </c>
      <c r="G2718" s="1">
        <v>4</v>
      </c>
      <c r="H2718" s="1" t="s">
        <v>19</v>
      </c>
      <c r="I2718" s="1" t="s">
        <v>570</v>
      </c>
      <c r="J2718" s="1">
        <v>3.4</v>
      </c>
      <c r="K2718" s="1">
        <v>13.6</v>
      </c>
      <c r="L2718" s="42">
        <v>5</v>
      </c>
      <c r="M2718" s="43"/>
      <c r="N2718" s="1" t="e">
        <f>VLOOKUP(B2718,MICRO!E:L,8,0)</f>
        <v>#N/A</v>
      </c>
    </row>
    <row r="2719" spans="1:14" ht="20.25" x14ac:dyDescent="0.25">
      <c r="A2719" s="1">
        <v>43</v>
      </c>
      <c r="B2719" s="159">
        <v>2218</v>
      </c>
      <c r="C2719" s="1" t="s">
        <v>799</v>
      </c>
      <c r="D2719" s="1"/>
      <c r="E2719" s="1" t="s">
        <v>43</v>
      </c>
      <c r="F2719" s="1" t="s">
        <v>801</v>
      </c>
      <c r="G2719" s="1">
        <v>4</v>
      </c>
      <c r="H2719" s="1" t="s">
        <v>19</v>
      </c>
      <c r="I2719" s="1" t="s">
        <v>570</v>
      </c>
      <c r="J2719" s="1">
        <v>1.2</v>
      </c>
      <c r="K2719" s="1">
        <v>4.8</v>
      </c>
      <c r="L2719" s="42">
        <v>5</v>
      </c>
      <c r="M2719" s="43"/>
      <c r="N2719" s="1" t="e">
        <f>VLOOKUP(B2719,MICRO!E:L,8,0)</f>
        <v>#N/A</v>
      </c>
    </row>
    <row r="2720" spans="1:14" ht="20.25" x14ac:dyDescent="0.25">
      <c r="A2720" s="1">
        <v>44</v>
      </c>
      <c r="B2720" s="159">
        <v>2219</v>
      </c>
      <c r="C2720" s="1" t="s">
        <v>799</v>
      </c>
      <c r="D2720" s="1"/>
      <c r="E2720" s="1" t="s">
        <v>746</v>
      </c>
      <c r="F2720" s="1" t="s">
        <v>802</v>
      </c>
      <c r="G2720" s="1">
        <v>4</v>
      </c>
      <c r="H2720" s="1" t="s">
        <v>19</v>
      </c>
      <c r="I2720" s="1" t="s">
        <v>570</v>
      </c>
      <c r="J2720" s="1">
        <v>1.4</v>
      </c>
      <c r="K2720" s="1">
        <v>5.6</v>
      </c>
      <c r="L2720" s="42">
        <v>5</v>
      </c>
      <c r="M2720" s="43"/>
      <c r="N2720" s="1" t="e">
        <f>VLOOKUP(B2720,MICRO!E:L,8,0)</f>
        <v>#N/A</v>
      </c>
    </row>
    <row r="2721" spans="1:14" ht="20.25" x14ac:dyDescent="0.25">
      <c r="A2721" s="1">
        <v>45</v>
      </c>
      <c r="B2721" s="159">
        <v>2220</v>
      </c>
      <c r="C2721" s="1" t="s">
        <v>799</v>
      </c>
      <c r="D2721" s="1"/>
      <c r="E2721" s="1" t="s">
        <v>1101</v>
      </c>
      <c r="F2721" s="1" t="s">
        <v>803</v>
      </c>
      <c r="G2721" s="1">
        <v>8</v>
      </c>
      <c r="H2721" s="1" t="s">
        <v>19</v>
      </c>
      <c r="I2721" s="1" t="s">
        <v>570</v>
      </c>
      <c r="J2721" s="1">
        <v>0.4</v>
      </c>
      <c r="K2721" s="1">
        <v>3.2</v>
      </c>
      <c r="L2721" s="42">
        <v>5</v>
      </c>
      <c r="M2721" s="43"/>
      <c r="N2721" s="1" t="e">
        <f>VLOOKUP(B2721,MICRO!E:L,8,0)</f>
        <v>#N/A</v>
      </c>
    </row>
    <row r="2722" spans="1:14" ht="20.25" x14ac:dyDescent="0.25">
      <c r="A2722" s="1">
        <v>46</v>
      </c>
      <c r="B2722" s="159">
        <v>2221</v>
      </c>
      <c r="C2722" s="1" t="s">
        <v>799</v>
      </c>
      <c r="D2722" s="1"/>
      <c r="E2722" s="1" t="s">
        <v>2</v>
      </c>
      <c r="F2722" s="1" t="s">
        <v>800</v>
      </c>
      <c r="G2722" s="1">
        <v>4</v>
      </c>
      <c r="H2722" s="1" t="s">
        <v>19</v>
      </c>
      <c r="I2722" s="1" t="s">
        <v>571</v>
      </c>
      <c r="J2722" s="1">
        <v>3.4</v>
      </c>
      <c r="K2722" s="1">
        <v>13.6</v>
      </c>
      <c r="L2722" s="42">
        <v>5</v>
      </c>
      <c r="M2722" s="43"/>
      <c r="N2722" s="1" t="e">
        <f>VLOOKUP(B2722,MICRO!E:L,8,0)</f>
        <v>#N/A</v>
      </c>
    </row>
    <row r="2723" spans="1:14" ht="20.25" x14ac:dyDescent="0.25">
      <c r="A2723" s="1">
        <v>47</v>
      </c>
      <c r="B2723" s="159">
        <v>2222</v>
      </c>
      <c r="C2723" s="1" t="s">
        <v>799</v>
      </c>
      <c r="D2723" s="1"/>
      <c r="E2723" s="1" t="s">
        <v>43</v>
      </c>
      <c r="F2723" s="1" t="s">
        <v>801</v>
      </c>
      <c r="G2723" s="1">
        <v>4</v>
      </c>
      <c r="H2723" s="1" t="s">
        <v>19</v>
      </c>
      <c r="I2723" s="1" t="s">
        <v>571</v>
      </c>
      <c r="J2723" s="1">
        <v>1.2</v>
      </c>
      <c r="K2723" s="1">
        <v>4.8</v>
      </c>
      <c r="L2723" s="42">
        <v>5</v>
      </c>
      <c r="M2723" s="43"/>
      <c r="N2723" s="1" t="e">
        <f>VLOOKUP(B2723,MICRO!E:L,8,0)</f>
        <v>#N/A</v>
      </c>
    </row>
    <row r="2724" spans="1:14" ht="20.25" x14ac:dyDescent="0.25">
      <c r="A2724" s="1">
        <v>48</v>
      </c>
      <c r="B2724" s="159">
        <v>2223</v>
      </c>
      <c r="C2724" s="1" t="s">
        <v>799</v>
      </c>
      <c r="D2724" s="1"/>
      <c r="E2724" s="1" t="s">
        <v>746</v>
      </c>
      <c r="F2724" s="1" t="s">
        <v>802</v>
      </c>
      <c r="G2724" s="1">
        <v>4</v>
      </c>
      <c r="H2724" s="1" t="s">
        <v>19</v>
      </c>
      <c r="I2724" s="1" t="s">
        <v>571</v>
      </c>
      <c r="J2724" s="1">
        <v>1.4</v>
      </c>
      <c r="K2724" s="1">
        <v>5.6</v>
      </c>
      <c r="L2724" s="42">
        <v>5</v>
      </c>
      <c r="M2724" s="43"/>
      <c r="N2724" s="1" t="e">
        <f>VLOOKUP(B2724,MICRO!E:L,8,0)</f>
        <v>#N/A</v>
      </c>
    </row>
    <row r="2725" spans="1:14" ht="20.25" x14ac:dyDescent="0.25">
      <c r="A2725" s="1">
        <v>49</v>
      </c>
      <c r="B2725" s="159">
        <v>2224</v>
      </c>
      <c r="C2725" s="1" t="s">
        <v>799</v>
      </c>
      <c r="D2725" s="1"/>
      <c r="E2725" s="1" t="s">
        <v>1101</v>
      </c>
      <c r="F2725" s="1" t="s">
        <v>803</v>
      </c>
      <c r="G2725" s="1">
        <v>8</v>
      </c>
      <c r="H2725" s="1" t="s">
        <v>19</v>
      </c>
      <c r="I2725" s="1" t="s">
        <v>571</v>
      </c>
      <c r="J2725" s="1">
        <v>0.4</v>
      </c>
      <c r="K2725" s="1">
        <v>3.2</v>
      </c>
      <c r="L2725" s="42">
        <v>5</v>
      </c>
      <c r="M2725" s="43"/>
      <c r="N2725" s="1" t="e">
        <f>VLOOKUP(B2725,MICRO!E:L,8,0)</f>
        <v>#N/A</v>
      </c>
    </row>
    <row r="2726" spans="1:14" ht="20.25" x14ac:dyDescent="0.25">
      <c r="A2726" s="1">
        <v>50</v>
      </c>
      <c r="B2726" s="159">
        <v>2225</v>
      </c>
      <c r="C2726" s="1" t="s">
        <v>799</v>
      </c>
      <c r="D2726" s="1"/>
      <c r="E2726" s="1" t="s">
        <v>2</v>
      </c>
      <c r="F2726" s="1" t="s">
        <v>800</v>
      </c>
      <c r="G2726" s="1">
        <v>4</v>
      </c>
      <c r="H2726" s="1" t="s">
        <v>19</v>
      </c>
      <c r="I2726" s="1" t="s">
        <v>572</v>
      </c>
      <c r="J2726" s="1">
        <v>3.4</v>
      </c>
      <c r="K2726" s="1">
        <v>13.6</v>
      </c>
      <c r="L2726" s="42">
        <v>5</v>
      </c>
      <c r="M2726" s="43"/>
      <c r="N2726" s="1" t="e">
        <f>VLOOKUP(B2726,MICRO!E:L,8,0)</f>
        <v>#N/A</v>
      </c>
    </row>
    <row r="2727" spans="1:14" ht="20.25" x14ac:dyDescent="0.25">
      <c r="A2727" s="1">
        <v>51</v>
      </c>
      <c r="B2727" s="159">
        <v>2226</v>
      </c>
      <c r="C2727" s="1" t="s">
        <v>799</v>
      </c>
      <c r="D2727" s="1"/>
      <c r="E2727" s="1" t="s">
        <v>43</v>
      </c>
      <c r="F2727" s="1" t="s">
        <v>801</v>
      </c>
      <c r="G2727" s="1">
        <v>4</v>
      </c>
      <c r="H2727" s="1" t="s">
        <v>19</v>
      </c>
      <c r="I2727" s="1" t="s">
        <v>572</v>
      </c>
      <c r="J2727" s="1">
        <v>1.2</v>
      </c>
      <c r="K2727" s="1">
        <v>4.8</v>
      </c>
      <c r="L2727" s="42">
        <v>5</v>
      </c>
      <c r="M2727" s="43"/>
      <c r="N2727" s="1" t="e">
        <f>VLOOKUP(B2727,MICRO!E:L,8,0)</f>
        <v>#N/A</v>
      </c>
    </row>
    <row r="2728" spans="1:14" ht="20.25" x14ac:dyDescent="0.25">
      <c r="A2728" s="1">
        <v>52</v>
      </c>
      <c r="B2728" s="159">
        <v>2227</v>
      </c>
      <c r="C2728" s="1" t="s">
        <v>799</v>
      </c>
      <c r="D2728" s="1"/>
      <c r="E2728" s="1" t="s">
        <v>746</v>
      </c>
      <c r="F2728" s="1" t="s">
        <v>802</v>
      </c>
      <c r="G2728" s="1">
        <v>4</v>
      </c>
      <c r="H2728" s="1" t="s">
        <v>19</v>
      </c>
      <c r="I2728" s="1" t="s">
        <v>572</v>
      </c>
      <c r="J2728" s="1">
        <v>1.4</v>
      </c>
      <c r="K2728" s="1">
        <v>5.6</v>
      </c>
      <c r="L2728" s="42">
        <v>5</v>
      </c>
      <c r="M2728" s="43"/>
      <c r="N2728" s="1" t="e">
        <f>VLOOKUP(B2728,MICRO!E:L,8,0)</f>
        <v>#N/A</v>
      </c>
    </row>
    <row r="2729" spans="1:14" ht="20.25" x14ac:dyDescent="0.25">
      <c r="A2729" s="1">
        <v>53</v>
      </c>
      <c r="B2729" s="159">
        <v>2228</v>
      </c>
      <c r="C2729" s="1" t="s">
        <v>799</v>
      </c>
      <c r="D2729" s="1"/>
      <c r="E2729" s="1" t="s">
        <v>1101</v>
      </c>
      <c r="F2729" s="1" t="s">
        <v>803</v>
      </c>
      <c r="G2729" s="1">
        <v>8</v>
      </c>
      <c r="H2729" s="1" t="s">
        <v>19</v>
      </c>
      <c r="I2729" s="1" t="s">
        <v>572</v>
      </c>
      <c r="J2729" s="1">
        <v>0.4</v>
      </c>
      <c r="K2729" s="1">
        <v>3.2</v>
      </c>
      <c r="L2729" s="42">
        <v>5</v>
      </c>
      <c r="M2729" s="43"/>
      <c r="N2729" s="1" t="e">
        <f>VLOOKUP(B2729,MICRO!E:L,8,0)</f>
        <v>#N/A</v>
      </c>
    </row>
    <row r="2730" spans="1:14" ht="20.25" x14ac:dyDescent="0.25">
      <c r="A2730" s="1">
        <v>1</v>
      </c>
      <c r="B2730" s="159">
        <v>2061</v>
      </c>
      <c r="C2730" s="1" t="s">
        <v>657</v>
      </c>
      <c r="D2730" s="1"/>
      <c r="E2730" s="1" t="s">
        <v>2</v>
      </c>
      <c r="F2730" s="1" t="s">
        <v>658</v>
      </c>
      <c r="G2730" s="1">
        <v>3</v>
      </c>
      <c r="H2730" s="1" t="s">
        <v>19</v>
      </c>
      <c r="I2730" s="1" t="s">
        <v>569</v>
      </c>
      <c r="J2730" s="1">
        <v>10</v>
      </c>
      <c r="K2730" s="1">
        <v>30</v>
      </c>
      <c r="L2730" s="42">
        <v>6</v>
      </c>
      <c r="M2730" s="43"/>
      <c r="N2730" s="1" t="e">
        <f>VLOOKUP(B2730,MICRO!E:L,8,0)</f>
        <v>#N/A</v>
      </c>
    </row>
    <row r="2731" spans="1:14" ht="20.25" x14ac:dyDescent="0.25">
      <c r="A2731" s="1">
        <v>2</v>
      </c>
      <c r="B2731" s="159">
        <v>2062</v>
      </c>
      <c r="C2731" s="1" t="s">
        <v>657</v>
      </c>
      <c r="D2731" s="1"/>
      <c r="E2731" s="1" t="s">
        <v>2</v>
      </c>
      <c r="F2731" s="1" t="s">
        <v>658</v>
      </c>
      <c r="G2731" s="1">
        <v>3</v>
      </c>
      <c r="H2731" s="1" t="s">
        <v>19</v>
      </c>
      <c r="I2731" s="1" t="s">
        <v>570</v>
      </c>
      <c r="J2731" s="1">
        <v>10</v>
      </c>
      <c r="K2731" s="1">
        <v>30</v>
      </c>
      <c r="L2731" s="42">
        <v>6</v>
      </c>
      <c r="M2731" s="43"/>
      <c r="N2731" s="1" t="e">
        <f>VLOOKUP(B2731,MICRO!E:L,8,0)</f>
        <v>#N/A</v>
      </c>
    </row>
    <row r="2732" spans="1:14" ht="20.25" x14ac:dyDescent="0.25">
      <c r="A2732" s="1">
        <v>3</v>
      </c>
      <c r="B2732" s="159">
        <v>2063</v>
      </c>
      <c r="C2732" s="1" t="s">
        <v>657</v>
      </c>
      <c r="D2732" s="1"/>
      <c r="E2732" s="1" t="s">
        <v>2</v>
      </c>
      <c r="F2732" s="1" t="s">
        <v>658</v>
      </c>
      <c r="G2732" s="1">
        <v>3</v>
      </c>
      <c r="H2732" s="1" t="s">
        <v>19</v>
      </c>
      <c r="I2732" s="1" t="s">
        <v>571</v>
      </c>
      <c r="J2732" s="1">
        <v>10</v>
      </c>
      <c r="K2732" s="1">
        <v>30</v>
      </c>
      <c r="L2732" s="42">
        <v>6</v>
      </c>
      <c r="M2732" s="43"/>
      <c r="N2732" s="1" t="e">
        <f>VLOOKUP(B2732,MICRO!E:L,8,0)</f>
        <v>#N/A</v>
      </c>
    </row>
    <row r="2733" spans="1:14" ht="20.25" x14ac:dyDescent="0.25">
      <c r="A2733" s="1">
        <v>4</v>
      </c>
      <c r="B2733" s="159">
        <v>2064</v>
      </c>
      <c r="C2733" s="1" t="s">
        <v>657</v>
      </c>
      <c r="D2733" s="1"/>
      <c r="E2733" s="1" t="s">
        <v>2</v>
      </c>
      <c r="F2733" s="1" t="s">
        <v>658</v>
      </c>
      <c r="G2733" s="1">
        <v>3</v>
      </c>
      <c r="H2733" s="1" t="s">
        <v>19</v>
      </c>
      <c r="I2733" s="1" t="s">
        <v>572</v>
      </c>
      <c r="J2733" s="1">
        <v>10</v>
      </c>
      <c r="K2733" s="1">
        <v>30</v>
      </c>
      <c r="L2733" s="42">
        <v>6</v>
      </c>
      <c r="M2733" s="43"/>
      <c r="N2733" s="1" t="e">
        <f>VLOOKUP(B2733,MICRO!E:L,8,0)</f>
        <v>#N/A</v>
      </c>
    </row>
    <row r="2734" spans="1:14" ht="20.25" x14ac:dyDescent="0.25">
      <c r="A2734" s="1">
        <v>5</v>
      </c>
      <c r="B2734" s="159"/>
      <c r="C2734" s="1" t="s">
        <v>1644</v>
      </c>
      <c r="D2734" s="1"/>
      <c r="E2734" s="1"/>
      <c r="F2734" s="1" t="s">
        <v>1645</v>
      </c>
      <c r="G2734" s="1">
        <v>30</v>
      </c>
      <c r="H2734" s="1" t="s">
        <v>19</v>
      </c>
      <c r="I2734" s="1" t="s">
        <v>1646</v>
      </c>
      <c r="J2734" s="1">
        <v>0.03</v>
      </c>
      <c r="K2734" s="1">
        <v>0.89999999999999991</v>
      </c>
      <c r="L2734" s="42">
        <v>6</v>
      </c>
      <c r="M2734" s="43"/>
      <c r="N2734" s="1" t="e">
        <f>VLOOKUP(B2734,MICRO!E:L,8,0)</f>
        <v>#N/A</v>
      </c>
    </row>
    <row r="2735" spans="1:14" ht="20.25" x14ac:dyDescent="0.25">
      <c r="A2735" s="1">
        <v>6</v>
      </c>
      <c r="B2735" s="159"/>
      <c r="C2735" s="1" t="s">
        <v>1647</v>
      </c>
      <c r="D2735" s="1"/>
      <c r="E2735" s="1"/>
      <c r="F2735" s="1" t="s">
        <v>1648</v>
      </c>
      <c r="G2735" s="1">
        <v>15</v>
      </c>
      <c r="H2735" s="1" t="s">
        <v>19</v>
      </c>
      <c r="I2735" s="1" t="s">
        <v>1649</v>
      </c>
      <c r="J2735" s="1">
        <v>0.03</v>
      </c>
      <c r="K2735" s="1">
        <v>0.44999999999999996</v>
      </c>
      <c r="L2735" s="42">
        <v>6</v>
      </c>
      <c r="M2735" s="43"/>
      <c r="N2735" s="1" t="e">
        <f>VLOOKUP(B2735,MICRO!E:L,8,0)</f>
        <v>#N/A</v>
      </c>
    </row>
    <row r="2736" spans="1:14" ht="20.25" x14ac:dyDescent="0.25">
      <c r="A2736" s="1">
        <v>7</v>
      </c>
      <c r="B2736" s="159"/>
      <c r="C2736" s="1" t="s">
        <v>1647</v>
      </c>
      <c r="D2736" s="1"/>
      <c r="E2736" s="1"/>
      <c r="F2736" s="1" t="s">
        <v>1650</v>
      </c>
      <c r="G2736" s="1">
        <v>15</v>
      </c>
      <c r="H2736" s="1" t="s">
        <v>19</v>
      </c>
      <c r="I2736" s="1" t="s">
        <v>1646</v>
      </c>
      <c r="J2736" s="1">
        <v>0.04</v>
      </c>
      <c r="K2736" s="1">
        <v>0.6</v>
      </c>
      <c r="L2736" s="42">
        <v>6</v>
      </c>
      <c r="M2736" s="43"/>
      <c r="N2736" s="1" t="e">
        <f>VLOOKUP(B2736,MICRO!E:L,8,0)</f>
        <v>#N/A</v>
      </c>
    </row>
    <row r="2737" spans="1:14" ht="20.25" x14ac:dyDescent="0.25">
      <c r="A2737" s="1">
        <v>8</v>
      </c>
      <c r="B2737" s="159"/>
      <c r="C2737" s="1" t="s">
        <v>1644</v>
      </c>
      <c r="D2737" s="1"/>
      <c r="E2737" s="1"/>
      <c r="F2737" s="1" t="s">
        <v>1651</v>
      </c>
      <c r="G2737" s="1">
        <v>30</v>
      </c>
      <c r="H2737" s="1" t="s">
        <v>19</v>
      </c>
      <c r="I2737" s="1" t="s">
        <v>1646</v>
      </c>
      <c r="J2737" s="1">
        <v>0.05</v>
      </c>
      <c r="K2737" s="1">
        <v>1.5</v>
      </c>
      <c r="L2737" s="42">
        <v>6</v>
      </c>
      <c r="M2737" s="43"/>
      <c r="N2737" s="1" t="e">
        <f>VLOOKUP(B2737,MICRO!E:L,8,0)</f>
        <v>#N/A</v>
      </c>
    </row>
    <row r="2738" spans="1:14" ht="20.25" x14ac:dyDescent="0.25">
      <c r="A2738" s="1">
        <v>9</v>
      </c>
      <c r="B2738" s="159"/>
      <c r="C2738" s="1" t="s">
        <v>1644</v>
      </c>
      <c r="D2738" s="1"/>
      <c r="E2738" s="1"/>
      <c r="F2738" s="1" t="s">
        <v>1652</v>
      </c>
      <c r="G2738" s="1">
        <v>10</v>
      </c>
      <c r="H2738" s="1" t="s">
        <v>19</v>
      </c>
      <c r="I2738" s="1" t="s">
        <v>1649</v>
      </c>
      <c r="J2738" s="1">
        <v>0.05</v>
      </c>
      <c r="K2738" s="1">
        <v>0.5</v>
      </c>
      <c r="L2738" s="42">
        <v>6</v>
      </c>
      <c r="M2738" s="43"/>
      <c r="N2738" s="1" t="e">
        <f>VLOOKUP(B2738,MICRO!E:L,8,0)</f>
        <v>#N/A</v>
      </c>
    </row>
    <row r="2739" spans="1:14" ht="20.25" x14ac:dyDescent="0.25">
      <c r="A2739" s="1">
        <v>10</v>
      </c>
      <c r="B2739" s="159"/>
      <c r="C2739" s="1" t="s">
        <v>1647</v>
      </c>
      <c r="D2739" s="1"/>
      <c r="E2739" s="1"/>
      <c r="F2739" s="1" t="s">
        <v>1653</v>
      </c>
      <c r="G2739" s="1">
        <v>15</v>
      </c>
      <c r="H2739" s="1" t="s">
        <v>19</v>
      </c>
      <c r="I2739" s="1" t="s">
        <v>1649</v>
      </c>
      <c r="J2739" s="1">
        <v>0.04</v>
      </c>
      <c r="K2739" s="1">
        <v>0.6</v>
      </c>
      <c r="L2739" s="42">
        <v>6</v>
      </c>
      <c r="M2739" s="43"/>
      <c r="N2739" s="1" t="e">
        <f>VLOOKUP(B2739,MICRO!E:L,8,0)</f>
        <v>#N/A</v>
      </c>
    </row>
    <row r="2740" spans="1:14" ht="20.25" x14ac:dyDescent="0.25">
      <c r="A2740" s="1">
        <v>11</v>
      </c>
      <c r="B2740" s="159"/>
      <c r="C2740" s="1" t="s">
        <v>1654</v>
      </c>
      <c r="D2740" s="1"/>
      <c r="E2740" s="1"/>
      <c r="F2740" s="1" t="s">
        <v>1655</v>
      </c>
      <c r="G2740" s="1">
        <v>30</v>
      </c>
      <c r="H2740" s="1" t="s">
        <v>19</v>
      </c>
      <c r="I2740" s="1" t="s">
        <v>1656</v>
      </c>
      <c r="J2740" s="1">
        <v>0.04</v>
      </c>
      <c r="K2740" s="1">
        <v>1.2</v>
      </c>
      <c r="L2740" s="42">
        <v>6</v>
      </c>
      <c r="M2740" s="43"/>
      <c r="N2740" s="1" t="e">
        <f>VLOOKUP(B2740,MICRO!E:L,8,0)</f>
        <v>#N/A</v>
      </c>
    </row>
    <row r="2741" spans="1:14" ht="20.25" x14ac:dyDescent="0.25">
      <c r="A2741" s="1">
        <v>12</v>
      </c>
      <c r="B2741" s="159"/>
      <c r="C2741" s="1" t="s">
        <v>673</v>
      </c>
      <c r="D2741" s="1"/>
      <c r="E2741" s="1"/>
      <c r="F2741" s="1" t="s">
        <v>1657</v>
      </c>
      <c r="G2741" s="1">
        <v>10</v>
      </c>
      <c r="H2741" s="1" t="s">
        <v>19</v>
      </c>
      <c r="I2741" s="1" t="s">
        <v>1646</v>
      </c>
      <c r="J2741" s="1">
        <v>0.04</v>
      </c>
      <c r="K2741" s="1">
        <v>0.4</v>
      </c>
      <c r="L2741" s="42">
        <v>6</v>
      </c>
      <c r="M2741" s="43"/>
      <c r="N2741" s="1" t="e">
        <f>VLOOKUP(B2741,MICRO!E:L,8,0)</f>
        <v>#N/A</v>
      </c>
    </row>
    <row r="2742" spans="1:14" ht="20.25" x14ac:dyDescent="0.25">
      <c r="A2742" s="1">
        <v>13</v>
      </c>
      <c r="B2742" s="159"/>
      <c r="C2742" s="1" t="s">
        <v>673</v>
      </c>
      <c r="D2742" s="1"/>
      <c r="E2742" s="1"/>
      <c r="F2742" s="1" t="s">
        <v>1658</v>
      </c>
      <c r="G2742" s="1">
        <v>6</v>
      </c>
      <c r="H2742" s="1" t="s">
        <v>19</v>
      </c>
      <c r="I2742" s="1" t="s">
        <v>1649</v>
      </c>
      <c r="J2742" s="1">
        <v>0.04</v>
      </c>
      <c r="K2742" s="1">
        <v>0.24</v>
      </c>
      <c r="L2742" s="42">
        <v>6</v>
      </c>
      <c r="M2742" s="43"/>
      <c r="N2742" s="1" t="e">
        <f>VLOOKUP(B2742,MICRO!E:L,8,0)</f>
        <v>#N/A</v>
      </c>
    </row>
    <row r="2743" spans="1:14" ht="20.25" x14ac:dyDescent="0.25">
      <c r="A2743" s="1">
        <v>14</v>
      </c>
      <c r="B2743" s="159"/>
      <c r="C2743" s="1" t="s">
        <v>1659</v>
      </c>
      <c r="D2743" s="1"/>
      <c r="E2743" s="1"/>
      <c r="F2743" s="1" t="s">
        <v>1660</v>
      </c>
      <c r="G2743" s="1">
        <v>8</v>
      </c>
      <c r="H2743" s="1" t="s">
        <v>19</v>
      </c>
      <c r="I2743" s="1" t="s">
        <v>1646</v>
      </c>
      <c r="J2743" s="1">
        <v>0.05</v>
      </c>
      <c r="K2743" s="1">
        <v>0.4</v>
      </c>
      <c r="L2743" s="42">
        <v>6</v>
      </c>
      <c r="M2743" s="43"/>
      <c r="N2743" s="1" t="e">
        <f>VLOOKUP(B2743,MICRO!E:L,8,0)</f>
        <v>#N/A</v>
      </c>
    </row>
    <row r="2744" spans="1:14" ht="20.25" x14ac:dyDescent="0.25">
      <c r="A2744" s="1">
        <v>15</v>
      </c>
      <c r="B2744" s="159"/>
      <c r="C2744" s="1" t="s">
        <v>1661</v>
      </c>
      <c r="D2744" s="1"/>
      <c r="E2744" s="1"/>
      <c r="F2744" s="1" t="s">
        <v>1662</v>
      </c>
      <c r="G2744" s="1">
        <v>8</v>
      </c>
      <c r="H2744" s="1" t="s">
        <v>19</v>
      </c>
      <c r="I2744" s="1" t="s">
        <v>1646</v>
      </c>
      <c r="J2744" s="1">
        <v>0.03</v>
      </c>
      <c r="K2744" s="1">
        <v>0.24</v>
      </c>
      <c r="L2744" s="42">
        <v>6</v>
      </c>
      <c r="M2744" s="43"/>
      <c r="N2744" s="1" t="e">
        <f>VLOOKUP(B2744,MICRO!E:L,8,0)</f>
        <v>#N/A</v>
      </c>
    </row>
    <row r="2745" spans="1:14" ht="20.25" x14ac:dyDescent="0.25">
      <c r="A2745" s="1">
        <v>16</v>
      </c>
      <c r="B2745" s="159">
        <v>2229</v>
      </c>
      <c r="C2745" s="1" t="s">
        <v>804</v>
      </c>
      <c r="D2745" s="1"/>
      <c r="E2745" s="1" t="s">
        <v>2</v>
      </c>
      <c r="F2745" s="1" t="s">
        <v>805</v>
      </c>
      <c r="G2745" s="1">
        <v>1</v>
      </c>
      <c r="H2745" s="1" t="s">
        <v>19</v>
      </c>
      <c r="I2745" s="1" t="s">
        <v>569</v>
      </c>
      <c r="J2745" s="1">
        <v>15.1</v>
      </c>
      <c r="K2745" s="1">
        <v>15.1</v>
      </c>
      <c r="L2745" s="42">
        <v>6</v>
      </c>
      <c r="M2745" s="43"/>
      <c r="N2745" s="1" t="e">
        <f>VLOOKUP(B2745,MICRO!E:L,8,0)</f>
        <v>#N/A</v>
      </c>
    </row>
    <row r="2746" spans="1:14" ht="20.25" x14ac:dyDescent="0.25">
      <c r="A2746" s="1">
        <v>17</v>
      </c>
      <c r="B2746" s="159">
        <v>2230</v>
      </c>
      <c r="C2746" s="1" t="s">
        <v>804</v>
      </c>
      <c r="D2746" s="1"/>
      <c r="E2746" s="1" t="s">
        <v>43</v>
      </c>
      <c r="F2746" s="1" t="s">
        <v>806</v>
      </c>
      <c r="G2746" s="1">
        <v>1</v>
      </c>
      <c r="H2746" s="1" t="s">
        <v>19</v>
      </c>
      <c r="I2746" s="1" t="s">
        <v>569</v>
      </c>
      <c r="J2746" s="1">
        <v>3.2</v>
      </c>
      <c r="K2746" s="1">
        <v>3.2</v>
      </c>
      <c r="L2746" s="42">
        <v>6</v>
      </c>
      <c r="M2746" s="43"/>
      <c r="N2746" s="1" t="e">
        <f>VLOOKUP(B2746,MICRO!E:L,8,0)</f>
        <v>#N/A</v>
      </c>
    </row>
    <row r="2747" spans="1:14" ht="20.25" x14ac:dyDescent="0.25">
      <c r="A2747" s="1">
        <v>18</v>
      </c>
      <c r="B2747" s="159">
        <v>2231</v>
      </c>
      <c r="C2747" s="1" t="s">
        <v>804</v>
      </c>
      <c r="D2747" s="1"/>
      <c r="E2747" s="1" t="s">
        <v>746</v>
      </c>
      <c r="F2747" s="1" t="s">
        <v>807</v>
      </c>
      <c r="G2747" s="1">
        <v>1</v>
      </c>
      <c r="H2747" s="1" t="s">
        <v>19</v>
      </c>
      <c r="I2747" s="1" t="s">
        <v>569</v>
      </c>
      <c r="J2747" s="1">
        <v>0.5</v>
      </c>
      <c r="K2747" s="1">
        <v>0.5</v>
      </c>
      <c r="L2747" s="42">
        <v>6</v>
      </c>
      <c r="M2747" s="43"/>
      <c r="N2747" s="1" t="e">
        <f>VLOOKUP(B2747,MICRO!E:L,8,0)</f>
        <v>#N/A</v>
      </c>
    </row>
    <row r="2748" spans="1:14" ht="20.25" x14ac:dyDescent="0.25">
      <c r="A2748" s="1">
        <v>19</v>
      </c>
      <c r="B2748" s="159">
        <v>2232</v>
      </c>
      <c r="C2748" s="1" t="s">
        <v>804</v>
      </c>
      <c r="D2748" s="1"/>
      <c r="E2748" s="1" t="s">
        <v>2</v>
      </c>
      <c r="F2748" s="1" t="s">
        <v>805</v>
      </c>
      <c r="G2748" s="1">
        <v>1</v>
      </c>
      <c r="H2748" s="1" t="s">
        <v>19</v>
      </c>
      <c r="I2748" s="1" t="s">
        <v>570</v>
      </c>
      <c r="J2748" s="1">
        <v>15.1</v>
      </c>
      <c r="K2748" s="1">
        <v>15.1</v>
      </c>
      <c r="L2748" s="42">
        <v>6</v>
      </c>
      <c r="M2748" s="43"/>
      <c r="N2748" s="1" t="e">
        <f>VLOOKUP(B2748,MICRO!E:L,8,0)</f>
        <v>#N/A</v>
      </c>
    </row>
    <row r="2749" spans="1:14" ht="20.25" x14ac:dyDescent="0.25">
      <c r="A2749" s="1">
        <v>20</v>
      </c>
      <c r="B2749" s="159">
        <v>2233</v>
      </c>
      <c r="C2749" s="1" t="s">
        <v>804</v>
      </c>
      <c r="D2749" s="1"/>
      <c r="E2749" s="1" t="s">
        <v>43</v>
      </c>
      <c r="F2749" s="1" t="s">
        <v>806</v>
      </c>
      <c r="G2749" s="1">
        <v>1</v>
      </c>
      <c r="H2749" s="1" t="s">
        <v>19</v>
      </c>
      <c r="I2749" s="1" t="s">
        <v>570</v>
      </c>
      <c r="J2749" s="1">
        <v>3.2</v>
      </c>
      <c r="K2749" s="1">
        <v>3.2</v>
      </c>
      <c r="L2749" s="42">
        <v>6</v>
      </c>
      <c r="M2749" s="43"/>
      <c r="N2749" s="1" t="e">
        <f>VLOOKUP(B2749,MICRO!E:L,8,0)</f>
        <v>#N/A</v>
      </c>
    </row>
    <row r="2750" spans="1:14" ht="20.25" x14ac:dyDescent="0.25">
      <c r="A2750" s="1">
        <v>21</v>
      </c>
      <c r="B2750" s="159">
        <v>2234</v>
      </c>
      <c r="C2750" s="1" t="s">
        <v>804</v>
      </c>
      <c r="D2750" s="1"/>
      <c r="E2750" s="1" t="s">
        <v>746</v>
      </c>
      <c r="F2750" s="1" t="s">
        <v>807</v>
      </c>
      <c r="G2750" s="1">
        <v>1</v>
      </c>
      <c r="H2750" s="1" t="s">
        <v>19</v>
      </c>
      <c r="I2750" s="1" t="s">
        <v>570</v>
      </c>
      <c r="J2750" s="1">
        <v>0.5</v>
      </c>
      <c r="K2750" s="1">
        <v>0.5</v>
      </c>
      <c r="L2750" s="42">
        <v>6</v>
      </c>
      <c r="M2750" s="43"/>
      <c r="N2750" s="1" t="e">
        <f>VLOOKUP(B2750,MICRO!E:L,8,0)</f>
        <v>#N/A</v>
      </c>
    </row>
    <row r="2751" spans="1:14" ht="20.25" x14ac:dyDescent="0.25">
      <c r="A2751" s="1">
        <v>22</v>
      </c>
      <c r="B2751" s="159">
        <v>2235</v>
      </c>
      <c r="C2751" s="1" t="s">
        <v>804</v>
      </c>
      <c r="D2751" s="1"/>
      <c r="E2751" s="1" t="s">
        <v>2</v>
      </c>
      <c r="F2751" s="1" t="s">
        <v>805</v>
      </c>
      <c r="G2751" s="1">
        <v>1</v>
      </c>
      <c r="H2751" s="1" t="s">
        <v>19</v>
      </c>
      <c r="I2751" s="1" t="s">
        <v>571</v>
      </c>
      <c r="J2751" s="1">
        <v>15.1</v>
      </c>
      <c r="K2751" s="1">
        <v>15.1</v>
      </c>
      <c r="L2751" s="42">
        <v>6</v>
      </c>
      <c r="M2751" s="43"/>
      <c r="N2751" s="1" t="e">
        <f>VLOOKUP(B2751,MICRO!E:L,8,0)</f>
        <v>#N/A</v>
      </c>
    </row>
    <row r="2752" spans="1:14" ht="20.25" x14ac:dyDescent="0.25">
      <c r="A2752" s="1">
        <v>23</v>
      </c>
      <c r="B2752" s="159">
        <v>2236</v>
      </c>
      <c r="C2752" s="1" t="s">
        <v>804</v>
      </c>
      <c r="D2752" s="1"/>
      <c r="E2752" s="1" t="s">
        <v>43</v>
      </c>
      <c r="F2752" s="1" t="s">
        <v>806</v>
      </c>
      <c r="G2752" s="1">
        <v>1</v>
      </c>
      <c r="H2752" s="1" t="s">
        <v>19</v>
      </c>
      <c r="I2752" s="1" t="s">
        <v>571</v>
      </c>
      <c r="J2752" s="1">
        <v>3.2</v>
      </c>
      <c r="K2752" s="1">
        <v>3.2</v>
      </c>
      <c r="L2752" s="42">
        <v>6</v>
      </c>
      <c r="M2752" s="43"/>
      <c r="N2752" s="1" t="e">
        <f>VLOOKUP(B2752,MICRO!E:L,8,0)</f>
        <v>#N/A</v>
      </c>
    </row>
    <row r="2753" spans="1:14" ht="20.25" x14ac:dyDescent="0.25">
      <c r="A2753" s="1">
        <v>24</v>
      </c>
      <c r="B2753" s="159">
        <v>2237</v>
      </c>
      <c r="C2753" s="1" t="s">
        <v>804</v>
      </c>
      <c r="D2753" s="1"/>
      <c r="E2753" s="1" t="s">
        <v>746</v>
      </c>
      <c r="F2753" s="1" t="s">
        <v>807</v>
      </c>
      <c r="G2753" s="1">
        <v>1</v>
      </c>
      <c r="H2753" s="1" t="s">
        <v>19</v>
      </c>
      <c r="I2753" s="1" t="s">
        <v>571</v>
      </c>
      <c r="J2753" s="1">
        <v>0.5</v>
      </c>
      <c r="K2753" s="1">
        <v>0.5</v>
      </c>
      <c r="L2753" s="42">
        <v>6</v>
      </c>
      <c r="M2753" s="43"/>
      <c r="N2753" s="1" t="e">
        <f>VLOOKUP(B2753,MICRO!E:L,8,0)</f>
        <v>#N/A</v>
      </c>
    </row>
    <row r="2754" spans="1:14" ht="20.25" x14ac:dyDescent="0.25">
      <c r="A2754" s="1">
        <v>25</v>
      </c>
      <c r="B2754" s="159">
        <v>2238</v>
      </c>
      <c r="C2754" s="1" t="s">
        <v>804</v>
      </c>
      <c r="D2754" s="1"/>
      <c r="E2754" s="1" t="s">
        <v>2</v>
      </c>
      <c r="F2754" s="1" t="s">
        <v>805</v>
      </c>
      <c r="G2754" s="1">
        <v>1</v>
      </c>
      <c r="H2754" s="1" t="s">
        <v>19</v>
      </c>
      <c r="I2754" s="1" t="s">
        <v>572</v>
      </c>
      <c r="J2754" s="1">
        <v>15.1</v>
      </c>
      <c r="K2754" s="1">
        <v>15.1</v>
      </c>
      <c r="L2754" s="42">
        <v>6</v>
      </c>
      <c r="M2754" s="43"/>
      <c r="N2754" s="1" t="e">
        <f>VLOOKUP(B2754,MICRO!E:L,8,0)</f>
        <v>#N/A</v>
      </c>
    </row>
    <row r="2755" spans="1:14" ht="20.25" x14ac:dyDescent="0.25">
      <c r="A2755" s="1">
        <v>26</v>
      </c>
      <c r="B2755" s="159">
        <v>2239</v>
      </c>
      <c r="C2755" s="1" t="s">
        <v>804</v>
      </c>
      <c r="D2755" s="1"/>
      <c r="E2755" s="1" t="s">
        <v>43</v>
      </c>
      <c r="F2755" s="1" t="s">
        <v>806</v>
      </c>
      <c r="G2755" s="1">
        <v>1</v>
      </c>
      <c r="H2755" s="1" t="s">
        <v>19</v>
      </c>
      <c r="I2755" s="1" t="s">
        <v>572</v>
      </c>
      <c r="J2755" s="1">
        <v>3.2</v>
      </c>
      <c r="K2755" s="1">
        <v>3.2</v>
      </c>
      <c r="L2755" s="42">
        <v>6</v>
      </c>
      <c r="M2755" s="43"/>
      <c r="N2755" s="1" t="e">
        <f>VLOOKUP(B2755,MICRO!E:L,8,0)</f>
        <v>#N/A</v>
      </c>
    </row>
    <row r="2756" spans="1:14" ht="20.25" x14ac:dyDescent="0.25">
      <c r="A2756" s="1">
        <v>27</v>
      </c>
      <c r="B2756" s="159">
        <v>2240</v>
      </c>
      <c r="C2756" s="1" t="s">
        <v>804</v>
      </c>
      <c r="D2756" s="1"/>
      <c r="E2756" s="1" t="s">
        <v>746</v>
      </c>
      <c r="F2756" s="1" t="s">
        <v>807</v>
      </c>
      <c r="G2756" s="1">
        <v>1</v>
      </c>
      <c r="H2756" s="1" t="s">
        <v>19</v>
      </c>
      <c r="I2756" s="1" t="s">
        <v>572</v>
      </c>
      <c r="J2756" s="1">
        <v>0.5</v>
      </c>
      <c r="K2756" s="1">
        <v>0.5</v>
      </c>
      <c r="L2756" s="42">
        <v>6</v>
      </c>
      <c r="M2756" s="43"/>
      <c r="N2756" s="1" t="e">
        <f>VLOOKUP(B2756,MICRO!E:L,8,0)</f>
        <v>#N/A</v>
      </c>
    </row>
    <row r="2757" spans="1:14" ht="20.25" x14ac:dyDescent="0.25">
      <c r="A2757" s="1">
        <v>28</v>
      </c>
      <c r="B2757" s="159"/>
      <c r="C2757" s="1" t="s">
        <v>817</v>
      </c>
      <c r="D2757" s="1"/>
      <c r="E2757" s="1"/>
      <c r="F2757" s="1" t="s">
        <v>1663</v>
      </c>
      <c r="G2757" s="1">
        <v>2600</v>
      </c>
      <c r="H2757" s="1" t="s">
        <v>19</v>
      </c>
      <c r="I2757" s="1" t="s">
        <v>1345</v>
      </c>
      <c r="J2757" s="1">
        <v>0.03</v>
      </c>
      <c r="K2757" s="1">
        <v>78</v>
      </c>
      <c r="L2757" s="42">
        <v>6</v>
      </c>
      <c r="M2757" s="43"/>
      <c r="N2757" s="1" t="e">
        <f>VLOOKUP(B2757,MICRO!E:L,8,0)</f>
        <v>#N/A</v>
      </c>
    </row>
    <row r="2758" spans="1:14" ht="20.25" x14ac:dyDescent="0.25">
      <c r="A2758" s="1">
        <v>29</v>
      </c>
      <c r="B2758" s="159"/>
      <c r="C2758" s="1" t="s">
        <v>817</v>
      </c>
      <c r="D2758" s="1"/>
      <c r="E2758" s="1"/>
      <c r="F2758" s="1" t="s">
        <v>1664</v>
      </c>
      <c r="G2758" s="1">
        <v>2600</v>
      </c>
      <c r="H2758" s="1" t="s">
        <v>19</v>
      </c>
      <c r="I2758" s="1" t="s">
        <v>1345</v>
      </c>
      <c r="J2758" s="1">
        <v>0.05</v>
      </c>
      <c r="K2758" s="1">
        <v>130</v>
      </c>
      <c r="L2758" s="42">
        <v>6</v>
      </c>
      <c r="M2758" s="43"/>
      <c r="N2758" s="1" t="e">
        <f>VLOOKUP(B2758,MICRO!E:L,8,0)</f>
        <v>#N/A</v>
      </c>
    </row>
    <row r="2759" spans="1:14" ht="20.25" x14ac:dyDescent="0.25">
      <c r="A2759" s="1">
        <v>30</v>
      </c>
      <c r="B2759" s="159"/>
      <c r="C2759" s="1" t="s">
        <v>817</v>
      </c>
      <c r="D2759" s="1"/>
      <c r="E2759" s="1"/>
      <c r="F2759" s="1" t="s">
        <v>1665</v>
      </c>
      <c r="G2759" s="1">
        <v>2600</v>
      </c>
      <c r="H2759" s="1" t="s">
        <v>19</v>
      </c>
      <c r="I2759" s="1" t="s">
        <v>1345</v>
      </c>
      <c r="J2759" s="1">
        <v>0.03</v>
      </c>
      <c r="K2759" s="1">
        <v>78</v>
      </c>
      <c r="L2759" s="42">
        <v>6</v>
      </c>
      <c r="M2759" s="43"/>
      <c r="N2759" s="1" t="e">
        <f>VLOOKUP(B2759,MICRO!E:L,8,0)</f>
        <v>#N/A</v>
      </c>
    </row>
    <row r="2760" spans="1:14" ht="20.25" x14ac:dyDescent="0.25">
      <c r="A2760" s="1">
        <v>31</v>
      </c>
      <c r="B2760" s="159"/>
      <c r="C2760" s="1" t="s">
        <v>1666</v>
      </c>
      <c r="D2760" s="1"/>
      <c r="E2760" s="1"/>
      <c r="F2760" s="1" t="s">
        <v>1667</v>
      </c>
      <c r="G2760" s="1">
        <v>136</v>
      </c>
      <c r="H2760" s="1" t="s">
        <v>19</v>
      </c>
      <c r="I2760" s="1" t="s">
        <v>1668</v>
      </c>
      <c r="J2760" s="1">
        <v>0.03</v>
      </c>
      <c r="K2760" s="1">
        <v>4.08</v>
      </c>
      <c r="L2760" s="42">
        <v>6</v>
      </c>
      <c r="M2760" s="43"/>
      <c r="N2760" s="1" t="e">
        <f>VLOOKUP(B2760,MICRO!E:L,8,0)</f>
        <v>#N/A</v>
      </c>
    </row>
    <row r="2761" spans="1:14" ht="20.25" x14ac:dyDescent="0.25">
      <c r="A2761" s="1">
        <v>32</v>
      </c>
      <c r="B2761" s="159"/>
      <c r="C2761" s="1" t="s">
        <v>673</v>
      </c>
      <c r="D2761" s="1"/>
      <c r="E2761" s="1"/>
      <c r="F2761" s="1" t="s">
        <v>1669</v>
      </c>
      <c r="G2761" s="1">
        <v>12</v>
      </c>
      <c r="H2761" s="1" t="s">
        <v>19</v>
      </c>
      <c r="I2761" s="1" t="s">
        <v>1670</v>
      </c>
      <c r="J2761" s="1">
        <v>0.03</v>
      </c>
      <c r="K2761" s="1">
        <v>0.36</v>
      </c>
      <c r="L2761" s="42">
        <v>6</v>
      </c>
      <c r="M2761" s="43"/>
      <c r="N2761" s="1" t="e">
        <f>VLOOKUP(B2761,MICRO!E:L,8,0)</f>
        <v>#N/A</v>
      </c>
    </row>
    <row r="2762" spans="1:14" ht="20.25" x14ac:dyDescent="0.25">
      <c r="A2762" s="1">
        <v>33</v>
      </c>
      <c r="B2762" s="159"/>
      <c r="C2762" s="1" t="s">
        <v>1666</v>
      </c>
      <c r="D2762" s="1"/>
      <c r="E2762" s="1"/>
      <c r="F2762" s="1" t="s">
        <v>1671</v>
      </c>
      <c r="G2762" s="1">
        <v>136</v>
      </c>
      <c r="H2762" s="1" t="s">
        <v>19</v>
      </c>
      <c r="I2762" s="1" t="s">
        <v>1668</v>
      </c>
      <c r="J2762" s="1">
        <v>0.05</v>
      </c>
      <c r="K2762" s="1">
        <v>6.8000000000000007</v>
      </c>
      <c r="L2762" s="42">
        <v>6</v>
      </c>
      <c r="M2762" s="43"/>
      <c r="N2762" s="1" t="e">
        <f>VLOOKUP(B2762,MICRO!E:L,8,0)</f>
        <v>#N/A</v>
      </c>
    </row>
    <row r="2763" spans="1:14" ht="20.25" x14ac:dyDescent="0.25">
      <c r="A2763" s="1">
        <v>34</v>
      </c>
      <c r="B2763" s="159"/>
      <c r="C2763" s="1" t="s">
        <v>673</v>
      </c>
      <c r="D2763" s="1"/>
      <c r="E2763" s="1"/>
      <c r="F2763" s="1" t="s">
        <v>1672</v>
      </c>
      <c r="G2763" s="1">
        <v>12</v>
      </c>
      <c r="H2763" s="1" t="s">
        <v>19</v>
      </c>
      <c r="I2763" s="1" t="s">
        <v>1670</v>
      </c>
      <c r="J2763" s="1">
        <v>0.05</v>
      </c>
      <c r="K2763" s="1">
        <v>0.60000000000000009</v>
      </c>
      <c r="L2763" s="42">
        <v>6</v>
      </c>
      <c r="M2763" s="43"/>
      <c r="N2763" s="1" t="e">
        <f>VLOOKUP(B2763,MICRO!E:L,8,0)</f>
        <v>#N/A</v>
      </c>
    </row>
    <row r="2764" spans="1:14" ht="20.25" x14ac:dyDescent="0.25">
      <c r="A2764" s="1">
        <v>35</v>
      </c>
      <c r="B2764" s="159"/>
      <c r="C2764" s="1" t="s">
        <v>673</v>
      </c>
      <c r="D2764" s="1"/>
      <c r="E2764" s="1"/>
      <c r="F2764" s="1" t="s">
        <v>1673</v>
      </c>
      <c r="G2764" s="1">
        <v>8</v>
      </c>
      <c r="H2764" s="1" t="s">
        <v>19</v>
      </c>
      <c r="I2764" s="1" t="s">
        <v>1670</v>
      </c>
      <c r="J2764" s="1">
        <v>0.05</v>
      </c>
      <c r="K2764" s="1">
        <v>0.4</v>
      </c>
      <c r="L2764" s="42">
        <v>6</v>
      </c>
      <c r="M2764" s="43"/>
      <c r="N2764" s="1" t="e">
        <f>VLOOKUP(B2764,MICRO!E:L,8,0)</f>
        <v>#N/A</v>
      </c>
    </row>
    <row r="2765" spans="1:14" ht="20.25" x14ac:dyDescent="0.25">
      <c r="A2765" s="1">
        <v>36</v>
      </c>
      <c r="B2765" s="159"/>
      <c r="C2765" s="1" t="s">
        <v>1666</v>
      </c>
      <c r="D2765" s="1"/>
      <c r="E2765" s="1"/>
      <c r="F2765" s="1" t="s">
        <v>1674</v>
      </c>
      <c r="G2765" s="1">
        <v>136</v>
      </c>
      <c r="H2765" s="1" t="s">
        <v>19</v>
      </c>
      <c r="I2765" s="1" t="s">
        <v>1668</v>
      </c>
      <c r="J2765" s="1">
        <v>0.03</v>
      </c>
      <c r="K2765" s="1">
        <v>4.08</v>
      </c>
      <c r="L2765" s="42">
        <v>6</v>
      </c>
      <c r="M2765" s="43"/>
      <c r="N2765" s="1" t="e">
        <f>VLOOKUP(B2765,MICRO!E:L,8,0)</f>
        <v>#N/A</v>
      </c>
    </row>
    <row r="2766" spans="1:14" ht="20.25" x14ac:dyDescent="0.25">
      <c r="A2766" s="1">
        <v>37</v>
      </c>
      <c r="B2766" s="159"/>
      <c r="C2766" s="1" t="s">
        <v>1675</v>
      </c>
      <c r="D2766" s="1"/>
      <c r="E2766" s="1"/>
      <c r="F2766" s="1" t="s">
        <v>1676</v>
      </c>
      <c r="G2766" s="1">
        <v>8</v>
      </c>
      <c r="H2766" s="1" t="s">
        <v>19</v>
      </c>
      <c r="I2766" s="1" t="s">
        <v>1670</v>
      </c>
      <c r="J2766" s="1">
        <v>0.03</v>
      </c>
      <c r="K2766" s="1">
        <v>0.24</v>
      </c>
      <c r="L2766" s="42">
        <v>6</v>
      </c>
      <c r="M2766" s="43"/>
      <c r="N2766" s="1" t="e">
        <f>VLOOKUP(B2766,MICRO!E:L,8,0)</f>
        <v>#N/A</v>
      </c>
    </row>
    <row r="2767" spans="1:14" ht="20.25" x14ac:dyDescent="0.25">
      <c r="A2767" s="1">
        <v>38</v>
      </c>
      <c r="B2767" s="159"/>
      <c r="C2767" s="1" t="s">
        <v>673</v>
      </c>
      <c r="D2767" s="1"/>
      <c r="E2767" s="1"/>
      <c r="F2767" s="1" t="s">
        <v>1677</v>
      </c>
      <c r="G2767" s="1">
        <v>12</v>
      </c>
      <c r="H2767" s="1" t="s">
        <v>19</v>
      </c>
      <c r="I2767" s="1" t="s">
        <v>1670</v>
      </c>
      <c r="J2767" s="1">
        <v>0.03</v>
      </c>
      <c r="K2767" s="1">
        <v>0.36</v>
      </c>
      <c r="L2767" s="42">
        <v>6</v>
      </c>
      <c r="M2767" s="43"/>
      <c r="N2767" s="1" t="e">
        <f>VLOOKUP(B2767,MICRO!E:L,8,0)</f>
        <v>#N/A</v>
      </c>
    </row>
    <row r="2768" spans="1:14" ht="20.25" x14ac:dyDescent="0.25">
      <c r="A2768" s="1">
        <v>39</v>
      </c>
      <c r="B2768" s="159"/>
      <c r="C2768" s="1" t="s">
        <v>673</v>
      </c>
      <c r="D2768" s="1"/>
      <c r="E2768" s="1"/>
      <c r="F2768" s="1" t="s">
        <v>1678</v>
      </c>
      <c r="G2768" s="1">
        <v>8</v>
      </c>
      <c r="H2768" s="1" t="s">
        <v>19</v>
      </c>
      <c r="I2768" s="1" t="s">
        <v>1670</v>
      </c>
      <c r="J2768" s="1">
        <v>0.03</v>
      </c>
      <c r="K2768" s="1">
        <v>0.24</v>
      </c>
      <c r="L2768" s="42">
        <v>6</v>
      </c>
      <c r="M2768" s="43"/>
      <c r="N2768" s="1" t="e">
        <f>VLOOKUP(B2768,MICRO!E:L,8,0)</f>
        <v>#N/A</v>
      </c>
    </row>
    <row r="2769" spans="1:14" ht="20.25" x14ac:dyDescent="0.25">
      <c r="A2769" s="1">
        <v>40</v>
      </c>
      <c r="B2769" s="159"/>
      <c r="C2769" s="1" t="s">
        <v>673</v>
      </c>
      <c r="D2769" s="1"/>
      <c r="E2769" s="1"/>
      <c r="F2769" s="1" t="s">
        <v>1679</v>
      </c>
      <c r="G2769" s="1">
        <v>4</v>
      </c>
      <c r="H2769" s="1" t="s">
        <v>19</v>
      </c>
      <c r="I2769" s="1" t="s">
        <v>1670</v>
      </c>
      <c r="J2769" s="1">
        <v>0.03</v>
      </c>
      <c r="K2769" s="1">
        <v>0.12</v>
      </c>
      <c r="L2769" s="42">
        <v>6</v>
      </c>
      <c r="M2769" s="43"/>
      <c r="N2769" s="1" t="e">
        <f>VLOOKUP(B2769,MICRO!E:L,8,0)</f>
        <v>#N/A</v>
      </c>
    </row>
    <row r="2770" spans="1:14" ht="20.25" x14ac:dyDescent="0.25">
      <c r="A2770" s="1">
        <v>1</v>
      </c>
      <c r="B2770" s="159">
        <v>2061</v>
      </c>
      <c r="C2770" s="1" t="s">
        <v>657</v>
      </c>
      <c r="D2770" s="1"/>
      <c r="E2770" s="1" t="s">
        <v>2</v>
      </c>
      <c r="F2770" s="1" t="s">
        <v>658</v>
      </c>
      <c r="G2770" s="1">
        <v>3</v>
      </c>
      <c r="H2770" s="1" t="s">
        <v>19</v>
      </c>
      <c r="I2770" s="1" t="s">
        <v>569</v>
      </c>
      <c r="J2770" s="1">
        <v>10</v>
      </c>
      <c r="K2770" s="1">
        <v>30</v>
      </c>
      <c r="L2770" s="42">
        <v>7</v>
      </c>
      <c r="M2770" s="43"/>
      <c r="N2770" s="1" t="e">
        <f>VLOOKUP(B2770,MICRO!E:L,8,0)</f>
        <v>#N/A</v>
      </c>
    </row>
    <row r="2771" spans="1:14" ht="20.25" x14ac:dyDescent="0.25">
      <c r="A2771" s="1">
        <v>2</v>
      </c>
      <c r="B2771" s="159">
        <v>2062</v>
      </c>
      <c r="C2771" s="1" t="s">
        <v>657</v>
      </c>
      <c r="D2771" s="1"/>
      <c r="E2771" s="1" t="s">
        <v>2</v>
      </c>
      <c r="F2771" s="1" t="s">
        <v>658</v>
      </c>
      <c r="G2771" s="1">
        <v>3</v>
      </c>
      <c r="H2771" s="1" t="s">
        <v>19</v>
      </c>
      <c r="I2771" s="1" t="s">
        <v>570</v>
      </c>
      <c r="J2771" s="1">
        <v>10</v>
      </c>
      <c r="K2771" s="1">
        <v>30</v>
      </c>
      <c r="L2771" s="42">
        <v>7</v>
      </c>
      <c r="M2771" s="43"/>
      <c r="N2771" s="1" t="e">
        <f>VLOOKUP(B2771,MICRO!E:L,8,0)</f>
        <v>#N/A</v>
      </c>
    </row>
    <row r="2772" spans="1:14" ht="20.25" x14ac:dyDescent="0.25">
      <c r="A2772" s="1">
        <v>3</v>
      </c>
      <c r="B2772" s="159">
        <v>2063</v>
      </c>
      <c r="C2772" s="1" t="s">
        <v>657</v>
      </c>
      <c r="D2772" s="1"/>
      <c r="E2772" s="1" t="s">
        <v>2</v>
      </c>
      <c r="F2772" s="1" t="s">
        <v>658</v>
      </c>
      <c r="G2772" s="1">
        <v>3</v>
      </c>
      <c r="H2772" s="1" t="s">
        <v>19</v>
      </c>
      <c r="I2772" s="1" t="s">
        <v>571</v>
      </c>
      <c r="J2772" s="1">
        <v>10</v>
      </c>
      <c r="K2772" s="1">
        <v>30</v>
      </c>
      <c r="L2772" s="42">
        <v>7</v>
      </c>
      <c r="M2772" s="43"/>
      <c r="N2772" s="1" t="e">
        <f>VLOOKUP(B2772,MICRO!E:L,8,0)</f>
        <v>#N/A</v>
      </c>
    </row>
    <row r="2773" spans="1:14" ht="20.25" x14ac:dyDescent="0.25">
      <c r="A2773" s="1">
        <v>4</v>
      </c>
      <c r="B2773" s="159">
        <v>2064</v>
      </c>
      <c r="C2773" s="1" t="s">
        <v>657</v>
      </c>
      <c r="D2773" s="1"/>
      <c r="E2773" s="1" t="s">
        <v>2</v>
      </c>
      <c r="F2773" s="1" t="s">
        <v>658</v>
      </c>
      <c r="G2773" s="1">
        <v>3</v>
      </c>
      <c r="H2773" s="1" t="s">
        <v>19</v>
      </c>
      <c r="I2773" s="1" t="s">
        <v>572</v>
      </c>
      <c r="J2773" s="1">
        <v>10</v>
      </c>
      <c r="K2773" s="1">
        <v>30</v>
      </c>
      <c r="L2773" s="42">
        <v>7</v>
      </c>
      <c r="M2773" s="43"/>
      <c r="N2773" s="1" t="e">
        <f>VLOOKUP(B2773,MICRO!E:L,8,0)</f>
        <v>#N/A</v>
      </c>
    </row>
    <row r="2774" spans="1:14" ht="20.25" x14ac:dyDescent="0.25">
      <c r="A2774" s="1">
        <v>1</v>
      </c>
      <c r="B2774" s="159">
        <v>2250</v>
      </c>
      <c r="C2774" s="1" t="s">
        <v>817</v>
      </c>
      <c r="D2774" s="1" t="s">
        <v>819</v>
      </c>
      <c r="E2774" s="1" t="s">
        <v>2</v>
      </c>
      <c r="F2774" s="1" t="s">
        <v>818</v>
      </c>
      <c r="G2774" s="1">
        <v>20</v>
      </c>
      <c r="H2774" s="1" t="s">
        <v>19</v>
      </c>
      <c r="I2774" s="1" t="s">
        <v>572</v>
      </c>
      <c r="J2774" s="1">
        <v>2.2000000000000002</v>
      </c>
      <c r="K2774" s="1">
        <v>44</v>
      </c>
      <c r="L2774" s="42">
        <v>8</v>
      </c>
      <c r="M2774" s="43"/>
      <c r="N2774" s="1" t="e">
        <f>VLOOKUP(B2774,MICRO!E:L,8,0)</f>
        <v>#N/A</v>
      </c>
    </row>
    <row r="2775" spans="1:14" ht="20.25" x14ac:dyDescent="0.25">
      <c r="A2775" s="1">
        <v>1</v>
      </c>
      <c r="B2775" s="159">
        <v>2359</v>
      </c>
      <c r="C2775" s="1" t="s">
        <v>879</v>
      </c>
      <c r="D2775" s="1"/>
      <c r="E2775" s="1"/>
      <c r="F2775" s="1" t="s">
        <v>880</v>
      </c>
      <c r="G2775" s="1">
        <v>1</v>
      </c>
      <c r="H2775" s="1" t="s">
        <v>19</v>
      </c>
      <c r="I2775" s="1" t="s">
        <v>569</v>
      </c>
      <c r="J2775" s="1">
        <v>7.2</v>
      </c>
      <c r="K2775" s="1">
        <v>7.2</v>
      </c>
      <c r="L2775" s="42">
        <v>9</v>
      </c>
      <c r="M2775" s="43"/>
      <c r="N2775" s="1" t="e">
        <f>VLOOKUP(B2775,MICRO!E:L,8,0)</f>
        <v>#N/A</v>
      </c>
    </row>
    <row r="2776" spans="1:14" ht="20.25" x14ac:dyDescent="0.25">
      <c r="A2776" s="1">
        <v>2</v>
      </c>
      <c r="B2776" s="159">
        <v>2360</v>
      </c>
      <c r="C2776" s="1" t="s">
        <v>879</v>
      </c>
      <c r="D2776" s="1"/>
      <c r="E2776" s="1"/>
      <c r="F2776" s="1" t="s">
        <v>1172</v>
      </c>
      <c r="G2776" s="1">
        <v>1</v>
      </c>
      <c r="H2776" s="1" t="s">
        <v>19</v>
      </c>
      <c r="I2776" s="1" t="s">
        <v>569</v>
      </c>
      <c r="J2776" s="1">
        <v>7.2</v>
      </c>
      <c r="K2776" s="1">
        <v>7.2</v>
      </c>
      <c r="L2776" s="42">
        <v>9</v>
      </c>
      <c r="M2776" s="43"/>
      <c r="N2776" s="1" t="e">
        <f>VLOOKUP(B2776,MICRO!E:L,8,0)</f>
        <v>#N/A</v>
      </c>
    </row>
    <row r="2777" spans="1:14" ht="20.25" x14ac:dyDescent="0.25">
      <c r="A2777" s="1">
        <v>3</v>
      </c>
      <c r="B2777" s="159">
        <v>2361</v>
      </c>
      <c r="C2777" s="1" t="s">
        <v>879</v>
      </c>
      <c r="D2777" s="1"/>
      <c r="E2777" s="1"/>
      <c r="F2777" s="1" t="s">
        <v>881</v>
      </c>
      <c r="G2777" s="1">
        <v>1</v>
      </c>
      <c r="H2777" s="1" t="s">
        <v>19</v>
      </c>
      <c r="I2777" s="1" t="s">
        <v>569</v>
      </c>
      <c r="J2777" s="1">
        <v>8.5</v>
      </c>
      <c r="K2777" s="1">
        <v>8.5</v>
      </c>
      <c r="L2777" s="42">
        <v>9</v>
      </c>
      <c r="M2777" s="43"/>
      <c r="N2777" s="1" t="e">
        <f>VLOOKUP(B2777,MICRO!E:L,8,0)</f>
        <v>#N/A</v>
      </c>
    </row>
    <row r="2778" spans="1:14" ht="20.25" x14ac:dyDescent="0.25">
      <c r="A2778" s="1">
        <v>4</v>
      </c>
      <c r="B2778" s="159">
        <v>2362</v>
      </c>
      <c r="C2778" s="1" t="s">
        <v>879</v>
      </c>
      <c r="D2778" s="1"/>
      <c r="E2778" s="1"/>
      <c r="F2778" s="1" t="s">
        <v>883</v>
      </c>
      <c r="G2778" s="1">
        <v>1</v>
      </c>
      <c r="H2778" s="1" t="s">
        <v>19</v>
      </c>
      <c r="I2778" s="1" t="s">
        <v>569</v>
      </c>
      <c r="J2778" s="1">
        <v>2.5</v>
      </c>
      <c r="K2778" s="1">
        <v>2.5</v>
      </c>
      <c r="L2778" s="42">
        <v>9</v>
      </c>
      <c r="M2778" s="43"/>
      <c r="N2778" s="1" t="e">
        <f>VLOOKUP(B2778,MICRO!E:L,8,0)</f>
        <v>#N/A</v>
      </c>
    </row>
    <row r="2779" spans="1:14" ht="20.25" x14ac:dyDescent="0.25">
      <c r="A2779" s="1">
        <v>5</v>
      </c>
      <c r="B2779" s="159">
        <v>2363</v>
      </c>
      <c r="C2779" s="1" t="s">
        <v>879</v>
      </c>
      <c r="D2779" s="1"/>
      <c r="E2779" s="1"/>
      <c r="F2779" s="1" t="s">
        <v>882</v>
      </c>
      <c r="G2779" s="1">
        <v>1</v>
      </c>
      <c r="H2779" s="1" t="s">
        <v>19</v>
      </c>
      <c r="I2779" s="1" t="s">
        <v>569</v>
      </c>
      <c r="J2779" s="1">
        <v>2.5</v>
      </c>
      <c r="K2779" s="1">
        <v>2.5</v>
      </c>
      <c r="L2779" s="42">
        <v>9</v>
      </c>
      <c r="M2779" s="43"/>
      <c r="N2779" s="1" t="e">
        <f>VLOOKUP(B2779,MICRO!E:L,8,0)</f>
        <v>#N/A</v>
      </c>
    </row>
    <row r="2780" spans="1:14" ht="20.25" x14ac:dyDescent="0.25">
      <c r="A2780" s="1">
        <v>6</v>
      </c>
      <c r="B2780" s="159">
        <v>2364</v>
      </c>
      <c r="C2780" s="1" t="s">
        <v>879</v>
      </c>
      <c r="D2780" s="1"/>
      <c r="E2780" s="1"/>
      <c r="F2780" s="1" t="s">
        <v>884</v>
      </c>
      <c r="G2780" s="1">
        <v>1</v>
      </c>
      <c r="H2780" s="1" t="s">
        <v>19</v>
      </c>
      <c r="I2780" s="1" t="s">
        <v>569</v>
      </c>
      <c r="J2780" s="1">
        <v>3.3</v>
      </c>
      <c r="K2780" s="1">
        <v>3.3</v>
      </c>
      <c r="L2780" s="42">
        <v>9</v>
      </c>
      <c r="M2780" s="43"/>
      <c r="N2780" s="1" t="e">
        <f>VLOOKUP(B2780,MICRO!E:L,8,0)</f>
        <v>#N/A</v>
      </c>
    </row>
    <row r="2781" spans="1:14" ht="20.25" x14ac:dyDescent="0.25">
      <c r="A2781" s="1">
        <v>7</v>
      </c>
      <c r="B2781" s="159">
        <v>2365</v>
      </c>
      <c r="C2781" s="1" t="s">
        <v>879</v>
      </c>
      <c r="D2781" s="1"/>
      <c r="E2781" s="1"/>
      <c r="F2781" s="1" t="s">
        <v>880</v>
      </c>
      <c r="G2781" s="1">
        <v>1</v>
      </c>
      <c r="H2781" s="1" t="s">
        <v>19</v>
      </c>
      <c r="I2781" s="1" t="s">
        <v>570</v>
      </c>
      <c r="J2781" s="1">
        <v>7.2</v>
      </c>
      <c r="K2781" s="1">
        <v>7.2</v>
      </c>
      <c r="L2781" s="42">
        <v>9</v>
      </c>
      <c r="M2781" s="43"/>
      <c r="N2781" s="1" t="e">
        <f>VLOOKUP(B2781,MICRO!E:L,8,0)</f>
        <v>#N/A</v>
      </c>
    </row>
    <row r="2782" spans="1:14" ht="20.25" x14ac:dyDescent="0.25">
      <c r="A2782" s="1">
        <v>8</v>
      </c>
      <c r="B2782" s="159">
        <v>2366</v>
      </c>
      <c r="C2782" s="1" t="s">
        <v>879</v>
      </c>
      <c r="D2782" s="1"/>
      <c r="E2782" s="1"/>
      <c r="F2782" s="1" t="s">
        <v>1172</v>
      </c>
      <c r="G2782" s="1">
        <v>1</v>
      </c>
      <c r="H2782" s="1" t="s">
        <v>19</v>
      </c>
      <c r="I2782" s="1" t="s">
        <v>570</v>
      </c>
      <c r="J2782" s="1">
        <v>7.2</v>
      </c>
      <c r="K2782" s="1">
        <v>7.2</v>
      </c>
      <c r="L2782" s="42">
        <v>9</v>
      </c>
      <c r="M2782" s="43"/>
      <c r="N2782" s="1" t="e">
        <f>VLOOKUP(B2782,MICRO!E:L,8,0)</f>
        <v>#N/A</v>
      </c>
    </row>
    <row r="2783" spans="1:14" ht="20.25" x14ac:dyDescent="0.25">
      <c r="A2783" s="1">
        <v>9</v>
      </c>
      <c r="B2783" s="159">
        <v>2367</v>
      </c>
      <c r="C2783" s="1" t="s">
        <v>879</v>
      </c>
      <c r="D2783" s="1"/>
      <c r="E2783" s="1"/>
      <c r="F2783" s="1" t="s">
        <v>881</v>
      </c>
      <c r="G2783" s="1">
        <v>1</v>
      </c>
      <c r="H2783" s="1" t="s">
        <v>19</v>
      </c>
      <c r="I2783" s="1" t="s">
        <v>570</v>
      </c>
      <c r="J2783" s="1">
        <v>8.5</v>
      </c>
      <c r="K2783" s="1">
        <v>8.5</v>
      </c>
      <c r="L2783" s="42">
        <v>9</v>
      </c>
      <c r="M2783" s="43"/>
      <c r="N2783" s="1" t="e">
        <f>VLOOKUP(B2783,MICRO!E:L,8,0)</f>
        <v>#N/A</v>
      </c>
    </row>
    <row r="2784" spans="1:14" ht="20.25" x14ac:dyDescent="0.25">
      <c r="A2784" s="1">
        <v>10</v>
      </c>
      <c r="B2784" s="159">
        <v>2368</v>
      </c>
      <c r="C2784" s="1" t="s">
        <v>879</v>
      </c>
      <c r="D2784" s="1"/>
      <c r="E2784" s="1"/>
      <c r="F2784" s="1" t="s">
        <v>883</v>
      </c>
      <c r="G2784" s="1">
        <v>1</v>
      </c>
      <c r="H2784" s="1" t="s">
        <v>19</v>
      </c>
      <c r="I2784" s="1" t="s">
        <v>570</v>
      </c>
      <c r="J2784" s="1">
        <v>2.5</v>
      </c>
      <c r="K2784" s="1">
        <v>2.5</v>
      </c>
      <c r="L2784" s="42">
        <v>9</v>
      </c>
      <c r="M2784" s="43"/>
      <c r="N2784" s="1" t="e">
        <f>VLOOKUP(B2784,MICRO!E:L,8,0)</f>
        <v>#N/A</v>
      </c>
    </row>
    <row r="2785" spans="1:14" ht="20.25" x14ac:dyDescent="0.25">
      <c r="A2785" s="1">
        <v>11</v>
      </c>
      <c r="B2785" s="159">
        <v>2369</v>
      </c>
      <c r="C2785" s="1" t="s">
        <v>879</v>
      </c>
      <c r="D2785" s="1"/>
      <c r="E2785" s="1"/>
      <c r="F2785" s="1" t="s">
        <v>882</v>
      </c>
      <c r="G2785" s="1">
        <v>1</v>
      </c>
      <c r="H2785" s="1" t="s">
        <v>19</v>
      </c>
      <c r="I2785" s="1" t="s">
        <v>570</v>
      </c>
      <c r="J2785" s="1">
        <v>2.5</v>
      </c>
      <c r="K2785" s="1">
        <v>2.5</v>
      </c>
      <c r="L2785" s="42">
        <v>9</v>
      </c>
      <c r="M2785" s="43"/>
      <c r="N2785" s="1" t="e">
        <f>VLOOKUP(B2785,MICRO!E:L,8,0)</f>
        <v>#N/A</v>
      </c>
    </row>
    <row r="2786" spans="1:14" ht="20.25" x14ac:dyDescent="0.25">
      <c r="A2786" s="1">
        <v>12</v>
      </c>
      <c r="B2786" s="159">
        <v>2370</v>
      </c>
      <c r="C2786" s="1" t="s">
        <v>879</v>
      </c>
      <c r="D2786" s="1"/>
      <c r="E2786" s="1"/>
      <c r="F2786" s="1" t="s">
        <v>884</v>
      </c>
      <c r="G2786" s="1">
        <v>1</v>
      </c>
      <c r="H2786" s="1" t="s">
        <v>19</v>
      </c>
      <c r="I2786" s="1" t="s">
        <v>570</v>
      </c>
      <c r="J2786" s="1">
        <v>3.3</v>
      </c>
      <c r="K2786" s="1">
        <v>3.3</v>
      </c>
      <c r="L2786" s="42">
        <v>9</v>
      </c>
      <c r="M2786" s="43"/>
      <c r="N2786" s="1" t="e">
        <f>VLOOKUP(B2786,MICRO!E:L,8,0)</f>
        <v>#N/A</v>
      </c>
    </row>
    <row r="2787" spans="1:14" ht="20.25" x14ac:dyDescent="0.25">
      <c r="A2787" s="1">
        <v>13</v>
      </c>
      <c r="B2787" s="159">
        <v>2371</v>
      </c>
      <c r="C2787" s="1" t="s">
        <v>879</v>
      </c>
      <c r="D2787" s="1"/>
      <c r="E2787" s="1"/>
      <c r="F2787" s="1" t="s">
        <v>880</v>
      </c>
      <c r="G2787" s="1">
        <v>1</v>
      </c>
      <c r="H2787" s="1" t="s">
        <v>19</v>
      </c>
      <c r="I2787" s="1" t="s">
        <v>571</v>
      </c>
      <c r="J2787" s="1">
        <v>7.2</v>
      </c>
      <c r="K2787" s="1">
        <v>7.2</v>
      </c>
      <c r="L2787" s="42">
        <v>9</v>
      </c>
      <c r="M2787" s="43"/>
      <c r="N2787" s="1" t="e">
        <f>VLOOKUP(B2787,MICRO!E:L,8,0)</f>
        <v>#N/A</v>
      </c>
    </row>
    <row r="2788" spans="1:14" ht="20.25" x14ac:dyDescent="0.25">
      <c r="A2788" s="1">
        <v>14</v>
      </c>
      <c r="B2788" s="159">
        <v>2372</v>
      </c>
      <c r="C2788" s="1" t="s">
        <v>879</v>
      </c>
      <c r="D2788" s="1"/>
      <c r="E2788" s="1"/>
      <c r="F2788" s="1" t="s">
        <v>1172</v>
      </c>
      <c r="G2788" s="1">
        <v>1</v>
      </c>
      <c r="H2788" s="1" t="s">
        <v>19</v>
      </c>
      <c r="I2788" s="1" t="s">
        <v>571</v>
      </c>
      <c r="J2788" s="1">
        <v>7.2</v>
      </c>
      <c r="K2788" s="1">
        <v>7.2</v>
      </c>
      <c r="L2788" s="42">
        <v>9</v>
      </c>
      <c r="M2788" s="43"/>
      <c r="N2788" s="1" t="e">
        <f>VLOOKUP(B2788,MICRO!E:L,8,0)</f>
        <v>#N/A</v>
      </c>
    </row>
    <row r="2789" spans="1:14" ht="20.25" x14ac:dyDescent="0.25">
      <c r="A2789" s="1">
        <v>15</v>
      </c>
      <c r="B2789" s="159">
        <v>2373</v>
      </c>
      <c r="C2789" s="1" t="s">
        <v>879</v>
      </c>
      <c r="D2789" s="1"/>
      <c r="E2789" s="1"/>
      <c r="F2789" s="1" t="s">
        <v>881</v>
      </c>
      <c r="G2789" s="1">
        <v>1</v>
      </c>
      <c r="H2789" s="1" t="s">
        <v>19</v>
      </c>
      <c r="I2789" s="1" t="s">
        <v>571</v>
      </c>
      <c r="J2789" s="1">
        <v>8.5</v>
      </c>
      <c r="K2789" s="1">
        <v>8.5</v>
      </c>
      <c r="L2789" s="42">
        <v>9</v>
      </c>
      <c r="M2789" s="43"/>
      <c r="N2789" s="1" t="e">
        <f>VLOOKUP(B2789,MICRO!E:L,8,0)</f>
        <v>#N/A</v>
      </c>
    </row>
    <row r="2790" spans="1:14" ht="20.25" x14ac:dyDescent="0.25">
      <c r="A2790" s="1">
        <v>16</v>
      </c>
      <c r="B2790" s="159">
        <v>2374</v>
      </c>
      <c r="C2790" s="1" t="s">
        <v>879</v>
      </c>
      <c r="D2790" s="1"/>
      <c r="E2790" s="1"/>
      <c r="F2790" s="1" t="s">
        <v>883</v>
      </c>
      <c r="G2790" s="1">
        <v>1</v>
      </c>
      <c r="H2790" s="1" t="s">
        <v>19</v>
      </c>
      <c r="I2790" s="1" t="s">
        <v>571</v>
      </c>
      <c r="J2790" s="1">
        <v>2.5</v>
      </c>
      <c r="K2790" s="1">
        <v>2.5</v>
      </c>
      <c r="L2790" s="42">
        <v>9</v>
      </c>
      <c r="M2790" s="43"/>
      <c r="N2790" s="1" t="e">
        <f>VLOOKUP(B2790,MICRO!E:L,8,0)</f>
        <v>#N/A</v>
      </c>
    </row>
    <row r="2791" spans="1:14" ht="20.25" x14ac:dyDescent="0.25">
      <c r="A2791" s="1">
        <v>17</v>
      </c>
      <c r="B2791" s="159">
        <v>2375</v>
      </c>
      <c r="C2791" s="1" t="s">
        <v>879</v>
      </c>
      <c r="D2791" s="1"/>
      <c r="E2791" s="1"/>
      <c r="F2791" s="1" t="s">
        <v>882</v>
      </c>
      <c r="G2791" s="1">
        <v>1</v>
      </c>
      <c r="H2791" s="1" t="s">
        <v>19</v>
      </c>
      <c r="I2791" s="1" t="s">
        <v>571</v>
      </c>
      <c r="J2791" s="1">
        <v>2.5</v>
      </c>
      <c r="K2791" s="1">
        <v>2.5</v>
      </c>
      <c r="L2791" s="42">
        <v>9</v>
      </c>
      <c r="M2791" s="43"/>
      <c r="N2791" s="1" t="e">
        <f>VLOOKUP(B2791,MICRO!E:L,8,0)</f>
        <v>#N/A</v>
      </c>
    </row>
    <row r="2792" spans="1:14" ht="20.25" x14ac:dyDescent="0.25">
      <c r="A2792" s="1">
        <v>18</v>
      </c>
      <c r="B2792" s="159">
        <v>2376</v>
      </c>
      <c r="C2792" s="1" t="s">
        <v>879</v>
      </c>
      <c r="D2792" s="1"/>
      <c r="E2792" s="1"/>
      <c r="F2792" s="1" t="s">
        <v>884</v>
      </c>
      <c r="G2792" s="1">
        <v>1</v>
      </c>
      <c r="H2792" s="1" t="s">
        <v>19</v>
      </c>
      <c r="I2792" s="1" t="s">
        <v>571</v>
      </c>
      <c r="J2792" s="1">
        <v>3.3</v>
      </c>
      <c r="K2792" s="1">
        <v>3.3</v>
      </c>
      <c r="L2792" s="42">
        <v>9</v>
      </c>
      <c r="M2792" s="43"/>
      <c r="N2792" s="1" t="e">
        <f>VLOOKUP(B2792,MICRO!E:L,8,0)</f>
        <v>#N/A</v>
      </c>
    </row>
    <row r="2793" spans="1:14" ht="20.25" x14ac:dyDescent="0.25">
      <c r="A2793" s="1">
        <v>19</v>
      </c>
      <c r="B2793" s="159">
        <v>2377</v>
      </c>
      <c r="C2793" s="1" t="s">
        <v>879</v>
      </c>
      <c r="D2793" s="1"/>
      <c r="E2793" s="1"/>
      <c r="F2793" s="1" t="s">
        <v>880</v>
      </c>
      <c r="G2793" s="1">
        <v>1</v>
      </c>
      <c r="H2793" s="1" t="s">
        <v>19</v>
      </c>
      <c r="I2793" s="1" t="s">
        <v>572</v>
      </c>
      <c r="J2793" s="1">
        <v>7.2</v>
      </c>
      <c r="K2793" s="1">
        <v>7.2</v>
      </c>
      <c r="L2793" s="42">
        <v>9</v>
      </c>
      <c r="M2793" s="43"/>
      <c r="N2793" s="1" t="e">
        <f>VLOOKUP(B2793,MICRO!E:L,8,0)</f>
        <v>#N/A</v>
      </c>
    </row>
    <row r="2794" spans="1:14" ht="20.25" x14ac:dyDescent="0.25">
      <c r="A2794" s="1">
        <v>20</v>
      </c>
      <c r="B2794" s="159">
        <v>2378</v>
      </c>
      <c r="C2794" s="1" t="s">
        <v>879</v>
      </c>
      <c r="D2794" s="1"/>
      <c r="E2794" s="1"/>
      <c r="F2794" s="1" t="s">
        <v>1172</v>
      </c>
      <c r="G2794" s="1">
        <v>1</v>
      </c>
      <c r="H2794" s="1" t="s">
        <v>19</v>
      </c>
      <c r="I2794" s="1" t="s">
        <v>572</v>
      </c>
      <c r="J2794" s="1">
        <v>7.2</v>
      </c>
      <c r="K2794" s="1">
        <v>7.2</v>
      </c>
      <c r="L2794" s="42">
        <v>9</v>
      </c>
      <c r="M2794" s="43"/>
      <c r="N2794" s="1" t="e">
        <f>VLOOKUP(B2794,MICRO!E:L,8,0)</f>
        <v>#N/A</v>
      </c>
    </row>
    <row r="2795" spans="1:14" ht="20.25" x14ac:dyDescent="0.25">
      <c r="A2795" s="1">
        <v>21</v>
      </c>
      <c r="B2795" s="159">
        <v>2379</v>
      </c>
      <c r="C2795" s="1" t="s">
        <v>879</v>
      </c>
      <c r="D2795" s="1"/>
      <c r="E2795" s="1"/>
      <c r="F2795" s="1" t="s">
        <v>881</v>
      </c>
      <c r="G2795" s="1">
        <v>1</v>
      </c>
      <c r="H2795" s="1" t="s">
        <v>19</v>
      </c>
      <c r="I2795" s="1" t="s">
        <v>572</v>
      </c>
      <c r="J2795" s="1">
        <v>8.5</v>
      </c>
      <c r="K2795" s="1">
        <v>8.5</v>
      </c>
      <c r="L2795" s="42">
        <v>9</v>
      </c>
      <c r="M2795" s="43"/>
      <c r="N2795" s="1" t="e">
        <f>VLOOKUP(B2795,MICRO!E:L,8,0)</f>
        <v>#N/A</v>
      </c>
    </row>
    <row r="2796" spans="1:14" ht="20.25" x14ac:dyDescent="0.25">
      <c r="A2796" s="1">
        <v>22</v>
      </c>
      <c r="B2796" s="159">
        <v>2380</v>
      </c>
      <c r="C2796" s="1" t="s">
        <v>879</v>
      </c>
      <c r="D2796" s="1"/>
      <c r="E2796" s="1"/>
      <c r="F2796" s="1" t="s">
        <v>883</v>
      </c>
      <c r="G2796" s="1">
        <v>1</v>
      </c>
      <c r="H2796" s="1" t="s">
        <v>19</v>
      </c>
      <c r="I2796" s="1" t="s">
        <v>572</v>
      </c>
      <c r="J2796" s="1">
        <v>2.5</v>
      </c>
      <c r="K2796" s="1">
        <v>2.5</v>
      </c>
      <c r="L2796" s="42">
        <v>9</v>
      </c>
      <c r="M2796" s="43"/>
      <c r="N2796" s="1" t="e">
        <f>VLOOKUP(B2796,MICRO!E:L,8,0)</f>
        <v>#N/A</v>
      </c>
    </row>
    <row r="2797" spans="1:14" ht="20.25" x14ac:dyDescent="0.25">
      <c r="A2797" s="1">
        <v>23</v>
      </c>
      <c r="B2797" s="159">
        <v>2381</v>
      </c>
      <c r="C2797" s="1" t="s">
        <v>879</v>
      </c>
      <c r="D2797" s="1"/>
      <c r="E2797" s="1"/>
      <c r="F2797" s="1" t="s">
        <v>882</v>
      </c>
      <c r="G2797" s="1">
        <v>1</v>
      </c>
      <c r="H2797" s="1" t="s">
        <v>19</v>
      </c>
      <c r="I2797" s="1" t="s">
        <v>572</v>
      </c>
      <c r="J2797" s="1">
        <v>2.5</v>
      </c>
      <c r="K2797" s="1">
        <v>2.5</v>
      </c>
      <c r="L2797" s="42">
        <v>9</v>
      </c>
      <c r="M2797" s="43"/>
      <c r="N2797" s="1" t="e">
        <f>VLOOKUP(B2797,MICRO!E:L,8,0)</f>
        <v>#N/A</v>
      </c>
    </row>
    <row r="2798" spans="1:14" ht="20.25" x14ac:dyDescent="0.25">
      <c r="A2798" s="1">
        <v>24</v>
      </c>
      <c r="B2798" s="159">
        <v>2382</v>
      </c>
      <c r="C2798" s="1" t="s">
        <v>879</v>
      </c>
      <c r="D2798" s="1"/>
      <c r="E2798" s="1"/>
      <c r="F2798" s="1" t="s">
        <v>884</v>
      </c>
      <c r="G2798" s="1">
        <v>1</v>
      </c>
      <c r="H2798" s="1" t="s">
        <v>19</v>
      </c>
      <c r="I2798" s="1" t="s">
        <v>572</v>
      </c>
      <c r="J2798" s="1">
        <v>3.3</v>
      </c>
      <c r="K2798" s="1">
        <v>3.3</v>
      </c>
      <c r="L2798" s="42">
        <v>9</v>
      </c>
      <c r="M2798" s="43"/>
      <c r="N2798" s="1" t="e">
        <f>VLOOKUP(B2798,MICRO!E:L,8,0)</f>
        <v>#N/A</v>
      </c>
    </row>
    <row r="2799" spans="1:14" ht="20.25" x14ac:dyDescent="0.25">
      <c r="A2799" s="1">
        <v>25</v>
      </c>
      <c r="B2799" s="159"/>
      <c r="C2799" s="1"/>
      <c r="D2799" s="1"/>
      <c r="E2799" s="1"/>
      <c r="F2799" s="1" t="s">
        <v>1909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2">
        <v>9</v>
      </c>
      <c r="M2799" s="43"/>
      <c r="N2799" s="1" t="e">
        <f>VLOOKUP(B2799,MICRO!E:L,8,0)</f>
        <v>#N/A</v>
      </c>
    </row>
    <row r="2800" spans="1:14" ht="20.25" x14ac:dyDescent="0.25">
      <c r="A2800" s="1">
        <v>26</v>
      </c>
      <c r="B2800" s="159"/>
      <c r="C2800" s="1"/>
      <c r="D2800" s="1"/>
      <c r="E2800" s="1"/>
      <c r="F2800" s="1" t="s">
        <v>1910</v>
      </c>
      <c r="G2800" s="1">
        <v>67</v>
      </c>
      <c r="H2800" s="1" t="s">
        <v>1253</v>
      </c>
      <c r="I2800" s="1"/>
      <c r="J2800" s="1">
        <v>0.5</v>
      </c>
      <c r="K2800" s="1">
        <v>33.5</v>
      </c>
      <c r="L2800" s="42">
        <v>9</v>
      </c>
      <c r="M2800" s="43"/>
      <c r="N2800" s="1" t="e">
        <f>VLOOKUP(B2800,MICRO!E:L,8,0)</f>
        <v>#N/A</v>
      </c>
    </row>
    <row r="2801" spans="1:14" ht="20.25" x14ac:dyDescent="0.25">
      <c r="A2801" s="1">
        <v>27</v>
      </c>
      <c r="B2801" s="159"/>
      <c r="C2801" s="1"/>
      <c r="D2801" s="1"/>
      <c r="E2801" s="1"/>
      <c r="F2801" s="1" t="s">
        <v>1911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2">
        <v>9</v>
      </c>
      <c r="M2801" s="43"/>
      <c r="N2801" s="1" t="e">
        <f>VLOOKUP(B2801,MICRO!E:L,8,0)</f>
        <v>#N/A</v>
      </c>
    </row>
    <row r="2802" spans="1:14" ht="20.25" x14ac:dyDescent="0.25">
      <c r="A2802" s="1">
        <v>28</v>
      </c>
      <c r="B2802" s="159"/>
      <c r="C2802" s="1"/>
      <c r="D2802" s="1"/>
      <c r="E2802" s="1"/>
      <c r="F2802" s="1" t="s">
        <v>1912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2">
        <v>9</v>
      </c>
      <c r="M2802" s="43"/>
      <c r="N2802" s="1" t="e">
        <f>VLOOKUP(B2802,MICRO!E:L,8,0)</f>
        <v>#N/A</v>
      </c>
    </row>
    <row r="2803" spans="1:14" ht="20.25" x14ac:dyDescent="0.25">
      <c r="A2803" s="1">
        <v>29</v>
      </c>
      <c r="B2803" s="159"/>
      <c r="C2803" s="1"/>
      <c r="D2803" s="1"/>
      <c r="E2803" s="1"/>
      <c r="F2803" s="1" t="s">
        <v>1913</v>
      </c>
      <c r="G2803" s="1">
        <v>12</v>
      </c>
      <c r="H2803" s="1" t="s">
        <v>1253</v>
      </c>
      <c r="I2803" s="1"/>
      <c r="J2803" s="1">
        <v>0.7</v>
      </c>
      <c r="K2803" s="1">
        <v>8.3999999999999986</v>
      </c>
      <c r="L2803" s="42">
        <v>9</v>
      </c>
      <c r="M2803" s="43"/>
      <c r="N2803" s="1" t="e">
        <f>VLOOKUP(B2803,MICRO!E:L,8,0)</f>
        <v>#N/A</v>
      </c>
    </row>
    <row r="2804" spans="1:14" ht="20.25" x14ac:dyDescent="0.25">
      <c r="A2804" s="1">
        <v>30</v>
      </c>
      <c r="B2804" s="159"/>
      <c r="C2804" s="1"/>
      <c r="D2804" s="1"/>
      <c r="E2804" s="1"/>
      <c r="F2804" s="1" t="s">
        <v>1914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2">
        <v>9</v>
      </c>
      <c r="M2804" s="43"/>
      <c r="N2804" s="1" t="e">
        <f>VLOOKUP(B2804,MICRO!E:L,8,0)</f>
        <v>#N/A</v>
      </c>
    </row>
    <row r="2805" spans="1:14" ht="20.25" x14ac:dyDescent="0.25">
      <c r="A2805" s="1">
        <v>31</v>
      </c>
      <c r="B2805" s="159"/>
      <c r="C2805" s="1"/>
      <c r="D2805" s="1"/>
      <c r="E2805" s="1"/>
      <c r="F2805" s="1" t="s">
        <v>1915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2">
        <v>9</v>
      </c>
      <c r="M2805" s="43"/>
      <c r="N2805" s="1" t="e">
        <f>VLOOKUP(B2805,MICRO!E:L,8,0)</f>
        <v>#N/A</v>
      </c>
    </row>
    <row r="2806" spans="1:14" ht="20.25" x14ac:dyDescent="0.25">
      <c r="A2806" s="1">
        <v>32</v>
      </c>
      <c r="B2806" s="159"/>
      <c r="C2806" s="1"/>
      <c r="D2806" s="1"/>
      <c r="E2806" s="1"/>
      <c r="F2806" s="1" t="s">
        <v>1916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2">
        <v>9</v>
      </c>
      <c r="M2806" s="43"/>
      <c r="N2806" s="1" t="e">
        <f>VLOOKUP(B2806,MICRO!E:L,8,0)</f>
        <v>#N/A</v>
      </c>
    </row>
    <row r="2807" spans="1:14" ht="20.25" x14ac:dyDescent="0.25">
      <c r="A2807" s="1">
        <v>33</v>
      </c>
      <c r="B2807" s="159"/>
      <c r="C2807" s="1"/>
      <c r="D2807" s="1"/>
      <c r="E2807" s="1"/>
      <c r="F2807" s="1" t="s">
        <v>1917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2">
        <v>9</v>
      </c>
      <c r="M2807" s="43"/>
      <c r="N2807" s="1" t="e">
        <f>VLOOKUP(B2807,MICRO!E:L,8,0)</f>
        <v>#N/A</v>
      </c>
    </row>
    <row r="2808" spans="1:14" ht="20.25" x14ac:dyDescent="0.25">
      <c r="A2808" s="1">
        <v>34</v>
      </c>
      <c r="B2808" s="159"/>
      <c r="C2808" s="1"/>
      <c r="D2808" s="1"/>
      <c r="E2808" s="1"/>
      <c r="F2808" s="1" t="s">
        <v>1918</v>
      </c>
      <c r="G2808" s="1">
        <v>6</v>
      </c>
      <c r="H2808" s="1" t="s">
        <v>1253</v>
      </c>
      <c r="I2808" s="1"/>
      <c r="J2808" s="1">
        <v>0.8</v>
      </c>
      <c r="K2808" s="1">
        <v>4.8000000000000007</v>
      </c>
      <c r="L2808" s="42">
        <v>9</v>
      </c>
      <c r="M2808" s="43"/>
      <c r="N2808" s="1" t="e">
        <f>VLOOKUP(B2808,MICRO!E:L,8,0)</f>
        <v>#N/A</v>
      </c>
    </row>
    <row r="2809" spans="1:14" ht="20.25" x14ac:dyDescent="0.25">
      <c r="A2809" s="1">
        <v>35</v>
      </c>
      <c r="B2809" s="159"/>
      <c r="C2809" s="1"/>
      <c r="D2809" s="1"/>
      <c r="E2809" s="1"/>
      <c r="F2809" s="1" t="s">
        <v>1919</v>
      </c>
      <c r="G2809" s="1">
        <v>3</v>
      </c>
      <c r="H2809" s="1" t="s">
        <v>1253</v>
      </c>
      <c r="I2809" s="1"/>
      <c r="J2809" s="1">
        <v>0.08</v>
      </c>
      <c r="K2809" s="1">
        <v>0.24</v>
      </c>
      <c r="L2809" s="42">
        <v>9</v>
      </c>
      <c r="M2809" s="43"/>
      <c r="N2809" s="1" t="e">
        <f>VLOOKUP(B2809,MICRO!E:L,8,0)</f>
        <v>#N/A</v>
      </c>
    </row>
    <row r="2810" spans="1:14" ht="20.25" x14ac:dyDescent="0.25">
      <c r="A2810" s="1">
        <v>36</v>
      </c>
      <c r="B2810" s="159"/>
      <c r="C2810" s="1"/>
      <c r="D2810" s="1"/>
      <c r="E2810" s="1"/>
      <c r="F2810" s="1" t="s">
        <v>1920</v>
      </c>
      <c r="G2810" s="1">
        <v>55</v>
      </c>
      <c r="H2810" s="1" t="s">
        <v>1253</v>
      </c>
      <c r="I2810" s="1"/>
      <c r="J2810" s="1">
        <v>0.5</v>
      </c>
      <c r="K2810" s="1">
        <v>27.5</v>
      </c>
      <c r="L2810" s="42">
        <v>9</v>
      </c>
      <c r="M2810" s="43"/>
      <c r="N2810" s="1" t="e">
        <f>VLOOKUP(B2810,MICRO!E:L,8,0)</f>
        <v>#N/A</v>
      </c>
    </row>
    <row r="2811" spans="1:14" ht="20.25" x14ac:dyDescent="0.25">
      <c r="A2811" s="1">
        <v>37</v>
      </c>
      <c r="B2811" s="159"/>
      <c r="C2811" s="1"/>
      <c r="D2811" s="1"/>
      <c r="E2811" s="1"/>
      <c r="F2811" s="1" t="s">
        <v>1912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2">
        <v>9</v>
      </c>
      <c r="M2811" s="43"/>
      <c r="N2811" s="1" t="e">
        <f>VLOOKUP(B2811,MICRO!E:L,8,0)</f>
        <v>#N/A</v>
      </c>
    </row>
    <row r="2812" spans="1:14" ht="20.25" x14ac:dyDescent="0.25">
      <c r="A2812" s="1">
        <v>38</v>
      </c>
      <c r="B2812" s="159"/>
      <c r="C2812" s="1"/>
      <c r="D2812" s="1"/>
      <c r="E2812" s="1"/>
      <c r="F2812" s="1" t="s">
        <v>1913</v>
      </c>
      <c r="G2812" s="1">
        <v>12</v>
      </c>
      <c r="H2812" s="1" t="s">
        <v>1253</v>
      </c>
      <c r="I2812" s="1"/>
      <c r="J2812" s="1">
        <v>0.7</v>
      </c>
      <c r="K2812" s="1">
        <v>8.3999999999999986</v>
      </c>
      <c r="L2812" s="42">
        <v>9</v>
      </c>
      <c r="M2812" s="43"/>
      <c r="N2812" s="1" t="e">
        <f>VLOOKUP(B2812,MICRO!E:L,8,0)</f>
        <v>#N/A</v>
      </c>
    </row>
    <row r="2813" spans="1:14" ht="20.25" x14ac:dyDescent="0.25">
      <c r="A2813" s="1">
        <v>39</v>
      </c>
      <c r="B2813" s="159"/>
      <c r="C2813" s="1"/>
      <c r="D2813" s="1"/>
      <c r="E2813" s="1"/>
      <c r="F2813" s="1" t="s">
        <v>1914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2">
        <v>9</v>
      </c>
      <c r="M2813" s="43"/>
      <c r="N2813" s="1" t="e">
        <f>VLOOKUP(B2813,MICRO!E:L,8,0)</f>
        <v>#N/A</v>
      </c>
    </row>
    <row r="2814" spans="1:14" ht="20.25" x14ac:dyDescent="0.25">
      <c r="A2814" s="1">
        <v>40</v>
      </c>
      <c r="B2814" s="159"/>
      <c r="C2814" s="1"/>
      <c r="D2814" s="1"/>
      <c r="E2814" s="1"/>
      <c r="F2814" s="1" t="s">
        <v>1915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2">
        <v>9</v>
      </c>
      <c r="M2814" s="43"/>
      <c r="N2814" s="1" t="e">
        <f>VLOOKUP(B2814,MICRO!E:L,8,0)</f>
        <v>#N/A</v>
      </c>
    </row>
    <row r="2815" spans="1:14" ht="20.25" x14ac:dyDescent="0.25">
      <c r="A2815" s="1">
        <v>41</v>
      </c>
      <c r="B2815" s="159"/>
      <c r="C2815" s="1"/>
      <c r="D2815" s="1"/>
      <c r="E2815" s="1"/>
      <c r="F2815" s="1" t="s">
        <v>1916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2">
        <v>9</v>
      </c>
      <c r="M2815" s="43"/>
      <c r="N2815" s="1" t="e">
        <f>VLOOKUP(B2815,MICRO!E:L,8,0)</f>
        <v>#N/A</v>
      </c>
    </row>
    <row r="2816" spans="1:14" ht="20.25" x14ac:dyDescent="0.25">
      <c r="A2816" s="1">
        <v>42</v>
      </c>
      <c r="B2816" s="159"/>
      <c r="C2816" s="1"/>
      <c r="D2816" s="1"/>
      <c r="E2816" s="1"/>
      <c r="F2816" s="1" t="s">
        <v>1917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2">
        <v>9</v>
      </c>
      <c r="M2816" s="43"/>
      <c r="N2816" s="1" t="e">
        <f>VLOOKUP(B2816,MICRO!E:L,8,0)</f>
        <v>#N/A</v>
      </c>
    </row>
    <row r="2817" spans="1:14" ht="20.25" x14ac:dyDescent="0.25">
      <c r="A2817" s="1">
        <v>43</v>
      </c>
      <c r="B2817" s="159"/>
      <c r="C2817" s="1"/>
      <c r="D2817" s="1"/>
      <c r="E2817" s="1"/>
      <c r="F2817" s="1" t="s">
        <v>1918</v>
      </c>
      <c r="G2817" s="1">
        <v>6</v>
      </c>
      <c r="H2817" s="1" t="s">
        <v>1253</v>
      </c>
      <c r="I2817" s="1"/>
      <c r="J2817" s="1">
        <v>0.8</v>
      </c>
      <c r="K2817" s="1">
        <v>4.8000000000000007</v>
      </c>
      <c r="L2817" s="42">
        <v>9</v>
      </c>
      <c r="M2817" s="43"/>
      <c r="N2817" s="1" t="e">
        <f>VLOOKUP(B2817,MICRO!E:L,8,0)</f>
        <v>#N/A</v>
      </c>
    </row>
    <row r="2818" spans="1:14" ht="20.25" x14ac:dyDescent="0.25">
      <c r="A2818" s="1">
        <v>44</v>
      </c>
      <c r="B2818" s="159"/>
      <c r="C2818" s="1"/>
      <c r="D2818" s="1"/>
      <c r="E2818" s="1"/>
      <c r="F2818" s="1" t="s">
        <v>1919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2">
        <v>9</v>
      </c>
      <c r="M2818" s="43"/>
      <c r="N2818" s="1" t="e">
        <f>VLOOKUP(B2818,MICRO!E:L,8,0)</f>
        <v>#N/A</v>
      </c>
    </row>
    <row r="2819" spans="1:14" ht="20.25" x14ac:dyDescent="0.25">
      <c r="A2819" s="1">
        <v>45</v>
      </c>
      <c r="B2819" s="159"/>
      <c r="C2819" s="1"/>
      <c r="D2819" s="1"/>
      <c r="E2819" s="1"/>
      <c r="F2819" s="1" t="s">
        <v>1921</v>
      </c>
      <c r="G2819" s="1">
        <v>72</v>
      </c>
      <c r="H2819" s="1" t="s">
        <v>1253</v>
      </c>
      <c r="I2819" s="1"/>
      <c r="J2819" s="1">
        <v>0.5</v>
      </c>
      <c r="K2819" s="1">
        <v>36</v>
      </c>
      <c r="L2819" s="42">
        <v>9</v>
      </c>
      <c r="M2819" s="43"/>
      <c r="N2819" s="1" t="e">
        <f>VLOOKUP(B2819,MICRO!E:L,8,0)</f>
        <v>#N/A</v>
      </c>
    </row>
    <row r="2820" spans="1:14" ht="20.25" x14ac:dyDescent="0.25">
      <c r="A2820" s="1">
        <v>46</v>
      </c>
      <c r="B2820" s="159"/>
      <c r="C2820" s="1"/>
      <c r="D2820" s="1"/>
      <c r="E2820" s="1"/>
      <c r="F2820" s="1" t="s">
        <v>1922</v>
      </c>
      <c r="G2820" s="1">
        <v>12</v>
      </c>
      <c r="H2820" s="1" t="s">
        <v>1253</v>
      </c>
      <c r="I2820" s="1"/>
      <c r="J2820" s="1">
        <v>0.02</v>
      </c>
      <c r="K2820" s="1">
        <v>0.24</v>
      </c>
      <c r="L2820" s="42">
        <v>9</v>
      </c>
      <c r="M2820" s="43"/>
      <c r="N2820" s="1" t="e">
        <f>VLOOKUP(B2820,MICRO!E:L,8,0)</f>
        <v>#N/A</v>
      </c>
    </row>
    <row r="2821" spans="1:14" ht="20.25" x14ac:dyDescent="0.25">
      <c r="A2821" s="1">
        <v>47</v>
      </c>
      <c r="B2821" s="159"/>
      <c r="C2821" s="1"/>
      <c r="D2821" s="1"/>
      <c r="E2821" s="1"/>
      <c r="F2821" s="1" t="s">
        <v>1923</v>
      </c>
      <c r="G2821" s="1">
        <v>6</v>
      </c>
      <c r="H2821" s="1" t="s">
        <v>1253</v>
      </c>
      <c r="I2821" s="1"/>
      <c r="J2821" s="1">
        <v>0.01</v>
      </c>
      <c r="K2821" s="1">
        <v>0.06</v>
      </c>
      <c r="L2821" s="42">
        <v>9</v>
      </c>
      <c r="M2821" s="43"/>
      <c r="N2821" s="1" t="e">
        <f>VLOOKUP(B2821,MICRO!E:L,8,0)</f>
        <v>#N/A</v>
      </c>
    </row>
    <row r="2822" spans="1:14" ht="20.25" x14ac:dyDescent="0.25">
      <c r="A2822" s="1">
        <v>48</v>
      </c>
      <c r="B2822" s="159"/>
      <c r="C2822" s="1"/>
      <c r="D2822" s="1"/>
      <c r="E2822" s="1"/>
      <c r="F2822" s="1" t="s">
        <v>1924</v>
      </c>
      <c r="G2822" s="1">
        <v>3</v>
      </c>
      <c r="H2822" s="1" t="s">
        <v>1253</v>
      </c>
      <c r="I2822" s="1"/>
      <c r="J2822" s="1">
        <v>0.03</v>
      </c>
      <c r="K2822" s="1">
        <v>0.09</v>
      </c>
      <c r="L2822" s="42">
        <v>9</v>
      </c>
      <c r="M2822" s="43"/>
      <c r="N2822" s="1" t="e">
        <f>VLOOKUP(B2822,MICRO!E:L,8,0)</f>
        <v>#N/A</v>
      </c>
    </row>
    <row r="2823" spans="1:14" ht="20.25" x14ac:dyDescent="0.25">
      <c r="A2823" s="1">
        <v>49</v>
      </c>
      <c r="B2823" s="159"/>
      <c r="C2823" s="1"/>
      <c r="D2823" s="1"/>
      <c r="E2823" s="1"/>
      <c r="F2823" s="1" t="s">
        <v>1912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2">
        <v>9</v>
      </c>
      <c r="M2823" s="43"/>
      <c r="N2823" s="1" t="e">
        <f>VLOOKUP(B2823,MICRO!E:L,8,0)</f>
        <v>#N/A</v>
      </c>
    </row>
    <row r="2824" spans="1:14" ht="20.25" x14ac:dyDescent="0.25">
      <c r="A2824" s="1">
        <v>50</v>
      </c>
      <c r="B2824" s="159"/>
      <c r="C2824" s="1"/>
      <c r="D2824" s="1"/>
      <c r="E2824" s="1"/>
      <c r="F2824" s="1" t="s">
        <v>1925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2">
        <v>9</v>
      </c>
      <c r="M2824" s="43"/>
      <c r="N2824" s="1" t="e">
        <f>VLOOKUP(B2824,MICRO!E:L,8,0)</f>
        <v>#N/A</v>
      </c>
    </row>
    <row r="2825" spans="1:14" ht="20.25" x14ac:dyDescent="0.25">
      <c r="A2825" s="1">
        <v>51</v>
      </c>
      <c r="B2825" s="159"/>
      <c r="C2825" s="1"/>
      <c r="D2825" s="1"/>
      <c r="E2825" s="1"/>
      <c r="F2825" s="1" t="s">
        <v>1926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2">
        <v>9</v>
      </c>
      <c r="M2825" s="43"/>
      <c r="N2825" s="1" t="e">
        <f>VLOOKUP(B2825,MICRO!E:L,8,0)</f>
        <v>#N/A</v>
      </c>
    </row>
    <row r="2826" spans="1:14" ht="20.25" x14ac:dyDescent="0.25">
      <c r="A2826" s="1">
        <v>52</v>
      </c>
      <c r="B2826" s="159"/>
      <c r="C2826" s="1"/>
      <c r="D2826" s="1"/>
      <c r="E2826" s="1"/>
      <c r="F2826" s="1" t="s">
        <v>1927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2">
        <v>9</v>
      </c>
      <c r="M2826" s="43"/>
      <c r="N2826" s="1" t="e">
        <f>VLOOKUP(B2826,MICRO!E:L,8,0)</f>
        <v>#N/A</v>
      </c>
    </row>
    <row r="2827" spans="1:14" ht="20.25" x14ac:dyDescent="0.25">
      <c r="A2827" s="1">
        <v>53</v>
      </c>
      <c r="B2827" s="159"/>
      <c r="C2827" s="1"/>
      <c r="D2827" s="1"/>
      <c r="E2827" s="1"/>
      <c r="F2827" s="1" t="s">
        <v>1928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2">
        <v>9</v>
      </c>
      <c r="M2827" s="43"/>
      <c r="N2827" s="1" t="e">
        <f>VLOOKUP(B2827,MICRO!E:L,8,0)</f>
        <v>#N/A</v>
      </c>
    </row>
    <row r="2828" spans="1:14" ht="20.25" x14ac:dyDescent="0.25">
      <c r="A2828" s="1">
        <v>54</v>
      </c>
      <c r="B2828" s="159"/>
      <c r="C2828" s="1"/>
      <c r="D2828" s="1"/>
      <c r="E2828" s="1"/>
      <c r="F2828" s="1" t="s">
        <v>1910</v>
      </c>
      <c r="G2828" s="1">
        <v>67</v>
      </c>
      <c r="H2828" s="1" t="s">
        <v>1253</v>
      </c>
      <c r="I2828" s="1"/>
      <c r="J2828" s="1">
        <v>0.5</v>
      </c>
      <c r="K2828" s="1">
        <v>33.5</v>
      </c>
      <c r="L2828" s="42">
        <v>9</v>
      </c>
      <c r="M2828" s="43"/>
      <c r="N2828" s="1" t="e">
        <f>VLOOKUP(B2828,MICRO!E:L,8,0)</f>
        <v>#N/A</v>
      </c>
    </row>
    <row r="2829" spans="1:14" ht="20.25" x14ac:dyDescent="0.25">
      <c r="A2829" s="1">
        <v>55</v>
      </c>
      <c r="B2829" s="159"/>
      <c r="C2829" s="1"/>
      <c r="D2829" s="1"/>
      <c r="E2829" s="1"/>
      <c r="F2829" s="1" t="s">
        <v>1912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2">
        <v>9</v>
      </c>
      <c r="M2829" s="43"/>
      <c r="N2829" s="1" t="e">
        <f>VLOOKUP(B2829,MICRO!E:L,8,0)</f>
        <v>#N/A</v>
      </c>
    </row>
    <row r="2830" spans="1:14" ht="20.25" x14ac:dyDescent="0.25">
      <c r="A2830" s="1">
        <v>56</v>
      </c>
      <c r="B2830" s="159"/>
      <c r="C2830" s="1"/>
      <c r="D2830" s="1"/>
      <c r="E2830" s="1"/>
      <c r="F2830" s="1" t="s">
        <v>1913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2">
        <v>9</v>
      </c>
      <c r="M2830" s="43"/>
      <c r="N2830" s="1" t="e">
        <f>VLOOKUP(B2830,MICRO!E:L,8,0)</f>
        <v>#N/A</v>
      </c>
    </row>
    <row r="2831" spans="1:14" ht="20.25" x14ac:dyDescent="0.25">
      <c r="A2831" s="1">
        <v>57</v>
      </c>
      <c r="B2831" s="159"/>
      <c r="C2831" s="1"/>
      <c r="D2831" s="1"/>
      <c r="E2831" s="1"/>
      <c r="F2831" s="1" t="s">
        <v>1914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2">
        <v>9</v>
      </c>
      <c r="M2831" s="43"/>
      <c r="N2831" s="1" t="e">
        <f>VLOOKUP(B2831,MICRO!E:L,8,0)</f>
        <v>#N/A</v>
      </c>
    </row>
    <row r="2832" spans="1:14" ht="20.25" x14ac:dyDescent="0.25">
      <c r="A2832" s="1">
        <v>58</v>
      </c>
      <c r="B2832" s="159"/>
      <c r="C2832" s="1"/>
      <c r="D2832" s="1"/>
      <c r="E2832" s="1"/>
      <c r="F2832" s="1" t="s">
        <v>1915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2">
        <v>9</v>
      </c>
      <c r="M2832" s="43"/>
      <c r="N2832" s="1" t="e">
        <f>VLOOKUP(B2832,MICRO!E:L,8,0)</f>
        <v>#N/A</v>
      </c>
    </row>
    <row r="2833" spans="1:14" ht="20.25" x14ac:dyDescent="0.25">
      <c r="A2833" s="1">
        <v>59</v>
      </c>
      <c r="B2833" s="159"/>
      <c r="C2833" s="1"/>
      <c r="D2833" s="1"/>
      <c r="E2833" s="1"/>
      <c r="F2833" s="1" t="s">
        <v>1916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2">
        <v>9</v>
      </c>
      <c r="M2833" s="43"/>
      <c r="N2833" s="1" t="e">
        <f>VLOOKUP(B2833,MICRO!E:L,8,0)</f>
        <v>#N/A</v>
      </c>
    </row>
    <row r="2834" spans="1:14" ht="20.25" x14ac:dyDescent="0.25">
      <c r="A2834" s="1">
        <v>60</v>
      </c>
      <c r="B2834" s="159"/>
      <c r="C2834" s="1"/>
      <c r="D2834" s="1"/>
      <c r="E2834" s="1"/>
      <c r="F2834" s="1" t="s">
        <v>1917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2">
        <v>9</v>
      </c>
      <c r="M2834" s="43"/>
      <c r="N2834" s="1" t="e">
        <f>VLOOKUP(B2834,MICRO!E:L,8,0)</f>
        <v>#N/A</v>
      </c>
    </row>
    <row r="2835" spans="1:14" ht="20.25" x14ac:dyDescent="0.25">
      <c r="A2835" s="1">
        <v>61</v>
      </c>
      <c r="B2835" s="159"/>
      <c r="C2835" s="1"/>
      <c r="D2835" s="1"/>
      <c r="E2835" s="1"/>
      <c r="F2835" s="1" t="s">
        <v>1918</v>
      </c>
      <c r="G2835" s="1">
        <v>6</v>
      </c>
      <c r="H2835" s="1" t="s">
        <v>1253</v>
      </c>
      <c r="I2835" s="1"/>
      <c r="J2835" s="1">
        <v>0.8</v>
      </c>
      <c r="K2835" s="1">
        <v>4.8000000000000007</v>
      </c>
      <c r="L2835" s="42">
        <v>9</v>
      </c>
      <c r="M2835" s="43"/>
      <c r="N2835" s="1" t="e">
        <f>VLOOKUP(B2835,MICRO!E:L,8,0)</f>
        <v>#N/A</v>
      </c>
    </row>
    <row r="2836" spans="1:14" ht="20.25" x14ac:dyDescent="0.25">
      <c r="A2836" s="1">
        <v>62</v>
      </c>
      <c r="B2836" s="159"/>
      <c r="C2836" s="1"/>
      <c r="D2836" s="1"/>
      <c r="E2836" s="1"/>
      <c r="F2836" s="1" t="s">
        <v>1919</v>
      </c>
      <c r="G2836" s="1">
        <v>3</v>
      </c>
      <c r="H2836" s="1" t="s">
        <v>1253</v>
      </c>
      <c r="I2836" s="1"/>
      <c r="J2836" s="1">
        <v>0.08</v>
      </c>
      <c r="K2836" s="1">
        <v>0.24</v>
      </c>
      <c r="L2836" s="42">
        <v>9</v>
      </c>
      <c r="M2836" s="43"/>
      <c r="N2836" s="1" t="e">
        <f>VLOOKUP(B2836,MICRO!E:L,8,0)</f>
        <v>#N/A</v>
      </c>
    </row>
    <row r="2837" spans="1:14" ht="20.25" x14ac:dyDescent="0.25">
      <c r="A2837" s="1">
        <v>1</v>
      </c>
      <c r="B2837" s="159"/>
      <c r="C2837" s="1" t="s">
        <v>2478</v>
      </c>
      <c r="D2837" s="1"/>
      <c r="E2837" s="1"/>
      <c r="F2837" s="1" t="s">
        <v>2479</v>
      </c>
      <c r="G2837" s="1">
        <v>2</v>
      </c>
      <c r="H2837" s="1" t="s">
        <v>19</v>
      </c>
      <c r="I2837" s="1" t="s">
        <v>570</v>
      </c>
      <c r="J2837" s="1">
        <v>0.01</v>
      </c>
      <c r="K2837" s="1">
        <v>0.02</v>
      </c>
      <c r="L2837" s="42">
        <v>10</v>
      </c>
      <c r="M2837" s="43"/>
      <c r="N2837" s="1" t="e">
        <f>VLOOKUP(B2837,MICRO!E:L,8,0)</f>
        <v>#N/A</v>
      </c>
    </row>
    <row r="2838" spans="1:14" ht="20.25" x14ac:dyDescent="0.25">
      <c r="A2838" s="1">
        <v>2</v>
      </c>
      <c r="B2838" s="159"/>
      <c r="C2838" s="1" t="s">
        <v>2478</v>
      </c>
      <c r="D2838" s="1"/>
      <c r="E2838" s="1"/>
      <c r="F2838" s="1" t="s">
        <v>2480</v>
      </c>
      <c r="G2838" s="1">
        <v>3</v>
      </c>
      <c r="H2838" s="1" t="s">
        <v>19</v>
      </c>
      <c r="I2838" s="1" t="s">
        <v>570</v>
      </c>
      <c r="J2838" s="1">
        <v>0.02</v>
      </c>
      <c r="K2838" s="1">
        <v>0.06</v>
      </c>
      <c r="L2838" s="42">
        <v>10</v>
      </c>
      <c r="M2838" s="43"/>
      <c r="N2838" s="1" t="e">
        <f>VLOOKUP(B2838,MICRO!E:L,8,0)</f>
        <v>#N/A</v>
      </c>
    </row>
    <row r="2839" spans="1:14" ht="20.25" x14ac:dyDescent="0.25">
      <c r="A2839" s="1">
        <v>3</v>
      </c>
      <c r="B2839" s="159"/>
      <c r="C2839" s="1" t="s">
        <v>2478</v>
      </c>
      <c r="D2839" s="1"/>
      <c r="E2839" s="1"/>
      <c r="F2839" s="1" t="s">
        <v>2481</v>
      </c>
      <c r="G2839" s="1">
        <v>3</v>
      </c>
      <c r="H2839" s="1" t="s">
        <v>19</v>
      </c>
      <c r="I2839" s="1" t="s">
        <v>570</v>
      </c>
      <c r="J2839" s="1">
        <v>0.03</v>
      </c>
      <c r="K2839" s="1">
        <v>0.09</v>
      </c>
      <c r="L2839" s="42">
        <v>10</v>
      </c>
      <c r="M2839" s="43"/>
      <c r="N2839" s="1" t="e">
        <f>VLOOKUP(B2839,MICRO!E:L,8,0)</f>
        <v>#N/A</v>
      </c>
    </row>
    <row r="2840" spans="1:14" ht="20.25" x14ac:dyDescent="0.25">
      <c r="A2840" s="1">
        <v>4</v>
      </c>
      <c r="B2840" s="159"/>
      <c r="C2840" s="1" t="s">
        <v>2482</v>
      </c>
      <c r="D2840" s="1"/>
      <c r="E2840" s="1"/>
      <c r="F2840" s="1" t="s">
        <v>1911</v>
      </c>
      <c r="G2840" s="1">
        <v>2</v>
      </c>
      <c r="H2840" s="1" t="s">
        <v>19</v>
      </c>
      <c r="I2840" s="1" t="s">
        <v>572</v>
      </c>
      <c r="J2840" s="1">
        <v>0.02</v>
      </c>
      <c r="K2840" s="1">
        <v>0.04</v>
      </c>
      <c r="L2840" s="42">
        <v>10</v>
      </c>
      <c r="M2840" s="43"/>
      <c r="N2840" s="1" t="e">
        <f>VLOOKUP(B2840,MICRO!E:L,8,0)</f>
        <v>#N/A</v>
      </c>
    </row>
    <row r="2841" spans="1:14" ht="20.25" x14ac:dyDescent="0.25">
      <c r="A2841" s="1">
        <v>5</v>
      </c>
      <c r="B2841" s="159"/>
      <c r="C2841" s="1" t="s">
        <v>2482</v>
      </c>
      <c r="D2841" s="1"/>
      <c r="E2841" s="1"/>
      <c r="F2841" s="1" t="s">
        <v>2479</v>
      </c>
      <c r="G2841" s="1">
        <v>2</v>
      </c>
      <c r="H2841" s="1" t="s">
        <v>19</v>
      </c>
      <c r="I2841" s="1" t="s">
        <v>572</v>
      </c>
      <c r="J2841" s="1">
        <v>0.01</v>
      </c>
      <c r="K2841" s="1">
        <v>0.02</v>
      </c>
      <c r="L2841" s="42">
        <v>10</v>
      </c>
      <c r="M2841" s="43"/>
      <c r="N2841" s="1" t="e">
        <f>VLOOKUP(B2841,MICRO!E:L,8,0)</f>
        <v>#N/A</v>
      </c>
    </row>
    <row r="2842" spans="1:14" ht="20.25" x14ac:dyDescent="0.25">
      <c r="A2842" s="1">
        <v>6</v>
      </c>
      <c r="B2842" s="159"/>
      <c r="C2842" s="1" t="s">
        <v>2482</v>
      </c>
      <c r="D2842" s="1"/>
      <c r="E2842" s="1"/>
      <c r="F2842" s="1" t="s">
        <v>2480</v>
      </c>
      <c r="G2842" s="1">
        <v>3</v>
      </c>
      <c r="H2842" s="1" t="s">
        <v>19</v>
      </c>
      <c r="I2842" s="1" t="s">
        <v>572</v>
      </c>
      <c r="J2842" s="1">
        <v>0.02</v>
      </c>
      <c r="K2842" s="1">
        <v>0.06</v>
      </c>
      <c r="L2842" s="42">
        <v>10</v>
      </c>
      <c r="M2842" s="43"/>
      <c r="N2842" s="1" t="e">
        <f>VLOOKUP(B2842,MICRO!E:L,8,0)</f>
        <v>#N/A</v>
      </c>
    </row>
    <row r="2843" spans="1:14" ht="20.25" x14ac:dyDescent="0.25">
      <c r="A2843" s="1">
        <v>7</v>
      </c>
      <c r="B2843" s="159"/>
      <c r="C2843" s="1" t="s">
        <v>2482</v>
      </c>
      <c r="D2843" s="1"/>
      <c r="E2843" s="1"/>
      <c r="F2843" s="1" t="s">
        <v>2481</v>
      </c>
      <c r="G2843" s="1">
        <v>3</v>
      </c>
      <c r="H2843" s="1" t="s">
        <v>19</v>
      </c>
      <c r="I2843" s="1" t="s">
        <v>572</v>
      </c>
      <c r="J2843" s="1">
        <v>0.03</v>
      </c>
      <c r="K2843" s="1">
        <v>0.09</v>
      </c>
      <c r="L2843" s="42">
        <v>10</v>
      </c>
      <c r="M2843" s="43"/>
      <c r="N2843" s="1" t="e">
        <f>VLOOKUP(B2843,MICRO!E:L,8,0)</f>
        <v>#N/A</v>
      </c>
    </row>
    <row r="2844" spans="1:14" ht="20.25" x14ac:dyDescent="0.25">
      <c r="A2844" s="1">
        <v>8</v>
      </c>
      <c r="B2844" s="159"/>
      <c r="C2844" s="1" t="s">
        <v>2483</v>
      </c>
      <c r="D2844" s="1"/>
      <c r="E2844" s="1"/>
      <c r="F2844" s="1" t="s">
        <v>2484</v>
      </c>
      <c r="G2844" s="1">
        <v>3</v>
      </c>
      <c r="H2844" s="1" t="s">
        <v>19</v>
      </c>
      <c r="I2844" s="1" t="s">
        <v>569</v>
      </c>
      <c r="J2844" s="1">
        <v>0.01</v>
      </c>
      <c r="K2844" s="1">
        <v>0.03</v>
      </c>
      <c r="L2844" s="42">
        <v>10</v>
      </c>
      <c r="M2844" s="43"/>
      <c r="N2844" s="1" t="e">
        <f>VLOOKUP(B2844,MICRO!E:L,8,0)</f>
        <v>#N/A</v>
      </c>
    </row>
    <row r="2845" spans="1:14" ht="20.25" x14ac:dyDescent="0.25">
      <c r="A2845" s="1">
        <v>9</v>
      </c>
      <c r="B2845" s="159"/>
      <c r="C2845" s="1" t="s">
        <v>2483</v>
      </c>
      <c r="D2845" s="1"/>
      <c r="E2845" s="1"/>
      <c r="F2845" s="1" t="s">
        <v>2485</v>
      </c>
      <c r="G2845" s="1">
        <v>3</v>
      </c>
      <c r="H2845" s="1" t="s">
        <v>19</v>
      </c>
      <c r="I2845" s="1" t="s">
        <v>569</v>
      </c>
      <c r="J2845" s="1">
        <v>0.7</v>
      </c>
      <c r="K2845" s="1">
        <v>2.0999999999999996</v>
      </c>
      <c r="L2845" s="42">
        <v>10</v>
      </c>
      <c r="M2845" s="43"/>
      <c r="N2845" s="1" t="e">
        <f>VLOOKUP(B2845,MICRO!E:L,8,0)</f>
        <v>#N/A</v>
      </c>
    </row>
    <row r="2846" spans="1:14" ht="20.25" x14ac:dyDescent="0.25">
      <c r="A2846" s="1">
        <v>10</v>
      </c>
      <c r="B2846" s="159"/>
      <c r="C2846" s="1" t="s">
        <v>2483</v>
      </c>
      <c r="D2846" s="1"/>
      <c r="E2846" s="1"/>
      <c r="F2846" s="1" t="s">
        <v>2486</v>
      </c>
      <c r="G2846" s="1">
        <v>2</v>
      </c>
      <c r="H2846" s="1" t="s">
        <v>19</v>
      </c>
      <c r="I2846" s="1" t="s">
        <v>569</v>
      </c>
      <c r="J2846" s="1">
        <v>0.04</v>
      </c>
      <c r="K2846" s="1">
        <v>0.08</v>
      </c>
      <c r="L2846" s="42">
        <v>10</v>
      </c>
      <c r="M2846" s="43"/>
      <c r="N2846" s="1" t="e">
        <f>VLOOKUP(B2846,MICRO!E:L,8,0)</f>
        <v>#N/A</v>
      </c>
    </row>
    <row r="2847" spans="1:14" ht="20.25" x14ac:dyDescent="0.25">
      <c r="A2847" s="1">
        <v>11</v>
      </c>
      <c r="B2847" s="159"/>
      <c r="C2847" s="1" t="s">
        <v>2483</v>
      </c>
      <c r="D2847" s="1"/>
      <c r="E2847" s="1"/>
      <c r="F2847" s="1" t="s">
        <v>2487</v>
      </c>
      <c r="G2847" s="1">
        <v>2</v>
      </c>
      <c r="H2847" s="1" t="s">
        <v>19</v>
      </c>
      <c r="I2847" s="1" t="s">
        <v>569</v>
      </c>
      <c r="J2847" s="1">
        <v>0.03</v>
      </c>
      <c r="K2847" s="1">
        <v>0.06</v>
      </c>
      <c r="L2847" s="42">
        <v>10</v>
      </c>
      <c r="M2847" s="43"/>
      <c r="N2847" s="1" t="e">
        <f>VLOOKUP(B2847,MICRO!E:L,8,0)</f>
        <v>#N/A</v>
      </c>
    </row>
    <row r="2848" spans="1:14" ht="20.25" x14ac:dyDescent="0.25">
      <c r="A2848" s="1">
        <v>12</v>
      </c>
      <c r="B2848" s="159"/>
      <c r="C2848" s="1" t="s">
        <v>2488</v>
      </c>
      <c r="D2848" s="1"/>
      <c r="E2848" s="1"/>
      <c r="F2848" s="1" t="s">
        <v>1911</v>
      </c>
      <c r="G2848" s="1">
        <v>2</v>
      </c>
      <c r="H2848" s="1" t="s">
        <v>19</v>
      </c>
      <c r="I2848" s="1" t="s">
        <v>571</v>
      </c>
      <c r="J2848" s="1">
        <v>0.02</v>
      </c>
      <c r="K2848" s="1">
        <v>0.04</v>
      </c>
      <c r="L2848" s="42">
        <v>10</v>
      </c>
      <c r="M2848" s="43"/>
      <c r="N2848" s="1" t="e">
        <f>VLOOKUP(B2848,MICRO!E:L,8,0)</f>
        <v>#N/A</v>
      </c>
    </row>
    <row r="2849" spans="1:14" ht="20.25" x14ac:dyDescent="0.25">
      <c r="A2849" s="1">
        <v>13</v>
      </c>
      <c r="B2849" s="159"/>
      <c r="C2849" s="1" t="s">
        <v>2488</v>
      </c>
      <c r="D2849" s="1"/>
      <c r="E2849" s="1"/>
      <c r="F2849" s="1" t="s">
        <v>2479</v>
      </c>
      <c r="G2849" s="1">
        <v>2</v>
      </c>
      <c r="H2849" s="1" t="s">
        <v>19</v>
      </c>
      <c r="I2849" s="1" t="s">
        <v>571</v>
      </c>
      <c r="J2849" s="1">
        <v>0.01</v>
      </c>
      <c r="K2849" s="1">
        <v>0.02</v>
      </c>
      <c r="L2849" s="42">
        <v>10</v>
      </c>
      <c r="M2849" s="43"/>
      <c r="N2849" s="1" t="e">
        <f>VLOOKUP(B2849,MICRO!E:L,8,0)</f>
        <v>#N/A</v>
      </c>
    </row>
    <row r="2850" spans="1:14" ht="20.25" x14ac:dyDescent="0.25">
      <c r="A2850" s="1">
        <v>14</v>
      </c>
      <c r="B2850" s="159"/>
      <c r="C2850" s="1" t="s">
        <v>2488</v>
      </c>
      <c r="D2850" s="1"/>
      <c r="E2850" s="1"/>
      <c r="F2850" s="1" t="s">
        <v>2480</v>
      </c>
      <c r="G2850" s="1">
        <v>3</v>
      </c>
      <c r="H2850" s="1" t="s">
        <v>19</v>
      </c>
      <c r="I2850" s="1" t="s">
        <v>571</v>
      </c>
      <c r="J2850" s="1">
        <v>0.02</v>
      </c>
      <c r="K2850" s="1">
        <v>0.06</v>
      </c>
      <c r="L2850" s="42">
        <v>10</v>
      </c>
      <c r="M2850" s="43"/>
      <c r="N2850" s="1" t="e">
        <f>VLOOKUP(B2850,MICRO!E:L,8,0)</f>
        <v>#N/A</v>
      </c>
    </row>
    <row r="2851" spans="1:14" ht="20.25" x14ac:dyDescent="0.25">
      <c r="A2851" s="1">
        <v>15</v>
      </c>
      <c r="B2851" s="159"/>
      <c r="C2851" s="1" t="s">
        <v>2488</v>
      </c>
      <c r="D2851" s="1"/>
      <c r="E2851" s="1"/>
      <c r="F2851" s="1" t="s">
        <v>2481</v>
      </c>
      <c r="G2851" s="1">
        <v>3</v>
      </c>
      <c r="H2851" s="1" t="s">
        <v>19</v>
      </c>
      <c r="I2851" s="1" t="s">
        <v>571</v>
      </c>
      <c r="J2851" s="1">
        <v>0.03</v>
      </c>
      <c r="K2851" s="1">
        <v>0.09</v>
      </c>
      <c r="L2851" s="42">
        <v>10</v>
      </c>
      <c r="M2851" s="43"/>
      <c r="N2851" s="1" t="e">
        <f>VLOOKUP(B2851,MICRO!E:L,8,0)</f>
        <v>#N/A</v>
      </c>
    </row>
    <row r="2852" spans="1:14" ht="20.25" x14ac:dyDescent="0.25">
      <c r="A2852" s="1">
        <v>16</v>
      </c>
      <c r="B2852" s="159"/>
      <c r="C2852" s="1" t="s">
        <v>2488</v>
      </c>
      <c r="D2852" s="1"/>
      <c r="E2852" s="1"/>
      <c r="F2852" s="1" t="s">
        <v>2489</v>
      </c>
      <c r="G2852" s="1">
        <v>1</v>
      </c>
      <c r="H2852" s="1" t="s">
        <v>19</v>
      </c>
      <c r="I2852" s="1" t="s">
        <v>571</v>
      </c>
      <c r="J2852" s="1">
        <v>2.8</v>
      </c>
      <c r="K2852" s="1">
        <v>2.8</v>
      </c>
      <c r="L2852" s="42">
        <v>10</v>
      </c>
      <c r="M2852" s="43"/>
      <c r="N2852" s="1" t="e">
        <f>VLOOKUP(B2852,MICRO!E:L,8,0)</f>
        <v>#N/A</v>
      </c>
    </row>
    <row r="2853" spans="1:14" ht="20.25" x14ac:dyDescent="0.25">
      <c r="A2853" s="1">
        <v>17</v>
      </c>
      <c r="B2853" s="159"/>
      <c r="C2853" s="1" t="s">
        <v>2488</v>
      </c>
      <c r="D2853" s="1"/>
      <c r="E2853" s="1"/>
      <c r="F2853" s="1" t="s">
        <v>2490</v>
      </c>
      <c r="G2853" s="1">
        <v>2</v>
      </c>
      <c r="H2853" s="1" t="s">
        <v>19</v>
      </c>
      <c r="I2853" s="1" t="s">
        <v>571</v>
      </c>
      <c r="J2853" s="1">
        <v>0.3</v>
      </c>
      <c r="K2853" s="1">
        <v>0.6</v>
      </c>
      <c r="L2853" s="42">
        <v>10</v>
      </c>
      <c r="M2853" s="43"/>
      <c r="N2853" s="1" t="e">
        <f>VLOOKUP(B2853,MICRO!E:L,8,0)</f>
        <v>#N/A</v>
      </c>
    </row>
    <row r="2854" spans="1:14" ht="20.25" x14ac:dyDescent="0.25">
      <c r="A2854" s="1">
        <v>18</v>
      </c>
      <c r="B2854" s="159"/>
      <c r="C2854" s="1" t="s">
        <v>2488</v>
      </c>
      <c r="D2854" s="1"/>
      <c r="E2854" s="1"/>
      <c r="F2854" s="1" t="s">
        <v>2491</v>
      </c>
      <c r="G2854" s="1">
        <v>4</v>
      </c>
      <c r="H2854" s="1" t="s">
        <v>19</v>
      </c>
      <c r="I2854" s="1" t="s">
        <v>571</v>
      </c>
      <c r="J2854" s="1">
        <v>0.2</v>
      </c>
      <c r="K2854" s="1">
        <v>0.8</v>
      </c>
      <c r="L2854" s="42">
        <v>10</v>
      </c>
      <c r="M2854" s="43"/>
      <c r="N2854" s="1" t="e">
        <f>VLOOKUP(B2854,MICRO!E:L,8,0)</f>
        <v>#N/A</v>
      </c>
    </row>
    <row r="2855" spans="1:14" ht="20.25" x14ac:dyDescent="0.25">
      <c r="A2855" s="1">
        <v>19</v>
      </c>
      <c r="B2855" s="159"/>
      <c r="C2855" s="1" t="s">
        <v>2488</v>
      </c>
      <c r="D2855" s="1"/>
      <c r="E2855" s="1"/>
      <c r="F2855" s="1" t="s">
        <v>2492</v>
      </c>
      <c r="G2855" s="1">
        <v>2</v>
      </c>
      <c r="H2855" s="1" t="s">
        <v>19</v>
      </c>
      <c r="I2855" s="1" t="s">
        <v>571</v>
      </c>
      <c r="J2855" s="1">
        <v>0.3</v>
      </c>
      <c r="K2855" s="1">
        <v>0.6</v>
      </c>
      <c r="L2855" s="42">
        <v>10</v>
      </c>
      <c r="M2855" s="43"/>
      <c r="N2855" s="1" t="e">
        <f>VLOOKUP(B2855,MICRO!E:L,8,0)</f>
        <v>#N/A</v>
      </c>
    </row>
    <row r="2856" spans="1:14" ht="20.25" x14ac:dyDescent="0.25">
      <c r="A2856" s="1">
        <v>20</v>
      </c>
      <c r="B2856" s="159"/>
      <c r="C2856" s="1" t="s">
        <v>2488</v>
      </c>
      <c r="D2856" s="1"/>
      <c r="E2856" s="1"/>
      <c r="F2856" s="1" t="s">
        <v>2493</v>
      </c>
      <c r="G2856" s="1">
        <v>4</v>
      </c>
      <c r="H2856" s="1" t="s">
        <v>19</v>
      </c>
      <c r="I2856" s="1" t="s">
        <v>571</v>
      </c>
      <c r="J2856" s="1">
        <v>0.2</v>
      </c>
      <c r="K2856" s="1">
        <v>0.8</v>
      </c>
      <c r="L2856" s="42">
        <v>10</v>
      </c>
      <c r="M2856" s="43"/>
      <c r="N2856" s="1" t="e">
        <f>VLOOKUP(B2856,MICRO!E:L,8,0)</f>
        <v>#N/A</v>
      </c>
    </row>
    <row r="2857" spans="1:14" ht="20.25" x14ac:dyDescent="0.25">
      <c r="A2857" s="1">
        <v>21</v>
      </c>
      <c r="B2857" s="159"/>
      <c r="C2857" s="1" t="s">
        <v>2488</v>
      </c>
      <c r="D2857" s="1"/>
      <c r="E2857" s="1"/>
      <c r="F2857" s="1" t="s">
        <v>2494</v>
      </c>
      <c r="G2857" s="1">
        <v>4</v>
      </c>
      <c r="H2857" s="1" t="s">
        <v>19</v>
      </c>
      <c r="I2857" s="1" t="s">
        <v>571</v>
      </c>
      <c r="J2857" s="1">
        <v>0.3</v>
      </c>
      <c r="K2857" s="1">
        <v>1.2</v>
      </c>
      <c r="L2857" s="42">
        <v>10</v>
      </c>
      <c r="M2857" s="43"/>
      <c r="N2857" s="1" t="e">
        <f>VLOOKUP(B2857,MICRO!E:L,8,0)</f>
        <v>#N/A</v>
      </c>
    </row>
    <row r="2858" spans="1:14" ht="20.25" x14ac:dyDescent="0.25">
      <c r="A2858" s="1">
        <v>22</v>
      </c>
      <c r="B2858" s="159"/>
      <c r="C2858" s="1" t="s">
        <v>2488</v>
      </c>
      <c r="D2858" s="1"/>
      <c r="E2858" s="1"/>
      <c r="F2858" s="1" t="s">
        <v>2495</v>
      </c>
      <c r="G2858" s="1">
        <v>2</v>
      </c>
      <c r="H2858" s="1" t="s">
        <v>19</v>
      </c>
      <c r="I2858" s="1" t="s">
        <v>571</v>
      </c>
      <c r="J2858" s="1">
        <v>0.2</v>
      </c>
      <c r="K2858" s="1">
        <v>0.4</v>
      </c>
      <c r="L2858" s="42">
        <v>10</v>
      </c>
      <c r="M2858" s="43"/>
      <c r="N2858" s="1" t="e">
        <f>VLOOKUP(B2858,MICRO!E:L,8,0)</f>
        <v>#N/A</v>
      </c>
    </row>
    <row r="2859" spans="1:14" ht="20.25" x14ac:dyDescent="0.25">
      <c r="A2859" s="1">
        <v>23</v>
      </c>
      <c r="B2859" s="159"/>
      <c r="C2859" s="1" t="s">
        <v>2488</v>
      </c>
      <c r="D2859" s="1"/>
      <c r="E2859" s="1"/>
      <c r="F2859" s="1" t="s">
        <v>2496</v>
      </c>
      <c r="G2859" s="1">
        <v>2</v>
      </c>
      <c r="H2859" s="1" t="s">
        <v>19</v>
      </c>
      <c r="I2859" s="1" t="s">
        <v>571</v>
      </c>
      <c r="J2859" s="1">
        <v>0.3</v>
      </c>
      <c r="K2859" s="1">
        <v>0.6</v>
      </c>
      <c r="L2859" s="42">
        <v>10</v>
      </c>
      <c r="M2859" s="43"/>
      <c r="N2859" s="1" t="e">
        <f>VLOOKUP(B2859,MICRO!E:L,8,0)</f>
        <v>#N/A</v>
      </c>
    </row>
    <row r="2860" spans="1:14" ht="20.25" x14ac:dyDescent="0.25">
      <c r="A2860" s="1">
        <v>24</v>
      </c>
      <c r="B2860" s="159"/>
      <c r="C2860" s="1" t="s">
        <v>2488</v>
      </c>
      <c r="D2860" s="1"/>
      <c r="E2860" s="1"/>
      <c r="F2860" s="1" t="s">
        <v>2497</v>
      </c>
      <c r="G2860" s="1">
        <v>9</v>
      </c>
      <c r="H2860" s="1" t="s">
        <v>19</v>
      </c>
      <c r="I2860" s="1" t="s">
        <v>571</v>
      </c>
      <c r="J2860" s="1">
        <v>1.5</v>
      </c>
      <c r="K2860" s="1">
        <v>13.5</v>
      </c>
      <c r="L2860" s="42">
        <v>10</v>
      </c>
      <c r="M2860" s="43"/>
      <c r="N2860" s="1" t="e">
        <f>VLOOKUP(B2860,MICRO!E:L,8,0)</f>
        <v>#N/A</v>
      </c>
    </row>
    <row r="2861" spans="1:14" ht="20.25" x14ac:dyDescent="0.25">
      <c r="A2861" s="1">
        <v>25</v>
      </c>
      <c r="B2861" s="159"/>
      <c r="C2861" s="1" t="s">
        <v>2478</v>
      </c>
      <c r="D2861" s="1"/>
      <c r="E2861" s="1"/>
      <c r="F2861" s="1" t="s">
        <v>2490</v>
      </c>
      <c r="G2861" s="1">
        <v>2</v>
      </c>
      <c r="H2861" s="1" t="s">
        <v>19</v>
      </c>
      <c r="I2861" s="1" t="s">
        <v>570</v>
      </c>
      <c r="J2861" s="1">
        <v>0.3</v>
      </c>
      <c r="K2861" s="1">
        <v>0.6</v>
      </c>
      <c r="L2861" s="42">
        <v>10</v>
      </c>
      <c r="M2861" s="43"/>
      <c r="N2861" s="1" t="e">
        <f>VLOOKUP(B2861,MICRO!E:L,8,0)</f>
        <v>#N/A</v>
      </c>
    </row>
    <row r="2862" spans="1:14" ht="20.25" x14ac:dyDescent="0.25">
      <c r="A2862" s="1">
        <v>26</v>
      </c>
      <c r="B2862" s="159"/>
      <c r="C2862" s="1" t="s">
        <v>2478</v>
      </c>
      <c r="D2862" s="1"/>
      <c r="E2862" s="1"/>
      <c r="F2862" s="1" t="s">
        <v>2491</v>
      </c>
      <c r="G2862" s="1">
        <v>4</v>
      </c>
      <c r="H2862" s="1" t="s">
        <v>19</v>
      </c>
      <c r="I2862" s="1" t="s">
        <v>570</v>
      </c>
      <c r="J2862" s="1">
        <v>0.2</v>
      </c>
      <c r="K2862" s="1">
        <v>0.8</v>
      </c>
      <c r="L2862" s="42">
        <v>10</v>
      </c>
      <c r="M2862" s="43"/>
      <c r="N2862" s="1" t="e">
        <f>VLOOKUP(B2862,MICRO!E:L,8,0)</f>
        <v>#N/A</v>
      </c>
    </row>
    <row r="2863" spans="1:14" ht="20.25" x14ac:dyDescent="0.25">
      <c r="A2863" s="1">
        <v>27</v>
      </c>
      <c r="B2863" s="159"/>
      <c r="C2863" s="1" t="s">
        <v>2478</v>
      </c>
      <c r="D2863" s="1"/>
      <c r="E2863" s="1"/>
      <c r="F2863" s="1" t="s">
        <v>2492</v>
      </c>
      <c r="G2863" s="1">
        <v>2</v>
      </c>
      <c r="H2863" s="1" t="s">
        <v>19</v>
      </c>
      <c r="I2863" s="1" t="s">
        <v>570</v>
      </c>
      <c r="J2863" s="1">
        <v>0.3</v>
      </c>
      <c r="K2863" s="1">
        <v>0.6</v>
      </c>
      <c r="L2863" s="42">
        <v>10</v>
      </c>
      <c r="M2863" s="43"/>
      <c r="N2863" s="1" t="e">
        <f>VLOOKUP(B2863,MICRO!E:L,8,0)</f>
        <v>#N/A</v>
      </c>
    </row>
    <row r="2864" spans="1:14" ht="20.25" x14ac:dyDescent="0.25">
      <c r="A2864" s="1">
        <v>28</v>
      </c>
      <c r="B2864" s="159"/>
      <c r="C2864" s="1" t="s">
        <v>2478</v>
      </c>
      <c r="D2864" s="1"/>
      <c r="E2864" s="1"/>
      <c r="F2864" s="1" t="s">
        <v>2493</v>
      </c>
      <c r="G2864" s="1">
        <v>4</v>
      </c>
      <c r="H2864" s="1" t="s">
        <v>19</v>
      </c>
      <c r="I2864" s="1" t="s">
        <v>570</v>
      </c>
      <c r="J2864" s="1">
        <v>0.2</v>
      </c>
      <c r="K2864" s="1">
        <v>0.8</v>
      </c>
      <c r="L2864" s="42">
        <v>10</v>
      </c>
      <c r="M2864" s="43"/>
      <c r="N2864" s="1" t="e">
        <f>VLOOKUP(B2864,MICRO!E:L,8,0)</f>
        <v>#N/A</v>
      </c>
    </row>
    <row r="2865" spans="1:14" ht="20.25" x14ac:dyDescent="0.25">
      <c r="A2865" s="1">
        <v>29</v>
      </c>
      <c r="B2865" s="159"/>
      <c r="C2865" s="1" t="s">
        <v>2478</v>
      </c>
      <c r="D2865" s="1"/>
      <c r="E2865" s="1"/>
      <c r="F2865" s="1" t="s">
        <v>2494</v>
      </c>
      <c r="G2865" s="1">
        <v>4</v>
      </c>
      <c r="H2865" s="1" t="s">
        <v>19</v>
      </c>
      <c r="I2865" s="1" t="s">
        <v>570</v>
      </c>
      <c r="J2865" s="1">
        <v>0.3</v>
      </c>
      <c r="K2865" s="1">
        <v>1.2</v>
      </c>
      <c r="L2865" s="42">
        <v>10</v>
      </c>
      <c r="M2865" s="43"/>
      <c r="N2865" s="1" t="e">
        <f>VLOOKUP(B2865,MICRO!E:L,8,0)</f>
        <v>#N/A</v>
      </c>
    </row>
    <row r="2866" spans="1:14" ht="20.25" x14ac:dyDescent="0.25">
      <c r="A2866" s="1">
        <v>30</v>
      </c>
      <c r="B2866" s="159"/>
      <c r="C2866" s="1" t="s">
        <v>2478</v>
      </c>
      <c r="D2866" s="1"/>
      <c r="E2866" s="1"/>
      <c r="F2866" s="1" t="s">
        <v>2495</v>
      </c>
      <c r="G2866" s="1">
        <v>2</v>
      </c>
      <c r="H2866" s="1" t="s">
        <v>19</v>
      </c>
      <c r="I2866" s="1" t="s">
        <v>570</v>
      </c>
      <c r="J2866" s="1">
        <v>0.2</v>
      </c>
      <c r="K2866" s="1">
        <v>0.4</v>
      </c>
      <c r="L2866" s="42">
        <v>10</v>
      </c>
      <c r="M2866" s="43"/>
      <c r="N2866" s="1" t="e">
        <f>VLOOKUP(B2866,MICRO!E:L,8,0)</f>
        <v>#N/A</v>
      </c>
    </row>
    <row r="2867" spans="1:14" ht="20.25" x14ac:dyDescent="0.25">
      <c r="A2867" s="1">
        <v>31</v>
      </c>
      <c r="B2867" s="159"/>
      <c r="C2867" s="1" t="s">
        <v>2478</v>
      </c>
      <c r="D2867" s="1"/>
      <c r="E2867" s="1"/>
      <c r="F2867" s="1" t="s">
        <v>2496</v>
      </c>
      <c r="G2867" s="1">
        <v>2</v>
      </c>
      <c r="H2867" s="1" t="s">
        <v>19</v>
      </c>
      <c r="I2867" s="1" t="s">
        <v>570</v>
      </c>
      <c r="J2867" s="1">
        <v>0.3</v>
      </c>
      <c r="K2867" s="1">
        <v>0.6</v>
      </c>
      <c r="L2867" s="42">
        <v>10</v>
      </c>
      <c r="M2867" s="43"/>
      <c r="N2867" s="1" t="e">
        <f>VLOOKUP(B2867,MICRO!E:L,8,0)</f>
        <v>#N/A</v>
      </c>
    </row>
    <row r="2868" spans="1:14" ht="20.25" x14ac:dyDescent="0.25">
      <c r="A2868" s="1">
        <v>32</v>
      </c>
      <c r="B2868" s="159"/>
      <c r="C2868" s="1" t="s">
        <v>2478</v>
      </c>
      <c r="D2868" s="1"/>
      <c r="E2868" s="1"/>
      <c r="F2868" s="1" t="s">
        <v>2498</v>
      </c>
      <c r="G2868" s="1">
        <v>1</v>
      </c>
      <c r="H2868" s="1" t="s">
        <v>19</v>
      </c>
      <c r="I2868" s="1" t="s">
        <v>570</v>
      </c>
      <c r="J2868" s="1">
        <v>2.8</v>
      </c>
      <c r="K2868" s="1">
        <v>2.8</v>
      </c>
      <c r="L2868" s="42">
        <v>10</v>
      </c>
      <c r="M2868" s="43"/>
      <c r="N2868" s="1" t="e">
        <f>VLOOKUP(B2868,MICRO!E:L,8,0)</f>
        <v>#N/A</v>
      </c>
    </row>
    <row r="2869" spans="1:14" ht="20.25" x14ac:dyDescent="0.25">
      <c r="A2869" s="1">
        <v>33</v>
      </c>
      <c r="B2869" s="159"/>
      <c r="C2869" s="1" t="s">
        <v>2478</v>
      </c>
      <c r="D2869" s="1"/>
      <c r="E2869" s="1"/>
      <c r="F2869" s="1" t="s">
        <v>2497</v>
      </c>
      <c r="G2869" s="1">
        <v>9</v>
      </c>
      <c r="H2869" s="1"/>
      <c r="I2869" s="1" t="s">
        <v>570</v>
      </c>
      <c r="J2869" s="1">
        <v>1.5</v>
      </c>
      <c r="K2869" s="1">
        <v>13.5</v>
      </c>
      <c r="L2869" s="42">
        <v>10</v>
      </c>
      <c r="M2869" s="43"/>
      <c r="N2869" s="1" t="e">
        <f>VLOOKUP(B2869,MICRO!E:L,8,0)</f>
        <v>#N/A</v>
      </c>
    </row>
    <row r="2870" spans="1:14" ht="20.25" x14ac:dyDescent="0.25">
      <c r="A2870" s="1">
        <v>34</v>
      </c>
      <c r="B2870" s="159"/>
      <c r="C2870" s="1" t="s">
        <v>2499</v>
      </c>
      <c r="D2870" s="1"/>
      <c r="E2870" s="1"/>
      <c r="F2870" s="1" t="s">
        <v>2500</v>
      </c>
      <c r="G2870" s="1">
        <v>10</v>
      </c>
      <c r="H2870" s="1"/>
      <c r="I2870" s="1" t="s">
        <v>569</v>
      </c>
      <c r="J2870" s="1">
        <v>1.5</v>
      </c>
      <c r="K2870" s="1">
        <v>15</v>
      </c>
      <c r="L2870" s="42">
        <v>10</v>
      </c>
      <c r="M2870" s="43"/>
      <c r="N2870" s="1" t="e">
        <f>VLOOKUP(B2870,MICRO!E:L,8,0)</f>
        <v>#N/A</v>
      </c>
    </row>
    <row r="2871" spans="1:14" ht="20.25" x14ac:dyDescent="0.25">
      <c r="A2871" s="1">
        <v>35</v>
      </c>
      <c r="B2871" s="159"/>
      <c r="C2871" s="1" t="s">
        <v>2499</v>
      </c>
      <c r="D2871" s="1"/>
      <c r="E2871" s="1"/>
      <c r="F2871" s="1" t="s">
        <v>2501</v>
      </c>
      <c r="G2871" s="1">
        <v>2</v>
      </c>
      <c r="H2871" s="1" t="s">
        <v>19</v>
      </c>
      <c r="I2871" s="1" t="s">
        <v>569</v>
      </c>
      <c r="J2871" s="1">
        <v>0.3</v>
      </c>
      <c r="K2871" s="1">
        <v>0.6</v>
      </c>
      <c r="L2871" s="42">
        <v>10</v>
      </c>
      <c r="M2871" s="43"/>
      <c r="N2871" s="1" t="e">
        <f>VLOOKUP(B2871,MICRO!E:L,8,0)</f>
        <v>#N/A</v>
      </c>
    </row>
    <row r="2872" spans="1:14" ht="20.25" x14ac:dyDescent="0.25">
      <c r="A2872" s="1">
        <v>36</v>
      </c>
      <c r="B2872" s="159"/>
      <c r="C2872" s="1" t="s">
        <v>2499</v>
      </c>
      <c r="D2872" s="1"/>
      <c r="E2872" s="1"/>
      <c r="F2872" s="1" t="s">
        <v>2502</v>
      </c>
      <c r="G2872" s="1">
        <v>4</v>
      </c>
      <c r="H2872" s="1" t="s">
        <v>19</v>
      </c>
      <c r="I2872" s="1" t="s">
        <v>569</v>
      </c>
      <c r="J2872" s="1">
        <v>0.2</v>
      </c>
      <c r="K2872" s="1">
        <v>0.8</v>
      </c>
      <c r="L2872" s="42">
        <v>10</v>
      </c>
      <c r="M2872" s="43"/>
      <c r="N2872" s="1" t="e">
        <f>VLOOKUP(B2872,MICRO!E:L,8,0)</f>
        <v>#N/A</v>
      </c>
    </row>
    <row r="2873" spans="1:14" ht="20.25" x14ac:dyDescent="0.25">
      <c r="A2873" s="1">
        <v>37</v>
      </c>
      <c r="B2873" s="159"/>
      <c r="C2873" s="1" t="s">
        <v>2499</v>
      </c>
      <c r="D2873" s="1"/>
      <c r="E2873" s="1"/>
      <c r="F2873" s="1" t="s">
        <v>2503</v>
      </c>
      <c r="G2873" s="1">
        <v>2</v>
      </c>
      <c r="H2873" s="1" t="s">
        <v>19</v>
      </c>
      <c r="I2873" s="1" t="s">
        <v>569</v>
      </c>
      <c r="J2873" s="1">
        <v>0.3</v>
      </c>
      <c r="K2873" s="1">
        <v>0.6</v>
      </c>
      <c r="L2873" s="42">
        <v>10</v>
      </c>
      <c r="M2873" s="43"/>
      <c r="N2873" s="1" t="e">
        <f>VLOOKUP(B2873,MICRO!E:L,8,0)</f>
        <v>#N/A</v>
      </c>
    </row>
    <row r="2874" spans="1:14" ht="20.25" x14ac:dyDescent="0.25">
      <c r="A2874" s="1">
        <v>38</v>
      </c>
      <c r="B2874" s="159"/>
      <c r="C2874" s="1" t="s">
        <v>2499</v>
      </c>
      <c r="D2874" s="1"/>
      <c r="E2874" s="1"/>
      <c r="F2874" s="1" t="s">
        <v>2504</v>
      </c>
      <c r="G2874" s="1">
        <v>4</v>
      </c>
      <c r="H2874" s="1" t="s">
        <v>19</v>
      </c>
      <c r="I2874" s="1" t="s">
        <v>569</v>
      </c>
      <c r="J2874" s="1">
        <v>0.2</v>
      </c>
      <c r="K2874" s="1">
        <v>0.8</v>
      </c>
      <c r="L2874" s="42">
        <v>10</v>
      </c>
      <c r="M2874" s="43"/>
      <c r="N2874" s="1" t="e">
        <f>VLOOKUP(B2874,MICRO!E:L,8,0)</f>
        <v>#N/A</v>
      </c>
    </row>
    <row r="2875" spans="1:14" ht="20.25" x14ac:dyDescent="0.25">
      <c r="A2875" s="1">
        <v>39</v>
      </c>
      <c r="B2875" s="159"/>
      <c r="C2875" s="1" t="s">
        <v>2499</v>
      </c>
      <c r="D2875" s="1"/>
      <c r="E2875" s="1"/>
      <c r="F2875" s="1" t="s">
        <v>2505</v>
      </c>
      <c r="G2875" s="1">
        <v>4</v>
      </c>
      <c r="H2875" s="1" t="s">
        <v>19</v>
      </c>
      <c r="I2875" s="1" t="s">
        <v>569</v>
      </c>
      <c r="J2875" s="1">
        <v>0.3</v>
      </c>
      <c r="K2875" s="1">
        <v>1.2</v>
      </c>
      <c r="L2875" s="42">
        <v>10</v>
      </c>
      <c r="M2875" s="43"/>
      <c r="N2875" s="1" t="e">
        <f>VLOOKUP(B2875,MICRO!E:L,8,0)</f>
        <v>#N/A</v>
      </c>
    </row>
    <row r="2876" spans="1:14" ht="20.25" x14ac:dyDescent="0.25">
      <c r="A2876" s="1">
        <v>40</v>
      </c>
      <c r="B2876" s="159"/>
      <c r="C2876" s="1" t="s">
        <v>2499</v>
      </c>
      <c r="D2876" s="1"/>
      <c r="E2876" s="1"/>
      <c r="F2876" s="1" t="s">
        <v>2506</v>
      </c>
      <c r="G2876" s="1">
        <v>2</v>
      </c>
      <c r="H2876" s="1" t="s">
        <v>19</v>
      </c>
      <c r="I2876" s="1" t="s">
        <v>569</v>
      </c>
      <c r="J2876" s="1">
        <v>0.2</v>
      </c>
      <c r="K2876" s="1">
        <v>0.4</v>
      </c>
      <c r="L2876" s="42">
        <v>10</v>
      </c>
      <c r="M2876" s="43"/>
      <c r="N2876" s="1" t="e">
        <f>VLOOKUP(B2876,MICRO!E:L,8,0)</f>
        <v>#N/A</v>
      </c>
    </row>
    <row r="2877" spans="1:14" ht="20.25" x14ac:dyDescent="0.25">
      <c r="A2877" s="1">
        <v>41</v>
      </c>
      <c r="B2877" s="159"/>
      <c r="C2877" s="1" t="s">
        <v>2499</v>
      </c>
      <c r="D2877" s="1"/>
      <c r="E2877" s="1"/>
      <c r="F2877" s="1" t="s">
        <v>2507</v>
      </c>
      <c r="G2877" s="1">
        <v>2</v>
      </c>
      <c r="H2877" s="1" t="s">
        <v>19</v>
      </c>
      <c r="I2877" s="1" t="s">
        <v>569</v>
      </c>
      <c r="J2877" s="1">
        <v>0.3</v>
      </c>
      <c r="K2877" s="1">
        <v>0.6</v>
      </c>
      <c r="L2877" s="42">
        <v>10</v>
      </c>
      <c r="M2877" s="43"/>
      <c r="N2877" s="1" t="e">
        <f>VLOOKUP(B2877,MICRO!E:L,8,0)</f>
        <v>#N/A</v>
      </c>
    </row>
    <row r="2878" spans="1:14" ht="20.25" x14ac:dyDescent="0.25">
      <c r="A2878" s="1">
        <v>42</v>
      </c>
      <c r="B2878" s="159"/>
      <c r="C2878" s="1" t="s">
        <v>2499</v>
      </c>
      <c r="D2878" s="1"/>
      <c r="E2878" s="1"/>
      <c r="F2878" s="1" t="s">
        <v>2508</v>
      </c>
      <c r="G2878" s="1">
        <v>1</v>
      </c>
      <c r="H2878" s="1" t="s">
        <v>19</v>
      </c>
      <c r="I2878" s="1" t="s">
        <v>569</v>
      </c>
      <c r="J2878" s="1">
        <v>2.8</v>
      </c>
      <c r="K2878" s="1">
        <v>2.8</v>
      </c>
      <c r="L2878" s="42">
        <v>10</v>
      </c>
      <c r="M2878" s="43"/>
      <c r="N2878" s="1" t="e">
        <f>VLOOKUP(B2878,MICRO!E:L,8,0)</f>
        <v>#N/A</v>
      </c>
    </row>
    <row r="2879" spans="1:14" ht="20.25" x14ac:dyDescent="0.25">
      <c r="A2879" s="1">
        <v>43</v>
      </c>
      <c r="B2879" s="159"/>
      <c r="C2879" s="1" t="s">
        <v>2509</v>
      </c>
      <c r="D2879" s="1"/>
      <c r="E2879" s="1"/>
      <c r="F2879" s="1" t="s">
        <v>2510</v>
      </c>
      <c r="G2879" s="1">
        <v>1</v>
      </c>
      <c r="H2879" s="1" t="s">
        <v>19</v>
      </c>
      <c r="I2879" s="1" t="s">
        <v>572</v>
      </c>
      <c r="J2879" s="1">
        <v>2.8</v>
      </c>
      <c r="K2879" s="1">
        <v>2.8</v>
      </c>
      <c r="L2879" s="42">
        <v>10</v>
      </c>
      <c r="M2879" s="43"/>
      <c r="N2879" s="1" t="e">
        <f>VLOOKUP(B2879,MICRO!E:L,8,0)</f>
        <v>#N/A</v>
      </c>
    </row>
    <row r="2880" spans="1:14" ht="20.25" x14ac:dyDescent="0.25">
      <c r="A2880" s="1">
        <v>44</v>
      </c>
      <c r="B2880" s="159"/>
      <c r="C2880" s="1" t="s">
        <v>2509</v>
      </c>
      <c r="D2880" s="1"/>
      <c r="E2880" s="1"/>
      <c r="F2880" s="1" t="s">
        <v>2490</v>
      </c>
      <c r="G2880" s="1">
        <v>2</v>
      </c>
      <c r="H2880" s="1" t="s">
        <v>19</v>
      </c>
      <c r="I2880" s="1" t="s">
        <v>572</v>
      </c>
      <c r="J2880" s="1">
        <v>0.3</v>
      </c>
      <c r="K2880" s="1">
        <v>0.6</v>
      </c>
      <c r="L2880" s="42">
        <v>10</v>
      </c>
      <c r="M2880" s="43"/>
      <c r="N2880" s="1" t="e">
        <f>VLOOKUP(B2880,MICRO!E:L,8,0)</f>
        <v>#N/A</v>
      </c>
    </row>
    <row r="2881" spans="1:14" ht="20.25" x14ac:dyDescent="0.25">
      <c r="A2881" s="1">
        <v>45</v>
      </c>
      <c r="B2881" s="159"/>
      <c r="C2881" s="1" t="s">
        <v>2509</v>
      </c>
      <c r="D2881" s="1"/>
      <c r="E2881" s="1"/>
      <c r="F2881" s="1" t="s">
        <v>2491</v>
      </c>
      <c r="G2881" s="1">
        <v>4</v>
      </c>
      <c r="H2881" s="1" t="s">
        <v>19</v>
      </c>
      <c r="I2881" s="1" t="s">
        <v>572</v>
      </c>
      <c r="J2881" s="1">
        <v>0.2</v>
      </c>
      <c r="K2881" s="1">
        <v>0.8</v>
      </c>
      <c r="L2881" s="42">
        <v>10</v>
      </c>
      <c r="M2881" s="43"/>
      <c r="N2881" s="1" t="e">
        <f>VLOOKUP(B2881,MICRO!E:L,8,0)</f>
        <v>#N/A</v>
      </c>
    </row>
    <row r="2882" spans="1:14" ht="20.25" x14ac:dyDescent="0.25">
      <c r="A2882" s="1">
        <v>46</v>
      </c>
      <c r="B2882" s="159"/>
      <c r="C2882" s="1" t="s">
        <v>2509</v>
      </c>
      <c r="D2882" s="1"/>
      <c r="E2882" s="1"/>
      <c r="F2882" s="1" t="s">
        <v>2492</v>
      </c>
      <c r="G2882" s="1">
        <v>2</v>
      </c>
      <c r="H2882" s="1" t="s">
        <v>19</v>
      </c>
      <c r="I2882" s="1" t="s">
        <v>572</v>
      </c>
      <c r="J2882" s="1">
        <v>0.3</v>
      </c>
      <c r="K2882" s="1">
        <v>0.6</v>
      </c>
      <c r="L2882" s="42">
        <v>10</v>
      </c>
      <c r="M2882" s="43"/>
      <c r="N2882" s="1" t="e">
        <f>VLOOKUP(B2882,MICRO!E:L,8,0)</f>
        <v>#N/A</v>
      </c>
    </row>
    <row r="2883" spans="1:14" ht="20.25" x14ac:dyDescent="0.25">
      <c r="A2883" s="1">
        <v>47</v>
      </c>
      <c r="B2883" s="159"/>
      <c r="C2883" s="1" t="s">
        <v>2509</v>
      </c>
      <c r="D2883" s="1"/>
      <c r="E2883" s="1"/>
      <c r="F2883" s="1" t="s">
        <v>2493</v>
      </c>
      <c r="G2883" s="1">
        <v>4</v>
      </c>
      <c r="H2883" s="1" t="s">
        <v>19</v>
      </c>
      <c r="I2883" s="1" t="s">
        <v>572</v>
      </c>
      <c r="J2883" s="1">
        <v>0.2</v>
      </c>
      <c r="K2883" s="1">
        <v>0.8</v>
      </c>
      <c r="L2883" s="42">
        <v>10</v>
      </c>
      <c r="M2883" s="43"/>
      <c r="N2883" s="1" t="e">
        <f>VLOOKUP(B2883,MICRO!E:L,8,0)</f>
        <v>#N/A</v>
      </c>
    </row>
    <row r="2884" spans="1:14" ht="20.25" x14ac:dyDescent="0.25">
      <c r="A2884" s="1">
        <v>48</v>
      </c>
      <c r="B2884" s="159"/>
      <c r="C2884" s="1" t="s">
        <v>2509</v>
      </c>
      <c r="D2884" s="1"/>
      <c r="E2884" s="1"/>
      <c r="F2884" s="1" t="s">
        <v>2494</v>
      </c>
      <c r="G2884" s="1">
        <v>4</v>
      </c>
      <c r="H2884" s="1" t="s">
        <v>19</v>
      </c>
      <c r="I2884" s="1" t="s">
        <v>572</v>
      </c>
      <c r="J2884" s="1">
        <v>0.3</v>
      </c>
      <c r="K2884" s="1">
        <v>1.2</v>
      </c>
      <c r="L2884" s="42">
        <v>10</v>
      </c>
      <c r="M2884" s="43"/>
      <c r="N2884" s="1" t="e">
        <f>VLOOKUP(B2884,MICRO!E:L,8,0)</f>
        <v>#N/A</v>
      </c>
    </row>
    <row r="2885" spans="1:14" ht="20.25" x14ac:dyDescent="0.25">
      <c r="A2885" s="1">
        <v>49</v>
      </c>
      <c r="B2885" s="159"/>
      <c r="C2885" s="1" t="s">
        <v>2509</v>
      </c>
      <c r="D2885" s="1"/>
      <c r="E2885" s="1"/>
      <c r="F2885" s="1" t="s">
        <v>2495</v>
      </c>
      <c r="G2885" s="1">
        <v>2</v>
      </c>
      <c r="H2885" s="1" t="s">
        <v>19</v>
      </c>
      <c r="I2885" s="1" t="s">
        <v>572</v>
      </c>
      <c r="J2885" s="1">
        <v>0.2</v>
      </c>
      <c r="K2885" s="1">
        <v>0.4</v>
      </c>
      <c r="L2885" s="42">
        <v>10</v>
      </c>
      <c r="M2885" s="43"/>
      <c r="N2885" s="1" t="e">
        <f>VLOOKUP(B2885,MICRO!E:L,8,0)</f>
        <v>#N/A</v>
      </c>
    </row>
    <row r="2886" spans="1:14" ht="20.25" x14ac:dyDescent="0.25">
      <c r="A2886" s="1">
        <v>50</v>
      </c>
      <c r="B2886" s="159"/>
      <c r="C2886" s="1" t="s">
        <v>2509</v>
      </c>
      <c r="D2886" s="1"/>
      <c r="E2886" s="1"/>
      <c r="F2886" s="1" t="s">
        <v>2496</v>
      </c>
      <c r="G2886" s="1">
        <v>1</v>
      </c>
      <c r="H2886" s="1" t="s">
        <v>19</v>
      </c>
      <c r="I2886" s="1" t="s">
        <v>572</v>
      </c>
      <c r="J2886" s="1">
        <v>0.3</v>
      </c>
      <c r="K2886" s="1">
        <v>0.3</v>
      </c>
      <c r="L2886" s="42">
        <v>10</v>
      </c>
      <c r="M2886" s="43"/>
      <c r="N2886" s="1" t="e">
        <f>VLOOKUP(B2886,MICRO!E:L,8,0)</f>
        <v>#N/A</v>
      </c>
    </row>
    <row r="2887" spans="1:14" ht="20.25" x14ac:dyDescent="0.25">
      <c r="A2887" s="1">
        <v>51</v>
      </c>
      <c r="B2887" s="159"/>
      <c r="C2887" s="1" t="s">
        <v>2509</v>
      </c>
      <c r="D2887" s="1"/>
      <c r="E2887" s="1"/>
      <c r="F2887" s="1" t="s">
        <v>2497</v>
      </c>
      <c r="G2887" s="1">
        <v>7</v>
      </c>
      <c r="H2887" s="1"/>
      <c r="I2887" s="1" t="s">
        <v>572</v>
      </c>
      <c r="J2887" s="1">
        <v>1.5</v>
      </c>
      <c r="K2887" s="1">
        <v>10.5</v>
      </c>
      <c r="L2887" s="42">
        <v>10</v>
      </c>
      <c r="M2887" s="43"/>
      <c r="N2887" s="1" t="e">
        <f>VLOOKUP(B2887,MICRO!E:L,8,0)</f>
        <v>#N/A</v>
      </c>
    </row>
    <row r="2888" spans="1:14" ht="20.25" x14ac:dyDescent="0.25">
      <c r="A2888" s="1">
        <v>52</v>
      </c>
      <c r="B2888" s="159"/>
      <c r="C2888" s="1"/>
      <c r="D2888" s="1" t="s">
        <v>2135</v>
      </c>
      <c r="E2888" s="1"/>
      <c r="F2888" s="1" t="s">
        <v>2136</v>
      </c>
      <c r="G2888" s="1">
        <v>280</v>
      </c>
      <c r="H2888" s="1" t="s">
        <v>19</v>
      </c>
      <c r="I2888" s="1" t="s">
        <v>569</v>
      </c>
      <c r="J2888" s="1">
        <v>0.05</v>
      </c>
      <c r="K2888" s="1">
        <v>14</v>
      </c>
      <c r="L2888" s="42">
        <v>10</v>
      </c>
      <c r="M2888" s="43"/>
      <c r="N2888" s="1" t="e">
        <f>VLOOKUP(B2888,MICRO!E:L,8,0)</f>
        <v>#N/A</v>
      </c>
    </row>
    <row r="2889" spans="1:14" ht="20.25" x14ac:dyDescent="0.25">
      <c r="A2889" s="1">
        <v>53</v>
      </c>
      <c r="B2889" s="159"/>
      <c r="C2889" s="1"/>
      <c r="D2889" s="1" t="s">
        <v>2135</v>
      </c>
      <c r="E2889" s="1"/>
      <c r="F2889" s="1" t="s">
        <v>2137</v>
      </c>
      <c r="G2889" s="1">
        <v>16</v>
      </c>
      <c r="H2889" s="1" t="s">
        <v>19</v>
      </c>
      <c r="I2889" s="1" t="s">
        <v>569</v>
      </c>
      <c r="J2889" s="1">
        <v>0.05</v>
      </c>
      <c r="K2889" s="1">
        <v>0.8</v>
      </c>
      <c r="L2889" s="42">
        <v>10</v>
      </c>
      <c r="M2889" s="43"/>
      <c r="N2889" s="1" t="e">
        <f>VLOOKUP(B2889,MICRO!E:L,8,0)</f>
        <v>#N/A</v>
      </c>
    </row>
    <row r="2890" spans="1:14" ht="20.25" x14ac:dyDescent="0.25">
      <c r="A2890" s="1">
        <v>54</v>
      </c>
      <c r="B2890" s="159"/>
      <c r="C2890" s="1"/>
      <c r="D2890" s="1" t="s">
        <v>2135</v>
      </c>
      <c r="E2890" s="1"/>
      <c r="F2890" s="1" t="s">
        <v>2138</v>
      </c>
      <c r="G2890" s="1">
        <v>8</v>
      </c>
      <c r="H2890" s="1" t="s">
        <v>19</v>
      </c>
      <c r="I2890" s="1" t="s">
        <v>569</v>
      </c>
      <c r="J2890" s="1">
        <v>0.05</v>
      </c>
      <c r="K2890" s="1">
        <v>0.4</v>
      </c>
      <c r="L2890" s="42">
        <v>10</v>
      </c>
      <c r="M2890" s="43"/>
      <c r="N2890" s="1" t="e">
        <f>VLOOKUP(B2890,MICRO!E:L,8,0)</f>
        <v>#N/A</v>
      </c>
    </row>
    <row r="2891" spans="1:14" ht="20.25" x14ac:dyDescent="0.25">
      <c r="A2891" s="1">
        <v>55</v>
      </c>
      <c r="B2891" s="159"/>
      <c r="C2891" s="1"/>
      <c r="D2891" s="1" t="s">
        <v>2135</v>
      </c>
      <c r="E2891" s="1"/>
      <c r="F2891" s="1" t="s">
        <v>2139</v>
      </c>
      <c r="G2891" s="1">
        <v>256</v>
      </c>
      <c r="H2891" s="1" t="s">
        <v>19</v>
      </c>
      <c r="I2891" s="1" t="s">
        <v>569</v>
      </c>
      <c r="J2891" s="1">
        <v>0.03</v>
      </c>
      <c r="K2891" s="1">
        <v>7.68</v>
      </c>
      <c r="L2891" s="42">
        <v>10</v>
      </c>
      <c r="M2891" s="43"/>
      <c r="N2891" s="1" t="e">
        <f>VLOOKUP(B2891,MICRO!E:L,8,0)</f>
        <v>#N/A</v>
      </c>
    </row>
    <row r="2892" spans="1:14" ht="20.25" x14ac:dyDescent="0.25">
      <c r="A2892" s="1">
        <v>56</v>
      </c>
      <c r="B2892" s="159"/>
      <c r="C2892" s="1"/>
      <c r="D2892" s="1" t="s">
        <v>2135</v>
      </c>
      <c r="E2892" s="1"/>
      <c r="F2892" s="1" t="s">
        <v>2140</v>
      </c>
      <c r="G2892" s="1">
        <v>296</v>
      </c>
      <c r="H2892" s="1" t="s">
        <v>19</v>
      </c>
      <c r="I2892" s="1" t="s">
        <v>569</v>
      </c>
      <c r="J2892" s="1">
        <v>0.02</v>
      </c>
      <c r="K2892" s="1">
        <v>5.92</v>
      </c>
      <c r="L2892" s="42">
        <v>10</v>
      </c>
      <c r="M2892" s="43"/>
      <c r="N2892" s="1" t="e">
        <f>VLOOKUP(B2892,MICRO!E:L,8,0)</f>
        <v>#N/A</v>
      </c>
    </row>
    <row r="2893" spans="1:14" ht="20.25" x14ac:dyDescent="0.25">
      <c r="A2893" s="1">
        <v>57</v>
      </c>
      <c r="B2893" s="159"/>
      <c r="C2893" s="1"/>
      <c r="D2893" s="1" t="s">
        <v>2141</v>
      </c>
      <c r="E2893" s="1"/>
      <c r="F2893" s="1" t="s">
        <v>2142</v>
      </c>
      <c r="G2893" s="1">
        <v>252</v>
      </c>
      <c r="H2893" s="1" t="s">
        <v>19</v>
      </c>
      <c r="I2893" s="1" t="s">
        <v>570</v>
      </c>
      <c r="J2893" s="1">
        <v>0.05</v>
      </c>
      <c r="K2893" s="1">
        <v>12.600000000000001</v>
      </c>
      <c r="L2893" s="42">
        <v>10</v>
      </c>
      <c r="M2893" s="43"/>
      <c r="N2893" s="1" t="e">
        <f>VLOOKUP(B2893,MICRO!E:L,8,0)</f>
        <v>#N/A</v>
      </c>
    </row>
    <row r="2894" spans="1:14" ht="20.25" x14ac:dyDescent="0.25">
      <c r="A2894" s="1">
        <v>58</v>
      </c>
      <c r="B2894" s="159"/>
      <c r="C2894" s="1"/>
      <c r="D2894" s="1" t="s">
        <v>2141</v>
      </c>
      <c r="E2894" s="1"/>
      <c r="F2894" s="1" t="s">
        <v>2143</v>
      </c>
      <c r="G2894" s="1">
        <v>16</v>
      </c>
      <c r="H2894" s="1" t="s">
        <v>19</v>
      </c>
      <c r="I2894" s="1" t="s">
        <v>570</v>
      </c>
      <c r="J2894" s="1">
        <v>0.05</v>
      </c>
      <c r="K2894" s="1">
        <v>0.8</v>
      </c>
      <c r="L2894" s="42">
        <v>10</v>
      </c>
      <c r="M2894" s="43"/>
      <c r="N2894" s="1" t="e">
        <f>VLOOKUP(B2894,MICRO!E:L,8,0)</f>
        <v>#N/A</v>
      </c>
    </row>
    <row r="2895" spans="1:14" ht="20.25" x14ac:dyDescent="0.25">
      <c r="A2895" s="1">
        <v>59</v>
      </c>
      <c r="B2895" s="159"/>
      <c r="C2895" s="1"/>
      <c r="D2895" s="1" t="s">
        <v>2141</v>
      </c>
      <c r="E2895" s="1"/>
      <c r="F2895" s="1" t="s">
        <v>2144</v>
      </c>
      <c r="G2895" s="1">
        <v>8</v>
      </c>
      <c r="H2895" s="1" t="s">
        <v>19</v>
      </c>
      <c r="I2895" s="1" t="s">
        <v>570</v>
      </c>
      <c r="J2895" s="1">
        <v>0.05</v>
      </c>
      <c r="K2895" s="1">
        <v>0.4</v>
      </c>
      <c r="L2895" s="42">
        <v>10</v>
      </c>
      <c r="M2895" s="43"/>
      <c r="N2895" s="1" t="e">
        <f>VLOOKUP(B2895,MICRO!E:L,8,0)</f>
        <v>#N/A</v>
      </c>
    </row>
    <row r="2896" spans="1:14" ht="20.25" x14ac:dyDescent="0.25">
      <c r="A2896" s="1">
        <v>60</v>
      </c>
      <c r="B2896" s="159"/>
      <c r="C2896" s="1"/>
      <c r="D2896" s="1" t="s">
        <v>2141</v>
      </c>
      <c r="E2896" s="1"/>
      <c r="F2896" s="1" t="s">
        <v>2145</v>
      </c>
      <c r="G2896" s="1">
        <v>228</v>
      </c>
      <c r="H2896" s="1" t="s">
        <v>19</v>
      </c>
      <c r="I2896" s="1" t="s">
        <v>570</v>
      </c>
      <c r="J2896" s="1">
        <v>0.03</v>
      </c>
      <c r="K2896" s="1">
        <v>6.84</v>
      </c>
      <c r="L2896" s="42">
        <v>10</v>
      </c>
      <c r="M2896" s="43"/>
      <c r="N2896" s="1" t="e">
        <f>VLOOKUP(B2896,MICRO!E:L,8,0)</f>
        <v>#N/A</v>
      </c>
    </row>
    <row r="2897" spans="1:14" ht="20.25" x14ac:dyDescent="0.25">
      <c r="A2897" s="1">
        <v>61</v>
      </c>
      <c r="B2897" s="159"/>
      <c r="C2897" s="1"/>
      <c r="D2897" s="1" t="s">
        <v>2141</v>
      </c>
      <c r="E2897" s="1"/>
      <c r="F2897" s="1" t="s">
        <v>2146</v>
      </c>
      <c r="G2897" s="1">
        <v>268</v>
      </c>
      <c r="H2897" s="1" t="s">
        <v>19</v>
      </c>
      <c r="I2897" s="1" t="s">
        <v>570</v>
      </c>
      <c r="J2897" s="1">
        <v>0.02</v>
      </c>
      <c r="K2897" s="1">
        <v>5.36</v>
      </c>
      <c r="L2897" s="42">
        <v>10</v>
      </c>
      <c r="M2897" s="43"/>
      <c r="N2897" s="1" t="e">
        <f>VLOOKUP(B2897,MICRO!E:L,8,0)</f>
        <v>#N/A</v>
      </c>
    </row>
    <row r="2898" spans="1:14" ht="20.25" x14ac:dyDescent="0.25">
      <c r="A2898" s="1">
        <v>62</v>
      </c>
      <c r="B2898" s="159"/>
      <c r="C2898" s="1"/>
      <c r="D2898" s="1" t="s">
        <v>2147</v>
      </c>
      <c r="E2898" s="1"/>
      <c r="F2898" s="1" t="s">
        <v>2148</v>
      </c>
      <c r="G2898" s="1">
        <v>252</v>
      </c>
      <c r="H2898" s="1" t="s">
        <v>19</v>
      </c>
      <c r="I2898" s="1" t="s">
        <v>571</v>
      </c>
      <c r="J2898" s="1">
        <v>0.05</v>
      </c>
      <c r="K2898" s="1">
        <v>12.600000000000001</v>
      </c>
      <c r="L2898" s="42">
        <v>10</v>
      </c>
      <c r="M2898" s="43"/>
      <c r="N2898" s="1" t="e">
        <f>VLOOKUP(B2898,MICRO!E:L,8,0)</f>
        <v>#N/A</v>
      </c>
    </row>
    <row r="2899" spans="1:14" ht="20.25" x14ac:dyDescent="0.25">
      <c r="A2899" s="1">
        <v>63</v>
      </c>
      <c r="B2899" s="159"/>
      <c r="C2899" s="1"/>
      <c r="D2899" s="1" t="s">
        <v>2147</v>
      </c>
      <c r="E2899" s="1"/>
      <c r="F2899" s="1" t="s">
        <v>2149</v>
      </c>
      <c r="G2899" s="1">
        <v>16</v>
      </c>
      <c r="H2899" s="1" t="s">
        <v>19</v>
      </c>
      <c r="I2899" s="1" t="s">
        <v>571</v>
      </c>
      <c r="J2899" s="1">
        <v>0.05</v>
      </c>
      <c r="K2899" s="1">
        <v>0.8</v>
      </c>
      <c r="L2899" s="42">
        <v>10</v>
      </c>
      <c r="M2899" s="43"/>
      <c r="N2899" s="1" t="e">
        <f>VLOOKUP(B2899,MICRO!E:L,8,0)</f>
        <v>#N/A</v>
      </c>
    </row>
    <row r="2900" spans="1:14" ht="20.25" x14ac:dyDescent="0.25">
      <c r="A2900" s="1">
        <v>64</v>
      </c>
      <c r="B2900" s="159"/>
      <c r="C2900" s="1"/>
      <c r="D2900" s="1" t="s">
        <v>2147</v>
      </c>
      <c r="E2900" s="1"/>
      <c r="F2900" s="1" t="s">
        <v>2150</v>
      </c>
      <c r="G2900" s="1">
        <v>8</v>
      </c>
      <c r="H2900" s="1" t="s">
        <v>19</v>
      </c>
      <c r="I2900" s="1" t="s">
        <v>571</v>
      </c>
      <c r="J2900" s="1">
        <v>0.05</v>
      </c>
      <c r="K2900" s="1">
        <v>0.4</v>
      </c>
      <c r="L2900" s="42">
        <v>10</v>
      </c>
      <c r="M2900" s="43"/>
      <c r="N2900" s="1" t="e">
        <f>VLOOKUP(B2900,MICRO!E:L,8,0)</f>
        <v>#N/A</v>
      </c>
    </row>
    <row r="2901" spans="1:14" ht="20.25" x14ac:dyDescent="0.25">
      <c r="A2901" s="1">
        <v>65</v>
      </c>
      <c r="B2901" s="159"/>
      <c r="C2901" s="1"/>
      <c r="D2901" s="1" t="s">
        <v>2147</v>
      </c>
      <c r="E2901" s="1"/>
      <c r="F2901" s="1" t="s">
        <v>2151</v>
      </c>
      <c r="G2901" s="1">
        <v>228</v>
      </c>
      <c r="H2901" s="1" t="s">
        <v>19</v>
      </c>
      <c r="I2901" s="1" t="s">
        <v>571</v>
      </c>
      <c r="J2901" s="1">
        <v>0.03</v>
      </c>
      <c r="K2901" s="1">
        <v>6.84</v>
      </c>
      <c r="L2901" s="42">
        <v>10</v>
      </c>
      <c r="M2901" s="43"/>
      <c r="N2901" s="1" t="e">
        <f>VLOOKUP(B2901,MICRO!E:L,8,0)</f>
        <v>#N/A</v>
      </c>
    </row>
    <row r="2902" spans="1:14" ht="20.25" x14ac:dyDescent="0.25">
      <c r="A2902" s="1">
        <v>66</v>
      </c>
      <c r="B2902" s="159"/>
      <c r="C2902" s="1"/>
      <c r="D2902" s="1" t="s">
        <v>2147</v>
      </c>
      <c r="E2902" s="1"/>
      <c r="F2902" s="1" t="s">
        <v>2152</v>
      </c>
      <c r="G2902" s="1">
        <v>268</v>
      </c>
      <c r="H2902" s="1" t="s">
        <v>19</v>
      </c>
      <c r="I2902" s="1" t="s">
        <v>571</v>
      </c>
      <c r="J2902" s="1">
        <v>0.02</v>
      </c>
      <c r="K2902" s="1">
        <v>5.36</v>
      </c>
      <c r="L2902" s="42">
        <v>10</v>
      </c>
      <c r="M2902" s="43"/>
      <c r="N2902" s="1" t="e">
        <f>VLOOKUP(B2902,MICRO!E:L,8,0)</f>
        <v>#N/A</v>
      </c>
    </row>
    <row r="2903" spans="1:14" ht="20.25" x14ac:dyDescent="0.25">
      <c r="A2903" s="1">
        <v>67</v>
      </c>
      <c r="B2903" s="159"/>
      <c r="C2903" s="1"/>
      <c r="D2903" s="1" t="s">
        <v>2153</v>
      </c>
      <c r="E2903" s="1"/>
      <c r="F2903" s="1" t="s">
        <v>2154</v>
      </c>
      <c r="G2903" s="1">
        <v>182</v>
      </c>
      <c r="H2903" s="1" t="s">
        <v>19</v>
      </c>
      <c r="I2903" s="1" t="s">
        <v>572</v>
      </c>
      <c r="J2903" s="1">
        <v>0.05</v>
      </c>
      <c r="K2903" s="1">
        <v>9.1</v>
      </c>
      <c r="L2903" s="42">
        <v>10</v>
      </c>
      <c r="M2903" s="43"/>
      <c r="N2903" s="1" t="e">
        <f>VLOOKUP(B2903,MICRO!E:L,8,0)</f>
        <v>#N/A</v>
      </c>
    </row>
    <row r="2904" spans="1:14" ht="20.25" x14ac:dyDescent="0.25">
      <c r="A2904" s="1">
        <v>68</v>
      </c>
      <c r="B2904" s="159"/>
      <c r="C2904" s="1"/>
      <c r="D2904" s="1" t="s">
        <v>2153</v>
      </c>
      <c r="E2904" s="1"/>
      <c r="F2904" s="1" t="s">
        <v>2155</v>
      </c>
      <c r="G2904" s="1">
        <v>16</v>
      </c>
      <c r="H2904" s="1" t="s">
        <v>19</v>
      </c>
      <c r="I2904" s="1" t="s">
        <v>572</v>
      </c>
      <c r="J2904" s="1">
        <v>0.05</v>
      </c>
      <c r="K2904" s="1">
        <v>0.8</v>
      </c>
      <c r="L2904" s="42">
        <v>10</v>
      </c>
      <c r="M2904" s="43"/>
      <c r="N2904" s="1" t="e">
        <f>VLOOKUP(B2904,MICRO!E:L,8,0)</f>
        <v>#N/A</v>
      </c>
    </row>
    <row r="2905" spans="1:14" ht="20.25" x14ac:dyDescent="0.25">
      <c r="A2905" s="1">
        <v>69</v>
      </c>
      <c r="B2905" s="159"/>
      <c r="C2905" s="1"/>
      <c r="D2905" s="1" t="s">
        <v>2153</v>
      </c>
      <c r="E2905" s="1"/>
      <c r="F2905" s="1" t="s">
        <v>2156</v>
      </c>
      <c r="G2905" s="1">
        <v>8</v>
      </c>
      <c r="H2905" s="1" t="s">
        <v>19</v>
      </c>
      <c r="I2905" s="1" t="s">
        <v>572</v>
      </c>
      <c r="J2905" s="1">
        <v>0.05</v>
      </c>
      <c r="K2905" s="1">
        <v>0.4</v>
      </c>
      <c r="L2905" s="42">
        <v>10</v>
      </c>
      <c r="M2905" s="43"/>
      <c r="N2905" s="1" t="e">
        <f>VLOOKUP(B2905,MICRO!E:L,8,0)</f>
        <v>#N/A</v>
      </c>
    </row>
    <row r="2906" spans="1:14" ht="20.25" x14ac:dyDescent="0.25">
      <c r="A2906" s="1">
        <v>70</v>
      </c>
      <c r="B2906" s="159"/>
      <c r="C2906" s="1"/>
      <c r="D2906" s="1" t="s">
        <v>2153</v>
      </c>
      <c r="E2906" s="1"/>
      <c r="F2906" s="1" t="s">
        <v>2157</v>
      </c>
      <c r="G2906" s="1">
        <v>158</v>
      </c>
      <c r="H2906" s="1" t="s">
        <v>19</v>
      </c>
      <c r="I2906" s="1" t="s">
        <v>572</v>
      </c>
      <c r="J2906" s="1">
        <v>0.03</v>
      </c>
      <c r="K2906" s="1">
        <v>4.74</v>
      </c>
      <c r="L2906" s="42">
        <v>10</v>
      </c>
      <c r="M2906" s="43"/>
      <c r="N2906" s="1" t="e">
        <f>VLOOKUP(B2906,MICRO!E:L,8,0)</f>
        <v>#N/A</v>
      </c>
    </row>
    <row r="2907" spans="1:14" ht="20.25" x14ac:dyDescent="0.25">
      <c r="A2907" s="1">
        <v>71</v>
      </c>
      <c r="B2907" s="159"/>
      <c r="C2907" s="1"/>
      <c r="D2907" s="1" t="s">
        <v>2153</v>
      </c>
      <c r="E2907" s="1"/>
      <c r="F2907" s="1" t="s">
        <v>2158</v>
      </c>
      <c r="G2907" s="1">
        <v>198</v>
      </c>
      <c r="H2907" s="1" t="s">
        <v>19</v>
      </c>
      <c r="I2907" s="1" t="s">
        <v>572</v>
      </c>
      <c r="J2907" s="1">
        <v>0.02</v>
      </c>
      <c r="K2907" s="1">
        <v>3.96</v>
      </c>
      <c r="L2907" s="42">
        <v>10</v>
      </c>
      <c r="M2907" s="43"/>
      <c r="N2907" s="1" t="e">
        <f>VLOOKUP(B2907,MICRO!E:L,8,0)</f>
        <v>#N/A</v>
      </c>
    </row>
    <row r="2908" spans="1:14" ht="20.25" x14ac:dyDescent="0.25">
      <c r="A2908" s="1">
        <v>72</v>
      </c>
      <c r="B2908" s="159"/>
      <c r="C2908" s="1"/>
      <c r="D2908" s="1" t="s">
        <v>2159</v>
      </c>
      <c r="E2908" s="1"/>
      <c r="F2908" s="1" t="s">
        <v>2160</v>
      </c>
      <c r="G2908" s="1">
        <v>36</v>
      </c>
      <c r="H2908" s="1" t="s">
        <v>19</v>
      </c>
      <c r="I2908" s="1" t="s">
        <v>424</v>
      </c>
      <c r="J2908" s="1">
        <v>0.05</v>
      </c>
      <c r="K2908" s="1">
        <v>1.8</v>
      </c>
      <c r="L2908" s="42">
        <v>10</v>
      </c>
      <c r="M2908" s="43"/>
      <c r="N2908" s="1" t="e">
        <f>VLOOKUP(B2908,MICRO!E:L,8,0)</f>
        <v>#N/A</v>
      </c>
    </row>
    <row r="2909" spans="1:14" ht="20.25" x14ac:dyDescent="0.25">
      <c r="A2909" s="1">
        <v>73</v>
      </c>
      <c r="B2909" s="159"/>
      <c r="C2909" s="1"/>
      <c r="D2909" s="1" t="s">
        <v>2159</v>
      </c>
      <c r="E2909" s="1"/>
      <c r="F2909" s="1" t="s">
        <v>2161</v>
      </c>
      <c r="G2909" s="1">
        <v>36</v>
      </c>
      <c r="H2909" s="1" t="s">
        <v>19</v>
      </c>
      <c r="I2909" s="1" t="s">
        <v>424</v>
      </c>
      <c r="J2909" s="1">
        <v>0.03</v>
      </c>
      <c r="K2909" s="1">
        <v>1.08</v>
      </c>
      <c r="L2909" s="42">
        <v>10</v>
      </c>
      <c r="M2909" s="43"/>
      <c r="N2909" s="1" t="e">
        <f>VLOOKUP(B2909,MICRO!E:L,8,0)</f>
        <v>#N/A</v>
      </c>
    </row>
    <row r="2910" spans="1:14" ht="20.25" x14ac:dyDescent="0.25">
      <c r="A2910" s="1">
        <v>74</v>
      </c>
      <c r="B2910" s="159"/>
      <c r="C2910" s="1"/>
      <c r="D2910" s="1" t="s">
        <v>2159</v>
      </c>
      <c r="E2910" s="1"/>
      <c r="F2910" s="1" t="s">
        <v>2162</v>
      </c>
      <c r="G2910" s="1">
        <v>36</v>
      </c>
      <c r="H2910" s="1" t="s">
        <v>19</v>
      </c>
      <c r="I2910" s="1" t="s">
        <v>424</v>
      </c>
      <c r="J2910" s="1">
        <v>0.03</v>
      </c>
      <c r="K2910" s="1">
        <v>1.08</v>
      </c>
      <c r="L2910" s="42">
        <v>10</v>
      </c>
      <c r="M2910" s="43"/>
      <c r="N2910" s="1" t="e">
        <f>VLOOKUP(B2910,MICRO!E:L,8,0)</f>
        <v>#N/A</v>
      </c>
    </row>
    <row r="2911" spans="1:14" ht="20.25" x14ac:dyDescent="0.25">
      <c r="A2911" s="1">
        <v>75</v>
      </c>
      <c r="B2911" s="159"/>
      <c r="C2911" s="1"/>
      <c r="D2911" s="1" t="s">
        <v>2159</v>
      </c>
      <c r="E2911" s="1"/>
      <c r="F2911" s="1" t="s">
        <v>2163</v>
      </c>
      <c r="G2911" s="1">
        <v>18</v>
      </c>
      <c r="H2911" s="1" t="s">
        <v>19</v>
      </c>
      <c r="I2911" s="1" t="s">
        <v>424</v>
      </c>
      <c r="J2911" s="1">
        <v>0.05</v>
      </c>
      <c r="K2911" s="1">
        <v>0.9</v>
      </c>
      <c r="L2911" s="42">
        <v>10</v>
      </c>
      <c r="M2911" s="43"/>
      <c r="N2911" s="1" t="e">
        <f>VLOOKUP(B2911,MICRO!E:L,8,0)</f>
        <v>#N/A</v>
      </c>
    </row>
    <row r="2912" spans="1:14" ht="20.25" x14ac:dyDescent="0.25">
      <c r="A2912" s="1">
        <v>76</v>
      </c>
      <c r="B2912" s="159"/>
      <c r="C2912" s="1"/>
      <c r="D2912" s="1" t="s">
        <v>2159</v>
      </c>
      <c r="E2912" s="1"/>
      <c r="F2912" s="1" t="s">
        <v>2164</v>
      </c>
      <c r="G2912" s="1">
        <v>18</v>
      </c>
      <c r="H2912" s="1" t="s">
        <v>19</v>
      </c>
      <c r="I2912" s="1" t="s">
        <v>424</v>
      </c>
      <c r="J2912" s="1">
        <v>0.03</v>
      </c>
      <c r="K2912" s="1">
        <v>0.54</v>
      </c>
      <c r="L2912" s="42">
        <v>10</v>
      </c>
      <c r="M2912" s="43"/>
      <c r="N2912" s="1" t="e">
        <f>VLOOKUP(B2912,MICRO!E:L,8,0)</f>
        <v>#N/A</v>
      </c>
    </row>
    <row r="2913" spans="1:14" ht="20.25" x14ac:dyDescent="0.25">
      <c r="A2913" s="1">
        <v>77</v>
      </c>
      <c r="B2913" s="159"/>
      <c r="C2913" s="1"/>
      <c r="D2913" s="1" t="s">
        <v>2159</v>
      </c>
      <c r="E2913" s="1"/>
      <c r="F2913" s="1" t="s">
        <v>2165</v>
      </c>
      <c r="G2913" s="1">
        <v>18</v>
      </c>
      <c r="H2913" s="1" t="s">
        <v>19</v>
      </c>
      <c r="I2913" s="1" t="s">
        <v>424</v>
      </c>
      <c r="J2913" s="1">
        <v>0.03</v>
      </c>
      <c r="K2913" s="1">
        <v>0.54</v>
      </c>
      <c r="L2913" s="42">
        <v>10</v>
      </c>
      <c r="M2913" s="43"/>
      <c r="N2913" s="1" t="e">
        <f>VLOOKUP(B2913,MICRO!E:L,8,0)</f>
        <v>#N/A</v>
      </c>
    </row>
    <row r="2914" spans="1:14" ht="20.25" x14ac:dyDescent="0.25">
      <c r="A2914" s="1">
        <v>78</v>
      </c>
      <c r="B2914" s="159"/>
      <c r="C2914" s="1"/>
      <c r="D2914" s="1" t="s">
        <v>2166</v>
      </c>
      <c r="E2914" s="1"/>
      <c r="F2914" s="1" t="s">
        <v>2167</v>
      </c>
      <c r="G2914" s="1">
        <v>27</v>
      </c>
      <c r="H2914" s="1" t="s">
        <v>19</v>
      </c>
      <c r="I2914" s="1" t="s">
        <v>425</v>
      </c>
      <c r="J2914" s="1">
        <v>0.05</v>
      </c>
      <c r="K2914" s="1">
        <v>1.35</v>
      </c>
      <c r="L2914" s="42">
        <v>10</v>
      </c>
      <c r="M2914" s="43"/>
      <c r="N2914" s="1" t="e">
        <f>VLOOKUP(B2914,MICRO!E:L,8,0)</f>
        <v>#N/A</v>
      </c>
    </row>
    <row r="2915" spans="1:14" ht="20.25" x14ac:dyDescent="0.25">
      <c r="A2915" s="1">
        <v>79</v>
      </c>
      <c r="B2915" s="159"/>
      <c r="C2915" s="1"/>
      <c r="D2915" s="1" t="s">
        <v>2166</v>
      </c>
      <c r="E2915" s="1"/>
      <c r="F2915" s="1" t="s">
        <v>2168</v>
      </c>
      <c r="G2915" s="1">
        <v>27</v>
      </c>
      <c r="H2915" s="1" t="s">
        <v>19</v>
      </c>
      <c r="I2915" s="1" t="s">
        <v>425</v>
      </c>
      <c r="J2915" s="1">
        <v>0.03</v>
      </c>
      <c r="K2915" s="1">
        <v>0.80999999999999994</v>
      </c>
      <c r="L2915" s="42">
        <v>10</v>
      </c>
      <c r="M2915" s="43"/>
      <c r="N2915" s="1" t="e">
        <f>VLOOKUP(B2915,MICRO!E:L,8,0)</f>
        <v>#N/A</v>
      </c>
    </row>
    <row r="2916" spans="1:14" ht="20.25" x14ac:dyDescent="0.25">
      <c r="A2916" s="1">
        <v>80</v>
      </c>
      <c r="B2916" s="159"/>
      <c r="C2916" s="1"/>
      <c r="D2916" s="1" t="s">
        <v>2166</v>
      </c>
      <c r="E2916" s="1"/>
      <c r="F2916" s="1" t="s">
        <v>2169</v>
      </c>
      <c r="G2916" s="1">
        <v>27</v>
      </c>
      <c r="H2916" s="1" t="s">
        <v>19</v>
      </c>
      <c r="I2916" s="1" t="s">
        <v>425</v>
      </c>
      <c r="J2916" s="1">
        <v>0.03</v>
      </c>
      <c r="K2916" s="1">
        <v>0.80999999999999994</v>
      </c>
      <c r="L2916" s="42">
        <v>10</v>
      </c>
      <c r="M2916" s="43"/>
      <c r="N2916" s="1" t="e">
        <f>VLOOKUP(B2916,MICRO!E:L,8,0)</f>
        <v>#N/A</v>
      </c>
    </row>
    <row r="2917" spans="1:14" ht="20.25" x14ac:dyDescent="0.25">
      <c r="A2917" s="1">
        <v>81</v>
      </c>
      <c r="B2917" s="159"/>
      <c r="C2917" s="1"/>
      <c r="D2917" s="1" t="s">
        <v>2170</v>
      </c>
      <c r="E2917" s="1"/>
      <c r="F2917" s="1" t="s">
        <v>2171</v>
      </c>
      <c r="G2917" s="1">
        <v>36</v>
      </c>
      <c r="H2917" s="1" t="s">
        <v>19</v>
      </c>
      <c r="I2917" s="1" t="s">
        <v>426</v>
      </c>
      <c r="J2917" s="1">
        <v>0.05</v>
      </c>
      <c r="K2917" s="1">
        <v>1.8</v>
      </c>
      <c r="L2917" s="42">
        <v>10</v>
      </c>
      <c r="M2917" s="43"/>
      <c r="N2917" s="1" t="e">
        <f>VLOOKUP(B2917,MICRO!E:L,8,0)</f>
        <v>#N/A</v>
      </c>
    </row>
    <row r="2918" spans="1:14" ht="20.25" x14ac:dyDescent="0.25">
      <c r="A2918" s="1">
        <v>82</v>
      </c>
      <c r="B2918" s="159"/>
      <c r="C2918" s="1"/>
      <c r="D2918" s="1" t="s">
        <v>2170</v>
      </c>
      <c r="E2918" s="1"/>
      <c r="F2918" s="1" t="s">
        <v>2172</v>
      </c>
      <c r="G2918" s="1">
        <v>36</v>
      </c>
      <c r="H2918" s="1" t="s">
        <v>19</v>
      </c>
      <c r="I2918" s="1" t="s">
        <v>426</v>
      </c>
      <c r="J2918" s="1">
        <v>0.03</v>
      </c>
      <c r="K2918" s="1">
        <v>1.08</v>
      </c>
      <c r="L2918" s="42">
        <v>10</v>
      </c>
      <c r="M2918" s="43"/>
      <c r="N2918" s="1" t="e">
        <f>VLOOKUP(B2918,MICRO!E:L,8,0)</f>
        <v>#N/A</v>
      </c>
    </row>
    <row r="2919" spans="1:14" ht="20.25" x14ac:dyDescent="0.25">
      <c r="A2919" s="1">
        <v>83</v>
      </c>
      <c r="B2919" s="159"/>
      <c r="C2919" s="1"/>
      <c r="D2919" s="1" t="s">
        <v>2170</v>
      </c>
      <c r="E2919" s="1"/>
      <c r="F2919" s="1" t="s">
        <v>2173</v>
      </c>
      <c r="G2919" s="1">
        <v>36</v>
      </c>
      <c r="H2919" s="1" t="s">
        <v>19</v>
      </c>
      <c r="I2919" s="1" t="s">
        <v>426</v>
      </c>
      <c r="J2919" s="1">
        <v>0.03</v>
      </c>
      <c r="K2919" s="1">
        <v>1.08</v>
      </c>
      <c r="L2919" s="42">
        <v>10</v>
      </c>
      <c r="M2919" s="43"/>
      <c r="N2919" s="1" t="e">
        <f>VLOOKUP(B2919,MICRO!E:L,8,0)</f>
        <v>#N/A</v>
      </c>
    </row>
    <row r="2920" spans="1:14" ht="20.25" x14ac:dyDescent="0.25">
      <c r="A2920" s="1">
        <v>84</v>
      </c>
      <c r="B2920" s="159"/>
      <c r="C2920" s="1"/>
      <c r="D2920" s="1" t="s">
        <v>2174</v>
      </c>
      <c r="E2920" s="1"/>
      <c r="F2920" s="1" t="s">
        <v>2175</v>
      </c>
      <c r="G2920" s="1">
        <v>72</v>
      </c>
      <c r="H2920" s="1" t="s">
        <v>19</v>
      </c>
      <c r="I2920" s="1" t="s">
        <v>427</v>
      </c>
      <c r="J2920" s="1">
        <v>0.05</v>
      </c>
      <c r="K2920" s="1">
        <v>3.6</v>
      </c>
      <c r="L2920" s="42">
        <v>10</v>
      </c>
      <c r="M2920" s="43"/>
      <c r="N2920" s="1" t="e">
        <f>VLOOKUP(B2920,MICRO!E:L,8,0)</f>
        <v>#N/A</v>
      </c>
    </row>
    <row r="2921" spans="1:14" ht="20.25" x14ac:dyDescent="0.25">
      <c r="A2921" s="1">
        <v>85</v>
      </c>
      <c r="B2921" s="159"/>
      <c r="C2921" s="1"/>
      <c r="D2921" s="1" t="s">
        <v>2174</v>
      </c>
      <c r="E2921" s="1"/>
      <c r="F2921" s="1" t="s">
        <v>2176</v>
      </c>
      <c r="G2921" s="1">
        <v>72</v>
      </c>
      <c r="H2921" s="1" t="s">
        <v>19</v>
      </c>
      <c r="I2921" s="1" t="s">
        <v>427</v>
      </c>
      <c r="J2921" s="1">
        <v>0.03</v>
      </c>
      <c r="K2921" s="1">
        <v>2.16</v>
      </c>
      <c r="L2921" s="42">
        <v>10</v>
      </c>
      <c r="M2921" s="43"/>
      <c r="N2921" s="1" t="e">
        <f>VLOOKUP(B2921,MICRO!E:L,8,0)</f>
        <v>#N/A</v>
      </c>
    </row>
    <row r="2922" spans="1:14" ht="20.25" x14ac:dyDescent="0.25">
      <c r="A2922" s="1">
        <v>86</v>
      </c>
      <c r="B2922" s="159"/>
      <c r="C2922" s="1"/>
      <c r="D2922" s="1" t="s">
        <v>2174</v>
      </c>
      <c r="E2922" s="1"/>
      <c r="F2922" s="1" t="s">
        <v>2177</v>
      </c>
      <c r="G2922" s="1">
        <v>72</v>
      </c>
      <c r="H2922" s="1" t="s">
        <v>19</v>
      </c>
      <c r="I2922" s="1" t="s">
        <v>427</v>
      </c>
      <c r="J2922" s="1">
        <v>0.03</v>
      </c>
      <c r="K2922" s="1">
        <v>2.16</v>
      </c>
      <c r="L2922" s="42">
        <v>10</v>
      </c>
      <c r="M2922" s="43"/>
      <c r="N2922" s="1" t="e">
        <f>VLOOKUP(B2922,MICRO!E:L,8,0)</f>
        <v>#N/A</v>
      </c>
    </row>
    <row r="2923" spans="1:14" ht="20.25" x14ac:dyDescent="0.25">
      <c r="A2923" s="1">
        <v>87</v>
      </c>
      <c r="B2923" s="159"/>
      <c r="C2923" s="1" t="s">
        <v>2483</v>
      </c>
      <c r="D2923" s="1" t="s">
        <v>2511</v>
      </c>
      <c r="E2923" s="1"/>
      <c r="F2923" s="1" t="s">
        <v>2121</v>
      </c>
      <c r="G2923" s="1">
        <v>8</v>
      </c>
      <c r="H2923" s="1" t="s">
        <v>19</v>
      </c>
      <c r="I2923" s="1" t="s">
        <v>569</v>
      </c>
      <c r="J2923" s="1">
        <v>1.5</v>
      </c>
      <c r="K2923" s="1">
        <v>12</v>
      </c>
      <c r="L2923" s="42">
        <v>10</v>
      </c>
      <c r="M2923" s="43"/>
      <c r="N2923" s="1" t="e">
        <f>VLOOKUP(B2923,MICRO!E:L,8,0)</f>
        <v>#N/A</v>
      </c>
    </row>
    <row r="2924" spans="1:14" ht="20.25" x14ac:dyDescent="0.25">
      <c r="A2924" s="1">
        <v>88</v>
      </c>
      <c r="B2924" s="159"/>
      <c r="C2924" s="1" t="s">
        <v>2483</v>
      </c>
      <c r="D2924" s="1" t="s">
        <v>2511</v>
      </c>
      <c r="E2924" s="1"/>
      <c r="F2924" s="1" t="s">
        <v>2512</v>
      </c>
      <c r="G2924" s="1">
        <v>5</v>
      </c>
      <c r="H2924" s="1" t="s">
        <v>19</v>
      </c>
      <c r="I2924" s="1" t="s">
        <v>569</v>
      </c>
      <c r="J2924" s="1">
        <v>1.5</v>
      </c>
      <c r="K2924" s="1">
        <v>7.5</v>
      </c>
      <c r="L2924" s="42">
        <v>10</v>
      </c>
      <c r="M2924" s="43"/>
      <c r="N2924" s="1" t="e">
        <f>VLOOKUP(B2924,MICRO!E:L,8,0)</f>
        <v>#N/A</v>
      </c>
    </row>
    <row r="2925" spans="1:14" ht="20.25" x14ac:dyDescent="0.25">
      <c r="A2925" s="1">
        <v>89</v>
      </c>
      <c r="B2925" s="159"/>
      <c r="C2925" s="1" t="s">
        <v>2478</v>
      </c>
      <c r="D2925" s="1" t="s">
        <v>2513</v>
      </c>
      <c r="E2925" s="1"/>
      <c r="F2925" s="1" t="s">
        <v>2121</v>
      </c>
      <c r="G2925" s="1">
        <v>7</v>
      </c>
      <c r="H2925" s="1" t="s">
        <v>19</v>
      </c>
      <c r="I2925" s="1" t="s">
        <v>570</v>
      </c>
      <c r="J2925" s="1">
        <v>1.5</v>
      </c>
      <c r="K2925" s="1">
        <v>10.5</v>
      </c>
      <c r="L2925" s="42">
        <v>10</v>
      </c>
      <c r="M2925" s="43"/>
      <c r="N2925" s="1" t="e">
        <f>VLOOKUP(B2925,MICRO!E:L,8,0)</f>
        <v>#N/A</v>
      </c>
    </row>
    <row r="2926" spans="1:14" ht="20.25" x14ac:dyDescent="0.25">
      <c r="A2926" s="1">
        <v>90</v>
      </c>
      <c r="B2926" s="159"/>
      <c r="C2926" s="1" t="s">
        <v>2478</v>
      </c>
      <c r="D2926" s="1" t="s">
        <v>2513</v>
      </c>
      <c r="E2926" s="1"/>
      <c r="F2926" s="1" t="s">
        <v>2512</v>
      </c>
      <c r="G2926" s="1">
        <v>5</v>
      </c>
      <c r="H2926" s="1" t="s">
        <v>19</v>
      </c>
      <c r="I2926" s="1" t="s">
        <v>570</v>
      </c>
      <c r="J2926" s="1">
        <v>1.5</v>
      </c>
      <c r="K2926" s="1">
        <v>7.5</v>
      </c>
      <c r="L2926" s="42">
        <v>10</v>
      </c>
      <c r="M2926" s="43"/>
      <c r="N2926" s="1" t="e">
        <f>VLOOKUP(B2926,MICRO!E:L,8,0)</f>
        <v>#N/A</v>
      </c>
    </row>
    <row r="2927" spans="1:14" ht="20.25" x14ac:dyDescent="0.25">
      <c r="A2927" s="1">
        <v>91</v>
      </c>
      <c r="B2927" s="159"/>
      <c r="C2927" s="1" t="s">
        <v>2488</v>
      </c>
      <c r="D2927" s="1" t="s">
        <v>2514</v>
      </c>
      <c r="E2927" s="1"/>
      <c r="F2927" s="1" t="s">
        <v>2121</v>
      </c>
      <c r="G2927" s="1">
        <v>7</v>
      </c>
      <c r="H2927" s="1" t="s">
        <v>19</v>
      </c>
      <c r="I2927" s="1" t="s">
        <v>571</v>
      </c>
      <c r="J2927" s="1">
        <v>1.5</v>
      </c>
      <c r="K2927" s="1">
        <v>10.5</v>
      </c>
      <c r="L2927" s="42">
        <v>10</v>
      </c>
      <c r="M2927" s="43"/>
      <c r="N2927" s="1" t="e">
        <f>VLOOKUP(B2927,MICRO!E:L,8,0)</f>
        <v>#N/A</v>
      </c>
    </row>
    <row r="2928" spans="1:14" ht="20.25" x14ac:dyDescent="0.25">
      <c r="A2928" s="1">
        <v>92</v>
      </c>
      <c r="B2928" s="159"/>
      <c r="C2928" s="1" t="s">
        <v>2488</v>
      </c>
      <c r="D2928" s="1" t="s">
        <v>2514</v>
      </c>
      <c r="E2928" s="1"/>
      <c r="F2928" s="1" t="s">
        <v>2512</v>
      </c>
      <c r="G2928" s="1">
        <v>5</v>
      </c>
      <c r="H2928" s="1" t="s">
        <v>19</v>
      </c>
      <c r="I2928" s="1" t="s">
        <v>571</v>
      </c>
      <c r="J2928" s="1">
        <v>1.5</v>
      </c>
      <c r="K2928" s="1">
        <v>7.5</v>
      </c>
      <c r="L2928" s="42">
        <v>10</v>
      </c>
      <c r="M2928" s="43"/>
      <c r="N2928" s="1" t="e">
        <f>VLOOKUP(B2928,MICRO!E:L,8,0)</f>
        <v>#N/A</v>
      </c>
    </row>
    <row r="2929" spans="1:14" ht="20.25" x14ac:dyDescent="0.25">
      <c r="A2929" s="1">
        <v>93</v>
      </c>
      <c r="B2929" s="159"/>
      <c r="C2929" s="1" t="s">
        <v>2482</v>
      </c>
      <c r="D2929" s="1" t="s">
        <v>2515</v>
      </c>
      <c r="E2929" s="1"/>
      <c r="F2929" s="1" t="s">
        <v>2121</v>
      </c>
      <c r="G2929" s="1">
        <v>5</v>
      </c>
      <c r="H2929" s="1" t="s">
        <v>19</v>
      </c>
      <c r="I2929" s="1" t="s">
        <v>572</v>
      </c>
      <c r="J2929" s="1">
        <v>1.5</v>
      </c>
      <c r="K2929" s="1">
        <v>7.5</v>
      </c>
      <c r="L2929" s="42">
        <v>10</v>
      </c>
      <c r="M2929" s="43"/>
      <c r="N2929" s="1" t="e">
        <f>VLOOKUP(B2929,MICRO!E:L,8,0)</f>
        <v>#N/A</v>
      </c>
    </row>
    <row r="2930" spans="1:14" ht="20.25" x14ac:dyDescent="0.25">
      <c r="A2930" s="1">
        <v>94</v>
      </c>
      <c r="B2930" s="159"/>
      <c r="C2930" s="1" t="s">
        <v>2482</v>
      </c>
      <c r="D2930" s="1" t="s">
        <v>2515</v>
      </c>
      <c r="E2930" s="1"/>
      <c r="F2930" s="1" t="s">
        <v>2512</v>
      </c>
      <c r="G2930" s="1">
        <v>5</v>
      </c>
      <c r="H2930" s="1" t="s">
        <v>19</v>
      </c>
      <c r="I2930" s="1" t="s">
        <v>572</v>
      </c>
      <c r="J2930" s="1">
        <v>1.5</v>
      </c>
      <c r="K2930" s="1">
        <v>7.5</v>
      </c>
      <c r="L2930" s="42">
        <v>10</v>
      </c>
      <c r="M2930" s="43"/>
      <c r="N2930" s="1" t="e">
        <f>VLOOKUP(B2930,MICRO!E:L,8,0)</f>
        <v>#N/A</v>
      </c>
    </row>
    <row r="2931" spans="1:14" ht="20.25" x14ac:dyDescent="0.25">
      <c r="A2931" s="1">
        <v>95</v>
      </c>
      <c r="B2931" s="159"/>
      <c r="C2931" s="1" t="s">
        <v>2482</v>
      </c>
      <c r="D2931" s="1"/>
      <c r="E2931" s="1"/>
      <c r="F2931" s="1" t="s">
        <v>2516</v>
      </c>
      <c r="G2931" s="1">
        <v>1</v>
      </c>
      <c r="H2931" s="1" t="s">
        <v>19</v>
      </c>
      <c r="I2931" s="1" t="s">
        <v>572</v>
      </c>
      <c r="J2931" s="1">
        <v>0.8</v>
      </c>
      <c r="K2931" s="1">
        <v>0.8</v>
      </c>
      <c r="L2931" s="42">
        <v>10</v>
      </c>
      <c r="M2931" s="43"/>
      <c r="N2931" s="1" t="e">
        <f>VLOOKUP(B2931,MICRO!E:L,8,0)</f>
        <v>#N/A</v>
      </c>
    </row>
    <row r="2932" spans="1:14" ht="20.25" x14ac:dyDescent="0.25">
      <c r="A2932" s="1">
        <v>96</v>
      </c>
      <c r="B2932" s="159"/>
      <c r="C2932" s="1" t="s">
        <v>2482</v>
      </c>
      <c r="D2932" s="1"/>
      <c r="E2932" s="1"/>
      <c r="F2932" s="1" t="s">
        <v>2516</v>
      </c>
      <c r="G2932" s="1">
        <v>1</v>
      </c>
      <c r="H2932" s="1" t="s">
        <v>19</v>
      </c>
      <c r="I2932" s="1" t="s">
        <v>572</v>
      </c>
      <c r="J2932" s="1">
        <v>0.8</v>
      </c>
      <c r="K2932" s="1">
        <v>0.8</v>
      </c>
      <c r="L2932" s="42">
        <v>10</v>
      </c>
      <c r="M2932" s="43"/>
      <c r="N2932" s="1" t="e">
        <f>VLOOKUP(B2932,MICRO!E:L,8,0)</f>
        <v>#N/A</v>
      </c>
    </row>
    <row r="2933" spans="1:14" ht="20.25" x14ac:dyDescent="0.25">
      <c r="A2933" s="1">
        <v>97</v>
      </c>
      <c r="B2933" s="159"/>
      <c r="C2933" s="1" t="s">
        <v>2482</v>
      </c>
      <c r="D2933" s="1"/>
      <c r="E2933" s="1"/>
      <c r="F2933" s="1" t="s">
        <v>2516</v>
      </c>
      <c r="G2933" s="1">
        <v>1</v>
      </c>
      <c r="H2933" s="1" t="s">
        <v>19</v>
      </c>
      <c r="I2933" s="1" t="s">
        <v>572</v>
      </c>
      <c r="J2933" s="1">
        <v>0.8</v>
      </c>
      <c r="K2933" s="1">
        <v>0.8</v>
      </c>
      <c r="L2933" s="42">
        <v>10</v>
      </c>
      <c r="M2933" s="43"/>
      <c r="N2933" s="1" t="e">
        <f>VLOOKUP(B2933,MICRO!E:L,8,0)</f>
        <v>#N/A</v>
      </c>
    </row>
    <row r="2934" spans="1:14" ht="20.25" x14ac:dyDescent="0.25">
      <c r="A2934" s="1">
        <v>98</v>
      </c>
      <c r="B2934" s="159"/>
      <c r="C2934" s="1" t="s">
        <v>2482</v>
      </c>
      <c r="D2934" s="1"/>
      <c r="E2934" s="1"/>
      <c r="F2934" s="1" t="s">
        <v>2517</v>
      </c>
      <c r="G2934" s="1">
        <v>1</v>
      </c>
      <c r="H2934" s="1" t="s">
        <v>19</v>
      </c>
      <c r="I2934" s="1" t="s">
        <v>572</v>
      </c>
      <c r="J2934" s="1">
        <v>0.8</v>
      </c>
      <c r="K2934" s="1">
        <v>0.8</v>
      </c>
      <c r="L2934" s="42">
        <v>10</v>
      </c>
      <c r="M2934" s="43"/>
      <c r="N2934" s="1" t="e">
        <f>VLOOKUP(B2934,MICRO!E:L,8,0)</f>
        <v>#N/A</v>
      </c>
    </row>
    <row r="2935" spans="1:14" ht="20.25" x14ac:dyDescent="0.25">
      <c r="A2935" s="1">
        <v>99</v>
      </c>
      <c r="B2935" s="159"/>
      <c r="C2935" s="1" t="s">
        <v>2482</v>
      </c>
      <c r="D2935" s="1"/>
      <c r="E2935" s="1"/>
      <c r="F2935" s="1" t="s">
        <v>2518</v>
      </c>
      <c r="G2935" s="1">
        <v>1</v>
      </c>
      <c r="H2935" s="1" t="s">
        <v>19</v>
      </c>
      <c r="I2935" s="1" t="s">
        <v>572</v>
      </c>
      <c r="J2935" s="1">
        <v>0.8</v>
      </c>
      <c r="K2935" s="1">
        <v>0.8</v>
      </c>
      <c r="L2935" s="42">
        <v>10</v>
      </c>
      <c r="M2935" s="43"/>
      <c r="N2935" s="1" t="e">
        <f>VLOOKUP(B2935,MICRO!E:L,8,0)</f>
        <v>#N/A</v>
      </c>
    </row>
    <row r="2936" spans="1:14" ht="20.25" x14ac:dyDescent="0.25">
      <c r="A2936" s="1">
        <v>100</v>
      </c>
      <c r="B2936" s="159"/>
      <c r="C2936" s="1" t="s">
        <v>2482</v>
      </c>
      <c r="D2936" s="1"/>
      <c r="E2936" s="1"/>
      <c r="F2936" s="1" t="s">
        <v>2518</v>
      </c>
      <c r="G2936" s="1">
        <v>1</v>
      </c>
      <c r="H2936" s="1" t="s">
        <v>19</v>
      </c>
      <c r="I2936" s="1" t="s">
        <v>572</v>
      </c>
      <c r="J2936" s="1">
        <v>0.8</v>
      </c>
      <c r="K2936" s="1">
        <v>0.8</v>
      </c>
      <c r="L2936" s="42">
        <v>10</v>
      </c>
      <c r="M2936" s="43"/>
      <c r="N2936" s="1" t="e">
        <f>VLOOKUP(B2936,MICRO!E:L,8,0)</f>
        <v>#N/A</v>
      </c>
    </row>
    <row r="2937" spans="1:14" ht="20.25" x14ac:dyDescent="0.25">
      <c r="A2937" s="1">
        <v>101</v>
      </c>
      <c r="B2937" s="159"/>
      <c r="C2937" s="1" t="s">
        <v>2187</v>
      </c>
      <c r="D2937" s="1"/>
      <c r="E2937" s="1"/>
      <c r="F2937" s="1" t="s">
        <v>2519</v>
      </c>
      <c r="G2937" s="1">
        <v>4</v>
      </c>
      <c r="H2937" s="1" t="s">
        <v>19</v>
      </c>
      <c r="I2937" s="1" t="s">
        <v>1345</v>
      </c>
      <c r="J2937" s="1">
        <v>0.5</v>
      </c>
      <c r="K2937" s="1">
        <v>2</v>
      </c>
      <c r="L2937" s="42">
        <v>10</v>
      </c>
      <c r="M2937" s="43"/>
      <c r="N2937" s="1" t="e">
        <f>VLOOKUP(B2937,MICRO!E:L,8,0)</f>
        <v>#N/A</v>
      </c>
    </row>
    <row r="2938" spans="1:14" ht="20.25" x14ac:dyDescent="0.25">
      <c r="A2938" s="1">
        <v>1</v>
      </c>
      <c r="B2938" s="159"/>
      <c r="C2938" s="1"/>
      <c r="D2938" s="1"/>
      <c r="E2938" s="1"/>
      <c r="F2938" s="1" t="s">
        <v>2735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2">
        <v>11</v>
      </c>
      <c r="M2938" s="43"/>
      <c r="N2938" s="1" t="e">
        <f>VLOOKUP(B2938,MICRO!E:L,8,0)</f>
        <v>#N/A</v>
      </c>
    </row>
    <row r="2939" spans="1:14" ht="20.25" x14ac:dyDescent="0.25">
      <c r="A2939" s="1">
        <v>2</v>
      </c>
      <c r="B2939" s="159"/>
      <c r="C2939" s="1"/>
      <c r="D2939" s="1"/>
      <c r="E2939" s="1"/>
      <c r="F2939" s="1" t="s">
        <v>2736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2">
        <v>11</v>
      </c>
      <c r="M2939" s="43"/>
      <c r="N2939" s="1" t="e">
        <f>VLOOKUP(B2939,MICRO!E:L,8,0)</f>
        <v>#N/A</v>
      </c>
    </row>
    <row r="2940" spans="1:14" ht="20.25" x14ac:dyDescent="0.25">
      <c r="A2940" s="1">
        <v>3</v>
      </c>
      <c r="B2940" s="159"/>
      <c r="C2940" s="1"/>
      <c r="D2940" s="1"/>
      <c r="E2940" s="1"/>
      <c r="F2940" s="1" t="s">
        <v>2737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2">
        <v>11</v>
      </c>
      <c r="M2940" s="43"/>
      <c r="N2940" s="1" t="e">
        <f>VLOOKUP(B2940,MICRO!E:L,8,0)</f>
        <v>#N/A</v>
      </c>
    </row>
    <row r="2941" spans="1:14" ht="20.25" x14ac:dyDescent="0.25">
      <c r="A2941" s="1">
        <v>1</v>
      </c>
      <c r="B2941" s="159">
        <v>2046</v>
      </c>
      <c r="C2941" s="1" t="s">
        <v>650</v>
      </c>
      <c r="D2941" s="1"/>
      <c r="E2941" s="1"/>
      <c r="F2941" s="1" t="s">
        <v>651</v>
      </c>
      <c r="G2941" s="1">
        <v>40</v>
      </c>
      <c r="H2941" s="1" t="s">
        <v>19</v>
      </c>
      <c r="I2941" s="1" t="s">
        <v>652</v>
      </c>
      <c r="J2941" s="1">
        <v>3.6</v>
      </c>
      <c r="K2941" s="1">
        <v>144</v>
      </c>
      <c r="L2941" s="42">
        <v>1</v>
      </c>
      <c r="M2941" s="43"/>
      <c r="N2941" s="1" t="e">
        <f>VLOOKUP(B2941,MICRO!E:L,8,0)</f>
        <v>#N/A</v>
      </c>
    </row>
    <row r="2942" spans="1:14" ht="20.25" x14ac:dyDescent="0.25">
      <c r="A2942" s="1">
        <v>2</v>
      </c>
      <c r="B2942" s="159">
        <v>2047</v>
      </c>
      <c r="C2942" s="1" t="s">
        <v>653</v>
      </c>
      <c r="D2942" s="1"/>
      <c r="E2942" s="1"/>
      <c r="F2942" s="1" t="s">
        <v>654</v>
      </c>
      <c r="G2942" s="1">
        <v>32</v>
      </c>
      <c r="H2942" s="1" t="s">
        <v>19</v>
      </c>
      <c r="I2942" s="1" t="s">
        <v>652</v>
      </c>
      <c r="J2942" s="1">
        <v>2.39</v>
      </c>
      <c r="K2942" s="1">
        <v>76.48</v>
      </c>
      <c r="L2942" s="42">
        <v>1</v>
      </c>
      <c r="M2942" s="43"/>
      <c r="N2942" s="1" t="e">
        <f>VLOOKUP(B2942,MICRO!E:L,8,0)</f>
        <v>#N/A</v>
      </c>
    </row>
    <row r="2943" spans="1:14" ht="20.25" x14ac:dyDescent="0.25">
      <c r="A2943" s="1">
        <v>1</v>
      </c>
      <c r="B2943" s="159">
        <v>2048</v>
      </c>
      <c r="C2943" s="1" t="s">
        <v>655</v>
      </c>
      <c r="D2943" s="1"/>
      <c r="E2943" s="1"/>
      <c r="F2943" s="1" t="s">
        <v>656</v>
      </c>
      <c r="G2943" s="1">
        <v>32</v>
      </c>
      <c r="H2943" s="1" t="s">
        <v>19</v>
      </c>
      <c r="I2943" s="1" t="s">
        <v>652</v>
      </c>
      <c r="J2943" s="1">
        <v>4.7</v>
      </c>
      <c r="K2943" s="1">
        <v>150.4</v>
      </c>
      <c r="L2943" s="42">
        <v>2</v>
      </c>
      <c r="M2943" s="43"/>
      <c r="N2943" s="1" t="e">
        <f>VLOOKUP(B2943,MICRO!E:L,8,0)</f>
        <v>#N/A</v>
      </c>
    </row>
    <row r="2944" spans="1:14" ht="20.25" x14ac:dyDescent="0.25">
      <c r="A2944" s="1">
        <v>2</v>
      </c>
      <c r="B2944" s="159">
        <v>2195</v>
      </c>
      <c r="C2944" s="1" t="s">
        <v>776</v>
      </c>
      <c r="D2944" s="1"/>
      <c r="E2944" s="1" t="s">
        <v>2</v>
      </c>
      <c r="F2944" s="1" t="s">
        <v>777</v>
      </c>
      <c r="G2944" s="1">
        <v>1</v>
      </c>
      <c r="H2944" s="1" t="s">
        <v>1253</v>
      </c>
      <c r="I2944" s="1" t="s">
        <v>652</v>
      </c>
      <c r="J2944" s="1">
        <v>94.1</v>
      </c>
      <c r="K2944" s="1">
        <v>94.1</v>
      </c>
      <c r="L2944" s="42">
        <v>2</v>
      </c>
      <c r="M2944" s="43"/>
      <c r="N2944" s="1" t="e">
        <f>VLOOKUP(B2944,MICRO!E:L,8,0)</f>
        <v>#N/A</v>
      </c>
    </row>
    <row r="2945" spans="1:14" ht="20.25" x14ac:dyDescent="0.25">
      <c r="A2945" s="1">
        <v>3</v>
      </c>
      <c r="B2945" s="159">
        <v>2196</v>
      </c>
      <c r="C2945" s="1" t="s">
        <v>776</v>
      </c>
      <c r="D2945" s="1"/>
      <c r="E2945" s="1" t="s">
        <v>43</v>
      </c>
      <c r="F2945" s="1" t="s">
        <v>778</v>
      </c>
      <c r="G2945" s="1">
        <v>1</v>
      </c>
      <c r="H2945" s="1" t="s">
        <v>1253</v>
      </c>
      <c r="I2945" s="1" t="s">
        <v>652</v>
      </c>
      <c r="J2945" s="1">
        <v>94.1</v>
      </c>
      <c r="K2945" s="1">
        <v>94.1</v>
      </c>
      <c r="L2945" s="42">
        <v>2</v>
      </c>
      <c r="M2945" s="43"/>
      <c r="N2945" s="1" t="e">
        <f>VLOOKUP(B2945,MICRO!E:L,8,0)</f>
        <v>#N/A</v>
      </c>
    </row>
    <row r="2946" spans="1:14" ht="20.25" x14ac:dyDescent="0.25">
      <c r="A2946" s="1">
        <v>4</v>
      </c>
      <c r="B2946" s="159">
        <v>2197</v>
      </c>
      <c r="C2946" s="1" t="s">
        <v>776</v>
      </c>
      <c r="D2946" s="1"/>
      <c r="E2946" s="1" t="s">
        <v>746</v>
      </c>
      <c r="F2946" s="1" t="s">
        <v>779</v>
      </c>
      <c r="G2946" s="1">
        <v>1</v>
      </c>
      <c r="H2946" s="1" t="s">
        <v>1253</v>
      </c>
      <c r="I2946" s="1" t="s">
        <v>652</v>
      </c>
      <c r="J2946" s="1">
        <v>84.3</v>
      </c>
      <c r="K2946" s="1">
        <v>84.3</v>
      </c>
      <c r="L2946" s="42">
        <v>2</v>
      </c>
      <c r="M2946" s="43"/>
      <c r="N2946" s="1" t="e">
        <f>VLOOKUP(B2946,MICRO!E:L,8,0)</f>
        <v>#N/A</v>
      </c>
    </row>
    <row r="2947" spans="1:14" ht="20.25" x14ac:dyDescent="0.25">
      <c r="A2947" s="1">
        <v>5</v>
      </c>
      <c r="B2947" s="159">
        <v>2202</v>
      </c>
      <c r="C2947" s="1" t="s">
        <v>784</v>
      </c>
      <c r="D2947" s="1"/>
      <c r="E2947" s="1" t="s">
        <v>2</v>
      </c>
      <c r="F2947" s="1" t="s">
        <v>785</v>
      </c>
      <c r="G2947" s="1">
        <v>1</v>
      </c>
      <c r="H2947" s="1" t="s">
        <v>19</v>
      </c>
      <c r="I2947" s="1" t="s">
        <v>652</v>
      </c>
      <c r="J2947" s="1">
        <v>76.2</v>
      </c>
      <c r="K2947" s="1">
        <v>76.2</v>
      </c>
      <c r="L2947" s="42">
        <v>2</v>
      </c>
      <c r="M2947" s="43"/>
      <c r="N2947" s="1" t="e">
        <f>VLOOKUP(B2947,MICRO!E:L,8,0)</f>
        <v>#N/A</v>
      </c>
    </row>
    <row r="2948" spans="1:14" ht="20.25" x14ac:dyDescent="0.25">
      <c r="A2948" s="1">
        <v>6</v>
      </c>
      <c r="B2948" s="159">
        <v>2203</v>
      </c>
      <c r="C2948" s="1" t="s">
        <v>784</v>
      </c>
      <c r="D2948" s="1"/>
      <c r="E2948" s="1" t="s">
        <v>43</v>
      </c>
      <c r="F2948" s="1" t="s">
        <v>786</v>
      </c>
      <c r="G2948" s="1">
        <v>1</v>
      </c>
      <c r="H2948" s="1" t="s">
        <v>19</v>
      </c>
      <c r="I2948" s="1" t="s">
        <v>652</v>
      </c>
      <c r="J2948" s="1">
        <v>95.7</v>
      </c>
      <c r="K2948" s="1">
        <v>95.7</v>
      </c>
      <c r="L2948" s="42">
        <v>2</v>
      </c>
      <c r="M2948" s="43"/>
      <c r="N2948" s="1" t="e">
        <f>VLOOKUP(B2948,MICRO!E:L,8,0)</f>
        <v>#N/A</v>
      </c>
    </row>
    <row r="2949" spans="1:14" ht="20.25" x14ac:dyDescent="0.25">
      <c r="A2949" s="1">
        <v>7</v>
      </c>
      <c r="B2949" s="159">
        <v>2204</v>
      </c>
      <c r="C2949" s="1" t="s">
        <v>784</v>
      </c>
      <c r="D2949" s="1"/>
      <c r="E2949" s="1" t="s">
        <v>746</v>
      </c>
      <c r="F2949" s="1" t="s">
        <v>787</v>
      </c>
      <c r="G2949" s="1">
        <v>1</v>
      </c>
      <c r="H2949" s="1" t="s">
        <v>19</v>
      </c>
      <c r="I2949" s="1" t="s">
        <v>652</v>
      </c>
      <c r="J2949" s="1">
        <v>95.7</v>
      </c>
      <c r="K2949" s="1">
        <v>95.7</v>
      </c>
      <c r="L2949" s="42">
        <v>2</v>
      </c>
      <c r="M2949" s="43"/>
      <c r="N2949" s="1" t="e">
        <f>VLOOKUP(B2949,MICRO!E:L,8,0)</f>
        <v>#N/A</v>
      </c>
    </row>
    <row r="2950" spans="1:14" ht="20.25" x14ac:dyDescent="0.25">
      <c r="A2950" s="1">
        <v>8</v>
      </c>
      <c r="B2950" s="159">
        <v>2205</v>
      </c>
      <c r="C2950" s="1" t="s">
        <v>788</v>
      </c>
      <c r="D2950" s="1"/>
      <c r="E2950" s="1" t="s">
        <v>2</v>
      </c>
      <c r="F2950" s="1" t="s">
        <v>790</v>
      </c>
      <c r="G2950" s="1">
        <v>1</v>
      </c>
      <c r="H2950" s="1" t="s">
        <v>19</v>
      </c>
      <c r="I2950" s="1" t="s">
        <v>652</v>
      </c>
      <c r="J2950" s="1">
        <v>94.1</v>
      </c>
      <c r="K2950" s="1">
        <v>94.1</v>
      </c>
      <c r="L2950" s="42">
        <v>2</v>
      </c>
      <c r="M2950" s="43"/>
      <c r="N2950" s="1" t="e">
        <f>VLOOKUP(B2950,MICRO!E:L,8,0)</f>
        <v>#N/A</v>
      </c>
    </row>
    <row r="2951" spans="1:14" ht="20.25" x14ac:dyDescent="0.25">
      <c r="A2951" s="1">
        <v>9</v>
      </c>
      <c r="B2951" s="159">
        <v>2206</v>
      </c>
      <c r="C2951" s="1" t="s">
        <v>788</v>
      </c>
      <c r="D2951" s="1"/>
      <c r="E2951" s="1" t="s">
        <v>43</v>
      </c>
      <c r="F2951" s="1" t="s">
        <v>791</v>
      </c>
      <c r="G2951" s="1">
        <v>1</v>
      </c>
      <c r="H2951" s="1" t="s">
        <v>19</v>
      </c>
      <c r="I2951" s="1" t="s">
        <v>652</v>
      </c>
      <c r="J2951" s="1">
        <v>94.1</v>
      </c>
      <c r="K2951" s="1">
        <v>94.1</v>
      </c>
      <c r="L2951" s="42">
        <v>2</v>
      </c>
      <c r="M2951" s="43"/>
      <c r="N2951" s="1" t="e">
        <f>VLOOKUP(B2951,MICRO!E:L,8,0)</f>
        <v>#N/A</v>
      </c>
    </row>
    <row r="2952" spans="1:14" ht="20.25" x14ac:dyDescent="0.25">
      <c r="A2952" s="1">
        <v>10</v>
      </c>
      <c r="B2952" s="159">
        <v>2207</v>
      </c>
      <c r="C2952" s="1" t="s">
        <v>788</v>
      </c>
      <c r="D2952" s="1"/>
      <c r="E2952" s="1" t="s">
        <v>746</v>
      </c>
      <c r="F2952" s="1" t="s">
        <v>792</v>
      </c>
      <c r="G2952" s="1">
        <v>1</v>
      </c>
      <c r="H2952" s="1" t="s">
        <v>19</v>
      </c>
      <c r="I2952" s="1" t="s">
        <v>652</v>
      </c>
      <c r="J2952" s="1">
        <v>83.9</v>
      </c>
      <c r="K2952" s="1">
        <v>83.9</v>
      </c>
      <c r="L2952" s="42">
        <v>2</v>
      </c>
      <c r="M2952" s="43"/>
      <c r="N2952" s="1" t="e">
        <f>VLOOKUP(B2952,MICRO!E:L,8,0)</f>
        <v>#N/A</v>
      </c>
    </row>
    <row r="2953" spans="1:14" ht="20.25" x14ac:dyDescent="0.25">
      <c r="A2953" s="1">
        <v>11</v>
      </c>
      <c r="B2953" s="159">
        <v>2208</v>
      </c>
      <c r="C2953" s="1" t="s">
        <v>789</v>
      </c>
      <c r="D2953" s="1"/>
      <c r="E2953" s="1" t="s">
        <v>2</v>
      </c>
      <c r="F2953" s="1" t="s">
        <v>793</v>
      </c>
      <c r="G2953" s="1">
        <v>1</v>
      </c>
      <c r="H2953" s="1" t="s">
        <v>19</v>
      </c>
      <c r="I2953" s="1" t="s">
        <v>652</v>
      </c>
      <c r="J2953" s="1">
        <v>76.3</v>
      </c>
      <c r="K2953" s="1">
        <v>76.3</v>
      </c>
      <c r="L2953" s="42">
        <v>2</v>
      </c>
      <c r="M2953" s="43"/>
      <c r="N2953" s="1" t="e">
        <f>VLOOKUP(B2953,MICRO!E:L,8,0)</f>
        <v>#N/A</v>
      </c>
    </row>
    <row r="2954" spans="1:14" ht="20.25" x14ac:dyDescent="0.25">
      <c r="A2954" s="1">
        <v>12</v>
      </c>
      <c r="B2954" s="159">
        <v>2209</v>
      </c>
      <c r="C2954" s="1" t="s">
        <v>789</v>
      </c>
      <c r="D2954" s="1"/>
      <c r="E2954" s="1" t="s">
        <v>43</v>
      </c>
      <c r="F2954" s="1" t="s">
        <v>794</v>
      </c>
      <c r="G2954" s="1">
        <v>1</v>
      </c>
      <c r="H2954" s="1" t="s">
        <v>19</v>
      </c>
      <c r="I2954" s="1" t="s">
        <v>652</v>
      </c>
      <c r="J2954" s="1">
        <v>95.7</v>
      </c>
      <c r="K2954" s="1">
        <v>95.7</v>
      </c>
      <c r="L2954" s="42">
        <v>2</v>
      </c>
      <c r="M2954" s="43"/>
      <c r="N2954" s="1" t="e">
        <f>VLOOKUP(B2954,MICRO!E:L,8,0)</f>
        <v>#N/A</v>
      </c>
    </row>
    <row r="2955" spans="1:14" ht="20.25" x14ac:dyDescent="0.25">
      <c r="A2955" s="1">
        <v>13</v>
      </c>
      <c r="B2955" s="159">
        <v>2210</v>
      </c>
      <c r="C2955" s="1" t="s">
        <v>789</v>
      </c>
      <c r="D2955" s="1"/>
      <c r="E2955" s="1" t="s">
        <v>746</v>
      </c>
      <c r="F2955" s="1" t="s">
        <v>795</v>
      </c>
      <c r="G2955" s="1">
        <v>1</v>
      </c>
      <c r="H2955" s="1" t="s">
        <v>19</v>
      </c>
      <c r="I2955" s="1" t="s">
        <v>652</v>
      </c>
      <c r="J2955" s="1">
        <v>95.7</v>
      </c>
      <c r="K2955" s="1">
        <v>95.7</v>
      </c>
      <c r="L2955" s="42">
        <v>2</v>
      </c>
      <c r="M2955" s="43"/>
      <c r="N2955" s="1" t="e">
        <f>VLOOKUP(B2955,MICRO!E:L,8,0)</f>
        <v>#N/A</v>
      </c>
    </row>
    <row r="2956" spans="1:14" ht="20.25" x14ac:dyDescent="0.25">
      <c r="A2956" s="1">
        <v>14</v>
      </c>
      <c r="B2956" s="159">
        <v>2402</v>
      </c>
      <c r="C2956" s="1" t="s">
        <v>894</v>
      </c>
      <c r="D2956" s="1"/>
      <c r="E2956" s="1" t="s">
        <v>2</v>
      </c>
      <c r="F2956" s="1" t="s">
        <v>895</v>
      </c>
      <c r="G2956" s="1">
        <v>1</v>
      </c>
      <c r="H2956" s="1" t="s">
        <v>19</v>
      </c>
      <c r="I2956" s="1" t="s">
        <v>652</v>
      </c>
      <c r="J2956" s="1">
        <v>96.8</v>
      </c>
      <c r="K2956" s="1">
        <v>96.8</v>
      </c>
      <c r="L2956" s="42">
        <v>2</v>
      </c>
      <c r="M2956" s="43"/>
      <c r="N2956" s="1" t="e">
        <f>VLOOKUP(B2956,MICRO!E:L,8,0)</f>
        <v>#N/A</v>
      </c>
    </row>
    <row r="2957" spans="1:14" ht="20.25" x14ac:dyDescent="0.25">
      <c r="A2957" s="1">
        <v>15</v>
      </c>
      <c r="B2957" s="159">
        <v>2403</v>
      </c>
      <c r="C2957" s="1" t="s">
        <v>894</v>
      </c>
      <c r="D2957" s="1"/>
      <c r="E2957" s="1" t="s">
        <v>43</v>
      </c>
      <c r="F2957" s="1" t="s">
        <v>896</v>
      </c>
      <c r="G2957" s="1">
        <v>1</v>
      </c>
      <c r="H2957" s="1" t="s">
        <v>19</v>
      </c>
      <c r="I2957" s="1" t="s">
        <v>652</v>
      </c>
      <c r="J2957" s="1">
        <v>201.5</v>
      </c>
      <c r="K2957" s="1">
        <v>201.5</v>
      </c>
      <c r="L2957" s="42">
        <v>2</v>
      </c>
      <c r="M2957" s="43"/>
      <c r="N2957" s="1" t="e">
        <f>VLOOKUP(B2957,MICRO!E:L,8,0)</f>
        <v>#N/A</v>
      </c>
    </row>
    <row r="2958" spans="1:14" ht="20.25" x14ac:dyDescent="0.25">
      <c r="A2958" s="1">
        <v>16</v>
      </c>
      <c r="B2958" s="159">
        <v>2404</v>
      </c>
      <c r="C2958" s="1" t="s">
        <v>894</v>
      </c>
      <c r="D2958" s="1"/>
      <c r="E2958" s="1" t="s">
        <v>746</v>
      </c>
      <c r="F2958" s="1" t="s">
        <v>897</v>
      </c>
      <c r="G2958" s="1">
        <v>4</v>
      </c>
      <c r="H2958" s="1" t="s">
        <v>19</v>
      </c>
      <c r="I2958" s="1" t="s">
        <v>652</v>
      </c>
      <c r="J2958" s="1">
        <v>2</v>
      </c>
      <c r="K2958" s="1">
        <v>8</v>
      </c>
      <c r="L2958" s="42">
        <v>2</v>
      </c>
      <c r="M2958" s="43"/>
      <c r="N2958" s="1" t="e">
        <f>VLOOKUP(B2958,MICRO!E:L,8,0)</f>
        <v>#N/A</v>
      </c>
    </row>
    <row r="2959" spans="1:14" ht="20.25" x14ac:dyDescent="0.25">
      <c r="A2959" s="1">
        <v>1</v>
      </c>
      <c r="B2959" s="159">
        <v>1911</v>
      </c>
      <c r="C2959" s="1" t="s">
        <v>1254</v>
      </c>
      <c r="D2959" s="1"/>
      <c r="E2959" s="1"/>
      <c r="F2959" s="1" t="s">
        <v>1255</v>
      </c>
      <c r="G2959" s="1">
        <v>1</v>
      </c>
      <c r="H2959" s="1" t="s">
        <v>19</v>
      </c>
      <c r="I2959" s="1" t="s">
        <v>652</v>
      </c>
      <c r="J2959" s="1">
        <v>174</v>
      </c>
      <c r="K2959" s="1">
        <v>174</v>
      </c>
      <c r="L2959" s="42">
        <v>3</v>
      </c>
      <c r="M2959" s="43"/>
      <c r="N2959" s="1" t="e">
        <f>VLOOKUP(B2959,MICRO!E:L,8,0)</f>
        <v>#N/A</v>
      </c>
    </row>
    <row r="2960" spans="1:14" ht="20.25" x14ac:dyDescent="0.25">
      <c r="A2960" s="1">
        <v>2</v>
      </c>
      <c r="B2960" s="159">
        <v>2184</v>
      </c>
      <c r="C2960" s="1" t="s">
        <v>767</v>
      </c>
      <c r="D2960" s="1"/>
      <c r="E2960" s="1" t="s">
        <v>2</v>
      </c>
      <c r="F2960" s="1" t="s">
        <v>1256</v>
      </c>
      <c r="G2960" s="1">
        <v>1</v>
      </c>
      <c r="H2960" s="1" t="s">
        <v>19</v>
      </c>
      <c r="I2960" s="1" t="s">
        <v>652</v>
      </c>
      <c r="J2960" s="1">
        <v>208.4</v>
      </c>
      <c r="K2960" s="1">
        <v>208.4</v>
      </c>
      <c r="L2960" s="42">
        <v>3</v>
      </c>
      <c r="M2960" s="43"/>
      <c r="N2960" s="1" t="e">
        <f>VLOOKUP(B2960,MICRO!E:L,8,0)</f>
        <v>#N/A</v>
      </c>
    </row>
    <row r="2961" spans="1:14" ht="20.25" x14ac:dyDescent="0.25">
      <c r="A2961" s="1">
        <v>3</v>
      </c>
      <c r="B2961" s="159">
        <v>2185</v>
      </c>
      <c r="C2961" s="1" t="s">
        <v>768</v>
      </c>
      <c r="D2961" s="1"/>
      <c r="E2961" s="1" t="s">
        <v>2</v>
      </c>
      <c r="F2961" s="1" t="s">
        <v>1257</v>
      </c>
      <c r="G2961" s="1">
        <v>1</v>
      </c>
      <c r="H2961" s="1" t="s">
        <v>19</v>
      </c>
      <c r="I2961" s="1" t="s">
        <v>652</v>
      </c>
      <c r="J2961" s="1">
        <v>221.3</v>
      </c>
      <c r="K2961" s="1">
        <v>221.3</v>
      </c>
      <c r="L2961" s="42">
        <v>3</v>
      </c>
      <c r="M2961" s="43"/>
      <c r="N2961" s="1" t="e">
        <f>VLOOKUP(B2961,MICRO!E:L,8,0)</f>
        <v>#N/A</v>
      </c>
    </row>
    <row r="2962" spans="1:14" ht="20.25" x14ac:dyDescent="0.25">
      <c r="A2962" s="1">
        <v>4</v>
      </c>
      <c r="B2962" s="159">
        <v>2241</v>
      </c>
      <c r="C2962" s="1" t="s">
        <v>808</v>
      </c>
      <c r="D2962" s="1"/>
      <c r="E2962" s="1"/>
      <c r="F2962" s="1" t="s">
        <v>809</v>
      </c>
      <c r="G2962" s="1">
        <v>2</v>
      </c>
      <c r="H2962" s="1" t="s">
        <v>19</v>
      </c>
      <c r="I2962" s="1" t="s">
        <v>652</v>
      </c>
      <c r="J2962" s="1">
        <v>180</v>
      </c>
      <c r="K2962" s="1">
        <v>360</v>
      </c>
      <c r="L2962" s="42">
        <v>3</v>
      </c>
      <c r="M2962" s="43"/>
      <c r="N2962" s="1" t="e">
        <f>VLOOKUP(B2962,MICRO!E:L,8,0)</f>
        <v>#N/A</v>
      </c>
    </row>
    <row r="2963" spans="1:14" ht="20.25" x14ac:dyDescent="0.25">
      <c r="A2963" s="1">
        <v>5</v>
      </c>
      <c r="B2963" s="159">
        <v>2516</v>
      </c>
      <c r="C2963" s="1" t="s">
        <v>985</v>
      </c>
      <c r="D2963" s="1"/>
      <c r="E2963" s="1" t="s">
        <v>2</v>
      </c>
      <c r="F2963" s="1" t="s">
        <v>1258</v>
      </c>
      <c r="G2963" s="1">
        <v>2</v>
      </c>
      <c r="H2963" s="1" t="s">
        <v>19</v>
      </c>
      <c r="I2963" s="1" t="s">
        <v>652</v>
      </c>
      <c r="J2963" s="1">
        <v>4.5999999999999996</v>
      </c>
      <c r="K2963" s="1">
        <v>9.1999999999999993</v>
      </c>
      <c r="L2963" s="42">
        <v>3</v>
      </c>
      <c r="M2963" s="43"/>
      <c r="N2963" s="1" t="e">
        <f>VLOOKUP(B2963,MICRO!E:L,8,0)</f>
        <v>#N/A</v>
      </c>
    </row>
    <row r="2964" spans="1:14" ht="20.25" x14ac:dyDescent="0.25">
      <c r="A2964" s="1">
        <v>6</v>
      </c>
      <c r="B2964" s="159">
        <v>2517</v>
      </c>
      <c r="C2964" s="1" t="s">
        <v>985</v>
      </c>
      <c r="D2964" s="1"/>
      <c r="E2964" s="1" t="s">
        <v>43</v>
      </c>
      <c r="F2964" s="1" t="s">
        <v>1259</v>
      </c>
      <c r="G2964" s="1">
        <v>2</v>
      </c>
      <c r="H2964" s="1" t="s">
        <v>19</v>
      </c>
      <c r="I2964" s="1" t="s">
        <v>652</v>
      </c>
      <c r="J2964" s="1">
        <v>2.8</v>
      </c>
      <c r="K2964" s="1">
        <v>5.6</v>
      </c>
      <c r="L2964" s="42">
        <v>3</v>
      </c>
      <c r="M2964" s="43"/>
      <c r="N2964" s="1" t="e">
        <f>VLOOKUP(B2964,MICRO!E:L,8,0)</f>
        <v>#N/A</v>
      </c>
    </row>
    <row r="2965" spans="1:14" ht="20.25" x14ac:dyDescent="0.25">
      <c r="A2965" s="1">
        <v>7</v>
      </c>
      <c r="B2965" s="159">
        <v>2518</v>
      </c>
      <c r="C2965" s="1" t="s">
        <v>985</v>
      </c>
      <c r="D2965" s="1"/>
      <c r="E2965" s="1" t="s">
        <v>746</v>
      </c>
      <c r="F2965" s="1" t="s">
        <v>1260</v>
      </c>
      <c r="G2965" s="1">
        <v>2</v>
      </c>
      <c r="H2965" s="1" t="s">
        <v>19</v>
      </c>
      <c r="I2965" s="1" t="s">
        <v>652</v>
      </c>
      <c r="J2965" s="1">
        <v>1.3</v>
      </c>
      <c r="K2965" s="1">
        <v>2.6</v>
      </c>
      <c r="L2965" s="42">
        <v>3</v>
      </c>
      <c r="M2965" s="43"/>
      <c r="N2965" s="1" t="e">
        <f>VLOOKUP(B2965,MICRO!E:L,8,0)</f>
        <v>#N/A</v>
      </c>
    </row>
    <row r="2966" spans="1:14" ht="20.25" x14ac:dyDescent="0.25">
      <c r="A2966" s="1">
        <v>8</v>
      </c>
      <c r="B2966" s="159">
        <v>2519</v>
      </c>
      <c r="C2966" s="1" t="s">
        <v>985</v>
      </c>
      <c r="D2966" s="1"/>
      <c r="E2966" s="1" t="s">
        <v>1101</v>
      </c>
      <c r="F2966" s="1" t="s">
        <v>1261</v>
      </c>
      <c r="G2966" s="1">
        <v>2</v>
      </c>
      <c r="H2966" s="1" t="s">
        <v>19</v>
      </c>
      <c r="I2966" s="1" t="s">
        <v>652</v>
      </c>
      <c r="J2966" s="1">
        <v>1.1000000000000001</v>
      </c>
      <c r="K2966" s="1">
        <v>2.2000000000000002</v>
      </c>
      <c r="L2966" s="42">
        <v>3</v>
      </c>
      <c r="M2966" s="43"/>
      <c r="N2966" s="1" t="e">
        <f>VLOOKUP(B2966,MICRO!E:L,8,0)</f>
        <v>#N/A</v>
      </c>
    </row>
    <row r="2967" spans="1:14" ht="20.25" x14ac:dyDescent="0.25">
      <c r="A2967" s="1">
        <v>9</v>
      </c>
      <c r="B2967" s="159">
        <v>2520</v>
      </c>
      <c r="C2967" s="1" t="s">
        <v>985</v>
      </c>
      <c r="D2967" s="1"/>
      <c r="E2967" s="1" t="s">
        <v>100</v>
      </c>
      <c r="F2967" s="1" t="s">
        <v>1262</v>
      </c>
      <c r="G2967" s="1">
        <v>2</v>
      </c>
      <c r="H2967" s="1" t="s">
        <v>19</v>
      </c>
      <c r="I2967" s="1" t="s">
        <v>652</v>
      </c>
      <c r="J2967" s="1">
        <v>0.9</v>
      </c>
      <c r="K2967" s="1">
        <v>1.8</v>
      </c>
      <c r="L2967" s="42">
        <v>3</v>
      </c>
      <c r="M2967" s="43"/>
      <c r="N2967" s="1" t="e">
        <f>VLOOKUP(B2967,MICRO!E:L,8,0)</f>
        <v>#N/A</v>
      </c>
    </row>
    <row r="2968" spans="1:14" ht="20.25" x14ac:dyDescent="0.25">
      <c r="A2968" s="1">
        <v>10</v>
      </c>
      <c r="B2968" s="159">
        <v>2521</v>
      </c>
      <c r="C2968" s="1" t="s">
        <v>985</v>
      </c>
      <c r="D2968" s="1"/>
      <c r="E2968" s="1" t="s">
        <v>173</v>
      </c>
      <c r="F2968" s="1" t="s">
        <v>1263</v>
      </c>
      <c r="G2968" s="1">
        <v>1</v>
      </c>
      <c r="H2968" s="1" t="s">
        <v>19</v>
      </c>
      <c r="I2968" s="1" t="s">
        <v>652</v>
      </c>
      <c r="J2968" s="1">
        <v>5.8</v>
      </c>
      <c r="K2968" s="1">
        <v>5.8</v>
      </c>
      <c r="L2968" s="42">
        <v>3</v>
      </c>
      <c r="M2968" s="43"/>
      <c r="N2968" s="1" t="e">
        <f>VLOOKUP(B2968,MICRO!E:L,8,0)</f>
        <v>#N/A</v>
      </c>
    </row>
    <row r="2969" spans="1:14" ht="20.25" x14ac:dyDescent="0.25">
      <c r="A2969" s="1">
        <v>11</v>
      </c>
      <c r="B2969" s="159">
        <v>2522</v>
      </c>
      <c r="C2969" s="1" t="s">
        <v>985</v>
      </c>
      <c r="D2969" s="1"/>
      <c r="E2969" s="1" t="s">
        <v>461</v>
      </c>
      <c r="F2969" s="1" t="s">
        <v>1264</v>
      </c>
      <c r="G2969" s="1">
        <v>1</v>
      </c>
      <c r="H2969" s="1" t="s">
        <v>19</v>
      </c>
      <c r="I2969" s="1" t="s">
        <v>652</v>
      </c>
      <c r="J2969" s="1">
        <v>4.5</v>
      </c>
      <c r="K2969" s="1">
        <v>4.5</v>
      </c>
      <c r="L2969" s="42">
        <v>3</v>
      </c>
      <c r="M2969" s="43"/>
      <c r="N2969" s="1" t="e">
        <f>VLOOKUP(B2969,MICRO!E:L,8,0)</f>
        <v>#N/A</v>
      </c>
    </row>
    <row r="2970" spans="1:14" ht="20.25" x14ac:dyDescent="0.25">
      <c r="A2970" s="1">
        <v>12</v>
      </c>
      <c r="B2970" s="159">
        <v>2523</v>
      </c>
      <c r="C2970" s="1" t="s">
        <v>985</v>
      </c>
      <c r="D2970" s="1"/>
      <c r="E2970" s="1" t="s">
        <v>464</v>
      </c>
      <c r="F2970" s="1" t="s">
        <v>1265</v>
      </c>
      <c r="G2970" s="1">
        <v>1</v>
      </c>
      <c r="H2970" s="1" t="s">
        <v>19</v>
      </c>
      <c r="I2970" s="1" t="s">
        <v>652</v>
      </c>
      <c r="J2970" s="1">
        <v>4.0999999999999996</v>
      </c>
      <c r="K2970" s="1">
        <v>4.0999999999999996</v>
      </c>
      <c r="L2970" s="42">
        <v>3</v>
      </c>
      <c r="M2970" s="43"/>
      <c r="N2970" s="1" t="e">
        <f>VLOOKUP(B2970,MICRO!E:L,8,0)</f>
        <v>#N/A</v>
      </c>
    </row>
    <row r="2971" spans="1:14" ht="20.25" x14ac:dyDescent="0.25">
      <c r="A2971" s="1">
        <v>13</v>
      </c>
      <c r="B2971" s="159">
        <v>2524</v>
      </c>
      <c r="C2971" s="1" t="s">
        <v>985</v>
      </c>
      <c r="D2971" s="1"/>
      <c r="E2971" s="1" t="s">
        <v>1102</v>
      </c>
      <c r="F2971" s="1" t="s">
        <v>1266</v>
      </c>
      <c r="G2971" s="1">
        <v>1</v>
      </c>
      <c r="H2971" s="1" t="s">
        <v>19</v>
      </c>
      <c r="I2971" s="1" t="s">
        <v>652</v>
      </c>
      <c r="J2971" s="1">
        <v>4.0999999999999996</v>
      </c>
      <c r="K2971" s="1">
        <v>4.0999999999999996</v>
      </c>
      <c r="L2971" s="42">
        <v>3</v>
      </c>
      <c r="M2971" s="43"/>
      <c r="N2971" s="1" t="e">
        <f>VLOOKUP(B2971,MICRO!E:L,8,0)</f>
        <v>#N/A</v>
      </c>
    </row>
    <row r="2972" spans="1:14" ht="20.25" x14ac:dyDescent="0.25">
      <c r="A2972" s="1">
        <v>14</v>
      </c>
      <c r="B2972" s="159">
        <v>2525</v>
      </c>
      <c r="C2972" s="1" t="s">
        <v>985</v>
      </c>
      <c r="D2972" s="1"/>
      <c r="E2972" s="1" t="s">
        <v>1103</v>
      </c>
      <c r="F2972" s="1" t="s">
        <v>1267</v>
      </c>
      <c r="G2972" s="1">
        <v>1</v>
      </c>
      <c r="H2972" s="1" t="s">
        <v>19</v>
      </c>
      <c r="I2972" s="1" t="s">
        <v>652</v>
      </c>
      <c r="J2972" s="1">
        <v>5.2</v>
      </c>
      <c r="K2972" s="1">
        <v>5.2</v>
      </c>
      <c r="L2972" s="42">
        <v>3</v>
      </c>
      <c r="M2972" s="43"/>
      <c r="N2972" s="1" t="e">
        <f>VLOOKUP(B2972,MICRO!E:L,8,0)</f>
        <v>#N/A</v>
      </c>
    </row>
    <row r="2973" spans="1:14" ht="20.25" x14ac:dyDescent="0.25">
      <c r="A2973" s="1">
        <v>1</v>
      </c>
      <c r="B2973" s="159">
        <v>2199</v>
      </c>
      <c r="C2973" s="1" t="s">
        <v>776</v>
      </c>
      <c r="D2973" s="1"/>
      <c r="E2973" s="1" t="s">
        <v>100</v>
      </c>
      <c r="F2973" s="1" t="s">
        <v>781</v>
      </c>
      <c r="G2973" s="1">
        <v>32</v>
      </c>
      <c r="H2973" s="1" t="s">
        <v>19</v>
      </c>
      <c r="I2973" s="1" t="s">
        <v>652</v>
      </c>
      <c r="J2973" s="1">
        <v>6.6</v>
      </c>
      <c r="K2973" s="1">
        <v>211.2</v>
      </c>
      <c r="L2973" s="42">
        <v>4</v>
      </c>
      <c r="M2973" s="43"/>
      <c r="N2973" s="1" t="e">
        <f>VLOOKUP(B2973,MICRO!E:L,8,0)</f>
        <v>#N/A</v>
      </c>
    </row>
    <row r="2974" spans="1:14" ht="20.25" x14ac:dyDescent="0.25">
      <c r="A2974" s="1">
        <v>2</v>
      </c>
      <c r="B2974" s="159">
        <v>2200</v>
      </c>
      <c r="C2974" s="1" t="s">
        <v>776</v>
      </c>
      <c r="D2974" s="1"/>
      <c r="E2974" s="1" t="s">
        <v>173</v>
      </c>
      <c r="F2974" s="1" t="s">
        <v>782</v>
      </c>
      <c r="G2974" s="1">
        <v>2</v>
      </c>
      <c r="H2974" s="1" t="s">
        <v>19</v>
      </c>
      <c r="I2974" s="1" t="s">
        <v>652</v>
      </c>
      <c r="J2974" s="1">
        <v>5.0999999999999996</v>
      </c>
      <c r="K2974" s="1">
        <v>10.199999999999999</v>
      </c>
      <c r="L2974" s="42">
        <v>4</v>
      </c>
      <c r="M2974" s="43"/>
      <c r="N2974" s="1" t="e">
        <f>VLOOKUP(B2974,MICRO!E:L,8,0)</f>
        <v>#N/A</v>
      </c>
    </row>
    <row r="2975" spans="1:14" ht="20.25" x14ac:dyDescent="0.25">
      <c r="A2975" s="1">
        <v>3</v>
      </c>
      <c r="B2975" s="159">
        <v>2201</v>
      </c>
      <c r="C2975" s="1" t="s">
        <v>776</v>
      </c>
      <c r="D2975" s="1"/>
      <c r="E2975" s="1" t="s">
        <v>461</v>
      </c>
      <c r="F2975" s="1" t="s">
        <v>783</v>
      </c>
      <c r="G2975" s="1">
        <v>2</v>
      </c>
      <c r="H2975" s="1" t="s">
        <v>19</v>
      </c>
      <c r="I2975" s="1" t="s">
        <v>652</v>
      </c>
      <c r="J2975" s="1">
        <v>4.7</v>
      </c>
      <c r="K2975" s="1">
        <v>9.4</v>
      </c>
      <c r="L2975" s="42">
        <v>4</v>
      </c>
      <c r="M2975" s="43"/>
      <c r="N2975" s="1" t="e">
        <f>VLOOKUP(B2975,MICRO!E:L,8,0)</f>
        <v>#N/A</v>
      </c>
    </row>
    <row r="2976" spans="1:14" ht="20.25" x14ac:dyDescent="0.25">
      <c r="A2976" s="1">
        <v>4</v>
      </c>
      <c r="B2976" s="159">
        <v>2241</v>
      </c>
      <c r="C2976" s="1" t="s">
        <v>808</v>
      </c>
      <c r="D2976" s="1"/>
      <c r="E2976" s="1" t="s">
        <v>2</v>
      </c>
      <c r="F2976" s="1" t="s">
        <v>1348</v>
      </c>
      <c r="G2976" s="1">
        <v>2</v>
      </c>
      <c r="H2976" s="1" t="s">
        <v>19</v>
      </c>
      <c r="I2976" s="1" t="s">
        <v>652</v>
      </c>
      <c r="J2976" s="1">
        <v>180</v>
      </c>
      <c r="K2976" s="1">
        <v>360</v>
      </c>
      <c r="L2976" s="42">
        <v>4</v>
      </c>
      <c r="M2976" s="43"/>
      <c r="N2976" s="1" t="e">
        <f>VLOOKUP(B2976,MICRO!E:L,8,0)</f>
        <v>#N/A</v>
      </c>
    </row>
    <row r="2977" spans="1:14" ht="20.25" x14ac:dyDescent="0.25">
      <c r="A2977" s="1">
        <v>5</v>
      </c>
      <c r="B2977" s="159"/>
      <c r="C2977" s="1" t="s">
        <v>1349</v>
      </c>
      <c r="D2977" s="1"/>
      <c r="E2977" s="1"/>
      <c r="F2977" s="1" t="s">
        <v>1350</v>
      </c>
      <c r="G2977" s="1">
        <v>1</v>
      </c>
      <c r="H2977" s="1" t="s">
        <v>19</v>
      </c>
      <c r="I2977" s="1" t="s">
        <v>652</v>
      </c>
      <c r="J2977" s="1">
        <v>1524</v>
      </c>
      <c r="K2977" s="1">
        <v>1524</v>
      </c>
      <c r="L2977" s="42">
        <v>4</v>
      </c>
      <c r="M2977" s="43"/>
      <c r="N2977" s="1" t="e">
        <f>VLOOKUP(B2977,MICRO!E:L,8,0)</f>
        <v>#N/A</v>
      </c>
    </row>
    <row r="2978" spans="1:14" ht="20.25" x14ac:dyDescent="0.25">
      <c r="A2978" s="1">
        <v>1</v>
      </c>
      <c r="B2978" s="159">
        <v>2212</v>
      </c>
      <c r="C2978" s="1" t="s">
        <v>796</v>
      </c>
      <c r="D2978" s="1"/>
      <c r="E2978" s="1" t="s">
        <v>746</v>
      </c>
      <c r="F2978" s="1" t="s">
        <v>1680</v>
      </c>
      <c r="G2978" s="1">
        <v>2</v>
      </c>
      <c r="H2978" s="1" t="s">
        <v>19</v>
      </c>
      <c r="I2978" s="1" t="s">
        <v>652</v>
      </c>
      <c r="J2978" s="1">
        <v>99.1</v>
      </c>
      <c r="K2978" s="1">
        <v>198.2</v>
      </c>
      <c r="L2978" s="42">
        <v>5</v>
      </c>
      <c r="M2978" s="43"/>
      <c r="N2978" s="1" t="e">
        <f>VLOOKUP(B2978,MICRO!E:L,8,0)</f>
        <v>#N/A</v>
      </c>
    </row>
    <row r="2979" spans="1:14" ht="20.25" x14ac:dyDescent="0.25">
      <c r="A2979" s="1">
        <v>2</v>
      </c>
      <c r="B2979" s="159">
        <v>2617</v>
      </c>
      <c r="C2979" s="1" t="s">
        <v>1040</v>
      </c>
      <c r="D2979" s="1" t="s">
        <v>1040</v>
      </c>
      <c r="E2979" s="1" t="s">
        <v>2</v>
      </c>
      <c r="F2979" s="1" t="s">
        <v>1681</v>
      </c>
      <c r="G2979" s="1">
        <v>1</v>
      </c>
      <c r="H2979" s="1" t="s">
        <v>19</v>
      </c>
      <c r="I2979" s="1" t="s">
        <v>652</v>
      </c>
      <c r="J2979" s="1">
        <v>152.5</v>
      </c>
      <c r="K2979" s="1">
        <v>152.5</v>
      </c>
      <c r="L2979" s="42">
        <v>5</v>
      </c>
      <c r="M2979" s="43"/>
      <c r="N2979" s="1" t="e">
        <f>VLOOKUP(B2979,MICRO!E:L,8,0)</f>
        <v>#N/A</v>
      </c>
    </row>
    <row r="2980" spans="1:14" ht="20.25" x14ac:dyDescent="0.25">
      <c r="A2980" s="1">
        <v>10</v>
      </c>
      <c r="B2980" s="159">
        <v>2624</v>
      </c>
      <c r="C2980" s="1" t="s">
        <v>1048</v>
      </c>
      <c r="D2980" s="1"/>
      <c r="E2980" s="1"/>
      <c r="F2980" s="1" t="s">
        <v>1682</v>
      </c>
      <c r="G2980" s="1">
        <v>9</v>
      </c>
      <c r="H2980" s="1" t="s">
        <v>19</v>
      </c>
      <c r="I2980" s="1" t="s">
        <v>652</v>
      </c>
      <c r="J2980" s="1">
        <v>8</v>
      </c>
      <c r="K2980" s="1">
        <v>72</v>
      </c>
      <c r="L2980" s="42">
        <v>5</v>
      </c>
      <c r="M2980" s="43"/>
      <c r="N2980" s="1" t="e">
        <f>VLOOKUP(B2980,MICRO!E:L,8,0)</f>
        <v>#N/A</v>
      </c>
    </row>
    <row r="2981" spans="1:14" ht="20.25" x14ac:dyDescent="0.25">
      <c r="A2981" s="1">
        <v>11</v>
      </c>
      <c r="B2981" s="159">
        <v>2625</v>
      </c>
      <c r="C2981" s="1" t="s">
        <v>1049</v>
      </c>
      <c r="D2981" s="1" t="s">
        <v>1049</v>
      </c>
      <c r="E2981" s="1" t="s">
        <v>1683</v>
      </c>
      <c r="F2981" s="1" t="s">
        <v>1684</v>
      </c>
      <c r="G2981" s="1">
        <v>32</v>
      </c>
      <c r="H2981" s="1" t="s">
        <v>19</v>
      </c>
      <c r="I2981" s="1" t="s">
        <v>652</v>
      </c>
      <c r="J2981" s="1">
        <v>0.5</v>
      </c>
      <c r="K2981" s="1">
        <v>16</v>
      </c>
      <c r="L2981" s="42">
        <v>5</v>
      </c>
      <c r="M2981" s="43"/>
      <c r="N2981" s="1" t="e">
        <f>VLOOKUP(B2981,MICRO!E:L,8,0)</f>
        <v>#N/A</v>
      </c>
    </row>
    <row r="2982" spans="1:14" ht="20.25" x14ac:dyDescent="0.25">
      <c r="A2982" s="1">
        <v>12</v>
      </c>
      <c r="B2982" s="159">
        <v>2625</v>
      </c>
      <c r="C2982" s="1" t="s">
        <v>1049</v>
      </c>
      <c r="D2982" s="1" t="s">
        <v>1049</v>
      </c>
      <c r="E2982" s="1" t="s">
        <v>2</v>
      </c>
      <c r="F2982" s="1" t="s">
        <v>1050</v>
      </c>
      <c r="G2982" s="1">
        <v>8</v>
      </c>
      <c r="H2982" s="1" t="s">
        <v>19</v>
      </c>
      <c r="I2982" s="1" t="s">
        <v>652</v>
      </c>
      <c r="J2982" s="1">
        <v>11.9</v>
      </c>
      <c r="K2982" s="1">
        <v>95.2</v>
      </c>
      <c r="L2982" s="42">
        <v>5</v>
      </c>
      <c r="M2982" s="43"/>
      <c r="N2982" s="1" t="e">
        <f>VLOOKUP(B2982,MICRO!E:L,8,0)</f>
        <v>#N/A</v>
      </c>
    </row>
    <row r="2983" spans="1:14" ht="20.25" x14ac:dyDescent="0.25">
      <c r="A2983" s="1">
        <v>13</v>
      </c>
      <c r="B2983" s="159">
        <v>2626</v>
      </c>
      <c r="C2983" s="1" t="s">
        <v>1051</v>
      </c>
      <c r="D2983" s="1"/>
      <c r="E2983" s="1" t="s">
        <v>2</v>
      </c>
      <c r="F2983" s="1" t="s">
        <v>1685</v>
      </c>
      <c r="G2983" s="1">
        <v>1</v>
      </c>
      <c r="H2983" s="1" t="s">
        <v>19</v>
      </c>
      <c r="I2983" s="1" t="s">
        <v>652</v>
      </c>
      <c r="J2983" s="1">
        <v>4.2</v>
      </c>
      <c r="K2983" s="1">
        <v>4.2</v>
      </c>
      <c r="L2983" s="42">
        <v>5</v>
      </c>
      <c r="M2983" s="43"/>
      <c r="N2983" s="1" t="e">
        <f>VLOOKUP(B2983,MICRO!E:L,8,0)</f>
        <v>#N/A</v>
      </c>
    </row>
    <row r="2984" spans="1:14" ht="20.25" x14ac:dyDescent="0.25">
      <c r="A2984" s="1">
        <v>14</v>
      </c>
      <c r="B2984" s="159">
        <v>2627</v>
      </c>
      <c r="C2984" s="1" t="s">
        <v>1052</v>
      </c>
      <c r="D2984" s="1"/>
      <c r="E2984" s="1" t="s">
        <v>2</v>
      </c>
      <c r="F2984" s="1" t="s">
        <v>1686</v>
      </c>
      <c r="G2984" s="1">
        <v>20</v>
      </c>
      <c r="H2984" s="1" t="s">
        <v>19</v>
      </c>
      <c r="I2984" s="1" t="s">
        <v>652</v>
      </c>
      <c r="J2984" s="1">
        <v>2.68</v>
      </c>
      <c r="K2984" s="1">
        <v>53.6</v>
      </c>
      <c r="L2984" s="42">
        <v>5</v>
      </c>
      <c r="M2984" s="43"/>
      <c r="N2984" s="1" t="e">
        <f>VLOOKUP(B2984,MICRO!E:L,8,0)</f>
        <v>#N/A</v>
      </c>
    </row>
    <row r="2985" spans="1:14" ht="20.25" x14ac:dyDescent="0.25">
      <c r="A2985" s="1">
        <v>15</v>
      </c>
      <c r="B2985" s="159"/>
      <c r="C2985" s="1" t="s">
        <v>1687</v>
      </c>
      <c r="D2985" s="1" t="s">
        <v>1688</v>
      </c>
      <c r="E2985" s="1"/>
      <c r="F2985" s="1" t="s">
        <v>1689</v>
      </c>
      <c r="G2985" s="1">
        <v>90</v>
      </c>
      <c r="H2985" s="1" t="s">
        <v>19</v>
      </c>
      <c r="I2985" s="1" t="s">
        <v>652</v>
      </c>
      <c r="J2985" s="1">
        <v>0.02</v>
      </c>
      <c r="K2985" s="1">
        <v>1.8</v>
      </c>
      <c r="L2985" s="42">
        <v>5</v>
      </c>
      <c r="M2985" s="43"/>
      <c r="N2985" s="1" t="e">
        <f>VLOOKUP(B2985,MICRO!E:L,8,0)</f>
        <v>#N/A</v>
      </c>
    </row>
    <row r="2986" spans="1:14" ht="20.25" x14ac:dyDescent="0.25">
      <c r="A2986" s="1">
        <v>16</v>
      </c>
      <c r="B2986" s="159"/>
      <c r="C2986" s="1" t="s">
        <v>1690</v>
      </c>
      <c r="D2986" s="1" t="s">
        <v>1691</v>
      </c>
      <c r="E2986" s="1"/>
      <c r="F2986" s="1" t="s">
        <v>1692</v>
      </c>
      <c r="G2986" s="1">
        <v>88</v>
      </c>
      <c r="H2986" s="1" t="s">
        <v>19</v>
      </c>
      <c r="I2986" s="1" t="s">
        <v>652</v>
      </c>
      <c r="J2986" s="1">
        <v>0.02</v>
      </c>
      <c r="K2986" s="1">
        <v>1.76</v>
      </c>
      <c r="L2986" s="42">
        <v>5</v>
      </c>
      <c r="M2986" s="43"/>
      <c r="N2986" s="1" t="e">
        <f>VLOOKUP(B2986,MICRO!E:L,8,0)</f>
        <v>#N/A</v>
      </c>
    </row>
    <row r="2987" spans="1:14" ht="20.25" x14ac:dyDescent="0.25">
      <c r="A2987" s="1">
        <v>17</v>
      </c>
      <c r="B2987" s="159"/>
      <c r="C2987" s="1" t="s">
        <v>1687</v>
      </c>
      <c r="D2987" s="1" t="s">
        <v>1688</v>
      </c>
      <c r="E2987" s="1"/>
      <c r="F2987" s="1" t="s">
        <v>1693</v>
      </c>
      <c r="G2987" s="1">
        <v>24</v>
      </c>
      <c r="H2987" s="1" t="s">
        <v>19</v>
      </c>
      <c r="I2987" s="1" t="s">
        <v>652</v>
      </c>
      <c r="J2987" s="1">
        <v>0.02</v>
      </c>
      <c r="K2987" s="1">
        <v>0.48</v>
      </c>
      <c r="L2987" s="42">
        <v>5</v>
      </c>
      <c r="M2987" s="43"/>
      <c r="N2987" s="1" t="e">
        <f>VLOOKUP(B2987,MICRO!E:L,8,0)</f>
        <v>#N/A</v>
      </c>
    </row>
    <row r="2988" spans="1:14" ht="20.25" x14ac:dyDescent="0.25">
      <c r="A2988" s="1">
        <v>18</v>
      </c>
      <c r="B2988" s="159"/>
      <c r="C2988" s="1" t="s">
        <v>1690</v>
      </c>
      <c r="D2988" s="1" t="s">
        <v>1691</v>
      </c>
      <c r="E2988" s="1"/>
      <c r="F2988" s="1" t="s">
        <v>1694</v>
      </c>
      <c r="G2988" s="1">
        <v>28</v>
      </c>
      <c r="H2988" s="1" t="s">
        <v>19</v>
      </c>
      <c r="I2988" s="1" t="s">
        <v>652</v>
      </c>
      <c r="J2988" s="1">
        <v>0.02</v>
      </c>
      <c r="K2988" s="1">
        <v>0.56000000000000005</v>
      </c>
      <c r="L2988" s="42">
        <v>5</v>
      </c>
      <c r="M2988" s="43"/>
      <c r="N2988" s="1" t="e">
        <f>VLOOKUP(B2988,MICRO!E:L,8,0)</f>
        <v>#N/A</v>
      </c>
    </row>
    <row r="2989" spans="1:14" ht="20.25" x14ac:dyDescent="0.25">
      <c r="A2989" s="1">
        <v>19</v>
      </c>
      <c r="B2989" s="159"/>
      <c r="C2989" s="1" t="s">
        <v>1687</v>
      </c>
      <c r="D2989" s="1" t="s">
        <v>1688</v>
      </c>
      <c r="E2989" s="1"/>
      <c r="F2989" s="1" t="s">
        <v>1695</v>
      </c>
      <c r="G2989" s="1">
        <v>90</v>
      </c>
      <c r="H2989" s="1" t="s">
        <v>19</v>
      </c>
      <c r="I2989" s="1" t="s">
        <v>652</v>
      </c>
      <c r="J2989" s="1">
        <v>0.05</v>
      </c>
      <c r="K2989" s="1">
        <v>4.5</v>
      </c>
      <c r="L2989" s="42">
        <v>5</v>
      </c>
      <c r="M2989" s="43"/>
      <c r="N2989" s="1" t="e">
        <f>VLOOKUP(B2989,MICRO!E:L,8,0)</f>
        <v>#N/A</v>
      </c>
    </row>
    <row r="2990" spans="1:14" ht="20.25" x14ac:dyDescent="0.25">
      <c r="A2990" s="1">
        <v>20</v>
      </c>
      <c r="B2990" s="159"/>
      <c r="C2990" s="1" t="s">
        <v>1690</v>
      </c>
      <c r="D2990" s="1" t="s">
        <v>1691</v>
      </c>
      <c r="E2990" s="1"/>
      <c r="F2990" s="1" t="s">
        <v>1696</v>
      </c>
      <c r="G2990" s="1">
        <v>88</v>
      </c>
      <c r="H2990" s="1" t="s">
        <v>19</v>
      </c>
      <c r="I2990" s="1" t="s">
        <v>652</v>
      </c>
      <c r="J2990" s="1">
        <v>0.05</v>
      </c>
      <c r="K2990" s="1">
        <v>4.4000000000000004</v>
      </c>
      <c r="L2990" s="42">
        <v>5</v>
      </c>
      <c r="M2990" s="43"/>
      <c r="N2990" s="1" t="e">
        <f>VLOOKUP(B2990,MICRO!E:L,8,0)</f>
        <v>#N/A</v>
      </c>
    </row>
    <row r="2991" spans="1:14" ht="20.25" x14ac:dyDescent="0.25">
      <c r="A2991" s="1">
        <v>21</v>
      </c>
      <c r="B2991" s="159"/>
      <c r="C2991" s="1" t="s">
        <v>1687</v>
      </c>
      <c r="D2991" s="1" t="s">
        <v>1688</v>
      </c>
      <c r="E2991" s="1"/>
      <c r="F2991" s="1" t="s">
        <v>1697</v>
      </c>
      <c r="G2991" s="1">
        <v>94</v>
      </c>
      <c r="H2991" s="1" t="s">
        <v>19</v>
      </c>
      <c r="I2991" s="1" t="s">
        <v>652</v>
      </c>
      <c r="J2991" s="1">
        <v>0.05</v>
      </c>
      <c r="K2991" s="1">
        <v>4.7</v>
      </c>
      <c r="L2991" s="42">
        <v>5</v>
      </c>
      <c r="M2991" s="43"/>
      <c r="N2991" s="1" t="e">
        <f>VLOOKUP(B2991,MICRO!E:L,8,0)</f>
        <v>#N/A</v>
      </c>
    </row>
    <row r="2992" spans="1:14" ht="20.25" x14ac:dyDescent="0.25">
      <c r="A2992" s="1">
        <v>22</v>
      </c>
      <c r="B2992" s="159"/>
      <c r="C2992" s="1" t="s">
        <v>1690</v>
      </c>
      <c r="D2992" s="1" t="s">
        <v>1691</v>
      </c>
      <c r="E2992" s="1"/>
      <c r="F2992" s="1" t="s">
        <v>1698</v>
      </c>
      <c r="G2992" s="1">
        <v>60</v>
      </c>
      <c r="H2992" s="1" t="s">
        <v>19</v>
      </c>
      <c r="I2992" s="1" t="s">
        <v>652</v>
      </c>
      <c r="J2992" s="1">
        <v>0.05</v>
      </c>
      <c r="K2992" s="1">
        <v>3</v>
      </c>
      <c r="L2992" s="42">
        <v>5</v>
      </c>
      <c r="M2992" s="43"/>
      <c r="N2992" s="1" t="e">
        <f>VLOOKUP(B2992,MICRO!E:L,8,0)</f>
        <v>#N/A</v>
      </c>
    </row>
    <row r="2993" spans="1:14" ht="20.25" x14ac:dyDescent="0.25">
      <c r="A2993" s="1">
        <v>23</v>
      </c>
      <c r="B2993" s="159"/>
      <c r="C2993" s="1" t="s">
        <v>1699</v>
      </c>
      <c r="D2993" s="1" t="s">
        <v>1700</v>
      </c>
      <c r="E2993" s="1"/>
      <c r="F2993" s="1" t="s">
        <v>1701</v>
      </c>
      <c r="G2993" s="1">
        <v>18</v>
      </c>
      <c r="H2993" s="1" t="s">
        <v>19</v>
      </c>
      <c r="I2993" s="1" t="s">
        <v>1702</v>
      </c>
      <c r="J2993" s="1">
        <v>0.05</v>
      </c>
      <c r="K2993" s="1">
        <v>0.9</v>
      </c>
      <c r="L2993" s="42">
        <v>5</v>
      </c>
      <c r="M2993" s="43"/>
      <c r="N2993" s="1" t="e">
        <f>VLOOKUP(B2993,MICRO!E:L,8,0)</f>
        <v>#N/A</v>
      </c>
    </row>
    <row r="2994" spans="1:14" ht="20.25" x14ac:dyDescent="0.25">
      <c r="A2994" s="1">
        <v>24</v>
      </c>
      <c r="B2994" s="159"/>
      <c r="C2994" s="1" t="s">
        <v>1703</v>
      </c>
      <c r="D2994" s="1" t="s">
        <v>1704</v>
      </c>
      <c r="E2994" s="1"/>
      <c r="F2994" s="1" t="s">
        <v>1705</v>
      </c>
      <c r="G2994" s="1">
        <v>16</v>
      </c>
      <c r="H2994" s="1" t="s">
        <v>19</v>
      </c>
      <c r="I2994" s="1" t="s">
        <v>652</v>
      </c>
      <c r="J2994" s="1">
        <v>0.05</v>
      </c>
      <c r="K2994" s="1">
        <v>0.8</v>
      </c>
      <c r="L2994" s="42">
        <v>5</v>
      </c>
      <c r="M2994" s="43"/>
      <c r="N2994" s="1" t="e">
        <f>VLOOKUP(B2994,MICRO!E:L,8,0)</f>
        <v>#N/A</v>
      </c>
    </row>
    <row r="2995" spans="1:14" ht="20.25" x14ac:dyDescent="0.25">
      <c r="A2995" s="1">
        <v>25</v>
      </c>
      <c r="B2995" s="159"/>
      <c r="C2995" s="1" t="s">
        <v>1687</v>
      </c>
      <c r="D2995" s="1" t="s">
        <v>1688</v>
      </c>
      <c r="E2995" s="1"/>
      <c r="F2995" s="1" t="s">
        <v>1706</v>
      </c>
      <c r="G2995" s="1">
        <v>90</v>
      </c>
      <c r="H2995" s="1" t="s">
        <v>19</v>
      </c>
      <c r="I2995" s="1" t="s">
        <v>652</v>
      </c>
      <c r="J2995" s="1">
        <v>0.03</v>
      </c>
      <c r="K2995" s="1">
        <v>2.6999999999999997</v>
      </c>
      <c r="L2995" s="42">
        <v>5</v>
      </c>
      <c r="M2995" s="43"/>
      <c r="N2995" s="1" t="e">
        <f>VLOOKUP(B2995,MICRO!E:L,8,0)</f>
        <v>#N/A</v>
      </c>
    </row>
    <row r="2996" spans="1:14" ht="20.25" x14ac:dyDescent="0.25">
      <c r="A2996" s="1">
        <v>26</v>
      </c>
      <c r="B2996" s="159"/>
      <c r="C2996" s="1" t="s">
        <v>1690</v>
      </c>
      <c r="D2996" s="1" t="s">
        <v>1691</v>
      </c>
      <c r="E2996" s="1"/>
      <c r="F2996" s="1" t="s">
        <v>1707</v>
      </c>
      <c r="G2996" s="1">
        <v>88</v>
      </c>
      <c r="H2996" s="1" t="s">
        <v>19</v>
      </c>
      <c r="I2996" s="1" t="s">
        <v>652</v>
      </c>
      <c r="J2996" s="1">
        <v>0.03</v>
      </c>
      <c r="K2996" s="1">
        <v>2.6399999999999997</v>
      </c>
      <c r="L2996" s="42">
        <v>5</v>
      </c>
      <c r="M2996" s="43"/>
      <c r="N2996" s="1" t="e">
        <f>VLOOKUP(B2996,MICRO!E:L,8,0)</f>
        <v>#N/A</v>
      </c>
    </row>
    <row r="2997" spans="1:14" ht="20.25" x14ac:dyDescent="0.25">
      <c r="A2997" s="1">
        <v>27</v>
      </c>
      <c r="B2997" s="159"/>
      <c r="C2997" s="1" t="s">
        <v>1690</v>
      </c>
      <c r="D2997" s="1" t="s">
        <v>1691</v>
      </c>
      <c r="E2997" s="1"/>
      <c r="F2997" s="1" t="s">
        <v>1708</v>
      </c>
      <c r="G2997" s="1">
        <v>60</v>
      </c>
      <c r="H2997" s="1" t="s">
        <v>19</v>
      </c>
      <c r="I2997" s="1" t="s">
        <v>652</v>
      </c>
      <c r="J2997" s="1">
        <v>0.03</v>
      </c>
      <c r="K2997" s="1">
        <v>1.7999999999999998</v>
      </c>
      <c r="L2997" s="42">
        <v>5</v>
      </c>
      <c r="M2997" s="43"/>
      <c r="N2997" s="1" t="e">
        <f>VLOOKUP(B2997,MICRO!E:L,8,0)</f>
        <v>#N/A</v>
      </c>
    </row>
    <row r="2998" spans="1:14" ht="20.25" x14ac:dyDescent="0.25">
      <c r="A2998" s="1">
        <v>28</v>
      </c>
      <c r="B2998" s="159"/>
      <c r="C2998" s="1" t="s">
        <v>1687</v>
      </c>
      <c r="D2998" s="1" t="s">
        <v>1688</v>
      </c>
      <c r="E2998" s="1"/>
      <c r="F2998" s="1" t="s">
        <v>1709</v>
      </c>
      <c r="G2998" s="1">
        <v>24</v>
      </c>
      <c r="H2998" s="1" t="s">
        <v>19</v>
      </c>
      <c r="I2998" s="1" t="s">
        <v>652</v>
      </c>
      <c r="J2998" s="1">
        <v>0.03</v>
      </c>
      <c r="K2998" s="1">
        <v>0.72</v>
      </c>
      <c r="L2998" s="42">
        <v>5</v>
      </c>
      <c r="M2998" s="43"/>
      <c r="N2998" s="1" t="e">
        <f>VLOOKUP(B2998,MICRO!E:L,8,0)</f>
        <v>#N/A</v>
      </c>
    </row>
    <row r="2999" spans="1:14" ht="20.25" x14ac:dyDescent="0.25">
      <c r="A2999" s="1">
        <v>29</v>
      </c>
      <c r="B2999" s="159"/>
      <c r="C2999" s="1" t="s">
        <v>1690</v>
      </c>
      <c r="D2999" s="1" t="s">
        <v>1691</v>
      </c>
      <c r="E2999" s="1"/>
      <c r="F2999" s="1" t="s">
        <v>1710</v>
      </c>
      <c r="G2999" s="1">
        <v>74</v>
      </c>
      <c r="H2999" s="1" t="s">
        <v>19</v>
      </c>
      <c r="I2999" s="1" t="s">
        <v>652</v>
      </c>
      <c r="J2999" s="1">
        <v>0.03</v>
      </c>
      <c r="K2999" s="1">
        <v>2.2199999999999998</v>
      </c>
      <c r="L2999" s="42">
        <v>5</v>
      </c>
      <c r="M2999" s="43"/>
      <c r="N2999" s="1" t="e">
        <f>VLOOKUP(B2999,MICRO!E:L,8,0)</f>
        <v>#N/A</v>
      </c>
    </row>
    <row r="3000" spans="1:14" ht="20.25" x14ac:dyDescent="0.25">
      <c r="A3000" s="1">
        <v>30</v>
      </c>
      <c r="B3000" s="159"/>
      <c r="C3000" s="1" t="s">
        <v>1711</v>
      </c>
      <c r="D3000" s="1" t="s">
        <v>1712</v>
      </c>
      <c r="E3000" s="1"/>
      <c r="F3000" s="1" t="s">
        <v>1713</v>
      </c>
      <c r="G3000" s="1">
        <v>70</v>
      </c>
      <c r="H3000" s="1" t="s">
        <v>19</v>
      </c>
      <c r="I3000" s="1" t="s">
        <v>1702</v>
      </c>
      <c r="J3000" s="1">
        <v>0.01</v>
      </c>
      <c r="K3000" s="1">
        <v>0.70000000000000007</v>
      </c>
      <c r="L3000" s="42">
        <v>5</v>
      </c>
      <c r="M3000" s="43"/>
      <c r="N3000" s="1" t="e">
        <f>VLOOKUP(B3000,MICRO!E:L,8,0)</f>
        <v>#N/A</v>
      </c>
    </row>
    <row r="3001" spans="1:14" ht="20.25" x14ac:dyDescent="0.25">
      <c r="A3001" s="1">
        <v>31</v>
      </c>
      <c r="B3001" s="159"/>
      <c r="C3001" s="1" t="s">
        <v>1690</v>
      </c>
      <c r="D3001" s="1" t="s">
        <v>1691</v>
      </c>
      <c r="E3001" s="1"/>
      <c r="F3001" s="1" t="s">
        <v>1714</v>
      </c>
      <c r="G3001" s="1">
        <v>63</v>
      </c>
      <c r="H3001" s="1" t="s">
        <v>19</v>
      </c>
      <c r="I3001" s="1" t="s">
        <v>652</v>
      </c>
      <c r="J3001" s="1">
        <v>0.01</v>
      </c>
      <c r="K3001" s="1">
        <v>0.63</v>
      </c>
      <c r="L3001" s="42">
        <v>5</v>
      </c>
      <c r="M3001" s="43"/>
      <c r="N3001" s="1" t="e">
        <f>VLOOKUP(B3001,MICRO!E:L,8,0)</f>
        <v>#N/A</v>
      </c>
    </row>
    <row r="3002" spans="1:14" ht="20.25" x14ac:dyDescent="0.25">
      <c r="A3002" s="1">
        <v>32</v>
      </c>
      <c r="B3002" s="159"/>
      <c r="C3002" s="1" t="s">
        <v>1687</v>
      </c>
      <c r="D3002" s="1" t="s">
        <v>1688</v>
      </c>
      <c r="E3002" s="1"/>
      <c r="F3002" s="1" t="s">
        <v>1715</v>
      </c>
      <c r="G3002" s="1">
        <v>44</v>
      </c>
      <c r="H3002" s="1" t="s">
        <v>19</v>
      </c>
      <c r="I3002" s="1" t="s">
        <v>652</v>
      </c>
      <c r="J3002" s="1">
        <v>0.01</v>
      </c>
      <c r="K3002" s="1">
        <v>0.44</v>
      </c>
      <c r="L3002" s="42">
        <v>5</v>
      </c>
      <c r="M3002" s="43"/>
      <c r="N3002" s="1" t="e">
        <f>VLOOKUP(B3002,MICRO!E:L,8,0)</f>
        <v>#N/A</v>
      </c>
    </row>
    <row r="3003" spans="1:14" ht="20.25" x14ac:dyDescent="0.25">
      <c r="A3003" s="1">
        <v>33</v>
      </c>
      <c r="B3003" s="159"/>
      <c r="C3003" s="1" t="s">
        <v>1716</v>
      </c>
      <c r="D3003" s="1"/>
      <c r="E3003" s="1"/>
      <c r="F3003" s="1" t="s">
        <v>1717</v>
      </c>
      <c r="G3003" s="1">
        <v>2</v>
      </c>
      <c r="H3003" s="1" t="s">
        <v>19</v>
      </c>
      <c r="I3003" s="1" t="s">
        <v>652</v>
      </c>
      <c r="J3003" s="1">
        <v>0.01</v>
      </c>
      <c r="K3003" s="1">
        <v>0.02</v>
      </c>
      <c r="L3003" s="42">
        <v>5</v>
      </c>
      <c r="M3003" s="43"/>
      <c r="N3003" s="1" t="e">
        <f>VLOOKUP(B3003,MICRO!E:L,8,0)</f>
        <v>#N/A</v>
      </c>
    </row>
    <row r="3004" spans="1:14" ht="20.25" x14ac:dyDescent="0.25">
      <c r="A3004" s="1">
        <v>34</v>
      </c>
      <c r="B3004" s="159"/>
      <c r="C3004" s="1" t="s">
        <v>1718</v>
      </c>
      <c r="D3004" s="1"/>
      <c r="E3004" s="1"/>
      <c r="F3004" s="1" t="s">
        <v>1719</v>
      </c>
      <c r="G3004" s="1">
        <v>4</v>
      </c>
      <c r="H3004" s="1" t="s">
        <v>19</v>
      </c>
      <c r="I3004" s="1" t="s">
        <v>652</v>
      </c>
      <c r="J3004" s="1">
        <v>0.1</v>
      </c>
      <c r="K3004" s="1">
        <v>0.4</v>
      </c>
      <c r="L3004" s="42">
        <v>5</v>
      </c>
      <c r="M3004" s="43"/>
      <c r="N3004" s="1" t="e">
        <f>VLOOKUP(B3004,MICRO!E:L,8,0)</f>
        <v>#N/A</v>
      </c>
    </row>
    <row r="3005" spans="1:14" ht="20.25" x14ac:dyDescent="0.25">
      <c r="A3005" s="1">
        <v>35</v>
      </c>
      <c r="B3005" s="159"/>
      <c r="C3005" s="1" t="s">
        <v>1720</v>
      </c>
      <c r="D3005" s="1"/>
      <c r="E3005" s="1"/>
      <c r="F3005" s="1" t="s">
        <v>1721</v>
      </c>
      <c r="G3005" s="1">
        <v>200</v>
      </c>
      <c r="H3005" s="1" t="s">
        <v>19</v>
      </c>
      <c r="I3005" s="1" t="s">
        <v>652</v>
      </c>
      <c r="J3005" s="1">
        <v>0.03</v>
      </c>
      <c r="K3005" s="1">
        <v>6</v>
      </c>
      <c r="L3005" s="42">
        <v>5</v>
      </c>
      <c r="M3005" s="43"/>
      <c r="N3005" s="1" t="e">
        <f>VLOOKUP(B3005,MICRO!E:L,8,0)</f>
        <v>#N/A</v>
      </c>
    </row>
    <row r="3006" spans="1:14" ht="20.25" x14ac:dyDescent="0.25">
      <c r="A3006" s="1">
        <v>36</v>
      </c>
      <c r="B3006" s="159"/>
      <c r="C3006" s="1" t="s">
        <v>1722</v>
      </c>
      <c r="D3006" s="1"/>
      <c r="E3006" s="1"/>
      <c r="F3006" s="1" t="s">
        <v>1723</v>
      </c>
      <c r="G3006" s="1">
        <v>32</v>
      </c>
      <c r="H3006" s="1" t="s">
        <v>19</v>
      </c>
      <c r="I3006" s="1" t="s">
        <v>652</v>
      </c>
      <c r="J3006" s="1">
        <v>0.03</v>
      </c>
      <c r="K3006" s="1">
        <v>0.96</v>
      </c>
      <c r="L3006" s="42">
        <v>5</v>
      </c>
      <c r="M3006" s="43"/>
      <c r="N3006" s="1" t="e">
        <f>VLOOKUP(B3006,MICRO!E:L,8,0)</f>
        <v>#N/A</v>
      </c>
    </row>
    <row r="3007" spans="1:14" ht="20.25" x14ac:dyDescent="0.25">
      <c r="A3007" s="1">
        <v>37</v>
      </c>
      <c r="B3007" s="159"/>
      <c r="C3007" s="1" t="s">
        <v>1724</v>
      </c>
      <c r="D3007" s="1"/>
      <c r="E3007" s="1"/>
      <c r="F3007" s="1" t="s">
        <v>1725</v>
      </c>
      <c r="G3007" s="1">
        <v>264</v>
      </c>
      <c r="H3007" s="1" t="s">
        <v>19</v>
      </c>
      <c r="I3007" s="1" t="s">
        <v>652</v>
      </c>
      <c r="J3007" s="1">
        <v>1.2999999999999999E-2</v>
      </c>
      <c r="K3007" s="1">
        <v>3.4319999999999999</v>
      </c>
      <c r="L3007" s="42">
        <v>5</v>
      </c>
      <c r="M3007" s="43"/>
      <c r="N3007" s="1" t="e">
        <f>VLOOKUP(B3007,MICRO!E:L,8,0)</f>
        <v>#N/A</v>
      </c>
    </row>
    <row r="3008" spans="1:14" ht="20.25" x14ac:dyDescent="0.25">
      <c r="A3008" s="1">
        <v>38</v>
      </c>
      <c r="B3008" s="159">
        <v>2739</v>
      </c>
      <c r="C3008" s="1" t="s">
        <v>1095</v>
      </c>
      <c r="D3008" s="1"/>
      <c r="E3008" s="1" t="s">
        <v>2</v>
      </c>
      <c r="F3008" s="1" t="s">
        <v>1096</v>
      </c>
      <c r="G3008" s="1">
        <v>1</v>
      </c>
      <c r="H3008" s="1" t="s">
        <v>19</v>
      </c>
      <c r="I3008" s="1" t="s">
        <v>652</v>
      </c>
      <c r="J3008" s="1">
        <v>101.7</v>
      </c>
      <c r="K3008" s="1">
        <v>101.7</v>
      </c>
      <c r="L3008" s="42">
        <v>5</v>
      </c>
      <c r="M3008" s="43"/>
      <c r="N3008" s="1" t="e">
        <f>VLOOKUP(B3008,MICRO!E:L,8,0)</f>
        <v>#N/A</v>
      </c>
    </row>
    <row r="3009" spans="1:14" ht="20.25" x14ac:dyDescent="0.25">
      <c r="A3009" s="1">
        <v>39</v>
      </c>
      <c r="B3009" s="159">
        <v>2740</v>
      </c>
      <c r="C3009" s="1" t="s">
        <v>1095</v>
      </c>
      <c r="D3009" s="1"/>
      <c r="E3009" s="1" t="s">
        <v>43</v>
      </c>
      <c r="F3009" s="1" t="s">
        <v>1097</v>
      </c>
      <c r="G3009" s="1">
        <v>1</v>
      </c>
      <c r="H3009" s="1" t="s">
        <v>19</v>
      </c>
      <c r="I3009" s="1" t="s">
        <v>652</v>
      </c>
      <c r="J3009" s="1">
        <v>42.1</v>
      </c>
      <c r="K3009" s="1">
        <v>42.1</v>
      </c>
      <c r="L3009" s="42">
        <v>5</v>
      </c>
      <c r="M3009" s="43"/>
      <c r="N3009" s="1" t="e">
        <f>VLOOKUP(B3009,MICRO!E:L,8,0)</f>
        <v>#N/A</v>
      </c>
    </row>
    <row r="3010" spans="1:14" ht="20.25" x14ac:dyDescent="0.25">
      <c r="A3010" s="1">
        <v>40</v>
      </c>
      <c r="B3010" s="159">
        <v>2741</v>
      </c>
      <c r="C3010" s="1" t="s">
        <v>1095</v>
      </c>
      <c r="D3010" s="1"/>
      <c r="E3010" s="1" t="s">
        <v>746</v>
      </c>
      <c r="F3010" s="1" t="s">
        <v>1098</v>
      </c>
      <c r="G3010" s="1">
        <v>1</v>
      </c>
      <c r="H3010" s="1" t="s">
        <v>19</v>
      </c>
      <c r="I3010" s="1" t="s">
        <v>652</v>
      </c>
      <c r="J3010" s="1">
        <v>56.3</v>
      </c>
      <c r="K3010" s="1">
        <v>56.3</v>
      </c>
      <c r="L3010" s="42">
        <v>5</v>
      </c>
      <c r="M3010" s="43"/>
      <c r="N3010" s="1" t="e">
        <f>VLOOKUP(B3010,MICRO!E:L,8,0)</f>
        <v>#N/A</v>
      </c>
    </row>
    <row r="3011" spans="1:14" ht="20.25" x14ac:dyDescent="0.25">
      <c r="A3011" s="1">
        <v>41</v>
      </c>
      <c r="B3011" s="159">
        <v>2742</v>
      </c>
      <c r="C3011" s="1" t="s">
        <v>1095</v>
      </c>
      <c r="D3011" s="1"/>
      <c r="E3011" s="1" t="s">
        <v>1101</v>
      </c>
      <c r="F3011" s="1" t="s">
        <v>1099</v>
      </c>
      <c r="G3011" s="1">
        <v>2</v>
      </c>
      <c r="H3011" s="1" t="s">
        <v>19</v>
      </c>
      <c r="I3011" s="1" t="s">
        <v>652</v>
      </c>
      <c r="J3011" s="1">
        <v>55</v>
      </c>
      <c r="K3011" s="1">
        <v>110</v>
      </c>
      <c r="L3011" s="42">
        <v>5</v>
      </c>
      <c r="M3011" s="43"/>
      <c r="N3011" s="1" t="e">
        <f>VLOOKUP(B3011,MICRO!E:L,8,0)</f>
        <v>#N/A</v>
      </c>
    </row>
    <row r="3012" spans="1:14" ht="20.25" x14ac:dyDescent="0.25">
      <c r="A3012" s="1">
        <v>42</v>
      </c>
      <c r="B3012" s="159">
        <v>2743</v>
      </c>
      <c r="C3012" s="1" t="s">
        <v>1095</v>
      </c>
      <c r="D3012" s="1"/>
      <c r="E3012" s="1" t="s">
        <v>100</v>
      </c>
      <c r="F3012" s="1" t="s">
        <v>1100</v>
      </c>
      <c r="G3012" s="1">
        <v>2</v>
      </c>
      <c r="H3012" s="1" t="s">
        <v>19</v>
      </c>
      <c r="I3012" s="1" t="s">
        <v>652</v>
      </c>
      <c r="J3012" s="1">
        <v>6.7</v>
      </c>
      <c r="K3012" s="1">
        <v>13.4</v>
      </c>
      <c r="L3012" s="42">
        <v>5</v>
      </c>
      <c r="M3012" s="43"/>
      <c r="N3012" s="1" t="e">
        <f>VLOOKUP(B3012,MICRO!E:L,8,0)</f>
        <v>#N/A</v>
      </c>
    </row>
    <row r="3013" spans="1:14" ht="20.25" x14ac:dyDescent="0.25">
      <c r="A3013" s="1">
        <v>43</v>
      </c>
      <c r="B3013" s="159"/>
      <c r="C3013" s="1" t="s">
        <v>1726</v>
      </c>
      <c r="D3013" s="1"/>
      <c r="E3013" s="1" t="s">
        <v>2</v>
      </c>
      <c r="F3013" s="1" t="s">
        <v>1727</v>
      </c>
      <c r="G3013" s="1">
        <v>1</v>
      </c>
      <c r="H3013" s="1" t="s">
        <v>19</v>
      </c>
      <c r="I3013" s="1" t="s">
        <v>652</v>
      </c>
      <c r="J3013" s="1">
        <v>5.3</v>
      </c>
      <c r="K3013" s="1">
        <v>5.3</v>
      </c>
      <c r="L3013" s="42">
        <v>5</v>
      </c>
      <c r="M3013" s="43"/>
      <c r="N3013" s="1" t="e">
        <f>VLOOKUP(B3013,MICRO!E:L,8,0)</f>
        <v>#N/A</v>
      </c>
    </row>
    <row r="3014" spans="1:14" ht="20.25" x14ac:dyDescent="0.25">
      <c r="A3014" s="1">
        <v>44</v>
      </c>
      <c r="B3014" s="159"/>
      <c r="C3014" s="1" t="s">
        <v>1720</v>
      </c>
      <c r="D3014" s="1"/>
      <c r="E3014" s="1"/>
      <c r="F3014" s="1" t="s">
        <v>1728</v>
      </c>
      <c r="G3014" s="1">
        <v>2</v>
      </c>
      <c r="H3014" s="1" t="s">
        <v>19</v>
      </c>
      <c r="I3014" s="1" t="s">
        <v>652</v>
      </c>
      <c r="J3014" s="1">
        <v>1.2999999999999999E-2</v>
      </c>
      <c r="K3014" s="1">
        <v>2.5999999999999999E-2</v>
      </c>
      <c r="L3014" s="42">
        <v>5</v>
      </c>
      <c r="M3014" s="43"/>
      <c r="N3014" s="1" t="e">
        <f>VLOOKUP(B3014,MICRO!E:L,8,0)</f>
        <v>#N/A</v>
      </c>
    </row>
    <row r="3015" spans="1:14" ht="20.25" x14ac:dyDescent="0.25">
      <c r="A3015" s="1">
        <v>45</v>
      </c>
      <c r="B3015" s="159"/>
      <c r="C3015" s="1" t="s">
        <v>1729</v>
      </c>
      <c r="D3015" s="1"/>
      <c r="E3015" s="1"/>
      <c r="F3015" s="1" t="s">
        <v>1730</v>
      </c>
      <c r="G3015" s="1">
        <v>16</v>
      </c>
      <c r="H3015" s="1" t="s">
        <v>19</v>
      </c>
      <c r="I3015" s="1" t="s">
        <v>652</v>
      </c>
      <c r="J3015" s="1">
        <v>1.2999999999999999E-2</v>
      </c>
      <c r="K3015" s="1">
        <v>0.20799999999999999</v>
      </c>
      <c r="L3015" s="42">
        <v>5</v>
      </c>
      <c r="M3015" s="43"/>
      <c r="N3015" s="1" t="e">
        <f>VLOOKUP(B3015,MICRO!E:L,8,0)</f>
        <v>#N/A</v>
      </c>
    </row>
    <row r="3016" spans="1:14" ht="20.25" x14ac:dyDescent="0.25">
      <c r="A3016" s="1">
        <v>46</v>
      </c>
      <c r="B3016" s="159"/>
      <c r="C3016" s="1" t="s">
        <v>1731</v>
      </c>
      <c r="D3016" s="1"/>
      <c r="E3016" s="1"/>
      <c r="F3016" s="1" t="s">
        <v>1732</v>
      </c>
      <c r="G3016" s="1">
        <v>16</v>
      </c>
      <c r="H3016" s="1" t="s">
        <v>19</v>
      </c>
      <c r="I3016" s="1" t="s">
        <v>652</v>
      </c>
      <c r="J3016" s="1">
        <v>1.2999999999999999E-2</v>
      </c>
      <c r="K3016" s="1">
        <v>0.20799999999999999</v>
      </c>
      <c r="L3016" s="42">
        <v>5</v>
      </c>
      <c r="M3016" s="43"/>
      <c r="N3016" s="1" t="e">
        <f>VLOOKUP(B3016,MICRO!E:L,8,0)</f>
        <v>#N/A</v>
      </c>
    </row>
    <row r="3017" spans="1:14" ht="20.25" x14ac:dyDescent="0.25">
      <c r="A3017" s="1">
        <v>47</v>
      </c>
      <c r="B3017" s="159"/>
      <c r="C3017" s="1" t="s">
        <v>1024</v>
      </c>
      <c r="D3017" s="1"/>
      <c r="E3017" s="1"/>
      <c r="F3017" s="1" t="s">
        <v>1733</v>
      </c>
      <c r="G3017" s="1">
        <v>16</v>
      </c>
      <c r="H3017" s="1" t="s">
        <v>19</v>
      </c>
      <c r="I3017" s="1" t="s">
        <v>652</v>
      </c>
      <c r="J3017" s="1">
        <v>1.2999999999999999E-2</v>
      </c>
      <c r="K3017" s="1">
        <v>0.20799999999999999</v>
      </c>
      <c r="L3017" s="42">
        <v>5</v>
      </c>
      <c r="M3017" s="43"/>
      <c r="N3017" s="1" t="e">
        <f>VLOOKUP(B3017,MICRO!E:L,8,0)</f>
        <v>#N/A</v>
      </c>
    </row>
    <row r="3018" spans="1:14" ht="20.25" x14ac:dyDescent="0.25">
      <c r="A3018" s="1">
        <v>48</v>
      </c>
      <c r="B3018" s="159"/>
      <c r="C3018" s="1" t="s">
        <v>1734</v>
      </c>
      <c r="D3018" s="1"/>
      <c r="E3018" s="1"/>
      <c r="F3018" s="1" t="s">
        <v>1735</v>
      </c>
      <c r="G3018" s="1">
        <v>8</v>
      </c>
      <c r="H3018" s="1" t="s">
        <v>19</v>
      </c>
      <c r="I3018" s="1" t="s">
        <v>652</v>
      </c>
      <c r="J3018" s="1">
        <v>1.2999999999999999E-2</v>
      </c>
      <c r="K3018" s="1">
        <v>0.104</v>
      </c>
      <c r="L3018" s="42">
        <v>5</v>
      </c>
      <c r="M3018" s="43"/>
      <c r="N3018" s="1" t="e">
        <f>VLOOKUP(B3018,MICRO!E:L,8,0)</f>
        <v>#N/A</v>
      </c>
    </row>
    <row r="3019" spans="1:14" ht="20.25" x14ac:dyDescent="0.25">
      <c r="A3019" s="1">
        <v>49</v>
      </c>
      <c r="B3019" s="159"/>
      <c r="C3019" s="1" t="s">
        <v>1736</v>
      </c>
      <c r="D3019" s="1"/>
      <c r="E3019" s="1"/>
      <c r="F3019" s="1" t="s">
        <v>1737</v>
      </c>
      <c r="G3019" s="1">
        <v>4</v>
      </c>
      <c r="H3019" s="1" t="s">
        <v>19</v>
      </c>
      <c r="I3019" s="1" t="s">
        <v>652</v>
      </c>
      <c r="J3019" s="1">
        <v>1.2999999999999999E-2</v>
      </c>
      <c r="K3019" s="1">
        <v>5.1999999999999998E-2</v>
      </c>
      <c r="L3019" s="42">
        <v>5</v>
      </c>
      <c r="M3019" s="43"/>
      <c r="N3019" s="1" t="e">
        <f>VLOOKUP(B3019,MICRO!E:L,8,0)</f>
        <v>#N/A</v>
      </c>
    </row>
    <row r="3020" spans="1:14" ht="20.25" x14ac:dyDescent="0.25">
      <c r="A3020" s="1">
        <v>50</v>
      </c>
      <c r="B3020" s="159"/>
      <c r="C3020" s="1" t="s">
        <v>1051</v>
      </c>
      <c r="D3020" s="1"/>
      <c r="E3020" s="1"/>
      <c r="F3020" s="1" t="s">
        <v>1738</v>
      </c>
      <c r="G3020" s="1">
        <v>1</v>
      </c>
      <c r="H3020" s="1" t="s">
        <v>19</v>
      </c>
      <c r="I3020" s="1" t="s">
        <v>652</v>
      </c>
      <c r="J3020" s="1">
        <v>1.2999999999999999E-2</v>
      </c>
      <c r="K3020" s="1">
        <v>1.2999999999999999E-2</v>
      </c>
      <c r="L3020" s="42">
        <v>5</v>
      </c>
      <c r="M3020" s="43"/>
      <c r="N3020" s="1" t="e">
        <f>VLOOKUP(B3020,MICRO!E:L,8,0)</f>
        <v>#N/A</v>
      </c>
    </row>
    <row r="3021" spans="1:14" ht="20.25" x14ac:dyDescent="0.25">
      <c r="A3021" s="1">
        <v>51</v>
      </c>
      <c r="B3021" s="159"/>
      <c r="C3021" s="1" t="s">
        <v>1739</v>
      </c>
      <c r="D3021" s="1"/>
      <c r="E3021" s="1"/>
      <c r="F3021" s="1" t="s">
        <v>1740</v>
      </c>
      <c r="G3021" s="1">
        <v>1</v>
      </c>
      <c r="H3021" s="1" t="s">
        <v>19</v>
      </c>
      <c r="I3021" s="1" t="s">
        <v>652</v>
      </c>
      <c r="J3021" s="1">
        <v>1.2999999999999999E-2</v>
      </c>
      <c r="K3021" s="1">
        <v>1.2999999999999999E-2</v>
      </c>
      <c r="L3021" s="42">
        <v>5</v>
      </c>
      <c r="M3021" s="43"/>
      <c r="N3021" s="1" t="e">
        <f>VLOOKUP(B3021,MICRO!E:L,8,0)</f>
        <v>#N/A</v>
      </c>
    </row>
    <row r="3022" spans="1:14" ht="20.25" x14ac:dyDescent="0.25">
      <c r="A3022" s="1">
        <v>52</v>
      </c>
      <c r="B3022" s="159"/>
      <c r="C3022" s="1" t="s">
        <v>1741</v>
      </c>
      <c r="D3022" s="1"/>
      <c r="E3022" s="1"/>
      <c r="F3022" s="1" t="s">
        <v>1742</v>
      </c>
      <c r="G3022" s="1">
        <v>4</v>
      </c>
      <c r="H3022" s="1" t="s">
        <v>19</v>
      </c>
      <c r="I3022" s="1" t="s">
        <v>652</v>
      </c>
      <c r="J3022" s="1">
        <v>1.2999999999999999E-2</v>
      </c>
      <c r="K3022" s="1">
        <v>5.1999999999999998E-2</v>
      </c>
      <c r="L3022" s="42">
        <v>5</v>
      </c>
      <c r="M3022" s="43"/>
      <c r="N3022" s="1" t="e">
        <f>VLOOKUP(B3022,MICRO!E:L,8,0)</f>
        <v>#N/A</v>
      </c>
    </row>
    <row r="3023" spans="1:14" ht="20.25" x14ac:dyDescent="0.25">
      <c r="A3023" s="1">
        <v>53</v>
      </c>
      <c r="B3023" s="159"/>
      <c r="C3023" s="1" t="s">
        <v>1720</v>
      </c>
      <c r="D3023" s="1"/>
      <c r="E3023" s="1"/>
      <c r="F3023" s="1" t="s">
        <v>1743</v>
      </c>
      <c r="G3023" s="1">
        <v>153</v>
      </c>
      <c r="H3023" s="1" t="s">
        <v>19</v>
      </c>
      <c r="I3023" s="1" t="s">
        <v>652</v>
      </c>
      <c r="J3023" s="1">
        <v>1.2999999999999999E-2</v>
      </c>
      <c r="K3023" s="1">
        <v>1.9889999999999999</v>
      </c>
      <c r="L3023" s="42">
        <v>5</v>
      </c>
      <c r="M3023" s="43"/>
      <c r="N3023" s="1" t="e">
        <f>VLOOKUP(B3023,MICRO!E:L,8,0)</f>
        <v>#N/A</v>
      </c>
    </row>
    <row r="3024" spans="1:14" ht="20.25" x14ac:dyDescent="0.25">
      <c r="A3024" s="1">
        <v>54</v>
      </c>
      <c r="B3024" s="159"/>
      <c r="C3024" s="1" t="s">
        <v>1744</v>
      </c>
      <c r="D3024" s="1"/>
      <c r="E3024" s="1"/>
      <c r="F3024" s="1" t="s">
        <v>1745</v>
      </c>
      <c r="G3024" s="1">
        <v>56</v>
      </c>
      <c r="H3024" s="1" t="s">
        <v>19</v>
      </c>
      <c r="I3024" s="1" t="s">
        <v>652</v>
      </c>
      <c r="J3024" s="1">
        <v>1.2999999999999999E-2</v>
      </c>
      <c r="K3024" s="1">
        <v>0.72799999999999998</v>
      </c>
      <c r="L3024" s="42">
        <v>5</v>
      </c>
      <c r="M3024" s="43"/>
      <c r="N3024" s="1" t="e">
        <f>VLOOKUP(B3024,MICRO!E:L,8,0)</f>
        <v>#N/A</v>
      </c>
    </row>
    <row r="3025" spans="1:14" ht="20.25" x14ac:dyDescent="0.25">
      <c r="A3025" s="1">
        <v>55</v>
      </c>
      <c r="B3025" s="159"/>
      <c r="C3025" s="1" t="s">
        <v>1746</v>
      </c>
      <c r="D3025" s="1"/>
      <c r="E3025" s="1"/>
      <c r="F3025" s="1" t="s">
        <v>1747</v>
      </c>
      <c r="G3025" s="1">
        <v>137</v>
      </c>
      <c r="H3025" s="1" t="s">
        <v>19</v>
      </c>
      <c r="I3025" s="1" t="s">
        <v>652</v>
      </c>
      <c r="J3025" s="1">
        <v>1.2999999999999999E-2</v>
      </c>
      <c r="K3025" s="1">
        <v>1.7809999999999999</v>
      </c>
      <c r="L3025" s="42">
        <v>5</v>
      </c>
      <c r="M3025" s="43"/>
      <c r="N3025" s="1" t="e">
        <f>VLOOKUP(B3025,MICRO!E:L,8,0)</f>
        <v>#N/A</v>
      </c>
    </row>
    <row r="3026" spans="1:14" ht="20.25" x14ac:dyDescent="0.25">
      <c r="A3026" s="1">
        <v>56</v>
      </c>
      <c r="B3026" s="159"/>
      <c r="C3026" s="1" t="s">
        <v>1720</v>
      </c>
      <c r="D3026" s="1"/>
      <c r="E3026" s="1"/>
      <c r="F3026" s="1" t="s">
        <v>1748</v>
      </c>
      <c r="G3026" s="1">
        <v>200</v>
      </c>
      <c r="H3026" s="1" t="s">
        <v>19</v>
      </c>
      <c r="I3026" s="1" t="s">
        <v>652</v>
      </c>
      <c r="J3026" s="1">
        <v>1.2999999999999999E-2</v>
      </c>
      <c r="K3026" s="1">
        <v>2.6</v>
      </c>
      <c r="L3026" s="42">
        <v>5</v>
      </c>
      <c r="M3026" s="43"/>
      <c r="N3026" s="1" t="e">
        <f>VLOOKUP(B3026,MICRO!E:L,8,0)</f>
        <v>#N/A</v>
      </c>
    </row>
    <row r="3027" spans="1:14" ht="20.25" x14ac:dyDescent="0.25">
      <c r="A3027" s="1">
        <v>57</v>
      </c>
      <c r="B3027" s="159"/>
      <c r="C3027" s="1" t="s">
        <v>1731</v>
      </c>
      <c r="D3027" s="1"/>
      <c r="E3027" s="1"/>
      <c r="F3027" s="1" t="s">
        <v>1749</v>
      </c>
      <c r="G3027" s="1">
        <v>4</v>
      </c>
      <c r="H3027" s="1" t="s">
        <v>19</v>
      </c>
      <c r="I3027" s="1" t="s">
        <v>652</v>
      </c>
      <c r="J3027" s="1">
        <v>0.05</v>
      </c>
      <c r="K3027" s="1">
        <v>0.2</v>
      </c>
      <c r="L3027" s="42">
        <v>5</v>
      </c>
      <c r="M3027" s="43"/>
      <c r="N3027" s="1" t="e">
        <f>VLOOKUP(B3027,MICRO!E:L,8,0)</f>
        <v>#N/A</v>
      </c>
    </row>
    <row r="3028" spans="1:14" ht="20.25" x14ac:dyDescent="0.25">
      <c r="A3028" s="1">
        <v>58</v>
      </c>
      <c r="B3028" s="159"/>
      <c r="C3028" s="1" t="s">
        <v>1024</v>
      </c>
      <c r="D3028" s="1"/>
      <c r="E3028" s="1"/>
      <c r="F3028" s="1" t="s">
        <v>1750</v>
      </c>
      <c r="G3028" s="1">
        <v>4</v>
      </c>
      <c r="H3028" s="1" t="s">
        <v>19</v>
      </c>
      <c r="I3028" s="1" t="s">
        <v>652</v>
      </c>
      <c r="J3028" s="1">
        <v>0.05</v>
      </c>
      <c r="K3028" s="1">
        <v>0.2</v>
      </c>
      <c r="L3028" s="42">
        <v>5</v>
      </c>
      <c r="M3028" s="43"/>
      <c r="N3028" s="1" t="e">
        <f>VLOOKUP(B3028,MICRO!E:L,8,0)</f>
        <v>#N/A</v>
      </c>
    </row>
    <row r="3029" spans="1:14" ht="20.25" x14ac:dyDescent="0.25">
      <c r="A3029" s="1">
        <v>59</v>
      </c>
      <c r="B3029" s="159"/>
      <c r="C3029" s="1" t="s">
        <v>1736</v>
      </c>
      <c r="D3029" s="1"/>
      <c r="E3029" s="1"/>
      <c r="F3029" s="1" t="s">
        <v>1751</v>
      </c>
      <c r="G3029" s="1">
        <v>4</v>
      </c>
      <c r="H3029" s="1" t="s">
        <v>19</v>
      </c>
      <c r="I3029" s="1" t="s">
        <v>652</v>
      </c>
      <c r="J3029" s="1">
        <v>0.05</v>
      </c>
      <c r="K3029" s="1">
        <v>0.2</v>
      </c>
      <c r="L3029" s="42">
        <v>5</v>
      </c>
      <c r="M3029" s="43"/>
      <c r="N3029" s="1" t="e">
        <f>VLOOKUP(B3029,MICRO!E:L,8,0)</f>
        <v>#N/A</v>
      </c>
    </row>
    <row r="3030" spans="1:14" ht="20.25" x14ac:dyDescent="0.25">
      <c r="A3030" s="1">
        <v>60</v>
      </c>
      <c r="B3030" s="159"/>
      <c r="C3030" s="1" t="s">
        <v>1729</v>
      </c>
      <c r="D3030" s="1"/>
      <c r="E3030" s="1"/>
      <c r="F3030" s="1" t="s">
        <v>1752</v>
      </c>
      <c r="G3030" s="1">
        <v>2</v>
      </c>
      <c r="H3030" s="1" t="s">
        <v>19</v>
      </c>
      <c r="I3030" s="1" t="s">
        <v>652</v>
      </c>
      <c r="J3030" s="1">
        <v>0.05</v>
      </c>
      <c r="K3030" s="1">
        <v>0.1</v>
      </c>
      <c r="L3030" s="42">
        <v>5</v>
      </c>
      <c r="M3030" s="43"/>
      <c r="N3030" s="1" t="e">
        <f>VLOOKUP(B3030,MICRO!E:L,8,0)</f>
        <v>#N/A</v>
      </c>
    </row>
    <row r="3031" spans="1:14" ht="20.25" x14ac:dyDescent="0.25">
      <c r="A3031" s="1">
        <v>61</v>
      </c>
      <c r="B3031" s="159"/>
      <c r="C3031" s="1" t="s">
        <v>1744</v>
      </c>
      <c r="D3031" s="1"/>
      <c r="E3031" s="1"/>
      <c r="F3031" s="1" t="s">
        <v>1753</v>
      </c>
      <c r="G3031" s="1">
        <v>18</v>
      </c>
      <c r="H3031" s="1" t="s">
        <v>19</v>
      </c>
      <c r="I3031" s="1" t="s">
        <v>652</v>
      </c>
      <c r="J3031" s="1">
        <v>0.05</v>
      </c>
      <c r="K3031" s="1">
        <v>0.9</v>
      </c>
      <c r="L3031" s="42">
        <v>5</v>
      </c>
      <c r="M3031" s="43"/>
      <c r="N3031" s="1" t="e">
        <f>VLOOKUP(B3031,MICRO!E:L,8,0)</f>
        <v>#N/A</v>
      </c>
    </row>
    <row r="3032" spans="1:14" ht="20.25" x14ac:dyDescent="0.25">
      <c r="A3032" s="1">
        <v>62</v>
      </c>
      <c r="B3032" s="159"/>
      <c r="C3032" s="1" t="s">
        <v>1746</v>
      </c>
      <c r="D3032" s="1"/>
      <c r="E3032" s="1"/>
      <c r="F3032" s="1" t="s">
        <v>1754</v>
      </c>
      <c r="G3032" s="1">
        <v>137</v>
      </c>
      <c r="H3032" s="1" t="s">
        <v>19</v>
      </c>
      <c r="I3032" s="1" t="s">
        <v>652</v>
      </c>
      <c r="J3032" s="1">
        <v>0.05</v>
      </c>
      <c r="K3032" s="1">
        <v>6.8500000000000005</v>
      </c>
      <c r="L3032" s="42">
        <v>5</v>
      </c>
      <c r="M3032" s="43"/>
      <c r="N3032" s="1" t="e">
        <f>VLOOKUP(B3032,MICRO!E:L,8,0)</f>
        <v>#N/A</v>
      </c>
    </row>
    <row r="3033" spans="1:14" ht="20.25" x14ac:dyDescent="0.25">
      <c r="A3033" s="1">
        <v>63</v>
      </c>
      <c r="B3033" s="159"/>
      <c r="C3033" s="1" t="s">
        <v>1731</v>
      </c>
      <c r="D3033" s="1"/>
      <c r="E3033" s="1"/>
      <c r="F3033" s="1" t="s">
        <v>1755</v>
      </c>
      <c r="G3033" s="1">
        <v>8</v>
      </c>
      <c r="H3033" s="1" t="s">
        <v>19</v>
      </c>
      <c r="I3033" s="1" t="s">
        <v>652</v>
      </c>
      <c r="J3033" s="1">
        <v>0.05</v>
      </c>
      <c r="K3033" s="1">
        <v>0.4</v>
      </c>
      <c r="L3033" s="42">
        <v>5</v>
      </c>
      <c r="M3033" s="43"/>
      <c r="N3033" s="1" t="e">
        <f>VLOOKUP(B3033,MICRO!E:L,8,0)</f>
        <v>#N/A</v>
      </c>
    </row>
    <row r="3034" spans="1:14" ht="20.25" x14ac:dyDescent="0.25">
      <c r="A3034" s="1">
        <v>64</v>
      </c>
      <c r="B3034" s="159"/>
      <c r="C3034" s="1" t="s">
        <v>1729</v>
      </c>
      <c r="D3034" s="1"/>
      <c r="E3034" s="1"/>
      <c r="F3034" s="1" t="s">
        <v>1756</v>
      </c>
      <c r="G3034" s="1">
        <v>8</v>
      </c>
      <c r="H3034" s="1" t="s">
        <v>19</v>
      </c>
      <c r="I3034" s="1" t="s">
        <v>652</v>
      </c>
      <c r="J3034" s="1">
        <v>0.05</v>
      </c>
      <c r="K3034" s="1">
        <v>0.4</v>
      </c>
      <c r="L3034" s="42">
        <v>5</v>
      </c>
      <c r="M3034" s="43"/>
      <c r="N3034" s="1" t="e">
        <f>VLOOKUP(B3034,MICRO!E:L,8,0)</f>
        <v>#N/A</v>
      </c>
    </row>
    <row r="3035" spans="1:14" ht="20.25" x14ac:dyDescent="0.25">
      <c r="A3035" s="1">
        <v>65</v>
      </c>
      <c r="B3035" s="159"/>
      <c r="C3035" s="1" t="s">
        <v>1024</v>
      </c>
      <c r="D3035" s="1"/>
      <c r="E3035" s="1"/>
      <c r="F3035" s="1" t="s">
        <v>1757</v>
      </c>
      <c r="G3035" s="1">
        <v>8</v>
      </c>
      <c r="H3035" s="1" t="s">
        <v>19</v>
      </c>
      <c r="I3035" s="1" t="s">
        <v>652</v>
      </c>
      <c r="J3035" s="1">
        <v>0.05</v>
      </c>
      <c r="K3035" s="1">
        <v>0.4</v>
      </c>
      <c r="L3035" s="42">
        <v>5</v>
      </c>
      <c r="M3035" s="43"/>
      <c r="N3035" s="1" t="e">
        <f>VLOOKUP(B3035,MICRO!E:L,8,0)</f>
        <v>#N/A</v>
      </c>
    </row>
    <row r="3036" spans="1:14" ht="20.25" x14ac:dyDescent="0.25">
      <c r="A3036" s="1">
        <v>66</v>
      </c>
      <c r="B3036" s="159"/>
      <c r="C3036" s="1" t="s">
        <v>1729</v>
      </c>
      <c r="D3036" s="1"/>
      <c r="E3036" s="1"/>
      <c r="F3036" s="1" t="s">
        <v>1758</v>
      </c>
      <c r="G3036" s="1">
        <v>8</v>
      </c>
      <c r="H3036" s="1" t="s">
        <v>19</v>
      </c>
      <c r="I3036" s="1" t="s">
        <v>652</v>
      </c>
      <c r="J3036" s="1">
        <v>0.05</v>
      </c>
      <c r="K3036" s="1">
        <v>0.4</v>
      </c>
      <c r="L3036" s="42">
        <v>5</v>
      </c>
      <c r="M3036" s="43"/>
      <c r="N3036" s="1" t="e">
        <f>VLOOKUP(B3036,MICRO!E:L,8,0)</f>
        <v>#N/A</v>
      </c>
    </row>
    <row r="3037" spans="1:14" ht="20.25" x14ac:dyDescent="0.25">
      <c r="A3037" s="1">
        <v>67</v>
      </c>
      <c r="B3037" s="159"/>
      <c r="C3037" s="1" t="s">
        <v>1731</v>
      </c>
      <c r="D3037" s="1"/>
      <c r="E3037" s="1"/>
      <c r="F3037" s="1" t="s">
        <v>1759</v>
      </c>
      <c r="G3037" s="1">
        <v>8</v>
      </c>
      <c r="H3037" s="1" t="s">
        <v>19</v>
      </c>
      <c r="I3037" s="1" t="s">
        <v>652</v>
      </c>
      <c r="J3037" s="1">
        <v>0.05</v>
      </c>
      <c r="K3037" s="1">
        <v>0.4</v>
      </c>
      <c r="L3037" s="42">
        <v>5</v>
      </c>
      <c r="M3037" s="43"/>
      <c r="N3037" s="1" t="e">
        <f>VLOOKUP(B3037,MICRO!E:L,8,0)</f>
        <v>#N/A</v>
      </c>
    </row>
    <row r="3038" spans="1:14" ht="20.25" x14ac:dyDescent="0.25">
      <c r="A3038" s="1">
        <v>68</v>
      </c>
      <c r="B3038" s="159"/>
      <c r="C3038" s="1" t="s">
        <v>1724</v>
      </c>
      <c r="D3038" s="1"/>
      <c r="E3038" s="1"/>
      <c r="F3038" s="1" t="s">
        <v>1760</v>
      </c>
      <c r="G3038" s="1">
        <v>264</v>
      </c>
      <c r="H3038" s="1" t="s">
        <v>19</v>
      </c>
      <c r="I3038" s="1" t="s">
        <v>652</v>
      </c>
      <c r="J3038" s="1">
        <v>0.05</v>
      </c>
      <c r="K3038" s="1">
        <v>13.200000000000001</v>
      </c>
      <c r="L3038" s="42">
        <v>5</v>
      </c>
      <c r="M3038" s="43"/>
      <c r="N3038" s="1" t="e">
        <f>VLOOKUP(B3038,MICRO!E:L,8,0)</f>
        <v>#N/A</v>
      </c>
    </row>
    <row r="3039" spans="1:14" ht="20.25" x14ac:dyDescent="0.25">
      <c r="A3039" s="1">
        <v>69</v>
      </c>
      <c r="B3039" s="159"/>
      <c r="C3039" s="1" t="s">
        <v>1741</v>
      </c>
      <c r="D3039" s="1"/>
      <c r="E3039" s="1"/>
      <c r="F3039" s="1" t="s">
        <v>1761</v>
      </c>
      <c r="G3039" s="1">
        <v>4</v>
      </c>
      <c r="H3039" s="1" t="s">
        <v>19</v>
      </c>
      <c r="I3039" s="1" t="s">
        <v>652</v>
      </c>
      <c r="J3039" s="1">
        <v>0.05</v>
      </c>
      <c r="K3039" s="1">
        <v>0.2</v>
      </c>
      <c r="L3039" s="42">
        <v>5</v>
      </c>
      <c r="M3039" s="43"/>
      <c r="N3039" s="1" t="e">
        <f>VLOOKUP(B3039,MICRO!E:L,8,0)</f>
        <v>#N/A</v>
      </c>
    </row>
    <row r="3040" spans="1:14" ht="20.25" x14ac:dyDescent="0.25">
      <c r="A3040" s="1">
        <v>70</v>
      </c>
      <c r="B3040" s="159"/>
      <c r="C3040" s="1" t="s">
        <v>1734</v>
      </c>
      <c r="D3040" s="1"/>
      <c r="E3040" s="1"/>
      <c r="F3040" s="1" t="s">
        <v>1762</v>
      </c>
      <c r="G3040" s="1">
        <v>8</v>
      </c>
      <c r="H3040" s="1" t="s">
        <v>19</v>
      </c>
      <c r="I3040" s="1" t="s">
        <v>652</v>
      </c>
      <c r="J3040" s="1">
        <v>0.05</v>
      </c>
      <c r="K3040" s="1">
        <v>0.4</v>
      </c>
      <c r="L3040" s="42">
        <v>5</v>
      </c>
      <c r="M3040" s="43"/>
      <c r="N3040" s="1" t="e">
        <f>VLOOKUP(B3040,MICRO!E:L,8,0)</f>
        <v>#N/A</v>
      </c>
    </row>
    <row r="3041" spans="1:14" ht="20.25" x14ac:dyDescent="0.25">
      <c r="A3041" s="1">
        <v>71</v>
      </c>
      <c r="B3041" s="159"/>
      <c r="C3041" s="1" t="s">
        <v>1724</v>
      </c>
      <c r="D3041" s="1"/>
      <c r="E3041" s="1"/>
      <c r="F3041" s="1" t="s">
        <v>1763</v>
      </c>
      <c r="G3041" s="1">
        <v>132</v>
      </c>
      <c r="H3041" s="1" t="s">
        <v>19</v>
      </c>
      <c r="I3041" s="1" t="s">
        <v>652</v>
      </c>
      <c r="J3041" s="1">
        <v>0.05</v>
      </c>
      <c r="K3041" s="1">
        <v>6.6000000000000005</v>
      </c>
      <c r="L3041" s="42">
        <v>5</v>
      </c>
      <c r="M3041" s="43"/>
      <c r="N3041" s="1" t="e">
        <f>VLOOKUP(B3041,MICRO!E:L,8,0)</f>
        <v>#N/A</v>
      </c>
    </row>
    <row r="3042" spans="1:14" ht="20.25" x14ac:dyDescent="0.25">
      <c r="A3042" s="1">
        <v>72</v>
      </c>
      <c r="B3042" s="159"/>
      <c r="C3042" s="1" t="s">
        <v>1720</v>
      </c>
      <c r="D3042" s="1"/>
      <c r="E3042" s="1"/>
      <c r="F3042" s="1" t="s">
        <v>1764</v>
      </c>
      <c r="G3042" s="1">
        <v>153</v>
      </c>
      <c r="H3042" s="1" t="s">
        <v>19</v>
      </c>
      <c r="I3042" s="1" t="s">
        <v>652</v>
      </c>
      <c r="J3042" s="1">
        <v>0.05</v>
      </c>
      <c r="K3042" s="1">
        <v>7.65</v>
      </c>
      <c r="L3042" s="42">
        <v>5</v>
      </c>
      <c r="M3042" s="43"/>
      <c r="N3042" s="1" t="e">
        <f>VLOOKUP(B3042,MICRO!E:L,8,0)</f>
        <v>#N/A</v>
      </c>
    </row>
    <row r="3043" spans="1:14" ht="20.25" x14ac:dyDescent="0.25">
      <c r="A3043" s="1">
        <v>73</v>
      </c>
      <c r="B3043" s="159"/>
      <c r="C3043" s="1" t="s">
        <v>1746</v>
      </c>
      <c r="D3043" s="1"/>
      <c r="E3043" s="1"/>
      <c r="F3043" s="1" t="s">
        <v>1765</v>
      </c>
      <c r="G3043" s="1">
        <v>44</v>
      </c>
      <c r="H3043" s="1" t="s">
        <v>19</v>
      </c>
      <c r="I3043" s="1" t="s">
        <v>652</v>
      </c>
      <c r="J3043" s="1">
        <v>0.05</v>
      </c>
      <c r="K3043" s="1">
        <v>2.2000000000000002</v>
      </c>
      <c r="L3043" s="42">
        <v>5</v>
      </c>
      <c r="M3043" s="43"/>
      <c r="N3043" s="1" t="e">
        <f>VLOOKUP(B3043,MICRO!E:L,8,0)</f>
        <v>#N/A</v>
      </c>
    </row>
    <row r="3044" spans="1:14" ht="20.25" x14ac:dyDescent="0.25">
      <c r="A3044" s="1">
        <v>74</v>
      </c>
      <c r="B3044" s="159"/>
      <c r="C3044" s="1" t="s">
        <v>1720</v>
      </c>
      <c r="D3044" s="1"/>
      <c r="E3044" s="1"/>
      <c r="F3044" s="1" t="s">
        <v>1766</v>
      </c>
      <c r="G3044" s="1">
        <v>200</v>
      </c>
      <c r="H3044" s="1" t="s">
        <v>19</v>
      </c>
      <c r="I3044" s="1" t="s">
        <v>652</v>
      </c>
      <c r="J3044" s="1">
        <v>0.05</v>
      </c>
      <c r="K3044" s="1">
        <v>10</v>
      </c>
      <c r="L3044" s="42">
        <v>5</v>
      </c>
      <c r="M3044" s="43"/>
      <c r="N3044" s="1" t="e">
        <f>VLOOKUP(B3044,MICRO!E:L,8,0)</f>
        <v>#N/A</v>
      </c>
    </row>
    <row r="3045" spans="1:14" ht="20.25" x14ac:dyDescent="0.25">
      <c r="A3045" s="1">
        <v>75</v>
      </c>
      <c r="B3045" s="159"/>
      <c r="C3045" s="1" t="s">
        <v>1744</v>
      </c>
      <c r="D3045" s="1"/>
      <c r="E3045" s="1"/>
      <c r="F3045" s="1" t="s">
        <v>1767</v>
      </c>
      <c r="G3045" s="1">
        <v>38</v>
      </c>
      <c r="H3045" s="1" t="s">
        <v>19</v>
      </c>
      <c r="I3045" s="1" t="s">
        <v>652</v>
      </c>
      <c r="J3045" s="1">
        <v>0.05</v>
      </c>
      <c r="K3045" s="1">
        <v>1.9000000000000001</v>
      </c>
      <c r="L3045" s="42">
        <v>5</v>
      </c>
      <c r="M3045" s="43"/>
      <c r="N3045" s="1" t="e">
        <f>VLOOKUP(B3045,MICRO!E:L,8,0)</f>
        <v>#N/A</v>
      </c>
    </row>
    <row r="3046" spans="1:14" ht="20.25" x14ac:dyDescent="0.25">
      <c r="A3046" s="1">
        <v>76</v>
      </c>
      <c r="B3046" s="159"/>
      <c r="C3046" s="1" t="s">
        <v>1746</v>
      </c>
      <c r="D3046" s="1"/>
      <c r="E3046" s="1"/>
      <c r="F3046" s="1" t="s">
        <v>1768</v>
      </c>
      <c r="G3046" s="1">
        <v>137</v>
      </c>
      <c r="H3046" s="1" t="s">
        <v>19</v>
      </c>
      <c r="I3046" s="1" t="s">
        <v>652</v>
      </c>
      <c r="J3046" s="1">
        <v>0.03</v>
      </c>
      <c r="K3046" s="1">
        <v>4.1099999999999994</v>
      </c>
      <c r="L3046" s="42">
        <v>5</v>
      </c>
      <c r="M3046" s="43"/>
      <c r="N3046" s="1" t="e">
        <f>VLOOKUP(B3046,MICRO!E:L,8,0)</f>
        <v>#N/A</v>
      </c>
    </row>
    <row r="3047" spans="1:14" ht="20.25" x14ac:dyDescent="0.25">
      <c r="A3047" s="1">
        <v>77</v>
      </c>
      <c r="B3047" s="159"/>
      <c r="C3047" s="1" t="s">
        <v>1729</v>
      </c>
      <c r="D3047" s="1"/>
      <c r="E3047" s="1"/>
      <c r="F3047" s="1" t="s">
        <v>1769</v>
      </c>
      <c r="G3047" s="1">
        <v>16</v>
      </c>
      <c r="H3047" s="1" t="s">
        <v>19</v>
      </c>
      <c r="I3047" s="1" t="s">
        <v>652</v>
      </c>
      <c r="J3047" s="1">
        <v>0.03</v>
      </c>
      <c r="K3047" s="1">
        <v>0.48</v>
      </c>
      <c r="L3047" s="42">
        <v>5</v>
      </c>
      <c r="M3047" s="43"/>
      <c r="N3047" s="1" t="e">
        <f>VLOOKUP(B3047,MICRO!E:L,8,0)</f>
        <v>#N/A</v>
      </c>
    </row>
    <row r="3048" spans="1:14" ht="20.25" x14ac:dyDescent="0.25">
      <c r="A3048" s="1">
        <v>78</v>
      </c>
      <c r="B3048" s="159"/>
      <c r="C3048" s="1" t="s">
        <v>1024</v>
      </c>
      <c r="D3048" s="1"/>
      <c r="E3048" s="1"/>
      <c r="F3048" s="1" t="s">
        <v>1770</v>
      </c>
      <c r="G3048" s="1">
        <v>16</v>
      </c>
      <c r="H3048" s="1" t="s">
        <v>19</v>
      </c>
      <c r="I3048" s="1" t="s">
        <v>652</v>
      </c>
      <c r="J3048" s="1">
        <v>0.03</v>
      </c>
      <c r="K3048" s="1">
        <v>0.48</v>
      </c>
      <c r="L3048" s="42">
        <v>5</v>
      </c>
      <c r="M3048" s="43"/>
      <c r="N3048" s="1" t="e">
        <f>VLOOKUP(B3048,MICRO!E:L,8,0)</f>
        <v>#N/A</v>
      </c>
    </row>
    <row r="3049" spans="1:14" ht="20.25" x14ac:dyDescent="0.25">
      <c r="A3049" s="1">
        <v>79</v>
      </c>
      <c r="B3049" s="159"/>
      <c r="C3049" s="1" t="s">
        <v>1731</v>
      </c>
      <c r="D3049" s="1"/>
      <c r="E3049" s="1"/>
      <c r="F3049" s="1" t="s">
        <v>1771</v>
      </c>
      <c r="G3049" s="1">
        <v>16</v>
      </c>
      <c r="H3049" s="1" t="s">
        <v>19</v>
      </c>
      <c r="I3049" s="1" t="s">
        <v>652</v>
      </c>
      <c r="J3049" s="1">
        <v>0.03</v>
      </c>
      <c r="K3049" s="1">
        <v>0.48</v>
      </c>
      <c r="L3049" s="42">
        <v>5</v>
      </c>
      <c r="M3049" s="43"/>
      <c r="N3049" s="1" t="e">
        <f>VLOOKUP(B3049,MICRO!E:L,8,0)</f>
        <v>#N/A</v>
      </c>
    </row>
    <row r="3050" spans="1:14" ht="20.25" x14ac:dyDescent="0.25">
      <c r="A3050" s="1">
        <v>80</v>
      </c>
      <c r="B3050" s="159"/>
      <c r="C3050" s="1" t="s">
        <v>1051</v>
      </c>
      <c r="D3050" s="1"/>
      <c r="E3050" s="1"/>
      <c r="F3050" s="1" t="s">
        <v>1772</v>
      </c>
      <c r="G3050" s="1">
        <v>2</v>
      </c>
      <c r="H3050" s="1" t="s">
        <v>19</v>
      </c>
      <c r="I3050" s="1" t="s">
        <v>652</v>
      </c>
      <c r="J3050" s="1">
        <v>0.03</v>
      </c>
      <c r="K3050" s="1">
        <v>0.06</v>
      </c>
      <c r="L3050" s="42">
        <v>5</v>
      </c>
      <c r="M3050" s="43"/>
      <c r="N3050" s="1" t="e">
        <f>VLOOKUP(B3050,MICRO!E:L,8,0)</f>
        <v>#N/A</v>
      </c>
    </row>
    <row r="3051" spans="1:14" ht="20.25" x14ac:dyDescent="0.25">
      <c r="A3051" s="1">
        <v>81</v>
      </c>
      <c r="B3051" s="159"/>
      <c r="C3051" s="1" t="s">
        <v>1739</v>
      </c>
      <c r="D3051" s="1"/>
      <c r="E3051" s="1"/>
      <c r="F3051" s="1" t="s">
        <v>1773</v>
      </c>
      <c r="G3051" s="1">
        <v>2</v>
      </c>
      <c r="H3051" s="1" t="s">
        <v>19</v>
      </c>
      <c r="I3051" s="1" t="s">
        <v>652</v>
      </c>
      <c r="J3051" s="1">
        <v>0.03</v>
      </c>
      <c r="K3051" s="1">
        <v>0.06</v>
      </c>
      <c r="L3051" s="42">
        <v>5</v>
      </c>
      <c r="M3051" s="43"/>
      <c r="N3051" s="1" t="e">
        <f>VLOOKUP(B3051,MICRO!E:L,8,0)</f>
        <v>#N/A</v>
      </c>
    </row>
    <row r="3052" spans="1:14" ht="20.25" x14ac:dyDescent="0.25">
      <c r="A3052" s="1">
        <v>82</v>
      </c>
      <c r="B3052" s="159"/>
      <c r="C3052" s="1" t="s">
        <v>1729</v>
      </c>
      <c r="D3052" s="1"/>
      <c r="E3052" s="1"/>
      <c r="F3052" s="1" t="s">
        <v>1774</v>
      </c>
      <c r="G3052" s="1">
        <v>4</v>
      </c>
      <c r="H3052" s="1" t="s">
        <v>19</v>
      </c>
      <c r="I3052" s="1" t="s">
        <v>652</v>
      </c>
      <c r="J3052" s="1">
        <v>0.03</v>
      </c>
      <c r="K3052" s="1">
        <v>0.12</v>
      </c>
      <c r="L3052" s="42">
        <v>5</v>
      </c>
      <c r="M3052" s="43"/>
      <c r="N3052" s="1" t="e">
        <f>VLOOKUP(B3052,MICRO!E:L,8,0)</f>
        <v>#N/A</v>
      </c>
    </row>
    <row r="3053" spans="1:14" ht="20.25" x14ac:dyDescent="0.25">
      <c r="A3053" s="1">
        <v>83</v>
      </c>
      <c r="B3053" s="159"/>
      <c r="C3053" s="1" t="s">
        <v>1731</v>
      </c>
      <c r="D3053" s="1"/>
      <c r="E3053" s="1"/>
      <c r="F3053" s="1" t="s">
        <v>1775</v>
      </c>
      <c r="G3053" s="1">
        <v>8</v>
      </c>
      <c r="H3053" s="1" t="s">
        <v>19</v>
      </c>
      <c r="I3053" s="1" t="s">
        <v>652</v>
      </c>
      <c r="J3053" s="1">
        <v>0.03</v>
      </c>
      <c r="K3053" s="1">
        <v>0.24</v>
      </c>
      <c r="L3053" s="42">
        <v>5</v>
      </c>
      <c r="M3053" s="43"/>
      <c r="N3053" s="1" t="e">
        <f>VLOOKUP(B3053,MICRO!E:L,8,0)</f>
        <v>#N/A</v>
      </c>
    </row>
    <row r="3054" spans="1:14" ht="20.25" x14ac:dyDescent="0.25">
      <c r="A3054" s="1">
        <v>84</v>
      </c>
      <c r="B3054" s="159"/>
      <c r="C3054" s="1" t="s">
        <v>1024</v>
      </c>
      <c r="D3054" s="1"/>
      <c r="E3054" s="1"/>
      <c r="F3054" s="1" t="s">
        <v>1776</v>
      </c>
      <c r="G3054" s="1">
        <v>8</v>
      </c>
      <c r="H3054" s="1" t="s">
        <v>19</v>
      </c>
      <c r="I3054" s="1" t="s">
        <v>652</v>
      </c>
      <c r="J3054" s="1">
        <v>0.03</v>
      </c>
      <c r="K3054" s="1">
        <v>0.24</v>
      </c>
      <c r="L3054" s="42">
        <v>5</v>
      </c>
      <c r="M3054" s="43"/>
      <c r="N3054" s="1" t="e">
        <f>VLOOKUP(B3054,MICRO!E:L,8,0)</f>
        <v>#N/A</v>
      </c>
    </row>
    <row r="3055" spans="1:14" ht="20.25" x14ac:dyDescent="0.25">
      <c r="A3055" s="1">
        <v>85</v>
      </c>
      <c r="B3055" s="159"/>
      <c r="C3055" s="1" t="s">
        <v>1724</v>
      </c>
      <c r="D3055" s="1"/>
      <c r="E3055" s="1"/>
      <c r="F3055" s="1" t="s">
        <v>1777</v>
      </c>
      <c r="G3055" s="1">
        <v>264</v>
      </c>
      <c r="H3055" s="1" t="s">
        <v>19</v>
      </c>
      <c r="I3055" s="1" t="s">
        <v>652</v>
      </c>
      <c r="J3055" s="1">
        <v>0.03</v>
      </c>
      <c r="K3055" s="1">
        <v>7.92</v>
      </c>
      <c r="L3055" s="42">
        <v>5</v>
      </c>
      <c r="M3055" s="43"/>
      <c r="N3055" s="1" t="e">
        <f>VLOOKUP(B3055,MICRO!E:L,8,0)</f>
        <v>#N/A</v>
      </c>
    </row>
    <row r="3056" spans="1:14" ht="20.25" x14ac:dyDescent="0.25">
      <c r="A3056" s="1">
        <v>86</v>
      </c>
      <c r="B3056" s="159"/>
      <c r="C3056" s="1" t="s">
        <v>1734</v>
      </c>
      <c r="D3056" s="1"/>
      <c r="E3056" s="1"/>
      <c r="F3056" s="1" t="s">
        <v>1778</v>
      </c>
      <c r="G3056" s="1">
        <v>8</v>
      </c>
      <c r="H3056" s="1" t="s">
        <v>19</v>
      </c>
      <c r="I3056" s="1" t="s">
        <v>652</v>
      </c>
      <c r="J3056" s="1">
        <v>0.03</v>
      </c>
      <c r="K3056" s="1">
        <v>0.24</v>
      </c>
      <c r="L3056" s="42">
        <v>5</v>
      </c>
      <c r="M3056" s="43"/>
      <c r="N3056" s="1" t="e">
        <f>VLOOKUP(B3056,MICRO!E:L,8,0)</f>
        <v>#N/A</v>
      </c>
    </row>
    <row r="3057" spans="1:14" ht="20.25" x14ac:dyDescent="0.25">
      <c r="A3057" s="1">
        <v>87</v>
      </c>
      <c r="B3057" s="159"/>
      <c r="C3057" s="1" t="s">
        <v>1720</v>
      </c>
      <c r="D3057" s="1"/>
      <c r="E3057" s="1"/>
      <c r="F3057" s="1" t="s">
        <v>1779</v>
      </c>
      <c r="G3057" s="1">
        <v>153</v>
      </c>
      <c r="H3057" s="1" t="s">
        <v>19</v>
      </c>
      <c r="I3057" s="1" t="s">
        <v>652</v>
      </c>
      <c r="J3057" s="1">
        <v>0.03</v>
      </c>
      <c r="K3057" s="1">
        <v>4.59</v>
      </c>
      <c r="L3057" s="42">
        <v>5</v>
      </c>
      <c r="M3057" s="43"/>
      <c r="N3057" s="1" t="e">
        <f>VLOOKUP(B3057,MICRO!E:L,8,0)</f>
        <v>#N/A</v>
      </c>
    </row>
    <row r="3058" spans="1:14" ht="20.25" x14ac:dyDescent="0.25">
      <c r="A3058" s="1">
        <v>88</v>
      </c>
      <c r="B3058" s="159"/>
      <c r="C3058" s="1" t="s">
        <v>1746</v>
      </c>
      <c r="D3058" s="1"/>
      <c r="E3058" s="1"/>
      <c r="F3058" s="1" t="s">
        <v>1780</v>
      </c>
      <c r="G3058" s="1">
        <v>44</v>
      </c>
      <c r="H3058" s="1" t="s">
        <v>19</v>
      </c>
      <c r="I3058" s="1" t="s">
        <v>652</v>
      </c>
      <c r="J3058" s="1">
        <v>0.03</v>
      </c>
      <c r="K3058" s="1">
        <v>1.3199999999999998</v>
      </c>
      <c r="L3058" s="42">
        <v>5</v>
      </c>
      <c r="M3058" s="43"/>
      <c r="N3058" s="1" t="e">
        <f>VLOOKUP(B3058,MICRO!E:L,8,0)</f>
        <v>#N/A</v>
      </c>
    </row>
    <row r="3059" spans="1:14" ht="20.25" x14ac:dyDescent="0.25">
      <c r="A3059" s="1">
        <v>89</v>
      </c>
      <c r="B3059" s="159"/>
      <c r="C3059" s="1" t="s">
        <v>1724</v>
      </c>
      <c r="D3059" s="1"/>
      <c r="E3059" s="1"/>
      <c r="F3059" s="1" t="s">
        <v>1781</v>
      </c>
      <c r="G3059" s="1">
        <v>132</v>
      </c>
      <c r="H3059" s="1" t="s">
        <v>19</v>
      </c>
      <c r="I3059" s="1" t="s">
        <v>652</v>
      </c>
      <c r="J3059" s="1">
        <v>0.03</v>
      </c>
      <c r="K3059" s="1">
        <v>3.96</v>
      </c>
      <c r="L3059" s="42">
        <v>5</v>
      </c>
      <c r="M3059" s="43"/>
      <c r="N3059" s="1" t="e">
        <f>VLOOKUP(B3059,MICRO!E:L,8,0)</f>
        <v>#N/A</v>
      </c>
    </row>
    <row r="3060" spans="1:14" ht="20.25" x14ac:dyDescent="0.25">
      <c r="A3060" s="1">
        <v>90</v>
      </c>
      <c r="B3060" s="159"/>
      <c r="C3060" s="1" t="s">
        <v>1744</v>
      </c>
      <c r="D3060" s="1"/>
      <c r="E3060" s="1"/>
      <c r="F3060" s="1" t="s">
        <v>1782</v>
      </c>
      <c r="G3060" s="1">
        <v>56</v>
      </c>
      <c r="H3060" s="1" t="s">
        <v>19</v>
      </c>
      <c r="I3060" s="1" t="s">
        <v>652</v>
      </c>
      <c r="J3060" s="1">
        <v>0.03</v>
      </c>
      <c r="K3060" s="1">
        <v>1.68</v>
      </c>
      <c r="L3060" s="42">
        <v>5</v>
      </c>
      <c r="M3060" s="43"/>
      <c r="N3060" s="1" t="e">
        <f>VLOOKUP(B3060,MICRO!E:L,8,0)</f>
        <v>#N/A</v>
      </c>
    </row>
    <row r="3061" spans="1:14" ht="20.25" x14ac:dyDescent="0.25">
      <c r="A3061" s="1">
        <v>91</v>
      </c>
      <c r="B3061" s="159"/>
      <c r="C3061" s="1" t="s">
        <v>1720</v>
      </c>
      <c r="D3061" s="1"/>
      <c r="E3061" s="1"/>
      <c r="F3061" s="1" t="s">
        <v>1783</v>
      </c>
      <c r="G3061" s="1">
        <v>200</v>
      </c>
      <c r="H3061" s="1" t="s">
        <v>19</v>
      </c>
      <c r="I3061" s="1" t="s">
        <v>652</v>
      </c>
      <c r="J3061" s="1">
        <v>0.03</v>
      </c>
      <c r="K3061" s="1">
        <v>6</v>
      </c>
      <c r="L3061" s="42">
        <v>5</v>
      </c>
      <c r="M3061" s="43"/>
      <c r="N3061" s="1" t="e">
        <f>VLOOKUP(B3061,MICRO!E:L,8,0)</f>
        <v>#N/A</v>
      </c>
    </row>
    <row r="3062" spans="1:14" ht="20.25" x14ac:dyDescent="0.25">
      <c r="A3062" s="1">
        <v>92</v>
      </c>
      <c r="B3062" s="159"/>
      <c r="C3062" s="1" t="s">
        <v>1724</v>
      </c>
      <c r="D3062" s="1"/>
      <c r="E3062" s="1"/>
      <c r="F3062" s="1" t="s">
        <v>1784</v>
      </c>
      <c r="G3062" s="1">
        <v>165</v>
      </c>
      <c r="H3062" s="1" t="s">
        <v>19</v>
      </c>
      <c r="I3062" s="1" t="s">
        <v>652</v>
      </c>
      <c r="J3062" s="1">
        <v>0.01</v>
      </c>
      <c r="K3062" s="1">
        <v>1.6500000000000001</v>
      </c>
      <c r="L3062" s="42">
        <v>5</v>
      </c>
      <c r="M3062" s="43"/>
      <c r="N3062" s="1" t="e">
        <f>VLOOKUP(B3062,MICRO!E:L,8,0)</f>
        <v>#N/A</v>
      </c>
    </row>
    <row r="3063" spans="1:14" ht="20.25" x14ac:dyDescent="0.25">
      <c r="A3063" s="1">
        <v>93</v>
      </c>
      <c r="B3063" s="159"/>
      <c r="C3063" s="1" t="s">
        <v>1785</v>
      </c>
      <c r="D3063" s="1"/>
      <c r="E3063" s="1"/>
      <c r="F3063" s="1" t="s">
        <v>1786</v>
      </c>
      <c r="G3063" s="1">
        <v>8</v>
      </c>
      <c r="H3063" s="1" t="s">
        <v>19</v>
      </c>
      <c r="I3063" s="1" t="s">
        <v>652</v>
      </c>
      <c r="J3063" s="1">
        <v>1.2999999999999999E-2</v>
      </c>
      <c r="K3063" s="1">
        <v>0.104</v>
      </c>
      <c r="L3063" s="42">
        <v>5</v>
      </c>
      <c r="M3063" s="43"/>
      <c r="N3063" s="1" t="e">
        <f>VLOOKUP(B3063,MICRO!E:L,8,0)</f>
        <v>#N/A</v>
      </c>
    </row>
    <row r="3064" spans="1:14" ht="20.25" x14ac:dyDescent="0.25">
      <c r="A3064" s="1">
        <v>94</v>
      </c>
      <c r="B3064" s="159"/>
      <c r="C3064" s="1" t="s">
        <v>1785</v>
      </c>
      <c r="D3064" s="1"/>
      <c r="E3064" s="1"/>
      <c r="F3064" s="1" t="s">
        <v>1787</v>
      </c>
      <c r="G3064" s="1">
        <v>4</v>
      </c>
      <c r="H3064" s="1" t="s">
        <v>19</v>
      </c>
      <c r="I3064" s="1" t="s">
        <v>652</v>
      </c>
      <c r="J3064" s="1">
        <v>1.2999999999999999E-2</v>
      </c>
      <c r="K3064" s="1">
        <v>5.1999999999999998E-2</v>
      </c>
      <c r="L3064" s="42">
        <v>5</v>
      </c>
      <c r="M3064" s="43"/>
      <c r="N3064" s="1" t="e">
        <f>VLOOKUP(B3064,MICRO!E:L,8,0)</f>
        <v>#N/A</v>
      </c>
    </row>
    <row r="3065" spans="1:14" ht="20.25" x14ac:dyDescent="0.25">
      <c r="A3065" s="1">
        <v>95</v>
      </c>
      <c r="B3065" s="159"/>
      <c r="C3065" s="1" t="s">
        <v>1788</v>
      </c>
      <c r="D3065" s="1"/>
      <c r="E3065" s="1"/>
      <c r="F3065" s="1" t="s">
        <v>1789</v>
      </c>
      <c r="G3065" s="1">
        <v>80</v>
      </c>
      <c r="H3065" s="1" t="s">
        <v>19</v>
      </c>
      <c r="I3065" s="1" t="s">
        <v>652</v>
      </c>
      <c r="J3065" s="1">
        <v>1.2999999999999999E-2</v>
      </c>
      <c r="K3065" s="1">
        <v>1.04</v>
      </c>
      <c r="L3065" s="42">
        <v>5</v>
      </c>
      <c r="M3065" s="43"/>
      <c r="N3065" s="1" t="e">
        <f>VLOOKUP(B3065,MICRO!E:L,8,0)</f>
        <v>#N/A</v>
      </c>
    </row>
    <row r="3066" spans="1:14" ht="20.25" x14ac:dyDescent="0.25">
      <c r="A3066" s="1">
        <v>96</v>
      </c>
      <c r="B3066" s="159"/>
      <c r="C3066" s="1" t="s">
        <v>1788</v>
      </c>
      <c r="D3066" s="1"/>
      <c r="E3066" s="1"/>
      <c r="F3066" s="1" t="s">
        <v>1790</v>
      </c>
      <c r="G3066" s="1">
        <v>204</v>
      </c>
      <c r="H3066" s="1" t="s">
        <v>19</v>
      </c>
      <c r="I3066" s="1" t="s">
        <v>652</v>
      </c>
      <c r="J3066" s="1">
        <v>1.2999999999999999E-2</v>
      </c>
      <c r="K3066" s="1">
        <v>2.6519999999999997</v>
      </c>
      <c r="L3066" s="42">
        <v>5</v>
      </c>
      <c r="M3066" s="43"/>
      <c r="N3066" s="1" t="e">
        <f>VLOOKUP(B3066,MICRO!E:L,8,0)</f>
        <v>#N/A</v>
      </c>
    </row>
    <row r="3067" spans="1:14" ht="20.25" x14ac:dyDescent="0.25">
      <c r="A3067" s="1">
        <v>97</v>
      </c>
      <c r="B3067" s="159"/>
      <c r="C3067" s="1" t="s">
        <v>1791</v>
      </c>
      <c r="D3067" s="1"/>
      <c r="E3067" s="1"/>
      <c r="F3067" s="1" t="s">
        <v>1792</v>
      </c>
      <c r="G3067" s="1">
        <v>16</v>
      </c>
      <c r="H3067" s="1" t="s">
        <v>19</v>
      </c>
      <c r="I3067" s="1" t="s">
        <v>652</v>
      </c>
      <c r="J3067" s="1">
        <v>1.2999999999999999E-2</v>
      </c>
      <c r="K3067" s="1">
        <v>0.20799999999999999</v>
      </c>
      <c r="L3067" s="42">
        <v>5</v>
      </c>
      <c r="M3067" s="43"/>
      <c r="N3067" s="1" t="e">
        <f>VLOOKUP(B3067,MICRO!E:L,8,0)</f>
        <v>#N/A</v>
      </c>
    </row>
    <row r="3068" spans="1:14" ht="20.25" x14ac:dyDescent="0.25">
      <c r="A3068" s="1">
        <v>98</v>
      </c>
      <c r="B3068" s="159"/>
      <c r="C3068" s="1" t="s">
        <v>1793</v>
      </c>
      <c r="D3068" s="1"/>
      <c r="E3068" s="1"/>
      <c r="F3068" s="1" t="s">
        <v>1794</v>
      </c>
      <c r="G3068" s="1">
        <v>40</v>
      </c>
      <c r="H3068" s="1" t="s">
        <v>19</v>
      </c>
      <c r="I3068" s="1" t="s">
        <v>652</v>
      </c>
      <c r="J3068" s="1">
        <v>1.2999999999999999E-2</v>
      </c>
      <c r="K3068" s="1">
        <v>0.52</v>
      </c>
      <c r="L3068" s="42">
        <v>5</v>
      </c>
      <c r="M3068" s="43"/>
      <c r="N3068" s="1" t="e">
        <f>VLOOKUP(B3068,MICRO!E:L,8,0)</f>
        <v>#N/A</v>
      </c>
    </row>
    <row r="3069" spans="1:14" ht="20.25" x14ac:dyDescent="0.25">
      <c r="A3069" s="1">
        <v>99</v>
      </c>
      <c r="B3069" s="159"/>
      <c r="C3069" s="1" t="s">
        <v>1795</v>
      </c>
      <c r="D3069" s="1"/>
      <c r="E3069" s="1"/>
      <c r="F3069" s="1" t="s">
        <v>1796</v>
      </c>
      <c r="G3069" s="1">
        <v>16</v>
      </c>
      <c r="H3069" s="1" t="s">
        <v>19</v>
      </c>
      <c r="I3069" s="1" t="s">
        <v>652</v>
      </c>
      <c r="J3069" s="1">
        <v>1.2999999999999999E-2</v>
      </c>
      <c r="K3069" s="1">
        <v>0.20799999999999999</v>
      </c>
      <c r="L3069" s="42">
        <v>5</v>
      </c>
      <c r="M3069" s="43"/>
      <c r="N3069" s="1" t="e">
        <f>VLOOKUP(B3069,MICRO!E:L,8,0)</f>
        <v>#N/A</v>
      </c>
    </row>
    <row r="3070" spans="1:14" ht="20.25" x14ac:dyDescent="0.25">
      <c r="A3070" s="1">
        <v>100</v>
      </c>
      <c r="B3070" s="159"/>
      <c r="C3070" s="1" t="s">
        <v>1797</v>
      </c>
      <c r="D3070" s="1"/>
      <c r="E3070" s="1"/>
      <c r="F3070" s="1" t="s">
        <v>1798</v>
      </c>
      <c r="G3070" s="1">
        <v>8</v>
      </c>
      <c r="H3070" s="1" t="s">
        <v>19</v>
      </c>
      <c r="I3070" s="1" t="s">
        <v>652</v>
      </c>
      <c r="J3070" s="1">
        <v>0.05</v>
      </c>
      <c r="K3070" s="1">
        <v>0.4</v>
      </c>
      <c r="L3070" s="42">
        <v>5</v>
      </c>
      <c r="M3070" s="43"/>
      <c r="N3070" s="1" t="e">
        <f>VLOOKUP(B3070,MICRO!E:L,8,0)</f>
        <v>#N/A</v>
      </c>
    </row>
    <row r="3071" spans="1:14" ht="20.25" x14ac:dyDescent="0.25">
      <c r="A3071" s="1">
        <v>101</v>
      </c>
      <c r="B3071" s="159"/>
      <c r="C3071" s="1" t="s">
        <v>1785</v>
      </c>
      <c r="D3071" s="1"/>
      <c r="E3071" s="1"/>
      <c r="F3071" s="1" t="s">
        <v>1799</v>
      </c>
      <c r="G3071" s="1">
        <v>8</v>
      </c>
      <c r="H3071" s="1" t="s">
        <v>19</v>
      </c>
      <c r="I3071" s="1" t="s">
        <v>652</v>
      </c>
      <c r="J3071" s="1">
        <v>0.05</v>
      </c>
      <c r="K3071" s="1">
        <v>0.4</v>
      </c>
      <c r="L3071" s="42">
        <v>5</v>
      </c>
      <c r="M3071" s="43"/>
      <c r="N3071" s="1" t="e">
        <f>VLOOKUP(B3071,MICRO!E:L,8,0)</f>
        <v>#N/A</v>
      </c>
    </row>
    <row r="3072" spans="1:14" ht="20.25" x14ac:dyDescent="0.25">
      <c r="A3072" s="1">
        <v>102</v>
      </c>
      <c r="B3072" s="159"/>
      <c r="C3072" s="1" t="s">
        <v>1785</v>
      </c>
      <c r="D3072" s="1"/>
      <c r="E3072" s="1"/>
      <c r="F3072" s="1" t="s">
        <v>1800</v>
      </c>
      <c r="G3072" s="1">
        <v>4</v>
      </c>
      <c r="H3072" s="1" t="s">
        <v>19</v>
      </c>
      <c r="I3072" s="1" t="s">
        <v>652</v>
      </c>
      <c r="J3072" s="1">
        <v>0.05</v>
      </c>
      <c r="K3072" s="1">
        <v>0.2</v>
      </c>
      <c r="L3072" s="42">
        <v>5</v>
      </c>
      <c r="M3072" s="43"/>
      <c r="N3072" s="1" t="e">
        <f>VLOOKUP(B3072,MICRO!E:L,8,0)</f>
        <v>#N/A</v>
      </c>
    </row>
    <row r="3073" spans="1:14" ht="20.25" x14ac:dyDescent="0.25">
      <c r="A3073" s="1">
        <v>103</v>
      </c>
      <c r="B3073" s="159"/>
      <c r="C3073" s="1" t="s">
        <v>1797</v>
      </c>
      <c r="D3073" s="1"/>
      <c r="E3073" s="1"/>
      <c r="F3073" s="1" t="s">
        <v>1801</v>
      </c>
      <c r="G3073" s="1">
        <v>4</v>
      </c>
      <c r="H3073" s="1" t="s">
        <v>19</v>
      </c>
      <c r="I3073" s="1" t="s">
        <v>652</v>
      </c>
      <c r="J3073" s="1">
        <v>0.05</v>
      </c>
      <c r="K3073" s="1">
        <v>0.2</v>
      </c>
      <c r="L3073" s="42">
        <v>5</v>
      </c>
      <c r="M3073" s="43"/>
      <c r="N3073" s="1" t="e">
        <f>VLOOKUP(B3073,MICRO!E:L,8,0)</f>
        <v>#N/A</v>
      </c>
    </row>
    <row r="3074" spans="1:14" ht="20.25" x14ac:dyDescent="0.25">
      <c r="A3074" s="1">
        <v>104</v>
      </c>
      <c r="B3074" s="159"/>
      <c r="C3074" s="1" t="s">
        <v>1788</v>
      </c>
      <c r="D3074" s="1"/>
      <c r="E3074" s="1"/>
      <c r="F3074" s="1" t="s">
        <v>1802</v>
      </c>
      <c r="G3074" s="1">
        <v>80</v>
      </c>
      <c r="H3074" s="1" t="s">
        <v>19</v>
      </c>
      <c r="I3074" s="1" t="s">
        <v>652</v>
      </c>
      <c r="J3074" s="1">
        <v>0.05</v>
      </c>
      <c r="K3074" s="1">
        <v>4</v>
      </c>
      <c r="L3074" s="42">
        <v>5</v>
      </c>
      <c r="M3074" s="43"/>
      <c r="N3074" s="1" t="e">
        <f>VLOOKUP(B3074,MICRO!E:L,8,0)</f>
        <v>#N/A</v>
      </c>
    </row>
    <row r="3075" spans="1:14" ht="20.25" x14ac:dyDescent="0.25">
      <c r="A3075" s="1">
        <v>105</v>
      </c>
      <c r="B3075" s="159"/>
      <c r="C3075" s="1" t="s">
        <v>1788</v>
      </c>
      <c r="D3075" s="1"/>
      <c r="E3075" s="1"/>
      <c r="F3075" s="1" t="s">
        <v>1803</v>
      </c>
      <c r="G3075" s="1">
        <v>204</v>
      </c>
      <c r="H3075" s="1" t="s">
        <v>19</v>
      </c>
      <c r="I3075" s="1" t="s">
        <v>652</v>
      </c>
      <c r="J3075" s="1">
        <v>0.05</v>
      </c>
      <c r="K3075" s="1">
        <v>10.200000000000001</v>
      </c>
      <c r="L3075" s="42">
        <v>5</v>
      </c>
      <c r="M3075" s="43"/>
      <c r="N3075" s="1" t="e">
        <f>VLOOKUP(B3075,MICRO!E:L,8,0)</f>
        <v>#N/A</v>
      </c>
    </row>
    <row r="3076" spans="1:14" ht="20.25" x14ac:dyDescent="0.25">
      <c r="A3076" s="1">
        <v>106</v>
      </c>
      <c r="B3076" s="159"/>
      <c r="C3076" s="1" t="s">
        <v>1791</v>
      </c>
      <c r="D3076" s="1"/>
      <c r="E3076" s="1"/>
      <c r="F3076" s="1" t="s">
        <v>1804</v>
      </c>
      <c r="G3076" s="1">
        <v>16</v>
      </c>
      <c r="H3076" s="1" t="s">
        <v>19</v>
      </c>
      <c r="I3076" s="1" t="s">
        <v>652</v>
      </c>
      <c r="J3076" s="1">
        <v>0.05</v>
      </c>
      <c r="K3076" s="1">
        <v>0.8</v>
      </c>
      <c r="L3076" s="42">
        <v>5</v>
      </c>
      <c r="M3076" s="43"/>
      <c r="N3076" s="1" t="e">
        <f>VLOOKUP(B3076,MICRO!E:L,8,0)</f>
        <v>#N/A</v>
      </c>
    </row>
    <row r="3077" spans="1:14" ht="20.25" x14ac:dyDescent="0.25">
      <c r="A3077" s="1">
        <v>107</v>
      </c>
      <c r="B3077" s="159"/>
      <c r="C3077" s="1" t="s">
        <v>1793</v>
      </c>
      <c r="D3077" s="1"/>
      <c r="E3077" s="1"/>
      <c r="F3077" s="1" t="s">
        <v>1805</v>
      </c>
      <c r="G3077" s="1">
        <v>40</v>
      </c>
      <c r="H3077" s="1" t="s">
        <v>19</v>
      </c>
      <c r="I3077" s="1" t="s">
        <v>652</v>
      </c>
      <c r="J3077" s="1">
        <v>0.05</v>
      </c>
      <c r="K3077" s="1">
        <v>2</v>
      </c>
      <c r="L3077" s="42">
        <v>5</v>
      </c>
      <c r="M3077" s="43"/>
      <c r="N3077" s="1" t="e">
        <f>VLOOKUP(B3077,MICRO!E:L,8,0)</f>
        <v>#N/A</v>
      </c>
    </row>
    <row r="3078" spans="1:14" ht="20.25" x14ac:dyDescent="0.25">
      <c r="A3078" s="1">
        <v>108</v>
      </c>
      <c r="B3078" s="159"/>
      <c r="C3078" s="1" t="s">
        <v>1795</v>
      </c>
      <c r="D3078" s="1"/>
      <c r="E3078" s="1"/>
      <c r="F3078" s="1" t="s">
        <v>1806</v>
      </c>
      <c r="G3078" s="1">
        <v>16</v>
      </c>
      <c r="H3078" s="1" t="s">
        <v>19</v>
      </c>
      <c r="I3078" s="1" t="s">
        <v>652</v>
      </c>
      <c r="J3078" s="1">
        <v>0.05</v>
      </c>
      <c r="K3078" s="1">
        <v>0.8</v>
      </c>
      <c r="L3078" s="42">
        <v>5</v>
      </c>
      <c r="M3078" s="43"/>
      <c r="N3078" s="1" t="e">
        <f>VLOOKUP(B3078,MICRO!E:L,8,0)</f>
        <v>#N/A</v>
      </c>
    </row>
    <row r="3079" spans="1:14" ht="20.25" x14ac:dyDescent="0.25">
      <c r="A3079" s="1">
        <v>109</v>
      </c>
      <c r="B3079" s="159"/>
      <c r="C3079" s="1" t="s">
        <v>1785</v>
      </c>
      <c r="D3079" s="1"/>
      <c r="E3079" s="1"/>
      <c r="F3079" s="1" t="s">
        <v>1807</v>
      </c>
      <c r="G3079" s="1">
        <v>8</v>
      </c>
      <c r="H3079" s="1" t="s">
        <v>19</v>
      </c>
      <c r="I3079" s="1" t="s">
        <v>652</v>
      </c>
      <c r="J3079" s="1">
        <v>0.03</v>
      </c>
      <c r="K3079" s="1">
        <v>0.24</v>
      </c>
      <c r="L3079" s="42">
        <v>5</v>
      </c>
      <c r="M3079" s="43"/>
      <c r="N3079" s="1" t="e">
        <f>VLOOKUP(B3079,MICRO!E:L,8,0)</f>
        <v>#N/A</v>
      </c>
    </row>
    <row r="3080" spans="1:14" ht="20.25" x14ac:dyDescent="0.25">
      <c r="A3080" s="1">
        <v>110</v>
      </c>
      <c r="B3080" s="159"/>
      <c r="C3080" s="1" t="s">
        <v>1797</v>
      </c>
      <c r="D3080" s="1"/>
      <c r="E3080" s="1"/>
      <c r="F3080" s="1" t="s">
        <v>1808</v>
      </c>
      <c r="G3080" s="1">
        <v>8</v>
      </c>
      <c r="H3080" s="1" t="s">
        <v>19</v>
      </c>
      <c r="I3080" s="1" t="s">
        <v>652</v>
      </c>
      <c r="J3080" s="1">
        <v>0.03</v>
      </c>
      <c r="K3080" s="1">
        <v>0.24</v>
      </c>
      <c r="L3080" s="42">
        <v>5</v>
      </c>
      <c r="M3080" s="43"/>
      <c r="N3080" s="1" t="e">
        <f>VLOOKUP(B3080,MICRO!E:L,8,0)</f>
        <v>#N/A</v>
      </c>
    </row>
    <row r="3081" spans="1:14" ht="20.25" x14ac:dyDescent="0.25">
      <c r="A3081" s="1">
        <v>111</v>
      </c>
      <c r="B3081" s="159"/>
      <c r="C3081" s="1" t="s">
        <v>1785</v>
      </c>
      <c r="D3081" s="1"/>
      <c r="E3081" s="1"/>
      <c r="F3081" s="1" t="s">
        <v>1809</v>
      </c>
      <c r="G3081" s="1">
        <v>7</v>
      </c>
      <c r="H3081" s="1" t="s">
        <v>19</v>
      </c>
      <c r="I3081" s="1" t="s">
        <v>652</v>
      </c>
      <c r="J3081" s="1">
        <v>0.03</v>
      </c>
      <c r="K3081" s="1">
        <v>0.21</v>
      </c>
      <c r="L3081" s="42">
        <v>5</v>
      </c>
      <c r="M3081" s="43"/>
      <c r="N3081" s="1" t="e">
        <f>VLOOKUP(B3081,MICRO!E:L,8,0)</f>
        <v>#N/A</v>
      </c>
    </row>
    <row r="3082" spans="1:14" ht="20.25" x14ac:dyDescent="0.25">
      <c r="A3082" s="1">
        <v>112</v>
      </c>
      <c r="B3082" s="159"/>
      <c r="C3082" s="1" t="s">
        <v>1797</v>
      </c>
      <c r="D3082" s="1"/>
      <c r="E3082" s="1"/>
      <c r="F3082" s="1" t="s">
        <v>1810</v>
      </c>
      <c r="G3082" s="1">
        <v>7</v>
      </c>
      <c r="H3082" s="1" t="s">
        <v>19</v>
      </c>
      <c r="I3082" s="1" t="s">
        <v>652</v>
      </c>
      <c r="J3082" s="1">
        <v>0.03</v>
      </c>
      <c r="K3082" s="1">
        <v>0.21</v>
      </c>
      <c r="L3082" s="42">
        <v>5</v>
      </c>
      <c r="M3082" s="43"/>
      <c r="N3082" s="1" t="e">
        <f>VLOOKUP(B3082,MICRO!E:L,8,0)</f>
        <v>#N/A</v>
      </c>
    </row>
    <row r="3083" spans="1:14" ht="20.25" x14ac:dyDescent="0.25">
      <c r="A3083" s="1">
        <v>113</v>
      </c>
      <c r="B3083" s="159"/>
      <c r="C3083" s="1" t="s">
        <v>1788</v>
      </c>
      <c r="D3083" s="1"/>
      <c r="E3083" s="1"/>
      <c r="F3083" s="1" t="s">
        <v>1811</v>
      </c>
      <c r="G3083" s="1">
        <v>204</v>
      </c>
      <c r="H3083" s="1" t="s">
        <v>19</v>
      </c>
      <c r="I3083" s="1" t="s">
        <v>652</v>
      </c>
      <c r="J3083" s="1">
        <v>0.03</v>
      </c>
      <c r="K3083" s="1">
        <v>6.12</v>
      </c>
      <c r="L3083" s="42">
        <v>5</v>
      </c>
      <c r="M3083" s="43"/>
      <c r="N3083" s="1" t="e">
        <f>VLOOKUP(B3083,MICRO!E:L,8,0)</f>
        <v>#N/A</v>
      </c>
    </row>
    <row r="3084" spans="1:14" ht="20.25" x14ac:dyDescent="0.25">
      <c r="A3084" s="1">
        <v>114</v>
      </c>
      <c r="B3084" s="159"/>
      <c r="C3084" s="1" t="s">
        <v>1795</v>
      </c>
      <c r="D3084" s="1"/>
      <c r="E3084" s="1"/>
      <c r="F3084" s="1" t="s">
        <v>1812</v>
      </c>
      <c r="G3084" s="1">
        <v>16</v>
      </c>
      <c r="H3084" s="1" t="s">
        <v>19</v>
      </c>
      <c r="I3084" s="1" t="s">
        <v>652</v>
      </c>
      <c r="J3084" s="1">
        <v>0.03</v>
      </c>
      <c r="K3084" s="1">
        <v>0.48</v>
      </c>
      <c r="L3084" s="42">
        <v>5</v>
      </c>
      <c r="M3084" s="43"/>
      <c r="N3084" s="1" t="e">
        <f>VLOOKUP(B3084,MICRO!E:L,8,0)</f>
        <v>#N/A</v>
      </c>
    </row>
    <row r="3085" spans="1:14" ht="20.25" x14ac:dyDescent="0.25">
      <c r="A3085" s="1">
        <v>115</v>
      </c>
      <c r="B3085" s="159"/>
      <c r="C3085" s="1" t="s">
        <v>1793</v>
      </c>
      <c r="D3085" s="1"/>
      <c r="E3085" s="1"/>
      <c r="F3085" s="1" t="s">
        <v>1813</v>
      </c>
      <c r="G3085" s="1">
        <v>40</v>
      </c>
      <c r="H3085" s="1" t="s">
        <v>19</v>
      </c>
      <c r="I3085" s="1" t="s">
        <v>652</v>
      </c>
      <c r="J3085" s="1">
        <v>0.03</v>
      </c>
      <c r="K3085" s="1">
        <v>1.2</v>
      </c>
      <c r="L3085" s="42">
        <v>5</v>
      </c>
      <c r="M3085" s="43"/>
      <c r="N3085" s="1" t="e">
        <f>VLOOKUP(B3085,MICRO!E:L,8,0)</f>
        <v>#N/A</v>
      </c>
    </row>
    <row r="3086" spans="1:14" ht="20.25" x14ac:dyDescent="0.25">
      <c r="A3086" s="1">
        <v>116</v>
      </c>
      <c r="B3086" s="159"/>
      <c r="C3086" s="1" t="s">
        <v>1791</v>
      </c>
      <c r="D3086" s="1"/>
      <c r="E3086" s="1"/>
      <c r="F3086" s="1" t="s">
        <v>1814</v>
      </c>
      <c r="G3086" s="1">
        <v>16</v>
      </c>
      <c r="H3086" s="1" t="s">
        <v>19</v>
      </c>
      <c r="I3086" s="1" t="s">
        <v>652</v>
      </c>
      <c r="J3086" s="1">
        <v>0.03</v>
      </c>
      <c r="K3086" s="1">
        <v>0.48</v>
      </c>
      <c r="L3086" s="42">
        <v>5</v>
      </c>
      <c r="M3086" s="43"/>
      <c r="N3086" s="1" t="e">
        <f>VLOOKUP(B3086,MICRO!E:L,8,0)</f>
        <v>#N/A</v>
      </c>
    </row>
    <row r="3087" spans="1:14" ht="20.25" x14ac:dyDescent="0.25">
      <c r="A3087" s="1">
        <v>1</v>
      </c>
      <c r="B3087" s="159">
        <v>2198</v>
      </c>
      <c r="C3087" s="1" t="s">
        <v>776</v>
      </c>
      <c r="D3087" s="1"/>
      <c r="E3087" s="1" t="s">
        <v>1101</v>
      </c>
      <c r="F3087" s="1" t="s">
        <v>780</v>
      </c>
      <c r="G3087" s="1">
        <v>1</v>
      </c>
      <c r="H3087" s="1" t="s">
        <v>19</v>
      </c>
      <c r="I3087" s="1" t="s">
        <v>652</v>
      </c>
      <c r="J3087" s="1">
        <v>44.4</v>
      </c>
      <c r="K3087" s="1">
        <v>44.4</v>
      </c>
      <c r="L3087" s="42">
        <v>6</v>
      </c>
      <c r="M3087" s="43"/>
      <c r="N3087" s="1" t="e">
        <f>VLOOKUP(B3087,MICRO!E:L,8,0)</f>
        <v>#N/A</v>
      </c>
    </row>
    <row r="3088" spans="1:14" ht="20.25" x14ac:dyDescent="0.25">
      <c r="A3088" s="1">
        <v>2</v>
      </c>
      <c r="B3088" s="159">
        <v>2211</v>
      </c>
      <c r="C3088" s="1" t="s">
        <v>796</v>
      </c>
      <c r="D3088" s="1"/>
      <c r="E3088" s="1" t="s">
        <v>2</v>
      </c>
      <c r="F3088" s="1" t="s">
        <v>797</v>
      </c>
      <c r="G3088" s="1">
        <v>1</v>
      </c>
      <c r="H3088" s="1" t="s">
        <v>19</v>
      </c>
      <c r="I3088" s="1" t="s">
        <v>652</v>
      </c>
      <c r="J3088" s="1">
        <v>293.5</v>
      </c>
      <c r="K3088" s="1">
        <v>293.5</v>
      </c>
      <c r="L3088" s="42">
        <v>6</v>
      </c>
      <c r="M3088" s="43"/>
      <c r="N3088" s="1" t="e">
        <f>VLOOKUP(B3088,MICRO!E:L,8,0)</f>
        <v>#N/A</v>
      </c>
    </row>
    <row r="3089" spans="1:14" ht="20.25" x14ac:dyDescent="0.25">
      <c r="A3089" s="1">
        <v>3</v>
      </c>
      <c r="B3089" s="159">
        <v>2212</v>
      </c>
      <c r="C3089" s="1" t="s">
        <v>796</v>
      </c>
      <c r="D3089" s="1"/>
      <c r="E3089" s="1" t="s">
        <v>43</v>
      </c>
      <c r="F3089" s="1" t="s">
        <v>798</v>
      </c>
      <c r="G3089" s="1">
        <v>1</v>
      </c>
      <c r="H3089" s="1" t="s">
        <v>19</v>
      </c>
      <c r="I3089" s="1" t="s">
        <v>652</v>
      </c>
      <c r="J3089" s="1">
        <v>101.35</v>
      </c>
      <c r="K3089" s="1">
        <v>101.35</v>
      </c>
      <c r="L3089" s="42">
        <v>6</v>
      </c>
      <c r="M3089" s="43"/>
      <c r="N3089" s="1" t="e">
        <f>VLOOKUP(B3089,MICRO!E:L,8,0)</f>
        <v>#N/A</v>
      </c>
    </row>
    <row r="3090" spans="1:14" ht="20.25" x14ac:dyDescent="0.25">
      <c r="A3090" s="1">
        <v>13</v>
      </c>
      <c r="B3090" s="159">
        <v>2617</v>
      </c>
      <c r="C3090" s="1" t="s">
        <v>1040</v>
      </c>
      <c r="D3090" s="1"/>
      <c r="E3090" s="1" t="s">
        <v>2</v>
      </c>
      <c r="F3090" s="1" t="s">
        <v>1041</v>
      </c>
      <c r="G3090" s="1">
        <v>1</v>
      </c>
      <c r="H3090" s="1" t="s">
        <v>19</v>
      </c>
      <c r="I3090" s="1" t="s">
        <v>652</v>
      </c>
      <c r="J3090" s="1">
        <v>152.5</v>
      </c>
      <c r="K3090" s="1">
        <v>152.5</v>
      </c>
      <c r="L3090" s="42">
        <v>6</v>
      </c>
      <c r="M3090" s="43"/>
      <c r="N3090" s="1" t="e">
        <f>VLOOKUP(B3090,MICRO!E:L,8,0)</f>
        <v>#N/A</v>
      </c>
    </row>
    <row r="3091" spans="1:14" ht="20.25" x14ac:dyDescent="0.25">
      <c r="A3091" s="1">
        <v>14</v>
      </c>
      <c r="B3091" s="159">
        <v>2618</v>
      </c>
      <c r="C3091" s="1" t="s">
        <v>1040</v>
      </c>
      <c r="D3091" s="1"/>
      <c r="E3091" s="1" t="s">
        <v>43</v>
      </c>
      <c r="F3091" s="1" t="s">
        <v>1042</v>
      </c>
      <c r="G3091" s="1">
        <v>4</v>
      </c>
      <c r="H3091" s="1" t="s">
        <v>19</v>
      </c>
      <c r="I3091" s="1" t="s">
        <v>652</v>
      </c>
      <c r="J3091" s="1">
        <v>9.8000000000000007</v>
      </c>
      <c r="K3091" s="1">
        <v>39.200000000000003</v>
      </c>
      <c r="L3091" s="42">
        <v>6</v>
      </c>
      <c r="M3091" s="43"/>
      <c r="N3091" s="1" t="e">
        <f>VLOOKUP(B3091,MICRO!E:L,8,0)</f>
        <v>#N/A</v>
      </c>
    </row>
    <row r="3092" spans="1:14" ht="20.25" x14ac:dyDescent="0.25">
      <c r="A3092" s="1">
        <v>15</v>
      </c>
      <c r="B3092" s="159">
        <v>2619</v>
      </c>
      <c r="C3092" s="1" t="s">
        <v>1040</v>
      </c>
      <c r="D3092" s="1"/>
      <c r="E3092" s="1" t="s">
        <v>746</v>
      </c>
      <c r="F3092" s="1" t="s">
        <v>1043</v>
      </c>
      <c r="G3092" s="1">
        <v>4</v>
      </c>
      <c r="H3092" s="1" t="s">
        <v>19</v>
      </c>
      <c r="I3092" s="1" t="s">
        <v>652</v>
      </c>
      <c r="J3092" s="1">
        <v>2.4</v>
      </c>
      <c r="K3092" s="1">
        <v>9.6</v>
      </c>
      <c r="L3092" s="42">
        <v>6</v>
      </c>
      <c r="M3092" s="43"/>
      <c r="N3092" s="1" t="e">
        <f>VLOOKUP(B3092,MICRO!E:L,8,0)</f>
        <v>#N/A</v>
      </c>
    </row>
    <row r="3093" spans="1:14" ht="20.25" x14ac:dyDescent="0.25">
      <c r="A3093" s="1">
        <v>16</v>
      </c>
      <c r="B3093" s="159">
        <v>2620</v>
      </c>
      <c r="C3093" s="1" t="s">
        <v>1040</v>
      </c>
      <c r="D3093" s="1"/>
      <c r="E3093" s="1" t="s">
        <v>1101</v>
      </c>
      <c r="F3093" s="1" t="s">
        <v>1044</v>
      </c>
      <c r="G3093" s="1">
        <v>18</v>
      </c>
      <c r="H3093" s="1" t="s">
        <v>19</v>
      </c>
      <c r="I3093" s="1" t="s">
        <v>652</v>
      </c>
      <c r="J3093" s="1">
        <v>1.2</v>
      </c>
      <c r="K3093" s="1">
        <v>21.599999999999998</v>
      </c>
      <c r="L3093" s="42">
        <v>6</v>
      </c>
      <c r="M3093" s="43"/>
      <c r="N3093" s="1" t="e">
        <f>VLOOKUP(B3093,MICRO!E:L,8,0)</f>
        <v>#N/A</v>
      </c>
    </row>
    <row r="3094" spans="1:14" ht="20.25" x14ac:dyDescent="0.25">
      <c r="A3094" s="1">
        <v>17</v>
      </c>
      <c r="B3094" s="159">
        <v>2625</v>
      </c>
      <c r="C3094" s="1" t="s">
        <v>1049</v>
      </c>
      <c r="D3094" s="1"/>
      <c r="E3094" s="1" t="s">
        <v>1683</v>
      </c>
      <c r="F3094" s="1" t="s">
        <v>1050</v>
      </c>
      <c r="G3094" s="1">
        <v>32</v>
      </c>
      <c r="H3094" s="1" t="s">
        <v>19</v>
      </c>
      <c r="I3094" s="1" t="s">
        <v>652</v>
      </c>
      <c r="J3094" s="1">
        <v>0.5</v>
      </c>
      <c r="K3094" s="1">
        <v>16</v>
      </c>
      <c r="L3094" s="42">
        <v>6</v>
      </c>
      <c r="M3094" s="43"/>
      <c r="N3094" s="1" t="e">
        <f>VLOOKUP(B3094,MICRO!E:L,8,0)</f>
        <v>#N/A</v>
      </c>
    </row>
    <row r="3095" spans="1:14" ht="20.25" x14ac:dyDescent="0.25">
      <c r="A3095" s="1">
        <v>18</v>
      </c>
      <c r="B3095" s="159">
        <v>2625</v>
      </c>
      <c r="C3095" s="1" t="s">
        <v>1049</v>
      </c>
      <c r="D3095" s="1"/>
      <c r="E3095" s="1" t="s">
        <v>2</v>
      </c>
      <c r="F3095" s="1" t="s">
        <v>1050</v>
      </c>
      <c r="G3095" s="1">
        <v>8</v>
      </c>
      <c r="H3095" s="1" t="s">
        <v>19</v>
      </c>
      <c r="I3095" s="1" t="s">
        <v>652</v>
      </c>
      <c r="J3095" s="1">
        <v>11.9</v>
      </c>
      <c r="K3095" s="1">
        <v>95.2</v>
      </c>
      <c r="L3095" s="42">
        <v>6</v>
      </c>
      <c r="M3095" s="43"/>
      <c r="N3095" s="1" t="e">
        <f>VLOOKUP(B3095,MICRO!E:L,8,0)</f>
        <v>#N/A</v>
      </c>
    </row>
    <row r="3096" spans="1:14" ht="20.25" x14ac:dyDescent="0.25">
      <c r="A3096" s="1">
        <v>19</v>
      </c>
      <c r="B3096" s="159"/>
      <c r="C3096" s="1" t="s">
        <v>1086</v>
      </c>
      <c r="D3096" s="1"/>
      <c r="E3096" s="1" t="s">
        <v>2</v>
      </c>
      <c r="F3096" s="1" t="s">
        <v>1870</v>
      </c>
      <c r="G3096" s="1">
        <v>1</v>
      </c>
      <c r="H3096" s="1" t="s">
        <v>19</v>
      </c>
      <c r="I3096" s="1" t="s">
        <v>652</v>
      </c>
      <c r="J3096" s="1">
        <v>324.60000000000002</v>
      </c>
      <c r="K3096" s="1">
        <v>324.60000000000002</v>
      </c>
      <c r="L3096" s="42">
        <v>6</v>
      </c>
      <c r="M3096" s="43"/>
      <c r="N3096" s="1" t="e">
        <f>VLOOKUP(B3096,MICRO!E:L,8,0)</f>
        <v>#N/A</v>
      </c>
    </row>
    <row r="3097" spans="1:14" ht="20.25" x14ac:dyDescent="0.25">
      <c r="A3097" s="1">
        <v>20</v>
      </c>
      <c r="B3097" s="159"/>
      <c r="C3097" s="1" t="s">
        <v>1086</v>
      </c>
      <c r="D3097" s="1"/>
      <c r="E3097" s="1" t="s">
        <v>43</v>
      </c>
      <c r="F3097" s="1" t="s">
        <v>1087</v>
      </c>
      <c r="G3097" s="1">
        <v>4</v>
      </c>
      <c r="H3097" s="1" t="s">
        <v>19</v>
      </c>
      <c r="I3097" s="1" t="s">
        <v>652</v>
      </c>
      <c r="J3097" s="1">
        <v>9.8000000000000007</v>
      </c>
      <c r="K3097" s="1">
        <v>39.200000000000003</v>
      </c>
      <c r="L3097" s="42">
        <v>6</v>
      </c>
      <c r="M3097" s="43"/>
      <c r="N3097" s="1" t="e">
        <f>VLOOKUP(B3097,MICRO!E:L,8,0)</f>
        <v>#N/A</v>
      </c>
    </row>
    <row r="3098" spans="1:14" ht="20.25" x14ac:dyDescent="0.25">
      <c r="A3098" s="1">
        <v>21</v>
      </c>
      <c r="B3098" s="159"/>
      <c r="C3098" s="1" t="s">
        <v>1086</v>
      </c>
      <c r="D3098" s="1"/>
      <c r="E3098" s="1" t="s">
        <v>746</v>
      </c>
      <c r="F3098" s="1" t="s">
        <v>1088</v>
      </c>
      <c r="G3098" s="1">
        <v>4</v>
      </c>
      <c r="H3098" s="1" t="s">
        <v>19</v>
      </c>
      <c r="I3098" s="1" t="s">
        <v>652</v>
      </c>
      <c r="J3098" s="1">
        <v>2.4</v>
      </c>
      <c r="K3098" s="1">
        <v>9.6</v>
      </c>
      <c r="L3098" s="42">
        <v>6</v>
      </c>
      <c r="M3098" s="43"/>
      <c r="N3098" s="1" t="e">
        <f>VLOOKUP(B3098,MICRO!E:L,8,0)</f>
        <v>#N/A</v>
      </c>
    </row>
    <row r="3099" spans="1:14" ht="20.25" x14ac:dyDescent="0.25">
      <c r="A3099" s="1">
        <v>22</v>
      </c>
      <c r="B3099" s="159"/>
      <c r="C3099" s="1" t="s">
        <v>1086</v>
      </c>
      <c r="D3099" s="1"/>
      <c r="E3099" s="1" t="s">
        <v>1101</v>
      </c>
      <c r="F3099" s="1" t="s">
        <v>1089</v>
      </c>
      <c r="G3099" s="1">
        <v>22</v>
      </c>
      <c r="H3099" s="1" t="s">
        <v>19</v>
      </c>
      <c r="I3099" s="1" t="s">
        <v>652</v>
      </c>
      <c r="J3099" s="1">
        <v>0.2</v>
      </c>
      <c r="K3099" s="1">
        <v>4.4000000000000004</v>
      </c>
      <c r="L3099" s="42">
        <v>6</v>
      </c>
      <c r="M3099" s="43"/>
      <c r="N3099" s="1" t="e">
        <f>VLOOKUP(B3099,MICRO!E:L,8,0)</f>
        <v>#N/A</v>
      </c>
    </row>
    <row r="3100" spans="1:14" ht="20.25" x14ac:dyDescent="0.25">
      <c r="A3100" s="1">
        <v>23</v>
      </c>
      <c r="B3100" s="159"/>
      <c r="C3100" s="1" t="s">
        <v>1132</v>
      </c>
      <c r="D3100" s="1"/>
      <c r="E3100" s="1" t="s">
        <v>43</v>
      </c>
      <c r="F3100" s="1" t="s">
        <v>1134</v>
      </c>
      <c r="G3100" s="1">
        <v>1</v>
      </c>
      <c r="H3100" s="1" t="s">
        <v>19</v>
      </c>
      <c r="I3100" s="1" t="s">
        <v>652</v>
      </c>
      <c r="J3100" s="1">
        <v>55.2</v>
      </c>
      <c r="K3100" s="1">
        <v>55.2</v>
      </c>
      <c r="L3100" s="42">
        <v>6</v>
      </c>
      <c r="M3100" s="43"/>
      <c r="N3100" s="1" t="e">
        <f>VLOOKUP(B3100,MICRO!E:L,8,0)</f>
        <v>#N/A</v>
      </c>
    </row>
    <row r="3101" spans="1:14" ht="20.25" x14ac:dyDescent="0.25">
      <c r="A3101" s="1">
        <v>1</v>
      </c>
      <c r="B3101" s="159">
        <v>2186</v>
      </c>
      <c r="C3101" s="1" t="s">
        <v>769</v>
      </c>
      <c r="D3101" s="1"/>
      <c r="E3101" s="1" t="s">
        <v>2</v>
      </c>
      <c r="F3101" s="1" t="s">
        <v>770</v>
      </c>
      <c r="G3101" s="1">
        <v>2</v>
      </c>
      <c r="H3101" s="1" t="s">
        <v>19</v>
      </c>
      <c r="I3101" s="1" t="s">
        <v>652</v>
      </c>
      <c r="J3101" s="1">
        <v>118.3</v>
      </c>
      <c r="K3101" s="1">
        <v>236.6</v>
      </c>
      <c r="L3101" s="42">
        <v>7</v>
      </c>
      <c r="M3101" s="43"/>
      <c r="N3101" s="1" t="e">
        <f>VLOOKUP(B3101,MICRO!E:L,8,0)</f>
        <v>#N/A</v>
      </c>
    </row>
    <row r="3102" spans="1:14" ht="20.25" x14ac:dyDescent="0.25">
      <c r="A3102" s="1">
        <v>2</v>
      </c>
      <c r="B3102" s="159">
        <v>2187</v>
      </c>
      <c r="C3102" s="1" t="s">
        <v>769</v>
      </c>
      <c r="D3102" s="1"/>
      <c r="E3102" s="1" t="s">
        <v>43</v>
      </c>
      <c r="F3102" s="1" t="s">
        <v>771</v>
      </c>
      <c r="G3102" s="1">
        <v>2</v>
      </c>
      <c r="H3102" s="1" t="s">
        <v>19</v>
      </c>
      <c r="I3102" s="1" t="s">
        <v>652</v>
      </c>
      <c r="J3102" s="1">
        <v>52.5</v>
      </c>
      <c r="K3102" s="1">
        <v>105</v>
      </c>
      <c r="L3102" s="42">
        <v>7</v>
      </c>
      <c r="M3102" s="43"/>
      <c r="N3102" s="1" t="e">
        <f>VLOOKUP(B3102,MICRO!E:L,8,0)</f>
        <v>#N/A</v>
      </c>
    </row>
    <row r="3103" spans="1:14" ht="20.25" x14ac:dyDescent="0.25">
      <c r="A3103" s="1">
        <v>3</v>
      </c>
      <c r="B3103" s="159">
        <v>2190</v>
      </c>
      <c r="C3103" s="1" t="s">
        <v>773</v>
      </c>
      <c r="D3103" s="1"/>
      <c r="E3103" s="1" t="s">
        <v>2</v>
      </c>
      <c r="F3103" s="1" t="s">
        <v>774</v>
      </c>
      <c r="G3103" s="1">
        <v>1</v>
      </c>
      <c r="H3103" s="1" t="s">
        <v>19</v>
      </c>
      <c r="I3103" s="1" t="s">
        <v>652</v>
      </c>
      <c r="J3103" s="1">
        <v>206.4</v>
      </c>
      <c r="K3103" s="1">
        <v>206.4</v>
      </c>
      <c r="L3103" s="42">
        <v>7</v>
      </c>
      <c r="M3103" s="43"/>
      <c r="N3103" s="1" t="e">
        <f>VLOOKUP(B3103,MICRO!E:L,8,0)</f>
        <v>#N/A</v>
      </c>
    </row>
    <row r="3104" spans="1:14" ht="20.25" x14ac:dyDescent="0.25">
      <c r="A3104" s="1">
        <v>4</v>
      </c>
      <c r="B3104" s="159">
        <v>2191</v>
      </c>
      <c r="C3104" s="1" t="s">
        <v>773</v>
      </c>
      <c r="D3104" s="1"/>
      <c r="E3104" s="1" t="s">
        <v>43</v>
      </c>
      <c r="F3104" s="1" t="s">
        <v>775</v>
      </c>
      <c r="G3104" s="1">
        <v>2</v>
      </c>
      <c r="H3104" s="1" t="s">
        <v>19</v>
      </c>
      <c r="I3104" s="1" t="s">
        <v>652</v>
      </c>
      <c r="J3104" s="1">
        <v>40.1</v>
      </c>
      <c r="K3104" s="1">
        <v>80.2</v>
      </c>
      <c r="L3104" s="42">
        <v>7</v>
      </c>
      <c r="M3104" s="43"/>
      <c r="N3104" s="1" t="e">
        <f>VLOOKUP(B3104,MICRO!E:L,8,0)</f>
        <v>#N/A</v>
      </c>
    </row>
    <row r="3105" spans="1:14" ht="20.25" x14ac:dyDescent="0.25">
      <c r="A3105" s="1">
        <v>5</v>
      </c>
      <c r="B3105" s="159">
        <v>2192</v>
      </c>
      <c r="C3105" s="1" t="s">
        <v>773</v>
      </c>
      <c r="D3105" s="1"/>
      <c r="E3105" s="1" t="s">
        <v>746</v>
      </c>
      <c r="F3105" s="1" t="s">
        <v>2738</v>
      </c>
      <c r="G3105" s="1">
        <v>2</v>
      </c>
      <c r="H3105" s="1" t="s">
        <v>19</v>
      </c>
      <c r="I3105" s="1" t="s">
        <v>652</v>
      </c>
      <c r="J3105" s="1">
        <v>28.3</v>
      </c>
      <c r="K3105" s="1">
        <v>56.6</v>
      </c>
      <c r="L3105" s="42">
        <v>7</v>
      </c>
      <c r="M3105" s="43"/>
      <c r="N3105" s="1" t="e">
        <f>VLOOKUP(B3105,MICRO!E:L,8,0)</f>
        <v>#N/A</v>
      </c>
    </row>
    <row r="3106" spans="1:14" ht="20.25" x14ac:dyDescent="0.25">
      <c r="A3106" s="1">
        <v>6</v>
      </c>
      <c r="B3106" s="159">
        <v>2192</v>
      </c>
      <c r="C3106" s="1" t="s">
        <v>773</v>
      </c>
      <c r="D3106" s="1"/>
      <c r="E3106" s="1" t="s">
        <v>1101</v>
      </c>
      <c r="F3106" s="1" t="s">
        <v>2739</v>
      </c>
      <c r="G3106" s="1">
        <v>2</v>
      </c>
      <c r="H3106" s="1" t="s">
        <v>19</v>
      </c>
      <c r="I3106" s="1" t="s">
        <v>652</v>
      </c>
      <c r="J3106" s="1">
        <v>5.9</v>
      </c>
      <c r="K3106" s="1">
        <v>11.8</v>
      </c>
      <c r="L3106" s="42">
        <v>7</v>
      </c>
      <c r="M3106" s="43"/>
      <c r="N3106" s="1" t="e">
        <f>VLOOKUP(B3106,MICRO!E:L,8,0)</f>
        <v>#N/A</v>
      </c>
    </row>
    <row r="3107" spans="1:14" ht="20.25" x14ac:dyDescent="0.25">
      <c r="A3107" s="1">
        <v>7</v>
      </c>
      <c r="B3107" s="159">
        <v>2198</v>
      </c>
      <c r="C3107" s="1" t="s">
        <v>776</v>
      </c>
      <c r="D3107" s="1"/>
      <c r="E3107" s="1" t="s">
        <v>1101</v>
      </c>
      <c r="F3107" s="1" t="s">
        <v>780</v>
      </c>
      <c r="G3107" s="1">
        <v>1</v>
      </c>
      <c r="H3107" s="1" t="s">
        <v>19</v>
      </c>
      <c r="I3107" s="1" t="s">
        <v>652</v>
      </c>
      <c r="J3107" s="1">
        <v>44.4</v>
      </c>
      <c r="K3107" s="1">
        <v>44.4</v>
      </c>
      <c r="L3107" s="42">
        <v>7</v>
      </c>
      <c r="M3107" s="43"/>
      <c r="N3107" s="1" t="e">
        <f>VLOOKUP(B3107,MICRO!E:L,8,0)</f>
        <v>#N/A</v>
      </c>
    </row>
    <row r="3108" spans="1:14" ht="20.25" x14ac:dyDescent="0.25">
      <c r="A3108" s="1">
        <v>8</v>
      </c>
      <c r="B3108" s="159">
        <v>2211</v>
      </c>
      <c r="C3108" s="1" t="s">
        <v>796</v>
      </c>
      <c r="D3108" s="1"/>
      <c r="E3108" s="1" t="s">
        <v>2</v>
      </c>
      <c r="F3108" s="1" t="s">
        <v>797</v>
      </c>
      <c r="G3108" s="1">
        <v>1</v>
      </c>
      <c r="H3108" s="1" t="s">
        <v>19</v>
      </c>
      <c r="I3108" s="1" t="s">
        <v>652</v>
      </c>
      <c r="J3108" s="1">
        <v>155.30000000000001</v>
      </c>
      <c r="K3108" s="1">
        <v>155.30000000000001</v>
      </c>
      <c r="L3108" s="42">
        <v>7</v>
      </c>
      <c r="M3108" s="43"/>
      <c r="N3108" s="1" t="e">
        <f>VLOOKUP(B3108,MICRO!E:L,8,0)</f>
        <v>#N/A</v>
      </c>
    </row>
    <row r="3109" spans="1:14" ht="20.25" x14ac:dyDescent="0.25">
      <c r="A3109" s="1">
        <v>9</v>
      </c>
      <c r="B3109" s="159">
        <v>2212</v>
      </c>
      <c r="C3109" s="1" t="s">
        <v>796</v>
      </c>
      <c r="D3109" s="1"/>
      <c r="E3109" s="1" t="s">
        <v>43</v>
      </c>
      <c r="F3109" s="1" t="s">
        <v>798</v>
      </c>
      <c r="G3109" s="1">
        <v>1</v>
      </c>
      <c r="H3109" s="1" t="s">
        <v>19</v>
      </c>
      <c r="I3109" s="1" t="s">
        <v>652</v>
      </c>
      <c r="J3109" s="1">
        <v>101.35</v>
      </c>
      <c r="K3109" s="1">
        <v>101.35</v>
      </c>
      <c r="L3109" s="42">
        <v>7</v>
      </c>
      <c r="M3109" s="43"/>
      <c r="N3109" s="1" t="e">
        <f>VLOOKUP(B3109,MICRO!E:L,8,0)</f>
        <v>#N/A</v>
      </c>
    </row>
    <row r="3110" spans="1:14" ht="20.25" x14ac:dyDescent="0.25">
      <c r="A3110" s="1">
        <v>10</v>
      </c>
      <c r="B3110" s="159">
        <v>2591</v>
      </c>
      <c r="C3110" s="1" t="s">
        <v>1024</v>
      </c>
      <c r="D3110" s="1"/>
      <c r="E3110" s="1" t="s">
        <v>2</v>
      </c>
      <c r="F3110" s="1" t="s">
        <v>1026</v>
      </c>
      <c r="G3110" s="1">
        <v>2</v>
      </c>
      <c r="H3110" s="1" t="s">
        <v>19</v>
      </c>
      <c r="I3110" s="1" t="s">
        <v>652</v>
      </c>
      <c r="J3110" s="1">
        <v>59.9</v>
      </c>
      <c r="K3110" s="1">
        <v>119.8</v>
      </c>
      <c r="L3110" s="42">
        <v>7</v>
      </c>
      <c r="M3110" s="43"/>
      <c r="N3110" s="1" t="e">
        <f>VLOOKUP(B3110,MICRO!E:L,8,0)</f>
        <v>#N/A</v>
      </c>
    </row>
    <row r="3111" spans="1:14" ht="20.25" x14ac:dyDescent="0.25">
      <c r="A3111" s="1">
        <v>11</v>
      </c>
      <c r="B3111" s="159">
        <v>2592</v>
      </c>
      <c r="C3111" s="1" t="s">
        <v>1025</v>
      </c>
      <c r="D3111" s="1"/>
      <c r="E3111" s="1" t="s">
        <v>2</v>
      </c>
      <c r="F3111" s="1" t="s">
        <v>1027</v>
      </c>
      <c r="G3111" s="1">
        <v>2</v>
      </c>
      <c r="H3111" s="1" t="s">
        <v>19</v>
      </c>
      <c r="I3111" s="1" t="s">
        <v>652</v>
      </c>
      <c r="J3111" s="1">
        <v>63.6</v>
      </c>
      <c r="K3111" s="1">
        <v>127.2</v>
      </c>
      <c r="L3111" s="42">
        <v>7</v>
      </c>
      <c r="M3111" s="43"/>
      <c r="N3111" s="1" t="e">
        <f>VLOOKUP(B3111,MICRO!E:L,8,0)</f>
        <v>#N/A</v>
      </c>
    </row>
    <row r="3112" spans="1:14" ht="20.25" x14ac:dyDescent="0.25">
      <c r="A3112" s="1">
        <v>12</v>
      </c>
      <c r="B3112" s="159">
        <v>2593</v>
      </c>
      <c r="C3112" s="1" t="s">
        <v>1028</v>
      </c>
      <c r="D3112" s="1"/>
      <c r="E3112" s="1" t="s">
        <v>2</v>
      </c>
      <c r="F3112" s="1" t="s">
        <v>1029</v>
      </c>
      <c r="G3112" s="1">
        <v>2</v>
      </c>
      <c r="H3112" s="1" t="s">
        <v>19</v>
      </c>
      <c r="I3112" s="1" t="s">
        <v>652</v>
      </c>
      <c r="J3112" s="1">
        <v>51.7</v>
      </c>
      <c r="K3112" s="1">
        <v>103.4</v>
      </c>
      <c r="L3112" s="42">
        <v>7</v>
      </c>
      <c r="M3112" s="43"/>
      <c r="N3112" s="1" t="e">
        <f>VLOOKUP(B3112,MICRO!E:L,8,0)</f>
        <v>#N/A</v>
      </c>
    </row>
    <row r="3113" spans="1:14" ht="20.25" x14ac:dyDescent="0.25">
      <c r="A3113" s="1">
        <v>13</v>
      </c>
      <c r="B3113" s="159"/>
      <c r="C3113" s="1" t="s">
        <v>1132</v>
      </c>
      <c r="D3113" s="1"/>
      <c r="E3113" s="1" t="s">
        <v>43</v>
      </c>
      <c r="F3113" s="1" t="s">
        <v>1134</v>
      </c>
      <c r="G3113" s="1">
        <v>1</v>
      </c>
      <c r="H3113" s="1" t="s">
        <v>19</v>
      </c>
      <c r="I3113" s="1" t="s">
        <v>652</v>
      </c>
      <c r="J3113" s="1">
        <v>55.2</v>
      </c>
      <c r="K3113" s="1">
        <v>55.2</v>
      </c>
      <c r="L3113" s="42">
        <v>7</v>
      </c>
      <c r="M3113" s="43"/>
      <c r="N3113" s="1" t="e">
        <f>VLOOKUP(B3113,MICRO!E:L,8,0)</f>
        <v>#N/A</v>
      </c>
    </row>
    <row r="3114" spans="1:14" ht="20.25" x14ac:dyDescent="0.25">
      <c r="A3114" s="1">
        <v>14</v>
      </c>
      <c r="B3114" s="159"/>
      <c r="C3114" s="1" t="s">
        <v>982</v>
      </c>
      <c r="D3114" s="1"/>
      <c r="E3114" s="1" t="s">
        <v>2740</v>
      </c>
      <c r="F3114" s="1" t="s">
        <v>983</v>
      </c>
      <c r="G3114" s="1">
        <v>1</v>
      </c>
      <c r="H3114" s="1" t="s">
        <v>19</v>
      </c>
      <c r="I3114" s="1" t="s">
        <v>652</v>
      </c>
      <c r="J3114" s="1">
        <v>252.8</v>
      </c>
      <c r="K3114" s="1">
        <v>252.8</v>
      </c>
      <c r="L3114" s="42">
        <v>7</v>
      </c>
      <c r="M3114" s="43"/>
      <c r="N3114" s="1" t="e">
        <f>VLOOKUP(B3114,MICRO!E:L,8,0)</f>
        <v>#N/A</v>
      </c>
    </row>
    <row r="3115" spans="1:14" ht="20.25" x14ac:dyDescent="0.25">
      <c r="A3115" s="1">
        <v>15</v>
      </c>
      <c r="B3115" s="159"/>
      <c r="C3115" s="1" t="s">
        <v>982</v>
      </c>
      <c r="D3115" s="1"/>
      <c r="E3115" s="1" t="s">
        <v>43</v>
      </c>
      <c r="F3115" s="1" t="s">
        <v>984</v>
      </c>
      <c r="G3115" s="1">
        <v>1</v>
      </c>
      <c r="H3115" s="1" t="s">
        <v>19</v>
      </c>
      <c r="I3115" s="1" t="s">
        <v>652</v>
      </c>
      <c r="J3115" s="1">
        <v>135.19999999999999</v>
      </c>
      <c r="K3115" s="1">
        <v>135.19999999999999</v>
      </c>
      <c r="L3115" s="42">
        <v>7</v>
      </c>
      <c r="M3115" s="43"/>
      <c r="N3115" s="1" t="e">
        <f>VLOOKUP(B3115,MICRO!E:L,8,0)</f>
        <v>#N/A</v>
      </c>
    </row>
    <row r="3116" spans="1:14" ht="20.25" x14ac:dyDescent="0.25">
      <c r="A3116" s="1">
        <v>1</v>
      </c>
      <c r="B3116" s="159">
        <v>2046</v>
      </c>
      <c r="C3116" s="1" t="s">
        <v>1929</v>
      </c>
      <c r="D3116" s="1"/>
      <c r="E3116" s="1"/>
      <c r="F3116" s="1" t="s">
        <v>1930</v>
      </c>
      <c r="G3116" s="1">
        <v>1</v>
      </c>
      <c r="H3116" s="1" t="s">
        <v>19</v>
      </c>
      <c r="I3116" s="1" t="s">
        <v>652</v>
      </c>
      <c r="J3116" s="1">
        <v>3</v>
      </c>
      <c r="K3116" s="1">
        <v>3</v>
      </c>
      <c r="L3116" s="42">
        <v>8</v>
      </c>
      <c r="M3116" s="43"/>
      <c r="N3116" s="1" t="e">
        <f>VLOOKUP(B3116,MICRO!E:L,8,0)</f>
        <v>#N/A</v>
      </c>
    </row>
    <row r="3117" spans="1:14" ht="20.25" x14ac:dyDescent="0.25">
      <c r="A3117" s="1">
        <v>2</v>
      </c>
      <c r="B3117" s="159">
        <v>2181</v>
      </c>
      <c r="C3117" s="1" t="s">
        <v>764</v>
      </c>
      <c r="D3117" s="1"/>
      <c r="E3117" s="1" t="s">
        <v>2</v>
      </c>
      <c r="F3117" s="1" t="s">
        <v>763</v>
      </c>
      <c r="G3117" s="1">
        <v>1</v>
      </c>
      <c r="H3117" s="1" t="s">
        <v>19</v>
      </c>
      <c r="I3117" s="1" t="s">
        <v>652</v>
      </c>
      <c r="J3117" s="1">
        <v>118.3</v>
      </c>
      <c r="K3117" s="1">
        <v>58.92</v>
      </c>
      <c r="L3117" s="42">
        <v>8</v>
      </c>
      <c r="M3117" s="43"/>
      <c r="N3117" s="1" t="e">
        <f>VLOOKUP(B3117,MICRO!E:L,8,0)</f>
        <v>#N/A</v>
      </c>
    </row>
    <row r="3118" spans="1:14" ht="20.25" x14ac:dyDescent="0.25">
      <c r="A3118" s="1">
        <v>3</v>
      </c>
      <c r="B3118" s="159">
        <v>2182</v>
      </c>
      <c r="C3118" s="1" t="s">
        <v>764</v>
      </c>
      <c r="D3118" s="1"/>
      <c r="E3118" s="1" t="s">
        <v>43</v>
      </c>
      <c r="F3118" s="1" t="s">
        <v>765</v>
      </c>
      <c r="G3118" s="1">
        <v>2</v>
      </c>
      <c r="H3118" s="1" t="s">
        <v>19</v>
      </c>
      <c r="I3118" s="1" t="s">
        <v>652</v>
      </c>
      <c r="J3118" s="1">
        <v>2.5</v>
      </c>
      <c r="K3118" s="1">
        <v>5</v>
      </c>
      <c r="L3118" s="42">
        <v>8</v>
      </c>
      <c r="M3118" s="43"/>
      <c r="N3118" s="1" t="e">
        <f>VLOOKUP(B3118,MICRO!E:L,8,0)</f>
        <v>#N/A</v>
      </c>
    </row>
    <row r="3119" spans="1:14" ht="20.25" x14ac:dyDescent="0.25">
      <c r="A3119" s="1">
        <v>4</v>
      </c>
      <c r="B3119" s="159">
        <v>2183</v>
      </c>
      <c r="C3119" s="1" t="s">
        <v>764</v>
      </c>
      <c r="D3119" s="1"/>
      <c r="E3119" s="1" t="s">
        <v>746</v>
      </c>
      <c r="F3119" s="1" t="s">
        <v>766</v>
      </c>
      <c r="G3119" s="1">
        <v>1</v>
      </c>
      <c r="H3119" s="1" t="s">
        <v>19</v>
      </c>
      <c r="I3119" s="1" t="s">
        <v>652</v>
      </c>
      <c r="J3119" s="1">
        <v>40.1</v>
      </c>
      <c r="K3119" s="1">
        <v>40.1</v>
      </c>
      <c r="L3119" s="42">
        <v>8</v>
      </c>
      <c r="M3119" s="43"/>
      <c r="N3119" s="1" t="e">
        <f>VLOOKUP(B3119,MICRO!E:L,8,0)</f>
        <v>#N/A</v>
      </c>
    </row>
    <row r="3120" spans="1:14" ht="20.25" x14ac:dyDescent="0.25">
      <c r="A3120" s="1">
        <v>5</v>
      </c>
      <c r="B3120" s="159">
        <v>2188</v>
      </c>
      <c r="C3120" s="1" t="s">
        <v>769</v>
      </c>
      <c r="D3120" s="1"/>
      <c r="E3120" s="1" t="s">
        <v>746</v>
      </c>
      <c r="F3120" s="1" t="s">
        <v>1931</v>
      </c>
      <c r="G3120" s="1">
        <v>4</v>
      </c>
      <c r="H3120" s="1" t="s">
        <v>19</v>
      </c>
      <c r="I3120" s="1" t="s">
        <v>652</v>
      </c>
      <c r="J3120" s="1">
        <v>3.1</v>
      </c>
      <c r="K3120" s="1">
        <v>12.4</v>
      </c>
      <c r="L3120" s="42">
        <v>8</v>
      </c>
      <c r="M3120" s="43"/>
      <c r="N3120" s="1" t="e">
        <f>VLOOKUP(B3120,MICRO!E:L,8,0)</f>
        <v>#N/A</v>
      </c>
    </row>
    <row r="3121" spans="1:14" ht="20.25" x14ac:dyDescent="0.25">
      <c r="A3121" s="1">
        <v>6</v>
      </c>
      <c r="B3121" s="159">
        <v>2189</v>
      </c>
      <c r="C3121" s="1" t="s">
        <v>769</v>
      </c>
      <c r="D3121" s="1"/>
      <c r="E3121" s="1" t="s">
        <v>1101</v>
      </c>
      <c r="F3121" s="1" t="s">
        <v>772</v>
      </c>
      <c r="G3121" s="1">
        <v>1</v>
      </c>
      <c r="H3121" s="1" t="s">
        <v>19</v>
      </c>
      <c r="I3121" s="1" t="s">
        <v>652</v>
      </c>
      <c r="J3121" s="1">
        <v>2.5</v>
      </c>
      <c r="K3121" s="1">
        <v>2.5</v>
      </c>
      <c r="L3121" s="42">
        <v>8</v>
      </c>
      <c r="M3121" s="43"/>
      <c r="N3121" s="1" t="e">
        <f>VLOOKUP(B3121,MICRO!E:L,8,0)</f>
        <v>#N/A</v>
      </c>
    </row>
    <row r="3122" spans="1:14" ht="20.25" x14ac:dyDescent="0.25">
      <c r="A3122" s="1">
        <v>7</v>
      </c>
      <c r="B3122" s="159">
        <v>2416</v>
      </c>
      <c r="C3122" s="1" t="s">
        <v>908</v>
      </c>
      <c r="D3122" s="1"/>
      <c r="E3122" s="1" t="s">
        <v>100</v>
      </c>
      <c r="F3122" s="1" t="s">
        <v>909</v>
      </c>
      <c r="G3122" s="1">
        <v>1</v>
      </c>
      <c r="H3122" s="1" t="s">
        <v>19</v>
      </c>
      <c r="I3122" s="1" t="s">
        <v>652</v>
      </c>
      <c r="J3122" s="1">
        <v>22.1</v>
      </c>
      <c r="K3122" s="1">
        <v>22.1</v>
      </c>
      <c r="L3122" s="42">
        <v>8</v>
      </c>
      <c r="M3122" s="43"/>
      <c r="N3122" s="1" t="e">
        <f>VLOOKUP(B3122,MICRO!E:L,8,0)</f>
        <v>#N/A</v>
      </c>
    </row>
    <row r="3123" spans="1:14" ht="20.25" x14ac:dyDescent="0.25">
      <c r="A3123" s="1">
        <v>8</v>
      </c>
      <c r="B3123" s="159">
        <v>2417</v>
      </c>
      <c r="C3123" s="1" t="s">
        <v>908</v>
      </c>
      <c r="D3123" s="1"/>
      <c r="E3123" s="1" t="s">
        <v>173</v>
      </c>
      <c r="F3123" s="1" t="s">
        <v>910</v>
      </c>
      <c r="G3123" s="1">
        <v>2</v>
      </c>
      <c r="H3123" s="1" t="s">
        <v>19</v>
      </c>
      <c r="I3123" s="1" t="s">
        <v>652</v>
      </c>
      <c r="J3123" s="1">
        <v>12</v>
      </c>
      <c r="K3123" s="1">
        <v>24</v>
      </c>
      <c r="L3123" s="42">
        <v>8</v>
      </c>
      <c r="M3123" s="43"/>
      <c r="N3123" s="1" t="e">
        <f>VLOOKUP(B3123,MICRO!E:L,8,0)</f>
        <v>#N/A</v>
      </c>
    </row>
    <row r="3124" spans="1:14" ht="20.25" x14ac:dyDescent="0.25">
      <c r="A3124" s="1">
        <v>9</v>
      </c>
      <c r="B3124" s="159">
        <v>2425</v>
      </c>
      <c r="C3124" s="1" t="s">
        <v>911</v>
      </c>
      <c r="D3124" s="1"/>
      <c r="E3124" s="1" t="s">
        <v>43</v>
      </c>
      <c r="F3124" s="1" t="s">
        <v>912</v>
      </c>
      <c r="G3124" s="1">
        <v>2</v>
      </c>
      <c r="H3124" s="1" t="s">
        <v>19</v>
      </c>
      <c r="I3124" s="1" t="s">
        <v>652</v>
      </c>
      <c r="J3124" s="1">
        <v>6.9</v>
      </c>
      <c r="K3124" s="1">
        <v>13.8</v>
      </c>
      <c r="L3124" s="42">
        <v>8</v>
      </c>
      <c r="M3124" s="43"/>
      <c r="N3124" s="1" t="e">
        <f>VLOOKUP(B3124,MICRO!E:L,8,0)</f>
        <v>#N/A</v>
      </c>
    </row>
    <row r="3125" spans="1:14" ht="20.25" x14ac:dyDescent="0.25">
      <c r="A3125" s="1">
        <v>10</v>
      </c>
      <c r="B3125" s="159">
        <v>2427</v>
      </c>
      <c r="C3125" s="1" t="s">
        <v>911</v>
      </c>
      <c r="D3125" s="1"/>
      <c r="E3125" s="1" t="s">
        <v>1101</v>
      </c>
      <c r="F3125" s="1" t="s">
        <v>1932</v>
      </c>
      <c r="G3125" s="1">
        <v>2</v>
      </c>
      <c r="H3125" s="1" t="s">
        <v>19</v>
      </c>
      <c r="I3125" s="1" t="s">
        <v>652</v>
      </c>
      <c r="J3125" s="1">
        <v>11</v>
      </c>
      <c r="K3125" s="1">
        <v>22</v>
      </c>
      <c r="L3125" s="42">
        <v>8</v>
      </c>
      <c r="M3125" s="43"/>
      <c r="N3125" s="1" t="e">
        <f>VLOOKUP(B3125,MICRO!E:L,8,0)</f>
        <v>#N/A</v>
      </c>
    </row>
    <row r="3126" spans="1:14" ht="20.25" x14ac:dyDescent="0.25">
      <c r="A3126" s="1">
        <v>11</v>
      </c>
      <c r="B3126" s="159">
        <v>2428</v>
      </c>
      <c r="C3126" s="1" t="s">
        <v>911</v>
      </c>
      <c r="D3126" s="1"/>
      <c r="E3126" s="1" t="s">
        <v>100</v>
      </c>
      <c r="F3126" s="1" t="s">
        <v>913</v>
      </c>
      <c r="G3126" s="1">
        <v>2</v>
      </c>
      <c r="H3126" s="1" t="s">
        <v>19</v>
      </c>
      <c r="I3126" s="1" t="s">
        <v>652</v>
      </c>
      <c r="J3126" s="1">
        <v>20.3</v>
      </c>
      <c r="K3126" s="1">
        <v>40.6</v>
      </c>
      <c r="L3126" s="42">
        <v>8</v>
      </c>
      <c r="M3126" s="43"/>
      <c r="N3126" s="1" t="e">
        <f>VLOOKUP(B3126,MICRO!E:L,8,0)</f>
        <v>#N/A</v>
      </c>
    </row>
    <row r="3127" spans="1:14" ht="20.25" x14ac:dyDescent="0.25">
      <c r="A3127" s="1">
        <v>12</v>
      </c>
      <c r="B3127" s="159">
        <v>2431</v>
      </c>
      <c r="C3127" s="1" t="s">
        <v>911</v>
      </c>
      <c r="D3127" s="1"/>
      <c r="E3127" s="1" t="s">
        <v>464</v>
      </c>
      <c r="F3127" s="1" t="s">
        <v>914</v>
      </c>
      <c r="G3127" s="1">
        <v>1</v>
      </c>
      <c r="H3127" s="1" t="s">
        <v>19</v>
      </c>
      <c r="I3127" s="1" t="s">
        <v>652</v>
      </c>
      <c r="J3127" s="1">
        <v>23.7</v>
      </c>
      <c r="K3127" s="1">
        <v>23.7</v>
      </c>
      <c r="L3127" s="42">
        <v>8</v>
      </c>
      <c r="M3127" s="43"/>
      <c r="N3127" s="1" t="e">
        <f>VLOOKUP(B3127,MICRO!E:L,8,0)</f>
        <v>#N/A</v>
      </c>
    </row>
    <row r="3128" spans="1:14" ht="20.25" x14ac:dyDescent="0.25">
      <c r="A3128" s="1">
        <v>13</v>
      </c>
      <c r="B3128" s="159">
        <v>2432</v>
      </c>
      <c r="C3128" s="1" t="s">
        <v>911</v>
      </c>
      <c r="D3128" s="1"/>
      <c r="E3128" s="1" t="s">
        <v>1102</v>
      </c>
      <c r="F3128" s="1" t="s">
        <v>915</v>
      </c>
      <c r="G3128" s="1">
        <v>1</v>
      </c>
      <c r="H3128" s="1" t="s">
        <v>19</v>
      </c>
      <c r="I3128" s="1" t="s">
        <v>652</v>
      </c>
      <c r="J3128" s="1">
        <v>28.9</v>
      </c>
      <c r="K3128" s="1">
        <v>28.9</v>
      </c>
      <c r="L3128" s="42">
        <v>8</v>
      </c>
      <c r="M3128" s="43"/>
      <c r="N3128" s="1" t="e">
        <f>VLOOKUP(B3128,MICRO!E:L,8,0)</f>
        <v>#N/A</v>
      </c>
    </row>
    <row r="3129" spans="1:14" ht="20.25" x14ac:dyDescent="0.25">
      <c r="A3129" s="1">
        <v>14</v>
      </c>
      <c r="B3129" s="159">
        <v>2529</v>
      </c>
      <c r="C3129" s="1" t="s">
        <v>986</v>
      </c>
      <c r="D3129" s="1"/>
      <c r="E3129" s="1" t="s">
        <v>1101</v>
      </c>
      <c r="F3129" s="1" t="s">
        <v>987</v>
      </c>
      <c r="G3129" s="1">
        <v>1</v>
      </c>
      <c r="H3129" s="1" t="s">
        <v>19</v>
      </c>
      <c r="I3129" s="1" t="s">
        <v>652</v>
      </c>
      <c r="J3129" s="1">
        <v>26.9</v>
      </c>
      <c r="K3129" s="1">
        <v>26.9</v>
      </c>
      <c r="L3129" s="42">
        <v>8</v>
      </c>
      <c r="M3129" s="43"/>
      <c r="N3129" s="1" t="e">
        <f>VLOOKUP(B3129,MICRO!E:L,8,0)</f>
        <v>#N/A</v>
      </c>
    </row>
    <row r="3130" spans="1:14" ht="20.25" x14ac:dyDescent="0.25">
      <c r="A3130" s="1">
        <v>15</v>
      </c>
      <c r="B3130" s="159">
        <v>2530</v>
      </c>
      <c r="C3130" s="1" t="s">
        <v>986</v>
      </c>
      <c r="D3130" s="1"/>
      <c r="E3130" s="1" t="s">
        <v>100</v>
      </c>
      <c r="F3130" s="1" t="s">
        <v>988</v>
      </c>
      <c r="G3130" s="1">
        <v>1</v>
      </c>
      <c r="H3130" s="1" t="s">
        <v>19</v>
      </c>
      <c r="I3130" s="1" t="s">
        <v>652</v>
      </c>
      <c r="J3130" s="1">
        <v>27.7</v>
      </c>
      <c r="K3130" s="1">
        <v>27.7</v>
      </c>
      <c r="L3130" s="42">
        <v>8</v>
      </c>
      <c r="M3130" s="43"/>
      <c r="N3130" s="1" t="e">
        <f>VLOOKUP(B3130,MICRO!E:L,8,0)</f>
        <v>#N/A</v>
      </c>
    </row>
    <row r="3131" spans="1:14" ht="20.25" x14ac:dyDescent="0.25">
      <c r="A3131" s="1">
        <v>16</v>
      </c>
      <c r="B3131" s="159">
        <v>2536</v>
      </c>
      <c r="C3131" s="1" t="s">
        <v>989</v>
      </c>
      <c r="D3131" s="1"/>
      <c r="E3131" s="1" t="s">
        <v>1101</v>
      </c>
      <c r="F3131" s="1" t="s">
        <v>990</v>
      </c>
      <c r="G3131" s="1">
        <v>2</v>
      </c>
      <c r="H3131" s="1" t="s">
        <v>19</v>
      </c>
      <c r="I3131" s="1" t="s">
        <v>652</v>
      </c>
      <c r="J3131" s="1">
        <v>24.4</v>
      </c>
      <c r="K3131" s="1">
        <v>48.8</v>
      </c>
      <c r="L3131" s="42">
        <v>8</v>
      </c>
      <c r="M3131" s="43"/>
      <c r="N3131" s="1" t="e">
        <f>VLOOKUP(B3131,MICRO!E:L,8,0)</f>
        <v>#N/A</v>
      </c>
    </row>
    <row r="3132" spans="1:14" ht="20.25" x14ac:dyDescent="0.25">
      <c r="A3132" s="1">
        <v>17</v>
      </c>
      <c r="B3132" s="159">
        <v>2537</v>
      </c>
      <c r="C3132" s="1" t="s">
        <v>989</v>
      </c>
      <c r="D3132" s="1"/>
      <c r="E3132" s="1" t="s">
        <v>100</v>
      </c>
      <c r="F3132" s="1" t="s">
        <v>991</v>
      </c>
      <c r="G3132" s="1">
        <v>1</v>
      </c>
      <c r="H3132" s="1" t="s">
        <v>19</v>
      </c>
      <c r="I3132" s="1" t="s">
        <v>652</v>
      </c>
      <c r="J3132" s="1">
        <v>15.3</v>
      </c>
      <c r="K3132" s="1">
        <v>15.3</v>
      </c>
      <c r="L3132" s="42">
        <v>8</v>
      </c>
      <c r="M3132" s="43"/>
      <c r="N3132" s="1" t="e">
        <f>VLOOKUP(B3132,MICRO!E:L,8,0)</f>
        <v>#N/A</v>
      </c>
    </row>
    <row r="3133" spans="1:14" ht="20.25" x14ac:dyDescent="0.25">
      <c r="A3133" s="1">
        <v>18</v>
      </c>
      <c r="B3133" s="159">
        <v>2538</v>
      </c>
      <c r="C3133" s="1" t="s">
        <v>989</v>
      </c>
      <c r="D3133" s="1"/>
      <c r="E3133" s="1" t="s">
        <v>173</v>
      </c>
      <c r="F3133" s="1" t="s">
        <v>992</v>
      </c>
      <c r="G3133" s="1">
        <v>1</v>
      </c>
      <c r="H3133" s="1" t="s">
        <v>19</v>
      </c>
      <c r="I3133" s="1" t="s">
        <v>652</v>
      </c>
      <c r="J3133" s="1">
        <v>22.8</v>
      </c>
      <c r="K3133" s="1">
        <v>22.8</v>
      </c>
      <c r="L3133" s="42">
        <v>8</v>
      </c>
      <c r="M3133" s="43"/>
      <c r="N3133" s="1" t="e">
        <f>VLOOKUP(B3133,MICRO!E:L,8,0)</f>
        <v>#N/A</v>
      </c>
    </row>
    <row r="3134" spans="1:14" ht="20.25" x14ac:dyDescent="0.25">
      <c r="A3134" s="1">
        <v>19</v>
      </c>
      <c r="B3134" s="159">
        <v>2543</v>
      </c>
      <c r="C3134" s="1" t="s">
        <v>993</v>
      </c>
      <c r="D3134" s="1"/>
      <c r="E3134" s="1" t="s">
        <v>1101</v>
      </c>
      <c r="F3134" s="1" t="s">
        <v>994</v>
      </c>
      <c r="G3134" s="1">
        <v>1</v>
      </c>
      <c r="H3134" s="1" t="s">
        <v>19</v>
      </c>
      <c r="I3134" s="1" t="s">
        <v>652</v>
      </c>
      <c r="J3134" s="1">
        <v>16.3</v>
      </c>
      <c r="K3134" s="1">
        <v>16.3</v>
      </c>
      <c r="L3134" s="42">
        <v>8</v>
      </c>
      <c r="M3134" s="43"/>
      <c r="N3134" s="1" t="e">
        <f>VLOOKUP(B3134,MICRO!E:L,8,0)</f>
        <v>#N/A</v>
      </c>
    </row>
    <row r="3135" spans="1:14" ht="20.25" x14ac:dyDescent="0.25">
      <c r="A3135" s="1">
        <v>20</v>
      </c>
      <c r="B3135" s="159">
        <v>2734</v>
      </c>
      <c r="C3135" s="1" t="s">
        <v>1090</v>
      </c>
      <c r="D3135" s="1"/>
      <c r="E3135" s="1" t="s">
        <v>746</v>
      </c>
      <c r="F3135" s="1" t="s">
        <v>1091</v>
      </c>
      <c r="G3135" s="1">
        <v>1</v>
      </c>
      <c r="H3135" s="1" t="s">
        <v>19</v>
      </c>
      <c r="I3135" s="1" t="s">
        <v>652</v>
      </c>
      <c r="J3135" s="1">
        <v>7.5</v>
      </c>
      <c r="K3135" s="1">
        <v>7.5</v>
      </c>
      <c r="L3135" s="42">
        <v>8</v>
      </c>
      <c r="M3135" s="43"/>
      <c r="N3135" s="1" t="e">
        <f>VLOOKUP(B3135,MICRO!E:L,8,0)</f>
        <v>#N/A</v>
      </c>
    </row>
    <row r="3136" spans="1:14" ht="20.25" x14ac:dyDescent="0.25">
      <c r="A3136" s="1">
        <v>21</v>
      </c>
      <c r="B3136" s="159">
        <v>2735</v>
      </c>
      <c r="C3136" s="1" t="s">
        <v>1090</v>
      </c>
      <c r="D3136" s="1"/>
      <c r="E3136" s="1" t="s">
        <v>1101</v>
      </c>
      <c r="F3136" s="1" t="s">
        <v>1092</v>
      </c>
      <c r="G3136" s="1">
        <v>2</v>
      </c>
      <c r="H3136" s="1" t="s">
        <v>19</v>
      </c>
      <c r="I3136" s="1" t="s">
        <v>652</v>
      </c>
      <c r="J3136" s="1">
        <v>24.4</v>
      </c>
      <c r="K3136" s="1">
        <v>48.8</v>
      </c>
      <c r="L3136" s="42">
        <v>8</v>
      </c>
      <c r="M3136" s="43"/>
      <c r="N3136" s="1" t="e">
        <f>VLOOKUP(B3136,MICRO!E:L,8,0)</f>
        <v>#N/A</v>
      </c>
    </row>
    <row r="3137" spans="1:14" ht="20.25" x14ac:dyDescent="0.25">
      <c r="A3137" s="1">
        <v>22</v>
      </c>
      <c r="B3137" s="159">
        <v>2736</v>
      </c>
      <c r="C3137" s="1" t="s">
        <v>1090</v>
      </c>
      <c r="D3137" s="1"/>
      <c r="E3137" s="1" t="s">
        <v>100</v>
      </c>
      <c r="F3137" s="1" t="s">
        <v>1093</v>
      </c>
      <c r="G3137" s="1">
        <v>1</v>
      </c>
      <c r="H3137" s="1" t="s">
        <v>19</v>
      </c>
      <c r="I3137" s="1" t="s">
        <v>652</v>
      </c>
      <c r="J3137" s="1">
        <v>12.7</v>
      </c>
      <c r="K3137" s="1">
        <v>12.7</v>
      </c>
      <c r="L3137" s="42">
        <v>8</v>
      </c>
      <c r="M3137" s="43"/>
      <c r="N3137" s="1" t="e">
        <f>VLOOKUP(B3137,MICRO!E:L,8,0)</f>
        <v>#N/A</v>
      </c>
    </row>
    <row r="3138" spans="1:14" ht="20.25" x14ac:dyDescent="0.25">
      <c r="A3138" s="1">
        <v>23</v>
      </c>
      <c r="B3138" s="159">
        <v>2737</v>
      </c>
      <c r="C3138" s="1" t="s">
        <v>1090</v>
      </c>
      <c r="D3138" s="1"/>
      <c r="E3138" s="1" t="s">
        <v>173</v>
      </c>
      <c r="F3138" s="1" t="s">
        <v>1094</v>
      </c>
      <c r="G3138" s="1">
        <v>1</v>
      </c>
      <c r="H3138" s="1" t="s">
        <v>19</v>
      </c>
      <c r="I3138" s="1" t="s">
        <v>652</v>
      </c>
      <c r="J3138" s="1">
        <v>7</v>
      </c>
      <c r="K3138" s="1">
        <v>7</v>
      </c>
      <c r="L3138" s="42">
        <v>8</v>
      </c>
      <c r="M3138" s="43"/>
      <c r="N3138" s="1" t="e">
        <f>VLOOKUP(B3138,MICRO!E:L,8,0)</f>
        <v>#N/A</v>
      </c>
    </row>
    <row r="3139" spans="1:14" ht="20.25" x14ac:dyDescent="0.25">
      <c r="A3139" s="1">
        <v>24</v>
      </c>
      <c r="B3139" s="159"/>
      <c r="C3139" s="1" t="s">
        <v>1140</v>
      </c>
      <c r="D3139" s="1"/>
      <c r="E3139" s="1" t="s">
        <v>2</v>
      </c>
      <c r="F3139" s="1" t="s">
        <v>1141</v>
      </c>
      <c r="G3139" s="1">
        <v>2</v>
      </c>
      <c r="H3139" s="1" t="s">
        <v>19</v>
      </c>
      <c r="I3139" s="1" t="s">
        <v>652</v>
      </c>
      <c r="J3139" s="1">
        <v>2.9</v>
      </c>
      <c r="K3139" s="1">
        <v>5.8</v>
      </c>
      <c r="L3139" s="42">
        <v>8</v>
      </c>
      <c r="M3139" s="43"/>
      <c r="N3139" s="1" t="e">
        <f>VLOOKUP(B3139,MICRO!E:L,8,0)</f>
        <v>#N/A</v>
      </c>
    </row>
    <row r="3140" spans="1:14" ht="20.25" x14ac:dyDescent="0.25">
      <c r="A3140" s="1">
        <v>25</v>
      </c>
      <c r="B3140" s="159"/>
      <c r="C3140" s="1" t="s">
        <v>1140</v>
      </c>
      <c r="D3140" s="1"/>
      <c r="E3140" s="1" t="s">
        <v>43</v>
      </c>
      <c r="F3140" s="1" t="s">
        <v>1142</v>
      </c>
      <c r="G3140" s="1">
        <v>1</v>
      </c>
      <c r="H3140" s="1" t="s">
        <v>19</v>
      </c>
      <c r="I3140" s="1" t="s">
        <v>652</v>
      </c>
      <c r="J3140" s="1">
        <v>12.2</v>
      </c>
      <c r="K3140" s="1">
        <v>12.2</v>
      </c>
      <c r="L3140" s="42">
        <v>8</v>
      </c>
      <c r="M3140" s="43"/>
      <c r="N3140" s="1" t="e">
        <f>VLOOKUP(B3140,MICRO!E:L,8,0)</f>
        <v>#N/A</v>
      </c>
    </row>
    <row r="3141" spans="1:14" ht="20.25" x14ac:dyDescent="0.25">
      <c r="A3141" s="1">
        <v>26</v>
      </c>
      <c r="B3141" s="159"/>
      <c r="C3141" s="1" t="s">
        <v>1140</v>
      </c>
      <c r="D3141" s="1"/>
      <c r="E3141" s="1" t="s">
        <v>1933</v>
      </c>
      <c r="F3141" s="1" t="s">
        <v>1934</v>
      </c>
      <c r="G3141" s="1">
        <v>2</v>
      </c>
      <c r="H3141" s="1" t="s">
        <v>19</v>
      </c>
      <c r="I3141" s="1" t="s">
        <v>652</v>
      </c>
      <c r="J3141" s="1">
        <v>1</v>
      </c>
      <c r="K3141" s="1">
        <v>2</v>
      </c>
      <c r="L3141" s="42">
        <v>8</v>
      </c>
      <c r="M3141" s="43"/>
      <c r="N3141" s="1" t="e">
        <f>VLOOKUP(B3141,MICRO!E:L,8,0)</f>
        <v>#N/A</v>
      </c>
    </row>
    <row r="3142" spans="1:14" ht="20.25" x14ac:dyDescent="0.25">
      <c r="A3142" s="1">
        <v>27</v>
      </c>
      <c r="B3142" s="159"/>
      <c r="C3142" s="1" t="s">
        <v>1140</v>
      </c>
      <c r="D3142" s="1"/>
      <c r="E3142" s="1" t="s">
        <v>1837</v>
      </c>
      <c r="F3142" s="1" t="s">
        <v>1935</v>
      </c>
      <c r="G3142" s="1">
        <v>1</v>
      </c>
      <c r="H3142" s="1" t="s">
        <v>19</v>
      </c>
      <c r="I3142" s="1" t="s">
        <v>652</v>
      </c>
      <c r="J3142" s="1">
        <v>7.1</v>
      </c>
      <c r="K3142" s="1">
        <v>7.1</v>
      </c>
      <c r="L3142" s="42">
        <v>8</v>
      </c>
      <c r="M3142" s="43"/>
      <c r="N3142" s="1" t="e">
        <f>VLOOKUP(B3142,MICRO!E:L,8,0)</f>
        <v>#N/A</v>
      </c>
    </row>
    <row r="3143" spans="1:14" ht="20.25" x14ac:dyDescent="0.25">
      <c r="A3143" s="1">
        <v>28</v>
      </c>
      <c r="B3143" s="159"/>
      <c r="C3143" s="1" t="s">
        <v>1140</v>
      </c>
      <c r="D3143" s="1"/>
      <c r="E3143" s="1" t="s">
        <v>1101</v>
      </c>
      <c r="F3143" s="1" t="s">
        <v>1143</v>
      </c>
      <c r="G3143" s="1">
        <v>1</v>
      </c>
      <c r="H3143" s="1" t="s">
        <v>19</v>
      </c>
      <c r="I3143" s="1" t="s">
        <v>652</v>
      </c>
      <c r="J3143" s="1">
        <v>10.7</v>
      </c>
      <c r="K3143" s="1">
        <v>10.7</v>
      </c>
      <c r="L3143" s="42">
        <v>8</v>
      </c>
      <c r="M3143" s="43"/>
      <c r="N3143" s="1" t="e">
        <f>VLOOKUP(B3143,MICRO!E:L,8,0)</f>
        <v>#N/A</v>
      </c>
    </row>
    <row r="3144" spans="1:14" ht="20.25" x14ac:dyDescent="0.25">
      <c r="A3144" s="1">
        <v>29</v>
      </c>
      <c r="B3144" s="159"/>
      <c r="C3144" s="1" t="s">
        <v>1144</v>
      </c>
      <c r="D3144" s="1"/>
      <c r="E3144" s="1" t="s">
        <v>2</v>
      </c>
      <c r="F3144" s="1" t="s">
        <v>1145</v>
      </c>
      <c r="G3144" s="1">
        <v>2</v>
      </c>
      <c r="H3144" s="1" t="s">
        <v>19</v>
      </c>
      <c r="I3144" s="1" t="s">
        <v>652</v>
      </c>
      <c r="J3144" s="1">
        <v>2.6</v>
      </c>
      <c r="K3144" s="1">
        <v>5.2</v>
      </c>
      <c r="L3144" s="42">
        <v>8</v>
      </c>
      <c r="M3144" s="43"/>
      <c r="N3144" s="1" t="e">
        <f>VLOOKUP(B3144,MICRO!E:L,8,0)</f>
        <v>#N/A</v>
      </c>
    </row>
    <row r="3145" spans="1:14" ht="20.25" x14ac:dyDescent="0.25">
      <c r="A3145" s="1">
        <v>30</v>
      </c>
      <c r="B3145" s="159"/>
      <c r="C3145" s="1" t="s">
        <v>1144</v>
      </c>
      <c r="D3145" s="1"/>
      <c r="E3145" s="1" t="s">
        <v>43</v>
      </c>
      <c r="F3145" s="1" t="s">
        <v>1146</v>
      </c>
      <c r="G3145" s="1">
        <v>1</v>
      </c>
      <c r="H3145" s="1" t="s">
        <v>19</v>
      </c>
      <c r="I3145" s="1" t="s">
        <v>652</v>
      </c>
      <c r="J3145" s="1">
        <v>11.8</v>
      </c>
      <c r="K3145" s="1">
        <v>11.8</v>
      </c>
      <c r="L3145" s="42">
        <v>8</v>
      </c>
      <c r="M3145" s="43"/>
      <c r="N3145" s="1" t="e">
        <f>VLOOKUP(B3145,MICRO!E:L,8,0)</f>
        <v>#N/A</v>
      </c>
    </row>
    <row r="3146" spans="1:14" ht="20.25" x14ac:dyDescent="0.25">
      <c r="A3146" s="1">
        <v>31</v>
      </c>
      <c r="B3146" s="159"/>
      <c r="C3146" s="1" t="s">
        <v>1144</v>
      </c>
      <c r="D3146" s="1"/>
      <c r="E3146" s="1" t="s">
        <v>1936</v>
      </c>
      <c r="F3146" s="1" t="s">
        <v>1937</v>
      </c>
      <c r="G3146" s="1">
        <v>2</v>
      </c>
      <c r="H3146" s="1" t="s">
        <v>19</v>
      </c>
      <c r="I3146" s="1" t="s">
        <v>652</v>
      </c>
      <c r="J3146" s="1">
        <v>1</v>
      </c>
      <c r="K3146" s="1">
        <v>2</v>
      </c>
      <c r="L3146" s="42">
        <v>8</v>
      </c>
      <c r="M3146" s="43"/>
      <c r="N3146" s="1" t="e">
        <f>VLOOKUP(B3146,MICRO!E:L,8,0)</f>
        <v>#N/A</v>
      </c>
    </row>
    <row r="3147" spans="1:14" ht="20.25" x14ac:dyDescent="0.25">
      <c r="A3147" s="1">
        <v>32</v>
      </c>
      <c r="B3147" s="159"/>
      <c r="C3147" s="1" t="s">
        <v>1144</v>
      </c>
      <c r="D3147" s="1"/>
      <c r="E3147" s="1" t="s">
        <v>1101</v>
      </c>
      <c r="F3147" s="1" t="s">
        <v>1147</v>
      </c>
      <c r="G3147" s="1">
        <v>1</v>
      </c>
      <c r="H3147" s="1" t="s">
        <v>19</v>
      </c>
      <c r="I3147" s="1" t="s">
        <v>652</v>
      </c>
      <c r="J3147" s="1">
        <v>6.4</v>
      </c>
      <c r="K3147" s="1">
        <v>6.4</v>
      </c>
      <c r="L3147" s="42">
        <v>8</v>
      </c>
      <c r="M3147" s="43"/>
      <c r="N3147" s="1" t="e">
        <f>VLOOKUP(B3147,MICRO!E:L,8,0)</f>
        <v>#N/A</v>
      </c>
    </row>
    <row r="3148" spans="1:14" ht="20.25" x14ac:dyDescent="0.25">
      <c r="A3148" s="1">
        <v>33</v>
      </c>
      <c r="B3148" s="159"/>
      <c r="C3148" s="1" t="s">
        <v>1128</v>
      </c>
      <c r="D3148" s="1"/>
      <c r="E3148" s="1" t="s">
        <v>2</v>
      </c>
      <c r="F3148" s="1" t="s">
        <v>1129</v>
      </c>
      <c r="G3148" s="1">
        <v>6</v>
      </c>
      <c r="H3148" s="1" t="s">
        <v>19</v>
      </c>
      <c r="I3148" s="1" t="s">
        <v>652</v>
      </c>
      <c r="J3148" s="1">
        <v>8.9</v>
      </c>
      <c r="K3148" s="1">
        <v>53.400000000000006</v>
      </c>
      <c r="L3148" s="42">
        <v>8</v>
      </c>
      <c r="M3148" s="43"/>
      <c r="N3148" s="1" t="e">
        <f>VLOOKUP(B3148,MICRO!E:L,8,0)</f>
        <v>#N/A</v>
      </c>
    </row>
    <row r="3149" spans="1:14" ht="20.25" x14ac:dyDescent="0.25">
      <c r="A3149" s="1">
        <v>34</v>
      </c>
      <c r="B3149" s="159"/>
      <c r="C3149" s="1" t="s">
        <v>1128</v>
      </c>
      <c r="D3149" s="1"/>
      <c r="E3149" s="1" t="s">
        <v>43</v>
      </c>
      <c r="F3149" s="1" t="s">
        <v>1130</v>
      </c>
      <c r="G3149" s="1">
        <v>2</v>
      </c>
      <c r="H3149" s="1" t="s">
        <v>19</v>
      </c>
      <c r="I3149" s="1" t="s">
        <v>652</v>
      </c>
      <c r="J3149" s="1">
        <v>11.8</v>
      </c>
      <c r="K3149" s="1">
        <v>23.6</v>
      </c>
      <c r="L3149" s="42">
        <v>8</v>
      </c>
      <c r="M3149" s="43"/>
      <c r="N3149" s="1" t="e">
        <f>VLOOKUP(B3149,MICRO!E:L,8,0)</f>
        <v>#N/A</v>
      </c>
    </row>
    <row r="3150" spans="1:14" ht="20.25" x14ac:dyDescent="0.25">
      <c r="A3150" s="1">
        <v>35</v>
      </c>
      <c r="B3150" s="159"/>
      <c r="C3150" s="1"/>
      <c r="D3150" s="1"/>
      <c r="E3150" s="1"/>
      <c r="F3150" s="1" t="s">
        <v>1938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2">
        <v>8</v>
      </c>
      <c r="M3150" s="43"/>
      <c r="N3150" s="1" t="e">
        <f>VLOOKUP(B3150,MICRO!E:L,8,0)</f>
        <v>#N/A</v>
      </c>
    </row>
    <row r="3151" spans="1:14" ht="20.25" x14ac:dyDescent="0.25">
      <c r="A3151" s="1">
        <v>36</v>
      </c>
      <c r="B3151" s="159"/>
      <c r="C3151" s="1"/>
      <c r="D3151" s="1"/>
      <c r="E3151" s="1"/>
      <c r="F3151" s="1" t="s">
        <v>1939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2">
        <v>8</v>
      </c>
      <c r="M3151" s="43"/>
      <c r="N3151" s="1" t="e">
        <f>VLOOKUP(B3151,MICRO!E:L,8,0)</f>
        <v>#N/A</v>
      </c>
    </row>
    <row r="3152" spans="1:14" ht="20.25" x14ac:dyDescent="0.25">
      <c r="A3152" s="1">
        <v>37</v>
      </c>
      <c r="B3152" s="159"/>
      <c r="C3152" s="1"/>
      <c r="D3152" s="1"/>
      <c r="E3152" s="1"/>
      <c r="F3152" s="1" t="s">
        <v>1940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2">
        <v>8</v>
      </c>
      <c r="M3152" s="43"/>
      <c r="N3152" s="1" t="e">
        <f>VLOOKUP(B3152,MICRO!E:L,8,0)</f>
        <v>#N/A</v>
      </c>
    </row>
    <row r="3153" spans="1:14" ht="20.25" x14ac:dyDescent="0.25">
      <c r="A3153" s="1">
        <v>38</v>
      </c>
      <c r="B3153" s="159"/>
      <c r="C3153" s="1"/>
      <c r="D3153" s="1"/>
      <c r="E3153" s="1"/>
      <c r="F3153" s="1" t="s">
        <v>1941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2">
        <v>8</v>
      </c>
      <c r="M3153" s="43"/>
      <c r="N3153" s="1" t="e">
        <f>VLOOKUP(B3153,MICRO!E:L,8,0)</f>
        <v>#N/A</v>
      </c>
    </row>
    <row r="3154" spans="1:14" ht="20.25" x14ac:dyDescent="0.25">
      <c r="A3154" s="1">
        <v>39</v>
      </c>
      <c r="B3154" s="159"/>
      <c r="C3154" s="1"/>
      <c r="D3154" s="1"/>
      <c r="E3154" s="1"/>
      <c r="F3154" s="1" t="s">
        <v>1942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2">
        <v>8</v>
      </c>
      <c r="M3154" s="43"/>
      <c r="N3154" s="1" t="e">
        <f>VLOOKUP(B3154,MICRO!E:L,8,0)</f>
        <v>#N/A</v>
      </c>
    </row>
    <row r="3155" spans="1:14" ht="20.25" x14ac:dyDescent="0.25">
      <c r="A3155" s="1">
        <v>40</v>
      </c>
      <c r="B3155" s="159"/>
      <c r="C3155" s="1"/>
      <c r="D3155" s="1"/>
      <c r="E3155" s="1"/>
      <c r="F3155" s="1" t="s">
        <v>1943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2">
        <v>8</v>
      </c>
      <c r="M3155" s="43"/>
      <c r="N3155" s="1" t="e">
        <f>VLOOKUP(B3155,MICRO!E:L,8,0)</f>
        <v>#N/A</v>
      </c>
    </row>
    <row r="3156" spans="1:14" ht="20.25" x14ac:dyDescent="0.25">
      <c r="A3156" s="1">
        <v>41</v>
      </c>
      <c r="B3156" s="159"/>
      <c r="C3156" s="1"/>
      <c r="D3156" s="1"/>
      <c r="E3156" s="1"/>
      <c r="F3156" s="1" t="s">
        <v>1944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2">
        <v>8</v>
      </c>
      <c r="M3156" s="43"/>
      <c r="N3156" s="1" t="e">
        <f>VLOOKUP(B3156,MICRO!E:L,8,0)</f>
        <v>#N/A</v>
      </c>
    </row>
    <row r="3157" spans="1:14" ht="20.25" x14ac:dyDescent="0.25">
      <c r="A3157" s="1">
        <v>42</v>
      </c>
      <c r="B3157" s="159"/>
      <c r="C3157" s="1"/>
      <c r="D3157" s="1"/>
      <c r="E3157" s="1"/>
      <c r="F3157" s="1" t="s">
        <v>1945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2">
        <v>8</v>
      </c>
      <c r="M3157" s="43"/>
      <c r="N3157" s="1" t="e">
        <f>VLOOKUP(B3157,MICRO!E:L,8,0)</f>
        <v>#N/A</v>
      </c>
    </row>
    <row r="3158" spans="1:14" ht="20.25" x14ac:dyDescent="0.25">
      <c r="A3158" s="1">
        <v>43</v>
      </c>
      <c r="B3158" s="159"/>
      <c r="C3158" s="1"/>
      <c r="D3158" s="1"/>
      <c r="E3158" s="1"/>
      <c r="F3158" s="1" t="s">
        <v>1946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2">
        <v>8</v>
      </c>
      <c r="M3158" s="43"/>
      <c r="N3158" s="1" t="e">
        <f>VLOOKUP(B3158,MICRO!E:L,8,0)</f>
        <v>#N/A</v>
      </c>
    </row>
    <row r="3159" spans="1:14" ht="20.25" x14ac:dyDescent="0.25">
      <c r="A3159" s="1">
        <v>44</v>
      </c>
      <c r="B3159" s="159"/>
      <c r="C3159" s="1"/>
      <c r="D3159" s="1"/>
      <c r="E3159" s="1"/>
      <c r="F3159" s="1" t="s">
        <v>1947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2">
        <v>8</v>
      </c>
      <c r="M3159" s="43"/>
      <c r="N3159" s="1" t="e">
        <f>VLOOKUP(B3159,MICRO!E:L,8,0)</f>
        <v>#N/A</v>
      </c>
    </row>
    <row r="3160" spans="1:14" ht="20.25" x14ac:dyDescent="0.25">
      <c r="A3160" s="1">
        <v>45</v>
      </c>
      <c r="B3160" s="159"/>
      <c r="C3160" s="1" t="s">
        <v>1389</v>
      </c>
      <c r="D3160" s="1"/>
      <c r="E3160" s="1"/>
      <c r="F3160" s="1" t="s">
        <v>1390</v>
      </c>
      <c r="G3160" s="1">
        <v>1</v>
      </c>
      <c r="H3160" s="1" t="s">
        <v>19</v>
      </c>
      <c r="I3160" s="1" t="s">
        <v>652</v>
      </c>
      <c r="J3160" s="1">
        <v>12.5</v>
      </c>
      <c r="K3160" s="1">
        <v>12.5</v>
      </c>
      <c r="L3160" s="42">
        <v>8</v>
      </c>
      <c r="M3160" s="43"/>
      <c r="N3160" s="1" t="e">
        <f>VLOOKUP(B3160,MICRO!E:L,8,0)</f>
        <v>#N/A</v>
      </c>
    </row>
    <row r="3161" spans="1:14" ht="20.25" x14ac:dyDescent="0.25">
      <c r="A3161" s="1">
        <v>46</v>
      </c>
      <c r="B3161" s="159"/>
      <c r="C3161" s="1"/>
      <c r="D3161" s="1"/>
      <c r="E3161" s="1"/>
      <c r="F3161" s="1" t="s">
        <v>1948</v>
      </c>
      <c r="G3161" s="1">
        <v>57</v>
      </c>
      <c r="H3161" s="1" t="s">
        <v>1253</v>
      </c>
      <c r="I3161" s="1"/>
      <c r="J3161" s="1">
        <v>0.02</v>
      </c>
      <c r="K3161" s="1">
        <v>1.1400000000000001</v>
      </c>
      <c r="L3161" s="42">
        <v>8</v>
      </c>
      <c r="M3161" s="43"/>
      <c r="N3161" s="1" t="e">
        <f>VLOOKUP(B3161,MICRO!E:L,8,0)</f>
        <v>#N/A</v>
      </c>
    </row>
    <row r="3162" spans="1:14" ht="20.25" x14ac:dyDescent="0.25">
      <c r="A3162" s="1">
        <v>47</v>
      </c>
      <c r="B3162" s="159"/>
      <c r="C3162" s="1"/>
      <c r="D3162" s="1"/>
      <c r="E3162" s="1"/>
      <c r="F3162" s="1" t="s">
        <v>1949</v>
      </c>
      <c r="G3162" s="1">
        <v>190</v>
      </c>
      <c r="H3162" s="1" t="s">
        <v>1253</v>
      </c>
      <c r="I3162" s="1"/>
      <c r="J3162" s="1">
        <v>0.04</v>
      </c>
      <c r="K3162" s="1">
        <v>7.6000000000000005</v>
      </c>
      <c r="L3162" s="42">
        <v>8</v>
      </c>
      <c r="M3162" s="43"/>
      <c r="N3162" s="1" t="e">
        <f>VLOOKUP(B3162,MICRO!E:L,8,0)</f>
        <v>#N/A</v>
      </c>
    </row>
    <row r="3163" spans="1:14" ht="20.25" x14ac:dyDescent="0.25">
      <c r="A3163" s="1">
        <v>48</v>
      </c>
      <c r="B3163" s="159"/>
      <c r="C3163" s="1"/>
      <c r="D3163" s="1"/>
      <c r="E3163" s="1"/>
      <c r="F3163" s="1" t="s">
        <v>1950</v>
      </c>
      <c r="G3163" s="1">
        <v>6</v>
      </c>
      <c r="H3163" s="1" t="s">
        <v>1253</v>
      </c>
      <c r="I3163" s="1"/>
      <c r="J3163" s="1">
        <v>0.05</v>
      </c>
      <c r="K3163" s="1">
        <v>0.30000000000000004</v>
      </c>
      <c r="L3163" s="42">
        <v>8</v>
      </c>
      <c r="M3163" s="43"/>
      <c r="N3163" s="1" t="e">
        <f>VLOOKUP(B3163,MICRO!E:L,8,0)</f>
        <v>#N/A</v>
      </c>
    </row>
    <row r="3164" spans="1:14" ht="20.25" x14ac:dyDescent="0.25">
      <c r="A3164" s="1">
        <v>49</v>
      </c>
      <c r="B3164" s="159"/>
      <c r="C3164" s="1"/>
      <c r="D3164" s="1"/>
      <c r="E3164" s="1"/>
      <c r="F3164" s="1" t="s">
        <v>1951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2">
        <v>8</v>
      </c>
      <c r="M3164" s="43"/>
      <c r="N3164" s="1" t="e">
        <f>VLOOKUP(B3164,MICRO!E:L,8,0)</f>
        <v>#N/A</v>
      </c>
    </row>
    <row r="3165" spans="1:14" ht="20.25" x14ac:dyDescent="0.25">
      <c r="A3165" s="1">
        <v>50</v>
      </c>
      <c r="B3165" s="159"/>
      <c r="C3165" s="1"/>
      <c r="D3165" s="1"/>
      <c r="E3165" s="1"/>
      <c r="F3165" s="1" t="s">
        <v>1952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2">
        <v>8</v>
      </c>
      <c r="M3165" s="43"/>
      <c r="N3165" s="1" t="e">
        <f>VLOOKUP(B3165,MICRO!E:L,8,0)</f>
        <v>#N/A</v>
      </c>
    </row>
    <row r="3166" spans="1:14" ht="20.25" x14ac:dyDescent="0.25">
      <c r="A3166" s="1">
        <v>51</v>
      </c>
      <c r="B3166" s="159"/>
      <c r="C3166" s="1"/>
      <c r="D3166" s="1"/>
      <c r="E3166" s="1"/>
      <c r="F3166" s="1" t="s">
        <v>1953</v>
      </c>
      <c r="G3166" s="1">
        <v>10</v>
      </c>
      <c r="H3166" s="1" t="s">
        <v>1253</v>
      </c>
      <c r="I3166" s="1"/>
      <c r="J3166" s="1">
        <v>0.02</v>
      </c>
      <c r="K3166" s="1">
        <v>0.2</v>
      </c>
      <c r="L3166" s="42">
        <v>8</v>
      </c>
      <c r="M3166" s="43"/>
      <c r="N3166" s="1" t="e">
        <f>VLOOKUP(B3166,MICRO!E:L,8,0)</f>
        <v>#N/A</v>
      </c>
    </row>
    <row r="3167" spans="1:14" ht="20.25" x14ac:dyDescent="0.25">
      <c r="A3167" s="1">
        <v>52</v>
      </c>
      <c r="B3167" s="159"/>
      <c r="C3167" s="1"/>
      <c r="D3167" s="1"/>
      <c r="E3167" s="1"/>
      <c r="F3167" s="1" t="s">
        <v>1954</v>
      </c>
      <c r="G3167" s="1">
        <v>5</v>
      </c>
      <c r="H3167" s="1" t="s">
        <v>1253</v>
      </c>
      <c r="I3167" s="1"/>
      <c r="J3167" s="1">
        <v>0.06</v>
      </c>
      <c r="K3167" s="1">
        <v>0.3</v>
      </c>
      <c r="L3167" s="42">
        <v>8</v>
      </c>
      <c r="M3167" s="43"/>
      <c r="N3167" s="1" t="e">
        <f>VLOOKUP(B3167,MICRO!E:L,8,0)</f>
        <v>#N/A</v>
      </c>
    </row>
    <row r="3168" spans="1:14" ht="20.25" x14ac:dyDescent="0.25">
      <c r="A3168" s="1">
        <v>53</v>
      </c>
      <c r="B3168" s="159"/>
      <c r="C3168" s="1"/>
      <c r="D3168" s="1"/>
      <c r="E3168" s="1"/>
      <c r="F3168" s="1" t="s">
        <v>1955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2">
        <v>8</v>
      </c>
      <c r="M3168" s="43"/>
      <c r="N3168" s="1" t="e">
        <f>VLOOKUP(B3168,MICRO!E:L,8,0)</f>
        <v>#N/A</v>
      </c>
    </row>
    <row r="3169" spans="1:14" ht="20.25" x14ac:dyDescent="0.25">
      <c r="A3169" s="1">
        <v>54</v>
      </c>
      <c r="B3169" s="159"/>
      <c r="C3169" s="1"/>
      <c r="D3169" s="1"/>
      <c r="E3169" s="1"/>
      <c r="F3169" s="1" t="s">
        <v>1956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2">
        <v>8</v>
      </c>
      <c r="M3169" s="43"/>
      <c r="N3169" s="1" t="e">
        <f>VLOOKUP(B3169,MICRO!E:L,8,0)</f>
        <v>#N/A</v>
      </c>
    </row>
    <row r="3170" spans="1:14" ht="20.25" x14ac:dyDescent="0.25">
      <c r="A3170" s="1">
        <v>55</v>
      </c>
      <c r="B3170" s="159"/>
      <c r="C3170" s="1"/>
      <c r="D3170" s="1"/>
      <c r="E3170" s="1"/>
      <c r="F3170" s="1" t="s">
        <v>1957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2">
        <v>8</v>
      </c>
      <c r="M3170" s="43"/>
      <c r="N3170" s="1" t="e">
        <f>VLOOKUP(B3170,MICRO!E:L,8,0)</f>
        <v>#N/A</v>
      </c>
    </row>
    <row r="3171" spans="1:14" ht="20.25" x14ac:dyDescent="0.25">
      <c r="A3171" s="1">
        <v>56</v>
      </c>
      <c r="B3171" s="159"/>
      <c r="C3171" s="1"/>
      <c r="D3171" s="1"/>
      <c r="E3171" s="1"/>
      <c r="F3171" s="1" t="s">
        <v>1958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2">
        <v>8</v>
      </c>
      <c r="M3171" s="43"/>
      <c r="N3171" s="1" t="e">
        <f>VLOOKUP(B3171,MICRO!E:L,8,0)</f>
        <v>#N/A</v>
      </c>
    </row>
    <row r="3172" spans="1:14" ht="20.25" x14ac:dyDescent="0.25">
      <c r="A3172" s="1">
        <v>57</v>
      </c>
      <c r="B3172" s="159"/>
      <c r="C3172" s="1"/>
      <c r="D3172" s="1"/>
      <c r="E3172" s="1"/>
      <c r="F3172" s="1" t="s">
        <v>1959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2">
        <v>8</v>
      </c>
      <c r="M3172" s="43"/>
      <c r="N3172" s="1" t="e">
        <f>VLOOKUP(B3172,MICRO!E:L,8,0)</f>
        <v>#N/A</v>
      </c>
    </row>
    <row r="3173" spans="1:14" ht="20.25" x14ac:dyDescent="0.25">
      <c r="A3173" s="1">
        <v>58</v>
      </c>
      <c r="B3173" s="159"/>
      <c r="C3173" s="1"/>
      <c r="D3173" s="1"/>
      <c r="E3173" s="1"/>
      <c r="F3173" s="1" t="s">
        <v>1960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2">
        <v>8</v>
      </c>
      <c r="M3173" s="43"/>
      <c r="N3173" s="1" t="e">
        <f>VLOOKUP(B3173,MICRO!E:L,8,0)</f>
        <v>#N/A</v>
      </c>
    </row>
    <row r="3174" spans="1:14" ht="20.25" x14ac:dyDescent="0.25">
      <c r="A3174" s="1">
        <v>59</v>
      </c>
      <c r="B3174" s="159"/>
      <c r="C3174" s="1"/>
      <c r="D3174" s="1"/>
      <c r="E3174" s="1"/>
      <c r="F3174" s="1" t="s">
        <v>1961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2">
        <v>8</v>
      </c>
      <c r="M3174" s="43"/>
      <c r="N3174" s="1" t="e">
        <f>VLOOKUP(B3174,MICRO!E:L,8,0)</f>
        <v>#N/A</v>
      </c>
    </row>
    <row r="3175" spans="1:14" ht="20.25" x14ac:dyDescent="0.25">
      <c r="A3175" s="1">
        <v>60</v>
      </c>
      <c r="B3175" s="159"/>
      <c r="C3175" s="1"/>
      <c r="D3175" s="1"/>
      <c r="E3175" s="1"/>
      <c r="F3175" s="1" t="s">
        <v>1962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2">
        <v>8</v>
      </c>
      <c r="M3175" s="43"/>
      <c r="N3175" s="1" t="e">
        <f>VLOOKUP(B3175,MICRO!E:L,8,0)</f>
        <v>#N/A</v>
      </c>
    </row>
    <row r="3176" spans="1:14" ht="20.25" x14ac:dyDescent="0.25">
      <c r="A3176" s="1">
        <v>61</v>
      </c>
      <c r="B3176" s="159"/>
      <c r="C3176" s="1"/>
      <c r="D3176" s="1"/>
      <c r="E3176" s="1"/>
      <c r="F3176" s="1" t="s">
        <v>1963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2">
        <v>8</v>
      </c>
      <c r="M3176" s="43"/>
      <c r="N3176" s="1" t="e">
        <f>VLOOKUP(B3176,MICRO!E:L,8,0)</f>
        <v>#N/A</v>
      </c>
    </row>
    <row r="3177" spans="1:14" ht="20.25" x14ac:dyDescent="0.25">
      <c r="A3177" s="1">
        <v>62</v>
      </c>
      <c r="B3177" s="159"/>
      <c r="C3177" s="1"/>
      <c r="D3177" s="1"/>
      <c r="E3177" s="1"/>
      <c r="F3177" s="1" t="s">
        <v>1964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2">
        <v>8</v>
      </c>
      <c r="M3177" s="43"/>
      <c r="N3177" s="1" t="e">
        <f>VLOOKUP(B3177,MICRO!E:L,8,0)</f>
        <v>#N/A</v>
      </c>
    </row>
    <row r="3178" spans="1:14" ht="20.25" x14ac:dyDescent="0.25">
      <c r="A3178" s="1">
        <v>63</v>
      </c>
      <c r="B3178" s="159"/>
      <c r="C3178" s="1" t="s">
        <v>1132</v>
      </c>
      <c r="D3178" s="1"/>
      <c r="E3178" s="1" t="s">
        <v>2</v>
      </c>
      <c r="F3178" s="1" t="s">
        <v>1133</v>
      </c>
      <c r="G3178" s="1">
        <v>1</v>
      </c>
      <c r="H3178" s="1" t="s">
        <v>19</v>
      </c>
      <c r="I3178" s="1" t="s">
        <v>652</v>
      </c>
      <c r="J3178" s="1">
        <v>59.38</v>
      </c>
      <c r="K3178" s="1">
        <v>59.38</v>
      </c>
      <c r="L3178" s="42">
        <v>8</v>
      </c>
      <c r="M3178" s="43"/>
      <c r="N3178" s="1" t="e">
        <f>VLOOKUP(B3178,MICRO!E:L,8,0)</f>
        <v>#N/A</v>
      </c>
    </row>
    <row r="3179" spans="1:14" ht="20.25" x14ac:dyDescent="0.25">
      <c r="A3179" s="1">
        <v>1</v>
      </c>
      <c r="B3179" s="159">
        <v>2577</v>
      </c>
      <c r="C3179" s="1" t="s">
        <v>1016</v>
      </c>
      <c r="D3179" s="1"/>
      <c r="E3179" s="1"/>
      <c r="F3179" s="1" t="s">
        <v>1017</v>
      </c>
      <c r="G3179" s="1">
        <v>132</v>
      </c>
      <c r="H3179" s="1" t="s">
        <v>19</v>
      </c>
      <c r="I3179" s="1" t="s">
        <v>652</v>
      </c>
      <c r="J3179" s="1">
        <v>0.5</v>
      </c>
      <c r="K3179" s="1">
        <v>66</v>
      </c>
      <c r="L3179" s="42">
        <v>9</v>
      </c>
      <c r="M3179" s="43"/>
      <c r="N3179" s="1" t="e">
        <f>VLOOKUP(B3179,MICRO!E:L,8,0)</f>
        <v>#N/A</v>
      </c>
    </row>
    <row r="3180" spans="1:14" ht="20.25" x14ac:dyDescent="0.25">
      <c r="A3180" s="1">
        <v>2</v>
      </c>
      <c r="B3180" s="159"/>
      <c r="C3180" s="1" t="s">
        <v>1081</v>
      </c>
      <c r="D3180" s="1"/>
      <c r="E3180" s="1"/>
      <c r="F3180" s="1" t="s">
        <v>1082</v>
      </c>
      <c r="G3180" s="1">
        <v>1</v>
      </c>
      <c r="H3180" s="1" t="s">
        <v>19</v>
      </c>
      <c r="I3180" s="1" t="s">
        <v>652</v>
      </c>
      <c r="J3180" s="1">
        <v>69.099999999999994</v>
      </c>
      <c r="K3180" s="1">
        <v>69.099999999999994</v>
      </c>
      <c r="L3180" s="42">
        <v>9</v>
      </c>
      <c r="M3180" s="43"/>
      <c r="N3180" s="1" t="e">
        <f>VLOOKUP(B3180,MICRO!E:L,8,0)</f>
        <v>#N/A</v>
      </c>
    </row>
    <row r="3181" spans="1:14" ht="20.25" x14ac:dyDescent="0.25">
      <c r="A3181" s="1">
        <v>3</v>
      </c>
      <c r="B3181" s="159"/>
      <c r="C3181" s="1" t="s">
        <v>1081</v>
      </c>
      <c r="D3181" s="1"/>
      <c r="E3181" s="1"/>
      <c r="F3181" s="1" t="s">
        <v>1083</v>
      </c>
      <c r="G3181" s="1">
        <v>9</v>
      </c>
      <c r="H3181" s="1" t="s">
        <v>19</v>
      </c>
      <c r="I3181" s="1" t="s">
        <v>652</v>
      </c>
      <c r="J3181" s="1">
        <v>98.8</v>
      </c>
      <c r="K3181" s="1">
        <v>889.19999999999993</v>
      </c>
      <c r="L3181" s="42">
        <v>9</v>
      </c>
      <c r="M3181" s="43"/>
      <c r="N3181" s="1" t="e">
        <f>VLOOKUP(B3181,MICRO!E:L,8,0)</f>
        <v>#N/A</v>
      </c>
    </row>
    <row r="3182" spans="1:14" ht="20.25" x14ac:dyDescent="0.25">
      <c r="A3182" s="1">
        <v>4</v>
      </c>
      <c r="B3182" s="159"/>
      <c r="C3182" s="1" t="s">
        <v>1081</v>
      </c>
      <c r="D3182" s="1"/>
      <c r="E3182" s="1"/>
      <c r="F3182" s="1" t="s">
        <v>1084</v>
      </c>
      <c r="G3182" s="1">
        <v>1</v>
      </c>
      <c r="H3182" s="1" t="s">
        <v>19</v>
      </c>
      <c r="I3182" s="1" t="s">
        <v>652</v>
      </c>
      <c r="J3182" s="1">
        <v>138.30000000000001</v>
      </c>
      <c r="K3182" s="1">
        <v>138.30000000000001</v>
      </c>
      <c r="L3182" s="42">
        <v>9</v>
      </c>
      <c r="M3182" s="43"/>
      <c r="N3182" s="1" t="e">
        <f>VLOOKUP(B3182,MICRO!E:L,8,0)</f>
        <v>#N/A</v>
      </c>
    </row>
    <row r="3183" spans="1:14" ht="20.25" x14ac:dyDescent="0.25">
      <c r="A3183" s="1">
        <v>5</v>
      </c>
      <c r="B3183" s="159"/>
      <c r="C3183" s="1" t="s">
        <v>1797</v>
      </c>
      <c r="D3183" s="1"/>
      <c r="E3183" s="1"/>
      <c r="F3183" s="1" t="s">
        <v>2178</v>
      </c>
      <c r="G3183" s="1">
        <v>4</v>
      </c>
      <c r="H3183" s="1" t="s">
        <v>19</v>
      </c>
      <c r="I3183" s="1" t="s">
        <v>652</v>
      </c>
      <c r="J3183" s="1">
        <v>0.01</v>
      </c>
      <c r="K3183" s="1">
        <v>0.04</v>
      </c>
      <c r="L3183" s="42">
        <v>9</v>
      </c>
      <c r="M3183" s="43"/>
      <c r="N3183" s="1" t="e">
        <f>VLOOKUP(B3183,MICRO!E:L,8,0)</f>
        <v>#N/A</v>
      </c>
    </row>
    <row r="3184" spans="1:14" ht="20.25" x14ac:dyDescent="0.25">
      <c r="A3184" s="1">
        <v>6</v>
      </c>
      <c r="B3184" s="159"/>
      <c r="C3184" s="1"/>
      <c r="D3184" s="1" t="s">
        <v>2179</v>
      </c>
      <c r="E3184" s="1"/>
      <c r="F3184" s="1" t="s">
        <v>2180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2">
        <v>9</v>
      </c>
      <c r="M3184" s="43"/>
      <c r="N3184" s="1" t="e">
        <f>VLOOKUP(B3184,MICRO!E:L,8,0)</f>
        <v>#N/A</v>
      </c>
    </row>
    <row r="3185" spans="1:14" ht="20.25" x14ac:dyDescent="0.25">
      <c r="A3185" s="1">
        <v>7</v>
      </c>
      <c r="B3185" s="159"/>
      <c r="C3185" s="1"/>
      <c r="D3185" s="1" t="s">
        <v>2179</v>
      </c>
      <c r="E3185" s="1"/>
      <c r="F3185" s="1" t="s">
        <v>2181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2">
        <v>9</v>
      </c>
      <c r="M3185" s="43"/>
      <c r="N3185" s="1" t="e">
        <f>VLOOKUP(B3185,MICRO!E:L,8,0)</f>
        <v>#N/A</v>
      </c>
    </row>
    <row r="3186" spans="1:14" ht="20.25" x14ac:dyDescent="0.25">
      <c r="A3186" s="1">
        <v>8</v>
      </c>
      <c r="B3186" s="159"/>
      <c r="C3186" s="1"/>
      <c r="D3186" s="1" t="s">
        <v>2179</v>
      </c>
      <c r="E3186" s="1"/>
      <c r="F3186" s="1" t="s">
        <v>2182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2">
        <v>9</v>
      </c>
      <c r="M3186" s="43"/>
      <c r="N3186" s="1" t="e">
        <f>VLOOKUP(B3186,MICRO!E:L,8,0)</f>
        <v>#N/A</v>
      </c>
    </row>
    <row r="3187" spans="1:14" ht="20.25" x14ac:dyDescent="0.25">
      <c r="A3187" s="1">
        <v>9</v>
      </c>
      <c r="B3187" s="159"/>
      <c r="C3187" s="1"/>
      <c r="D3187" s="1" t="s">
        <v>2179</v>
      </c>
      <c r="E3187" s="1"/>
      <c r="F3187" s="1" t="s">
        <v>2183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2">
        <v>9</v>
      </c>
      <c r="M3187" s="43"/>
      <c r="N3187" s="1" t="e">
        <f>VLOOKUP(B3187,MICRO!E:L,8,0)</f>
        <v>#N/A</v>
      </c>
    </row>
    <row r="3188" spans="1:14" ht="20.25" x14ac:dyDescent="0.25">
      <c r="A3188" s="1">
        <v>15</v>
      </c>
      <c r="B3188" s="159"/>
      <c r="C3188" s="1" t="s">
        <v>2184</v>
      </c>
      <c r="D3188" s="1"/>
      <c r="E3188" s="1" t="s">
        <v>2185</v>
      </c>
      <c r="F3188" s="1" t="s">
        <v>2186</v>
      </c>
      <c r="G3188" s="1">
        <v>22</v>
      </c>
      <c r="H3188" s="1" t="s">
        <v>19</v>
      </c>
      <c r="I3188" s="1" t="s">
        <v>652</v>
      </c>
      <c r="J3188" s="1">
        <v>0.2</v>
      </c>
      <c r="K3188" s="1">
        <v>4.4000000000000004</v>
      </c>
      <c r="L3188" s="42">
        <v>9</v>
      </c>
      <c r="M3188" s="43"/>
      <c r="N3188" s="1" t="e">
        <f>VLOOKUP(B3188,MICRO!E:L,8,0)</f>
        <v>#N/A</v>
      </c>
    </row>
    <row r="3189" spans="1:14" ht="20.25" x14ac:dyDescent="0.25">
      <c r="A3189" s="1">
        <v>16</v>
      </c>
      <c r="B3189" s="159"/>
      <c r="C3189" s="1" t="s">
        <v>2187</v>
      </c>
      <c r="D3189" s="1"/>
      <c r="E3189" s="1"/>
      <c r="F3189" s="1" t="s">
        <v>2188</v>
      </c>
      <c r="G3189" s="1">
        <v>1</v>
      </c>
      <c r="H3189" s="1" t="s">
        <v>19</v>
      </c>
      <c r="I3189" s="1" t="s">
        <v>652</v>
      </c>
      <c r="J3189" s="1">
        <v>0.5</v>
      </c>
      <c r="K3189" s="1">
        <v>0.5</v>
      </c>
      <c r="L3189" s="42">
        <v>9</v>
      </c>
      <c r="M3189" s="43"/>
      <c r="N3189" s="1" t="e">
        <f>VLOOKUP(B3189,MICRO!E:L,8,0)</f>
        <v>#N/A</v>
      </c>
    </row>
    <row r="3190" spans="1:14" ht="20.25" x14ac:dyDescent="0.25">
      <c r="A3190" s="1">
        <v>1</v>
      </c>
      <c r="B3190" s="159">
        <v>2388</v>
      </c>
      <c r="C3190" s="1" t="s">
        <v>893</v>
      </c>
      <c r="D3190" s="1"/>
      <c r="E3190" s="1" t="s">
        <v>2</v>
      </c>
      <c r="F3190" s="1" t="s">
        <v>2520</v>
      </c>
      <c r="G3190" s="1">
        <v>2</v>
      </c>
      <c r="H3190" s="1" t="s">
        <v>19</v>
      </c>
      <c r="I3190" s="1" t="s">
        <v>652</v>
      </c>
      <c r="J3190" s="1">
        <v>4.7</v>
      </c>
      <c r="K3190" s="1">
        <v>9.4</v>
      </c>
      <c r="L3190" s="42">
        <v>10</v>
      </c>
      <c r="M3190" s="43"/>
      <c r="N3190" s="1" t="e">
        <f>VLOOKUP(B3190,MICRO!E:L,8,0)</f>
        <v>#N/A</v>
      </c>
    </row>
    <row r="3191" spans="1:14" ht="20.25" x14ac:dyDescent="0.25">
      <c r="A3191" s="1">
        <v>2</v>
      </c>
      <c r="B3191" s="159">
        <v>2389</v>
      </c>
      <c r="C3191" s="1" t="s">
        <v>893</v>
      </c>
      <c r="D3191" s="1"/>
      <c r="E3191" s="1" t="s">
        <v>43</v>
      </c>
      <c r="F3191" s="1" t="s">
        <v>2521</v>
      </c>
      <c r="G3191" s="1">
        <v>2</v>
      </c>
      <c r="H3191" s="1" t="s">
        <v>19</v>
      </c>
      <c r="I3191" s="1" t="s">
        <v>652</v>
      </c>
      <c r="J3191" s="1">
        <v>5.8</v>
      </c>
      <c r="K3191" s="1">
        <v>11.6</v>
      </c>
      <c r="L3191" s="42">
        <v>10</v>
      </c>
      <c r="M3191" s="43"/>
      <c r="N3191" s="1" t="e">
        <f>VLOOKUP(B3191,MICRO!E:L,8,0)</f>
        <v>#N/A</v>
      </c>
    </row>
    <row r="3192" spans="1:14" ht="20.25" x14ac:dyDescent="0.25">
      <c r="A3192" s="1">
        <v>3</v>
      </c>
      <c r="B3192" s="159">
        <v>2390</v>
      </c>
      <c r="C3192" s="1" t="s">
        <v>893</v>
      </c>
      <c r="D3192" s="1"/>
      <c r="E3192" s="1" t="s">
        <v>746</v>
      </c>
      <c r="F3192" s="1" t="s">
        <v>2522</v>
      </c>
      <c r="G3192" s="1">
        <v>2</v>
      </c>
      <c r="H3192" s="1" t="s">
        <v>19</v>
      </c>
      <c r="I3192" s="1" t="s">
        <v>652</v>
      </c>
      <c r="J3192" s="1">
        <v>4</v>
      </c>
      <c r="K3192" s="1">
        <v>8</v>
      </c>
      <c r="L3192" s="42">
        <v>10</v>
      </c>
      <c r="M3192" s="43"/>
      <c r="N3192" s="1" t="e">
        <f>VLOOKUP(B3192,MICRO!E:L,8,0)</f>
        <v>#N/A</v>
      </c>
    </row>
    <row r="3193" spans="1:14" ht="20.25" x14ac:dyDescent="0.25">
      <c r="A3193" s="1">
        <v>4</v>
      </c>
      <c r="B3193" s="159">
        <v>2391</v>
      </c>
      <c r="C3193" s="1" t="s">
        <v>893</v>
      </c>
      <c r="D3193" s="1"/>
      <c r="E3193" s="1" t="s">
        <v>1101</v>
      </c>
      <c r="F3193" s="1" t="s">
        <v>2523</v>
      </c>
      <c r="G3193" s="1">
        <v>2</v>
      </c>
      <c r="H3193" s="1" t="s">
        <v>19</v>
      </c>
      <c r="I3193" s="1" t="s">
        <v>652</v>
      </c>
      <c r="J3193" s="1">
        <v>4.2</v>
      </c>
      <c r="K3193" s="1">
        <v>8.4</v>
      </c>
      <c r="L3193" s="42">
        <v>10</v>
      </c>
      <c r="M3193" s="43"/>
      <c r="N3193" s="1" t="e">
        <f>VLOOKUP(B3193,MICRO!E:L,8,0)</f>
        <v>#N/A</v>
      </c>
    </row>
    <row r="3194" spans="1:14" ht="20.25" x14ac:dyDescent="0.25">
      <c r="A3194" s="1">
        <v>5</v>
      </c>
      <c r="B3194" s="159">
        <v>2392</v>
      </c>
      <c r="C3194" s="1" t="s">
        <v>893</v>
      </c>
      <c r="D3194" s="1"/>
      <c r="E3194" s="1" t="s">
        <v>100</v>
      </c>
      <c r="F3194" s="1" t="s">
        <v>2524</v>
      </c>
      <c r="G3194" s="1">
        <v>2</v>
      </c>
      <c r="H3194" s="1" t="s">
        <v>19</v>
      </c>
      <c r="I3194" s="1" t="s">
        <v>652</v>
      </c>
      <c r="J3194" s="1">
        <v>1.6</v>
      </c>
      <c r="K3194" s="1">
        <v>3.2</v>
      </c>
      <c r="L3194" s="42">
        <v>10</v>
      </c>
      <c r="M3194" s="43"/>
      <c r="N3194" s="1" t="e">
        <f>VLOOKUP(B3194,MICRO!E:L,8,0)</f>
        <v>#N/A</v>
      </c>
    </row>
    <row r="3195" spans="1:14" ht="20.25" x14ac:dyDescent="0.25">
      <c r="A3195" s="1">
        <v>6</v>
      </c>
      <c r="B3195" s="159">
        <v>2393</v>
      </c>
      <c r="C3195" s="1" t="s">
        <v>893</v>
      </c>
      <c r="D3195" s="1"/>
      <c r="E3195" s="1" t="s">
        <v>173</v>
      </c>
      <c r="F3195" s="1" t="s">
        <v>2525</v>
      </c>
      <c r="G3195" s="1">
        <v>1</v>
      </c>
      <c r="H3195" s="1" t="s">
        <v>19</v>
      </c>
      <c r="I3195" s="1" t="s">
        <v>652</v>
      </c>
      <c r="J3195" s="1">
        <v>4.5999999999999996</v>
      </c>
      <c r="K3195" s="1">
        <v>4.5999999999999996</v>
      </c>
      <c r="L3195" s="42">
        <v>10</v>
      </c>
      <c r="M3195" s="43"/>
      <c r="N3195" s="1" t="e">
        <f>VLOOKUP(B3195,MICRO!E:L,8,0)</f>
        <v>#N/A</v>
      </c>
    </row>
    <row r="3196" spans="1:14" ht="20.25" x14ac:dyDescent="0.25">
      <c r="A3196" s="1">
        <v>7</v>
      </c>
      <c r="B3196" s="159">
        <v>2394</v>
      </c>
      <c r="C3196" s="1" t="s">
        <v>893</v>
      </c>
      <c r="D3196" s="1"/>
      <c r="E3196" s="1" t="s">
        <v>461</v>
      </c>
      <c r="F3196" s="1" t="s">
        <v>2526</v>
      </c>
      <c r="G3196" s="1">
        <v>2</v>
      </c>
      <c r="H3196" s="1" t="s">
        <v>19</v>
      </c>
      <c r="I3196" s="1" t="s">
        <v>652</v>
      </c>
      <c r="J3196" s="1">
        <v>4.5999999999999996</v>
      </c>
      <c r="K3196" s="1">
        <v>9.1999999999999993</v>
      </c>
      <c r="L3196" s="42">
        <v>10</v>
      </c>
      <c r="M3196" s="43"/>
      <c r="N3196" s="1" t="e">
        <f>VLOOKUP(B3196,MICRO!E:L,8,0)</f>
        <v>#N/A</v>
      </c>
    </row>
    <row r="3197" spans="1:14" ht="20.25" x14ac:dyDescent="0.25">
      <c r="A3197" s="1">
        <v>8</v>
      </c>
      <c r="B3197" s="159">
        <v>2395</v>
      </c>
      <c r="C3197" s="1" t="s">
        <v>893</v>
      </c>
      <c r="D3197" s="1"/>
      <c r="E3197" s="1" t="s">
        <v>464</v>
      </c>
      <c r="F3197" s="1" t="s">
        <v>2527</v>
      </c>
      <c r="G3197" s="1">
        <v>2</v>
      </c>
      <c r="H3197" s="1" t="s">
        <v>19</v>
      </c>
      <c r="I3197" s="1" t="s">
        <v>652</v>
      </c>
      <c r="J3197" s="1">
        <v>2.2000000000000002</v>
      </c>
      <c r="K3197" s="1">
        <v>4.4000000000000004</v>
      </c>
      <c r="L3197" s="42">
        <v>10</v>
      </c>
      <c r="M3197" s="43"/>
      <c r="N3197" s="1" t="e">
        <f>VLOOKUP(B3197,MICRO!E:L,8,0)</f>
        <v>#N/A</v>
      </c>
    </row>
    <row r="3198" spans="1:14" ht="20.25" x14ac:dyDescent="0.25">
      <c r="A3198" s="1">
        <v>9</v>
      </c>
      <c r="B3198" s="159">
        <v>2396</v>
      </c>
      <c r="C3198" s="1" t="s">
        <v>893</v>
      </c>
      <c r="D3198" s="1"/>
      <c r="E3198" s="1" t="s">
        <v>1102</v>
      </c>
      <c r="F3198" s="1" t="s">
        <v>2528</v>
      </c>
      <c r="G3198" s="1">
        <v>2</v>
      </c>
      <c r="H3198" s="1" t="s">
        <v>19</v>
      </c>
      <c r="I3198" s="1" t="s">
        <v>652</v>
      </c>
      <c r="J3198" s="1">
        <v>3.6</v>
      </c>
      <c r="K3198" s="1">
        <v>7.2</v>
      </c>
      <c r="L3198" s="42">
        <v>10</v>
      </c>
      <c r="M3198" s="43"/>
      <c r="N3198" s="1" t="e">
        <f>VLOOKUP(B3198,MICRO!E:L,8,0)</f>
        <v>#N/A</v>
      </c>
    </row>
    <row r="3199" spans="1:14" ht="20.25" x14ac:dyDescent="0.25">
      <c r="A3199" s="1">
        <v>10</v>
      </c>
      <c r="B3199" s="159">
        <v>2397</v>
      </c>
      <c r="C3199" s="1" t="s">
        <v>893</v>
      </c>
      <c r="D3199" s="1"/>
      <c r="E3199" s="1" t="s">
        <v>1103</v>
      </c>
      <c r="F3199" s="1" t="s">
        <v>2529</v>
      </c>
      <c r="G3199" s="1">
        <v>1</v>
      </c>
      <c r="H3199" s="1" t="s">
        <v>19</v>
      </c>
      <c r="I3199" s="1" t="s">
        <v>652</v>
      </c>
      <c r="J3199" s="1">
        <v>3.6</v>
      </c>
      <c r="K3199" s="1">
        <v>3.6</v>
      </c>
      <c r="L3199" s="42">
        <v>10</v>
      </c>
      <c r="M3199" s="43"/>
      <c r="N3199" s="1" t="e">
        <f>VLOOKUP(B3199,MICRO!E:L,8,0)</f>
        <v>#N/A</v>
      </c>
    </row>
    <row r="3200" spans="1:14" ht="20.25" x14ac:dyDescent="0.25">
      <c r="A3200" s="1">
        <v>11</v>
      </c>
      <c r="B3200" s="159">
        <v>2398</v>
      </c>
      <c r="C3200" s="1" t="s">
        <v>893</v>
      </c>
      <c r="D3200" s="1"/>
      <c r="E3200" s="1" t="s">
        <v>1104</v>
      </c>
      <c r="F3200" s="1" t="s">
        <v>2530</v>
      </c>
      <c r="G3200" s="1">
        <v>2</v>
      </c>
      <c r="H3200" s="1" t="s">
        <v>19</v>
      </c>
      <c r="I3200" s="1" t="s">
        <v>652</v>
      </c>
      <c r="J3200" s="1">
        <v>1.7</v>
      </c>
      <c r="K3200" s="1">
        <v>3.4</v>
      </c>
      <c r="L3200" s="42">
        <v>10</v>
      </c>
      <c r="M3200" s="43"/>
      <c r="N3200" s="1" t="e">
        <f>VLOOKUP(B3200,MICRO!E:L,8,0)</f>
        <v>#N/A</v>
      </c>
    </row>
    <row r="3201" spans="1:14" ht="20.25" x14ac:dyDescent="0.25">
      <c r="A3201" s="1">
        <v>12</v>
      </c>
      <c r="B3201" s="159">
        <v>2399</v>
      </c>
      <c r="C3201" s="1" t="s">
        <v>893</v>
      </c>
      <c r="D3201" s="1"/>
      <c r="E3201" s="1" t="s">
        <v>1105</v>
      </c>
      <c r="F3201" s="1" t="s">
        <v>2531</v>
      </c>
      <c r="G3201" s="1">
        <v>2</v>
      </c>
      <c r="H3201" s="1" t="s">
        <v>19</v>
      </c>
      <c r="I3201" s="1" t="s">
        <v>652</v>
      </c>
      <c r="J3201" s="1">
        <v>5.3</v>
      </c>
      <c r="K3201" s="1">
        <v>10.6</v>
      </c>
      <c r="L3201" s="42">
        <v>10</v>
      </c>
      <c r="M3201" s="43"/>
      <c r="N3201" s="1" t="e">
        <f>VLOOKUP(B3201,MICRO!E:L,8,0)</f>
        <v>#N/A</v>
      </c>
    </row>
    <row r="3202" spans="1:14" ht="20.25" x14ac:dyDescent="0.25">
      <c r="A3202" s="1">
        <v>13</v>
      </c>
      <c r="B3202" s="159">
        <v>2400</v>
      </c>
      <c r="C3202" s="1" t="s">
        <v>893</v>
      </c>
      <c r="D3202" s="1"/>
      <c r="E3202" s="1" t="s">
        <v>1106</v>
      </c>
      <c r="F3202" s="1" t="s">
        <v>2532</v>
      </c>
      <c r="G3202" s="1">
        <v>1</v>
      </c>
      <c r="H3202" s="1" t="s">
        <v>19</v>
      </c>
      <c r="I3202" s="1" t="s">
        <v>652</v>
      </c>
      <c r="J3202" s="1">
        <v>5.3</v>
      </c>
      <c r="K3202" s="1">
        <v>5.3</v>
      </c>
      <c r="L3202" s="42">
        <v>10</v>
      </c>
      <c r="M3202" s="43"/>
      <c r="N3202" s="1" t="e">
        <f>VLOOKUP(B3202,MICRO!E:L,8,0)</f>
        <v>#N/A</v>
      </c>
    </row>
    <row r="3203" spans="1:14" ht="20.25" x14ac:dyDescent="0.25">
      <c r="A3203" s="1">
        <v>14</v>
      </c>
      <c r="B3203" s="159">
        <v>2401</v>
      </c>
      <c r="C3203" s="1" t="s">
        <v>893</v>
      </c>
      <c r="D3203" s="1"/>
      <c r="E3203" s="1" t="s">
        <v>1107</v>
      </c>
      <c r="F3203" s="1" t="s">
        <v>2533</v>
      </c>
      <c r="G3203" s="1">
        <v>2</v>
      </c>
      <c r="H3203" s="1" t="s">
        <v>19</v>
      </c>
      <c r="I3203" s="1" t="s">
        <v>652</v>
      </c>
      <c r="J3203" s="1">
        <v>2.5</v>
      </c>
      <c r="K3203" s="1">
        <v>5</v>
      </c>
      <c r="L3203" s="42">
        <v>10</v>
      </c>
      <c r="M3203" s="43"/>
      <c r="N3203" s="1" t="e">
        <f>VLOOKUP(B3203,MICRO!E:L,8,0)</f>
        <v>#N/A</v>
      </c>
    </row>
    <row r="3204" spans="1:14" ht="20.25" x14ac:dyDescent="0.25">
      <c r="A3204" s="1">
        <v>15</v>
      </c>
      <c r="B3204" s="159"/>
      <c r="C3204" s="1" t="s">
        <v>1049</v>
      </c>
      <c r="D3204" s="1"/>
      <c r="E3204" s="1"/>
      <c r="F3204" s="1" t="s">
        <v>1735</v>
      </c>
      <c r="G3204" s="1">
        <v>66</v>
      </c>
      <c r="H3204" s="1" t="s">
        <v>19</v>
      </c>
      <c r="I3204" s="1" t="s">
        <v>652</v>
      </c>
      <c r="J3204" s="1">
        <v>0.02</v>
      </c>
      <c r="K3204" s="1">
        <v>1.32</v>
      </c>
      <c r="L3204" s="42">
        <v>10</v>
      </c>
      <c r="M3204" s="43"/>
      <c r="N3204" s="1" t="e">
        <f>VLOOKUP(B3204,MICRO!E:L,8,0)</f>
        <v>#N/A</v>
      </c>
    </row>
    <row r="3205" spans="1:14" ht="20.25" x14ac:dyDescent="0.25">
      <c r="A3205" s="1">
        <v>16</v>
      </c>
      <c r="B3205" s="159"/>
      <c r="C3205" s="1" t="s">
        <v>1049</v>
      </c>
      <c r="D3205" s="1"/>
      <c r="E3205" s="1"/>
      <c r="F3205" s="1" t="s">
        <v>1762</v>
      </c>
      <c r="G3205" s="1">
        <v>66</v>
      </c>
      <c r="H3205" s="1" t="s">
        <v>19</v>
      </c>
      <c r="I3205" s="1" t="s">
        <v>652</v>
      </c>
      <c r="J3205" s="1">
        <v>0.04</v>
      </c>
      <c r="K3205" s="1">
        <v>2.64</v>
      </c>
      <c r="L3205" s="42">
        <v>10</v>
      </c>
      <c r="M3205" s="43"/>
      <c r="N3205" s="1" t="e">
        <f>VLOOKUP(B3205,MICRO!E:L,8,0)</f>
        <v>#N/A</v>
      </c>
    </row>
    <row r="3206" spans="1:14" ht="20.25" x14ac:dyDescent="0.25">
      <c r="A3206" s="1">
        <v>17</v>
      </c>
      <c r="B3206" s="159"/>
      <c r="C3206" s="1" t="s">
        <v>1049</v>
      </c>
      <c r="D3206" s="1"/>
      <c r="E3206" s="1"/>
      <c r="F3206" s="1" t="s">
        <v>1778</v>
      </c>
      <c r="G3206" s="1">
        <v>66</v>
      </c>
      <c r="H3206" s="1" t="s">
        <v>19</v>
      </c>
      <c r="I3206" s="1" t="s">
        <v>652</v>
      </c>
      <c r="J3206" s="1">
        <v>0.03</v>
      </c>
      <c r="K3206" s="1">
        <v>1.98</v>
      </c>
      <c r="L3206" s="42">
        <v>10</v>
      </c>
      <c r="M3206" s="43"/>
      <c r="N3206" s="1" t="e">
        <f>VLOOKUP(B3206,MICRO!E:L,8,0)</f>
        <v>#N/A</v>
      </c>
    </row>
    <row r="3207" spans="1:14" ht="20.25" x14ac:dyDescent="0.25">
      <c r="A3207" s="1">
        <v>1</v>
      </c>
      <c r="B3207" s="159"/>
      <c r="C3207" s="1"/>
      <c r="D3207" s="1"/>
      <c r="E3207" s="1"/>
      <c r="F3207" s="1" t="s">
        <v>2741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2">
        <v>11</v>
      </c>
      <c r="M3207" s="43"/>
      <c r="N3207" s="1" t="e">
        <f>VLOOKUP(B3207,MICRO!E:L,8,0)</f>
        <v>#N/A</v>
      </c>
    </row>
    <row r="3208" spans="1:14" ht="20.25" x14ac:dyDescent="0.25">
      <c r="A3208" s="1">
        <v>2</v>
      </c>
      <c r="B3208" s="159"/>
      <c r="C3208" s="1" t="s">
        <v>1086</v>
      </c>
      <c r="D3208" s="1"/>
      <c r="E3208" s="1" t="s">
        <v>1101</v>
      </c>
      <c r="F3208" s="1" t="s">
        <v>1089</v>
      </c>
      <c r="G3208" s="1">
        <v>31</v>
      </c>
      <c r="H3208" s="1" t="s">
        <v>19</v>
      </c>
      <c r="I3208" s="1" t="s">
        <v>652</v>
      </c>
      <c r="J3208" s="1">
        <v>0.05</v>
      </c>
      <c r="K3208" s="1">
        <v>1.55</v>
      </c>
      <c r="L3208" s="42">
        <v>11</v>
      </c>
      <c r="M3208" s="43"/>
      <c r="N3208" s="1" t="e">
        <f>VLOOKUP(B3208,MICRO!E:L,8,0)</f>
        <v>#N/A</v>
      </c>
    </row>
    <row r="3209" spans="1:14" ht="20.25" x14ac:dyDescent="0.25">
      <c r="A3209" s="1">
        <v>1</v>
      </c>
      <c r="B3209" s="159">
        <v>2212</v>
      </c>
      <c r="C3209" s="1" t="s">
        <v>796</v>
      </c>
      <c r="D3209" s="1"/>
      <c r="E3209" s="1" t="s">
        <v>43</v>
      </c>
      <c r="F3209" s="1" t="s">
        <v>798</v>
      </c>
      <c r="G3209" s="1">
        <v>2</v>
      </c>
      <c r="H3209" s="1" t="s">
        <v>19</v>
      </c>
      <c r="I3209" s="1" t="s">
        <v>652</v>
      </c>
      <c r="J3209" s="1">
        <v>101.35</v>
      </c>
      <c r="K3209" s="1">
        <v>202.7</v>
      </c>
      <c r="L3209" s="42">
        <v>12</v>
      </c>
      <c r="M3209" s="43"/>
      <c r="N3209" s="1" t="e">
        <f>VLOOKUP(B3209,MICRO!E:L,8,0)</f>
        <v>#N/A</v>
      </c>
    </row>
    <row r="3210" spans="1:14" ht="20.25" x14ac:dyDescent="0.25">
      <c r="A3210" s="1">
        <v>30</v>
      </c>
      <c r="B3210" s="159">
        <v>2433</v>
      </c>
      <c r="C3210" s="1" t="s">
        <v>147</v>
      </c>
      <c r="D3210" s="1"/>
      <c r="E3210" s="1" t="s">
        <v>1815</v>
      </c>
      <c r="F3210" s="1" t="s">
        <v>1816</v>
      </c>
      <c r="G3210" s="1">
        <v>8</v>
      </c>
      <c r="H3210" s="1" t="s">
        <v>19</v>
      </c>
      <c r="I3210" s="1" t="s">
        <v>629</v>
      </c>
      <c r="J3210" s="1">
        <v>20.7</v>
      </c>
      <c r="K3210" s="1">
        <v>125.6</v>
      </c>
      <c r="L3210" s="42">
        <v>5</v>
      </c>
      <c r="M3210" s="43"/>
      <c r="N3210" s="1" t="e">
        <f>VLOOKUP(B3210,MICRO!E:L,8,0)</f>
        <v>#N/A</v>
      </c>
    </row>
    <row r="3211" spans="1:14" ht="20.25" x14ac:dyDescent="0.25">
      <c r="A3211" s="1">
        <v>40</v>
      </c>
      <c r="B3211" s="159">
        <v>2447</v>
      </c>
      <c r="C3211" s="1" t="s">
        <v>929</v>
      </c>
      <c r="D3211" s="1"/>
      <c r="E3211" s="1" t="s">
        <v>2</v>
      </c>
      <c r="F3211" s="1" t="s">
        <v>931</v>
      </c>
      <c r="G3211" s="1">
        <v>1</v>
      </c>
      <c r="H3211" s="1" t="s">
        <v>19</v>
      </c>
      <c r="I3211" s="1" t="s">
        <v>629</v>
      </c>
      <c r="J3211" s="1">
        <v>150.19999999999999</v>
      </c>
      <c r="K3211" s="1">
        <v>109.26</v>
      </c>
      <c r="L3211" s="42">
        <v>5</v>
      </c>
      <c r="M3211" s="43"/>
      <c r="N3211" s="1" t="e">
        <f>VLOOKUP(B3211,MICRO!E:L,8,0)</f>
        <v>#N/A</v>
      </c>
    </row>
    <row r="3212" spans="1:14" ht="20.25" x14ac:dyDescent="0.25">
      <c r="A3212" s="1">
        <v>43</v>
      </c>
      <c r="B3212" s="159">
        <v>2454</v>
      </c>
      <c r="C3212" s="1" t="s">
        <v>936</v>
      </c>
      <c r="D3212" s="1"/>
      <c r="E3212" s="1" t="s">
        <v>43</v>
      </c>
      <c r="F3212" s="1" t="s">
        <v>937</v>
      </c>
      <c r="G3212" s="1">
        <v>4</v>
      </c>
      <c r="H3212" s="1" t="s">
        <v>19</v>
      </c>
      <c r="I3212" s="1" t="s">
        <v>629</v>
      </c>
      <c r="J3212" s="1">
        <v>19.899999999999999</v>
      </c>
      <c r="K3212" s="1">
        <v>79.599999999999994</v>
      </c>
      <c r="L3212" s="42">
        <v>5</v>
      </c>
      <c r="M3212" s="43"/>
      <c r="N3212" s="1" t="e">
        <f>VLOOKUP(B3212,MICRO!E:L,8,0)</f>
        <v>#N/A</v>
      </c>
    </row>
    <row r="3213" spans="1:14" ht="20.25" x14ac:dyDescent="0.25">
      <c r="A3213" s="1">
        <v>45</v>
      </c>
      <c r="B3213" s="159">
        <v>2456</v>
      </c>
      <c r="C3213" s="1" t="s">
        <v>938</v>
      </c>
      <c r="D3213" s="1"/>
      <c r="E3213" s="1" t="s">
        <v>2</v>
      </c>
      <c r="F3213" s="1" t="s">
        <v>939</v>
      </c>
      <c r="G3213" s="1">
        <v>3</v>
      </c>
      <c r="H3213" s="1" t="s">
        <v>19</v>
      </c>
      <c r="I3213" s="1" t="s">
        <v>629</v>
      </c>
      <c r="J3213" s="1">
        <v>58.2</v>
      </c>
      <c r="K3213" s="1">
        <v>103.28999999999999</v>
      </c>
      <c r="L3213" s="42">
        <v>5</v>
      </c>
      <c r="M3213" s="43"/>
      <c r="N3213" s="1" t="e">
        <f>VLOOKUP(B3213,MICRO!E:L,8,0)</f>
        <v>#N/A</v>
      </c>
    </row>
    <row r="3214" spans="1:14" ht="20.25" x14ac:dyDescent="0.25">
      <c r="A3214" s="1">
        <v>46</v>
      </c>
      <c r="B3214" s="159">
        <v>2457</v>
      </c>
      <c r="C3214" s="1" t="s">
        <v>938</v>
      </c>
      <c r="D3214" s="1"/>
      <c r="E3214" s="1" t="s">
        <v>43</v>
      </c>
      <c r="F3214" s="1" t="s">
        <v>940</v>
      </c>
      <c r="G3214" s="1">
        <v>3</v>
      </c>
      <c r="H3214" s="1" t="s">
        <v>19</v>
      </c>
      <c r="I3214" s="1" t="s">
        <v>629</v>
      </c>
      <c r="J3214" s="1">
        <v>58.2</v>
      </c>
      <c r="K3214" s="1">
        <v>103.28999999999999</v>
      </c>
      <c r="L3214" s="42">
        <v>5</v>
      </c>
      <c r="M3214" s="43"/>
      <c r="N3214" s="1" t="e">
        <f>VLOOKUP(B3214,MICRO!E:L,8,0)</f>
        <v>#N/A</v>
      </c>
    </row>
    <row r="3215" spans="1:14" ht="20.25" x14ac:dyDescent="0.25">
      <c r="A3215" s="1">
        <v>47</v>
      </c>
      <c r="B3215" s="159">
        <v>2458</v>
      </c>
      <c r="C3215" s="1" t="s">
        <v>938</v>
      </c>
      <c r="D3215" s="1"/>
      <c r="E3215" s="1" t="s">
        <v>746</v>
      </c>
      <c r="F3215" s="1" t="s">
        <v>941</v>
      </c>
      <c r="G3215" s="1">
        <v>14</v>
      </c>
      <c r="H3215" s="1"/>
      <c r="I3215" s="1" t="s">
        <v>629</v>
      </c>
      <c r="J3215" s="1">
        <v>10.77</v>
      </c>
      <c r="K3215" s="1">
        <v>80.78</v>
      </c>
      <c r="L3215" s="42">
        <v>5</v>
      </c>
      <c r="M3215" s="43"/>
      <c r="N3215" s="1" t="e">
        <f>VLOOKUP(B3215,MICRO!E:L,8,0)</f>
        <v>#N/A</v>
      </c>
    </row>
    <row r="3216" spans="1:14" ht="20.25" x14ac:dyDescent="0.25">
      <c r="A3216" s="1">
        <v>48</v>
      </c>
      <c r="B3216" s="159">
        <v>2459</v>
      </c>
      <c r="C3216" s="1" t="s">
        <v>938</v>
      </c>
      <c r="D3216" s="1"/>
      <c r="E3216" s="1" t="s">
        <v>1101</v>
      </c>
      <c r="F3216" s="1" t="s">
        <v>942</v>
      </c>
      <c r="G3216" s="1">
        <v>14</v>
      </c>
      <c r="H3216" s="1"/>
      <c r="I3216" s="1" t="s">
        <v>629</v>
      </c>
      <c r="J3216" s="1">
        <v>10.77</v>
      </c>
      <c r="K3216" s="1">
        <v>80.78</v>
      </c>
      <c r="L3216" s="42">
        <v>5</v>
      </c>
      <c r="M3216" s="43"/>
      <c r="N3216" s="1" t="e">
        <f>VLOOKUP(B3216,MICRO!E:L,8,0)</f>
        <v>#N/A</v>
      </c>
    </row>
    <row r="3217" spans="1:14" ht="20.25" x14ac:dyDescent="0.25">
      <c r="A3217" s="1">
        <v>49</v>
      </c>
      <c r="B3217" s="159">
        <v>2461</v>
      </c>
      <c r="C3217" s="1" t="s">
        <v>938</v>
      </c>
      <c r="D3217" s="1"/>
      <c r="E3217" s="1" t="s">
        <v>173</v>
      </c>
      <c r="F3217" s="1" t="s">
        <v>944</v>
      </c>
      <c r="G3217" s="1">
        <v>28</v>
      </c>
      <c r="H3217" s="1"/>
      <c r="I3217" s="1" t="s">
        <v>629</v>
      </c>
      <c r="J3217" s="1">
        <v>9.5</v>
      </c>
      <c r="K3217" s="1">
        <v>162.67999999999998</v>
      </c>
      <c r="L3217" s="42">
        <v>5</v>
      </c>
      <c r="M3217" s="43"/>
      <c r="N3217" s="1" t="e">
        <f>VLOOKUP(B3217,MICRO!E:L,8,0)</f>
        <v>#N/A</v>
      </c>
    </row>
    <row r="3218" spans="1:14" ht="20.25" x14ac:dyDescent="0.25">
      <c r="A3218" s="1">
        <v>50</v>
      </c>
      <c r="B3218" s="159">
        <v>2462</v>
      </c>
      <c r="C3218" s="1" t="s">
        <v>938</v>
      </c>
      <c r="D3218" s="1"/>
      <c r="E3218" s="1" t="s">
        <v>461</v>
      </c>
      <c r="F3218" s="1" t="s">
        <v>945</v>
      </c>
      <c r="G3218" s="1">
        <v>1</v>
      </c>
      <c r="H3218" s="1"/>
      <c r="I3218" s="1" t="s">
        <v>629</v>
      </c>
      <c r="J3218" s="1">
        <v>1.85</v>
      </c>
      <c r="K3218" s="1">
        <v>1.85</v>
      </c>
      <c r="L3218" s="42">
        <v>5</v>
      </c>
      <c r="M3218" s="43"/>
      <c r="N3218" s="1" t="e">
        <f>VLOOKUP(B3218,MICRO!E:L,8,0)</f>
        <v>#N/A</v>
      </c>
    </row>
    <row r="3219" spans="1:14" ht="20.25" x14ac:dyDescent="0.25">
      <c r="A3219" s="1">
        <v>52</v>
      </c>
      <c r="B3219" s="159">
        <v>2472</v>
      </c>
      <c r="C3219" s="1" t="s">
        <v>950</v>
      </c>
      <c r="D3219" s="1"/>
      <c r="E3219" s="1"/>
      <c r="F3219" s="1" t="s">
        <v>953</v>
      </c>
      <c r="G3219" s="1">
        <v>2</v>
      </c>
      <c r="H3219" s="1"/>
      <c r="I3219" s="1" t="s">
        <v>634</v>
      </c>
      <c r="J3219" s="1">
        <v>5.34</v>
      </c>
      <c r="K3219" s="1">
        <v>10.68</v>
      </c>
      <c r="L3219" s="42">
        <v>5</v>
      </c>
      <c r="M3219" s="43"/>
      <c r="N3219" s="1" t="e">
        <f>VLOOKUP(B3219,MICRO!E:L,8,0)</f>
        <v>#N/A</v>
      </c>
    </row>
    <row r="3220" spans="1:14" ht="20.25" x14ac:dyDescent="0.25">
      <c r="A3220" s="1">
        <v>55</v>
      </c>
      <c r="B3220" s="159">
        <v>2484</v>
      </c>
      <c r="C3220" s="1" t="s">
        <v>962</v>
      </c>
      <c r="D3220" s="1"/>
      <c r="E3220" s="1" t="s">
        <v>100</v>
      </c>
      <c r="F3220" s="1" t="s">
        <v>967</v>
      </c>
      <c r="G3220" s="1">
        <v>3</v>
      </c>
      <c r="H3220" s="1" t="s">
        <v>19</v>
      </c>
      <c r="I3220" s="1" t="s">
        <v>589</v>
      </c>
      <c r="J3220" s="1">
        <v>5.64</v>
      </c>
      <c r="K3220" s="1">
        <v>16.919999999999998</v>
      </c>
      <c r="L3220" s="42">
        <v>5</v>
      </c>
      <c r="M3220" s="43"/>
      <c r="N3220" s="1" t="e">
        <f>VLOOKUP(B3220,MICRO!E:L,8,0)</f>
        <v>#N/A</v>
      </c>
    </row>
    <row r="3221" spans="1:14" ht="20.25" x14ac:dyDescent="0.25">
      <c r="A3221" s="1">
        <v>56</v>
      </c>
      <c r="B3221" s="159">
        <v>2485</v>
      </c>
      <c r="C3221" s="1" t="s">
        <v>962</v>
      </c>
      <c r="D3221" s="1"/>
      <c r="E3221" s="1" t="s">
        <v>173</v>
      </c>
      <c r="F3221" s="1" t="s">
        <v>968</v>
      </c>
      <c r="G3221" s="1">
        <v>3</v>
      </c>
      <c r="H3221" s="1" t="s">
        <v>19</v>
      </c>
      <c r="I3221" s="1" t="s">
        <v>589</v>
      </c>
      <c r="J3221" s="1">
        <v>5.64</v>
      </c>
      <c r="K3221" s="1">
        <v>16.919999999999998</v>
      </c>
      <c r="L3221" s="42">
        <v>5</v>
      </c>
      <c r="M3221" s="43"/>
      <c r="N3221" s="1" t="e">
        <f>VLOOKUP(B3221,MICRO!E:L,8,0)</f>
        <v>#N/A</v>
      </c>
    </row>
    <row r="3222" spans="1:14" ht="20.25" x14ac:dyDescent="0.25">
      <c r="A3222" s="1">
        <v>57</v>
      </c>
      <c r="B3222" s="159">
        <v>2484</v>
      </c>
      <c r="C3222" s="1" t="s">
        <v>962</v>
      </c>
      <c r="D3222" s="1"/>
      <c r="E3222" s="1" t="s">
        <v>100</v>
      </c>
      <c r="F3222" s="1" t="s">
        <v>967</v>
      </c>
      <c r="G3222" s="1">
        <v>4</v>
      </c>
      <c r="H3222" s="1" t="s">
        <v>19</v>
      </c>
      <c r="I3222" s="1" t="s">
        <v>735</v>
      </c>
      <c r="J3222" s="1">
        <v>5.64</v>
      </c>
      <c r="K3222" s="1">
        <v>22.56</v>
      </c>
      <c r="L3222" s="42">
        <v>5</v>
      </c>
      <c r="M3222" s="43"/>
      <c r="N3222" s="1" t="e">
        <f>VLOOKUP(B3222,MICRO!E:L,8,0)</f>
        <v>#N/A</v>
      </c>
    </row>
    <row r="3223" spans="1:14" ht="20.25" x14ac:dyDescent="0.25">
      <c r="A3223" s="1">
        <v>58</v>
      </c>
      <c r="B3223" s="159">
        <v>2485</v>
      </c>
      <c r="C3223" s="1" t="s">
        <v>962</v>
      </c>
      <c r="D3223" s="1"/>
      <c r="E3223" s="1" t="s">
        <v>173</v>
      </c>
      <c r="F3223" s="1" t="s">
        <v>968</v>
      </c>
      <c r="G3223" s="1">
        <v>4</v>
      </c>
      <c r="H3223" s="1" t="s">
        <v>19</v>
      </c>
      <c r="I3223" s="1" t="s">
        <v>735</v>
      </c>
      <c r="J3223" s="1">
        <v>5.64</v>
      </c>
      <c r="K3223" s="1">
        <v>22.56</v>
      </c>
      <c r="L3223" s="42">
        <v>5</v>
      </c>
      <c r="M3223" s="43"/>
      <c r="N3223" s="1" t="e">
        <f>VLOOKUP(B3223,MICRO!E:L,8,0)</f>
        <v>#N/A</v>
      </c>
    </row>
    <row r="3224" spans="1:14" ht="20.25" x14ac:dyDescent="0.25">
      <c r="A3224" s="1">
        <v>61</v>
      </c>
      <c r="B3224" s="159">
        <v>2500</v>
      </c>
      <c r="C3224" s="1" t="s">
        <v>977</v>
      </c>
      <c r="D3224" s="1"/>
      <c r="E3224" s="1"/>
      <c r="F3224" s="1" t="s">
        <v>979</v>
      </c>
      <c r="G3224" s="1">
        <v>4</v>
      </c>
      <c r="H3224" s="1"/>
      <c r="I3224" s="1" t="s">
        <v>589</v>
      </c>
      <c r="J3224" s="1">
        <v>5.92</v>
      </c>
      <c r="K3224" s="1">
        <v>23.68</v>
      </c>
      <c r="L3224" s="42">
        <v>5</v>
      </c>
      <c r="M3224" s="43"/>
      <c r="N3224" s="1" t="e">
        <f>VLOOKUP(B3224,MICRO!E:L,8,0)</f>
        <v>#N/A</v>
      </c>
    </row>
    <row r="3225" spans="1:14" ht="20.25" x14ac:dyDescent="0.25">
      <c r="A3225" s="1">
        <v>65</v>
      </c>
      <c r="B3225" s="159">
        <v>2578</v>
      </c>
      <c r="C3225" s="1" t="s">
        <v>1817</v>
      </c>
      <c r="D3225" s="1"/>
      <c r="E3225" s="1" t="s">
        <v>746</v>
      </c>
      <c r="F3225" s="1" t="s">
        <v>1018</v>
      </c>
      <c r="G3225" s="1">
        <v>6</v>
      </c>
      <c r="H3225" s="1"/>
      <c r="I3225" s="1" t="s">
        <v>634</v>
      </c>
      <c r="J3225" s="1">
        <v>4.24</v>
      </c>
      <c r="K3225" s="1">
        <v>25.44</v>
      </c>
      <c r="L3225" s="42">
        <v>5</v>
      </c>
      <c r="M3225" s="43"/>
      <c r="N3225" s="1" t="e">
        <f>VLOOKUP(B3225,MICRO!E:L,8,0)</f>
        <v>#N/A</v>
      </c>
    </row>
    <row r="3226" spans="1:14" ht="20.25" x14ac:dyDescent="0.25">
      <c r="A3226" s="1">
        <v>66</v>
      </c>
      <c r="B3226" s="159">
        <v>2579</v>
      </c>
      <c r="C3226" s="1" t="s">
        <v>1817</v>
      </c>
      <c r="D3226" s="1"/>
      <c r="E3226" s="1" t="s">
        <v>1101</v>
      </c>
      <c r="F3226" s="1" t="s">
        <v>1019</v>
      </c>
      <c r="G3226" s="1">
        <v>6</v>
      </c>
      <c r="H3226" s="1"/>
      <c r="I3226" s="1" t="s">
        <v>634</v>
      </c>
      <c r="J3226" s="1">
        <v>4.24</v>
      </c>
      <c r="K3226" s="1">
        <v>25.44</v>
      </c>
      <c r="L3226" s="42">
        <v>5</v>
      </c>
      <c r="M3226" s="43"/>
      <c r="N3226" s="1" t="e">
        <f>VLOOKUP(B3226,MICRO!E:L,8,0)</f>
        <v>#N/A</v>
      </c>
    </row>
    <row r="3227" spans="1:14" ht="20.25" x14ac:dyDescent="0.25">
      <c r="A3227" s="1">
        <v>67</v>
      </c>
      <c r="B3227" s="159">
        <v>2582</v>
      </c>
      <c r="C3227" s="1" t="s">
        <v>1817</v>
      </c>
      <c r="D3227" s="1"/>
      <c r="E3227" s="1" t="s">
        <v>461</v>
      </c>
      <c r="F3227" s="1" t="s">
        <v>1077</v>
      </c>
      <c r="G3227" s="1">
        <v>6</v>
      </c>
      <c r="H3227" s="1"/>
      <c r="I3227" s="1" t="s">
        <v>634</v>
      </c>
      <c r="J3227" s="1">
        <v>5.81</v>
      </c>
      <c r="K3227" s="1">
        <v>34.86</v>
      </c>
      <c r="L3227" s="42">
        <v>5</v>
      </c>
      <c r="M3227" s="43"/>
      <c r="N3227" s="1" t="e">
        <f>VLOOKUP(B3227,MICRO!E:L,8,0)</f>
        <v>#N/A</v>
      </c>
    </row>
    <row r="3228" spans="1:14" ht="20.25" x14ac:dyDescent="0.25">
      <c r="A3228" s="1">
        <v>68</v>
      </c>
      <c r="B3228" s="159">
        <v>2583</v>
      </c>
      <c r="C3228" s="1" t="s">
        <v>1817</v>
      </c>
      <c r="D3228" s="1"/>
      <c r="E3228" s="1" t="s">
        <v>173</v>
      </c>
      <c r="F3228" s="1" t="s">
        <v>1078</v>
      </c>
      <c r="G3228" s="1">
        <v>6</v>
      </c>
      <c r="H3228" s="1"/>
      <c r="I3228" s="1" t="s">
        <v>634</v>
      </c>
      <c r="J3228" s="1">
        <v>3.83</v>
      </c>
      <c r="K3228" s="1">
        <v>22.98</v>
      </c>
      <c r="L3228" s="42">
        <v>5</v>
      </c>
      <c r="M3228" s="43"/>
      <c r="N3228" s="1" t="e">
        <f>VLOOKUP(B3228,MICRO!E:L,8,0)</f>
        <v>#N/A</v>
      </c>
    </row>
    <row r="3229" spans="1:14" ht="20.25" x14ac:dyDescent="0.25">
      <c r="A3229" s="1">
        <v>69</v>
      </c>
      <c r="B3229" s="159">
        <v>2614</v>
      </c>
      <c r="C3229" s="1" t="s">
        <v>1036</v>
      </c>
      <c r="D3229" s="1"/>
      <c r="E3229" s="1" t="s">
        <v>2</v>
      </c>
      <c r="F3229" s="1" t="s">
        <v>1037</v>
      </c>
      <c r="G3229" s="1">
        <v>1</v>
      </c>
      <c r="H3229" s="1" t="s">
        <v>19</v>
      </c>
      <c r="I3229" s="1" t="s">
        <v>585</v>
      </c>
      <c r="J3229" s="1">
        <v>73.5</v>
      </c>
      <c r="K3229" s="1">
        <v>73.5</v>
      </c>
      <c r="L3229" s="42">
        <v>5</v>
      </c>
      <c r="M3229" s="43"/>
      <c r="N3229" s="1" t="e">
        <f>VLOOKUP(B3229,MICRO!E:L,8,0)</f>
        <v>#N/A</v>
      </c>
    </row>
    <row r="3230" spans="1:14" ht="20.25" x14ac:dyDescent="0.25">
      <c r="A3230" s="1">
        <v>70</v>
      </c>
      <c r="B3230" s="159">
        <v>2615</v>
      </c>
      <c r="C3230" s="1" t="s">
        <v>1036</v>
      </c>
      <c r="D3230" s="1"/>
      <c r="E3230" s="1" t="s">
        <v>43</v>
      </c>
      <c r="F3230" s="1" t="s">
        <v>1038</v>
      </c>
      <c r="G3230" s="1">
        <v>1</v>
      </c>
      <c r="H3230" s="1" t="s">
        <v>19</v>
      </c>
      <c r="I3230" s="1" t="s">
        <v>585</v>
      </c>
      <c r="J3230" s="1">
        <v>195.3</v>
      </c>
      <c r="K3230" s="1">
        <v>141.65</v>
      </c>
      <c r="L3230" s="42">
        <v>5</v>
      </c>
      <c r="M3230" s="43"/>
      <c r="N3230" s="1" t="e">
        <f>VLOOKUP(B3230,MICRO!E:L,8,0)</f>
        <v>#N/A</v>
      </c>
    </row>
    <row r="3231" spans="1:14" ht="20.25" x14ac:dyDescent="0.25">
      <c r="A3231" s="1">
        <v>71</v>
      </c>
      <c r="B3231" s="159">
        <v>2616</v>
      </c>
      <c r="C3231" s="1" t="s">
        <v>1036</v>
      </c>
      <c r="D3231" s="1"/>
      <c r="E3231" s="1"/>
      <c r="F3231" s="1" t="s">
        <v>1039</v>
      </c>
      <c r="G3231" s="1">
        <v>2</v>
      </c>
      <c r="H3231" s="1" t="s">
        <v>19</v>
      </c>
      <c r="I3231" s="1" t="s">
        <v>585</v>
      </c>
      <c r="J3231" s="1">
        <v>5.19</v>
      </c>
      <c r="K3231" s="1">
        <v>10.38</v>
      </c>
      <c r="L3231" s="42">
        <v>5</v>
      </c>
      <c r="M3231" s="43"/>
      <c r="N3231" s="1" t="e">
        <f>VLOOKUP(B3231,MICRO!E:L,8,0)</f>
        <v>#N/A</v>
      </c>
    </row>
    <row r="3232" spans="1:14" ht="20.25" x14ac:dyDescent="0.25">
      <c r="A3232" s="1">
        <v>73</v>
      </c>
      <c r="B3232" s="159"/>
      <c r="C3232" s="1" t="s">
        <v>2742</v>
      </c>
      <c r="D3232" s="1"/>
      <c r="E3232" s="1"/>
      <c r="F3232" s="1" t="s">
        <v>2743</v>
      </c>
      <c r="G3232" s="1">
        <v>8</v>
      </c>
      <c r="H3232" s="1" t="s">
        <v>19</v>
      </c>
      <c r="I3232" s="1" t="s">
        <v>589</v>
      </c>
      <c r="J3232" s="1">
        <v>0.02</v>
      </c>
      <c r="K3232" s="1">
        <v>0.16</v>
      </c>
      <c r="L3232" s="42">
        <v>5</v>
      </c>
      <c r="M3232" s="43"/>
      <c r="N3232" s="1" t="e">
        <f>VLOOKUP(B3232,MICRO!E:L,8,0)</f>
        <v>#N/A</v>
      </c>
    </row>
    <row r="3233" spans="1:14" ht="20.25" x14ac:dyDescent="0.25">
      <c r="A3233" s="1">
        <v>74</v>
      </c>
      <c r="B3233" s="159"/>
      <c r="C3233" s="1" t="s">
        <v>142</v>
      </c>
      <c r="D3233" s="1"/>
      <c r="E3233" s="1"/>
      <c r="F3233" s="1" t="s">
        <v>2744</v>
      </c>
      <c r="G3233" s="1">
        <v>6</v>
      </c>
      <c r="H3233" s="1" t="s">
        <v>19</v>
      </c>
      <c r="I3233" s="1" t="s">
        <v>589</v>
      </c>
      <c r="J3233" s="1">
        <v>0.02</v>
      </c>
      <c r="K3233" s="1">
        <v>0.12</v>
      </c>
      <c r="L3233" s="42">
        <v>5</v>
      </c>
      <c r="M3233" s="43"/>
      <c r="N3233" s="1" t="e">
        <f>VLOOKUP(B3233,MICRO!E:L,8,0)</f>
        <v>#N/A</v>
      </c>
    </row>
    <row r="3234" spans="1:14" ht="20.25" x14ac:dyDescent="0.25">
      <c r="A3234" s="1">
        <v>75</v>
      </c>
      <c r="B3234" s="159"/>
      <c r="C3234" s="1" t="s">
        <v>143</v>
      </c>
      <c r="D3234" s="1"/>
      <c r="E3234" s="1"/>
      <c r="F3234" s="1" t="s">
        <v>2745</v>
      </c>
      <c r="G3234" s="1">
        <v>110</v>
      </c>
      <c r="H3234" s="1" t="s">
        <v>19</v>
      </c>
      <c r="I3234" s="1" t="s">
        <v>589</v>
      </c>
      <c r="J3234" s="1">
        <v>0.05</v>
      </c>
      <c r="K3234" s="1">
        <v>5.5</v>
      </c>
      <c r="L3234" s="42">
        <v>5</v>
      </c>
      <c r="M3234" s="43"/>
      <c r="N3234" s="1" t="e">
        <f>VLOOKUP(B3234,MICRO!E:L,8,0)</f>
        <v>#N/A</v>
      </c>
    </row>
    <row r="3235" spans="1:14" ht="20.25" x14ac:dyDescent="0.25">
      <c r="A3235" s="1">
        <v>76</v>
      </c>
      <c r="B3235" s="159"/>
      <c r="C3235" s="1" t="s">
        <v>2746</v>
      </c>
      <c r="D3235" s="1"/>
      <c r="E3235" s="1"/>
      <c r="F3235" s="1" t="s">
        <v>2747</v>
      </c>
      <c r="G3235" s="1">
        <v>40</v>
      </c>
      <c r="H3235" s="1" t="s">
        <v>19</v>
      </c>
      <c r="I3235" s="1" t="s">
        <v>589</v>
      </c>
      <c r="J3235" s="1">
        <v>0.05</v>
      </c>
      <c r="K3235" s="1">
        <v>2</v>
      </c>
      <c r="L3235" s="42">
        <v>5</v>
      </c>
      <c r="M3235" s="43"/>
      <c r="N3235" s="1" t="e">
        <f>VLOOKUP(B3235,MICRO!E:L,8,0)</f>
        <v>#N/A</v>
      </c>
    </row>
    <row r="3236" spans="1:14" ht="20.25" x14ac:dyDescent="0.25">
      <c r="A3236" s="1">
        <v>77</v>
      </c>
      <c r="B3236" s="159"/>
      <c r="C3236" s="1" t="s">
        <v>2742</v>
      </c>
      <c r="D3236" s="1"/>
      <c r="E3236" s="1"/>
      <c r="F3236" s="1" t="s">
        <v>2748</v>
      </c>
      <c r="G3236" s="1">
        <v>8</v>
      </c>
      <c r="H3236" s="1" t="s">
        <v>19</v>
      </c>
      <c r="I3236" s="1" t="s">
        <v>589</v>
      </c>
      <c r="J3236" s="1">
        <v>0.05</v>
      </c>
      <c r="K3236" s="1">
        <v>0.4</v>
      </c>
      <c r="L3236" s="42">
        <v>5</v>
      </c>
      <c r="M3236" s="43"/>
      <c r="N3236" s="1" t="e">
        <f>VLOOKUP(B3236,MICRO!E:L,8,0)</f>
        <v>#N/A</v>
      </c>
    </row>
    <row r="3237" spans="1:14" ht="20.25" x14ac:dyDescent="0.25">
      <c r="A3237" s="1">
        <v>78</v>
      </c>
      <c r="B3237" s="159"/>
      <c r="C3237" s="1" t="s">
        <v>143</v>
      </c>
      <c r="D3237" s="1"/>
      <c r="E3237" s="1"/>
      <c r="F3237" s="1" t="s">
        <v>2749</v>
      </c>
      <c r="G3237" s="1">
        <v>110</v>
      </c>
      <c r="H3237" s="1" t="s">
        <v>19</v>
      </c>
      <c r="I3237" s="1" t="s">
        <v>589</v>
      </c>
      <c r="J3237" s="1">
        <v>0.03</v>
      </c>
      <c r="K3237" s="1">
        <v>3.3</v>
      </c>
      <c r="L3237" s="42">
        <v>5</v>
      </c>
      <c r="M3237" s="43"/>
      <c r="N3237" s="1" t="e">
        <f>VLOOKUP(B3237,MICRO!E:L,8,0)</f>
        <v>#N/A</v>
      </c>
    </row>
    <row r="3238" spans="1:14" ht="20.25" x14ac:dyDescent="0.25">
      <c r="A3238" s="1">
        <v>79</v>
      </c>
      <c r="B3238" s="159"/>
      <c r="C3238" s="1" t="s">
        <v>2746</v>
      </c>
      <c r="D3238" s="1"/>
      <c r="E3238" s="1"/>
      <c r="F3238" s="1" t="s">
        <v>2749</v>
      </c>
      <c r="G3238" s="1">
        <v>40</v>
      </c>
      <c r="H3238" s="1" t="s">
        <v>19</v>
      </c>
      <c r="I3238" s="1" t="s">
        <v>589</v>
      </c>
      <c r="J3238" s="1">
        <v>0.03</v>
      </c>
      <c r="K3238" s="1">
        <v>1.2</v>
      </c>
      <c r="L3238" s="42">
        <v>5</v>
      </c>
      <c r="M3238" s="43"/>
      <c r="N3238" s="1" t="e">
        <f>VLOOKUP(B3238,MICRO!E:L,8,0)</f>
        <v>#N/A</v>
      </c>
    </row>
    <row r="3239" spans="1:14" ht="20.25" x14ac:dyDescent="0.25">
      <c r="A3239" s="1">
        <v>80</v>
      </c>
      <c r="B3239" s="159"/>
      <c r="C3239" s="1" t="s">
        <v>2742</v>
      </c>
      <c r="D3239" s="1"/>
      <c r="E3239" s="1"/>
      <c r="F3239" s="1" t="s">
        <v>2750</v>
      </c>
      <c r="G3239" s="1">
        <v>12</v>
      </c>
      <c r="H3239" s="1" t="s">
        <v>19</v>
      </c>
      <c r="I3239" s="1" t="s">
        <v>589</v>
      </c>
      <c r="J3239" s="1">
        <v>0.03</v>
      </c>
      <c r="K3239" s="1">
        <v>0.36</v>
      </c>
      <c r="L3239" s="42">
        <v>5</v>
      </c>
      <c r="M3239" s="43"/>
      <c r="N3239" s="1" t="e">
        <f>VLOOKUP(B3239,MICRO!E:L,8,0)</f>
        <v>#N/A</v>
      </c>
    </row>
    <row r="3240" spans="1:14" ht="20.25" x14ac:dyDescent="0.25">
      <c r="A3240" s="1">
        <v>81</v>
      </c>
      <c r="B3240" s="159"/>
      <c r="C3240" s="1" t="s">
        <v>2742</v>
      </c>
      <c r="D3240" s="1"/>
      <c r="E3240" s="1"/>
      <c r="F3240" s="1" t="s">
        <v>2751</v>
      </c>
      <c r="G3240" s="1">
        <v>8</v>
      </c>
      <c r="H3240" s="1" t="s">
        <v>19</v>
      </c>
      <c r="I3240" s="1" t="s">
        <v>589</v>
      </c>
      <c r="J3240" s="1">
        <v>0.03</v>
      </c>
      <c r="K3240" s="1">
        <v>0.24</v>
      </c>
      <c r="L3240" s="42">
        <v>5</v>
      </c>
      <c r="M3240" s="43"/>
      <c r="N3240" s="1" t="e">
        <f>VLOOKUP(B3240,MICRO!E:L,8,0)</f>
        <v>#N/A</v>
      </c>
    </row>
    <row r="3241" spans="1:14" ht="20.25" x14ac:dyDescent="0.25">
      <c r="A3241" s="1">
        <v>82</v>
      </c>
      <c r="B3241" s="159"/>
      <c r="C3241" s="1" t="s">
        <v>2752</v>
      </c>
      <c r="D3241" s="1"/>
      <c r="E3241" s="1"/>
      <c r="F3241" s="1" t="s">
        <v>2753</v>
      </c>
      <c r="G3241" s="1">
        <v>25</v>
      </c>
      <c r="H3241" s="1" t="s">
        <v>19</v>
      </c>
      <c r="I3241" s="1" t="s">
        <v>2754</v>
      </c>
      <c r="J3241" s="1">
        <v>0.02</v>
      </c>
      <c r="K3241" s="1">
        <v>0.5</v>
      </c>
      <c r="L3241" s="42">
        <v>5</v>
      </c>
      <c r="M3241" s="43"/>
      <c r="N3241" s="1" t="e">
        <f>VLOOKUP(B3241,MICRO!E:L,8,0)</f>
        <v>#N/A</v>
      </c>
    </row>
    <row r="3242" spans="1:14" ht="20.25" x14ac:dyDescent="0.25">
      <c r="A3242" s="1">
        <v>83</v>
      </c>
      <c r="B3242" s="159"/>
      <c r="C3242" s="1" t="s">
        <v>2752</v>
      </c>
      <c r="D3242" s="1"/>
      <c r="E3242" s="1"/>
      <c r="F3242" s="1" t="s">
        <v>2755</v>
      </c>
      <c r="G3242" s="1">
        <v>50</v>
      </c>
      <c r="H3242" s="1" t="s">
        <v>19</v>
      </c>
      <c r="I3242" s="1" t="s">
        <v>2754</v>
      </c>
      <c r="J3242" s="1">
        <v>0.02</v>
      </c>
      <c r="K3242" s="1">
        <v>1</v>
      </c>
      <c r="L3242" s="42">
        <v>5</v>
      </c>
      <c r="M3242" s="43"/>
      <c r="N3242" s="1" t="e">
        <f>VLOOKUP(B3242,MICRO!E:L,8,0)</f>
        <v>#N/A</v>
      </c>
    </row>
    <row r="3243" spans="1:14" ht="20.25" x14ac:dyDescent="0.25">
      <c r="A3243" s="1">
        <v>84</v>
      </c>
      <c r="B3243" s="159"/>
      <c r="C3243" s="1" t="s">
        <v>2752</v>
      </c>
      <c r="D3243" s="1"/>
      <c r="E3243" s="1"/>
      <c r="F3243" s="1" t="s">
        <v>2756</v>
      </c>
      <c r="G3243" s="1">
        <v>10</v>
      </c>
      <c r="H3243" s="1" t="s">
        <v>19</v>
      </c>
      <c r="I3243" s="1" t="s">
        <v>2754</v>
      </c>
      <c r="J3243" s="1">
        <v>0.02</v>
      </c>
      <c r="K3243" s="1">
        <v>0.2</v>
      </c>
      <c r="L3243" s="42">
        <v>5</v>
      </c>
      <c r="M3243" s="43"/>
      <c r="N3243" s="1" t="e">
        <f>VLOOKUP(B3243,MICRO!E:L,8,0)</f>
        <v>#N/A</v>
      </c>
    </row>
    <row r="3244" spans="1:14" ht="20.25" x14ac:dyDescent="0.25">
      <c r="A3244" s="1">
        <v>85</v>
      </c>
      <c r="B3244" s="159"/>
      <c r="C3244" s="1" t="s">
        <v>2752</v>
      </c>
      <c r="D3244" s="1"/>
      <c r="E3244" s="1"/>
      <c r="F3244" s="1" t="s">
        <v>2757</v>
      </c>
      <c r="G3244" s="1">
        <v>20</v>
      </c>
      <c r="H3244" s="1" t="s">
        <v>19</v>
      </c>
      <c r="I3244" s="1" t="s">
        <v>2754</v>
      </c>
      <c r="J3244" s="1">
        <v>0.05</v>
      </c>
      <c r="K3244" s="1">
        <v>1</v>
      </c>
      <c r="L3244" s="42">
        <v>5</v>
      </c>
      <c r="M3244" s="43"/>
      <c r="N3244" s="1" t="e">
        <f>VLOOKUP(B3244,MICRO!E:L,8,0)</f>
        <v>#N/A</v>
      </c>
    </row>
    <row r="3245" spans="1:14" ht="20.25" x14ac:dyDescent="0.25">
      <c r="A3245" s="1">
        <v>86</v>
      </c>
      <c r="B3245" s="159"/>
      <c r="C3245" s="1" t="s">
        <v>2752</v>
      </c>
      <c r="D3245" s="1"/>
      <c r="E3245" s="1"/>
      <c r="F3245" s="1" t="s">
        <v>2758</v>
      </c>
      <c r="G3245" s="1">
        <v>25</v>
      </c>
      <c r="H3245" s="1" t="s">
        <v>19</v>
      </c>
      <c r="I3245" s="1" t="s">
        <v>2754</v>
      </c>
      <c r="J3245" s="1">
        <v>0.05</v>
      </c>
      <c r="K3245" s="1">
        <v>1.25</v>
      </c>
      <c r="L3245" s="42">
        <v>5</v>
      </c>
      <c r="M3245" s="43"/>
      <c r="N3245" s="1" t="e">
        <f>VLOOKUP(B3245,MICRO!E:L,8,0)</f>
        <v>#N/A</v>
      </c>
    </row>
    <row r="3246" spans="1:14" ht="20.25" x14ac:dyDescent="0.25">
      <c r="A3246" s="1">
        <v>87</v>
      </c>
      <c r="B3246" s="159"/>
      <c r="C3246" s="1" t="s">
        <v>2759</v>
      </c>
      <c r="D3246" s="1"/>
      <c r="E3246" s="1"/>
      <c r="F3246" s="1" t="s">
        <v>2760</v>
      </c>
      <c r="G3246" s="1">
        <v>10</v>
      </c>
      <c r="H3246" s="1" t="s">
        <v>19</v>
      </c>
      <c r="I3246" s="1" t="s">
        <v>2761</v>
      </c>
      <c r="J3246" s="1">
        <v>0.05</v>
      </c>
      <c r="K3246" s="1">
        <v>0.5</v>
      </c>
      <c r="L3246" s="42">
        <v>5</v>
      </c>
      <c r="M3246" s="43"/>
      <c r="N3246" s="1" t="e">
        <f>VLOOKUP(B3246,MICRO!E:L,8,0)</f>
        <v>#N/A</v>
      </c>
    </row>
    <row r="3247" spans="1:14" ht="20.25" x14ac:dyDescent="0.25">
      <c r="A3247" s="1">
        <v>88</v>
      </c>
      <c r="B3247" s="159"/>
      <c r="C3247" s="1" t="s">
        <v>2752</v>
      </c>
      <c r="D3247" s="1"/>
      <c r="E3247" s="1"/>
      <c r="F3247" s="1" t="s">
        <v>2762</v>
      </c>
      <c r="G3247" s="1">
        <v>25</v>
      </c>
      <c r="H3247" s="1" t="s">
        <v>19</v>
      </c>
      <c r="I3247" s="1" t="s">
        <v>2754</v>
      </c>
      <c r="J3247" s="1">
        <v>0.05</v>
      </c>
      <c r="K3247" s="1">
        <v>1.25</v>
      </c>
      <c r="L3247" s="42">
        <v>5</v>
      </c>
      <c r="M3247" s="43"/>
      <c r="N3247" s="1" t="e">
        <f>VLOOKUP(B3247,MICRO!E:L,8,0)</f>
        <v>#N/A</v>
      </c>
    </row>
    <row r="3248" spans="1:14" ht="20.25" x14ac:dyDescent="0.25">
      <c r="A3248" s="1">
        <v>89</v>
      </c>
      <c r="B3248" s="159"/>
      <c r="C3248" s="1" t="s">
        <v>2752</v>
      </c>
      <c r="D3248" s="1"/>
      <c r="E3248" s="1"/>
      <c r="F3248" s="1" t="s">
        <v>2763</v>
      </c>
      <c r="G3248" s="1">
        <v>20</v>
      </c>
      <c r="H3248" s="1" t="s">
        <v>19</v>
      </c>
      <c r="I3248" s="1" t="s">
        <v>2754</v>
      </c>
      <c r="J3248" s="1">
        <v>0.03</v>
      </c>
      <c r="K3248" s="1">
        <v>0.6</v>
      </c>
      <c r="L3248" s="42">
        <v>5</v>
      </c>
      <c r="M3248" s="43"/>
      <c r="N3248" s="1" t="e">
        <f>VLOOKUP(B3248,MICRO!E:L,8,0)</f>
        <v>#N/A</v>
      </c>
    </row>
    <row r="3249" spans="1:14" ht="20.25" x14ac:dyDescent="0.25">
      <c r="A3249" s="1">
        <v>90</v>
      </c>
      <c r="B3249" s="159"/>
      <c r="C3249" s="1" t="s">
        <v>2759</v>
      </c>
      <c r="D3249" s="1"/>
      <c r="E3249" s="1"/>
      <c r="F3249" s="1" t="s">
        <v>2764</v>
      </c>
      <c r="G3249" s="1">
        <v>10</v>
      </c>
      <c r="H3249" s="1" t="s">
        <v>19</v>
      </c>
      <c r="I3249" s="1" t="s">
        <v>2761</v>
      </c>
      <c r="J3249" s="1">
        <v>0.03</v>
      </c>
      <c r="K3249" s="1">
        <v>0.3</v>
      </c>
      <c r="L3249" s="42">
        <v>5</v>
      </c>
      <c r="M3249" s="43"/>
      <c r="N3249" s="1" t="e">
        <f>VLOOKUP(B3249,MICRO!E:L,8,0)</f>
        <v>#N/A</v>
      </c>
    </row>
    <row r="3250" spans="1:14" ht="20.25" x14ac:dyDescent="0.25">
      <c r="A3250" s="1">
        <v>91</v>
      </c>
      <c r="B3250" s="159"/>
      <c r="C3250" s="1" t="s">
        <v>2752</v>
      </c>
      <c r="D3250" s="1"/>
      <c r="E3250" s="1"/>
      <c r="F3250" s="1" t="s">
        <v>2764</v>
      </c>
      <c r="G3250" s="1">
        <v>50</v>
      </c>
      <c r="H3250" s="1" t="s">
        <v>19</v>
      </c>
      <c r="I3250" s="1" t="s">
        <v>2754</v>
      </c>
      <c r="J3250" s="1">
        <v>0.03</v>
      </c>
      <c r="K3250" s="1">
        <v>1.5</v>
      </c>
      <c r="L3250" s="42">
        <v>5</v>
      </c>
      <c r="M3250" s="43"/>
      <c r="N3250" s="1" t="e">
        <f>VLOOKUP(B3250,MICRO!E:L,8,0)</f>
        <v>#N/A</v>
      </c>
    </row>
    <row r="3251" spans="1:14" ht="20.25" x14ac:dyDescent="0.25">
      <c r="A3251" s="1">
        <v>92</v>
      </c>
      <c r="B3251" s="159"/>
      <c r="C3251" s="1" t="s">
        <v>147</v>
      </c>
      <c r="D3251" s="1"/>
      <c r="E3251" s="1"/>
      <c r="F3251" s="1" t="s">
        <v>2765</v>
      </c>
      <c r="G3251" s="1">
        <v>30</v>
      </c>
      <c r="H3251" s="1" t="s">
        <v>19</v>
      </c>
      <c r="I3251" s="1" t="s">
        <v>629</v>
      </c>
      <c r="J3251" s="1">
        <v>0.02</v>
      </c>
      <c r="K3251" s="1">
        <v>0.6</v>
      </c>
      <c r="L3251" s="42">
        <v>5</v>
      </c>
      <c r="M3251" s="43"/>
      <c r="N3251" s="1" t="e">
        <f>VLOOKUP(B3251,MICRO!E:L,8,0)</f>
        <v>#N/A</v>
      </c>
    </row>
    <row r="3252" spans="1:14" ht="20.25" x14ac:dyDescent="0.25">
      <c r="A3252" s="1">
        <v>93</v>
      </c>
      <c r="B3252" s="159"/>
      <c r="C3252" s="1" t="s">
        <v>132</v>
      </c>
      <c r="D3252" s="1"/>
      <c r="E3252" s="1"/>
      <c r="F3252" s="1" t="s">
        <v>2766</v>
      </c>
      <c r="G3252" s="1">
        <v>80</v>
      </c>
      <c r="H3252" s="1" t="s">
        <v>19</v>
      </c>
      <c r="I3252" s="1" t="s">
        <v>634</v>
      </c>
      <c r="J3252" s="1">
        <v>0.02</v>
      </c>
      <c r="K3252" s="1">
        <v>1.6</v>
      </c>
      <c r="L3252" s="42">
        <v>5</v>
      </c>
      <c r="M3252" s="43"/>
      <c r="N3252" s="1" t="e">
        <f>VLOOKUP(B3252,MICRO!E:L,8,0)</f>
        <v>#N/A</v>
      </c>
    </row>
    <row r="3253" spans="1:14" ht="20.25" x14ac:dyDescent="0.25">
      <c r="A3253" s="1">
        <v>94</v>
      </c>
      <c r="B3253" s="159"/>
      <c r="C3253" s="1" t="s">
        <v>2767</v>
      </c>
      <c r="D3253" s="1"/>
      <c r="E3253" s="1"/>
      <c r="F3253" s="1" t="s">
        <v>2768</v>
      </c>
      <c r="G3253" s="1">
        <v>30</v>
      </c>
      <c r="H3253" s="1" t="s">
        <v>19</v>
      </c>
      <c r="I3253" s="1" t="s">
        <v>2769</v>
      </c>
      <c r="J3253" s="1">
        <v>0.02</v>
      </c>
      <c r="K3253" s="1">
        <v>0.6</v>
      </c>
      <c r="L3253" s="42">
        <v>5</v>
      </c>
      <c r="M3253" s="43"/>
      <c r="N3253" s="1" t="e">
        <f>VLOOKUP(B3253,MICRO!E:L,8,0)</f>
        <v>#N/A</v>
      </c>
    </row>
    <row r="3254" spans="1:14" ht="20.25" x14ac:dyDescent="0.25">
      <c r="A3254" s="1">
        <v>95</v>
      </c>
      <c r="B3254" s="159"/>
      <c r="C3254" s="1" t="s">
        <v>147</v>
      </c>
      <c r="D3254" s="1"/>
      <c r="E3254" s="1"/>
      <c r="F3254" s="1" t="s">
        <v>2770</v>
      </c>
      <c r="G3254" s="1">
        <v>30</v>
      </c>
      <c r="H3254" s="1" t="s">
        <v>19</v>
      </c>
      <c r="I3254" s="1" t="s">
        <v>629</v>
      </c>
      <c r="J3254" s="1">
        <v>0.02</v>
      </c>
      <c r="K3254" s="1">
        <v>0.6</v>
      </c>
      <c r="L3254" s="42">
        <v>5</v>
      </c>
      <c r="M3254" s="43"/>
      <c r="N3254" s="1" t="e">
        <f>VLOOKUP(B3254,MICRO!E:L,8,0)</f>
        <v>#N/A</v>
      </c>
    </row>
    <row r="3255" spans="1:14" ht="20.25" x14ac:dyDescent="0.25">
      <c r="A3255" s="1">
        <v>96</v>
      </c>
      <c r="B3255" s="159"/>
      <c r="C3255" s="1" t="s">
        <v>132</v>
      </c>
      <c r="D3255" s="1"/>
      <c r="E3255" s="1"/>
      <c r="F3255" s="1" t="s">
        <v>2771</v>
      </c>
      <c r="G3255" s="1">
        <v>80</v>
      </c>
      <c r="H3255" s="1" t="s">
        <v>19</v>
      </c>
      <c r="I3255" s="1" t="s">
        <v>634</v>
      </c>
      <c r="J3255" s="1">
        <v>0.05</v>
      </c>
      <c r="K3255" s="1">
        <v>4</v>
      </c>
      <c r="L3255" s="42">
        <v>5</v>
      </c>
      <c r="M3255" s="43"/>
      <c r="N3255" s="1" t="e">
        <f>VLOOKUP(B3255,MICRO!E:L,8,0)</f>
        <v>#N/A</v>
      </c>
    </row>
    <row r="3256" spans="1:14" ht="20.25" x14ac:dyDescent="0.25">
      <c r="A3256" s="1">
        <v>97</v>
      </c>
      <c r="B3256" s="159"/>
      <c r="C3256" s="1" t="s">
        <v>147</v>
      </c>
      <c r="D3256" s="1"/>
      <c r="E3256" s="1"/>
      <c r="F3256" s="1" t="s">
        <v>2772</v>
      </c>
      <c r="G3256" s="1">
        <v>30</v>
      </c>
      <c r="H3256" s="1" t="s">
        <v>19</v>
      </c>
      <c r="I3256" s="1" t="s">
        <v>629</v>
      </c>
      <c r="J3256" s="1">
        <v>0.05</v>
      </c>
      <c r="K3256" s="1">
        <v>1.5</v>
      </c>
      <c r="L3256" s="42">
        <v>5</v>
      </c>
      <c r="M3256" s="43"/>
      <c r="N3256" s="1" t="e">
        <f>VLOOKUP(B3256,MICRO!E:L,8,0)</f>
        <v>#N/A</v>
      </c>
    </row>
    <row r="3257" spans="1:14" ht="20.25" x14ac:dyDescent="0.25">
      <c r="A3257" s="1">
        <v>98</v>
      </c>
      <c r="B3257" s="159"/>
      <c r="C3257" s="1" t="s">
        <v>2773</v>
      </c>
      <c r="D3257" s="1"/>
      <c r="E3257" s="1"/>
      <c r="F3257" s="1" t="s">
        <v>2774</v>
      </c>
      <c r="G3257" s="1">
        <v>15</v>
      </c>
      <c r="H3257" s="1" t="s">
        <v>19</v>
      </c>
      <c r="I3257" s="1" t="s">
        <v>2775</v>
      </c>
      <c r="J3257" s="1">
        <v>0.05</v>
      </c>
      <c r="K3257" s="1">
        <v>0.75</v>
      </c>
      <c r="L3257" s="42">
        <v>5</v>
      </c>
      <c r="M3257" s="43"/>
      <c r="N3257" s="1" t="e">
        <f>VLOOKUP(B3257,MICRO!E:L,8,0)</f>
        <v>#N/A</v>
      </c>
    </row>
    <row r="3258" spans="1:14" ht="20.25" x14ac:dyDescent="0.25">
      <c r="A3258" s="1">
        <v>99</v>
      </c>
      <c r="B3258" s="159"/>
      <c r="C3258" s="1" t="s">
        <v>727</v>
      </c>
      <c r="D3258" s="1"/>
      <c r="E3258" s="1"/>
      <c r="F3258" s="1" t="s">
        <v>2776</v>
      </c>
      <c r="G3258" s="1">
        <v>30</v>
      </c>
      <c r="H3258" s="1" t="s">
        <v>19</v>
      </c>
      <c r="I3258" s="1" t="s">
        <v>634</v>
      </c>
      <c r="J3258" s="1">
        <v>0.05</v>
      </c>
      <c r="K3258" s="1">
        <v>1.5</v>
      </c>
      <c r="L3258" s="42">
        <v>5</v>
      </c>
      <c r="M3258" s="43"/>
      <c r="N3258" s="1" t="e">
        <f>VLOOKUP(B3258,MICRO!E:L,8,0)</f>
        <v>#N/A</v>
      </c>
    </row>
    <row r="3259" spans="1:14" ht="20.25" x14ac:dyDescent="0.25">
      <c r="A3259" s="1">
        <v>100</v>
      </c>
      <c r="B3259" s="159"/>
      <c r="C3259" s="1" t="s">
        <v>147</v>
      </c>
      <c r="D3259" s="1"/>
      <c r="E3259" s="1"/>
      <c r="F3259" s="1" t="s">
        <v>2777</v>
      </c>
      <c r="G3259" s="1">
        <v>30</v>
      </c>
      <c r="H3259" s="1" t="s">
        <v>19</v>
      </c>
      <c r="I3259" s="1" t="s">
        <v>629</v>
      </c>
      <c r="J3259" s="1">
        <v>0.03</v>
      </c>
      <c r="K3259" s="1">
        <v>0.89999999999999991</v>
      </c>
      <c r="L3259" s="42">
        <v>5</v>
      </c>
      <c r="M3259" s="43"/>
      <c r="N3259" s="1" t="e">
        <f>VLOOKUP(B3259,MICRO!E:L,8,0)</f>
        <v>#N/A</v>
      </c>
    </row>
    <row r="3260" spans="1:14" ht="20.25" x14ac:dyDescent="0.25">
      <c r="A3260" s="1">
        <v>101</v>
      </c>
      <c r="B3260" s="159"/>
      <c r="C3260" s="1" t="s">
        <v>132</v>
      </c>
      <c r="D3260" s="1"/>
      <c r="E3260" s="1"/>
      <c r="F3260" s="1" t="s">
        <v>2778</v>
      </c>
      <c r="G3260" s="1">
        <v>80</v>
      </c>
      <c r="H3260" s="1" t="s">
        <v>19</v>
      </c>
      <c r="I3260" s="1" t="s">
        <v>634</v>
      </c>
      <c r="J3260" s="1">
        <v>0.03</v>
      </c>
      <c r="K3260" s="1">
        <v>2.4</v>
      </c>
      <c r="L3260" s="42">
        <v>5</v>
      </c>
      <c r="M3260" s="43"/>
      <c r="N3260" s="1" t="e">
        <f>VLOOKUP(B3260,MICRO!E:L,8,0)</f>
        <v>#N/A</v>
      </c>
    </row>
    <row r="3261" spans="1:14" ht="20.25" x14ac:dyDescent="0.25">
      <c r="A3261" s="1">
        <v>102</v>
      </c>
      <c r="B3261" s="159"/>
      <c r="C3261" s="1" t="s">
        <v>2779</v>
      </c>
      <c r="D3261" s="1"/>
      <c r="E3261" s="1"/>
      <c r="F3261" s="1" t="s">
        <v>2780</v>
      </c>
      <c r="G3261" s="1">
        <v>2</v>
      </c>
      <c r="H3261" s="1" t="s">
        <v>19</v>
      </c>
      <c r="I3261" s="1" t="s">
        <v>2781</v>
      </c>
      <c r="J3261" s="1">
        <v>0.02</v>
      </c>
      <c r="K3261" s="1">
        <v>0.04</v>
      </c>
      <c r="L3261" s="42">
        <v>5</v>
      </c>
      <c r="M3261" s="43"/>
      <c r="N3261" s="1" t="e">
        <f>VLOOKUP(B3261,MICRO!E:L,8,0)</f>
        <v>#N/A</v>
      </c>
    </row>
    <row r="3262" spans="1:14" ht="20.25" x14ac:dyDescent="0.25">
      <c r="A3262" s="1">
        <v>103</v>
      </c>
      <c r="B3262" s="159"/>
      <c r="C3262" s="1" t="s">
        <v>2782</v>
      </c>
      <c r="D3262" s="1"/>
      <c r="E3262" s="1"/>
      <c r="F3262" s="1" t="s">
        <v>2783</v>
      </c>
      <c r="G3262" s="1">
        <v>6</v>
      </c>
      <c r="H3262" s="1" t="s">
        <v>19</v>
      </c>
      <c r="I3262" s="1" t="s">
        <v>2784</v>
      </c>
      <c r="J3262" s="1">
        <v>0.02</v>
      </c>
      <c r="K3262" s="1">
        <v>0.12</v>
      </c>
      <c r="L3262" s="42">
        <v>5</v>
      </c>
      <c r="M3262" s="43"/>
      <c r="N3262" s="1" t="e">
        <f>VLOOKUP(B3262,MICRO!E:L,8,0)</f>
        <v>#N/A</v>
      </c>
    </row>
    <row r="3263" spans="1:14" ht="20.25" x14ac:dyDescent="0.25">
      <c r="A3263" s="1">
        <v>104</v>
      </c>
      <c r="B3263" s="159"/>
      <c r="C3263" s="1" t="s">
        <v>1998</v>
      </c>
      <c r="D3263" s="1"/>
      <c r="E3263" s="1"/>
      <c r="F3263" s="1" t="s">
        <v>2785</v>
      </c>
      <c r="G3263" s="1">
        <v>14</v>
      </c>
      <c r="H3263" s="1" t="s">
        <v>19</v>
      </c>
      <c r="I3263" s="1" t="s">
        <v>629</v>
      </c>
      <c r="J3263" s="1">
        <v>0.02</v>
      </c>
      <c r="K3263" s="1">
        <v>0.28000000000000003</v>
      </c>
      <c r="L3263" s="42">
        <v>5</v>
      </c>
      <c r="M3263" s="43"/>
      <c r="N3263" s="1" t="e">
        <f>VLOOKUP(B3263,MICRO!E:L,8,0)</f>
        <v>#N/A</v>
      </c>
    </row>
    <row r="3264" spans="1:14" ht="20.25" x14ac:dyDescent="0.25">
      <c r="A3264" s="1">
        <v>105</v>
      </c>
      <c r="B3264" s="159"/>
      <c r="C3264" s="1" t="s">
        <v>1998</v>
      </c>
      <c r="D3264" s="1"/>
      <c r="E3264" s="1"/>
      <c r="F3264" s="1" t="s">
        <v>2785</v>
      </c>
      <c r="G3264" s="1">
        <v>12</v>
      </c>
      <c r="H3264" s="1" t="s">
        <v>19</v>
      </c>
      <c r="I3264" s="1" t="s">
        <v>629</v>
      </c>
      <c r="J3264" s="1">
        <v>0.02</v>
      </c>
      <c r="K3264" s="1">
        <v>0.24</v>
      </c>
      <c r="L3264" s="42">
        <v>5</v>
      </c>
      <c r="M3264" s="43"/>
      <c r="N3264" s="1" t="e">
        <f>VLOOKUP(B3264,MICRO!E:L,8,0)</f>
        <v>#N/A</v>
      </c>
    </row>
    <row r="3265" spans="1:14" ht="20.25" x14ac:dyDescent="0.25">
      <c r="A3265" s="1">
        <v>106</v>
      </c>
      <c r="B3265" s="159"/>
      <c r="C3265" s="1" t="s">
        <v>1998</v>
      </c>
      <c r="D3265" s="1"/>
      <c r="E3265" s="1"/>
      <c r="F3265" s="1" t="s">
        <v>2785</v>
      </c>
      <c r="G3265" s="1">
        <v>12</v>
      </c>
      <c r="H3265" s="1" t="s">
        <v>19</v>
      </c>
      <c r="I3265" s="1" t="s">
        <v>629</v>
      </c>
      <c r="J3265" s="1">
        <v>0.02</v>
      </c>
      <c r="K3265" s="1">
        <v>0.24</v>
      </c>
      <c r="L3265" s="42">
        <v>5</v>
      </c>
      <c r="M3265" s="43"/>
      <c r="N3265" s="1" t="e">
        <f>VLOOKUP(B3265,MICRO!E:L,8,0)</f>
        <v>#N/A</v>
      </c>
    </row>
    <row r="3266" spans="1:14" ht="20.25" x14ac:dyDescent="0.25">
      <c r="A3266" s="1">
        <v>107</v>
      </c>
      <c r="B3266" s="159"/>
      <c r="C3266" s="1" t="s">
        <v>1998</v>
      </c>
      <c r="D3266" s="1"/>
      <c r="E3266" s="1"/>
      <c r="F3266" s="1" t="s">
        <v>2786</v>
      </c>
      <c r="G3266" s="1">
        <v>18</v>
      </c>
      <c r="H3266" s="1" t="s">
        <v>19</v>
      </c>
      <c r="I3266" s="1" t="s">
        <v>629</v>
      </c>
      <c r="J3266" s="1">
        <v>0.02</v>
      </c>
      <c r="K3266" s="1">
        <v>0.36</v>
      </c>
      <c r="L3266" s="42">
        <v>5</v>
      </c>
      <c r="M3266" s="43"/>
      <c r="N3266" s="1" t="e">
        <f>VLOOKUP(B3266,MICRO!E:L,8,0)</f>
        <v>#N/A</v>
      </c>
    </row>
    <row r="3267" spans="1:14" ht="20.25" x14ac:dyDescent="0.25">
      <c r="A3267" s="1">
        <v>108</v>
      </c>
      <c r="B3267" s="159"/>
      <c r="C3267" s="1" t="s">
        <v>2782</v>
      </c>
      <c r="D3267" s="1"/>
      <c r="E3267" s="1"/>
      <c r="F3267" s="1" t="s">
        <v>2787</v>
      </c>
      <c r="G3267" s="1">
        <v>9</v>
      </c>
      <c r="H3267" s="1" t="s">
        <v>19</v>
      </c>
      <c r="I3267" s="1" t="s">
        <v>629</v>
      </c>
      <c r="J3267" s="1">
        <v>0.02</v>
      </c>
      <c r="K3267" s="1">
        <v>0.18</v>
      </c>
      <c r="L3267" s="42">
        <v>5</v>
      </c>
      <c r="M3267" s="43"/>
      <c r="N3267" s="1" t="e">
        <f>VLOOKUP(B3267,MICRO!E:L,8,0)</f>
        <v>#N/A</v>
      </c>
    </row>
    <row r="3268" spans="1:14" ht="20.25" x14ac:dyDescent="0.25">
      <c r="A3268" s="1">
        <v>109</v>
      </c>
      <c r="B3268" s="159"/>
      <c r="C3268" s="1" t="s">
        <v>1998</v>
      </c>
      <c r="D3268" s="1"/>
      <c r="E3268" s="1"/>
      <c r="F3268" s="1" t="s">
        <v>2788</v>
      </c>
      <c r="G3268" s="1">
        <v>14</v>
      </c>
      <c r="H3268" s="1" t="s">
        <v>19</v>
      </c>
      <c r="I3268" s="1" t="s">
        <v>629</v>
      </c>
      <c r="J3268" s="1">
        <v>0.02</v>
      </c>
      <c r="K3268" s="1">
        <v>0.28000000000000003</v>
      </c>
      <c r="L3268" s="42">
        <v>5</v>
      </c>
      <c r="M3268" s="43"/>
      <c r="N3268" s="1" t="e">
        <f>VLOOKUP(B3268,MICRO!E:L,8,0)</f>
        <v>#N/A</v>
      </c>
    </row>
    <row r="3269" spans="1:14" ht="20.25" x14ac:dyDescent="0.25">
      <c r="A3269" s="1">
        <v>110</v>
      </c>
      <c r="B3269" s="159"/>
      <c r="C3269" s="1" t="s">
        <v>2789</v>
      </c>
      <c r="D3269" s="1"/>
      <c r="E3269" s="1"/>
      <c r="F3269" s="1" t="s">
        <v>2790</v>
      </c>
      <c r="G3269" s="1">
        <v>4</v>
      </c>
      <c r="H3269" s="1" t="s">
        <v>19</v>
      </c>
      <c r="I3269" s="1" t="s">
        <v>629</v>
      </c>
      <c r="J3269" s="1">
        <v>0.02</v>
      </c>
      <c r="K3269" s="1">
        <v>0.08</v>
      </c>
      <c r="L3269" s="42">
        <v>5</v>
      </c>
      <c r="M3269" s="43"/>
      <c r="N3269" s="1" t="e">
        <f>VLOOKUP(B3269,MICRO!E:L,8,0)</f>
        <v>#N/A</v>
      </c>
    </row>
    <row r="3270" spans="1:14" ht="20.25" x14ac:dyDescent="0.25">
      <c r="A3270" s="1">
        <v>111</v>
      </c>
      <c r="B3270" s="159"/>
      <c r="C3270" s="1" t="s">
        <v>2791</v>
      </c>
      <c r="D3270" s="1"/>
      <c r="E3270" s="1"/>
      <c r="F3270" s="1" t="s">
        <v>2792</v>
      </c>
      <c r="G3270" s="1">
        <v>80</v>
      </c>
      <c r="H3270" s="1" t="s">
        <v>19</v>
      </c>
      <c r="I3270" s="1" t="s">
        <v>629</v>
      </c>
      <c r="J3270" s="1">
        <v>0.02</v>
      </c>
      <c r="K3270" s="1">
        <v>1.6</v>
      </c>
      <c r="L3270" s="42">
        <v>5</v>
      </c>
      <c r="M3270" s="43"/>
      <c r="N3270" s="1" t="e">
        <f>VLOOKUP(B3270,MICRO!E:L,8,0)</f>
        <v>#N/A</v>
      </c>
    </row>
    <row r="3271" spans="1:14" ht="20.25" x14ac:dyDescent="0.25">
      <c r="A3271" s="1">
        <v>112</v>
      </c>
      <c r="B3271" s="159"/>
      <c r="C3271" s="1" t="s">
        <v>2793</v>
      </c>
      <c r="D3271" s="1"/>
      <c r="E3271" s="1"/>
      <c r="F3271" s="1" t="s">
        <v>2794</v>
      </c>
      <c r="G3271" s="1">
        <v>8</v>
      </c>
      <c r="H3271" s="1" t="s">
        <v>19</v>
      </c>
      <c r="I3271" s="1" t="s">
        <v>629</v>
      </c>
      <c r="J3271" s="1">
        <v>0.02</v>
      </c>
      <c r="K3271" s="1">
        <v>0.16</v>
      </c>
      <c r="L3271" s="42">
        <v>5</v>
      </c>
      <c r="M3271" s="43"/>
      <c r="N3271" s="1" t="e">
        <f>VLOOKUP(B3271,MICRO!E:L,8,0)</f>
        <v>#N/A</v>
      </c>
    </row>
    <row r="3272" spans="1:14" ht="20.25" x14ac:dyDescent="0.25">
      <c r="A3272" s="1">
        <v>113</v>
      </c>
      <c r="B3272" s="159"/>
      <c r="C3272" s="1" t="s">
        <v>2795</v>
      </c>
      <c r="D3272" s="1"/>
      <c r="E3272" s="1"/>
      <c r="F3272" s="1" t="s">
        <v>2796</v>
      </c>
      <c r="G3272" s="1">
        <v>4</v>
      </c>
      <c r="H3272" s="1" t="s">
        <v>19</v>
      </c>
      <c r="I3272" s="1" t="s">
        <v>2797</v>
      </c>
      <c r="J3272" s="1">
        <v>0.02</v>
      </c>
      <c r="K3272" s="1">
        <v>0.08</v>
      </c>
      <c r="L3272" s="42">
        <v>5</v>
      </c>
      <c r="M3272" s="43"/>
      <c r="N3272" s="1" t="e">
        <f>VLOOKUP(B3272,MICRO!E:L,8,0)</f>
        <v>#N/A</v>
      </c>
    </row>
    <row r="3273" spans="1:14" ht="20.25" x14ac:dyDescent="0.25">
      <c r="A3273" s="1">
        <v>114</v>
      </c>
      <c r="B3273" s="159"/>
      <c r="C3273" s="1" t="s">
        <v>2798</v>
      </c>
      <c r="D3273" s="1"/>
      <c r="E3273" s="1"/>
      <c r="F3273" s="1" t="s">
        <v>2799</v>
      </c>
      <c r="G3273" s="1">
        <v>21</v>
      </c>
      <c r="H3273" s="1" t="s">
        <v>19</v>
      </c>
      <c r="I3273" s="1" t="s">
        <v>629</v>
      </c>
      <c r="J3273" s="1">
        <v>0.02</v>
      </c>
      <c r="K3273" s="1">
        <v>0.42</v>
      </c>
      <c r="L3273" s="42">
        <v>5</v>
      </c>
      <c r="M3273" s="43"/>
      <c r="N3273" s="1" t="e">
        <f>VLOOKUP(B3273,MICRO!E:L,8,0)</f>
        <v>#N/A</v>
      </c>
    </row>
    <row r="3274" spans="1:14" ht="20.25" x14ac:dyDescent="0.25">
      <c r="A3274" s="1">
        <v>115</v>
      </c>
      <c r="B3274" s="159"/>
      <c r="C3274" s="1" t="s">
        <v>2779</v>
      </c>
      <c r="D3274" s="1"/>
      <c r="E3274" s="1"/>
      <c r="F3274" s="1" t="s">
        <v>2800</v>
      </c>
      <c r="G3274" s="1">
        <v>2</v>
      </c>
      <c r="H3274" s="1" t="s">
        <v>19</v>
      </c>
      <c r="I3274" s="1" t="s">
        <v>629</v>
      </c>
      <c r="J3274" s="1">
        <v>0.01</v>
      </c>
      <c r="K3274" s="1">
        <v>0.02</v>
      </c>
      <c r="L3274" s="42">
        <v>5</v>
      </c>
      <c r="M3274" s="43"/>
      <c r="N3274" s="1" t="e">
        <f>VLOOKUP(B3274,MICRO!E:L,8,0)</f>
        <v>#N/A</v>
      </c>
    </row>
    <row r="3275" spans="1:14" ht="20.25" x14ac:dyDescent="0.25">
      <c r="A3275" s="1">
        <v>116</v>
      </c>
      <c r="B3275" s="159"/>
      <c r="C3275" s="1" t="s">
        <v>1281</v>
      </c>
      <c r="D3275" s="1"/>
      <c r="E3275" s="1"/>
      <c r="F3275" s="1" t="s">
        <v>2801</v>
      </c>
      <c r="G3275" s="1">
        <v>96</v>
      </c>
      <c r="H3275" s="1" t="s">
        <v>19</v>
      </c>
      <c r="I3275" s="1" t="s">
        <v>2802</v>
      </c>
      <c r="J3275" s="1">
        <v>0.05</v>
      </c>
      <c r="K3275" s="1">
        <v>4.8000000000000007</v>
      </c>
      <c r="L3275" s="42">
        <v>5</v>
      </c>
      <c r="M3275" s="43"/>
      <c r="N3275" s="1" t="e">
        <f>VLOOKUP(B3275,MICRO!E:L,8,0)</f>
        <v>#N/A</v>
      </c>
    </row>
    <row r="3276" spans="1:14" ht="20.25" x14ac:dyDescent="0.25">
      <c r="A3276" s="1">
        <v>117</v>
      </c>
      <c r="B3276" s="159"/>
      <c r="C3276" s="1" t="s">
        <v>1998</v>
      </c>
      <c r="D3276" s="1"/>
      <c r="E3276" s="1"/>
      <c r="F3276" s="1" t="s">
        <v>2803</v>
      </c>
      <c r="G3276" s="1">
        <v>14</v>
      </c>
      <c r="H3276" s="1" t="s">
        <v>19</v>
      </c>
      <c r="I3276" s="1" t="s">
        <v>629</v>
      </c>
      <c r="J3276" s="1">
        <v>0.05</v>
      </c>
      <c r="K3276" s="1">
        <v>0.70000000000000007</v>
      </c>
      <c r="L3276" s="42">
        <v>5</v>
      </c>
      <c r="M3276" s="43"/>
      <c r="N3276" s="1" t="e">
        <f>VLOOKUP(B3276,MICRO!E:L,8,0)</f>
        <v>#N/A</v>
      </c>
    </row>
    <row r="3277" spans="1:14" ht="20.25" x14ac:dyDescent="0.25">
      <c r="A3277" s="1">
        <v>118</v>
      </c>
      <c r="B3277" s="159"/>
      <c r="C3277" s="1" t="s">
        <v>2782</v>
      </c>
      <c r="D3277" s="1"/>
      <c r="E3277" s="1"/>
      <c r="F3277" s="1" t="s">
        <v>2804</v>
      </c>
      <c r="G3277" s="1">
        <v>10</v>
      </c>
      <c r="H3277" s="1" t="s">
        <v>19</v>
      </c>
      <c r="I3277" s="1" t="s">
        <v>629</v>
      </c>
      <c r="J3277" s="1">
        <v>0.05</v>
      </c>
      <c r="K3277" s="1">
        <v>0.5</v>
      </c>
      <c r="L3277" s="42">
        <v>5</v>
      </c>
      <c r="M3277" s="43"/>
      <c r="N3277" s="1" t="e">
        <f>VLOOKUP(B3277,MICRO!E:L,8,0)</f>
        <v>#N/A</v>
      </c>
    </row>
    <row r="3278" spans="1:14" ht="20.25" x14ac:dyDescent="0.25">
      <c r="A3278" s="1">
        <v>119</v>
      </c>
      <c r="B3278" s="159"/>
      <c r="C3278" s="1" t="s">
        <v>1998</v>
      </c>
      <c r="D3278" s="1"/>
      <c r="E3278" s="1"/>
      <c r="F3278" s="1" t="s">
        <v>2805</v>
      </c>
      <c r="G3278" s="1">
        <v>12</v>
      </c>
      <c r="H3278" s="1" t="s">
        <v>19</v>
      </c>
      <c r="I3278" s="1" t="s">
        <v>629</v>
      </c>
      <c r="J3278" s="1">
        <v>0.05</v>
      </c>
      <c r="K3278" s="1">
        <v>0.60000000000000009</v>
      </c>
      <c r="L3278" s="42">
        <v>5</v>
      </c>
      <c r="M3278" s="43"/>
      <c r="N3278" s="1" t="e">
        <f>VLOOKUP(B3278,MICRO!E:L,8,0)</f>
        <v>#N/A</v>
      </c>
    </row>
    <row r="3279" spans="1:14" ht="20.25" x14ac:dyDescent="0.25">
      <c r="A3279" s="1">
        <v>120</v>
      </c>
      <c r="B3279" s="159"/>
      <c r="C3279" s="1" t="s">
        <v>1998</v>
      </c>
      <c r="D3279" s="1"/>
      <c r="E3279" s="1"/>
      <c r="F3279" s="1" t="s">
        <v>2806</v>
      </c>
      <c r="G3279" s="1">
        <v>18</v>
      </c>
      <c r="H3279" s="1" t="s">
        <v>19</v>
      </c>
      <c r="I3279" s="1" t="s">
        <v>629</v>
      </c>
      <c r="J3279" s="1">
        <v>0.05</v>
      </c>
      <c r="K3279" s="1">
        <v>0.9</v>
      </c>
      <c r="L3279" s="42">
        <v>5</v>
      </c>
      <c r="M3279" s="43"/>
      <c r="N3279" s="1" t="e">
        <f>VLOOKUP(B3279,MICRO!E:L,8,0)</f>
        <v>#N/A</v>
      </c>
    </row>
    <row r="3280" spans="1:14" ht="20.25" x14ac:dyDescent="0.25">
      <c r="A3280" s="1">
        <v>121</v>
      </c>
      <c r="B3280" s="159"/>
      <c r="C3280" s="1" t="s">
        <v>2798</v>
      </c>
      <c r="D3280" s="1"/>
      <c r="E3280" s="1"/>
      <c r="F3280" s="1" t="s">
        <v>2807</v>
      </c>
      <c r="G3280" s="1">
        <v>21</v>
      </c>
      <c r="H3280" s="1" t="s">
        <v>19</v>
      </c>
      <c r="I3280" s="1" t="s">
        <v>629</v>
      </c>
      <c r="J3280" s="1">
        <v>0.05</v>
      </c>
      <c r="K3280" s="1">
        <v>1.05</v>
      </c>
      <c r="L3280" s="42">
        <v>5</v>
      </c>
      <c r="M3280" s="43"/>
      <c r="N3280" s="1" t="e">
        <f>VLOOKUP(B3280,MICRO!E:L,8,0)</f>
        <v>#N/A</v>
      </c>
    </row>
    <row r="3281" spans="1:14" ht="20.25" x14ac:dyDescent="0.25">
      <c r="A3281" s="1">
        <v>122</v>
      </c>
      <c r="B3281" s="159"/>
      <c r="C3281" s="1" t="s">
        <v>2795</v>
      </c>
      <c r="D3281" s="1"/>
      <c r="E3281" s="1"/>
      <c r="F3281" s="1" t="s">
        <v>2808</v>
      </c>
      <c r="G3281" s="1">
        <v>4</v>
      </c>
      <c r="H3281" s="1" t="s">
        <v>19</v>
      </c>
      <c r="I3281" s="1" t="s">
        <v>2797</v>
      </c>
      <c r="J3281" s="1">
        <v>0.05</v>
      </c>
      <c r="K3281" s="1">
        <v>0.2</v>
      </c>
      <c r="L3281" s="42">
        <v>5</v>
      </c>
      <c r="M3281" s="43"/>
      <c r="N3281" s="1" t="e">
        <f>VLOOKUP(B3281,MICRO!E:L,8,0)</f>
        <v>#N/A</v>
      </c>
    </row>
    <row r="3282" spans="1:14" ht="20.25" x14ac:dyDescent="0.25">
      <c r="A3282" s="1">
        <v>123</v>
      </c>
      <c r="B3282" s="159"/>
      <c r="C3282" s="1" t="s">
        <v>2791</v>
      </c>
      <c r="D3282" s="1"/>
      <c r="E3282" s="1"/>
      <c r="F3282" s="1" t="s">
        <v>2809</v>
      </c>
      <c r="G3282" s="1">
        <v>48</v>
      </c>
      <c r="H3282" s="1" t="s">
        <v>19</v>
      </c>
      <c r="I3282" s="1" t="s">
        <v>629</v>
      </c>
      <c r="J3282" s="1">
        <v>0.05</v>
      </c>
      <c r="K3282" s="1">
        <v>2.4000000000000004</v>
      </c>
      <c r="L3282" s="42">
        <v>5</v>
      </c>
      <c r="M3282" s="43"/>
      <c r="N3282" s="1" t="e">
        <f>VLOOKUP(B3282,MICRO!E:L,8,0)</f>
        <v>#N/A</v>
      </c>
    </row>
    <row r="3283" spans="1:14" ht="20.25" x14ac:dyDescent="0.25">
      <c r="A3283" s="1">
        <v>124</v>
      </c>
      <c r="B3283" s="159"/>
      <c r="C3283" s="1" t="s">
        <v>2782</v>
      </c>
      <c r="D3283" s="1"/>
      <c r="E3283" s="1"/>
      <c r="F3283" s="1" t="s">
        <v>2810</v>
      </c>
      <c r="G3283" s="1">
        <v>9</v>
      </c>
      <c r="H3283" s="1" t="s">
        <v>19</v>
      </c>
      <c r="I3283" s="1" t="s">
        <v>629</v>
      </c>
      <c r="J3283" s="1">
        <v>0.05</v>
      </c>
      <c r="K3283" s="1">
        <v>0.45</v>
      </c>
      <c r="L3283" s="42">
        <v>5</v>
      </c>
      <c r="M3283" s="43"/>
      <c r="N3283" s="1" t="e">
        <f>VLOOKUP(B3283,MICRO!E:L,8,0)</f>
        <v>#N/A</v>
      </c>
    </row>
    <row r="3284" spans="1:14" ht="20.25" x14ac:dyDescent="0.25">
      <c r="A3284" s="1">
        <v>125</v>
      </c>
      <c r="B3284" s="159"/>
      <c r="C3284" s="1" t="s">
        <v>2789</v>
      </c>
      <c r="D3284" s="1"/>
      <c r="E3284" s="1"/>
      <c r="F3284" s="1" t="s">
        <v>2811</v>
      </c>
      <c r="G3284" s="1">
        <v>4</v>
      </c>
      <c r="H3284" s="1" t="s">
        <v>19</v>
      </c>
      <c r="I3284" s="1" t="s">
        <v>629</v>
      </c>
      <c r="J3284" s="1">
        <v>0.05</v>
      </c>
      <c r="K3284" s="1">
        <v>0.2</v>
      </c>
      <c r="L3284" s="42">
        <v>5</v>
      </c>
      <c r="M3284" s="43"/>
      <c r="N3284" s="1" t="e">
        <f>VLOOKUP(B3284,MICRO!E:L,8,0)</f>
        <v>#N/A</v>
      </c>
    </row>
    <row r="3285" spans="1:14" ht="20.25" x14ac:dyDescent="0.25">
      <c r="A3285" s="1">
        <v>126</v>
      </c>
      <c r="B3285" s="159"/>
      <c r="C3285" s="1" t="s">
        <v>2812</v>
      </c>
      <c r="D3285" s="1"/>
      <c r="E3285" s="1"/>
      <c r="F3285" s="1" t="s">
        <v>2813</v>
      </c>
      <c r="G3285" s="1">
        <v>2</v>
      </c>
      <c r="H3285" s="1" t="s">
        <v>19</v>
      </c>
      <c r="I3285" s="1" t="s">
        <v>2814</v>
      </c>
      <c r="J3285" s="1">
        <v>0.05</v>
      </c>
      <c r="K3285" s="1">
        <v>0.1</v>
      </c>
      <c r="L3285" s="42">
        <v>5</v>
      </c>
      <c r="M3285" s="43"/>
      <c r="N3285" s="1" t="e">
        <f>VLOOKUP(B3285,MICRO!E:L,8,0)</f>
        <v>#N/A</v>
      </c>
    </row>
    <row r="3286" spans="1:14" ht="20.25" x14ac:dyDescent="0.25">
      <c r="A3286" s="1">
        <v>127</v>
      </c>
      <c r="B3286" s="159"/>
      <c r="C3286" s="1" t="s">
        <v>1276</v>
      </c>
      <c r="D3286" s="1"/>
      <c r="E3286" s="1"/>
      <c r="F3286" s="1" t="s">
        <v>2815</v>
      </c>
      <c r="G3286" s="1">
        <v>15</v>
      </c>
      <c r="H3286" s="1" t="s">
        <v>19</v>
      </c>
      <c r="I3286" s="1" t="s">
        <v>629</v>
      </c>
      <c r="J3286" s="1">
        <v>0.05</v>
      </c>
      <c r="K3286" s="1">
        <v>0.75</v>
      </c>
      <c r="L3286" s="42">
        <v>5</v>
      </c>
      <c r="M3286" s="43"/>
      <c r="N3286" s="1" t="e">
        <f>VLOOKUP(B3286,MICRO!E:L,8,0)</f>
        <v>#N/A</v>
      </c>
    </row>
    <row r="3287" spans="1:14" ht="20.25" x14ac:dyDescent="0.25">
      <c r="A3287" s="1">
        <v>128</v>
      </c>
      <c r="B3287" s="159"/>
      <c r="C3287" s="1" t="s">
        <v>2779</v>
      </c>
      <c r="D3287" s="1"/>
      <c r="E3287" s="1"/>
      <c r="F3287" s="1" t="s">
        <v>2816</v>
      </c>
      <c r="G3287" s="1">
        <v>4</v>
      </c>
      <c r="H3287" s="1" t="s">
        <v>19</v>
      </c>
      <c r="I3287" s="1" t="s">
        <v>629</v>
      </c>
      <c r="J3287" s="1">
        <v>0.05</v>
      </c>
      <c r="K3287" s="1">
        <v>0.2</v>
      </c>
      <c r="L3287" s="42">
        <v>5</v>
      </c>
      <c r="M3287" s="43"/>
      <c r="N3287" s="1" t="e">
        <f>VLOOKUP(B3287,MICRO!E:L,8,0)</f>
        <v>#N/A</v>
      </c>
    </row>
    <row r="3288" spans="1:14" ht="20.25" x14ac:dyDescent="0.25">
      <c r="A3288" s="1">
        <v>129</v>
      </c>
      <c r="B3288" s="159"/>
      <c r="C3288" s="1" t="s">
        <v>1998</v>
      </c>
      <c r="D3288" s="1"/>
      <c r="E3288" s="1"/>
      <c r="F3288" s="1" t="s">
        <v>2817</v>
      </c>
      <c r="G3288" s="1">
        <v>14</v>
      </c>
      <c r="H3288" s="1" t="s">
        <v>19</v>
      </c>
      <c r="I3288" s="1" t="s">
        <v>629</v>
      </c>
      <c r="J3288" s="1">
        <v>0.05</v>
      </c>
      <c r="K3288" s="1">
        <v>0.70000000000000007</v>
      </c>
      <c r="L3288" s="42">
        <v>5</v>
      </c>
      <c r="M3288" s="43"/>
      <c r="N3288" s="1" t="e">
        <f>VLOOKUP(B3288,MICRO!E:L,8,0)</f>
        <v>#N/A</v>
      </c>
    </row>
    <row r="3289" spans="1:14" ht="20.25" x14ac:dyDescent="0.25">
      <c r="A3289" s="1">
        <v>130</v>
      </c>
      <c r="B3289" s="159"/>
      <c r="C3289" s="1" t="s">
        <v>2818</v>
      </c>
      <c r="D3289" s="1"/>
      <c r="E3289" s="1"/>
      <c r="F3289" s="1" t="s">
        <v>2819</v>
      </c>
      <c r="G3289" s="1">
        <v>96</v>
      </c>
      <c r="H3289" s="1" t="s">
        <v>19</v>
      </c>
      <c r="I3289" s="1" t="s">
        <v>2802</v>
      </c>
      <c r="J3289" s="1">
        <v>0.03</v>
      </c>
      <c r="K3289" s="1">
        <v>2.88</v>
      </c>
      <c r="L3289" s="42">
        <v>5</v>
      </c>
      <c r="M3289" s="43"/>
      <c r="N3289" s="1" t="e">
        <f>VLOOKUP(B3289,MICRO!E:L,8,0)</f>
        <v>#N/A</v>
      </c>
    </row>
    <row r="3290" spans="1:14" ht="20.25" x14ac:dyDescent="0.25">
      <c r="A3290" s="1">
        <v>131</v>
      </c>
      <c r="B3290" s="159"/>
      <c r="C3290" s="1" t="s">
        <v>1998</v>
      </c>
      <c r="D3290" s="1"/>
      <c r="E3290" s="1"/>
      <c r="F3290" s="1" t="s">
        <v>2820</v>
      </c>
      <c r="G3290" s="1">
        <v>14</v>
      </c>
      <c r="H3290" s="1" t="s">
        <v>19</v>
      </c>
      <c r="I3290" s="1" t="s">
        <v>629</v>
      </c>
      <c r="J3290" s="1">
        <v>0.03</v>
      </c>
      <c r="K3290" s="1">
        <v>0.42</v>
      </c>
      <c r="L3290" s="42">
        <v>5</v>
      </c>
      <c r="M3290" s="43"/>
      <c r="N3290" s="1" t="e">
        <f>VLOOKUP(B3290,MICRO!E:L,8,0)</f>
        <v>#N/A</v>
      </c>
    </row>
    <row r="3291" spans="1:14" ht="20.25" x14ac:dyDescent="0.25">
      <c r="A3291" s="1">
        <v>132</v>
      </c>
      <c r="B3291" s="159"/>
      <c r="C3291" s="1" t="s">
        <v>2782</v>
      </c>
      <c r="D3291" s="1"/>
      <c r="E3291" s="1"/>
      <c r="F3291" s="1" t="s">
        <v>2821</v>
      </c>
      <c r="G3291" s="1">
        <v>10</v>
      </c>
      <c r="H3291" s="1" t="s">
        <v>19</v>
      </c>
      <c r="I3291" s="1" t="s">
        <v>629</v>
      </c>
      <c r="J3291" s="1">
        <v>0.03</v>
      </c>
      <c r="K3291" s="1">
        <v>0.3</v>
      </c>
      <c r="L3291" s="42">
        <v>5</v>
      </c>
      <c r="M3291" s="43"/>
      <c r="N3291" s="1" t="e">
        <f>VLOOKUP(B3291,MICRO!E:L,8,0)</f>
        <v>#N/A</v>
      </c>
    </row>
    <row r="3292" spans="1:14" ht="20.25" x14ac:dyDescent="0.25">
      <c r="A3292" s="1">
        <v>133</v>
      </c>
      <c r="B3292" s="159"/>
      <c r="C3292" s="1" t="s">
        <v>1998</v>
      </c>
      <c r="D3292" s="1"/>
      <c r="E3292" s="1"/>
      <c r="F3292" s="1" t="s">
        <v>2822</v>
      </c>
      <c r="G3292" s="1">
        <v>12</v>
      </c>
      <c r="H3292" s="1" t="s">
        <v>19</v>
      </c>
      <c r="I3292" s="1" t="s">
        <v>629</v>
      </c>
      <c r="J3292" s="1">
        <v>0.03</v>
      </c>
      <c r="K3292" s="1">
        <v>0.36</v>
      </c>
      <c r="L3292" s="42">
        <v>5</v>
      </c>
      <c r="M3292" s="43"/>
      <c r="N3292" s="1" t="e">
        <f>VLOOKUP(B3292,MICRO!E:L,8,0)</f>
        <v>#N/A</v>
      </c>
    </row>
    <row r="3293" spans="1:14" ht="20.25" x14ac:dyDescent="0.25">
      <c r="A3293" s="1">
        <v>134</v>
      </c>
      <c r="B3293" s="159"/>
      <c r="C3293" s="1" t="s">
        <v>1998</v>
      </c>
      <c r="D3293" s="1"/>
      <c r="E3293" s="1"/>
      <c r="F3293" s="1" t="s">
        <v>2823</v>
      </c>
      <c r="G3293" s="1">
        <v>18</v>
      </c>
      <c r="H3293" s="1" t="s">
        <v>19</v>
      </c>
      <c r="I3293" s="1" t="s">
        <v>629</v>
      </c>
      <c r="J3293" s="1">
        <v>0.03</v>
      </c>
      <c r="K3293" s="1">
        <v>0.54</v>
      </c>
      <c r="L3293" s="42">
        <v>5</v>
      </c>
      <c r="M3293" s="43"/>
      <c r="N3293" s="1" t="e">
        <f>VLOOKUP(B3293,MICRO!E:L,8,0)</f>
        <v>#N/A</v>
      </c>
    </row>
    <row r="3294" spans="1:14" ht="20.25" x14ac:dyDescent="0.25">
      <c r="A3294" s="1">
        <v>135</v>
      </c>
      <c r="B3294" s="159"/>
      <c r="C3294" s="1" t="s">
        <v>2779</v>
      </c>
      <c r="D3294" s="1"/>
      <c r="E3294" s="1"/>
      <c r="F3294" s="1" t="s">
        <v>2824</v>
      </c>
      <c r="G3294" s="1">
        <v>8</v>
      </c>
      <c r="H3294" s="1" t="s">
        <v>19</v>
      </c>
      <c r="I3294" s="1" t="s">
        <v>629</v>
      </c>
      <c r="J3294" s="1">
        <v>0.03</v>
      </c>
      <c r="K3294" s="1">
        <v>0.24</v>
      </c>
      <c r="L3294" s="42">
        <v>5</v>
      </c>
      <c r="M3294" s="43"/>
      <c r="N3294" s="1" t="e">
        <f>VLOOKUP(B3294,MICRO!E:L,8,0)</f>
        <v>#N/A</v>
      </c>
    </row>
    <row r="3295" spans="1:14" ht="20.25" x14ac:dyDescent="0.25">
      <c r="A3295" s="1">
        <v>136</v>
      </c>
      <c r="B3295" s="159"/>
      <c r="C3295" s="1" t="s">
        <v>2782</v>
      </c>
      <c r="D3295" s="1"/>
      <c r="E3295" s="1"/>
      <c r="F3295" s="1" t="s">
        <v>2825</v>
      </c>
      <c r="G3295" s="1">
        <v>21</v>
      </c>
      <c r="H3295" s="1" t="s">
        <v>19</v>
      </c>
      <c r="I3295" s="1" t="s">
        <v>629</v>
      </c>
      <c r="J3295" s="1">
        <v>0.03</v>
      </c>
      <c r="K3295" s="1">
        <v>0.63</v>
      </c>
      <c r="L3295" s="42">
        <v>5</v>
      </c>
      <c r="M3295" s="43"/>
      <c r="N3295" s="1" t="e">
        <f>VLOOKUP(B3295,MICRO!E:L,8,0)</f>
        <v>#N/A</v>
      </c>
    </row>
    <row r="3296" spans="1:14" ht="20.25" x14ac:dyDescent="0.25">
      <c r="A3296" s="1">
        <v>137</v>
      </c>
      <c r="B3296" s="159"/>
      <c r="C3296" s="1" t="s">
        <v>933</v>
      </c>
      <c r="D3296" s="1"/>
      <c r="E3296" s="1"/>
      <c r="F3296" s="1" t="s">
        <v>2826</v>
      </c>
      <c r="G3296" s="1">
        <v>4</v>
      </c>
      <c r="H3296" s="1" t="s">
        <v>19</v>
      </c>
      <c r="I3296" s="1" t="s">
        <v>629</v>
      </c>
      <c r="J3296" s="1">
        <v>0.03</v>
      </c>
      <c r="K3296" s="1">
        <v>0.12</v>
      </c>
      <c r="L3296" s="42">
        <v>5</v>
      </c>
      <c r="M3296" s="43"/>
      <c r="N3296" s="1" t="e">
        <f>VLOOKUP(B3296,MICRO!E:L,8,0)</f>
        <v>#N/A</v>
      </c>
    </row>
    <row r="3297" spans="1:14" ht="20.25" x14ac:dyDescent="0.25">
      <c r="A3297" s="1">
        <v>138</v>
      </c>
      <c r="B3297" s="159"/>
      <c r="C3297" s="1" t="s">
        <v>2827</v>
      </c>
      <c r="D3297" s="1"/>
      <c r="E3297" s="1"/>
      <c r="F3297" s="1" t="s">
        <v>2828</v>
      </c>
      <c r="G3297" s="1">
        <v>14</v>
      </c>
      <c r="H3297" s="1" t="s">
        <v>19</v>
      </c>
      <c r="I3297" s="1" t="s">
        <v>2814</v>
      </c>
      <c r="J3297" s="1">
        <v>0.03</v>
      </c>
      <c r="K3297" s="1">
        <v>0.42</v>
      </c>
      <c r="L3297" s="42">
        <v>5</v>
      </c>
      <c r="M3297" s="43"/>
      <c r="N3297" s="1" t="e">
        <f>VLOOKUP(B3297,MICRO!E:L,8,0)</f>
        <v>#N/A</v>
      </c>
    </row>
    <row r="3298" spans="1:14" ht="20.25" x14ac:dyDescent="0.25">
      <c r="A3298" s="1">
        <v>139</v>
      </c>
      <c r="B3298" s="159"/>
      <c r="C3298" s="1" t="s">
        <v>2795</v>
      </c>
      <c r="D3298" s="1"/>
      <c r="E3298" s="1"/>
      <c r="F3298" s="1" t="s">
        <v>2829</v>
      </c>
      <c r="G3298" s="1">
        <v>4</v>
      </c>
      <c r="H3298" s="1" t="s">
        <v>19</v>
      </c>
      <c r="I3298" s="1" t="s">
        <v>629</v>
      </c>
      <c r="J3298" s="1">
        <v>0.03</v>
      </c>
      <c r="K3298" s="1">
        <v>0.12</v>
      </c>
      <c r="L3298" s="42">
        <v>5</v>
      </c>
      <c r="M3298" s="43"/>
      <c r="N3298" s="1" t="e">
        <f>VLOOKUP(B3298,MICRO!E:L,8,0)</f>
        <v>#N/A</v>
      </c>
    </row>
    <row r="3299" spans="1:14" ht="20.25" x14ac:dyDescent="0.25">
      <c r="A3299" s="1">
        <v>140</v>
      </c>
      <c r="B3299" s="159"/>
      <c r="C3299" s="1" t="s">
        <v>2798</v>
      </c>
      <c r="D3299" s="1"/>
      <c r="E3299" s="1"/>
      <c r="F3299" s="1" t="s">
        <v>2830</v>
      </c>
      <c r="G3299" s="1">
        <v>21</v>
      </c>
      <c r="H3299" s="1" t="s">
        <v>19</v>
      </c>
      <c r="I3299" s="1" t="s">
        <v>629</v>
      </c>
      <c r="J3299" s="1">
        <v>0.03</v>
      </c>
      <c r="K3299" s="1">
        <v>0.63</v>
      </c>
      <c r="L3299" s="42">
        <v>5</v>
      </c>
      <c r="M3299" s="43"/>
      <c r="N3299" s="1" t="e">
        <f>VLOOKUP(B3299,MICRO!E:L,8,0)</f>
        <v>#N/A</v>
      </c>
    </row>
    <row r="3300" spans="1:14" ht="20.25" x14ac:dyDescent="0.25">
      <c r="A3300" s="1">
        <v>141</v>
      </c>
      <c r="B3300" s="159"/>
      <c r="C3300" s="1" t="s">
        <v>2791</v>
      </c>
      <c r="D3300" s="1"/>
      <c r="E3300" s="1"/>
      <c r="F3300" s="1" t="s">
        <v>2831</v>
      </c>
      <c r="G3300" s="1">
        <v>80</v>
      </c>
      <c r="H3300" s="1" t="s">
        <v>19</v>
      </c>
      <c r="I3300" s="1" t="s">
        <v>629</v>
      </c>
      <c r="J3300" s="1">
        <v>0.03</v>
      </c>
      <c r="K3300" s="1">
        <v>2.4</v>
      </c>
      <c r="L3300" s="42">
        <v>5</v>
      </c>
      <c r="M3300" s="43"/>
      <c r="N3300" s="1" t="e">
        <f>VLOOKUP(B3300,MICRO!E:L,8,0)</f>
        <v>#N/A</v>
      </c>
    </row>
    <row r="3301" spans="1:14" ht="20.25" x14ac:dyDescent="0.25">
      <c r="A3301" s="1">
        <v>142</v>
      </c>
      <c r="B3301" s="159"/>
      <c r="C3301" s="1" t="s">
        <v>2832</v>
      </c>
      <c r="D3301" s="1"/>
      <c r="E3301" s="1"/>
      <c r="F3301" s="1" t="s">
        <v>2833</v>
      </c>
      <c r="G3301" s="1">
        <v>8</v>
      </c>
      <c r="H3301" s="1" t="s">
        <v>19</v>
      </c>
      <c r="I3301" s="1" t="s">
        <v>2814</v>
      </c>
      <c r="J3301" s="1">
        <v>0.02</v>
      </c>
      <c r="K3301" s="1">
        <v>0.16</v>
      </c>
      <c r="L3301" s="42">
        <v>5</v>
      </c>
      <c r="M3301" s="43"/>
      <c r="N3301" s="1" t="e">
        <f>VLOOKUP(B3301,MICRO!E:L,8,0)</f>
        <v>#N/A</v>
      </c>
    </row>
    <row r="3302" spans="1:14" ht="20.25" x14ac:dyDescent="0.25">
      <c r="A3302" s="1">
        <v>143</v>
      </c>
      <c r="B3302" s="159"/>
      <c r="C3302" s="1" t="s">
        <v>960</v>
      </c>
      <c r="D3302" s="1"/>
      <c r="E3302" s="1"/>
      <c r="F3302" s="1" t="s">
        <v>2834</v>
      </c>
      <c r="G3302" s="1">
        <v>2</v>
      </c>
      <c r="H3302" s="1" t="s">
        <v>19</v>
      </c>
      <c r="I3302" s="1" t="s">
        <v>2835</v>
      </c>
      <c r="J3302" s="1">
        <v>0.02</v>
      </c>
      <c r="K3302" s="1">
        <v>0.04</v>
      </c>
      <c r="L3302" s="42">
        <v>5</v>
      </c>
      <c r="M3302" s="43"/>
      <c r="N3302" s="1" t="e">
        <f>VLOOKUP(B3302,MICRO!E:L,8,0)</f>
        <v>#N/A</v>
      </c>
    </row>
    <row r="3303" spans="1:14" ht="20.25" x14ac:dyDescent="0.25">
      <c r="A3303" s="1">
        <v>144</v>
      </c>
      <c r="B3303" s="159"/>
      <c r="C3303" s="1" t="s">
        <v>1286</v>
      </c>
      <c r="D3303" s="1"/>
      <c r="E3303" s="1"/>
      <c r="F3303" s="1" t="s">
        <v>2836</v>
      </c>
      <c r="G3303" s="1">
        <v>4</v>
      </c>
      <c r="H3303" s="1" t="s">
        <v>19</v>
      </c>
      <c r="I3303" s="1" t="s">
        <v>629</v>
      </c>
      <c r="J3303" s="1">
        <v>0.02</v>
      </c>
      <c r="K3303" s="1">
        <v>0.08</v>
      </c>
      <c r="L3303" s="42">
        <v>5</v>
      </c>
      <c r="M3303" s="43"/>
      <c r="N3303" s="1" t="e">
        <f>VLOOKUP(B3303,MICRO!E:L,8,0)</f>
        <v>#N/A</v>
      </c>
    </row>
    <row r="3304" spans="1:14" ht="20.25" x14ac:dyDescent="0.25">
      <c r="A3304" s="1">
        <v>145</v>
      </c>
      <c r="B3304" s="159"/>
      <c r="C3304" s="1" t="s">
        <v>2837</v>
      </c>
      <c r="D3304" s="1"/>
      <c r="E3304" s="1"/>
      <c r="F3304" s="1" t="s">
        <v>2838</v>
      </c>
      <c r="G3304" s="1">
        <v>4</v>
      </c>
      <c r="H3304" s="1" t="s">
        <v>19</v>
      </c>
      <c r="I3304" s="1" t="s">
        <v>585</v>
      </c>
      <c r="J3304" s="1">
        <v>0.02</v>
      </c>
      <c r="K3304" s="1">
        <v>0.08</v>
      </c>
      <c r="L3304" s="42">
        <v>5</v>
      </c>
      <c r="M3304" s="43"/>
      <c r="N3304" s="1" t="e">
        <f>VLOOKUP(B3304,MICRO!E:L,8,0)</f>
        <v>#N/A</v>
      </c>
    </row>
    <row r="3305" spans="1:14" ht="20.25" x14ac:dyDescent="0.25">
      <c r="A3305" s="1">
        <v>146</v>
      </c>
      <c r="B3305" s="159"/>
      <c r="C3305" s="1" t="s">
        <v>2839</v>
      </c>
      <c r="D3305" s="1"/>
      <c r="E3305" s="1"/>
      <c r="F3305" s="1" t="s">
        <v>2840</v>
      </c>
      <c r="G3305" s="1">
        <v>4</v>
      </c>
      <c r="H3305" s="1" t="s">
        <v>19</v>
      </c>
      <c r="I3305" s="1" t="s">
        <v>2754</v>
      </c>
      <c r="J3305" s="1">
        <v>0.02</v>
      </c>
      <c r="K3305" s="1">
        <v>0.08</v>
      </c>
      <c r="L3305" s="42">
        <v>5</v>
      </c>
      <c r="M3305" s="43"/>
      <c r="N3305" s="1" t="e">
        <f>VLOOKUP(B3305,MICRO!E:L,8,0)</f>
        <v>#N/A</v>
      </c>
    </row>
    <row r="3306" spans="1:14" ht="20.25" x14ac:dyDescent="0.25">
      <c r="A3306" s="1">
        <v>147</v>
      </c>
      <c r="B3306" s="159"/>
      <c r="C3306" s="1" t="s">
        <v>2841</v>
      </c>
      <c r="D3306" s="1"/>
      <c r="E3306" s="1"/>
      <c r="F3306" s="1" t="s">
        <v>2842</v>
      </c>
      <c r="G3306" s="1">
        <v>24</v>
      </c>
      <c r="H3306" s="1" t="s">
        <v>19</v>
      </c>
      <c r="I3306" s="1" t="s">
        <v>589</v>
      </c>
      <c r="J3306" s="1">
        <v>0.02</v>
      </c>
      <c r="K3306" s="1">
        <v>0.48</v>
      </c>
      <c r="L3306" s="42">
        <v>5</v>
      </c>
      <c r="M3306" s="43"/>
      <c r="N3306" s="1" t="e">
        <f>VLOOKUP(B3306,MICRO!E:L,8,0)</f>
        <v>#N/A</v>
      </c>
    </row>
    <row r="3307" spans="1:14" ht="20.25" x14ac:dyDescent="0.25">
      <c r="A3307" s="1">
        <v>148</v>
      </c>
      <c r="B3307" s="159"/>
      <c r="C3307" s="1" t="s">
        <v>2843</v>
      </c>
      <c r="D3307" s="1"/>
      <c r="E3307" s="1"/>
      <c r="F3307" s="1" t="s">
        <v>2844</v>
      </c>
      <c r="G3307" s="1">
        <v>28</v>
      </c>
      <c r="H3307" s="1" t="s">
        <v>19</v>
      </c>
      <c r="I3307" s="1" t="s">
        <v>2845</v>
      </c>
      <c r="J3307" s="1">
        <v>0.02</v>
      </c>
      <c r="K3307" s="1">
        <v>0.56000000000000005</v>
      </c>
      <c r="L3307" s="42">
        <v>5</v>
      </c>
      <c r="M3307" s="43"/>
      <c r="N3307" s="1" t="e">
        <f>VLOOKUP(B3307,MICRO!E:L,8,0)</f>
        <v>#N/A</v>
      </c>
    </row>
    <row r="3308" spans="1:14" ht="20.25" x14ac:dyDescent="0.25">
      <c r="A3308" s="1">
        <v>149</v>
      </c>
      <c r="B3308" s="159"/>
      <c r="C3308" s="1" t="s">
        <v>2846</v>
      </c>
      <c r="D3308" s="1"/>
      <c r="E3308" s="1"/>
      <c r="F3308" s="1" t="s">
        <v>2847</v>
      </c>
      <c r="G3308" s="1">
        <v>8</v>
      </c>
      <c r="H3308" s="1" t="s">
        <v>19</v>
      </c>
      <c r="I3308" s="1" t="s">
        <v>634</v>
      </c>
      <c r="J3308" s="1">
        <v>0.02</v>
      </c>
      <c r="K3308" s="1">
        <v>0.16</v>
      </c>
      <c r="L3308" s="42">
        <v>5</v>
      </c>
      <c r="M3308" s="43"/>
      <c r="N3308" s="1" t="e">
        <f>VLOOKUP(B3308,MICRO!E:L,8,0)</f>
        <v>#N/A</v>
      </c>
    </row>
    <row r="3309" spans="1:14" ht="20.25" x14ac:dyDescent="0.25">
      <c r="A3309" s="1">
        <v>150</v>
      </c>
      <c r="B3309" s="159"/>
      <c r="C3309" s="1" t="s">
        <v>2848</v>
      </c>
      <c r="D3309" s="1"/>
      <c r="E3309" s="1"/>
      <c r="F3309" s="1" t="s">
        <v>2849</v>
      </c>
      <c r="G3309" s="1">
        <v>2</v>
      </c>
      <c r="H3309" s="1" t="s">
        <v>19</v>
      </c>
      <c r="I3309" s="1" t="s">
        <v>585</v>
      </c>
      <c r="J3309" s="1">
        <v>0.02</v>
      </c>
      <c r="K3309" s="1">
        <v>0.04</v>
      </c>
      <c r="L3309" s="42">
        <v>5</v>
      </c>
      <c r="M3309" s="43"/>
      <c r="N3309" s="1" t="e">
        <f>VLOOKUP(B3309,MICRO!E:L,8,0)</f>
        <v>#N/A</v>
      </c>
    </row>
    <row r="3310" spans="1:14" ht="20.25" x14ac:dyDescent="0.25">
      <c r="A3310" s="1">
        <v>151</v>
      </c>
      <c r="B3310" s="159"/>
      <c r="C3310" s="1" t="s">
        <v>1996</v>
      </c>
      <c r="D3310" s="1"/>
      <c r="E3310" s="1"/>
      <c r="F3310" s="1" t="s">
        <v>2850</v>
      </c>
      <c r="G3310" s="1">
        <v>9</v>
      </c>
      <c r="H3310" s="1" t="s">
        <v>19</v>
      </c>
      <c r="I3310" s="1" t="s">
        <v>2851</v>
      </c>
      <c r="J3310" s="1">
        <v>0.02</v>
      </c>
      <c r="K3310" s="1">
        <v>0.18</v>
      </c>
      <c r="L3310" s="42">
        <v>5</v>
      </c>
      <c r="M3310" s="43"/>
      <c r="N3310" s="1" t="e">
        <f>VLOOKUP(B3310,MICRO!E:L,8,0)</f>
        <v>#N/A</v>
      </c>
    </row>
    <row r="3311" spans="1:14" ht="20.25" x14ac:dyDescent="0.25">
      <c r="A3311" s="1">
        <v>152</v>
      </c>
      <c r="B3311" s="159"/>
      <c r="C3311" s="1" t="s">
        <v>950</v>
      </c>
      <c r="D3311" s="1"/>
      <c r="E3311" s="1"/>
      <c r="F3311" s="1" t="s">
        <v>2852</v>
      </c>
      <c r="G3311" s="1">
        <v>9</v>
      </c>
      <c r="H3311" s="1" t="s">
        <v>19</v>
      </c>
      <c r="I3311" s="1" t="s">
        <v>2754</v>
      </c>
      <c r="J3311" s="1">
        <v>0.02</v>
      </c>
      <c r="K3311" s="1">
        <v>0.18</v>
      </c>
      <c r="L3311" s="42">
        <v>5</v>
      </c>
      <c r="M3311" s="43"/>
      <c r="N3311" s="1" t="e">
        <f>VLOOKUP(B3311,MICRO!E:L,8,0)</f>
        <v>#N/A</v>
      </c>
    </row>
    <row r="3312" spans="1:14" ht="20.25" x14ac:dyDescent="0.25">
      <c r="A3312" s="1">
        <v>153</v>
      </c>
      <c r="B3312" s="159"/>
      <c r="C3312" s="1" t="s">
        <v>2853</v>
      </c>
      <c r="D3312" s="1"/>
      <c r="E3312" s="1"/>
      <c r="F3312" s="1" t="s">
        <v>2854</v>
      </c>
      <c r="G3312" s="1">
        <v>12</v>
      </c>
      <c r="H3312" s="1" t="s">
        <v>19</v>
      </c>
      <c r="I3312" s="1" t="s">
        <v>2855</v>
      </c>
      <c r="J3312" s="1">
        <v>0.02</v>
      </c>
      <c r="K3312" s="1">
        <v>0.24</v>
      </c>
      <c r="L3312" s="42">
        <v>5</v>
      </c>
      <c r="M3312" s="43"/>
      <c r="N3312" s="1" t="e">
        <f>VLOOKUP(B3312,MICRO!E:L,8,0)</f>
        <v>#N/A</v>
      </c>
    </row>
    <row r="3313" spans="1:14" ht="20.25" x14ac:dyDescent="0.25">
      <c r="A3313" s="1">
        <v>154</v>
      </c>
      <c r="B3313" s="159"/>
      <c r="C3313" s="1" t="s">
        <v>2856</v>
      </c>
      <c r="D3313" s="1"/>
      <c r="E3313" s="1"/>
      <c r="F3313" s="1" t="s">
        <v>2857</v>
      </c>
      <c r="G3313" s="1">
        <v>44</v>
      </c>
      <c r="H3313" s="1" t="s">
        <v>19</v>
      </c>
      <c r="I3313" s="1" t="s">
        <v>2858</v>
      </c>
      <c r="J3313" s="1">
        <v>0.02</v>
      </c>
      <c r="K3313" s="1">
        <v>0.88</v>
      </c>
      <c r="L3313" s="42">
        <v>5</v>
      </c>
      <c r="M3313" s="43"/>
      <c r="N3313" s="1" t="e">
        <f>VLOOKUP(B3313,MICRO!E:L,8,0)</f>
        <v>#N/A</v>
      </c>
    </row>
    <row r="3314" spans="1:14" ht="20.25" x14ac:dyDescent="0.25">
      <c r="A3314" s="1">
        <v>155</v>
      </c>
      <c r="B3314" s="159"/>
      <c r="C3314" s="1" t="s">
        <v>1286</v>
      </c>
      <c r="D3314" s="1"/>
      <c r="E3314" s="1"/>
      <c r="F3314" s="1" t="s">
        <v>2859</v>
      </c>
      <c r="G3314" s="1">
        <v>68</v>
      </c>
      <c r="H3314" s="1" t="s">
        <v>19</v>
      </c>
      <c r="I3314" s="1" t="s">
        <v>629</v>
      </c>
      <c r="J3314" s="1">
        <v>0.02</v>
      </c>
      <c r="K3314" s="1">
        <v>1.36</v>
      </c>
      <c r="L3314" s="42">
        <v>5</v>
      </c>
      <c r="M3314" s="43"/>
      <c r="N3314" s="1" t="e">
        <f>VLOOKUP(B3314,MICRO!E:L,8,0)</f>
        <v>#N/A</v>
      </c>
    </row>
    <row r="3315" spans="1:14" ht="20.25" x14ac:dyDescent="0.25">
      <c r="A3315" s="1">
        <v>156</v>
      </c>
      <c r="B3315" s="159"/>
      <c r="C3315" s="1" t="s">
        <v>2860</v>
      </c>
      <c r="D3315" s="1"/>
      <c r="E3315" s="1"/>
      <c r="F3315" s="1" t="s">
        <v>2861</v>
      </c>
      <c r="G3315" s="1">
        <v>34</v>
      </c>
      <c r="H3315" s="1" t="s">
        <v>19</v>
      </c>
      <c r="I3315" s="1" t="s">
        <v>2862</v>
      </c>
      <c r="J3315" s="1">
        <v>0.02</v>
      </c>
      <c r="K3315" s="1">
        <v>0.68</v>
      </c>
      <c r="L3315" s="42">
        <v>5</v>
      </c>
      <c r="M3315" s="43"/>
      <c r="N3315" s="1" t="e">
        <f>VLOOKUP(B3315,MICRO!E:L,8,0)</f>
        <v>#N/A</v>
      </c>
    </row>
    <row r="3316" spans="1:14" ht="20.25" x14ac:dyDescent="0.25">
      <c r="A3316" s="1">
        <v>157</v>
      </c>
      <c r="B3316" s="159"/>
      <c r="C3316" s="1" t="s">
        <v>2837</v>
      </c>
      <c r="D3316" s="1"/>
      <c r="E3316" s="1"/>
      <c r="F3316" s="1" t="s">
        <v>2863</v>
      </c>
      <c r="G3316" s="1">
        <v>46</v>
      </c>
      <c r="H3316" s="1" t="s">
        <v>19</v>
      </c>
      <c r="I3316" s="1" t="s">
        <v>585</v>
      </c>
      <c r="J3316" s="1">
        <v>0.02</v>
      </c>
      <c r="K3316" s="1">
        <v>0.92</v>
      </c>
      <c r="L3316" s="42">
        <v>5</v>
      </c>
      <c r="M3316" s="43"/>
      <c r="N3316" s="1" t="e">
        <f>VLOOKUP(B3316,MICRO!E:L,8,0)</f>
        <v>#N/A</v>
      </c>
    </row>
    <row r="3317" spans="1:14" ht="20.25" x14ac:dyDescent="0.25">
      <c r="A3317" s="1">
        <v>158</v>
      </c>
      <c r="B3317" s="159"/>
      <c r="C3317" s="1" t="s">
        <v>2864</v>
      </c>
      <c r="D3317" s="1"/>
      <c r="E3317" s="1"/>
      <c r="F3317" s="1" t="s">
        <v>2865</v>
      </c>
      <c r="G3317" s="1">
        <v>49</v>
      </c>
      <c r="H3317" s="1" t="s">
        <v>19</v>
      </c>
      <c r="I3317" s="1" t="s">
        <v>585</v>
      </c>
      <c r="J3317" s="1">
        <v>0.02</v>
      </c>
      <c r="K3317" s="1">
        <v>0.98</v>
      </c>
      <c r="L3317" s="42">
        <v>5</v>
      </c>
      <c r="M3317" s="43"/>
      <c r="N3317" s="1" t="e">
        <f>VLOOKUP(B3317,MICRO!E:L,8,0)</f>
        <v>#N/A</v>
      </c>
    </row>
    <row r="3318" spans="1:14" ht="20.25" x14ac:dyDescent="0.25">
      <c r="A3318" s="1">
        <v>159</v>
      </c>
      <c r="B3318" s="159"/>
      <c r="C3318" s="1" t="s">
        <v>1996</v>
      </c>
      <c r="D3318" s="1"/>
      <c r="E3318" s="1"/>
      <c r="F3318" s="1" t="s">
        <v>2866</v>
      </c>
      <c r="G3318" s="1">
        <v>9</v>
      </c>
      <c r="H3318" s="1" t="s">
        <v>19</v>
      </c>
      <c r="I3318" s="1" t="s">
        <v>2851</v>
      </c>
      <c r="J3318" s="1">
        <v>0.02</v>
      </c>
      <c r="K3318" s="1">
        <v>0.18</v>
      </c>
      <c r="L3318" s="42">
        <v>5</v>
      </c>
      <c r="M3318" s="43"/>
      <c r="N3318" s="1" t="e">
        <f>VLOOKUP(B3318,MICRO!E:L,8,0)</f>
        <v>#N/A</v>
      </c>
    </row>
    <row r="3319" spans="1:14" ht="20.25" x14ac:dyDescent="0.25">
      <c r="A3319" s="1">
        <v>160</v>
      </c>
      <c r="B3319" s="159"/>
      <c r="C3319" s="1" t="s">
        <v>2867</v>
      </c>
      <c r="D3319" s="1"/>
      <c r="E3319" s="1"/>
      <c r="F3319" s="1" t="s">
        <v>2868</v>
      </c>
      <c r="G3319" s="1">
        <v>8</v>
      </c>
      <c r="H3319" s="1" t="s">
        <v>19</v>
      </c>
      <c r="I3319" s="1" t="s">
        <v>634</v>
      </c>
      <c r="J3319" s="1">
        <v>0.02</v>
      </c>
      <c r="K3319" s="1">
        <v>0.16</v>
      </c>
      <c r="L3319" s="42">
        <v>5</v>
      </c>
      <c r="M3319" s="43"/>
      <c r="N3319" s="1" t="e">
        <f>VLOOKUP(B3319,MICRO!E:L,8,0)</f>
        <v>#N/A</v>
      </c>
    </row>
    <row r="3320" spans="1:14" ht="20.25" x14ac:dyDescent="0.25">
      <c r="A3320" s="1">
        <v>161</v>
      </c>
      <c r="B3320" s="159"/>
      <c r="C3320" s="1" t="s">
        <v>1286</v>
      </c>
      <c r="D3320" s="1"/>
      <c r="E3320" s="1"/>
      <c r="F3320" s="1" t="s">
        <v>2869</v>
      </c>
      <c r="G3320" s="1">
        <v>22</v>
      </c>
      <c r="H3320" s="1" t="s">
        <v>19</v>
      </c>
      <c r="I3320" s="1" t="s">
        <v>629</v>
      </c>
      <c r="J3320" s="1">
        <v>0.02</v>
      </c>
      <c r="K3320" s="1">
        <v>0.44</v>
      </c>
      <c r="L3320" s="42">
        <v>5</v>
      </c>
      <c r="M3320" s="43"/>
      <c r="N3320" s="1" t="e">
        <f>VLOOKUP(B3320,MICRO!E:L,8,0)</f>
        <v>#N/A</v>
      </c>
    </row>
    <row r="3321" spans="1:14" ht="20.25" x14ac:dyDescent="0.25">
      <c r="A3321" s="1">
        <v>162</v>
      </c>
      <c r="B3321" s="159"/>
      <c r="C3321" s="1" t="s">
        <v>2839</v>
      </c>
      <c r="D3321" s="1"/>
      <c r="E3321" s="1"/>
      <c r="F3321" s="1" t="s">
        <v>2870</v>
      </c>
      <c r="G3321" s="1">
        <v>22</v>
      </c>
      <c r="H3321" s="1" t="s">
        <v>19</v>
      </c>
      <c r="I3321" s="1" t="s">
        <v>2754</v>
      </c>
      <c r="J3321" s="1">
        <v>0.02</v>
      </c>
      <c r="K3321" s="1">
        <v>0.44</v>
      </c>
      <c r="L3321" s="42">
        <v>5</v>
      </c>
      <c r="M3321" s="43"/>
      <c r="N3321" s="1" t="e">
        <f>VLOOKUP(B3321,MICRO!E:L,8,0)</f>
        <v>#N/A</v>
      </c>
    </row>
    <row r="3322" spans="1:14" ht="20.25" x14ac:dyDescent="0.25">
      <c r="A3322" s="1">
        <v>163</v>
      </c>
      <c r="B3322" s="159"/>
      <c r="C3322" s="1" t="s">
        <v>950</v>
      </c>
      <c r="D3322" s="1"/>
      <c r="E3322" s="1"/>
      <c r="F3322" s="1" t="s">
        <v>2871</v>
      </c>
      <c r="G3322" s="1">
        <v>9</v>
      </c>
      <c r="H3322" s="1" t="s">
        <v>19</v>
      </c>
      <c r="I3322" s="1" t="s">
        <v>2754</v>
      </c>
      <c r="J3322" s="1">
        <v>0.02</v>
      </c>
      <c r="K3322" s="1">
        <v>0.18</v>
      </c>
      <c r="L3322" s="42">
        <v>5</v>
      </c>
      <c r="M3322" s="43"/>
      <c r="N3322" s="1" t="e">
        <f>VLOOKUP(B3322,MICRO!E:L,8,0)</f>
        <v>#N/A</v>
      </c>
    </row>
    <row r="3323" spans="1:14" ht="20.25" x14ac:dyDescent="0.25">
      <c r="A3323" s="1">
        <v>164</v>
      </c>
      <c r="B3323" s="159"/>
      <c r="C3323" s="1" t="s">
        <v>2872</v>
      </c>
      <c r="D3323" s="1"/>
      <c r="E3323" s="1"/>
      <c r="F3323" s="1" t="s">
        <v>2873</v>
      </c>
      <c r="G3323" s="1">
        <v>4</v>
      </c>
      <c r="H3323" s="1" t="s">
        <v>19</v>
      </c>
      <c r="I3323" s="1" t="s">
        <v>2862</v>
      </c>
      <c r="J3323" s="1">
        <v>0.02</v>
      </c>
      <c r="K3323" s="1">
        <v>0.08</v>
      </c>
      <c r="L3323" s="42">
        <v>5</v>
      </c>
      <c r="M3323" s="43"/>
      <c r="N3323" s="1" t="e">
        <f>VLOOKUP(B3323,MICRO!E:L,8,0)</f>
        <v>#N/A</v>
      </c>
    </row>
    <row r="3324" spans="1:14" ht="20.25" x14ac:dyDescent="0.25">
      <c r="A3324" s="1">
        <v>165</v>
      </c>
      <c r="B3324" s="159"/>
      <c r="C3324" s="1" t="s">
        <v>2874</v>
      </c>
      <c r="D3324" s="1"/>
      <c r="E3324" s="1"/>
      <c r="F3324" s="1" t="s">
        <v>2875</v>
      </c>
      <c r="G3324" s="1">
        <v>4</v>
      </c>
      <c r="H3324" s="1" t="s">
        <v>19</v>
      </c>
      <c r="I3324" s="1" t="s">
        <v>2754</v>
      </c>
      <c r="J3324" s="1">
        <v>0.02</v>
      </c>
      <c r="K3324" s="1">
        <v>0.08</v>
      </c>
      <c r="L3324" s="42">
        <v>5</v>
      </c>
      <c r="M3324" s="43"/>
      <c r="N3324" s="1" t="e">
        <f>VLOOKUP(B3324,MICRO!E:L,8,0)</f>
        <v>#N/A</v>
      </c>
    </row>
    <row r="3325" spans="1:14" ht="20.25" x14ac:dyDescent="0.25">
      <c r="A3325" s="1">
        <v>166</v>
      </c>
      <c r="B3325" s="159"/>
      <c r="C3325" s="1" t="s">
        <v>2876</v>
      </c>
      <c r="D3325" s="1"/>
      <c r="E3325" s="1"/>
      <c r="F3325" s="1" t="s">
        <v>2877</v>
      </c>
      <c r="G3325" s="1">
        <v>4</v>
      </c>
      <c r="H3325" s="1" t="s">
        <v>19</v>
      </c>
      <c r="I3325" s="1" t="s">
        <v>585</v>
      </c>
      <c r="J3325" s="1">
        <v>0.02</v>
      </c>
      <c r="K3325" s="1">
        <v>0.08</v>
      </c>
      <c r="L3325" s="42">
        <v>5</v>
      </c>
      <c r="M3325" s="43"/>
      <c r="N3325" s="1" t="e">
        <f>VLOOKUP(B3325,MICRO!E:L,8,0)</f>
        <v>#N/A</v>
      </c>
    </row>
    <row r="3326" spans="1:14" ht="20.25" x14ac:dyDescent="0.25">
      <c r="A3326" s="1">
        <v>167</v>
      </c>
      <c r="B3326" s="159"/>
      <c r="C3326" s="1" t="s">
        <v>2848</v>
      </c>
      <c r="D3326" s="1"/>
      <c r="E3326" s="1"/>
      <c r="F3326" s="1" t="s">
        <v>2878</v>
      </c>
      <c r="G3326" s="1">
        <v>8</v>
      </c>
      <c r="H3326" s="1" t="s">
        <v>19</v>
      </c>
      <c r="I3326" s="1" t="s">
        <v>585</v>
      </c>
      <c r="J3326" s="1">
        <v>0.02</v>
      </c>
      <c r="K3326" s="1">
        <v>0.16</v>
      </c>
      <c r="L3326" s="42">
        <v>5</v>
      </c>
      <c r="M3326" s="43"/>
      <c r="N3326" s="1" t="e">
        <f>VLOOKUP(B3326,MICRO!E:L,8,0)</f>
        <v>#N/A</v>
      </c>
    </row>
    <row r="3327" spans="1:14" ht="20.25" x14ac:dyDescent="0.25">
      <c r="A3327" s="1">
        <v>168</v>
      </c>
      <c r="B3327" s="159"/>
      <c r="C3327" s="1" t="s">
        <v>959</v>
      </c>
      <c r="D3327" s="1"/>
      <c r="E3327" s="1"/>
      <c r="F3327" s="1" t="s">
        <v>2879</v>
      </c>
      <c r="G3327" s="1">
        <v>2</v>
      </c>
      <c r="H3327" s="1" t="s">
        <v>19</v>
      </c>
      <c r="I3327" s="1" t="s">
        <v>2855</v>
      </c>
      <c r="J3327" s="1">
        <v>0.02</v>
      </c>
      <c r="K3327" s="1">
        <v>0.04</v>
      </c>
      <c r="L3327" s="42">
        <v>5</v>
      </c>
      <c r="M3327" s="43"/>
      <c r="N3327" s="1" t="e">
        <f>VLOOKUP(B3327,MICRO!E:L,8,0)</f>
        <v>#N/A</v>
      </c>
    </row>
    <row r="3328" spans="1:14" ht="20.25" x14ac:dyDescent="0.25">
      <c r="A3328" s="1">
        <v>169</v>
      </c>
      <c r="B3328" s="159"/>
      <c r="C3328" s="1" t="s">
        <v>2880</v>
      </c>
      <c r="D3328" s="1"/>
      <c r="E3328" s="1"/>
      <c r="F3328" s="1" t="s">
        <v>2881</v>
      </c>
      <c r="G3328" s="1">
        <v>49</v>
      </c>
      <c r="H3328" s="1" t="s">
        <v>19</v>
      </c>
      <c r="I3328" s="1" t="s">
        <v>589</v>
      </c>
      <c r="J3328" s="1">
        <v>0.02</v>
      </c>
      <c r="K3328" s="1">
        <v>0.98</v>
      </c>
      <c r="L3328" s="42">
        <v>5</v>
      </c>
      <c r="M3328" s="43"/>
      <c r="N3328" s="1" t="e">
        <f>VLOOKUP(B3328,MICRO!E:L,8,0)</f>
        <v>#N/A</v>
      </c>
    </row>
    <row r="3329" spans="1:14" ht="20.25" x14ac:dyDescent="0.25">
      <c r="A3329" s="1">
        <v>170</v>
      </c>
      <c r="B3329" s="159"/>
      <c r="C3329" s="1" t="s">
        <v>2882</v>
      </c>
      <c r="D3329" s="1"/>
      <c r="E3329" s="1"/>
      <c r="F3329" s="1" t="s">
        <v>2883</v>
      </c>
      <c r="G3329" s="1">
        <v>80</v>
      </c>
      <c r="H3329" s="1" t="s">
        <v>19</v>
      </c>
      <c r="I3329" s="1" t="s">
        <v>634</v>
      </c>
      <c r="J3329" s="1">
        <v>0.02</v>
      </c>
      <c r="K3329" s="1">
        <v>1.6</v>
      </c>
      <c r="L3329" s="42">
        <v>5</v>
      </c>
      <c r="M3329" s="43"/>
      <c r="N3329" s="1" t="e">
        <f>VLOOKUP(B3329,MICRO!E:L,8,0)</f>
        <v>#N/A</v>
      </c>
    </row>
    <row r="3330" spans="1:14" ht="20.25" x14ac:dyDescent="0.25">
      <c r="A3330" s="1">
        <v>171</v>
      </c>
      <c r="B3330" s="159"/>
      <c r="C3330" s="1" t="s">
        <v>2839</v>
      </c>
      <c r="D3330" s="1"/>
      <c r="E3330" s="1"/>
      <c r="F3330" s="1" t="s">
        <v>2884</v>
      </c>
      <c r="G3330" s="1">
        <v>24</v>
      </c>
      <c r="H3330" s="1" t="s">
        <v>19</v>
      </c>
      <c r="I3330" s="1" t="s">
        <v>2754</v>
      </c>
      <c r="J3330" s="1">
        <v>0.02</v>
      </c>
      <c r="K3330" s="1">
        <v>0.48</v>
      </c>
      <c r="L3330" s="42">
        <v>5</v>
      </c>
      <c r="M3330" s="43"/>
      <c r="N3330" s="1" t="e">
        <f>VLOOKUP(B3330,MICRO!E:L,8,0)</f>
        <v>#N/A</v>
      </c>
    </row>
    <row r="3331" spans="1:14" ht="20.25" x14ac:dyDescent="0.25">
      <c r="A3331" s="1">
        <v>172</v>
      </c>
      <c r="B3331" s="159"/>
      <c r="C3331" s="1" t="s">
        <v>2860</v>
      </c>
      <c r="D3331" s="1"/>
      <c r="E3331" s="1"/>
      <c r="F3331" s="1" t="s">
        <v>2885</v>
      </c>
      <c r="G3331" s="1">
        <v>8</v>
      </c>
      <c r="H3331" s="1" t="s">
        <v>19</v>
      </c>
      <c r="I3331" s="1" t="s">
        <v>2862</v>
      </c>
      <c r="J3331" s="1">
        <v>0.02</v>
      </c>
      <c r="K3331" s="1">
        <v>0.16</v>
      </c>
      <c r="L3331" s="42">
        <v>5</v>
      </c>
      <c r="M3331" s="43"/>
      <c r="N3331" s="1" t="e">
        <f>VLOOKUP(B3331,MICRO!E:L,8,0)</f>
        <v>#N/A</v>
      </c>
    </row>
    <row r="3332" spans="1:14" ht="20.25" x14ac:dyDescent="0.25">
      <c r="A3332" s="1">
        <v>173</v>
      </c>
      <c r="B3332" s="159"/>
      <c r="C3332" s="1" t="s">
        <v>2837</v>
      </c>
      <c r="D3332" s="1"/>
      <c r="E3332" s="1"/>
      <c r="F3332" s="1" t="s">
        <v>2886</v>
      </c>
      <c r="G3332" s="1">
        <v>8</v>
      </c>
      <c r="H3332" s="1" t="s">
        <v>19</v>
      </c>
      <c r="I3332" s="1" t="s">
        <v>585</v>
      </c>
      <c r="J3332" s="1">
        <v>0.02</v>
      </c>
      <c r="K3332" s="1">
        <v>0.16</v>
      </c>
      <c r="L3332" s="42">
        <v>5</v>
      </c>
      <c r="M3332" s="43"/>
      <c r="N3332" s="1" t="e">
        <f>VLOOKUP(B3332,MICRO!E:L,8,0)</f>
        <v>#N/A</v>
      </c>
    </row>
    <row r="3333" spans="1:14" ht="20.25" x14ac:dyDescent="0.25">
      <c r="A3333" s="1">
        <v>174</v>
      </c>
      <c r="B3333" s="159"/>
      <c r="C3333" s="1" t="s">
        <v>2848</v>
      </c>
      <c r="D3333" s="1"/>
      <c r="E3333" s="1"/>
      <c r="F3333" s="1" t="s">
        <v>2887</v>
      </c>
      <c r="G3333" s="1">
        <v>2</v>
      </c>
      <c r="H3333" s="1" t="s">
        <v>19</v>
      </c>
      <c r="I3333" s="1" t="s">
        <v>585</v>
      </c>
      <c r="J3333" s="1">
        <v>0.01</v>
      </c>
      <c r="K3333" s="1">
        <v>0.02</v>
      </c>
      <c r="L3333" s="42">
        <v>5</v>
      </c>
      <c r="M3333" s="43"/>
      <c r="N3333" s="1" t="e">
        <f>VLOOKUP(B3333,MICRO!E:L,8,0)</f>
        <v>#N/A</v>
      </c>
    </row>
    <row r="3334" spans="1:14" ht="20.25" x14ac:dyDescent="0.25">
      <c r="A3334" s="1">
        <v>175</v>
      </c>
      <c r="B3334" s="159"/>
      <c r="C3334" s="1" t="s">
        <v>2837</v>
      </c>
      <c r="D3334" s="1"/>
      <c r="E3334" s="1"/>
      <c r="F3334" s="1" t="s">
        <v>2888</v>
      </c>
      <c r="G3334" s="1">
        <v>8</v>
      </c>
      <c r="H3334" s="1" t="s">
        <v>19</v>
      </c>
      <c r="I3334" s="1" t="s">
        <v>585</v>
      </c>
      <c r="J3334" s="1">
        <v>0.01</v>
      </c>
      <c r="K3334" s="1">
        <v>0.08</v>
      </c>
      <c r="L3334" s="42">
        <v>5</v>
      </c>
      <c r="M3334" s="43"/>
      <c r="N3334" s="1" t="e">
        <f>VLOOKUP(B3334,MICRO!E:L,8,0)</f>
        <v>#N/A</v>
      </c>
    </row>
    <row r="3335" spans="1:14" ht="20.25" x14ac:dyDescent="0.25">
      <c r="A3335" s="1">
        <v>176</v>
      </c>
      <c r="B3335" s="159"/>
      <c r="C3335" s="1" t="s">
        <v>2860</v>
      </c>
      <c r="D3335" s="1"/>
      <c r="E3335" s="1"/>
      <c r="F3335" s="1" t="s">
        <v>2889</v>
      </c>
      <c r="G3335" s="1">
        <v>8</v>
      </c>
      <c r="H3335" s="1" t="s">
        <v>19</v>
      </c>
      <c r="I3335" s="1" t="s">
        <v>2862</v>
      </c>
      <c r="J3335" s="1">
        <v>0.01</v>
      </c>
      <c r="K3335" s="1">
        <v>0.08</v>
      </c>
      <c r="L3335" s="42">
        <v>5</v>
      </c>
      <c r="M3335" s="43"/>
      <c r="N3335" s="1" t="e">
        <f>VLOOKUP(B3335,MICRO!E:L,8,0)</f>
        <v>#N/A</v>
      </c>
    </row>
    <row r="3336" spans="1:14" ht="20.25" x14ac:dyDescent="0.25">
      <c r="A3336" s="1">
        <v>177</v>
      </c>
      <c r="B3336" s="159"/>
      <c r="C3336" s="1" t="s">
        <v>1286</v>
      </c>
      <c r="D3336" s="1"/>
      <c r="E3336" s="1"/>
      <c r="F3336" s="1" t="s">
        <v>2890</v>
      </c>
      <c r="G3336" s="1">
        <v>40</v>
      </c>
      <c r="H3336" s="1" t="s">
        <v>19</v>
      </c>
      <c r="I3336" s="1" t="s">
        <v>629</v>
      </c>
      <c r="J3336" s="1">
        <v>0.01</v>
      </c>
      <c r="K3336" s="1">
        <v>0.4</v>
      </c>
      <c r="L3336" s="42">
        <v>5</v>
      </c>
      <c r="M3336" s="43"/>
      <c r="N3336" s="1" t="e">
        <f>VLOOKUP(B3336,MICRO!E:L,8,0)</f>
        <v>#N/A</v>
      </c>
    </row>
    <row r="3337" spans="1:14" ht="20.25" x14ac:dyDescent="0.25">
      <c r="A3337" s="1">
        <v>178</v>
      </c>
      <c r="B3337" s="159"/>
      <c r="C3337" s="1" t="s">
        <v>2867</v>
      </c>
      <c r="D3337" s="1"/>
      <c r="E3337" s="1"/>
      <c r="F3337" s="1" t="s">
        <v>2891</v>
      </c>
      <c r="G3337" s="1">
        <v>2</v>
      </c>
      <c r="H3337" s="1" t="s">
        <v>19</v>
      </c>
      <c r="I3337" s="1" t="s">
        <v>634</v>
      </c>
      <c r="J3337" s="1">
        <v>0.01</v>
      </c>
      <c r="K3337" s="1">
        <v>0.02</v>
      </c>
      <c r="L3337" s="42">
        <v>5</v>
      </c>
      <c r="M3337" s="43"/>
      <c r="N3337" s="1" t="e">
        <f>VLOOKUP(B3337,MICRO!E:L,8,0)</f>
        <v>#N/A</v>
      </c>
    </row>
    <row r="3338" spans="1:14" ht="20.25" x14ac:dyDescent="0.25">
      <c r="A3338" s="1">
        <v>179</v>
      </c>
      <c r="B3338" s="159"/>
      <c r="C3338" s="1" t="s">
        <v>2839</v>
      </c>
      <c r="D3338" s="1"/>
      <c r="E3338" s="1"/>
      <c r="F3338" s="1" t="s">
        <v>2892</v>
      </c>
      <c r="G3338" s="1">
        <v>8</v>
      </c>
      <c r="H3338" s="1" t="s">
        <v>19</v>
      </c>
      <c r="I3338" s="1" t="s">
        <v>2754</v>
      </c>
      <c r="J3338" s="1">
        <v>0.01</v>
      </c>
      <c r="K3338" s="1">
        <v>0.08</v>
      </c>
      <c r="L3338" s="42">
        <v>5</v>
      </c>
      <c r="M3338" s="43"/>
      <c r="N3338" s="1" t="e">
        <f>VLOOKUP(B3338,MICRO!E:L,8,0)</f>
        <v>#N/A</v>
      </c>
    </row>
    <row r="3339" spans="1:14" ht="20.25" x14ac:dyDescent="0.25">
      <c r="A3339" s="1">
        <v>180</v>
      </c>
      <c r="B3339" s="159"/>
      <c r="C3339" s="1" t="s">
        <v>2841</v>
      </c>
      <c r="D3339" s="1"/>
      <c r="E3339" s="1"/>
      <c r="F3339" s="1" t="s">
        <v>2893</v>
      </c>
      <c r="G3339" s="1">
        <v>24</v>
      </c>
      <c r="H3339" s="1" t="s">
        <v>19</v>
      </c>
      <c r="I3339" s="1" t="s">
        <v>589</v>
      </c>
      <c r="J3339" s="1">
        <v>0.05</v>
      </c>
      <c r="K3339" s="1">
        <v>1.2000000000000002</v>
      </c>
      <c r="L3339" s="42">
        <v>5</v>
      </c>
      <c r="M3339" s="43"/>
      <c r="N3339" s="1" t="e">
        <f>VLOOKUP(B3339,MICRO!E:L,8,0)</f>
        <v>#N/A</v>
      </c>
    </row>
    <row r="3340" spans="1:14" ht="20.25" x14ac:dyDescent="0.25">
      <c r="A3340" s="1">
        <v>181</v>
      </c>
      <c r="B3340" s="159"/>
      <c r="C3340" s="1" t="s">
        <v>2856</v>
      </c>
      <c r="D3340" s="1"/>
      <c r="E3340" s="1"/>
      <c r="F3340" s="1" t="s">
        <v>2894</v>
      </c>
      <c r="G3340" s="1">
        <v>44</v>
      </c>
      <c r="H3340" s="1" t="s">
        <v>19</v>
      </c>
      <c r="I3340" s="1" t="s">
        <v>2858</v>
      </c>
      <c r="J3340" s="1">
        <v>0.05</v>
      </c>
      <c r="K3340" s="1">
        <v>2.2000000000000002</v>
      </c>
      <c r="L3340" s="42">
        <v>5</v>
      </c>
      <c r="M3340" s="43"/>
      <c r="N3340" s="1" t="e">
        <f>VLOOKUP(B3340,MICRO!E:L,8,0)</f>
        <v>#N/A</v>
      </c>
    </row>
    <row r="3341" spans="1:14" ht="20.25" x14ac:dyDescent="0.25">
      <c r="A3341" s="1">
        <v>182</v>
      </c>
      <c r="B3341" s="159"/>
      <c r="C3341" s="1" t="s">
        <v>2843</v>
      </c>
      <c r="D3341" s="1"/>
      <c r="E3341" s="1"/>
      <c r="F3341" s="1" t="s">
        <v>2895</v>
      </c>
      <c r="G3341" s="1">
        <v>28</v>
      </c>
      <c r="H3341" s="1" t="s">
        <v>19</v>
      </c>
      <c r="I3341" s="1" t="s">
        <v>2845</v>
      </c>
      <c r="J3341" s="1">
        <v>0.05</v>
      </c>
      <c r="K3341" s="1">
        <v>1.4000000000000001</v>
      </c>
      <c r="L3341" s="42">
        <v>5</v>
      </c>
      <c r="M3341" s="43"/>
      <c r="N3341" s="1" t="e">
        <f>VLOOKUP(B3341,MICRO!E:L,8,0)</f>
        <v>#N/A</v>
      </c>
    </row>
    <row r="3342" spans="1:14" ht="20.25" x14ac:dyDescent="0.25">
      <c r="A3342" s="1">
        <v>183</v>
      </c>
      <c r="B3342" s="159"/>
      <c r="C3342" s="1" t="s">
        <v>183</v>
      </c>
      <c r="D3342" s="1"/>
      <c r="E3342" s="1"/>
      <c r="F3342" s="1" t="s">
        <v>2896</v>
      </c>
      <c r="G3342" s="1">
        <v>2</v>
      </c>
      <c r="H3342" s="1" t="s">
        <v>19</v>
      </c>
      <c r="I3342" s="1" t="s">
        <v>2835</v>
      </c>
      <c r="J3342" s="1">
        <v>0.05</v>
      </c>
      <c r="K3342" s="1">
        <v>0.1</v>
      </c>
      <c r="L3342" s="42">
        <v>5</v>
      </c>
      <c r="M3342" s="43"/>
      <c r="N3342" s="1" t="e">
        <f>VLOOKUP(B3342,MICRO!E:L,8,0)</f>
        <v>#N/A</v>
      </c>
    </row>
    <row r="3343" spans="1:14" ht="20.25" x14ac:dyDescent="0.25">
      <c r="A3343" s="1">
        <v>184</v>
      </c>
      <c r="B3343" s="159"/>
      <c r="C3343" s="1" t="s">
        <v>2853</v>
      </c>
      <c r="D3343" s="1"/>
      <c r="E3343" s="1"/>
      <c r="F3343" s="1" t="s">
        <v>2897</v>
      </c>
      <c r="G3343" s="1">
        <v>12</v>
      </c>
      <c r="H3343" s="1" t="s">
        <v>19</v>
      </c>
      <c r="I3343" s="1" t="s">
        <v>2855</v>
      </c>
      <c r="J3343" s="1">
        <v>0.05</v>
      </c>
      <c r="K3343" s="1">
        <v>0.60000000000000009</v>
      </c>
      <c r="L3343" s="42">
        <v>5</v>
      </c>
      <c r="M3343" s="43"/>
      <c r="N3343" s="1" t="e">
        <f>VLOOKUP(B3343,MICRO!E:L,8,0)</f>
        <v>#N/A</v>
      </c>
    </row>
    <row r="3344" spans="1:14" ht="20.25" x14ac:dyDescent="0.25">
      <c r="A3344" s="1">
        <v>185</v>
      </c>
      <c r="B3344" s="159"/>
      <c r="C3344" s="1" t="s">
        <v>950</v>
      </c>
      <c r="D3344" s="1"/>
      <c r="E3344" s="1"/>
      <c r="F3344" s="1" t="s">
        <v>2898</v>
      </c>
      <c r="G3344" s="1">
        <v>9</v>
      </c>
      <c r="H3344" s="1" t="s">
        <v>19</v>
      </c>
      <c r="I3344" s="1" t="s">
        <v>2754</v>
      </c>
      <c r="J3344" s="1">
        <v>0.05</v>
      </c>
      <c r="K3344" s="1">
        <v>0.45</v>
      </c>
      <c r="L3344" s="42">
        <v>5</v>
      </c>
      <c r="M3344" s="43"/>
      <c r="N3344" s="1" t="e">
        <f>VLOOKUP(B3344,MICRO!E:L,8,0)</f>
        <v>#N/A</v>
      </c>
    </row>
    <row r="3345" spans="1:14" ht="20.25" x14ac:dyDescent="0.25">
      <c r="A3345" s="1">
        <v>186</v>
      </c>
      <c r="B3345" s="159"/>
      <c r="C3345" s="1" t="s">
        <v>1996</v>
      </c>
      <c r="D3345" s="1"/>
      <c r="E3345" s="1"/>
      <c r="F3345" s="1" t="s">
        <v>2899</v>
      </c>
      <c r="G3345" s="1">
        <v>9</v>
      </c>
      <c r="H3345" s="1" t="s">
        <v>19</v>
      </c>
      <c r="I3345" s="1" t="s">
        <v>2851</v>
      </c>
      <c r="J3345" s="1">
        <v>0.05</v>
      </c>
      <c r="K3345" s="1">
        <v>0.45</v>
      </c>
      <c r="L3345" s="42">
        <v>5</v>
      </c>
      <c r="M3345" s="43"/>
      <c r="N3345" s="1" t="e">
        <f>VLOOKUP(B3345,MICRO!E:L,8,0)</f>
        <v>#N/A</v>
      </c>
    </row>
    <row r="3346" spans="1:14" ht="20.25" x14ac:dyDescent="0.25">
      <c r="A3346" s="1">
        <v>187</v>
      </c>
      <c r="B3346" s="159"/>
      <c r="C3346" s="1" t="s">
        <v>1990</v>
      </c>
      <c r="D3346" s="1"/>
      <c r="E3346" s="1"/>
      <c r="F3346" s="1" t="s">
        <v>2900</v>
      </c>
      <c r="G3346" s="1">
        <v>9</v>
      </c>
      <c r="H3346" s="1" t="s">
        <v>19</v>
      </c>
      <c r="I3346" s="1" t="s">
        <v>585</v>
      </c>
      <c r="J3346" s="1">
        <v>0.05</v>
      </c>
      <c r="K3346" s="1">
        <v>0.45</v>
      </c>
      <c r="L3346" s="42">
        <v>5</v>
      </c>
      <c r="M3346" s="43"/>
      <c r="N3346" s="1" t="e">
        <f>VLOOKUP(B3346,MICRO!E:L,8,0)</f>
        <v>#N/A</v>
      </c>
    </row>
    <row r="3347" spans="1:14" ht="20.25" x14ac:dyDescent="0.25">
      <c r="A3347" s="1">
        <v>188</v>
      </c>
      <c r="B3347" s="159"/>
      <c r="C3347" s="1" t="s">
        <v>2837</v>
      </c>
      <c r="D3347" s="1"/>
      <c r="E3347" s="1"/>
      <c r="F3347" s="1" t="s">
        <v>2901</v>
      </c>
      <c r="G3347" s="1">
        <v>4</v>
      </c>
      <c r="H3347" s="1" t="s">
        <v>19</v>
      </c>
      <c r="I3347" s="1" t="s">
        <v>585</v>
      </c>
      <c r="J3347" s="1">
        <v>0.05</v>
      </c>
      <c r="K3347" s="1">
        <v>0.2</v>
      </c>
      <c r="L3347" s="42">
        <v>5</v>
      </c>
      <c r="M3347" s="43"/>
      <c r="N3347" s="1" t="e">
        <f>VLOOKUP(B3347,MICRO!E:L,8,0)</f>
        <v>#N/A</v>
      </c>
    </row>
    <row r="3348" spans="1:14" ht="20.25" x14ac:dyDescent="0.25">
      <c r="A3348" s="1">
        <v>189</v>
      </c>
      <c r="B3348" s="159"/>
      <c r="C3348" s="1" t="s">
        <v>1286</v>
      </c>
      <c r="D3348" s="1"/>
      <c r="E3348" s="1"/>
      <c r="F3348" s="1" t="s">
        <v>2902</v>
      </c>
      <c r="G3348" s="1">
        <v>4</v>
      </c>
      <c r="H3348" s="1" t="s">
        <v>19</v>
      </c>
      <c r="I3348" s="1" t="s">
        <v>629</v>
      </c>
      <c r="J3348" s="1">
        <v>0.05</v>
      </c>
      <c r="K3348" s="1">
        <v>0.2</v>
      </c>
      <c r="L3348" s="42">
        <v>5</v>
      </c>
      <c r="M3348" s="43"/>
      <c r="N3348" s="1" t="e">
        <f>VLOOKUP(B3348,MICRO!E:L,8,0)</f>
        <v>#N/A</v>
      </c>
    </row>
    <row r="3349" spans="1:14" ht="20.25" x14ac:dyDescent="0.25">
      <c r="A3349" s="1">
        <v>190</v>
      </c>
      <c r="B3349" s="159"/>
      <c r="C3349" s="1" t="s">
        <v>2839</v>
      </c>
      <c r="D3349" s="1"/>
      <c r="E3349" s="1"/>
      <c r="F3349" s="1" t="s">
        <v>2903</v>
      </c>
      <c r="G3349" s="1">
        <v>16</v>
      </c>
      <c r="H3349" s="1" t="s">
        <v>19</v>
      </c>
      <c r="I3349" s="1" t="s">
        <v>2839</v>
      </c>
      <c r="J3349" s="1">
        <v>0.05</v>
      </c>
      <c r="K3349" s="1">
        <v>0.8</v>
      </c>
      <c r="L3349" s="42">
        <v>5</v>
      </c>
      <c r="M3349" s="43"/>
      <c r="N3349" s="1" t="e">
        <f>VLOOKUP(B3349,MICRO!E:L,8,0)</f>
        <v>#N/A</v>
      </c>
    </row>
    <row r="3350" spans="1:14" ht="20.25" x14ac:dyDescent="0.25">
      <c r="A3350" s="1">
        <v>191</v>
      </c>
      <c r="B3350" s="159"/>
      <c r="C3350" s="1" t="s">
        <v>1286</v>
      </c>
      <c r="D3350" s="1"/>
      <c r="E3350" s="1"/>
      <c r="F3350" s="1" t="s">
        <v>2904</v>
      </c>
      <c r="G3350" s="1">
        <v>40</v>
      </c>
      <c r="H3350" s="1" t="s">
        <v>19</v>
      </c>
      <c r="I3350" s="1" t="s">
        <v>629</v>
      </c>
      <c r="J3350" s="1">
        <v>0.05</v>
      </c>
      <c r="K3350" s="1">
        <v>2</v>
      </c>
      <c r="L3350" s="42">
        <v>5</v>
      </c>
      <c r="M3350" s="43"/>
      <c r="N3350" s="1" t="e">
        <f>VLOOKUP(B3350,MICRO!E:L,8,0)</f>
        <v>#N/A</v>
      </c>
    </row>
    <row r="3351" spans="1:14" ht="20.25" x14ac:dyDescent="0.25">
      <c r="A3351" s="1">
        <v>192</v>
      </c>
      <c r="B3351" s="159"/>
      <c r="C3351" s="1" t="s">
        <v>2839</v>
      </c>
      <c r="D3351" s="1"/>
      <c r="E3351" s="1"/>
      <c r="F3351" s="1" t="s">
        <v>2905</v>
      </c>
      <c r="G3351" s="1">
        <v>8</v>
      </c>
      <c r="H3351" s="1" t="s">
        <v>19</v>
      </c>
      <c r="I3351" s="1" t="s">
        <v>2754</v>
      </c>
      <c r="J3351" s="1">
        <v>0.05</v>
      </c>
      <c r="K3351" s="1">
        <v>0.4</v>
      </c>
      <c r="L3351" s="42">
        <v>5</v>
      </c>
      <c r="M3351" s="43"/>
      <c r="N3351" s="1" t="e">
        <f>VLOOKUP(B3351,MICRO!E:L,8,0)</f>
        <v>#N/A</v>
      </c>
    </row>
    <row r="3352" spans="1:14" ht="20.25" x14ac:dyDescent="0.25">
      <c r="A3352" s="1">
        <v>193</v>
      </c>
      <c r="B3352" s="159"/>
      <c r="C3352" s="1" t="s">
        <v>2860</v>
      </c>
      <c r="D3352" s="1"/>
      <c r="E3352" s="1"/>
      <c r="F3352" s="1" t="s">
        <v>2906</v>
      </c>
      <c r="G3352" s="1">
        <v>18</v>
      </c>
      <c r="H3352" s="1" t="s">
        <v>19</v>
      </c>
      <c r="I3352" s="1" t="s">
        <v>2862</v>
      </c>
      <c r="J3352" s="1">
        <v>0.05</v>
      </c>
      <c r="K3352" s="1">
        <v>0.9</v>
      </c>
      <c r="L3352" s="42">
        <v>5</v>
      </c>
      <c r="M3352" s="43"/>
      <c r="N3352" s="1" t="e">
        <f>VLOOKUP(B3352,MICRO!E:L,8,0)</f>
        <v>#N/A</v>
      </c>
    </row>
    <row r="3353" spans="1:14" ht="20.25" x14ac:dyDescent="0.25">
      <c r="A3353" s="1">
        <v>194</v>
      </c>
      <c r="B3353" s="159"/>
      <c r="C3353" s="1" t="s">
        <v>2837</v>
      </c>
      <c r="D3353" s="1"/>
      <c r="E3353" s="1"/>
      <c r="F3353" s="1" t="s">
        <v>2907</v>
      </c>
      <c r="G3353" s="1">
        <v>8</v>
      </c>
      <c r="H3353" s="1" t="s">
        <v>19</v>
      </c>
      <c r="I3353" s="1" t="s">
        <v>585</v>
      </c>
      <c r="J3353" s="1">
        <v>0.05</v>
      </c>
      <c r="K3353" s="1">
        <v>0.4</v>
      </c>
      <c r="L3353" s="42">
        <v>5</v>
      </c>
      <c r="M3353" s="43"/>
      <c r="N3353" s="1" t="e">
        <f>VLOOKUP(B3353,MICRO!E:L,8,0)</f>
        <v>#N/A</v>
      </c>
    </row>
    <row r="3354" spans="1:14" ht="20.25" x14ac:dyDescent="0.25">
      <c r="A3354" s="1">
        <v>195</v>
      </c>
      <c r="B3354" s="159"/>
      <c r="C3354" s="1" t="s">
        <v>2837</v>
      </c>
      <c r="D3354" s="1"/>
      <c r="E3354" s="1"/>
      <c r="F3354" s="1" t="s">
        <v>2908</v>
      </c>
      <c r="G3354" s="1">
        <v>38</v>
      </c>
      <c r="H3354" s="1" t="s">
        <v>19</v>
      </c>
      <c r="I3354" s="1" t="s">
        <v>585</v>
      </c>
      <c r="J3354" s="1">
        <v>0.05</v>
      </c>
      <c r="K3354" s="1">
        <v>1.9000000000000001</v>
      </c>
      <c r="L3354" s="42">
        <v>5</v>
      </c>
      <c r="M3354" s="43"/>
      <c r="N3354" s="1" t="e">
        <f>VLOOKUP(B3354,MICRO!E:L,8,0)</f>
        <v>#N/A</v>
      </c>
    </row>
    <row r="3355" spans="1:14" ht="20.25" x14ac:dyDescent="0.25">
      <c r="A3355" s="1">
        <v>196</v>
      </c>
      <c r="B3355" s="159"/>
      <c r="C3355" s="1" t="s">
        <v>2839</v>
      </c>
      <c r="D3355" s="1"/>
      <c r="E3355" s="1"/>
      <c r="F3355" s="1" t="s">
        <v>2909</v>
      </c>
      <c r="G3355" s="1">
        <v>10</v>
      </c>
      <c r="H3355" s="1" t="s">
        <v>19</v>
      </c>
      <c r="I3355" s="1" t="s">
        <v>2754</v>
      </c>
      <c r="J3355" s="1">
        <v>0.05</v>
      </c>
      <c r="K3355" s="1">
        <v>0.5</v>
      </c>
      <c r="L3355" s="42">
        <v>5</v>
      </c>
      <c r="M3355" s="43"/>
      <c r="N3355" s="1" t="e">
        <f>VLOOKUP(B3355,MICRO!E:L,8,0)</f>
        <v>#N/A</v>
      </c>
    </row>
    <row r="3356" spans="1:14" ht="20.25" x14ac:dyDescent="0.25">
      <c r="A3356" s="1">
        <v>197</v>
      </c>
      <c r="B3356" s="159"/>
      <c r="C3356" s="1" t="s">
        <v>2872</v>
      </c>
      <c r="D3356" s="1"/>
      <c r="E3356" s="1"/>
      <c r="F3356" s="1" t="s">
        <v>2910</v>
      </c>
      <c r="G3356" s="1">
        <v>4</v>
      </c>
      <c r="H3356" s="1" t="s">
        <v>19</v>
      </c>
      <c r="I3356" s="1" t="s">
        <v>2862</v>
      </c>
      <c r="J3356" s="1">
        <v>0.05</v>
      </c>
      <c r="K3356" s="1">
        <v>0.2</v>
      </c>
      <c r="L3356" s="42">
        <v>5</v>
      </c>
      <c r="M3356" s="43"/>
      <c r="N3356" s="1" t="e">
        <f>VLOOKUP(B3356,MICRO!E:L,8,0)</f>
        <v>#N/A</v>
      </c>
    </row>
    <row r="3357" spans="1:14" ht="20.25" x14ac:dyDescent="0.25">
      <c r="A3357" s="1">
        <v>198</v>
      </c>
      <c r="B3357" s="159"/>
      <c r="C3357" s="1" t="s">
        <v>1990</v>
      </c>
      <c r="D3357" s="1"/>
      <c r="E3357" s="1"/>
      <c r="F3357" s="1" t="s">
        <v>2911</v>
      </c>
      <c r="G3357" s="1">
        <v>9</v>
      </c>
      <c r="H3357" s="1" t="s">
        <v>19</v>
      </c>
      <c r="I3357" s="1" t="s">
        <v>585</v>
      </c>
      <c r="J3357" s="1">
        <v>0.05</v>
      </c>
      <c r="K3357" s="1">
        <v>0.45</v>
      </c>
      <c r="L3357" s="42">
        <v>5</v>
      </c>
      <c r="M3357" s="43"/>
      <c r="N3357" s="1" t="e">
        <f>VLOOKUP(B3357,MICRO!E:L,8,0)</f>
        <v>#N/A</v>
      </c>
    </row>
    <row r="3358" spans="1:14" ht="20.25" x14ac:dyDescent="0.25">
      <c r="A3358" s="1">
        <v>199</v>
      </c>
      <c r="B3358" s="159"/>
      <c r="C3358" s="1" t="s">
        <v>2880</v>
      </c>
      <c r="D3358" s="1"/>
      <c r="E3358" s="1"/>
      <c r="F3358" s="1" t="s">
        <v>2912</v>
      </c>
      <c r="G3358" s="1">
        <v>32</v>
      </c>
      <c r="H3358" s="1" t="s">
        <v>19</v>
      </c>
      <c r="I3358" s="1" t="s">
        <v>589</v>
      </c>
      <c r="J3358" s="1">
        <v>0.05</v>
      </c>
      <c r="K3358" s="1">
        <v>1.6</v>
      </c>
      <c r="L3358" s="42">
        <v>5</v>
      </c>
      <c r="M3358" s="43"/>
      <c r="N3358" s="1" t="e">
        <f>VLOOKUP(B3358,MICRO!E:L,8,0)</f>
        <v>#N/A</v>
      </c>
    </row>
    <row r="3359" spans="1:14" ht="20.25" x14ac:dyDescent="0.25">
      <c r="A3359" s="1">
        <v>200</v>
      </c>
      <c r="B3359" s="159"/>
      <c r="C3359" s="1" t="s">
        <v>2876</v>
      </c>
      <c r="D3359" s="1"/>
      <c r="E3359" s="1"/>
      <c r="F3359" s="1" t="s">
        <v>2913</v>
      </c>
      <c r="G3359" s="1">
        <v>4</v>
      </c>
      <c r="H3359" s="1" t="s">
        <v>19</v>
      </c>
      <c r="I3359" s="1" t="s">
        <v>585</v>
      </c>
      <c r="J3359" s="1">
        <v>0.05</v>
      </c>
      <c r="K3359" s="1">
        <v>0.2</v>
      </c>
      <c r="L3359" s="42">
        <v>5</v>
      </c>
      <c r="M3359" s="43"/>
      <c r="N3359" s="1" t="e">
        <f>VLOOKUP(B3359,MICRO!E:L,8,0)</f>
        <v>#N/A</v>
      </c>
    </row>
    <row r="3360" spans="1:14" ht="20.25" x14ac:dyDescent="0.25">
      <c r="A3360" s="1">
        <v>201</v>
      </c>
      <c r="B3360" s="159"/>
      <c r="C3360" s="1" t="s">
        <v>2864</v>
      </c>
      <c r="D3360" s="1"/>
      <c r="E3360" s="1"/>
      <c r="F3360" s="1" t="s">
        <v>2914</v>
      </c>
      <c r="G3360" s="1">
        <v>32</v>
      </c>
      <c r="H3360" s="1" t="s">
        <v>19</v>
      </c>
      <c r="I3360" s="1" t="s">
        <v>585</v>
      </c>
      <c r="J3360" s="1">
        <v>0.05</v>
      </c>
      <c r="K3360" s="1">
        <v>1.6</v>
      </c>
      <c r="L3360" s="42">
        <v>5</v>
      </c>
      <c r="M3360" s="43"/>
      <c r="N3360" s="1" t="e">
        <f>VLOOKUP(B3360,MICRO!E:L,8,0)</f>
        <v>#N/A</v>
      </c>
    </row>
    <row r="3361" spans="1:14" ht="20.25" x14ac:dyDescent="0.25">
      <c r="A3361" s="1">
        <v>202</v>
      </c>
      <c r="B3361" s="159"/>
      <c r="C3361" s="1" t="s">
        <v>183</v>
      </c>
      <c r="D3361" s="1"/>
      <c r="E3361" s="1"/>
      <c r="F3361" s="1" t="s">
        <v>2915</v>
      </c>
      <c r="G3361" s="1">
        <v>2</v>
      </c>
      <c r="H3361" s="1" t="s">
        <v>19</v>
      </c>
      <c r="I3361" s="1" t="s">
        <v>2855</v>
      </c>
      <c r="J3361" s="1">
        <v>0.05</v>
      </c>
      <c r="K3361" s="1">
        <v>0.1</v>
      </c>
      <c r="L3361" s="42">
        <v>5</v>
      </c>
      <c r="M3361" s="43"/>
      <c r="N3361" s="1" t="e">
        <f>VLOOKUP(B3361,MICRO!E:L,8,0)</f>
        <v>#N/A</v>
      </c>
    </row>
    <row r="3362" spans="1:14" ht="20.25" x14ac:dyDescent="0.25">
      <c r="A3362" s="1">
        <v>203</v>
      </c>
      <c r="B3362" s="159"/>
      <c r="C3362" s="1" t="s">
        <v>959</v>
      </c>
      <c r="D3362" s="1"/>
      <c r="E3362" s="1"/>
      <c r="F3362" s="1" t="s">
        <v>2916</v>
      </c>
      <c r="G3362" s="1">
        <v>2</v>
      </c>
      <c r="H3362" s="1" t="s">
        <v>19</v>
      </c>
      <c r="I3362" s="1" t="s">
        <v>2855</v>
      </c>
      <c r="J3362" s="1">
        <v>0.05</v>
      </c>
      <c r="K3362" s="1">
        <v>0.1</v>
      </c>
      <c r="L3362" s="42">
        <v>5</v>
      </c>
      <c r="M3362" s="43"/>
      <c r="N3362" s="1" t="e">
        <f>VLOOKUP(B3362,MICRO!E:L,8,0)</f>
        <v>#N/A</v>
      </c>
    </row>
    <row r="3363" spans="1:14" ht="20.25" x14ac:dyDescent="0.25">
      <c r="A3363" s="1">
        <v>204</v>
      </c>
      <c r="B3363" s="159"/>
      <c r="C3363" s="1" t="s">
        <v>2867</v>
      </c>
      <c r="D3363" s="1"/>
      <c r="E3363" s="1"/>
      <c r="F3363" s="1" t="s">
        <v>2917</v>
      </c>
      <c r="G3363" s="1">
        <v>2</v>
      </c>
      <c r="H3363" s="1" t="s">
        <v>19</v>
      </c>
      <c r="I3363" s="1" t="s">
        <v>634</v>
      </c>
      <c r="J3363" s="1">
        <v>0.05</v>
      </c>
      <c r="K3363" s="1">
        <v>0.1</v>
      </c>
      <c r="L3363" s="42">
        <v>5</v>
      </c>
      <c r="M3363" s="43"/>
      <c r="N3363" s="1" t="e">
        <f>VLOOKUP(B3363,MICRO!E:L,8,0)</f>
        <v>#N/A</v>
      </c>
    </row>
    <row r="3364" spans="1:14" ht="20.25" x14ac:dyDescent="0.25">
      <c r="A3364" s="1">
        <v>205</v>
      </c>
      <c r="B3364" s="159"/>
      <c r="C3364" s="1" t="s">
        <v>2918</v>
      </c>
      <c r="D3364" s="1"/>
      <c r="E3364" s="1"/>
      <c r="F3364" s="1" t="s">
        <v>2919</v>
      </c>
      <c r="G3364" s="1">
        <v>2</v>
      </c>
      <c r="H3364" s="1" t="s">
        <v>19</v>
      </c>
      <c r="I3364" s="1" t="s">
        <v>589</v>
      </c>
      <c r="J3364" s="1">
        <v>0.05</v>
      </c>
      <c r="K3364" s="1">
        <v>0.1</v>
      </c>
      <c r="L3364" s="42">
        <v>5</v>
      </c>
      <c r="M3364" s="43"/>
      <c r="N3364" s="1" t="e">
        <f>VLOOKUP(B3364,MICRO!E:L,8,0)</f>
        <v>#N/A</v>
      </c>
    </row>
    <row r="3365" spans="1:14" ht="20.25" x14ac:dyDescent="0.25">
      <c r="A3365" s="1">
        <v>206</v>
      </c>
      <c r="B3365" s="159"/>
      <c r="C3365" s="1" t="s">
        <v>2918</v>
      </c>
      <c r="D3365" s="1"/>
      <c r="E3365" s="1"/>
      <c r="F3365" s="1" t="s">
        <v>2920</v>
      </c>
      <c r="G3365" s="1">
        <v>4</v>
      </c>
      <c r="H3365" s="1" t="s">
        <v>19</v>
      </c>
      <c r="I3365" s="1" t="s">
        <v>589</v>
      </c>
      <c r="J3365" s="1">
        <v>0.05</v>
      </c>
      <c r="K3365" s="1">
        <v>0.2</v>
      </c>
      <c r="L3365" s="42">
        <v>5</v>
      </c>
      <c r="M3365" s="43"/>
      <c r="N3365" s="1" t="e">
        <f>VLOOKUP(B3365,MICRO!E:L,8,0)</f>
        <v>#N/A</v>
      </c>
    </row>
    <row r="3366" spans="1:14" ht="20.25" x14ac:dyDescent="0.25">
      <c r="A3366" s="1">
        <v>207</v>
      </c>
      <c r="B3366" s="159"/>
      <c r="C3366" s="1" t="s">
        <v>2867</v>
      </c>
      <c r="D3366" s="1"/>
      <c r="E3366" s="1"/>
      <c r="F3366" s="1" t="s">
        <v>2921</v>
      </c>
      <c r="G3366" s="1">
        <v>4</v>
      </c>
      <c r="H3366" s="1" t="s">
        <v>19</v>
      </c>
      <c r="I3366" s="1" t="s">
        <v>634</v>
      </c>
      <c r="J3366" s="1">
        <v>0.05</v>
      </c>
      <c r="K3366" s="1">
        <v>0.2</v>
      </c>
      <c r="L3366" s="42">
        <v>5</v>
      </c>
      <c r="M3366" s="43"/>
      <c r="N3366" s="1" t="e">
        <f>VLOOKUP(B3366,MICRO!E:L,8,0)</f>
        <v>#N/A</v>
      </c>
    </row>
    <row r="3367" spans="1:14" ht="20.25" x14ac:dyDescent="0.25">
      <c r="A3367" s="1">
        <v>208</v>
      </c>
      <c r="B3367" s="159"/>
      <c r="C3367" s="1" t="s">
        <v>2848</v>
      </c>
      <c r="D3367" s="1"/>
      <c r="E3367" s="1"/>
      <c r="F3367" s="1" t="s">
        <v>2922</v>
      </c>
      <c r="G3367" s="1">
        <v>4</v>
      </c>
      <c r="H3367" s="1" t="s">
        <v>19</v>
      </c>
      <c r="I3367" s="1" t="s">
        <v>585</v>
      </c>
      <c r="J3367" s="1">
        <v>0.05</v>
      </c>
      <c r="K3367" s="1">
        <v>0.2</v>
      </c>
      <c r="L3367" s="42">
        <v>5</v>
      </c>
      <c r="M3367" s="43"/>
      <c r="N3367" s="1" t="e">
        <f>VLOOKUP(B3367,MICRO!E:L,8,0)</f>
        <v>#N/A</v>
      </c>
    </row>
    <row r="3368" spans="1:14" ht="20.25" x14ac:dyDescent="0.25">
      <c r="A3368" s="1">
        <v>209</v>
      </c>
      <c r="B3368" s="159"/>
      <c r="C3368" s="1" t="s">
        <v>2848</v>
      </c>
      <c r="D3368" s="1"/>
      <c r="E3368" s="1"/>
      <c r="F3368" s="1" t="s">
        <v>2923</v>
      </c>
      <c r="G3368" s="1">
        <v>2</v>
      </c>
      <c r="H3368" s="1" t="s">
        <v>19</v>
      </c>
      <c r="I3368" s="1" t="s">
        <v>585</v>
      </c>
      <c r="J3368" s="1">
        <v>0.05</v>
      </c>
      <c r="K3368" s="1">
        <v>0.1</v>
      </c>
      <c r="L3368" s="42">
        <v>5</v>
      </c>
      <c r="M3368" s="43"/>
      <c r="N3368" s="1" t="e">
        <f>VLOOKUP(B3368,MICRO!E:L,8,0)</f>
        <v>#N/A</v>
      </c>
    </row>
    <row r="3369" spans="1:14" ht="20.25" x14ac:dyDescent="0.25">
      <c r="A3369" s="1">
        <v>210</v>
      </c>
      <c r="B3369" s="159"/>
      <c r="C3369" s="1" t="s">
        <v>1996</v>
      </c>
      <c r="D3369" s="1"/>
      <c r="E3369" s="1"/>
      <c r="F3369" s="1" t="s">
        <v>2924</v>
      </c>
      <c r="G3369" s="1">
        <v>9</v>
      </c>
      <c r="H3369" s="1" t="s">
        <v>19</v>
      </c>
      <c r="I3369" s="1" t="s">
        <v>2851</v>
      </c>
      <c r="J3369" s="1">
        <v>0.05</v>
      </c>
      <c r="K3369" s="1">
        <v>0.45</v>
      </c>
      <c r="L3369" s="42">
        <v>5</v>
      </c>
      <c r="M3369" s="43"/>
      <c r="N3369" s="1" t="e">
        <f>VLOOKUP(B3369,MICRO!E:L,8,0)</f>
        <v>#N/A</v>
      </c>
    </row>
    <row r="3370" spans="1:14" ht="20.25" x14ac:dyDescent="0.25">
      <c r="A3370" s="1">
        <v>211</v>
      </c>
      <c r="B3370" s="159"/>
      <c r="C3370" s="1" t="s">
        <v>2882</v>
      </c>
      <c r="D3370" s="1"/>
      <c r="E3370" s="1"/>
      <c r="F3370" s="1" t="s">
        <v>2925</v>
      </c>
      <c r="G3370" s="1">
        <v>48</v>
      </c>
      <c r="H3370" s="1" t="s">
        <v>19</v>
      </c>
      <c r="I3370" s="1" t="s">
        <v>634</v>
      </c>
      <c r="J3370" s="1">
        <v>0.05</v>
      </c>
      <c r="K3370" s="1">
        <v>2.4000000000000004</v>
      </c>
      <c r="L3370" s="42">
        <v>5</v>
      </c>
      <c r="M3370" s="43"/>
      <c r="N3370" s="1" t="e">
        <f>VLOOKUP(B3370,MICRO!E:L,8,0)</f>
        <v>#N/A</v>
      </c>
    </row>
    <row r="3371" spans="1:14" ht="20.25" x14ac:dyDescent="0.25">
      <c r="A3371" s="1">
        <v>212</v>
      </c>
      <c r="B3371" s="159"/>
      <c r="C3371" s="1" t="s">
        <v>1286</v>
      </c>
      <c r="D3371" s="1"/>
      <c r="E3371" s="1"/>
      <c r="F3371" s="1" t="s">
        <v>2926</v>
      </c>
      <c r="G3371" s="1">
        <v>28</v>
      </c>
      <c r="H3371" s="1" t="s">
        <v>19</v>
      </c>
      <c r="I3371" s="1" t="s">
        <v>629</v>
      </c>
      <c r="J3371" s="1">
        <v>0.05</v>
      </c>
      <c r="K3371" s="1">
        <v>1.4000000000000001</v>
      </c>
      <c r="L3371" s="42">
        <v>5</v>
      </c>
      <c r="M3371" s="43"/>
      <c r="N3371" s="1" t="e">
        <f>VLOOKUP(B3371,MICRO!E:L,8,0)</f>
        <v>#N/A</v>
      </c>
    </row>
    <row r="3372" spans="1:14" ht="20.25" x14ac:dyDescent="0.25">
      <c r="A3372" s="1">
        <v>213</v>
      </c>
      <c r="B3372" s="159"/>
      <c r="C3372" s="1" t="s">
        <v>1286</v>
      </c>
      <c r="D3372" s="1"/>
      <c r="E3372" s="1"/>
      <c r="F3372" s="1" t="s">
        <v>2927</v>
      </c>
      <c r="G3372" s="1">
        <v>10</v>
      </c>
      <c r="H3372" s="1" t="s">
        <v>19</v>
      </c>
      <c r="I3372" s="1" t="s">
        <v>629</v>
      </c>
      <c r="J3372" s="1">
        <v>0.05</v>
      </c>
      <c r="K3372" s="1">
        <v>0.5</v>
      </c>
      <c r="L3372" s="42">
        <v>5</v>
      </c>
      <c r="M3372" s="43"/>
      <c r="N3372" s="1" t="e">
        <f>VLOOKUP(B3372,MICRO!E:L,8,0)</f>
        <v>#N/A</v>
      </c>
    </row>
    <row r="3373" spans="1:14" ht="20.25" x14ac:dyDescent="0.25">
      <c r="A3373" s="1">
        <v>214</v>
      </c>
      <c r="B3373" s="159"/>
      <c r="C3373" s="1" t="s">
        <v>2853</v>
      </c>
      <c r="D3373" s="1"/>
      <c r="E3373" s="1"/>
      <c r="F3373" s="1" t="s">
        <v>2928</v>
      </c>
      <c r="G3373" s="1">
        <v>70</v>
      </c>
      <c r="H3373" s="1" t="s">
        <v>19</v>
      </c>
      <c r="I3373" s="1" t="s">
        <v>2855</v>
      </c>
      <c r="J3373" s="1">
        <v>0.05</v>
      </c>
      <c r="K3373" s="1">
        <v>3.5</v>
      </c>
      <c r="L3373" s="42">
        <v>5</v>
      </c>
      <c r="M3373" s="43"/>
      <c r="N3373" s="1" t="e">
        <f>VLOOKUP(B3373,MICRO!E:L,8,0)</f>
        <v>#N/A</v>
      </c>
    </row>
    <row r="3374" spans="1:14" ht="20.25" x14ac:dyDescent="0.25">
      <c r="A3374" s="1">
        <v>215</v>
      </c>
      <c r="B3374" s="159"/>
      <c r="C3374" s="1" t="s">
        <v>2860</v>
      </c>
      <c r="D3374" s="1"/>
      <c r="E3374" s="1"/>
      <c r="F3374" s="1" t="s">
        <v>2929</v>
      </c>
      <c r="G3374" s="1">
        <v>16</v>
      </c>
      <c r="H3374" s="1" t="s">
        <v>19</v>
      </c>
      <c r="I3374" s="1" t="s">
        <v>2862</v>
      </c>
      <c r="J3374" s="1">
        <v>0.05</v>
      </c>
      <c r="K3374" s="1">
        <v>0.8</v>
      </c>
      <c r="L3374" s="42">
        <v>5</v>
      </c>
      <c r="M3374" s="43"/>
      <c r="N3374" s="1" t="e">
        <f>VLOOKUP(B3374,MICRO!E:L,8,0)</f>
        <v>#N/A</v>
      </c>
    </row>
    <row r="3375" spans="1:14" ht="20.25" x14ac:dyDescent="0.25">
      <c r="A3375" s="1">
        <v>216</v>
      </c>
      <c r="B3375" s="159"/>
      <c r="C3375" s="1" t="s">
        <v>950</v>
      </c>
      <c r="D3375" s="1"/>
      <c r="E3375" s="1"/>
      <c r="F3375" s="1" t="s">
        <v>2930</v>
      </c>
      <c r="G3375" s="1">
        <v>9</v>
      </c>
      <c r="H3375" s="1" t="s">
        <v>19</v>
      </c>
      <c r="I3375" s="1" t="s">
        <v>2754</v>
      </c>
      <c r="J3375" s="1">
        <v>0.05</v>
      </c>
      <c r="K3375" s="1">
        <v>0.45</v>
      </c>
      <c r="L3375" s="42">
        <v>5</v>
      </c>
      <c r="M3375" s="43"/>
      <c r="N3375" s="1" t="e">
        <f>VLOOKUP(B3375,MICRO!E:L,8,0)</f>
        <v>#N/A</v>
      </c>
    </row>
    <row r="3376" spans="1:14" ht="20.25" x14ac:dyDescent="0.25">
      <c r="A3376" s="1">
        <v>217</v>
      </c>
      <c r="B3376" s="159"/>
      <c r="C3376" s="1" t="s">
        <v>2839</v>
      </c>
      <c r="D3376" s="1"/>
      <c r="E3376" s="1"/>
      <c r="F3376" s="1" t="s">
        <v>2931</v>
      </c>
      <c r="G3376" s="1">
        <v>4</v>
      </c>
      <c r="H3376" s="1" t="s">
        <v>19</v>
      </c>
      <c r="I3376" s="1" t="s">
        <v>2754</v>
      </c>
      <c r="J3376" s="1">
        <v>0.05</v>
      </c>
      <c r="K3376" s="1">
        <v>0.2</v>
      </c>
      <c r="L3376" s="42">
        <v>5</v>
      </c>
      <c r="M3376" s="43"/>
      <c r="N3376" s="1" t="e">
        <f>VLOOKUP(B3376,MICRO!E:L,8,0)</f>
        <v>#N/A</v>
      </c>
    </row>
    <row r="3377" spans="1:14" ht="20.25" x14ac:dyDescent="0.25">
      <c r="A3377" s="1">
        <v>218</v>
      </c>
      <c r="B3377" s="159"/>
      <c r="C3377" s="1" t="s">
        <v>2874</v>
      </c>
      <c r="D3377" s="1"/>
      <c r="E3377" s="1"/>
      <c r="F3377" s="1" t="s">
        <v>2932</v>
      </c>
      <c r="G3377" s="1">
        <v>4</v>
      </c>
      <c r="H3377" s="1" t="s">
        <v>19</v>
      </c>
      <c r="I3377" s="1" t="s">
        <v>2754</v>
      </c>
      <c r="J3377" s="1">
        <v>0.05</v>
      </c>
      <c r="K3377" s="1">
        <v>0.2</v>
      </c>
      <c r="L3377" s="42">
        <v>5</v>
      </c>
      <c r="M3377" s="43"/>
      <c r="N3377" s="1" t="e">
        <f>VLOOKUP(B3377,MICRO!E:L,8,0)</f>
        <v>#N/A</v>
      </c>
    </row>
    <row r="3378" spans="1:14" ht="20.25" x14ac:dyDescent="0.25">
      <c r="A3378" s="1">
        <v>219</v>
      </c>
      <c r="B3378" s="159"/>
      <c r="C3378" s="1" t="s">
        <v>2841</v>
      </c>
      <c r="D3378" s="1"/>
      <c r="E3378" s="1"/>
      <c r="F3378" s="1" t="s">
        <v>2933</v>
      </c>
      <c r="G3378" s="1">
        <v>24</v>
      </c>
      <c r="H3378" s="1" t="s">
        <v>19</v>
      </c>
      <c r="I3378" s="1" t="s">
        <v>589</v>
      </c>
      <c r="J3378" s="1">
        <v>0.03</v>
      </c>
      <c r="K3378" s="1">
        <v>0.72</v>
      </c>
      <c r="L3378" s="42">
        <v>5</v>
      </c>
      <c r="M3378" s="43"/>
      <c r="N3378" s="1" t="e">
        <f>VLOOKUP(B3378,MICRO!E:L,8,0)</f>
        <v>#N/A</v>
      </c>
    </row>
    <row r="3379" spans="1:14" ht="20.25" x14ac:dyDescent="0.25">
      <c r="A3379" s="1">
        <v>220</v>
      </c>
      <c r="B3379" s="159"/>
      <c r="C3379" s="1" t="s">
        <v>2856</v>
      </c>
      <c r="D3379" s="1"/>
      <c r="E3379" s="1"/>
      <c r="F3379" s="1" t="s">
        <v>2934</v>
      </c>
      <c r="G3379" s="1">
        <v>44</v>
      </c>
      <c r="H3379" s="1" t="s">
        <v>19</v>
      </c>
      <c r="I3379" s="1" t="s">
        <v>2858</v>
      </c>
      <c r="J3379" s="1">
        <v>0.03</v>
      </c>
      <c r="K3379" s="1">
        <v>1.3199999999999998</v>
      </c>
      <c r="L3379" s="42">
        <v>5</v>
      </c>
      <c r="M3379" s="43"/>
      <c r="N3379" s="1" t="e">
        <f>VLOOKUP(B3379,MICRO!E:L,8,0)</f>
        <v>#N/A</v>
      </c>
    </row>
    <row r="3380" spans="1:14" ht="20.25" x14ac:dyDescent="0.25">
      <c r="A3380" s="1">
        <v>221</v>
      </c>
      <c r="B3380" s="159"/>
      <c r="C3380" s="1" t="s">
        <v>2843</v>
      </c>
      <c r="D3380" s="1"/>
      <c r="E3380" s="1"/>
      <c r="F3380" s="1" t="s">
        <v>2935</v>
      </c>
      <c r="G3380" s="1">
        <v>28</v>
      </c>
      <c r="H3380" s="1" t="s">
        <v>19</v>
      </c>
      <c r="I3380" s="1" t="s">
        <v>2845</v>
      </c>
      <c r="J3380" s="1">
        <v>0.03</v>
      </c>
      <c r="K3380" s="1">
        <v>0.84</v>
      </c>
      <c r="L3380" s="42">
        <v>5</v>
      </c>
      <c r="M3380" s="43"/>
      <c r="N3380" s="1" t="e">
        <f>VLOOKUP(B3380,MICRO!E:L,8,0)</f>
        <v>#N/A</v>
      </c>
    </row>
    <row r="3381" spans="1:14" ht="20.25" x14ac:dyDescent="0.25">
      <c r="A3381" s="1">
        <v>222</v>
      </c>
      <c r="B3381" s="159"/>
      <c r="C3381" s="1" t="s">
        <v>183</v>
      </c>
      <c r="D3381" s="1"/>
      <c r="E3381" s="1"/>
      <c r="F3381" s="1" t="s">
        <v>2936</v>
      </c>
      <c r="G3381" s="1">
        <v>2</v>
      </c>
      <c r="H3381" s="1" t="s">
        <v>19</v>
      </c>
      <c r="I3381" s="1" t="s">
        <v>2835</v>
      </c>
      <c r="J3381" s="1">
        <v>0.03</v>
      </c>
      <c r="K3381" s="1">
        <v>0.06</v>
      </c>
      <c r="L3381" s="42">
        <v>5</v>
      </c>
      <c r="M3381" s="43"/>
      <c r="N3381" s="1" t="e">
        <f>VLOOKUP(B3381,MICRO!E:L,8,0)</f>
        <v>#N/A</v>
      </c>
    </row>
    <row r="3382" spans="1:14" ht="20.25" x14ac:dyDescent="0.25">
      <c r="A3382" s="1">
        <v>223</v>
      </c>
      <c r="B3382" s="159"/>
      <c r="C3382" s="1" t="s">
        <v>2853</v>
      </c>
      <c r="D3382" s="1"/>
      <c r="E3382" s="1"/>
      <c r="F3382" s="1" t="s">
        <v>2937</v>
      </c>
      <c r="G3382" s="1">
        <v>12</v>
      </c>
      <c r="H3382" s="1" t="s">
        <v>19</v>
      </c>
      <c r="I3382" s="1" t="s">
        <v>2855</v>
      </c>
      <c r="J3382" s="1">
        <v>0.03</v>
      </c>
      <c r="K3382" s="1">
        <v>0.36</v>
      </c>
      <c r="L3382" s="42">
        <v>5</v>
      </c>
      <c r="M3382" s="43"/>
      <c r="N3382" s="1" t="e">
        <f>VLOOKUP(B3382,MICRO!E:L,8,0)</f>
        <v>#N/A</v>
      </c>
    </row>
    <row r="3383" spans="1:14" ht="20.25" x14ac:dyDescent="0.25">
      <c r="A3383" s="1">
        <v>224</v>
      </c>
      <c r="B3383" s="159"/>
      <c r="C3383" s="1" t="s">
        <v>1996</v>
      </c>
      <c r="D3383" s="1"/>
      <c r="E3383" s="1"/>
      <c r="F3383" s="1" t="s">
        <v>2938</v>
      </c>
      <c r="G3383" s="1">
        <v>9</v>
      </c>
      <c r="H3383" s="1" t="s">
        <v>19</v>
      </c>
      <c r="I3383" s="1" t="s">
        <v>2851</v>
      </c>
      <c r="J3383" s="1">
        <v>0.03</v>
      </c>
      <c r="K3383" s="1">
        <v>0.27</v>
      </c>
      <c r="L3383" s="42">
        <v>5</v>
      </c>
      <c r="M3383" s="43"/>
      <c r="N3383" s="1" t="e">
        <f>VLOOKUP(B3383,MICRO!E:L,8,0)</f>
        <v>#N/A</v>
      </c>
    </row>
    <row r="3384" spans="1:14" ht="20.25" x14ac:dyDescent="0.25">
      <c r="A3384" s="1">
        <v>225</v>
      </c>
      <c r="B3384" s="159"/>
      <c r="C3384" s="1" t="s">
        <v>950</v>
      </c>
      <c r="D3384" s="1"/>
      <c r="E3384" s="1"/>
      <c r="F3384" s="1" t="s">
        <v>2939</v>
      </c>
      <c r="G3384" s="1">
        <v>13</v>
      </c>
      <c r="H3384" s="1" t="s">
        <v>19</v>
      </c>
      <c r="I3384" s="1" t="s">
        <v>2754</v>
      </c>
      <c r="J3384" s="1">
        <v>0.03</v>
      </c>
      <c r="K3384" s="1">
        <v>0.39</v>
      </c>
      <c r="L3384" s="42">
        <v>5</v>
      </c>
      <c r="M3384" s="43"/>
      <c r="N3384" s="1" t="e">
        <f>VLOOKUP(B3384,MICRO!E:L,8,0)</f>
        <v>#N/A</v>
      </c>
    </row>
    <row r="3385" spans="1:14" ht="20.25" x14ac:dyDescent="0.25">
      <c r="A3385" s="1">
        <v>226</v>
      </c>
      <c r="B3385" s="159"/>
      <c r="C3385" s="1" t="s">
        <v>1286</v>
      </c>
      <c r="D3385" s="1"/>
      <c r="E3385" s="1"/>
      <c r="F3385" s="1" t="s">
        <v>2940</v>
      </c>
      <c r="G3385" s="1">
        <v>68</v>
      </c>
      <c r="H3385" s="1" t="s">
        <v>19</v>
      </c>
      <c r="I3385" s="1" t="s">
        <v>629</v>
      </c>
      <c r="J3385" s="1">
        <v>0.03</v>
      </c>
      <c r="K3385" s="1">
        <v>2.04</v>
      </c>
      <c r="L3385" s="42">
        <v>5</v>
      </c>
      <c r="M3385" s="43"/>
      <c r="N3385" s="1" t="e">
        <f>VLOOKUP(B3385,MICRO!E:L,8,0)</f>
        <v>#N/A</v>
      </c>
    </row>
    <row r="3386" spans="1:14" ht="20.25" x14ac:dyDescent="0.25">
      <c r="A3386" s="1">
        <v>227</v>
      </c>
      <c r="B3386" s="159"/>
      <c r="C3386" s="1" t="s">
        <v>2860</v>
      </c>
      <c r="D3386" s="1"/>
      <c r="E3386" s="1"/>
      <c r="F3386" s="1" t="s">
        <v>2941</v>
      </c>
      <c r="G3386" s="1">
        <v>34</v>
      </c>
      <c r="H3386" s="1" t="s">
        <v>19</v>
      </c>
      <c r="I3386" s="1" t="s">
        <v>2862</v>
      </c>
      <c r="J3386" s="1">
        <v>0.03</v>
      </c>
      <c r="K3386" s="1">
        <v>1.02</v>
      </c>
      <c r="L3386" s="42">
        <v>5</v>
      </c>
      <c r="M3386" s="43"/>
      <c r="N3386" s="1" t="e">
        <f>VLOOKUP(B3386,MICRO!E:L,8,0)</f>
        <v>#N/A</v>
      </c>
    </row>
    <row r="3387" spans="1:14" ht="20.25" x14ac:dyDescent="0.25">
      <c r="A3387" s="1">
        <v>228</v>
      </c>
      <c r="B3387" s="159"/>
      <c r="C3387" s="1" t="s">
        <v>2837</v>
      </c>
      <c r="D3387" s="1"/>
      <c r="E3387" s="1"/>
      <c r="F3387" s="1" t="s">
        <v>2942</v>
      </c>
      <c r="G3387" s="1">
        <v>46</v>
      </c>
      <c r="H3387" s="1" t="s">
        <v>19</v>
      </c>
      <c r="I3387" s="1" t="s">
        <v>585</v>
      </c>
      <c r="J3387" s="1">
        <v>0.03</v>
      </c>
      <c r="K3387" s="1">
        <v>1.38</v>
      </c>
      <c r="L3387" s="42">
        <v>5</v>
      </c>
      <c r="M3387" s="43"/>
      <c r="N3387" s="1" t="e">
        <f>VLOOKUP(B3387,MICRO!E:L,8,0)</f>
        <v>#N/A</v>
      </c>
    </row>
    <row r="3388" spans="1:14" ht="20.25" x14ac:dyDescent="0.25">
      <c r="A3388" s="1">
        <v>229</v>
      </c>
      <c r="B3388" s="159"/>
      <c r="C3388" s="1" t="s">
        <v>2839</v>
      </c>
      <c r="D3388" s="1"/>
      <c r="E3388" s="1"/>
      <c r="F3388" s="1" t="s">
        <v>2943</v>
      </c>
      <c r="G3388" s="1">
        <v>24</v>
      </c>
      <c r="H3388" s="1" t="s">
        <v>19</v>
      </c>
      <c r="I3388" s="1" t="s">
        <v>2754</v>
      </c>
      <c r="J3388" s="1">
        <v>0.03</v>
      </c>
      <c r="K3388" s="1">
        <v>0.72</v>
      </c>
      <c r="L3388" s="42">
        <v>5</v>
      </c>
      <c r="M3388" s="43"/>
      <c r="N3388" s="1" t="e">
        <f>VLOOKUP(B3388,MICRO!E:L,8,0)</f>
        <v>#N/A</v>
      </c>
    </row>
    <row r="3389" spans="1:14" ht="20.25" x14ac:dyDescent="0.25">
      <c r="A3389" s="1">
        <v>230</v>
      </c>
      <c r="B3389" s="159"/>
      <c r="C3389" s="1" t="s">
        <v>959</v>
      </c>
      <c r="D3389" s="1"/>
      <c r="E3389" s="1"/>
      <c r="F3389" s="1" t="s">
        <v>2944</v>
      </c>
      <c r="G3389" s="1">
        <v>2</v>
      </c>
      <c r="H3389" s="1" t="s">
        <v>19</v>
      </c>
      <c r="I3389" s="1" t="s">
        <v>2855</v>
      </c>
      <c r="J3389" s="1">
        <v>0.03</v>
      </c>
      <c r="K3389" s="1">
        <v>0.06</v>
      </c>
      <c r="L3389" s="42">
        <v>5</v>
      </c>
      <c r="M3389" s="43"/>
      <c r="N3389" s="1" t="e">
        <f>VLOOKUP(B3389,MICRO!E:L,8,0)</f>
        <v>#N/A</v>
      </c>
    </row>
    <row r="3390" spans="1:14" ht="20.25" x14ac:dyDescent="0.25">
      <c r="A3390" s="1">
        <v>231</v>
      </c>
      <c r="B3390" s="159"/>
      <c r="C3390" s="1" t="s">
        <v>2864</v>
      </c>
      <c r="D3390" s="1"/>
      <c r="E3390" s="1"/>
      <c r="F3390" s="1" t="s">
        <v>2945</v>
      </c>
      <c r="G3390" s="1">
        <v>49</v>
      </c>
      <c r="H3390" s="1" t="s">
        <v>19</v>
      </c>
      <c r="I3390" s="1" t="s">
        <v>585</v>
      </c>
      <c r="J3390" s="1">
        <v>0.03</v>
      </c>
      <c r="K3390" s="1">
        <v>1.47</v>
      </c>
      <c r="L3390" s="42">
        <v>5</v>
      </c>
      <c r="M3390" s="43"/>
      <c r="N3390" s="1" t="e">
        <f>VLOOKUP(B3390,MICRO!E:L,8,0)</f>
        <v>#N/A</v>
      </c>
    </row>
    <row r="3391" spans="1:14" ht="20.25" x14ac:dyDescent="0.25">
      <c r="A3391" s="1">
        <v>232</v>
      </c>
      <c r="B3391" s="159"/>
      <c r="C3391" s="1" t="s">
        <v>950</v>
      </c>
      <c r="D3391" s="1"/>
      <c r="E3391" s="1"/>
      <c r="F3391" s="1" t="s">
        <v>2946</v>
      </c>
      <c r="G3391" s="1">
        <v>15</v>
      </c>
      <c r="H3391" s="1" t="s">
        <v>19</v>
      </c>
      <c r="I3391" s="1" t="s">
        <v>2754</v>
      </c>
      <c r="J3391" s="1">
        <v>0.03</v>
      </c>
      <c r="K3391" s="1">
        <v>0.44999999999999996</v>
      </c>
      <c r="L3391" s="42">
        <v>5</v>
      </c>
      <c r="M3391" s="43"/>
      <c r="N3391" s="1" t="e">
        <f>VLOOKUP(B3391,MICRO!E:L,8,0)</f>
        <v>#N/A</v>
      </c>
    </row>
    <row r="3392" spans="1:14" ht="20.25" x14ac:dyDescent="0.25">
      <c r="A3392" s="1">
        <v>233</v>
      </c>
      <c r="B3392" s="159"/>
      <c r="C3392" s="1" t="s">
        <v>1996</v>
      </c>
      <c r="D3392" s="1"/>
      <c r="E3392" s="1"/>
      <c r="F3392" s="1" t="s">
        <v>2947</v>
      </c>
      <c r="G3392" s="1">
        <v>9</v>
      </c>
      <c r="H3392" s="1" t="s">
        <v>19</v>
      </c>
      <c r="I3392" s="1" t="s">
        <v>2851</v>
      </c>
      <c r="J3392" s="1">
        <v>0.03</v>
      </c>
      <c r="K3392" s="1">
        <v>0.27</v>
      </c>
      <c r="L3392" s="42">
        <v>5</v>
      </c>
      <c r="M3392" s="43"/>
      <c r="N3392" s="1" t="e">
        <f>VLOOKUP(B3392,MICRO!E:L,8,0)</f>
        <v>#N/A</v>
      </c>
    </row>
    <row r="3393" spans="1:14" ht="20.25" x14ac:dyDescent="0.25">
      <c r="A3393" s="1">
        <v>234</v>
      </c>
      <c r="B3393" s="159"/>
      <c r="C3393" s="1" t="s">
        <v>1990</v>
      </c>
      <c r="D3393" s="1"/>
      <c r="E3393" s="1"/>
      <c r="F3393" s="1" t="s">
        <v>2948</v>
      </c>
      <c r="G3393" s="1">
        <v>21</v>
      </c>
      <c r="H3393" s="1" t="s">
        <v>19</v>
      </c>
      <c r="I3393" s="1" t="s">
        <v>585</v>
      </c>
      <c r="J3393" s="1">
        <v>0.03</v>
      </c>
      <c r="K3393" s="1">
        <v>0.63</v>
      </c>
      <c r="L3393" s="42">
        <v>5</v>
      </c>
      <c r="M3393" s="43"/>
      <c r="N3393" s="1" t="e">
        <f>VLOOKUP(B3393,MICRO!E:L,8,0)</f>
        <v>#N/A</v>
      </c>
    </row>
    <row r="3394" spans="1:14" ht="20.25" x14ac:dyDescent="0.25">
      <c r="A3394" s="1">
        <v>235</v>
      </c>
      <c r="B3394" s="159"/>
      <c r="C3394" s="1" t="s">
        <v>183</v>
      </c>
      <c r="D3394" s="1"/>
      <c r="E3394" s="1"/>
      <c r="F3394" s="1" t="s">
        <v>2949</v>
      </c>
      <c r="G3394" s="1">
        <v>2</v>
      </c>
      <c r="H3394" s="1" t="s">
        <v>19</v>
      </c>
      <c r="I3394" s="1" t="s">
        <v>2855</v>
      </c>
      <c r="J3394" s="1">
        <v>0.03</v>
      </c>
      <c r="K3394" s="1">
        <v>0.06</v>
      </c>
      <c r="L3394" s="42">
        <v>5</v>
      </c>
      <c r="M3394" s="43"/>
      <c r="N3394" s="1" t="e">
        <f>VLOOKUP(B3394,MICRO!E:L,8,0)</f>
        <v>#N/A</v>
      </c>
    </row>
    <row r="3395" spans="1:14" ht="20.25" x14ac:dyDescent="0.25">
      <c r="A3395" s="1">
        <v>236</v>
      </c>
      <c r="B3395" s="159"/>
      <c r="C3395" s="1" t="s">
        <v>2880</v>
      </c>
      <c r="D3395" s="1"/>
      <c r="E3395" s="1"/>
      <c r="F3395" s="1" t="s">
        <v>2950</v>
      </c>
      <c r="G3395" s="1">
        <v>49</v>
      </c>
      <c r="H3395" s="1" t="s">
        <v>19</v>
      </c>
      <c r="I3395" s="1" t="s">
        <v>589</v>
      </c>
      <c r="J3395" s="1">
        <v>0.03</v>
      </c>
      <c r="K3395" s="1">
        <v>1.47</v>
      </c>
      <c r="L3395" s="42">
        <v>5</v>
      </c>
      <c r="M3395" s="43"/>
      <c r="N3395" s="1" t="e">
        <f>VLOOKUP(B3395,MICRO!E:L,8,0)</f>
        <v>#N/A</v>
      </c>
    </row>
    <row r="3396" spans="1:14" ht="20.25" x14ac:dyDescent="0.25">
      <c r="A3396" s="1">
        <v>237</v>
      </c>
      <c r="B3396" s="159"/>
      <c r="C3396" s="1" t="s">
        <v>1990</v>
      </c>
      <c r="D3396" s="1"/>
      <c r="E3396" s="1"/>
      <c r="F3396" s="1" t="s">
        <v>2951</v>
      </c>
      <c r="G3396" s="1">
        <v>13</v>
      </c>
      <c r="H3396" s="1" t="s">
        <v>19</v>
      </c>
      <c r="I3396" s="1" t="s">
        <v>585</v>
      </c>
      <c r="J3396" s="1">
        <v>0.03</v>
      </c>
      <c r="K3396" s="1">
        <v>0.39</v>
      </c>
      <c r="L3396" s="42">
        <v>5</v>
      </c>
      <c r="M3396" s="43"/>
      <c r="N3396" s="1" t="e">
        <f>VLOOKUP(B3396,MICRO!E:L,8,0)</f>
        <v>#N/A</v>
      </c>
    </row>
    <row r="3397" spans="1:14" ht="20.25" x14ac:dyDescent="0.25">
      <c r="A3397" s="1">
        <v>238</v>
      </c>
      <c r="B3397" s="159"/>
      <c r="C3397" s="1" t="s">
        <v>2952</v>
      </c>
      <c r="D3397" s="1"/>
      <c r="E3397" s="1"/>
      <c r="F3397" s="1" t="s">
        <v>2953</v>
      </c>
      <c r="G3397" s="1">
        <v>22</v>
      </c>
      <c r="H3397" s="1" t="s">
        <v>19</v>
      </c>
      <c r="I3397" s="1" t="s">
        <v>629</v>
      </c>
      <c r="J3397" s="1">
        <v>0.03</v>
      </c>
      <c r="K3397" s="1">
        <v>0.65999999999999992</v>
      </c>
      <c r="L3397" s="42">
        <v>5</v>
      </c>
      <c r="M3397" s="43"/>
      <c r="N3397" s="1" t="e">
        <f>VLOOKUP(B3397,MICRO!E:L,8,0)</f>
        <v>#N/A</v>
      </c>
    </row>
    <row r="3398" spans="1:14" ht="20.25" x14ac:dyDescent="0.25">
      <c r="A3398" s="1">
        <v>239</v>
      </c>
      <c r="B3398" s="159"/>
      <c r="C3398" s="1" t="s">
        <v>2872</v>
      </c>
      <c r="D3398" s="1"/>
      <c r="E3398" s="1"/>
      <c r="F3398" s="1" t="s">
        <v>2954</v>
      </c>
      <c r="G3398" s="1">
        <v>4</v>
      </c>
      <c r="H3398" s="1" t="s">
        <v>19</v>
      </c>
      <c r="I3398" s="1" t="s">
        <v>2862</v>
      </c>
      <c r="J3398" s="1">
        <v>0.03</v>
      </c>
      <c r="K3398" s="1">
        <v>0.12</v>
      </c>
      <c r="L3398" s="42">
        <v>5</v>
      </c>
      <c r="M3398" s="43"/>
      <c r="N3398" s="1" t="e">
        <f>VLOOKUP(B3398,MICRO!E:L,8,0)</f>
        <v>#N/A</v>
      </c>
    </row>
    <row r="3399" spans="1:14" ht="20.25" x14ac:dyDescent="0.25">
      <c r="A3399" s="1">
        <v>240</v>
      </c>
      <c r="B3399" s="159"/>
      <c r="C3399" s="1" t="s">
        <v>2867</v>
      </c>
      <c r="D3399" s="1"/>
      <c r="E3399" s="1"/>
      <c r="F3399" s="1" t="s">
        <v>2955</v>
      </c>
      <c r="G3399" s="1">
        <v>8</v>
      </c>
      <c r="H3399" s="1" t="s">
        <v>19</v>
      </c>
      <c r="I3399" s="1" t="s">
        <v>634</v>
      </c>
      <c r="J3399" s="1">
        <v>0.03</v>
      </c>
      <c r="K3399" s="1">
        <v>0.24</v>
      </c>
      <c r="L3399" s="42">
        <v>5</v>
      </c>
      <c r="M3399" s="43"/>
      <c r="N3399" s="1" t="e">
        <f>VLOOKUP(B3399,MICRO!E:L,8,0)</f>
        <v>#N/A</v>
      </c>
    </row>
    <row r="3400" spans="1:14" ht="20.25" x14ac:dyDescent="0.25">
      <c r="A3400" s="1">
        <v>241</v>
      </c>
      <c r="B3400" s="159"/>
      <c r="C3400" s="1" t="s">
        <v>2874</v>
      </c>
      <c r="D3400" s="1"/>
      <c r="E3400" s="1"/>
      <c r="F3400" s="1" t="s">
        <v>2956</v>
      </c>
      <c r="G3400" s="1">
        <v>4</v>
      </c>
      <c r="H3400" s="1" t="s">
        <v>19</v>
      </c>
      <c r="I3400" s="1" t="s">
        <v>2754</v>
      </c>
      <c r="J3400" s="1">
        <v>0.03</v>
      </c>
      <c r="K3400" s="1">
        <v>0.12</v>
      </c>
      <c r="L3400" s="42">
        <v>5</v>
      </c>
      <c r="M3400" s="43"/>
      <c r="N3400" s="1" t="e">
        <f>VLOOKUP(B3400,MICRO!E:L,8,0)</f>
        <v>#N/A</v>
      </c>
    </row>
    <row r="3401" spans="1:14" ht="20.25" x14ac:dyDescent="0.25">
      <c r="A3401" s="1">
        <v>242</v>
      </c>
      <c r="B3401" s="159"/>
      <c r="C3401" s="1" t="s">
        <v>2918</v>
      </c>
      <c r="D3401" s="1"/>
      <c r="E3401" s="1"/>
      <c r="F3401" s="1" t="s">
        <v>2957</v>
      </c>
      <c r="G3401" s="1">
        <v>8</v>
      </c>
      <c r="H3401" s="1" t="s">
        <v>19</v>
      </c>
      <c r="I3401" s="1" t="s">
        <v>589</v>
      </c>
      <c r="J3401" s="1">
        <v>0.03</v>
      </c>
      <c r="K3401" s="1">
        <v>0.24</v>
      </c>
      <c r="L3401" s="42">
        <v>5</v>
      </c>
      <c r="M3401" s="43"/>
      <c r="N3401" s="1" t="e">
        <f>VLOOKUP(B3401,MICRO!E:L,8,0)</f>
        <v>#N/A</v>
      </c>
    </row>
    <row r="3402" spans="1:14" ht="20.25" x14ac:dyDescent="0.25">
      <c r="A3402" s="1">
        <v>243</v>
      </c>
      <c r="B3402" s="159"/>
      <c r="C3402" s="1" t="s">
        <v>2876</v>
      </c>
      <c r="D3402" s="1"/>
      <c r="E3402" s="1"/>
      <c r="F3402" s="1" t="s">
        <v>2958</v>
      </c>
      <c r="G3402" s="1">
        <v>4</v>
      </c>
      <c r="H3402" s="1" t="s">
        <v>19</v>
      </c>
      <c r="I3402" s="1" t="s">
        <v>585</v>
      </c>
      <c r="J3402" s="1">
        <v>0.03</v>
      </c>
      <c r="K3402" s="1">
        <v>0.12</v>
      </c>
      <c r="L3402" s="42">
        <v>5</v>
      </c>
      <c r="M3402" s="43"/>
      <c r="N3402" s="1" t="e">
        <f>VLOOKUP(B3402,MICRO!E:L,8,0)</f>
        <v>#N/A</v>
      </c>
    </row>
    <row r="3403" spans="1:14" ht="20.25" x14ac:dyDescent="0.25">
      <c r="A3403" s="1">
        <v>244</v>
      </c>
      <c r="B3403" s="159"/>
      <c r="C3403" s="1" t="s">
        <v>2848</v>
      </c>
      <c r="D3403" s="1"/>
      <c r="E3403" s="1"/>
      <c r="F3403" s="1" t="s">
        <v>2959</v>
      </c>
      <c r="G3403" s="1">
        <v>8</v>
      </c>
      <c r="H3403" s="1" t="s">
        <v>19</v>
      </c>
      <c r="I3403" s="1" t="s">
        <v>585</v>
      </c>
      <c r="J3403" s="1">
        <v>0.03</v>
      </c>
      <c r="K3403" s="1">
        <v>0.24</v>
      </c>
      <c r="L3403" s="42">
        <v>5</v>
      </c>
      <c r="M3403" s="43"/>
      <c r="N3403" s="1" t="e">
        <f>VLOOKUP(B3403,MICRO!E:L,8,0)</f>
        <v>#N/A</v>
      </c>
    </row>
    <row r="3404" spans="1:14" ht="20.25" x14ac:dyDescent="0.25">
      <c r="A3404" s="1">
        <v>245</v>
      </c>
      <c r="B3404" s="159"/>
      <c r="C3404" s="1" t="s">
        <v>2839</v>
      </c>
      <c r="D3404" s="1"/>
      <c r="E3404" s="1"/>
      <c r="F3404" s="1" t="s">
        <v>2960</v>
      </c>
      <c r="G3404" s="1">
        <v>22</v>
      </c>
      <c r="H3404" s="1" t="s">
        <v>19</v>
      </c>
      <c r="I3404" s="1" t="s">
        <v>2754</v>
      </c>
      <c r="J3404" s="1">
        <v>0.03</v>
      </c>
      <c r="K3404" s="1">
        <v>0.65999999999999992</v>
      </c>
      <c r="L3404" s="42">
        <v>5</v>
      </c>
      <c r="M3404" s="43"/>
      <c r="N3404" s="1" t="e">
        <f>VLOOKUP(B3404,MICRO!E:L,8,0)</f>
        <v>#N/A</v>
      </c>
    </row>
    <row r="3405" spans="1:14" ht="20.25" x14ac:dyDescent="0.25">
      <c r="A3405" s="1">
        <v>246</v>
      </c>
      <c r="B3405" s="159"/>
      <c r="C3405" s="1" t="s">
        <v>2882</v>
      </c>
      <c r="D3405" s="1"/>
      <c r="E3405" s="1"/>
      <c r="F3405" s="1" t="s">
        <v>2961</v>
      </c>
      <c r="G3405" s="1">
        <v>80</v>
      </c>
      <c r="H3405" s="1" t="s">
        <v>19</v>
      </c>
      <c r="I3405" s="1" t="s">
        <v>634</v>
      </c>
      <c r="J3405" s="1">
        <v>0.03</v>
      </c>
      <c r="K3405" s="1">
        <v>2.4</v>
      </c>
      <c r="L3405" s="42">
        <v>5</v>
      </c>
      <c r="M3405" s="43"/>
      <c r="N3405" s="1" t="e">
        <f>VLOOKUP(B3405,MICRO!E:L,8,0)</f>
        <v>#N/A</v>
      </c>
    </row>
    <row r="3406" spans="1:14" ht="20.25" x14ac:dyDescent="0.25">
      <c r="A3406" s="1">
        <v>247</v>
      </c>
      <c r="B3406" s="159"/>
      <c r="C3406" s="1" t="s">
        <v>2832</v>
      </c>
      <c r="D3406" s="1"/>
      <c r="E3406" s="1"/>
      <c r="F3406" s="1" t="s">
        <v>2962</v>
      </c>
      <c r="G3406" s="1">
        <v>8</v>
      </c>
      <c r="H3406" s="1" t="s">
        <v>19</v>
      </c>
      <c r="I3406" s="1" t="s">
        <v>2814</v>
      </c>
      <c r="J3406" s="1">
        <v>0.03</v>
      </c>
      <c r="K3406" s="1">
        <v>0.24</v>
      </c>
      <c r="L3406" s="42">
        <v>5</v>
      </c>
      <c r="M3406" s="43"/>
      <c r="N3406" s="1" t="e">
        <f>VLOOKUP(B3406,MICRO!E:L,8,0)</f>
        <v>#N/A</v>
      </c>
    </row>
    <row r="3407" spans="1:14" ht="20.25" x14ac:dyDescent="0.25">
      <c r="A3407" s="1">
        <v>1</v>
      </c>
      <c r="B3407" s="159">
        <v>1934</v>
      </c>
      <c r="C3407" s="1" t="s">
        <v>156</v>
      </c>
      <c r="D3407" s="1"/>
      <c r="E3407" s="1" t="s">
        <v>2</v>
      </c>
      <c r="F3407" s="1" t="s">
        <v>637</v>
      </c>
      <c r="G3407" s="1">
        <v>2</v>
      </c>
      <c r="H3407" s="1" t="s">
        <v>19</v>
      </c>
      <c r="I3407" s="1" t="s">
        <v>585</v>
      </c>
      <c r="J3407" s="1">
        <v>5.6</v>
      </c>
      <c r="K3407" s="1">
        <v>11.2</v>
      </c>
      <c r="L3407" s="42">
        <v>6</v>
      </c>
      <c r="M3407" s="43"/>
      <c r="N3407" s="1" t="e">
        <f>VLOOKUP(B3407,MICRO!E:L,8,0)</f>
        <v>#N/A</v>
      </c>
    </row>
    <row r="3408" spans="1:14" ht="20.25" x14ac:dyDescent="0.25">
      <c r="A3408" s="1">
        <v>2</v>
      </c>
      <c r="B3408" s="159">
        <v>1935</v>
      </c>
      <c r="C3408" s="1" t="s">
        <v>141</v>
      </c>
      <c r="D3408" s="1"/>
      <c r="E3408" s="1" t="s">
        <v>1101</v>
      </c>
      <c r="F3408" s="1" t="s">
        <v>1818</v>
      </c>
      <c r="G3408" s="1">
        <v>1</v>
      </c>
      <c r="H3408" s="1" t="s">
        <v>19</v>
      </c>
      <c r="I3408" s="1" t="s">
        <v>585</v>
      </c>
      <c r="J3408" s="1">
        <v>184</v>
      </c>
      <c r="K3408" s="1">
        <v>184</v>
      </c>
      <c r="L3408" s="42">
        <v>6</v>
      </c>
      <c r="M3408" s="43"/>
      <c r="N3408" s="1" t="e">
        <f>VLOOKUP(B3408,MICRO!E:L,8,0)</f>
        <v>#N/A</v>
      </c>
    </row>
    <row r="3409" spans="1:14" ht="20.25" x14ac:dyDescent="0.25">
      <c r="A3409" s="1">
        <v>3</v>
      </c>
      <c r="B3409" s="159">
        <v>1936</v>
      </c>
      <c r="C3409" s="1" t="s">
        <v>586</v>
      </c>
      <c r="D3409" s="1"/>
      <c r="E3409" s="1" t="s">
        <v>2</v>
      </c>
      <c r="F3409" s="1" t="s">
        <v>587</v>
      </c>
      <c r="G3409" s="1">
        <v>2</v>
      </c>
      <c r="H3409" s="1" t="s">
        <v>19</v>
      </c>
      <c r="I3409" s="1" t="s">
        <v>585</v>
      </c>
      <c r="J3409" s="1">
        <v>23.37</v>
      </c>
      <c r="K3409" s="1">
        <v>46.74</v>
      </c>
      <c r="L3409" s="42">
        <v>6</v>
      </c>
      <c r="M3409" s="43"/>
      <c r="N3409" s="1" t="e">
        <f>VLOOKUP(B3409,MICRO!E:L,8,0)</f>
        <v>#N/A</v>
      </c>
    </row>
    <row r="3410" spans="1:14" ht="20.25" x14ac:dyDescent="0.25">
      <c r="A3410" s="1">
        <v>4</v>
      </c>
      <c r="B3410" s="159">
        <v>1947</v>
      </c>
      <c r="C3410" s="1" t="s">
        <v>141</v>
      </c>
      <c r="D3410" s="1"/>
      <c r="E3410" s="1" t="s">
        <v>1101</v>
      </c>
      <c r="F3410" s="1" t="s">
        <v>1819</v>
      </c>
      <c r="G3410" s="1">
        <v>1</v>
      </c>
      <c r="H3410" s="1" t="s">
        <v>19</v>
      </c>
      <c r="I3410" s="1" t="s">
        <v>589</v>
      </c>
      <c r="J3410" s="1">
        <v>184</v>
      </c>
      <c r="K3410" s="1">
        <v>184</v>
      </c>
      <c r="L3410" s="42">
        <v>6</v>
      </c>
      <c r="M3410" s="43"/>
      <c r="N3410" s="1" t="e">
        <f>VLOOKUP(B3410,MICRO!E:L,8,0)</f>
        <v>#N/A</v>
      </c>
    </row>
    <row r="3411" spans="1:14" ht="20.25" x14ac:dyDescent="0.25">
      <c r="A3411" s="1">
        <v>5</v>
      </c>
      <c r="B3411" s="159">
        <v>1957</v>
      </c>
      <c r="C3411" s="1" t="s">
        <v>156</v>
      </c>
      <c r="D3411" s="1"/>
      <c r="E3411" s="1" t="s">
        <v>2</v>
      </c>
      <c r="F3411" s="1" t="s">
        <v>637</v>
      </c>
      <c r="G3411" s="1">
        <v>2</v>
      </c>
      <c r="H3411" s="1" t="s">
        <v>19</v>
      </c>
      <c r="I3411" s="1" t="s">
        <v>589</v>
      </c>
      <c r="J3411" s="1">
        <v>5.6</v>
      </c>
      <c r="K3411" s="1">
        <v>11.2</v>
      </c>
      <c r="L3411" s="42">
        <v>6</v>
      </c>
      <c r="M3411" s="43"/>
      <c r="N3411" s="1" t="e">
        <f>VLOOKUP(B3411,MICRO!E:L,8,0)</f>
        <v>#N/A</v>
      </c>
    </row>
    <row r="3412" spans="1:14" ht="20.25" x14ac:dyDescent="0.25">
      <c r="A3412" s="1">
        <v>6</v>
      </c>
      <c r="B3412" s="159">
        <v>2000</v>
      </c>
      <c r="C3412" s="1" t="s">
        <v>633</v>
      </c>
      <c r="D3412" s="1"/>
      <c r="E3412" s="1" t="s">
        <v>43</v>
      </c>
      <c r="F3412" s="1" t="s">
        <v>1820</v>
      </c>
      <c r="G3412" s="1">
        <v>1</v>
      </c>
      <c r="H3412" s="1" t="s">
        <v>19</v>
      </c>
      <c r="I3412" s="1" t="s">
        <v>629</v>
      </c>
      <c r="J3412" s="1">
        <v>194.2</v>
      </c>
      <c r="K3412" s="1">
        <v>194.2</v>
      </c>
      <c r="L3412" s="42">
        <v>6</v>
      </c>
      <c r="M3412" s="43"/>
      <c r="N3412" s="1" t="e">
        <f>VLOOKUP(B3412,MICRO!E:L,8,0)</f>
        <v>#N/A</v>
      </c>
    </row>
    <row r="3413" spans="1:14" ht="20.25" x14ac:dyDescent="0.25">
      <c r="A3413" s="1">
        <v>7</v>
      </c>
      <c r="B3413" s="159">
        <v>2012</v>
      </c>
      <c r="C3413" s="1" t="s">
        <v>133</v>
      </c>
      <c r="D3413" s="1"/>
      <c r="E3413" s="1" t="s">
        <v>1101</v>
      </c>
      <c r="F3413" s="1" t="s">
        <v>1821</v>
      </c>
      <c r="G3413" s="1">
        <v>1</v>
      </c>
      <c r="H3413" s="1" t="s">
        <v>19</v>
      </c>
      <c r="I3413" s="1" t="s">
        <v>634</v>
      </c>
      <c r="J3413" s="1">
        <v>131</v>
      </c>
      <c r="K3413" s="1">
        <v>131</v>
      </c>
      <c r="L3413" s="42">
        <v>6</v>
      </c>
      <c r="M3413" s="43"/>
      <c r="N3413" s="1" t="e">
        <f>VLOOKUP(B3413,MICRO!E:L,8,0)</f>
        <v>#N/A</v>
      </c>
    </row>
    <row r="3414" spans="1:14" ht="20.25" x14ac:dyDescent="0.25">
      <c r="A3414" s="1">
        <v>8</v>
      </c>
      <c r="B3414" s="159">
        <v>2014</v>
      </c>
      <c r="C3414" s="1" t="s">
        <v>156</v>
      </c>
      <c r="D3414" s="1"/>
      <c r="E3414" s="1" t="s">
        <v>2</v>
      </c>
      <c r="F3414" s="1" t="s">
        <v>637</v>
      </c>
      <c r="G3414" s="1">
        <v>2</v>
      </c>
      <c r="H3414" s="1" t="s">
        <v>19</v>
      </c>
      <c r="I3414" s="1" t="s">
        <v>634</v>
      </c>
      <c r="J3414" s="1">
        <v>5.6</v>
      </c>
      <c r="K3414" s="1">
        <v>11.2</v>
      </c>
      <c r="L3414" s="42">
        <v>6</v>
      </c>
      <c r="M3414" s="43"/>
      <c r="N3414" s="1" t="e">
        <f>VLOOKUP(B3414,MICRO!E:L,8,0)</f>
        <v>#N/A</v>
      </c>
    </row>
    <row r="3415" spans="1:14" ht="20.25" x14ac:dyDescent="0.25">
      <c r="A3415" s="1">
        <v>9</v>
      </c>
      <c r="B3415" s="159">
        <v>2015</v>
      </c>
      <c r="C3415" s="1" t="s">
        <v>141</v>
      </c>
      <c r="D3415" s="1"/>
      <c r="E3415" s="1" t="s">
        <v>1101</v>
      </c>
      <c r="F3415" s="1" t="s">
        <v>1822</v>
      </c>
      <c r="G3415" s="1">
        <v>1</v>
      </c>
      <c r="H3415" s="1" t="s">
        <v>19</v>
      </c>
      <c r="I3415" s="1" t="s">
        <v>634</v>
      </c>
      <c r="J3415" s="1">
        <v>181</v>
      </c>
      <c r="K3415" s="1">
        <v>181</v>
      </c>
      <c r="L3415" s="42">
        <v>6</v>
      </c>
      <c r="M3415" s="43"/>
      <c r="N3415" s="1" t="e">
        <f>VLOOKUP(B3415,MICRO!E:L,8,0)</f>
        <v>#N/A</v>
      </c>
    </row>
    <row r="3416" spans="1:14" ht="20.25" x14ac:dyDescent="0.25">
      <c r="A3416" s="1">
        <v>10</v>
      </c>
      <c r="B3416" s="159">
        <v>2075</v>
      </c>
      <c r="C3416" s="1" t="s">
        <v>143</v>
      </c>
      <c r="D3416" s="1"/>
      <c r="E3416" s="1" t="s">
        <v>461</v>
      </c>
      <c r="F3416" s="1" t="s">
        <v>665</v>
      </c>
      <c r="G3416" s="1">
        <v>29</v>
      </c>
      <c r="H3416" s="1" t="s">
        <v>19</v>
      </c>
      <c r="I3416" s="1" t="s">
        <v>629</v>
      </c>
      <c r="J3416" s="1">
        <v>6.6</v>
      </c>
      <c r="K3416" s="1">
        <v>191.39999999999998</v>
      </c>
      <c r="L3416" s="42">
        <v>6</v>
      </c>
      <c r="M3416" s="43"/>
      <c r="N3416" s="1" t="e">
        <f>VLOOKUP(B3416,MICRO!E:L,8,0)</f>
        <v>#N/A</v>
      </c>
    </row>
    <row r="3417" spans="1:14" ht="20.25" x14ac:dyDescent="0.25">
      <c r="A3417" s="1">
        <v>11</v>
      </c>
      <c r="B3417" s="159">
        <v>2076</v>
      </c>
      <c r="C3417" s="1" t="s">
        <v>143</v>
      </c>
      <c r="D3417" s="1"/>
      <c r="E3417" s="1" t="s">
        <v>461</v>
      </c>
      <c r="F3417" s="1" t="s">
        <v>666</v>
      </c>
      <c r="G3417" s="1">
        <v>9</v>
      </c>
      <c r="H3417" s="1" t="s">
        <v>19</v>
      </c>
      <c r="I3417" s="1" t="s">
        <v>629</v>
      </c>
      <c r="J3417" s="1">
        <v>6.6</v>
      </c>
      <c r="K3417" s="1">
        <v>59.4</v>
      </c>
      <c r="L3417" s="42">
        <v>6</v>
      </c>
      <c r="M3417" s="43"/>
      <c r="N3417" s="1" t="e">
        <f>VLOOKUP(B3417,MICRO!E:L,8,0)</f>
        <v>#N/A</v>
      </c>
    </row>
    <row r="3418" spans="1:14" ht="20.25" x14ac:dyDescent="0.25">
      <c r="A3418" s="1">
        <v>12</v>
      </c>
      <c r="B3418" s="159">
        <v>2077</v>
      </c>
      <c r="C3418" s="1" t="s">
        <v>143</v>
      </c>
      <c r="D3418" s="1"/>
      <c r="E3418" s="1" t="s">
        <v>461</v>
      </c>
      <c r="F3418" s="1" t="s">
        <v>667</v>
      </c>
      <c r="G3418" s="1">
        <v>6</v>
      </c>
      <c r="H3418" s="1" t="s">
        <v>19</v>
      </c>
      <c r="I3418" s="1" t="s">
        <v>629</v>
      </c>
      <c r="J3418" s="1">
        <v>6.6</v>
      </c>
      <c r="K3418" s="1">
        <v>39.599999999999994</v>
      </c>
      <c r="L3418" s="42">
        <v>6</v>
      </c>
      <c r="M3418" s="43"/>
      <c r="N3418" s="1" t="e">
        <f>VLOOKUP(B3418,MICRO!E:L,8,0)</f>
        <v>#N/A</v>
      </c>
    </row>
    <row r="3419" spans="1:14" ht="20.25" x14ac:dyDescent="0.25">
      <c r="A3419" s="1">
        <v>13</v>
      </c>
      <c r="B3419" s="159">
        <v>2078</v>
      </c>
      <c r="C3419" s="1" t="s">
        <v>143</v>
      </c>
      <c r="D3419" s="1"/>
      <c r="E3419" s="1" t="s">
        <v>173</v>
      </c>
      <c r="F3419" s="1" t="s">
        <v>668</v>
      </c>
      <c r="G3419" s="1">
        <v>10</v>
      </c>
      <c r="H3419" s="1" t="s">
        <v>19</v>
      </c>
      <c r="I3419" s="1" t="s">
        <v>629</v>
      </c>
      <c r="J3419" s="1">
        <v>1.2</v>
      </c>
      <c r="K3419" s="1">
        <v>12</v>
      </c>
      <c r="L3419" s="42">
        <v>6</v>
      </c>
      <c r="M3419" s="43"/>
      <c r="N3419" s="1" t="e">
        <f>VLOOKUP(B3419,MICRO!E:L,8,0)</f>
        <v>#N/A</v>
      </c>
    </row>
    <row r="3420" spans="1:14" ht="20.25" x14ac:dyDescent="0.25">
      <c r="A3420" s="1">
        <v>14</v>
      </c>
      <c r="B3420" s="159">
        <v>2075</v>
      </c>
      <c r="C3420" s="1" t="s">
        <v>143</v>
      </c>
      <c r="D3420" s="1"/>
      <c r="E3420" s="1" t="s">
        <v>461</v>
      </c>
      <c r="F3420" s="1" t="s">
        <v>1823</v>
      </c>
      <c r="G3420" s="1">
        <v>58</v>
      </c>
      <c r="H3420" s="1" t="s">
        <v>19</v>
      </c>
      <c r="I3420" s="1" t="s">
        <v>629</v>
      </c>
      <c r="J3420" s="1">
        <v>1.2</v>
      </c>
      <c r="K3420" s="1">
        <v>69.599999999999994</v>
      </c>
      <c r="L3420" s="42">
        <v>6</v>
      </c>
      <c r="M3420" s="43"/>
      <c r="N3420" s="1" t="e">
        <f>VLOOKUP(B3420,MICRO!E:L,8,0)</f>
        <v>#N/A</v>
      </c>
    </row>
    <row r="3421" spans="1:14" ht="20.25" x14ac:dyDescent="0.25">
      <c r="A3421" s="1">
        <v>15</v>
      </c>
      <c r="B3421" s="159">
        <v>2076</v>
      </c>
      <c r="C3421" s="1" t="s">
        <v>143</v>
      </c>
      <c r="D3421" s="1"/>
      <c r="E3421" s="1" t="s">
        <v>461</v>
      </c>
      <c r="F3421" s="1" t="s">
        <v>1824</v>
      </c>
      <c r="G3421" s="1">
        <v>18</v>
      </c>
      <c r="H3421" s="1" t="s">
        <v>19</v>
      </c>
      <c r="I3421" s="1" t="s">
        <v>629</v>
      </c>
      <c r="J3421" s="1">
        <v>1.2</v>
      </c>
      <c r="K3421" s="1">
        <v>21.599999999999998</v>
      </c>
      <c r="L3421" s="42">
        <v>6</v>
      </c>
      <c r="M3421" s="43"/>
      <c r="N3421" s="1" t="e">
        <f>VLOOKUP(B3421,MICRO!E:L,8,0)</f>
        <v>#N/A</v>
      </c>
    </row>
    <row r="3422" spans="1:14" ht="20.25" x14ac:dyDescent="0.25">
      <c r="A3422" s="1">
        <v>16</v>
      </c>
      <c r="B3422" s="159">
        <v>2077</v>
      </c>
      <c r="C3422" s="1" t="s">
        <v>143</v>
      </c>
      <c r="D3422" s="1"/>
      <c r="E3422" s="1" t="s">
        <v>461</v>
      </c>
      <c r="F3422" s="1" t="s">
        <v>1825</v>
      </c>
      <c r="G3422" s="1">
        <v>12</v>
      </c>
      <c r="H3422" s="1" t="s">
        <v>19</v>
      </c>
      <c r="I3422" s="1" t="s">
        <v>629</v>
      </c>
      <c r="J3422" s="1">
        <v>1.2</v>
      </c>
      <c r="K3422" s="1">
        <v>14.399999999999999</v>
      </c>
      <c r="L3422" s="42">
        <v>6</v>
      </c>
      <c r="M3422" s="43"/>
      <c r="N3422" s="1" t="e">
        <f>VLOOKUP(B3422,MICRO!E:L,8,0)</f>
        <v>#N/A</v>
      </c>
    </row>
    <row r="3423" spans="1:14" ht="20.25" x14ac:dyDescent="0.25">
      <c r="A3423" s="1">
        <v>17</v>
      </c>
      <c r="B3423" s="159">
        <v>2078</v>
      </c>
      <c r="C3423" s="1" t="s">
        <v>143</v>
      </c>
      <c r="D3423" s="1"/>
      <c r="E3423" s="1" t="s">
        <v>173</v>
      </c>
      <c r="F3423" s="1" t="s">
        <v>1826</v>
      </c>
      <c r="G3423" s="1">
        <v>10</v>
      </c>
      <c r="H3423" s="1" t="s">
        <v>19</v>
      </c>
      <c r="I3423" s="1" t="s">
        <v>629</v>
      </c>
      <c r="J3423" s="1">
        <v>1.2</v>
      </c>
      <c r="K3423" s="1">
        <v>12</v>
      </c>
      <c r="L3423" s="42">
        <v>6</v>
      </c>
      <c r="M3423" s="43"/>
      <c r="N3423" s="1" t="e">
        <f>VLOOKUP(B3423,MICRO!E:L,8,0)</f>
        <v>#N/A</v>
      </c>
    </row>
    <row r="3424" spans="1:14" ht="20.25" x14ac:dyDescent="0.25">
      <c r="A3424" s="1">
        <v>18</v>
      </c>
      <c r="B3424" s="159">
        <v>2074</v>
      </c>
      <c r="C3424" s="1" t="s">
        <v>143</v>
      </c>
      <c r="D3424" s="1"/>
      <c r="E3424" s="1" t="s">
        <v>464</v>
      </c>
      <c r="F3424" s="1" t="s">
        <v>1827</v>
      </c>
      <c r="G3424" s="1">
        <v>12</v>
      </c>
      <c r="H3424" s="1" t="s">
        <v>19</v>
      </c>
      <c r="I3424" s="1" t="s">
        <v>629</v>
      </c>
      <c r="J3424" s="1">
        <v>1.2</v>
      </c>
      <c r="K3424" s="1">
        <v>14.399999999999999</v>
      </c>
      <c r="L3424" s="42">
        <v>6</v>
      </c>
      <c r="M3424" s="43"/>
      <c r="N3424" s="1" t="e">
        <f>VLOOKUP(B3424,MICRO!E:L,8,0)</f>
        <v>#N/A</v>
      </c>
    </row>
    <row r="3425" spans="1:14" ht="20.25" x14ac:dyDescent="0.25">
      <c r="A3425" s="1">
        <v>19</v>
      </c>
      <c r="B3425" s="159">
        <v>2129</v>
      </c>
      <c r="C3425" s="1" t="s">
        <v>700</v>
      </c>
      <c r="D3425" s="1"/>
      <c r="E3425" s="1" t="s">
        <v>2</v>
      </c>
      <c r="F3425" s="1" t="s">
        <v>701</v>
      </c>
      <c r="G3425" s="1">
        <v>1</v>
      </c>
      <c r="H3425" s="1" t="s">
        <v>19</v>
      </c>
      <c r="I3425" s="1" t="s">
        <v>629</v>
      </c>
      <c r="J3425" s="1">
        <v>65.62</v>
      </c>
      <c r="K3425" s="1">
        <v>65.62</v>
      </c>
      <c r="L3425" s="42">
        <v>6</v>
      </c>
      <c r="M3425" s="43"/>
      <c r="N3425" s="1" t="e">
        <f>VLOOKUP(B3425,MICRO!E:L,8,0)</f>
        <v>#N/A</v>
      </c>
    </row>
    <row r="3426" spans="1:14" ht="20.25" x14ac:dyDescent="0.25">
      <c r="A3426" s="1">
        <v>20</v>
      </c>
      <c r="B3426" s="159">
        <v>2130</v>
      </c>
      <c r="C3426" s="1" t="s">
        <v>700</v>
      </c>
      <c r="D3426" s="1"/>
      <c r="E3426" s="1" t="s">
        <v>43</v>
      </c>
      <c r="F3426" s="1" t="s">
        <v>702</v>
      </c>
      <c r="G3426" s="1">
        <v>1</v>
      </c>
      <c r="H3426" s="1" t="s">
        <v>19</v>
      </c>
      <c r="I3426" s="1" t="s">
        <v>629</v>
      </c>
      <c r="J3426" s="1">
        <v>50.38</v>
      </c>
      <c r="K3426" s="1">
        <v>50.38</v>
      </c>
      <c r="L3426" s="42">
        <v>6</v>
      </c>
      <c r="M3426" s="43"/>
      <c r="N3426" s="1" t="e">
        <f>VLOOKUP(B3426,MICRO!E:L,8,0)</f>
        <v>#N/A</v>
      </c>
    </row>
    <row r="3427" spans="1:14" ht="20.25" x14ac:dyDescent="0.25">
      <c r="A3427" s="1">
        <v>21</v>
      </c>
      <c r="B3427" s="159">
        <v>2131</v>
      </c>
      <c r="C3427" s="1" t="s">
        <v>703</v>
      </c>
      <c r="D3427" s="1"/>
      <c r="E3427" s="1" t="s">
        <v>2</v>
      </c>
      <c r="F3427" s="1" t="s">
        <v>704</v>
      </c>
      <c r="G3427" s="1">
        <v>1</v>
      </c>
      <c r="H3427" s="1" t="s">
        <v>19</v>
      </c>
      <c r="I3427" s="1" t="s">
        <v>629</v>
      </c>
      <c r="J3427" s="1">
        <v>44.94</v>
      </c>
      <c r="K3427" s="1">
        <v>44.94</v>
      </c>
      <c r="L3427" s="42">
        <v>6</v>
      </c>
      <c r="M3427" s="43"/>
      <c r="N3427" s="1" t="e">
        <f>VLOOKUP(B3427,MICRO!E:L,8,0)</f>
        <v>#N/A</v>
      </c>
    </row>
    <row r="3428" spans="1:14" ht="20.25" x14ac:dyDescent="0.25">
      <c r="A3428" s="1">
        <v>22</v>
      </c>
      <c r="B3428" s="159">
        <v>2132</v>
      </c>
      <c r="C3428" s="1" t="s">
        <v>703</v>
      </c>
      <c r="D3428" s="1"/>
      <c r="E3428" s="1" t="s">
        <v>43</v>
      </c>
      <c r="F3428" s="1" t="s">
        <v>705</v>
      </c>
      <c r="G3428" s="1">
        <v>1</v>
      </c>
      <c r="H3428" s="1" t="s">
        <v>19</v>
      </c>
      <c r="I3428" s="1" t="s">
        <v>629</v>
      </c>
      <c r="J3428" s="1">
        <v>44.94</v>
      </c>
      <c r="K3428" s="1">
        <v>44.94</v>
      </c>
      <c r="L3428" s="42">
        <v>6</v>
      </c>
      <c r="M3428" s="43"/>
      <c r="N3428" s="1" t="e">
        <f>VLOOKUP(B3428,MICRO!E:L,8,0)</f>
        <v>#N/A</v>
      </c>
    </row>
    <row r="3429" spans="1:14" ht="20.25" x14ac:dyDescent="0.25">
      <c r="A3429" s="1">
        <v>23</v>
      </c>
      <c r="B3429" s="159">
        <v>2133</v>
      </c>
      <c r="C3429" s="1" t="s">
        <v>706</v>
      </c>
      <c r="D3429" s="1"/>
      <c r="E3429" s="1" t="s">
        <v>2</v>
      </c>
      <c r="F3429" s="1" t="s">
        <v>707</v>
      </c>
      <c r="G3429" s="1">
        <v>1</v>
      </c>
      <c r="H3429" s="1" t="s">
        <v>19</v>
      </c>
      <c r="I3429" s="1" t="s">
        <v>629</v>
      </c>
      <c r="J3429" s="1">
        <v>149.69</v>
      </c>
      <c r="K3429" s="1">
        <v>149.69</v>
      </c>
      <c r="L3429" s="42">
        <v>6</v>
      </c>
      <c r="M3429" s="43"/>
      <c r="N3429" s="1" t="e">
        <f>VLOOKUP(B3429,MICRO!E:L,8,0)</f>
        <v>#N/A</v>
      </c>
    </row>
    <row r="3430" spans="1:14" ht="20.25" x14ac:dyDescent="0.25">
      <c r="A3430" s="1">
        <v>24</v>
      </c>
      <c r="B3430" s="159">
        <v>2136</v>
      </c>
      <c r="C3430" s="1" t="s">
        <v>706</v>
      </c>
      <c r="D3430" s="1"/>
      <c r="E3430" s="1" t="s">
        <v>1101</v>
      </c>
      <c r="F3430" s="1" t="s">
        <v>710</v>
      </c>
      <c r="G3430" s="1">
        <v>1</v>
      </c>
      <c r="H3430" s="1" t="s">
        <v>19</v>
      </c>
      <c r="I3430" s="1" t="s">
        <v>629</v>
      </c>
      <c r="J3430" s="1">
        <v>45</v>
      </c>
      <c r="K3430" s="1">
        <v>45</v>
      </c>
      <c r="L3430" s="42">
        <v>6</v>
      </c>
      <c r="M3430" s="43"/>
      <c r="N3430" s="1" t="e">
        <f>VLOOKUP(B3430,MICRO!E:L,8,0)</f>
        <v>#N/A</v>
      </c>
    </row>
    <row r="3431" spans="1:14" ht="20.25" x14ac:dyDescent="0.25">
      <c r="A3431" s="1">
        <v>25</v>
      </c>
      <c r="B3431" s="159">
        <v>2139</v>
      </c>
      <c r="C3431" s="1" t="s">
        <v>712</v>
      </c>
      <c r="D3431" s="1"/>
      <c r="E3431" s="1" t="s">
        <v>43</v>
      </c>
      <c r="F3431" s="1" t="s">
        <v>713</v>
      </c>
      <c r="G3431" s="1">
        <v>1</v>
      </c>
      <c r="H3431" s="1" t="s">
        <v>19</v>
      </c>
      <c r="I3431" s="1" t="s">
        <v>629</v>
      </c>
      <c r="J3431" s="1">
        <v>63.9</v>
      </c>
      <c r="K3431" s="1">
        <v>63.9</v>
      </c>
      <c r="L3431" s="42">
        <v>6</v>
      </c>
      <c r="M3431" s="43"/>
      <c r="N3431" s="1" t="e">
        <f>VLOOKUP(B3431,MICRO!E:L,8,0)</f>
        <v>#N/A</v>
      </c>
    </row>
    <row r="3432" spans="1:14" ht="20.25" x14ac:dyDescent="0.25">
      <c r="A3432" s="1">
        <v>26</v>
      </c>
      <c r="B3432" s="159">
        <v>2140</v>
      </c>
      <c r="C3432" s="1" t="s">
        <v>712</v>
      </c>
      <c r="D3432" s="1"/>
      <c r="E3432" s="1" t="s">
        <v>746</v>
      </c>
      <c r="F3432" s="1" t="s">
        <v>714</v>
      </c>
      <c r="G3432" s="1">
        <v>1</v>
      </c>
      <c r="H3432" s="1" t="s">
        <v>19</v>
      </c>
      <c r="I3432" s="1" t="s">
        <v>629</v>
      </c>
      <c r="J3432" s="1">
        <v>57.44</v>
      </c>
      <c r="K3432" s="1">
        <v>57.44</v>
      </c>
      <c r="L3432" s="42">
        <v>6</v>
      </c>
      <c r="M3432" s="43"/>
      <c r="N3432" s="1" t="e">
        <f>VLOOKUP(B3432,MICRO!E:L,8,0)</f>
        <v>#N/A</v>
      </c>
    </row>
    <row r="3433" spans="1:14" ht="20.25" x14ac:dyDescent="0.25">
      <c r="A3433" s="1">
        <v>27</v>
      </c>
      <c r="B3433" s="159">
        <v>2141</v>
      </c>
      <c r="C3433" s="1" t="s">
        <v>712</v>
      </c>
      <c r="D3433" s="1"/>
      <c r="E3433" s="1" t="s">
        <v>1101</v>
      </c>
      <c r="F3433" s="1" t="s">
        <v>715</v>
      </c>
      <c r="G3433" s="1">
        <v>1</v>
      </c>
      <c r="H3433" s="1" t="s">
        <v>19</v>
      </c>
      <c r="I3433" s="1" t="s">
        <v>629</v>
      </c>
      <c r="J3433" s="1">
        <v>51.02</v>
      </c>
      <c r="K3433" s="1">
        <v>51.02</v>
      </c>
      <c r="L3433" s="42">
        <v>6</v>
      </c>
      <c r="M3433" s="43"/>
      <c r="N3433" s="1" t="e">
        <f>VLOOKUP(B3433,MICRO!E:L,8,0)</f>
        <v>#N/A</v>
      </c>
    </row>
    <row r="3434" spans="1:14" ht="20.25" x14ac:dyDescent="0.25">
      <c r="A3434" s="1">
        <v>28</v>
      </c>
      <c r="B3434" s="159">
        <v>2146</v>
      </c>
      <c r="C3434" s="1" t="s">
        <v>716</v>
      </c>
      <c r="D3434" s="1"/>
      <c r="E3434" s="1" t="s">
        <v>2</v>
      </c>
      <c r="F3434" s="1" t="s">
        <v>717</v>
      </c>
      <c r="G3434" s="1">
        <v>1</v>
      </c>
      <c r="H3434" s="1" t="s">
        <v>19</v>
      </c>
      <c r="I3434" s="1" t="s">
        <v>629</v>
      </c>
      <c r="J3434" s="1">
        <v>139.44999999999999</v>
      </c>
      <c r="K3434" s="1">
        <v>139.44999999999999</v>
      </c>
      <c r="L3434" s="42">
        <v>6</v>
      </c>
      <c r="M3434" s="43"/>
      <c r="N3434" s="1" t="e">
        <f>VLOOKUP(B3434,MICRO!E:L,8,0)</f>
        <v>#N/A</v>
      </c>
    </row>
    <row r="3435" spans="1:14" ht="20.25" x14ac:dyDescent="0.25">
      <c r="A3435" s="1">
        <v>29</v>
      </c>
      <c r="B3435" s="159">
        <v>2147</v>
      </c>
      <c r="C3435" s="1" t="s">
        <v>716</v>
      </c>
      <c r="D3435" s="1"/>
      <c r="E3435" s="1" t="s">
        <v>43</v>
      </c>
      <c r="F3435" s="1" t="s">
        <v>718</v>
      </c>
      <c r="G3435" s="1">
        <v>1</v>
      </c>
      <c r="H3435" s="1" t="s">
        <v>19</v>
      </c>
      <c r="I3435" s="1" t="s">
        <v>629</v>
      </c>
      <c r="J3435" s="1">
        <v>256.14999999999998</v>
      </c>
      <c r="K3435" s="1">
        <v>256.14999999999998</v>
      </c>
      <c r="L3435" s="42">
        <v>6</v>
      </c>
      <c r="M3435" s="43"/>
      <c r="N3435" s="1" t="e">
        <f>VLOOKUP(B3435,MICRO!E:L,8,0)</f>
        <v>#N/A</v>
      </c>
    </row>
    <row r="3436" spans="1:14" ht="20.25" x14ac:dyDescent="0.25">
      <c r="A3436" s="1">
        <v>30</v>
      </c>
      <c r="B3436" s="159">
        <v>2142</v>
      </c>
      <c r="C3436" s="1" t="s">
        <v>885</v>
      </c>
      <c r="D3436" s="1"/>
      <c r="E3436" s="1" t="s">
        <v>2</v>
      </c>
      <c r="F3436" s="1" t="s">
        <v>1828</v>
      </c>
      <c r="G3436" s="1">
        <v>1</v>
      </c>
      <c r="H3436" s="1" t="s">
        <v>19</v>
      </c>
      <c r="I3436" s="1" t="s">
        <v>629</v>
      </c>
      <c r="J3436" s="1">
        <v>45.45</v>
      </c>
      <c r="K3436" s="1">
        <v>45.45</v>
      </c>
      <c r="L3436" s="42">
        <v>6</v>
      </c>
      <c r="M3436" s="43"/>
      <c r="N3436" s="1" t="e">
        <f>VLOOKUP(B3436,MICRO!E:L,8,0)</f>
        <v>#N/A</v>
      </c>
    </row>
    <row r="3437" spans="1:14" ht="20.25" x14ac:dyDescent="0.25">
      <c r="A3437" s="1">
        <v>31</v>
      </c>
      <c r="B3437" s="159">
        <v>2143</v>
      </c>
      <c r="C3437" s="1" t="s">
        <v>885</v>
      </c>
      <c r="D3437" s="1"/>
      <c r="E3437" s="1" t="s">
        <v>43</v>
      </c>
      <c r="F3437" s="1" t="s">
        <v>1829</v>
      </c>
      <c r="G3437" s="1">
        <v>1</v>
      </c>
      <c r="H3437" s="1" t="s">
        <v>19</v>
      </c>
      <c r="I3437" s="1" t="s">
        <v>629</v>
      </c>
      <c r="J3437" s="1">
        <v>27.88</v>
      </c>
      <c r="K3437" s="1">
        <v>27.88</v>
      </c>
      <c r="L3437" s="42">
        <v>6</v>
      </c>
      <c r="M3437" s="43"/>
      <c r="N3437" s="1" t="e">
        <f>VLOOKUP(B3437,MICRO!E:L,8,0)</f>
        <v>#N/A</v>
      </c>
    </row>
    <row r="3438" spans="1:14" ht="20.25" x14ac:dyDescent="0.25">
      <c r="A3438" s="1">
        <v>32</v>
      </c>
      <c r="B3438" s="159">
        <v>2144</v>
      </c>
      <c r="C3438" s="1" t="s">
        <v>885</v>
      </c>
      <c r="D3438" s="1"/>
      <c r="E3438" s="1" t="s">
        <v>746</v>
      </c>
      <c r="F3438" s="1" t="s">
        <v>1830</v>
      </c>
      <c r="G3438" s="1">
        <v>1</v>
      </c>
      <c r="H3438" s="1" t="s">
        <v>19</v>
      </c>
      <c r="I3438" s="1" t="s">
        <v>629</v>
      </c>
      <c r="J3438" s="1">
        <v>40.090000000000003</v>
      </c>
      <c r="K3438" s="1">
        <v>40.090000000000003</v>
      </c>
      <c r="L3438" s="42">
        <v>6</v>
      </c>
      <c r="M3438" s="43"/>
      <c r="N3438" s="1" t="e">
        <f>VLOOKUP(B3438,MICRO!E:L,8,0)</f>
        <v>#N/A</v>
      </c>
    </row>
    <row r="3439" spans="1:14" ht="20.25" x14ac:dyDescent="0.25">
      <c r="A3439" s="1">
        <v>33</v>
      </c>
      <c r="B3439" s="159">
        <v>2145</v>
      </c>
      <c r="C3439" s="1" t="s">
        <v>885</v>
      </c>
      <c r="D3439" s="1"/>
      <c r="E3439" s="1" t="s">
        <v>1101</v>
      </c>
      <c r="F3439" s="1" t="s">
        <v>1831</v>
      </c>
      <c r="G3439" s="1">
        <v>1</v>
      </c>
      <c r="H3439" s="1" t="s">
        <v>19</v>
      </c>
      <c r="I3439" s="1" t="s">
        <v>629</v>
      </c>
      <c r="J3439" s="1">
        <v>26.36</v>
      </c>
      <c r="K3439" s="1">
        <v>26.36</v>
      </c>
      <c r="L3439" s="42">
        <v>6</v>
      </c>
      <c r="M3439" s="43"/>
      <c r="N3439" s="1" t="e">
        <f>VLOOKUP(B3439,MICRO!E:L,8,0)</f>
        <v>#N/A</v>
      </c>
    </row>
    <row r="3440" spans="1:14" ht="20.25" x14ac:dyDescent="0.25">
      <c r="A3440" s="1">
        <v>34</v>
      </c>
      <c r="B3440" s="159">
        <v>2158</v>
      </c>
      <c r="C3440" s="1" t="s">
        <v>719</v>
      </c>
      <c r="D3440" s="1"/>
      <c r="E3440" s="1" t="s">
        <v>2</v>
      </c>
      <c r="F3440" s="1" t="s">
        <v>720</v>
      </c>
      <c r="G3440" s="1">
        <v>1</v>
      </c>
      <c r="H3440" s="1" t="s">
        <v>19</v>
      </c>
      <c r="I3440" s="1" t="s">
        <v>589</v>
      </c>
      <c r="J3440" s="1">
        <v>2.94</v>
      </c>
      <c r="K3440" s="1">
        <v>2.94</v>
      </c>
      <c r="L3440" s="42">
        <v>6</v>
      </c>
      <c r="M3440" s="43"/>
      <c r="N3440" s="1" t="e">
        <f>VLOOKUP(B3440,MICRO!E:L,8,0)</f>
        <v>#N/A</v>
      </c>
    </row>
    <row r="3441" spans="1:14" ht="20.25" x14ac:dyDescent="0.25">
      <c r="A3441" s="1">
        <v>35</v>
      </c>
      <c r="B3441" s="159">
        <v>2159</v>
      </c>
      <c r="C3441" s="1" t="s">
        <v>719</v>
      </c>
      <c r="D3441" s="1"/>
      <c r="E3441" s="1" t="s">
        <v>43</v>
      </c>
      <c r="F3441" s="1" t="s">
        <v>721</v>
      </c>
      <c r="G3441" s="1">
        <v>1</v>
      </c>
      <c r="H3441" s="1" t="s">
        <v>19</v>
      </c>
      <c r="I3441" s="1" t="s">
        <v>589</v>
      </c>
      <c r="J3441" s="1">
        <v>11.79</v>
      </c>
      <c r="K3441" s="1">
        <v>11.79</v>
      </c>
      <c r="L3441" s="42">
        <v>6</v>
      </c>
      <c r="M3441" s="43"/>
      <c r="N3441" s="1" t="e">
        <f>VLOOKUP(B3441,MICRO!E:L,8,0)</f>
        <v>#N/A</v>
      </c>
    </row>
    <row r="3442" spans="1:14" ht="20.25" x14ac:dyDescent="0.25">
      <c r="A3442" s="1">
        <v>36</v>
      </c>
      <c r="B3442" s="159">
        <v>2160</v>
      </c>
      <c r="C3442" s="1" t="s">
        <v>719</v>
      </c>
      <c r="D3442" s="1"/>
      <c r="E3442" s="1" t="s">
        <v>746</v>
      </c>
      <c r="F3442" s="1" t="s">
        <v>722</v>
      </c>
      <c r="G3442" s="1">
        <v>1</v>
      </c>
      <c r="H3442" s="1" t="s">
        <v>19</v>
      </c>
      <c r="I3442" s="1" t="s">
        <v>589</v>
      </c>
      <c r="J3442" s="1">
        <v>0.61</v>
      </c>
      <c r="K3442" s="1">
        <v>0.61</v>
      </c>
      <c r="L3442" s="42">
        <v>6</v>
      </c>
      <c r="M3442" s="43"/>
      <c r="N3442" s="1" t="e">
        <f>VLOOKUP(B3442,MICRO!E:L,8,0)</f>
        <v>#N/A</v>
      </c>
    </row>
    <row r="3443" spans="1:14" ht="20.25" x14ac:dyDescent="0.25">
      <c r="A3443" s="1">
        <v>37</v>
      </c>
      <c r="B3443" s="159">
        <v>2161</v>
      </c>
      <c r="C3443" s="1" t="s">
        <v>723</v>
      </c>
      <c r="D3443" s="1"/>
      <c r="E3443" s="1" t="s">
        <v>2</v>
      </c>
      <c r="F3443" s="1" t="s">
        <v>724</v>
      </c>
      <c r="G3443" s="1">
        <v>1</v>
      </c>
      <c r="H3443" s="1" t="s">
        <v>19</v>
      </c>
      <c r="I3443" s="1" t="s">
        <v>585</v>
      </c>
      <c r="J3443" s="1">
        <v>3.2</v>
      </c>
      <c r="K3443" s="1">
        <v>3.2</v>
      </c>
      <c r="L3443" s="42">
        <v>6</v>
      </c>
      <c r="M3443" s="43"/>
      <c r="N3443" s="1" t="e">
        <f>VLOOKUP(B3443,MICRO!E:L,8,0)</f>
        <v>#N/A</v>
      </c>
    </row>
    <row r="3444" spans="1:14" ht="20.25" x14ac:dyDescent="0.25">
      <c r="A3444" s="1">
        <v>38</v>
      </c>
      <c r="B3444" s="159">
        <v>2162</v>
      </c>
      <c r="C3444" s="1" t="s">
        <v>723</v>
      </c>
      <c r="D3444" s="1"/>
      <c r="E3444" s="1" t="s">
        <v>43</v>
      </c>
      <c r="F3444" s="1" t="s">
        <v>725</v>
      </c>
      <c r="G3444" s="1">
        <v>1</v>
      </c>
      <c r="H3444" s="1" t="s">
        <v>19</v>
      </c>
      <c r="I3444" s="1" t="s">
        <v>585</v>
      </c>
      <c r="J3444" s="1">
        <v>9.91</v>
      </c>
      <c r="K3444" s="1">
        <v>9.91</v>
      </c>
      <c r="L3444" s="42">
        <v>6</v>
      </c>
      <c r="M3444" s="43"/>
      <c r="N3444" s="1" t="e">
        <f>VLOOKUP(B3444,MICRO!E:L,8,0)</f>
        <v>#N/A</v>
      </c>
    </row>
    <row r="3445" spans="1:14" ht="20.25" x14ac:dyDescent="0.25">
      <c r="A3445" s="1">
        <v>39</v>
      </c>
      <c r="B3445" s="159">
        <v>2163</v>
      </c>
      <c r="C3445" s="1" t="s">
        <v>723</v>
      </c>
      <c r="D3445" s="1"/>
      <c r="E3445" s="1" t="s">
        <v>746</v>
      </c>
      <c r="F3445" s="1" t="s">
        <v>726</v>
      </c>
      <c r="G3445" s="1">
        <v>1</v>
      </c>
      <c r="H3445" s="1" t="s">
        <v>19</v>
      </c>
      <c r="I3445" s="1" t="s">
        <v>585</v>
      </c>
      <c r="J3445" s="1">
        <v>3.2</v>
      </c>
      <c r="K3445" s="1">
        <v>3.2</v>
      </c>
      <c r="L3445" s="42">
        <v>6</v>
      </c>
      <c r="M3445" s="43"/>
      <c r="N3445" s="1" t="e">
        <f>VLOOKUP(B3445,MICRO!E:L,8,0)</f>
        <v>#N/A</v>
      </c>
    </row>
    <row r="3446" spans="1:14" ht="20.25" x14ac:dyDescent="0.25">
      <c r="A3446" s="1">
        <v>40</v>
      </c>
      <c r="B3446" s="159">
        <v>2165</v>
      </c>
      <c r="C3446" s="1" t="s">
        <v>727</v>
      </c>
      <c r="D3446" s="1"/>
      <c r="E3446" s="1" t="s">
        <v>2</v>
      </c>
      <c r="F3446" s="1" t="s">
        <v>728</v>
      </c>
      <c r="G3446" s="1">
        <v>1</v>
      </c>
      <c r="H3446" s="1" t="s">
        <v>19</v>
      </c>
      <c r="I3446" s="1" t="s">
        <v>634</v>
      </c>
      <c r="J3446" s="1">
        <v>2.94</v>
      </c>
      <c r="K3446" s="1">
        <v>2.94</v>
      </c>
      <c r="L3446" s="42">
        <v>6</v>
      </c>
      <c r="M3446" s="43"/>
      <c r="N3446" s="1" t="e">
        <f>VLOOKUP(B3446,MICRO!E:L,8,0)</f>
        <v>#N/A</v>
      </c>
    </row>
    <row r="3447" spans="1:14" ht="20.25" x14ac:dyDescent="0.25">
      <c r="A3447" s="1">
        <v>41</v>
      </c>
      <c r="B3447" s="159">
        <v>2166</v>
      </c>
      <c r="C3447" s="1" t="s">
        <v>727</v>
      </c>
      <c r="D3447" s="1"/>
      <c r="E3447" s="1" t="s">
        <v>43</v>
      </c>
      <c r="F3447" s="1" t="s">
        <v>729</v>
      </c>
      <c r="G3447" s="1">
        <v>1</v>
      </c>
      <c r="H3447" s="1" t="s">
        <v>19</v>
      </c>
      <c r="I3447" s="1" t="s">
        <v>634</v>
      </c>
      <c r="J3447" s="1">
        <v>10.6</v>
      </c>
      <c r="K3447" s="1">
        <v>10.6</v>
      </c>
      <c r="L3447" s="42">
        <v>6</v>
      </c>
      <c r="M3447" s="43"/>
      <c r="N3447" s="1" t="e">
        <f>VLOOKUP(B3447,MICRO!E:L,8,0)</f>
        <v>#N/A</v>
      </c>
    </row>
    <row r="3448" spans="1:14" ht="20.25" x14ac:dyDescent="0.25">
      <c r="A3448" s="1">
        <v>42</v>
      </c>
      <c r="B3448" s="159">
        <v>2167</v>
      </c>
      <c r="C3448" s="1" t="s">
        <v>727</v>
      </c>
      <c r="D3448" s="1"/>
      <c r="E3448" s="1" t="s">
        <v>746</v>
      </c>
      <c r="F3448" s="1" t="s">
        <v>730</v>
      </c>
      <c r="G3448" s="1">
        <v>1</v>
      </c>
      <c r="H3448" s="1" t="s">
        <v>19</v>
      </c>
      <c r="I3448" s="1" t="s">
        <v>634</v>
      </c>
      <c r="J3448" s="1">
        <v>0.61</v>
      </c>
      <c r="K3448" s="1">
        <v>0.61</v>
      </c>
      <c r="L3448" s="42">
        <v>6</v>
      </c>
      <c r="M3448" s="43"/>
      <c r="N3448" s="1" t="e">
        <f>VLOOKUP(B3448,MICRO!E:L,8,0)</f>
        <v>#N/A</v>
      </c>
    </row>
    <row r="3449" spans="1:14" ht="20.25" x14ac:dyDescent="0.25">
      <c r="A3449" s="1">
        <v>43</v>
      </c>
      <c r="B3449" s="159">
        <v>2174</v>
      </c>
      <c r="C3449" s="1" t="s">
        <v>739</v>
      </c>
      <c r="D3449" s="1"/>
      <c r="E3449" s="1" t="s">
        <v>2</v>
      </c>
      <c r="F3449" s="1" t="s">
        <v>1832</v>
      </c>
      <c r="G3449" s="1">
        <v>2</v>
      </c>
      <c r="H3449" s="1" t="s">
        <v>19</v>
      </c>
      <c r="I3449" s="1" t="s">
        <v>629</v>
      </c>
      <c r="J3449" s="1">
        <v>1.2</v>
      </c>
      <c r="K3449" s="1">
        <v>2.4</v>
      </c>
      <c r="L3449" s="42">
        <v>6</v>
      </c>
      <c r="M3449" s="43"/>
      <c r="N3449" s="1" t="e">
        <f>VLOOKUP(B3449,MICRO!E:L,8,0)</f>
        <v>#N/A</v>
      </c>
    </row>
    <row r="3450" spans="1:14" ht="20.25" x14ac:dyDescent="0.25">
      <c r="A3450" s="1">
        <v>44</v>
      </c>
      <c r="B3450" s="159">
        <v>2177</v>
      </c>
      <c r="C3450" s="1" t="s">
        <v>148</v>
      </c>
      <c r="D3450" s="1"/>
      <c r="E3450" s="1" t="s">
        <v>100</v>
      </c>
      <c r="F3450" s="1" t="s">
        <v>741</v>
      </c>
      <c r="G3450" s="1">
        <v>10</v>
      </c>
      <c r="H3450" s="1" t="s">
        <v>19</v>
      </c>
      <c r="I3450" s="1" t="s">
        <v>634</v>
      </c>
      <c r="J3450" s="1">
        <v>8.1999999999999993</v>
      </c>
      <c r="K3450" s="1">
        <v>82</v>
      </c>
      <c r="L3450" s="42">
        <v>6</v>
      </c>
      <c r="M3450" s="43"/>
      <c r="N3450" s="1" t="e">
        <f>VLOOKUP(B3450,MICRO!E:L,8,0)</f>
        <v>#N/A</v>
      </c>
    </row>
    <row r="3451" spans="1:14" ht="20.25" x14ac:dyDescent="0.25">
      <c r="A3451" s="1">
        <v>45</v>
      </c>
      <c r="B3451" s="159">
        <v>2177</v>
      </c>
      <c r="C3451" s="1" t="s">
        <v>148</v>
      </c>
      <c r="D3451" s="1"/>
      <c r="E3451" s="1" t="s">
        <v>100</v>
      </c>
      <c r="F3451" s="1" t="s">
        <v>1833</v>
      </c>
      <c r="G3451" s="1">
        <v>20</v>
      </c>
      <c r="H3451" s="1" t="s">
        <v>19</v>
      </c>
      <c r="I3451" s="1" t="s">
        <v>634</v>
      </c>
      <c r="J3451" s="1">
        <v>1.2</v>
      </c>
      <c r="K3451" s="1">
        <v>24</v>
      </c>
      <c r="L3451" s="42">
        <v>6</v>
      </c>
      <c r="M3451" s="43"/>
      <c r="N3451" s="1" t="e">
        <f>VLOOKUP(B3451,MICRO!E:L,8,0)</f>
        <v>#N/A</v>
      </c>
    </row>
    <row r="3452" spans="1:14" ht="20.25" x14ac:dyDescent="0.25">
      <c r="A3452" s="1">
        <v>46</v>
      </c>
      <c r="B3452" s="159">
        <v>2178</v>
      </c>
      <c r="C3452" s="1" t="s">
        <v>148</v>
      </c>
      <c r="D3452" s="1"/>
      <c r="E3452" s="1" t="s">
        <v>43</v>
      </c>
      <c r="F3452" s="1" t="s">
        <v>1834</v>
      </c>
      <c r="G3452" s="1">
        <v>12</v>
      </c>
      <c r="H3452" s="1" t="s">
        <v>19</v>
      </c>
      <c r="I3452" s="1" t="s">
        <v>634</v>
      </c>
      <c r="J3452" s="1">
        <v>1.2</v>
      </c>
      <c r="K3452" s="1">
        <v>14.399999999999999</v>
      </c>
      <c r="L3452" s="42">
        <v>6</v>
      </c>
      <c r="M3452" s="43"/>
      <c r="N3452" s="1" t="e">
        <f>VLOOKUP(B3452,MICRO!E:L,8,0)</f>
        <v>#N/A</v>
      </c>
    </row>
    <row r="3453" spans="1:14" ht="20.25" x14ac:dyDescent="0.25">
      <c r="A3453" s="1">
        <v>49</v>
      </c>
      <c r="B3453" s="159">
        <v>2436</v>
      </c>
      <c r="C3453" s="1" t="s">
        <v>916</v>
      </c>
      <c r="D3453" s="1"/>
      <c r="E3453" s="1" t="s">
        <v>746</v>
      </c>
      <c r="F3453" s="1" t="s">
        <v>919</v>
      </c>
      <c r="G3453" s="1">
        <v>6</v>
      </c>
      <c r="H3453" s="1" t="s">
        <v>19</v>
      </c>
      <c r="I3453" s="1" t="s">
        <v>629</v>
      </c>
      <c r="J3453" s="1">
        <v>5.92</v>
      </c>
      <c r="K3453" s="1">
        <v>35.519999999999996</v>
      </c>
      <c r="L3453" s="42">
        <v>6</v>
      </c>
      <c r="M3453" s="43"/>
      <c r="N3453" s="1" t="e">
        <f>VLOOKUP(B3453,MICRO!E:L,8,0)</f>
        <v>#N/A</v>
      </c>
    </row>
    <row r="3454" spans="1:14" ht="20.25" x14ac:dyDescent="0.25">
      <c r="A3454" s="1">
        <v>50</v>
      </c>
      <c r="B3454" s="159">
        <v>2438</v>
      </c>
      <c r="C3454" s="1" t="s">
        <v>920</v>
      </c>
      <c r="D3454" s="1"/>
      <c r="E3454" s="1" t="s">
        <v>43</v>
      </c>
      <c r="F3454" s="1" t="s">
        <v>922</v>
      </c>
      <c r="G3454" s="1">
        <v>2</v>
      </c>
      <c r="H3454" s="1"/>
      <c r="I3454" s="1" t="s">
        <v>629</v>
      </c>
      <c r="J3454" s="1">
        <v>8.67</v>
      </c>
      <c r="K3454" s="1">
        <v>17.34</v>
      </c>
      <c r="L3454" s="42">
        <v>6</v>
      </c>
      <c r="M3454" s="43"/>
      <c r="N3454" s="1" t="e">
        <f>VLOOKUP(B3454,MICRO!E:L,8,0)</f>
        <v>#N/A</v>
      </c>
    </row>
    <row r="3455" spans="1:14" ht="20.25" x14ac:dyDescent="0.25">
      <c r="A3455" s="1">
        <v>51</v>
      </c>
      <c r="B3455" s="159">
        <v>2439</v>
      </c>
      <c r="C3455" s="1" t="s">
        <v>920</v>
      </c>
      <c r="D3455" s="1"/>
      <c r="E3455" s="1" t="s">
        <v>746</v>
      </c>
      <c r="F3455" s="1" t="s">
        <v>923</v>
      </c>
      <c r="G3455" s="1">
        <v>2</v>
      </c>
      <c r="H3455" s="1"/>
      <c r="I3455" s="1" t="s">
        <v>629</v>
      </c>
      <c r="J3455" s="1">
        <v>8.85</v>
      </c>
      <c r="K3455" s="1">
        <v>17.7</v>
      </c>
      <c r="L3455" s="42">
        <v>6</v>
      </c>
      <c r="M3455" s="43"/>
      <c r="N3455" s="1" t="e">
        <f>VLOOKUP(B3455,MICRO!E:L,8,0)</f>
        <v>#N/A</v>
      </c>
    </row>
    <row r="3456" spans="1:14" ht="20.25" x14ac:dyDescent="0.25">
      <c r="A3456" s="1">
        <v>52</v>
      </c>
      <c r="B3456" s="159">
        <v>2445</v>
      </c>
      <c r="C3456" s="1" t="s">
        <v>927</v>
      </c>
      <c r="D3456" s="1"/>
      <c r="E3456" s="1" t="s">
        <v>1835</v>
      </c>
      <c r="F3456" s="1" t="s">
        <v>1836</v>
      </c>
      <c r="G3456" s="1">
        <v>2</v>
      </c>
      <c r="H3456" s="1" t="s">
        <v>19</v>
      </c>
      <c r="I3456" s="1" t="s">
        <v>629</v>
      </c>
      <c r="J3456" s="1">
        <v>1.1000000000000001</v>
      </c>
      <c r="K3456" s="1">
        <v>2.2000000000000002</v>
      </c>
      <c r="L3456" s="42">
        <v>6</v>
      </c>
      <c r="M3456" s="43"/>
      <c r="N3456" s="1" t="e">
        <f>VLOOKUP(B3456,MICRO!E:L,8,0)</f>
        <v>#N/A</v>
      </c>
    </row>
    <row r="3457" spans="1:14" ht="20.25" x14ac:dyDescent="0.25">
      <c r="A3457" s="1">
        <v>53</v>
      </c>
      <c r="B3457" s="159">
        <v>2445</v>
      </c>
      <c r="C3457" s="1" t="s">
        <v>927</v>
      </c>
      <c r="D3457" s="1"/>
      <c r="E3457" s="1" t="s">
        <v>1837</v>
      </c>
      <c r="F3457" s="1" t="s">
        <v>1838</v>
      </c>
      <c r="G3457" s="1">
        <v>2</v>
      </c>
      <c r="H3457" s="1" t="s">
        <v>19</v>
      </c>
      <c r="I3457" s="1" t="s">
        <v>629</v>
      </c>
      <c r="J3457" s="1">
        <v>0.88</v>
      </c>
      <c r="K3457" s="1">
        <v>1.76</v>
      </c>
      <c r="L3457" s="42">
        <v>6</v>
      </c>
      <c r="M3457" s="43"/>
      <c r="N3457" s="1" t="e">
        <f>VLOOKUP(B3457,MICRO!E:L,8,0)</f>
        <v>#N/A</v>
      </c>
    </row>
    <row r="3458" spans="1:14" ht="20.25" x14ac:dyDescent="0.25">
      <c r="A3458" s="1">
        <v>54</v>
      </c>
      <c r="B3458" s="159">
        <v>2446</v>
      </c>
      <c r="C3458" s="1" t="s">
        <v>927</v>
      </c>
      <c r="D3458" s="1"/>
      <c r="E3458" s="1" t="s">
        <v>43</v>
      </c>
      <c r="F3458" s="1" t="s">
        <v>930</v>
      </c>
      <c r="G3458" s="1">
        <v>1</v>
      </c>
      <c r="H3458" s="1" t="s">
        <v>19</v>
      </c>
      <c r="I3458" s="1" t="s">
        <v>629</v>
      </c>
      <c r="J3458" s="1">
        <v>31.55</v>
      </c>
      <c r="K3458" s="1">
        <v>31.55</v>
      </c>
      <c r="L3458" s="42">
        <v>6</v>
      </c>
      <c r="M3458" s="43"/>
      <c r="N3458" s="1" t="e">
        <f>VLOOKUP(B3458,MICRO!E:L,8,0)</f>
        <v>#N/A</v>
      </c>
    </row>
    <row r="3459" spans="1:14" ht="20.25" x14ac:dyDescent="0.25">
      <c r="A3459" s="1">
        <v>55</v>
      </c>
      <c r="B3459" s="159">
        <v>2447</v>
      </c>
      <c r="C3459" s="1" t="s">
        <v>929</v>
      </c>
      <c r="D3459" s="1"/>
      <c r="E3459" s="1" t="s">
        <v>2</v>
      </c>
      <c r="F3459" s="1" t="s">
        <v>931</v>
      </c>
      <c r="G3459" s="1">
        <v>1</v>
      </c>
      <c r="H3459" s="1" t="s">
        <v>19</v>
      </c>
      <c r="I3459" s="1" t="s">
        <v>629</v>
      </c>
      <c r="J3459" s="1">
        <v>109.26</v>
      </c>
      <c r="K3459" s="1">
        <v>109.26</v>
      </c>
      <c r="L3459" s="42">
        <v>6</v>
      </c>
      <c r="M3459" s="43"/>
      <c r="N3459" s="1" t="e">
        <f>VLOOKUP(B3459,MICRO!E:L,8,0)</f>
        <v>#N/A</v>
      </c>
    </row>
    <row r="3460" spans="1:14" ht="20.25" x14ac:dyDescent="0.25">
      <c r="A3460" s="1">
        <v>56</v>
      </c>
      <c r="B3460" s="159">
        <v>2448</v>
      </c>
      <c r="C3460" s="1" t="s">
        <v>929</v>
      </c>
      <c r="D3460" s="1"/>
      <c r="E3460" s="1" t="s">
        <v>43</v>
      </c>
      <c r="F3460" s="1" t="s">
        <v>1839</v>
      </c>
      <c r="G3460" s="1">
        <v>1</v>
      </c>
      <c r="H3460" s="1" t="s">
        <v>19</v>
      </c>
      <c r="I3460" s="1" t="s">
        <v>629</v>
      </c>
      <c r="J3460" s="1">
        <v>115.97</v>
      </c>
      <c r="K3460" s="1">
        <v>115.97</v>
      </c>
      <c r="L3460" s="42">
        <v>6</v>
      </c>
      <c r="M3460" s="43"/>
      <c r="N3460" s="1" t="e">
        <f>VLOOKUP(B3460,MICRO!E:L,8,0)</f>
        <v>#N/A</v>
      </c>
    </row>
    <row r="3461" spans="1:14" ht="20.25" x14ac:dyDescent="0.25">
      <c r="A3461" s="1">
        <v>57</v>
      </c>
      <c r="B3461" s="159">
        <v>2449</v>
      </c>
      <c r="C3461" s="1" t="s">
        <v>929</v>
      </c>
      <c r="D3461" s="1"/>
      <c r="E3461" s="1" t="s">
        <v>746</v>
      </c>
      <c r="F3461" s="1" t="s">
        <v>932</v>
      </c>
      <c r="G3461" s="1">
        <v>2</v>
      </c>
      <c r="H3461" s="1"/>
      <c r="I3461" s="1" t="s">
        <v>629</v>
      </c>
      <c r="J3461" s="1">
        <v>5.34</v>
      </c>
      <c r="K3461" s="1">
        <v>10.68</v>
      </c>
      <c r="L3461" s="42">
        <v>6</v>
      </c>
      <c r="M3461" s="43"/>
      <c r="N3461" s="1" t="e">
        <f>VLOOKUP(B3461,MICRO!E:L,8,0)</f>
        <v>#N/A</v>
      </c>
    </row>
    <row r="3462" spans="1:14" ht="20.25" x14ac:dyDescent="0.25">
      <c r="A3462" s="1">
        <v>58</v>
      </c>
      <c r="B3462" s="159">
        <v>2456</v>
      </c>
      <c r="C3462" s="1" t="s">
        <v>938</v>
      </c>
      <c r="D3462" s="1"/>
      <c r="E3462" s="1" t="s">
        <v>2</v>
      </c>
      <c r="F3462" s="1" t="s">
        <v>939</v>
      </c>
      <c r="G3462" s="1">
        <v>7</v>
      </c>
      <c r="H3462" s="1" t="s">
        <v>19</v>
      </c>
      <c r="I3462" s="1" t="s">
        <v>629</v>
      </c>
      <c r="J3462" s="1">
        <v>69.618571428571386</v>
      </c>
      <c r="K3462" s="1">
        <v>487.3299999999997</v>
      </c>
      <c r="L3462" s="42">
        <v>6</v>
      </c>
      <c r="M3462" s="43"/>
      <c r="N3462" s="1" t="e">
        <f>VLOOKUP(B3462,MICRO!E:L,8,0)</f>
        <v>#N/A</v>
      </c>
    </row>
    <row r="3463" spans="1:14" ht="20.25" x14ac:dyDescent="0.25">
      <c r="A3463" s="1">
        <v>59</v>
      </c>
      <c r="B3463" s="159">
        <v>2457</v>
      </c>
      <c r="C3463" s="1" t="s">
        <v>938</v>
      </c>
      <c r="D3463" s="1"/>
      <c r="E3463" s="1" t="s">
        <v>43</v>
      </c>
      <c r="F3463" s="1" t="s">
        <v>940</v>
      </c>
      <c r="G3463" s="1">
        <v>7</v>
      </c>
      <c r="H3463" s="1" t="s">
        <v>19</v>
      </c>
      <c r="I3463" s="1" t="s">
        <v>629</v>
      </c>
      <c r="J3463" s="1">
        <v>69.618571428571386</v>
      </c>
      <c r="K3463" s="1">
        <v>487.3299999999997</v>
      </c>
      <c r="L3463" s="42">
        <v>6</v>
      </c>
      <c r="M3463" s="43"/>
      <c r="N3463" s="1" t="e">
        <f>VLOOKUP(B3463,MICRO!E:L,8,0)</f>
        <v>#N/A</v>
      </c>
    </row>
    <row r="3464" spans="1:14" ht="20.25" x14ac:dyDescent="0.25">
      <c r="A3464" s="1">
        <v>60</v>
      </c>
      <c r="B3464" s="159">
        <v>2460</v>
      </c>
      <c r="C3464" s="1" t="s">
        <v>938</v>
      </c>
      <c r="D3464" s="1"/>
      <c r="E3464" s="1" t="s">
        <v>100</v>
      </c>
      <c r="F3464" s="1" t="s">
        <v>943</v>
      </c>
      <c r="G3464" s="1">
        <v>1</v>
      </c>
      <c r="H3464" s="1"/>
      <c r="I3464" s="1" t="s">
        <v>629</v>
      </c>
      <c r="J3464" s="1">
        <v>6.68</v>
      </c>
      <c r="K3464" s="1">
        <v>6.68</v>
      </c>
      <c r="L3464" s="42">
        <v>6</v>
      </c>
      <c r="M3464" s="43"/>
      <c r="N3464" s="1" t="e">
        <f>VLOOKUP(B3464,MICRO!E:L,8,0)</f>
        <v>#N/A</v>
      </c>
    </row>
    <row r="3465" spans="1:14" ht="20.25" x14ac:dyDescent="0.25">
      <c r="A3465" s="1">
        <v>61</v>
      </c>
      <c r="B3465" s="159">
        <v>2470</v>
      </c>
      <c r="C3465" s="1" t="s">
        <v>950</v>
      </c>
      <c r="D3465" s="1"/>
      <c r="E3465" s="1" t="s">
        <v>2</v>
      </c>
      <c r="F3465" s="1" t="s">
        <v>951</v>
      </c>
      <c r="G3465" s="1">
        <v>1</v>
      </c>
      <c r="H3465" s="1" t="s">
        <v>19</v>
      </c>
      <c r="I3465" s="1" t="s">
        <v>634</v>
      </c>
      <c r="J3465" s="1">
        <v>77.58</v>
      </c>
      <c r="K3465" s="1">
        <v>77.58</v>
      </c>
      <c r="L3465" s="42">
        <v>6</v>
      </c>
      <c r="M3465" s="43"/>
      <c r="N3465" s="1" t="e">
        <f>VLOOKUP(B3465,MICRO!E:L,8,0)</f>
        <v>#N/A</v>
      </c>
    </row>
    <row r="3466" spans="1:14" ht="20.25" x14ac:dyDescent="0.25">
      <c r="A3466" s="1">
        <v>62</v>
      </c>
      <c r="B3466" s="159">
        <v>2471</v>
      </c>
      <c r="C3466" s="1" t="s">
        <v>950</v>
      </c>
      <c r="D3466" s="1"/>
      <c r="E3466" s="1" t="s">
        <v>43</v>
      </c>
      <c r="F3466" s="1" t="s">
        <v>952</v>
      </c>
      <c r="G3466" s="1">
        <v>1</v>
      </c>
      <c r="H3466" s="1"/>
      <c r="I3466" s="1" t="s">
        <v>634</v>
      </c>
      <c r="J3466" s="1">
        <v>103.62</v>
      </c>
      <c r="K3466" s="1">
        <v>103.62</v>
      </c>
      <c r="L3466" s="42">
        <v>6</v>
      </c>
      <c r="M3466" s="43"/>
      <c r="N3466" s="1" t="e">
        <f>VLOOKUP(B3466,MICRO!E:L,8,0)</f>
        <v>#N/A</v>
      </c>
    </row>
    <row r="3467" spans="1:14" ht="20.25" x14ac:dyDescent="0.25">
      <c r="A3467" s="1">
        <v>63</v>
      </c>
      <c r="B3467" s="159">
        <v>2472</v>
      </c>
      <c r="C3467" s="1" t="s">
        <v>950</v>
      </c>
      <c r="D3467" s="1"/>
      <c r="E3467" s="1" t="s">
        <v>746</v>
      </c>
      <c r="F3467" s="1" t="s">
        <v>953</v>
      </c>
      <c r="G3467" s="1">
        <v>2</v>
      </c>
      <c r="H3467" s="1"/>
      <c r="I3467" s="1" t="s">
        <v>634</v>
      </c>
      <c r="J3467" s="1">
        <v>5.34</v>
      </c>
      <c r="K3467" s="1">
        <v>10.68</v>
      </c>
      <c r="L3467" s="42">
        <v>6</v>
      </c>
      <c r="M3467" s="43"/>
      <c r="N3467" s="1" t="e">
        <f>VLOOKUP(B3467,MICRO!E:L,8,0)</f>
        <v>#N/A</v>
      </c>
    </row>
    <row r="3468" spans="1:14" ht="20.25" x14ac:dyDescent="0.25">
      <c r="A3468" s="1">
        <v>64</v>
      </c>
      <c r="B3468" s="159">
        <v>2475</v>
      </c>
      <c r="C3468" s="1" t="s">
        <v>954</v>
      </c>
      <c r="D3468" s="1"/>
      <c r="E3468" s="1" t="s">
        <v>746</v>
      </c>
      <c r="F3468" s="1" t="s">
        <v>957</v>
      </c>
      <c r="G3468" s="1">
        <v>4</v>
      </c>
      <c r="H3468" s="1"/>
      <c r="I3468" s="1" t="s">
        <v>634</v>
      </c>
      <c r="J3468" s="1">
        <v>5.48</v>
      </c>
      <c r="K3468" s="1">
        <v>21.92</v>
      </c>
      <c r="L3468" s="42">
        <v>6</v>
      </c>
      <c r="M3468" s="43"/>
      <c r="N3468" s="1" t="e">
        <f>VLOOKUP(B3468,MICRO!E:L,8,0)</f>
        <v>#N/A</v>
      </c>
    </row>
    <row r="3469" spans="1:14" ht="20.25" x14ac:dyDescent="0.25">
      <c r="A3469" s="1">
        <v>65</v>
      </c>
      <c r="B3469" s="159">
        <v>2478</v>
      </c>
      <c r="C3469" s="1" t="s">
        <v>960</v>
      </c>
      <c r="D3469" s="1"/>
      <c r="E3469" s="1" t="s">
        <v>2</v>
      </c>
      <c r="F3469" s="1" t="s">
        <v>961</v>
      </c>
      <c r="G3469" s="1">
        <v>10</v>
      </c>
      <c r="H3469" s="1" t="s">
        <v>19</v>
      </c>
      <c r="I3469" s="1" t="s">
        <v>585</v>
      </c>
      <c r="J3469" s="1">
        <v>7.1</v>
      </c>
      <c r="K3469" s="1">
        <v>71</v>
      </c>
      <c r="L3469" s="42">
        <v>6</v>
      </c>
      <c r="M3469" s="43"/>
      <c r="N3469" s="1" t="e">
        <f>VLOOKUP(B3469,MICRO!E:L,8,0)</f>
        <v>#N/A</v>
      </c>
    </row>
    <row r="3470" spans="1:14" ht="20.25" x14ac:dyDescent="0.25">
      <c r="A3470" s="1">
        <v>66</v>
      </c>
      <c r="B3470" s="159">
        <v>2479</v>
      </c>
      <c r="C3470" s="1" t="s">
        <v>960</v>
      </c>
      <c r="D3470" s="1"/>
      <c r="E3470" s="1" t="s">
        <v>2</v>
      </c>
      <c r="F3470" s="1" t="s">
        <v>961</v>
      </c>
      <c r="G3470" s="1">
        <v>8</v>
      </c>
      <c r="H3470" s="1" t="s">
        <v>19</v>
      </c>
      <c r="I3470" s="1" t="s">
        <v>735</v>
      </c>
      <c r="J3470" s="1">
        <v>7.1</v>
      </c>
      <c r="K3470" s="1">
        <v>56.8</v>
      </c>
      <c r="L3470" s="42">
        <v>6</v>
      </c>
      <c r="M3470" s="43"/>
      <c r="N3470" s="1" t="e">
        <f>VLOOKUP(B3470,MICRO!E:L,8,0)</f>
        <v>#N/A</v>
      </c>
    </row>
    <row r="3471" spans="1:14" ht="20.25" x14ac:dyDescent="0.25">
      <c r="A3471" s="1">
        <v>67</v>
      </c>
      <c r="B3471" s="159">
        <v>2480</v>
      </c>
      <c r="C3471" s="1" t="s">
        <v>962</v>
      </c>
      <c r="D3471" s="1"/>
      <c r="E3471" s="1" t="s">
        <v>2</v>
      </c>
      <c r="F3471" s="1" t="s">
        <v>963</v>
      </c>
      <c r="G3471" s="1">
        <v>1</v>
      </c>
      <c r="H3471" s="1" t="s">
        <v>19</v>
      </c>
      <c r="I3471" s="1" t="s">
        <v>585</v>
      </c>
      <c r="J3471" s="1">
        <v>35.97</v>
      </c>
      <c r="K3471" s="1">
        <v>35.97</v>
      </c>
      <c r="L3471" s="42">
        <v>6</v>
      </c>
      <c r="M3471" s="43"/>
      <c r="N3471" s="1" t="e">
        <f>VLOOKUP(B3471,MICRO!E:L,8,0)</f>
        <v>#N/A</v>
      </c>
    </row>
    <row r="3472" spans="1:14" ht="20.25" x14ac:dyDescent="0.25">
      <c r="A3472" s="1">
        <v>68</v>
      </c>
      <c r="B3472" s="159">
        <v>2481</v>
      </c>
      <c r="C3472" s="1" t="s">
        <v>962</v>
      </c>
      <c r="D3472" s="1"/>
      <c r="E3472" s="1" t="s">
        <v>43</v>
      </c>
      <c r="F3472" s="1" t="s">
        <v>964</v>
      </c>
      <c r="G3472" s="1">
        <v>1</v>
      </c>
      <c r="H3472" s="1" t="s">
        <v>19</v>
      </c>
      <c r="I3472" s="1" t="s">
        <v>585</v>
      </c>
      <c r="J3472" s="1">
        <v>35.97</v>
      </c>
      <c r="K3472" s="1">
        <v>35.97</v>
      </c>
      <c r="L3472" s="42">
        <v>6</v>
      </c>
      <c r="M3472" s="43"/>
      <c r="N3472" s="1" t="e">
        <f>VLOOKUP(B3472,MICRO!E:L,8,0)</f>
        <v>#N/A</v>
      </c>
    </row>
    <row r="3473" spans="1:14" ht="20.25" x14ac:dyDescent="0.25">
      <c r="A3473" s="1">
        <v>69</v>
      </c>
      <c r="B3473" s="159">
        <v>2480</v>
      </c>
      <c r="C3473" s="1" t="s">
        <v>962</v>
      </c>
      <c r="D3473" s="1"/>
      <c r="E3473" s="1" t="s">
        <v>2</v>
      </c>
      <c r="F3473" s="1" t="s">
        <v>963</v>
      </c>
      <c r="G3473" s="1">
        <v>1</v>
      </c>
      <c r="H3473" s="1" t="s">
        <v>19</v>
      </c>
      <c r="I3473" s="1" t="s">
        <v>589</v>
      </c>
      <c r="J3473" s="1">
        <v>35.97</v>
      </c>
      <c r="K3473" s="1">
        <v>35.97</v>
      </c>
      <c r="L3473" s="42">
        <v>6</v>
      </c>
      <c r="M3473" s="43"/>
      <c r="N3473" s="1" t="e">
        <f>VLOOKUP(B3473,MICRO!E:L,8,0)</f>
        <v>#N/A</v>
      </c>
    </row>
    <row r="3474" spans="1:14" ht="20.25" x14ac:dyDescent="0.25">
      <c r="A3474" s="1">
        <v>70</v>
      </c>
      <c r="B3474" s="159">
        <v>2481</v>
      </c>
      <c r="C3474" s="1" t="s">
        <v>962</v>
      </c>
      <c r="D3474" s="1"/>
      <c r="E3474" s="1" t="s">
        <v>43</v>
      </c>
      <c r="F3474" s="1" t="s">
        <v>964</v>
      </c>
      <c r="G3474" s="1">
        <v>1</v>
      </c>
      <c r="H3474" s="1" t="s">
        <v>19</v>
      </c>
      <c r="I3474" s="1" t="s">
        <v>589</v>
      </c>
      <c r="J3474" s="1">
        <v>35.97</v>
      </c>
      <c r="K3474" s="1">
        <v>35.97</v>
      </c>
      <c r="L3474" s="42">
        <v>6</v>
      </c>
      <c r="M3474" s="43"/>
      <c r="N3474" s="1" t="e">
        <f>VLOOKUP(B3474,MICRO!E:L,8,0)</f>
        <v>#N/A</v>
      </c>
    </row>
    <row r="3475" spans="1:14" ht="20.25" x14ac:dyDescent="0.25">
      <c r="A3475" s="1">
        <v>71</v>
      </c>
      <c r="B3475" s="159">
        <v>2482</v>
      </c>
      <c r="C3475" s="1" t="s">
        <v>962</v>
      </c>
      <c r="D3475" s="1"/>
      <c r="E3475" s="1" t="s">
        <v>746</v>
      </c>
      <c r="F3475" s="1" t="s">
        <v>965</v>
      </c>
      <c r="G3475" s="1">
        <v>1</v>
      </c>
      <c r="H3475" s="1" t="s">
        <v>19</v>
      </c>
      <c r="I3475" s="1" t="s">
        <v>589</v>
      </c>
      <c r="J3475" s="1">
        <v>12.51</v>
      </c>
      <c r="K3475" s="1">
        <v>12.51</v>
      </c>
      <c r="L3475" s="42">
        <v>6</v>
      </c>
      <c r="M3475" s="43"/>
      <c r="N3475" s="1" t="e">
        <f>VLOOKUP(B3475,MICRO!E:L,8,0)</f>
        <v>#N/A</v>
      </c>
    </row>
    <row r="3476" spans="1:14" ht="20.25" x14ac:dyDescent="0.25">
      <c r="A3476" s="1">
        <v>72</v>
      </c>
      <c r="B3476" s="159">
        <v>2483</v>
      </c>
      <c r="C3476" s="1" t="s">
        <v>962</v>
      </c>
      <c r="D3476" s="1"/>
      <c r="E3476" s="1" t="s">
        <v>1101</v>
      </c>
      <c r="F3476" s="1" t="s">
        <v>966</v>
      </c>
      <c r="G3476" s="1">
        <v>1</v>
      </c>
      <c r="H3476" s="1" t="s">
        <v>19</v>
      </c>
      <c r="I3476" s="1" t="s">
        <v>589</v>
      </c>
      <c r="J3476" s="1">
        <v>12.51</v>
      </c>
      <c r="K3476" s="1">
        <v>12.51</v>
      </c>
      <c r="L3476" s="42">
        <v>6</v>
      </c>
      <c r="M3476" s="43"/>
      <c r="N3476" s="1" t="e">
        <f>VLOOKUP(B3476,MICRO!E:L,8,0)</f>
        <v>#N/A</v>
      </c>
    </row>
    <row r="3477" spans="1:14" ht="20.25" x14ac:dyDescent="0.25">
      <c r="A3477" s="1">
        <v>73</v>
      </c>
      <c r="B3477" s="159">
        <v>2486</v>
      </c>
      <c r="C3477" s="1" t="s">
        <v>962</v>
      </c>
      <c r="D3477" s="1"/>
      <c r="E3477" s="1" t="s">
        <v>461</v>
      </c>
      <c r="F3477" s="1" t="s">
        <v>969</v>
      </c>
      <c r="G3477" s="1">
        <v>1</v>
      </c>
      <c r="H3477" s="1" t="s">
        <v>19</v>
      </c>
      <c r="I3477" s="1" t="s">
        <v>589</v>
      </c>
      <c r="J3477" s="1">
        <v>10.37</v>
      </c>
      <c r="K3477" s="1">
        <v>10.37</v>
      </c>
      <c r="L3477" s="42">
        <v>6</v>
      </c>
      <c r="M3477" s="43"/>
      <c r="N3477" s="1" t="e">
        <f>VLOOKUP(B3477,MICRO!E:L,8,0)</f>
        <v>#N/A</v>
      </c>
    </row>
    <row r="3478" spans="1:14" ht="20.25" x14ac:dyDescent="0.25">
      <c r="A3478" s="1">
        <v>74</v>
      </c>
      <c r="B3478" s="159">
        <v>2494</v>
      </c>
      <c r="C3478" s="1" t="s">
        <v>962</v>
      </c>
      <c r="D3478" s="1"/>
      <c r="E3478" s="1" t="s">
        <v>1109</v>
      </c>
      <c r="F3478" s="1" t="s">
        <v>973</v>
      </c>
      <c r="G3478" s="1">
        <v>1</v>
      </c>
      <c r="H3478" s="1" t="s">
        <v>19</v>
      </c>
      <c r="I3478" s="1" t="s">
        <v>585</v>
      </c>
      <c r="J3478" s="1">
        <v>30.23</v>
      </c>
      <c r="K3478" s="1">
        <v>30.23</v>
      </c>
      <c r="L3478" s="42">
        <v>6</v>
      </c>
      <c r="M3478" s="43"/>
      <c r="N3478" s="1" t="e">
        <f>VLOOKUP(B3478,MICRO!E:L,8,0)</f>
        <v>#N/A</v>
      </c>
    </row>
    <row r="3479" spans="1:14" ht="20.25" x14ac:dyDescent="0.25">
      <c r="A3479" s="1">
        <v>75</v>
      </c>
      <c r="B3479" s="159">
        <v>2495</v>
      </c>
      <c r="C3479" s="1" t="s">
        <v>962</v>
      </c>
      <c r="D3479" s="1"/>
      <c r="E3479" s="1" t="s">
        <v>1110</v>
      </c>
      <c r="F3479" s="1" t="s">
        <v>974</v>
      </c>
      <c r="G3479" s="1">
        <v>1</v>
      </c>
      <c r="H3479" s="1" t="s">
        <v>19</v>
      </c>
      <c r="I3479" s="1" t="s">
        <v>585</v>
      </c>
      <c r="J3479" s="1">
        <v>30.23</v>
      </c>
      <c r="K3479" s="1">
        <v>30.23</v>
      </c>
      <c r="L3479" s="42">
        <v>6</v>
      </c>
      <c r="M3479" s="43"/>
      <c r="N3479" s="1" t="e">
        <f>VLOOKUP(B3479,MICRO!E:L,8,0)</f>
        <v>#N/A</v>
      </c>
    </row>
    <row r="3480" spans="1:14" ht="20.25" x14ac:dyDescent="0.25">
      <c r="A3480" s="1">
        <v>76</v>
      </c>
      <c r="B3480" s="159">
        <v>2497</v>
      </c>
      <c r="C3480" s="1" t="s">
        <v>975</v>
      </c>
      <c r="D3480" s="1"/>
      <c r="E3480" s="1" t="s">
        <v>2</v>
      </c>
      <c r="F3480" s="1" t="s">
        <v>976</v>
      </c>
      <c r="G3480" s="1">
        <v>1</v>
      </c>
      <c r="H3480" s="1" t="s">
        <v>19</v>
      </c>
      <c r="I3480" s="1" t="s">
        <v>589</v>
      </c>
      <c r="J3480" s="1">
        <v>79.2</v>
      </c>
      <c r="K3480" s="1">
        <v>79.2</v>
      </c>
      <c r="L3480" s="42">
        <v>6</v>
      </c>
      <c r="M3480" s="43"/>
      <c r="N3480" s="1" t="e">
        <f>VLOOKUP(B3480,MICRO!E:L,8,0)</f>
        <v>#N/A</v>
      </c>
    </row>
    <row r="3481" spans="1:14" ht="20.25" x14ac:dyDescent="0.25">
      <c r="A3481" s="1">
        <v>77</v>
      </c>
      <c r="B3481" s="159">
        <v>2500</v>
      </c>
      <c r="C3481" s="1" t="s">
        <v>977</v>
      </c>
      <c r="D3481" s="1"/>
      <c r="E3481" s="1" t="s">
        <v>43</v>
      </c>
      <c r="F3481" s="1" t="s">
        <v>979</v>
      </c>
      <c r="G3481" s="1">
        <v>4</v>
      </c>
      <c r="H3481" s="1"/>
      <c r="I3481" s="1" t="s">
        <v>589</v>
      </c>
      <c r="J3481" s="1">
        <v>5.92</v>
      </c>
      <c r="K3481" s="1">
        <v>23.68</v>
      </c>
      <c r="L3481" s="42">
        <v>6</v>
      </c>
      <c r="M3481" s="43"/>
      <c r="N3481" s="1" t="e">
        <f>VLOOKUP(B3481,MICRO!E:L,8,0)</f>
        <v>#N/A</v>
      </c>
    </row>
    <row r="3482" spans="1:14" ht="20.25" x14ac:dyDescent="0.25">
      <c r="A3482" s="1">
        <v>78</v>
      </c>
      <c r="B3482" s="159">
        <v>2501</v>
      </c>
      <c r="C3482" s="1" t="s">
        <v>977</v>
      </c>
      <c r="D3482" s="1"/>
      <c r="E3482" s="1" t="s">
        <v>746</v>
      </c>
      <c r="F3482" s="1" t="s">
        <v>980</v>
      </c>
      <c r="G3482" s="1">
        <v>4</v>
      </c>
      <c r="H3482" s="1" t="s">
        <v>19</v>
      </c>
      <c r="I3482" s="1" t="s">
        <v>589</v>
      </c>
      <c r="J3482" s="1">
        <v>9.52</v>
      </c>
      <c r="K3482" s="1">
        <v>38.08</v>
      </c>
      <c r="L3482" s="42">
        <v>6</v>
      </c>
      <c r="M3482" s="43"/>
      <c r="N3482" s="1" t="e">
        <f>VLOOKUP(B3482,MICRO!E:L,8,0)</f>
        <v>#N/A</v>
      </c>
    </row>
    <row r="3483" spans="1:14" ht="20.25" x14ac:dyDescent="0.25">
      <c r="A3483" s="1">
        <v>81</v>
      </c>
      <c r="B3483" s="159">
        <v>2585</v>
      </c>
      <c r="C3483" s="1" t="s">
        <v>1817</v>
      </c>
      <c r="D3483" s="1"/>
      <c r="E3483" s="1" t="s">
        <v>100</v>
      </c>
      <c r="F3483" s="1" t="s">
        <v>1020</v>
      </c>
      <c r="G3483" s="1">
        <v>1</v>
      </c>
      <c r="H3483" s="1"/>
      <c r="I3483" s="1" t="s">
        <v>634</v>
      </c>
      <c r="J3483" s="1">
        <v>12.61</v>
      </c>
      <c r="K3483" s="1">
        <v>12.61</v>
      </c>
      <c r="L3483" s="42">
        <v>6</v>
      </c>
      <c r="M3483" s="43"/>
      <c r="N3483" s="1" t="e">
        <f>VLOOKUP(B3483,MICRO!E:L,8,0)</f>
        <v>#N/A</v>
      </c>
    </row>
    <row r="3484" spans="1:14" ht="20.25" x14ac:dyDescent="0.25">
      <c r="A3484" s="1">
        <v>82</v>
      </c>
      <c r="B3484" s="159">
        <v>2616</v>
      </c>
      <c r="C3484" s="1" t="s">
        <v>1036</v>
      </c>
      <c r="D3484" s="1"/>
      <c r="E3484" s="1" t="s">
        <v>746</v>
      </c>
      <c r="F3484" s="1" t="s">
        <v>1039</v>
      </c>
      <c r="G3484" s="1">
        <v>2</v>
      </c>
      <c r="H3484" s="1"/>
      <c r="I3484" s="1" t="s">
        <v>585</v>
      </c>
      <c r="J3484" s="1">
        <v>5.19</v>
      </c>
      <c r="K3484" s="1">
        <v>10.38</v>
      </c>
      <c r="L3484" s="42">
        <v>6</v>
      </c>
      <c r="M3484" s="43"/>
      <c r="N3484" s="1" t="e">
        <f>VLOOKUP(B3484,MICRO!E:L,8,0)</f>
        <v>#N/A</v>
      </c>
    </row>
    <row r="3485" spans="1:14" ht="20.25" x14ac:dyDescent="0.25">
      <c r="A3485" s="1">
        <v>1</v>
      </c>
      <c r="B3485" s="159">
        <v>1948</v>
      </c>
      <c r="C3485" s="1" t="s">
        <v>586</v>
      </c>
      <c r="D3485" s="1"/>
      <c r="E3485" s="1" t="s">
        <v>2</v>
      </c>
      <c r="F3485" s="1" t="s">
        <v>1871</v>
      </c>
      <c r="G3485" s="1">
        <v>2</v>
      </c>
      <c r="H3485" s="1" t="s">
        <v>19</v>
      </c>
      <c r="I3485" s="1" t="s">
        <v>589</v>
      </c>
      <c r="J3485" s="1">
        <v>46.74</v>
      </c>
      <c r="K3485" s="1">
        <v>93.48</v>
      </c>
      <c r="L3485" s="42">
        <v>7</v>
      </c>
      <c r="M3485" s="43"/>
      <c r="N3485" s="1" t="e">
        <f>VLOOKUP(B3485,MICRO!E:L,8,0)</f>
        <v>#N/A</v>
      </c>
    </row>
    <row r="3486" spans="1:14" ht="20.25" x14ac:dyDescent="0.25">
      <c r="A3486" s="1">
        <v>2</v>
      </c>
      <c r="B3486" s="159">
        <v>2016</v>
      </c>
      <c r="C3486" s="1" t="s">
        <v>586</v>
      </c>
      <c r="D3486" s="1"/>
      <c r="E3486" s="1" t="s">
        <v>2</v>
      </c>
      <c r="F3486" s="1" t="s">
        <v>1871</v>
      </c>
      <c r="G3486" s="1">
        <v>2</v>
      </c>
      <c r="H3486" s="1" t="s">
        <v>19</v>
      </c>
      <c r="I3486" s="1" t="s">
        <v>634</v>
      </c>
      <c r="J3486" s="1">
        <v>46.74</v>
      </c>
      <c r="K3486" s="1">
        <v>93.48</v>
      </c>
      <c r="L3486" s="42">
        <v>7</v>
      </c>
      <c r="M3486" s="43"/>
      <c r="N3486" s="1" t="e">
        <f>VLOOKUP(B3486,MICRO!E:L,8,0)</f>
        <v>#N/A</v>
      </c>
    </row>
    <row r="3487" spans="1:14" ht="20.25" x14ac:dyDescent="0.25">
      <c r="A3487" s="1">
        <v>3</v>
      </c>
      <c r="B3487" s="159">
        <v>2434</v>
      </c>
      <c r="C3487" s="1" t="s">
        <v>916</v>
      </c>
      <c r="D3487" s="1"/>
      <c r="E3487" s="1" t="s">
        <v>2</v>
      </c>
      <c r="F3487" s="1" t="s">
        <v>917</v>
      </c>
      <c r="G3487" s="1">
        <v>1</v>
      </c>
      <c r="H3487" s="1" t="s">
        <v>19</v>
      </c>
      <c r="I3487" s="1" t="s">
        <v>629</v>
      </c>
      <c r="J3487" s="1">
        <v>47.26</v>
      </c>
      <c r="K3487" s="1">
        <v>47.26</v>
      </c>
      <c r="L3487" s="42">
        <v>7</v>
      </c>
      <c r="M3487" s="43"/>
      <c r="N3487" s="1" t="e">
        <f>VLOOKUP(B3487,MICRO!E:L,8,0)</f>
        <v>#N/A</v>
      </c>
    </row>
    <row r="3488" spans="1:14" ht="20.25" x14ac:dyDescent="0.25">
      <c r="A3488" s="1">
        <v>4</v>
      </c>
      <c r="B3488" s="159">
        <v>2435</v>
      </c>
      <c r="C3488" s="1" t="s">
        <v>916</v>
      </c>
      <c r="D3488" s="1"/>
      <c r="E3488" s="1" t="s">
        <v>43</v>
      </c>
      <c r="F3488" s="1" t="s">
        <v>918</v>
      </c>
      <c r="G3488" s="1">
        <v>1</v>
      </c>
      <c r="H3488" s="1" t="s">
        <v>19</v>
      </c>
      <c r="I3488" s="1" t="s">
        <v>629</v>
      </c>
      <c r="J3488" s="1">
        <v>50.1</v>
      </c>
      <c r="K3488" s="1">
        <v>50.1</v>
      </c>
      <c r="L3488" s="42">
        <v>7</v>
      </c>
      <c r="M3488" s="43"/>
      <c r="N3488" s="1" t="e">
        <f>VLOOKUP(B3488,MICRO!E:L,8,0)</f>
        <v>#N/A</v>
      </c>
    </row>
    <row r="3489" spans="1:14" ht="20.25" x14ac:dyDescent="0.25">
      <c r="A3489" s="1">
        <v>5</v>
      </c>
      <c r="B3489" s="159">
        <v>2447</v>
      </c>
      <c r="C3489" s="1" t="s">
        <v>929</v>
      </c>
      <c r="D3489" s="1"/>
      <c r="E3489" s="1" t="s">
        <v>2</v>
      </c>
      <c r="F3489" s="1" t="s">
        <v>931</v>
      </c>
      <c r="G3489" s="1">
        <v>1</v>
      </c>
      <c r="H3489" s="1" t="s">
        <v>19</v>
      </c>
      <c r="I3489" s="1" t="s">
        <v>629</v>
      </c>
      <c r="J3489" s="1">
        <v>109.26</v>
      </c>
      <c r="K3489" s="1">
        <v>109.26</v>
      </c>
      <c r="L3489" s="42">
        <v>7</v>
      </c>
      <c r="M3489" s="43"/>
      <c r="N3489" s="1" t="e">
        <f>VLOOKUP(B3489,MICRO!E:L,8,0)</f>
        <v>#N/A</v>
      </c>
    </row>
    <row r="3490" spans="1:14" ht="20.25" x14ac:dyDescent="0.25">
      <c r="A3490" s="1">
        <v>6</v>
      </c>
      <c r="B3490" s="159">
        <v>2447</v>
      </c>
      <c r="C3490" s="1" t="s">
        <v>929</v>
      </c>
      <c r="D3490" s="1"/>
      <c r="E3490" s="1" t="s">
        <v>1872</v>
      </c>
      <c r="F3490" s="1" t="s">
        <v>1873</v>
      </c>
      <c r="G3490" s="1">
        <v>1</v>
      </c>
      <c r="H3490" s="1" t="s">
        <v>19</v>
      </c>
      <c r="I3490" s="1" t="s">
        <v>629</v>
      </c>
      <c r="J3490" s="1">
        <v>11.6</v>
      </c>
      <c r="K3490" s="1">
        <v>11.6</v>
      </c>
      <c r="L3490" s="42">
        <v>7</v>
      </c>
      <c r="M3490" s="43"/>
      <c r="N3490" s="1" t="e">
        <f>VLOOKUP(B3490,MICRO!E:L,8,0)</f>
        <v>#N/A</v>
      </c>
    </row>
    <row r="3491" spans="1:14" ht="20.25" x14ac:dyDescent="0.25">
      <c r="A3491" s="1">
        <v>7</v>
      </c>
      <c r="B3491" s="159">
        <v>2467</v>
      </c>
      <c r="C3491" s="1" t="s">
        <v>167</v>
      </c>
      <c r="D3491" s="1"/>
      <c r="E3491" s="1" t="s">
        <v>2</v>
      </c>
      <c r="F3491" s="1" t="s">
        <v>946</v>
      </c>
      <c r="G3491" s="1">
        <v>2</v>
      </c>
      <c r="H3491" s="1"/>
      <c r="I3491" s="1" t="s">
        <v>629</v>
      </c>
      <c r="J3491" s="1">
        <v>25.96</v>
      </c>
      <c r="K3491" s="1">
        <v>51.92</v>
      </c>
      <c r="L3491" s="42">
        <v>7</v>
      </c>
      <c r="M3491" s="43"/>
      <c r="N3491" s="1" t="e">
        <f>VLOOKUP(B3491,MICRO!E:L,8,0)</f>
        <v>#N/A</v>
      </c>
    </row>
    <row r="3492" spans="1:14" ht="20.25" x14ac:dyDescent="0.25">
      <c r="A3492" s="1">
        <v>8</v>
      </c>
      <c r="B3492" s="159">
        <v>2468</v>
      </c>
      <c r="C3492" s="1" t="s">
        <v>167</v>
      </c>
      <c r="D3492" s="1"/>
      <c r="E3492" s="1" t="s">
        <v>43</v>
      </c>
      <c r="F3492" s="1" t="s">
        <v>947</v>
      </c>
      <c r="G3492" s="1">
        <v>3</v>
      </c>
      <c r="H3492" s="1"/>
      <c r="I3492" s="1" t="s">
        <v>629</v>
      </c>
      <c r="J3492" s="1">
        <v>37.76</v>
      </c>
      <c r="K3492" s="1">
        <v>113.28</v>
      </c>
      <c r="L3492" s="42">
        <v>7</v>
      </c>
      <c r="M3492" s="43"/>
      <c r="N3492" s="1" t="e">
        <f>VLOOKUP(B3492,MICRO!E:L,8,0)</f>
        <v>#N/A</v>
      </c>
    </row>
    <row r="3493" spans="1:14" ht="20.25" x14ac:dyDescent="0.25">
      <c r="A3493" s="1">
        <v>9</v>
      </c>
      <c r="B3493" s="159">
        <v>2563</v>
      </c>
      <c r="C3493" s="1" t="s">
        <v>185</v>
      </c>
      <c r="D3493" s="1"/>
      <c r="E3493" s="1" t="s">
        <v>1872</v>
      </c>
      <c r="F3493" s="1" t="s">
        <v>1010</v>
      </c>
      <c r="G3493" s="1">
        <v>17</v>
      </c>
      <c r="H3493" s="1" t="s">
        <v>19</v>
      </c>
      <c r="I3493" s="1" t="s">
        <v>629</v>
      </c>
      <c r="J3493" s="1">
        <v>21.96</v>
      </c>
      <c r="K3493" s="1">
        <v>373.32</v>
      </c>
      <c r="L3493" s="42">
        <v>7</v>
      </c>
      <c r="M3493" s="43"/>
      <c r="N3493" s="1" t="e">
        <f>VLOOKUP(B3493,MICRO!E:L,8,0)</f>
        <v>#N/A</v>
      </c>
    </row>
    <row r="3494" spans="1:14" ht="20.25" x14ac:dyDescent="0.25">
      <c r="A3494" s="1">
        <v>10</v>
      </c>
      <c r="B3494" s="159">
        <v>2563</v>
      </c>
      <c r="C3494" s="1" t="s">
        <v>185</v>
      </c>
      <c r="D3494" s="1"/>
      <c r="E3494" s="1" t="s">
        <v>1874</v>
      </c>
      <c r="F3494" s="1" t="s">
        <v>1010</v>
      </c>
      <c r="G3494" s="1">
        <v>1</v>
      </c>
      <c r="H3494" s="1" t="s">
        <v>19</v>
      </c>
      <c r="I3494" s="1" t="s">
        <v>629</v>
      </c>
      <c r="J3494" s="1">
        <v>21.96</v>
      </c>
      <c r="K3494" s="1">
        <v>21.96</v>
      </c>
      <c r="L3494" s="42">
        <v>7</v>
      </c>
      <c r="M3494" s="43"/>
      <c r="N3494" s="1" t="e">
        <f>VLOOKUP(B3494,MICRO!E:L,8,0)</f>
        <v>#N/A</v>
      </c>
    </row>
    <row r="3495" spans="1:14" ht="20.25" x14ac:dyDescent="0.25">
      <c r="A3495" s="1">
        <v>1</v>
      </c>
      <c r="B3495" s="159">
        <v>1943</v>
      </c>
      <c r="C3495" s="1" t="s">
        <v>142</v>
      </c>
      <c r="D3495" s="1"/>
      <c r="E3495" s="1" t="s">
        <v>1101</v>
      </c>
      <c r="F3495" s="1" t="s">
        <v>1965</v>
      </c>
      <c r="G3495" s="1">
        <v>1</v>
      </c>
      <c r="H3495" s="1" t="s">
        <v>19</v>
      </c>
      <c r="I3495" s="1" t="s">
        <v>585</v>
      </c>
      <c r="J3495" s="1">
        <v>15</v>
      </c>
      <c r="K3495" s="1">
        <v>15</v>
      </c>
      <c r="L3495" s="42">
        <v>8</v>
      </c>
      <c r="M3495" s="43"/>
      <c r="N3495" s="1" t="e">
        <f>VLOOKUP(B3495,MICRO!E:L,8,0)</f>
        <v>#N/A</v>
      </c>
    </row>
    <row r="3496" spans="1:14" ht="20.25" x14ac:dyDescent="0.25">
      <c r="A3496" s="1">
        <v>2</v>
      </c>
      <c r="B3496" s="159">
        <v>1955</v>
      </c>
      <c r="C3496" s="1" t="s">
        <v>142</v>
      </c>
      <c r="D3496" s="1"/>
      <c r="E3496" s="1" t="s">
        <v>1101</v>
      </c>
      <c r="F3496" s="1" t="s">
        <v>1965</v>
      </c>
      <c r="G3496" s="1">
        <v>1</v>
      </c>
      <c r="H3496" s="1" t="s">
        <v>19</v>
      </c>
      <c r="I3496" s="1" t="s">
        <v>589</v>
      </c>
      <c r="J3496" s="1">
        <v>15</v>
      </c>
      <c r="K3496" s="1">
        <v>15</v>
      </c>
      <c r="L3496" s="42">
        <v>8</v>
      </c>
      <c r="M3496" s="43"/>
      <c r="N3496" s="1" t="e">
        <f>VLOOKUP(B3496,MICRO!E:L,8,0)</f>
        <v>#N/A</v>
      </c>
    </row>
    <row r="3497" spans="1:14" ht="20.25" x14ac:dyDescent="0.25">
      <c r="A3497" s="1">
        <v>3</v>
      </c>
      <c r="B3497" s="159">
        <v>1998</v>
      </c>
      <c r="C3497" s="1" t="s">
        <v>630</v>
      </c>
      <c r="D3497" s="1"/>
      <c r="E3497" s="1" t="s">
        <v>173</v>
      </c>
      <c r="F3497" s="1" t="s">
        <v>631</v>
      </c>
      <c r="G3497" s="1">
        <v>2</v>
      </c>
      <c r="H3497" s="1" t="s">
        <v>19</v>
      </c>
      <c r="I3497" s="1" t="s">
        <v>629</v>
      </c>
      <c r="J3497" s="1">
        <v>9.5</v>
      </c>
      <c r="K3497" s="1">
        <v>19</v>
      </c>
      <c r="L3497" s="42">
        <v>8</v>
      </c>
      <c r="M3497" s="43"/>
      <c r="N3497" s="1" t="e">
        <f>VLOOKUP(B3497,MICRO!E:L,8,0)</f>
        <v>#N/A</v>
      </c>
    </row>
    <row r="3498" spans="1:14" ht="20.25" x14ac:dyDescent="0.25">
      <c r="A3498" s="1">
        <v>4</v>
      </c>
      <c r="B3498" s="159">
        <v>1999</v>
      </c>
      <c r="C3498" s="1" t="s">
        <v>142</v>
      </c>
      <c r="D3498" s="1"/>
      <c r="E3498" s="1" t="s">
        <v>43</v>
      </c>
      <c r="F3498" s="1" t="s">
        <v>632</v>
      </c>
      <c r="G3498" s="1">
        <v>1</v>
      </c>
      <c r="H3498" s="1" t="s">
        <v>19</v>
      </c>
      <c r="I3498" s="1" t="s">
        <v>629</v>
      </c>
      <c r="J3498" s="1">
        <v>15</v>
      </c>
      <c r="K3498" s="1">
        <v>15</v>
      </c>
      <c r="L3498" s="42">
        <v>8</v>
      </c>
      <c r="M3498" s="43"/>
      <c r="N3498" s="1" t="e">
        <f>VLOOKUP(B3498,MICRO!E:L,8,0)</f>
        <v>#N/A</v>
      </c>
    </row>
    <row r="3499" spans="1:14" ht="20.25" x14ac:dyDescent="0.25">
      <c r="A3499" s="1">
        <v>5</v>
      </c>
      <c r="B3499" s="159">
        <v>2011</v>
      </c>
      <c r="C3499" s="1" t="s">
        <v>142</v>
      </c>
      <c r="D3499" s="1"/>
      <c r="E3499" s="1" t="s">
        <v>2</v>
      </c>
      <c r="F3499" s="1" t="s">
        <v>635</v>
      </c>
      <c r="G3499" s="1">
        <v>1</v>
      </c>
      <c r="H3499" s="1" t="s">
        <v>19</v>
      </c>
      <c r="I3499" s="1" t="s">
        <v>634</v>
      </c>
      <c r="J3499" s="1">
        <v>15</v>
      </c>
      <c r="K3499" s="1">
        <v>15</v>
      </c>
      <c r="L3499" s="42">
        <v>8</v>
      </c>
      <c r="M3499" s="43"/>
      <c r="N3499" s="1" t="e">
        <f>VLOOKUP(B3499,MICRO!E:L,8,0)</f>
        <v>#N/A</v>
      </c>
    </row>
    <row r="3500" spans="1:14" ht="20.25" x14ac:dyDescent="0.25">
      <c r="A3500" s="1">
        <v>6</v>
      </c>
      <c r="B3500" s="159"/>
      <c r="C3500" s="1" t="s">
        <v>706</v>
      </c>
      <c r="D3500" s="1"/>
      <c r="E3500" s="1" t="s">
        <v>1966</v>
      </c>
      <c r="F3500" s="1" t="s">
        <v>1967</v>
      </c>
      <c r="G3500" s="1">
        <v>10</v>
      </c>
      <c r="H3500" s="1" t="s">
        <v>19</v>
      </c>
      <c r="I3500" s="1" t="s">
        <v>629</v>
      </c>
      <c r="J3500" s="1">
        <v>0.3</v>
      </c>
      <c r="K3500" s="1">
        <v>3</v>
      </c>
      <c r="L3500" s="42">
        <v>8</v>
      </c>
      <c r="M3500" s="43"/>
      <c r="N3500" s="1" t="e">
        <f>VLOOKUP(B3500,MICRO!E:L,8,0)</f>
        <v>#N/A</v>
      </c>
    </row>
    <row r="3501" spans="1:14" ht="20.25" x14ac:dyDescent="0.25">
      <c r="A3501" s="1">
        <v>7</v>
      </c>
      <c r="B3501" s="159"/>
      <c r="C3501" s="1" t="s">
        <v>712</v>
      </c>
      <c r="D3501" s="1"/>
      <c r="E3501" s="1" t="s">
        <v>1968</v>
      </c>
      <c r="F3501" s="1" t="s">
        <v>1969</v>
      </c>
      <c r="G3501" s="1">
        <v>6</v>
      </c>
      <c r="H3501" s="1" t="s">
        <v>19</v>
      </c>
      <c r="I3501" s="1" t="s">
        <v>629</v>
      </c>
      <c r="J3501" s="1">
        <v>0.3</v>
      </c>
      <c r="K3501" s="1">
        <v>1.7999999999999998</v>
      </c>
      <c r="L3501" s="42">
        <v>8</v>
      </c>
      <c r="M3501" s="43"/>
      <c r="N3501" s="1" t="e">
        <f>VLOOKUP(B3501,MICRO!E:L,8,0)</f>
        <v>#N/A</v>
      </c>
    </row>
    <row r="3502" spans="1:14" ht="20.25" x14ac:dyDescent="0.25">
      <c r="A3502" s="1">
        <v>8</v>
      </c>
      <c r="B3502" s="159"/>
      <c r="C3502" s="1" t="s">
        <v>147</v>
      </c>
      <c r="D3502" s="1"/>
      <c r="E3502" s="1"/>
      <c r="F3502" s="1" t="s">
        <v>1970</v>
      </c>
      <c r="G3502" s="1">
        <v>16</v>
      </c>
      <c r="H3502" s="1" t="s">
        <v>19</v>
      </c>
      <c r="I3502" s="1" t="s">
        <v>629</v>
      </c>
      <c r="J3502" s="1">
        <v>0.3</v>
      </c>
      <c r="K3502" s="1">
        <v>4.8</v>
      </c>
      <c r="L3502" s="42">
        <v>8</v>
      </c>
      <c r="M3502" s="43"/>
      <c r="N3502" s="1" t="e">
        <f>VLOOKUP(B3502,MICRO!E:L,8,0)</f>
        <v>#N/A</v>
      </c>
    </row>
    <row r="3503" spans="1:14" ht="20.25" x14ac:dyDescent="0.25">
      <c r="A3503" s="1">
        <v>9</v>
      </c>
      <c r="B3503" s="159"/>
      <c r="C3503" s="1" t="s">
        <v>936</v>
      </c>
      <c r="D3503" s="1"/>
      <c r="E3503" s="1" t="s">
        <v>1971</v>
      </c>
      <c r="F3503" s="1" t="s">
        <v>1972</v>
      </c>
      <c r="G3503" s="1">
        <v>8</v>
      </c>
      <c r="H3503" s="1" t="s">
        <v>19</v>
      </c>
      <c r="I3503" s="1" t="s">
        <v>629</v>
      </c>
      <c r="J3503" s="1">
        <v>0.3</v>
      </c>
      <c r="K3503" s="1">
        <v>2.4</v>
      </c>
      <c r="L3503" s="42">
        <v>8</v>
      </c>
      <c r="M3503" s="43"/>
      <c r="N3503" s="1" t="e">
        <f>VLOOKUP(B3503,MICRO!E:L,8,0)</f>
        <v>#N/A</v>
      </c>
    </row>
    <row r="3504" spans="1:14" ht="20.25" x14ac:dyDescent="0.25">
      <c r="A3504" s="1">
        <v>10</v>
      </c>
      <c r="B3504" s="159">
        <v>2169</v>
      </c>
      <c r="C3504" s="1" t="s">
        <v>731</v>
      </c>
      <c r="D3504" s="1"/>
      <c r="E3504" s="1" t="s">
        <v>2</v>
      </c>
      <c r="F3504" s="1" t="s">
        <v>732</v>
      </c>
      <c r="G3504" s="1">
        <v>1</v>
      </c>
      <c r="H3504" s="1" t="s">
        <v>19</v>
      </c>
      <c r="I3504" s="1" t="s">
        <v>589</v>
      </c>
      <c r="J3504" s="1">
        <v>39.32</v>
      </c>
      <c r="K3504" s="1">
        <v>32.119999999999997</v>
      </c>
      <c r="L3504" s="42">
        <v>8</v>
      </c>
      <c r="M3504" s="43"/>
      <c r="N3504" s="1" t="e">
        <f>VLOOKUP(B3504,MICRO!E:L,8,0)</f>
        <v>#N/A</v>
      </c>
    </row>
    <row r="3505" spans="1:14" ht="20.25" x14ac:dyDescent="0.25">
      <c r="A3505" s="1">
        <v>11</v>
      </c>
      <c r="B3505" s="159">
        <v>2450</v>
      </c>
      <c r="C3505" s="1" t="s">
        <v>933</v>
      </c>
      <c r="D3505" s="1"/>
      <c r="E3505" s="1" t="s">
        <v>2</v>
      </c>
      <c r="F3505" s="1" t="s">
        <v>934</v>
      </c>
      <c r="G3505" s="1">
        <v>1</v>
      </c>
      <c r="H3505" s="1" t="s">
        <v>19</v>
      </c>
      <c r="I3505" s="1" t="s">
        <v>629</v>
      </c>
      <c r="J3505" s="1">
        <v>2.94</v>
      </c>
      <c r="K3505" s="1">
        <v>2.94</v>
      </c>
      <c r="L3505" s="42">
        <v>8</v>
      </c>
      <c r="M3505" s="43"/>
      <c r="N3505" s="1" t="e">
        <f>VLOOKUP(B3505,MICRO!E:L,8,0)</f>
        <v>#N/A</v>
      </c>
    </row>
    <row r="3506" spans="1:14" ht="20.25" x14ac:dyDescent="0.25">
      <c r="A3506" s="1">
        <v>12</v>
      </c>
      <c r="B3506" s="159">
        <v>2451</v>
      </c>
      <c r="C3506" s="1" t="s">
        <v>933</v>
      </c>
      <c r="D3506" s="1"/>
      <c r="E3506" s="1" t="s">
        <v>43</v>
      </c>
      <c r="F3506" s="1" t="s">
        <v>935</v>
      </c>
      <c r="G3506" s="1">
        <v>1</v>
      </c>
      <c r="H3506" s="1" t="s">
        <v>19</v>
      </c>
      <c r="I3506" s="1" t="s">
        <v>629</v>
      </c>
      <c r="J3506" s="1">
        <v>8.1999999999999993</v>
      </c>
      <c r="K3506" s="1">
        <v>8.1999999999999993</v>
      </c>
      <c r="L3506" s="42">
        <v>8</v>
      </c>
      <c r="M3506" s="43"/>
      <c r="N3506" s="1" t="e">
        <f>VLOOKUP(B3506,MICRO!E:L,8,0)</f>
        <v>#N/A</v>
      </c>
    </row>
    <row r="3507" spans="1:14" ht="20.25" x14ac:dyDescent="0.25">
      <c r="A3507" s="1">
        <v>13</v>
      </c>
      <c r="B3507" s="159">
        <v>2487</v>
      </c>
      <c r="C3507" s="1" t="s">
        <v>962</v>
      </c>
      <c r="D3507" s="1"/>
      <c r="E3507" s="1" t="s">
        <v>464</v>
      </c>
      <c r="F3507" s="1" t="s">
        <v>970</v>
      </c>
      <c r="G3507" s="1">
        <v>4</v>
      </c>
      <c r="H3507" s="1" t="s">
        <v>19</v>
      </c>
      <c r="I3507" s="1" t="s">
        <v>589</v>
      </c>
      <c r="J3507" s="1">
        <v>5.81</v>
      </c>
      <c r="K3507" s="1">
        <v>23.24</v>
      </c>
      <c r="L3507" s="42">
        <v>8</v>
      </c>
      <c r="M3507" s="43"/>
      <c r="N3507" s="1" t="e">
        <f>VLOOKUP(B3507,MICRO!E:L,8,0)</f>
        <v>#N/A</v>
      </c>
    </row>
    <row r="3508" spans="1:14" ht="20.25" x14ac:dyDescent="0.25">
      <c r="A3508" s="1">
        <v>14</v>
      </c>
      <c r="B3508" s="159">
        <v>2487</v>
      </c>
      <c r="C3508" s="1" t="s">
        <v>962</v>
      </c>
      <c r="D3508" s="1"/>
      <c r="E3508" s="1" t="s">
        <v>464</v>
      </c>
      <c r="F3508" s="1" t="s">
        <v>970</v>
      </c>
      <c r="G3508" s="1">
        <v>6</v>
      </c>
      <c r="H3508" s="1" t="s">
        <v>19</v>
      </c>
      <c r="I3508" s="1" t="s">
        <v>585</v>
      </c>
      <c r="J3508" s="1">
        <v>5.81</v>
      </c>
      <c r="K3508" s="1">
        <v>34.86</v>
      </c>
      <c r="L3508" s="42">
        <v>8</v>
      </c>
      <c r="M3508" s="43"/>
      <c r="N3508" s="1" t="e">
        <f>VLOOKUP(B3508,MICRO!E:L,8,0)</f>
        <v>#N/A</v>
      </c>
    </row>
    <row r="3509" spans="1:14" ht="20.25" x14ac:dyDescent="0.25">
      <c r="A3509" s="1">
        <v>15</v>
      </c>
      <c r="B3509" s="159">
        <v>2488</v>
      </c>
      <c r="C3509" s="1" t="s">
        <v>962</v>
      </c>
      <c r="D3509" s="1"/>
      <c r="E3509" s="1" t="s">
        <v>1102</v>
      </c>
      <c r="F3509" s="1" t="s">
        <v>971</v>
      </c>
      <c r="G3509" s="1">
        <v>2</v>
      </c>
      <c r="H3509" s="1" t="s">
        <v>19</v>
      </c>
      <c r="I3509" s="1" t="s">
        <v>589</v>
      </c>
      <c r="J3509" s="1">
        <v>3.83</v>
      </c>
      <c r="K3509" s="1">
        <v>7.66</v>
      </c>
      <c r="L3509" s="42">
        <v>8</v>
      </c>
      <c r="M3509" s="43"/>
      <c r="N3509" s="1" t="e">
        <f>VLOOKUP(B3509,MICRO!E:L,8,0)</f>
        <v>#N/A</v>
      </c>
    </row>
    <row r="3510" spans="1:14" ht="20.25" x14ac:dyDescent="0.25">
      <c r="A3510" s="1">
        <v>16</v>
      </c>
      <c r="B3510" s="159">
        <v>2488</v>
      </c>
      <c r="C3510" s="1" t="s">
        <v>962</v>
      </c>
      <c r="D3510" s="1"/>
      <c r="E3510" s="1" t="s">
        <v>1102</v>
      </c>
      <c r="F3510" s="1" t="s">
        <v>971</v>
      </c>
      <c r="G3510" s="1">
        <v>2</v>
      </c>
      <c r="H3510" s="1" t="s">
        <v>19</v>
      </c>
      <c r="I3510" s="1" t="s">
        <v>585</v>
      </c>
      <c r="J3510" s="1">
        <v>3.83</v>
      </c>
      <c r="K3510" s="1">
        <v>7.66</v>
      </c>
      <c r="L3510" s="42">
        <v>8</v>
      </c>
      <c r="M3510" s="43"/>
      <c r="N3510" s="1" t="e">
        <f>VLOOKUP(B3510,MICRO!E:L,8,0)</f>
        <v>#N/A</v>
      </c>
    </row>
    <row r="3511" spans="1:14" ht="20.25" x14ac:dyDescent="0.25">
      <c r="A3511" s="1">
        <v>17</v>
      </c>
      <c r="B3511" s="159">
        <v>2489</v>
      </c>
      <c r="C3511" s="1" t="s">
        <v>962</v>
      </c>
      <c r="D3511" s="1"/>
      <c r="E3511" s="1" t="s">
        <v>1103</v>
      </c>
      <c r="F3511" s="1" t="s">
        <v>972</v>
      </c>
      <c r="G3511" s="1">
        <v>1</v>
      </c>
      <c r="H3511" s="1" t="s">
        <v>19</v>
      </c>
      <c r="I3511" s="1" t="s">
        <v>589</v>
      </c>
      <c r="J3511" s="1">
        <v>2.25</v>
      </c>
      <c r="K3511" s="1">
        <v>2.25</v>
      </c>
      <c r="L3511" s="42">
        <v>8</v>
      </c>
      <c r="M3511" s="43"/>
      <c r="N3511" s="1" t="e">
        <f>VLOOKUP(B3511,MICRO!E:L,8,0)</f>
        <v>#N/A</v>
      </c>
    </row>
    <row r="3512" spans="1:14" ht="20.25" x14ac:dyDescent="0.25">
      <c r="A3512" s="1">
        <v>18</v>
      </c>
      <c r="B3512" s="159">
        <v>2489</v>
      </c>
      <c r="C3512" s="1" t="s">
        <v>962</v>
      </c>
      <c r="D3512" s="1"/>
      <c r="E3512" s="1" t="s">
        <v>1103</v>
      </c>
      <c r="F3512" s="1" t="s">
        <v>972</v>
      </c>
      <c r="G3512" s="1">
        <v>1</v>
      </c>
      <c r="H3512" s="1" t="s">
        <v>19</v>
      </c>
      <c r="I3512" s="1" t="s">
        <v>585</v>
      </c>
      <c r="J3512" s="1">
        <v>2.25</v>
      </c>
      <c r="K3512" s="1">
        <v>2.25</v>
      </c>
      <c r="L3512" s="42">
        <v>8</v>
      </c>
      <c r="M3512" s="43"/>
      <c r="N3512" s="1" t="e">
        <f>VLOOKUP(B3512,MICRO!E:L,8,0)</f>
        <v>#N/A</v>
      </c>
    </row>
    <row r="3513" spans="1:14" ht="20.25" x14ac:dyDescent="0.25">
      <c r="A3513" s="1">
        <v>19</v>
      </c>
      <c r="B3513" s="159">
        <v>2499</v>
      </c>
      <c r="C3513" s="1" t="s">
        <v>977</v>
      </c>
      <c r="D3513" s="1"/>
      <c r="E3513" s="1" t="s">
        <v>2</v>
      </c>
      <c r="F3513" s="1" t="s">
        <v>978</v>
      </c>
      <c r="G3513" s="1">
        <v>1</v>
      </c>
      <c r="H3513" s="1"/>
      <c r="I3513" s="1" t="s">
        <v>589</v>
      </c>
      <c r="J3513" s="1">
        <v>74.28</v>
      </c>
      <c r="K3513" s="1">
        <v>74.28</v>
      </c>
      <c r="L3513" s="42">
        <v>8</v>
      </c>
      <c r="M3513" s="43"/>
      <c r="N3513" s="1" t="e">
        <f>VLOOKUP(B3513,MICRO!E:L,8,0)</f>
        <v>#N/A</v>
      </c>
    </row>
    <row r="3514" spans="1:14" ht="20.25" x14ac:dyDescent="0.25">
      <c r="A3514" s="1">
        <v>20</v>
      </c>
      <c r="B3514" s="159">
        <v>2502</v>
      </c>
      <c r="C3514" s="1" t="s">
        <v>977</v>
      </c>
      <c r="D3514" s="1"/>
      <c r="E3514" s="1" t="s">
        <v>1101</v>
      </c>
      <c r="F3514" s="1" t="s">
        <v>981</v>
      </c>
      <c r="G3514" s="1">
        <v>2</v>
      </c>
      <c r="H3514" s="1"/>
      <c r="I3514" s="1" t="s">
        <v>589</v>
      </c>
      <c r="J3514" s="1">
        <v>0.49</v>
      </c>
      <c r="K3514" s="1">
        <v>0.98</v>
      </c>
      <c r="L3514" s="42">
        <v>8</v>
      </c>
      <c r="M3514" s="43"/>
      <c r="N3514" s="1" t="e">
        <f>VLOOKUP(B3514,MICRO!E:L,8,0)</f>
        <v>#N/A</v>
      </c>
    </row>
    <row r="3515" spans="1:14" ht="20.25" x14ac:dyDescent="0.25">
      <c r="A3515" s="1">
        <v>21</v>
      </c>
      <c r="B3515" s="159">
        <v>2566</v>
      </c>
      <c r="C3515" s="1" t="s">
        <v>959</v>
      </c>
      <c r="D3515" s="1"/>
      <c r="E3515" s="1" t="s">
        <v>2</v>
      </c>
      <c r="F3515" s="1" t="s">
        <v>1013</v>
      </c>
      <c r="G3515" s="1">
        <v>1</v>
      </c>
      <c r="H3515" s="1"/>
      <c r="I3515" s="1" t="s">
        <v>629</v>
      </c>
      <c r="J3515" s="1">
        <v>21.96</v>
      </c>
      <c r="K3515" s="1">
        <v>21.96</v>
      </c>
      <c r="L3515" s="42">
        <v>8</v>
      </c>
      <c r="M3515" s="43"/>
      <c r="N3515" s="1" t="e">
        <f>VLOOKUP(B3515,MICRO!E:L,8,0)</f>
        <v>#N/A</v>
      </c>
    </row>
    <row r="3516" spans="1:14" ht="20.25" x14ac:dyDescent="0.25">
      <c r="A3516" s="1">
        <v>22</v>
      </c>
      <c r="B3516" s="159"/>
      <c r="C3516" s="1" t="s">
        <v>959</v>
      </c>
      <c r="D3516" s="1"/>
      <c r="E3516" s="1" t="s">
        <v>1973</v>
      </c>
      <c r="F3516" s="1" t="s">
        <v>1974</v>
      </c>
      <c r="G3516" s="1">
        <v>2</v>
      </c>
      <c r="H3516" s="1"/>
      <c r="I3516" s="1" t="s">
        <v>629</v>
      </c>
      <c r="J3516" s="1">
        <v>0.47</v>
      </c>
      <c r="K3516" s="1">
        <v>0.94</v>
      </c>
      <c r="L3516" s="42">
        <v>8</v>
      </c>
      <c r="M3516" s="43"/>
      <c r="N3516" s="1" t="e">
        <f>VLOOKUP(B3516,MICRO!E:L,8,0)</f>
        <v>#N/A</v>
      </c>
    </row>
    <row r="3517" spans="1:14" ht="20.25" x14ac:dyDescent="0.25">
      <c r="A3517" s="1">
        <v>23</v>
      </c>
      <c r="B3517" s="159"/>
      <c r="C3517" s="1" t="s">
        <v>1975</v>
      </c>
      <c r="D3517" s="1" t="s">
        <v>1976</v>
      </c>
      <c r="E3517" s="1"/>
      <c r="F3517" s="1" t="s">
        <v>1977</v>
      </c>
      <c r="G3517" s="1">
        <v>1</v>
      </c>
      <c r="H3517" s="1" t="s">
        <v>19</v>
      </c>
      <c r="I3517" s="1" t="s">
        <v>589</v>
      </c>
      <c r="J3517" s="1">
        <v>1</v>
      </c>
      <c r="K3517" s="1">
        <v>1</v>
      </c>
      <c r="L3517" s="42">
        <v>8</v>
      </c>
      <c r="M3517" s="43"/>
      <c r="N3517" s="1" t="e">
        <f>VLOOKUP(B3517,MICRO!E:L,8,0)</f>
        <v>#N/A</v>
      </c>
    </row>
    <row r="3518" spans="1:14" ht="20.25" x14ac:dyDescent="0.25">
      <c r="A3518" s="1">
        <v>24</v>
      </c>
      <c r="B3518" s="159"/>
      <c r="C3518" s="1" t="s">
        <v>1975</v>
      </c>
      <c r="D3518" s="1" t="s">
        <v>1976</v>
      </c>
      <c r="E3518" s="1"/>
      <c r="F3518" s="1" t="s">
        <v>1978</v>
      </c>
      <c r="G3518" s="1">
        <v>1</v>
      </c>
      <c r="H3518" s="1" t="s">
        <v>19</v>
      </c>
      <c r="I3518" s="1" t="s">
        <v>589</v>
      </c>
      <c r="J3518" s="1">
        <v>0.1</v>
      </c>
      <c r="K3518" s="1">
        <v>0.1</v>
      </c>
      <c r="L3518" s="42">
        <v>8</v>
      </c>
      <c r="M3518" s="43"/>
      <c r="N3518" s="1" t="e">
        <f>VLOOKUP(B3518,MICRO!E:L,8,0)</f>
        <v>#N/A</v>
      </c>
    </row>
    <row r="3519" spans="1:14" ht="20.25" x14ac:dyDescent="0.25">
      <c r="A3519" s="1">
        <v>25</v>
      </c>
      <c r="B3519" s="159"/>
      <c r="C3519" s="1" t="s">
        <v>1975</v>
      </c>
      <c r="D3519" s="1" t="s">
        <v>1976</v>
      </c>
      <c r="E3519" s="1"/>
      <c r="F3519" s="1" t="s">
        <v>1979</v>
      </c>
      <c r="G3519" s="1">
        <v>1</v>
      </c>
      <c r="H3519" s="1" t="s">
        <v>19</v>
      </c>
      <c r="I3519" s="1" t="s">
        <v>589</v>
      </c>
      <c r="J3519" s="1">
        <v>0.2</v>
      </c>
      <c r="K3519" s="1">
        <v>0.2</v>
      </c>
      <c r="L3519" s="42">
        <v>8</v>
      </c>
      <c r="M3519" s="43"/>
      <c r="N3519" s="1" t="e">
        <f>VLOOKUP(B3519,MICRO!E:L,8,0)</f>
        <v>#N/A</v>
      </c>
    </row>
    <row r="3520" spans="1:14" ht="20.25" x14ac:dyDescent="0.25">
      <c r="A3520" s="1">
        <v>26</v>
      </c>
      <c r="B3520" s="159"/>
      <c r="C3520" s="1" t="s">
        <v>1975</v>
      </c>
      <c r="D3520" s="1" t="s">
        <v>1976</v>
      </c>
      <c r="E3520" s="1"/>
      <c r="F3520" s="1" t="s">
        <v>1979</v>
      </c>
      <c r="G3520" s="1">
        <v>1</v>
      </c>
      <c r="H3520" s="1" t="s">
        <v>19</v>
      </c>
      <c r="I3520" s="1" t="s">
        <v>585</v>
      </c>
      <c r="J3520" s="1">
        <v>0.4</v>
      </c>
      <c r="K3520" s="1">
        <v>0.4</v>
      </c>
      <c r="L3520" s="42">
        <v>8</v>
      </c>
      <c r="M3520" s="43"/>
      <c r="N3520" s="1" t="e">
        <f>VLOOKUP(B3520,MICRO!E:L,8,0)</f>
        <v>#N/A</v>
      </c>
    </row>
    <row r="3521" spans="1:14" ht="20.25" x14ac:dyDescent="0.25">
      <c r="A3521" s="1">
        <v>27</v>
      </c>
      <c r="B3521" s="159"/>
      <c r="C3521" s="1" t="s">
        <v>1975</v>
      </c>
      <c r="D3521" s="1" t="s">
        <v>1976</v>
      </c>
      <c r="E3521" s="1"/>
      <c r="F3521" s="1" t="s">
        <v>1980</v>
      </c>
      <c r="G3521" s="1">
        <v>1</v>
      </c>
      <c r="H3521" s="1" t="s">
        <v>19</v>
      </c>
      <c r="I3521" s="1" t="s">
        <v>585</v>
      </c>
      <c r="J3521" s="1">
        <v>1</v>
      </c>
      <c r="K3521" s="1">
        <v>1</v>
      </c>
      <c r="L3521" s="42">
        <v>8</v>
      </c>
      <c r="M3521" s="43"/>
      <c r="N3521" s="1" t="e">
        <f>VLOOKUP(B3521,MICRO!E:L,8,0)</f>
        <v>#N/A</v>
      </c>
    </row>
    <row r="3522" spans="1:14" ht="20.25" x14ac:dyDescent="0.25">
      <c r="A3522" s="1">
        <v>28</v>
      </c>
      <c r="B3522" s="159"/>
      <c r="C3522" s="1" t="s">
        <v>1981</v>
      </c>
      <c r="D3522" s="1" t="s">
        <v>1976</v>
      </c>
      <c r="E3522" s="1"/>
      <c r="F3522" s="1" t="s">
        <v>1982</v>
      </c>
      <c r="G3522" s="1">
        <v>1</v>
      </c>
      <c r="H3522" s="1" t="s">
        <v>19</v>
      </c>
      <c r="I3522" s="1" t="s">
        <v>634</v>
      </c>
      <c r="J3522" s="1">
        <v>1</v>
      </c>
      <c r="K3522" s="1">
        <v>1</v>
      </c>
      <c r="L3522" s="42">
        <v>8</v>
      </c>
      <c r="M3522" s="43"/>
      <c r="N3522" s="1" t="e">
        <f>VLOOKUP(B3522,MICRO!E:L,8,0)</f>
        <v>#N/A</v>
      </c>
    </row>
    <row r="3523" spans="1:14" ht="20.25" x14ac:dyDescent="0.25">
      <c r="A3523" s="1">
        <v>29</v>
      </c>
      <c r="B3523" s="159"/>
      <c r="C3523" s="1" t="s">
        <v>1975</v>
      </c>
      <c r="D3523" s="1" t="s">
        <v>1983</v>
      </c>
      <c r="E3523" s="1"/>
      <c r="F3523" s="1" t="s">
        <v>1984</v>
      </c>
      <c r="G3523" s="1">
        <v>1</v>
      </c>
      <c r="H3523" s="1" t="s">
        <v>19</v>
      </c>
      <c r="I3523" s="1" t="s">
        <v>585</v>
      </c>
      <c r="J3523" s="1">
        <v>1</v>
      </c>
      <c r="K3523" s="1">
        <v>1</v>
      </c>
      <c r="L3523" s="42">
        <v>8</v>
      </c>
      <c r="M3523" s="43"/>
      <c r="N3523" s="1" t="e">
        <f>VLOOKUP(B3523,MICRO!E:L,8,0)</f>
        <v>#N/A</v>
      </c>
    </row>
    <row r="3524" spans="1:14" ht="20.25" x14ac:dyDescent="0.25">
      <c r="A3524" s="1">
        <v>30</v>
      </c>
      <c r="B3524" s="159"/>
      <c r="C3524" s="1" t="s">
        <v>1975</v>
      </c>
      <c r="D3524" s="1" t="s">
        <v>1983</v>
      </c>
      <c r="E3524" s="1"/>
      <c r="F3524" s="1" t="s">
        <v>1985</v>
      </c>
      <c r="G3524" s="1">
        <v>1</v>
      </c>
      <c r="H3524" s="1" t="s">
        <v>19</v>
      </c>
      <c r="I3524" s="1" t="s">
        <v>589</v>
      </c>
      <c r="J3524" s="1">
        <v>1.5</v>
      </c>
      <c r="K3524" s="1">
        <v>1.5</v>
      </c>
      <c r="L3524" s="42">
        <v>8</v>
      </c>
      <c r="M3524" s="43"/>
      <c r="N3524" s="1" t="e">
        <f>VLOOKUP(B3524,MICRO!E:L,8,0)</f>
        <v>#N/A</v>
      </c>
    </row>
    <row r="3525" spans="1:14" ht="20.25" x14ac:dyDescent="0.25">
      <c r="A3525" s="1">
        <v>31</v>
      </c>
      <c r="B3525" s="159"/>
      <c r="C3525" s="1" t="s">
        <v>1975</v>
      </c>
      <c r="D3525" s="1" t="s">
        <v>1976</v>
      </c>
      <c r="E3525" s="1"/>
      <c r="F3525" s="1" t="s">
        <v>1986</v>
      </c>
      <c r="G3525" s="1">
        <v>1</v>
      </c>
      <c r="H3525" s="1" t="s">
        <v>19</v>
      </c>
      <c r="I3525" s="1" t="s">
        <v>585</v>
      </c>
      <c r="J3525" s="1">
        <v>0.1</v>
      </c>
      <c r="K3525" s="1">
        <v>0.1</v>
      </c>
      <c r="L3525" s="42">
        <v>8</v>
      </c>
      <c r="M3525" s="43"/>
      <c r="N3525" s="1" t="e">
        <f>VLOOKUP(B3525,MICRO!E:L,8,0)</f>
        <v>#N/A</v>
      </c>
    </row>
    <row r="3526" spans="1:14" ht="20.25" x14ac:dyDescent="0.25">
      <c r="A3526" s="1">
        <v>32</v>
      </c>
      <c r="B3526" s="159"/>
      <c r="C3526" s="1" t="s">
        <v>1987</v>
      </c>
      <c r="D3526" s="1" t="s">
        <v>1976</v>
      </c>
      <c r="E3526" s="1"/>
      <c r="F3526" s="1" t="s">
        <v>1988</v>
      </c>
      <c r="G3526" s="1">
        <v>1</v>
      </c>
      <c r="H3526" s="1" t="s">
        <v>19</v>
      </c>
      <c r="I3526" s="1" t="s">
        <v>634</v>
      </c>
      <c r="J3526" s="1">
        <v>0.45</v>
      </c>
      <c r="K3526" s="1">
        <v>0.45</v>
      </c>
      <c r="L3526" s="42">
        <v>8</v>
      </c>
      <c r="M3526" s="43"/>
      <c r="N3526" s="1" t="e">
        <f>VLOOKUP(B3526,MICRO!E:L,8,0)</f>
        <v>#N/A</v>
      </c>
    </row>
    <row r="3527" spans="1:14" ht="20.25" x14ac:dyDescent="0.25">
      <c r="A3527" s="1">
        <v>33</v>
      </c>
      <c r="B3527" s="159"/>
      <c r="C3527" s="1" t="s">
        <v>1981</v>
      </c>
      <c r="D3527" s="1" t="s">
        <v>1976</v>
      </c>
      <c r="E3527" s="1"/>
      <c r="F3527" s="1" t="s">
        <v>1989</v>
      </c>
      <c r="G3527" s="1">
        <v>1</v>
      </c>
      <c r="H3527" s="1" t="s">
        <v>19</v>
      </c>
      <c r="I3527" s="1" t="s">
        <v>634</v>
      </c>
      <c r="J3527" s="1">
        <v>0.3</v>
      </c>
      <c r="K3527" s="1">
        <v>0.3</v>
      </c>
      <c r="L3527" s="42">
        <v>8</v>
      </c>
      <c r="M3527" s="43"/>
      <c r="N3527" s="1" t="e">
        <f>VLOOKUP(B3527,MICRO!E:L,8,0)</f>
        <v>#N/A</v>
      </c>
    </row>
    <row r="3528" spans="1:14" ht="20.25" x14ac:dyDescent="0.25">
      <c r="A3528" s="1">
        <v>34</v>
      </c>
      <c r="B3528" s="159"/>
      <c r="C3528" s="1" t="s">
        <v>1990</v>
      </c>
      <c r="D3528" s="1" t="s">
        <v>1976</v>
      </c>
      <c r="E3528" s="1"/>
      <c r="F3528" s="1" t="s">
        <v>1991</v>
      </c>
      <c r="G3528" s="1">
        <v>1</v>
      </c>
      <c r="H3528" s="1" t="s">
        <v>19</v>
      </c>
      <c r="I3528" s="1" t="s">
        <v>585</v>
      </c>
      <c r="J3528" s="1">
        <v>0.35</v>
      </c>
      <c r="K3528" s="1">
        <v>0.35</v>
      </c>
      <c r="L3528" s="42">
        <v>8</v>
      </c>
      <c r="M3528" s="43"/>
      <c r="N3528" s="1" t="e">
        <f>VLOOKUP(B3528,MICRO!E:L,8,0)</f>
        <v>#N/A</v>
      </c>
    </row>
    <row r="3529" spans="1:14" ht="20.25" x14ac:dyDescent="0.25">
      <c r="A3529" s="1">
        <v>35</v>
      </c>
      <c r="B3529" s="159"/>
      <c r="C3529" s="1" t="s">
        <v>1992</v>
      </c>
      <c r="D3529" s="1" t="s">
        <v>1976</v>
      </c>
      <c r="E3529" s="1"/>
      <c r="F3529" s="1" t="s">
        <v>1993</v>
      </c>
      <c r="G3529" s="1">
        <v>1</v>
      </c>
      <c r="H3529" s="1" t="s">
        <v>19</v>
      </c>
      <c r="I3529" s="1" t="s">
        <v>629</v>
      </c>
      <c r="J3529" s="1">
        <v>0.8</v>
      </c>
      <c r="K3529" s="1">
        <v>0.8</v>
      </c>
      <c r="L3529" s="42">
        <v>8</v>
      </c>
      <c r="M3529" s="43"/>
      <c r="N3529" s="1" t="e">
        <f>VLOOKUP(B3529,MICRO!E:L,8,0)</f>
        <v>#N/A</v>
      </c>
    </row>
    <row r="3530" spans="1:14" ht="20.25" x14ac:dyDescent="0.25">
      <c r="A3530" s="1">
        <v>36</v>
      </c>
      <c r="B3530" s="159"/>
      <c r="C3530" s="1" t="s">
        <v>1994</v>
      </c>
      <c r="D3530" s="1" t="s">
        <v>1976</v>
      </c>
      <c r="E3530" s="1"/>
      <c r="F3530" s="1" t="s">
        <v>1995</v>
      </c>
      <c r="G3530" s="1">
        <v>1</v>
      </c>
      <c r="H3530" s="1" t="s">
        <v>19</v>
      </c>
      <c r="I3530" s="1" t="s">
        <v>629</v>
      </c>
      <c r="J3530" s="1">
        <v>0.8</v>
      </c>
      <c r="K3530" s="1">
        <v>0.8</v>
      </c>
      <c r="L3530" s="42">
        <v>8</v>
      </c>
      <c r="M3530" s="43"/>
      <c r="N3530" s="1" t="e">
        <f>VLOOKUP(B3530,MICRO!E:L,8,0)</f>
        <v>#N/A</v>
      </c>
    </row>
    <row r="3531" spans="1:14" ht="20.25" x14ac:dyDescent="0.25">
      <c r="A3531" s="1">
        <v>37</v>
      </c>
      <c r="B3531" s="159"/>
      <c r="C3531" s="1" t="s">
        <v>1994</v>
      </c>
      <c r="D3531" s="1" t="s">
        <v>1976</v>
      </c>
      <c r="E3531" s="1"/>
      <c r="F3531" s="1" t="s">
        <v>1995</v>
      </c>
      <c r="G3531" s="1">
        <v>1</v>
      </c>
      <c r="H3531" s="1" t="s">
        <v>19</v>
      </c>
      <c r="I3531" s="1" t="s">
        <v>629</v>
      </c>
      <c r="J3531" s="1">
        <v>0.8</v>
      </c>
      <c r="K3531" s="1">
        <v>0.8</v>
      </c>
      <c r="L3531" s="42">
        <v>8</v>
      </c>
      <c r="M3531" s="43"/>
      <c r="N3531" s="1" t="e">
        <f>VLOOKUP(B3531,MICRO!E:L,8,0)</f>
        <v>#N/A</v>
      </c>
    </row>
    <row r="3532" spans="1:14" ht="20.25" x14ac:dyDescent="0.25">
      <c r="A3532" s="1">
        <v>38</v>
      </c>
      <c r="B3532" s="159"/>
      <c r="C3532" s="1" t="s">
        <v>1994</v>
      </c>
      <c r="D3532" s="1" t="s">
        <v>1976</v>
      </c>
      <c r="E3532" s="1"/>
      <c r="F3532" s="1" t="s">
        <v>1995</v>
      </c>
      <c r="G3532" s="1">
        <v>1</v>
      </c>
      <c r="H3532" s="1" t="s">
        <v>19</v>
      </c>
      <c r="I3532" s="1" t="s">
        <v>629</v>
      </c>
      <c r="J3532" s="1">
        <v>0.8</v>
      </c>
      <c r="K3532" s="1">
        <v>0.8</v>
      </c>
      <c r="L3532" s="42">
        <v>8</v>
      </c>
      <c r="M3532" s="43"/>
      <c r="N3532" s="1" t="e">
        <f>VLOOKUP(B3532,MICRO!E:L,8,0)</f>
        <v>#N/A</v>
      </c>
    </row>
    <row r="3533" spans="1:14" ht="20.25" x14ac:dyDescent="0.25">
      <c r="A3533" s="1">
        <v>39</v>
      </c>
      <c r="B3533" s="159"/>
      <c r="C3533" s="1" t="s">
        <v>1996</v>
      </c>
      <c r="D3533" s="1" t="s">
        <v>1976</v>
      </c>
      <c r="E3533" s="1"/>
      <c r="F3533" s="1" t="s">
        <v>1997</v>
      </c>
      <c r="G3533" s="1">
        <v>1</v>
      </c>
      <c r="H3533" s="1" t="s">
        <v>19</v>
      </c>
      <c r="I3533" s="1" t="s">
        <v>589</v>
      </c>
      <c r="J3533" s="1">
        <v>0.81</v>
      </c>
      <c r="K3533" s="1">
        <v>0.81</v>
      </c>
      <c r="L3533" s="42">
        <v>8</v>
      </c>
      <c r="M3533" s="43"/>
      <c r="N3533" s="1" t="e">
        <f>VLOOKUP(B3533,MICRO!E:L,8,0)</f>
        <v>#N/A</v>
      </c>
    </row>
    <row r="3534" spans="1:14" ht="20.25" x14ac:dyDescent="0.25">
      <c r="A3534" s="1">
        <v>40</v>
      </c>
      <c r="B3534" s="159"/>
      <c r="C3534" s="1" t="s">
        <v>1998</v>
      </c>
      <c r="D3534" s="1" t="s">
        <v>1976</v>
      </c>
      <c r="E3534" s="1"/>
      <c r="F3534" s="1" t="s">
        <v>1999</v>
      </c>
      <c r="G3534" s="1">
        <v>1</v>
      </c>
      <c r="H3534" s="1" t="s">
        <v>19</v>
      </c>
      <c r="I3534" s="1" t="s">
        <v>629</v>
      </c>
      <c r="J3534" s="1">
        <v>0.2</v>
      </c>
      <c r="K3534" s="1">
        <v>0.2</v>
      </c>
      <c r="L3534" s="42">
        <v>8</v>
      </c>
      <c r="M3534" s="43"/>
      <c r="N3534" s="1" t="e">
        <f>VLOOKUP(B3534,MICRO!E:L,8,0)</f>
        <v>#N/A</v>
      </c>
    </row>
    <row r="3535" spans="1:14" ht="20.25" x14ac:dyDescent="0.25">
      <c r="A3535" s="1">
        <v>41</v>
      </c>
      <c r="B3535" s="159"/>
      <c r="C3535" s="1" t="s">
        <v>1998</v>
      </c>
      <c r="D3535" s="1" t="s">
        <v>1976</v>
      </c>
      <c r="E3535" s="1"/>
      <c r="F3535" s="1" t="s">
        <v>2000</v>
      </c>
      <c r="G3535" s="1">
        <v>1</v>
      </c>
      <c r="H3535" s="1" t="s">
        <v>19</v>
      </c>
      <c r="I3535" s="1" t="s">
        <v>629</v>
      </c>
      <c r="J3535" s="1">
        <v>0.4</v>
      </c>
      <c r="K3535" s="1">
        <v>0.4</v>
      </c>
      <c r="L3535" s="42">
        <v>8</v>
      </c>
      <c r="M3535" s="43"/>
      <c r="N3535" s="1" t="e">
        <f>VLOOKUP(B3535,MICRO!E:L,8,0)</f>
        <v>#N/A</v>
      </c>
    </row>
    <row r="3536" spans="1:14" ht="20.25" x14ac:dyDescent="0.25">
      <c r="A3536" s="1">
        <v>42</v>
      </c>
      <c r="B3536" s="159"/>
      <c r="C3536" s="1" t="s">
        <v>1998</v>
      </c>
      <c r="D3536" s="1" t="s">
        <v>1976</v>
      </c>
      <c r="E3536" s="1"/>
      <c r="F3536" s="1" t="s">
        <v>2001</v>
      </c>
      <c r="G3536" s="1">
        <v>1</v>
      </c>
      <c r="H3536" s="1" t="s">
        <v>19</v>
      </c>
      <c r="I3536" s="1" t="s">
        <v>629</v>
      </c>
      <c r="J3536" s="1">
        <v>0.15</v>
      </c>
      <c r="K3536" s="1">
        <v>0.15</v>
      </c>
      <c r="L3536" s="42">
        <v>8</v>
      </c>
      <c r="M3536" s="43"/>
      <c r="N3536" s="1" t="e">
        <f>VLOOKUP(B3536,MICRO!E:L,8,0)</f>
        <v>#N/A</v>
      </c>
    </row>
    <row r="3537" spans="1:14" ht="20.25" x14ac:dyDescent="0.25">
      <c r="A3537" s="1">
        <v>43</v>
      </c>
      <c r="B3537" s="159"/>
      <c r="C3537" s="1"/>
      <c r="D3537" s="1"/>
      <c r="E3537" s="1"/>
      <c r="F3537" s="1" t="s">
        <v>2002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2">
        <v>8</v>
      </c>
      <c r="M3537" s="43"/>
      <c r="N3537" s="1" t="e">
        <f>VLOOKUP(B3537,MICRO!E:L,8,0)</f>
        <v>#N/A</v>
      </c>
    </row>
    <row r="3538" spans="1:14" ht="20.25" x14ac:dyDescent="0.25">
      <c r="A3538" s="1">
        <v>44</v>
      </c>
      <c r="B3538" s="159"/>
      <c r="C3538" s="1"/>
      <c r="D3538" s="1"/>
      <c r="E3538" s="1"/>
      <c r="F3538" s="1" t="s">
        <v>2003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2">
        <v>8</v>
      </c>
      <c r="M3538" s="43"/>
      <c r="N3538" s="1" t="e">
        <f>VLOOKUP(B3538,MICRO!E:L,8,0)</f>
        <v>#N/A</v>
      </c>
    </row>
    <row r="3539" spans="1:14" ht="20.25" x14ac:dyDescent="0.25">
      <c r="A3539" s="1">
        <v>45</v>
      </c>
      <c r="B3539" s="159"/>
      <c r="C3539" s="1"/>
      <c r="D3539" s="1"/>
      <c r="E3539" s="1"/>
      <c r="F3539" s="1" t="s">
        <v>2004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2">
        <v>8</v>
      </c>
      <c r="M3539" s="43"/>
      <c r="N3539" s="1" t="e">
        <f>VLOOKUP(B3539,MICRO!E:L,8,0)</f>
        <v>#N/A</v>
      </c>
    </row>
    <row r="3540" spans="1:14" ht="20.25" x14ac:dyDescent="0.25">
      <c r="A3540" s="1">
        <v>46</v>
      </c>
      <c r="B3540" s="159"/>
      <c r="C3540" s="1"/>
      <c r="D3540" s="1"/>
      <c r="E3540" s="1"/>
      <c r="F3540" s="1" t="s">
        <v>2005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2">
        <v>8</v>
      </c>
      <c r="M3540" s="43"/>
      <c r="N3540" s="1" t="e">
        <f>VLOOKUP(B3540,MICRO!E:L,8,0)</f>
        <v>#N/A</v>
      </c>
    </row>
    <row r="3541" spans="1:14" ht="20.25" x14ac:dyDescent="0.25">
      <c r="A3541" s="1">
        <v>47</v>
      </c>
      <c r="B3541" s="159"/>
      <c r="C3541" s="1"/>
      <c r="D3541" s="1"/>
      <c r="E3541" s="1"/>
      <c r="F3541" s="1" t="s">
        <v>2006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2">
        <v>8</v>
      </c>
      <c r="M3541" s="43"/>
      <c r="N3541" s="1" t="e">
        <f>VLOOKUP(B3541,MICRO!E:L,8,0)</f>
        <v>#N/A</v>
      </c>
    </row>
    <row r="3542" spans="1:14" ht="20.25" x14ac:dyDescent="0.25">
      <c r="A3542" s="1">
        <v>48</v>
      </c>
      <c r="B3542" s="159"/>
      <c r="C3542" s="1"/>
      <c r="D3542" s="1"/>
      <c r="E3542" s="1"/>
      <c r="F3542" s="1" t="s">
        <v>2007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2">
        <v>8</v>
      </c>
      <c r="M3542" s="43"/>
      <c r="N3542" s="1" t="e">
        <f>VLOOKUP(B3542,MICRO!E:L,8,0)</f>
        <v>#N/A</v>
      </c>
    </row>
    <row r="3543" spans="1:14" ht="20.25" x14ac:dyDescent="0.25">
      <c r="A3543" s="1">
        <v>49</v>
      </c>
      <c r="B3543" s="159"/>
      <c r="C3543" s="1"/>
      <c r="D3543" s="1"/>
      <c r="E3543" s="1"/>
      <c r="F3543" s="1" t="s">
        <v>2008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2">
        <v>8</v>
      </c>
      <c r="M3543" s="43"/>
      <c r="N3543" s="1" t="e">
        <f>VLOOKUP(B3543,MICRO!E:L,8,0)</f>
        <v>#N/A</v>
      </c>
    </row>
    <row r="3544" spans="1:14" ht="20.25" x14ac:dyDescent="0.25">
      <c r="A3544" s="1">
        <v>50</v>
      </c>
      <c r="B3544" s="159"/>
      <c r="C3544" s="1"/>
      <c r="D3544" s="1"/>
      <c r="E3544" s="1"/>
      <c r="F3544" s="1" t="s">
        <v>2009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2">
        <v>8</v>
      </c>
      <c r="M3544" s="43"/>
      <c r="N3544" s="1" t="e">
        <f>VLOOKUP(B3544,MICRO!E:L,8,0)</f>
        <v>#N/A</v>
      </c>
    </row>
    <row r="3545" spans="1:14" ht="20.25" x14ac:dyDescent="0.25">
      <c r="A3545" s="1">
        <v>51</v>
      </c>
      <c r="B3545" s="159"/>
      <c r="C3545" s="1"/>
      <c r="D3545" s="1"/>
      <c r="E3545" s="1"/>
      <c r="F3545" s="1" t="s">
        <v>2010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2">
        <v>8</v>
      </c>
      <c r="M3545" s="43"/>
      <c r="N3545" s="1" t="e">
        <f>VLOOKUP(B3545,MICRO!E:L,8,0)</f>
        <v>#N/A</v>
      </c>
    </row>
    <row r="3546" spans="1:14" ht="20.25" x14ac:dyDescent="0.25">
      <c r="A3546" s="1">
        <v>52</v>
      </c>
      <c r="B3546" s="159"/>
      <c r="C3546" s="1"/>
      <c r="D3546" s="1"/>
      <c r="E3546" s="1"/>
      <c r="F3546" s="1" t="s">
        <v>2011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2">
        <v>8</v>
      </c>
      <c r="M3546" s="43"/>
      <c r="N3546" s="1" t="e">
        <f>VLOOKUP(B3546,MICRO!E:L,8,0)</f>
        <v>#N/A</v>
      </c>
    </row>
    <row r="3547" spans="1:14" ht="20.25" x14ac:dyDescent="0.25">
      <c r="A3547" s="1">
        <v>53</v>
      </c>
      <c r="B3547" s="159"/>
      <c r="C3547" s="1"/>
      <c r="D3547" s="1"/>
      <c r="E3547" s="1"/>
      <c r="F3547" s="1" t="s">
        <v>2012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2">
        <v>8</v>
      </c>
      <c r="M3547" s="43"/>
      <c r="N3547" s="1" t="e">
        <f>VLOOKUP(B3547,MICRO!E:L,8,0)</f>
        <v>#N/A</v>
      </c>
    </row>
    <row r="3548" spans="1:14" ht="20.25" x14ac:dyDescent="0.25">
      <c r="A3548" s="1">
        <v>54</v>
      </c>
      <c r="B3548" s="159"/>
      <c r="C3548" s="1"/>
      <c r="D3548" s="1"/>
      <c r="E3548" s="1"/>
      <c r="F3548" s="1" t="s">
        <v>2013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2">
        <v>8</v>
      </c>
      <c r="M3548" s="43"/>
      <c r="N3548" s="1" t="e">
        <f>VLOOKUP(B3548,MICRO!E:L,8,0)</f>
        <v>#N/A</v>
      </c>
    </row>
    <row r="3549" spans="1:14" ht="20.25" x14ac:dyDescent="0.25">
      <c r="A3549" s="1">
        <v>55</v>
      </c>
      <c r="B3549" s="159"/>
      <c r="C3549" s="1"/>
      <c r="D3549" s="1"/>
      <c r="E3549" s="1"/>
      <c r="F3549" s="1" t="s">
        <v>2014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2">
        <v>8</v>
      </c>
      <c r="M3549" s="43"/>
      <c r="N3549" s="1" t="e">
        <f>VLOOKUP(B3549,MICRO!E:L,8,0)</f>
        <v>#N/A</v>
      </c>
    </row>
    <row r="3550" spans="1:14" ht="20.25" x14ac:dyDescent="0.25">
      <c r="A3550" s="1">
        <v>56</v>
      </c>
      <c r="B3550" s="159"/>
      <c r="C3550" s="1"/>
      <c r="D3550" s="1"/>
      <c r="E3550" s="1"/>
      <c r="F3550" s="1" t="s">
        <v>2015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2">
        <v>8</v>
      </c>
      <c r="M3550" s="43"/>
      <c r="N3550" s="1" t="e">
        <f>VLOOKUP(B3550,MICRO!E:L,8,0)</f>
        <v>#N/A</v>
      </c>
    </row>
    <row r="3551" spans="1:14" ht="20.25" x14ac:dyDescent="0.25">
      <c r="A3551" s="1">
        <v>57</v>
      </c>
      <c r="B3551" s="159"/>
      <c r="C3551" s="1"/>
      <c r="D3551" s="1"/>
      <c r="E3551" s="1"/>
      <c r="F3551" s="1" t="s">
        <v>2016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2">
        <v>8</v>
      </c>
      <c r="M3551" s="43"/>
      <c r="N3551" s="1" t="e">
        <f>VLOOKUP(B3551,MICRO!E:L,8,0)</f>
        <v>#N/A</v>
      </c>
    </row>
    <row r="3552" spans="1:14" ht="20.25" x14ac:dyDescent="0.25">
      <c r="A3552" s="1">
        <v>58</v>
      </c>
      <c r="B3552" s="159"/>
      <c r="C3552" s="1"/>
      <c r="D3552" s="1"/>
      <c r="E3552" s="1"/>
      <c r="F3552" s="1" t="s">
        <v>2017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2">
        <v>8</v>
      </c>
      <c r="M3552" s="43"/>
      <c r="N3552" s="1" t="e">
        <f>VLOOKUP(B3552,MICRO!E:L,8,0)</f>
        <v>#N/A</v>
      </c>
    </row>
    <row r="3553" spans="1:14" ht="20.25" x14ac:dyDescent="0.25">
      <c r="A3553" s="1">
        <v>59</v>
      </c>
      <c r="B3553" s="159"/>
      <c r="C3553" s="1"/>
      <c r="D3553" s="1"/>
      <c r="E3553" s="1"/>
      <c r="F3553" s="1" t="s">
        <v>2018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2">
        <v>8</v>
      </c>
      <c r="M3553" s="43"/>
      <c r="N3553" s="1" t="e">
        <f>VLOOKUP(B3553,MICRO!E:L,8,0)</f>
        <v>#N/A</v>
      </c>
    </row>
    <row r="3554" spans="1:14" ht="20.25" x14ac:dyDescent="0.25">
      <c r="A3554" s="1">
        <v>60</v>
      </c>
      <c r="B3554" s="159"/>
      <c r="C3554" s="1"/>
      <c r="D3554" s="1"/>
      <c r="E3554" s="1"/>
      <c r="F3554" s="1" t="s">
        <v>2019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2">
        <v>8</v>
      </c>
      <c r="M3554" s="43"/>
      <c r="N3554" s="1" t="e">
        <f>VLOOKUP(B3554,MICRO!E:L,8,0)</f>
        <v>#N/A</v>
      </c>
    </row>
    <row r="3555" spans="1:14" ht="20.25" x14ac:dyDescent="0.25">
      <c r="A3555" s="1">
        <v>61</v>
      </c>
      <c r="B3555" s="159"/>
      <c r="C3555" s="1"/>
      <c r="D3555" s="1"/>
      <c r="E3555" s="1"/>
      <c r="F3555" s="1" t="s">
        <v>2020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2">
        <v>8</v>
      </c>
      <c r="M3555" s="43"/>
      <c r="N3555" s="1" t="e">
        <f>VLOOKUP(B3555,MICRO!E:L,8,0)</f>
        <v>#N/A</v>
      </c>
    </row>
    <row r="3556" spans="1:14" ht="20.25" x14ac:dyDescent="0.25">
      <c r="A3556" s="1">
        <v>62</v>
      </c>
      <c r="B3556" s="159"/>
      <c r="C3556" s="1"/>
      <c r="D3556" s="1"/>
      <c r="E3556" s="1"/>
      <c r="F3556" s="1" t="s">
        <v>2021</v>
      </c>
      <c r="G3556" s="1">
        <v>21</v>
      </c>
      <c r="H3556" s="1" t="s">
        <v>1253</v>
      </c>
      <c r="I3556" s="1"/>
      <c r="J3556" s="1">
        <v>0.05</v>
      </c>
      <c r="K3556" s="1">
        <v>1.05</v>
      </c>
      <c r="L3556" s="42">
        <v>8</v>
      </c>
      <c r="M3556" s="43"/>
      <c r="N3556" s="1" t="e">
        <f>VLOOKUP(B3556,MICRO!E:L,8,0)</f>
        <v>#N/A</v>
      </c>
    </row>
    <row r="3557" spans="1:14" ht="20.25" x14ac:dyDescent="0.25">
      <c r="A3557" s="1">
        <v>63</v>
      </c>
      <c r="B3557" s="159"/>
      <c r="C3557" s="1"/>
      <c r="D3557" s="1"/>
      <c r="E3557" s="1"/>
      <c r="F3557" s="1" t="s">
        <v>2022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2">
        <v>8</v>
      </c>
      <c r="M3557" s="43"/>
      <c r="N3557" s="1" t="e">
        <f>VLOOKUP(B3557,MICRO!E:L,8,0)</f>
        <v>#N/A</v>
      </c>
    </row>
    <row r="3558" spans="1:14" ht="20.25" x14ac:dyDescent="0.25">
      <c r="A3558" s="1">
        <v>64</v>
      </c>
      <c r="B3558" s="159"/>
      <c r="C3558" s="1"/>
      <c r="D3558" s="1"/>
      <c r="E3558" s="1"/>
      <c r="F3558" s="1" t="s">
        <v>2023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2">
        <v>8</v>
      </c>
      <c r="M3558" s="43"/>
      <c r="N3558" s="1" t="e">
        <f>VLOOKUP(B3558,MICRO!E:L,8,0)</f>
        <v>#N/A</v>
      </c>
    </row>
    <row r="3559" spans="1:14" ht="20.25" x14ac:dyDescent="0.25">
      <c r="A3559" s="1">
        <v>65</v>
      </c>
      <c r="B3559" s="159"/>
      <c r="C3559" s="1"/>
      <c r="D3559" s="1"/>
      <c r="E3559" s="1"/>
      <c r="F3559" s="1" t="s">
        <v>2024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2">
        <v>8</v>
      </c>
      <c r="M3559" s="43"/>
      <c r="N3559" s="1" t="e">
        <f>VLOOKUP(B3559,MICRO!E:L,8,0)</f>
        <v>#N/A</v>
      </c>
    </row>
    <row r="3560" spans="1:14" ht="20.25" x14ac:dyDescent="0.25">
      <c r="A3560" s="1">
        <v>66</v>
      </c>
      <c r="B3560" s="159"/>
      <c r="C3560" s="1"/>
      <c r="D3560" s="1"/>
      <c r="E3560" s="1"/>
      <c r="F3560" s="1" t="s">
        <v>2025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2">
        <v>8</v>
      </c>
      <c r="M3560" s="43"/>
      <c r="N3560" s="1" t="e">
        <f>VLOOKUP(B3560,MICRO!E:L,8,0)</f>
        <v>#N/A</v>
      </c>
    </row>
    <row r="3561" spans="1:14" ht="20.25" x14ac:dyDescent="0.25">
      <c r="A3561" s="1">
        <v>67</v>
      </c>
      <c r="B3561" s="159"/>
      <c r="C3561" s="1"/>
      <c r="D3561" s="1"/>
      <c r="E3561" s="1"/>
      <c r="F3561" s="1" t="s">
        <v>2026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2">
        <v>8</v>
      </c>
      <c r="M3561" s="43"/>
      <c r="N3561" s="1" t="e">
        <f>VLOOKUP(B3561,MICRO!E:L,8,0)</f>
        <v>#N/A</v>
      </c>
    </row>
    <row r="3562" spans="1:14" ht="20.25" x14ac:dyDescent="0.25">
      <c r="A3562" s="1">
        <v>68</v>
      </c>
      <c r="B3562" s="159"/>
      <c r="C3562" s="1"/>
      <c r="D3562" s="1"/>
      <c r="E3562" s="1"/>
      <c r="F3562" s="1" t="s">
        <v>2027</v>
      </c>
      <c r="G3562" s="1">
        <v>5</v>
      </c>
      <c r="H3562" s="1" t="s">
        <v>1253</v>
      </c>
      <c r="I3562" s="1"/>
      <c r="J3562" s="1">
        <v>0.75</v>
      </c>
      <c r="K3562" s="1">
        <v>3.75</v>
      </c>
      <c r="L3562" s="42">
        <v>8</v>
      </c>
      <c r="M3562" s="43"/>
      <c r="N3562" s="1" t="e">
        <f>VLOOKUP(B3562,MICRO!E:L,8,0)</f>
        <v>#N/A</v>
      </c>
    </row>
    <row r="3563" spans="1:14" ht="20.25" x14ac:dyDescent="0.25">
      <c r="A3563" s="1">
        <v>69</v>
      </c>
      <c r="B3563" s="159"/>
      <c r="C3563" s="1"/>
      <c r="D3563" s="1"/>
      <c r="E3563" s="1"/>
      <c r="F3563" s="1" t="s">
        <v>2028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2">
        <v>8</v>
      </c>
      <c r="M3563" s="43"/>
      <c r="N3563" s="1" t="e">
        <f>VLOOKUP(B3563,MICRO!E:L,8,0)</f>
        <v>#N/A</v>
      </c>
    </row>
    <row r="3564" spans="1:14" ht="20.25" x14ac:dyDescent="0.25">
      <c r="A3564" s="1">
        <v>70</v>
      </c>
      <c r="B3564" s="159"/>
      <c r="C3564" s="1"/>
      <c r="D3564" s="1"/>
      <c r="E3564" s="1"/>
      <c r="F3564" s="1" t="s">
        <v>2029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2">
        <v>8</v>
      </c>
      <c r="M3564" s="43"/>
      <c r="N3564" s="1" t="e">
        <f>VLOOKUP(B3564,MICRO!E:L,8,0)</f>
        <v>#N/A</v>
      </c>
    </row>
    <row r="3565" spans="1:14" ht="20.25" x14ac:dyDescent="0.25">
      <c r="A3565" s="1">
        <v>71</v>
      </c>
      <c r="B3565" s="159"/>
      <c r="C3565" s="1"/>
      <c r="D3565" s="1"/>
      <c r="E3565" s="1"/>
      <c r="F3565" s="1" t="s">
        <v>2030</v>
      </c>
      <c r="G3565" s="1">
        <v>21</v>
      </c>
      <c r="H3565" s="1" t="s">
        <v>1253</v>
      </c>
      <c r="I3565" s="1"/>
      <c r="J3565" s="1">
        <v>0.05</v>
      </c>
      <c r="K3565" s="1">
        <v>1.05</v>
      </c>
      <c r="L3565" s="42">
        <v>8</v>
      </c>
      <c r="M3565" s="43"/>
      <c r="N3565" s="1" t="e">
        <f>VLOOKUP(B3565,MICRO!E:L,8,0)</f>
        <v>#N/A</v>
      </c>
    </row>
    <row r="3566" spans="1:14" ht="20.25" x14ac:dyDescent="0.25">
      <c r="A3566" s="1">
        <v>72</v>
      </c>
      <c r="B3566" s="159"/>
      <c r="C3566" s="1"/>
      <c r="D3566" s="1"/>
      <c r="E3566" s="1"/>
      <c r="F3566" s="1" t="s">
        <v>2031</v>
      </c>
      <c r="G3566" s="1">
        <v>81</v>
      </c>
      <c r="H3566" s="1" t="s">
        <v>1253</v>
      </c>
      <c r="I3566" s="1"/>
      <c r="J3566" s="1">
        <v>0.03</v>
      </c>
      <c r="K3566" s="1">
        <v>2.4299999999999997</v>
      </c>
      <c r="L3566" s="42">
        <v>8</v>
      </c>
      <c r="M3566" s="43"/>
      <c r="N3566" s="1" t="e">
        <f>VLOOKUP(B3566,MICRO!E:L,8,0)</f>
        <v>#N/A</v>
      </c>
    </row>
    <row r="3567" spans="1:14" ht="20.25" x14ac:dyDescent="0.25">
      <c r="A3567" s="1">
        <v>73</v>
      </c>
      <c r="B3567" s="159"/>
      <c r="C3567" s="1"/>
      <c r="D3567" s="1"/>
      <c r="E3567" s="1"/>
      <c r="F3567" s="1" t="s">
        <v>2032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2">
        <v>8</v>
      </c>
      <c r="M3567" s="43"/>
      <c r="N3567" s="1" t="e">
        <f>VLOOKUP(B3567,MICRO!E:L,8,0)</f>
        <v>#N/A</v>
      </c>
    </row>
    <row r="3568" spans="1:14" ht="20.25" x14ac:dyDescent="0.25">
      <c r="A3568" s="1">
        <v>74</v>
      </c>
      <c r="B3568" s="159"/>
      <c r="C3568" s="1"/>
      <c r="D3568" s="1"/>
      <c r="E3568" s="1"/>
      <c r="F3568" s="1" t="s">
        <v>2033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2">
        <v>8</v>
      </c>
      <c r="M3568" s="43"/>
      <c r="N3568" s="1" t="e">
        <f>VLOOKUP(B3568,MICRO!E:L,8,0)</f>
        <v>#N/A</v>
      </c>
    </row>
    <row r="3569" spans="1:14" ht="20.25" x14ac:dyDescent="0.25">
      <c r="A3569" s="1">
        <v>75</v>
      </c>
      <c r="B3569" s="159"/>
      <c r="C3569" s="1"/>
      <c r="D3569" s="1"/>
      <c r="E3569" s="1"/>
      <c r="F3569" s="1" t="s">
        <v>2034</v>
      </c>
      <c r="G3569" s="1">
        <v>6</v>
      </c>
      <c r="H3569" s="1" t="s">
        <v>1253</v>
      </c>
      <c r="I3569" s="1"/>
      <c r="J3569" s="1">
        <v>0.02</v>
      </c>
      <c r="K3569" s="1">
        <v>0.12</v>
      </c>
      <c r="L3569" s="42">
        <v>8</v>
      </c>
      <c r="M3569" s="43"/>
      <c r="N3569" s="1" t="e">
        <f>VLOOKUP(B3569,MICRO!E:L,8,0)</f>
        <v>#N/A</v>
      </c>
    </row>
    <row r="3570" spans="1:14" ht="20.25" x14ac:dyDescent="0.25">
      <c r="A3570" s="1">
        <v>76</v>
      </c>
      <c r="B3570" s="159"/>
      <c r="C3570" s="1"/>
      <c r="D3570" s="1"/>
      <c r="E3570" s="1"/>
      <c r="F3570" s="1" t="s">
        <v>2035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2">
        <v>8</v>
      </c>
      <c r="M3570" s="43"/>
      <c r="N3570" s="1" t="e">
        <f>VLOOKUP(B3570,MICRO!E:L,8,0)</f>
        <v>#N/A</v>
      </c>
    </row>
    <row r="3571" spans="1:14" ht="20.25" x14ac:dyDescent="0.25">
      <c r="A3571" s="1">
        <v>77</v>
      </c>
      <c r="B3571" s="159"/>
      <c r="C3571" s="1"/>
      <c r="D3571" s="1"/>
      <c r="E3571" s="1"/>
      <c r="F3571" s="1" t="s">
        <v>2036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2">
        <v>8</v>
      </c>
      <c r="M3571" s="43"/>
      <c r="N3571" s="1" t="e">
        <f>VLOOKUP(B3571,MICRO!E:L,8,0)</f>
        <v>#N/A</v>
      </c>
    </row>
    <row r="3572" spans="1:14" ht="20.25" x14ac:dyDescent="0.25">
      <c r="A3572" s="1">
        <v>78</v>
      </c>
      <c r="B3572" s="159"/>
      <c r="C3572" s="1"/>
      <c r="D3572" s="1"/>
      <c r="E3572" s="1"/>
      <c r="F3572" s="1" t="s">
        <v>2037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2">
        <v>8</v>
      </c>
      <c r="M3572" s="43"/>
      <c r="N3572" s="1" t="e">
        <f>VLOOKUP(B3572,MICRO!E:L,8,0)</f>
        <v>#N/A</v>
      </c>
    </row>
    <row r="3573" spans="1:14" ht="20.25" x14ac:dyDescent="0.25">
      <c r="A3573" s="1">
        <v>79</v>
      </c>
      <c r="B3573" s="159"/>
      <c r="C3573" s="1"/>
      <c r="D3573" s="1"/>
      <c r="E3573" s="1"/>
      <c r="F3573" s="1" t="s">
        <v>2038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2">
        <v>8</v>
      </c>
      <c r="M3573" s="43"/>
      <c r="N3573" s="1" t="e">
        <f>VLOOKUP(B3573,MICRO!E:L,8,0)</f>
        <v>#N/A</v>
      </c>
    </row>
    <row r="3574" spans="1:14" ht="20.25" x14ac:dyDescent="0.25">
      <c r="A3574" s="1">
        <v>80</v>
      </c>
      <c r="B3574" s="159"/>
      <c r="C3574" s="1"/>
      <c r="D3574" s="1"/>
      <c r="E3574" s="1"/>
      <c r="F3574" s="1" t="s">
        <v>2039</v>
      </c>
      <c r="G3574" s="1">
        <v>5</v>
      </c>
      <c r="H3574" s="1" t="s">
        <v>1253</v>
      </c>
      <c r="I3574" s="1"/>
      <c r="J3574" s="1">
        <v>1.5</v>
      </c>
      <c r="K3574" s="1">
        <v>7.5</v>
      </c>
      <c r="L3574" s="42">
        <v>8</v>
      </c>
      <c r="M3574" s="43"/>
      <c r="N3574" s="1" t="e">
        <f>VLOOKUP(B3574,MICRO!E:L,8,0)</f>
        <v>#N/A</v>
      </c>
    </row>
    <row r="3575" spans="1:14" ht="20.25" x14ac:dyDescent="0.25">
      <c r="A3575" s="1">
        <v>81</v>
      </c>
      <c r="B3575" s="159"/>
      <c r="C3575" s="1"/>
      <c r="D3575" s="1"/>
      <c r="E3575" s="1"/>
      <c r="F3575" s="1" t="s">
        <v>2040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2">
        <v>8</v>
      </c>
      <c r="M3575" s="43"/>
      <c r="N3575" s="1" t="e">
        <f>VLOOKUP(B3575,MICRO!E:L,8,0)</f>
        <v>#N/A</v>
      </c>
    </row>
    <row r="3576" spans="1:14" ht="20.25" x14ac:dyDescent="0.25">
      <c r="A3576" s="1">
        <v>82</v>
      </c>
      <c r="B3576" s="159"/>
      <c r="C3576" s="1"/>
      <c r="D3576" s="1"/>
      <c r="E3576" s="1"/>
      <c r="F3576" s="1" t="s">
        <v>2041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2">
        <v>8</v>
      </c>
      <c r="M3576" s="43"/>
      <c r="N3576" s="1" t="e">
        <f>VLOOKUP(B3576,MICRO!E:L,8,0)</f>
        <v>#N/A</v>
      </c>
    </row>
    <row r="3577" spans="1:14" ht="20.25" x14ac:dyDescent="0.25">
      <c r="A3577" s="1">
        <v>83</v>
      </c>
      <c r="B3577" s="159"/>
      <c r="C3577" s="1"/>
      <c r="D3577" s="1"/>
      <c r="E3577" s="1"/>
      <c r="F3577" s="1" t="s">
        <v>2042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2">
        <v>8</v>
      </c>
      <c r="M3577" s="43"/>
      <c r="N3577" s="1" t="e">
        <f>VLOOKUP(B3577,MICRO!E:L,8,0)</f>
        <v>#N/A</v>
      </c>
    </row>
    <row r="3578" spans="1:14" ht="20.25" x14ac:dyDescent="0.25">
      <c r="A3578" s="1">
        <v>84</v>
      </c>
      <c r="B3578" s="159"/>
      <c r="C3578" s="1"/>
      <c r="D3578" s="1"/>
      <c r="E3578" s="1"/>
      <c r="F3578" s="1" t="s">
        <v>2043</v>
      </c>
      <c r="G3578" s="1">
        <v>38</v>
      </c>
      <c r="H3578" s="1" t="s">
        <v>1253</v>
      </c>
      <c r="I3578" s="1"/>
      <c r="J3578" s="1">
        <v>0.03</v>
      </c>
      <c r="K3578" s="1">
        <v>1.1399999999999999</v>
      </c>
      <c r="L3578" s="42">
        <v>8</v>
      </c>
      <c r="M3578" s="43"/>
      <c r="N3578" s="1" t="e">
        <f>VLOOKUP(B3578,MICRO!E:L,8,0)</f>
        <v>#N/A</v>
      </c>
    </row>
    <row r="3579" spans="1:14" ht="20.25" x14ac:dyDescent="0.25">
      <c r="A3579" s="1">
        <v>85</v>
      </c>
      <c r="B3579" s="159"/>
      <c r="C3579" s="1"/>
      <c r="D3579" s="1"/>
      <c r="E3579" s="1"/>
      <c r="F3579" s="1" t="s">
        <v>2044</v>
      </c>
      <c r="G3579" s="1">
        <v>78</v>
      </c>
      <c r="H3579" s="1" t="s">
        <v>1253</v>
      </c>
      <c r="I3579" s="1"/>
      <c r="J3579" s="1">
        <v>0.05</v>
      </c>
      <c r="K3579" s="1">
        <v>3.9000000000000004</v>
      </c>
      <c r="L3579" s="42">
        <v>8</v>
      </c>
      <c r="M3579" s="43"/>
      <c r="N3579" s="1" t="e">
        <f>VLOOKUP(B3579,MICRO!E:L,8,0)</f>
        <v>#N/A</v>
      </c>
    </row>
    <row r="3580" spans="1:14" ht="20.25" x14ac:dyDescent="0.25">
      <c r="A3580" s="1">
        <v>86</v>
      </c>
      <c r="B3580" s="159"/>
      <c r="C3580" s="1"/>
      <c r="D3580" s="1"/>
      <c r="E3580" s="1"/>
      <c r="F3580" s="1" t="s">
        <v>2045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2">
        <v>8</v>
      </c>
      <c r="M3580" s="43"/>
      <c r="N3580" s="1" t="e">
        <f>VLOOKUP(B3580,MICRO!E:L,8,0)</f>
        <v>#N/A</v>
      </c>
    </row>
    <row r="3581" spans="1:14" ht="20.25" x14ac:dyDescent="0.25">
      <c r="A3581" s="1">
        <v>87</v>
      </c>
      <c r="B3581" s="159"/>
      <c r="C3581" s="1"/>
      <c r="D3581" s="1"/>
      <c r="E3581" s="1"/>
      <c r="F3581" s="1" t="s">
        <v>2046</v>
      </c>
      <c r="G3581" s="1">
        <v>6</v>
      </c>
      <c r="H3581" s="1" t="s">
        <v>1253</v>
      </c>
      <c r="I3581" s="1"/>
      <c r="J3581" s="1">
        <v>0.04</v>
      </c>
      <c r="K3581" s="1">
        <v>0.24</v>
      </c>
      <c r="L3581" s="42">
        <v>8</v>
      </c>
      <c r="M3581" s="43"/>
      <c r="N3581" s="1" t="e">
        <f>VLOOKUP(B3581,MICRO!E:L,8,0)</f>
        <v>#N/A</v>
      </c>
    </row>
    <row r="3582" spans="1:14" ht="20.25" x14ac:dyDescent="0.25">
      <c r="A3582" s="1">
        <v>88</v>
      </c>
      <c r="B3582" s="159"/>
      <c r="C3582" s="1" t="s">
        <v>2047</v>
      </c>
      <c r="D3582" s="1"/>
      <c r="E3582" s="1"/>
      <c r="F3582" s="1" t="s">
        <v>2048</v>
      </c>
      <c r="G3582" s="1">
        <v>5</v>
      </c>
      <c r="H3582" s="1" t="s">
        <v>19</v>
      </c>
      <c r="I3582" s="1" t="s">
        <v>2049</v>
      </c>
      <c r="J3582" s="1">
        <v>0.02</v>
      </c>
      <c r="K3582" s="1">
        <v>0.1</v>
      </c>
      <c r="L3582" s="42">
        <v>8</v>
      </c>
      <c r="M3582" s="43"/>
      <c r="N3582" s="1" t="e">
        <f>VLOOKUP(B3582,MICRO!E:L,8,0)</f>
        <v>#N/A</v>
      </c>
    </row>
    <row r="3583" spans="1:14" ht="20.25" x14ac:dyDescent="0.25">
      <c r="A3583" s="1">
        <v>89</v>
      </c>
      <c r="B3583" s="159"/>
      <c r="C3583" s="1" t="s">
        <v>2047</v>
      </c>
      <c r="D3583" s="1"/>
      <c r="E3583" s="1"/>
      <c r="F3583" s="1" t="s">
        <v>2050</v>
      </c>
      <c r="G3583" s="1">
        <v>10</v>
      </c>
      <c r="H3583" s="1" t="s">
        <v>19</v>
      </c>
      <c r="I3583" s="1" t="s">
        <v>2049</v>
      </c>
      <c r="J3583" s="1">
        <v>0.8</v>
      </c>
      <c r="K3583" s="1">
        <v>8</v>
      </c>
      <c r="L3583" s="42">
        <v>8</v>
      </c>
      <c r="M3583" s="43"/>
      <c r="N3583" s="1" t="e">
        <f>VLOOKUP(B3583,MICRO!E:L,8,0)</f>
        <v>#N/A</v>
      </c>
    </row>
    <row r="3584" spans="1:14" ht="20.25" x14ac:dyDescent="0.25">
      <c r="A3584" s="1">
        <v>90</v>
      </c>
      <c r="B3584" s="159"/>
      <c r="C3584" s="1" t="s">
        <v>2047</v>
      </c>
      <c r="D3584" s="1"/>
      <c r="E3584" s="1"/>
      <c r="F3584" s="1" t="s">
        <v>2051</v>
      </c>
      <c r="G3584" s="1">
        <v>14</v>
      </c>
      <c r="H3584" s="1" t="s">
        <v>19</v>
      </c>
      <c r="I3584" s="1" t="s">
        <v>2049</v>
      </c>
      <c r="J3584" s="1">
        <v>1.2</v>
      </c>
      <c r="K3584" s="1">
        <v>16.8</v>
      </c>
      <c r="L3584" s="42">
        <v>8</v>
      </c>
      <c r="M3584" s="43"/>
      <c r="N3584" s="1" t="e">
        <f>VLOOKUP(B3584,MICRO!E:L,8,0)</f>
        <v>#N/A</v>
      </c>
    </row>
    <row r="3585" spans="1:14" ht="20.25" x14ac:dyDescent="0.25">
      <c r="A3585" s="1">
        <v>91</v>
      </c>
      <c r="B3585" s="159"/>
      <c r="C3585" s="1" t="s">
        <v>2047</v>
      </c>
      <c r="D3585" s="1"/>
      <c r="E3585" s="1"/>
      <c r="F3585" s="1" t="s">
        <v>2052</v>
      </c>
      <c r="G3585" s="1">
        <v>3</v>
      </c>
      <c r="H3585" s="1" t="s">
        <v>19</v>
      </c>
      <c r="I3585" s="1" t="s">
        <v>2049</v>
      </c>
      <c r="J3585" s="1">
        <v>0.03</v>
      </c>
      <c r="K3585" s="1">
        <v>0.09</v>
      </c>
      <c r="L3585" s="42">
        <v>8</v>
      </c>
      <c r="M3585" s="43"/>
      <c r="N3585" s="1" t="e">
        <f>VLOOKUP(B3585,MICRO!E:L,8,0)</f>
        <v>#N/A</v>
      </c>
    </row>
    <row r="3586" spans="1:14" ht="20.25" x14ac:dyDescent="0.25">
      <c r="A3586" s="1">
        <v>92</v>
      </c>
      <c r="B3586" s="159"/>
      <c r="C3586" s="1" t="s">
        <v>2047</v>
      </c>
      <c r="D3586" s="1"/>
      <c r="E3586" s="1"/>
      <c r="F3586" s="1" t="s">
        <v>2053</v>
      </c>
      <c r="G3586" s="1">
        <v>5</v>
      </c>
      <c r="H3586" s="1" t="s">
        <v>1253</v>
      </c>
      <c r="I3586" s="1" t="s">
        <v>2049</v>
      </c>
      <c r="J3586" s="1">
        <v>1.5</v>
      </c>
      <c r="K3586" s="1">
        <v>7.5</v>
      </c>
      <c r="L3586" s="42">
        <v>8</v>
      </c>
      <c r="M3586" s="43"/>
      <c r="N3586" s="1" t="e">
        <f>VLOOKUP(B3586,MICRO!E:L,8,0)</f>
        <v>#N/A</v>
      </c>
    </row>
    <row r="3587" spans="1:14" ht="20.25" x14ac:dyDescent="0.25">
      <c r="A3587" s="1">
        <v>93</v>
      </c>
      <c r="B3587" s="159"/>
      <c r="C3587" s="1" t="s">
        <v>2047</v>
      </c>
      <c r="D3587" s="1"/>
      <c r="E3587" s="1"/>
      <c r="F3587" s="1" t="s">
        <v>2054</v>
      </c>
      <c r="G3587" s="1">
        <v>20</v>
      </c>
      <c r="H3587" s="1" t="s">
        <v>19</v>
      </c>
      <c r="I3587" s="1" t="s">
        <v>2049</v>
      </c>
      <c r="J3587" s="1">
        <v>0.01</v>
      </c>
      <c r="K3587" s="1">
        <v>0.2</v>
      </c>
      <c r="L3587" s="42">
        <v>8</v>
      </c>
      <c r="M3587" s="43"/>
      <c r="N3587" s="1" t="e">
        <f>VLOOKUP(B3587,MICRO!E:L,8,0)</f>
        <v>#N/A</v>
      </c>
    </row>
    <row r="3588" spans="1:14" ht="20.25" x14ac:dyDescent="0.25">
      <c r="A3588" s="1">
        <v>94</v>
      </c>
      <c r="B3588" s="159"/>
      <c r="C3588" s="1" t="s">
        <v>2047</v>
      </c>
      <c r="D3588" s="1"/>
      <c r="E3588" s="1"/>
      <c r="F3588" s="1" t="s">
        <v>2055</v>
      </c>
      <c r="G3588" s="1">
        <v>10</v>
      </c>
      <c r="H3588" s="1" t="s">
        <v>19</v>
      </c>
      <c r="I3588" s="1" t="s">
        <v>2049</v>
      </c>
      <c r="J3588" s="1">
        <v>0.02</v>
      </c>
      <c r="K3588" s="1">
        <v>0.2</v>
      </c>
      <c r="L3588" s="42">
        <v>8</v>
      </c>
      <c r="M3588" s="43"/>
      <c r="N3588" s="1" t="e">
        <f>VLOOKUP(B3588,MICRO!E:L,8,0)</f>
        <v>#N/A</v>
      </c>
    </row>
    <row r="3589" spans="1:14" ht="20.25" x14ac:dyDescent="0.25">
      <c r="A3589" s="1">
        <v>95</v>
      </c>
      <c r="B3589" s="159"/>
      <c r="C3589" s="1" t="s">
        <v>2047</v>
      </c>
      <c r="D3589" s="1"/>
      <c r="E3589" s="1"/>
      <c r="F3589" s="1" t="s">
        <v>2056</v>
      </c>
      <c r="G3589" s="1">
        <v>170</v>
      </c>
      <c r="H3589" s="1" t="s">
        <v>1253</v>
      </c>
      <c r="I3589" s="1" t="s">
        <v>2049</v>
      </c>
      <c r="J3589" s="1">
        <v>0.05</v>
      </c>
      <c r="K3589" s="1">
        <v>8.5</v>
      </c>
      <c r="L3589" s="42">
        <v>8</v>
      </c>
      <c r="M3589" s="43"/>
      <c r="N3589" s="1" t="e">
        <f>VLOOKUP(B3589,MICRO!E:L,8,0)</f>
        <v>#N/A</v>
      </c>
    </row>
    <row r="3590" spans="1:14" ht="20.25" x14ac:dyDescent="0.25">
      <c r="A3590" s="1">
        <v>96</v>
      </c>
      <c r="B3590" s="159"/>
      <c r="C3590" s="1" t="s">
        <v>2047</v>
      </c>
      <c r="D3590" s="1"/>
      <c r="E3590" s="1"/>
      <c r="F3590" s="1" t="s">
        <v>2057</v>
      </c>
      <c r="G3590" s="1">
        <v>6</v>
      </c>
      <c r="H3590" s="1" t="s">
        <v>19</v>
      </c>
      <c r="I3590" s="1" t="s">
        <v>2049</v>
      </c>
      <c r="J3590" s="1">
        <v>0.03</v>
      </c>
      <c r="K3590" s="1">
        <v>0.18</v>
      </c>
      <c r="L3590" s="42">
        <v>8</v>
      </c>
      <c r="M3590" s="43"/>
      <c r="N3590" s="1" t="e">
        <f>VLOOKUP(B3590,MICRO!E:L,8,0)</f>
        <v>#N/A</v>
      </c>
    </row>
    <row r="3591" spans="1:14" ht="20.25" x14ac:dyDescent="0.25">
      <c r="A3591" s="1">
        <v>97</v>
      </c>
      <c r="B3591" s="159"/>
      <c r="C3591" s="1" t="s">
        <v>2047</v>
      </c>
      <c r="D3591" s="1"/>
      <c r="E3591" s="1"/>
      <c r="F3591" s="1" t="s">
        <v>2058</v>
      </c>
      <c r="G3591" s="1">
        <v>4</v>
      </c>
      <c r="H3591" s="1" t="s">
        <v>1253</v>
      </c>
      <c r="I3591" s="1" t="s">
        <v>2049</v>
      </c>
      <c r="J3591" s="1">
        <v>0.04</v>
      </c>
      <c r="K3591" s="1">
        <v>0.16</v>
      </c>
      <c r="L3591" s="42">
        <v>8</v>
      </c>
      <c r="M3591" s="43"/>
      <c r="N3591" s="1" t="e">
        <f>VLOOKUP(B3591,MICRO!E:L,8,0)</f>
        <v>#N/A</v>
      </c>
    </row>
    <row r="3592" spans="1:14" ht="20.25" x14ac:dyDescent="0.25">
      <c r="A3592" s="1">
        <v>1</v>
      </c>
      <c r="B3592" s="159"/>
      <c r="C3592" s="1" t="s">
        <v>588</v>
      </c>
      <c r="D3592" s="1"/>
      <c r="E3592" s="1" t="s">
        <v>1103</v>
      </c>
      <c r="F3592" s="1" t="s">
        <v>2189</v>
      </c>
      <c r="G3592" s="1">
        <v>2</v>
      </c>
      <c r="H3592" s="1" t="s">
        <v>19</v>
      </c>
      <c r="I3592" s="1" t="s">
        <v>585</v>
      </c>
      <c r="J3592" s="1">
        <v>2.8</v>
      </c>
      <c r="K3592" s="1">
        <v>5.6</v>
      </c>
      <c r="L3592" s="42">
        <v>9</v>
      </c>
      <c r="M3592" s="43"/>
      <c r="N3592" s="1" t="e">
        <f>VLOOKUP(B3592,MICRO!E:L,8,0)</f>
        <v>#N/A</v>
      </c>
    </row>
    <row r="3593" spans="1:14" ht="20.25" x14ac:dyDescent="0.25">
      <c r="A3593" s="1">
        <v>2</v>
      </c>
      <c r="B3593" s="159">
        <v>2134</v>
      </c>
      <c r="C3593" s="1" t="s">
        <v>706</v>
      </c>
      <c r="D3593" s="1"/>
      <c r="E3593" s="1" t="s">
        <v>43</v>
      </c>
      <c r="F3593" s="1" t="s">
        <v>708</v>
      </c>
      <c r="G3593" s="1">
        <v>1</v>
      </c>
      <c r="H3593" s="1" t="s">
        <v>19</v>
      </c>
      <c r="I3593" s="1" t="s">
        <v>629</v>
      </c>
      <c r="J3593" s="1">
        <v>4.01</v>
      </c>
      <c r="K3593" s="1">
        <v>4.01</v>
      </c>
      <c r="L3593" s="42">
        <v>9</v>
      </c>
      <c r="M3593" s="43"/>
      <c r="N3593" s="1" t="e">
        <f>VLOOKUP(B3593,MICRO!E:L,8,0)</f>
        <v>#N/A</v>
      </c>
    </row>
    <row r="3594" spans="1:14" ht="20.25" x14ac:dyDescent="0.25">
      <c r="A3594" s="1">
        <v>3</v>
      </c>
      <c r="B3594" s="159">
        <v>2135</v>
      </c>
      <c r="C3594" s="1" t="s">
        <v>706</v>
      </c>
      <c r="D3594" s="1"/>
      <c r="E3594" s="1" t="s">
        <v>746</v>
      </c>
      <c r="F3594" s="1" t="s">
        <v>709</v>
      </c>
      <c r="G3594" s="1">
        <v>1</v>
      </c>
      <c r="H3594" s="1" t="s">
        <v>19</v>
      </c>
      <c r="I3594" s="1" t="s">
        <v>629</v>
      </c>
      <c r="J3594" s="1">
        <v>4.01</v>
      </c>
      <c r="K3594" s="1">
        <v>4.01</v>
      </c>
      <c r="L3594" s="42">
        <v>9</v>
      </c>
      <c r="M3594" s="43"/>
      <c r="N3594" s="1" t="e">
        <f>VLOOKUP(B3594,MICRO!E:L,8,0)</f>
        <v>#N/A</v>
      </c>
    </row>
    <row r="3595" spans="1:14" ht="20.25" x14ac:dyDescent="0.25">
      <c r="A3595" s="1">
        <v>4</v>
      </c>
      <c r="B3595" s="159">
        <v>2137</v>
      </c>
      <c r="C3595" s="1" t="s">
        <v>706</v>
      </c>
      <c r="D3595" s="1"/>
      <c r="E3595" s="1" t="s">
        <v>100</v>
      </c>
      <c r="F3595" s="1" t="s">
        <v>711</v>
      </c>
      <c r="G3595" s="1">
        <v>4</v>
      </c>
      <c r="H3595" s="1" t="s">
        <v>19</v>
      </c>
      <c r="I3595" s="1" t="s">
        <v>629</v>
      </c>
      <c r="J3595" s="1">
        <v>15.97</v>
      </c>
      <c r="K3595" s="1">
        <v>63.88</v>
      </c>
      <c r="L3595" s="42">
        <v>9</v>
      </c>
      <c r="M3595" s="43"/>
      <c r="N3595" s="1" t="e">
        <f>VLOOKUP(B3595,MICRO!E:L,8,0)</f>
        <v>#N/A</v>
      </c>
    </row>
    <row r="3596" spans="1:14" ht="20.25" x14ac:dyDescent="0.25">
      <c r="A3596" s="1">
        <v>5</v>
      </c>
      <c r="B3596" s="159"/>
      <c r="C3596" s="1" t="s">
        <v>185</v>
      </c>
      <c r="D3596" s="1"/>
      <c r="E3596" s="1" t="s">
        <v>2190</v>
      </c>
      <c r="F3596" s="1" t="s">
        <v>2186</v>
      </c>
      <c r="G3596" s="1">
        <v>6</v>
      </c>
      <c r="H3596" s="1" t="s">
        <v>19</v>
      </c>
      <c r="I3596" s="1" t="s">
        <v>629</v>
      </c>
      <c r="J3596" s="1">
        <v>0.2</v>
      </c>
      <c r="K3596" s="1">
        <v>1.2000000000000002</v>
      </c>
      <c r="L3596" s="42">
        <v>9</v>
      </c>
      <c r="M3596" s="43"/>
      <c r="N3596" s="1" t="e">
        <f>VLOOKUP(B3596,MICRO!E:L,8,0)</f>
        <v>#N/A</v>
      </c>
    </row>
    <row r="3597" spans="1:14" ht="20.25" x14ac:dyDescent="0.25">
      <c r="A3597" s="1">
        <v>6</v>
      </c>
      <c r="B3597" s="159">
        <v>2564</v>
      </c>
      <c r="C3597" s="1" t="s">
        <v>183</v>
      </c>
      <c r="D3597" s="1"/>
      <c r="E3597" s="1" t="s">
        <v>43</v>
      </c>
      <c r="F3597" s="1" t="s">
        <v>2191</v>
      </c>
      <c r="G3597" s="1">
        <v>34</v>
      </c>
      <c r="H3597" s="1" t="s">
        <v>19</v>
      </c>
      <c r="I3597" s="1" t="s">
        <v>629</v>
      </c>
      <c r="J3597" s="1">
        <v>0.7</v>
      </c>
      <c r="K3597" s="1">
        <v>23.799999999999997</v>
      </c>
      <c r="L3597" s="42">
        <v>9</v>
      </c>
      <c r="M3597" s="43"/>
      <c r="N3597" s="1" t="e">
        <f>VLOOKUP(B3597,MICRO!E:L,8,0)</f>
        <v>#N/A</v>
      </c>
    </row>
    <row r="3598" spans="1:14" ht="20.25" x14ac:dyDescent="0.25">
      <c r="A3598" s="1">
        <v>7</v>
      </c>
      <c r="B3598" s="159">
        <v>2564</v>
      </c>
      <c r="C3598" s="1" t="s">
        <v>183</v>
      </c>
      <c r="D3598" s="1"/>
      <c r="E3598" s="1" t="s">
        <v>2</v>
      </c>
      <c r="F3598" s="1" t="s">
        <v>1011</v>
      </c>
      <c r="G3598" s="1">
        <v>17</v>
      </c>
      <c r="H3598" s="1" t="s">
        <v>19</v>
      </c>
      <c r="I3598" s="1" t="s">
        <v>629</v>
      </c>
      <c r="J3598" s="1">
        <v>7.5</v>
      </c>
      <c r="K3598" s="1">
        <v>127.5</v>
      </c>
      <c r="L3598" s="42">
        <v>9</v>
      </c>
      <c r="M3598" s="43"/>
      <c r="N3598" s="1" t="e">
        <f>VLOOKUP(B3598,MICRO!E:L,8,0)</f>
        <v>#N/A</v>
      </c>
    </row>
    <row r="3599" spans="1:14" ht="20.25" x14ac:dyDescent="0.25">
      <c r="A3599" s="1">
        <v>8</v>
      </c>
      <c r="B3599" s="159">
        <v>2565</v>
      </c>
      <c r="C3599" s="1" t="s">
        <v>184</v>
      </c>
      <c r="D3599" s="1"/>
      <c r="E3599" s="1" t="s">
        <v>100</v>
      </c>
      <c r="F3599" s="1" t="s">
        <v>2192</v>
      </c>
      <c r="G3599" s="1">
        <v>2</v>
      </c>
      <c r="H3599" s="1" t="s">
        <v>19</v>
      </c>
      <c r="I3599" s="1" t="s">
        <v>629</v>
      </c>
      <c r="J3599" s="1">
        <v>0.35</v>
      </c>
      <c r="K3599" s="1">
        <v>0.7</v>
      </c>
      <c r="L3599" s="42">
        <v>9</v>
      </c>
      <c r="M3599" s="43"/>
      <c r="N3599" s="1" t="e">
        <f>VLOOKUP(B3599,MICRO!E:L,8,0)</f>
        <v>#N/A</v>
      </c>
    </row>
    <row r="3600" spans="1:14" ht="20.25" x14ac:dyDescent="0.25">
      <c r="A3600" s="1">
        <v>9</v>
      </c>
      <c r="B3600" s="159">
        <v>2565</v>
      </c>
      <c r="C3600" s="1" t="s">
        <v>184</v>
      </c>
      <c r="D3600" s="1"/>
      <c r="E3600" s="1" t="s">
        <v>43</v>
      </c>
      <c r="F3600" s="1" t="s">
        <v>1012</v>
      </c>
      <c r="G3600" s="1">
        <v>1</v>
      </c>
      <c r="H3600" s="1" t="s">
        <v>19</v>
      </c>
      <c r="I3600" s="1" t="s">
        <v>629</v>
      </c>
      <c r="J3600" s="1">
        <v>18.5</v>
      </c>
      <c r="K3600" s="1">
        <v>18.5</v>
      </c>
      <c r="L3600" s="42">
        <v>9</v>
      </c>
      <c r="M3600" s="43"/>
      <c r="N3600" s="1" t="e">
        <f>VLOOKUP(B3600,MICRO!E:L,8,0)</f>
        <v>#N/A</v>
      </c>
    </row>
    <row r="3601" spans="1:14" ht="20.25" x14ac:dyDescent="0.25">
      <c r="A3601" s="1">
        <v>10</v>
      </c>
      <c r="B3601" s="159"/>
      <c r="C3601" s="1" t="s">
        <v>959</v>
      </c>
      <c r="D3601" s="1"/>
      <c r="E3601" s="1" t="s">
        <v>2193</v>
      </c>
      <c r="F3601" s="1" t="s">
        <v>2194</v>
      </c>
      <c r="G3601" s="1">
        <v>2</v>
      </c>
      <c r="H3601" s="1" t="s">
        <v>19</v>
      </c>
      <c r="I3601" s="1" t="s">
        <v>629</v>
      </c>
      <c r="J3601" s="1">
        <v>0.47</v>
      </c>
      <c r="K3601" s="1">
        <v>0.94</v>
      </c>
      <c r="L3601" s="42">
        <v>9</v>
      </c>
      <c r="M3601" s="43"/>
      <c r="N3601" s="1" t="e">
        <f>VLOOKUP(B3601,MICRO!E:L,8,0)</f>
        <v>#N/A</v>
      </c>
    </row>
    <row r="3602" spans="1:14" ht="20.25" x14ac:dyDescent="0.25">
      <c r="A3602" s="1">
        <v>11</v>
      </c>
      <c r="B3602" s="159">
        <v>2567</v>
      </c>
      <c r="C3602" s="1" t="s">
        <v>959</v>
      </c>
      <c r="D3602" s="1"/>
      <c r="E3602" s="1" t="s">
        <v>746</v>
      </c>
      <c r="F3602" s="1" t="s">
        <v>1014</v>
      </c>
      <c r="G3602" s="1">
        <v>1</v>
      </c>
      <c r="H3602" s="1" t="s">
        <v>19</v>
      </c>
      <c r="I3602" s="1" t="s">
        <v>629</v>
      </c>
      <c r="J3602" s="1">
        <v>4.5</v>
      </c>
      <c r="K3602" s="1">
        <v>4.5</v>
      </c>
      <c r="L3602" s="42">
        <v>9</v>
      </c>
      <c r="M3602" s="43"/>
      <c r="N3602" s="1" t="e">
        <f>VLOOKUP(B3602,MICRO!E:L,8,0)</f>
        <v>#N/A</v>
      </c>
    </row>
    <row r="3603" spans="1:14" ht="20.25" x14ac:dyDescent="0.25">
      <c r="A3603" s="1">
        <v>12</v>
      </c>
      <c r="B3603" s="159"/>
      <c r="C3603" s="1" t="s">
        <v>959</v>
      </c>
      <c r="D3603" s="1"/>
      <c r="E3603" s="1" t="s">
        <v>2195</v>
      </c>
      <c r="F3603" s="1" t="s">
        <v>2186</v>
      </c>
      <c r="G3603" s="1">
        <v>1</v>
      </c>
      <c r="H3603" s="1" t="s">
        <v>19</v>
      </c>
      <c r="I3603" s="1" t="s">
        <v>629</v>
      </c>
      <c r="J3603" s="1">
        <v>0.2</v>
      </c>
      <c r="K3603" s="1">
        <v>0.2</v>
      </c>
      <c r="L3603" s="42">
        <v>9</v>
      </c>
      <c r="M3603" s="43"/>
      <c r="N3603" s="1" t="e">
        <f>VLOOKUP(B3603,MICRO!E:L,8,0)</f>
        <v>#N/A</v>
      </c>
    </row>
    <row r="3604" spans="1:14" ht="20.25" x14ac:dyDescent="0.25">
      <c r="A3604" s="1">
        <v>13</v>
      </c>
      <c r="B3604" s="159">
        <v>2611</v>
      </c>
      <c r="C3604" s="1" t="s">
        <v>1033</v>
      </c>
      <c r="D3604" s="1"/>
      <c r="E3604" s="1" t="s">
        <v>2</v>
      </c>
      <c r="F3604" s="1" t="s">
        <v>1034</v>
      </c>
      <c r="G3604" s="1">
        <v>2</v>
      </c>
      <c r="H3604" s="1" t="s">
        <v>19</v>
      </c>
      <c r="I3604" s="1" t="s">
        <v>585</v>
      </c>
      <c r="J3604" s="1">
        <v>47.93</v>
      </c>
      <c r="K3604" s="1">
        <v>95.86</v>
      </c>
      <c r="L3604" s="42">
        <v>9</v>
      </c>
      <c r="M3604" s="43"/>
      <c r="N3604" s="1" t="e">
        <f>VLOOKUP(B3604,MICRO!E:L,8,0)</f>
        <v>#N/A</v>
      </c>
    </row>
    <row r="3605" spans="1:14" ht="20.25" x14ac:dyDescent="0.25">
      <c r="A3605" s="1">
        <v>14</v>
      </c>
      <c r="B3605" s="159">
        <v>2612</v>
      </c>
      <c r="C3605" s="1" t="s">
        <v>1033</v>
      </c>
      <c r="D3605" s="1"/>
      <c r="E3605" s="1" t="s">
        <v>43</v>
      </c>
      <c r="F3605" s="1" t="s">
        <v>1035</v>
      </c>
      <c r="G3605" s="1">
        <v>4</v>
      </c>
      <c r="H3605" s="1" t="s">
        <v>19</v>
      </c>
      <c r="I3605" s="1" t="s">
        <v>585</v>
      </c>
      <c r="J3605" s="1">
        <v>5.87</v>
      </c>
      <c r="K3605" s="1">
        <v>23.48</v>
      </c>
      <c r="L3605" s="42">
        <v>9</v>
      </c>
      <c r="M3605" s="43"/>
      <c r="N3605" s="1" t="e">
        <f>VLOOKUP(B3605,MICRO!E:L,8,0)</f>
        <v>#N/A</v>
      </c>
    </row>
    <row r="3606" spans="1:14" ht="20.25" x14ac:dyDescent="0.25">
      <c r="A3606" s="1">
        <v>15</v>
      </c>
      <c r="B3606" s="159"/>
      <c r="C3606" s="1"/>
      <c r="D3606" s="1" t="s">
        <v>2196</v>
      </c>
      <c r="E3606" s="1"/>
      <c r="F3606" s="1" t="s">
        <v>2197</v>
      </c>
      <c r="G3606" s="1">
        <v>12</v>
      </c>
      <c r="H3606" s="1" t="s">
        <v>19</v>
      </c>
      <c r="I3606" s="1" t="s">
        <v>589</v>
      </c>
      <c r="J3606" s="1">
        <v>0.02</v>
      </c>
      <c r="K3606" s="1">
        <v>0.24</v>
      </c>
      <c r="L3606" s="42">
        <v>9</v>
      </c>
      <c r="M3606" s="43"/>
      <c r="N3606" s="1" t="e">
        <f>VLOOKUP(B3606,MICRO!E:L,8,0)</f>
        <v>#N/A</v>
      </c>
    </row>
    <row r="3607" spans="1:14" ht="20.25" x14ac:dyDescent="0.25">
      <c r="A3607" s="1">
        <v>16</v>
      </c>
      <c r="B3607" s="159"/>
      <c r="C3607" s="1"/>
      <c r="D3607" s="1" t="s">
        <v>2196</v>
      </c>
      <c r="E3607" s="1"/>
      <c r="F3607" s="1" t="s">
        <v>2198</v>
      </c>
      <c r="G3607" s="1">
        <v>3</v>
      </c>
      <c r="H3607" s="1" t="s">
        <v>19</v>
      </c>
      <c r="I3607" s="1" t="s">
        <v>589</v>
      </c>
      <c r="J3607" s="1">
        <v>0.02</v>
      </c>
      <c r="K3607" s="1">
        <v>0.06</v>
      </c>
      <c r="L3607" s="42">
        <v>9</v>
      </c>
      <c r="M3607" s="43"/>
      <c r="N3607" s="1" t="e">
        <f>VLOOKUP(B3607,MICRO!E:L,8,0)</f>
        <v>#N/A</v>
      </c>
    </row>
    <row r="3608" spans="1:14" ht="20.25" x14ac:dyDescent="0.25">
      <c r="A3608" s="1">
        <v>17</v>
      </c>
      <c r="B3608" s="159"/>
      <c r="C3608" s="1"/>
      <c r="D3608" s="1" t="s">
        <v>2196</v>
      </c>
      <c r="E3608" s="1"/>
      <c r="F3608" s="1" t="s">
        <v>2199</v>
      </c>
      <c r="G3608" s="1">
        <v>12</v>
      </c>
      <c r="H3608" s="1" t="s">
        <v>19</v>
      </c>
      <c r="I3608" s="1" t="s">
        <v>589</v>
      </c>
      <c r="J3608" s="1">
        <v>0.03</v>
      </c>
      <c r="K3608" s="1">
        <v>0.36</v>
      </c>
      <c r="L3608" s="42">
        <v>9</v>
      </c>
      <c r="M3608" s="43"/>
      <c r="N3608" s="1" t="e">
        <f>VLOOKUP(B3608,MICRO!E:L,8,0)</f>
        <v>#N/A</v>
      </c>
    </row>
    <row r="3609" spans="1:14" ht="20.25" x14ac:dyDescent="0.25">
      <c r="A3609" s="1">
        <v>18</v>
      </c>
      <c r="B3609" s="159"/>
      <c r="C3609" s="1"/>
      <c r="D3609" s="1" t="s">
        <v>2196</v>
      </c>
      <c r="E3609" s="1"/>
      <c r="F3609" s="1" t="s">
        <v>2200</v>
      </c>
      <c r="G3609" s="1">
        <v>3</v>
      </c>
      <c r="H3609" s="1" t="s">
        <v>19</v>
      </c>
      <c r="I3609" s="1" t="s">
        <v>589</v>
      </c>
      <c r="J3609" s="1">
        <v>0.03</v>
      </c>
      <c r="K3609" s="1">
        <v>0.09</v>
      </c>
      <c r="L3609" s="42">
        <v>9</v>
      </c>
      <c r="M3609" s="43"/>
      <c r="N3609" s="1" t="e">
        <f>VLOOKUP(B3609,MICRO!E:L,8,0)</f>
        <v>#N/A</v>
      </c>
    </row>
    <row r="3610" spans="1:14" ht="20.25" x14ac:dyDescent="0.25">
      <c r="A3610" s="1">
        <v>19</v>
      </c>
      <c r="B3610" s="159"/>
      <c r="C3610" s="1" t="s">
        <v>2201</v>
      </c>
      <c r="D3610" s="1"/>
      <c r="E3610" s="1"/>
      <c r="F3610" s="1" t="s">
        <v>2202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2">
        <v>9</v>
      </c>
      <c r="M3610" s="43"/>
      <c r="N3610" s="1" t="e">
        <f>VLOOKUP(B3610,MICRO!E:L,8,0)</f>
        <v>#N/A</v>
      </c>
    </row>
    <row r="3611" spans="1:14" ht="20.25" x14ac:dyDescent="0.25">
      <c r="A3611" s="1">
        <v>20</v>
      </c>
      <c r="B3611" s="159"/>
      <c r="C3611" s="1" t="s">
        <v>2201</v>
      </c>
      <c r="D3611" s="1"/>
      <c r="E3611" s="1"/>
      <c r="F3611" s="1" t="s">
        <v>2203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2">
        <v>9</v>
      </c>
      <c r="M3611" s="43"/>
      <c r="N3611" s="1" t="e">
        <f>VLOOKUP(B3611,MICRO!E:L,8,0)</f>
        <v>#N/A</v>
      </c>
    </row>
    <row r="3612" spans="1:14" ht="20.25" x14ac:dyDescent="0.25">
      <c r="A3612" s="1">
        <v>21</v>
      </c>
      <c r="B3612" s="159"/>
      <c r="C3612" s="1" t="s">
        <v>2201</v>
      </c>
      <c r="D3612" s="1"/>
      <c r="E3612" s="1"/>
      <c r="F3612" s="1" t="s">
        <v>2204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2">
        <v>9</v>
      </c>
      <c r="M3612" s="43"/>
      <c r="N3612" s="1" t="e">
        <f>VLOOKUP(B3612,MICRO!E:L,8,0)</f>
        <v>#N/A</v>
      </c>
    </row>
    <row r="3613" spans="1:14" ht="20.25" x14ac:dyDescent="0.25">
      <c r="A3613" s="1">
        <v>22</v>
      </c>
      <c r="B3613" s="159"/>
      <c r="C3613" s="1" t="s">
        <v>2201</v>
      </c>
      <c r="D3613" s="1"/>
      <c r="E3613" s="1"/>
      <c r="F3613" s="1" t="s">
        <v>2205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2">
        <v>9</v>
      </c>
      <c r="M3613" s="43"/>
      <c r="N3613" s="1" t="e">
        <f>VLOOKUP(B3613,MICRO!E:L,8,0)</f>
        <v>#N/A</v>
      </c>
    </row>
    <row r="3614" spans="1:14" ht="20.25" x14ac:dyDescent="0.25">
      <c r="A3614" s="1">
        <v>23</v>
      </c>
      <c r="B3614" s="159"/>
      <c r="C3614" s="1" t="s">
        <v>2206</v>
      </c>
      <c r="D3614" s="1"/>
      <c r="E3614" s="1"/>
      <c r="F3614" s="1" t="s">
        <v>2207</v>
      </c>
      <c r="G3614" s="1">
        <v>3</v>
      </c>
      <c r="H3614" s="1" t="s">
        <v>19</v>
      </c>
      <c r="I3614" s="1" t="s">
        <v>634</v>
      </c>
      <c r="J3614" s="1">
        <v>0.02</v>
      </c>
      <c r="K3614" s="1">
        <v>0.06</v>
      </c>
      <c r="L3614" s="42">
        <v>9</v>
      </c>
      <c r="M3614" s="43"/>
      <c r="N3614" s="1" t="e">
        <f>VLOOKUP(B3614,MICRO!E:L,8,0)</f>
        <v>#N/A</v>
      </c>
    </row>
    <row r="3615" spans="1:14" ht="20.25" x14ac:dyDescent="0.25">
      <c r="A3615" s="1">
        <v>24</v>
      </c>
      <c r="B3615" s="159"/>
      <c r="C3615" s="1" t="s">
        <v>2206</v>
      </c>
      <c r="D3615" s="1"/>
      <c r="E3615" s="1"/>
      <c r="F3615" s="1" t="s">
        <v>2208</v>
      </c>
      <c r="G3615" s="1">
        <v>12</v>
      </c>
      <c r="H3615" s="1" t="s">
        <v>19</v>
      </c>
      <c r="I3615" s="1" t="s">
        <v>634</v>
      </c>
      <c r="J3615" s="1">
        <v>0.02</v>
      </c>
      <c r="K3615" s="1">
        <v>0.24</v>
      </c>
      <c r="L3615" s="42">
        <v>9</v>
      </c>
      <c r="M3615" s="43"/>
      <c r="N3615" s="1" t="e">
        <f>VLOOKUP(B3615,MICRO!E:L,8,0)</f>
        <v>#N/A</v>
      </c>
    </row>
    <row r="3616" spans="1:14" ht="20.25" x14ac:dyDescent="0.25">
      <c r="A3616" s="1">
        <v>25</v>
      </c>
      <c r="B3616" s="159"/>
      <c r="C3616" s="1" t="s">
        <v>2206</v>
      </c>
      <c r="D3616" s="1"/>
      <c r="E3616" s="1"/>
      <c r="F3616" s="1" t="s">
        <v>2209</v>
      </c>
      <c r="G3616" s="1">
        <v>12</v>
      </c>
      <c r="H3616" s="1" t="s">
        <v>19</v>
      </c>
      <c r="I3616" s="1" t="s">
        <v>634</v>
      </c>
      <c r="J3616" s="1">
        <v>0.02</v>
      </c>
      <c r="K3616" s="1">
        <v>0.24</v>
      </c>
      <c r="L3616" s="42">
        <v>9</v>
      </c>
      <c r="M3616" s="43"/>
      <c r="N3616" s="1" t="e">
        <f>VLOOKUP(B3616,MICRO!E:L,8,0)</f>
        <v>#N/A</v>
      </c>
    </row>
    <row r="3617" spans="1:14" ht="20.25" x14ac:dyDescent="0.25">
      <c r="A3617" s="1">
        <v>26</v>
      </c>
      <c r="B3617" s="159"/>
      <c r="C3617" s="1" t="s">
        <v>2047</v>
      </c>
      <c r="D3617" s="1"/>
      <c r="E3617" s="1"/>
      <c r="F3617" s="1" t="s">
        <v>2210</v>
      </c>
      <c r="G3617" s="1">
        <v>3</v>
      </c>
      <c r="H3617" s="1" t="s">
        <v>19</v>
      </c>
      <c r="I3617" s="1" t="s">
        <v>629</v>
      </c>
      <c r="J3617" s="1">
        <v>0.02</v>
      </c>
      <c r="K3617" s="1">
        <v>0.06</v>
      </c>
      <c r="L3617" s="42">
        <v>9</v>
      </c>
      <c r="M3617" s="43"/>
      <c r="N3617" s="1" t="e">
        <f>VLOOKUP(B3617,MICRO!E:L,8,0)</f>
        <v>#N/A</v>
      </c>
    </row>
    <row r="3618" spans="1:14" ht="20.25" x14ac:dyDescent="0.25">
      <c r="A3618" s="1">
        <v>27</v>
      </c>
      <c r="B3618" s="159"/>
      <c r="C3618" s="1" t="s">
        <v>2047</v>
      </c>
      <c r="D3618" s="1"/>
      <c r="E3618" s="1"/>
      <c r="F3618" s="1" t="s">
        <v>2211</v>
      </c>
      <c r="G3618" s="1">
        <v>12</v>
      </c>
      <c r="H3618" s="1" t="s">
        <v>19</v>
      </c>
      <c r="I3618" s="1" t="s">
        <v>629</v>
      </c>
      <c r="J3618" s="1">
        <v>0.02</v>
      </c>
      <c r="K3618" s="1">
        <v>0.24</v>
      </c>
      <c r="L3618" s="42">
        <v>9</v>
      </c>
      <c r="M3618" s="43"/>
      <c r="N3618" s="1" t="e">
        <f>VLOOKUP(B3618,MICRO!E:L,8,0)</f>
        <v>#N/A</v>
      </c>
    </row>
    <row r="3619" spans="1:14" ht="20.25" x14ac:dyDescent="0.25">
      <c r="A3619" s="1">
        <v>28</v>
      </c>
      <c r="B3619" s="159"/>
      <c r="C3619" s="1" t="s">
        <v>2047</v>
      </c>
      <c r="D3619" s="1"/>
      <c r="E3619" s="1"/>
      <c r="F3619" s="1" t="s">
        <v>2212</v>
      </c>
      <c r="G3619" s="1">
        <v>3</v>
      </c>
      <c r="H3619" s="1" t="s">
        <v>19</v>
      </c>
      <c r="I3619" s="1" t="s">
        <v>629</v>
      </c>
      <c r="J3619" s="1">
        <v>0.03</v>
      </c>
      <c r="K3619" s="1">
        <v>0.09</v>
      </c>
      <c r="L3619" s="42">
        <v>9</v>
      </c>
      <c r="M3619" s="43"/>
      <c r="N3619" s="1" t="e">
        <f>VLOOKUP(B3619,MICRO!E:L,8,0)</f>
        <v>#N/A</v>
      </c>
    </row>
    <row r="3620" spans="1:14" ht="20.25" x14ac:dyDescent="0.25">
      <c r="A3620" s="1">
        <v>29</v>
      </c>
      <c r="B3620" s="159"/>
      <c r="C3620" s="1" t="s">
        <v>2047</v>
      </c>
      <c r="D3620" s="1"/>
      <c r="E3620" s="1"/>
      <c r="F3620" s="1" t="s">
        <v>2213</v>
      </c>
      <c r="G3620" s="1">
        <v>12</v>
      </c>
      <c r="H3620" s="1" t="s">
        <v>19</v>
      </c>
      <c r="I3620" s="1" t="s">
        <v>629</v>
      </c>
      <c r="J3620" s="1">
        <v>0.02</v>
      </c>
      <c r="K3620" s="1">
        <v>0.24</v>
      </c>
      <c r="L3620" s="42">
        <v>9</v>
      </c>
      <c r="M3620" s="43"/>
      <c r="N3620" s="1" t="e">
        <f>VLOOKUP(B3620,MICRO!E:L,8,0)</f>
        <v>#N/A</v>
      </c>
    </row>
    <row r="3621" spans="1:14" ht="20.25" x14ac:dyDescent="0.25">
      <c r="A3621" s="1">
        <v>30</v>
      </c>
      <c r="B3621" s="159"/>
      <c r="C3621" s="1" t="s">
        <v>2214</v>
      </c>
      <c r="D3621" s="1"/>
      <c r="E3621" s="1"/>
      <c r="F3621" s="1" t="s">
        <v>2215</v>
      </c>
      <c r="G3621" s="1">
        <v>1</v>
      </c>
      <c r="H3621" s="1" t="s">
        <v>19</v>
      </c>
      <c r="I3621" s="1" t="s">
        <v>634</v>
      </c>
      <c r="J3621" s="1">
        <v>2.8</v>
      </c>
      <c r="K3621" s="1">
        <v>2.8</v>
      </c>
      <c r="L3621" s="42">
        <v>9</v>
      </c>
      <c r="M3621" s="43"/>
      <c r="N3621" s="1" t="e">
        <f>VLOOKUP(B3621,MICRO!E:L,8,0)</f>
        <v>#N/A</v>
      </c>
    </row>
    <row r="3622" spans="1:14" ht="20.25" x14ac:dyDescent="0.25">
      <c r="A3622" s="1">
        <v>31</v>
      </c>
      <c r="B3622" s="159"/>
      <c r="C3622" s="1" t="s">
        <v>2214</v>
      </c>
      <c r="D3622" s="1"/>
      <c r="E3622" s="1"/>
      <c r="F3622" s="1" t="s">
        <v>2216</v>
      </c>
      <c r="G3622" s="1">
        <v>2</v>
      </c>
      <c r="H3622" s="1" t="s">
        <v>19</v>
      </c>
      <c r="I3622" s="1" t="s">
        <v>634</v>
      </c>
      <c r="J3622" s="1">
        <v>6.2</v>
      </c>
      <c r="K3622" s="1">
        <v>12.4</v>
      </c>
      <c r="L3622" s="42">
        <v>9</v>
      </c>
      <c r="M3622" s="43"/>
      <c r="N3622" s="1" t="e">
        <f>VLOOKUP(B3622,MICRO!E:L,8,0)</f>
        <v>#N/A</v>
      </c>
    </row>
    <row r="3623" spans="1:14" ht="20.25" x14ac:dyDescent="0.25">
      <c r="A3623" s="1">
        <v>32</v>
      </c>
      <c r="B3623" s="159"/>
      <c r="C3623" s="1" t="s">
        <v>2214</v>
      </c>
      <c r="D3623" s="1"/>
      <c r="E3623" s="1"/>
      <c r="F3623" s="1" t="s">
        <v>2217</v>
      </c>
      <c r="G3623" s="1">
        <v>30</v>
      </c>
      <c r="H3623" s="1" t="s">
        <v>19</v>
      </c>
      <c r="I3623" s="1" t="s">
        <v>634</v>
      </c>
      <c r="J3623" s="1">
        <v>0.2</v>
      </c>
      <c r="K3623" s="1">
        <v>6</v>
      </c>
      <c r="L3623" s="42">
        <v>9</v>
      </c>
      <c r="M3623" s="43"/>
      <c r="N3623" s="1" t="e">
        <f>VLOOKUP(B3623,MICRO!E:L,8,0)</f>
        <v>#N/A</v>
      </c>
    </row>
    <row r="3624" spans="1:14" ht="20.25" x14ac:dyDescent="0.25">
      <c r="A3624" s="1">
        <v>33</v>
      </c>
      <c r="B3624" s="159"/>
      <c r="C3624" s="1" t="s">
        <v>2214</v>
      </c>
      <c r="D3624" s="1"/>
      <c r="E3624" s="1"/>
      <c r="F3624" s="1" t="s">
        <v>2218</v>
      </c>
      <c r="G3624" s="1">
        <v>3</v>
      </c>
      <c r="H3624" s="1" t="s">
        <v>19</v>
      </c>
      <c r="I3624" s="1" t="s">
        <v>634</v>
      </c>
      <c r="J3624" s="1">
        <v>0.03</v>
      </c>
      <c r="K3624" s="1">
        <v>0.09</v>
      </c>
      <c r="L3624" s="42">
        <v>9</v>
      </c>
      <c r="M3624" s="43"/>
      <c r="N3624" s="1" t="e">
        <f>VLOOKUP(B3624,MICRO!E:L,8,0)</f>
        <v>#N/A</v>
      </c>
    </row>
    <row r="3625" spans="1:14" ht="20.25" x14ac:dyDescent="0.25">
      <c r="A3625" s="1">
        <v>34</v>
      </c>
      <c r="B3625" s="159"/>
      <c r="C3625" s="1" t="s">
        <v>2214</v>
      </c>
      <c r="D3625" s="1"/>
      <c r="E3625" s="1"/>
      <c r="F3625" s="1" t="s">
        <v>2219</v>
      </c>
      <c r="G3625" s="1">
        <v>6</v>
      </c>
      <c r="H3625" s="1" t="s">
        <v>1105</v>
      </c>
      <c r="I3625" s="1" t="s">
        <v>634</v>
      </c>
      <c r="J3625" s="1">
        <v>1</v>
      </c>
      <c r="K3625" s="1">
        <v>6</v>
      </c>
      <c r="L3625" s="42">
        <v>9</v>
      </c>
      <c r="M3625" s="43"/>
      <c r="N3625" s="1" t="e">
        <f>VLOOKUP(B3625,MICRO!E:L,8,0)</f>
        <v>#N/A</v>
      </c>
    </row>
    <row r="3626" spans="1:14" ht="20.25" x14ac:dyDescent="0.25">
      <c r="A3626" s="1">
        <v>35</v>
      </c>
      <c r="B3626" s="159"/>
      <c r="C3626" s="1" t="s">
        <v>2214</v>
      </c>
      <c r="D3626" s="1"/>
      <c r="E3626" s="1"/>
      <c r="F3626" s="1" t="s">
        <v>2220</v>
      </c>
      <c r="G3626" s="1">
        <v>8</v>
      </c>
      <c r="H3626" s="1" t="s">
        <v>19</v>
      </c>
      <c r="I3626" s="1" t="s">
        <v>634</v>
      </c>
      <c r="J3626" s="1">
        <v>0.03</v>
      </c>
      <c r="K3626" s="1">
        <v>0.24</v>
      </c>
      <c r="L3626" s="42">
        <v>9</v>
      </c>
      <c r="M3626" s="43"/>
      <c r="N3626" s="1" t="e">
        <f>VLOOKUP(B3626,MICRO!E:L,8,0)</f>
        <v>#N/A</v>
      </c>
    </row>
    <row r="3627" spans="1:14" ht="20.25" x14ac:dyDescent="0.25">
      <c r="A3627" s="1">
        <v>36</v>
      </c>
      <c r="B3627" s="159"/>
      <c r="C3627" s="1" t="s">
        <v>2214</v>
      </c>
      <c r="D3627" s="1"/>
      <c r="E3627" s="1"/>
      <c r="F3627" s="1" t="s">
        <v>2221</v>
      </c>
      <c r="G3627" s="1">
        <v>2</v>
      </c>
      <c r="H3627" s="1" t="s">
        <v>19</v>
      </c>
      <c r="I3627" s="1" t="s">
        <v>634</v>
      </c>
      <c r="J3627" s="1">
        <v>0.04</v>
      </c>
      <c r="K3627" s="1">
        <v>0.08</v>
      </c>
      <c r="L3627" s="42">
        <v>9</v>
      </c>
      <c r="M3627" s="43"/>
      <c r="N3627" s="1" t="e">
        <f>VLOOKUP(B3627,MICRO!E:L,8,0)</f>
        <v>#N/A</v>
      </c>
    </row>
    <row r="3628" spans="1:14" ht="20.25" x14ac:dyDescent="0.25">
      <c r="A3628" s="1">
        <v>37</v>
      </c>
      <c r="B3628" s="159"/>
      <c r="C3628" s="1" t="s">
        <v>2214</v>
      </c>
      <c r="D3628" s="1"/>
      <c r="E3628" s="1"/>
      <c r="F3628" s="1" t="s">
        <v>2222</v>
      </c>
      <c r="G3628" s="1">
        <v>2</v>
      </c>
      <c r="H3628" s="1" t="s">
        <v>19</v>
      </c>
      <c r="I3628" s="1" t="s">
        <v>634</v>
      </c>
      <c r="J3628" s="1">
        <v>0.5</v>
      </c>
      <c r="K3628" s="1">
        <v>1</v>
      </c>
      <c r="L3628" s="42">
        <v>9</v>
      </c>
      <c r="M3628" s="43"/>
      <c r="N3628" s="1" t="e">
        <f>VLOOKUP(B3628,MICRO!E:L,8,0)</f>
        <v>#N/A</v>
      </c>
    </row>
    <row r="3629" spans="1:14" ht="20.25" x14ac:dyDescent="0.25">
      <c r="A3629" s="1">
        <v>38</v>
      </c>
      <c r="B3629" s="159"/>
      <c r="C3629" s="1" t="s">
        <v>2214</v>
      </c>
      <c r="D3629" s="1"/>
      <c r="E3629" s="1"/>
      <c r="F3629" s="1" t="s">
        <v>2223</v>
      </c>
      <c r="G3629" s="1">
        <v>8</v>
      </c>
      <c r="H3629" s="1" t="s">
        <v>19</v>
      </c>
      <c r="I3629" s="1" t="s">
        <v>634</v>
      </c>
      <c r="J3629" s="1">
        <v>0.5</v>
      </c>
      <c r="K3629" s="1">
        <v>4</v>
      </c>
      <c r="L3629" s="42">
        <v>9</v>
      </c>
      <c r="M3629" s="43"/>
      <c r="N3629" s="1" t="e">
        <f>VLOOKUP(B3629,MICRO!E:L,8,0)</f>
        <v>#N/A</v>
      </c>
    </row>
    <row r="3630" spans="1:14" ht="20.25" x14ac:dyDescent="0.25">
      <c r="A3630" s="1">
        <v>39</v>
      </c>
      <c r="B3630" s="159"/>
      <c r="C3630" s="1" t="s">
        <v>2214</v>
      </c>
      <c r="D3630" s="1"/>
      <c r="E3630" s="1"/>
      <c r="F3630" s="1" t="s">
        <v>2224</v>
      </c>
      <c r="G3630" s="1">
        <v>2</v>
      </c>
      <c r="H3630" s="1" t="s">
        <v>19</v>
      </c>
      <c r="I3630" s="1" t="s">
        <v>634</v>
      </c>
      <c r="J3630" s="1">
        <v>0.03</v>
      </c>
      <c r="K3630" s="1">
        <v>0.06</v>
      </c>
      <c r="L3630" s="42">
        <v>9</v>
      </c>
      <c r="M3630" s="43"/>
      <c r="N3630" s="1" t="e">
        <f>VLOOKUP(B3630,MICRO!E:L,8,0)</f>
        <v>#N/A</v>
      </c>
    </row>
    <row r="3631" spans="1:14" ht="20.25" x14ac:dyDescent="0.25">
      <c r="A3631" s="1">
        <v>40</v>
      </c>
      <c r="B3631" s="159"/>
      <c r="C3631" s="1" t="s">
        <v>2214</v>
      </c>
      <c r="D3631" s="1"/>
      <c r="E3631" s="1"/>
      <c r="F3631" s="1" t="s">
        <v>2225</v>
      </c>
      <c r="G3631" s="1">
        <v>2</v>
      </c>
      <c r="H3631" s="1" t="s">
        <v>19</v>
      </c>
      <c r="I3631" s="1" t="s">
        <v>634</v>
      </c>
      <c r="J3631" s="1">
        <v>0.5</v>
      </c>
      <c r="K3631" s="1">
        <v>1</v>
      </c>
      <c r="L3631" s="42">
        <v>9</v>
      </c>
      <c r="M3631" s="43"/>
      <c r="N3631" s="1" t="e">
        <f>VLOOKUP(B3631,MICRO!E:L,8,0)</f>
        <v>#N/A</v>
      </c>
    </row>
    <row r="3632" spans="1:14" ht="20.25" x14ac:dyDescent="0.25">
      <c r="A3632" s="1">
        <v>41</v>
      </c>
      <c r="B3632" s="159"/>
      <c r="C3632" s="1" t="s">
        <v>2214</v>
      </c>
      <c r="D3632" s="1"/>
      <c r="E3632" s="1"/>
      <c r="F3632" s="1" t="s">
        <v>2226</v>
      </c>
      <c r="G3632" s="1">
        <v>3</v>
      </c>
      <c r="H3632" s="1" t="s">
        <v>19</v>
      </c>
      <c r="I3632" s="1" t="s">
        <v>634</v>
      </c>
      <c r="J3632" s="1">
        <v>0.05</v>
      </c>
      <c r="K3632" s="1">
        <v>0.15000000000000002</v>
      </c>
      <c r="L3632" s="42">
        <v>9</v>
      </c>
      <c r="M3632" s="43"/>
      <c r="N3632" s="1" t="e">
        <f>VLOOKUP(B3632,MICRO!E:L,8,0)</f>
        <v>#N/A</v>
      </c>
    </row>
    <row r="3633" spans="1:14" ht="20.25" x14ac:dyDescent="0.25">
      <c r="A3633" s="1">
        <v>42</v>
      </c>
      <c r="B3633" s="159"/>
      <c r="C3633" s="1" t="s">
        <v>2214</v>
      </c>
      <c r="D3633" s="1"/>
      <c r="E3633" s="1"/>
      <c r="F3633" s="1" t="s">
        <v>2227</v>
      </c>
      <c r="G3633" s="1">
        <v>3</v>
      </c>
      <c r="H3633" s="1" t="s">
        <v>19</v>
      </c>
      <c r="I3633" s="1" t="s">
        <v>634</v>
      </c>
      <c r="J3633" s="1">
        <v>0.03</v>
      </c>
      <c r="K3633" s="1">
        <v>0.09</v>
      </c>
      <c r="L3633" s="42">
        <v>9</v>
      </c>
      <c r="M3633" s="43"/>
      <c r="N3633" s="1" t="e">
        <f>VLOOKUP(B3633,MICRO!E:L,8,0)</f>
        <v>#N/A</v>
      </c>
    </row>
    <row r="3634" spans="1:14" ht="20.25" x14ac:dyDescent="0.25">
      <c r="A3634" s="1">
        <v>43</v>
      </c>
      <c r="B3634" s="159"/>
      <c r="C3634" s="1" t="s">
        <v>2214</v>
      </c>
      <c r="D3634" s="1"/>
      <c r="E3634" s="1"/>
      <c r="F3634" s="1" t="s">
        <v>2228</v>
      </c>
      <c r="G3634" s="1">
        <v>2</v>
      </c>
      <c r="H3634" s="1" t="s">
        <v>19</v>
      </c>
      <c r="I3634" s="1" t="s">
        <v>634</v>
      </c>
      <c r="J3634" s="1">
        <v>0.5</v>
      </c>
      <c r="K3634" s="1">
        <v>1</v>
      </c>
      <c r="L3634" s="42">
        <v>9</v>
      </c>
      <c r="M3634" s="43"/>
      <c r="N3634" s="1" t="e">
        <f>VLOOKUP(B3634,MICRO!E:L,8,0)</f>
        <v>#N/A</v>
      </c>
    </row>
    <row r="3635" spans="1:14" ht="20.25" x14ac:dyDescent="0.25">
      <c r="A3635" s="1">
        <v>44</v>
      </c>
      <c r="B3635" s="159"/>
      <c r="C3635" s="1" t="s">
        <v>2214</v>
      </c>
      <c r="D3635" s="1"/>
      <c r="E3635" s="1"/>
      <c r="F3635" s="1" t="s">
        <v>2229</v>
      </c>
      <c r="G3635" s="1">
        <v>8</v>
      </c>
      <c r="H3635" s="1" t="s">
        <v>19</v>
      </c>
      <c r="I3635" s="1" t="s">
        <v>634</v>
      </c>
      <c r="J3635" s="1">
        <v>0.03</v>
      </c>
      <c r="K3635" s="1">
        <v>0.24</v>
      </c>
      <c r="L3635" s="42">
        <v>9</v>
      </c>
      <c r="M3635" s="43"/>
      <c r="N3635" s="1" t="e">
        <f>VLOOKUP(B3635,MICRO!E:L,8,0)</f>
        <v>#N/A</v>
      </c>
    </row>
    <row r="3636" spans="1:14" ht="20.25" x14ac:dyDescent="0.25">
      <c r="A3636" s="1">
        <v>45</v>
      </c>
      <c r="B3636" s="159"/>
      <c r="C3636" s="1" t="s">
        <v>2214</v>
      </c>
      <c r="D3636" s="1"/>
      <c r="E3636" s="1"/>
      <c r="F3636" s="1" t="s">
        <v>2230</v>
      </c>
      <c r="G3636" s="1">
        <v>2</v>
      </c>
      <c r="H3636" s="1" t="s">
        <v>19</v>
      </c>
      <c r="I3636" s="1" t="s">
        <v>634</v>
      </c>
      <c r="J3636" s="1">
        <v>0.04</v>
      </c>
      <c r="K3636" s="1">
        <v>0.08</v>
      </c>
      <c r="L3636" s="42">
        <v>9</v>
      </c>
      <c r="M3636" s="43"/>
      <c r="N3636" s="1" t="e">
        <f>VLOOKUP(B3636,MICRO!E:L,8,0)</f>
        <v>#N/A</v>
      </c>
    </row>
    <row r="3637" spans="1:14" ht="20.25" x14ac:dyDescent="0.25">
      <c r="A3637" s="1">
        <v>46</v>
      </c>
      <c r="B3637" s="159"/>
      <c r="C3637" s="1" t="s">
        <v>2214</v>
      </c>
      <c r="D3637" s="1"/>
      <c r="E3637" s="1"/>
      <c r="F3637" s="1" t="s">
        <v>2231</v>
      </c>
      <c r="G3637" s="1">
        <v>3</v>
      </c>
      <c r="H3637" s="1" t="s">
        <v>19</v>
      </c>
      <c r="I3637" s="1" t="s">
        <v>634</v>
      </c>
      <c r="J3637" s="1">
        <v>0.5</v>
      </c>
      <c r="K3637" s="1">
        <v>1.5</v>
      </c>
      <c r="L3637" s="42">
        <v>9</v>
      </c>
      <c r="M3637" s="43"/>
      <c r="N3637" s="1" t="e">
        <f>VLOOKUP(B3637,MICRO!E:L,8,0)</f>
        <v>#N/A</v>
      </c>
    </row>
    <row r="3638" spans="1:14" ht="20.25" x14ac:dyDescent="0.25">
      <c r="A3638" s="1">
        <v>47</v>
      </c>
      <c r="B3638" s="159"/>
      <c r="C3638" s="1" t="s">
        <v>2196</v>
      </c>
      <c r="D3638" s="1"/>
      <c r="E3638" s="1"/>
      <c r="F3638" s="1" t="s">
        <v>2232</v>
      </c>
      <c r="G3638" s="1">
        <v>1</v>
      </c>
      <c r="H3638" s="1" t="s">
        <v>19</v>
      </c>
      <c r="I3638" s="1" t="s">
        <v>589</v>
      </c>
      <c r="J3638" s="1">
        <v>2.8</v>
      </c>
      <c r="K3638" s="1">
        <v>2.8</v>
      </c>
      <c r="L3638" s="42">
        <v>9</v>
      </c>
      <c r="M3638" s="43"/>
      <c r="N3638" s="1" t="e">
        <f>VLOOKUP(B3638,MICRO!E:L,8,0)</f>
        <v>#N/A</v>
      </c>
    </row>
    <row r="3639" spans="1:14" ht="20.25" x14ac:dyDescent="0.25">
      <c r="A3639" s="1">
        <v>48</v>
      </c>
      <c r="B3639" s="159"/>
      <c r="C3639" s="1" t="s">
        <v>2196</v>
      </c>
      <c r="D3639" s="1"/>
      <c r="E3639" s="1"/>
      <c r="F3639" s="1" t="s">
        <v>2233</v>
      </c>
      <c r="G3639" s="1">
        <v>2</v>
      </c>
      <c r="H3639" s="1" t="s">
        <v>19</v>
      </c>
      <c r="I3639" s="1" t="s">
        <v>589</v>
      </c>
      <c r="J3639" s="1">
        <v>0.04</v>
      </c>
      <c r="K3639" s="1">
        <v>0.08</v>
      </c>
      <c r="L3639" s="42">
        <v>9</v>
      </c>
      <c r="M3639" s="43"/>
      <c r="N3639" s="1" t="e">
        <f>VLOOKUP(B3639,MICRO!E:L,8,0)</f>
        <v>#N/A</v>
      </c>
    </row>
    <row r="3640" spans="1:14" ht="20.25" x14ac:dyDescent="0.25">
      <c r="A3640" s="1">
        <v>49</v>
      </c>
      <c r="B3640" s="159"/>
      <c r="C3640" s="1" t="s">
        <v>2196</v>
      </c>
      <c r="D3640" s="1"/>
      <c r="E3640" s="1"/>
      <c r="F3640" s="1" t="s">
        <v>2234</v>
      </c>
      <c r="G3640" s="1">
        <v>3</v>
      </c>
      <c r="H3640" s="1" t="s">
        <v>19</v>
      </c>
      <c r="I3640" s="1" t="s">
        <v>589</v>
      </c>
      <c r="J3640" s="1">
        <v>0.03</v>
      </c>
      <c r="K3640" s="1">
        <v>0.09</v>
      </c>
      <c r="L3640" s="42">
        <v>9</v>
      </c>
      <c r="M3640" s="43"/>
      <c r="N3640" s="1" t="e">
        <f>VLOOKUP(B3640,MICRO!E:L,8,0)</f>
        <v>#N/A</v>
      </c>
    </row>
    <row r="3641" spans="1:14" ht="20.25" x14ac:dyDescent="0.25">
      <c r="A3641" s="1">
        <v>50</v>
      </c>
      <c r="B3641" s="159"/>
      <c r="C3641" s="1" t="s">
        <v>2196</v>
      </c>
      <c r="D3641" s="1"/>
      <c r="E3641" s="1"/>
      <c r="F3641" s="1" t="s">
        <v>2235</v>
      </c>
      <c r="G3641" s="1">
        <v>6</v>
      </c>
      <c r="H3641" s="1" t="s">
        <v>1105</v>
      </c>
      <c r="I3641" s="1" t="s">
        <v>589</v>
      </c>
      <c r="J3641" s="1">
        <v>1</v>
      </c>
      <c r="K3641" s="1">
        <v>6</v>
      </c>
      <c r="L3641" s="42">
        <v>9</v>
      </c>
      <c r="M3641" s="43"/>
      <c r="N3641" s="1" t="e">
        <f>VLOOKUP(B3641,MICRO!E:L,8,0)</f>
        <v>#N/A</v>
      </c>
    </row>
    <row r="3642" spans="1:14" ht="20.25" x14ac:dyDescent="0.25">
      <c r="A3642" s="1">
        <v>51</v>
      </c>
      <c r="B3642" s="159"/>
      <c r="C3642" s="1" t="s">
        <v>2196</v>
      </c>
      <c r="D3642" s="1"/>
      <c r="E3642" s="1"/>
      <c r="F3642" s="1" t="s">
        <v>2236</v>
      </c>
      <c r="G3642" s="1">
        <v>1</v>
      </c>
      <c r="H3642" s="1" t="s">
        <v>19</v>
      </c>
      <c r="I3642" s="1" t="s">
        <v>589</v>
      </c>
      <c r="J3642" s="1">
        <v>6.2</v>
      </c>
      <c r="K3642" s="1">
        <v>6.2</v>
      </c>
      <c r="L3642" s="42">
        <v>9</v>
      </c>
      <c r="M3642" s="43"/>
      <c r="N3642" s="1" t="e">
        <f>VLOOKUP(B3642,MICRO!E:L,8,0)</f>
        <v>#N/A</v>
      </c>
    </row>
    <row r="3643" spans="1:14" ht="20.25" x14ac:dyDescent="0.25">
      <c r="A3643" s="1">
        <v>52</v>
      </c>
      <c r="B3643" s="159"/>
      <c r="C3643" s="1" t="s">
        <v>2196</v>
      </c>
      <c r="D3643" s="1"/>
      <c r="E3643" s="1"/>
      <c r="F3643" s="1" t="s">
        <v>2237</v>
      </c>
      <c r="G3643" s="1">
        <v>8</v>
      </c>
      <c r="H3643" s="1" t="s">
        <v>19</v>
      </c>
      <c r="I3643" s="1" t="s">
        <v>589</v>
      </c>
      <c r="J3643" s="1">
        <v>0.03</v>
      </c>
      <c r="K3643" s="1">
        <v>0.24</v>
      </c>
      <c r="L3643" s="42">
        <v>9</v>
      </c>
      <c r="M3643" s="43"/>
      <c r="N3643" s="1" t="e">
        <f>VLOOKUP(B3643,MICRO!E:L,8,0)</f>
        <v>#N/A</v>
      </c>
    </row>
    <row r="3644" spans="1:14" ht="20.25" x14ac:dyDescent="0.25">
      <c r="A3644" s="1">
        <v>53</v>
      </c>
      <c r="B3644" s="159"/>
      <c r="C3644" s="1" t="s">
        <v>2196</v>
      </c>
      <c r="D3644" s="1"/>
      <c r="E3644" s="1"/>
      <c r="F3644" s="1" t="s">
        <v>2238</v>
      </c>
      <c r="G3644" s="1">
        <v>2</v>
      </c>
      <c r="H3644" s="1" t="s">
        <v>19</v>
      </c>
      <c r="I3644" s="1" t="s">
        <v>589</v>
      </c>
      <c r="J3644" s="1">
        <v>0.04</v>
      </c>
      <c r="K3644" s="1">
        <v>0.08</v>
      </c>
      <c r="L3644" s="42">
        <v>9</v>
      </c>
      <c r="M3644" s="43"/>
      <c r="N3644" s="1" t="e">
        <f>VLOOKUP(B3644,MICRO!E:L,8,0)</f>
        <v>#N/A</v>
      </c>
    </row>
    <row r="3645" spans="1:14" ht="20.25" x14ac:dyDescent="0.25">
      <c r="A3645" s="1">
        <v>54</v>
      </c>
      <c r="B3645" s="159"/>
      <c r="C3645" s="1" t="s">
        <v>2196</v>
      </c>
      <c r="D3645" s="1"/>
      <c r="E3645" s="1"/>
      <c r="F3645" s="1" t="s">
        <v>2239</v>
      </c>
      <c r="G3645" s="1">
        <v>2</v>
      </c>
      <c r="H3645" s="1" t="s">
        <v>19</v>
      </c>
      <c r="I3645" s="1" t="s">
        <v>589</v>
      </c>
      <c r="J3645" s="1">
        <v>0.04</v>
      </c>
      <c r="K3645" s="1">
        <v>0.08</v>
      </c>
      <c r="L3645" s="42">
        <v>9</v>
      </c>
      <c r="M3645" s="43"/>
      <c r="N3645" s="1" t="e">
        <f>VLOOKUP(B3645,MICRO!E:L,8,0)</f>
        <v>#N/A</v>
      </c>
    </row>
    <row r="3646" spans="1:14" ht="20.25" x14ac:dyDescent="0.25">
      <c r="A3646" s="1">
        <v>55</v>
      </c>
      <c r="B3646" s="159"/>
      <c r="C3646" s="1" t="s">
        <v>2196</v>
      </c>
      <c r="D3646" s="1"/>
      <c r="E3646" s="1"/>
      <c r="F3646" s="1" t="s">
        <v>2240</v>
      </c>
      <c r="G3646" s="1">
        <v>2</v>
      </c>
      <c r="H3646" s="1" t="s">
        <v>19</v>
      </c>
      <c r="I3646" s="1" t="s">
        <v>589</v>
      </c>
      <c r="J3646" s="1">
        <v>0.03</v>
      </c>
      <c r="K3646" s="1">
        <v>0.06</v>
      </c>
      <c r="L3646" s="42">
        <v>9</v>
      </c>
      <c r="M3646" s="43"/>
      <c r="N3646" s="1" t="e">
        <f>VLOOKUP(B3646,MICRO!E:L,8,0)</f>
        <v>#N/A</v>
      </c>
    </row>
    <row r="3647" spans="1:14" ht="20.25" x14ac:dyDescent="0.25">
      <c r="A3647" s="1">
        <v>56</v>
      </c>
      <c r="B3647" s="159"/>
      <c r="C3647" s="1" t="s">
        <v>2196</v>
      </c>
      <c r="D3647" s="1"/>
      <c r="E3647" s="1"/>
      <c r="F3647" s="1" t="s">
        <v>2241</v>
      </c>
      <c r="G3647" s="1">
        <v>2</v>
      </c>
      <c r="H3647" s="1" t="s">
        <v>19</v>
      </c>
      <c r="I3647" s="1" t="s">
        <v>589</v>
      </c>
      <c r="J3647" s="1">
        <v>0.5</v>
      </c>
      <c r="K3647" s="1">
        <v>1</v>
      </c>
      <c r="L3647" s="42">
        <v>9</v>
      </c>
      <c r="M3647" s="43"/>
      <c r="N3647" s="1" t="e">
        <f>VLOOKUP(B3647,MICRO!E:L,8,0)</f>
        <v>#N/A</v>
      </c>
    </row>
    <row r="3648" spans="1:14" ht="20.25" x14ac:dyDescent="0.25">
      <c r="A3648" s="1">
        <v>57</v>
      </c>
      <c r="B3648" s="159"/>
      <c r="C3648" s="1" t="s">
        <v>2196</v>
      </c>
      <c r="D3648" s="1"/>
      <c r="E3648" s="1"/>
      <c r="F3648" s="1" t="s">
        <v>2242</v>
      </c>
      <c r="G3648" s="1">
        <v>3</v>
      </c>
      <c r="H3648" s="1" t="s">
        <v>19</v>
      </c>
      <c r="I3648" s="1" t="s">
        <v>589</v>
      </c>
      <c r="J3648" s="1">
        <v>0.5</v>
      </c>
      <c r="K3648" s="1">
        <v>1.5</v>
      </c>
      <c r="L3648" s="42">
        <v>9</v>
      </c>
      <c r="M3648" s="43"/>
      <c r="N3648" s="1" t="e">
        <f>VLOOKUP(B3648,MICRO!E:L,8,0)</f>
        <v>#N/A</v>
      </c>
    </row>
    <row r="3649" spans="1:14" ht="20.25" x14ac:dyDescent="0.25">
      <c r="A3649" s="1">
        <v>58</v>
      </c>
      <c r="B3649" s="159"/>
      <c r="C3649" s="1" t="s">
        <v>2196</v>
      </c>
      <c r="D3649" s="1"/>
      <c r="E3649" s="1"/>
      <c r="F3649" s="1" t="s">
        <v>2243</v>
      </c>
      <c r="G3649" s="1">
        <v>3</v>
      </c>
      <c r="H3649" s="1" t="s">
        <v>19</v>
      </c>
      <c r="I3649" s="1" t="s">
        <v>589</v>
      </c>
      <c r="J3649" s="1">
        <v>0.02</v>
      </c>
      <c r="K3649" s="1">
        <v>0.06</v>
      </c>
      <c r="L3649" s="42">
        <v>9</v>
      </c>
      <c r="M3649" s="43"/>
      <c r="N3649" s="1" t="e">
        <f>VLOOKUP(B3649,MICRO!E:L,8,0)</f>
        <v>#N/A</v>
      </c>
    </row>
    <row r="3650" spans="1:14" ht="20.25" x14ac:dyDescent="0.25">
      <c r="A3650" s="1">
        <v>59</v>
      </c>
      <c r="B3650" s="159"/>
      <c r="C3650" s="1" t="s">
        <v>2196</v>
      </c>
      <c r="D3650" s="1"/>
      <c r="E3650" s="1"/>
      <c r="F3650" s="1" t="s">
        <v>2244</v>
      </c>
      <c r="G3650" s="1">
        <v>8</v>
      </c>
      <c r="H3650" s="1" t="s">
        <v>19</v>
      </c>
      <c r="I3650" s="1" t="s">
        <v>589</v>
      </c>
      <c r="J3650" s="1">
        <v>0.2</v>
      </c>
      <c r="K3650" s="1">
        <v>1.6</v>
      </c>
      <c r="L3650" s="42">
        <v>9</v>
      </c>
      <c r="M3650" s="43"/>
      <c r="N3650" s="1" t="e">
        <f>VLOOKUP(B3650,MICRO!E:L,8,0)</f>
        <v>#N/A</v>
      </c>
    </row>
    <row r="3651" spans="1:14" ht="20.25" x14ac:dyDescent="0.25">
      <c r="A3651" s="1">
        <v>60</v>
      </c>
      <c r="B3651" s="159"/>
      <c r="C3651" s="1" t="s">
        <v>2196</v>
      </c>
      <c r="D3651" s="1"/>
      <c r="E3651" s="1"/>
      <c r="F3651" s="1" t="s">
        <v>2245</v>
      </c>
      <c r="G3651" s="1">
        <v>2</v>
      </c>
      <c r="H3651" s="1" t="s">
        <v>19</v>
      </c>
      <c r="I3651" s="1" t="s">
        <v>589</v>
      </c>
      <c r="J3651" s="1">
        <v>0.5</v>
      </c>
      <c r="K3651" s="1">
        <v>1</v>
      </c>
      <c r="L3651" s="42">
        <v>9</v>
      </c>
      <c r="M3651" s="43"/>
      <c r="N3651" s="1" t="e">
        <f>VLOOKUP(B3651,MICRO!E:L,8,0)</f>
        <v>#N/A</v>
      </c>
    </row>
    <row r="3652" spans="1:14" ht="20.25" x14ac:dyDescent="0.25">
      <c r="A3652" s="1">
        <v>61</v>
      </c>
      <c r="B3652" s="159"/>
      <c r="C3652" s="1" t="s">
        <v>2196</v>
      </c>
      <c r="D3652" s="1"/>
      <c r="E3652" s="1"/>
      <c r="F3652" s="1" t="s">
        <v>2246</v>
      </c>
      <c r="G3652" s="1">
        <v>8</v>
      </c>
      <c r="H3652" s="1" t="s">
        <v>19</v>
      </c>
      <c r="I3652" s="1" t="s">
        <v>589</v>
      </c>
      <c r="J3652" s="1">
        <v>0.02</v>
      </c>
      <c r="K3652" s="1">
        <v>0.16</v>
      </c>
      <c r="L3652" s="42">
        <v>9</v>
      </c>
      <c r="M3652" s="43"/>
      <c r="N3652" s="1" t="e">
        <f>VLOOKUP(B3652,MICRO!E:L,8,0)</f>
        <v>#N/A</v>
      </c>
    </row>
    <row r="3653" spans="1:14" ht="20.25" x14ac:dyDescent="0.25">
      <c r="A3653" s="1">
        <v>62</v>
      </c>
      <c r="B3653" s="159"/>
      <c r="C3653" s="1" t="s">
        <v>2196</v>
      </c>
      <c r="D3653" s="1"/>
      <c r="E3653" s="1"/>
      <c r="F3653" s="1" t="s">
        <v>2247</v>
      </c>
      <c r="G3653" s="1">
        <v>2</v>
      </c>
      <c r="H3653" s="1" t="s">
        <v>19</v>
      </c>
      <c r="I3653" s="1" t="s">
        <v>589</v>
      </c>
      <c r="J3653" s="1">
        <v>0.04</v>
      </c>
      <c r="K3653" s="1">
        <v>0.08</v>
      </c>
      <c r="L3653" s="42">
        <v>9</v>
      </c>
      <c r="M3653" s="43"/>
      <c r="N3653" s="1" t="e">
        <f>VLOOKUP(B3653,MICRO!E:L,8,0)</f>
        <v>#N/A</v>
      </c>
    </row>
    <row r="3654" spans="1:14" ht="20.25" x14ac:dyDescent="0.25">
      <c r="A3654" s="1">
        <v>63</v>
      </c>
      <c r="B3654" s="159"/>
      <c r="C3654" s="1" t="s">
        <v>2196</v>
      </c>
      <c r="D3654" s="1"/>
      <c r="E3654" s="1"/>
      <c r="F3654" s="1" t="s">
        <v>2248</v>
      </c>
      <c r="G3654" s="1">
        <v>3</v>
      </c>
      <c r="H3654" s="1" t="s">
        <v>19</v>
      </c>
      <c r="I3654" s="1" t="s">
        <v>589</v>
      </c>
      <c r="J3654" s="1">
        <v>0.5</v>
      </c>
      <c r="K3654" s="1">
        <v>1.5</v>
      </c>
      <c r="L3654" s="42">
        <v>9</v>
      </c>
      <c r="M3654" s="43"/>
      <c r="N3654" s="1" t="e">
        <f>VLOOKUP(B3654,MICRO!E:L,8,0)</f>
        <v>#N/A</v>
      </c>
    </row>
    <row r="3655" spans="1:14" ht="20.25" x14ac:dyDescent="0.25">
      <c r="A3655" s="1">
        <v>64</v>
      </c>
      <c r="B3655" s="159"/>
      <c r="C3655" s="1" t="s">
        <v>2196</v>
      </c>
      <c r="D3655" s="1"/>
      <c r="E3655" s="1"/>
      <c r="F3655" s="1" t="s">
        <v>2232</v>
      </c>
      <c r="G3655" s="1">
        <v>1</v>
      </c>
      <c r="H3655" s="1" t="s">
        <v>19</v>
      </c>
      <c r="I3655" s="1" t="s">
        <v>589</v>
      </c>
      <c r="J3655" s="1">
        <v>2.8</v>
      </c>
      <c r="K3655" s="1">
        <v>2.8</v>
      </c>
      <c r="L3655" s="42">
        <v>9</v>
      </c>
      <c r="M3655" s="43"/>
      <c r="N3655" s="1" t="e">
        <f>VLOOKUP(B3655,MICRO!E:L,8,0)</f>
        <v>#N/A</v>
      </c>
    </row>
    <row r="3656" spans="1:14" ht="20.25" x14ac:dyDescent="0.25">
      <c r="A3656" s="1">
        <v>65</v>
      </c>
      <c r="B3656" s="159"/>
      <c r="C3656" s="1" t="s">
        <v>2196</v>
      </c>
      <c r="D3656" s="1"/>
      <c r="E3656" s="1"/>
      <c r="F3656" s="1" t="s">
        <v>2233</v>
      </c>
      <c r="G3656" s="1">
        <v>2</v>
      </c>
      <c r="H3656" s="1" t="s">
        <v>19</v>
      </c>
      <c r="I3656" s="1" t="s">
        <v>589</v>
      </c>
      <c r="J3656" s="1">
        <v>0.04</v>
      </c>
      <c r="K3656" s="1">
        <v>0.08</v>
      </c>
      <c r="L3656" s="42">
        <v>9</v>
      </c>
      <c r="M3656" s="43"/>
      <c r="N3656" s="1" t="e">
        <f>VLOOKUP(B3656,MICRO!E:L,8,0)</f>
        <v>#N/A</v>
      </c>
    </row>
    <row r="3657" spans="1:14" ht="20.25" x14ac:dyDescent="0.25">
      <c r="A3657" s="1">
        <v>66</v>
      </c>
      <c r="B3657" s="159"/>
      <c r="C3657" s="1" t="s">
        <v>2196</v>
      </c>
      <c r="D3657" s="1"/>
      <c r="E3657" s="1"/>
      <c r="F3657" s="1" t="s">
        <v>2234</v>
      </c>
      <c r="G3657" s="1">
        <v>3</v>
      </c>
      <c r="H3657" s="1" t="s">
        <v>19</v>
      </c>
      <c r="I3657" s="1" t="s">
        <v>589</v>
      </c>
      <c r="J3657" s="1">
        <v>0.03</v>
      </c>
      <c r="K3657" s="1">
        <v>0.09</v>
      </c>
      <c r="L3657" s="42">
        <v>9</v>
      </c>
      <c r="M3657" s="43"/>
      <c r="N3657" s="1" t="e">
        <f>VLOOKUP(B3657,MICRO!E:L,8,0)</f>
        <v>#N/A</v>
      </c>
    </row>
    <row r="3658" spans="1:14" ht="20.25" x14ac:dyDescent="0.25">
      <c r="A3658" s="1">
        <v>67</v>
      </c>
      <c r="B3658" s="159"/>
      <c r="C3658" s="1" t="s">
        <v>2196</v>
      </c>
      <c r="D3658" s="1"/>
      <c r="E3658" s="1"/>
      <c r="F3658" s="1" t="s">
        <v>2235</v>
      </c>
      <c r="G3658" s="1">
        <v>6</v>
      </c>
      <c r="H3658" s="1" t="s">
        <v>1105</v>
      </c>
      <c r="I3658" s="1" t="s">
        <v>589</v>
      </c>
      <c r="J3658" s="1">
        <v>1</v>
      </c>
      <c r="K3658" s="1">
        <v>6</v>
      </c>
      <c r="L3658" s="42">
        <v>9</v>
      </c>
      <c r="M3658" s="43"/>
      <c r="N3658" s="1" t="e">
        <f>VLOOKUP(B3658,MICRO!E:L,8,0)</f>
        <v>#N/A</v>
      </c>
    </row>
    <row r="3659" spans="1:14" ht="20.25" x14ac:dyDescent="0.25">
      <c r="A3659" s="1">
        <v>68</v>
      </c>
      <c r="B3659" s="159"/>
      <c r="C3659" s="1" t="s">
        <v>2196</v>
      </c>
      <c r="D3659" s="1"/>
      <c r="E3659" s="1"/>
      <c r="F3659" s="1" t="s">
        <v>2236</v>
      </c>
      <c r="G3659" s="1">
        <v>1</v>
      </c>
      <c r="H3659" s="1" t="s">
        <v>19</v>
      </c>
      <c r="I3659" s="1" t="s">
        <v>589</v>
      </c>
      <c r="J3659" s="1">
        <v>6.2</v>
      </c>
      <c r="K3659" s="1">
        <v>6.2</v>
      </c>
      <c r="L3659" s="42">
        <v>9</v>
      </c>
      <c r="M3659" s="43"/>
      <c r="N3659" s="1" t="e">
        <f>VLOOKUP(B3659,MICRO!E:L,8,0)</f>
        <v>#N/A</v>
      </c>
    </row>
    <row r="3660" spans="1:14" ht="20.25" x14ac:dyDescent="0.25">
      <c r="A3660" s="1">
        <v>69</v>
      </c>
      <c r="B3660" s="159"/>
      <c r="C3660" s="1" t="s">
        <v>2196</v>
      </c>
      <c r="D3660" s="1"/>
      <c r="E3660" s="1"/>
      <c r="F3660" s="1" t="s">
        <v>2237</v>
      </c>
      <c r="G3660" s="1">
        <v>8</v>
      </c>
      <c r="H3660" s="1" t="s">
        <v>19</v>
      </c>
      <c r="I3660" s="1" t="s">
        <v>589</v>
      </c>
      <c r="J3660" s="1">
        <v>0.03</v>
      </c>
      <c r="K3660" s="1">
        <v>0.24</v>
      </c>
      <c r="L3660" s="42">
        <v>9</v>
      </c>
      <c r="M3660" s="43"/>
      <c r="N3660" s="1" t="e">
        <f>VLOOKUP(B3660,MICRO!E:L,8,0)</f>
        <v>#N/A</v>
      </c>
    </row>
    <row r="3661" spans="1:14" ht="20.25" x14ac:dyDescent="0.25">
      <c r="A3661" s="1">
        <v>70</v>
      </c>
      <c r="B3661" s="159"/>
      <c r="C3661" s="1" t="s">
        <v>2196</v>
      </c>
      <c r="D3661" s="1"/>
      <c r="E3661" s="1"/>
      <c r="F3661" s="1" t="s">
        <v>2238</v>
      </c>
      <c r="G3661" s="1">
        <v>2</v>
      </c>
      <c r="H3661" s="1" t="s">
        <v>19</v>
      </c>
      <c r="I3661" s="1" t="s">
        <v>589</v>
      </c>
      <c r="J3661" s="1">
        <v>0.04</v>
      </c>
      <c r="K3661" s="1">
        <v>0.08</v>
      </c>
      <c r="L3661" s="42">
        <v>9</v>
      </c>
      <c r="M3661" s="43"/>
      <c r="N3661" s="1" t="e">
        <f>VLOOKUP(B3661,MICRO!E:L,8,0)</f>
        <v>#N/A</v>
      </c>
    </row>
    <row r="3662" spans="1:14" ht="20.25" x14ac:dyDescent="0.25">
      <c r="A3662" s="1">
        <v>71</v>
      </c>
      <c r="B3662" s="159"/>
      <c r="C3662" s="1" t="s">
        <v>2196</v>
      </c>
      <c r="D3662" s="1"/>
      <c r="E3662" s="1"/>
      <c r="F3662" s="1" t="s">
        <v>2239</v>
      </c>
      <c r="G3662" s="1">
        <v>2</v>
      </c>
      <c r="H3662" s="1" t="s">
        <v>19</v>
      </c>
      <c r="I3662" s="1" t="s">
        <v>589</v>
      </c>
      <c r="J3662" s="1">
        <v>0.4</v>
      </c>
      <c r="K3662" s="1">
        <v>0.8</v>
      </c>
      <c r="L3662" s="42">
        <v>9</v>
      </c>
      <c r="M3662" s="43"/>
      <c r="N3662" s="1" t="e">
        <f>VLOOKUP(B3662,MICRO!E:L,8,0)</f>
        <v>#N/A</v>
      </c>
    </row>
    <row r="3663" spans="1:14" ht="20.25" x14ac:dyDescent="0.25">
      <c r="A3663" s="1">
        <v>72</v>
      </c>
      <c r="B3663" s="159"/>
      <c r="C3663" s="1" t="s">
        <v>2196</v>
      </c>
      <c r="D3663" s="1"/>
      <c r="E3663" s="1"/>
      <c r="F3663" s="1" t="s">
        <v>2240</v>
      </c>
      <c r="G3663" s="1">
        <v>2</v>
      </c>
      <c r="H3663" s="1" t="s">
        <v>19</v>
      </c>
      <c r="I3663" s="1" t="s">
        <v>589</v>
      </c>
      <c r="J3663" s="1">
        <v>0.03</v>
      </c>
      <c r="K3663" s="1">
        <v>0.06</v>
      </c>
      <c r="L3663" s="42">
        <v>9</v>
      </c>
      <c r="M3663" s="43"/>
      <c r="N3663" s="1" t="e">
        <f>VLOOKUP(B3663,MICRO!E:L,8,0)</f>
        <v>#N/A</v>
      </c>
    </row>
    <row r="3664" spans="1:14" ht="20.25" x14ac:dyDescent="0.25">
      <c r="A3664" s="1">
        <v>73</v>
      </c>
      <c r="B3664" s="159"/>
      <c r="C3664" s="1" t="s">
        <v>2196</v>
      </c>
      <c r="D3664" s="1"/>
      <c r="E3664" s="1"/>
      <c r="F3664" s="1" t="s">
        <v>2241</v>
      </c>
      <c r="G3664" s="1">
        <v>2</v>
      </c>
      <c r="H3664" s="1" t="s">
        <v>19</v>
      </c>
      <c r="I3664" s="1" t="s">
        <v>589</v>
      </c>
      <c r="J3664" s="1">
        <v>0.5</v>
      </c>
      <c r="K3664" s="1">
        <v>1</v>
      </c>
      <c r="L3664" s="42">
        <v>9</v>
      </c>
      <c r="M3664" s="43"/>
      <c r="N3664" s="1" t="e">
        <f>VLOOKUP(B3664,MICRO!E:L,8,0)</f>
        <v>#N/A</v>
      </c>
    </row>
    <row r="3665" spans="1:14" ht="20.25" x14ac:dyDescent="0.25">
      <c r="A3665" s="1">
        <v>74</v>
      </c>
      <c r="B3665" s="159"/>
      <c r="C3665" s="1" t="s">
        <v>2196</v>
      </c>
      <c r="D3665" s="1"/>
      <c r="E3665" s="1"/>
      <c r="F3665" s="1" t="s">
        <v>2242</v>
      </c>
      <c r="G3665" s="1">
        <v>3</v>
      </c>
      <c r="H3665" s="1" t="s">
        <v>19</v>
      </c>
      <c r="I3665" s="1" t="s">
        <v>589</v>
      </c>
      <c r="J3665" s="1">
        <v>0.5</v>
      </c>
      <c r="K3665" s="1">
        <v>1.5</v>
      </c>
      <c r="L3665" s="42">
        <v>9</v>
      </c>
      <c r="M3665" s="43"/>
      <c r="N3665" s="1" t="e">
        <f>VLOOKUP(B3665,MICRO!E:L,8,0)</f>
        <v>#N/A</v>
      </c>
    </row>
    <row r="3666" spans="1:14" ht="20.25" x14ac:dyDescent="0.25">
      <c r="A3666" s="1">
        <v>75</v>
      </c>
      <c r="B3666" s="159"/>
      <c r="C3666" s="1" t="s">
        <v>2196</v>
      </c>
      <c r="D3666" s="1"/>
      <c r="E3666" s="1"/>
      <c r="F3666" s="1" t="s">
        <v>2243</v>
      </c>
      <c r="G3666" s="1">
        <v>3</v>
      </c>
      <c r="H3666" s="1" t="s">
        <v>19</v>
      </c>
      <c r="I3666" s="1" t="s">
        <v>589</v>
      </c>
      <c r="J3666" s="1">
        <v>0.02</v>
      </c>
      <c r="K3666" s="1">
        <v>0.06</v>
      </c>
      <c r="L3666" s="42">
        <v>9</v>
      </c>
      <c r="M3666" s="43"/>
      <c r="N3666" s="1" t="e">
        <f>VLOOKUP(B3666,MICRO!E:L,8,0)</f>
        <v>#N/A</v>
      </c>
    </row>
    <row r="3667" spans="1:14" ht="20.25" x14ac:dyDescent="0.25">
      <c r="A3667" s="1">
        <v>76</v>
      </c>
      <c r="B3667" s="159"/>
      <c r="C3667" s="1" t="s">
        <v>2196</v>
      </c>
      <c r="D3667" s="1"/>
      <c r="E3667" s="1"/>
      <c r="F3667" s="1" t="s">
        <v>2244</v>
      </c>
      <c r="G3667" s="1">
        <v>8</v>
      </c>
      <c r="H3667" s="1" t="s">
        <v>19</v>
      </c>
      <c r="I3667" s="1" t="s">
        <v>589</v>
      </c>
      <c r="J3667" s="1">
        <v>0.2</v>
      </c>
      <c r="K3667" s="1">
        <v>1.6</v>
      </c>
      <c r="L3667" s="42">
        <v>9</v>
      </c>
      <c r="M3667" s="43"/>
      <c r="N3667" s="1" t="e">
        <f>VLOOKUP(B3667,MICRO!E:L,8,0)</f>
        <v>#N/A</v>
      </c>
    </row>
    <row r="3668" spans="1:14" ht="20.25" x14ac:dyDescent="0.25">
      <c r="A3668" s="1">
        <v>77</v>
      </c>
      <c r="B3668" s="159"/>
      <c r="C3668" s="1" t="s">
        <v>2196</v>
      </c>
      <c r="D3668" s="1"/>
      <c r="E3668" s="1"/>
      <c r="F3668" s="1" t="s">
        <v>2249</v>
      </c>
      <c r="G3668" s="1">
        <v>2</v>
      </c>
      <c r="H3668" s="1" t="s">
        <v>19</v>
      </c>
      <c r="I3668" s="1" t="s">
        <v>589</v>
      </c>
      <c r="J3668" s="1">
        <v>0.5</v>
      </c>
      <c r="K3668" s="1">
        <v>1</v>
      </c>
      <c r="L3668" s="42">
        <v>9</v>
      </c>
      <c r="M3668" s="43"/>
      <c r="N3668" s="1" t="e">
        <f>VLOOKUP(B3668,MICRO!E:L,8,0)</f>
        <v>#N/A</v>
      </c>
    </row>
    <row r="3669" spans="1:14" ht="20.25" x14ac:dyDescent="0.25">
      <c r="A3669" s="1">
        <v>78</v>
      </c>
      <c r="B3669" s="159"/>
      <c r="C3669" s="1" t="s">
        <v>2196</v>
      </c>
      <c r="D3669" s="1"/>
      <c r="E3669" s="1"/>
      <c r="F3669" s="1" t="s">
        <v>2246</v>
      </c>
      <c r="G3669" s="1">
        <v>8</v>
      </c>
      <c r="H3669" s="1" t="s">
        <v>19</v>
      </c>
      <c r="I3669" s="1" t="s">
        <v>589</v>
      </c>
      <c r="J3669" s="1">
        <v>0.02</v>
      </c>
      <c r="K3669" s="1">
        <v>0.16</v>
      </c>
      <c r="L3669" s="42">
        <v>9</v>
      </c>
      <c r="M3669" s="43"/>
      <c r="N3669" s="1" t="e">
        <f>VLOOKUP(B3669,MICRO!E:L,8,0)</f>
        <v>#N/A</v>
      </c>
    </row>
    <row r="3670" spans="1:14" ht="20.25" x14ac:dyDescent="0.25">
      <c r="A3670" s="1">
        <v>79</v>
      </c>
      <c r="B3670" s="159"/>
      <c r="C3670" s="1" t="s">
        <v>2196</v>
      </c>
      <c r="D3670" s="1"/>
      <c r="E3670" s="1"/>
      <c r="F3670" s="1" t="s">
        <v>2247</v>
      </c>
      <c r="G3670" s="1">
        <v>2</v>
      </c>
      <c r="H3670" s="1" t="s">
        <v>19</v>
      </c>
      <c r="I3670" s="1" t="s">
        <v>589</v>
      </c>
      <c r="J3670" s="1">
        <v>0.04</v>
      </c>
      <c r="K3670" s="1">
        <v>0.08</v>
      </c>
      <c r="L3670" s="42">
        <v>9</v>
      </c>
      <c r="M3670" s="43"/>
      <c r="N3670" s="1" t="e">
        <f>VLOOKUP(B3670,MICRO!E:L,8,0)</f>
        <v>#N/A</v>
      </c>
    </row>
    <row r="3671" spans="1:14" ht="20.25" x14ac:dyDescent="0.25">
      <c r="A3671" s="1">
        <v>80</v>
      </c>
      <c r="B3671" s="159"/>
      <c r="C3671" s="1" t="s">
        <v>2196</v>
      </c>
      <c r="D3671" s="1"/>
      <c r="E3671" s="1"/>
      <c r="F3671" s="1" t="s">
        <v>2248</v>
      </c>
      <c r="G3671" s="1">
        <v>3</v>
      </c>
      <c r="H3671" s="1" t="s">
        <v>19</v>
      </c>
      <c r="I3671" s="1" t="s">
        <v>589</v>
      </c>
      <c r="J3671" s="1">
        <v>0.5</v>
      </c>
      <c r="K3671" s="1">
        <v>1.5</v>
      </c>
      <c r="L3671" s="42">
        <v>9</v>
      </c>
      <c r="M3671" s="43"/>
      <c r="N3671" s="1" t="e">
        <f>VLOOKUP(B3671,MICRO!E:L,8,0)</f>
        <v>#N/A</v>
      </c>
    </row>
    <row r="3672" spans="1:14" ht="20.25" x14ac:dyDescent="0.25">
      <c r="A3672" s="1">
        <v>81</v>
      </c>
      <c r="B3672" s="159"/>
      <c r="C3672" s="1" t="s">
        <v>2250</v>
      </c>
      <c r="D3672" s="1"/>
      <c r="E3672" s="1"/>
      <c r="F3672" s="1" t="s">
        <v>2251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2">
        <v>9</v>
      </c>
      <c r="M3672" s="43"/>
      <c r="N3672" s="1" t="e">
        <f>VLOOKUP(B3672,MICRO!E:L,8,0)</f>
        <v>#N/A</v>
      </c>
    </row>
    <row r="3673" spans="1:14" ht="20.25" x14ac:dyDescent="0.25">
      <c r="A3673" s="1">
        <v>82</v>
      </c>
      <c r="B3673" s="159"/>
      <c r="C3673" s="1" t="s">
        <v>2250</v>
      </c>
      <c r="D3673" s="1"/>
      <c r="E3673" s="1"/>
      <c r="F3673" s="1" t="s">
        <v>2252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2">
        <v>9</v>
      </c>
      <c r="M3673" s="43"/>
      <c r="N3673" s="1" t="e">
        <f>VLOOKUP(B3673,MICRO!E:L,8,0)</f>
        <v>#N/A</v>
      </c>
    </row>
    <row r="3674" spans="1:14" ht="20.25" x14ac:dyDescent="0.25">
      <c r="A3674" s="1">
        <v>83</v>
      </c>
      <c r="B3674" s="159"/>
      <c r="C3674" s="1" t="s">
        <v>2250</v>
      </c>
      <c r="D3674" s="1"/>
      <c r="E3674" s="1"/>
      <c r="F3674" s="1" t="s">
        <v>2253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2">
        <v>9</v>
      </c>
      <c r="M3674" s="43"/>
      <c r="N3674" s="1" t="e">
        <f>VLOOKUP(B3674,MICRO!E:L,8,0)</f>
        <v>#N/A</v>
      </c>
    </row>
    <row r="3675" spans="1:14" ht="20.25" x14ac:dyDescent="0.25">
      <c r="A3675" s="1">
        <v>84</v>
      </c>
      <c r="B3675" s="159"/>
      <c r="C3675" s="1" t="s">
        <v>2250</v>
      </c>
      <c r="D3675" s="1"/>
      <c r="E3675" s="1"/>
      <c r="F3675" s="1" t="s">
        <v>2254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2">
        <v>9</v>
      </c>
      <c r="M3675" s="43"/>
      <c r="N3675" s="1" t="e">
        <f>VLOOKUP(B3675,MICRO!E:L,8,0)</f>
        <v>#N/A</v>
      </c>
    </row>
    <row r="3676" spans="1:14" ht="20.25" x14ac:dyDescent="0.25">
      <c r="A3676" s="1">
        <v>85</v>
      </c>
      <c r="B3676" s="159"/>
      <c r="C3676" s="1" t="s">
        <v>2250</v>
      </c>
      <c r="D3676" s="1"/>
      <c r="E3676" s="1"/>
      <c r="F3676" s="1" t="s">
        <v>2255</v>
      </c>
      <c r="G3676" s="1">
        <v>6</v>
      </c>
      <c r="H3676" s="1" t="s">
        <v>1105</v>
      </c>
      <c r="I3676" s="1"/>
      <c r="J3676" s="1">
        <v>1</v>
      </c>
      <c r="K3676" s="1">
        <v>6</v>
      </c>
      <c r="L3676" s="42">
        <v>9</v>
      </c>
      <c r="M3676" s="43"/>
      <c r="N3676" s="1" t="e">
        <f>VLOOKUP(B3676,MICRO!E:L,8,0)</f>
        <v>#N/A</v>
      </c>
    </row>
    <row r="3677" spans="1:14" ht="20.25" x14ac:dyDescent="0.25">
      <c r="A3677" s="1">
        <v>86</v>
      </c>
      <c r="B3677" s="159"/>
      <c r="C3677" s="1" t="s">
        <v>2250</v>
      </c>
      <c r="D3677" s="1"/>
      <c r="E3677" s="1"/>
      <c r="F3677" s="1" t="s">
        <v>2256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2">
        <v>9</v>
      </c>
      <c r="M3677" s="43"/>
      <c r="N3677" s="1" t="e">
        <f>VLOOKUP(B3677,MICRO!E:L,8,0)</f>
        <v>#N/A</v>
      </c>
    </row>
    <row r="3678" spans="1:14" ht="20.25" x14ac:dyDescent="0.25">
      <c r="A3678" s="1">
        <v>87</v>
      </c>
      <c r="B3678" s="159"/>
      <c r="C3678" s="1" t="s">
        <v>2250</v>
      </c>
      <c r="D3678" s="1"/>
      <c r="E3678" s="1"/>
      <c r="F3678" s="1" t="s">
        <v>2257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2">
        <v>9</v>
      </c>
      <c r="M3678" s="43"/>
      <c r="N3678" s="1" t="e">
        <f>VLOOKUP(B3678,MICRO!E:L,8,0)</f>
        <v>#N/A</v>
      </c>
    </row>
    <row r="3679" spans="1:14" ht="20.25" x14ac:dyDescent="0.25">
      <c r="A3679" s="1">
        <v>88</v>
      </c>
      <c r="B3679" s="159"/>
      <c r="C3679" s="1" t="s">
        <v>2250</v>
      </c>
      <c r="D3679" s="1"/>
      <c r="E3679" s="1"/>
      <c r="F3679" s="1" t="s">
        <v>2258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2">
        <v>9</v>
      </c>
      <c r="M3679" s="43"/>
      <c r="N3679" s="1" t="e">
        <f>VLOOKUP(B3679,MICRO!E:L,8,0)</f>
        <v>#N/A</v>
      </c>
    </row>
    <row r="3680" spans="1:14" ht="20.25" x14ac:dyDescent="0.25">
      <c r="A3680" s="1">
        <v>89</v>
      </c>
      <c r="B3680" s="159"/>
      <c r="C3680" s="1" t="s">
        <v>2250</v>
      </c>
      <c r="D3680" s="1"/>
      <c r="E3680" s="1"/>
      <c r="F3680" s="1" t="s">
        <v>2259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2">
        <v>9</v>
      </c>
      <c r="M3680" s="43"/>
      <c r="N3680" s="1" t="e">
        <f>VLOOKUP(B3680,MICRO!E:L,8,0)</f>
        <v>#N/A</v>
      </c>
    </row>
    <row r="3681" spans="1:14" ht="20.25" x14ac:dyDescent="0.25">
      <c r="A3681" s="1">
        <v>90</v>
      </c>
      <c r="B3681" s="159"/>
      <c r="C3681" s="1" t="s">
        <v>2250</v>
      </c>
      <c r="D3681" s="1"/>
      <c r="E3681" s="1"/>
      <c r="F3681" s="1" t="s">
        <v>2260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2">
        <v>9</v>
      </c>
      <c r="M3681" s="43"/>
      <c r="N3681" s="1" t="e">
        <f>VLOOKUP(B3681,MICRO!E:L,8,0)</f>
        <v>#N/A</v>
      </c>
    </row>
    <row r="3682" spans="1:14" ht="20.25" x14ac:dyDescent="0.25">
      <c r="A3682" s="1">
        <v>91</v>
      </c>
      <c r="B3682" s="159"/>
      <c r="C3682" s="1" t="s">
        <v>2250</v>
      </c>
      <c r="D3682" s="1"/>
      <c r="E3682" s="1"/>
      <c r="F3682" s="1" t="s">
        <v>2261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2">
        <v>9</v>
      </c>
      <c r="M3682" s="43"/>
      <c r="N3682" s="1" t="e">
        <f>VLOOKUP(B3682,MICRO!E:L,8,0)</f>
        <v>#N/A</v>
      </c>
    </row>
    <row r="3683" spans="1:14" ht="20.25" x14ac:dyDescent="0.25">
      <c r="A3683" s="1">
        <v>92</v>
      </c>
      <c r="B3683" s="159"/>
      <c r="C3683" s="1" t="s">
        <v>2250</v>
      </c>
      <c r="D3683" s="1"/>
      <c r="E3683" s="1"/>
      <c r="F3683" s="1" t="s">
        <v>2262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2">
        <v>9</v>
      </c>
      <c r="M3683" s="43"/>
      <c r="N3683" s="1" t="e">
        <f>VLOOKUP(B3683,MICRO!E:L,8,0)</f>
        <v>#N/A</v>
      </c>
    </row>
    <row r="3684" spans="1:14" ht="20.25" x14ac:dyDescent="0.25">
      <c r="A3684" s="1">
        <v>93</v>
      </c>
      <c r="B3684" s="159"/>
      <c r="C3684" s="1" t="s">
        <v>2250</v>
      </c>
      <c r="D3684" s="1"/>
      <c r="E3684" s="1"/>
      <c r="F3684" s="1" t="s">
        <v>2263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2">
        <v>9</v>
      </c>
      <c r="M3684" s="43"/>
      <c r="N3684" s="1" t="e">
        <f>VLOOKUP(B3684,MICRO!E:L,8,0)</f>
        <v>#N/A</v>
      </c>
    </row>
    <row r="3685" spans="1:14" ht="20.25" x14ac:dyDescent="0.25">
      <c r="A3685" s="1">
        <v>94</v>
      </c>
      <c r="B3685" s="159"/>
      <c r="C3685" s="1" t="s">
        <v>2250</v>
      </c>
      <c r="D3685" s="1"/>
      <c r="E3685" s="1"/>
      <c r="F3685" s="1" t="s">
        <v>2264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2">
        <v>9</v>
      </c>
      <c r="M3685" s="43"/>
      <c r="N3685" s="1" t="e">
        <f>VLOOKUP(B3685,MICRO!E:L,8,0)</f>
        <v>#N/A</v>
      </c>
    </row>
    <row r="3686" spans="1:14" ht="20.25" x14ac:dyDescent="0.25">
      <c r="A3686" s="1">
        <v>95</v>
      </c>
      <c r="B3686" s="159"/>
      <c r="C3686" s="1" t="s">
        <v>2250</v>
      </c>
      <c r="D3686" s="1"/>
      <c r="E3686" s="1"/>
      <c r="F3686" s="1" t="s">
        <v>2265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2">
        <v>9</v>
      </c>
      <c r="M3686" s="43"/>
      <c r="N3686" s="1" t="e">
        <f>VLOOKUP(B3686,MICRO!E:L,8,0)</f>
        <v>#N/A</v>
      </c>
    </row>
    <row r="3687" spans="1:14" ht="20.25" x14ac:dyDescent="0.25">
      <c r="A3687" s="1">
        <v>96</v>
      </c>
      <c r="B3687" s="159"/>
      <c r="C3687" s="1" t="s">
        <v>2250</v>
      </c>
      <c r="D3687" s="1"/>
      <c r="E3687" s="1"/>
      <c r="F3687" s="1" t="s">
        <v>2266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2">
        <v>9</v>
      </c>
      <c r="M3687" s="43"/>
      <c r="N3687" s="1" t="e">
        <f>VLOOKUP(B3687,MICRO!E:L,8,0)</f>
        <v>#N/A</v>
      </c>
    </row>
    <row r="3688" spans="1:14" ht="20.25" x14ac:dyDescent="0.25">
      <c r="A3688" s="1">
        <v>97</v>
      </c>
      <c r="B3688" s="159"/>
      <c r="C3688" s="1" t="s">
        <v>938</v>
      </c>
      <c r="D3688" s="1"/>
      <c r="E3688" s="1"/>
      <c r="F3688" s="1" t="s">
        <v>2267</v>
      </c>
      <c r="G3688" s="1">
        <v>1</v>
      </c>
      <c r="H3688" s="1" t="s">
        <v>19</v>
      </c>
      <c r="I3688" s="1" t="s">
        <v>629</v>
      </c>
      <c r="J3688" s="1">
        <v>0.4</v>
      </c>
      <c r="K3688" s="1">
        <v>0.4</v>
      </c>
      <c r="L3688" s="42">
        <v>9</v>
      </c>
      <c r="M3688" s="43"/>
      <c r="N3688" s="1" t="e">
        <f>VLOOKUP(B3688,MICRO!E:L,8,0)</f>
        <v>#N/A</v>
      </c>
    </row>
    <row r="3689" spans="1:14" ht="20.25" x14ac:dyDescent="0.25">
      <c r="A3689" s="1">
        <v>98</v>
      </c>
      <c r="B3689" s="159"/>
      <c r="C3689" s="1" t="s">
        <v>938</v>
      </c>
      <c r="D3689" s="1"/>
      <c r="E3689" s="1"/>
      <c r="F3689" s="1" t="s">
        <v>2268</v>
      </c>
      <c r="G3689" s="1">
        <v>1</v>
      </c>
      <c r="H3689" s="1" t="s">
        <v>19</v>
      </c>
      <c r="I3689" s="1" t="s">
        <v>629</v>
      </c>
      <c r="J3689" s="1">
        <v>2.8</v>
      </c>
      <c r="K3689" s="1">
        <v>2.8</v>
      </c>
      <c r="L3689" s="42">
        <v>9</v>
      </c>
      <c r="M3689" s="43"/>
      <c r="N3689" s="1" t="e">
        <f>VLOOKUP(B3689,MICRO!E:L,8,0)</f>
        <v>#N/A</v>
      </c>
    </row>
    <row r="3690" spans="1:14" ht="20.25" x14ac:dyDescent="0.25">
      <c r="A3690" s="1">
        <v>99</v>
      </c>
      <c r="B3690" s="159"/>
      <c r="C3690" s="1" t="s">
        <v>938</v>
      </c>
      <c r="D3690" s="1"/>
      <c r="E3690" s="1"/>
      <c r="F3690" s="1" t="s">
        <v>2269</v>
      </c>
      <c r="G3690" s="1">
        <v>1</v>
      </c>
      <c r="H3690" s="1" t="s">
        <v>19</v>
      </c>
      <c r="I3690" s="1" t="s">
        <v>629</v>
      </c>
      <c r="J3690" s="1">
        <v>0.8</v>
      </c>
      <c r="K3690" s="1">
        <v>0.8</v>
      </c>
      <c r="L3690" s="42">
        <v>9</v>
      </c>
      <c r="M3690" s="43"/>
      <c r="N3690" s="1" t="e">
        <f>VLOOKUP(B3690,MICRO!E:L,8,0)</f>
        <v>#N/A</v>
      </c>
    </row>
    <row r="3691" spans="1:14" ht="20.25" x14ac:dyDescent="0.25">
      <c r="A3691" s="1">
        <v>100</v>
      </c>
      <c r="B3691" s="159"/>
      <c r="C3691" s="1" t="s">
        <v>2187</v>
      </c>
      <c r="D3691" s="1"/>
      <c r="E3691" s="1"/>
      <c r="F3691" s="1" t="s">
        <v>2270</v>
      </c>
      <c r="G3691" s="1">
        <v>4</v>
      </c>
      <c r="H3691" s="1" t="s">
        <v>19</v>
      </c>
      <c r="I3691" s="1" t="s">
        <v>2271</v>
      </c>
      <c r="J3691" s="1">
        <v>0.5</v>
      </c>
      <c r="K3691" s="1">
        <v>2</v>
      </c>
      <c r="L3691" s="42">
        <v>9</v>
      </c>
      <c r="M3691" s="43"/>
      <c r="N3691" s="1" t="e">
        <f>VLOOKUP(B3691,MICRO!E:L,8,0)</f>
        <v>#N/A</v>
      </c>
    </row>
    <row r="3692" spans="1:14" ht="20.25" x14ac:dyDescent="0.25">
      <c r="A3692" s="1">
        <v>1</v>
      </c>
      <c r="B3692" s="159">
        <v>2493</v>
      </c>
      <c r="C3692" s="1" t="s">
        <v>962</v>
      </c>
      <c r="D3692" s="1"/>
      <c r="E3692" s="1" t="s">
        <v>1107</v>
      </c>
      <c r="F3692" s="1" t="s">
        <v>2963</v>
      </c>
      <c r="G3692" s="1">
        <v>17</v>
      </c>
      <c r="H3692" s="1" t="s">
        <v>19</v>
      </c>
      <c r="I3692" s="1" t="s">
        <v>589</v>
      </c>
      <c r="J3692" s="1">
        <v>5.48</v>
      </c>
      <c r="K3692" s="1">
        <v>93.160000000000011</v>
      </c>
      <c r="L3692" s="42">
        <v>10</v>
      </c>
      <c r="M3692" s="43"/>
      <c r="N3692" s="1" t="e">
        <f>VLOOKUP(B3692,MICRO!E:L,8,0)</f>
        <v>#N/A</v>
      </c>
    </row>
    <row r="3693" spans="1:14" ht="20.25" x14ac:dyDescent="0.25">
      <c r="A3693" s="1">
        <v>2</v>
      </c>
      <c r="B3693" s="159">
        <v>2495</v>
      </c>
      <c r="C3693" s="1" t="s">
        <v>962</v>
      </c>
      <c r="D3693" s="1"/>
      <c r="E3693" s="1" t="s">
        <v>1107</v>
      </c>
      <c r="F3693" s="1" t="s">
        <v>2963</v>
      </c>
      <c r="G3693" s="1">
        <v>23</v>
      </c>
      <c r="H3693" s="1" t="s">
        <v>19</v>
      </c>
      <c r="I3693" s="1" t="s">
        <v>585</v>
      </c>
      <c r="J3693" s="1">
        <v>5.48</v>
      </c>
      <c r="K3693" s="1">
        <v>126.04</v>
      </c>
      <c r="L3693" s="42">
        <v>10</v>
      </c>
      <c r="M3693" s="43"/>
      <c r="N3693" s="1" t="e">
        <f>VLOOKUP(B3693,MICRO!E:L,8,0)</f>
        <v>#N/A</v>
      </c>
    </row>
    <row r="3694" spans="1:14" ht="20.25" x14ac:dyDescent="0.25">
      <c r="A3694" s="1">
        <v>3</v>
      </c>
      <c r="B3694" s="159"/>
      <c r="C3694" s="1" t="s">
        <v>1276</v>
      </c>
      <c r="D3694" s="1"/>
      <c r="E3694" s="1" t="s">
        <v>1103</v>
      </c>
      <c r="F3694" s="1" t="s">
        <v>2964</v>
      </c>
      <c r="G3694" s="1">
        <v>1</v>
      </c>
      <c r="H3694" s="1" t="s">
        <v>19</v>
      </c>
      <c r="I3694" s="1" t="s">
        <v>629</v>
      </c>
      <c r="J3694" s="1">
        <v>3.77</v>
      </c>
      <c r="K3694" s="1">
        <v>3.77</v>
      </c>
      <c r="L3694" s="42">
        <v>10</v>
      </c>
      <c r="M3694" s="43"/>
      <c r="N3694" s="1" t="e">
        <f>VLOOKUP(B3694,MICRO!E:L,8,0)</f>
        <v>#N/A</v>
      </c>
    </row>
    <row r="3695" spans="1:14" ht="20.25" x14ac:dyDescent="0.25">
      <c r="A3695" s="1">
        <v>4</v>
      </c>
      <c r="B3695" s="159"/>
      <c r="C3695" s="1" t="s">
        <v>1276</v>
      </c>
      <c r="D3695" s="1"/>
      <c r="E3695" s="1" t="s">
        <v>1104</v>
      </c>
      <c r="F3695" s="1" t="s">
        <v>2965</v>
      </c>
      <c r="G3695" s="1">
        <v>84</v>
      </c>
      <c r="H3695" s="1" t="s">
        <v>19</v>
      </c>
      <c r="I3695" s="1" t="s">
        <v>629</v>
      </c>
      <c r="J3695" s="1">
        <v>4.32667</v>
      </c>
      <c r="K3695" s="1">
        <v>363.44028000000003</v>
      </c>
      <c r="L3695" s="42">
        <v>10</v>
      </c>
      <c r="M3695" s="43"/>
      <c r="N3695" s="1" t="e">
        <f>VLOOKUP(B3695,MICRO!E:L,8,0)</f>
        <v>#N/A</v>
      </c>
    </row>
    <row r="3696" spans="1:14" ht="20.25" x14ac:dyDescent="0.25">
      <c r="A3696" s="1">
        <v>5</v>
      </c>
      <c r="B3696" s="159"/>
      <c r="C3696" s="1"/>
      <c r="D3696" s="1"/>
      <c r="E3696" s="1"/>
      <c r="F3696" s="1" t="s">
        <v>2966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2">
        <v>10</v>
      </c>
      <c r="M3696" s="43"/>
      <c r="N3696" s="1" t="e">
        <f>VLOOKUP(B3696,MICRO!E:L,8,0)</f>
        <v>#N/A</v>
      </c>
    </row>
    <row r="3697" spans="1:14" ht="20.25" x14ac:dyDescent="0.25">
      <c r="A3697" s="1">
        <v>6</v>
      </c>
      <c r="B3697" s="159"/>
      <c r="C3697" s="1" t="s">
        <v>2967</v>
      </c>
      <c r="D3697" s="1" t="s">
        <v>2968</v>
      </c>
      <c r="E3697" s="1" t="s">
        <v>100</v>
      </c>
      <c r="F3697" s="1" t="s">
        <v>2969</v>
      </c>
      <c r="G3697" s="1">
        <v>4</v>
      </c>
      <c r="H3697" s="1" t="s">
        <v>19</v>
      </c>
      <c r="I3697" s="1" t="s">
        <v>589</v>
      </c>
      <c r="J3697" s="1">
        <v>0.7</v>
      </c>
      <c r="K3697" s="1">
        <v>2.8</v>
      </c>
      <c r="L3697" s="42">
        <v>10</v>
      </c>
      <c r="M3697" s="43"/>
      <c r="N3697" s="1" t="e">
        <f>VLOOKUP(B3697,MICRO!E:L,8,0)</f>
        <v>#N/A</v>
      </c>
    </row>
    <row r="3698" spans="1:14" ht="20.25" x14ac:dyDescent="0.25">
      <c r="A3698" s="1">
        <v>1</v>
      </c>
      <c r="B3698" s="159"/>
      <c r="C3698" s="1" t="s">
        <v>2047</v>
      </c>
      <c r="D3698" s="1"/>
      <c r="E3698" s="1"/>
      <c r="F3698" s="1" t="s">
        <v>2970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2">
        <v>11</v>
      </c>
      <c r="M3698" s="43"/>
      <c r="N3698" s="1" t="e">
        <f>VLOOKUP(B3698,MICRO!E:L,8,0)</f>
        <v>#N/A</v>
      </c>
    </row>
    <row r="3699" spans="1:14" ht="20.25" x14ac:dyDescent="0.25">
      <c r="A3699" s="1">
        <v>2</v>
      </c>
      <c r="B3699" s="159"/>
      <c r="C3699" s="1" t="s">
        <v>2971</v>
      </c>
      <c r="D3699" s="1"/>
      <c r="E3699" s="1"/>
      <c r="F3699" s="1" t="s">
        <v>2972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2">
        <v>11</v>
      </c>
      <c r="M3699" s="43"/>
      <c r="N3699" s="1" t="e">
        <f>VLOOKUP(B3699,MICRO!E:L,8,0)</f>
        <v>#N/A</v>
      </c>
    </row>
    <row r="3700" spans="1:14" ht="20.25" x14ac:dyDescent="0.25">
      <c r="A3700" s="1">
        <v>3</v>
      </c>
      <c r="B3700" s="159"/>
      <c r="C3700" s="1"/>
      <c r="D3700" s="1" t="s">
        <v>2196</v>
      </c>
      <c r="E3700" s="1"/>
      <c r="F3700" s="1" t="s">
        <v>2973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2">
        <v>11</v>
      </c>
      <c r="M3700" s="43"/>
      <c r="N3700" s="1" t="e">
        <f>VLOOKUP(B3700,MICRO!E:L,8,0)</f>
        <v>#N/A</v>
      </c>
    </row>
    <row r="3701" spans="1:14" ht="20.25" x14ac:dyDescent="0.25">
      <c r="A3701" s="1">
        <v>4</v>
      </c>
      <c r="B3701" s="159"/>
      <c r="C3701" s="1" t="s">
        <v>2201</v>
      </c>
      <c r="D3701" s="1"/>
      <c r="E3701" s="1"/>
      <c r="F3701" s="1" t="s">
        <v>2974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2">
        <v>11</v>
      </c>
      <c r="M3701" s="43"/>
      <c r="N3701" s="1" t="e">
        <f>VLOOKUP(B3701,MICRO!E:L,8,0)</f>
        <v>#N/A</v>
      </c>
    </row>
    <row r="3702" spans="1:14" ht="20.25" x14ac:dyDescent="0.25">
      <c r="A3702" s="1">
        <v>1</v>
      </c>
      <c r="B3702" s="159">
        <v>2559</v>
      </c>
      <c r="C3702" s="1" t="s">
        <v>1006</v>
      </c>
      <c r="D3702" s="1"/>
      <c r="E3702" s="1" t="s">
        <v>2</v>
      </c>
      <c r="F3702" s="1" t="s">
        <v>1007</v>
      </c>
      <c r="G3702" s="1">
        <v>4</v>
      </c>
      <c r="H3702" s="1" t="s">
        <v>19</v>
      </c>
      <c r="I3702" s="1" t="s">
        <v>589</v>
      </c>
      <c r="J3702" s="1">
        <v>0.8</v>
      </c>
      <c r="K3702" s="1">
        <v>3.2</v>
      </c>
      <c r="L3702" s="42">
        <v>12</v>
      </c>
      <c r="M3702" s="43"/>
      <c r="N3702" s="1" t="e">
        <f>VLOOKUP(B3702,MICRO!E:L,8,0)</f>
        <v>#N/A</v>
      </c>
    </row>
    <row r="3703" spans="1:14" ht="20.25" x14ac:dyDescent="0.25">
      <c r="A3703" s="1">
        <v>2</v>
      </c>
      <c r="B3703" s="159">
        <v>2560</v>
      </c>
      <c r="C3703" s="1" t="s">
        <v>1006</v>
      </c>
      <c r="D3703" s="1"/>
      <c r="E3703" s="1" t="s">
        <v>43</v>
      </c>
      <c r="F3703" s="1" t="s">
        <v>1008</v>
      </c>
      <c r="G3703" s="1">
        <v>2</v>
      </c>
      <c r="H3703" s="1" t="s">
        <v>19</v>
      </c>
      <c r="I3703" s="1" t="s">
        <v>589</v>
      </c>
      <c r="J3703" s="1">
        <v>7.7</v>
      </c>
      <c r="K3703" s="1">
        <v>15.4</v>
      </c>
      <c r="L3703" s="42">
        <v>12</v>
      </c>
      <c r="M3703" s="43"/>
      <c r="N3703" s="1" t="e">
        <f>VLOOKUP(B3703,MICRO!E:L,8,0)</f>
        <v>#N/A</v>
      </c>
    </row>
    <row r="3704" spans="1:14" ht="20.25" x14ac:dyDescent="0.25">
      <c r="A3704" s="1">
        <v>3</v>
      </c>
      <c r="B3704" s="159">
        <v>2562</v>
      </c>
      <c r="C3704" s="1" t="s">
        <v>1006</v>
      </c>
      <c r="D3704" s="1"/>
      <c r="E3704" s="1" t="s">
        <v>43</v>
      </c>
      <c r="F3704" s="1" t="s">
        <v>1009</v>
      </c>
      <c r="G3704" s="1">
        <v>1</v>
      </c>
      <c r="H3704" s="1" t="s">
        <v>19</v>
      </c>
      <c r="I3704" s="1" t="s">
        <v>589</v>
      </c>
      <c r="J3704" s="1">
        <v>7.7</v>
      </c>
      <c r="K3704" s="1">
        <v>7.7</v>
      </c>
      <c r="L3704" s="42">
        <v>12</v>
      </c>
      <c r="M3704" s="43"/>
      <c r="N3704" s="1" t="e">
        <f>VLOOKUP(B3704,MICRO!E:L,8,0)</f>
        <v>#N/A</v>
      </c>
    </row>
    <row r="3705" spans="1:14" ht="20.25" x14ac:dyDescent="0.25">
      <c r="A3705" s="1">
        <v>4</v>
      </c>
      <c r="B3705" s="159">
        <v>2595</v>
      </c>
      <c r="C3705" s="1" t="s">
        <v>1030</v>
      </c>
      <c r="D3705" s="1"/>
      <c r="E3705" s="1" t="s">
        <v>2</v>
      </c>
      <c r="F3705" s="1" t="s">
        <v>1031</v>
      </c>
      <c r="G3705" s="1">
        <v>4</v>
      </c>
      <c r="H3705" s="1" t="s">
        <v>19</v>
      </c>
      <c r="I3705" s="1" t="s">
        <v>585</v>
      </c>
      <c r="J3705" s="1">
        <v>0.8</v>
      </c>
      <c r="K3705" s="1">
        <v>3.2</v>
      </c>
      <c r="L3705" s="42">
        <v>12</v>
      </c>
      <c r="M3705" s="43"/>
      <c r="N3705" s="1" t="e">
        <f>VLOOKUP(B3705,MICRO!E:L,8,0)</f>
        <v>#N/A</v>
      </c>
    </row>
    <row r="3706" spans="1:14" ht="20.25" x14ac:dyDescent="0.25">
      <c r="A3706" s="1">
        <v>5</v>
      </c>
      <c r="B3706" s="159">
        <v>2596</v>
      </c>
      <c r="C3706" s="1" t="s">
        <v>1030</v>
      </c>
      <c r="D3706" s="1"/>
      <c r="E3706" s="1" t="s">
        <v>43</v>
      </c>
      <c r="F3706" s="1" t="s">
        <v>1032</v>
      </c>
      <c r="G3706" s="1">
        <v>2</v>
      </c>
      <c r="H3706" s="1" t="s">
        <v>19</v>
      </c>
      <c r="I3706" s="1" t="s">
        <v>585</v>
      </c>
      <c r="J3706" s="1">
        <v>2.2999999999999998</v>
      </c>
      <c r="K3706" s="1">
        <v>4.5999999999999996</v>
      </c>
      <c r="L3706" s="42">
        <v>12</v>
      </c>
      <c r="M3706" s="43"/>
      <c r="N3706" s="1" t="e">
        <f>VLOOKUP(B3706,MICRO!E:L,8,0)</f>
        <v>#N/A</v>
      </c>
    </row>
    <row r="3707" spans="1:14" ht="20.25" x14ac:dyDescent="0.25">
      <c r="A3707" s="1">
        <v>6</v>
      </c>
      <c r="B3707" s="159">
        <v>2621</v>
      </c>
      <c r="C3707" s="1" t="s">
        <v>1045</v>
      </c>
      <c r="D3707" s="1"/>
      <c r="E3707" s="1" t="s">
        <v>2</v>
      </c>
      <c r="F3707" s="1" t="s">
        <v>1046</v>
      </c>
      <c r="G3707" s="1">
        <v>4</v>
      </c>
      <c r="H3707" s="1" t="s">
        <v>19</v>
      </c>
      <c r="I3707" s="1" t="s">
        <v>634</v>
      </c>
      <c r="J3707" s="1">
        <v>0.8</v>
      </c>
      <c r="K3707" s="1">
        <v>3.2</v>
      </c>
      <c r="L3707" s="42">
        <v>12</v>
      </c>
      <c r="M3707" s="43"/>
      <c r="N3707" s="1" t="e">
        <f>VLOOKUP(B3707,MICRO!E:L,8,0)</f>
        <v>#N/A</v>
      </c>
    </row>
    <row r="3708" spans="1:14" ht="20.25" x14ac:dyDescent="0.25">
      <c r="A3708" s="1">
        <v>7</v>
      </c>
      <c r="B3708" s="159">
        <v>2622</v>
      </c>
      <c r="C3708" s="1" t="s">
        <v>1045</v>
      </c>
      <c r="D3708" s="1"/>
      <c r="E3708" s="1" t="s">
        <v>43</v>
      </c>
      <c r="F3708" s="1" t="s">
        <v>1047</v>
      </c>
      <c r="G3708" s="1">
        <v>2</v>
      </c>
      <c r="H3708" s="1" t="s">
        <v>19</v>
      </c>
      <c r="I3708" s="1" t="s">
        <v>634</v>
      </c>
      <c r="J3708" s="1">
        <v>0.8</v>
      </c>
      <c r="K3708" s="1">
        <v>1.6</v>
      </c>
      <c r="L3708" s="42">
        <v>12</v>
      </c>
      <c r="M3708" s="43"/>
      <c r="N3708" s="1" t="e">
        <f>VLOOKUP(B3708,MICRO!E:L,8,0)</f>
        <v>#N/A</v>
      </c>
    </row>
    <row r="3709" spans="1:14" ht="20.25" x14ac:dyDescent="0.25">
      <c r="A3709" s="1">
        <v>8</v>
      </c>
      <c r="B3709" s="159"/>
      <c r="C3709" s="1" t="s">
        <v>1281</v>
      </c>
      <c r="D3709" s="1"/>
      <c r="E3709" s="1" t="s">
        <v>2</v>
      </c>
      <c r="F3709" s="1" t="s">
        <v>2975</v>
      </c>
      <c r="G3709" s="1">
        <v>1</v>
      </c>
      <c r="H3709" s="1" t="s">
        <v>19</v>
      </c>
      <c r="I3709" s="1" t="s">
        <v>629</v>
      </c>
      <c r="J3709" s="1">
        <v>6.2</v>
      </c>
      <c r="K3709" s="1">
        <v>6.2</v>
      </c>
      <c r="L3709" s="42">
        <v>12</v>
      </c>
      <c r="M3709" s="43"/>
      <c r="N3709" s="1" t="e">
        <f>VLOOKUP(B3709,MICRO!E:L,8,0)</f>
        <v>#N/A</v>
      </c>
    </row>
    <row r="3710" spans="1:14" ht="20.25" x14ac:dyDescent="0.25">
      <c r="A3710" s="1">
        <v>9</v>
      </c>
      <c r="B3710" s="159"/>
      <c r="C3710" s="1" t="s">
        <v>1281</v>
      </c>
      <c r="D3710" s="1"/>
      <c r="E3710" s="1" t="s">
        <v>2</v>
      </c>
      <c r="F3710" s="1" t="s">
        <v>2976</v>
      </c>
      <c r="G3710" s="1">
        <v>4</v>
      </c>
      <c r="H3710" s="1" t="s">
        <v>19</v>
      </c>
      <c r="I3710" s="1" t="s">
        <v>629</v>
      </c>
      <c r="J3710" s="1">
        <v>0.8</v>
      </c>
      <c r="K3710" s="1">
        <v>3.2</v>
      </c>
      <c r="L3710" s="42">
        <v>12</v>
      </c>
      <c r="M3710" s="43"/>
      <c r="N3710" s="1" t="e">
        <f>VLOOKUP(B3710,MICRO!E:L,8,0)</f>
        <v>#N/A</v>
      </c>
    </row>
    <row r="3711" spans="1:14" ht="20.25" x14ac:dyDescent="0.25">
      <c r="A3711" s="1">
        <v>10</v>
      </c>
      <c r="B3711" s="159"/>
      <c r="C3711" s="1" t="s">
        <v>927</v>
      </c>
      <c r="D3711" s="1"/>
      <c r="E3711" s="1" t="s">
        <v>1973</v>
      </c>
      <c r="F3711" s="1" t="s">
        <v>2977</v>
      </c>
      <c r="G3711" s="1">
        <v>1</v>
      </c>
      <c r="H3711" s="1" t="s">
        <v>19</v>
      </c>
      <c r="I3711" s="1" t="s">
        <v>629</v>
      </c>
      <c r="J3711" s="1">
        <v>6.11</v>
      </c>
      <c r="K3711" s="1">
        <v>6.11</v>
      </c>
      <c r="L3711" s="42">
        <v>12</v>
      </c>
      <c r="M3711" s="43"/>
      <c r="N3711" s="1" t="e">
        <f>VLOOKUP(B3711,MICRO!E:L,8,0)</f>
        <v>#N/A</v>
      </c>
    </row>
    <row r="3712" spans="1:14" ht="20.25" x14ac:dyDescent="0.25">
      <c r="A3712" s="1">
        <v>11</v>
      </c>
      <c r="B3712" s="159"/>
      <c r="C3712" s="1" t="s">
        <v>927</v>
      </c>
      <c r="D3712" s="1"/>
      <c r="E3712" s="1" t="s">
        <v>2574</v>
      </c>
      <c r="F3712" s="1" t="s">
        <v>2978</v>
      </c>
      <c r="G3712" s="1">
        <v>1</v>
      </c>
      <c r="H3712" s="1" t="s">
        <v>19</v>
      </c>
      <c r="I3712" s="1" t="s">
        <v>629</v>
      </c>
      <c r="J3712" s="1">
        <v>14.91</v>
      </c>
      <c r="K3712" s="1">
        <v>14.91</v>
      </c>
      <c r="L3712" s="42">
        <v>12</v>
      </c>
      <c r="M3712" s="43"/>
      <c r="N3712" s="1" t="e">
        <f>VLOOKUP(B3712,MICRO!E:L,8,0)</f>
        <v>#N/A</v>
      </c>
    </row>
    <row r="3713" spans="1:14" ht="20.25" x14ac:dyDescent="0.25">
      <c r="A3713" s="1">
        <v>12</v>
      </c>
      <c r="B3713" s="159"/>
      <c r="C3713" s="1" t="s">
        <v>182</v>
      </c>
      <c r="D3713" s="1"/>
      <c r="E3713" s="1" t="s">
        <v>2</v>
      </c>
      <c r="F3713" s="1" t="s">
        <v>2979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2">
        <v>12</v>
      </c>
      <c r="M3713" s="43"/>
      <c r="N3713" s="1" t="e">
        <f>VLOOKUP(B3713,MICRO!E:L,8,0)</f>
        <v>#N/A</v>
      </c>
    </row>
    <row r="3714" spans="1:14" ht="20.25" x14ac:dyDescent="0.25">
      <c r="A3714" s="1">
        <v>13</v>
      </c>
      <c r="B3714" s="159"/>
      <c r="C3714" s="1" t="s">
        <v>182</v>
      </c>
      <c r="D3714" s="1"/>
      <c r="E3714" s="1" t="s">
        <v>43</v>
      </c>
      <c r="F3714" s="1" t="s">
        <v>2980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2">
        <v>12</v>
      </c>
      <c r="M3714" s="43"/>
      <c r="N3714" s="1" t="e">
        <f>VLOOKUP(B3714,MICRO!E:L,8,0)</f>
        <v>#N/A</v>
      </c>
    </row>
    <row r="3715" spans="1:14" ht="20.25" x14ac:dyDescent="0.25">
      <c r="A3715" s="1">
        <v>1</v>
      </c>
      <c r="B3715" s="159">
        <v>3392</v>
      </c>
      <c r="C3715" s="1" t="s">
        <v>2272</v>
      </c>
      <c r="D3715" s="1"/>
      <c r="E3715" s="1" t="s">
        <v>2</v>
      </c>
      <c r="F3715" s="1" t="s">
        <v>2273</v>
      </c>
      <c r="G3715" s="1">
        <v>38</v>
      </c>
      <c r="H3715" s="1" t="s">
        <v>19</v>
      </c>
      <c r="I3715" s="1" t="s">
        <v>2274</v>
      </c>
      <c r="J3715" s="1">
        <v>17.559999999999999</v>
      </c>
      <c r="K3715" s="1">
        <v>667.39</v>
      </c>
      <c r="L3715" s="42">
        <v>1</v>
      </c>
      <c r="M3715" s="43">
        <v>46146</v>
      </c>
      <c r="N3715" s="1" t="str">
        <f>VLOOKUP(B3715,MICRO!E:L,8,0)</f>
        <v>P-188</v>
      </c>
    </row>
    <row r="3716" spans="1:14" ht="20.25" x14ac:dyDescent="0.25">
      <c r="A3716" s="1">
        <v>2</v>
      </c>
      <c r="B3716" s="159">
        <v>3392</v>
      </c>
      <c r="C3716" s="1" t="s">
        <v>2272</v>
      </c>
      <c r="D3716" s="1"/>
      <c r="E3716" s="1" t="s">
        <v>43</v>
      </c>
      <c r="F3716" s="1" t="s">
        <v>3290</v>
      </c>
      <c r="G3716" s="1"/>
      <c r="H3716" s="1" t="s">
        <v>19</v>
      </c>
      <c r="I3716" s="1" t="s">
        <v>2274</v>
      </c>
      <c r="J3716" s="1">
        <v>4.3</v>
      </c>
      <c r="K3716" s="1">
        <v>326.8</v>
      </c>
      <c r="L3716" s="42">
        <v>1</v>
      </c>
      <c r="M3716" s="43">
        <v>46146</v>
      </c>
      <c r="N3716" s="1" t="str">
        <f>VLOOKUP(B3716,MICRO!E:L,8,0)</f>
        <v>P-188</v>
      </c>
    </row>
    <row r="3717" spans="1:14" ht="20.25" x14ac:dyDescent="0.25">
      <c r="A3717" s="1">
        <v>3</v>
      </c>
      <c r="B3717" s="159">
        <v>3393</v>
      </c>
      <c r="C3717" s="1" t="s">
        <v>2272</v>
      </c>
      <c r="D3717" s="1"/>
      <c r="E3717" s="1" t="s">
        <v>2</v>
      </c>
      <c r="F3717" s="1" t="s">
        <v>2273</v>
      </c>
      <c r="G3717" s="1">
        <v>38</v>
      </c>
      <c r="H3717" s="1" t="s">
        <v>19</v>
      </c>
      <c r="I3717" s="1" t="s">
        <v>2276</v>
      </c>
      <c r="J3717" s="1">
        <v>17.559999999999999</v>
      </c>
      <c r="K3717" s="1">
        <v>667.39</v>
      </c>
      <c r="L3717" s="42">
        <v>1</v>
      </c>
      <c r="M3717" s="43">
        <v>46146</v>
      </c>
      <c r="N3717" s="1" t="str">
        <f>VLOOKUP(B3717,MICRO!E:L,8,0)</f>
        <v>P-188</v>
      </c>
    </row>
    <row r="3718" spans="1:14" ht="20.25" x14ac:dyDescent="0.25">
      <c r="A3718" s="1">
        <v>4</v>
      </c>
      <c r="B3718" s="159">
        <v>3393</v>
      </c>
      <c r="C3718" s="1" t="s">
        <v>2272</v>
      </c>
      <c r="D3718" s="1"/>
      <c r="E3718" s="1" t="s">
        <v>43</v>
      </c>
      <c r="F3718" s="1" t="s">
        <v>3290</v>
      </c>
      <c r="G3718" s="1"/>
      <c r="H3718" s="1" t="s">
        <v>19</v>
      </c>
      <c r="I3718" s="1" t="s">
        <v>2276</v>
      </c>
      <c r="J3718" s="1">
        <v>4.3</v>
      </c>
      <c r="K3718" s="1">
        <v>326.8</v>
      </c>
      <c r="L3718" s="42"/>
      <c r="M3718" s="43">
        <v>46146</v>
      </c>
      <c r="N3718" s="1" t="str">
        <f>VLOOKUP(B3718,MICRO!E:L,8,0)</f>
        <v>P-188</v>
      </c>
    </row>
    <row r="3719" spans="1:14" ht="20.25" x14ac:dyDescent="0.25">
      <c r="A3719" s="1">
        <v>5</v>
      </c>
      <c r="B3719" s="159">
        <v>3394</v>
      </c>
      <c r="C3719" s="1" t="s">
        <v>2275</v>
      </c>
      <c r="D3719" s="1"/>
      <c r="E3719" s="1" t="s">
        <v>2</v>
      </c>
      <c r="F3719" s="1" t="s">
        <v>2278</v>
      </c>
      <c r="G3719" s="1">
        <v>1</v>
      </c>
      <c r="H3719" s="1" t="s">
        <v>19</v>
      </c>
      <c r="I3719" s="1" t="s">
        <v>2274</v>
      </c>
      <c r="J3719" s="1">
        <v>19.2</v>
      </c>
      <c r="K3719" s="1">
        <v>19.2</v>
      </c>
      <c r="L3719" s="42">
        <v>1</v>
      </c>
      <c r="M3719" s="43">
        <v>46146</v>
      </c>
      <c r="N3719" s="1" t="str">
        <f>VLOOKUP(B3719,MICRO!E:L,8,0)</f>
        <v>P-188</v>
      </c>
    </row>
    <row r="3720" spans="1:14" ht="20.25" x14ac:dyDescent="0.25">
      <c r="A3720" s="1">
        <v>6</v>
      </c>
      <c r="B3720" s="159">
        <v>3395</v>
      </c>
      <c r="C3720" s="1" t="s">
        <v>2275</v>
      </c>
      <c r="D3720" s="1"/>
      <c r="E3720" s="1" t="s">
        <v>2</v>
      </c>
      <c r="F3720" s="1" t="s">
        <v>2278</v>
      </c>
      <c r="G3720" s="1">
        <v>1</v>
      </c>
      <c r="H3720" s="1" t="s">
        <v>19</v>
      </c>
      <c r="I3720" s="1" t="s">
        <v>2276</v>
      </c>
      <c r="J3720" s="1">
        <v>19.2</v>
      </c>
      <c r="K3720" s="1">
        <v>19.2</v>
      </c>
      <c r="L3720" s="42">
        <v>1</v>
      </c>
      <c r="M3720" s="43">
        <v>46146</v>
      </c>
      <c r="N3720" s="1" t="str">
        <f>VLOOKUP(B3720,MICRO!E:L,8,0)</f>
        <v>P-188</v>
      </c>
    </row>
    <row r="3721" spans="1:14" ht="20.25" x14ac:dyDescent="0.25">
      <c r="A3721" s="1">
        <v>7</v>
      </c>
      <c r="B3721" s="159">
        <v>3396</v>
      </c>
      <c r="C3721" s="1" t="s">
        <v>2277</v>
      </c>
      <c r="D3721" s="1"/>
      <c r="E3721" s="1" t="s">
        <v>2</v>
      </c>
      <c r="F3721" s="1" t="s">
        <v>2279</v>
      </c>
      <c r="G3721" s="1">
        <v>4</v>
      </c>
      <c r="H3721" s="1" t="s">
        <v>19</v>
      </c>
      <c r="I3721" s="1" t="s">
        <v>2274</v>
      </c>
      <c r="J3721" s="1">
        <v>2.7</v>
      </c>
      <c r="K3721" s="1">
        <v>10.8</v>
      </c>
      <c r="L3721" s="42">
        <v>1</v>
      </c>
      <c r="M3721" s="43">
        <v>46146</v>
      </c>
      <c r="N3721" s="1" t="str">
        <f>VLOOKUP(B3721,MICRO!E:L,8,0)</f>
        <v>P-188</v>
      </c>
    </row>
    <row r="3722" spans="1:14" ht="20.25" x14ac:dyDescent="0.25">
      <c r="A3722" s="1">
        <v>8</v>
      </c>
      <c r="B3722" s="159">
        <v>3397</v>
      </c>
      <c r="C3722" s="1" t="s">
        <v>2277</v>
      </c>
      <c r="D3722" s="1"/>
      <c r="E3722" s="1" t="s">
        <v>2</v>
      </c>
      <c r="F3722" s="1" t="s">
        <v>2279</v>
      </c>
      <c r="G3722" s="1">
        <v>4</v>
      </c>
      <c r="H3722" s="1" t="s">
        <v>19</v>
      </c>
      <c r="I3722" s="1" t="s">
        <v>2276</v>
      </c>
      <c r="J3722" s="1">
        <v>2.7</v>
      </c>
      <c r="K3722" s="1">
        <v>10.8</v>
      </c>
      <c r="L3722" s="42">
        <v>1</v>
      </c>
      <c r="M3722" s="43">
        <v>46146</v>
      </c>
      <c r="N3722" s="1" t="str">
        <f>VLOOKUP(B3722,MICRO!E:L,8,0)</f>
        <v>P-188</v>
      </c>
    </row>
    <row r="3723" spans="1:14" ht="20.25" x14ac:dyDescent="0.25">
      <c r="A3723" s="1">
        <v>9</v>
      </c>
      <c r="B3723" s="159">
        <v>3416</v>
      </c>
      <c r="C3723" s="1" t="s">
        <v>82</v>
      </c>
      <c r="D3723" s="1"/>
      <c r="E3723" s="1"/>
      <c r="F3723" s="1" t="s">
        <v>2290</v>
      </c>
      <c r="G3723" s="1">
        <v>10</v>
      </c>
      <c r="H3723" s="1" t="s">
        <v>19</v>
      </c>
      <c r="I3723" s="1" t="s">
        <v>2274</v>
      </c>
      <c r="J3723" s="1">
        <v>19.8</v>
      </c>
      <c r="K3723" s="1">
        <v>198</v>
      </c>
      <c r="L3723" s="42">
        <v>1</v>
      </c>
      <c r="M3723" s="43">
        <v>46146</v>
      </c>
      <c r="N3723" s="1" t="str">
        <f>VLOOKUP(B3723,MICRO!E:L,8,0)</f>
        <v>P-188</v>
      </c>
    </row>
    <row r="3724" spans="1:14" ht="20.25" x14ac:dyDescent="0.25">
      <c r="A3724" s="1">
        <v>10</v>
      </c>
      <c r="B3724" s="159">
        <v>3417</v>
      </c>
      <c r="C3724" s="1" t="s">
        <v>82</v>
      </c>
      <c r="D3724" s="1"/>
      <c r="E3724" s="1"/>
      <c r="F3724" s="1" t="s">
        <v>2290</v>
      </c>
      <c r="G3724" s="1">
        <v>10</v>
      </c>
      <c r="H3724" s="1" t="s">
        <v>19</v>
      </c>
      <c r="I3724" s="1" t="s">
        <v>2276</v>
      </c>
      <c r="J3724" s="1">
        <v>19.8</v>
      </c>
      <c r="K3724" s="1">
        <v>198</v>
      </c>
      <c r="L3724" s="42">
        <v>1</v>
      </c>
      <c r="M3724" s="43">
        <v>46146</v>
      </c>
      <c r="N3724" s="1" t="str">
        <f>VLOOKUP(B3724,MICRO!E:L,8,0)</f>
        <v>P-188</v>
      </c>
    </row>
    <row r="3725" spans="1:14" ht="20.25" x14ac:dyDescent="0.25">
      <c r="A3725" s="1">
        <v>11</v>
      </c>
      <c r="B3725" s="159">
        <v>3400</v>
      </c>
      <c r="C3725" s="1" t="s">
        <v>2282</v>
      </c>
      <c r="D3725" s="1"/>
      <c r="E3725" s="1" t="s">
        <v>2</v>
      </c>
      <c r="F3725" s="1" t="s">
        <v>2283</v>
      </c>
      <c r="G3725" s="1">
        <v>9</v>
      </c>
      <c r="H3725" s="1" t="s">
        <v>19</v>
      </c>
      <c r="I3725" s="1" t="s">
        <v>2274</v>
      </c>
      <c r="J3725" s="1">
        <v>5.7</v>
      </c>
      <c r="K3725" s="1">
        <v>51.3</v>
      </c>
      <c r="L3725" s="42">
        <v>1</v>
      </c>
      <c r="M3725" s="43">
        <v>46146</v>
      </c>
      <c r="N3725" s="1" t="str">
        <f>VLOOKUP(B3725,MICRO!E:L,8,0)</f>
        <v>P-188</v>
      </c>
    </row>
    <row r="3726" spans="1:14" ht="20.25" x14ac:dyDescent="0.25">
      <c r="A3726" s="1">
        <v>12</v>
      </c>
      <c r="B3726" s="159">
        <v>3401</v>
      </c>
      <c r="C3726" s="1" t="s">
        <v>2282</v>
      </c>
      <c r="D3726" s="1"/>
      <c r="E3726" s="1" t="s">
        <v>2</v>
      </c>
      <c r="F3726" s="1" t="s">
        <v>2283</v>
      </c>
      <c r="G3726" s="1">
        <v>9</v>
      </c>
      <c r="H3726" s="1" t="s">
        <v>19</v>
      </c>
      <c r="I3726" s="1" t="s">
        <v>2276</v>
      </c>
      <c r="J3726" s="1">
        <v>5.7</v>
      </c>
      <c r="K3726" s="1">
        <v>51.3</v>
      </c>
      <c r="L3726" s="42">
        <v>1</v>
      </c>
      <c r="M3726" s="43">
        <v>46146</v>
      </c>
      <c r="N3726" s="1" t="str">
        <f>VLOOKUP(B3726,MICRO!E:L,8,0)</f>
        <v>P-188</v>
      </c>
    </row>
    <row r="3727" spans="1:14" ht="20.25" x14ac:dyDescent="0.25">
      <c r="A3727" s="1">
        <v>13</v>
      </c>
      <c r="B3727" s="159">
        <v>3402</v>
      </c>
      <c r="C3727" s="1" t="s">
        <v>2284</v>
      </c>
      <c r="D3727" s="1"/>
      <c r="E3727" s="1" t="s">
        <v>2</v>
      </c>
      <c r="F3727" s="1" t="s">
        <v>2285</v>
      </c>
      <c r="G3727" s="1">
        <v>11</v>
      </c>
      <c r="H3727" s="1" t="s">
        <v>19</v>
      </c>
      <c r="I3727" s="1" t="s">
        <v>2274</v>
      </c>
      <c r="J3727" s="1">
        <v>19.100000000000001</v>
      </c>
      <c r="K3727" s="1">
        <v>210.1</v>
      </c>
      <c r="L3727" s="42">
        <v>1</v>
      </c>
      <c r="M3727" s="43">
        <v>46146</v>
      </c>
      <c r="N3727" s="1" t="str">
        <f>VLOOKUP(B3727,MICRO!E:L,8,0)</f>
        <v>P-188</v>
      </c>
    </row>
    <row r="3728" spans="1:14" ht="20.25" x14ac:dyDescent="0.25">
      <c r="A3728" s="1">
        <v>14</v>
      </c>
      <c r="B3728" s="159">
        <v>3403</v>
      </c>
      <c r="C3728" s="1" t="s">
        <v>2284</v>
      </c>
      <c r="D3728" s="1"/>
      <c r="E3728" s="1" t="s">
        <v>2</v>
      </c>
      <c r="F3728" s="1" t="s">
        <v>2285</v>
      </c>
      <c r="G3728" s="1">
        <v>11</v>
      </c>
      <c r="H3728" s="1" t="s">
        <v>19</v>
      </c>
      <c r="I3728" s="1" t="s">
        <v>2276</v>
      </c>
      <c r="J3728" s="1">
        <v>19.100000000000001</v>
      </c>
      <c r="K3728" s="1">
        <v>210.1</v>
      </c>
      <c r="L3728" s="42">
        <v>1</v>
      </c>
      <c r="M3728" s="43">
        <v>46146</v>
      </c>
      <c r="N3728" s="1" t="str">
        <f>VLOOKUP(B3728,MICRO!E:L,8,0)</f>
        <v>P-188</v>
      </c>
    </row>
    <row r="3729" spans="1:14" ht="20.25" x14ac:dyDescent="0.25">
      <c r="A3729" s="1">
        <v>15</v>
      </c>
      <c r="B3729" s="159">
        <v>3404</v>
      </c>
      <c r="C3729" s="1" t="s">
        <v>2286</v>
      </c>
      <c r="D3729" s="1"/>
      <c r="E3729" s="1" t="s">
        <v>2</v>
      </c>
      <c r="F3729" s="1" t="s">
        <v>2287</v>
      </c>
      <c r="G3729" s="1">
        <v>2</v>
      </c>
      <c r="H3729" s="1" t="s">
        <v>19</v>
      </c>
      <c r="I3729" s="1" t="s">
        <v>2274</v>
      </c>
      <c r="J3729" s="1">
        <v>23</v>
      </c>
      <c r="K3729" s="1">
        <v>46</v>
      </c>
      <c r="L3729" s="42">
        <v>1</v>
      </c>
      <c r="M3729" s="43">
        <v>46146</v>
      </c>
      <c r="N3729" s="1" t="str">
        <f>VLOOKUP(B3729,MICRO!E:L,8,0)</f>
        <v>P-188</v>
      </c>
    </row>
    <row r="3730" spans="1:14" ht="20.25" x14ac:dyDescent="0.25">
      <c r="A3730" s="1">
        <v>16</v>
      </c>
      <c r="B3730" s="159">
        <v>3405</v>
      </c>
      <c r="C3730" s="1" t="s">
        <v>2286</v>
      </c>
      <c r="D3730" s="1"/>
      <c r="E3730" s="1" t="s">
        <v>2</v>
      </c>
      <c r="F3730" s="1" t="s">
        <v>2287</v>
      </c>
      <c r="G3730" s="1">
        <v>2</v>
      </c>
      <c r="H3730" s="1" t="s">
        <v>19</v>
      </c>
      <c r="I3730" s="1" t="s">
        <v>2276</v>
      </c>
      <c r="J3730" s="1">
        <v>23</v>
      </c>
      <c r="K3730" s="1">
        <v>46</v>
      </c>
      <c r="L3730" s="42">
        <v>1</v>
      </c>
      <c r="M3730" s="43">
        <v>46146</v>
      </c>
      <c r="N3730" s="1" t="str">
        <f>VLOOKUP(B3730,MICRO!E:L,8,0)</f>
        <v>P-188</v>
      </c>
    </row>
    <row r="3731" spans="1:14" ht="20.25" x14ac:dyDescent="0.25">
      <c r="A3731" s="1">
        <v>17</v>
      </c>
      <c r="B3731" s="159">
        <v>3406</v>
      </c>
      <c r="C3731" s="1" t="s">
        <v>139</v>
      </c>
      <c r="D3731" s="1"/>
      <c r="E3731" s="1"/>
      <c r="F3731" s="1" t="s">
        <v>188</v>
      </c>
      <c r="G3731" s="1">
        <v>96</v>
      </c>
      <c r="H3731" s="1" t="s">
        <v>19</v>
      </c>
      <c r="I3731" s="1" t="s">
        <v>2274</v>
      </c>
      <c r="J3731" s="1">
        <v>7</v>
      </c>
      <c r="K3731" s="1">
        <v>672</v>
      </c>
      <c r="L3731" s="42">
        <v>1</v>
      </c>
      <c r="M3731" s="43">
        <v>46146</v>
      </c>
      <c r="N3731" s="1" t="str">
        <f>VLOOKUP(B3731,MICRO!E:L,8,0)</f>
        <v>P-188</v>
      </c>
    </row>
    <row r="3732" spans="1:14" ht="20.25" x14ac:dyDescent="0.25">
      <c r="A3732" s="1">
        <v>18</v>
      </c>
      <c r="B3732" s="159">
        <v>3407</v>
      </c>
      <c r="C3732" s="1" t="s">
        <v>139</v>
      </c>
      <c r="D3732" s="1"/>
      <c r="E3732" s="1"/>
      <c r="F3732" s="1" t="s">
        <v>188</v>
      </c>
      <c r="G3732" s="1">
        <v>96</v>
      </c>
      <c r="H3732" s="1" t="s">
        <v>19</v>
      </c>
      <c r="I3732" s="1" t="s">
        <v>2276</v>
      </c>
      <c r="J3732" s="1">
        <v>7</v>
      </c>
      <c r="K3732" s="1">
        <v>672</v>
      </c>
      <c r="L3732" s="42">
        <v>1</v>
      </c>
      <c r="M3732" s="43">
        <v>46146</v>
      </c>
      <c r="N3732" s="1" t="str">
        <f>VLOOKUP(B3732,MICRO!E:L,8,0)</f>
        <v>P-188</v>
      </c>
    </row>
    <row r="3733" spans="1:14" ht="20.25" x14ac:dyDescent="0.25">
      <c r="A3733" s="1">
        <v>19</v>
      </c>
      <c r="B3733" s="159">
        <v>3408</v>
      </c>
      <c r="C3733" s="1" t="s">
        <v>140</v>
      </c>
      <c r="D3733" s="1"/>
      <c r="E3733" s="1"/>
      <c r="F3733" s="1" t="s">
        <v>1190</v>
      </c>
      <c r="G3733" s="1">
        <v>39</v>
      </c>
      <c r="H3733" s="1" t="s">
        <v>19</v>
      </c>
      <c r="I3733" s="1" t="s">
        <v>2274</v>
      </c>
      <c r="J3733" s="1">
        <v>8.5</v>
      </c>
      <c r="K3733" s="1">
        <v>331.5</v>
      </c>
      <c r="L3733" s="42">
        <v>1</v>
      </c>
      <c r="M3733" s="43">
        <v>46146</v>
      </c>
      <c r="N3733" s="1" t="str">
        <f>VLOOKUP(B3733,MICRO!E:L,8,0)</f>
        <v>P-188</v>
      </c>
    </row>
    <row r="3734" spans="1:14" ht="20.25" x14ac:dyDescent="0.25">
      <c r="A3734" s="1">
        <v>20</v>
      </c>
      <c r="B3734" s="159">
        <v>3409</v>
      </c>
      <c r="C3734" s="1" t="s">
        <v>140</v>
      </c>
      <c r="D3734" s="1"/>
      <c r="E3734" s="1"/>
      <c r="F3734" s="1" t="s">
        <v>1190</v>
      </c>
      <c r="G3734" s="1">
        <v>39</v>
      </c>
      <c r="H3734" s="1" t="s">
        <v>19</v>
      </c>
      <c r="I3734" s="1" t="s">
        <v>2276</v>
      </c>
      <c r="J3734" s="1">
        <v>8.5</v>
      </c>
      <c r="K3734" s="1">
        <v>331.5</v>
      </c>
      <c r="L3734" s="42">
        <v>1</v>
      </c>
      <c r="M3734" s="43">
        <v>46146</v>
      </c>
      <c r="N3734" s="1" t="str">
        <f>VLOOKUP(B3734,MICRO!E:L,8,0)</f>
        <v>P-188</v>
      </c>
    </row>
    <row r="3735" spans="1:14" ht="20.25" x14ac:dyDescent="0.25">
      <c r="A3735" s="1">
        <v>21</v>
      </c>
      <c r="B3735" s="159">
        <v>3410</v>
      </c>
      <c r="C3735" s="1" t="s">
        <v>101</v>
      </c>
      <c r="D3735" s="1"/>
      <c r="E3735" s="1"/>
      <c r="F3735" s="1" t="s">
        <v>146</v>
      </c>
      <c r="G3735" s="1">
        <v>2</v>
      </c>
      <c r="H3735" s="1" t="s">
        <v>19</v>
      </c>
      <c r="I3735" s="1" t="s">
        <v>2274</v>
      </c>
      <c r="J3735" s="1">
        <v>1</v>
      </c>
      <c r="K3735" s="1">
        <v>2</v>
      </c>
      <c r="L3735" s="42">
        <v>1</v>
      </c>
      <c r="M3735" s="43">
        <v>46146</v>
      </c>
      <c r="N3735" s="1" t="str">
        <f>VLOOKUP(B3735,MICRO!E:L,8,0)</f>
        <v>P-188</v>
      </c>
    </row>
    <row r="3736" spans="1:14" ht="20.25" x14ac:dyDescent="0.25">
      <c r="A3736" s="1">
        <v>22</v>
      </c>
      <c r="B3736" s="159">
        <v>3411</v>
      </c>
      <c r="C3736" s="1" t="s">
        <v>101</v>
      </c>
      <c r="D3736" s="1"/>
      <c r="E3736" s="1"/>
      <c r="F3736" s="1" t="s">
        <v>146</v>
      </c>
      <c r="G3736" s="1">
        <v>2</v>
      </c>
      <c r="H3736" s="1" t="s">
        <v>19</v>
      </c>
      <c r="I3736" s="1" t="s">
        <v>2276</v>
      </c>
      <c r="J3736" s="1">
        <v>1</v>
      </c>
      <c r="K3736" s="1">
        <v>2</v>
      </c>
      <c r="L3736" s="42">
        <v>1</v>
      </c>
      <c r="M3736" s="43">
        <v>46146</v>
      </c>
      <c r="N3736" s="1" t="str">
        <f>VLOOKUP(B3736,MICRO!E:L,8,0)</f>
        <v>P-188</v>
      </c>
    </row>
    <row r="3737" spans="1:14" ht="20.25" x14ac:dyDescent="0.25">
      <c r="A3737" s="1">
        <v>23</v>
      </c>
      <c r="B3737" s="159">
        <v>3412</v>
      </c>
      <c r="C3737" s="1" t="s">
        <v>103</v>
      </c>
      <c r="D3737" s="1"/>
      <c r="E3737" s="1"/>
      <c r="F3737" s="1" t="s">
        <v>124</v>
      </c>
      <c r="G3737" s="1">
        <v>4</v>
      </c>
      <c r="H3737" s="1" t="s">
        <v>19</v>
      </c>
      <c r="I3737" s="1" t="s">
        <v>2274</v>
      </c>
      <c r="J3737" s="1">
        <v>2.5</v>
      </c>
      <c r="K3737" s="1">
        <v>10</v>
      </c>
      <c r="L3737" s="42">
        <v>1</v>
      </c>
      <c r="M3737" s="43">
        <v>46146</v>
      </c>
      <c r="N3737" s="1" t="str">
        <f>VLOOKUP(B3737,MICRO!E:L,8,0)</f>
        <v>P-188</v>
      </c>
    </row>
    <row r="3738" spans="1:14" ht="20.25" x14ac:dyDescent="0.25">
      <c r="A3738" s="1">
        <v>24</v>
      </c>
      <c r="B3738" s="159">
        <v>3413</v>
      </c>
      <c r="C3738" s="1" t="s">
        <v>103</v>
      </c>
      <c r="D3738" s="1"/>
      <c r="E3738" s="1"/>
      <c r="F3738" s="1" t="s">
        <v>124</v>
      </c>
      <c r="G3738" s="1">
        <v>4</v>
      </c>
      <c r="H3738" s="1" t="s">
        <v>19</v>
      </c>
      <c r="I3738" s="1" t="s">
        <v>2276</v>
      </c>
      <c r="J3738" s="1">
        <v>2.5</v>
      </c>
      <c r="K3738" s="1">
        <v>10</v>
      </c>
      <c r="L3738" s="42">
        <v>1</v>
      </c>
      <c r="M3738" s="43">
        <v>46146</v>
      </c>
      <c r="N3738" s="1" t="str">
        <f>VLOOKUP(B3738,MICRO!E:L,8,0)</f>
        <v>P-188</v>
      </c>
    </row>
    <row r="3739" spans="1:14" ht="20.25" x14ac:dyDescent="0.25">
      <c r="A3739" s="1">
        <v>1</v>
      </c>
      <c r="B3739" s="159">
        <v>3734</v>
      </c>
      <c r="C3739" s="1" t="s">
        <v>3035</v>
      </c>
      <c r="D3739" s="1"/>
      <c r="E3739" s="1"/>
      <c r="F3739" s="1" t="s">
        <v>3036</v>
      </c>
      <c r="G3739" s="1">
        <v>78</v>
      </c>
      <c r="H3739" s="1" t="s">
        <v>19</v>
      </c>
      <c r="I3739" s="1" t="s">
        <v>3034</v>
      </c>
      <c r="J3739" s="1">
        <v>9.5</v>
      </c>
      <c r="K3739" s="1">
        <v>741</v>
      </c>
      <c r="L3739" s="42">
        <v>1</v>
      </c>
      <c r="M3739" s="43">
        <v>46206</v>
      </c>
      <c r="N3739" s="1" t="str">
        <f>VLOOKUP(B3739,MICRO!E:L,8,0)</f>
        <v>P-198</v>
      </c>
    </row>
    <row r="3740" spans="1:14" ht="20.25" x14ac:dyDescent="0.25">
      <c r="A3740" s="1">
        <v>2</v>
      </c>
      <c r="B3740" s="159">
        <v>3735</v>
      </c>
      <c r="C3740" s="1" t="s">
        <v>3037</v>
      </c>
      <c r="D3740" s="1"/>
      <c r="E3740" s="1"/>
      <c r="F3740" s="1" t="s">
        <v>3038</v>
      </c>
      <c r="G3740" s="1">
        <v>45</v>
      </c>
      <c r="H3740" s="1" t="s">
        <v>19</v>
      </c>
      <c r="I3740" s="1" t="s">
        <v>3034</v>
      </c>
      <c r="J3740" s="1">
        <v>9</v>
      </c>
      <c r="K3740" s="1">
        <v>405</v>
      </c>
      <c r="L3740" s="42">
        <v>1</v>
      </c>
      <c r="M3740" s="43">
        <v>46206</v>
      </c>
      <c r="N3740" s="1" t="str">
        <f>VLOOKUP(B3740,MICRO!E:L,8,0)</f>
        <v>P-198</v>
      </c>
    </row>
    <row r="3741" spans="1:14" ht="20.25" x14ac:dyDescent="0.25">
      <c r="A3741" s="1">
        <v>3</v>
      </c>
      <c r="B3741" s="159">
        <v>3737</v>
      </c>
      <c r="C3741" s="1" t="s">
        <v>3041</v>
      </c>
      <c r="D3741" s="1"/>
      <c r="E3741" s="1"/>
      <c r="F3741" s="1" t="s">
        <v>3042</v>
      </c>
      <c r="G3741" s="1">
        <v>10</v>
      </c>
      <c r="H3741" s="1" t="s">
        <v>19</v>
      </c>
      <c r="I3741" s="1" t="s">
        <v>3034</v>
      </c>
      <c r="J3741" s="1">
        <v>16</v>
      </c>
      <c r="K3741" s="1">
        <v>160</v>
      </c>
      <c r="L3741" s="42">
        <v>1</v>
      </c>
      <c r="M3741" s="43">
        <v>46206</v>
      </c>
      <c r="N3741" s="1" t="str">
        <f>VLOOKUP(B3741,MICRO!E:L,8,0)</f>
        <v>P-198</v>
      </c>
    </row>
    <row r="3742" spans="1:14" ht="20.25" x14ac:dyDescent="0.25">
      <c r="A3742" s="1">
        <v>4</v>
      </c>
      <c r="B3742" s="159">
        <v>3742</v>
      </c>
      <c r="C3742" s="1" t="s">
        <v>3048</v>
      </c>
      <c r="D3742" s="1"/>
      <c r="E3742" s="1"/>
      <c r="F3742" s="1" t="s">
        <v>3049</v>
      </c>
      <c r="G3742" s="1">
        <v>6</v>
      </c>
      <c r="H3742" s="1" t="s">
        <v>19</v>
      </c>
      <c r="I3742" s="1" t="s">
        <v>3045</v>
      </c>
      <c r="J3742" s="1">
        <v>16</v>
      </c>
      <c r="K3742" s="1">
        <v>96</v>
      </c>
      <c r="L3742" s="42">
        <v>1</v>
      </c>
      <c r="M3742" s="43">
        <v>46206</v>
      </c>
      <c r="N3742" s="1" t="str">
        <f>VLOOKUP(B3742,MICRO!E:L,8,0)</f>
        <v>P-198</v>
      </c>
    </row>
    <row r="3743" spans="1:14" ht="20.25" x14ac:dyDescent="0.25">
      <c r="A3743" s="1">
        <v>5</v>
      </c>
      <c r="B3743" s="159">
        <v>3743</v>
      </c>
      <c r="C3743" s="1" t="s">
        <v>3050</v>
      </c>
      <c r="D3743" s="1"/>
      <c r="E3743" s="1"/>
      <c r="F3743" s="1" t="s">
        <v>3051</v>
      </c>
      <c r="G3743" s="1">
        <v>21</v>
      </c>
      <c r="H3743" s="1" t="s">
        <v>19</v>
      </c>
      <c r="I3743" s="1" t="s">
        <v>3045</v>
      </c>
      <c r="J3743" s="1">
        <v>17</v>
      </c>
      <c r="K3743" s="1">
        <v>357</v>
      </c>
      <c r="L3743" s="42">
        <v>1</v>
      </c>
      <c r="M3743" s="43">
        <v>46206</v>
      </c>
      <c r="N3743" s="1" t="str">
        <f>VLOOKUP(B3743,MICRO!E:L,8,0)</f>
        <v>P-198</v>
      </c>
    </row>
    <row r="3744" spans="1:14" ht="20.25" x14ac:dyDescent="0.25">
      <c r="A3744" s="1">
        <v>6</v>
      </c>
      <c r="B3744" s="159">
        <v>3744</v>
      </c>
      <c r="C3744" s="1" t="s">
        <v>122</v>
      </c>
      <c r="D3744" s="1"/>
      <c r="E3744" s="1"/>
      <c r="F3744" s="1" t="s">
        <v>3052</v>
      </c>
      <c r="G3744" s="1">
        <v>13</v>
      </c>
      <c r="H3744" s="1" t="s">
        <v>19</v>
      </c>
      <c r="I3744" s="1" t="s">
        <v>3045</v>
      </c>
      <c r="J3744" s="1">
        <v>16</v>
      </c>
      <c r="K3744" s="1">
        <v>208</v>
      </c>
      <c r="L3744" s="42">
        <v>1</v>
      </c>
      <c r="M3744" s="43">
        <v>46206</v>
      </c>
      <c r="N3744" s="1" t="str">
        <f>VLOOKUP(B3744,MICRO!E:L,8,0)</f>
        <v>P-198</v>
      </c>
    </row>
    <row r="3745" spans="1:14" ht="20.25" x14ac:dyDescent="0.25">
      <c r="A3745" s="1">
        <v>7</v>
      </c>
      <c r="B3745" s="159">
        <v>3800</v>
      </c>
      <c r="C3745" s="1" t="s">
        <v>3142</v>
      </c>
      <c r="D3745" s="1"/>
      <c r="E3745" s="1"/>
      <c r="F3745" s="1" t="s">
        <v>3143</v>
      </c>
      <c r="G3745" s="1">
        <v>6</v>
      </c>
      <c r="H3745" s="1" t="s">
        <v>19</v>
      </c>
      <c r="I3745" s="1" t="s">
        <v>3140</v>
      </c>
      <c r="J3745" s="1">
        <v>54</v>
      </c>
      <c r="K3745" s="1">
        <v>324</v>
      </c>
      <c r="L3745" s="42">
        <v>1</v>
      </c>
      <c r="M3745" s="43">
        <v>46206</v>
      </c>
      <c r="N3745" s="1" t="str">
        <f>VLOOKUP(B3745,MICRO!E:L,8,0)</f>
        <v>P-198</v>
      </c>
    </row>
    <row r="3746" spans="1:14" ht="20.25" x14ac:dyDescent="0.25">
      <c r="A3746" s="1">
        <v>8</v>
      </c>
      <c r="B3746" s="159">
        <v>3772</v>
      </c>
      <c r="C3746" s="1" t="s">
        <v>3102</v>
      </c>
      <c r="D3746" s="1"/>
      <c r="E3746" s="1"/>
      <c r="F3746" s="1" t="s">
        <v>3103</v>
      </c>
      <c r="G3746" s="1">
        <v>72</v>
      </c>
      <c r="H3746" s="1" t="s">
        <v>19</v>
      </c>
      <c r="I3746" s="1" t="s">
        <v>3093</v>
      </c>
      <c r="J3746" s="1">
        <v>12</v>
      </c>
      <c r="K3746" s="1">
        <v>864</v>
      </c>
      <c r="L3746" s="42">
        <v>1</v>
      </c>
      <c r="M3746" s="43">
        <v>46206</v>
      </c>
      <c r="N3746" s="1" t="str">
        <f>VLOOKUP(B3746,MICRO!E:L,8,0)</f>
        <v>P-198</v>
      </c>
    </row>
    <row r="3747" spans="1:14" ht="20.25" x14ac:dyDescent="0.25">
      <c r="A3747" s="1">
        <v>9</v>
      </c>
      <c r="B3747" s="159">
        <v>3756</v>
      </c>
      <c r="C3747" s="1" t="s">
        <v>3070</v>
      </c>
      <c r="D3747" s="1"/>
      <c r="E3747" s="1"/>
      <c r="F3747" s="1" t="s">
        <v>3072</v>
      </c>
      <c r="G3747" s="1">
        <v>45</v>
      </c>
      <c r="H3747" s="1" t="s">
        <v>19</v>
      </c>
      <c r="I3747" s="1" t="s">
        <v>3045</v>
      </c>
      <c r="J3747" s="1">
        <v>47.6</v>
      </c>
      <c r="K3747" s="1">
        <v>2142</v>
      </c>
      <c r="L3747" s="42">
        <v>1</v>
      </c>
      <c r="M3747" s="43">
        <v>46206</v>
      </c>
      <c r="N3747" s="1" t="str">
        <f>VLOOKUP(B3747,MICRO!E:L,8,0)</f>
        <v>P-198</v>
      </c>
    </row>
    <row r="3748" spans="1:14" ht="20.25" x14ac:dyDescent="0.25">
      <c r="A3748" s="1">
        <v>10</v>
      </c>
      <c r="B3748" s="159">
        <v>3758</v>
      </c>
      <c r="C3748" s="1" t="s">
        <v>3075</v>
      </c>
      <c r="D3748" s="1"/>
      <c r="E3748" s="1"/>
      <c r="F3748" s="1" t="s">
        <v>3076</v>
      </c>
      <c r="G3748" s="1">
        <v>15</v>
      </c>
      <c r="H3748" s="1" t="s">
        <v>19</v>
      </c>
      <c r="I3748" s="1" t="s">
        <v>3045</v>
      </c>
      <c r="J3748" s="1">
        <v>26.3</v>
      </c>
      <c r="K3748" s="1">
        <v>394.5</v>
      </c>
      <c r="L3748" s="42">
        <v>1</v>
      </c>
      <c r="M3748" s="43">
        <v>46206</v>
      </c>
      <c r="N3748" s="1" t="str">
        <f>VLOOKUP(B3748,MICRO!E:L,8,0)</f>
        <v>P-198</v>
      </c>
    </row>
    <row r="3749" spans="1:14" ht="20.25" x14ac:dyDescent="0.25">
      <c r="A3749" s="1">
        <v>11</v>
      </c>
      <c r="B3749" s="159">
        <v>3761</v>
      </c>
      <c r="C3749" s="1" t="s">
        <v>3081</v>
      </c>
      <c r="D3749" s="1"/>
      <c r="E3749" s="1" t="s">
        <v>2</v>
      </c>
      <c r="F3749" s="1" t="s">
        <v>3082</v>
      </c>
      <c r="G3749" s="1">
        <v>38</v>
      </c>
      <c r="H3749" s="1" t="s">
        <v>19</v>
      </c>
      <c r="I3749" s="1" t="s">
        <v>3034</v>
      </c>
      <c r="J3749" s="1">
        <v>28</v>
      </c>
      <c r="K3749" s="1">
        <v>1064</v>
      </c>
      <c r="L3749" s="42">
        <v>1</v>
      </c>
      <c r="M3749" s="43">
        <v>46206</v>
      </c>
      <c r="N3749" s="1" t="str">
        <f>VLOOKUP(B3749,MICRO!E:L,8,0)</f>
        <v>P-198</v>
      </c>
    </row>
    <row r="3750" spans="1:14" ht="20.25" x14ac:dyDescent="0.25">
      <c r="A3750" s="1">
        <v>12</v>
      </c>
      <c r="B3750" s="159">
        <v>3831</v>
      </c>
      <c r="C3750" s="1" t="s">
        <v>3081</v>
      </c>
      <c r="D3750" s="1"/>
      <c r="E3750" s="1" t="s">
        <v>43</v>
      </c>
      <c r="F3750" s="1" t="s">
        <v>3305</v>
      </c>
      <c r="G3750" s="1">
        <v>76</v>
      </c>
      <c r="H3750" s="1" t="s">
        <v>19</v>
      </c>
      <c r="I3750" s="1" t="s">
        <v>3034</v>
      </c>
      <c r="J3750" s="1">
        <v>7.2</v>
      </c>
      <c r="K3750" s="1">
        <v>547.20000000000005</v>
      </c>
      <c r="L3750" s="42">
        <v>1</v>
      </c>
      <c r="M3750" s="43">
        <v>46206</v>
      </c>
      <c r="N3750" s="1" t="str">
        <f>VLOOKUP(B3750,MICRO!E:L,8,0)</f>
        <v>P-198</v>
      </c>
    </row>
    <row r="3751" spans="1:14" ht="20.25" x14ac:dyDescent="0.25">
      <c r="A3751" s="1">
        <v>13</v>
      </c>
      <c r="B3751" s="159">
        <v>3763</v>
      </c>
      <c r="C3751" s="1" t="s">
        <v>3086</v>
      </c>
      <c r="D3751" s="1"/>
      <c r="E3751" s="1"/>
      <c r="F3751" s="1" t="s">
        <v>3085</v>
      </c>
      <c r="G3751" s="1">
        <v>8</v>
      </c>
      <c r="H3751" s="1" t="s">
        <v>19</v>
      </c>
      <c r="I3751" s="1" t="s">
        <v>3034</v>
      </c>
      <c r="J3751" s="1">
        <v>5.2</v>
      </c>
      <c r="K3751" s="1">
        <v>41.6</v>
      </c>
      <c r="L3751" s="42">
        <v>1</v>
      </c>
      <c r="M3751" s="43">
        <v>46206</v>
      </c>
      <c r="N3751" s="1" t="str">
        <f>VLOOKUP(B3751,MICRO!E:L,8,0)</f>
        <v>P-198</v>
      </c>
    </row>
    <row r="3752" spans="1:14" ht="20.25" x14ac:dyDescent="0.25">
      <c r="A3752" s="1">
        <v>14</v>
      </c>
      <c r="B3752" s="159">
        <v>3769</v>
      </c>
      <c r="C3752" s="1" t="s">
        <v>3097</v>
      </c>
      <c r="D3752" s="1"/>
      <c r="E3752" s="1"/>
      <c r="F3752" s="1" t="s">
        <v>3096</v>
      </c>
      <c r="G3752" s="1">
        <v>4</v>
      </c>
      <c r="H3752" s="1" t="s">
        <v>19</v>
      </c>
      <c r="I3752" s="1" t="s">
        <v>3093</v>
      </c>
      <c r="J3752" s="1">
        <v>60</v>
      </c>
      <c r="K3752" s="1">
        <v>240</v>
      </c>
      <c r="L3752" s="42">
        <v>1</v>
      </c>
      <c r="M3752" s="43">
        <v>46206</v>
      </c>
      <c r="N3752" s="1" t="str">
        <f>VLOOKUP(B3752,MICRO!E:L,8,0)</f>
        <v>P-198</v>
      </c>
    </row>
    <row r="3753" spans="1:14" ht="20.25" x14ac:dyDescent="0.25">
      <c r="A3753" s="1">
        <v>15</v>
      </c>
      <c r="B3753" s="159">
        <v>3766</v>
      </c>
      <c r="C3753" s="1" t="s">
        <v>3063</v>
      </c>
      <c r="D3753" s="1"/>
      <c r="E3753" s="1"/>
      <c r="F3753" s="1" t="s">
        <v>3091</v>
      </c>
      <c r="G3753" s="1">
        <v>4</v>
      </c>
      <c r="H3753" s="1" t="s">
        <v>19</v>
      </c>
      <c r="I3753" s="1" t="s">
        <v>3034</v>
      </c>
      <c r="J3753" s="1">
        <v>2.7</v>
      </c>
      <c r="K3753" s="1">
        <v>10.8</v>
      </c>
      <c r="L3753" s="42">
        <v>1</v>
      </c>
      <c r="M3753" s="43">
        <v>46206</v>
      </c>
      <c r="N3753" s="1" t="str">
        <f>VLOOKUP(B3753,MICRO!E:L,8,0)</f>
        <v>P-198</v>
      </c>
    </row>
    <row r="3754" spans="1:14" ht="20.25" x14ac:dyDescent="0.25">
      <c r="A3754" s="1">
        <v>16</v>
      </c>
      <c r="B3754" s="159">
        <v>3767</v>
      </c>
      <c r="C3754" s="1" t="s">
        <v>3063</v>
      </c>
      <c r="D3754" s="1"/>
      <c r="E3754" s="1"/>
      <c r="F3754" s="1" t="s">
        <v>3092</v>
      </c>
      <c r="G3754" s="1">
        <v>4</v>
      </c>
      <c r="H3754" s="1" t="s">
        <v>19</v>
      </c>
      <c r="I3754" s="1" t="s">
        <v>3093</v>
      </c>
      <c r="J3754" s="1">
        <v>2.7</v>
      </c>
      <c r="K3754" s="1">
        <v>10.8</v>
      </c>
      <c r="L3754" s="42">
        <v>1</v>
      </c>
      <c r="M3754" s="43">
        <v>46206</v>
      </c>
      <c r="N3754" s="1" t="str">
        <f>VLOOKUP(B3754,MICRO!E:L,8,0)</f>
        <v>P-198</v>
      </c>
    </row>
    <row r="3755" spans="1:14" ht="20.25" x14ac:dyDescent="0.25">
      <c r="A3755" s="1">
        <v>17</v>
      </c>
      <c r="B3755" s="159">
        <v>3752</v>
      </c>
      <c r="C3755" s="1" t="s">
        <v>3063</v>
      </c>
      <c r="D3755" s="1"/>
      <c r="E3755" s="1"/>
      <c r="F3755" s="1" t="s">
        <v>3064</v>
      </c>
      <c r="G3755" s="1">
        <v>4</v>
      </c>
      <c r="H3755" s="1" t="s">
        <v>19</v>
      </c>
      <c r="I3755" s="1" t="s">
        <v>3045</v>
      </c>
      <c r="J3755" s="1">
        <v>2.7</v>
      </c>
      <c r="K3755" s="1">
        <v>10.8</v>
      </c>
      <c r="L3755" s="42">
        <v>1</v>
      </c>
      <c r="M3755" s="43">
        <v>46206</v>
      </c>
      <c r="N3755" s="1" t="str">
        <f>VLOOKUP(B3755,MICRO!E:L,8,0)</f>
        <v>P-198</v>
      </c>
    </row>
    <row r="3756" spans="1:14" ht="20.25" x14ac:dyDescent="0.25">
      <c r="A3756" s="1">
        <v>18</v>
      </c>
      <c r="B3756" s="159">
        <v>3768</v>
      </c>
      <c r="C3756" s="1" t="s">
        <v>3094</v>
      </c>
      <c r="D3756" s="1"/>
      <c r="E3756" s="1" t="s">
        <v>2</v>
      </c>
      <c r="F3756" s="1" t="s">
        <v>3095</v>
      </c>
      <c r="G3756" s="1">
        <v>23</v>
      </c>
      <c r="H3756" s="1" t="s">
        <v>19</v>
      </c>
      <c r="I3756" s="1" t="s">
        <v>3093</v>
      </c>
      <c r="J3756" s="1">
        <v>86.2</v>
      </c>
      <c r="K3756" s="1">
        <f>J3756*G3756</f>
        <v>1982.6000000000001</v>
      </c>
      <c r="L3756" s="42">
        <v>1</v>
      </c>
      <c r="M3756" s="43">
        <v>46206</v>
      </c>
      <c r="N3756" s="1" t="str">
        <f>VLOOKUP(B3756,MICRO!E:L,8,0)</f>
        <v>P-198</v>
      </c>
    </row>
    <row r="3757" spans="1:14" ht="20.25" x14ac:dyDescent="0.25">
      <c r="A3757" s="1">
        <v>19</v>
      </c>
      <c r="B3757" s="159">
        <v>3770</v>
      </c>
      <c r="C3757" s="1" t="s">
        <v>3098</v>
      </c>
      <c r="D3757" s="1"/>
      <c r="E3757" s="1"/>
      <c r="F3757" s="1" t="s">
        <v>3099</v>
      </c>
      <c r="G3757" s="1">
        <v>2</v>
      </c>
      <c r="H3757" s="1" t="s">
        <v>19</v>
      </c>
      <c r="I3757" s="1" t="s">
        <v>3093</v>
      </c>
      <c r="J3757" s="1">
        <v>28</v>
      </c>
      <c r="K3757" s="1">
        <v>56</v>
      </c>
      <c r="L3757" s="42">
        <v>1</v>
      </c>
      <c r="M3757" s="43">
        <v>46206</v>
      </c>
      <c r="N3757" s="1" t="str">
        <f>VLOOKUP(B3757,MICRO!E:L,8,0)</f>
        <v>P-198</v>
      </c>
    </row>
    <row r="3758" spans="1:14" ht="20.25" x14ac:dyDescent="0.25">
      <c r="A3758" s="1">
        <v>20</v>
      </c>
      <c r="B3758" s="159">
        <v>3811</v>
      </c>
      <c r="C3758" s="1" t="s">
        <v>3063</v>
      </c>
      <c r="D3758" s="1"/>
      <c r="E3758" s="1"/>
      <c r="F3758" s="1" t="s">
        <v>3160</v>
      </c>
      <c r="G3758" s="1">
        <v>4</v>
      </c>
      <c r="H3758" s="1" t="s">
        <v>19</v>
      </c>
      <c r="I3758" s="1" t="s">
        <v>3140</v>
      </c>
      <c r="J3758" s="1">
        <v>2.7</v>
      </c>
      <c r="K3758" s="1">
        <v>10.8</v>
      </c>
      <c r="L3758" s="42">
        <v>1</v>
      </c>
      <c r="M3758" s="43">
        <v>46206</v>
      </c>
      <c r="N3758" s="1" t="str">
        <f>VLOOKUP(B3758,MICRO!E:L,8,0)</f>
        <v>P-198</v>
      </c>
    </row>
    <row r="3759" spans="1:14" ht="20.25" x14ac:dyDescent="0.25">
      <c r="A3759" s="1">
        <v>21</v>
      </c>
      <c r="B3759" s="159">
        <v>3757</v>
      </c>
      <c r="C3759" s="1" t="s">
        <v>3073</v>
      </c>
      <c r="D3759" s="1"/>
      <c r="E3759" s="1"/>
      <c r="F3759" s="1" t="s">
        <v>3306</v>
      </c>
      <c r="G3759" s="1">
        <v>11</v>
      </c>
      <c r="H3759" s="1" t="s">
        <v>19</v>
      </c>
      <c r="I3759" s="1" t="s">
        <v>3045</v>
      </c>
      <c r="J3759" s="1">
        <v>53.8</v>
      </c>
      <c r="K3759" s="1">
        <v>591.79999999999995</v>
      </c>
      <c r="L3759" s="42">
        <v>1</v>
      </c>
      <c r="M3759" s="43">
        <v>46206</v>
      </c>
      <c r="N3759" s="1" t="str">
        <f>VLOOKUP(B3759,MICRO!E:L,8,0)</f>
        <v>P-198</v>
      </c>
    </row>
    <row r="3760" spans="1:14" ht="20.25" x14ac:dyDescent="0.25">
      <c r="A3760" s="1">
        <v>22</v>
      </c>
      <c r="B3760" s="159">
        <v>3755</v>
      </c>
      <c r="C3760" s="1" t="s">
        <v>3068</v>
      </c>
      <c r="D3760" s="1"/>
      <c r="E3760" s="1"/>
      <c r="F3760" s="1" t="s">
        <v>3069</v>
      </c>
      <c r="G3760" s="1">
        <v>2</v>
      </c>
      <c r="H3760" s="1" t="s">
        <v>19</v>
      </c>
      <c r="I3760" s="1" t="s">
        <v>3045</v>
      </c>
      <c r="J3760" s="1">
        <v>47.6</v>
      </c>
      <c r="K3760" s="1">
        <v>95.2</v>
      </c>
      <c r="L3760" s="42">
        <v>1</v>
      </c>
      <c r="M3760" s="43">
        <v>46206</v>
      </c>
      <c r="N3760" s="1" t="str">
        <f>VLOOKUP(B3760,MICRO!E:L,8,0)</f>
        <v>P-198</v>
      </c>
    </row>
    <row r="3761" spans="1:14" ht="20.25" x14ac:dyDescent="0.25">
      <c r="A3761" s="1">
        <v>23</v>
      </c>
      <c r="B3761" s="159">
        <v>3809</v>
      </c>
      <c r="C3761" s="1" t="s">
        <v>3156</v>
      </c>
      <c r="D3761" s="1"/>
      <c r="E3761" s="1"/>
      <c r="F3761" s="1" t="s">
        <v>3159</v>
      </c>
      <c r="G3761" s="1">
        <v>14</v>
      </c>
      <c r="H3761" s="1" t="s">
        <v>19</v>
      </c>
      <c r="I3761" s="1" t="s">
        <v>3140</v>
      </c>
      <c r="J3761" s="1">
        <v>28</v>
      </c>
      <c r="K3761" s="1">
        <v>392</v>
      </c>
      <c r="L3761" s="42">
        <v>1</v>
      </c>
      <c r="M3761" s="43">
        <v>46206</v>
      </c>
      <c r="N3761" s="1" t="str">
        <f>VLOOKUP(B3761,MICRO!E:L,8,0)</f>
        <v>P-198</v>
      </c>
    </row>
    <row r="3762" spans="1:14" ht="20.25" x14ac:dyDescent="0.25">
      <c r="A3762" s="1">
        <v>1</v>
      </c>
      <c r="B3762" s="159">
        <v>3729</v>
      </c>
      <c r="C3762" s="1" t="s">
        <v>138</v>
      </c>
      <c r="D3762" s="1"/>
      <c r="E3762" s="1"/>
      <c r="F3762" s="1" t="s">
        <v>3023</v>
      </c>
      <c r="G3762" s="1">
        <v>71</v>
      </c>
      <c r="H3762" s="1" t="s">
        <v>19</v>
      </c>
      <c r="I3762" s="1" t="s">
        <v>3307</v>
      </c>
      <c r="J3762" s="1">
        <v>3.27</v>
      </c>
      <c r="K3762" s="1">
        <v>232.17</v>
      </c>
      <c r="L3762" s="42">
        <v>1</v>
      </c>
      <c r="M3762" s="43">
        <v>46203</v>
      </c>
      <c r="N3762" s="1" t="e">
        <f>VLOOKUP(B3762,MICRO!E:L,8,0)</f>
        <v>#N/A</v>
      </c>
    </row>
    <row r="3763" spans="1:14" ht="20.25" x14ac:dyDescent="0.25">
      <c r="A3763" s="1">
        <v>1</v>
      </c>
      <c r="B3763" s="159">
        <v>2259</v>
      </c>
      <c r="C3763" s="1" t="s">
        <v>854</v>
      </c>
      <c r="D3763" s="1"/>
      <c r="E3763" s="1" t="s">
        <v>2</v>
      </c>
      <c r="F3763" s="1" t="s">
        <v>825</v>
      </c>
      <c r="G3763" s="1">
        <v>1</v>
      </c>
      <c r="H3763" s="1" t="s">
        <v>19</v>
      </c>
      <c r="I3763" s="1" t="s">
        <v>424</v>
      </c>
      <c r="J3763" s="1">
        <v>9.6999999999999993</v>
      </c>
      <c r="K3763" s="1">
        <v>9.6999999999999993</v>
      </c>
      <c r="L3763" s="42">
        <v>11</v>
      </c>
      <c r="M3763" s="43">
        <v>46174</v>
      </c>
      <c r="N3763" s="1" t="e">
        <f>VLOOKUP(B3763,MICRO!E:L,8,0)</f>
        <v>#N/A</v>
      </c>
    </row>
    <row r="3764" spans="1:14" ht="20.25" x14ac:dyDescent="0.25">
      <c r="A3764" s="1">
        <v>2</v>
      </c>
      <c r="B3764" s="159">
        <v>2264</v>
      </c>
      <c r="C3764" s="1" t="s">
        <v>854</v>
      </c>
      <c r="D3764" s="1"/>
      <c r="E3764" s="1" t="s">
        <v>43</v>
      </c>
      <c r="F3764" s="1" t="s">
        <v>826</v>
      </c>
      <c r="G3764" s="1">
        <v>1</v>
      </c>
      <c r="H3764" s="1" t="s">
        <v>19</v>
      </c>
      <c r="I3764" s="1" t="s">
        <v>427</v>
      </c>
      <c r="J3764" s="1">
        <v>11.3</v>
      </c>
      <c r="K3764" s="1">
        <v>11.3</v>
      </c>
      <c r="L3764" s="42">
        <v>11</v>
      </c>
      <c r="M3764" s="43">
        <v>46174</v>
      </c>
      <c r="N3764" s="1" t="e">
        <f>VLOOKUP(B3764,MICRO!E:L,8,0)</f>
        <v>#N/A</v>
      </c>
    </row>
    <row r="3765" spans="1:14" ht="20.25" x14ac:dyDescent="0.25">
      <c r="A3765" s="1">
        <v>3</v>
      </c>
      <c r="B3765" s="159">
        <v>2265</v>
      </c>
      <c r="C3765" s="1" t="s">
        <v>854</v>
      </c>
      <c r="D3765" s="1"/>
      <c r="E3765" s="1" t="s">
        <v>746</v>
      </c>
      <c r="F3765" s="1" t="s">
        <v>827</v>
      </c>
      <c r="G3765" s="1">
        <v>1</v>
      </c>
      <c r="H3765" s="1" t="s">
        <v>19</v>
      </c>
      <c r="I3765" s="1" t="s">
        <v>423</v>
      </c>
      <c r="J3765" s="1">
        <v>9.5</v>
      </c>
      <c r="K3765" s="1">
        <v>9.5</v>
      </c>
      <c r="L3765" s="42">
        <v>11</v>
      </c>
      <c r="M3765" s="43">
        <v>46174</v>
      </c>
      <c r="N3765" s="1" t="e">
        <f>VLOOKUP(B3765,MICRO!E:L,8,0)</f>
        <v>#N/A</v>
      </c>
    </row>
    <row r="3766" spans="1:14" ht="20.25" x14ac:dyDescent="0.25">
      <c r="A3766" s="1">
        <v>4</v>
      </c>
      <c r="B3766" s="159">
        <v>2265</v>
      </c>
      <c r="C3766" s="1" t="s">
        <v>854</v>
      </c>
      <c r="D3766" s="1"/>
      <c r="E3766" s="1" t="s">
        <v>746</v>
      </c>
      <c r="F3766" s="1" t="s">
        <v>827</v>
      </c>
      <c r="G3766" s="1">
        <v>1</v>
      </c>
      <c r="H3766" s="1" t="s">
        <v>19</v>
      </c>
      <c r="I3766" s="1" t="s">
        <v>424</v>
      </c>
      <c r="J3766" s="1">
        <v>9.5</v>
      </c>
      <c r="K3766" s="1">
        <v>9.5</v>
      </c>
      <c r="L3766" s="42">
        <v>11</v>
      </c>
      <c r="M3766" s="43">
        <v>46174</v>
      </c>
      <c r="N3766" s="1" t="e">
        <f>VLOOKUP(B3766,MICRO!E:L,8,0)</f>
        <v>#N/A</v>
      </c>
    </row>
    <row r="3767" spans="1:14" ht="20.25" x14ac:dyDescent="0.25">
      <c r="A3767" s="1">
        <v>5</v>
      </c>
      <c r="B3767" s="159">
        <v>2265</v>
      </c>
      <c r="C3767" s="1" t="s">
        <v>854</v>
      </c>
      <c r="D3767" s="1"/>
      <c r="E3767" s="1" t="s">
        <v>746</v>
      </c>
      <c r="F3767" s="1" t="s">
        <v>827</v>
      </c>
      <c r="G3767" s="1">
        <v>1</v>
      </c>
      <c r="H3767" s="1" t="s">
        <v>19</v>
      </c>
      <c r="I3767" s="1" t="s">
        <v>425</v>
      </c>
      <c r="J3767" s="1">
        <v>9.5</v>
      </c>
      <c r="K3767" s="1">
        <v>9.5</v>
      </c>
      <c r="L3767" s="42">
        <v>11</v>
      </c>
      <c r="M3767" s="43">
        <v>46174</v>
      </c>
      <c r="N3767" s="1" t="e">
        <f>VLOOKUP(B3767,MICRO!E:L,8,0)</f>
        <v>#N/A</v>
      </c>
    </row>
    <row r="3768" spans="1:14" ht="20.25" x14ac:dyDescent="0.25">
      <c r="A3768" s="1">
        <v>6</v>
      </c>
      <c r="B3768" s="159">
        <v>2267</v>
      </c>
      <c r="C3768" s="1" t="s">
        <v>854</v>
      </c>
      <c r="D3768" s="1"/>
      <c r="E3768" s="1" t="s">
        <v>1101</v>
      </c>
      <c r="F3768" s="1" t="s">
        <v>828</v>
      </c>
      <c r="G3768" s="1">
        <v>2</v>
      </c>
      <c r="H3768" s="1" t="s">
        <v>19</v>
      </c>
      <c r="I3768" s="1" t="s">
        <v>423</v>
      </c>
      <c r="J3768" s="1">
        <v>7.5</v>
      </c>
      <c r="K3768" s="1">
        <v>15</v>
      </c>
      <c r="L3768" s="42">
        <v>11</v>
      </c>
      <c r="M3768" s="43">
        <v>46174</v>
      </c>
      <c r="N3768" s="1" t="e">
        <f>VLOOKUP(B3768,MICRO!E:L,8,0)</f>
        <v>#N/A</v>
      </c>
    </row>
    <row r="3769" spans="1:14" ht="20.25" x14ac:dyDescent="0.25">
      <c r="A3769" s="1">
        <v>7</v>
      </c>
      <c r="B3769" s="159">
        <v>2268</v>
      </c>
      <c r="C3769" s="1" t="s">
        <v>854</v>
      </c>
      <c r="D3769" s="1"/>
      <c r="E3769" s="1" t="s">
        <v>100</v>
      </c>
      <c r="F3769" s="1" t="s">
        <v>829</v>
      </c>
      <c r="G3769" s="1">
        <v>1</v>
      </c>
      <c r="H3769" s="1" t="s">
        <v>19</v>
      </c>
      <c r="I3769" s="1" t="s">
        <v>423</v>
      </c>
      <c r="J3769" s="1">
        <v>6.4</v>
      </c>
      <c r="K3769" s="1">
        <v>6.4</v>
      </c>
      <c r="L3769" s="42">
        <v>11</v>
      </c>
      <c r="M3769" s="43">
        <v>46174</v>
      </c>
      <c r="N3769" s="1" t="e">
        <f>VLOOKUP(B3769,MICRO!E:L,8,0)</f>
        <v>#N/A</v>
      </c>
    </row>
    <row r="3770" spans="1:14" ht="20.25" x14ac:dyDescent="0.25">
      <c r="A3770" s="1">
        <v>8</v>
      </c>
      <c r="B3770" s="159">
        <v>2269</v>
      </c>
      <c r="C3770" s="1" t="s">
        <v>854</v>
      </c>
      <c r="D3770" s="1"/>
      <c r="E3770" s="1" t="s">
        <v>173</v>
      </c>
      <c r="F3770" s="1" t="s">
        <v>830</v>
      </c>
      <c r="G3770" s="1">
        <v>1</v>
      </c>
      <c r="H3770" s="1" t="s">
        <v>19</v>
      </c>
      <c r="I3770" s="1" t="s">
        <v>423</v>
      </c>
      <c r="J3770" s="1">
        <v>5</v>
      </c>
      <c r="K3770" s="1">
        <v>5</v>
      </c>
      <c r="L3770" s="42">
        <v>11</v>
      </c>
      <c r="M3770" s="43">
        <v>46174</v>
      </c>
      <c r="N3770" s="1" t="e">
        <f>VLOOKUP(B3770,MICRO!E:L,8,0)</f>
        <v>#N/A</v>
      </c>
    </row>
    <row r="3771" spans="1:14" ht="20.25" x14ac:dyDescent="0.25">
      <c r="A3771" s="1">
        <v>9</v>
      </c>
      <c r="B3771" s="159">
        <v>2271</v>
      </c>
      <c r="C3771" s="1" t="s">
        <v>854</v>
      </c>
      <c r="D3771" s="1"/>
      <c r="E3771" s="1" t="s">
        <v>461</v>
      </c>
      <c r="F3771" s="1" t="s">
        <v>831</v>
      </c>
      <c r="G3771" s="1">
        <v>1</v>
      </c>
      <c r="H3771" s="1" t="s">
        <v>19</v>
      </c>
      <c r="I3771" s="1" t="s">
        <v>423</v>
      </c>
      <c r="J3771" s="1">
        <v>6</v>
      </c>
      <c r="K3771" s="1">
        <v>6</v>
      </c>
      <c r="L3771" s="42">
        <v>11</v>
      </c>
      <c r="M3771" s="43">
        <v>46174</v>
      </c>
      <c r="N3771" s="1" t="e">
        <f>VLOOKUP(B3771,MICRO!E:L,8,0)</f>
        <v>#N/A</v>
      </c>
    </row>
    <row r="3772" spans="1:14" ht="20.25" x14ac:dyDescent="0.25">
      <c r="A3772" s="1">
        <v>10</v>
      </c>
      <c r="B3772" s="159">
        <v>2280</v>
      </c>
      <c r="C3772" s="1" t="s">
        <v>854</v>
      </c>
      <c r="D3772" s="1"/>
      <c r="E3772" s="1" t="s">
        <v>1104</v>
      </c>
      <c r="F3772" s="1" t="s">
        <v>835</v>
      </c>
      <c r="G3772" s="1">
        <v>1</v>
      </c>
      <c r="H3772" s="1" t="s">
        <v>19</v>
      </c>
      <c r="I3772" s="1" t="s">
        <v>423</v>
      </c>
      <c r="J3772" s="1">
        <v>6</v>
      </c>
      <c r="K3772" s="1">
        <v>6</v>
      </c>
      <c r="L3772" s="42">
        <v>11</v>
      </c>
      <c r="M3772" s="43">
        <v>46174</v>
      </c>
      <c r="N3772" s="1" t="e">
        <f>VLOOKUP(B3772,MICRO!E:L,8,0)</f>
        <v>#N/A</v>
      </c>
    </row>
    <row r="3773" spans="1:14" ht="20.25" x14ac:dyDescent="0.25">
      <c r="A3773" s="1">
        <v>11</v>
      </c>
      <c r="B3773" s="159">
        <v>2281</v>
      </c>
      <c r="C3773" s="1" t="s">
        <v>854</v>
      </c>
      <c r="D3773" s="1"/>
      <c r="E3773" s="1" t="s">
        <v>1104</v>
      </c>
      <c r="F3773" s="1" t="s">
        <v>835</v>
      </c>
      <c r="G3773" s="1">
        <v>1</v>
      </c>
      <c r="H3773" s="1" t="s">
        <v>19</v>
      </c>
      <c r="I3773" s="1" t="s">
        <v>424</v>
      </c>
      <c r="J3773" s="1">
        <v>6</v>
      </c>
      <c r="K3773" s="1">
        <v>6</v>
      </c>
      <c r="L3773" s="42">
        <v>11</v>
      </c>
      <c r="M3773" s="43">
        <v>46174</v>
      </c>
      <c r="N3773" s="1" t="e">
        <f>VLOOKUP(B3773,MICRO!E:L,8,0)</f>
        <v>#N/A</v>
      </c>
    </row>
    <row r="3774" spans="1:14" ht="20.25" x14ac:dyDescent="0.25">
      <c r="A3774" s="1">
        <v>12</v>
      </c>
      <c r="B3774" s="159">
        <v>2282</v>
      </c>
      <c r="C3774" s="1" t="s">
        <v>854</v>
      </c>
      <c r="D3774" s="1"/>
      <c r="E3774" s="1" t="s">
        <v>1105</v>
      </c>
      <c r="F3774" s="1" t="s">
        <v>836</v>
      </c>
      <c r="G3774" s="1">
        <v>1</v>
      </c>
      <c r="H3774" s="1" t="s">
        <v>19</v>
      </c>
      <c r="I3774" s="1" t="s">
        <v>423</v>
      </c>
      <c r="J3774" s="1">
        <v>6</v>
      </c>
      <c r="K3774" s="1">
        <v>6</v>
      </c>
      <c r="L3774" s="42">
        <v>11</v>
      </c>
      <c r="M3774" s="43">
        <v>46174</v>
      </c>
      <c r="N3774" s="1" t="e">
        <f>VLOOKUP(B3774,MICRO!E:L,8,0)</f>
        <v>#N/A</v>
      </c>
    </row>
    <row r="3775" spans="1:14" ht="20.25" x14ac:dyDescent="0.25">
      <c r="A3775" s="1">
        <v>13</v>
      </c>
      <c r="B3775" s="159">
        <v>2283</v>
      </c>
      <c r="C3775" s="1" t="s">
        <v>854</v>
      </c>
      <c r="D3775" s="1"/>
      <c r="E3775" s="1" t="s">
        <v>1105</v>
      </c>
      <c r="F3775" s="1" t="s">
        <v>836</v>
      </c>
      <c r="G3775" s="1">
        <v>1</v>
      </c>
      <c r="H3775" s="1" t="s">
        <v>19</v>
      </c>
      <c r="I3775" s="1" t="s">
        <v>424</v>
      </c>
      <c r="J3775" s="1">
        <v>6</v>
      </c>
      <c r="K3775" s="1">
        <v>6</v>
      </c>
      <c r="L3775" s="42">
        <v>11</v>
      </c>
      <c r="M3775" s="43">
        <v>46174</v>
      </c>
      <c r="N3775" s="1" t="e">
        <f>VLOOKUP(B3775,MICRO!E:L,8,0)</f>
        <v>#N/A</v>
      </c>
    </row>
    <row r="3776" spans="1:14" ht="20.25" x14ac:dyDescent="0.25">
      <c r="A3776" s="1">
        <v>14</v>
      </c>
      <c r="B3776" s="159">
        <v>2288</v>
      </c>
      <c r="C3776" s="1" t="s">
        <v>854</v>
      </c>
      <c r="D3776" s="1"/>
      <c r="E3776" s="1" t="s">
        <v>1107</v>
      </c>
      <c r="F3776" s="1" t="s">
        <v>838</v>
      </c>
      <c r="G3776" s="1">
        <v>4</v>
      </c>
      <c r="H3776" s="1" t="s">
        <v>19</v>
      </c>
      <c r="I3776" s="1" t="s">
        <v>425</v>
      </c>
      <c r="J3776" s="1">
        <v>7.9</v>
      </c>
      <c r="K3776" s="1">
        <v>31.6</v>
      </c>
      <c r="L3776" s="42">
        <v>11</v>
      </c>
      <c r="M3776" s="43">
        <v>46174</v>
      </c>
      <c r="N3776" s="1" t="e">
        <f>VLOOKUP(B3776,MICRO!E:L,8,0)</f>
        <v>#N/A</v>
      </c>
    </row>
    <row r="3777" spans="1:14" ht="20.25" x14ac:dyDescent="0.25">
      <c r="A3777" s="1">
        <v>15</v>
      </c>
      <c r="B3777" s="159">
        <v>2302</v>
      </c>
      <c r="C3777" s="1" t="s">
        <v>854</v>
      </c>
      <c r="D3777" s="1"/>
      <c r="E3777" s="1" t="s">
        <v>1112</v>
      </c>
      <c r="F3777" s="1" t="s">
        <v>843</v>
      </c>
      <c r="G3777" s="1">
        <v>3</v>
      </c>
      <c r="H3777" s="1" t="s">
        <v>19</v>
      </c>
      <c r="I3777" s="1" t="s">
        <v>423</v>
      </c>
      <c r="J3777" s="1">
        <v>6.7</v>
      </c>
      <c r="K3777" s="1">
        <v>20.100000000000001</v>
      </c>
      <c r="L3777" s="42">
        <v>11</v>
      </c>
      <c r="M3777" s="43">
        <v>46174</v>
      </c>
      <c r="N3777" s="1" t="e">
        <f>VLOOKUP(B3777,MICRO!E:L,8,0)</f>
        <v>#N/A</v>
      </c>
    </row>
    <row r="3778" spans="1:14" ht="20.25" x14ac:dyDescent="0.25">
      <c r="A3778" s="1">
        <v>16</v>
      </c>
      <c r="B3778" s="159">
        <v>2303</v>
      </c>
      <c r="C3778" s="1" t="s">
        <v>854</v>
      </c>
      <c r="D3778" s="1"/>
      <c r="E3778" s="1" t="s">
        <v>1112</v>
      </c>
      <c r="F3778" s="1" t="s">
        <v>843</v>
      </c>
      <c r="G3778" s="1">
        <v>3</v>
      </c>
      <c r="H3778" s="1" t="s">
        <v>19</v>
      </c>
      <c r="I3778" s="1" t="s">
        <v>424</v>
      </c>
      <c r="J3778" s="1">
        <v>6.7</v>
      </c>
      <c r="K3778" s="1">
        <v>20.100000000000001</v>
      </c>
      <c r="L3778" s="42">
        <v>11</v>
      </c>
      <c r="M3778" s="43">
        <v>46174</v>
      </c>
      <c r="N3778" s="1" t="e">
        <f>VLOOKUP(B3778,MICRO!E:L,8,0)</f>
        <v>#N/A</v>
      </c>
    </row>
    <row r="3779" spans="1:14" ht="20.25" x14ac:dyDescent="0.25">
      <c r="A3779" s="1">
        <v>17</v>
      </c>
      <c r="B3779" s="159">
        <v>2306</v>
      </c>
      <c r="C3779" s="1" t="s">
        <v>854</v>
      </c>
      <c r="D3779" s="1"/>
      <c r="E3779" s="1" t="s">
        <v>1113</v>
      </c>
      <c r="F3779" s="1" t="s">
        <v>844</v>
      </c>
      <c r="G3779" s="1">
        <v>4</v>
      </c>
      <c r="H3779" s="1" t="s">
        <v>19</v>
      </c>
      <c r="I3779" s="1" t="s">
        <v>425</v>
      </c>
      <c r="J3779" s="1">
        <v>3.9</v>
      </c>
      <c r="K3779" s="1">
        <v>15.6</v>
      </c>
      <c r="L3779" s="42">
        <v>11</v>
      </c>
      <c r="M3779" s="43">
        <v>46174</v>
      </c>
      <c r="N3779" s="1" t="e">
        <f>VLOOKUP(B3779,MICRO!E:L,8,0)</f>
        <v>#N/A</v>
      </c>
    </row>
    <row r="3780" spans="1:14" ht="20.25" x14ac:dyDescent="0.25">
      <c r="A3780" s="1">
        <v>18</v>
      </c>
      <c r="B3780" s="159">
        <v>2314</v>
      </c>
      <c r="C3780" s="1" t="s">
        <v>854</v>
      </c>
      <c r="D3780" s="1"/>
      <c r="E3780" s="1" t="s">
        <v>1114</v>
      </c>
      <c r="F3780" s="1" t="s">
        <v>846</v>
      </c>
      <c r="G3780" s="1">
        <v>2</v>
      </c>
      <c r="H3780" s="1" t="s">
        <v>19</v>
      </c>
      <c r="I3780" s="1" t="s">
        <v>423</v>
      </c>
      <c r="J3780" s="1">
        <v>2.2000000000000002</v>
      </c>
      <c r="K3780" s="1">
        <v>4.4000000000000004</v>
      </c>
      <c r="L3780" s="42">
        <v>11</v>
      </c>
      <c r="M3780" s="43">
        <v>46174</v>
      </c>
      <c r="N3780" s="1" t="e">
        <f>VLOOKUP(B3780,MICRO!E:L,8,0)</f>
        <v>#N/A</v>
      </c>
    </row>
    <row r="3781" spans="1:14" ht="20.25" x14ac:dyDescent="0.25">
      <c r="A3781" s="1">
        <v>19</v>
      </c>
      <c r="B3781" s="159">
        <v>2315</v>
      </c>
      <c r="C3781" s="1" t="s">
        <v>854</v>
      </c>
      <c r="D3781" s="1"/>
      <c r="E3781" s="1" t="s">
        <v>1114</v>
      </c>
      <c r="F3781" s="1" t="s">
        <v>846</v>
      </c>
      <c r="G3781" s="1">
        <v>2</v>
      </c>
      <c r="H3781" s="1" t="s">
        <v>19</v>
      </c>
      <c r="I3781" s="1" t="s">
        <v>424</v>
      </c>
      <c r="J3781" s="1">
        <v>2.2000000000000002</v>
      </c>
      <c r="K3781" s="1">
        <v>4.4000000000000004</v>
      </c>
      <c r="L3781" s="42">
        <v>11</v>
      </c>
      <c r="M3781" s="43">
        <v>46174</v>
      </c>
      <c r="N3781" s="1" t="e">
        <f>VLOOKUP(B3781,MICRO!E:L,8,0)</f>
        <v>#N/A</v>
      </c>
    </row>
    <row r="3782" spans="1:14" ht="20.25" x14ac:dyDescent="0.25">
      <c r="A3782" s="1">
        <v>20</v>
      </c>
      <c r="B3782" s="159">
        <v>2327</v>
      </c>
      <c r="C3782" s="1" t="s">
        <v>854</v>
      </c>
      <c r="D3782" s="1"/>
      <c r="E3782" s="1" t="s">
        <v>11</v>
      </c>
      <c r="F3782" s="1" t="s">
        <v>849</v>
      </c>
      <c r="G3782" s="1">
        <v>2</v>
      </c>
      <c r="H3782" s="1" t="s">
        <v>19</v>
      </c>
      <c r="I3782" s="1" t="s">
        <v>423</v>
      </c>
      <c r="J3782" s="1">
        <v>4</v>
      </c>
      <c r="K3782" s="1">
        <v>8</v>
      </c>
      <c r="L3782" s="42">
        <v>11</v>
      </c>
      <c r="M3782" s="43">
        <v>46174</v>
      </c>
      <c r="N3782" s="1" t="e">
        <f>VLOOKUP(B3782,MICRO!E:L,8,0)</f>
        <v>#N/A</v>
      </c>
    </row>
    <row r="3783" spans="1:14" ht="20.25" x14ac:dyDescent="0.25">
      <c r="A3783" s="1">
        <v>21</v>
      </c>
      <c r="B3783" s="159">
        <v>2337</v>
      </c>
      <c r="C3783" s="1" t="s">
        <v>854</v>
      </c>
      <c r="D3783" s="1"/>
      <c r="E3783" s="1" t="s">
        <v>1117</v>
      </c>
      <c r="F3783" s="1" t="s">
        <v>851</v>
      </c>
      <c r="G3783" s="1">
        <v>1</v>
      </c>
      <c r="H3783" s="1" t="s">
        <v>19</v>
      </c>
      <c r="I3783" s="1" t="s">
        <v>424</v>
      </c>
      <c r="J3783" s="1">
        <v>5.2</v>
      </c>
      <c r="K3783" s="1">
        <v>5.2</v>
      </c>
      <c r="L3783" s="42">
        <v>11</v>
      </c>
      <c r="M3783" s="43">
        <v>46174</v>
      </c>
      <c r="N3783" s="1" t="e">
        <f>VLOOKUP(B3783,MICRO!E:L,8,0)</f>
        <v>#N/A</v>
      </c>
    </row>
    <row r="3784" spans="1:14" ht="20.25" x14ac:dyDescent="0.25">
      <c r="A3784" s="1">
        <v>22</v>
      </c>
      <c r="B3784" s="159">
        <v>2338</v>
      </c>
      <c r="C3784" s="1" t="s">
        <v>854</v>
      </c>
      <c r="D3784" s="1"/>
      <c r="E3784" s="1" t="s">
        <v>1117</v>
      </c>
      <c r="F3784" s="1" t="s">
        <v>852</v>
      </c>
      <c r="G3784" s="1">
        <v>1</v>
      </c>
      <c r="H3784" s="1" t="s">
        <v>19</v>
      </c>
      <c r="I3784" s="1" t="s">
        <v>424</v>
      </c>
      <c r="J3784" s="1">
        <v>5.2</v>
      </c>
      <c r="K3784" s="1">
        <v>5.2</v>
      </c>
      <c r="L3784" s="42">
        <v>11</v>
      </c>
      <c r="M3784" s="43">
        <v>46174</v>
      </c>
      <c r="N3784" s="1" t="e">
        <f>VLOOKUP(B3784,MICRO!E:L,8,0)</f>
        <v>#N/A</v>
      </c>
    </row>
    <row r="3785" spans="1:14" ht="20.25" x14ac:dyDescent="0.25">
      <c r="A3785" s="1">
        <v>23</v>
      </c>
      <c r="B3785" s="159">
        <v>2341</v>
      </c>
      <c r="C3785" s="1" t="s">
        <v>854</v>
      </c>
      <c r="D3785" s="1"/>
      <c r="E3785" s="1" t="s">
        <v>3333</v>
      </c>
      <c r="F3785" s="1" t="s">
        <v>3201</v>
      </c>
      <c r="G3785" s="1">
        <v>2</v>
      </c>
      <c r="H3785" s="1" t="s">
        <v>19</v>
      </c>
      <c r="I3785" s="1" t="s">
        <v>424</v>
      </c>
      <c r="J3785" s="1">
        <v>2.8</v>
      </c>
      <c r="K3785" s="1">
        <v>5.6</v>
      </c>
      <c r="L3785" s="42">
        <v>11</v>
      </c>
      <c r="M3785" s="43">
        <v>46174</v>
      </c>
      <c r="N3785" s="1" t="e">
        <f>VLOOKUP(B3785,MICRO!E:L,8,0)</f>
        <v>#N/A</v>
      </c>
    </row>
    <row r="3786" spans="1:14" ht="20.25" x14ac:dyDescent="0.25">
      <c r="A3786" s="1">
        <v>24</v>
      </c>
      <c r="B3786" s="159">
        <v>2318</v>
      </c>
      <c r="C3786" s="1" t="s">
        <v>854</v>
      </c>
      <c r="D3786" s="1"/>
      <c r="E3786" s="1" t="s">
        <v>3334</v>
      </c>
      <c r="F3786" s="1" t="s">
        <v>3197</v>
      </c>
      <c r="G3786" s="1">
        <v>2</v>
      </c>
      <c r="H3786" s="1" t="s">
        <v>19</v>
      </c>
      <c r="I3786" s="1" t="s">
        <v>423</v>
      </c>
      <c r="J3786" s="1">
        <v>3.2</v>
      </c>
      <c r="K3786" s="1">
        <v>6.4</v>
      </c>
      <c r="L3786" s="42">
        <v>11</v>
      </c>
      <c r="M3786" s="43">
        <v>46174</v>
      </c>
      <c r="N3786" s="1" t="e">
        <f>VLOOKUP(B3786,MICRO!E:L,8,0)</f>
        <v>#N/A</v>
      </c>
    </row>
    <row r="3787" spans="1:14" ht="20.25" x14ac:dyDescent="0.25">
      <c r="A3787" s="1">
        <v>25</v>
      </c>
      <c r="B3787" s="159">
        <v>2319</v>
      </c>
      <c r="C3787" s="1" t="s">
        <v>854</v>
      </c>
      <c r="D3787" s="1"/>
      <c r="E3787" s="1" t="s">
        <v>3334</v>
      </c>
      <c r="F3787" s="1" t="s">
        <v>3197</v>
      </c>
      <c r="G3787" s="1">
        <v>2</v>
      </c>
      <c r="H3787" s="1" t="s">
        <v>19</v>
      </c>
      <c r="I3787" s="1" t="s">
        <v>424</v>
      </c>
      <c r="J3787" s="1">
        <v>3.2</v>
      </c>
      <c r="K3787" s="1">
        <v>6.4</v>
      </c>
      <c r="L3787" s="42">
        <v>11</v>
      </c>
      <c r="M3787" s="43">
        <v>46174</v>
      </c>
      <c r="N3787" s="1" t="e">
        <f>VLOOKUP(B3787,MICRO!E:L,8,0)</f>
        <v>#N/A</v>
      </c>
    </row>
    <row r="3788" spans="1:14" ht="20.25" x14ac:dyDescent="0.25">
      <c r="A3788" s="1">
        <v>26</v>
      </c>
      <c r="B3788" s="159">
        <v>2320</v>
      </c>
      <c r="C3788" s="1" t="s">
        <v>854</v>
      </c>
      <c r="D3788" s="1"/>
      <c r="E3788" s="1" t="s">
        <v>3335</v>
      </c>
      <c r="F3788" s="1" t="s">
        <v>3198</v>
      </c>
      <c r="G3788" s="1">
        <v>2</v>
      </c>
      <c r="H3788" s="1" t="s">
        <v>19</v>
      </c>
      <c r="I3788" s="1" t="s">
        <v>423</v>
      </c>
      <c r="J3788" s="1">
        <v>3.2</v>
      </c>
      <c r="K3788" s="1">
        <v>6.4</v>
      </c>
      <c r="L3788" s="42">
        <v>11</v>
      </c>
      <c r="M3788" s="43">
        <v>46174</v>
      </c>
      <c r="N3788" s="1" t="e">
        <f>VLOOKUP(B3788,MICRO!E:L,8,0)</f>
        <v>#N/A</v>
      </c>
    </row>
    <row r="3789" spans="1:14" ht="20.25" x14ac:dyDescent="0.25">
      <c r="A3789" s="1">
        <v>27</v>
      </c>
      <c r="B3789" s="159">
        <v>2321</v>
      </c>
      <c r="C3789" s="1" t="s">
        <v>854</v>
      </c>
      <c r="D3789" s="1"/>
      <c r="E3789" s="1" t="s">
        <v>3335</v>
      </c>
      <c r="F3789" s="1" t="s">
        <v>3198</v>
      </c>
      <c r="G3789" s="1">
        <v>2</v>
      </c>
      <c r="H3789" s="1" t="s">
        <v>19</v>
      </c>
      <c r="I3789" s="1" t="s">
        <v>424</v>
      </c>
      <c r="J3789" s="1">
        <v>3.2</v>
      </c>
      <c r="K3789" s="1">
        <v>6.4</v>
      </c>
      <c r="L3789" s="42">
        <v>11</v>
      </c>
      <c r="M3789" s="43">
        <v>46174</v>
      </c>
      <c r="N3789" s="1" t="e">
        <f>VLOOKUP(B3789,MICRO!E:L,8,0)</f>
        <v>#N/A</v>
      </c>
    </row>
    <row r="3790" spans="1:14" ht="20.25" x14ac:dyDescent="0.25">
      <c r="A3790" s="1">
        <v>28</v>
      </c>
      <c r="B3790" s="159">
        <v>2332</v>
      </c>
      <c r="C3790" s="1" t="s">
        <v>854</v>
      </c>
      <c r="D3790" s="1"/>
      <c r="E3790" s="1" t="s">
        <v>3336</v>
      </c>
      <c r="F3790" s="1" t="s">
        <v>3199</v>
      </c>
      <c r="G3790" s="1">
        <v>1</v>
      </c>
      <c r="H3790" s="1" t="s">
        <v>19</v>
      </c>
      <c r="I3790" s="1" t="s">
        <v>423</v>
      </c>
      <c r="J3790" s="1">
        <v>2</v>
      </c>
      <c r="K3790" s="1">
        <v>2</v>
      </c>
      <c r="L3790" s="42">
        <v>11</v>
      </c>
      <c r="M3790" s="43">
        <v>46174</v>
      </c>
      <c r="N3790" s="1" t="e">
        <f>VLOOKUP(B3790,MICRO!E:L,8,0)</f>
        <v>#N/A</v>
      </c>
    </row>
    <row r="3791" spans="1:14" ht="20.25" x14ac:dyDescent="0.25">
      <c r="A3791" s="1">
        <v>29</v>
      </c>
      <c r="B3791" s="159">
        <v>2334</v>
      </c>
      <c r="C3791" s="1" t="s">
        <v>854</v>
      </c>
      <c r="D3791" s="1"/>
      <c r="E3791" s="1" t="s">
        <v>3337</v>
      </c>
      <c r="F3791" s="1" t="s">
        <v>3200</v>
      </c>
      <c r="G3791" s="1">
        <v>1</v>
      </c>
      <c r="H3791" s="1" t="s">
        <v>19</v>
      </c>
      <c r="I3791" s="1" t="s">
        <v>423</v>
      </c>
      <c r="J3791" s="1">
        <v>2</v>
      </c>
      <c r="K3791" s="1">
        <v>2</v>
      </c>
      <c r="L3791" s="42">
        <v>11</v>
      </c>
      <c r="M3791" s="43">
        <v>46174</v>
      </c>
      <c r="N3791" s="1" t="e">
        <f>VLOOKUP(B3791,MICRO!E:L,8,0)</f>
        <v>#N/A</v>
      </c>
    </row>
    <row r="3792" spans="1:14" ht="20.25" x14ac:dyDescent="0.25">
      <c r="A3792" s="1">
        <v>30</v>
      </c>
      <c r="B3792" s="159">
        <v>2655</v>
      </c>
      <c r="C3792" s="1" t="s">
        <v>854</v>
      </c>
      <c r="D3792" s="1"/>
      <c r="E3792" s="1" t="s">
        <v>3338</v>
      </c>
      <c r="F3792" s="1" t="s">
        <v>3243</v>
      </c>
      <c r="G3792" s="1">
        <v>2</v>
      </c>
      <c r="H3792" s="1" t="s">
        <v>19</v>
      </c>
      <c r="I3792" s="1" t="s">
        <v>425</v>
      </c>
      <c r="J3792" s="1">
        <v>2.8</v>
      </c>
      <c r="K3792" s="1">
        <v>5.6</v>
      </c>
      <c r="L3792" s="42">
        <v>11</v>
      </c>
      <c r="M3792" s="43">
        <v>46174</v>
      </c>
      <c r="N3792" s="1" t="e">
        <f>VLOOKUP(B3792,MICRO!E:L,8,0)</f>
        <v>#N/A</v>
      </c>
    </row>
    <row r="3793" spans="1:14" ht="20.25" x14ac:dyDescent="0.25">
      <c r="A3793" s="1">
        <v>31</v>
      </c>
      <c r="B3793" s="159">
        <v>2659</v>
      </c>
      <c r="C3793" s="1" t="s">
        <v>854</v>
      </c>
      <c r="D3793" s="1"/>
      <c r="E3793" s="1" t="s">
        <v>2438</v>
      </c>
      <c r="F3793" s="1" t="s">
        <v>1063</v>
      </c>
      <c r="G3793" s="1">
        <v>2</v>
      </c>
      <c r="H3793" s="1" t="s">
        <v>19</v>
      </c>
      <c r="I3793" s="1" t="s">
        <v>425</v>
      </c>
      <c r="J3793" s="1">
        <v>5.7</v>
      </c>
      <c r="K3793" s="1">
        <v>11.4</v>
      </c>
      <c r="L3793" s="42">
        <v>11</v>
      </c>
      <c r="M3793" s="43">
        <v>46174</v>
      </c>
      <c r="N3793" s="1" t="e">
        <f>VLOOKUP(B3793,MICRO!E:L,8,0)</f>
        <v>#N/A</v>
      </c>
    </row>
    <row r="3794" spans="1:14" ht="20.25" x14ac:dyDescent="0.25">
      <c r="A3794" s="1">
        <v>32</v>
      </c>
      <c r="B3794" s="159">
        <v>2666</v>
      </c>
      <c r="C3794" s="1" t="s">
        <v>854</v>
      </c>
      <c r="D3794" s="1"/>
      <c r="E3794" s="1" t="s">
        <v>3339</v>
      </c>
      <c r="F3794" s="1" t="s">
        <v>3244</v>
      </c>
      <c r="G3794" s="1">
        <v>1</v>
      </c>
      <c r="H3794" s="1" t="s">
        <v>19</v>
      </c>
      <c r="I3794" s="1" t="s">
        <v>425</v>
      </c>
      <c r="J3794" s="1">
        <v>9.5</v>
      </c>
      <c r="K3794" s="1">
        <v>9.5</v>
      </c>
      <c r="L3794" s="42">
        <v>11</v>
      </c>
      <c r="M3794" s="43">
        <v>46174</v>
      </c>
      <c r="N3794" s="1" t="e">
        <f>VLOOKUP(B3794,MICRO!E:L,8,0)</f>
        <v>#N/A</v>
      </c>
    </row>
    <row r="3795" spans="1:14" ht="20.25" x14ac:dyDescent="0.25">
      <c r="A3795" s="1">
        <v>33</v>
      </c>
      <c r="B3795" s="159">
        <v>2672</v>
      </c>
      <c r="C3795" s="1" t="s">
        <v>854</v>
      </c>
      <c r="D3795" s="1"/>
      <c r="E3795" s="1" t="s">
        <v>3340</v>
      </c>
      <c r="F3795" s="1" t="s">
        <v>3245</v>
      </c>
      <c r="G3795" s="1">
        <v>6</v>
      </c>
      <c r="H3795" s="1" t="s">
        <v>19</v>
      </c>
      <c r="I3795" s="1" t="s">
        <v>426</v>
      </c>
      <c r="J3795" s="1">
        <v>5.4</v>
      </c>
      <c r="K3795" s="1">
        <v>32.400000000000006</v>
      </c>
      <c r="L3795" s="42">
        <v>11</v>
      </c>
      <c r="M3795" s="43">
        <v>46174</v>
      </c>
      <c r="N3795" s="1" t="e">
        <f>VLOOKUP(B3795,MICRO!E:L,8,0)</f>
        <v>#N/A</v>
      </c>
    </row>
    <row r="3796" spans="1:14" ht="20.25" x14ac:dyDescent="0.25">
      <c r="A3796" s="1">
        <v>34</v>
      </c>
      <c r="B3796" s="159">
        <v>2673</v>
      </c>
      <c r="C3796" s="1" t="s">
        <v>854</v>
      </c>
      <c r="D3796" s="1"/>
      <c r="E3796" s="1" t="s">
        <v>3341</v>
      </c>
      <c r="F3796" s="1" t="s">
        <v>3246</v>
      </c>
      <c r="G3796" s="1">
        <v>2</v>
      </c>
      <c r="H3796" s="1" t="s">
        <v>19</v>
      </c>
      <c r="I3796" s="1" t="s">
        <v>426</v>
      </c>
      <c r="J3796" s="1">
        <v>5.3</v>
      </c>
      <c r="K3796" s="1">
        <v>10.6</v>
      </c>
      <c r="L3796" s="42">
        <v>11</v>
      </c>
      <c r="M3796" s="43">
        <v>46174</v>
      </c>
      <c r="N3796" s="1" t="e">
        <f>VLOOKUP(B3796,MICRO!E:L,8,0)</f>
        <v>#N/A</v>
      </c>
    </row>
    <row r="3797" spans="1:14" ht="20.25" x14ac:dyDescent="0.25">
      <c r="A3797" s="1">
        <v>35</v>
      </c>
      <c r="B3797" s="159">
        <v>2674</v>
      </c>
      <c r="C3797" s="1" t="s">
        <v>854</v>
      </c>
      <c r="D3797" s="1"/>
      <c r="E3797" s="1" t="s">
        <v>3342</v>
      </c>
      <c r="F3797" s="1" t="s">
        <v>3247</v>
      </c>
      <c r="G3797" s="1">
        <v>1</v>
      </c>
      <c r="H3797" s="1" t="s">
        <v>19</v>
      </c>
      <c r="I3797" s="1" t="s">
        <v>426</v>
      </c>
      <c r="J3797" s="1">
        <v>3.2</v>
      </c>
      <c r="K3797" s="1">
        <v>3.2</v>
      </c>
      <c r="L3797" s="42">
        <v>11</v>
      </c>
      <c r="M3797" s="43">
        <v>46174</v>
      </c>
      <c r="N3797" s="1" t="e">
        <f>VLOOKUP(B3797,MICRO!E:L,8,0)</f>
        <v>#N/A</v>
      </c>
    </row>
    <row r="3798" spans="1:14" ht="20.25" x14ac:dyDescent="0.25">
      <c r="A3798" s="1">
        <v>36</v>
      </c>
      <c r="B3798" s="159">
        <v>2675</v>
      </c>
      <c r="C3798" s="1" t="s">
        <v>854</v>
      </c>
      <c r="D3798" s="1"/>
      <c r="E3798" s="1" t="s">
        <v>3343</v>
      </c>
      <c r="F3798" s="1" t="s">
        <v>3248</v>
      </c>
      <c r="G3798" s="1">
        <v>1</v>
      </c>
      <c r="H3798" s="1" t="s">
        <v>19</v>
      </c>
      <c r="I3798" s="1" t="s">
        <v>426</v>
      </c>
      <c r="J3798" s="1">
        <v>1</v>
      </c>
      <c r="K3798" s="1">
        <v>1</v>
      </c>
      <c r="L3798" s="42">
        <v>11</v>
      </c>
      <c r="M3798" s="43">
        <v>46174</v>
      </c>
      <c r="N3798" s="1" t="e">
        <f>VLOOKUP(B3798,MICRO!E:L,8,0)</f>
        <v>#N/A</v>
      </c>
    </row>
    <row r="3799" spans="1:14" ht="20.25" x14ac:dyDescent="0.25">
      <c r="A3799" s="1">
        <v>37</v>
      </c>
      <c r="B3799" s="159">
        <v>2676</v>
      </c>
      <c r="C3799" s="1" t="s">
        <v>854</v>
      </c>
      <c r="D3799" s="1"/>
      <c r="E3799" s="1" t="s">
        <v>3344</v>
      </c>
      <c r="F3799" s="1" t="s">
        <v>3249</v>
      </c>
      <c r="G3799" s="1">
        <v>1</v>
      </c>
      <c r="H3799" s="1" t="s">
        <v>19</v>
      </c>
      <c r="I3799" s="1" t="s">
        <v>426</v>
      </c>
      <c r="J3799" s="1">
        <v>1</v>
      </c>
      <c r="K3799" s="1">
        <v>1</v>
      </c>
      <c r="L3799" s="42">
        <v>11</v>
      </c>
      <c r="M3799" s="43">
        <v>46174</v>
      </c>
      <c r="N3799" s="1" t="e">
        <f>VLOOKUP(B3799,MICRO!E:L,8,0)</f>
        <v>#N/A</v>
      </c>
    </row>
    <row r="3800" spans="1:14" ht="20.25" x14ac:dyDescent="0.25">
      <c r="A3800" s="1">
        <v>38</v>
      </c>
      <c r="B3800" s="159">
        <v>2677</v>
      </c>
      <c r="C3800" s="1" t="s">
        <v>854</v>
      </c>
      <c r="D3800" s="1"/>
      <c r="E3800" s="1" t="s">
        <v>3345</v>
      </c>
      <c r="F3800" s="1" t="s">
        <v>3250</v>
      </c>
      <c r="G3800" s="1">
        <v>1</v>
      </c>
      <c r="H3800" s="1" t="s">
        <v>19</v>
      </c>
      <c r="I3800" s="1" t="s">
        <v>426</v>
      </c>
      <c r="J3800" s="1">
        <v>6.3</v>
      </c>
      <c r="K3800" s="1">
        <v>6.3</v>
      </c>
      <c r="L3800" s="42">
        <v>11</v>
      </c>
      <c r="M3800" s="43">
        <v>46174</v>
      </c>
      <c r="N3800" s="1" t="e">
        <f>VLOOKUP(B3800,MICRO!E:L,8,0)</f>
        <v>#N/A</v>
      </c>
    </row>
    <row r="3801" spans="1:14" ht="20.25" x14ac:dyDescent="0.25">
      <c r="A3801" s="1">
        <v>39</v>
      </c>
      <c r="B3801" s="159">
        <v>2678</v>
      </c>
      <c r="C3801" s="1" t="s">
        <v>854</v>
      </c>
      <c r="D3801" s="1"/>
      <c r="E3801" s="1" t="s">
        <v>3346</v>
      </c>
      <c r="F3801" s="1" t="s">
        <v>3251</v>
      </c>
      <c r="G3801" s="1">
        <v>1</v>
      </c>
      <c r="H3801" s="1" t="s">
        <v>19</v>
      </c>
      <c r="I3801" s="1" t="s">
        <v>426</v>
      </c>
      <c r="J3801" s="1">
        <v>6.3</v>
      </c>
      <c r="K3801" s="1">
        <v>6.3</v>
      </c>
      <c r="L3801" s="42">
        <v>11</v>
      </c>
      <c r="M3801" s="43">
        <v>46174</v>
      </c>
      <c r="N3801" s="1" t="e">
        <f>VLOOKUP(B3801,MICRO!E:L,8,0)</f>
        <v>#N/A</v>
      </c>
    </row>
    <row r="3802" spans="1:14" ht="20.25" x14ac:dyDescent="0.25">
      <c r="A3802" s="1">
        <v>40</v>
      </c>
      <c r="B3802" s="159">
        <v>2679</v>
      </c>
      <c r="C3802" s="1" t="s">
        <v>854</v>
      </c>
      <c r="D3802" s="1"/>
      <c r="E3802" s="1" t="s">
        <v>3347</v>
      </c>
      <c r="F3802" s="1" t="s">
        <v>3252</v>
      </c>
      <c r="G3802" s="1">
        <v>1</v>
      </c>
      <c r="H3802" s="1" t="s">
        <v>19</v>
      </c>
      <c r="I3802" s="1" t="s">
        <v>426</v>
      </c>
      <c r="J3802" s="1">
        <v>0.8</v>
      </c>
      <c r="K3802" s="1">
        <v>0.8</v>
      </c>
      <c r="L3802" s="42">
        <v>11</v>
      </c>
      <c r="M3802" s="43">
        <v>46174</v>
      </c>
      <c r="N3802" s="1" t="e">
        <f>VLOOKUP(B3802,MICRO!E:L,8,0)</f>
        <v>#N/A</v>
      </c>
    </row>
    <row r="3803" spans="1:14" ht="20.25" x14ac:dyDescent="0.25">
      <c r="A3803" s="1">
        <v>41</v>
      </c>
      <c r="B3803" s="159">
        <v>2680</v>
      </c>
      <c r="C3803" s="1" t="s">
        <v>854</v>
      </c>
      <c r="D3803" s="1"/>
      <c r="E3803" s="1" t="s">
        <v>2453</v>
      </c>
      <c r="F3803" s="1" t="s">
        <v>1071</v>
      </c>
      <c r="G3803" s="1">
        <v>1</v>
      </c>
      <c r="H3803" s="1" t="s">
        <v>19</v>
      </c>
      <c r="I3803" s="1" t="s">
        <v>426</v>
      </c>
      <c r="J3803" s="1">
        <v>2</v>
      </c>
      <c r="K3803" s="1">
        <v>2</v>
      </c>
      <c r="L3803" s="42">
        <v>11</v>
      </c>
      <c r="M3803" s="43">
        <v>46174</v>
      </c>
      <c r="N3803" s="1" t="e">
        <f>VLOOKUP(B3803,MICRO!E:L,8,0)</f>
        <v>#N/A</v>
      </c>
    </row>
    <row r="3804" spans="1:14" ht="20.25" x14ac:dyDescent="0.25">
      <c r="A3804" s="1">
        <v>42</v>
      </c>
      <c r="B3804" s="159">
        <v>2681</v>
      </c>
      <c r="C3804" s="1" t="s">
        <v>854</v>
      </c>
      <c r="D3804" s="1"/>
      <c r="E3804" s="1" t="s">
        <v>3348</v>
      </c>
      <c r="F3804" s="1" t="s">
        <v>3253</v>
      </c>
      <c r="G3804" s="1">
        <v>1</v>
      </c>
      <c r="H3804" s="1" t="s">
        <v>19</v>
      </c>
      <c r="I3804" s="1" t="s">
        <v>426</v>
      </c>
      <c r="J3804" s="1">
        <v>2.2999999999999998</v>
      </c>
      <c r="K3804" s="1">
        <v>2.2999999999999998</v>
      </c>
      <c r="L3804" s="42">
        <v>11</v>
      </c>
      <c r="M3804" s="43">
        <v>46174</v>
      </c>
      <c r="N3804" s="1" t="e">
        <f>VLOOKUP(B3804,MICRO!E:L,8,0)</f>
        <v>#N/A</v>
      </c>
    </row>
    <row r="3805" spans="1:14" ht="20.25" x14ac:dyDescent="0.25">
      <c r="A3805" s="1">
        <v>43</v>
      </c>
      <c r="B3805" s="159">
        <v>2682</v>
      </c>
      <c r="C3805" s="1" t="s">
        <v>854</v>
      </c>
      <c r="D3805" s="1"/>
      <c r="E3805" s="1" t="s">
        <v>3349</v>
      </c>
      <c r="F3805" s="1" t="s">
        <v>3254</v>
      </c>
      <c r="G3805" s="1">
        <v>1</v>
      </c>
      <c r="H3805" s="1" t="s">
        <v>19</v>
      </c>
      <c r="I3805" s="1" t="s">
        <v>426</v>
      </c>
      <c r="J3805" s="1">
        <v>2.2999999999999998</v>
      </c>
      <c r="K3805" s="1">
        <v>2.2999999999999998</v>
      </c>
      <c r="L3805" s="42">
        <v>11</v>
      </c>
      <c r="M3805" s="43">
        <v>46174</v>
      </c>
      <c r="N3805" s="1" t="e">
        <f>VLOOKUP(B3805,MICRO!E:L,8,0)</f>
        <v>#N/A</v>
      </c>
    </row>
    <row r="3806" spans="1:14" ht="20.25" x14ac:dyDescent="0.25">
      <c r="A3806" s="1">
        <v>44</v>
      </c>
      <c r="B3806" s="159">
        <v>2683</v>
      </c>
      <c r="C3806" s="1" t="s">
        <v>854</v>
      </c>
      <c r="D3806" s="1"/>
      <c r="E3806" s="1" t="s">
        <v>3350</v>
      </c>
      <c r="F3806" s="1" t="s">
        <v>3255</v>
      </c>
      <c r="G3806" s="1">
        <v>1</v>
      </c>
      <c r="H3806" s="1" t="s">
        <v>19</v>
      </c>
      <c r="I3806" s="1" t="s">
        <v>426</v>
      </c>
      <c r="J3806" s="1">
        <v>6.4</v>
      </c>
      <c r="K3806" s="1">
        <v>6.4</v>
      </c>
      <c r="L3806" s="42">
        <v>11</v>
      </c>
      <c r="M3806" s="43">
        <v>46174</v>
      </c>
      <c r="N3806" s="1" t="e">
        <f>VLOOKUP(B3806,MICRO!E:L,8,0)</f>
        <v>#N/A</v>
      </c>
    </row>
    <row r="3807" spans="1:14" ht="20.25" x14ac:dyDescent="0.25">
      <c r="A3807" s="1">
        <v>45</v>
      </c>
      <c r="B3807" s="159">
        <v>2684</v>
      </c>
      <c r="C3807" s="1" t="s">
        <v>854</v>
      </c>
      <c r="D3807" s="1"/>
      <c r="E3807" s="1" t="s">
        <v>3351</v>
      </c>
      <c r="F3807" s="1" t="s">
        <v>3256</v>
      </c>
      <c r="G3807" s="1">
        <v>1</v>
      </c>
      <c r="H3807" s="1" t="s">
        <v>19</v>
      </c>
      <c r="I3807" s="1" t="s">
        <v>426</v>
      </c>
      <c r="J3807" s="1">
        <v>6.4</v>
      </c>
      <c r="K3807" s="1">
        <v>6.4</v>
      </c>
      <c r="L3807" s="42">
        <v>11</v>
      </c>
      <c r="M3807" s="43">
        <v>46174</v>
      </c>
      <c r="N3807" s="1" t="e">
        <f>VLOOKUP(B3807,MICRO!E:L,8,0)</f>
        <v>#N/A</v>
      </c>
    </row>
    <row r="3808" spans="1:14" ht="20.25" x14ac:dyDescent="0.25">
      <c r="A3808" s="1">
        <v>46</v>
      </c>
      <c r="B3808" s="159">
        <v>2689</v>
      </c>
      <c r="C3808" s="1" t="s">
        <v>854</v>
      </c>
      <c r="D3808" s="1"/>
      <c r="E3808" s="1" t="s">
        <v>3352</v>
      </c>
      <c r="F3808" s="1" t="s">
        <v>3257</v>
      </c>
      <c r="G3808" s="1">
        <v>1</v>
      </c>
      <c r="H3808" s="1" t="s">
        <v>19</v>
      </c>
      <c r="I3808" s="1" t="s">
        <v>427</v>
      </c>
      <c r="J3808" s="1">
        <v>4.9000000000000004</v>
      </c>
      <c r="K3808" s="1">
        <v>4.9000000000000004</v>
      </c>
      <c r="L3808" s="42">
        <v>11</v>
      </c>
      <c r="M3808" s="43">
        <v>46174</v>
      </c>
      <c r="N3808" s="1" t="e">
        <f>VLOOKUP(B3808,MICRO!E:L,8,0)</f>
        <v>#N/A</v>
      </c>
    </row>
    <row r="3809" spans="1:14" ht="20.25" x14ac:dyDescent="0.25">
      <c r="A3809" s="1">
        <v>47</v>
      </c>
      <c r="B3809" s="159">
        <v>2690</v>
      </c>
      <c r="C3809" s="1" t="s">
        <v>854</v>
      </c>
      <c r="D3809" s="1"/>
      <c r="E3809" s="1" t="s">
        <v>3353</v>
      </c>
      <c r="F3809" s="1" t="s">
        <v>3258</v>
      </c>
      <c r="G3809" s="1">
        <v>2</v>
      </c>
      <c r="H3809" s="1" t="s">
        <v>19</v>
      </c>
      <c r="I3809" s="1" t="s">
        <v>427</v>
      </c>
      <c r="J3809" s="1">
        <v>5</v>
      </c>
      <c r="K3809" s="1">
        <v>10</v>
      </c>
      <c r="L3809" s="42">
        <v>11</v>
      </c>
      <c r="M3809" s="43">
        <v>46174</v>
      </c>
      <c r="N3809" s="1" t="e">
        <f>VLOOKUP(B3809,MICRO!E:L,8,0)</f>
        <v>#N/A</v>
      </c>
    </row>
    <row r="3810" spans="1:14" ht="20.25" x14ac:dyDescent="0.25">
      <c r="A3810" s="1">
        <v>48</v>
      </c>
      <c r="B3810" s="159">
        <v>2691</v>
      </c>
      <c r="C3810" s="1" t="s">
        <v>854</v>
      </c>
      <c r="D3810" s="1"/>
      <c r="E3810" s="1" t="s">
        <v>3354</v>
      </c>
      <c r="F3810" s="1" t="s">
        <v>3259</v>
      </c>
      <c r="G3810" s="1">
        <v>2</v>
      </c>
      <c r="H3810" s="1" t="s">
        <v>19</v>
      </c>
      <c r="I3810" s="1" t="s">
        <v>427</v>
      </c>
      <c r="J3810" s="1">
        <v>4.4000000000000004</v>
      </c>
      <c r="K3810" s="1">
        <v>8.8000000000000007</v>
      </c>
      <c r="L3810" s="42">
        <v>11</v>
      </c>
      <c r="M3810" s="43">
        <v>46174</v>
      </c>
      <c r="N3810" s="1" t="e">
        <f>VLOOKUP(B3810,MICRO!E:L,8,0)</f>
        <v>#N/A</v>
      </c>
    </row>
    <row r="3811" spans="1:14" ht="20.25" x14ac:dyDescent="0.25">
      <c r="A3811" s="1">
        <v>49</v>
      </c>
      <c r="B3811" s="159">
        <v>2692</v>
      </c>
      <c r="C3811" s="1" t="s">
        <v>854</v>
      </c>
      <c r="D3811" s="1"/>
      <c r="E3811" s="1" t="s">
        <v>3355</v>
      </c>
      <c r="F3811" s="1" t="s">
        <v>3260</v>
      </c>
      <c r="G3811" s="1">
        <v>2</v>
      </c>
      <c r="H3811" s="1" t="s">
        <v>19</v>
      </c>
      <c r="I3811" s="1" t="s">
        <v>427</v>
      </c>
      <c r="J3811" s="1">
        <v>4.5</v>
      </c>
      <c r="K3811" s="1">
        <v>9</v>
      </c>
      <c r="L3811" s="42">
        <v>11</v>
      </c>
      <c r="M3811" s="43">
        <v>46174</v>
      </c>
      <c r="N3811" s="1" t="e">
        <f>VLOOKUP(B3811,MICRO!E:L,8,0)</f>
        <v>#N/A</v>
      </c>
    </row>
    <row r="3812" spans="1:14" ht="20.25" x14ac:dyDescent="0.25">
      <c r="A3812" s="1">
        <v>50</v>
      </c>
      <c r="B3812" s="159">
        <v>2694</v>
      </c>
      <c r="C3812" s="1" t="s">
        <v>854</v>
      </c>
      <c r="D3812" s="1"/>
      <c r="E3812" s="1" t="s">
        <v>3356</v>
      </c>
      <c r="F3812" s="1" t="s">
        <v>3262</v>
      </c>
      <c r="G3812" s="1">
        <v>1</v>
      </c>
      <c r="H3812" s="1" t="s">
        <v>19</v>
      </c>
      <c r="I3812" s="1" t="s">
        <v>427</v>
      </c>
      <c r="J3812" s="1">
        <v>4.4000000000000004</v>
      </c>
      <c r="K3812" s="1">
        <v>4.4000000000000004</v>
      </c>
      <c r="L3812" s="42">
        <v>11</v>
      </c>
      <c r="M3812" s="43">
        <v>46174</v>
      </c>
      <c r="N3812" s="1" t="e">
        <f>VLOOKUP(B3812,MICRO!E:L,8,0)</f>
        <v>#N/A</v>
      </c>
    </row>
    <row r="3813" spans="1:14" ht="20.25" x14ac:dyDescent="0.25">
      <c r="A3813" s="1">
        <v>51</v>
      </c>
      <c r="B3813" s="159">
        <v>2695</v>
      </c>
      <c r="C3813" s="1" t="s">
        <v>854</v>
      </c>
      <c r="D3813" s="1"/>
      <c r="E3813" s="1" t="s">
        <v>2448</v>
      </c>
      <c r="F3813" s="1" t="s">
        <v>1074</v>
      </c>
      <c r="G3813" s="1">
        <v>1</v>
      </c>
      <c r="H3813" s="1" t="s">
        <v>19</v>
      </c>
      <c r="I3813" s="1" t="s">
        <v>427</v>
      </c>
      <c r="J3813" s="1">
        <v>7.9</v>
      </c>
      <c r="K3813" s="1">
        <v>7.9</v>
      </c>
      <c r="L3813" s="42">
        <v>11</v>
      </c>
      <c r="M3813" s="43">
        <v>46174</v>
      </c>
      <c r="N3813" s="1" t="e">
        <f>VLOOKUP(B3813,MICRO!E:L,8,0)</f>
        <v>#N/A</v>
      </c>
    </row>
    <row r="3814" spans="1:14" ht="20.25" x14ac:dyDescent="0.25">
      <c r="A3814" s="1">
        <v>52</v>
      </c>
      <c r="B3814" s="159">
        <v>2698</v>
      </c>
      <c r="C3814" s="1" t="s">
        <v>854</v>
      </c>
      <c r="D3814" s="1"/>
      <c r="E3814" s="1" t="s">
        <v>3357</v>
      </c>
      <c r="F3814" s="1" t="s">
        <v>3263</v>
      </c>
      <c r="G3814" s="1">
        <v>1</v>
      </c>
      <c r="H3814" s="1" t="s">
        <v>19</v>
      </c>
      <c r="I3814" s="1" t="s">
        <v>427</v>
      </c>
      <c r="J3814" s="1">
        <v>3.7</v>
      </c>
      <c r="K3814" s="1">
        <v>3.7</v>
      </c>
      <c r="L3814" s="42">
        <v>11</v>
      </c>
      <c r="M3814" s="43">
        <v>46174</v>
      </c>
      <c r="N3814" s="1" t="e">
        <f>VLOOKUP(B3814,MICRO!E:L,8,0)</f>
        <v>#N/A</v>
      </c>
    </row>
    <row r="3815" spans="1:14" ht="20.25" x14ac:dyDescent="0.25">
      <c r="A3815" s="1">
        <v>53</v>
      </c>
      <c r="B3815" s="159">
        <v>2699</v>
      </c>
      <c r="C3815" s="1" t="s">
        <v>854</v>
      </c>
      <c r="D3815" s="1"/>
      <c r="E3815" s="1" t="s">
        <v>3358</v>
      </c>
      <c r="F3815" s="1" t="s">
        <v>3264</v>
      </c>
      <c r="G3815" s="1">
        <v>1</v>
      </c>
      <c r="H3815" s="1" t="s">
        <v>19</v>
      </c>
      <c r="I3815" s="1" t="s">
        <v>427</v>
      </c>
      <c r="J3815" s="1">
        <v>3.9</v>
      </c>
      <c r="K3815" s="1">
        <v>3.9</v>
      </c>
      <c r="L3815" s="42">
        <v>11</v>
      </c>
      <c r="M3815" s="43">
        <v>46174</v>
      </c>
      <c r="N3815" s="1" t="e">
        <f>VLOOKUP(B3815,MICRO!E:L,8,0)</f>
        <v>#N/A</v>
      </c>
    </row>
    <row r="3816" spans="1:14" ht="20.25" x14ac:dyDescent="0.25">
      <c r="A3816" s="1">
        <v>54</v>
      </c>
      <c r="B3816" s="159">
        <v>2700</v>
      </c>
      <c r="C3816" s="1" t="s">
        <v>854</v>
      </c>
      <c r="D3816" s="1"/>
      <c r="E3816" s="1" t="s">
        <v>3359</v>
      </c>
      <c r="F3816" s="1" t="s">
        <v>3265</v>
      </c>
      <c r="G3816" s="1">
        <v>1</v>
      </c>
      <c r="H3816" s="1" t="s">
        <v>19</v>
      </c>
      <c r="I3816" s="1" t="s">
        <v>427</v>
      </c>
      <c r="J3816" s="1">
        <v>3.9</v>
      </c>
      <c r="K3816" s="1">
        <v>3.9</v>
      </c>
      <c r="L3816" s="42">
        <v>11</v>
      </c>
      <c r="M3816" s="43">
        <v>46174</v>
      </c>
      <c r="N3816" s="1" t="e">
        <f>VLOOKUP(B3816,MICRO!E:L,8,0)</f>
        <v>#N/A</v>
      </c>
    </row>
    <row r="3817" spans="1:14" ht="20.25" x14ac:dyDescent="0.25">
      <c r="A3817" s="1">
        <v>55</v>
      </c>
      <c r="B3817" s="159">
        <v>2785</v>
      </c>
      <c r="C3817" s="1" t="s">
        <v>854</v>
      </c>
      <c r="D3817" s="1"/>
      <c r="E3817" s="1" t="s">
        <v>2451</v>
      </c>
      <c r="F3817" s="1" t="s">
        <v>1138</v>
      </c>
      <c r="G3817" s="1">
        <v>12</v>
      </c>
      <c r="H3817" s="1" t="s">
        <v>19</v>
      </c>
      <c r="I3817" s="1" t="s">
        <v>427</v>
      </c>
      <c r="J3817" s="1">
        <v>14.5</v>
      </c>
      <c r="K3817" s="1">
        <v>174</v>
      </c>
      <c r="L3817" s="42">
        <v>11</v>
      </c>
      <c r="M3817" s="43">
        <v>46174</v>
      </c>
      <c r="N3817" s="1" t="e">
        <f>VLOOKUP(B3817,MICRO!E:L,8,0)</f>
        <v>#N/A</v>
      </c>
    </row>
    <row r="3818" spans="1:14" ht="20.25" x14ac:dyDescent="0.25">
      <c r="A3818" s="1">
        <v>56</v>
      </c>
      <c r="B3818" s="159">
        <v>2548</v>
      </c>
      <c r="C3818" s="1" t="s">
        <v>3230</v>
      </c>
      <c r="D3818" s="1"/>
      <c r="E3818" s="1" t="s">
        <v>1104</v>
      </c>
      <c r="F3818" s="1" t="s">
        <v>3231</v>
      </c>
      <c r="G3818" s="1">
        <v>1</v>
      </c>
      <c r="H3818" s="1" t="s">
        <v>19</v>
      </c>
      <c r="I3818" s="1" t="s">
        <v>427</v>
      </c>
      <c r="J3818" s="1">
        <v>10</v>
      </c>
      <c r="K3818" s="1">
        <v>10</v>
      </c>
      <c r="L3818" s="42">
        <v>11</v>
      </c>
      <c r="M3818" s="43">
        <v>46174</v>
      </c>
      <c r="N3818" s="1" t="e">
        <f>VLOOKUP(B3818,MICRO!E:L,8,0)</f>
        <v>#N/A</v>
      </c>
    </row>
    <row r="3819" spans="1:14" ht="20.25" x14ac:dyDescent="0.25">
      <c r="A3819" s="1">
        <v>57</v>
      </c>
      <c r="B3819" s="159">
        <v>2551</v>
      </c>
      <c r="C3819" s="1" t="s">
        <v>998</v>
      </c>
      <c r="D3819" s="1"/>
      <c r="E3819" s="1" t="s">
        <v>746</v>
      </c>
      <c r="F3819" s="1" t="s">
        <v>999</v>
      </c>
      <c r="G3819" s="1">
        <v>8</v>
      </c>
      <c r="H3819" s="1" t="s">
        <v>19</v>
      </c>
      <c r="I3819" s="1" t="s">
        <v>427</v>
      </c>
      <c r="J3819" s="1">
        <v>11.7</v>
      </c>
      <c r="K3819" s="1">
        <v>93.6</v>
      </c>
      <c r="L3819" s="42">
        <v>11</v>
      </c>
      <c r="M3819" s="43">
        <v>46174</v>
      </c>
      <c r="N3819" s="1" t="e">
        <f>VLOOKUP(B3819,MICRO!E:L,8,0)</f>
        <v>#N/A</v>
      </c>
    </row>
    <row r="3820" spans="1:14" ht="20.25" x14ac:dyDescent="0.25">
      <c r="A3820" s="1">
        <v>58</v>
      </c>
      <c r="B3820" s="159">
        <v>2552</v>
      </c>
      <c r="C3820" s="1" t="s">
        <v>998</v>
      </c>
      <c r="D3820" s="1"/>
      <c r="E3820" s="1" t="s">
        <v>1101</v>
      </c>
      <c r="F3820" s="1" t="s">
        <v>1000</v>
      </c>
      <c r="G3820" s="1">
        <v>3</v>
      </c>
      <c r="H3820" s="1" t="s">
        <v>19</v>
      </c>
      <c r="I3820" s="1" t="s">
        <v>427</v>
      </c>
      <c r="J3820" s="1">
        <v>11.7</v>
      </c>
      <c r="K3820" s="1">
        <v>35.099999999999994</v>
      </c>
      <c r="L3820" s="42">
        <v>11</v>
      </c>
      <c r="M3820" s="43">
        <v>46174</v>
      </c>
      <c r="N3820" s="1" t="e">
        <f>VLOOKUP(B3820,MICRO!E:L,8,0)</f>
        <v>#N/A</v>
      </c>
    </row>
    <row r="3821" spans="1:14" ht="20.25" x14ac:dyDescent="0.25">
      <c r="A3821" s="1">
        <v>59</v>
      </c>
      <c r="B3821" s="159">
        <v>2553</v>
      </c>
      <c r="C3821" s="1" t="s">
        <v>998</v>
      </c>
      <c r="D3821" s="1"/>
      <c r="E3821" s="1" t="s">
        <v>100</v>
      </c>
      <c r="F3821" s="1" t="s">
        <v>3232</v>
      </c>
      <c r="G3821" s="1">
        <v>1</v>
      </c>
      <c r="H3821" s="1" t="s">
        <v>19</v>
      </c>
      <c r="I3821" s="1" t="s">
        <v>427</v>
      </c>
      <c r="J3821" s="1">
        <v>32.1</v>
      </c>
      <c r="K3821" s="1">
        <v>32.1</v>
      </c>
      <c r="L3821" s="42">
        <v>11</v>
      </c>
      <c r="M3821" s="43">
        <v>46174</v>
      </c>
      <c r="N3821" s="1" t="e">
        <f>VLOOKUP(B3821,MICRO!E:L,8,0)</f>
        <v>#N/A</v>
      </c>
    </row>
    <row r="3822" spans="1:14" ht="20.25" x14ac:dyDescent="0.25">
      <c r="A3822" s="1">
        <v>60</v>
      </c>
      <c r="B3822" s="159">
        <v>2408</v>
      </c>
      <c r="C3822" s="1" t="s">
        <v>900</v>
      </c>
      <c r="D3822" s="1"/>
      <c r="E3822" s="1" t="s">
        <v>1101</v>
      </c>
      <c r="F3822" s="1" t="s">
        <v>903</v>
      </c>
      <c r="G3822" s="1">
        <v>1</v>
      </c>
      <c r="H3822" s="1" t="s">
        <v>19</v>
      </c>
      <c r="I3822" s="1" t="s">
        <v>426</v>
      </c>
      <c r="J3822" s="1">
        <v>12.9</v>
      </c>
      <c r="K3822" s="1">
        <v>12.9</v>
      </c>
      <c r="L3822" s="42">
        <v>11</v>
      </c>
      <c r="M3822" s="43">
        <v>46174</v>
      </c>
      <c r="N3822" s="1" t="e">
        <f>VLOOKUP(B3822,MICRO!E:L,8,0)</f>
        <v>#N/A</v>
      </c>
    </row>
    <row r="3823" spans="1:14" ht="20.25" x14ac:dyDescent="0.25">
      <c r="A3823" s="1">
        <v>61</v>
      </c>
      <c r="B3823" s="159">
        <v>2409</v>
      </c>
      <c r="C3823" s="1" t="s">
        <v>900</v>
      </c>
      <c r="D3823" s="1"/>
      <c r="E3823" s="1" t="s">
        <v>100</v>
      </c>
      <c r="F3823" s="1" t="s">
        <v>904</v>
      </c>
      <c r="G3823" s="1">
        <v>1</v>
      </c>
      <c r="H3823" s="1" t="s">
        <v>19</v>
      </c>
      <c r="I3823" s="1" t="s">
        <v>426</v>
      </c>
      <c r="J3823" s="1">
        <v>16.399999999999999</v>
      </c>
      <c r="K3823" s="1">
        <v>16.399999999999999</v>
      </c>
      <c r="L3823" s="42">
        <v>11</v>
      </c>
      <c r="M3823" s="43">
        <v>46174</v>
      </c>
      <c r="N3823" s="1" t="e">
        <f>VLOOKUP(B3823,MICRO!E:L,8,0)</f>
        <v>#N/A</v>
      </c>
    </row>
    <row r="3824" spans="1:14" ht="20.25" x14ac:dyDescent="0.25">
      <c r="A3824" s="1">
        <v>62</v>
      </c>
      <c r="B3824" s="159">
        <v>2351</v>
      </c>
      <c r="C3824" s="1" t="s">
        <v>3202</v>
      </c>
      <c r="D3824" s="1"/>
      <c r="E3824" s="1" t="s">
        <v>2</v>
      </c>
      <c r="F3824" s="1" t="s">
        <v>3203</v>
      </c>
      <c r="G3824" s="1">
        <v>1</v>
      </c>
      <c r="H3824" s="1" t="s">
        <v>19</v>
      </c>
      <c r="I3824" s="1" t="s">
        <v>424</v>
      </c>
      <c r="J3824" s="1">
        <v>15</v>
      </c>
      <c r="K3824" s="1">
        <v>15</v>
      </c>
      <c r="L3824" s="42">
        <v>11</v>
      </c>
      <c r="M3824" s="43">
        <v>46174</v>
      </c>
      <c r="N3824" s="1" t="e">
        <f>VLOOKUP(B3824,MICRO!E:L,8,0)</f>
        <v>#N/A</v>
      </c>
    </row>
    <row r="3825" spans="1:14" ht="20.25" x14ac:dyDescent="0.25">
      <c r="A3825" s="1">
        <v>1</v>
      </c>
      <c r="B3825" s="159">
        <v>2259</v>
      </c>
      <c r="C3825" s="1" t="s">
        <v>854</v>
      </c>
      <c r="D3825" s="1"/>
      <c r="E3825" s="1" t="s">
        <v>2</v>
      </c>
      <c r="F3825" s="1" t="s">
        <v>825</v>
      </c>
      <c r="G3825" s="1">
        <v>1</v>
      </c>
      <c r="H3825" s="1" t="s">
        <v>19</v>
      </c>
      <c r="I3825" s="1" t="s">
        <v>424</v>
      </c>
      <c r="J3825" s="1">
        <v>9.6999999999999993</v>
      </c>
      <c r="K3825" s="1">
        <v>9.6999999999999993</v>
      </c>
      <c r="L3825" s="42">
        <v>12</v>
      </c>
      <c r="M3825" s="43">
        <v>46198</v>
      </c>
      <c r="N3825" s="1" t="e">
        <f>VLOOKUP(B3825,MICRO!E:L,8,0)</f>
        <v>#N/A</v>
      </c>
    </row>
    <row r="3826" spans="1:14" ht="20.25" x14ac:dyDescent="0.25">
      <c r="A3826" s="1">
        <v>2</v>
      </c>
      <c r="B3826" s="159">
        <v>2306</v>
      </c>
      <c r="C3826" s="1" t="s">
        <v>854</v>
      </c>
      <c r="D3826" s="1"/>
      <c r="E3826" s="1" t="s">
        <v>1113</v>
      </c>
      <c r="F3826" s="1" t="s">
        <v>844</v>
      </c>
      <c r="G3826" s="1">
        <v>4</v>
      </c>
      <c r="H3826" s="1" t="s">
        <v>19</v>
      </c>
      <c r="I3826" s="1" t="s">
        <v>425</v>
      </c>
      <c r="J3826" s="1">
        <v>3.9</v>
      </c>
      <c r="K3826" s="1">
        <v>15.6</v>
      </c>
      <c r="L3826" s="42">
        <v>12</v>
      </c>
      <c r="M3826" s="43">
        <v>46198</v>
      </c>
      <c r="N3826" s="1" t="e">
        <f>VLOOKUP(B3826,MICRO!E:L,8,0)</f>
        <v>#N/A</v>
      </c>
    </row>
    <row r="3827" spans="1:14" ht="20.25" x14ac:dyDescent="0.25">
      <c r="A3827" s="1">
        <v>3</v>
      </c>
      <c r="B3827" s="159">
        <v>2333</v>
      </c>
      <c r="C3827" s="1" t="s">
        <v>854</v>
      </c>
      <c r="D3827" s="1"/>
      <c r="E3827" s="1" t="s">
        <v>3336</v>
      </c>
      <c r="F3827" s="1" t="s">
        <v>3199</v>
      </c>
      <c r="G3827" s="1">
        <v>1</v>
      </c>
      <c r="H3827" s="1" t="s">
        <v>19</v>
      </c>
      <c r="I3827" s="1" t="s">
        <v>424</v>
      </c>
      <c r="J3827" s="1">
        <v>2</v>
      </c>
      <c r="K3827" s="1">
        <v>2</v>
      </c>
      <c r="L3827" s="42">
        <v>12</v>
      </c>
      <c r="M3827" s="43">
        <v>46198</v>
      </c>
      <c r="N3827" s="1" t="e">
        <f>VLOOKUP(B3827,MICRO!E:L,8,0)</f>
        <v>#N/A</v>
      </c>
    </row>
    <row r="3828" spans="1:14" ht="20.25" x14ac:dyDescent="0.25">
      <c r="A3828" s="1">
        <v>4</v>
      </c>
      <c r="B3828" s="159">
        <v>2341</v>
      </c>
      <c r="C3828" s="1" t="s">
        <v>854</v>
      </c>
      <c r="D3828" s="1"/>
      <c r="E3828" s="1" t="s">
        <v>3333</v>
      </c>
      <c r="F3828" s="1" t="s">
        <v>3201</v>
      </c>
      <c r="G3828" s="1">
        <v>4</v>
      </c>
      <c r="H3828" s="1" t="s">
        <v>19</v>
      </c>
      <c r="I3828" s="1" t="s">
        <v>424</v>
      </c>
      <c r="J3828" s="1">
        <v>2.8</v>
      </c>
      <c r="K3828" s="1">
        <v>11.2</v>
      </c>
      <c r="L3828" s="42">
        <v>12</v>
      </c>
      <c r="M3828" s="43">
        <v>46198</v>
      </c>
      <c r="N3828" s="1" t="e">
        <f>VLOOKUP(B3828,MICRO!E:L,8,0)</f>
        <v>#N/A</v>
      </c>
    </row>
    <row r="3829" spans="1:14" ht="20.25" x14ac:dyDescent="0.25">
      <c r="A3829" s="1">
        <v>5</v>
      </c>
      <c r="B3829" s="159">
        <v>2877</v>
      </c>
      <c r="C3829" s="1" t="s">
        <v>3276</v>
      </c>
      <c r="D3829" s="1"/>
      <c r="E3829" s="1" t="s">
        <v>2</v>
      </c>
      <c r="F3829" s="1" t="s">
        <v>3277</v>
      </c>
      <c r="G3829" s="1">
        <v>1</v>
      </c>
      <c r="H3829" s="1" t="s">
        <v>19</v>
      </c>
      <c r="I3829" s="1" t="s">
        <v>423</v>
      </c>
      <c r="J3829" s="1">
        <v>33.700000000000003</v>
      </c>
      <c r="K3829" s="1">
        <v>33.700000000000003</v>
      </c>
      <c r="L3829" s="42">
        <v>12</v>
      </c>
      <c r="M3829" s="43">
        <v>46198</v>
      </c>
      <c r="N3829" s="1" t="e">
        <f>VLOOKUP(B3829,MICRO!E:L,8,0)</f>
        <v>#N/A</v>
      </c>
    </row>
    <row r="3830" spans="1:14" ht="20.25" x14ac:dyDescent="0.25">
      <c r="A3830" s="1">
        <v>6</v>
      </c>
      <c r="B3830" s="159">
        <v>2878</v>
      </c>
      <c r="C3830" s="1" t="s">
        <v>3276</v>
      </c>
      <c r="D3830" s="1"/>
      <c r="E3830" s="1" t="s">
        <v>43</v>
      </c>
      <c r="F3830" s="1" t="s">
        <v>3278</v>
      </c>
      <c r="G3830" s="1">
        <v>1</v>
      </c>
      <c r="H3830" s="1" t="s">
        <v>19</v>
      </c>
      <c r="I3830" s="1" t="s">
        <v>424</v>
      </c>
      <c r="J3830" s="1">
        <v>33.700000000000003</v>
      </c>
      <c r="K3830" s="1">
        <v>33.700000000000003</v>
      </c>
      <c r="L3830" s="42">
        <v>12</v>
      </c>
      <c r="M3830" s="43">
        <v>46198</v>
      </c>
      <c r="N3830" s="1" t="e">
        <f>VLOOKUP(B3830,MICRO!E:L,8,0)</f>
        <v>#N/A</v>
      </c>
    </row>
    <row r="3831" spans="1:14" ht="20.25" x14ac:dyDescent="0.25">
      <c r="A3831" s="1">
        <v>7</v>
      </c>
      <c r="B3831" s="159">
        <v>2879</v>
      </c>
      <c r="C3831" s="1" t="s">
        <v>3276</v>
      </c>
      <c r="D3831" s="1"/>
      <c r="E3831" s="1" t="s">
        <v>746</v>
      </c>
      <c r="F3831" s="1" t="s">
        <v>3279</v>
      </c>
      <c r="G3831" s="1">
        <v>10</v>
      </c>
      <c r="H3831" s="1" t="s">
        <v>19</v>
      </c>
      <c r="I3831" s="1" t="s">
        <v>425</v>
      </c>
      <c r="J3831" s="1">
        <v>5.0999999999999996</v>
      </c>
      <c r="K3831" s="1">
        <v>51</v>
      </c>
      <c r="L3831" s="42">
        <v>12</v>
      </c>
      <c r="M3831" s="43">
        <v>46198</v>
      </c>
      <c r="N3831" s="1" t="e">
        <f>VLOOKUP(B3831,MICRO!E:L,8,0)</f>
        <v>#N/A</v>
      </c>
    </row>
    <row r="3832" spans="1:14" ht="20.25" x14ac:dyDescent="0.25">
      <c r="A3832" s="1">
        <v>8</v>
      </c>
      <c r="B3832" s="159">
        <v>2880</v>
      </c>
      <c r="C3832" s="1" t="s">
        <v>3276</v>
      </c>
      <c r="D3832" s="1"/>
      <c r="E3832" s="1" t="s">
        <v>1101</v>
      </c>
      <c r="F3832" s="1" t="s">
        <v>3280</v>
      </c>
      <c r="G3832" s="1">
        <v>3</v>
      </c>
      <c r="H3832" s="1" t="s">
        <v>19</v>
      </c>
      <c r="I3832" s="1" t="s">
        <v>426</v>
      </c>
      <c r="J3832" s="1">
        <v>4.2</v>
      </c>
      <c r="K3832" s="1">
        <v>12.600000000000001</v>
      </c>
      <c r="L3832" s="42">
        <v>12</v>
      </c>
      <c r="M3832" s="43">
        <v>46198</v>
      </c>
      <c r="N3832" s="1" t="e">
        <f>VLOOKUP(B3832,MICRO!E:L,8,0)</f>
        <v>#N/A</v>
      </c>
    </row>
    <row r="3833" spans="1:14" ht="20.25" x14ac:dyDescent="0.25">
      <c r="A3833" s="1">
        <v>9</v>
      </c>
      <c r="B3833" s="159">
        <v>2881</v>
      </c>
      <c r="C3833" s="1" t="s">
        <v>3276</v>
      </c>
      <c r="D3833" s="1"/>
      <c r="E3833" s="1" t="s">
        <v>2</v>
      </c>
      <c r="F3833" s="1" t="s">
        <v>3277</v>
      </c>
      <c r="G3833" s="1">
        <v>1</v>
      </c>
      <c r="H3833" s="1" t="s">
        <v>19</v>
      </c>
      <c r="I3833" s="1" t="s">
        <v>427</v>
      </c>
      <c r="J3833" s="1">
        <v>33.700000000000003</v>
      </c>
      <c r="K3833" s="1">
        <v>33.700000000000003</v>
      </c>
      <c r="L3833" s="42">
        <v>12</v>
      </c>
      <c r="M3833" s="43">
        <v>46198</v>
      </c>
      <c r="N3833" s="1" t="e">
        <f>VLOOKUP(B3833,MICRO!E:L,8,0)</f>
        <v>#N/A</v>
      </c>
    </row>
    <row r="3834" spans="1:14" ht="20.25" x14ac:dyDescent="0.25">
      <c r="A3834" s="1">
        <v>10</v>
      </c>
      <c r="B3834" s="159">
        <v>2882</v>
      </c>
      <c r="C3834" s="1" t="s">
        <v>3276</v>
      </c>
      <c r="D3834" s="1"/>
      <c r="E3834" s="1" t="s">
        <v>43</v>
      </c>
      <c r="F3834" s="1" t="s">
        <v>3278</v>
      </c>
      <c r="G3834" s="1">
        <v>1</v>
      </c>
      <c r="H3834" s="1" t="s">
        <v>19</v>
      </c>
      <c r="I3834" s="1" t="s">
        <v>423</v>
      </c>
      <c r="J3834" s="1">
        <v>33.700000000000003</v>
      </c>
      <c r="K3834" s="1">
        <v>33.700000000000003</v>
      </c>
      <c r="L3834" s="42">
        <v>12</v>
      </c>
      <c r="M3834" s="43">
        <v>46198</v>
      </c>
      <c r="N3834" s="1" t="e">
        <f>VLOOKUP(B3834,MICRO!E:L,8,0)</f>
        <v>#N/A</v>
      </c>
    </row>
    <row r="3835" spans="1:14" ht="20.25" x14ac:dyDescent="0.25">
      <c r="A3835" s="1">
        <v>11</v>
      </c>
      <c r="B3835" s="159">
        <v>2883</v>
      </c>
      <c r="C3835" s="1" t="s">
        <v>3276</v>
      </c>
      <c r="D3835" s="1"/>
      <c r="E3835" s="1" t="s">
        <v>746</v>
      </c>
      <c r="F3835" s="1" t="s">
        <v>3279</v>
      </c>
      <c r="G3835" s="1">
        <v>10</v>
      </c>
      <c r="H3835" s="1" t="s">
        <v>19</v>
      </c>
      <c r="I3835" s="1" t="s">
        <v>424</v>
      </c>
      <c r="J3835" s="1">
        <v>5.0999999999999996</v>
      </c>
      <c r="K3835" s="1">
        <v>51</v>
      </c>
      <c r="L3835" s="42">
        <v>12</v>
      </c>
      <c r="M3835" s="43">
        <v>46198</v>
      </c>
      <c r="N3835" s="1" t="e">
        <f>VLOOKUP(B3835,MICRO!E:L,8,0)</f>
        <v>#N/A</v>
      </c>
    </row>
    <row r="3836" spans="1:14" ht="20.25" x14ac:dyDescent="0.25">
      <c r="A3836" s="1">
        <v>12</v>
      </c>
      <c r="B3836" s="159">
        <v>2884</v>
      </c>
      <c r="C3836" s="1" t="s">
        <v>3276</v>
      </c>
      <c r="D3836" s="1"/>
      <c r="E3836" s="1" t="s">
        <v>1101</v>
      </c>
      <c r="F3836" s="1" t="s">
        <v>3280</v>
      </c>
      <c r="G3836" s="1">
        <v>4</v>
      </c>
      <c r="H3836" s="1" t="s">
        <v>19</v>
      </c>
      <c r="I3836" s="1" t="s">
        <v>425</v>
      </c>
      <c r="J3836" s="1">
        <v>4.2</v>
      </c>
      <c r="K3836" s="1">
        <v>16.8</v>
      </c>
      <c r="L3836" s="42">
        <v>12</v>
      </c>
      <c r="M3836" s="43">
        <v>46198</v>
      </c>
      <c r="N3836" s="1" t="e">
        <f>VLOOKUP(B3836,MICRO!E:L,8,0)</f>
        <v>#N/A</v>
      </c>
    </row>
    <row r="3837" spans="1:14" ht="20.25" x14ac:dyDescent="0.25">
      <c r="A3837" s="1">
        <v>13</v>
      </c>
      <c r="B3837" s="159">
        <v>2886</v>
      </c>
      <c r="C3837" s="1" t="s">
        <v>3276</v>
      </c>
      <c r="D3837" s="1"/>
      <c r="E3837" s="1" t="s">
        <v>43</v>
      </c>
      <c r="F3837" s="1" t="s">
        <v>3278</v>
      </c>
      <c r="G3837" s="1">
        <v>1</v>
      </c>
      <c r="H3837" s="1" t="s">
        <v>19</v>
      </c>
      <c r="I3837" s="1" t="s">
        <v>427</v>
      </c>
      <c r="J3837" s="1">
        <v>33.700000000000003</v>
      </c>
      <c r="K3837" s="1">
        <v>33.700000000000003</v>
      </c>
      <c r="L3837" s="42">
        <v>12</v>
      </c>
      <c r="M3837" s="43">
        <v>46198</v>
      </c>
      <c r="N3837" s="1" t="e">
        <f>VLOOKUP(B3837,MICRO!E:L,8,0)</f>
        <v>#N/A</v>
      </c>
    </row>
    <row r="3838" spans="1:14" ht="20.25" x14ac:dyDescent="0.25">
      <c r="A3838" s="1">
        <v>14</v>
      </c>
      <c r="B3838" s="159">
        <v>2887</v>
      </c>
      <c r="C3838" s="1" t="s">
        <v>3276</v>
      </c>
      <c r="D3838" s="1"/>
      <c r="E3838" s="1" t="s">
        <v>746</v>
      </c>
      <c r="F3838" s="1" t="s">
        <v>3279</v>
      </c>
      <c r="G3838" s="1">
        <v>10</v>
      </c>
      <c r="H3838" s="1" t="s">
        <v>19</v>
      </c>
      <c r="I3838" s="1" t="s">
        <v>423</v>
      </c>
      <c r="J3838" s="1">
        <v>5.0999999999999996</v>
      </c>
      <c r="K3838" s="1">
        <v>51</v>
      </c>
      <c r="L3838" s="42">
        <v>12</v>
      </c>
      <c r="M3838" s="43">
        <v>46198</v>
      </c>
      <c r="N3838" s="1" t="e">
        <f>VLOOKUP(B3838,MICRO!E:L,8,0)</f>
        <v>#N/A</v>
      </c>
    </row>
    <row r="3839" spans="1:14" ht="20.25" x14ac:dyDescent="0.25">
      <c r="A3839" s="1">
        <v>15</v>
      </c>
      <c r="B3839" s="159">
        <v>2888</v>
      </c>
      <c r="C3839" s="1" t="s">
        <v>3276</v>
      </c>
      <c r="D3839" s="1"/>
      <c r="E3839" s="1" t="s">
        <v>1101</v>
      </c>
      <c r="F3839" s="1" t="s">
        <v>3280</v>
      </c>
      <c r="G3839" s="1">
        <v>4</v>
      </c>
      <c r="H3839" s="1" t="s">
        <v>19</v>
      </c>
      <c r="I3839" s="1" t="s">
        <v>424</v>
      </c>
      <c r="J3839" s="1">
        <v>4.2</v>
      </c>
      <c r="K3839" s="1">
        <v>16.8</v>
      </c>
      <c r="L3839" s="42">
        <v>12</v>
      </c>
      <c r="M3839" s="43">
        <v>46198</v>
      </c>
      <c r="N3839" s="1" t="e">
        <f>VLOOKUP(B3839,MICRO!E:L,8,0)</f>
        <v>#N/A</v>
      </c>
    </row>
    <row r="3840" spans="1:14" ht="20.25" x14ac:dyDescent="0.25">
      <c r="A3840" s="1">
        <v>16</v>
      </c>
      <c r="B3840" s="159">
        <v>2888</v>
      </c>
      <c r="C3840" s="1" t="s">
        <v>3276</v>
      </c>
      <c r="D3840" s="1"/>
      <c r="E3840" s="1" t="s">
        <v>100</v>
      </c>
      <c r="F3840" s="1" t="s">
        <v>3360</v>
      </c>
      <c r="G3840" s="1">
        <v>4</v>
      </c>
      <c r="H3840" s="1" t="s">
        <v>19</v>
      </c>
      <c r="I3840" s="1" t="s">
        <v>426</v>
      </c>
      <c r="J3840" s="1">
        <v>2.9</v>
      </c>
      <c r="K3840" s="1">
        <v>11.6</v>
      </c>
      <c r="L3840" s="42">
        <v>12</v>
      </c>
      <c r="M3840" s="43">
        <v>46198</v>
      </c>
      <c r="N3840" s="1" t="e">
        <f>VLOOKUP(B3840,MICRO!E:L,8,0)</f>
        <v>#N/A</v>
      </c>
    </row>
    <row r="3841" spans="1:14" ht="20.25" x14ac:dyDescent="0.25">
      <c r="A3841" s="1">
        <v>17</v>
      </c>
      <c r="B3841" s="159">
        <v>2888</v>
      </c>
      <c r="C3841" s="1" t="s">
        <v>3276</v>
      </c>
      <c r="D3841" s="1"/>
      <c r="E3841" s="1" t="s">
        <v>173</v>
      </c>
      <c r="F3841" s="1" t="s">
        <v>3361</v>
      </c>
      <c r="G3841" s="1">
        <v>1</v>
      </c>
      <c r="H3841" s="1" t="s">
        <v>19</v>
      </c>
      <c r="I3841" s="1" t="s">
        <v>426</v>
      </c>
      <c r="J3841" s="1">
        <v>5.3</v>
      </c>
      <c r="K3841" s="1">
        <v>5.3</v>
      </c>
      <c r="L3841" s="42">
        <v>12</v>
      </c>
      <c r="M3841" s="43">
        <v>46198</v>
      </c>
      <c r="N3841" s="1" t="e">
        <f>VLOOKUP(B3841,MICRO!E:L,8,0)</f>
        <v>#N/A</v>
      </c>
    </row>
    <row r="3842" spans="1:14" ht="20.25" x14ac:dyDescent="0.25">
      <c r="A3842" s="1">
        <v>18</v>
      </c>
      <c r="B3842" s="159">
        <v>2888</v>
      </c>
      <c r="C3842" s="1" t="s">
        <v>3276</v>
      </c>
      <c r="D3842" s="1"/>
      <c r="E3842" s="1" t="s">
        <v>461</v>
      </c>
      <c r="F3842" s="1" t="s">
        <v>3362</v>
      </c>
      <c r="G3842" s="1">
        <v>1</v>
      </c>
      <c r="H3842" s="1" t="s">
        <v>19</v>
      </c>
      <c r="I3842" s="1" t="s">
        <v>426</v>
      </c>
      <c r="J3842" s="1">
        <v>4.0999999999999996</v>
      </c>
      <c r="K3842" s="1">
        <v>4.0999999999999996</v>
      </c>
      <c r="L3842" s="42">
        <v>12</v>
      </c>
      <c r="M3842" s="43">
        <v>46198</v>
      </c>
      <c r="N3842" s="1" t="e">
        <f>VLOOKUP(B3842,MICRO!E:L,8,0)</f>
        <v>#N/A</v>
      </c>
    </row>
    <row r="3843" spans="1:14" ht="20.25" x14ac:dyDescent="0.25">
      <c r="A3843" s="1">
        <v>19</v>
      </c>
      <c r="B3843" s="159">
        <v>2888</v>
      </c>
      <c r="C3843" s="1" t="s">
        <v>3276</v>
      </c>
      <c r="D3843" s="1"/>
      <c r="E3843" s="1" t="s">
        <v>464</v>
      </c>
      <c r="F3843" s="1" t="s">
        <v>3363</v>
      </c>
      <c r="G3843" s="1">
        <v>1</v>
      </c>
      <c r="H3843" s="1" t="s">
        <v>19</v>
      </c>
      <c r="I3843" s="1" t="s">
        <v>426</v>
      </c>
      <c r="J3843" s="1">
        <v>34.299999999999997</v>
      </c>
      <c r="K3843" s="1">
        <v>34.299999999999997</v>
      </c>
      <c r="L3843" s="42">
        <v>12</v>
      </c>
      <c r="M3843" s="43">
        <v>46198</v>
      </c>
      <c r="N3843" s="1" t="e">
        <f>VLOOKUP(B3843,MICRO!E:L,8,0)</f>
        <v>#N/A</v>
      </c>
    </row>
    <row r="3844" spans="1:14" ht="20.25" x14ac:dyDescent="0.25">
      <c r="A3844" s="1">
        <v>20</v>
      </c>
      <c r="B3844" s="159">
        <v>2889</v>
      </c>
      <c r="C3844" s="1" t="s">
        <v>3276</v>
      </c>
      <c r="D3844" s="1"/>
      <c r="E3844" s="1" t="s">
        <v>2</v>
      </c>
      <c r="F3844" s="1" t="s">
        <v>3277</v>
      </c>
      <c r="G3844" s="1">
        <v>1</v>
      </c>
      <c r="H3844" s="1" t="s">
        <v>19</v>
      </c>
      <c r="I3844" s="1" t="s">
        <v>425</v>
      </c>
      <c r="J3844" s="1">
        <v>33.700000000000003</v>
      </c>
      <c r="K3844" s="1">
        <v>33.700000000000003</v>
      </c>
      <c r="L3844" s="42">
        <v>12</v>
      </c>
      <c r="M3844" s="43">
        <v>46198</v>
      </c>
      <c r="N3844" s="1" t="e">
        <f>VLOOKUP(B3844,MICRO!E:L,8,0)</f>
        <v>#N/A</v>
      </c>
    </row>
    <row r="3845" spans="1:14" ht="20.25" x14ac:dyDescent="0.25">
      <c r="A3845" s="1">
        <v>21</v>
      </c>
      <c r="B3845" s="159">
        <v>2890</v>
      </c>
      <c r="C3845" s="1" t="s">
        <v>3276</v>
      </c>
      <c r="D3845" s="1"/>
      <c r="E3845" s="1" t="s">
        <v>43</v>
      </c>
      <c r="F3845" s="1" t="s">
        <v>3278</v>
      </c>
      <c r="G3845" s="1">
        <v>1</v>
      </c>
      <c r="H3845" s="1" t="s">
        <v>19</v>
      </c>
      <c r="I3845" s="1" t="s">
        <v>426</v>
      </c>
      <c r="J3845" s="1">
        <v>33.700000000000003</v>
      </c>
      <c r="K3845" s="1">
        <v>33.700000000000003</v>
      </c>
      <c r="L3845" s="42">
        <v>12</v>
      </c>
      <c r="M3845" s="43">
        <v>46198</v>
      </c>
      <c r="N3845" s="1" t="e">
        <f>VLOOKUP(B3845,MICRO!E:L,8,0)</f>
        <v>#N/A</v>
      </c>
    </row>
    <row r="3846" spans="1:14" ht="20.25" x14ac:dyDescent="0.25">
      <c r="A3846" s="1">
        <v>22</v>
      </c>
      <c r="B3846" s="159">
        <v>2891</v>
      </c>
      <c r="C3846" s="1" t="s">
        <v>3276</v>
      </c>
      <c r="D3846" s="1"/>
      <c r="E3846" s="1" t="s">
        <v>746</v>
      </c>
      <c r="F3846" s="1" t="s">
        <v>3279</v>
      </c>
      <c r="G3846" s="1">
        <v>10</v>
      </c>
      <c r="H3846" s="1" t="s">
        <v>19</v>
      </c>
      <c r="I3846" s="1" t="s">
        <v>427</v>
      </c>
      <c r="J3846" s="1">
        <v>5.0999999999999996</v>
      </c>
      <c r="K3846" s="1">
        <v>51</v>
      </c>
      <c r="L3846" s="42">
        <v>12</v>
      </c>
      <c r="M3846" s="43">
        <v>46198</v>
      </c>
      <c r="N3846" s="1" t="e">
        <f>VLOOKUP(B3846,MICRO!E:L,8,0)</f>
        <v>#N/A</v>
      </c>
    </row>
    <row r="3847" spans="1:14" ht="20.25" x14ac:dyDescent="0.25">
      <c r="A3847" s="1">
        <v>23</v>
      </c>
      <c r="B3847" s="159">
        <v>2892</v>
      </c>
      <c r="C3847" s="1" t="s">
        <v>3276</v>
      </c>
      <c r="D3847" s="1"/>
      <c r="E3847" s="1" t="s">
        <v>1101</v>
      </c>
      <c r="F3847" s="1" t="s">
        <v>3280</v>
      </c>
      <c r="G3847" s="1">
        <v>4</v>
      </c>
      <c r="H3847" s="1" t="s">
        <v>19</v>
      </c>
      <c r="I3847" s="1" t="s">
        <v>423</v>
      </c>
      <c r="J3847" s="1">
        <v>4.2</v>
      </c>
      <c r="K3847" s="1">
        <v>16.8</v>
      </c>
      <c r="L3847" s="42">
        <v>12</v>
      </c>
      <c r="M3847" s="43">
        <v>46198</v>
      </c>
      <c r="N3847" s="1" t="e">
        <f>VLOOKUP(B3847,MICRO!E:L,8,0)</f>
        <v>#N/A</v>
      </c>
    </row>
    <row r="3848" spans="1:14" ht="20.25" x14ac:dyDescent="0.25">
      <c r="A3848" s="1">
        <v>24</v>
      </c>
      <c r="B3848" s="159">
        <v>2893</v>
      </c>
      <c r="C3848" s="1" t="s">
        <v>3276</v>
      </c>
      <c r="D3848" s="1"/>
      <c r="E3848" s="1" t="s">
        <v>2</v>
      </c>
      <c r="F3848" s="1" t="s">
        <v>3277</v>
      </c>
      <c r="G3848" s="1">
        <v>1</v>
      </c>
      <c r="H3848" s="1" t="s">
        <v>19</v>
      </c>
      <c r="I3848" s="1" t="s">
        <v>424</v>
      </c>
      <c r="J3848" s="1">
        <v>33.700000000000003</v>
      </c>
      <c r="K3848" s="1">
        <v>33.700000000000003</v>
      </c>
      <c r="L3848" s="42">
        <v>12</v>
      </c>
      <c r="M3848" s="43">
        <v>46198</v>
      </c>
      <c r="N3848" s="1" t="e">
        <f>VLOOKUP(B3848,MICRO!E:L,8,0)</f>
        <v>#N/A</v>
      </c>
    </row>
    <row r="3849" spans="1:14" ht="20.25" x14ac:dyDescent="0.25">
      <c r="A3849" s="1">
        <v>25</v>
      </c>
      <c r="B3849" s="159">
        <v>2894</v>
      </c>
      <c r="C3849" s="1" t="s">
        <v>3276</v>
      </c>
      <c r="D3849" s="1"/>
      <c r="E3849" s="1" t="s">
        <v>43</v>
      </c>
      <c r="F3849" s="1" t="s">
        <v>3278</v>
      </c>
      <c r="G3849" s="1">
        <v>1</v>
      </c>
      <c r="H3849" s="1" t="s">
        <v>19</v>
      </c>
      <c r="I3849" s="1" t="s">
        <v>425</v>
      </c>
      <c r="J3849" s="1">
        <v>33.700000000000003</v>
      </c>
      <c r="K3849" s="1">
        <v>33.700000000000003</v>
      </c>
      <c r="L3849" s="42">
        <v>12</v>
      </c>
      <c r="M3849" s="43">
        <v>46198</v>
      </c>
      <c r="N3849" s="1" t="e">
        <f>VLOOKUP(B3849,MICRO!E:L,8,0)</f>
        <v>#N/A</v>
      </c>
    </row>
    <row r="3850" spans="1:14" ht="20.25" x14ac:dyDescent="0.25">
      <c r="A3850" s="1">
        <v>26</v>
      </c>
      <c r="B3850" s="159">
        <v>2895</v>
      </c>
      <c r="C3850" s="1" t="s">
        <v>3276</v>
      </c>
      <c r="D3850" s="1"/>
      <c r="E3850" s="1" t="s">
        <v>746</v>
      </c>
      <c r="F3850" s="1" t="s">
        <v>3279</v>
      </c>
      <c r="G3850" s="1">
        <v>8</v>
      </c>
      <c r="H3850" s="1" t="s">
        <v>19</v>
      </c>
      <c r="I3850" s="1" t="s">
        <v>426</v>
      </c>
      <c r="J3850" s="1">
        <v>5.0999999999999996</v>
      </c>
      <c r="K3850" s="1">
        <v>40.799999999999997</v>
      </c>
      <c r="L3850" s="42">
        <v>12</v>
      </c>
      <c r="M3850" s="43">
        <v>46198</v>
      </c>
      <c r="N3850" s="1" t="e">
        <f>VLOOKUP(B3850,MICRO!E:L,8,0)</f>
        <v>#N/A</v>
      </c>
    </row>
    <row r="3851" spans="1:14" ht="20.25" x14ac:dyDescent="0.25">
      <c r="A3851" s="1">
        <v>27</v>
      </c>
      <c r="B3851" s="159">
        <v>2896</v>
      </c>
      <c r="C3851" s="1" t="s">
        <v>3276</v>
      </c>
      <c r="D3851" s="1"/>
      <c r="E3851" s="1" t="s">
        <v>1101</v>
      </c>
      <c r="F3851" s="1" t="s">
        <v>3280</v>
      </c>
      <c r="G3851" s="1">
        <v>4</v>
      </c>
      <c r="H3851" s="1" t="s">
        <v>19</v>
      </c>
      <c r="I3851" s="1" t="s">
        <v>427</v>
      </c>
      <c r="J3851" s="1">
        <v>4.2</v>
      </c>
      <c r="K3851" s="1">
        <v>16.8</v>
      </c>
      <c r="L3851" s="42">
        <v>12</v>
      </c>
      <c r="M3851" s="43">
        <v>46198</v>
      </c>
      <c r="N3851" s="1" t="e">
        <f>VLOOKUP(B3851,MICRO!E:L,8,0)</f>
        <v>#N/A</v>
      </c>
    </row>
    <row r="3852" spans="1:14" ht="20.25" x14ac:dyDescent="0.25">
      <c r="A3852" s="1">
        <v>28</v>
      </c>
      <c r="B3852" s="159"/>
      <c r="C3852" s="1" t="s">
        <v>1158</v>
      </c>
      <c r="D3852" s="1"/>
      <c r="E3852" s="1" t="s">
        <v>173</v>
      </c>
      <c r="F3852" s="1" t="s">
        <v>2734</v>
      </c>
      <c r="G3852" s="1">
        <v>4</v>
      </c>
      <c r="H3852" s="1" t="s">
        <v>19</v>
      </c>
      <c r="I3852" s="1" t="s">
        <v>424</v>
      </c>
      <c r="J3852" s="1">
        <v>1</v>
      </c>
      <c r="K3852" s="1">
        <v>4</v>
      </c>
      <c r="L3852" s="42">
        <v>12</v>
      </c>
      <c r="M3852" s="43">
        <v>46198</v>
      </c>
      <c r="N3852" s="1" t="e">
        <f>VLOOKUP(B3852,MICRO!E:L,8,0)</f>
        <v>#N/A</v>
      </c>
    </row>
    <row r="3853" spans="1:14" ht="20.25" x14ac:dyDescent="0.25">
      <c r="A3853" s="1">
        <v>29</v>
      </c>
      <c r="B3853" s="159"/>
      <c r="C3853" s="1" t="s">
        <v>1158</v>
      </c>
      <c r="D3853" s="1"/>
      <c r="E3853" s="1" t="s">
        <v>173</v>
      </c>
      <c r="F3853" s="1" t="s">
        <v>2734</v>
      </c>
      <c r="G3853" s="1">
        <v>4</v>
      </c>
      <c r="H3853" s="1" t="s">
        <v>19</v>
      </c>
      <c r="I3853" s="1" t="s">
        <v>425</v>
      </c>
      <c r="J3853" s="1">
        <v>1</v>
      </c>
      <c r="K3853" s="1">
        <v>4</v>
      </c>
      <c r="L3853" s="42">
        <v>12</v>
      </c>
      <c r="M3853" s="43">
        <v>46198</v>
      </c>
      <c r="N3853" s="1" t="e">
        <f>VLOOKUP(B3853,MICRO!E:L,8,0)</f>
        <v>#N/A</v>
      </c>
    </row>
    <row r="3854" spans="1:14" ht="20.25" x14ac:dyDescent="0.25">
      <c r="A3854" s="1">
        <v>30</v>
      </c>
      <c r="B3854" s="159"/>
      <c r="C3854" s="1" t="s">
        <v>1158</v>
      </c>
      <c r="D3854" s="1"/>
      <c r="E3854" s="1" t="s">
        <v>173</v>
      </c>
      <c r="F3854" s="1" t="s">
        <v>2734</v>
      </c>
      <c r="G3854" s="1">
        <v>4</v>
      </c>
      <c r="H3854" s="1" t="s">
        <v>19</v>
      </c>
      <c r="I3854" s="1" t="s">
        <v>426</v>
      </c>
      <c r="J3854" s="1">
        <v>0.1</v>
      </c>
      <c r="K3854" s="1">
        <v>0.4</v>
      </c>
      <c r="L3854" s="42">
        <v>12</v>
      </c>
      <c r="M3854" s="43">
        <v>46198</v>
      </c>
      <c r="N3854" s="1" t="e">
        <f>VLOOKUP(B3854,MICRO!E:L,8,0)</f>
        <v>#N/A</v>
      </c>
    </row>
    <row r="3855" spans="1:14" ht="20.25" x14ac:dyDescent="0.25">
      <c r="A3855" s="1">
        <v>31</v>
      </c>
      <c r="B3855" s="159"/>
      <c r="C3855" s="1" t="s">
        <v>1158</v>
      </c>
      <c r="D3855" s="1"/>
      <c r="E3855" s="1" t="s">
        <v>173</v>
      </c>
      <c r="F3855" s="1" t="s">
        <v>2734</v>
      </c>
      <c r="G3855" s="1">
        <v>4</v>
      </c>
      <c r="H3855" s="1" t="s">
        <v>19</v>
      </c>
      <c r="I3855" s="1" t="s">
        <v>427</v>
      </c>
      <c r="J3855" s="1">
        <v>0.1</v>
      </c>
      <c r="K3855" s="1">
        <v>0.4</v>
      </c>
      <c r="L3855" s="42">
        <v>12</v>
      </c>
      <c r="M3855" s="43">
        <v>46198</v>
      </c>
      <c r="N3855" s="1" t="e">
        <f>VLOOKUP(B3855,MICRO!E:L,8,0)</f>
        <v>#N/A</v>
      </c>
    </row>
    <row r="3856" spans="1:14" ht="20.25" x14ac:dyDescent="0.25">
      <c r="A3856" s="1">
        <v>32</v>
      </c>
      <c r="B3856" s="159"/>
      <c r="C3856" s="1" t="s">
        <v>1158</v>
      </c>
      <c r="D3856" s="1"/>
      <c r="E3856" s="1" t="s">
        <v>746</v>
      </c>
      <c r="F3856" s="1" t="s">
        <v>3364</v>
      </c>
      <c r="G3856" s="1">
        <v>4</v>
      </c>
      <c r="H3856" s="1" t="s">
        <v>19</v>
      </c>
      <c r="I3856" s="1" t="s">
        <v>424</v>
      </c>
      <c r="J3856" s="1">
        <v>3.2</v>
      </c>
      <c r="K3856" s="1">
        <v>12.8</v>
      </c>
      <c r="L3856" s="42">
        <v>12</v>
      </c>
      <c r="M3856" s="43">
        <v>46198</v>
      </c>
      <c r="N3856" s="1" t="e">
        <f>VLOOKUP(B3856,MICRO!E:L,8,0)</f>
        <v>#N/A</v>
      </c>
    </row>
    <row r="3857" spans="1:14" ht="20.25" x14ac:dyDescent="0.25">
      <c r="A3857" s="1">
        <v>33</v>
      </c>
      <c r="B3857" s="159"/>
      <c r="C3857" s="1" t="s">
        <v>1158</v>
      </c>
      <c r="D3857" s="1"/>
      <c r="E3857" s="1" t="s">
        <v>746</v>
      </c>
      <c r="F3857" s="1" t="s">
        <v>3364</v>
      </c>
      <c r="G3857" s="1">
        <v>4</v>
      </c>
      <c r="H3857" s="1" t="s">
        <v>19</v>
      </c>
      <c r="I3857" s="1" t="s">
        <v>425</v>
      </c>
      <c r="J3857" s="1">
        <v>3.2</v>
      </c>
      <c r="K3857" s="1">
        <v>12.8</v>
      </c>
      <c r="L3857" s="42">
        <v>12</v>
      </c>
      <c r="M3857" s="43">
        <v>46198</v>
      </c>
      <c r="N3857" s="1" t="e">
        <f>VLOOKUP(B3857,MICRO!E:L,8,0)</f>
        <v>#N/A</v>
      </c>
    </row>
    <row r="3858" spans="1:14" ht="20.25" x14ac:dyDescent="0.25">
      <c r="A3858" s="1">
        <v>34</v>
      </c>
      <c r="B3858" s="159"/>
      <c r="C3858" s="1" t="s">
        <v>1158</v>
      </c>
      <c r="D3858" s="1"/>
      <c r="E3858" s="1" t="s">
        <v>746</v>
      </c>
      <c r="F3858" s="1" t="s">
        <v>3364</v>
      </c>
      <c r="G3858" s="1">
        <v>4</v>
      </c>
      <c r="H3858" s="1" t="s">
        <v>19</v>
      </c>
      <c r="I3858" s="1" t="s">
        <v>426</v>
      </c>
      <c r="J3858" s="1">
        <v>3.2</v>
      </c>
      <c r="K3858" s="1">
        <v>12.8</v>
      </c>
      <c r="L3858" s="42">
        <v>12</v>
      </c>
      <c r="M3858" s="43">
        <v>46198</v>
      </c>
      <c r="N3858" s="1" t="e">
        <f>VLOOKUP(B3858,MICRO!E:L,8,0)</f>
        <v>#N/A</v>
      </c>
    </row>
    <row r="3859" spans="1:14" ht="20.25" x14ac:dyDescent="0.25">
      <c r="A3859" s="1">
        <v>35</v>
      </c>
      <c r="B3859" s="159"/>
      <c r="C3859" s="1" t="s">
        <v>1158</v>
      </c>
      <c r="D3859" s="1"/>
      <c r="E3859" s="1" t="s">
        <v>746</v>
      </c>
      <c r="F3859" s="1" t="s">
        <v>3364</v>
      </c>
      <c r="G3859" s="1">
        <v>4</v>
      </c>
      <c r="H3859" s="1" t="s">
        <v>19</v>
      </c>
      <c r="I3859" s="1" t="s">
        <v>427</v>
      </c>
      <c r="J3859" s="1">
        <v>3.2</v>
      </c>
      <c r="K3859" s="1">
        <v>12.8</v>
      </c>
      <c r="L3859" s="42">
        <v>12</v>
      </c>
      <c r="M3859" s="43">
        <v>46198</v>
      </c>
      <c r="N3859" s="1" t="e">
        <f>VLOOKUP(B3859,MICRO!E:L,8,0)</f>
        <v>#N/A</v>
      </c>
    </row>
    <row r="3860" spans="1:14" ht="20.25" x14ac:dyDescent="0.25">
      <c r="A3860" s="1">
        <v>36</v>
      </c>
      <c r="B3860" s="159">
        <v>2271</v>
      </c>
      <c r="C3860" s="1" t="s">
        <v>854</v>
      </c>
      <c r="D3860" s="1"/>
      <c r="E3860" s="1"/>
      <c r="F3860" s="1" t="s">
        <v>831</v>
      </c>
      <c r="G3860" s="1">
        <v>1</v>
      </c>
      <c r="H3860" s="1" t="s">
        <v>19</v>
      </c>
      <c r="I3860" s="1" t="s">
        <v>423</v>
      </c>
      <c r="J3860" s="1">
        <v>6</v>
      </c>
      <c r="K3860" s="1">
        <v>6</v>
      </c>
      <c r="L3860" s="42">
        <v>12</v>
      </c>
      <c r="M3860" s="43">
        <v>46198</v>
      </c>
      <c r="N3860" s="1" t="e">
        <f>VLOOKUP(B3860,MICRO!E:L,8,0)</f>
        <v>#N/A</v>
      </c>
    </row>
    <row r="3861" spans="1:14" ht="20.25" x14ac:dyDescent="0.25">
      <c r="A3861" s="1">
        <v>37</v>
      </c>
      <c r="B3861" s="159">
        <v>2680</v>
      </c>
      <c r="C3861" s="1" t="s">
        <v>854</v>
      </c>
      <c r="D3861" s="1"/>
      <c r="E3861" s="1" t="s">
        <v>2453</v>
      </c>
      <c r="F3861" s="1" t="s">
        <v>1071</v>
      </c>
      <c r="G3861" s="1">
        <v>1</v>
      </c>
      <c r="H3861" s="1" t="s">
        <v>19</v>
      </c>
      <c r="I3861" s="1" t="s">
        <v>426</v>
      </c>
      <c r="J3861" s="1">
        <v>2</v>
      </c>
      <c r="K3861" s="1">
        <v>2</v>
      </c>
      <c r="L3861" s="42">
        <v>12</v>
      </c>
      <c r="M3861" s="43">
        <v>46198</v>
      </c>
      <c r="N3861" s="1" t="e">
        <f>VLOOKUP(B3861,MICRO!E:L,8,0)</f>
        <v>#N/A</v>
      </c>
    </row>
    <row r="3862" spans="1:14" ht="20.25" x14ac:dyDescent="0.25">
      <c r="A3862" s="1">
        <v>38</v>
      </c>
      <c r="B3862" s="159">
        <v>2681</v>
      </c>
      <c r="C3862" s="1" t="s">
        <v>854</v>
      </c>
      <c r="D3862" s="1"/>
      <c r="E3862" s="1" t="s">
        <v>3348</v>
      </c>
      <c r="F3862" s="1" t="s">
        <v>3253</v>
      </c>
      <c r="G3862" s="1">
        <v>2</v>
      </c>
      <c r="H3862" s="1" t="s">
        <v>19</v>
      </c>
      <c r="I3862" s="1" t="s">
        <v>426</v>
      </c>
      <c r="J3862" s="1">
        <v>2.2999999999999998</v>
      </c>
      <c r="K3862" s="1">
        <v>4.5999999999999996</v>
      </c>
      <c r="L3862" s="42">
        <v>12</v>
      </c>
      <c r="M3862" s="43">
        <v>46198</v>
      </c>
      <c r="N3862" s="1" t="e">
        <f>VLOOKUP(B3862,MICRO!E:L,8,0)</f>
        <v>#N/A</v>
      </c>
    </row>
    <row r="3863" spans="1:14" ht="20.25" x14ac:dyDescent="0.25">
      <c r="A3863" s="1">
        <v>39</v>
      </c>
      <c r="B3863" s="159">
        <v>2682</v>
      </c>
      <c r="C3863" s="1" t="s">
        <v>854</v>
      </c>
      <c r="D3863" s="1"/>
      <c r="E3863" s="1" t="s">
        <v>3349</v>
      </c>
      <c r="F3863" s="1" t="s">
        <v>3254</v>
      </c>
      <c r="G3863" s="1">
        <v>1</v>
      </c>
      <c r="H3863" s="1" t="s">
        <v>19</v>
      </c>
      <c r="I3863" s="1" t="s">
        <v>426</v>
      </c>
      <c r="J3863" s="1">
        <v>2.2999999999999998</v>
      </c>
      <c r="K3863" s="1">
        <v>2.2999999999999998</v>
      </c>
      <c r="L3863" s="42">
        <v>12</v>
      </c>
      <c r="M3863" s="43">
        <v>46198</v>
      </c>
      <c r="N3863" s="1" t="e">
        <f>VLOOKUP(B3863,MICRO!E:L,8,0)</f>
        <v>#N/A</v>
      </c>
    </row>
    <row r="3864" spans="1:14" ht="20.25" x14ac:dyDescent="0.25">
      <c r="A3864" s="1">
        <v>40</v>
      </c>
      <c r="B3864" s="159">
        <v>2693</v>
      </c>
      <c r="C3864" s="1" t="s">
        <v>854</v>
      </c>
      <c r="D3864" s="1"/>
      <c r="E3864" s="1"/>
      <c r="F3864" s="1" t="s">
        <v>3261</v>
      </c>
      <c r="G3864" s="1">
        <v>1</v>
      </c>
      <c r="H3864" s="1" t="s">
        <v>19</v>
      </c>
      <c r="I3864" s="1" t="s">
        <v>427</v>
      </c>
      <c r="J3864" s="1">
        <v>4.4000000000000004</v>
      </c>
      <c r="K3864" s="1">
        <v>4.4000000000000004</v>
      </c>
      <c r="L3864" s="42">
        <v>12</v>
      </c>
      <c r="M3864" s="43">
        <v>46198</v>
      </c>
      <c r="N3864" s="1" t="e">
        <f>VLOOKUP(B3864,MICRO!E:L,8,0)</f>
        <v>#N/A</v>
      </c>
    </row>
    <row r="3865" spans="1:14" ht="20.25" x14ac:dyDescent="0.25">
      <c r="A3865" s="1">
        <v>41</v>
      </c>
      <c r="B3865" s="159"/>
      <c r="C3865" s="1" t="s">
        <v>1079</v>
      </c>
      <c r="D3865" s="1"/>
      <c r="E3865" s="1"/>
      <c r="F3865" s="1" t="s">
        <v>3365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2">
        <v>12</v>
      </c>
      <c r="M3865" s="43">
        <v>46198</v>
      </c>
      <c r="N3865" s="1" t="e">
        <f>VLOOKUP(B3865,MICRO!E:L,8,0)</f>
        <v>#N/A</v>
      </c>
    </row>
    <row r="3866" spans="1:14" ht="20.25" x14ac:dyDescent="0.25">
      <c r="A3866" s="1">
        <v>42</v>
      </c>
      <c r="B3866" s="159"/>
      <c r="C3866" s="1" t="s">
        <v>1079</v>
      </c>
      <c r="D3866" s="1"/>
      <c r="E3866" s="1"/>
      <c r="F3866" s="1" t="s">
        <v>3366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2">
        <v>12</v>
      </c>
      <c r="M3866" s="43">
        <v>46198</v>
      </c>
      <c r="N3866" s="1" t="e">
        <f>VLOOKUP(B3866,MICRO!E:L,8,0)</f>
        <v>#N/A</v>
      </c>
    </row>
    <row r="3867" spans="1:14" ht="20.25" x14ac:dyDescent="0.25">
      <c r="A3867" s="1">
        <v>43</v>
      </c>
      <c r="B3867" s="159"/>
      <c r="C3867" s="1" t="s">
        <v>1079</v>
      </c>
      <c r="D3867" s="1"/>
      <c r="E3867" s="1"/>
      <c r="F3867" s="1" t="s">
        <v>3367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2">
        <v>12</v>
      </c>
      <c r="M3867" s="43">
        <v>46198</v>
      </c>
      <c r="N3867" s="1" t="e">
        <f>VLOOKUP(B3867,MICRO!E:L,8,0)</f>
        <v>#N/A</v>
      </c>
    </row>
    <row r="3868" spans="1:14" ht="20.25" x14ac:dyDescent="0.25">
      <c r="A3868" s="1">
        <v>1</v>
      </c>
      <c r="B3868" s="159"/>
      <c r="C3868" s="1" t="s">
        <v>2478</v>
      </c>
      <c r="D3868" s="1"/>
      <c r="E3868" s="1"/>
      <c r="F3868" s="1" t="s">
        <v>2479</v>
      </c>
      <c r="G3868" s="1">
        <v>2</v>
      </c>
      <c r="H3868" s="1" t="s">
        <v>19</v>
      </c>
      <c r="I3868" s="1" t="s">
        <v>570</v>
      </c>
      <c r="J3868" s="1">
        <v>0.01</v>
      </c>
      <c r="K3868" s="1">
        <v>0.02</v>
      </c>
      <c r="L3868" s="42">
        <v>10</v>
      </c>
      <c r="M3868" s="43">
        <v>46099</v>
      </c>
      <c r="N3868" s="1" t="e">
        <f>VLOOKUP(B3868,MICRO!E:L,8,0)</f>
        <v>#N/A</v>
      </c>
    </row>
    <row r="3869" spans="1:14" ht="20.25" x14ac:dyDescent="0.25">
      <c r="A3869" s="1">
        <v>2</v>
      </c>
      <c r="B3869" s="159"/>
      <c r="C3869" s="1" t="s">
        <v>2478</v>
      </c>
      <c r="D3869" s="1"/>
      <c r="E3869" s="1"/>
      <c r="F3869" s="1" t="s">
        <v>2480</v>
      </c>
      <c r="G3869" s="1">
        <v>3</v>
      </c>
      <c r="H3869" s="1" t="s">
        <v>19</v>
      </c>
      <c r="I3869" s="1" t="s">
        <v>570</v>
      </c>
      <c r="J3869" s="1">
        <v>0.02</v>
      </c>
      <c r="K3869" s="1">
        <v>0.06</v>
      </c>
      <c r="L3869" s="42">
        <v>10</v>
      </c>
      <c r="M3869" s="43">
        <v>46099</v>
      </c>
      <c r="N3869" s="1" t="e">
        <f>VLOOKUP(B3869,MICRO!E:L,8,0)</f>
        <v>#N/A</v>
      </c>
    </row>
    <row r="3870" spans="1:14" ht="20.25" x14ac:dyDescent="0.25">
      <c r="A3870" s="1">
        <v>3</v>
      </c>
      <c r="B3870" s="159"/>
      <c r="C3870" s="1" t="s">
        <v>2478</v>
      </c>
      <c r="D3870" s="1"/>
      <c r="E3870" s="1"/>
      <c r="F3870" s="1" t="s">
        <v>2481</v>
      </c>
      <c r="G3870" s="1">
        <v>3</v>
      </c>
      <c r="H3870" s="1" t="s">
        <v>19</v>
      </c>
      <c r="I3870" s="1" t="s">
        <v>570</v>
      </c>
      <c r="J3870" s="1">
        <v>0.03</v>
      </c>
      <c r="K3870" s="1">
        <v>0.09</v>
      </c>
      <c r="L3870" s="42">
        <v>10</v>
      </c>
      <c r="M3870" s="43">
        <v>46099</v>
      </c>
      <c r="N3870" s="1" t="e">
        <f>VLOOKUP(B3870,MICRO!E:L,8,0)</f>
        <v>#N/A</v>
      </c>
    </row>
    <row r="3871" spans="1:14" ht="20.25" x14ac:dyDescent="0.25">
      <c r="A3871" s="1">
        <v>4</v>
      </c>
      <c r="B3871" s="159"/>
      <c r="C3871" s="1" t="s">
        <v>2482</v>
      </c>
      <c r="D3871" s="1"/>
      <c r="E3871" s="1"/>
      <c r="F3871" s="1" t="s">
        <v>1911</v>
      </c>
      <c r="G3871" s="1">
        <v>2</v>
      </c>
      <c r="H3871" s="1" t="s">
        <v>19</v>
      </c>
      <c r="I3871" s="1" t="s">
        <v>572</v>
      </c>
      <c r="J3871" s="1">
        <v>0.02</v>
      </c>
      <c r="K3871" s="1">
        <v>0.04</v>
      </c>
      <c r="L3871" s="42">
        <v>10</v>
      </c>
      <c r="M3871" s="43">
        <v>46099</v>
      </c>
      <c r="N3871" s="1" t="e">
        <f>VLOOKUP(B3871,MICRO!E:L,8,0)</f>
        <v>#N/A</v>
      </c>
    </row>
    <row r="3872" spans="1:14" ht="20.25" x14ac:dyDescent="0.25">
      <c r="A3872" s="1">
        <v>5</v>
      </c>
      <c r="B3872" s="159"/>
      <c r="C3872" s="1" t="s">
        <v>2482</v>
      </c>
      <c r="D3872" s="1"/>
      <c r="E3872" s="1"/>
      <c r="F3872" s="1" t="s">
        <v>2479</v>
      </c>
      <c r="G3872" s="1">
        <v>2</v>
      </c>
      <c r="H3872" s="1" t="s">
        <v>19</v>
      </c>
      <c r="I3872" s="1" t="s">
        <v>572</v>
      </c>
      <c r="J3872" s="1">
        <v>0.01</v>
      </c>
      <c r="K3872" s="1">
        <v>0.02</v>
      </c>
      <c r="L3872" s="42">
        <v>10</v>
      </c>
      <c r="M3872" s="43">
        <v>46099</v>
      </c>
      <c r="N3872" s="1" t="e">
        <f>VLOOKUP(B3872,MICRO!E:L,8,0)</f>
        <v>#N/A</v>
      </c>
    </row>
    <row r="3873" spans="1:14" ht="20.25" x14ac:dyDescent="0.25">
      <c r="A3873" s="1">
        <v>6</v>
      </c>
      <c r="B3873" s="159"/>
      <c r="C3873" s="1" t="s">
        <v>2482</v>
      </c>
      <c r="D3873" s="1"/>
      <c r="E3873" s="1"/>
      <c r="F3873" s="1" t="s">
        <v>2480</v>
      </c>
      <c r="G3873" s="1">
        <v>3</v>
      </c>
      <c r="H3873" s="1" t="s">
        <v>19</v>
      </c>
      <c r="I3873" s="1" t="s">
        <v>572</v>
      </c>
      <c r="J3873" s="1">
        <v>0.02</v>
      </c>
      <c r="K3873" s="1">
        <v>0.06</v>
      </c>
      <c r="L3873" s="42">
        <v>10</v>
      </c>
      <c r="M3873" s="43">
        <v>46099</v>
      </c>
      <c r="N3873" s="1" t="e">
        <f>VLOOKUP(B3873,MICRO!E:L,8,0)</f>
        <v>#N/A</v>
      </c>
    </row>
    <row r="3874" spans="1:14" ht="20.25" x14ac:dyDescent="0.25">
      <c r="A3874" s="1">
        <v>7</v>
      </c>
      <c r="B3874" s="159"/>
      <c r="C3874" s="1" t="s">
        <v>2482</v>
      </c>
      <c r="D3874" s="1"/>
      <c r="E3874" s="1"/>
      <c r="F3874" s="1" t="s">
        <v>2481</v>
      </c>
      <c r="G3874" s="1">
        <v>3</v>
      </c>
      <c r="H3874" s="1" t="s">
        <v>19</v>
      </c>
      <c r="I3874" s="1" t="s">
        <v>572</v>
      </c>
      <c r="J3874" s="1">
        <v>0.03</v>
      </c>
      <c r="K3874" s="1">
        <v>0.09</v>
      </c>
      <c r="L3874" s="42">
        <v>10</v>
      </c>
      <c r="M3874" s="43">
        <v>46099</v>
      </c>
      <c r="N3874" s="1" t="e">
        <f>VLOOKUP(B3874,MICRO!E:L,8,0)</f>
        <v>#N/A</v>
      </c>
    </row>
    <row r="3875" spans="1:14" ht="20.25" x14ac:dyDescent="0.25">
      <c r="A3875" s="1">
        <v>8</v>
      </c>
      <c r="B3875" s="159"/>
      <c r="C3875" s="1" t="s">
        <v>2483</v>
      </c>
      <c r="D3875" s="1"/>
      <c r="E3875" s="1"/>
      <c r="F3875" s="1" t="s">
        <v>2484</v>
      </c>
      <c r="G3875" s="1">
        <v>3</v>
      </c>
      <c r="H3875" s="1" t="s">
        <v>19</v>
      </c>
      <c r="I3875" s="1" t="s">
        <v>569</v>
      </c>
      <c r="J3875" s="1">
        <v>0.01</v>
      </c>
      <c r="K3875" s="1">
        <v>0.03</v>
      </c>
      <c r="L3875" s="42">
        <v>10</v>
      </c>
      <c r="M3875" s="43">
        <v>46099</v>
      </c>
      <c r="N3875" s="1" t="e">
        <f>VLOOKUP(B3875,MICRO!E:L,8,0)</f>
        <v>#N/A</v>
      </c>
    </row>
    <row r="3876" spans="1:14" ht="20.25" x14ac:dyDescent="0.25">
      <c r="A3876" s="1">
        <v>9</v>
      </c>
      <c r="B3876" s="159"/>
      <c r="C3876" s="1" t="s">
        <v>2483</v>
      </c>
      <c r="D3876" s="1"/>
      <c r="E3876" s="1"/>
      <c r="F3876" s="1" t="s">
        <v>2485</v>
      </c>
      <c r="G3876" s="1">
        <v>3</v>
      </c>
      <c r="H3876" s="1" t="s">
        <v>19</v>
      </c>
      <c r="I3876" s="1" t="s">
        <v>569</v>
      </c>
      <c r="J3876" s="1">
        <v>0.7</v>
      </c>
      <c r="K3876" s="1">
        <v>2.0999999999999996</v>
      </c>
      <c r="L3876" s="42">
        <v>10</v>
      </c>
      <c r="M3876" s="43">
        <v>46099</v>
      </c>
      <c r="N3876" s="1" t="e">
        <f>VLOOKUP(B3876,MICRO!E:L,8,0)</f>
        <v>#N/A</v>
      </c>
    </row>
    <row r="3877" spans="1:14" ht="20.25" x14ac:dyDescent="0.25">
      <c r="A3877" s="1">
        <v>10</v>
      </c>
      <c r="B3877" s="159"/>
      <c r="C3877" s="1" t="s">
        <v>2483</v>
      </c>
      <c r="D3877" s="1"/>
      <c r="E3877" s="1"/>
      <c r="F3877" s="1" t="s">
        <v>2486</v>
      </c>
      <c r="G3877" s="1">
        <v>2</v>
      </c>
      <c r="H3877" s="1" t="s">
        <v>19</v>
      </c>
      <c r="I3877" s="1" t="s">
        <v>569</v>
      </c>
      <c r="J3877" s="1">
        <v>0.04</v>
      </c>
      <c r="K3877" s="1">
        <v>0.08</v>
      </c>
      <c r="L3877" s="42">
        <v>10</v>
      </c>
      <c r="M3877" s="43">
        <v>46099</v>
      </c>
      <c r="N3877" s="1" t="e">
        <f>VLOOKUP(B3877,MICRO!E:L,8,0)</f>
        <v>#N/A</v>
      </c>
    </row>
    <row r="3878" spans="1:14" ht="20.25" x14ac:dyDescent="0.25">
      <c r="A3878" s="1">
        <v>11</v>
      </c>
      <c r="B3878" s="159"/>
      <c r="C3878" s="1" t="s">
        <v>2483</v>
      </c>
      <c r="D3878" s="1"/>
      <c r="E3878" s="1"/>
      <c r="F3878" s="1" t="s">
        <v>2487</v>
      </c>
      <c r="G3878" s="1">
        <v>2</v>
      </c>
      <c r="H3878" s="1" t="s">
        <v>19</v>
      </c>
      <c r="I3878" s="1" t="s">
        <v>569</v>
      </c>
      <c r="J3878" s="1">
        <v>0.03</v>
      </c>
      <c r="K3878" s="1">
        <v>0.06</v>
      </c>
      <c r="L3878" s="42">
        <v>10</v>
      </c>
      <c r="M3878" s="43">
        <v>46099</v>
      </c>
      <c r="N3878" s="1" t="e">
        <f>VLOOKUP(B3878,MICRO!E:L,8,0)</f>
        <v>#N/A</v>
      </c>
    </row>
    <row r="3879" spans="1:14" ht="20.25" x14ac:dyDescent="0.25">
      <c r="A3879" s="1">
        <v>12</v>
      </c>
      <c r="B3879" s="159"/>
      <c r="C3879" s="1" t="s">
        <v>2488</v>
      </c>
      <c r="D3879" s="1"/>
      <c r="E3879" s="1"/>
      <c r="F3879" s="1" t="s">
        <v>1911</v>
      </c>
      <c r="G3879" s="1">
        <v>2</v>
      </c>
      <c r="H3879" s="1" t="s">
        <v>19</v>
      </c>
      <c r="I3879" s="1" t="s">
        <v>571</v>
      </c>
      <c r="J3879" s="1">
        <v>0.02</v>
      </c>
      <c r="K3879" s="1">
        <v>0.04</v>
      </c>
      <c r="L3879" s="42">
        <v>10</v>
      </c>
      <c r="M3879" s="43">
        <v>46099</v>
      </c>
      <c r="N3879" s="1" t="e">
        <f>VLOOKUP(B3879,MICRO!E:L,8,0)</f>
        <v>#N/A</v>
      </c>
    </row>
    <row r="3880" spans="1:14" ht="20.25" x14ac:dyDescent="0.25">
      <c r="A3880" s="1">
        <v>13</v>
      </c>
      <c r="B3880" s="159"/>
      <c r="C3880" s="1" t="s">
        <v>2488</v>
      </c>
      <c r="D3880" s="1"/>
      <c r="E3880" s="1"/>
      <c r="F3880" s="1" t="s">
        <v>2479</v>
      </c>
      <c r="G3880" s="1">
        <v>2</v>
      </c>
      <c r="H3880" s="1" t="s">
        <v>19</v>
      </c>
      <c r="I3880" s="1" t="s">
        <v>571</v>
      </c>
      <c r="J3880" s="1">
        <v>0.01</v>
      </c>
      <c r="K3880" s="1">
        <v>0.02</v>
      </c>
      <c r="L3880" s="42">
        <v>10</v>
      </c>
      <c r="M3880" s="43">
        <v>46099</v>
      </c>
      <c r="N3880" s="1" t="e">
        <f>VLOOKUP(B3880,MICRO!E:L,8,0)</f>
        <v>#N/A</v>
      </c>
    </row>
    <row r="3881" spans="1:14" ht="20.25" x14ac:dyDescent="0.25">
      <c r="A3881" s="1">
        <v>14</v>
      </c>
      <c r="B3881" s="159"/>
      <c r="C3881" s="1" t="s">
        <v>2488</v>
      </c>
      <c r="D3881" s="1"/>
      <c r="E3881" s="1"/>
      <c r="F3881" s="1" t="s">
        <v>2480</v>
      </c>
      <c r="G3881" s="1">
        <v>3</v>
      </c>
      <c r="H3881" s="1" t="s">
        <v>19</v>
      </c>
      <c r="I3881" s="1" t="s">
        <v>571</v>
      </c>
      <c r="J3881" s="1">
        <v>0.02</v>
      </c>
      <c r="K3881" s="1">
        <v>0.06</v>
      </c>
      <c r="L3881" s="42">
        <v>10</v>
      </c>
      <c r="M3881" s="43">
        <v>46099</v>
      </c>
      <c r="N3881" s="1" t="e">
        <f>VLOOKUP(B3881,MICRO!E:L,8,0)</f>
        <v>#N/A</v>
      </c>
    </row>
    <row r="3882" spans="1:14" ht="20.25" x14ac:dyDescent="0.25">
      <c r="A3882" s="1">
        <v>15</v>
      </c>
      <c r="B3882" s="159"/>
      <c r="C3882" s="1" t="s">
        <v>2488</v>
      </c>
      <c r="D3882" s="1"/>
      <c r="E3882" s="1"/>
      <c r="F3882" s="1" t="s">
        <v>2481</v>
      </c>
      <c r="G3882" s="1">
        <v>3</v>
      </c>
      <c r="H3882" s="1" t="s">
        <v>19</v>
      </c>
      <c r="I3882" s="1" t="s">
        <v>571</v>
      </c>
      <c r="J3882" s="1">
        <v>0.03</v>
      </c>
      <c r="K3882" s="1">
        <v>0.09</v>
      </c>
      <c r="L3882" s="42">
        <v>10</v>
      </c>
      <c r="M3882" s="43">
        <v>46099</v>
      </c>
      <c r="N3882" s="1" t="e">
        <f>VLOOKUP(B3882,MICRO!E:L,8,0)</f>
        <v>#N/A</v>
      </c>
    </row>
    <row r="3883" spans="1:14" ht="20.25" x14ac:dyDescent="0.25">
      <c r="A3883" s="1">
        <v>16</v>
      </c>
      <c r="B3883" s="159"/>
      <c r="C3883" s="1" t="s">
        <v>2488</v>
      </c>
      <c r="D3883" s="1"/>
      <c r="E3883" s="1"/>
      <c r="F3883" s="1" t="s">
        <v>2489</v>
      </c>
      <c r="G3883" s="1">
        <v>1</v>
      </c>
      <c r="H3883" s="1" t="s">
        <v>19</v>
      </c>
      <c r="I3883" s="1" t="s">
        <v>571</v>
      </c>
      <c r="J3883" s="1">
        <v>2.8</v>
      </c>
      <c r="K3883" s="1">
        <v>2.8</v>
      </c>
      <c r="L3883" s="42">
        <v>10</v>
      </c>
      <c r="M3883" s="43">
        <v>46099</v>
      </c>
      <c r="N3883" s="1" t="e">
        <f>VLOOKUP(B3883,MICRO!E:L,8,0)</f>
        <v>#N/A</v>
      </c>
    </row>
    <row r="3884" spans="1:14" ht="20.25" x14ac:dyDescent="0.25">
      <c r="A3884" s="1">
        <v>17</v>
      </c>
      <c r="B3884" s="159"/>
      <c r="C3884" s="1" t="s">
        <v>2488</v>
      </c>
      <c r="D3884" s="1"/>
      <c r="E3884" s="1"/>
      <c r="F3884" s="1" t="s">
        <v>2490</v>
      </c>
      <c r="G3884" s="1">
        <v>2</v>
      </c>
      <c r="H3884" s="1" t="s">
        <v>19</v>
      </c>
      <c r="I3884" s="1" t="s">
        <v>571</v>
      </c>
      <c r="J3884" s="1">
        <v>0.3</v>
      </c>
      <c r="K3884" s="1">
        <v>0.6</v>
      </c>
      <c r="L3884" s="42">
        <v>10</v>
      </c>
      <c r="M3884" s="43">
        <v>46099</v>
      </c>
      <c r="N3884" s="1" t="e">
        <f>VLOOKUP(B3884,MICRO!E:L,8,0)</f>
        <v>#N/A</v>
      </c>
    </row>
    <row r="3885" spans="1:14" ht="20.25" x14ac:dyDescent="0.25">
      <c r="A3885" s="1">
        <v>18</v>
      </c>
      <c r="B3885" s="159"/>
      <c r="C3885" s="1" t="s">
        <v>2488</v>
      </c>
      <c r="D3885" s="1"/>
      <c r="E3885" s="1"/>
      <c r="F3885" s="1" t="s">
        <v>2491</v>
      </c>
      <c r="G3885" s="1">
        <v>4</v>
      </c>
      <c r="H3885" s="1" t="s">
        <v>19</v>
      </c>
      <c r="I3885" s="1" t="s">
        <v>571</v>
      </c>
      <c r="J3885" s="1">
        <v>0.2</v>
      </c>
      <c r="K3885" s="1">
        <v>0.8</v>
      </c>
      <c r="L3885" s="42">
        <v>10</v>
      </c>
      <c r="M3885" s="43">
        <v>46099</v>
      </c>
      <c r="N3885" s="1" t="e">
        <f>VLOOKUP(B3885,MICRO!E:L,8,0)</f>
        <v>#N/A</v>
      </c>
    </row>
    <row r="3886" spans="1:14" ht="20.25" x14ac:dyDescent="0.25">
      <c r="A3886" s="1">
        <v>19</v>
      </c>
      <c r="B3886" s="159"/>
      <c r="C3886" s="1" t="s">
        <v>2488</v>
      </c>
      <c r="D3886" s="1"/>
      <c r="E3886" s="1"/>
      <c r="F3886" s="1" t="s">
        <v>2492</v>
      </c>
      <c r="G3886" s="1">
        <v>2</v>
      </c>
      <c r="H3886" s="1" t="s">
        <v>19</v>
      </c>
      <c r="I3886" s="1" t="s">
        <v>571</v>
      </c>
      <c r="J3886" s="1">
        <v>0.3</v>
      </c>
      <c r="K3886" s="1">
        <v>0.6</v>
      </c>
      <c r="L3886" s="42">
        <v>10</v>
      </c>
      <c r="M3886" s="43">
        <v>46099</v>
      </c>
      <c r="N3886" s="1" t="e">
        <f>VLOOKUP(B3886,MICRO!E:L,8,0)</f>
        <v>#N/A</v>
      </c>
    </row>
    <row r="3887" spans="1:14" ht="20.25" x14ac:dyDescent="0.25">
      <c r="A3887" s="1">
        <v>20</v>
      </c>
      <c r="B3887" s="159"/>
      <c r="C3887" s="1" t="s">
        <v>2488</v>
      </c>
      <c r="D3887" s="1"/>
      <c r="E3887" s="1"/>
      <c r="F3887" s="1" t="s">
        <v>2493</v>
      </c>
      <c r="G3887" s="1">
        <v>4</v>
      </c>
      <c r="H3887" s="1" t="s">
        <v>19</v>
      </c>
      <c r="I3887" s="1" t="s">
        <v>571</v>
      </c>
      <c r="J3887" s="1">
        <v>0.2</v>
      </c>
      <c r="K3887" s="1">
        <v>0.8</v>
      </c>
      <c r="L3887" s="42">
        <v>10</v>
      </c>
      <c r="M3887" s="43">
        <v>46099</v>
      </c>
      <c r="N3887" s="1" t="e">
        <f>VLOOKUP(B3887,MICRO!E:L,8,0)</f>
        <v>#N/A</v>
      </c>
    </row>
    <row r="3888" spans="1:14" ht="20.25" x14ac:dyDescent="0.25">
      <c r="A3888" s="1">
        <v>21</v>
      </c>
      <c r="B3888" s="159"/>
      <c r="C3888" s="1" t="s">
        <v>2488</v>
      </c>
      <c r="D3888" s="1"/>
      <c r="E3888" s="1"/>
      <c r="F3888" s="1" t="s">
        <v>2494</v>
      </c>
      <c r="G3888" s="1">
        <v>4</v>
      </c>
      <c r="H3888" s="1" t="s">
        <v>19</v>
      </c>
      <c r="I3888" s="1" t="s">
        <v>571</v>
      </c>
      <c r="J3888" s="1">
        <v>0.3</v>
      </c>
      <c r="K3888" s="1">
        <v>1.2</v>
      </c>
      <c r="L3888" s="42">
        <v>10</v>
      </c>
      <c r="M3888" s="43">
        <v>46099</v>
      </c>
      <c r="N3888" s="1" t="e">
        <f>VLOOKUP(B3888,MICRO!E:L,8,0)</f>
        <v>#N/A</v>
      </c>
    </row>
    <row r="3889" spans="1:14" ht="20.25" x14ac:dyDescent="0.25">
      <c r="A3889" s="1">
        <v>22</v>
      </c>
      <c r="B3889" s="159"/>
      <c r="C3889" s="1" t="s">
        <v>2488</v>
      </c>
      <c r="D3889" s="1"/>
      <c r="E3889" s="1"/>
      <c r="F3889" s="1" t="s">
        <v>2495</v>
      </c>
      <c r="G3889" s="1">
        <v>2</v>
      </c>
      <c r="H3889" s="1" t="s">
        <v>19</v>
      </c>
      <c r="I3889" s="1" t="s">
        <v>571</v>
      </c>
      <c r="J3889" s="1">
        <v>0.2</v>
      </c>
      <c r="K3889" s="1">
        <v>0.4</v>
      </c>
      <c r="L3889" s="42">
        <v>10</v>
      </c>
      <c r="M3889" s="43">
        <v>46099</v>
      </c>
      <c r="N3889" s="1" t="e">
        <f>VLOOKUP(B3889,MICRO!E:L,8,0)</f>
        <v>#N/A</v>
      </c>
    </row>
    <row r="3890" spans="1:14" ht="20.25" x14ac:dyDescent="0.25">
      <c r="A3890" s="1">
        <v>23</v>
      </c>
      <c r="B3890" s="159"/>
      <c r="C3890" s="1" t="s">
        <v>2488</v>
      </c>
      <c r="D3890" s="1"/>
      <c r="E3890" s="1"/>
      <c r="F3890" s="1" t="s">
        <v>2496</v>
      </c>
      <c r="G3890" s="1">
        <v>2</v>
      </c>
      <c r="H3890" s="1" t="s">
        <v>19</v>
      </c>
      <c r="I3890" s="1" t="s">
        <v>571</v>
      </c>
      <c r="J3890" s="1">
        <v>0.3</v>
      </c>
      <c r="K3890" s="1">
        <v>0.6</v>
      </c>
      <c r="L3890" s="42">
        <v>10</v>
      </c>
      <c r="M3890" s="43">
        <v>46099</v>
      </c>
      <c r="N3890" s="1" t="e">
        <f>VLOOKUP(B3890,MICRO!E:L,8,0)</f>
        <v>#N/A</v>
      </c>
    </row>
    <row r="3891" spans="1:14" ht="20.25" x14ac:dyDescent="0.25">
      <c r="A3891" s="1">
        <v>24</v>
      </c>
      <c r="B3891" s="159"/>
      <c r="C3891" s="1" t="s">
        <v>2488</v>
      </c>
      <c r="D3891" s="1"/>
      <c r="E3891" s="1"/>
      <c r="F3891" s="1" t="s">
        <v>2497</v>
      </c>
      <c r="G3891" s="1">
        <v>9</v>
      </c>
      <c r="H3891" s="1" t="s">
        <v>19</v>
      </c>
      <c r="I3891" s="1" t="s">
        <v>571</v>
      </c>
      <c r="J3891" s="1">
        <v>1.5</v>
      </c>
      <c r="K3891" s="1">
        <v>13.5</v>
      </c>
      <c r="L3891" s="42">
        <v>10</v>
      </c>
      <c r="M3891" s="43">
        <v>46099</v>
      </c>
      <c r="N3891" s="1" t="e">
        <f>VLOOKUP(B3891,MICRO!E:L,8,0)</f>
        <v>#N/A</v>
      </c>
    </row>
    <row r="3892" spans="1:14" ht="20.25" x14ac:dyDescent="0.25">
      <c r="A3892" s="1">
        <v>25</v>
      </c>
      <c r="B3892" s="159"/>
      <c r="C3892" s="1" t="s">
        <v>2478</v>
      </c>
      <c r="D3892" s="1"/>
      <c r="E3892" s="1"/>
      <c r="F3892" s="1" t="s">
        <v>2490</v>
      </c>
      <c r="G3892" s="1">
        <v>2</v>
      </c>
      <c r="H3892" s="1" t="s">
        <v>19</v>
      </c>
      <c r="I3892" s="1" t="s">
        <v>570</v>
      </c>
      <c r="J3892" s="1">
        <v>0.3</v>
      </c>
      <c r="K3892" s="1">
        <v>0.6</v>
      </c>
      <c r="L3892" s="42">
        <v>10</v>
      </c>
      <c r="M3892" s="43">
        <v>46099</v>
      </c>
      <c r="N3892" s="1" t="e">
        <f>VLOOKUP(B3892,MICRO!E:L,8,0)</f>
        <v>#N/A</v>
      </c>
    </row>
    <row r="3893" spans="1:14" ht="20.25" x14ac:dyDescent="0.25">
      <c r="A3893" s="1">
        <v>26</v>
      </c>
      <c r="B3893" s="159"/>
      <c r="C3893" s="1" t="s">
        <v>2478</v>
      </c>
      <c r="D3893" s="1"/>
      <c r="E3893" s="1"/>
      <c r="F3893" s="1" t="s">
        <v>2491</v>
      </c>
      <c r="G3893" s="1">
        <v>4</v>
      </c>
      <c r="H3893" s="1" t="s">
        <v>19</v>
      </c>
      <c r="I3893" s="1" t="s">
        <v>570</v>
      </c>
      <c r="J3893" s="1">
        <v>0.2</v>
      </c>
      <c r="K3893" s="1">
        <v>0.8</v>
      </c>
      <c r="L3893" s="42">
        <v>10</v>
      </c>
      <c r="M3893" s="43">
        <v>46099</v>
      </c>
      <c r="N3893" s="1" t="e">
        <f>VLOOKUP(B3893,MICRO!E:L,8,0)</f>
        <v>#N/A</v>
      </c>
    </row>
    <row r="3894" spans="1:14" ht="20.25" x14ac:dyDescent="0.25">
      <c r="A3894" s="1">
        <v>27</v>
      </c>
      <c r="B3894" s="159"/>
      <c r="C3894" s="1" t="s">
        <v>2478</v>
      </c>
      <c r="D3894" s="1"/>
      <c r="E3894" s="1"/>
      <c r="F3894" s="1" t="s">
        <v>2492</v>
      </c>
      <c r="G3894" s="1">
        <v>2</v>
      </c>
      <c r="H3894" s="1" t="s">
        <v>19</v>
      </c>
      <c r="I3894" s="1" t="s">
        <v>570</v>
      </c>
      <c r="J3894" s="1">
        <v>0.3</v>
      </c>
      <c r="K3894" s="1">
        <v>0.6</v>
      </c>
      <c r="L3894" s="42">
        <v>10</v>
      </c>
      <c r="M3894" s="43">
        <v>46099</v>
      </c>
      <c r="N3894" s="1" t="e">
        <f>VLOOKUP(B3894,MICRO!E:L,8,0)</f>
        <v>#N/A</v>
      </c>
    </row>
    <row r="3895" spans="1:14" ht="20.25" x14ac:dyDescent="0.25">
      <c r="A3895" s="1">
        <v>28</v>
      </c>
      <c r="B3895" s="159"/>
      <c r="C3895" s="1" t="s">
        <v>2478</v>
      </c>
      <c r="D3895" s="1"/>
      <c r="E3895" s="1"/>
      <c r="F3895" s="1" t="s">
        <v>2493</v>
      </c>
      <c r="G3895" s="1">
        <v>4</v>
      </c>
      <c r="H3895" s="1" t="s">
        <v>19</v>
      </c>
      <c r="I3895" s="1" t="s">
        <v>570</v>
      </c>
      <c r="J3895" s="1">
        <v>0.2</v>
      </c>
      <c r="K3895" s="1">
        <v>0.8</v>
      </c>
      <c r="L3895" s="42">
        <v>10</v>
      </c>
      <c r="M3895" s="43">
        <v>46099</v>
      </c>
      <c r="N3895" s="1" t="e">
        <f>VLOOKUP(B3895,MICRO!E:L,8,0)</f>
        <v>#N/A</v>
      </c>
    </row>
    <row r="3896" spans="1:14" ht="20.25" x14ac:dyDescent="0.25">
      <c r="A3896" s="1">
        <v>29</v>
      </c>
      <c r="B3896" s="159"/>
      <c r="C3896" s="1" t="s">
        <v>2478</v>
      </c>
      <c r="D3896" s="1"/>
      <c r="E3896" s="1"/>
      <c r="F3896" s="1" t="s">
        <v>2494</v>
      </c>
      <c r="G3896" s="1">
        <v>4</v>
      </c>
      <c r="H3896" s="1" t="s">
        <v>19</v>
      </c>
      <c r="I3896" s="1" t="s">
        <v>570</v>
      </c>
      <c r="J3896" s="1">
        <v>0.3</v>
      </c>
      <c r="K3896" s="1">
        <v>1.2</v>
      </c>
      <c r="L3896" s="42">
        <v>10</v>
      </c>
      <c r="M3896" s="43">
        <v>46099</v>
      </c>
      <c r="N3896" s="1" t="e">
        <f>VLOOKUP(B3896,MICRO!E:L,8,0)</f>
        <v>#N/A</v>
      </c>
    </row>
    <row r="3897" spans="1:14" ht="20.25" x14ac:dyDescent="0.25">
      <c r="A3897" s="1">
        <v>30</v>
      </c>
      <c r="B3897" s="159"/>
      <c r="C3897" s="1" t="s">
        <v>2478</v>
      </c>
      <c r="D3897" s="1"/>
      <c r="E3897" s="1"/>
      <c r="F3897" s="1" t="s">
        <v>2495</v>
      </c>
      <c r="G3897" s="1">
        <v>2</v>
      </c>
      <c r="H3897" s="1" t="s">
        <v>19</v>
      </c>
      <c r="I3897" s="1" t="s">
        <v>570</v>
      </c>
      <c r="J3897" s="1">
        <v>0.2</v>
      </c>
      <c r="K3897" s="1">
        <v>0.4</v>
      </c>
      <c r="L3897" s="42">
        <v>10</v>
      </c>
      <c r="M3897" s="43">
        <v>46099</v>
      </c>
      <c r="N3897" s="1" t="e">
        <f>VLOOKUP(B3897,MICRO!E:L,8,0)</f>
        <v>#N/A</v>
      </c>
    </row>
    <row r="3898" spans="1:14" ht="20.25" x14ac:dyDescent="0.25">
      <c r="A3898" s="1">
        <v>31</v>
      </c>
      <c r="B3898" s="159"/>
      <c r="C3898" s="1" t="s">
        <v>2478</v>
      </c>
      <c r="D3898" s="1"/>
      <c r="E3898" s="1"/>
      <c r="F3898" s="1" t="s">
        <v>2496</v>
      </c>
      <c r="G3898" s="1">
        <v>2</v>
      </c>
      <c r="H3898" s="1" t="s">
        <v>19</v>
      </c>
      <c r="I3898" s="1" t="s">
        <v>570</v>
      </c>
      <c r="J3898" s="1">
        <v>0.3</v>
      </c>
      <c r="K3898" s="1">
        <v>0.6</v>
      </c>
      <c r="L3898" s="42">
        <v>10</v>
      </c>
      <c r="M3898" s="43">
        <v>46099</v>
      </c>
      <c r="N3898" s="1" t="e">
        <f>VLOOKUP(B3898,MICRO!E:L,8,0)</f>
        <v>#N/A</v>
      </c>
    </row>
    <row r="3899" spans="1:14" ht="20.25" x14ac:dyDescent="0.25">
      <c r="A3899" s="1">
        <v>32</v>
      </c>
      <c r="B3899" s="159"/>
      <c r="C3899" s="1" t="s">
        <v>2478</v>
      </c>
      <c r="D3899" s="1"/>
      <c r="E3899" s="1"/>
      <c r="F3899" s="1" t="s">
        <v>2498</v>
      </c>
      <c r="G3899" s="1">
        <v>1</v>
      </c>
      <c r="H3899" s="1" t="s">
        <v>19</v>
      </c>
      <c r="I3899" s="1" t="s">
        <v>570</v>
      </c>
      <c r="J3899" s="1">
        <v>2.8</v>
      </c>
      <c r="K3899" s="1">
        <v>2.8</v>
      </c>
      <c r="L3899" s="42">
        <v>10</v>
      </c>
      <c r="M3899" s="43">
        <v>46099</v>
      </c>
      <c r="N3899" s="1" t="e">
        <f>VLOOKUP(B3899,MICRO!E:L,8,0)</f>
        <v>#N/A</v>
      </c>
    </row>
    <row r="3900" spans="1:14" ht="20.25" x14ac:dyDescent="0.25">
      <c r="A3900" s="1">
        <v>33</v>
      </c>
      <c r="B3900" s="159"/>
      <c r="C3900" s="1" t="s">
        <v>2478</v>
      </c>
      <c r="D3900" s="1"/>
      <c r="E3900" s="1"/>
      <c r="F3900" s="1" t="s">
        <v>2497</v>
      </c>
      <c r="G3900" s="1">
        <v>9</v>
      </c>
      <c r="H3900" s="1"/>
      <c r="I3900" s="1" t="s">
        <v>570</v>
      </c>
      <c r="J3900" s="1">
        <v>1.5</v>
      </c>
      <c r="K3900" s="1">
        <v>13.5</v>
      </c>
      <c r="L3900" s="42">
        <v>10</v>
      </c>
      <c r="M3900" s="43">
        <v>46099</v>
      </c>
      <c r="N3900" s="1" t="e">
        <f>VLOOKUP(B3900,MICRO!E:L,8,0)</f>
        <v>#N/A</v>
      </c>
    </row>
    <row r="3901" spans="1:14" ht="20.25" x14ac:dyDescent="0.25">
      <c r="A3901" s="1">
        <v>34</v>
      </c>
      <c r="B3901" s="159"/>
      <c r="C3901" s="1" t="s">
        <v>2499</v>
      </c>
      <c r="D3901" s="1"/>
      <c r="E3901" s="1"/>
      <c r="F3901" s="1" t="s">
        <v>2500</v>
      </c>
      <c r="G3901" s="1">
        <v>10</v>
      </c>
      <c r="H3901" s="1"/>
      <c r="I3901" s="1" t="s">
        <v>569</v>
      </c>
      <c r="J3901" s="1">
        <v>1.5</v>
      </c>
      <c r="K3901" s="1">
        <v>15</v>
      </c>
      <c r="L3901" s="42">
        <v>10</v>
      </c>
      <c r="M3901" s="43">
        <v>46099</v>
      </c>
      <c r="N3901" s="1" t="e">
        <f>VLOOKUP(B3901,MICRO!E:L,8,0)</f>
        <v>#N/A</v>
      </c>
    </row>
    <row r="3902" spans="1:14" ht="20.25" x14ac:dyDescent="0.25">
      <c r="A3902" s="1">
        <v>35</v>
      </c>
      <c r="B3902" s="159"/>
      <c r="C3902" s="1" t="s">
        <v>2499</v>
      </c>
      <c r="D3902" s="1"/>
      <c r="E3902" s="1"/>
      <c r="F3902" s="1" t="s">
        <v>2501</v>
      </c>
      <c r="G3902" s="1">
        <v>2</v>
      </c>
      <c r="H3902" s="1" t="s">
        <v>19</v>
      </c>
      <c r="I3902" s="1" t="s">
        <v>569</v>
      </c>
      <c r="J3902" s="1">
        <v>0.3</v>
      </c>
      <c r="K3902" s="1">
        <v>0.6</v>
      </c>
      <c r="L3902" s="42">
        <v>10</v>
      </c>
      <c r="M3902" s="43">
        <v>46099</v>
      </c>
      <c r="N3902" s="1" t="e">
        <f>VLOOKUP(B3902,MICRO!E:L,8,0)</f>
        <v>#N/A</v>
      </c>
    </row>
    <row r="3903" spans="1:14" ht="20.25" x14ac:dyDescent="0.25">
      <c r="A3903" s="1">
        <v>36</v>
      </c>
      <c r="B3903" s="159"/>
      <c r="C3903" s="1" t="s">
        <v>2499</v>
      </c>
      <c r="D3903" s="1"/>
      <c r="E3903" s="1"/>
      <c r="F3903" s="1" t="s">
        <v>2502</v>
      </c>
      <c r="G3903" s="1">
        <v>4</v>
      </c>
      <c r="H3903" s="1" t="s">
        <v>19</v>
      </c>
      <c r="I3903" s="1" t="s">
        <v>569</v>
      </c>
      <c r="J3903" s="1">
        <v>0.2</v>
      </c>
      <c r="K3903" s="1">
        <v>0.8</v>
      </c>
      <c r="L3903" s="42">
        <v>10</v>
      </c>
      <c r="M3903" s="43">
        <v>46099</v>
      </c>
      <c r="N3903" s="1" t="e">
        <f>VLOOKUP(B3903,MICRO!E:L,8,0)</f>
        <v>#N/A</v>
      </c>
    </row>
    <row r="3904" spans="1:14" ht="20.25" x14ac:dyDescent="0.25">
      <c r="A3904" s="1">
        <v>37</v>
      </c>
      <c r="B3904" s="159"/>
      <c r="C3904" s="1" t="s">
        <v>2499</v>
      </c>
      <c r="D3904" s="1"/>
      <c r="E3904" s="1"/>
      <c r="F3904" s="1" t="s">
        <v>2503</v>
      </c>
      <c r="G3904" s="1">
        <v>2</v>
      </c>
      <c r="H3904" s="1" t="s">
        <v>19</v>
      </c>
      <c r="I3904" s="1" t="s">
        <v>569</v>
      </c>
      <c r="J3904" s="1">
        <v>0.3</v>
      </c>
      <c r="K3904" s="1">
        <v>0.6</v>
      </c>
      <c r="L3904" s="42">
        <v>10</v>
      </c>
      <c r="M3904" s="43">
        <v>46099</v>
      </c>
      <c r="N3904" s="1" t="e">
        <f>VLOOKUP(B3904,MICRO!E:L,8,0)</f>
        <v>#N/A</v>
      </c>
    </row>
    <row r="3905" spans="1:14" ht="20.25" x14ac:dyDescent="0.25">
      <c r="A3905" s="1">
        <v>38</v>
      </c>
      <c r="B3905" s="159"/>
      <c r="C3905" s="1" t="s">
        <v>2499</v>
      </c>
      <c r="D3905" s="1"/>
      <c r="E3905" s="1"/>
      <c r="F3905" s="1" t="s">
        <v>2504</v>
      </c>
      <c r="G3905" s="1">
        <v>4</v>
      </c>
      <c r="H3905" s="1" t="s">
        <v>19</v>
      </c>
      <c r="I3905" s="1" t="s">
        <v>569</v>
      </c>
      <c r="J3905" s="1">
        <v>0.2</v>
      </c>
      <c r="K3905" s="1">
        <v>0.8</v>
      </c>
      <c r="L3905" s="42">
        <v>10</v>
      </c>
      <c r="M3905" s="43">
        <v>46099</v>
      </c>
      <c r="N3905" s="1" t="e">
        <f>VLOOKUP(B3905,MICRO!E:L,8,0)</f>
        <v>#N/A</v>
      </c>
    </row>
    <row r="3906" spans="1:14" ht="20.25" x14ac:dyDescent="0.25">
      <c r="A3906" s="1">
        <v>39</v>
      </c>
      <c r="B3906" s="159"/>
      <c r="C3906" s="1" t="s">
        <v>2499</v>
      </c>
      <c r="D3906" s="1"/>
      <c r="E3906" s="1"/>
      <c r="F3906" s="1" t="s">
        <v>2505</v>
      </c>
      <c r="G3906" s="1">
        <v>4</v>
      </c>
      <c r="H3906" s="1" t="s">
        <v>19</v>
      </c>
      <c r="I3906" s="1" t="s">
        <v>569</v>
      </c>
      <c r="J3906" s="1">
        <v>0.3</v>
      </c>
      <c r="K3906" s="1">
        <v>1.2</v>
      </c>
      <c r="L3906" s="42">
        <v>10</v>
      </c>
      <c r="M3906" s="43">
        <v>46099</v>
      </c>
      <c r="N3906" s="1" t="e">
        <f>VLOOKUP(B3906,MICRO!E:L,8,0)</f>
        <v>#N/A</v>
      </c>
    </row>
    <row r="3907" spans="1:14" ht="20.25" x14ac:dyDescent="0.25">
      <c r="A3907" s="1">
        <v>40</v>
      </c>
      <c r="B3907" s="159"/>
      <c r="C3907" s="1" t="s">
        <v>2499</v>
      </c>
      <c r="D3907" s="1"/>
      <c r="E3907" s="1"/>
      <c r="F3907" s="1" t="s">
        <v>2506</v>
      </c>
      <c r="G3907" s="1">
        <v>2</v>
      </c>
      <c r="H3907" s="1" t="s">
        <v>19</v>
      </c>
      <c r="I3907" s="1" t="s">
        <v>569</v>
      </c>
      <c r="J3907" s="1">
        <v>0.2</v>
      </c>
      <c r="K3907" s="1">
        <v>0.4</v>
      </c>
      <c r="L3907" s="42">
        <v>10</v>
      </c>
      <c r="M3907" s="43">
        <v>46099</v>
      </c>
      <c r="N3907" s="1" t="e">
        <f>VLOOKUP(B3907,MICRO!E:L,8,0)</f>
        <v>#N/A</v>
      </c>
    </row>
    <row r="3908" spans="1:14" ht="20.25" x14ac:dyDescent="0.25">
      <c r="A3908" s="1">
        <v>41</v>
      </c>
      <c r="B3908" s="159"/>
      <c r="C3908" s="1" t="s">
        <v>2499</v>
      </c>
      <c r="D3908" s="1"/>
      <c r="E3908" s="1"/>
      <c r="F3908" s="1" t="s">
        <v>2507</v>
      </c>
      <c r="G3908" s="1">
        <v>2</v>
      </c>
      <c r="H3908" s="1" t="s">
        <v>19</v>
      </c>
      <c r="I3908" s="1" t="s">
        <v>569</v>
      </c>
      <c r="J3908" s="1">
        <v>0.3</v>
      </c>
      <c r="K3908" s="1">
        <v>0.6</v>
      </c>
      <c r="L3908" s="42">
        <v>10</v>
      </c>
      <c r="M3908" s="43">
        <v>46099</v>
      </c>
      <c r="N3908" s="1" t="e">
        <f>VLOOKUP(B3908,MICRO!E:L,8,0)</f>
        <v>#N/A</v>
      </c>
    </row>
    <row r="3909" spans="1:14" ht="20.25" x14ac:dyDescent="0.25">
      <c r="A3909" s="1">
        <v>42</v>
      </c>
      <c r="B3909" s="159"/>
      <c r="C3909" s="1" t="s">
        <v>2499</v>
      </c>
      <c r="D3909" s="1"/>
      <c r="E3909" s="1"/>
      <c r="F3909" s="1" t="s">
        <v>2508</v>
      </c>
      <c r="G3909" s="1">
        <v>1</v>
      </c>
      <c r="H3909" s="1" t="s">
        <v>19</v>
      </c>
      <c r="I3909" s="1" t="s">
        <v>569</v>
      </c>
      <c r="J3909" s="1">
        <v>2.8</v>
      </c>
      <c r="K3909" s="1">
        <v>2.8</v>
      </c>
      <c r="L3909" s="42">
        <v>10</v>
      </c>
      <c r="M3909" s="43">
        <v>46099</v>
      </c>
      <c r="N3909" s="1" t="e">
        <f>VLOOKUP(B3909,MICRO!E:L,8,0)</f>
        <v>#N/A</v>
      </c>
    </row>
    <row r="3910" spans="1:14" ht="20.25" x14ac:dyDescent="0.25">
      <c r="A3910" s="1">
        <v>43</v>
      </c>
      <c r="B3910" s="159"/>
      <c r="C3910" s="1" t="s">
        <v>2509</v>
      </c>
      <c r="D3910" s="1"/>
      <c r="E3910" s="1"/>
      <c r="F3910" s="1" t="s">
        <v>2510</v>
      </c>
      <c r="G3910" s="1">
        <v>1</v>
      </c>
      <c r="H3910" s="1" t="s">
        <v>19</v>
      </c>
      <c r="I3910" s="1" t="s">
        <v>572</v>
      </c>
      <c r="J3910" s="1">
        <v>2.8</v>
      </c>
      <c r="K3910" s="1">
        <v>2.8</v>
      </c>
      <c r="L3910" s="42">
        <v>10</v>
      </c>
      <c r="M3910" s="43">
        <v>46099</v>
      </c>
      <c r="N3910" s="1" t="e">
        <f>VLOOKUP(B3910,MICRO!E:L,8,0)</f>
        <v>#N/A</v>
      </c>
    </row>
    <row r="3911" spans="1:14" ht="20.25" x14ac:dyDescent="0.25">
      <c r="A3911" s="1">
        <v>44</v>
      </c>
      <c r="B3911" s="159"/>
      <c r="C3911" s="1" t="s">
        <v>2509</v>
      </c>
      <c r="D3911" s="1"/>
      <c r="E3911" s="1"/>
      <c r="F3911" s="1" t="s">
        <v>2490</v>
      </c>
      <c r="G3911" s="1">
        <v>2</v>
      </c>
      <c r="H3911" s="1" t="s">
        <v>19</v>
      </c>
      <c r="I3911" s="1" t="s">
        <v>572</v>
      </c>
      <c r="J3911" s="1">
        <v>0.3</v>
      </c>
      <c r="K3911" s="1">
        <v>0.6</v>
      </c>
      <c r="L3911" s="42">
        <v>10</v>
      </c>
      <c r="M3911" s="43">
        <v>46099</v>
      </c>
      <c r="N3911" s="1" t="e">
        <f>VLOOKUP(B3911,MICRO!E:L,8,0)</f>
        <v>#N/A</v>
      </c>
    </row>
    <row r="3912" spans="1:14" ht="20.25" x14ac:dyDescent="0.25">
      <c r="A3912" s="1">
        <v>45</v>
      </c>
      <c r="B3912" s="159"/>
      <c r="C3912" s="1" t="s">
        <v>2509</v>
      </c>
      <c r="D3912" s="1"/>
      <c r="E3912" s="1"/>
      <c r="F3912" s="1" t="s">
        <v>2491</v>
      </c>
      <c r="G3912" s="1">
        <v>4</v>
      </c>
      <c r="H3912" s="1" t="s">
        <v>19</v>
      </c>
      <c r="I3912" s="1" t="s">
        <v>572</v>
      </c>
      <c r="J3912" s="1">
        <v>0.2</v>
      </c>
      <c r="K3912" s="1">
        <v>0.8</v>
      </c>
      <c r="L3912" s="42">
        <v>10</v>
      </c>
      <c r="M3912" s="43">
        <v>46099</v>
      </c>
      <c r="N3912" s="1" t="e">
        <f>VLOOKUP(B3912,MICRO!E:L,8,0)</f>
        <v>#N/A</v>
      </c>
    </row>
    <row r="3913" spans="1:14" ht="20.25" x14ac:dyDescent="0.25">
      <c r="A3913" s="1">
        <v>46</v>
      </c>
      <c r="B3913" s="159"/>
      <c r="C3913" s="1" t="s">
        <v>2509</v>
      </c>
      <c r="D3913" s="1"/>
      <c r="E3913" s="1"/>
      <c r="F3913" s="1" t="s">
        <v>2492</v>
      </c>
      <c r="G3913" s="1">
        <v>2</v>
      </c>
      <c r="H3913" s="1" t="s">
        <v>19</v>
      </c>
      <c r="I3913" s="1" t="s">
        <v>572</v>
      </c>
      <c r="J3913" s="1">
        <v>0.3</v>
      </c>
      <c r="K3913" s="1">
        <v>0.6</v>
      </c>
      <c r="L3913" s="42">
        <v>10</v>
      </c>
      <c r="M3913" s="43">
        <v>46099</v>
      </c>
      <c r="N3913" s="1" t="e">
        <f>VLOOKUP(B3913,MICRO!E:L,8,0)</f>
        <v>#N/A</v>
      </c>
    </row>
    <row r="3914" spans="1:14" ht="20.25" x14ac:dyDescent="0.25">
      <c r="A3914" s="1">
        <v>47</v>
      </c>
      <c r="B3914" s="159"/>
      <c r="C3914" s="1" t="s">
        <v>2509</v>
      </c>
      <c r="D3914" s="1"/>
      <c r="E3914" s="1"/>
      <c r="F3914" s="1" t="s">
        <v>2493</v>
      </c>
      <c r="G3914" s="1">
        <v>4</v>
      </c>
      <c r="H3914" s="1" t="s">
        <v>19</v>
      </c>
      <c r="I3914" s="1" t="s">
        <v>572</v>
      </c>
      <c r="J3914" s="1">
        <v>0.2</v>
      </c>
      <c r="K3914" s="1">
        <v>0.8</v>
      </c>
      <c r="L3914" s="42">
        <v>10</v>
      </c>
      <c r="M3914" s="43">
        <v>46099</v>
      </c>
      <c r="N3914" s="1" t="e">
        <f>VLOOKUP(B3914,MICRO!E:L,8,0)</f>
        <v>#N/A</v>
      </c>
    </row>
    <row r="3915" spans="1:14" ht="20.25" x14ac:dyDescent="0.25">
      <c r="A3915" s="1">
        <v>48</v>
      </c>
      <c r="B3915" s="159"/>
      <c r="C3915" s="1" t="s">
        <v>2509</v>
      </c>
      <c r="D3915" s="1"/>
      <c r="E3915" s="1"/>
      <c r="F3915" s="1" t="s">
        <v>2494</v>
      </c>
      <c r="G3915" s="1">
        <v>4</v>
      </c>
      <c r="H3915" s="1" t="s">
        <v>19</v>
      </c>
      <c r="I3915" s="1" t="s">
        <v>572</v>
      </c>
      <c r="J3915" s="1">
        <v>0.3</v>
      </c>
      <c r="K3915" s="1">
        <v>1.2</v>
      </c>
      <c r="L3915" s="42">
        <v>10</v>
      </c>
      <c r="M3915" s="43">
        <v>46099</v>
      </c>
      <c r="N3915" s="1" t="e">
        <f>VLOOKUP(B3915,MICRO!E:L,8,0)</f>
        <v>#N/A</v>
      </c>
    </row>
    <row r="3916" spans="1:14" ht="20.25" x14ac:dyDescent="0.25">
      <c r="A3916" s="1">
        <v>49</v>
      </c>
      <c r="B3916" s="159"/>
      <c r="C3916" s="1" t="s">
        <v>2509</v>
      </c>
      <c r="D3916" s="1"/>
      <c r="E3916" s="1"/>
      <c r="F3916" s="1" t="s">
        <v>2495</v>
      </c>
      <c r="G3916" s="1">
        <v>2</v>
      </c>
      <c r="H3916" s="1" t="s">
        <v>19</v>
      </c>
      <c r="I3916" s="1" t="s">
        <v>572</v>
      </c>
      <c r="J3916" s="1">
        <v>0.2</v>
      </c>
      <c r="K3916" s="1">
        <v>0.4</v>
      </c>
      <c r="L3916" s="42">
        <v>10</v>
      </c>
      <c r="M3916" s="43">
        <v>46099</v>
      </c>
      <c r="N3916" s="1" t="e">
        <f>VLOOKUP(B3916,MICRO!E:L,8,0)</f>
        <v>#N/A</v>
      </c>
    </row>
    <row r="3917" spans="1:14" ht="20.25" x14ac:dyDescent="0.25">
      <c r="A3917" s="1">
        <v>50</v>
      </c>
      <c r="B3917" s="159"/>
      <c r="C3917" s="1" t="s">
        <v>2509</v>
      </c>
      <c r="D3917" s="1"/>
      <c r="E3917" s="1"/>
      <c r="F3917" s="1" t="s">
        <v>2496</v>
      </c>
      <c r="G3917" s="1">
        <v>1</v>
      </c>
      <c r="H3917" s="1" t="s">
        <v>19</v>
      </c>
      <c r="I3917" s="1" t="s">
        <v>572</v>
      </c>
      <c r="J3917" s="1">
        <v>0.3</v>
      </c>
      <c r="K3917" s="1">
        <v>0.3</v>
      </c>
      <c r="L3917" s="42">
        <v>10</v>
      </c>
      <c r="M3917" s="43">
        <v>46099</v>
      </c>
      <c r="N3917" s="1" t="e">
        <f>VLOOKUP(B3917,MICRO!E:L,8,0)</f>
        <v>#N/A</v>
      </c>
    </row>
    <row r="3918" spans="1:14" ht="20.25" x14ac:dyDescent="0.25">
      <c r="A3918" s="1">
        <v>51</v>
      </c>
      <c r="B3918" s="159"/>
      <c r="C3918" s="1" t="s">
        <v>2509</v>
      </c>
      <c r="D3918" s="1"/>
      <c r="E3918" s="1"/>
      <c r="F3918" s="1" t="s">
        <v>2497</v>
      </c>
      <c r="G3918" s="1">
        <v>7</v>
      </c>
      <c r="H3918" s="1"/>
      <c r="I3918" s="1" t="s">
        <v>572</v>
      </c>
      <c r="J3918" s="1">
        <v>1.5</v>
      </c>
      <c r="K3918" s="1">
        <v>10.5</v>
      </c>
      <c r="L3918" s="42">
        <v>10</v>
      </c>
      <c r="M3918" s="43">
        <v>46099</v>
      </c>
      <c r="N3918" s="1" t="e">
        <f>VLOOKUP(B3918,MICRO!E:L,8,0)</f>
        <v>#N/A</v>
      </c>
    </row>
    <row r="3919" spans="1:14" ht="20.25" x14ac:dyDescent="0.25">
      <c r="A3919" s="1">
        <v>52</v>
      </c>
      <c r="B3919" s="159"/>
      <c r="C3919" s="1"/>
      <c r="D3919" s="1" t="s">
        <v>2135</v>
      </c>
      <c r="E3919" s="1"/>
      <c r="F3919" s="1" t="s">
        <v>2136</v>
      </c>
      <c r="G3919" s="1">
        <v>280</v>
      </c>
      <c r="H3919" s="1" t="s">
        <v>19</v>
      </c>
      <c r="I3919" s="1" t="s">
        <v>569</v>
      </c>
      <c r="J3919" s="1">
        <v>0.05</v>
      </c>
      <c r="K3919" s="1">
        <v>14</v>
      </c>
      <c r="L3919" s="42">
        <v>10</v>
      </c>
      <c r="M3919" s="43">
        <v>46099</v>
      </c>
      <c r="N3919" s="1" t="e">
        <f>VLOOKUP(B3919,MICRO!E:L,8,0)</f>
        <v>#N/A</v>
      </c>
    </row>
    <row r="3920" spans="1:14" ht="20.25" x14ac:dyDescent="0.25">
      <c r="A3920" s="1">
        <v>53</v>
      </c>
      <c r="B3920" s="159"/>
      <c r="C3920" s="1"/>
      <c r="D3920" s="1" t="s">
        <v>2135</v>
      </c>
      <c r="E3920" s="1"/>
      <c r="F3920" s="1" t="s">
        <v>2137</v>
      </c>
      <c r="G3920" s="1">
        <v>16</v>
      </c>
      <c r="H3920" s="1" t="s">
        <v>19</v>
      </c>
      <c r="I3920" s="1" t="s">
        <v>569</v>
      </c>
      <c r="J3920" s="1">
        <v>0.05</v>
      </c>
      <c r="K3920" s="1">
        <v>0.8</v>
      </c>
      <c r="L3920" s="42">
        <v>10</v>
      </c>
      <c r="M3920" s="43">
        <v>46099</v>
      </c>
      <c r="N3920" s="1" t="e">
        <f>VLOOKUP(B3920,MICRO!E:L,8,0)</f>
        <v>#N/A</v>
      </c>
    </row>
    <row r="3921" spans="1:14" ht="20.25" x14ac:dyDescent="0.25">
      <c r="A3921" s="1">
        <v>54</v>
      </c>
      <c r="B3921" s="159"/>
      <c r="C3921" s="1"/>
      <c r="D3921" s="1" t="s">
        <v>2135</v>
      </c>
      <c r="E3921" s="1"/>
      <c r="F3921" s="1" t="s">
        <v>2138</v>
      </c>
      <c r="G3921" s="1">
        <v>8</v>
      </c>
      <c r="H3921" s="1" t="s">
        <v>19</v>
      </c>
      <c r="I3921" s="1" t="s">
        <v>569</v>
      </c>
      <c r="J3921" s="1">
        <v>0.05</v>
      </c>
      <c r="K3921" s="1">
        <v>0.4</v>
      </c>
      <c r="L3921" s="42">
        <v>10</v>
      </c>
      <c r="M3921" s="43">
        <v>46099</v>
      </c>
      <c r="N3921" s="1" t="e">
        <f>VLOOKUP(B3921,MICRO!E:L,8,0)</f>
        <v>#N/A</v>
      </c>
    </row>
    <row r="3922" spans="1:14" ht="20.25" x14ac:dyDescent="0.25">
      <c r="A3922" s="1">
        <v>55</v>
      </c>
      <c r="B3922" s="159"/>
      <c r="C3922" s="1"/>
      <c r="D3922" s="1" t="s">
        <v>2135</v>
      </c>
      <c r="E3922" s="1"/>
      <c r="F3922" s="1" t="s">
        <v>2139</v>
      </c>
      <c r="G3922" s="1">
        <v>256</v>
      </c>
      <c r="H3922" s="1" t="s">
        <v>19</v>
      </c>
      <c r="I3922" s="1" t="s">
        <v>569</v>
      </c>
      <c r="J3922" s="1">
        <v>0.03</v>
      </c>
      <c r="K3922" s="1">
        <v>7.68</v>
      </c>
      <c r="L3922" s="42">
        <v>10</v>
      </c>
      <c r="M3922" s="43">
        <v>46099</v>
      </c>
      <c r="N3922" s="1" t="e">
        <f>VLOOKUP(B3922,MICRO!E:L,8,0)</f>
        <v>#N/A</v>
      </c>
    </row>
    <row r="3923" spans="1:14" ht="20.25" x14ac:dyDescent="0.25">
      <c r="A3923" s="1">
        <v>56</v>
      </c>
      <c r="B3923" s="159"/>
      <c r="C3923" s="1"/>
      <c r="D3923" s="1" t="s">
        <v>2135</v>
      </c>
      <c r="E3923" s="1"/>
      <c r="F3923" s="1" t="s">
        <v>2140</v>
      </c>
      <c r="G3923" s="1">
        <v>296</v>
      </c>
      <c r="H3923" s="1" t="s">
        <v>19</v>
      </c>
      <c r="I3923" s="1" t="s">
        <v>569</v>
      </c>
      <c r="J3923" s="1">
        <v>0.02</v>
      </c>
      <c r="K3923" s="1">
        <v>5.92</v>
      </c>
      <c r="L3923" s="42">
        <v>10</v>
      </c>
      <c r="M3923" s="43">
        <v>46099</v>
      </c>
      <c r="N3923" s="1" t="e">
        <f>VLOOKUP(B3923,MICRO!E:L,8,0)</f>
        <v>#N/A</v>
      </c>
    </row>
    <row r="3924" spans="1:14" ht="20.25" x14ac:dyDescent="0.25">
      <c r="A3924" s="1">
        <v>57</v>
      </c>
      <c r="B3924" s="159"/>
      <c r="C3924" s="1"/>
      <c r="D3924" s="1" t="s">
        <v>2141</v>
      </c>
      <c r="E3924" s="1"/>
      <c r="F3924" s="1" t="s">
        <v>2142</v>
      </c>
      <c r="G3924" s="1">
        <v>252</v>
      </c>
      <c r="H3924" s="1" t="s">
        <v>19</v>
      </c>
      <c r="I3924" s="1" t="s">
        <v>570</v>
      </c>
      <c r="J3924" s="1">
        <v>0.05</v>
      </c>
      <c r="K3924" s="1">
        <v>12.600000000000001</v>
      </c>
      <c r="L3924" s="42">
        <v>10</v>
      </c>
      <c r="M3924" s="43">
        <v>46099</v>
      </c>
      <c r="N3924" s="1" t="e">
        <f>VLOOKUP(B3924,MICRO!E:L,8,0)</f>
        <v>#N/A</v>
      </c>
    </row>
    <row r="3925" spans="1:14" ht="20.25" x14ac:dyDescent="0.25">
      <c r="A3925" s="1">
        <v>58</v>
      </c>
      <c r="B3925" s="159"/>
      <c r="C3925" s="1"/>
      <c r="D3925" s="1" t="s">
        <v>2141</v>
      </c>
      <c r="E3925" s="1"/>
      <c r="F3925" s="1" t="s">
        <v>2143</v>
      </c>
      <c r="G3925" s="1">
        <v>16</v>
      </c>
      <c r="H3925" s="1" t="s">
        <v>19</v>
      </c>
      <c r="I3925" s="1" t="s">
        <v>570</v>
      </c>
      <c r="J3925" s="1">
        <v>0.05</v>
      </c>
      <c r="K3925" s="1">
        <v>0.8</v>
      </c>
      <c r="L3925" s="42">
        <v>10</v>
      </c>
      <c r="M3925" s="43">
        <v>46099</v>
      </c>
      <c r="N3925" s="1" t="e">
        <f>VLOOKUP(B3925,MICRO!E:L,8,0)</f>
        <v>#N/A</v>
      </c>
    </row>
    <row r="3926" spans="1:14" ht="20.25" x14ac:dyDescent="0.25">
      <c r="A3926" s="1">
        <v>59</v>
      </c>
      <c r="B3926" s="159"/>
      <c r="C3926" s="1"/>
      <c r="D3926" s="1" t="s">
        <v>2141</v>
      </c>
      <c r="E3926" s="1"/>
      <c r="F3926" s="1" t="s">
        <v>2144</v>
      </c>
      <c r="G3926" s="1">
        <v>8</v>
      </c>
      <c r="H3926" s="1" t="s">
        <v>19</v>
      </c>
      <c r="I3926" s="1" t="s">
        <v>570</v>
      </c>
      <c r="J3926" s="1">
        <v>0.05</v>
      </c>
      <c r="K3926" s="1">
        <v>0.4</v>
      </c>
      <c r="L3926" s="42">
        <v>10</v>
      </c>
      <c r="M3926" s="43">
        <v>46099</v>
      </c>
      <c r="N3926" s="1" t="e">
        <f>VLOOKUP(B3926,MICRO!E:L,8,0)</f>
        <v>#N/A</v>
      </c>
    </row>
    <row r="3927" spans="1:14" ht="20.25" x14ac:dyDescent="0.25">
      <c r="A3927" s="1">
        <v>60</v>
      </c>
      <c r="B3927" s="159"/>
      <c r="C3927" s="1"/>
      <c r="D3927" s="1" t="s">
        <v>2141</v>
      </c>
      <c r="E3927" s="1"/>
      <c r="F3927" s="1" t="s">
        <v>2145</v>
      </c>
      <c r="G3927" s="1">
        <v>228</v>
      </c>
      <c r="H3927" s="1" t="s">
        <v>19</v>
      </c>
      <c r="I3927" s="1" t="s">
        <v>570</v>
      </c>
      <c r="J3927" s="1">
        <v>0.03</v>
      </c>
      <c r="K3927" s="1">
        <v>6.84</v>
      </c>
      <c r="L3927" s="42">
        <v>10</v>
      </c>
      <c r="M3927" s="43">
        <v>46099</v>
      </c>
      <c r="N3927" s="1" t="e">
        <f>VLOOKUP(B3927,MICRO!E:L,8,0)</f>
        <v>#N/A</v>
      </c>
    </row>
    <row r="3928" spans="1:14" ht="20.25" x14ac:dyDescent="0.25">
      <c r="A3928" s="1">
        <v>61</v>
      </c>
      <c r="B3928" s="159"/>
      <c r="C3928" s="1"/>
      <c r="D3928" s="1" t="s">
        <v>2141</v>
      </c>
      <c r="E3928" s="1"/>
      <c r="F3928" s="1" t="s">
        <v>2146</v>
      </c>
      <c r="G3928" s="1">
        <v>268</v>
      </c>
      <c r="H3928" s="1" t="s">
        <v>19</v>
      </c>
      <c r="I3928" s="1" t="s">
        <v>570</v>
      </c>
      <c r="J3928" s="1">
        <v>0.02</v>
      </c>
      <c r="K3928" s="1">
        <v>5.36</v>
      </c>
      <c r="L3928" s="42">
        <v>10</v>
      </c>
      <c r="M3928" s="43">
        <v>46099</v>
      </c>
      <c r="N3928" s="1" t="e">
        <f>VLOOKUP(B3928,MICRO!E:L,8,0)</f>
        <v>#N/A</v>
      </c>
    </row>
    <row r="3929" spans="1:14" ht="20.25" x14ac:dyDescent="0.25">
      <c r="A3929" s="1">
        <v>62</v>
      </c>
      <c r="B3929" s="159"/>
      <c r="C3929" s="1"/>
      <c r="D3929" s="1" t="s">
        <v>2147</v>
      </c>
      <c r="E3929" s="1"/>
      <c r="F3929" s="1" t="s">
        <v>2148</v>
      </c>
      <c r="G3929" s="1">
        <v>252</v>
      </c>
      <c r="H3929" s="1" t="s">
        <v>19</v>
      </c>
      <c r="I3929" s="1" t="s">
        <v>571</v>
      </c>
      <c r="J3929" s="1">
        <v>0.05</v>
      </c>
      <c r="K3929" s="1">
        <v>12.600000000000001</v>
      </c>
      <c r="L3929" s="42">
        <v>10</v>
      </c>
      <c r="M3929" s="43">
        <v>46099</v>
      </c>
      <c r="N3929" s="1" t="e">
        <f>VLOOKUP(B3929,MICRO!E:L,8,0)</f>
        <v>#N/A</v>
      </c>
    </row>
    <row r="3930" spans="1:14" ht="20.25" x14ac:dyDescent="0.25">
      <c r="A3930" s="1">
        <v>63</v>
      </c>
      <c r="B3930" s="159"/>
      <c r="C3930" s="1"/>
      <c r="D3930" s="1" t="s">
        <v>2147</v>
      </c>
      <c r="E3930" s="1"/>
      <c r="F3930" s="1" t="s">
        <v>2149</v>
      </c>
      <c r="G3930" s="1">
        <v>16</v>
      </c>
      <c r="H3930" s="1" t="s">
        <v>19</v>
      </c>
      <c r="I3930" s="1" t="s">
        <v>571</v>
      </c>
      <c r="J3930" s="1">
        <v>0.05</v>
      </c>
      <c r="K3930" s="1">
        <v>0.8</v>
      </c>
      <c r="L3930" s="42">
        <v>10</v>
      </c>
      <c r="M3930" s="43">
        <v>46099</v>
      </c>
      <c r="N3930" s="1" t="e">
        <f>VLOOKUP(B3930,MICRO!E:L,8,0)</f>
        <v>#N/A</v>
      </c>
    </row>
    <row r="3931" spans="1:14" ht="20.25" x14ac:dyDescent="0.25">
      <c r="A3931" s="1">
        <v>64</v>
      </c>
      <c r="B3931" s="159"/>
      <c r="C3931" s="1"/>
      <c r="D3931" s="1" t="s">
        <v>2147</v>
      </c>
      <c r="E3931" s="1"/>
      <c r="F3931" s="1" t="s">
        <v>2150</v>
      </c>
      <c r="G3931" s="1">
        <v>8</v>
      </c>
      <c r="H3931" s="1" t="s">
        <v>19</v>
      </c>
      <c r="I3931" s="1" t="s">
        <v>571</v>
      </c>
      <c r="J3931" s="1">
        <v>0.05</v>
      </c>
      <c r="K3931" s="1">
        <v>0.4</v>
      </c>
      <c r="L3931" s="42">
        <v>10</v>
      </c>
      <c r="M3931" s="43">
        <v>46099</v>
      </c>
      <c r="N3931" s="1" t="e">
        <f>VLOOKUP(B3931,MICRO!E:L,8,0)</f>
        <v>#N/A</v>
      </c>
    </row>
    <row r="3932" spans="1:14" ht="20.25" x14ac:dyDescent="0.25">
      <c r="A3932" s="1">
        <v>65</v>
      </c>
      <c r="B3932" s="159"/>
      <c r="C3932" s="1"/>
      <c r="D3932" s="1" t="s">
        <v>2147</v>
      </c>
      <c r="E3932" s="1"/>
      <c r="F3932" s="1" t="s">
        <v>2151</v>
      </c>
      <c r="G3932" s="1">
        <v>228</v>
      </c>
      <c r="H3932" s="1" t="s">
        <v>19</v>
      </c>
      <c r="I3932" s="1" t="s">
        <v>571</v>
      </c>
      <c r="J3932" s="1">
        <v>0.03</v>
      </c>
      <c r="K3932" s="1">
        <v>6.84</v>
      </c>
      <c r="L3932" s="42">
        <v>10</v>
      </c>
      <c r="M3932" s="43">
        <v>46099</v>
      </c>
      <c r="N3932" s="1" t="e">
        <f>VLOOKUP(B3932,MICRO!E:L,8,0)</f>
        <v>#N/A</v>
      </c>
    </row>
    <row r="3933" spans="1:14" ht="20.25" x14ac:dyDescent="0.25">
      <c r="A3933" s="1">
        <v>66</v>
      </c>
      <c r="B3933" s="159"/>
      <c r="C3933" s="1"/>
      <c r="D3933" s="1" t="s">
        <v>2147</v>
      </c>
      <c r="E3933" s="1"/>
      <c r="F3933" s="1" t="s">
        <v>2152</v>
      </c>
      <c r="G3933" s="1">
        <v>268</v>
      </c>
      <c r="H3933" s="1" t="s">
        <v>19</v>
      </c>
      <c r="I3933" s="1" t="s">
        <v>571</v>
      </c>
      <c r="J3933" s="1">
        <v>0.02</v>
      </c>
      <c r="K3933" s="1">
        <v>5.36</v>
      </c>
      <c r="L3933" s="42">
        <v>10</v>
      </c>
      <c r="M3933" s="43">
        <v>46099</v>
      </c>
      <c r="N3933" s="1" t="e">
        <f>VLOOKUP(B3933,MICRO!E:L,8,0)</f>
        <v>#N/A</v>
      </c>
    </row>
    <row r="3934" spans="1:14" ht="20.25" x14ac:dyDescent="0.25">
      <c r="A3934" s="1">
        <v>67</v>
      </c>
      <c r="B3934" s="159"/>
      <c r="C3934" s="1"/>
      <c r="D3934" s="1" t="s">
        <v>2153</v>
      </c>
      <c r="E3934" s="1"/>
      <c r="F3934" s="1" t="s">
        <v>2154</v>
      </c>
      <c r="G3934" s="1">
        <v>182</v>
      </c>
      <c r="H3934" s="1" t="s">
        <v>19</v>
      </c>
      <c r="I3934" s="1" t="s">
        <v>572</v>
      </c>
      <c r="J3934" s="1">
        <v>0.05</v>
      </c>
      <c r="K3934" s="1">
        <v>9.1</v>
      </c>
      <c r="L3934" s="42">
        <v>10</v>
      </c>
      <c r="M3934" s="43">
        <v>46099</v>
      </c>
      <c r="N3934" s="1" t="e">
        <f>VLOOKUP(B3934,MICRO!E:L,8,0)</f>
        <v>#N/A</v>
      </c>
    </row>
    <row r="3935" spans="1:14" ht="20.25" x14ac:dyDescent="0.25">
      <c r="A3935" s="1">
        <v>68</v>
      </c>
      <c r="B3935" s="159"/>
      <c r="C3935" s="1"/>
      <c r="D3935" s="1" t="s">
        <v>2153</v>
      </c>
      <c r="E3935" s="1"/>
      <c r="F3935" s="1" t="s">
        <v>2155</v>
      </c>
      <c r="G3935" s="1">
        <v>16</v>
      </c>
      <c r="H3935" s="1" t="s">
        <v>19</v>
      </c>
      <c r="I3935" s="1" t="s">
        <v>572</v>
      </c>
      <c r="J3935" s="1">
        <v>0.05</v>
      </c>
      <c r="K3935" s="1">
        <v>0.8</v>
      </c>
      <c r="L3935" s="42">
        <v>10</v>
      </c>
      <c r="M3935" s="43">
        <v>46099</v>
      </c>
      <c r="N3935" s="1" t="e">
        <f>VLOOKUP(B3935,MICRO!E:L,8,0)</f>
        <v>#N/A</v>
      </c>
    </row>
    <row r="3936" spans="1:14" ht="20.25" x14ac:dyDescent="0.25">
      <c r="A3936" s="1">
        <v>69</v>
      </c>
      <c r="B3936" s="159"/>
      <c r="C3936" s="1"/>
      <c r="D3936" s="1" t="s">
        <v>2153</v>
      </c>
      <c r="E3936" s="1"/>
      <c r="F3936" s="1" t="s">
        <v>2156</v>
      </c>
      <c r="G3936" s="1">
        <v>8</v>
      </c>
      <c r="H3936" s="1" t="s">
        <v>19</v>
      </c>
      <c r="I3936" s="1" t="s">
        <v>572</v>
      </c>
      <c r="J3936" s="1">
        <v>0.05</v>
      </c>
      <c r="K3936" s="1">
        <v>0.4</v>
      </c>
      <c r="L3936" s="42">
        <v>10</v>
      </c>
      <c r="M3936" s="43">
        <v>46099</v>
      </c>
      <c r="N3936" s="1" t="e">
        <f>VLOOKUP(B3936,MICRO!E:L,8,0)</f>
        <v>#N/A</v>
      </c>
    </row>
    <row r="3937" spans="1:14" ht="20.25" x14ac:dyDescent="0.25">
      <c r="A3937" s="1">
        <v>70</v>
      </c>
      <c r="B3937" s="159"/>
      <c r="C3937" s="1"/>
      <c r="D3937" s="1" t="s">
        <v>2153</v>
      </c>
      <c r="E3937" s="1"/>
      <c r="F3937" s="1" t="s">
        <v>2157</v>
      </c>
      <c r="G3937" s="1">
        <v>158</v>
      </c>
      <c r="H3937" s="1" t="s">
        <v>19</v>
      </c>
      <c r="I3937" s="1" t="s">
        <v>572</v>
      </c>
      <c r="J3937" s="1">
        <v>0.03</v>
      </c>
      <c r="K3937" s="1">
        <v>4.74</v>
      </c>
      <c r="L3937" s="42">
        <v>10</v>
      </c>
      <c r="M3937" s="43">
        <v>46099</v>
      </c>
      <c r="N3937" s="1" t="e">
        <f>VLOOKUP(B3937,MICRO!E:L,8,0)</f>
        <v>#N/A</v>
      </c>
    </row>
    <row r="3938" spans="1:14" ht="20.25" x14ac:dyDescent="0.25">
      <c r="A3938" s="1">
        <v>71</v>
      </c>
      <c r="B3938" s="159"/>
      <c r="C3938" s="1"/>
      <c r="D3938" s="1" t="s">
        <v>2153</v>
      </c>
      <c r="E3938" s="1"/>
      <c r="F3938" s="1" t="s">
        <v>2158</v>
      </c>
      <c r="G3938" s="1">
        <v>198</v>
      </c>
      <c r="H3938" s="1" t="s">
        <v>19</v>
      </c>
      <c r="I3938" s="1" t="s">
        <v>572</v>
      </c>
      <c r="J3938" s="1">
        <v>0.02</v>
      </c>
      <c r="K3938" s="1">
        <v>3.96</v>
      </c>
      <c r="L3938" s="42">
        <v>10</v>
      </c>
      <c r="M3938" s="43">
        <v>46099</v>
      </c>
      <c r="N3938" s="1" t="e">
        <f>VLOOKUP(B3938,MICRO!E:L,8,0)</f>
        <v>#N/A</v>
      </c>
    </row>
    <row r="3939" spans="1:14" ht="20.25" x14ac:dyDescent="0.25">
      <c r="A3939" s="1">
        <v>72</v>
      </c>
      <c r="B3939" s="159"/>
      <c r="C3939" s="1"/>
      <c r="D3939" s="1" t="s">
        <v>2159</v>
      </c>
      <c r="E3939" s="1"/>
      <c r="F3939" s="1" t="s">
        <v>2160</v>
      </c>
      <c r="G3939" s="1">
        <v>36</v>
      </c>
      <c r="H3939" s="1" t="s">
        <v>19</v>
      </c>
      <c r="I3939" s="1" t="s">
        <v>424</v>
      </c>
      <c r="J3939" s="1">
        <v>0.05</v>
      </c>
      <c r="K3939" s="1">
        <v>1.8</v>
      </c>
      <c r="L3939" s="42">
        <v>10</v>
      </c>
      <c r="M3939" s="43">
        <v>46099</v>
      </c>
      <c r="N3939" s="1" t="e">
        <f>VLOOKUP(B3939,MICRO!E:L,8,0)</f>
        <v>#N/A</v>
      </c>
    </row>
    <row r="3940" spans="1:14" ht="20.25" x14ac:dyDescent="0.25">
      <c r="A3940" s="1">
        <v>73</v>
      </c>
      <c r="B3940" s="159"/>
      <c r="C3940" s="1"/>
      <c r="D3940" s="1" t="s">
        <v>2159</v>
      </c>
      <c r="E3940" s="1"/>
      <c r="F3940" s="1" t="s">
        <v>2161</v>
      </c>
      <c r="G3940" s="1">
        <v>36</v>
      </c>
      <c r="H3940" s="1" t="s">
        <v>19</v>
      </c>
      <c r="I3940" s="1" t="s">
        <v>424</v>
      </c>
      <c r="J3940" s="1">
        <v>0.03</v>
      </c>
      <c r="K3940" s="1">
        <v>1.08</v>
      </c>
      <c r="L3940" s="42">
        <v>10</v>
      </c>
      <c r="M3940" s="43">
        <v>46099</v>
      </c>
      <c r="N3940" s="1" t="e">
        <f>VLOOKUP(B3940,MICRO!E:L,8,0)</f>
        <v>#N/A</v>
      </c>
    </row>
    <row r="3941" spans="1:14" ht="20.25" x14ac:dyDescent="0.25">
      <c r="A3941" s="1">
        <v>74</v>
      </c>
      <c r="B3941" s="159"/>
      <c r="C3941" s="1"/>
      <c r="D3941" s="1" t="s">
        <v>2159</v>
      </c>
      <c r="E3941" s="1"/>
      <c r="F3941" s="1" t="s">
        <v>2162</v>
      </c>
      <c r="G3941" s="1">
        <v>36</v>
      </c>
      <c r="H3941" s="1" t="s">
        <v>19</v>
      </c>
      <c r="I3941" s="1" t="s">
        <v>424</v>
      </c>
      <c r="J3941" s="1">
        <v>0.03</v>
      </c>
      <c r="K3941" s="1">
        <v>1.08</v>
      </c>
      <c r="L3941" s="42">
        <v>10</v>
      </c>
      <c r="M3941" s="43">
        <v>46099</v>
      </c>
      <c r="N3941" s="1" t="e">
        <f>VLOOKUP(B3941,MICRO!E:L,8,0)</f>
        <v>#N/A</v>
      </c>
    </row>
    <row r="3942" spans="1:14" ht="20.25" x14ac:dyDescent="0.25">
      <c r="A3942" s="1">
        <v>75</v>
      </c>
      <c r="B3942" s="159"/>
      <c r="C3942" s="1"/>
      <c r="D3942" s="1" t="s">
        <v>2159</v>
      </c>
      <c r="E3942" s="1"/>
      <c r="F3942" s="1" t="s">
        <v>2163</v>
      </c>
      <c r="G3942" s="1">
        <v>18</v>
      </c>
      <c r="H3942" s="1" t="s">
        <v>19</v>
      </c>
      <c r="I3942" s="1" t="s">
        <v>424</v>
      </c>
      <c r="J3942" s="1">
        <v>0.05</v>
      </c>
      <c r="K3942" s="1">
        <v>0.9</v>
      </c>
      <c r="L3942" s="42">
        <v>10</v>
      </c>
      <c r="M3942" s="43">
        <v>46099</v>
      </c>
      <c r="N3942" s="1" t="e">
        <f>VLOOKUP(B3942,MICRO!E:L,8,0)</f>
        <v>#N/A</v>
      </c>
    </row>
    <row r="3943" spans="1:14" ht="20.25" x14ac:dyDescent="0.25">
      <c r="A3943" s="1">
        <v>76</v>
      </c>
      <c r="B3943" s="159"/>
      <c r="C3943" s="1"/>
      <c r="D3943" s="1" t="s">
        <v>2159</v>
      </c>
      <c r="E3943" s="1"/>
      <c r="F3943" s="1" t="s">
        <v>2164</v>
      </c>
      <c r="G3943" s="1">
        <v>18</v>
      </c>
      <c r="H3943" s="1" t="s">
        <v>19</v>
      </c>
      <c r="I3943" s="1" t="s">
        <v>424</v>
      </c>
      <c r="J3943" s="1">
        <v>0.03</v>
      </c>
      <c r="K3943" s="1">
        <v>0.54</v>
      </c>
      <c r="L3943" s="42">
        <v>10</v>
      </c>
      <c r="M3943" s="43">
        <v>46099</v>
      </c>
      <c r="N3943" s="1" t="e">
        <f>VLOOKUP(B3943,MICRO!E:L,8,0)</f>
        <v>#N/A</v>
      </c>
    </row>
    <row r="3944" spans="1:14" ht="20.25" x14ac:dyDescent="0.25">
      <c r="A3944" s="1">
        <v>77</v>
      </c>
      <c r="B3944" s="159"/>
      <c r="C3944" s="1"/>
      <c r="D3944" s="1" t="s">
        <v>2159</v>
      </c>
      <c r="E3944" s="1"/>
      <c r="F3944" s="1" t="s">
        <v>2165</v>
      </c>
      <c r="G3944" s="1">
        <v>18</v>
      </c>
      <c r="H3944" s="1" t="s">
        <v>19</v>
      </c>
      <c r="I3944" s="1" t="s">
        <v>424</v>
      </c>
      <c r="J3944" s="1">
        <v>0.03</v>
      </c>
      <c r="K3944" s="1">
        <v>0.54</v>
      </c>
      <c r="L3944" s="42">
        <v>10</v>
      </c>
      <c r="M3944" s="43">
        <v>46099</v>
      </c>
      <c r="N3944" s="1" t="e">
        <f>VLOOKUP(B3944,MICRO!E:L,8,0)</f>
        <v>#N/A</v>
      </c>
    </row>
    <row r="3945" spans="1:14" ht="20.25" x14ac:dyDescent="0.25">
      <c r="A3945" s="1">
        <v>78</v>
      </c>
      <c r="B3945" s="159"/>
      <c r="C3945" s="1"/>
      <c r="D3945" s="1" t="s">
        <v>2166</v>
      </c>
      <c r="E3945" s="1"/>
      <c r="F3945" s="1" t="s">
        <v>2167</v>
      </c>
      <c r="G3945" s="1">
        <v>27</v>
      </c>
      <c r="H3945" s="1" t="s">
        <v>19</v>
      </c>
      <c r="I3945" s="1" t="s">
        <v>425</v>
      </c>
      <c r="J3945" s="1">
        <v>0.05</v>
      </c>
      <c r="K3945" s="1">
        <v>1.35</v>
      </c>
      <c r="L3945" s="42">
        <v>10</v>
      </c>
      <c r="M3945" s="43">
        <v>46099</v>
      </c>
      <c r="N3945" s="1" t="e">
        <f>VLOOKUP(B3945,MICRO!E:L,8,0)</f>
        <v>#N/A</v>
      </c>
    </row>
    <row r="3946" spans="1:14" ht="20.25" x14ac:dyDescent="0.25">
      <c r="A3946" s="1">
        <v>79</v>
      </c>
      <c r="B3946" s="159"/>
      <c r="C3946" s="1"/>
      <c r="D3946" s="1" t="s">
        <v>2166</v>
      </c>
      <c r="E3946" s="1"/>
      <c r="F3946" s="1" t="s">
        <v>2168</v>
      </c>
      <c r="G3946" s="1">
        <v>27</v>
      </c>
      <c r="H3946" s="1" t="s">
        <v>19</v>
      </c>
      <c r="I3946" s="1" t="s">
        <v>425</v>
      </c>
      <c r="J3946" s="1">
        <v>0.03</v>
      </c>
      <c r="K3946" s="1">
        <v>0.80999999999999994</v>
      </c>
      <c r="L3946" s="42">
        <v>10</v>
      </c>
      <c r="M3946" s="43">
        <v>46099</v>
      </c>
      <c r="N3946" s="1" t="e">
        <f>VLOOKUP(B3946,MICRO!E:L,8,0)</f>
        <v>#N/A</v>
      </c>
    </row>
    <row r="3947" spans="1:14" ht="20.25" x14ac:dyDescent="0.25">
      <c r="A3947" s="1">
        <v>80</v>
      </c>
      <c r="B3947" s="159"/>
      <c r="C3947" s="1"/>
      <c r="D3947" s="1" t="s">
        <v>2166</v>
      </c>
      <c r="E3947" s="1"/>
      <c r="F3947" s="1" t="s">
        <v>2169</v>
      </c>
      <c r="G3947" s="1">
        <v>27</v>
      </c>
      <c r="H3947" s="1" t="s">
        <v>19</v>
      </c>
      <c r="I3947" s="1" t="s">
        <v>425</v>
      </c>
      <c r="J3947" s="1">
        <v>0.03</v>
      </c>
      <c r="K3947" s="1">
        <v>0.80999999999999994</v>
      </c>
      <c r="L3947" s="42">
        <v>10</v>
      </c>
      <c r="M3947" s="43">
        <v>46099</v>
      </c>
      <c r="N3947" s="1" t="e">
        <f>VLOOKUP(B3947,MICRO!E:L,8,0)</f>
        <v>#N/A</v>
      </c>
    </row>
    <row r="3948" spans="1:14" ht="20.25" x14ac:dyDescent="0.25">
      <c r="A3948" s="1">
        <v>81</v>
      </c>
      <c r="B3948" s="159"/>
      <c r="C3948" s="1"/>
      <c r="D3948" s="1" t="s">
        <v>2170</v>
      </c>
      <c r="E3948" s="1"/>
      <c r="F3948" s="1" t="s">
        <v>2171</v>
      </c>
      <c r="G3948" s="1">
        <v>36</v>
      </c>
      <c r="H3948" s="1" t="s">
        <v>19</v>
      </c>
      <c r="I3948" s="1" t="s">
        <v>426</v>
      </c>
      <c r="J3948" s="1">
        <v>0.05</v>
      </c>
      <c r="K3948" s="1">
        <v>1.8</v>
      </c>
      <c r="L3948" s="42">
        <v>10</v>
      </c>
      <c r="M3948" s="43">
        <v>46099</v>
      </c>
      <c r="N3948" s="1" t="e">
        <f>VLOOKUP(B3948,MICRO!E:L,8,0)</f>
        <v>#N/A</v>
      </c>
    </row>
    <row r="3949" spans="1:14" ht="20.25" x14ac:dyDescent="0.25">
      <c r="A3949" s="1">
        <v>82</v>
      </c>
      <c r="B3949" s="159"/>
      <c r="C3949" s="1"/>
      <c r="D3949" s="1" t="s">
        <v>2170</v>
      </c>
      <c r="E3949" s="1"/>
      <c r="F3949" s="1" t="s">
        <v>2172</v>
      </c>
      <c r="G3949" s="1">
        <v>36</v>
      </c>
      <c r="H3949" s="1" t="s">
        <v>19</v>
      </c>
      <c r="I3949" s="1" t="s">
        <v>426</v>
      </c>
      <c r="J3949" s="1">
        <v>0.03</v>
      </c>
      <c r="K3949" s="1">
        <v>1.08</v>
      </c>
      <c r="L3949" s="42">
        <v>10</v>
      </c>
      <c r="M3949" s="43">
        <v>46099</v>
      </c>
      <c r="N3949" s="1" t="e">
        <f>VLOOKUP(B3949,MICRO!E:L,8,0)</f>
        <v>#N/A</v>
      </c>
    </row>
    <row r="3950" spans="1:14" ht="20.25" x14ac:dyDescent="0.25">
      <c r="A3950" s="1">
        <v>83</v>
      </c>
      <c r="B3950" s="159"/>
      <c r="C3950" s="1"/>
      <c r="D3950" s="1" t="s">
        <v>2170</v>
      </c>
      <c r="E3950" s="1"/>
      <c r="F3950" s="1" t="s">
        <v>2173</v>
      </c>
      <c r="G3950" s="1">
        <v>36</v>
      </c>
      <c r="H3950" s="1" t="s">
        <v>19</v>
      </c>
      <c r="I3950" s="1" t="s">
        <v>426</v>
      </c>
      <c r="J3950" s="1">
        <v>0.03</v>
      </c>
      <c r="K3950" s="1">
        <v>1.08</v>
      </c>
      <c r="L3950" s="42">
        <v>10</v>
      </c>
      <c r="M3950" s="43">
        <v>46099</v>
      </c>
      <c r="N3950" s="1" t="e">
        <f>VLOOKUP(B3950,MICRO!E:L,8,0)</f>
        <v>#N/A</v>
      </c>
    </row>
    <row r="3951" spans="1:14" ht="20.25" x14ac:dyDescent="0.25">
      <c r="A3951" s="1">
        <v>84</v>
      </c>
      <c r="B3951" s="159"/>
      <c r="C3951" s="1"/>
      <c r="D3951" s="1" t="s">
        <v>2174</v>
      </c>
      <c r="E3951" s="1"/>
      <c r="F3951" s="1" t="s">
        <v>2175</v>
      </c>
      <c r="G3951" s="1">
        <v>72</v>
      </c>
      <c r="H3951" s="1" t="s">
        <v>19</v>
      </c>
      <c r="I3951" s="1" t="s">
        <v>427</v>
      </c>
      <c r="J3951" s="1">
        <v>0.05</v>
      </c>
      <c r="K3951" s="1">
        <v>3.6</v>
      </c>
      <c r="L3951" s="42">
        <v>10</v>
      </c>
      <c r="M3951" s="43">
        <v>46099</v>
      </c>
      <c r="N3951" s="1" t="e">
        <f>VLOOKUP(B3951,MICRO!E:L,8,0)</f>
        <v>#N/A</v>
      </c>
    </row>
    <row r="3952" spans="1:14" ht="20.25" x14ac:dyDescent="0.25">
      <c r="A3952" s="1">
        <v>85</v>
      </c>
      <c r="B3952" s="159"/>
      <c r="C3952" s="1"/>
      <c r="D3952" s="1" t="s">
        <v>2174</v>
      </c>
      <c r="E3952" s="1"/>
      <c r="F3952" s="1" t="s">
        <v>2176</v>
      </c>
      <c r="G3952" s="1">
        <v>72</v>
      </c>
      <c r="H3952" s="1" t="s">
        <v>19</v>
      </c>
      <c r="I3952" s="1" t="s">
        <v>427</v>
      </c>
      <c r="J3952" s="1">
        <v>0.03</v>
      </c>
      <c r="K3952" s="1">
        <v>2.16</v>
      </c>
      <c r="L3952" s="42">
        <v>10</v>
      </c>
      <c r="M3952" s="43">
        <v>46099</v>
      </c>
      <c r="N3952" s="1" t="e">
        <f>VLOOKUP(B3952,MICRO!E:L,8,0)</f>
        <v>#N/A</v>
      </c>
    </row>
    <row r="3953" spans="1:14" ht="20.25" x14ac:dyDescent="0.25">
      <c r="A3953" s="1">
        <v>86</v>
      </c>
      <c r="B3953" s="159"/>
      <c r="C3953" s="1"/>
      <c r="D3953" s="1" t="s">
        <v>2174</v>
      </c>
      <c r="E3953" s="1"/>
      <c r="F3953" s="1" t="s">
        <v>2177</v>
      </c>
      <c r="G3953" s="1">
        <v>72</v>
      </c>
      <c r="H3953" s="1" t="s">
        <v>19</v>
      </c>
      <c r="I3953" s="1" t="s">
        <v>427</v>
      </c>
      <c r="J3953" s="1">
        <v>0.03</v>
      </c>
      <c r="K3953" s="1">
        <v>2.16</v>
      </c>
      <c r="L3953" s="42">
        <v>10</v>
      </c>
      <c r="M3953" s="43">
        <v>46099</v>
      </c>
      <c r="N3953" s="1" t="e">
        <f>VLOOKUP(B3953,MICRO!E:L,8,0)</f>
        <v>#N/A</v>
      </c>
    </row>
    <row r="3954" spans="1:14" ht="20.25" x14ac:dyDescent="0.25">
      <c r="A3954" s="1">
        <v>87</v>
      </c>
      <c r="B3954" s="159"/>
      <c r="C3954" s="1" t="s">
        <v>2483</v>
      </c>
      <c r="D3954" s="1" t="s">
        <v>2511</v>
      </c>
      <c r="E3954" s="1"/>
      <c r="F3954" s="1" t="s">
        <v>2121</v>
      </c>
      <c r="G3954" s="1">
        <v>8</v>
      </c>
      <c r="H3954" s="1" t="s">
        <v>19</v>
      </c>
      <c r="I3954" s="1" t="s">
        <v>569</v>
      </c>
      <c r="J3954" s="1">
        <v>1.5</v>
      </c>
      <c r="K3954" s="1">
        <v>12</v>
      </c>
      <c r="L3954" s="42">
        <v>10</v>
      </c>
      <c r="M3954" s="43">
        <v>46099</v>
      </c>
      <c r="N3954" s="1" t="e">
        <f>VLOOKUP(B3954,MICRO!E:L,8,0)</f>
        <v>#N/A</v>
      </c>
    </row>
    <row r="3955" spans="1:14" ht="20.25" x14ac:dyDescent="0.25">
      <c r="A3955" s="1">
        <v>88</v>
      </c>
      <c r="B3955" s="159"/>
      <c r="C3955" s="1" t="s">
        <v>2483</v>
      </c>
      <c r="D3955" s="1" t="s">
        <v>2511</v>
      </c>
      <c r="E3955" s="1"/>
      <c r="F3955" s="1" t="s">
        <v>2512</v>
      </c>
      <c r="G3955" s="1">
        <v>5</v>
      </c>
      <c r="H3955" s="1" t="s">
        <v>19</v>
      </c>
      <c r="I3955" s="1" t="s">
        <v>569</v>
      </c>
      <c r="J3955" s="1">
        <v>1.5</v>
      </c>
      <c r="K3955" s="1">
        <v>7.5</v>
      </c>
      <c r="L3955" s="42">
        <v>10</v>
      </c>
      <c r="M3955" s="43">
        <v>46099</v>
      </c>
      <c r="N3955" s="1" t="e">
        <f>VLOOKUP(B3955,MICRO!E:L,8,0)</f>
        <v>#N/A</v>
      </c>
    </row>
    <row r="3956" spans="1:14" ht="20.25" x14ac:dyDescent="0.25">
      <c r="A3956" s="1">
        <v>89</v>
      </c>
      <c r="B3956" s="159"/>
      <c r="C3956" s="1" t="s">
        <v>2478</v>
      </c>
      <c r="D3956" s="1" t="s">
        <v>2513</v>
      </c>
      <c r="E3956" s="1"/>
      <c r="F3956" s="1" t="s">
        <v>2121</v>
      </c>
      <c r="G3956" s="1">
        <v>7</v>
      </c>
      <c r="H3956" s="1" t="s">
        <v>19</v>
      </c>
      <c r="I3956" s="1" t="s">
        <v>570</v>
      </c>
      <c r="J3956" s="1">
        <v>1.5</v>
      </c>
      <c r="K3956" s="1">
        <v>10.5</v>
      </c>
      <c r="L3956" s="42">
        <v>10</v>
      </c>
      <c r="M3956" s="43">
        <v>46099</v>
      </c>
      <c r="N3956" s="1" t="e">
        <f>VLOOKUP(B3956,MICRO!E:L,8,0)</f>
        <v>#N/A</v>
      </c>
    </row>
    <row r="3957" spans="1:14" ht="20.25" x14ac:dyDescent="0.25">
      <c r="A3957" s="1">
        <v>90</v>
      </c>
      <c r="B3957" s="159"/>
      <c r="C3957" s="1" t="s">
        <v>2478</v>
      </c>
      <c r="D3957" s="1" t="s">
        <v>2513</v>
      </c>
      <c r="E3957" s="1"/>
      <c r="F3957" s="1" t="s">
        <v>2512</v>
      </c>
      <c r="G3957" s="1">
        <v>5</v>
      </c>
      <c r="H3957" s="1" t="s">
        <v>19</v>
      </c>
      <c r="I3957" s="1" t="s">
        <v>570</v>
      </c>
      <c r="J3957" s="1">
        <v>1.5</v>
      </c>
      <c r="K3957" s="1">
        <v>7.5</v>
      </c>
      <c r="L3957" s="42">
        <v>10</v>
      </c>
      <c r="M3957" s="43">
        <v>46099</v>
      </c>
      <c r="N3957" s="1" t="e">
        <f>VLOOKUP(B3957,MICRO!E:L,8,0)</f>
        <v>#N/A</v>
      </c>
    </row>
    <row r="3958" spans="1:14" ht="20.25" x14ac:dyDescent="0.25">
      <c r="A3958" s="1">
        <v>91</v>
      </c>
      <c r="B3958" s="159"/>
      <c r="C3958" s="1" t="s">
        <v>2488</v>
      </c>
      <c r="D3958" s="1" t="s">
        <v>2514</v>
      </c>
      <c r="E3958" s="1"/>
      <c r="F3958" s="1" t="s">
        <v>2121</v>
      </c>
      <c r="G3958" s="1">
        <v>7</v>
      </c>
      <c r="H3958" s="1" t="s">
        <v>19</v>
      </c>
      <c r="I3958" s="1" t="s">
        <v>571</v>
      </c>
      <c r="J3958" s="1">
        <v>1.5</v>
      </c>
      <c r="K3958" s="1">
        <v>10.5</v>
      </c>
      <c r="L3958" s="42">
        <v>10</v>
      </c>
      <c r="M3958" s="43">
        <v>46099</v>
      </c>
      <c r="N3958" s="1" t="e">
        <f>VLOOKUP(B3958,MICRO!E:L,8,0)</f>
        <v>#N/A</v>
      </c>
    </row>
    <row r="3959" spans="1:14" ht="20.25" x14ac:dyDescent="0.25">
      <c r="A3959" s="1">
        <v>92</v>
      </c>
      <c r="B3959" s="159"/>
      <c r="C3959" s="1" t="s">
        <v>2488</v>
      </c>
      <c r="D3959" s="1" t="s">
        <v>2514</v>
      </c>
      <c r="E3959" s="1"/>
      <c r="F3959" s="1" t="s">
        <v>2512</v>
      </c>
      <c r="G3959" s="1">
        <v>5</v>
      </c>
      <c r="H3959" s="1" t="s">
        <v>19</v>
      </c>
      <c r="I3959" s="1" t="s">
        <v>571</v>
      </c>
      <c r="J3959" s="1">
        <v>1.5</v>
      </c>
      <c r="K3959" s="1">
        <v>7.5</v>
      </c>
      <c r="L3959" s="42">
        <v>10</v>
      </c>
      <c r="M3959" s="43">
        <v>46099</v>
      </c>
      <c r="N3959" s="1" t="e">
        <f>VLOOKUP(B3959,MICRO!E:L,8,0)</f>
        <v>#N/A</v>
      </c>
    </row>
    <row r="3960" spans="1:14" ht="20.25" x14ac:dyDescent="0.25">
      <c r="A3960" s="1">
        <v>93</v>
      </c>
      <c r="B3960" s="159"/>
      <c r="C3960" s="1" t="s">
        <v>2482</v>
      </c>
      <c r="D3960" s="1" t="s">
        <v>2515</v>
      </c>
      <c r="E3960" s="1"/>
      <c r="F3960" s="1" t="s">
        <v>2121</v>
      </c>
      <c r="G3960" s="1">
        <v>5</v>
      </c>
      <c r="H3960" s="1" t="s">
        <v>19</v>
      </c>
      <c r="I3960" s="1" t="s">
        <v>572</v>
      </c>
      <c r="J3960" s="1">
        <v>1.5</v>
      </c>
      <c r="K3960" s="1">
        <v>7.5</v>
      </c>
      <c r="L3960" s="42">
        <v>10</v>
      </c>
      <c r="M3960" s="43">
        <v>46099</v>
      </c>
      <c r="N3960" s="1" t="e">
        <f>VLOOKUP(B3960,MICRO!E:L,8,0)</f>
        <v>#N/A</v>
      </c>
    </row>
    <row r="3961" spans="1:14" ht="20.25" x14ac:dyDescent="0.25">
      <c r="A3961" s="1">
        <v>94</v>
      </c>
      <c r="B3961" s="159"/>
      <c r="C3961" s="1" t="s">
        <v>2482</v>
      </c>
      <c r="D3961" s="1" t="s">
        <v>2515</v>
      </c>
      <c r="E3961" s="1"/>
      <c r="F3961" s="1" t="s">
        <v>2512</v>
      </c>
      <c r="G3961" s="1">
        <v>5</v>
      </c>
      <c r="H3961" s="1" t="s">
        <v>19</v>
      </c>
      <c r="I3961" s="1" t="s">
        <v>572</v>
      </c>
      <c r="J3961" s="1">
        <v>1.5</v>
      </c>
      <c r="K3961" s="1">
        <v>7.5</v>
      </c>
      <c r="L3961" s="42">
        <v>10</v>
      </c>
      <c r="M3961" s="43">
        <v>46099</v>
      </c>
      <c r="N3961" s="1" t="e">
        <f>VLOOKUP(B3961,MICRO!E:L,8,0)</f>
        <v>#N/A</v>
      </c>
    </row>
    <row r="3962" spans="1:14" ht="20.25" x14ac:dyDescent="0.25">
      <c r="A3962" s="1">
        <v>95</v>
      </c>
      <c r="B3962" s="159"/>
      <c r="C3962" s="1" t="s">
        <v>2482</v>
      </c>
      <c r="D3962" s="1"/>
      <c r="E3962" s="1"/>
      <c r="F3962" s="1" t="s">
        <v>2516</v>
      </c>
      <c r="G3962" s="1">
        <v>1</v>
      </c>
      <c r="H3962" s="1" t="s">
        <v>19</v>
      </c>
      <c r="I3962" s="1" t="s">
        <v>572</v>
      </c>
      <c r="J3962" s="1">
        <v>0.8</v>
      </c>
      <c r="K3962" s="1">
        <v>0.8</v>
      </c>
      <c r="L3962" s="42">
        <v>10</v>
      </c>
      <c r="M3962" s="43">
        <v>46099</v>
      </c>
      <c r="N3962" s="1" t="e">
        <f>VLOOKUP(B3962,MICRO!E:L,8,0)</f>
        <v>#N/A</v>
      </c>
    </row>
    <row r="3963" spans="1:14" ht="20.25" x14ac:dyDescent="0.25">
      <c r="A3963" s="1">
        <v>96</v>
      </c>
      <c r="B3963" s="159"/>
      <c r="C3963" s="1" t="s">
        <v>2482</v>
      </c>
      <c r="D3963" s="1"/>
      <c r="E3963" s="1"/>
      <c r="F3963" s="1" t="s">
        <v>2516</v>
      </c>
      <c r="G3963" s="1">
        <v>1</v>
      </c>
      <c r="H3963" s="1" t="s">
        <v>19</v>
      </c>
      <c r="I3963" s="1" t="s">
        <v>572</v>
      </c>
      <c r="J3963" s="1">
        <v>0.8</v>
      </c>
      <c r="K3963" s="1">
        <v>0.8</v>
      </c>
      <c r="L3963" s="42">
        <v>10</v>
      </c>
      <c r="M3963" s="43">
        <v>46099</v>
      </c>
      <c r="N3963" s="1" t="e">
        <f>VLOOKUP(B3963,MICRO!E:L,8,0)</f>
        <v>#N/A</v>
      </c>
    </row>
    <row r="3964" spans="1:14" ht="20.25" x14ac:dyDescent="0.25">
      <c r="A3964" s="1">
        <v>97</v>
      </c>
      <c r="B3964" s="159"/>
      <c r="C3964" s="1" t="s">
        <v>2482</v>
      </c>
      <c r="D3964" s="1"/>
      <c r="E3964" s="1"/>
      <c r="F3964" s="1" t="s">
        <v>2516</v>
      </c>
      <c r="G3964" s="1">
        <v>1</v>
      </c>
      <c r="H3964" s="1" t="s">
        <v>19</v>
      </c>
      <c r="I3964" s="1" t="s">
        <v>572</v>
      </c>
      <c r="J3964" s="1">
        <v>0.8</v>
      </c>
      <c r="K3964" s="1">
        <v>0.8</v>
      </c>
      <c r="L3964" s="42">
        <v>10</v>
      </c>
      <c r="M3964" s="43">
        <v>46099</v>
      </c>
      <c r="N3964" s="1" t="e">
        <f>VLOOKUP(B3964,MICRO!E:L,8,0)</f>
        <v>#N/A</v>
      </c>
    </row>
    <row r="3965" spans="1:14" ht="20.25" x14ac:dyDescent="0.25">
      <c r="A3965" s="1">
        <v>98</v>
      </c>
      <c r="B3965" s="159"/>
      <c r="C3965" s="1" t="s">
        <v>2482</v>
      </c>
      <c r="D3965" s="1"/>
      <c r="E3965" s="1"/>
      <c r="F3965" s="1" t="s">
        <v>2517</v>
      </c>
      <c r="G3965" s="1">
        <v>1</v>
      </c>
      <c r="H3965" s="1" t="s">
        <v>19</v>
      </c>
      <c r="I3965" s="1" t="s">
        <v>572</v>
      </c>
      <c r="J3965" s="1">
        <v>0.8</v>
      </c>
      <c r="K3965" s="1">
        <v>0.8</v>
      </c>
      <c r="L3965" s="42">
        <v>10</v>
      </c>
      <c r="M3965" s="43">
        <v>46099</v>
      </c>
      <c r="N3965" s="1" t="e">
        <f>VLOOKUP(B3965,MICRO!E:L,8,0)</f>
        <v>#N/A</v>
      </c>
    </row>
    <row r="3966" spans="1:14" ht="20.25" x14ac:dyDescent="0.25">
      <c r="A3966" s="1">
        <v>99</v>
      </c>
      <c r="B3966" s="159"/>
      <c r="C3966" s="1" t="s">
        <v>2482</v>
      </c>
      <c r="D3966" s="1"/>
      <c r="E3966" s="1"/>
      <c r="F3966" s="1" t="s">
        <v>2518</v>
      </c>
      <c r="G3966" s="1">
        <v>1</v>
      </c>
      <c r="H3966" s="1" t="s">
        <v>19</v>
      </c>
      <c r="I3966" s="1" t="s">
        <v>572</v>
      </c>
      <c r="J3966" s="1">
        <v>0.8</v>
      </c>
      <c r="K3966" s="1">
        <v>0.8</v>
      </c>
      <c r="L3966" s="42">
        <v>10</v>
      </c>
      <c r="M3966" s="43">
        <v>46099</v>
      </c>
      <c r="N3966" s="1" t="e">
        <f>VLOOKUP(B3966,MICRO!E:L,8,0)</f>
        <v>#N/A</v>
      </c>
    </row>
    <row r="3967" spans="1:14" ht="20.25" x14ac:dyDescent="0.25">
      <c r="A3967" s="1">
        <v>100</v>
      </c>
      <c r="B3967" s="159"/>
      <c r="C3967" s="1" t="s">
        <v>2482</v>
      </c>
      <c r="D3967" s="1"/>
      <c r="E3967" s="1"/>
      <c r="F3967" s="1" t="s">
        <v>2518</v>
      </c>
      <c r="G3967" s="1">
        <v>1</v>
      </c>
      <c r="H3967" s="1" t="s">
        <v>19</v>
      </c>
      <c r="I3967" s="1" t="s">
        <v>572</v>
      </c>
      <c r="J3967" s="1">
        <v>0.8</v>
      </c>
      <c r="K3967" s="1">
        <v>0.8</v>
      </c>
      <c r="L3967" s="42">
        <v>10</v>
      </c>
      <c r="M3967" s="43">
        <v>46099</v>
      </c>
      <c r="N3967" s="1" t="e">
        <f>VLOOKUP(B3967,MICRO!E:L,8,0)</f>
        <v>#N/A</v>
      </c>
    </row>
    <row r="3968" spans="1:14" ht="20.25" x14ac:dyDescent="0.25">
      <c r="A3968" s="1">
        <v>101</v>
      </c>
      <c r="B3968" s="159"/>
      <c r="C3968" s="1" t="s">
        <v>2187</v>
      </c>
      <c r="D3968" s="1"/>
      <c r="E3968" s="1"/>
      <c r="F3968" s="1" t="s">
        <v>2519</v>
      </c>
      <c r="G3968" s="1">
        <v>4</v>
      </c>
      <c r="H3968" s="1" t="s">
        <v>19</v>
      </c>
      <c r="I3968" s="1" t="s">
        <v>1345</v>
      </c>
      <c r="J3968" s="1">
        <v>0.5</v>
      </c>
      <c r="K3968" s="1">
        <v>2</v>
      </c>
      <c r="L3968" s="42">
        <v>10</v>
      </c>
      <c r="M3968" s="43">
        <v>46099</v>
      </c>
      <c r="N3968" s="1" t="e">
        <f>VLOOKUP(B3968,MICRO!E:L,8,0)</f>
        <v>#N/A</v>
      </c>
    </row>
    <row r="3969" spans="1:14" ht="20.25" x14ac:dyDescent="0.25">
      <c r="A3969" s="1">
        <v>1</v>
      </c>
      <c r="B3969" s="159"/>
      <c r="C3969" s="1"/>
      <c r="D3969" s="1"/>
      <c r="E3969" s="1"/>
      <c r="F3969" s="1" t="s">
        <v>2735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2">
        <v>11</v>
      </c>
      <c r="M3969" s="43">
        <v>46128</v>
      </c>
      <c r="N3969" s="1" t="e">
        <f>VLOOKUP(B3969,MICRO!E:L,8,0)</f>
        <v>#N/A</v>
      </c>
    </row>
    <row r="3970" spans="1:14" ht="20.25" x14ac:dyDescent="0.25">
      <c r="A3970" s="1">
        <v>2</v>
      </c>
      <c r="B3970" s="159"/>
      <c r="C3970" s="1"/>
      <c r="D3970" s="1"/>
      <c r="E3970" s="1"/>
      <c r="F3970" s="1" t="s">
        <v>2736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2">
        <v>11</v>
      </c>
      <c r="M3970" s="43">
        <v>46128</v>
      </c>
      <c r="N3970" s="1" t="e">
        <f>VLOOKUP(B3970,MICRO!E:L,8,0)</f>
        <v>#N/A</v>
      </c>
    </row>
    <row r="3971" spans="1:14" ht="20.25" x14ac:dyDescent="0.25">
      <c r="A3971" s="1">
        <v>3</v>
      </c>
      <c r="B3971" s="159"/>
      <c r="C3971" s="1"/>
      <c r="D3971" s="1"/>
      <c r="E3971" s="1"/>
      <c r="F3971" s="1" t="s">
        <v>2737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2">
        <v>11</v>
      </c>
      <c r="M3971" s="43">
        <v>46128</v>
      </c>
      <c r="N3971" s="1" t="e">
        <f>VLOOKUP(B3971,MICRO!E:L,8,0)</f>
        <v>#N/A</v>
      </c>
    </row>
    <row r="3972" spans="1:14" ht="20.25" x14ac:dyDescent="0.25">
      <c r="A3972" s="1">
        <v>1</v>
      </c>
      <c r="B3972" s="159"/>
      <c r="C3972" s="1" t="s">
        <v>3368</v>
      </c>
      <c r="D3972" s="1"/>
      <c r="E3972" s="1" t="s">
        <v>746</v>
      </c>
      <c r="F3972" s="1" t="s">
        <v>3369</v>
      </c>
      <c r="G3972" s="1">
        <v>4</v>
      </c>
      <c r="H3972" s="1"/>
      <c r="I3972" s="1" t="s">
        <v>652</v>
      </c>
      <c r="J3972" s="1">
        <v>2.4</v>
      </c>
      <c r="K3972" s="1">
        <v>9.6</v>
      </c>
      <c r="L3972" s="42">
        <v>13</v>
      </c>
      <c r="M3972" s="43">
        <v>46153</v>
      </c>
      <c r="N3972" s="1" t="e">
        <f>VLOOKUP(B3972,MICRO!E:L,8,0)</f>
        <v>#N/A</v>
      </c>
    </row>
    <row r="3973" spans="1:14" ht="20.25" x14ac:dyDescent="0.25">
      <c r="A3973" s="1">
        <v>2</v>
      </c>
      <c r="B3973" s="159"/>
      <c r="C3973" s="1" t="s">
        <v>3370</v>
      </c>
      <c r="D3973" s="1"/>
      <c r="E3973" s="1" t="s">
        <v>746</v>
      </c>
      <c r="F3973" s="1" t="s">
        <v>3369</v>
      </c>
      <c r="G3973" s="1">
        <v>4</v>
      </c>
      <c r="H3973" s="1"/>
      <c r="I3973" s="1" t="s">
        <v>652</v>
      </c>
      <c r="J3973" s="1">
        <v>2.4</v>
      </c>
      <c r="K3973" s="1">
        <v>9.6</v>
      </c>
      <c r="L3973" s="42">
        <v>13</v>
      </c>
      <c r="M3973" s="43">
        <v>46153</v>
      </c>
      <c r="N3973" s="1" t="e">
        <f>VLOOKUP(B3973,MICRO!E:L,8,0)</f>
        <v>#N/A</v>
      </c>
    </row>
    <row r="3974" spans="1:14" ht="20.25" x14ac:dyDescent="0.25">
      <c r="A3974" s="1">
        <v>1</v>
      </c>
      <c r="B3974" s="159">
        <v>2188</v>
      </c>
      <c r="C3974" s="1" t="s">
        <v>769</v>
      </c>
      <c r="D3974" s="1"/>
      <c r="E3974" s="1" t="s">
        <v>746</v>
      </c>
      <c r="F3974" s="1" t="s">
        <v>1931</v>
      </c>
      <c r="G3974" s="1">
        <v>4</v>
      </c>
      <c r="H3974" s="1" t="s">
        <v>19</v>
      </c>
      <c r="I3974" s="1" t="s">
        <v>652</v>
      </c>
      <c r="J3974" s="1">
        <v>3.1</v>
      </c>
      <c r="K3974" s="1">
        <v>12.4</v>
      </c>
      <c r="L3974" s="42">
        <v>14</v>
      </c>
      <c r="M3974" s="43">
        <v>46174</v>
      </c>
      <c r="N3974" s="1" t="e">
        <f>VLOOKUP(B3974,MICRO!E:L,8,0)</f>
        <v>#N/A</v>
      </c>
    </row>
    <row r="3975" spans="1:14" ht="20.25" x14ac:dyDescent="0.25">
      <c r="A3975" s="1">
        <v>2</v>
      </c>
      <c r="B3975" s="159">
        <v>2189</v>
      </c>
      <c r="C3975" s="1" t="s">
        <v>769</v>
      </c>
      <c r="D3975" s="1"/>
      <c r="E3975" s="1" t="s">
        <v>1101</v>
      </c>
      <c r="F3975" s="1" t="s">
        <v>772</v>
      </c>
      <c r="G3975" s="1">
        <v>4</v>
      </c>
      <c r="H3975" s="1" t="s">
        <v>19</v>
      </c>
      <c r="I3975" s="1" t="s">
        <v>652</v>
      </c>
      <c r="J3975" s="1">
        <v>2.5</v>
      </c>
      <c r="K3975" s="1">
        <v>10</v>
      </c>
      <c r="L3975" s="42">
        <v>14</v>
      </c>
      <c r="M3975" s="43">
        <v>46174</v>
      </c>
      <c r="N3975" s="1" t="e">
        <f>VLOOKUP(B3975,MICRO!E:L,8,0)</f>
        <v>#N/A</v>
      </c>
    </row>
    <row r="3976" spans="1:14" ht="20.25" x14ac:dyDescent="0.25">
      <c r="A3976" s="1">
        <v>3</v>
      </c>
      <c r="B3976" s="159">
        <v>2569</v>
      </c>
      <c r="C3976" s="1" t="s">
        <v>1016</v>
      </c>
      <c r="D3976" s="1"/>
      <c r="E3976" s="1" t="s">
        <v>2</v>
      </c>
      <c r="F3976" s="1" t="s">
        <v>3233</v>
      </c>
      <c r="G3976" s="1">
        <v>20</v>
      </c>
      <c r="H3976" s="1" t="s">
        <v>19</v>
      </c>
      <c r="I3976" s="1" t="s">
        <v>652</v>
      </c>
      <c r="J3976" s="1">
        <v>9.6999999999999993</v>
      </c>
      <c r="K3976" s="1">
        <v>194</v>
      </c>
      <c r="L3976" s="42">
        <v>14</v>
      </c>
      <c r="M3976" s="43">
        <v>46174</v>
      </c>
      <c r="N3976" s="1" t="e">
        <f>VLOOKUP(B3976,MICRO!E:L,8,0)</f>
        <v>#N/A</v>
      </c>
    </row>
    <row r="3977" spans="1:14" ht="20.25" x14ac:dyDescent="0.25">
      <c r="A3977" s="1">
        <v>4</v>
      </c>
      <c r="B3977" s="159">
        <v>2573</v>
      </c>
      <c r="C3977" s="1" t="s">
        <v>1016</v>
      </c>
      <c r="D3977" s="1"/>
      <c r="E3977" s="1" t="s">
        <v>100</v>
      </c>
      <c r="F3977" s="1" t="s">
        <v>3237</v>
      </c>
      <c r="G3977" s="1">
        <v>20</v>
      </c>
      <c r="H3977" s="1" t="s">
        <v>19</v>
      </c>
      <c r="I3977" s="1" t="s">
        <v>652</v>
      </c>
      <c r="J3977" s="1">
        <v>18.100000000000001</v>
      </c>
      <c r="K3977" s="1">
        <v>362</v>
      </c>
      <c r="L3977" s="42">
        <v>14</v>
      </c>
      <c r="M3977" s="43">
        <v>46174</v>
      </c>
      <c r="N3977" s="1" t="e">
        <f>VLOOKUP(B3977,MICRO!E:L,8,0)</f>
        <v>#N/A</v>
      </c>
    </row>
    <row r="3978" spans="1:14" ht="20.25" x14ac:dyDescent="0.25">
      <c r="A3978" s="1">
        <v>1</v>
      </c>
      <c r="B3978" s="159">
        <v>2412</v>
      </c>
      <c r="C3978" s="1" t="s">
        <v>908</v>
      </c>
      <c r="D3978" s="1"/>
      <c r="E3978" s="1" t="s">
        <v>2</v>
      </c>
      <c r="F3978" s="1" t="s">
        <v>3204</v>
      </c>
      <c r="G3978" s="1">
        <v>1</v>
      </c>
      <c r="H3978" s="1" t="s">
        <v>19</v>
      </c>
      <c r="I3978" s="1" t="s">
        <v>652</v>
      </c>
      <c r="J3978" s="1">
        <v>11.2</v>
      </c>
      <c r="K3978" s="1">
        <v>11.2</v>
      </c>
      <c r="L3978" s="42">
        <v>15</v>
      </c>
      <c r="M3978" s="43">
        <v>46198</v>
      </c>
      <c r="N3978" s="1" t="e">
        <f>VLOOKUP(B3978,MICRO!E:L,8,0)</f>
        <v>#N/A</v>
      </c>
    </row>
    <row r="3979" spans="1:14" ht="20.25" x14ac:dyDescent="0.25">
      <c r="A3979" s="1">
        <v>2</v>
      </c>
      <c r="B3979" s="159">
        <v>2413</v>
      </c>
      <c r="C3979" s="1" t="s">
        <v>908</v>
      </c>
      <c r="D3979" s="1"/>
      <c r="E3979" s="1" t="s">
        <v>43</v>
      </c>
      <c r="F3979" s="1" t="s">
        <v>3205</v>
      </c>
      <c r="G3979" s="1">
        <v>1</v>
      </c>
      <c r="H3979" s="1" t="s">
        <v>19</v>
      </c>
      <c r="I3979" s="1" t="s">
        <v>652</v>
      </c>
      <c r="J3979" s="1">
        <v>11.8</v>
      </c>
      <c r="K3979" s="1">
        <v>11.8</v>
      </c>
      <c r="L3979" s="42">
        <v>15</v>
      </c>
      <c r="M3979" s="43">
        <v>46198</v>
      </c>
      <c r="N3979" s="1" t="e">
        <f>VLOOKUP(B3979,MICRO!E:L,8,0)</f>
        <v>#N/A</v>
      </c>
    </row>
    <row r="3980" spans="1:14" ht="20.25" x14ac:dyDescent="0.25">
      <c r="A3980" s="1">
        <v>3</v>
      </c>
      <c r="B3980" s="159">
        <v>2415</v>
      </c>
      <c r="C3980" s="1" t="s">
        <v>908</v>
      </c>
      <c r="D3980" s="1"/>
      <c r="E3980" s="1" t="s">
        <v>1101</v>
      </c>
      <c r="F3980" s="1" t="s">
        <v>3207</v>
      </c>
      <c r="G3980" s="1">
        <v>1</v>
      </c>
      <c r="H3980" s="1" t="s">
        <v>19</v>
      </c>
      <c r="I3980" s="1" t="s">
        <v>652</v>
      </c>
      <c r="J3980" s="1">
        <v>19.8</v>
      </c>
      <c r="K3980" s="1">
        <v>19.8</v>
      </c>
      <c r="L3980" s="42">
        <v>15</v>
      </c>
      <c r="M3980" s="43">
        <v>46198</v>
      </c>
      <c r="N3980" s="1" t="e">
        <f>VLOOKUP(B3980,MICRO!E:L,8,0)</f>
        <v>#N/A</v>
      </c>
    </row>
    <row r="3981" spans="1:14" ht="20.25" x14ac:dyDescent="0.25">
      <c r="A3981" s="1">
        <v>4</v>
      </c>
      <c r="B3981" s="159">
        <v>2416</v>
      </c>
      <c r="C3981" s="1" t="s">
        <v>908</v>
      </c>
      <c r="D3981" s="1"/>
      <c r="E3981" s="1" t="s">
        <v>100</v>
      </c>
      <c r="F3981" s="1" t="s">
        <v>909</v>
      </c>
      <c r="G3981" s="1">
        <v>1</v>
      </c>
      <c r="H3981" s="1" t="s">
        <v>19</v>
      </c>
      <c r="I3981" s="1" t="s">
        <v>652</v>
      </c>
      <c r="J3981" s="1">
        <v>22.1</v>
      </c>
      <c r="K3981" s="1">
        <v>22.1</v>
      </c>
      <c r="L3981" s="42">
        <v>15</v>
      </c>
      <c r="M3981" s="43">
        <v>46198</v>
      </c>
      <c r="N3981" s="1" t="e">
        <f>VLOOKUP(B3981,MICRO!E:L,8,0)</f>
        <v>#N/A</v>
      </c>
    </row>
    <row r="3982" spans="1:14" ht="20.25" x14ac:dyDescent="0.25">
      <c r="A3982" s="1">
        <v>5</v>
      </c>
      <c r="B3982" s="159">
        <v>2420</v>
      </c>
      <c r="C3982" s="1" t="s">
        <v>3208</v>
      </c>
      <c r="D3982" s="1"/>
      <c r="E3982" s="1" t="s">
        <v>2</v>
      </c>
      <c r="F3982" s="1" t="s">
        <v>3209</v>
      </c>
      <c r="G3982" s="1">
        <v>2</v>
      </c>
      <c r="H3982" s="1" t="s">
        <v>19</v>
      </c>
      <c r="I3982" s="1" t="s">
        <v>652</v>
      </c>
      <c r="J3982" s="1">
        <v>20.100000000000001</v>
      </c>
      <c r="K3982" s="1">
        <v>40.200000000000003</v>
      </c>
      <c r="L3982" s="42">
        <v>15</v>
      </c>
      <c r="M3982" s="43">
        <v>46198</v>
      </c>
      <c r="N3982" s="1" t="e">
        <f>VLOOKUP(B3982,MICRO!E:L,8,0)</f>
        <v>#N/A</v>
      </c>
    </row>
    <row r="3983" spans="1:14" ht="20.25" x14ac:dyDescent="0.25">
      <c r="A3983" s="1">
        <v>6</v>
      </c>
      <c r="B3983" s="159">
        <v>2421</v>
      </c>
      <c r="C3983" s="1" t="s">
        <v>3208</v>
      </c>
      <c r="D3983" s="1"/>
      <c r="E3983" s="1" t="s">
        <v>43</v>
      </c>
      <c r="F3983" s="1" t="s">
        <v>3210</v>
      </c>
      <c r="G3983" s="1">
        <v>1</v>
      </c>
      <c r="H3983" s="1" t="s">
        <v>19</v>
      </c>
      <c r="I3983" s="1" t="s">
        <v>652</v>
      </c>
      <c r="J3983" s="1">
        <v>6.1</v>
      </c>
      <c r="K3983" s="1">
        <v>6.1</v>
      </c>
      <c r="L3983" s="42">
        <v>15</v>
      </c>
      <c r="M3983" s="43">
        <v>46198</v>
      </c>
      <c r="N3983" s="1" t="e">
        <f>VLOOKUP(B3983,MICRO!E:L,8,0)</f>
        <v>#N/A</v>
      </c>
    </row>
    <row r="3984" spans="1:14" ht="20.25" x14ac:dyDescent="0.25">
      <c r="A3984" s="1">
        <v>7</v>
      </c>
      <c r="B3984" s="159">
        <v>2422</v>
      </c>
      <c r="C3984" s="1" t="s">
        <v>3208</v>
      </c>
      <c r="D3984" s="1"/>
      <c r="E3984" s="1" t="s">
        <v>746</v>
      </c>
      <c r="F3984" s="1" t="s">
        <v>3211</v>
      </c>
      <c r="G3984" s="1">
        <v>2</v>
      </c>
      <c r="H3984" s="1" t="s">
        <v>19</v>
      </c>
      <c r="I3984" s="1" t="s">
        <v>652</v>
      </c>
      <c r="J3984" s="1">
        <v>28.4</v>
      </c>
      <c r="K3984" s="1">
        <v>56.8</v>
      </c>
      <c r="L3984" s="42">
        <v>15</v>
      </c>
      <c r="M3984" s="43">
        <v>46198</v>
      </c>
      <c r="N3984" s="1" t="e">
        <f>VLOOKUP(B3984,MICRO!E:L,8,0)</f>
        <v>#N/A</v>
      </c>
    </row>
    <row r="3985" spans="1:14" ht="20.25" x14ac:dyDescent="0.25">
      <c r="A3985" s="1">
        <v>8</v>
      </c>
      <c r="B3985" s="159">
        <v>2423</v>
      </c>
      <c r="C3985" s="1" t="s">
        <v>3208</v>
      </c>
      <c r="D3985" s="1"/>
      <c r="E3985" s="1" t="s">
        <v>1101</v>
      </c>
      <c r="F3985" s="1" t="s">
        <v>3212</v>
      </c>
      <c r="G3985" s="1">
        <v>1</v>
      </c>
      <c r="H3985" s="1" t="s">
        <v>19</v>
      </c>
      <c r="I3985" s="1" t="s">
        <v>652</v>
      </c>
      <c r="J3985" s="1">
        <v>16.899999999999999</v>
      </c>
      <c r="K3985" s="1">
        <v>16.899999999999999</v>
      </c>
      <c r="L3985" s="42">
        <v>15</v>
      </c>
      <c r="M3985" s="43">
        <v>46198</v>
      </c>
      <c r="N3985" s="1" t="e">
        <f>VLOOKUP(B3985,MICRO!E:L,8,0)</f>
        <v>#N/A</v>
      </c>
    </row>
    <row r="3986" spans="1:14" ht="20.25" x14ac:dyDescent="0.25">
      <c r="A3986" s="1">
        <v>9</v>
      </c>
      <c r="B3986" s="159">
        <v>2424</v>
      </c>
      <c r="C3986" s="1" t="s">
        <v>911</v>
      </c>
      <c r="D3986" s="1"/>
      <c r="E3986" s="1" t="s">
        <v>2</v>
      </c>
      <c r="F3986" s="1" t="s">
        <v>3213</v>
      </c>
      <c r="G3986" s="1">
        <v>2</v>
      </c>
      <c r="H3986" s="1" t="s">
        <v>19</v>
      </c>
      <c r="I3986" s="1" t="s">
        <v>652</v>
      </c>
      <c r="J3986" s="1">
        <v>6.7</v>
      </c>
      <c r="K3986" s="1">
        <v>13.4</v>
      </c>
      <c r="L3986" s="42">
        <v>15</v>
      </c>
      <c r="M3986" s="43">
        <v>46198</v>
      </c>
      <c r="N3986" s="1" t="e">
        <f>VLOOKUP(B3986,MICRO!E:L,8,0)</f>
        <v>#N/A</v>
      </c>
    </row>
    <row r="3987" spans="1:14" ht="20.25" x14ac:dyDescent="0.25">
      <c r="A3987" s="1">
        <v>10</v>
      </c>
      <c r="B3987" s="159">
        <v>2425</v>
      </c>
      <c r="C3987" s="1" t="s">
        <v>911</v>
      </c>
      <c r="D3987" s="1"/>
      <c r="E3987" s="1" t="s">
        <v>43</v>
      </c>
      <c r="F3987" s="1" t="s">
        <v>912</v>
      </c>
      <c r="G3987" s="1">
        <v>2</v>
      </c>
      <c r="H3987" s="1" t="s">
        <v>19</v>
      </c>
      <c r="I3987" s="1" t="s">
        <v>652</v>
      </c>
      <c r="J3987" s="1">
        <v>6.9</v>
      </c>
      <c r="K3987" s="1">
        <v>13.8</v>
      </c>
      <c r="L3987" s="42">
        <v>15</v>
      </c>
      <c r="M3987" s="43">
        <v>46198</v>
      </c>
      <c r="N3987" s="1" t="e">
        <f>VLOOKUP(B3987,MICRO!E:L,8,0)</f>
        <v>#N/A</v>
      </c>
    </row>
    <row r="3988" spans="1:14" ht="20.25" x14ac:dyDescent="0.25">
      <c r="A3988" s="1">
        <v>11</v>
      </c>
      <c r="B3988" s="159">
        <v>2426</v>
      </c>
      <c r="C3988" s="1" t="s">
        <v>911</v>
      </c>
      <c r="D3988" s="1"/>
      <c r="E3988" s="1" t="s">
        <v>746</v>
      </c>
      <c r="F3988" s="1" t="s">
        <v>3214</v>
      </c>
      <c r="G3988" s="1">
        <v>1</v>
      </c>
      <c r="H3988" s="1" t="s">
        <v>19</v>
      </c>
      <c r="I3988" s="1" t="s">
        <v>652</v>
      </c>
      <c r="J3988" s="1">
        <v>13.8</v>
      </c>
      <c r="K3988" s="1">
        <v>13.8</v>
      </c>
      <c r="L3988" s="42">
        <v>15</v>
      </c>
      <c r="M3988" s="43">
        <v>46198</v>
      </c>
      <c r="N3988" s="1" t="e">
        <f>VLOOKUP(B3988,MICRO!E:L,8,0)</f>
        <v>#N/A</v>
      </c>
    </row>
    <row r="3989" spans="1:14" ht="20.25" x14ac:dyDescent="0.25">
      <c r="A3989" s="1">
        <v>12</v>
      </c>
      <c r="B3989" s="159">
        <v>2427</v>
      </c>
      <c r="C3989" s="1" t="s">
        <v>911</v>
      </c>
      <c r="D3989" s="1"/>
      <c r="E3989" s="1" t="s">
        <v>1101</v>
      </c>
      <c r="F3989" s="1" t="s">
        <v>1932</v>
      </c>
      <c r="G3989" s="1">
        <v>2</v>
      </c>
      <c r="H3989" s="1" t="s">
        <v>19</v>
      </c>
      <c r="I3989" s="1" t="s">
        <v>652</v>
      </c>
      <c r="J3989" s="1">
        <v>11</v>
      </c>
      <c r="K3989" s="1">
        <v>22</v>
      </c>
      <c r="L3989" s="42">
        <v>15</v>
      </c>
      <c r="M3989" s="43">
        <v>46198</v>
      </c>
      <c r="N3989" s="1" t="e">
        <f>VLOOKUP(B3989,MICRO!E:L,8,0)</f>
        <v>#N/A</v>
      </c>
    </row>
    <row r="3990" spans="1:14" ht="20.25" x14ac:dyDescent="0.25">
      <c r="A3990" s="1">
        <v>13</v>
      </c>
      <c r="B3990" s="159">
        <v>2428</v>
      </c>
      <c r="C3990" s="1" t="s">
        <v>911</v>
      </c>
      <c r="D3990" s="1"/>
      <c r="E3990" s="1" t="s">
        <v>100</v>
      </c>
      <c r="F3990" s="1" t="s">
        <v>913</v>
      </c>
      <c r="G3990" s="1">
        <v>2</v>
      </c>
      <c r="H3990" s="1" t="s">
        <v>19</v>
      </c>
      <c r="I3990" s="1" t="s">
        <v>652</v>
      </c>
      <c r="J3990" s="1">
        <v>20.3</v>
      </c>
      <c r="K3990" s="1">
        <v>40.6</v>
      </c>
      <c r="L3990" s="42">
        <v>15</v>
      </c>
      <c r="M3990" s="43">
        <v>46198</v>
      </c>
      <c r="N3990" s="1" t="e">
        <f>VLOOKUP(B3990,MICRO!E:L,8,0)</f>
        <v>#N/A</v>
      </c>
    </row>
    <row r="3991" spans="1:14" ht="20.25" x14ac:dyDescent="0.25">
      <c r="A3991" s="1">
        <v>14</v>
      </c>
      <c r="B3991" s="159">
        <v>2429</v>
      </c>
      <c r="C3991" s="1" t="s">
        <v>911</v>
      </c>
      <c r="D3991" s="1"/>
      <c r="E3991" s="1" t="s">
        <v>173</v>
      </c>
      <c r="F3991" s="1" t="s">
        <v>3215</v>
      </c>
      <c r="G3991" s="1">
        <v>1</v>
      </c>
      <c r="H3991" s="1" t="s">
        <v>19</v>
      </c>
      <c r="I3991" s="1" t="s">
        <v>652</v>
      </c>
      <c r="J3991" s="1">
        <v>29.7</v>
      </c>
      <c r="K3991" s="1">
        <v>29.7</v>
      </c>
      <c r="L3991" s="42">
        <v>15</v>
      </c>
      <c r="M3991" s="43">
        <v>46198</v>
      </c>
      <c r="N3991" s="1" t="e">
        <f>VLOOKUP(B3991,MICRO!E:L,8,0)</f>
        <v>#N/A</v>
      </c>
    </row>
    <row r="3992" spans="1:14" ht="20.25" x14ac:dyDescent="0.25">
      <c r="A3992" s="1">
        <v>15</v>
      </c>
      <c r="B3992" s="159">
        <v>2430</v>
      </c>
      <c r="C3992" s="1" t="s">
        <v>911</v>
      </c>
      <c r="D3992" s="1"/>
      <c r="E3992" s="1" t="s">
        <v>461</v>
      </c>
      <c r="F3992" s="1" t="s">
        <v>3371</v>
      </c>
      <c r="G3992" s="1">
        <v>2</v>
      </c>
      <c r="H3992" s="1" t="s">
        <v>19</v>
      </c>
      <c r="I3992" s="1" t="s">
        <v>652</v>
      </c>
      <c r="J3992" s="1">
        <v>13.9</v>
      </c>
      <c r="K3992" s="1">
        <v>27.8</v>
      </c>
      <c r="L3992" s="42">
        <v>15</v>
      </c>
      <c r="M3992" s="43">
        <v>46198</v>
      </c>
      <c r="N3992" s="1" t="e">
        <f>VLOOKUP(B3992,MICRO!E:L,8,0)</f>
        <v>#N/A</v>
      </c>
    </row>
    <row r="3993" spans="1:14" ht="20.25" x14ac:dyDescent="0.25">
      <c r="A3993" s="1">
        <v>16</v>
      </c>
      <c r="B3993" s="159">
        <v>2431</v>
      </c>
      <c r="C3993" s="1" t="s">
        <v>911</v>
      </c>
      <c r="D3993" s="1"/>
      <c r="E3993" s="1" t="s">
        <v>464</v>
      </c>
      <c r="F3993" s="1" t="s">
        <v>3372</v>
      </c>
      <c r="G3993" s="1">
        <v>2</v>
      </c>
      <c r="H3993" s="1" t="s">
        <v>19</v>
      </c>
      <c r="I3993" s="1" t="s">
        <v>652</v>
      </c>
      <c r="J3993" s="1">
        <v>23.7</v>
      </c>
      <c r="K3993" s="1">
        <v>47.4</v>
      </c>
      <c r="L3993" s="42">
        <v>15</v>
      </c>
      <c r="M3993" s="43">
        <v>46198</v>
      </c>
      <c r="N3993" s="1" t="e">
        <f>VLOOKUP(B3993,MICRO!E:L,8,0)</f>
        <v>#N/A</v>
      </c>
    </row>
    <row r="3994" spans="1:14" ht="20.25" x14ac:dyDescent="0.25">
      <c r="A3994" s="1">
        <v>17</v>
      </c>
      <c r="B3994" s="159">
        <v>2432</v>
      </c>
      <c r="C3994" s="1" t="s">
        <v>911</v>
      </c>
      <c r="D3994" s="1"/>
      <c r="E3994" s="1" t="s">
        <v>1102</v>
      </c>
      <c r="F3994" s="1" t="s">
        <v>915</v>
      </c>
      <c r="G3994" s="1">
        <v>1</v>
      </c>
      <c r="H3994" s="1" t="s">
        <v>19</v>
      </c>
      <c r="I3994" s="1" t="s">
        <v>652</v>
      </c>
      <c r="J3994" s="1">
        <v>28.9</v>
      </c>
      <c r="K3994" s="1">
        <v>28.9</v>
      </c>
      <c r="L3994" s="42">
        <v>15</v>
      </c>
      <c r="M3994" s="43">
        <v>46198</v>
      </c>
      <c r="N3994" s="1" t="e">
        <f>VLOOKUP(B3994,MICRO!E:L,8,0)</f>
        <v>#N/A</v>
      </c>
    </row>
    <row r="3995" spans="1:14" ht="20.25" x14ac:dyDescent="0.25">
      <c r="A3995" s="1">
        <v>18</v>
      </c>
      <c r="B3995" s="159">
        <v>2526</v>
      </c>
      <c r="C3995" s="1" t="s">
        <v>986</v>
      </c>
      <c r="D3995" s="1"/>
      <c r="E3995" s="1" t="s">
        <v>2</v>
      </c>
      <c r="F3995" s="1" t="s">
        <v>3220</v>
      </c>
      <c r="G3995" s="1">
        <v>4</v>
      </c>
      <c r="H3995" s="1" t="s">
        <v>19</v>
      </c>
      <c r="I3995" s="1" t="s">
        <v>652</v>
      </c>
      <c r="J3995" s="1">
        <v>18.3</v>
      </c>
      <c r="K3995" s="1">
        <v>73.2</v>
      </c>
      <c r="L3995" s="42">
        <v>15</v>
      </c>
      <c r="M3995" s="43">
        <v>46198</v>
      </c>
      <c r="N3995" s="1" t="e">
        <f>VLOOKUP(B3995,MICRO!E:L,8,0)</f>
        <v>#N/A</v>
      </c>
    </row>
    <row r="3996" spans="1:14" ht="20.25" x14ac:dyDescent="0.25">
      <c r="A3996" s="1">
        <v>19</v>
      </c>
      <c r="B3996" s="159">
        <v>2527</v>
      </c>
      <c r="C3996" s="1" t="s">
        <v>986</v>
      </c>
      <c r="D3996" s="1"/>
      <c r="E3996" s="1" t="s">
        <v>43</v>
      </c>
      <c r="F3996" s="1" t="s">
        <v>3221</v>
      </c>
      <c r="G3996" s="1">
        <v>1</v>
      </c>
      <c r="H3996" s="1" t="s">
        <v>19</v>
      </c>
      <c r="I3996" s="1" t="s">
        <v>652</v>
      </c>
      <c r="J3996" s="1">
        <v>10.1</v>
      </c>
      <c r="K3996" s="1">
        <v>10.1</v>
      </c>
      <c r="L3996" s="42">
        <v>15</v>
      </c>
      <c r="M3996" s="43">
        <v>46198</v>
      </c>
      <c r="N3996" s="1" t="e">
        <f>VLOOKUP(B3996,MICRO!E:L,8,0)</f>
        <v>#N/A</v>
      </c>
    </row>
    <row r="3997" spans="1:14" ht="20.25" x14ac:dyDescent="0.25">
      <c r="A3997" s="1">
        <v>20</v>
      </c>
      <c r="B3997" s="159">
        <v>2529</v>
      </c>
      <c r="C3997" s="1" t="s">
        <v>986</v>
      </c>
      <c r="D3997" s="1"/>
      <c r="E3997" s="1" t="s">
        <v>1101</v>
      </c>
      <c r="F3997" s="1" t="s">
        <v>987</v>
      </c>
      <c r="G3997" s="1">
        <v>4</v>
      </c>
      <c r="H3997" s="1" t="s">
        <v>19</v>
      </c>
      <c r="I3997" s="1" t="s">
        <v>652</v>
      </c>
      <c r="J3997" s="1">
        <v>26.9</v>
      </c>
      <c r="K3997" s="1">
        <v>107.6</v>
      </c>
      <c r="L3997" s="42">
        <v>15</v>
      </c>
      <c r="M3997" s="43">
        <v>46198</v>
      </c>
      <c r="N3997" s="1" t="e">
        <f>VLOOKUP(B3997,MICRO!E:L,8,0)</f>
        <v>#N/A</v>
      </c>
    </row>
    <row r="3998" spans="1:14" ht="20.25" x14ac:dyDescent="0.25">
      <c r="A3998" s="1">
        <v>21</v>
      </c>
      <c r="B3998" s="159">
        <v>2530</v>
      </c>
      <c r="C3998" s="1" t="s">
        <v>986</v>
      </c>
      <c r="D3998" s="1"/>
      <c r="E3998" s="1" t="s">
        <v>100</v>
      </c>
      <c r="F3998" s="1" t="s">
        <v>988</v>
      </c>
      <c r="G3998" s="1">
        <v>1</v>
      </c>
      <c r="H3998" s="1" t="s">
        <v>19</v>
      </c>
      <c r="I3998" s="1" t="s">
        <v>652</v>
      </c>
      <c r="J3998" s="1">
        <v>27.7</v>
      </c>
      <c r="K3998" s="1">
        <v>27.7</v>
      </c>
      <c r="L3998" s="42">
        <v>15</v>
      </c>
      <c r="M3998" s="43">
        <v>46198</v>
      </c>
      <c r="N3998" s="1" t="e">
        <f>VLOOKUP(B3998,MICRO!E:L,8,0)</f>
        <v>#N/A</v>
      </c>
    </row>
    <row r="3999" spans="1:14" ht="20.25" x14ac:dyDescent="0.25">
      <c r="A3999" s="1">
        <v>22</v>
      </c>
      <c r="B3999" s="159">
        <v>2533</v>
      </c>
      <c r="C3999" s="1" t="s">
        <v>989</v>
      </c>
      <c r="D3999" s="1"/>
      <c r="E3999" s="1" t="s">
        <v>2</v>
      </c>
      <c r="F3999" s="1" t="s">
        <v>3222</v>
      </c>
      <c r="G3999" s="1">
        <v>2</v>
      </c>
      <c r="H3999" s="1" t="s">
        <v>19</v>
      </c>
      <c r="I3999" s="1" t="s">
        <v>652</v>
      </c>
      <c r="J3999" s="1">
        <v>13.5</v>
      </c>
      <c r="K3999" s="1">
        <v>27</v>
      </c>
      <c r="L3999" s="42">
        <v>15</v>
      </c>
      <c r="M3999" s="43">
        <v>46198</v>
      </c>
      <c r="N3999" s="1" t="e">
        <f>VLOOKUP(B3999,MICRO!E:L,8,0)</f>
        <v>#N/A</v>
      </c>
    </row>
    <row r="4000" spans="1:14" ht="20.25" x14ac:dyDescent="0.25">
      <c r="A4000" s="1">
        <v>23</v>
      </c>
      <c r="B4000" s="159">
        <v>2534</v>
      </c>
      <c r="C4000" s="1" t="s">
        <v>989</v>
      </c>
      <c r="D4000" s="1"/>
      <c r="E4000" s="1" t="s">
        <v>43</v>
      </c>
      <c r="F4000" s="1" t="s">
        <v>3223</v>
      </c>
      <c r="G4000" s="1">
        <v>1</v>
      </c>
      <c r="H4000" s="1" t="s">
        <v>19</v>
      </c>
      <c r="I4000" s="1" t="s">
        <v>652</v>
      </c>
      <c r="J4000" s="1">
        <v>6.1</v>
      </c>
      <c r="K4000" s="1">
        <v>6.1</v>
      </c>
      <c r="L4000" s="42">
        <v>15</v>
      </c>
      <c r="M4000" s="43">
        <v>46198</v>
      </c>
      <c r="N4000" s="1" t="e">
        <f>VLOOKUP(B4000,MICRO!E:L,8,0)</f>
        <v>#N/A</v>
      </c>
    </row>
    <row r="4001" spans="1:14" ht="20.25" x14ac:dyDescent="0.25">
      <c r="A4001" s="1">
        <v>24</v>
      </c>
      <c r="B4001" s="159">
        <v>2536</v>
      </c>
      <c r="C4001" s="1" t="s">
        <v>989</v>
      </c>
      <c r="D4001" s="1"/>
      <c r="E4001" s="1" t="s">
        <v>1101</v>
      </c>
      <c r="F4001" s="1" t="s">
        <v>990</v>
      </c>
      <c r="G4001" s="1">
        <v>2</v>
      </c>
      <c r="H4001" s="1" t="s">
        <v>19</v>
      </c>
      <c r="I4001" s="1" t="s">
        <v>652</v>
      </c>
      <c r="J4001" s="1">
        <v>24.4</v>
      </c>
      <c r="K4001" s="1">
        <v>48.8</v>
      </c>
      <c r="L4001" s="42">
        <v>15</v>
      </c>
      <c r="M4001" s="43">
        <v>46198</v>
      </c>
      <c r="N4001" s="1" t="e">
        <f>VLOOKUP(B4001,MICRO!E:L,8,0)</f>
        <v>#N/A</v>
      </c>
    </row>
    <row r="4002" spans="1:14" ht="20.25" x14ac:dyDescent="0.25">
      <c r="A4002" s="1">
        <v>25</v>
      </c>
      <c r="B4002" s="159">
        <v>2537</v>
      </c>
      <c r="C4002" s="1" t="s">
        <v>989</v>
      </c>
      <c r="D4002" s="1"/>
      <c r="E4002" s="1" t="s">
        <v>100</v>
      </c>
      <c r="F4002" s="1" t="s">
        <v>991</v>
      </c>
      <c r="G4002" s="1">
        <v>1</v>
      </c>
      <c r="H4002" s="1" t="s">
        <v>19</v>
      </c>
      <c r="I4002" s="1" t="s">
        <v>652</v>
      </c>
      <c r="J4002" s="1">
        <v>15.3</v>
      </c>
      <c r="K4002" s="1">
        <v>15.3</v>
      </c>
      <c r="L4002" s="42">
        <v>15</v>
      </c>
      <c r="M4002" s="43">
        <v>46198</v>
      </c>
      <c r="N4002" s="1" t="e">
        <f>VLOOKUP(B4002,MICRO!E:L,8,0)</f>
        <v>#N/A</v>
      </c>
    </row>
    <row r="4003" spans="1:14" ht="20.25" x14ac:dyDescent="0.25">
      <c r="A4003" s="1">
        <v>26</v>
      </c>
      <c r="B4003" s="159">
        <v>2538</v>
      </c>
      <c r="C4003" s="1" t="s">
        <v>989</v>
      </c>
      <c r="D4003" s="1"/>
      <c r="E4003" s="1" t="s">
        <v>173</v>
      </c>
      <c r="F4003" s="1" t="s">
        <v>3373</v>
      </c>
      <c r="G4003" s="1">
        <v>1</v>
      </c>
      <c r="H4003" s="1" t="s">
        <v>19</v>
      </c>
      <c r="I4003" s="1" t="s">
        <v>652</v>
      </c>
      <c r="J4003" s="1">
        <v>22.8</v>
      </c>
      <c r="K4003" s="1">
        <v>22.8</v>
      </c>
      <c r="L4003" s="42">
        <v>15</v>
      </c>
      <c r="M4003" s="43">
        <v>46198</v>
      </c>
      <c r="N4003" s="1" t="e">
        <f>VLOOKUP(B4003,MICRO!E:L,8,0)</f>
        <v>#N/A</v>
      </c>
    </row>
    <row r="4004" spans="1:14" ht="20.25" x14ac:dyDescent="0.25">
      <c r="A4004" s="1">
        <v>27</v>
      </c>
      <c r="B4004" s="159">
        <v>2540</v>
      </c>
      <c r="C4004" s="1" t="s">
        <v>993</v>
      </c>
      <c r="D4004" s="1"/>
      <c r="E4004" s="1" t="s">
        <v>2</v>
      </c>
      <c r="F4004" s="1" t="s">
        <v>3225</v>
      </c>
      <c r="G4004" s="1">
        <v>1</v>
      </c>
      <c r="H4004" s="1" t="s">
        <v>19</v>
      </c>
      <c r="I4004" s="1" t="s">
        <v>652</v>
      </c>
      <c r="J4004" s="1">
        <v>9.6999999999999993</v>
      </c>
      <c r="K4004" s="1">
        <v>9.6999999999999993</v>
      </c>
      <c r="L4004" s="42">
        <v>15</v>
      </c>
      <c r="M4004" s="43">
        <v>46198</v>
      </c>
      <c r="N4004" s="1" t="e">
        <f>VLOOKUP(B4004,MICRO!E:L,8,0)</f>
        <v>#N/A</v>
      </c>
    </row>
    <row r="4005" spans="1:14" ht="20.25" x14ac:dyDescent="0.25">
      <c r="A4005" s="1">
        <v>28</v>
      </c>
      <c r="B4005" s="159">
        <v>2541</v>
      </c>
      <c r="C4005" s="1" t="s">
        <v>993</v>
      </c>
      <c r="D4005" s="1"/>
      <c r="E4005" s="1" t="s">
        <v>43</v>
      </c>
      <c r="F4005" s="1" t="s">
        <v>3226</v>
      </c>
      <c r="G4005" s="1">
        <v>2</v>
      </c>
      <c r="H4005" s="1" t="s">
        <v>19</v>
      </c>
      <c r="I4005" s="1" t="s">
        <v>652</v>
      </c>
      <c r="J4005" s="1">
        <v>15.5</v>
      </c>
      <c r="K4005" s="1">
        <v>31</v>
      </c>
      <c r="L4005" s="42">
        <v>15</v>
      </c>
      <c r="M4005" s="43">
        <v>46198</v>
      </c>
      <c r="N4005" s="1" t="e">
        <f>VLOOKUP(B4005,MICRO!E:L,8,0)</f>
        <v>#N/A</v>
      </c>
    </row>
    <row r="4006" spans="1:14" ht="20.25" x14ac:dyDescent="0.25">
      <c r="A4006" s="1">
        <v>29</v>
      </c>
      <c r="B4006" s="159">
        <v>2542</v>
      </c>
      <c r="C4006" s="1" t="s">
        <v>993</v>
      </c>
      <c r="D4006" s="1"/>
      <c r="E4006" s="1" t="s">
        <v>746</v>
      </c>
      <c r="F4006" s="1" t="s">
        <v>3227</v>
      </c>
      <c r="G4006" s="1">
        <v>1</v>
      </c>
      <c r="H4006" s="1" t="s">
        <v>19</v>
      </c>
      <c r="I4006" s="1" t="s">
        <v>652</v>
      </c>
      <c r="J4006" s="1">
        <v>11.1</v>
      </c>
      <c r="K4006" s="1">
        <v>11.1</v>
      </c>
      <c r="L4006" s="42">
        <v>15</v>
      </c>
      <c r="M4006" s="43">
        <v>46198</v>
      </c>
      <c r="N4006" s="1" t="e">
        <f>VLOOKUP(B4006,MICRO!E:L,8,0)</f>
        <v>#N/A</v>
      </c>
    </row>
    <row r="4007" spans="1:14" ht="20.25" x14ac:dyDescent="0.25">
      <c r="A4007" s="1">
        <v>30</v>
      </c>
      <c r="B4007" s="159">
        <v>2543</v>
      </c>
      <c r="C4007" s="1" t="s">
        <v>993</v>
      </c>
      <c r="D4007" s="1"/>
      <c r="E4007" s="1" t="s">
        <v>1101</v>
      </c>
      <c r="F4007" s="1" t="s">
        <v>994</v>
      </c>
      <c r="G4007" s="1">
        <v>1</v>
      </c>
      <c r="H4007" s="1" t="s">
        <v>19</v>
      </c>
      <c r="I4007" s="1" t="s">
        <v>652</v>
      </c>
      <c r="J4007" s="1">
        <v>16.3</v>
      </c>
      <c r="K4007" s="1">
        <v>16.3</v>
      </c>
      <c r="L4007" s="42">
        <v>15</v>
      </c>
      <c r="M4007" s="43">
        <v>46198</v>
      </c>
      <c r="N4007" s="1" t="e">
        <f>VLOOKUP(B4007,MICRO!E:L,8,0)</f>
        <v>#N/A</v>
      </c>
    </row>
    <row r="4008" spans="1:14" ht="20.25" x14ac:dyDescent="0.25">
      <c r="A4008" s="1">
        <v>31</v>
      </c>
      <c r="B4008" s="159">
        <v>2544</v>
      </c>
      <c r="C4008" s="1" t="s">
        <v>993</v>
      </c>
      <c r="D4008" s="1"/>
      <c r="E4008" s="1" t="s">
        <v>100</v>
      </c>
      <c r="F4008" s="1" t="s">
        <v>3228</v>
      </c>
      <c r="G4008" s="1">
        <v>2</v>
      </c>
      <c r="H4008" s="1" t="s">
        <v>19</v>
      </c>
      <c r="I4008" s="1" t="s">
        <v>652</v>
      </c>
      <c r="J4008" s="1">
        <v>23</v>
      </c>
      <c r="K4008" s="1">
        <v>46</v>
      </c>
      <c r="L4008" s="42">
        <v>15</v>
      </c>
      <c r="M4008" s="43">
        <v>46198</v>
      </c>
      <c r="N4008" s="1" t="e">
        <f>VLOOKUP(B4008,MICRO!E:L,8,0)</f>
        <v>#N/A</v>
      </c>
    </row>
    <row r="4009" spans="1:14" ht="20.25" x14ac:dyDescent="0.25">
      <c r="A4009" s="1">
        <v>32</v>
      </c>
      <c r="B4009" s="159">
        <v>2545</v>
      </c>
      <c r="C4009" s="1" t="s">
        <v>993</v>
      </c>
      <c r="D4009" s="1"/>
      <c r="E4009" s="1" t="s">
        <v>173</v>
      </c>
      <c r="F4009" s="1" t="s">
        <v>3229</v>
      </c>
      <c r="G4009" s="1">
        <v>1</v>
      </c>
      <c r="H4009" s="1" t="s">
        <v>19</v>
      </c>
      <c r="I4009" s="1" t="s">
        <v>652</v>
      </c>
      <c r="J4009" s="1">
        <v>36.5</v>
      </c>
      <c r="K4009" s="1">
        <v>36.5</v>
      </c>
      <c r="L4009" s="42">
        <v>15</v>
      </c>
      <c r="M4009" s="43">
        <v>46198</v>
      </c>
      <c r="N4009" s="1" t="e">
        <f>VLOOKUP(B4009,MICRO!E:L,8,0)</f>
        <v>#N/A</v>
      </c>
    </row>
    <row r="4010" spans="1:14" ht="20.25" x14ac:dyDescent="0.25">
      <c r="A4010" s="1">
        <v>33</v>
      </c>
      <c r="B4010" s="159">
        <v>2732</v>
      </c>
      <c r="C4010" s="1" t="s">
        <v>1090</v>
      </c>
      <c r="D4010" s="1"/>
      <c r="E4010" s="1" t="s">
        <v>2</v>
      </c>
      <c r="F4010" s="1" t="s">
        <v>3271</v>
      </c>
      <c r="G4010" s="1">
        <v>2</v>
      </c>
      <c r="H4010" s="1" t="s">
        <v>19</v>
      </c>
      <c r="I4010" s="1" t="s">
        <v>652</v>
      </c>
      <c r="J4010" s="1">
        <v>13.5</v>
      </c>
      <c r="K4010" s="1">
        <v>27</v>
      </c>
      <c r="L4010" s="42">
        <v>15</v>
      </c>
      <c r="M4010" s="43">
        <v>46198</v>
      </c>
      <c r="N4010" s="1" t="e">
        <f>VLOOKUP(B4010,MICRO!E:L,8,0)</f>
        <v>#N/A</v>
      </c>
    </row>
    <row r="4011" spans="1:14" ht="20.25" x14ac:dyDescent="0.25">
      <c r="A4011" s="1">
        <v>34</v>
      </c>
      <c r="B4011" s="159">
        <v>2734</v>
      </c>
      <c r="C4011" s="1" t="s">
        <v>1090</v>
      </c>
      <c r="D4011" s="1"/>
      <c r="E4011" s="1" t="s">
        <v>746</v>
      </c>
      <c r="F4011" s="1" t="s">
        <v>1091</v>
      </c>
      <c r="G4011" s="1">
        <v>1</v>
      </c>
      <c r="H4011" s="1" t="s">
        <v>19</v>
      </c>
      <c r="I4011" s="1" t="s">
        <v>652</v>
      </c>
      <c r="J4011" s="1">
        <v>7.5</v>
      </c>
      <c r="K4011" s="1">
        <v>7.5</v>
      </c>
      <c r="L4011" s="42">
        <v>15</v>
      </c>
      <c r="M4011" s="43">
        <v>46198</v>
      </c>
      <c r="N4011" s="1" t="e">
        <f>VLOOKUP(B4011,MICRO!E:L,8,0)</f>
        <v>#N/A</v>
      </c>
    </row>
    <row r="4012" spans="1:14" ht="20.25" x14ac:dyDescent="0.25">
      <c r="A4012" s="1">
        <v>35</v>
      </c>
      <c r="B4012" s="159">
        <v>2735</v>
      </c>
      <c r="C4012" s="1" t="s">
        <v>1090</v>
      </c>
      <c r="D4012" s="1"/>
      <c r="E4012" s="1" t="s">
        <v>1101</v>
      </c>
      <c r="F4012" s="1" t="s">
        <v>1092</v>
      </c>
      <c r="G4012" s="1">
        <v>2</v>
      </c>
      <c r="H4012" s="1" t="s">
        <v>19</v>
      </c>
      <c r="I4012" s="1" t="s">
        <v>652</v>
      </c>
      <c r="J4012" s="1">
        <v>24.4</v>
      </c>
      <c r="K4012" s="1">
        <v>48.8</v>
      </c>
      <c r="L4012" s="42">
        <v>15</v>
      </c>
      <c r="M4012" s="43">
        <v>46198</v>
      </c>
      <c r="N4012" s="1" t="e">
        <f>VLOOKUP(B4012,MICRO!E:L,8,0)</f>
        <v>#N/A</v>
      </c>
    </row>
    <row r="4013" spans="1:14" ht="20.25" x14ac:dyDescent="0.25">
      <c r="A4013" s="1">
        <v>36</v>
      </c>
      <c r="B4013" s="159">
        <v>2736</v>
      </c>
      <c r="C4013" s="1" t="s">
        <v>1090</v>
      </c>
      <c r="D4013" s="1"/>
      <c r="E4013" s="1" t="s">
        <v>100</v>
      </c>
      <c r="F4013" s="1" t="s">
        <v>1093</v>
      </c>
      <c r="G4013" s="1">
        <v>1</v>
      </c>
      <c r="H4013" s="1" t="s">
        <v>19</v>
      </c>
      <c r="I4013" s="1" t="s">
        <v>652</v>
      </c>
      <c r="J4013" s="1">
        <v>12.7</v>
      </c>
      <c r="K4013" s="1">
        <v>12.7</v>
      </c>
      <c r="L4013" s="42">
        <v>15</v>
      </c>
      <c r="M4013" s="43">
        <v>46198</v>
      </c>
      <c r="N4013" s="1" t="e">
        <f>VLOOKUP(B4013,MICRO!E:L,8,0)</f>
        <v>#N/A</v>
      </c>
    </row>
    <row r="4014" spans="1:14" ht="20.25" x14ac:dyDescent="0.25">
      <c r="A4014" s="1">
        <v>37</v>
      </c>
      <c r="B4014" s="159">
        <v>2737</v>
      </c>
      <c r="C4014" s="1" t="s">
        <v>1090</v>
      </c>
      <c r="D4014" s="1"/>
      <c r="E4014" s="1" t="s">
        <v>173</v>
      </c>
      <c r="F4014" s="1" t="s">
        <v>1094</v>
      </c>
      <c r="G4014" s="1">
        <v>2</v>
      </c>
      <c r="H4014" s="1" t="s">
        <v>19</v>
      </c>
      <c r="I4014" s="1" t="s">
        <v>652</v>
      </c>
      <c r="J4014" s="1">
        <v>7</v>
      </c>
      <c r="K4014" s="1">
        <v>14</v>
      </c>
      <c r="L4014" s="42">
        <v>15</v>
      </c>
      <c r="M4014" s="43">
        <v>46198</v>
      </c>
      <c r="N4014" s="1" t="e">
        <f>VLOOKUP(B4014,MICRO!E:L,8,0)</f>
        <v>#N/A</v>
      </c>
    </row>
    <row r="4015" spans="1:14" ht="20.25" x14ac:dyDescent="0.25">
      <c r="A4015" s="1">
        <v>38</v>
      </c>
      <c r="B4015" s="159">
        <v>2738</v>
      </c>
      <c r="C4015" s="1" t="s">
        <v>1090</v>
      </c>
      <c r="D4015" s="1"/>
      <c r="E4015" s="1" t="s">
        <v>461</v>
      </c>
      <c r="F4015" s="1" t="s">
        <v>3273</v>
      </c>
      <c r="G4015" s="1">
        <v>1</v>
      </c>
      <c r="H4015" s="1" t="s">
        <v>19</v>
      </c>
      <c r="I4015" s="1" t="s">
        <v>652</v>
      </c>
      <c r="J4015" s="1">
        <v>9.8000000000000007</v>
      </c>
      <c r="K4015" s="1">
        <v>9.8000000000000007</v>
      </c>
      <c r="L4015" s="42">
        <v>15</v>
      </c>
      <c r="M4015" s="43">
        <v>46198</v>
      </c>
      <c r="N4015" s="1" t="e">
        <f>VLOOKUP(B4015,MICRO!E:L,8,0)</f>
        <v>#N/A</v>
      </c>
    </row>
    <row r="4016" spans="1:14" ht="20.25" x14ac:dyDescent="0.25">
      <c r="A4016" s="1">
        <v>39</v>
      </c>
      <c r="B4016" s="159">
        <v>2570</v>
      </c>
      <c r="C4016" s="1" t="s">
        <v>1016</v>
      </c>
      <c r="D4016" s="1"/>
      <c r="E4016" s="1" t="s">
        <v>461</v>
      </c>
      <c r="F4016" s="1" t="s">
        <v>3234</v>
      </c>
      <c r="G4016" s="1">
        <v>10</v>
      </c>
      <c r="H4016" s="1" t="s">
        <v>19</v>
      </c>
      <c r="I4016" s="1" t="s">
        <v>652</v>
      </c>
      <c r="J4016" s="1">
        <v>10.7</v>
      </c>
      <c r="K4016" s="1">
        <v>107</v>
      </c>
      <c r="L4016" s="42">
        <v>15</v>
      </c>
      <c r="M4016" s="43">
        <v>46198</v>
      </c>
      <c r="N4016" s="1" t="e">
        <f>VLOOKUP(B4016,MICRO!E:L,8,0)</f>
        <v>#N/A</v>
      </c>
    </row>
    <row r="4017" spans="1:14" ht="20.25" x14ac:dyDescent="0.25">
      <c r="A4017" s="1">
        <v>40</v>
      </c>
      <c r="B4017" s="159">
        <v>2571</v>
      </c>
      <c r="C4017" s="1" t="s">
        <v>1016</v>
      </c>
      <c r="D4017" s="1"/>
      <c r="E4017" s="1" t="s">
        <v>746</v>
      </c>
      <c r="F4017" s="1" t="s">
        <v>3235</v>
      </c>
      <c r="G4017" s="1">
        <v>2</v>
      </c>
      <c r="H4017" s="1" t="s">
        <v>19</v>
      </c>
      <c r="I4017" s="1" t="s">
        <v>652</v>
      </c>
      <c r="J4017" s="1">
        <v>12.6</v>
      </c>
      <c r="K4017" s="1">
        <v>25.2</v>
      </c>
      <c r="L4017" s="42">
        <v>15</v>
      </c>
      <c r="M4017" s="43">
        <v>46198</v>
      </c>
      <c r="N4017" s="1" t="e">
        <f>VLOOKUP(B4017,MICRO!E:L,8,0)</f>
        <v>#N/A</v>
      </c>
    </row>
    <row r="4018" spans="1:14" ht="20.25" x14ac:dyDescent="0.25">
      <c r="A4018" s="1">
        <v>41</v>
      </c>
      <c r="B4018" s="159">
        <v>2572</v>
      </c>
      <c r="C4018" s="1" t="s">
        <v>1016</v>
      </c>
      <c r="D4018" s="1"/>
      <c r="E4018" s="1" t="s">
        <v>1101</v>
      </c>
      <c r="F4018" s="1" t="s">
        <v>3236</v>
      </c>
      <c r="G4018" s="1">
        <v>1</v>
      </c>
      <c r="H4018" s="1" t="s">
        <v>19</v>
      </c>
      <c r="I4018" s="1" t="s">
        <v>652</v>
      </c>
      <c r="J4018" s="1">
        <v>10.7</v>
      </c>
      <c r="K4018" s="1">
        <v>10.7</v>
      </c>
      <c r="L4018" s="42">
        <v>15</v>
      </c>
      <c r="M4018" s="43">
        <v>46198</v>
      </c>
      <c r="N4018" s="1" t="e">
        <f>VLOOKUP(B4018,MICRO!E:L,8,0)</f>
        <v>#N/A</v>
      </c>
    </row>
    <row r="4019" spans="1:14" ht="20.25" x14ac:dyDescent="0.25">
      <c r="A4019" s="1">
        <v>42</v>
      </c>
      <c r="B4019" s="159">
        <v>2574</v>
      </c>
      <c r="C4019" s="1" t="s">
        <v>1016</v>
      </c>
      <c r="D4019" s="1"/>
      <c r="E4019" s="1" t="s">
        <v>173</v>
      </c>
      <c r="F4019" s="1" t="s">
        <v>3238</v>
      </c>
      <c r="G4019" s="1">
        <v>10</v>
      </c>
      <c r="H4019" s="1" t="s">
        <v>19</v>
      </c>
      <c r="I4019" s="1" t="s">
        <v>652</v>
      </c>
      <c r="J4019" s="1">
        <v>26</v>
      </c>
      <c r="K4019" s="1">
        <v>260</v>
      </c>
      <c r="L4019" s="42">
        <v>15</v>
      </c>
      <c r="M4019" s="43">
        <v>46198</v>
      </c>
      <c r="N4019" s="1" t="e">
        <f>VLOOKUP(B4019,MICRO!E:L,8,0)</f>
        <v>#N/A</v>
      </c>
    </row>
    <row r="4020" spans="1:14" ht="20.25" x14ac:dyDescent="0.25">
      <c r="A4020" s="1">
        <v>43</v>
      </c>
      <c r="B4020" s="159">
        <v>2575</v>
      </c>
      <c r="C4020" s="1" t="s">
        <v>1016</v>
      </c>
      <c r="D4020" s="1"/>
      <c r="E4020" s="1" t="s">
        <v>461</v>
      </c>
      <c r="F4020" s="1" t="s">
        <v>3239</v>
      </c>
      <c r="G4020" s="1">
        <v>2</v>
      </c>
      <c r="H4020" s="1" t="s">
        <v>19</v>
      </c>
      <c r="I4020" s="1" t="s">
        <v>652</v>
      </c>
      <c r="J4020" s="1">
        <v>17.5</v>
      </c>
      <c r="K4020" s="1">
        <v>35</v>
      </c>
      <c r="L4020" s="42">
        <v>15</v>
      </c>
      <c r="M4020" s="43">
        <v>46198</v>
      </c>
      <c r="N4020" s="1" t="e">
        <f>VLOOKUP(B4020,MICRO!E:L,8,0)</f>
        <v>#N/A</v>
      </c>
    </row>
    <row r="4021" spans="1:14" ht="20.25" x14ac:dyDescent="0.25">
      <c r="A4021" s="1">
        <v>44</v>
      </c>
      <c r="B4021" s="159">
        <v>2576</v>
      </c>
      <c r="C4021" s="1" t="s">
        <v>1016</v>
      </c>
      <c r="D4021" s="1"/>
      <c r="E4021" s="1" t="s">
        <v>464</v>
      </c>
      <c r="F4021" s="1" t="s">
        <v>3240</v>
      </c>
      <c r="G4021" s="1">
        <v>1</v>
      </c>
      <c r="H4021" s="1" t="s">
        <v>19</v>
      </c>
      <c r="I4021" s="1" t="s">
        <v>652</v>
      </c>
      <c r="J4021" s="1">
        <v>25</v>
      </c>
      <c r="K4021" s="1">
        <v>25</v>
      </c>
      <c r="L4021" s="42">
        <v>15</v>
      </c>
      <c r="M4021" s="43">
        <v>46198</v>
      </c>
      <c r="N4021" s="1" t="e">
        <f>VLOOKUP(B4021,MICRO!E:L,8,0)</f>
        <v>#N/A</v>
      </c>
    </row>
    <row r="4022" spans="1:14" ht="20.25" x14ac:dyDescent="0.25">
      <c r="A4022" s="1">
        <v>45</v>
      </c>
      <c r="B4022" s="159"/>
      <c r="C4022" s="1" t="s">
        <v>1081</v>
      </c>
      <c r="D4022" s="1"/>
      <c r="E4022" s="1" t="s">
        <v>1101</v>
      </c>
      <c r="F4022" s="1" t="s">
        <v>3266</v>
      </c>
      <c r="G4022" s="1">
        <v>1</v>
      </c>
      <c r="H4022" s="1" t="s">
        <v>19</v>
      </c>
      <c r="I4022" s="1" t="s">
        <v>652</v>
      </c>
      <c r="J4022" s="1">
        <v>2.7</v>
      </c>
      <c r="K4022" s="1">
        <v>2.7</v>
      </c>
      <c r="L4022" s="42">
        <v>15</v>
      </c>
      <c r="M4022" s="43">
        <v>46198</v>
      </c>
      <c r="N4022" s="1" t="e">
        <f>VLOOKUP(B4022,MICRO!E:L,8,0)</f>
        <v>#N/A</v>
      </c>
    </row>
    <row r="4023" spans="1:14" ht="20.25" x14ac:dyDescent="0.25">
      <c r="A4023" s="1">
        <v>46</v>
      </c>
      <c r="B4023" s="159"/>
      <c r="C4023" s="1" t="s">
        <v>1081</v>
      </c>
      <c r="D4023" s="1"/>
      <c r="E4023" s="1" t="s">
        <v>100</v>
      </c>
      <c r="F4023" s="1" t="s">
        <v>3267</v>
      </c>
      <c r="G4023" s="1">
        <v>18</v>
      </c>
      <c r="H4023" s="1" t="s">
        <v>19</v>
      </c>
      <c r="I4023" s="1" t="s">
        <v>652</v>
      </c>
      <c r="J4023" s="1">
        <v>4.2</v>
      </c>
      <c r="K4023" s="1">
        <v>75.600000000000009</v>
      </c>
      <c r="L4023" s="42">
        <v>15</v>
      </c>
      <c r="M4023" s="43">
        <v>46198</v>
      </c>
      <c r="N4023" s="1" t="e">
        <f>VLOOKUP(B4023,MICRO!E:L,8,0)</f>
        <v>#N/A</v>
      </c>
    </row>
    <row r="4024" spans="1:14" ht="20.25" x14ac:dyDescent="0.25">
      <c r="A4024" s="1">
        <v>47</v>
      </c>
      <c r="B4024" s="159"/>
      <c r="C4024" s="1" t="s">
        <v>1081</v>
      </c>
      <c r="D4024" s="1"/>
      <c r="E4024" s="1" t="s">
        <v>173</v>
      </c>
      <c r="F4024" s="1" t="s">
        <v>3268</v>
      </c>
      <c r="G4024" s="1">
        <v>1</v>
      </c>
      <c r="H4024" s="1" t="s">
        <v>19</v>
      </c>
      <c r="I4024" s="1" t="s">
        <v>652</v>
      </c>
      <c r="J4024" s="1">
        <v>0.9</v>
      </c>
      <c r="K4024" s="1">
        <v>0.9</v>
      </c>
      <c r="L4024" s="42">
        <v>15</v>
      </c>
      <c r="M4024" s="43">
        <v>46198</v>
      </c>
      <c r="N4024" s="1" t="e">
        <f>VLOOKUP(B4024,MICRO!E:L,8,0)</f>
        <v>#N/A</v>
      </c>
    </row>
    <row r="4025" spans="1:14" ht="20.25" x14ac:dyDescent="0.25">
      <c r="A4025" s="1">
        <v>48</v>
      </c>
      <c r="B4025" s="159"/>
      <c r="C4025" s="1" t="s">
        <v>1081</v>
      </c>
      <c r="D4025" s="1"/>
      <c r="E4025" s="1" t="s">
        <v>461</v>
      </c>
      <c r="F4025" s="1" t="s">
        <v>3269</v>
      </c>
      <c r="G4025" s="1">
        <v>2</v>
      </c>
      <c r="H4025" s="1" t="s">
        <v>19</v>
      </c>
      <c r="I4025" s="1" t="s">
        <v>652</v>
      </c>
      <c r="J4025" s="1">
        <v>0.7</v>
      </c>
      <c r="K4025" s="1">
        <v>1.4</v>
      </c>
      <c r="L4025" s="42">
        <v>15</v>
      </c>
      <c r="M4025" s="43">
        <v>46198</v>
      </c>
      <c r="N4025" s="1" t="e">
        <f>VLOOKUP(B4025,MICRO!E:L,8,0)</f>
        <v>#N/A</v>
      </c>
    </row>
    <row r="4026" spans="1:14" ht="20.25" x14ac:dyDescent="0.25">
      <c r="A4026" s="1">
        <v>49</v>
      </c>
      <c r="B4026" s="159"/>
      <c r="C4026" s="1" t="s">
        <v>1081</v>
      </c>
      <c r="D4026" s="1"/>
      <c r="E4026" s="1" t="s">
        <v>464</v>
      </c>
      <c r="F4026" s="1" t="s">
        <v>3270</v>
      </c>
      <c r="G4026" s="1">
        <v>1</v>
      </c>
      <c r="H4026" s="1" t="s">
        <v>19</v>
      </c>
      <c r="I4026" s="1" t="s">
        <v>652</v>
      </c>
      <c r="J4026" s="1">
        <v>2.2999999999999998</v>
      </c>
      <c r="K4026" s="1">
        <v>2.2999999999999998</v>
      </c>
      <c r="L4026" s="42">
        <v>15</v>
      </c>
      <c r="M4026" s="43">
        <v>46198</v>
      </c>
      <c r="N4026" s="1" t="e">
        <f>VLOOKUP(B4026,MICRO!E:L,8,0)</f>
        <v>#N/A</v>
      </c>
    </row>
    <row r="4027" spans="1:14" ht="20.25" x14ac:dyDescent="0.25">
      <c r="A4027" s="1">
        <v>50</v>
      </c>
      <c r="B4027" s="159"/>
      <c r="C4027" s="1" t="s">
        <v>1095</v>
      </c>
      <c r="D4027" s="1"/>
      <c r="E4027" s="1" t="s">
        <v>173</v>
      </c>
      <c r="F4027" s="1" t="s">
        <v>3274</v>
      </c>
      <c r="G4027" s="1">
        <v>1</v>
      </c>
      <c r="H4027" s="1" t="s">
        <v>19</v>
      </c>
      <c r="I4027" s="1" t="s">
        <v>652</v>
      </c>
      <c r="J4027" s="1">
        <v>1.6</v>
      </c>
      <c r="K4027" s="1">
        <v>1.6</v>
      </c>
      <c r="L4027" s="42">
        <v>15</v>
      </c>
      <c r="M4027" s="43">
        <v>46198</v>
      </c>
      <c r="N4027" s="1" t="e">
        <f>VLOOKUP(B4027,MICRO!E:L,8,0)</f>
        <v>#N/A</v>
      </c>
    </row>
    <row r="4028" spans="1:14" ht="20.25" x14ac:dyDescent="0.25">
      <c r="A4028" s="1">
        <v>51</v>
      </c>
      <c r="B4028" s="159"/>
      <c r="C4028" s="1" t="s">
        <v>1095</v>
      </c>
      <c r="D4028" s="1"/>
      <c r="E4028" s="1" t="s">
        <v>461</v>
      </c>
      <c r="F4028" s="1" t="s">
        <v>3275</v>
      </c>
      <c r="G4028" s="1">
        <v>2</v>
      </c>
      <c r="H4028" s="1" t="s">
        <v>19</v>
      </c>
      <c r="I4028" s="1" t="s">
        <v>652</v>
      </c>
      <c r="J4028" s="1">
        <v>4.5999999999999996</v>
      </c>
      <c r="K4028" s="1">
        <v>9.1999999999999993</v>
      </c>
      <c r="L4028" s="42">
        <v>15</v>
      </c>
      <c r="M4028" s="43">
        <v>46198</v>
      </c>
      <c r="N4028" s="1" t="e">
        <f>VLOOKUP(B4028,MICRO!E:L,8,0)</f>
        <v>#N/A</v>
      </c>
    </row>
    <row r="4029" spans="1:14" ht="20.25" x14ac:dyDescent="0.25">
      <c r="A4029" s="1">
        <v>52</v>
      </c>
      <c r="B4029" s="159"/>
      <c r="C4029" s="1" t="s">
        <v>3374</v>
      </c>
      <c r="D4029" s="1"/>
      <c r="E4029" s="1"/>
      <c r="F4029" s="1" t="s">
        <v>3375</v>
      </c>
      <c r="G4029" s="1">
        <v>119</v>
      </c>
      <c r="H4029" s="1" t="s">
        <v>19</v>
      </c>
      <c r="I4029" s="1" t="s">
        <v>652</v>
      </c>
      <c r="J4029" s="1">
        <v>0.05</v>
      </c>
      <c r="K4029" s="1">
        <v>5.95</v>
      </c>
      <c r="L4029" s="42">
        <v>15</v>
      </c>
      <c r="M4029" s="43">
        <v>46198</v>
      </c>
      <c r="N4029" s="1" t="e">
        <f>VLOOKUP(B4029,MICRO!E:L,8,0)</f>
        <v>#N/A</v>
      </c>
    </row>
    <row r="4030" spans="1:14" ht="20.25" x14ac:dyDescent="0.25">
      <c r="A4030" s="1">
        <v>53</v>
      </c>
      <c r="B4030" s="159"/>
      <c r="C4030" s="1" t="s">
        <v>3374</v>
      </c>
      <c r="D4030" s="1"/>
      <c r="E4030" s="1"/>
      <c r="F4030" s="1" t="s">
        <v>3376</v>
      </c>
      <c r="G4030" s="1">
        <v>119</v>
      </c>
      <c r="H4030" s="1" t="s">
        <v>19</v>
      </c>
      <c r="I4030" s="1" t="s">
        <v>652</v>
      </c>
      <c r="J4030" s="1">
        <v>0.02</v>
      </c>
      <c r="K4030" s="1">
        <v>2.38</v>
      </c>
      <c r="L4030" s="42">
        <v>15</v>
      </c>
      <c r="M4030" s="43">
        <v>46198</v>
      </c>
      <c r="N4030" s="1" t="e">
        <f>VLOOKUP(B4030,MICRO!E:L,8,0)</f>
        <v>#N/A</v>
      </c>
    </row>
    <row r="4031" spans="1:14" ht="20.25" x14ac:dyDescent="0.25">
      <c r="A4031" s="1">
        <v>54</v>
      </c>
      <c r="B4031" s="159"/>
      <c r="C4031" s="1" t="s">
        <v>3374</v>
      </c>
      <c r="D4031" s="1"/>
      <c r="E4031" s="1"/>
      <c r="F4031" s="1" t="s">
        <v>3377</v>
      </c>
      <c r="G4031" s="1">
        <v>119</v>
      </c>
      <c r="H4031" s="1" t="s">
        <v>19</v>
      </c>
      <c r="I4031" s="1" t="s">
        <v>652</v>
      </c>
      <c r="J4031" s="1">
        <v>0.01</v>
      </c>
      <c r="K4031" s="1">
        <v>1.19</v>
      </c>
      <c r="L4031" s="42">
        <v>15</v>
      </c>
      <c r="M4031" s="43">
        <v>46198</v>
      </c>
      <c r="N4031" s="1" t="e">
        <f>VLOOKUP(B4031,MICRO!E:L,8,0)</f>
        <v>#N/A</v>
      </c>
    </row>
    <row r="4032" spans="1:14" ht="20.25" x14ac:dyDescent="0.25">
      <c r="A4032" s="1">
        <v>55</v>
      </c>
      <c r="B4032" s="159"/>
      <c r="C4032" s="1" t="s">
        <v>3378</v>
      </c>
      <c r="D4032" s="1"/>
      <c r="E4032" s="1" t="s">
        <v>2</v>
      </c>
      <c r="F4032" s="1" t="s">
        <v>3379</v>
      </c>
      <c r="G4032" s="1">
        <v>2</v>
      </c>
      <c r="H4032" s="1" t="s">
        <v>19</v>
      </c>
      <c r="I4032" s="1" t="s">
        <v>652</v>
      </c>
      <c r="J4032" s="1">
        <v>1.1000000000000001</v>
      </c>
      <c r="K4032" s="1">
        <v>2.2000000000000002</v>
      </c>
      <c r="L4032" s="42">
        <v>15</v>
      </c>
      <c r="M4032" s="43">
        <v>46198</v>
      </c>
      <c r="N4032" s="1" t="e">
        <f>VLOOKUP(B4032,MICRO!E:L,8,0)</f>
        <v>#N/A</v>
      </c>
    </row>
    <row r="4033" spans="1:14" ht="20.25" x14ac:dyDescent="0.25">
      <c r="A4033" s="1">
        <v>56</v>
      </c>
      <c r="B4033" s="159"/>
      <c r="C4033" s="1" t="s">
        <v>3378</v>
      </c>
      <c r="D4033" s="1"/>
      <c r="E4033" s="1" t="s">
        <v>43</v>
      </c>
      <c r="F4033" s="1" t="s">
        <v>3380</v>
      </c>
      <c r="G4033" s="1">
        <v>4</v>
      </c>
      <c r="H4033" s="1" t="s">
        <v>19</v>
      </c>
      <c r="I4033" s="1" t="s">
        <v>652</v>
      </c>
      <c r="J4033" s="1">
        <v>3.8</v>
      </c>
      <c r="K4033" s="1">
        <v>15.2</v>
      </c>
      <c r="L4033" s="42">
        <v>15</v>
      </c>
      <c r="M4033" s="43">
        <v>46198</v>
      </c>
      <c r="N4033" s="1" t="e">
        <f>VLOOKUP(B4033,MICRO!E:L,8,0)</f>
        <v>#N/A</v>
      </c>
    </row>
    <row r="4034" spans="1:14" ht="20.25" x14ac:dyDescent="0.25">
      <c r="A4034" s="1">
        <v>57</v>
      </c>
      <c r="B4034" s="159"/>
      <c r="C4034" s="1" t="s">
        <v>3378</v>
      </c>
      <c r="D4034" s="1"/>
      <c r="E4034" s="1" t="s">
        <v>746</v>
      </c>
      <c r="F4034" s="1" t="s">
        <v>3381</v>
      </c>
      <c r="G4034" s="1">
        <v>1</v>
      </c>
      <c r="H4034" s="1" t="s">
        <v>19</v>
      </c>
      <c r="I4034" s="1" t="s">
        <v>652</v>
      </c>
      <c r="J4034" s="1">
        <v>0.4</v>
      </c>
      <c r="K4034" s="1">
        <v>0.4</v>
      </c>
      <c r="L4034" s="42">
        <v>15</v>
      </c>
      <c r="M4034" s="43">
        <v>46198</v>
      </c>
      <c r="N4034" s="1" t="e">
        <f>VLOOKUP(B4034,MICRO!E:L,8,0)</f>
        <v>#N/A</v>
      </c>
    </row>
    <row r="4035" spans="1:14" ht="20.25" x14ac:dyDescent="0.25">
      <c r="A4035" s="1">
        <v>58</v>
      </c>
      <c r="B4035" s="159">
        <v>2535</v>
      </c>
      <c r="C4035" s="1" t="s">
        <v>989</v>
      </c>
      <c r="D4035" s="1"/>
      <c r="E4035" s="1" t="s">
        <v>746</v>
      </c>
      <c r="F4035" s="1" t="s">
        <v>3224</v>
      </c>
      <c r="G4035" s="1">
        <v>1</v>
      </c>
      <c r="H4035" s="1" t="s">
        <v>19</v>
      </c>
      <c r="I4035" s="1" t="s">
        <v>652</v>
      </c>
      <c r="J4035" s="1">
        <v>7.4</v>
      </c>
      <c r="K4035" s="1">
        <v>7.4</v>
      </c>
      <c r="L4035" s="42">
        <v>15</v>
      </c>
      <c r="M4035" s="43">
        <v>46198</v>
      </c>
      <c r="N4035" s="1" t="e">
        <f>VLOOKUP(B4035,MICRO!E:L,8,0)</f>
        <v>#N/A</v>
      </c>
    </row>
    <row r="4036" spans="1:14" ht="20.25" x14ac:dyDescent="0.25">
      <c r="A4036" s="1">
        <v>59</v>
      </c>
      <c r="B4036" s="159">
        <v>2733</v>
      </c>
      <c r="C4036" s="1" t="s">
        <v>1090</v>
      </c>
      <c r="D4036" s="1"/>
      <c r="E4036" s="1" t="s">
        <v>43</v>
      </c>
      <c r="F4036" s="1" t="s">
        <v>3272</v>
      </c>
      <c r="G4036" s="1">
        <v>1</v>
      </c>
      <c r="H4036" s="1" t="s">
        <v>19</v>
      </c>
      <c r="I4036" s="1" t="s">
        <v>652</v>
      </c>
      <c r="J4036" s="1">
        <v>6.1</v>
      </c>
      <c r="K4036" s="1">
        <v>6.1</v>
      </c>
      <c r="L4036" s="42">
        <v>15</v>
      </c>
      <c r="M4036" s="43">
        <v>46198</v>
      </c>
      <c r="N4036" s="1" t="e">
        <f>VLOOKUP(B4036,MICRO!E:L,8,0)</f>
        <v>#N/A</v>
      </c>
    </row>
    <row r="4037" spans="1:14" ht="20.25" x14ac:dyDescent="0.25">
      <c r="A4037" s="1">
        <v>60</v>
      </c>
      <c r="B4037" s="159">
        <v>2417</v>
      </c>
      <c r="C4037" s="1" t="s">
        <v>908</v>
      </c>
      <c r="D4037" s="1"/>
      <c r="E4037" s="1" t="s">
        <v>173</v>
      </c>
      <c r="F4037" s="1" t="s">
        <v>910</v>
      </c>
      <c r="G4037" s="1">
        <v>2</v>
      </c>
      <c r="H4037" s="1" t="s">
        <v>19</v>
      </c>
      <c r="I4037" s="1" t="s">
        <v>652</v>
      </c>
      <c r="J4037" s="1">
        <v>12</v>
      </c>
      <c r="K4037" s="1">
        <v>24</v>
      </c>
      <c r="L4037" s="42">
        <v>15</v>
      </c>
      <c r="M4037" s="43">
        <v>46198</v>
      </c>
      <c r="N4037" s="1" t="e">
        <f>VLOOKUP(B4037,MICRO!E:L,8,0)</f>
        <v>#N/A</v>
      </c>
    </row>
    <row r="4038" spans="1:14" ht="20.25" x14ac:dyDescent="0.25">
      <c r="A4038" s="1">
        <v>61</v>
      </c>
      <c r="B4038" s="159">
        <v>2414</v>
      </c>
      <c r="C4038" s="1" t="s">
        <v>908</v>
      </c>
      <c r="D4038" s="1"/>
      <c r="E4038" s="1" t="s">
        <v>746</v>
      </c>
      <c r="F4038" s="1" t="s">
        <v>3206</v>
      </c>
      <c r="G4038" s="1">
        <v>2</v>
      </c>
      <c r="H4038" s="1" t="s">
        <v>19</v>
      </c>
      <c r="I4038" s="1" t="s">
        <v>652</v>
      </c>
      <c r="J4038" s="1">
        <v>8.5</v>
      </c>
      <c r="K4038" s="1">
        <v>17</v>
      </c>
      <c r="L4038" s="42">
        <v>15</v>
      </c>
      <c r="M4038" s="43">
        <v>46198</v>
      </c>
      <c r="N4038" s="1" t="e">
        <f>VLOOKUP(B4038,MICRO!E:L,8,0)</f>
        <v>#N/A</v>
      </c>
    </row>
    <row r="4039" spans="1:14" ht="20.25" x14ac:dyDescent="0.25">
      <c r="A4039" s="1">
        <v>1</v>
      </c>
      <c r="B4039" s="159"/>
      <c r="C4039" s="1" t="s">
        <v>977</v>
      </c>
      <c r="D4039" s="1"/>
      <c r="E4039" s="1" t="s">
        <v>100</v>
      </c>
      <c r="F4039" s="1" t="s">
        <v>3369</v>
      </c>
      <c r="G4039" s="1">
        <v>4</v>
      </c>
      <c r="H4039" s="1" t="s">
        <v>19</v>
      </c>
      <c r="I4039" s="1" t="s">
        <v>589</v>
      </c>
      <c r="J4039" s="1">
        <v>2.4</v>
      </c>
      <c r="K4039" s="1">
        <v>9.6</v>
      </c>
      <c r="L4039" s="42">
        <v>13</v>
      </c>
      <c r="M4039" s="43">
        <v>46153</v>
      </c>
      <c r="N4039" s="1" t="e">
        <f>VLOOKUP(B4039,MICRO!E:L,8,0)</f>
        <v>#N/A</v>
      </c>
    </row>
    <row r="4040" spans="1:14" ht="20.25" x14ac:dyDescent="0.25">
      <c r="A4040" s="1">
        <v>2</v>
      </c>
      <c r="B4040" s="159"/>
      <c r="C4040" s="1" t="s">
        <v>1033</v>
      </c>
      <c r="D4040" s="1"/>
      <c r="E4040" s="1" t="s">
        <v>746</v>
      </c>
      <c r="F4040" s="1" t="s">
        <v>3369</v>
      </c>
      <c r="G4040" s="1">
        <v>4</v>
      </c>
      <c r="H4040" s="1" t="s">
        <v>19</v>
      </c>
      <c r="I4040" s="1" t="s">
        <v>585</v>
      </c>
      <c r="J4040" s="1">
        <v>2.4</v>
      </c>
      <c r="K4040" s="1">
        <v>9.6</v>
      </c>
      <c r="L4040" s="42">
        <v>13</v>
      </c>
      <c r="M4040" s="43">
        <v>46153</v>
      </c>
      <c r="N4040" s="1" t="e">
        <f>VLOOKUP(B4040,MICRO!E:L,8,0)</f>
        <v>#N/A</v>
      </c>
    </row>
    <row r="4041" spans="1:14" ht="20.25" x14ac:dyDescent="0.25">
      <c r="A4041" s="1">
        <v>3</v>
      </c>
      <c r="B4041" s="159"/>
      <c r="C4041" s="1" t="s">
        <v>719</v>
      </c>
      <c r="D4041" s="1"/>
      <c r="E4041" s="1" t="s">
        <v>746</v>
      </c>
      <c r="F4041" s="1" t="s">
        <v>3369</v>
      </c>
      <c r="G4041" s="1">
        <v>1</v>
      </c>
      <c r="H4041" s="1" t="s">
        <v>19</v>
      </c>
      <c r="I4041" s="1" t="s">
        <v>589</v>
      </c>
      <c r="J4041" s="1">
        <v>0.7</v>
      </c>
      <c r="K4041" s="1">
        <v>0.7</v>
      </c>
      <c r="L4041" s="42">
        <v>13</v>
      </c>
      <c r="M4041" s="43">
        <v>46153</v>
      </c>
      <c r="N4041" s="1" t="e">
        <f>VLOOKUP(B4041,MICRO!E:L,8,0)</f>
        <v>#N/A</v>
      </c>
    </row>
    <row r="4042" spans="1:14" ht="20.25" x14ac:dyDescent="0.25">
      <c r="A4042" s="1">
        <v>4</v>
      </c>
      <c r="B4042" s="159"/>
      <c r="C4042" s="1" t="s">
        <v>723</v>
      </c>
      <c r="D4042" s="1"/>
      <c r="E4042" s="1" t="s">
        <v>746</v>
      </c>
      <c r="F4042" s="1" t="s">
        <v>3369</v>
      </c>
      <c r="G4042" s="1">
        <v>1</v>
      </c>
      <c r="H4042" s="1" t="s">
        <v>19</v>
      </c>
      <c r="I4042" s="1" t="s">
        <v>585</v>
      </c>
      <c r="J4042" s="1">
        <v>3.2</v>
      </c>
      <c r="K4042" s="1">
        <v>3.2</v>
      </c>
      <c r="L4042" s="42">
        <v>13</v>
      </c>
      <c r="M4042" s="43">
        <v>46153</v>
      </c>
      <c r="N4042" s="1" t="e">
        <f>VLOOKUP(B4042,MICRO!E:L,8,0)</f>
        <v>#N/A</v>
      </c>
    </row>
    <row r="4043" spans="1:14" ht="20.25" x14ac:dyDescent="0.25">
      <c r="A4043" s="1">
        <v>1</v>
      </c>
      <c r="B4043" s="159"/>
      <c r="C4043" s="1" t="s">
        <v>3382</v>
      </c>
      <c r="D4043" s="1"/>
      <c r="E4043" s="1"/>
      <c r="F4043" s="1" t="s">
        <v>3383</v>
      </c>
      <c r="G4043" s="1">
        <v>48</v>
      </c>
      <c r="H4043" s="1" t="s">
        <v>19</v>
      </c>
      <c r="I4043" s="1" t="s">
        <v>629</v>
      </c>
      <c r="J4043" s="1">
        <v>0.05</v>
      </c>
      <c r="K4043" s="1">
        <v>2.4000000000000004</v>
      </c>
      <c r="L4043" s="42">
        <v>14</v>
      </c>
      <c r="M4043" s="43">
        <v>46174</v>
      </c>
      <c r="N4043" s="1" t="e">
        <f>VLOOKUP(B4043,MICRO!E:L,8,0)</f>
        <v>#N/A</v>
      </c>
    </row>
    <row r="4044" spans="1:14" ht="20.25" x14ac:dyDescent="0.25">
      <c r="A4044" s="1">
        <v>2</v>
      </c>
      <c r="B4044" s="159"/>
      <c r="C4044" s="1" t="s">
        <v>3382</v>
      </c>
      <c r="D4044" s="1"/>
      <c r="E4044" s="1"/>
      <c r="F4044" s="1" t="s">
        <v>3384</v>
      </c>
      <c r="G4044" s="1">
        <v>80</v>
      </c>
      <c r="H4044" s="1" t="s">
        <v>19</v>
      </c>
      <c r="I4044" s="1" t="s">
        <v>629</v>
      </c>
      <c r="J4044" s="1">
        <v>0.03</v>
      </c>
      <c r="K4044" s="1">
        <v>2.4</v>
      </c>
      <c r="L4044" s="42">
        <v>14</v>
      </c>
      <c r="M4044" s="43">
        <v>46174</v>
      </c>
      <c r="N4044" s="1" t="e">
        <f>VLOOKUP(B4044,MICRO!E:L,8,0)</f>
        <v>#N/A</v>
      </c>
    </row>
    <row r="4045" spans="1:14" ht="20.25" x14ac:dyDescent="0.25">
      <c r="A4045" s="1">
        <v>3</v>
      </c>
      <c r="B4045" s="159"/>
      <c r="C4045" s="1" t="s">
        <v>3382</v>
      </c>
      <c r="D4045" s="1"/>
      <c r="E4045" s="1"/>
      <c r="F4045" s="1" t="s">
        <v>3385</v>
      </c>
      <c r="G4045" s="1">
        <v>80</v>
      </c>
      <c r="H4045" s="1" t="s">
        <v>19</v>
      </c>
      <c r="I4045" s="1" t="s">
        <v>629</v>
      </c>
      <c r="J4045" s="1">
        <v>0.02</v>
      </c>
      <c r="K4045" s="1">
        <v>1.6</v>
      </c>
      <c r="L4045" s="42">
        <v>14</v>
      </c>
      <c r="M4045" s="43">
        <v>46174</v>
      </c>
      <c r="N4045" s="1" t="e">
        <f>VLOOKUP(B4045,MICRO!E:L,8,0)</f>
        <v>#N/A</v>
      </c>
    </row>
    <row r="4046" spans="1:14" ht="20.25" x14ac:dyDescent="0.25">
      <c r="A4046" s="1">
        <v>4</v>
      </c>
      <c r="B4046" s="159"/>
      <c r="C4046" s="1" t="s">
        <v>938</v>
      </c>
      <c r="D4046" s="1"/>
      <c r="E4046" s="1"/>
      <c r="F4046" s="1" t="s">
        <v>3386</v>
      </c>
      <c r="G4046" s="1">
        <v>13</v>
      </c>
      <c r="H4046" s="1" t="s">
        <v>19</v>
      </c>
      <c r="I4046" s="1" t="s">
        <v>629</v>
      </c>
      <c r="J4046" s="1">
        <v>0.05</v>
      </c>
      <c r="K4046" s="1">
        <v>0.65</v>
      </c>
      <c r="L4046" s="42">
        <v>14</v>
      </c>
      <c r="M4046" s="43">
        <v>46174</v>
      </c>
      <c r="N4046" s="1" t="e">
        <f>VLOOKUP(B4046,MICRO!E:L,8,0)</f>
        <v>#N/A</v>
      </c>
    </row>
    <row r="4047" spans="1:14" ht="20.25" x14ac:dyDescent="0.25">
      <c r="A4047" s="1">
        <v>5</v>
      </c>
      <c r="B4047" s="159"/>
      <c r="C4047" s="1" t="s">
        <v>3387</v>
      </c>
      <c r="D4047" s="1"/>
      <c r="E4047" s="1"/>
      <c r="F4047" s="1" t="s">
        <v>3388</v>
      </c>
      <c r="G4047" s="1">
        <v>32</v>
      </c>
      <c r="H4047" s="1" t="s">
        <v>19</v>
      </c>
      <c r="I4047" s="1" t="s">
        <v>589</v>
      </c>
      <c r="J4047" s="1">
        <v>0.05</v>
      </c>
      <c r="K4047" s="1">
        <v>1.6</v>
      </c>
      <c r="L4047" s="42">
        <v>14</v>
      </c>
      <c r="M4047" s="43">
        <v>46174</v>
      </c>
      <c r="N4047" s="1" t="e">
        <f>VLOOKUP(B4047,MICRO!E:L,8,0)</f>
        <v>#N/A</v>
      </c>
    </row>
    <row r="4048" spans="1:14" ht="20.25" x14ac:dyDescent="0.25">
      <c r="A4048" s="1">
        <v>6</v>
      </c>
      <c r="B4048" s="159"/>
      <c r="C4048" s="1" t="s">
        <v>3387</v>
      </c>
      <c r="D4048" s="1"/>
      <c r="E4048" s="1"/>
      <c r="F4048" s="1" t="s">
        <v>3389</v>
      </c>
      <c r="G4048" s="1">
        <v>85</v>
      </c>
      <c r="H4048" s="1" t="s">
        <v>19</v>
      </c>
      <c r="I4048" s="1" t="s">
        <v>589</v>
      </c>
      <c r="J4048" s="1">
        <v>0.03</v>
      </c>
      <c r="K4048" s="1">
        <v>2.5499999999999998</v>
      </c>
      <c r="L4048" s="42">
        <v>14</v>
      </c>
      <c r="M4048" s="43">
        <v>46174</v>
      </c>
      <c r="N4048" s="1" t="e">
        <f>VLOOKUP(B4048,MICRO!E:L,8,0)</f>
        <v>#N/A</v>
      </c>
    </row>
    <row r="4049" spans="1:14" ht="20.25" x14ac:dyDescent="0.25">
      <c r="A4049" s="1">
        <v>7</v>
      </c>
      <c r="B4049" s="159"/>
      <c r="C4049" s="1" t="s">
        <v>3387</v>
      </c>
      <c r="D4049" s="1"/>
      <c r="E4049" s="1"/>
      <c r="F4049" s="1" t="s">
        <v>3390</v>
      </c>
      <c r="G4049" s="1">
        <v>85</v>
      </c>
      <c r="H4049" s="1" t="s">
        <v>19</v>
      </c>
      <c r="I4049" s="1" t="s">
        <v>589</v>
      </c>
      <c r="J4049" s="1">
        <v>0.02</v>
      </c>
      <c r="K4049" s="1">
        <v>1.7</v>
      </c>
      <c r="L4049" s="42">
        <v>14</v>
      </c>
      <c r="M4049" s="43">
        <v>46174</v>
      </c>
      <c r="N4049" s="1" t="e">
        <f>VLOOKUP(B4049,MICRO!E:L,8,0)</f>
        <v>#N/A</v>
      </c>
    </row>
    <row r="4050" spans="1:14" ht="20.25" x14ac:dyDescent="0.25">
      <c r="A4050" s="1">
        <v>8</v>
      </c>
      <c r="B4050" s="159"/>
      <c r="C4050" s="1" t="s">
        <v>3387</v>
      </c>
      <c r="D4050" s="1"/>
      <c r="E4050" s="1"/>
      <c r="F4050" s="1" t="s">
        <v>3391</v>
      </c>
      <c r="G4050" s="1">
        <v>36</v>
      </c>
      <c r="H4050" s="1" t="s">
        <v>19</v>
      </c>
      <c r="I4050" s="1" t="s">
        <v>589</v>
      </c>
      <c r="J4050" s="1">
        <v>0.05</v>
      </c>
      <c r="K4050" s="1">
        <v>1.8</v>
      </c>
      <c r="L4050" s="42">
        <v>14</v>
      </c>
      <c r="M4050" s="43">
        <v>46174</v>
      </c>
      <c r="N4050" s="1" t="e">
        <f>VLOOKUP(B4050,MICRO!E:L,8,0)</f>
        <v>#N/A</v>
      </c>
    </row>
    <row r="4051" spans="1:14" ht="20.25" x14ac:dyDescent="0.25">
      <c r="A4051" s="1">
        <v>9</v>
      </c>
      <c r="B4051" s="159"/>
      <c r="C4051" s="1" t="s">
        <v>962</v>
      </c>
      <c r="D4051" s="1"/>
      <c r="E4051" s="1"/>
      <c r="F4051" s="1" t="s">
        <v>3392</v>
      </c>
      <c r="G4051" s="1">
        <v>27</v>
      </c>
      <c r="H4051" s="1" t="s">
        <v>19</v>
      </c>
      <c r="I4051" s="1" t="s">
        <v>589</v>
      </c>
      <c r="J4051" s="1">
        <v>0.05</v>
      </c>
      <c r="K4051" s="1">
        <v>1.35</v>
      </c>
      <c r="L4051" s="42">
        <v>14</v>
      </c>
      <c r="M4051" s="43">
        <v>46174</v>
      </c>
      <c r="N4051" s="1" t="e">
        <f>VLOOKUP(B4051,MICRO!E:L,8,0)</f>
        <v>#N/A</v>
      </c>
    </row>
    <row r="4052" spans="1:14" ht="20.25" x14ac:dyDescent="0.25">
      <c r="A4052" s="1">
        <v>10</v>
      </c>
      <c r="B4052" s="159"/>
      <c r="C4052" s="1" t="s">
        <v>3241</v>
      </c>
      <c r="D4052" s="1"/>
      <c r="E4052" s="1"/>
      <c r="F4052" s="1" t="s">
        <v>3393</v>
      </c>
      <c r="G4052" s="1">
        <v>60</v>
      </c>
      <c r="H4052" s="1" t="s">
        <v>19</v>
      </c>
      <c r="I4052" s="1" t="s">
        <v>634</v>
      </c>
      <c r="J4052" s="1">
        <v>0.05</v>
      </c>
      <c r="K4052" s="1">
        <v>3</v>
      </c>
      <c r="L4052" s="42">
        <v>14</v>
      </c>
      <c r="M4052" s="43">
        <v>46174</v>
      </c>
      <c r="N4052" s="1" t="e">
        <f>VLOOKUP(B4052,MICRO!E:L,8,0)</f>
        <v>#N/A</v>
      </c>
    </row>
    <row r="4053" spans="1:14" ht="20.25" x14ac:dyDescent="0.25">
      <c r="A4053" s="1">
        <v>11</v>
      </c>
      <c r="B4053" s="159"/>
      <c r="C4053" s="1" t="s">
        <v>3241</v>
      </c>
      <c r="D4053" s="1"/>
      <c r="E4053" s="1"/>
      <c r="F4053" s="1" t="s">
        <v>3394</v>
      </c>
      <c r="G4053" s="1">
        <v>156</v>
      </c>
      <c r="H4053" s="1" t="s">
        <v>19</v>
      </c>
      <c r="I4053" s="1" t="s">
        <v>634</v>
      </c>
      <c r="J4053" s="1">
        <v>0.03</v>
      </c>
      <c r="K4053" s="1">
        <v>4.68</v>
      </c>
      <c r="L4053" s="42">
        <v>14</v>
      </c>
      <c r="M4053" s="43">
        <v>46174</v>
      </c>
      <c r="N4053" s="1" t="e">
        <f>VLOOKUP(B4053,MICRO!E:L,8,0)</f>
        <v>#N/A</v>
      </c>
    </row>
    <row r="4054" spans="1:14" ht="20.25" x14ac:dyDescent="0.25">
      <c r="A4054" s="1">
        <v>12</v>
      </c>
      <c r="B4054" s="159"/>
      <c r="C4054" s="1" t="s">
        <v>3241</v>
      </c>
      <c r="D4054" s="1"/>
      <c r="E4054" s="1"/>
      <c r="F4054" s="1" t="s">
        <v>3395</v>
      </c>
      <c r="G4054" s="1">
        <v>156</v>
      </c>
      <c r="H4054" s="1" t="s">
        <v>19</v>
      </c>
      <c r="I4054" s="1" t="s">
        <v>634</v>
      </c>
      <c r="J4054" s="1">
        <v>0.02</v>
      </c>
      <c r="K4054" s="1">
        <v>3.12</v>
      </c>
      <c r="L4054" s="42">
        <v>14</v>
      </c>
      <c r="M4054" s="43">
        <v>46174</v>
      </c>
      <c r="N4054" s="1" t="e">
        <f>VLOOKUP(B4054,MICRO!E:L,8,0)</f>
        <v>#N/A</v>
      </c>
    </row>
    <row r="4055" spans="1:14" ht="20.25" x14ac:dyDescent="0.25">
      <c r="A4055" s="1">
        <v>13</v>
      </c>
      <c r="B4055" s="159"/>
      <c r="C4055" s="1" t="s">
        <v>3241</v>
      </c>
      <c r="D4055" s="1"/>
      <c r="E4055" s="1"/>
      <c r="F4055" s="1" t="s">
        <v>3396</v>
      </c>
      <c r="G4055" s="1">
        <v>64</v>
      </c>
      <c r="H4055" s="1" t="s">
        <v>19</v>
      </c>
      <c r="I4055" s="1" t="s">
        <v>634</v>
      </c>
      <c r="J4055" s="1">
        <v>0.05</v>
      </c>
      <c r="K4055" s="1">
        <v>3.2</v>
      </c>
      <c r="L4055" s="42">
        <v>14</v>
      </c>
      <c r="M4055" s="43">
        <v>46174</v>
      </c>
      <c r="N4055" s="1" t="e">
        <f>VLOOKUP(B4055,MICRO!E:L,8,0)</f>
        <v>#N/A</v>
      </c>
    </row>
    <row r="4056" spans="1:14" ht="20.25" x14ac:dyDescent="0.25">
      <c r="A4056" s="1">
        <v>14</v>
      </c>
      <c r="B4056" s="159"/>
      <c r="C4056" s="1" t="s">
        <v>1817</v>
      </c>
      <c r="D4056" s="1"/>
      <c r="E4056" s="1"/>
      <c r="F4056" s="1" t="s">
        <v>3397</v>
      </c>
      <c r="G4056" s="1">
        <v>12</v>
      </c>
      <c r="H4056" s="1" t="s">
        <v>19</v>
      </c>
      <c r="I4056" s="1" t="s">
        <v>634</v>
      </c>
      <c r="J4056" s="1">
        <v>0.05</v>
      </c>
      <c r="K4056" s="1">
        <v>0.60000000000000009</v>
      </c>
      <c r="L4056" s="42">
        <v>14</v>
      </c>
      <c r="M4056" s="43">
        <v>46174</v>
      </c>
      <c r="N4056" s="1" t="e">
        <f>VLOOKUP(B4056,MICRO!E:L,8,0)</f>
        <v>#N/A</v>
      </c>
    </row>
    <row r="4057" spans="1:14" ht="20.25" x14ac:dyDescent="0.25">
      <c r="A4057" s="1">
        <v>15</v>
      </c>
      <c r="B4057" s="159"/>
      <c r="C4057" s="1" t="s">
        <v>3242</v>
      </c>
      <c r="D4057" s="1"/>
      <c r="E4057" s="1"/>
      <c r="F4057" s="1" t="s">
        <v>3398</v>
      </c>
      <c r="G4057" s="1">
        <v>40</v>
      </c>
      <c r="H4057" s="1" t="s">
        <v>19</v>
      </c>
      <c r="I4057" s="1" t="s">
        <v>585</v>
      </c>
      <c r="J4057" s="1">
        <v>0.05</v>
      </c>
      <c r="K4057" s="1">
        <v>2</v>
      </c>
      <c r="L4057" s="42">
        <v>14</v>
      </c>
      <c r="M4057" s="43">
        <v>46174</v>
      </c>
      <c r="N4057" s="1" t="e">
        <f>VLOOKUP(B4057,MICRO!E:L,8,0)</f>
        <v>#N/A</v>
      </c>
    </row>
    <row r="4058" spans="1:14" ht="20.25" x14ac:dyDescent="0.25">
      <c r="A4058" s="1">
        <v>16</v>
      </c>
      <c r="B4058" s="159"/>
      <c r="C4058" s="1" t="s">
        <v>3242</v>
      </c>
      <c r="D4058" s="1"/>
      <c r="E4058" s="1"/>
      <c r="F4058" s="1" t="s">
        <v>3399</v>
      </c>
      <c r="G4058" s="1">
        <v>111</v>
      </c>
      <c r="H4058" s="1" t="s">
        <v>19</v>
      </c>
      <c r="I4058" s="1" t="s">
        <v>585</v>
      </c>
      <c r="J4058" s="1">
        <v>0.03</v>
      </c>
      <c r="K4058" s="1">
        <v>3.33</v>
      </c>
      <c r="L4058" s="42">
        <v>14</v>
      </c>
      <c r="M4058" s="43">
        <v>46174</v>
      </c>
      <c r="N4058" s="1" t="e">
        <f>VLOOKUP(B4058,MICRO!E:L,8,0)</f>
        <v>#N/A</v>
      </c>
    </row>
    <row r="4059" spans="1:14" ht="20.25" x14ac:dyDescent="0.25">
      <c r="A4059" s="1">
        <v>17</v>
      </c>
      <c r="B4059" s="159"/>
      <c r="C4059" s="1" t="s">
        <v>3242</v>
      </c>
      <c r="D4059" s="1"/>
      <c r="E4059" s="1"/>
      <c r="F4059" s="1" t="s">
        <v>3400</v>
      </c>
      <c r="G4059" s="1">
        <v>111</v>
      </c>
      <c r="H4059" s="1" t="s">
        <v>19</v>
      </c>
      <c r="I4059" s="1" t="s">
        <v>585</v>
      </c>
      <c r="J4059" s="1">
        <v>0.02</v>
      </c>
      <c r="K4059" s="1">
        <v>2.2200000000000002</v>
      </c>
      <c r="L4059" s="42">
        <v>14</v>
      </c>
      <c r="M4059" s="43">
        <v>46174</v>
      </c>
      <c r="N4059" s="1" t="e">
        <f>VLOOKUP(B4059,MICRO!E:L,8,0)</f>
        <v>#N/A</v>
      </c>
    </row>
    <row r="4060" spans="1:14" ht="20.25" x14ac:dyDescent="0.25">
      <c r="A4060" s="1">
        <v>18</v>
      </c>
      <c r="B4060" s="159"/>
      <c r="C4060" s="1" t="s">
        <v>3242</v>
      </c>
      <c r="D4060" s="1"/>
      <c r="E4060" s="1"/>
      <c r="F4060" s="1" t="s">
        <v>3401</v>
      </c>
      <c r="G4060" s="1">
        <v>48</v>
      </c>
      <c r="H4060" s="1" t="s">
        <v>19</v>
      </c>
      <c r="I4060" s="1" t="s">
        <v>585</v>
      </c>
      <c r="J4060" s="1">
        <v>0.05</v>
      </c>
      <c r="K4060" s="1">
        <v>2.4000000000000004</v>
      </c>
      <c r="L4060" s="42">
        <v>14</v>
      </c>
      <c r="M4060" s="43">
        <v>46174</v>
      </c>
      <c r="N4060" s="1" t="e">
        <f>VLOOKUP(B4060,MICRO!E:L,8,0)</f>
        <v>#N/A</v>
      </c>
    </row>
    <row r="4061" spans="1:14" ht="20.25" x14ac:dyDescent="0.25">
      <c r="A4061" s="1">
        <v>19</v>
      </c>
      <c r="B4061" s="159"/>
      <c r="C4061" s="1" t="s">
        <v>1975</v>
      </c>
      <c r="D4061" s="1"/>
      <c r="E4061" s="1"/>
      <c r="F4061" s="1" t="s">
        <v>3402</v>
      </c>
      <c r="G4061" s="1">
        <v>17</v>
      </c>
      <c r="H4061" s="1" t="s">
        <v>19</v>
      </c>
      <c r="I4061" s="1" t="s">
        <v>585</v>
      </c>
      <c r="J4061" s="1">
        <v>0.05</v>
      </c>
      <c r="K4061" s="1">
        <v>0.85000000000000009</v>
      </c>
      <c r="L4061" s="42">
        <v>14</v>
      </c>
      <c r="M4061" s="43">
        <v>46174</v>
      </c>
      <c r="N4061" s="1" t="e">
        <f>VLOOKUP(B4061,MICRO!E:L,8,0)</f>
        <v>#N/A</v>
      </c>
    </row>
    <row r="4062" spans="1:14" ht="20.25" x14ac:dyDescent="0.25">
      <c r="A4062" s="1">
        <v>1</v>
      </c>
      <c r="B4062" s="159">
        <v>2135</v>
      </c>
      <c r="C4062" s="1" t="s">
        <v>706</v>
      </c>
      <c r="D4062" s="1"/>
      <c r="E4062" s="1" t="s">
        <v>173</v>
      </c>
      <c r="F4062" s="1" t="s">
        <v>3403</v>
      </c>
      <c r="G4062" s="1">
        <v>1</v>
      </c>
      <c r="H4062" s="1" t="s">
        <v>19</v>
      </c>
      <c r="I4062" s="1" t="s">
        <v>629</v>
      </c>
      <c r="J4062" s="1">
        <v>25.78</v>
      </c>
      <c r="K4062" s="1">
        <v>25.78</v>
      </c>
      <c r="L4062" s="42">
        <v>15</v>
      </c>
      <c r="M4062" s="43">
        <v>46198</v>
      </c>
      <c r="N4062" s="1" t="e">
        <f>VLOOKUP(B4062,MICRO!E:L,8,0)</f>
        <v>#N/A</v>
      </c>
    </row>
    <row r="4063" spans="1:14" ht="20.25" x14ac:dyDescent="0.25">
      <c r="A4063" s="1">
        <v>2</v>
      </c>
      <c r="B4063" s="159">
        <v>2138</v>
      </c>
      <c r="C4063" s="1" t="s">
        <v>712</v>
      </c>
      <c r="D4063" s="1"/>
      <c r="E4063" s="1" t="s">
        <v>2</v>
      </c>
      <c r="F4063" s="1" t="s">
        <v>3196</v>
      </c>
      <c r="G4063" s="1">
        <v>1</v>
      </c>
      <c r="H4063" s="1" t="s">
        <v>19</v>
      </c>
      <c r="I4063" s="1" t="s">
        <v>629</v>
      </c>
      <c r="J4063" s="1">
        <v>258.07</v>
      </c>
      <c r="K4063" s="1">
        <v>258.07</v>
      </c>
      <c r="L4063" s="42">
        <v>15</v>
      </c>
      <c r="M4063" s="43">
        <v>46198</v>
      </c>
      <c r="N4063" s="1" t="e">
        <f>VLOOKUP(B4063,MICRO!E:L,8,0)</f>
        <v>#N/A</v>
      </c>
    </row>
    <row r="4064" spans="1:14" ht="20.25" x14ac:dyDescent="0.25">
      <c r="A4064" s="1">
        <v>3</v>
      </c>
      <c r="B4064" s="159">
        <v>2442</v>
      </c>
      <c r="C4064" s="1" t="s">
        <v>3216</v>
      </c>
      <c r="D4064" s="1"/>
      <c r="E4064" s="1" t="s">
        <v>2</v>
      </c>
      <c r="F4064" s="1" t="s">
        <v>3217</v>
      </c>
      <c r="G4064" s="1">
        <v>1</v>
      </c>
      <c r="H4064" s="1" t="s">
        <v>19</v>
      </c>
      <c r="I4064" s="1" t="s">
        <v>629</v>
      </c>
      <c r="J4064" s="1">
        <v>44.28</v>
      </c>
      <c r="K4064" s="1">
        <v>44.28</v>
      </c>
      <c r="L4064" s="42">
        <v>15</v>
      </c>
      <c r="M4064" s="43">
        <v>46198</v>
      </c>
      <c r="N4064" s="1" t="e">
        <f>VLOOKUP(B4064,MICRO!E:L,8,0)</f>
        <v>#N/A</v>
      </c>
    </row>
    <row r="4065" spans="1:14" ht="20.25" x14ac:dyDescent="0.25">
      <c r="A4065" s="1">
        <v>4</v>
      </c>
      <c r="B4065" s="159">
        <v>2504</v>
      </c>
      <c r="C4065" s="1" t="s">
        <v>3218</v>
      </c>
      <c r="D4065" s="1"/>
      <c r="E4065" s="1" t="s">
        <v>2</v>
      </c>
      <c r="F4065" s="1" t="s">
        <v>3219</v>
      </c>
      <c r="G4065" s="1">
        <v>1</v>
      </c>
      <c r="H4065" s="1" t="s">
        <v>19</v>
      </c>
      <c r="I4065" s="1" t="s">
        <v>589</v>
      </c>
      <c r="J4065" s="1">
        <v>43.26</v>
      </c>
      <c r="K4065" s="1">
        <v>43.26</v>
      </c>
      <c r="L4065" s="42">
        <v>15</v>
      </c>
      <c r="M4065" s="43">
        <v>46198</v>
      </c>
      <c r="N4065" s="1" t="e">
        <f>VLOOKUP(B4065,MICRO!E:L,8,0)</f>
        <v>#N/A</v>
      </c>
    </row>
    <row r="4066" spans="1:14" ht="20.25" x14ac:dyDescent="0.25">
      <c r="A4066" s="1">
        <v>5</v>
      </c>
      <c r="B4066" s="159">
        <v>2507</v>
      </c>
      <c r="C4066" s="1" t="s">
        <v>3218</v>
      </c>
      <c r="D4066" s="1"/>
      <c r="E4066" s="1" t="s">
        <v>2</v>
      </c>
      <c r="F4066" s="1" t="s">
        <v>3219</v>
      </c>
      <c r="G4066" s="1">
        <v>1</v>
      </c>
      <c r="H4066" s="1" t="s">
        <v>19</v>
      </c>
      <c r="I4066" s="1" t="s">
        <v>634</v>
      </c>
      <c r="J4066" s="1">
        <v>43.26</v>
      </c>
      <c r="K4066" s="1">
        <v>43.26</v>
      </c>
      <c r="L4066" s="42">
        <v>15</v>
      </c>
      <c r="M4066" s="43">
        <v>46198</v>
      </c>
      <c r="N4066" s="1" t="e">
        <f>VLOOKUP(B4066,MICRO!E:L,8,0)</f>
        <v>#N/A</v>
      </c>
    </row>
    <row r="4067" spans="1:14" ht="20.25" x14ac:dyDescent="0.25">
      <c r="A4067" s="1">
        <v>6</v>
      </c>
      <c r="B4067" s="159">
        <v>2510</v>
      </c>
      <c r="C4067" s="1" t="s">
        <v>3218</v>
      </c>
      <c r="D4067" s="1"/>
      <c r="E4067" s="1" t="s">
        <v>2</v>
      </c>
      <c r="F4067" s="1" t="s">
        <v>3219</v>
      </c>
      <c r="G4067" s="1">
        <v>1</v>
      </c>
      <c r="H4067" s="1" t="s">
        <v>19</v>
      </c>
      <c r="I4067" s="1" t="s">
        <v>585</v>
      </c>
      <c r="J4067" s="1">
        <v>43.26</v>
      </c>
      <c r="K4067" s="1">
        <v>43.26</v>
      </c>
      <c r="L4067" s="42">
        <v>15</v>
      </c>
      <c r="M4067" s="43">
        <v>46198</v>
      </c>
      <c r="N4067" s="1" t="e">
        <f>VLOOKUP(B4067,MICRO!E:L,8,0)</f>
        <v>#N/A</v>
      </c>
    </row>
    <row r="4068" spans="1:14" ht="20.25" x14ac:dyDescent="0.25">
      <c r="A4068" s="1">
        <v>7</v>
      </c>
      <c r="B4068" s="159">
        <v>2589</v>
      </c>
      <c r="C4068" s="1" t="s">
        <v>1817</v>
      </c>
      <c r="D4068" s="1"/>
      <c r="E4068" s="1" t="s">
        <v>1105</v>
      </c>
      <c r="F4068" s="1" t="s">
        <v>3404</v>
      </c>
      <c r="G4068" s="1">
        <v>1</v>
      </c>
      <c r="H4068" s="1" t="s">
        <v>19</v>
      </c>
      <c r="I4068" s="1" t="s">
        <v>634</v>
      </c>
      <c r="J4068" s="1">
        <v>5.53</v>
      </c>
      <c r="K4068" s="1">
        <v>5.53</v>
      </c>
      <c r="L4068" s="42">
        <v>15</v>
      </c>
      <c r="M4068" s="43">
        <v>46198</v>
      </c>
      <c r="N4068" s="1" t="e">
        <f>VLOOKUP(B4068,MICRO!E:L,8,0)</f>
        <v>#N/A</v>
      </c>
    </row>
    <row r="4069" spans="1:14" ht="20.25" x14ac:dyDescent="0.25">
      <c r="A4069" s="1">
        <v>8</v>
      </c>
      <c r="B4069" s="159">
        <v>2590</v>
      </c>
      <c r="C4069" s="1" t="s">
        <v>1817</v>
      </c>
      <c r="D4069" s="1"/>
      <c r="E4069" s="1" t="s">
        <v>1106</v>
      </c>
      <c r="F4069" s="1" t="s">
        <v>3405</v>
      </c>
      <c r="G4069" s="1">
        <v>1</v>
      </c>
      <c r="H4069" s="1" t="s">
        <v>19</v>
      </c>
      <c r="I4069" s="1" t="s">
        <v>634</v>
      </c>
      <c r="J4069" s="1">
        <v>5.53</v>
      </c>
      <c r="K4069" s="1">
        <v>5.53</v>
      </c>
      <c r="L4069" s="42">
        <v>15</v>
      </c>
      <c r="M4069" s="43">
        <v>46198</v>
      </c>
      <c r="N4069" s="1" t="e">
        <f>VLOOKUP(B4069,MICRO!E:L,8,0)</f>
        <v>#N/A</v>
      </c>
    </row>
    <row r="4070" spans="1:14" ht="20.25" x14ac:dyDescent="0.25">
      <c r="A4070" s="1">
        <v>9</v>
      </c>
      <c r="B4070" s="159">
        <v>3221</v>
      </c>
      <c r="C4070" s="1" t="s">
        <v>3281</v>
      </c>
      <c r="D4070" s="1"/>
      <c r="E4070" s="1" t="s">
        <v>2</v>
      </c>
      <c r="F4070" s="1" t="s">
        <v>3282</v>
      </c>
      <c r="G4070" s="1">
        <v>1</v>
      </c>
      <c r="H4070" s="1" t="s">
        <v>19</v>
      </c>
      <c r="I4070" s="1" t="s">
        <v>629</v>
      </c>
      <c r="J4070" s="1">
        <v>1.1000000000000001</v>
      </c>
      <c r="K4070" s="1">
        <v>1.1000000000000001</v>
      </c>
      <c r="L4070" s="42">
        <v>15</v>
      </c>
      <c r="M4070" s="43">
        <v>46198</v>
      </c>
      <c r="N4070" s="1" t="e">
        <f>VLOOKUP(B4070,MICRO!E:L,8,0)</f>
        <v>#N/A</v>
      </c>
    </row>
    <row r="4071" spans="1:14" ht="20.25" x14ac:dyDescent="0.25">
      <c r="A4071" s="1">
        <v>10</v>
      </c>
      <c r="B4071" s="159">
        <v>3222</v>
      </c>
      <c r="C4071" s="1" t="s">
        <v>3281</v>
      </c>
      <c r="D4071" s="1"/>
      <c r="E4071" s="1" t="s">
        <v>43</v>
      </c>
      <c r="F4071" s="1" t="s">
        <v>3283</v>
      </c>
      <c r="G4071" s="1">
        <v>4</v>
      </c>
      <c r="H4071" s="1" t="s">
        <v>19</v>
      </c>
      <c r="I4071" s="1" t="s">
        <v>629</v>
      </c>
      <c r="J4071" s="1">
        <v>5.4</v>
      </c>
      <c r="K4071" s="1">
        <v>21.6</v>
      </c>
      <c r="L4071" s="42">
        <v>15</v>
      </c>
      <c r="M4071" s="43">
        <v>46198</v>
      </c>
      <c r="N4071" s="1" t="e">
        <f>VLOOKUP(B4071,MICRO!E:L,8,0)</f>
        <v>#N/A</v>
      </c>
    </row>
    <row r="4072" spans="1:14" ht="20.25" x14ac:dyDescent="0.25">
      <c r="A4072" s="1">
        <v>11</v>
      </c>
      <c r="B4072" s="159">
        <v>3223</v>
      </c>
      <c r="C4072" s="1" t="s">
        <v>3281</v>
      </c>
      <c r="D4072" s="1"/>
      <c r="E4072" s="1" t="s">
        <v>1101</v>
      </c>
      <c r="F4072" s="1" t="s">
        <v>3284</v>
      </c>
      <c r="G4072" s="1">
        <v>2</v>
      </c>
      <c r="H4072" s="1" t="s">
        <v>19</v>
      </c>
      <c r="I4072" s="1" t="s">
        <v>629</v>
      </c>
      <c r="J4072" s="1">
        <v>12.7</v>
      </c>
      <c r="K4072" s="1">
        <v>25.4</v>
      </c>
      <c r="L4072" s="42">
        <v>15</v>
      </c>
      <c r="M4072" s="43">
        <v>46198</v>
      </c>
      <c r="N4072" s="1" t="e">
        <f>VLOOKUP(B4072,MICRO!E:L,8,0)</f>
        <v>#N/A</v>
      </c>
    </row>
    <row r="4073" spans="1:14" ht="20.25" x14ac:dyDescent="0.25">
      <c r="A4073" s="1">
        <v>12</v>
      </c>
      <c r="B4073" s="159">
        <v>3224</v>
      </c>
      <c r="C4073" s="1" t="s">
        <v>3281</v>
      </c>
      <c r="D4073" s="1"/>
      <c r="E4073" s="1" t="s">
        <v>100</v>
      </c>
      <c r="F4073" s="1" t="s">
        <v>3285</v>
      </c>
      <c r="G4073" s="1">
        <v>1</v>
      </c>
      <c r="H4073" s="1" t="s">
        <v>19</v>
      </c>
      <c r="I4073" s="1" t="s">
        <v>629</v>
      </c>
      <c r="J4073" s="1">
        <v>0.5</v>
      </c>
      <c r="K4073" s="1">
        <v>0.5</v>
      </c>
      <c r="L4073" s="42">
        <v>15</v>
      </c>
      <c r="M4073" s="43">
        <v>46198</v>
      </c>
      <c r="N4073" s="1" t="e">
        <f>VLOOKUP(B4073,MICRO!E:L,8,0)</f>
        <v>#N/A</v>
      </c>
    </row>
    <row r="4074" spans="1:14" ht="20.25" x14ac:dyDescent="0.25">
      <c r="A4074" s="1">
        <v>13</v>
      </c>
      <c r="B4074" s="159">
        <v>3225</v>
      </c>
      <c r="C4074" s="1" t="s">
        <v>3281</v>
      </c>
      <c r="D4074" s="1"/>
      <c r="E4074" s="1" t="s">
        <v>173</v>
      </c>
      <c r="F4074" s="1" t="s">
        <v>3286</v>
      </c>
      <c r="G4074" s="1">
        <v>1</v>
      </c>
      <c r="H4074" s="1" t="s">
        <v>19</v>
      </c>
      <c r="I4074" s="1" t="s">
        <v>629</v>
      </c>
      <c r="J4074" s="1">
        <v>0.1</v>
      </c>
      <c r="K4074" s="1">
        <v>0.1</v>
      </c>
      <c r="L4074" s="42">
        <v>15</v>
      </c>
      <c r="M4074" s="43">
        <v>46198</v>
      </c>
      <c r="N4074" s="1" t="e">
        <f>VLOOKUP(B4074,MICRO!E:L,8,0)</f>
        <v>#N/A</v>
      </c>
    </row>
    <row r="4075" spans="1:14" ht="20.25" x14ac:dyDescent="0.25">
      <c r="A4075" s="1">
        <v>14</v>
      </c>
      <c r="B4075" s="159">
        <v>3226</v>
      </c>
      <c r="C4075" s="1" t="s">
        <v>3281</v>
      </c>
      <c r="D4075" s="1"/>
      <c r="E4075" s="1" t="s">
        <v>2</v>
      </c>
      <c r="F4075" s="1" t="s">
        <v>3282</v>
      </c>
      <c r="G4075" s="1">
        <v>1</v>
      </c>
      <c r="H4075" s="1" t="s">
        <v>19</v>
      </c>
      <c r="I4075" s="1" t="s">
        <v>634</v>
      </c>
      <c r="J4075" s="1">
        <v>1.1000000000000001</v>
      </c>
      <c r="K4075" s="1">
        <v>1.1000000000000001</v>
      </c>
      <c r="L4075" s="42">
        <v>15</v>
      </c>
      <c r="M4075" s="43">
        <v>46198</v>
      </c>
      <c r="N4075" s="1" t="e">
        <f>VLOOKUP(B4075,MICRO!E:L,8,0)</f>
        <v>#N/A</v>
      </c>
    </row>
    <row r="4076" spans="1:14" ht="20.25" x14ac:dyDescent="0.25">
      <c r="A4076" s="1">
        <v>15</v>
      </c>
      <c r="B4076" s="159">
        <v>3227</v>
      </c>
      <c r="C4076" s="1" t="s">
        <v>3281</v>
      </c>
      <c r="D4076" s="1"/>
      <c r="E4076" s="1" t="s">
        <v>43</v>
      </c>
      <c r="F4076" s="1" t="s">
        <v>3283</v>
      </c>
      <c r="G4076" s="1">
        <v>4</v>
      </c>
      <c r="H4076" s="1" t="s">
        <v>19</v>
      </c>
      <c r="I4076" s="1" t="s">
        <v>634</v>
      </c>
      <c r="J4076" s="1">
        <v>5.4</v>
      </c>
      <c r="K4076" s="1">
        <v>21.6</v>
      </c>
      <c r="L4076" s="42">
        <v>15</v>
      </c>
      <c r="M4076" s="43">
        <v>46198</v>
      </c>
      <c r="N4076" s="1" t="e">
        <f>VLOOKUP(B4076,MICRO!E:L,8,0)</f>
        <v>#N/A</v>
      </c>
    </row>
    <row r="4077" spans="1:14" ht="20.25" x14ac:dyDescent="0.25">
      <c r="A4077" s="1">
        <v>16</v>
      </c>
      <c r="B4077" s="159">
        <v>3228</v>
      </c>
      <c r="C4077" s="1" t="s">
        <v>3281</v>
      </c>
      <c r="D4077" s="1"/>
      <c r="E4077" s="1" t="s">
        <v>746</v>
      </c>
      <c r="F4077" s="1" t="s">
        <v>3287</v>
      </c>
      <c r="G4077" s="1">
        <v>2</v>
      </c>
      <c r="H4077" s="1" t="s">
        <v>19</v>
      </c>
      <c r="I4077" s="1" t="s">
        <v>634</v>
      </c>
      <c r="J4077" s="1">
        <v>6.6</v>
      </c>
      <c r="K4077" s="1">
        <v>13.2</v>
      </c>
      <c r="L4077" s="42">
        <v>15</v>
      </c>
      <c r="M4077" s="43">
        <v>46198</v>
      </c>
      <c r="N4077" s="1" t="e">
        <f>VLOOKUP(B4077,MICRO!E:L,8,0)</f>
        <v>#N/A</v>
      </c>
    </row>
    <row r="4078" spans="1:14" ht="20.25" x14ac:dyDescent="0.25">
      <c r="A4078" s="1">
        <v>17</v>
      </c>
      <c r="B4078" s="159">
        <v>3229</v>
      </c>
      <c r="C4078" s="1" t="s">
        <v>3281</v>
      </c>
      <c r="D4078" s="1"/>
      <c r="E4078" s="1" t="s">
        <v>100</v>
      </c>
      <c r="F4078" s="1" t="s">
        <v>3285</v>
      </c>
      <c r="G4078" s="1">
        <v>1</v>
      </c>
      <c r="H4078" s="1" t="s">
        <v>19</v>
      </c>
      <c r="I4078" s="1" t="s">
        <v>634</v>
      </c>
      <c r="J4078" s="1">
        <v>0.5</v>
      </c>
      <c r="K4078" s="1">
        <v>0.5</v>
      </c>
      <c r="L4078" s="42">
        <v>15</v>
      </c>
      <c r="M4078" s="43">
        <v>46198</v>
      </c>
      <c r="N4078" s="1" t="e">
        <f>VLOOKUP(B4078,MICRO!E:L,8,0)</f>
        <v>#N/A</v>
      </c>
    </row>
    <row r="4079" spans="1:14" ht="20.25" x14ac:dyDescent="0.25">
      <c r="A4079" s="1">
        <v>18</v>
      </c>
      <c r="B4079" s="159">
        <v>3230</v>
      </c>
      <c r="C4079" s="1" t="s">
        <v>3281</v>
      </c>
      <c r="D4079" s="1"/>
      <c r="E4079" s="1" t="s">
        <v>173</v>
      </c>
      <c r="F4079" s="1" t="s">
        <v>3286</v>
      </c>
      <c r="G4079" s="1">
        <v>1</v>
      </c>
      <c r="H4079" s="1" t="s">
        <v>19</v>
      </c>
      <c r="I4079" s="1" t="s">
        <v>634</v>
      </c>
      <c r="J4079" s="1">
        <v>0.1</v>
      </c>
      <c r="K4079" s="1">
        <v>0.1</v>
      </c>
      <c r="L4079" s="42">
        <v>15</v>
      </c>
      <c r="M4079" s="43">
        <v>46198</v>
      </c>
      <c r="N4079" s="1" t="e">
        <f>VLOOKUP(B4079,MICRO!E:L,8,0)</f>
        <v>#N/A</v>
      </c>
    </row>
    <row r="4080" spans="1:14" ht="20.25" x14ac:dyDescent="0.25">
      <c r="A4080" s="1">
        <v>19</v>
      </c>
      <c r="B4080" s="159">
        <v>3231</v>
      </c>
      <c r="C4080" s="1" t="s">
        <v>3281</v>
      </c>
      <c r="D4080" s="1"/>
      <c r="E4080" s="1" t="s">
        <v>43</v>
      </c>
      <c r="F4080" s="1" t="s">
        <v>3283</v>
      </c>
      <c r="G4080" s="1">
        <v>4</v>
      </c>
      <c r="H4080" s="1" t="s">
        <v>19</v>
      </c>
      <c r="I4080" s="1" t="s">
        <v>589</v>
      </c>
      <c r="J4080" s="1">
        <v>5.4</v>
      </c>
      <c r="K4080" s="1">
        <v>21.6</v>
      </c>
      <c r="L4080" s="42">
        <v>15</v>
      </c>
      <c r="M4080" s="43">
        <v>46198</v>
      </c>
      <c r="N4080" s="1" t="e">
        <f>VLOOKUP(B4080,MICRO!E:L,8,0)</f>
        <v>#N/A</v>
      </c>
    </row>
    <row r="4081" spans="1:14" ht="20.25" x14ac:dyDescent="0.25">
      <c r="A4081" s="1">
        <v>20</v>
      </c>
      <c r="B4081" s="159">
        <v>3232</v>
      </c>
      <c r="C4081" s="1" t="s">
        <v>3281</v>
      </c>
      <c r="D4081" s="1"/>
      <c r="E4081" s="1" t="s">
        <v>746</v>
      </c>
      <c r="F4081" s="1" t="s">
        <v>3287</v>
      </c>
      <c r="G4081" s="1">
        <v>2</v>
      </c>
      <c r="H4081" s="1" t="s">
        <v>19</v>
      </c>
      <c r="I4081" s="1" t="s">
        <v>589</v>
      </c>
      <c r="J4081" s="1">
        <v>6.6</v>
      </c>
      <c r="K4081" s="1">
        <v>13.2</v>
      </c>
      <c r="L4081" s="42">
        <v>15</v>
      </c>
      <c r="M4081" s="43">
        <v>46198</v>
      </c>
      <c r="N4081" s="1" t="e">
        <f>VLOOKUP(B4081,MICRO!E:L,8,0)</f>
        <v>#N/A</v>
      </c>
    </row>
    <row r="4082" spans="1:14" ht="20.25" x14ac:dyDescent="0.25">
      <c r="A4082" s="1">
        <v>21</v>
      </c>
      <c r="B4082" s="159">
        <v>3233</v>
      </c>
      <c r="C4082" s="1" t="s">
        <v>3281</v>
      </c>
      <c r="D4082" s="1"/>
      <c r="E4082" s="1" t="s">
        <v>100</v>
      </c>
      <c r="F4082" s="1" t="s">
        <v>3285</v>
      </c>
      <c r="G4082" s="1">
        <v>1</v>
      </c>
      <c r="H4082" s="1" t="s">
        <v>19</v>
      </c>
      <c r="I4082" s="1" t="s">
        <v>589</v>
      </c>
      <c r="J4082" s="1">
        <v>0.5</v>
      </c>
      <c r="K4082" s="1">
        <v>0.5</v>
      </c>
      <c r="L4082" s="42">
        <v>15</v>
      </c>
      <c r="M4082" s="43">
        <v>46198</v>
      </c>
      <c r="N4082" s="1" t="e">
        <f>VLOOKUP(B4082,MICRO!E:L,8,0)</f>
        <v>#N/A</v>
      </c>
    </row>
    <row r="4083" spans="1:14" ht="20.25" x14ac:dyDescent="0.25">
      <c r="A4083" s="1">
        <v>22</v>
      </c>
      <c r="B4083" s="159">
        <v>3234</v>
      </c>
      <c r="C4083" s="1" t="s">
        <v>3281</v>
      </c>
      <c r="D4083" s="1"/>
      <c r="E4083" s="1" t="s">
        <v>173</v>
      </c>
      <c r="F4083" s="1" t="s">
        <v>3286</v>
      </c>
      <c r="G4083" s="1">
        <v>1</v>
      </c>
      <c r="H4083" s="1" t="s">
        <v>19</v>
      </c>
      <c r="I4083" s="1" t="s">
        <v>589</v>
      </c>
      <c r="J4083" s="1">
        <v>0.1</v>
      </c>
      <c r="K4083" s="1">
        <v>0.1</v>
      </c>
      <c r="L4083" s="42">
        <v>15</v>
      </c>
      <c r="M4083" s="43">
        <v>46198</v>
      </c>
      <c r="N4083" s="1" t="e">
        <f>VLOOKUP(B4083,MICRO!E:L,8,0)</f>
        <v>#N/A</v>
      </c>
    </row>
    <row r="4084" spans="1:14" ht="20.25" x14ac:dyDescent="0.25">
      <c r="A4084" s="1">
        <v>23</v>
      </c>
      <c r="B4084" s="159">
        <v>3235</v>
      </c>
      <c r="C4084" s="1" t="s">
        <v>3281</v>
      </c>
      <c r="D4084" s="1"/>
      <c r="E4084" s="1" t="s">
        <v>43</v>
      </c>
      <c r="F4084" s="1" t="s">
        <v>3283</v>
      </c>
      <c r="G4084" s="1">
        <v>4</v>
      </c>
      <c r="H4084" s="1" t="s">
        <v>19</v>
      </c>
      <c r="I4084" s="1" t="s">
        <v>585</v>
      </c>
      <c r="J4084" s="1">
        <v>5.4</v>
      </c>
      <c r="K4084" s="1">
        <v>21.6</v>
      </c>
      <c r="L4084" s="42">
        <v>15</v>
      </c>
      <c r="M4084" s="43">
        <v>46198</v>
      </c>
      <c r="N4084" s="1" t="e">
        <f>VLOOKUP(B4084,MICRO!E:L,8,0)</f>
        <v>#N/A</v>
      </c>
    </row>
    <row r="4085" spans="1:14" ht="20.25" x14ac:dyDescent="0.25">
      <c r="A4085" s="1">
        <v>24</v>
      </c>
      <c r="B4085" s="159">
        <v>3236</v>
      </c>
      <c r="C4085" s="1" t="s">
        <v>3281</v>
      </c>
      <c r="D4085" s="1"/>
      <c r="E4085" s="1" t="s">
        <v>746</v>
      </c>
      <c r="F4085" s="1" t="s">
        <v>3287</v>
      </c>
      <c r="G4085" s="1">
        <v>2</v>
      </c>
      <c r="H4085" s="1" t="s">
        <v>19</v>
      </c>
      <c r="I4085" s="1" t="s">
        <v>585</v>
      </c>
      <c r="J4085" s="1">
        <v>6.6</v>
      </c>
      <c r="K4085" s="1">
        <v>13.2</v>
      </c>
      <c r="L4085" s="42">
        <v>15</v>
      </c>
      <c r="M4085" s="43">
        <v>46198</v>
      </c>
      <c r="N4085" s="1" t="e">
        <f>VLOOKUP(B4085,MICRO!E:L,8,0)</f>
        <v>#N/A</v>
      </c>
    </row>
    <row r="4086" spans="1:14" ht="20.25" x14ac:dyDescent="0.25">
      <c r="A4086" s="1">
        <v>25</v>
      </c>
      <c r="B4086" s="159">
        <v>3237</v>
      </c>
      <c r="C4086" s="1" t="s">
        <v>3281</v>
      </c>
      <c r="D4086" s="1"/>
      <c r="E4086" s="1" t="s">
        <v>100</v>
      </c>
      <c r="F4086" s="1" t="s">
        <v>3285</v>
      </c>
      <c r="G4086" s="1">
        <v>1</v>
      </c>
      <c r="H4086" s="1" t="s">
        <v>19</v>
      </c>
      <c r="I4086" s="1" t="s">
        <v>585</v>
      </c>
      <c r="J4086" s="1">
        <v>0.5</v>
      </c>
      <c r="K4086" s="1">
        <v>0.5</v>
      </c>
      <c r="L4086" s="42">
        <v>15</v>
      </c>
      <c r="M4086" s="43">
        <v>46198</v>
      </c>
      <c r="N4086" s="1" t="e">
        <f>VLOOKUP(B4086,MICRO!E:L,8,0)</f>
        <v>#N/A</v>
      </c>
    </row>
    <row r="4087" spans="1:14" ht="20.25" x14ac:dyDescent="0.25">
      <c r="A4087" s="1">
        <v>26</v>
      </c>
      <c r="B4087" s="159">
        <v>3238</v>
      </c>
      <c r="C4087" s="1" t="s">
        <v>3281</v>
      </c>
      <c r="D4087" s="1"/>
      <c r="E4087" s="1" t="s">
        <v>173</v>
      </c>
      <c r="F4087" s="1" t="s">
        <v>3286</v>
      </c>
      <c r="G4087" s="1">
        <v>1</v>
      </c>
      <c r="H4087" s="1" t="s">
        <v>19</v>
      </c>
      <c r="I4087" s="1" t="s">
        <v>585</v>
      </c>
      <c r="J4087" s="1">
        <v>0.1</v>
      </c>
      <c r="K4087" s="1">
        <v>0.1</v>
      </c>
      <c r="L4087" s="42">
        <v>15</v>
      </c>
      <c r="M4087" s="43">
        <v>46198</v>
      </c>
      <c r="N4087" s="1" t="e">
        <f>VLOOKUP(B4087,MICRO!E:L,8,0)</f>
        <v>#N/A</v>
      </c>
    </row>
    <row r="4088" spans="1:14" ht="20.25" x14ac:dyDescent="0.25">
      <c r="A4088" s="1">
        <v>27</v>
      </c>
      <c r="B4088" s="159">
        <v>3390</v>
      </c>
      <c r="C4088" s="1" t="s">
        <v>3281</v>
      </c>
      <c r="D4088" s="1"/>
      <c r="E4088" s="1" t="s">
        <v>461</v>
      </c>
      <c r="F4088" s="1" t="s">
        <v>3288</v>
      </c>
      <c r="G4088" s="1">
        <v>4</v>
      </c>
      <c r="H4088" s="1" t="s">
        <v>19</v>
      </c>
      <c r="I4088" s="1" t="s">
        <v>589</v>
      </c>
      <c r="J4088" s="1">
        <v>2</v>
      </c>
      <c r="K4088" s="1">
        <v>8</v>
      </c>
      <c r="L4088" s="42">
        <v>15</v>
      </c>
      <c r="M4088" s="43">
        <v>46198</v>
      </c>
      <c r="N4088" s="1" t="e">
        <f>VLOOKUP(B4088,MICRO!E:L,8,0)</f>
        <v>#N/A</v>
      </c>
    </row>
    <row r="4089" spans="1:14" ht="20.25" x14ac:dyDescent="0.25">
      <c r="A4089" s="1">
        <v>28</v>
      </c>
      <c r="B4089" s="159">
        <v>3391</v>
      </c>
      <c r="C4089" s="1" t="s">
        <v>3281</v>
      </c>
      <c r="D4089" s="1"/>
      <c r="E4089" s="1" t="s">
        <v>461</v>
      </c>
      <c r="F4089" s="1" t="s">
        <v>3288</v>
      </c>
      <c r="G4089" s="1">
        <v>4</v>
      </c>
      <c r="H4089" s="1" t="s">
        <v>19</v>
      </c>
      <c r="I4089" s="1" t="s">
        <v>585</v>
      </c>
      <c r="J4089" s="1">
        <v>2</v>
      </c>
      <c r="K4089" s="1">
        <v>8</v>
      </c>
      <c r="L4089" s="42">
        <v>15</v>
      </c>
      <c r="M4089" s="43">
        <v>46198</v>
      </c>
      <c r="N4089" s="1" t="e">
        <f>VLOOKUP(B4089,MICRO!E:L,8,0)</f>
        <v>#N/A</v>
      </c>
    </row>
    <row r="4090" spans="1:14" ht="20.25" x14ac:dyDescent="0.25">
      <c r="A4090" s="1">
        <v>29</v>
      </c>
      <c r="B4090" s="159"/>
      <c r="C4090" s="1"/>
      <c r="D4090" s="1"/>
      <c r="E4090" s="1"/>
      <c r="F4090" s="1" t="s">
        <v>2002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2">
        <v>15</v>
      </c>
      <c r="M4090" s="43">
        <v>46198</v>
      </c>
      <c r="N4090" s="1" t="e">
        <f>VLOOKUP(B4090,MICRO!E:L,8,0)</f>
        <v>#N/A</v>
      </c>
    </row>
    <row r="4091" spans="1:14" ht="20.25" x14ac:dyDescent="0.25">
      <c r="A4091" s="1">
        <v>30</v>
      </c>
      <c r="B4091" s="159"/>
      <c r="C4091" s="1"/>
      <c r="D4091" s="1"/>
      <c r="E4091" s="1"/>
      <c r="F4091" s="1" t="s">
        <v>2003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2">
        <v>15</v>
      </c>
      <c r="M4091" s="43">
        <v>46198</v>
      </c>
      <c r="N4091" s="1" t="e">
        <f>VLOOKUP(B4091,MICRO!E:L,8,0)</f>
        <v>#N/A</v>
      </c>
    </row>
    <row r="4092" spans="1:14" ht="20.25" x14ac:dyDescent="0.25">
      <c r="A4092" s="1">
        <v>31</v>
      </c>
      <c r="B4092" s="159"/>
      <c r="C4092" s="1"/>
      <c r="D4092" s="1"/>
      <c r="E4092" s="1"/>
      <c r="F4092" s="1" t="s">
        <v>2004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2">
        <v>15</v>
      </c>
      <c r="M4092" s="43">
        <v>46198</v>
      </c>
      <c r="N4092" s="1" t="e">
        <f>VLOOKUP(B4092,MICRO!E:L,8,0)</f>
        <v>#N/A</v>
      </c>
    </row>
    <row r="4093" spans="1:14" ht="20.25" x14ac:dyDescent="0.25">
      <c r="A4093" s="1">
        <v>32</v>
      </c>
      <c r="B4093" s="159"/>
      <c r="C4093" s="1"/>
      <c r="D4093" s="1"/>
      <c r="E4093" s="1"/>
      <c r="F4093" s="1" t="s">
        <v>2005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2">
        <v>15</v>
      </c>
      <c r="M4093" s="43">
        <v>46198</v>
      </c>
      <c r="N4093" s="1" t="e">
        <f>VLOOKUP(B4093,MICRO!E:L,8,0)</f>
        <v>#N/A</v>
      </c>
    </row>
    <row r="4094" spans="1:14" ht="20.25" x14ac:dyDescent="0.25">
      <c r="A4094" s="1">
        <v>1</v>
      </c>
      <c r="B4094" s="159"/>
      <c r="C4094" s="1" t="s">
        <v>1901</v>
      </c>
      <c r="D4094" s="1"/>
      <c r="E4094" s="1" t="s">
        <v>3406</v>
      </c>
      <c r="F4094" s="1" t="s">
        <v>3407</v>
      </c>
      <c r="G4094" s="1">
        <v>1</v>
      </c>
      <c r="H4094" s="1" t="s">
        <v>19</v>
      </c>
      <c r="I4094" s="1" t="s">
        <v>1301</v>
      </c>
      <c r="J4094" s="1">
        <v>20.399999999999999</v>
      </c>
      <c r="K4094" s="1">
        <v>20.399999999999999</v>
      </c>
      <c r="L4094" s="42">
        <v>7</v>
      </c>
      <c r="M4094" s="43">
        <v>46153</v>
      </c>
      <c r="N4094" s="1" t="e">
        <f>VLOOKUP(B4094,MICRO!E:L,8,0)</f>
        <v>#N/A</v>
      </c>
    </row>
    <row r="4095" spans="1:14" ht="20.25" x14ac:dyDescent="0.25">
      <c r="A4095" s="1">
        <v>3</v>
      </c>
      <c r="B4095" s="159">
        <v>3312</v>
      </c>
      <c r="C4095" s="1" t="s">
        <v>1889</v>
      </c>
      <c r="D4095" s="1"/>
      <c r="E4095" s="1" t="s">
        <v>3409</v>
      </c>
      <c r="F4095" s="1" t="s">
        <v>3410</v>
      </c>
      <c r="G4095" s="1">
        <v>1</v>
      </c>
      <c r="H4095" s="1" t="s">
        <v>19</v>
      </c>
      <c r="I4095" s="1" t="s">
        <v>1300</v>
      </c>
      <c r="J4095" s="1">
        <v>143.1</v>
      </c>
      <c r="K4095" s="1">
        <v>143.1</v>
      </c>
      <c r="L4095" s="42">
        <v>7</v>
      </c>
      <c r="M4095" s="43">
        <v>46153</v>
      </c>
      <c r="N4095" s="1" t="e">
        <f>VLOOKUP(B4095,MICRO!E:L,8,0)</f>
        <v>#N/A</v>
      </c>
    </row>
    <row r="4096" spans="1:14" ht="20.25" x14ac:dyDescent="0.25">
      <c r="A4096" s="1">
        <v>6</v>
      </c>
      <c r="B4096" s="159">
        <v>3313</v>
      </c>
      <c r="C4096" s="1" t="s">
        <v>1889</v>
      </c>
      <c r="D4096" s="1"/>
      <c r="E4096" s="1" t="s">
        <v>3412</v>
      </c>
      <c r="F4096" s="1" t="s">
        <v>3413</v>
      </c>
      <c r="G4096" s="1">
        <v>1</v>
      </c>
      <c r="H4096" s="1" t="s">
        <v>19</v>
      </c>
      <c r="I4096" s="1" t="s">
        <v>1300</v>
      </c>
      <c r="J4096" s="1">
        <v>217.8</v>
      </c>
      <c r="K4096" s="1">
        <v>217.8</v>
      </c>
      <c r="L4096" s="42">
        <v>7</v>
      </c>
      <c r="M4096" s="43">
        <v>46153</v>
      </c>
      <c r="N4096" s="1" t="e">
        <f>VLOOKUP(B4096,MICRO!E:L,8,0)</f>
        <v>#N/A</v>
      </c>
    </row>
    <row r="4097" spans="1:14" ht="20.25" x14ac:dyDescent="0.25">
      <c r="A4097" s="1">
        <v>7</v>
      </c>
      <c r="B4097" s="159">
        <v>3314</v>
      </c>
      <c r="C4097" s="1" t="s">
        <v>1889</v>
      </c>
      <c r="D4097" s="1"/>
      <c r="E4097" s="1" t="s">
        <v>3414</v>
      </c>
      <c r="F4097" s="1" t="s">
        <v>3415</v>
      </c>
      <c r="G4097" s="1">
        <v>3</v>
      </c>
      <c r="H4097" s="1" t="s">
        <v>19</v>
      </c>
      <c r="I4097" s="1" t="s">
        <v>1300</v>
      </c>
      <c r="J4097" s="1">
        <v>3.5</v>
      </c>
      <c r="K4097" s="1">
        <v>10.5</v>
      </c>
      <c r="L4097" s="42">
        <v>7</v>
      </c>
      <c r="M4097" s="43">
        <v>46153</v>
      </c>
      <c r="N4097" s="1" t="e">
        <f>VLOOKUP(B4097,MICRO!E:L,8,0)</f>
        <v>#N/A</v>
      </c>
    </row>
    <row r="4098" spans="1:14" ht="20.25" x14ac:dyDescent="0.25">
      <c r="A4098" s="1">
        <v>8</v>
      </c>
      <c r="B4098" s="159">
        <v>3327</v>
      </c>
      <c r="C4098" s="1" t="s">
        <v>1900</v>
      </c>
      <c r="D4098" s="1"/>
      <c r="E4098" s="1" t="s">
        <v>3409</v>
      </c>
      <c r="F4098" s="1" t="s">
        <v>3410</v>
      </c>
      <c r="G4098" s="1">
        <v>1</v>
      </c>
      <c r="H4098" s="1" t="s">
        <v>19</v>
      </c>
      <c r="I4098" s="1" t="s">
        <v>1301</v>
      </c>
      <c r="J4098" s="1">
        <v>150.1</v>
      </c>
      <c r="K4098" s="1">
        <v>150.1</v>
      </c>
      <c r="L4098" s="42">
        <v>7</v>
      </c>
      <c r="M4098" s="43">
        <v>46153</v>
      </c>
      <c r="N4098" s="1" t="e">
        <f>VLOOKUP(B4098,MICRO!E:L,8,0)</f>
        <v>#N/A</v>
      </c>
    </row>
    <row r="4099" spans="1:14" ht="20.25" x14ac:dyDescent="0.25">
      <c r="A4099" s="1">
        <v>11</v>
      </c>
      <c r="B4099" s="159">
        <v>3328</v>
      </c>
      <c r="C4099" s="1" t="s">
        <v>1900</v>
      </c>
      <c r="D4099" s="1"/>
      <c r="E4099" s="1" t="s">
        <v>3412</v>
      </c>
      <c r="F4099" s="1" t="s">
        <v>3416</v>
      </c>
      <c r="G4099" s="1">
        <v>1</v>
      </c>
      <c r="H4099" s="1" t="s">
        <v>19</v>
      </c>
      <c r="I4099" s="1" t="s">
        <v>1301</v>
      </c>
      <c r="J4099" s="1">
        <v>195.5</v>
      </c>
      <c r="K4099" s="1">
        <v>195.5</v>
      </c>
      <c r="L4099" s="42">
        <v>7</v>
      </c>
      <c r="M4099" s="43">
        <v>46153</v>
      </c>
      <c r="N4099" s="1" t="e">
        <f>VLOOKUP(B4099,MICRO!E:L,8,0)</f>
        <v>#N/A</v>
      </c>
    </row>
    <row r="4100" spans="1:14" ht="20.25" x14ac:dyDescent="0.25">
      <c r="A4100" s="1">
        <v>12</v>
      </c>
      <c r="B4100" s="159">
        <v>3329</v>
      </c>
      <c r="C4100" s="1" t="s">
        <v>1900</v>
      </c>
      <c r="D4100" s="1"/>
      <c r="E4100" s="1" t="s">
        <v>3414</v>
      </c>
      <c r="F4100" s="1" t="s">
        <v>3413</v>
      </c>
      <c r="G4100" s="1">
        <v>1</v>
      </c>
      <c r="H4100" s="1" t="s">
        <v>19</v>
      </c>
      <c r="I4100" s="1" t="s">
        <v>1301</v>
      </c>
      <c r="J4100" s="1">
        <v>75</v>
      </c>
      <c r="K4100" s="1">
        <v>75</v>
      </c>
      <c r="L4100" s="42">
        <v>7</v>
      </c>
      <c r="M4100" s="43">
        <v>46153</v>
      </c>
      <c r="N4100" s="1" t="e">
        <f>VLOOKUP(B4100,MICRO!E:L,8,0)</f>
        <v>#N/A</v>
      </c>
    </row>
    <row r="4101" spans="1:14" ht="20.25" x14ac:dyDescent="0.25">
      <c r="A4101" s="1">
        <v>13</v>
      </c>
      <c r="B4101" s="159">
        <v>3338</v>
      </c>
      <c r="C4101" s="1" t="s">
        <v>1904</v>
      </c>
      <c r="D4101" s="1"/>
      <c r="E4101" s="1" t="s">
        <v>3417</v>
      </c>
      <c r="F4101" s="1" t="s">
        <v>3418</v>
      </c>
      <c r="G4101" s="1">
        <v>1</v>
      </c>
      <c r="H4101" s="1" t="s">
        <v>19</v>
      </c>
      <c r="I4101" s="1" t="s">
        <v>1301</v>
      </c>
      <c r="J4101" s="1">
        <v>908.6</v>
      </c>
      <c r="K4101" s="1">
        <v>908.6</v>
      </c>
      <c r="L4101" s="42">
        <v>7</v>
      </c>
      <c r="M4101" s="43">
        <v>46153</v>
      </c>
      <c r="N4101" s="1" t="e">
        <f>VLOOKUP(B4101,MICRO!E:L,8,0)</f>
        <v>#N/A</v>
      </c>
    </row>
    <row r="4102" spans="1:14" ht="20.25" x14ac:dyDescent="0.25">
      <c r="A4102" s="1">
        <v>14</v>
      </c>
      <c r="B4102" s="159">
        <v>3342</v>
      </c>
      <c r="C4102" s="1" t="s">
        <v>1908</v>
      </c>
      <c r="D4102" s="1"/>
      <c r="E4102" s="1" t="s">
        <v>3419</v>
      </c>
      <c r="F4102" s="1" t="s">
        <v>3420</v>
      </c>
      <c r="G4102" s="1">
        <v>1</v>
      </c>
      <c r="H4102" s="1" t="s">
        <v>19</v>
      </c>
      <c r="I4102" s="1" t="s">
        <v>1290</v>
      </c>
      <c r="J4102" s="1">
        <v>145.19999999999999</v>
      </c>
      <c r="K4102" s="1">
        <v>145.19999999999999</v>
      </c>
      <c r="L4102" s="42">
        <v>7</v>
      </c>
      <c r="M4102" s="43">
        <v>46153</v>
      </c>
      <c r="N4102" s="1" t="e">
        <f>VLOOKUP(B4102,MICRO!E:L,8,0)</f>
        <v>#N/A</v>
      </c>
    </row>
    <row r="4103" spans="1:14" ht="20.25" x14ac:dyDescent="0.25">
      <c r="A4103" s="1">
        <v>17</v>
      </c>
      <c r="B4103" s="159">
        <v>3343</v>
      </c>
      <c r="C4103" s="1" t="s">
        <v>1908</v>
      </c>
      <c r="D4103" s="1"/>
      <c r="E4103" s="1" t="s">
        <v>3421</v>
      </c>
      <c r="F4103" s="1" t="s">
        <v>3413</v>
      </c>
      <c r="G4103" s="1">
        <v>1</v>
      </c>
      <c r="H4103" s="1" t="s">
        <v>19</v>
      </c>
      <c r="I4103" s="1" t="s">
        <v>1290</v>
      </c>
      <c r="J4103" s="1">
        <v>143</v>
      </c>
      <c r="K4103" s="1">
        <v>143</v>
      </c>
      <c r="L4103" s="42">
        <v>7</v>
      </c>
      <c r="M4103" s="43">
        <v>46153</v>
      </c>
      <c r="N4103" s="1" t="e">
        <f>VLOOKUP(B4103,MICRO!E:L,8,0)</f>
        <v>#N/A</v>
      </c>
    </row>
    <row r="4104" spans="1:14" ht="20.25" x14ac:dyDescent="0.25">
      <c r="A4104" s="1">
        <v>18</v>
      </c>
      <c r="B4104" s="159">
        <v>3331</v>
      </c>
      <c r="C4104" s="1" t="s">
        <v>1902</v>
      </c>
      <c r="D4104" s="1"/>
      <c r="E4104" s="1" t="s">
        <v>3422</v>
      </c>
      <c r="F4104" s="1" t="s">
        <v>3423</v>
      </c>
      <c r="G4104" s="1">
        <v>1</v>
      </c>
      <c r="H4104" s="1" t="s">
        <v>19</v>
      </c>
      <c r="I4104" s="1" t="s">
        <v>1290</v>
      </c>
      <c r="J4104" s="1">
        <v>51</v>
      </c>
      <c r="K4104" s="1">
        <v>51</v>
      </c>
      <c r="L4104" s="42">
        <v>7</v>
      </c>
      <c r="M4104" s="43">
        <v>46153</v>
      </c>
      <c r="N4104" s="1" t="e">
        <f>VLOOKUP(B4104,MICRO!E:L,8,0)</f>
        <v>#N/A</v>
      </c>
    </row>
    <row r="4105" spans="1:14" ht="20.25" x14ac:dyDescent="0.25">
      <c r="A4105" s="1">
        <v>19</v>
      </c>
      <c r="B4105" s="159">
        <v>3332</v>
      </c>
      <c r="C4105" s="1" t="s">
        <v>1902</v>
      </c>
      <c r="D4105" s="1"/>
      <c r="E4105" s="1" t="s">
        <v>3424</v>
      </c>
      <c r="F4105" s="1" t="s">
        <v>3425</v>
      </c>
      <c r="G4105" s="1">
        <v>1</v>
      </c>
      <c r="H4105" s="1" t="s">
        <v>19</v>
      </c>
      <c r="I4105" s="1" t="s">
        <v>1290</v>
      </c>
      <c r="J4105" s="1">
        <v>46.7</v>
      </c>
      <c r="K4105" s="1">
        <v>46.7</v>
      </c>
      <c r="L4105" s="42">
        <v>7</v>
      </c>
      <c r="M4105" s="43">
        <v>46153</v>
      </c>
      <c r="N4105" s="1" t="e">
        <f>VLOOKUP(B4105,MICRO!E:L,8,0)</f>
        <v>#N/A</v>
      </c>
    </row>
    <row r="4106" spans="1:14" ht="20.25" x14ac:dyDescent="0.25">
      <c r="A4106" s="1">
        <v>20</v>
      </c>
      <c r="B4106" s="159">
        <v>3333</v>
      </c>
      <c r="C4106" s="1" t="s">
        <v>1902</v>
      </c>
      <c r="D4106" s="1"/>
      <c r="E4106" s="1" t="s">
        <v>3426</v>
      </c>
      <c r="F4106" s="1" t="s">
        <v>3427</v>
      </c>
      <c r="G4106" s="1">
        <v>1</v>
      </c>
      <c r="H4106" s="1" t="s">
        <v>19</v>
      </c>
      <c r="I4106" s="1" t="s">
        <v>1290</v>
      </c>
      <c r="J4106" s="1">
        <v>59.5</v>
      </c>
      <c r="K4106" s="1">
        <v>59.5</v>
      </c>
      <c r="L4106" s="42">
        <v>7</v>
      </c>
      <c r="M4106" s="43">
        <v>46153</v>
      </c>
      <c r="N4106" s="1" t="e">
        <f>VLOOKUP(B4106,MICRO!E:L,8,0)</f>
        <v>#N/A</v>
      </c>
    </row>
    <row r="4107" spans="1:14" ht="20.25" x14ac:dyDescent="0.25">
      <c r="A4107" s="1">
        <v>21</v>
      </c>
      <c r="B4107" s="159">
        <v>3334</v>
      </c>
      <c r="C4107" s="1" t="s">
        <v>1902</v>
      </c>
      <c r="D4107" s="1"/>
      <c r="E4107" s="1" t="s">
        <v>3428</v>
      </c>
      <c r="F4107" s="1" t="s">
        <v>3429</v>
      </c>
      <c r="G4107" s="1">
        <v>1</v>
      </c>
      <c r="H4107" s="1" t="s">
        <v>19</v>
      </c>
      <c r="I4107" s="1" t="s">
        <v>1290</v>
      </c>
      <c r="J4107" s="1">
        <v>59.5</v>
      </c>
      <c r="K4107" s="1">
        <v>59.5</v>
      </c>
      <c r="L4107" s="42">
        <v>7</v>
      </c>
      <c r="M4107" s="43">
        <v>46153</v>
      </c>
      <c r="N4107" s="1" t="e">
        <f>VLOOKUP(B4107,MICRO!E:L,8,0)</f>
        <v>#N/A</v>
      </c>
    </row>
    <row r="4108" spans="1:14" ht="20.25" x14ac:dyDescent="0.25">
      <c r="A4108" s="1">
        <v>22</v>
      </c>
      <c r="B4108" s="159">
        <v>3335</v>
      </c>
      <c r="C4108" s="1" t="s">
        <v>1902</v>
      </c>
      <c r="D4108" s="1"/>
      <c r="E4108" s="1" t="s">
        <v>3430</v>
      </c>
      <c r="F4108" s="1" t="s">
        <v>3431</v>
      </c>
      <c r="G4108" s="1">
        <v>1</v>
      </c>
      <c r="H4108" s="1" t="s">
        <v>19</v>
      </c>
      <c r="I4108" s="1" t="s">
        <v>1290</v>
      </c>
      <c r="J4108" s="1">
        <v>59.5</v>
      </c>
      <c r="K4108" s="1">
        <v>59.5</v>
      </c>
      <c r="L4108" s="42">
        <v>7</v>
      </c>
      <c r="M4108" s="43">
        <v>46153</v>
      </c>
      <c r="N4108" s="1" t="e">
        <f>VLOOKUP(B4108,MICRO!E:L,8,0)</f>
        <v>#N/A</v>
      </c>
    </row>
    <row r="4109" spans="1:14" ht="20.25" x14ac:dyDescent="0.25">
      <c r="A4109" s="1">
        <v>23</v>
      </c>
      <c r="B4109" s="159">
        <v>3388</v>
      </c>
      <c r="C4109" s="1" t="s">
        <v>1902</v>
      </c>
      <c r="D4109" s="1"/>
      <c r="E4109" s="1" t="s">
        <v>3432</v>
      </c>
      <c r="F4109" s="1" t="s">
        <v>3433</v>
      </c>
      <c r="G4109" s="1">
        <v>1</v>
      </c>
      <c r="H4109" s="1" t="s">
        <v>19</v>
      </c>
      <c r="I4109" s="1" t="s">
        <v>1290</v>
      </c>
      <c r="J4109" s="1">
        <v>48.3</v>
      </c>
      <c r="K4109" s="1">
        <v>48.3</v>
      </c>
      <c r="L4109" s="42">
        <v>7</v>
      </c>
      <c r="M4109" s="43">
        <v>46153</v>
      </c>
      <c r="N4109" s="1" t="e">
        <f>VLOOKUP(B4109,MICRO!E:L,8,0)</f>
        <v>#N/A</v>
      </c>
    </row>
    <row r="4110" spans="1:14" ht="20.25" x14ac:dyDescent="0.25">
      <c r="A4110" s="1">
        <v>24</v>
      </c>
      <c r="B4110" s="159">
        <v>3389</v>
      </c>
      <c r="C4110" s="1" t="s">
        <v>1902</v>
      </c>
      <c r="D4110" s="1"/>
      <c r="E4110" s="1" t="s">
        <v>3434</v>
      </c>
      <c r="F4110" s="1" t="s">
        <v>3435</v>
      </c>
      <c r="G4110" s="1">
        <v>1</v>
      </c>
      <c r="H4110" s="1" t="s">
        <v>19</v>
      </c>
      <c r="I4110" s="1" t="s">
        <v>1290</v>
      </c>
      <c r="J4110" s="1">
        <v>21.3</v>
      </c>
      <c r="K4110" s="1">
        <v>21.3</v>
      </c>
      <c r="L4110" s="42">
        <v>7</v>
      </c>
      <c r="M4110" s="43">
        <v>46153</v>
      </c>
      <c r="N4110" s="1" t="e">
        <f>VLOOKUP(B4110,MICRO!E:L,8,0)</f>
        <v>#N/A</v>
      </c>
    </row>
    <row r="4111" spans="1:14" ht="20.25" x14ac:dyDescent="0.25">
      <c r="A4111" s="1">
        <v>25</v>
      </c>
      <c r="B4111" s="159">
        <v>3286</v>
      </c>
      <c r="C4111" s="1" t="s">
        <v>1883</v>
      </c>
      <c r="D4111" s="1"/>
      <c r="E4111" s="1" t="s">
        <v>3436</v>
      </c>
      <c r="F4111" s="1" t="s">
        <v>3410</v>
      </c>
      <c r="G4111" s="1">
        <v>1</v>
      </c>
      <c r="H4111" s="1" t="s">
        <v>19</v>
      </c>
      <c r="I4111" s="1" t="s">
        <v>1295</v>
      </c>
      <c r="J4111" s="1">
        <v>159.4</v>
      </c>
      <c r="K4111" s="1">
        <v>159.4</v>
      </c>
      <c r="L4111" s="42">
        <v>7</v>
      </c>
      <c r="M4111" s="43">
        <v>46153</v>
      </c>
      <c r="N4111" s="1" t="e">
        <f>VLOOKUP(B4111,MICRO!E:L,8,0)</f>
        <v>#N/A</v>
      </c>
    </row>
    <row r="4112" spans="1:14" ht="20.25" x14ac:dyDescent="0.25">
      <c r="A4112" s="1">
        <v>26</v>
      </c>
      <c r="B4112" s="159">
        <v>3287</v>
      </c>
      <c r="C4112" s="1" t="s">
        <v>1883</v>
      </c>
      <c r="D4112" s="1"/>
      <c r="E4112" s="1" t="s">
        <v>3437</v>
      </c>
      <c r="F4112" s="1" t="s">
        <v>3413</v>
      </c>
      <c r="G4112" s="1">
        <v>1</v>
      </c>
      <c r="H4112" s="1" t="s">
        <v>19</v>
      </c>
      <c r="I4112" s="1" t="s">
        <v>1295</v>
      </c>
      <c r="J4112" s="1">
        <v>194.2</v>
      </c>
      <c r="K4112" s="1">
        <v>194.2</v>
      </c>
      <c r="L4112" s="42">
        <v>7</v>
      </c>
      <c r="M4112" s="43">
        <v>46153</v>
      </c>
      <c r="N4112" s="1" t="e">
        <f>VLOOKUP(B4112,MICRO!E:L,8,0)</f>
        <v>#N/A</v>
      </c>
    </row>
    <row r="4113" spans="1:14" ht="20.25" x14ac:dyDescent="0.25">
      <c r="A4113" s="1">
        <v>42</v>
      </c>
      <c r="B4113" s="159">
        <v>3288</v>
      </c>
      <c r="C4113" s="1" t="s">
        <v>1883</v>
      </c>
      <c r="D4113" s="1"/>
      <c r="E4113" s="1" t="s">
        <v>3466</v>
      </c>
      <c r="F4113" s="1" t="s">
        <v>3467</v>
      </c>
      <c r="G4113" s="1">
        <v>1</v>
      </c>
      <c r="H4113" s="1" t="s">
        <v>19</v>
      </c>
      <c r="I4113" s="1" t="s">
        <v>1295</v>
      </c>
      <c r="J4113" s="1">
        <v>10.8</v>
      </c>
      <c r="K4113" s="1">
        <v>10.8</v>
      </c>
      <c r="L4113" s="42">
        <v>7</v>
      </c>
      <c r="M4113" s="43">
        <v>46153</v>
      </c>
      <c r="N4113" s="1" t="e">
        <f>VLOOKUP(B4113,MICRO!E:L,8,0)</f>
        <v>#N/A</v>
      </c>
    </row>
    <row r="4114" spans="1:14" ht="20.25" x14ac:dyDescent="0.25">
      <c r="A4114" s="1">
        <v>43</v>
      </c>
      <c r="B4114" s="159">
        <v>3289</v>
      </c>
      <c r="C4114" s="1" t="s">
        <v>1883</v>
      </c>
      <c r="D4114" s="1"/>
      <c r="E4114" s="1" t="s">
        <v>3468</v>
      </c>
      <c r="F4114" s="1" t="s">
        <v>3469</v>
      </c>
      <c r="G4114" s="1">
        <v>1</v>
      </c>
      <c r="H4114" s="1"/>
      <c r="I4114" s="1" t="s">
        <v>1295</v>
      </c>
      <c r="J4114" s="1">
        <v>10.1</v>
      </c>
      <c r="K4114" s="1">
        <v>10.1</v>
      </c>
      <c r="L4114" s="42">
        <v>7</v>
      </c>
      <c r="M4114" s="43">
        <v>46153</v>
      </c>
      <c r="N4114" s="1" t="e">
        <f>VLOOKUP(B4114,MICRO!E:L,8,0)</f>
        <v>#N/A</v>
      </c>
    </row>
    <row r="4115" spans="1:14" ht="20.25" x14ac:dyDescent="0.25">
      <c r="A4115" s="1">
        <v>44</v>
      </c>
      <c r="B4115" s="159">
        <v>3290</v>
      </c>
      <c r="C4115" s="1" t="s">
        <v>1883</v>
      </c>
      <c r="D4115" s="1"/>
      <c r="E4115" s="1" t="s">
        <v>3444</v>
      </c>
      <c r="F4115" s="1" t="s">
        <v>3470</v>
      </c>
      <c r="G4115" s="1">
        <v>1</v>
      </c>
      <c r="H4115" s="1"/>
      <c r="I4115" s="1" t="s">
        <v>1295</v>
      </c>
      <c r="J4115" s="1">
        <v>9.1</v>
      </c>
      <c r="K4115" s="1">
        <v>9.1</v>
      </c>
      <c r="L4115" s="42">
        <v>7</v>
      </c>
      <c r="M4115" s="43">
        <v>46153</v>
      </c>
      <c r="N4115" s="1" t="e">
        <f>VLOOKUP(B4115,MICRO!E:L,8,0)</f>
        <v>#N/A</v>
      </c>
    </row>
    <row r="4116" spans="1:14" ht="20.25" x14ac:dyDescent="0.25">
      <c r="A4116" s="1">
        <v>45</v>
      </c>
      <c r="B4116" s="159">
        <v>3291</v>
      </c>
      <c r="C4116" s="1" t="s">
        <v>1883</v>
      </c>
      <c r="D4116" s="1"/>
      <c r="E4116" s="1" t="s">
        <v>3446</v>
      </c>
      <c r="F4116" s="1" t="s">
        <v>3471</v>
      </c>
      <c r="G4116" s="1">
        <v>1</v>
      </c>
      <c r="H4116" s="1"/>
      <c r="I4116" s="1" t="s">
        <v>1295</v>
      </c>
      <c r="J4116" s="1">
        <v>6.3</v>
      </c>
      <c r="K4116" s="1">
        <v>6.3</v>
      </c>
      <c r="L4116" s="42">
        <v>7</v>
      </c>
      <c r="M4116" s="43">
        <v>46153</v>
      </c>
      <c r="N4116" s="1" t="e">
        <f>VLOOKUP(B4116,MICRO!E:L,8,0)</f>
        <v>#N/A</v>
      </c>
    </row>
    <row r="4117" spans="1:14" ht="20.25" x14ac:dyDescent="0.25">
      <c r="A4117" s="1">
        <v>46</v>
      </c>
      <c r="B4117" s="159">
        <v>3292</v>
      </c>
      <c r="C4117" s="1" t="s">
        <v>1883</v>
      </c>
      <c r="D4117" s="1"/>
      <c r="E4117" s="1" t="s">
        <v>3448</v>
      </c>
      <c r="F4117" s="1" t="s">
        <v>3472</v>
      </c>
      <c r="G4117" s="1">
        <v>1</v>
      </c>
      <c r="H4117" s="1"/>
      <c r="I4117" s="1" t="s">
        <v>1295</v>
      </c>
      <c r="J4117" s="1">
        <v>5.0999999999999996</v>
      </c>
      <c r="K4117" s="1">
        <v>5.0999999999999996</v>
      </c>
      <c r="L4117" s="42">
        <v>7</v>
      </c>
      <c r="M4117" s="43">
        <v>46153</v>
      </c>
      <c r="N4117" s="1" t="e">
        <f>VLOOKUP(B4117,MICRO!E:L,8,0)</f>
        <v>#N/A</v>
      </c>
    </row>
    <row r="4118" spans="1:14" ht="20.25" x14ac:dyDescent="0.25">
      <c r="A4118" s="1">
        <v>47</v>
      </c>
      <c r="B4118" s="159">
        <v>3293</v>
      </c>
      <c r="C4118" s="1" t="s">
        <v>1883</v>
      </c>
      <c r="D4118" s="1"/>
      <c r="E4118" s="1" t="s">
        <v>3473</v>
      </c>
      <c r="F4118" s="1" t="s">
        <v>3474</v>
      </c>
      <c r="G4118" s="1">
        <v>2</v>
      </c>
      <c r="H4118" s="1"/>
      <c r="I4118" s="1" t="s">
        <v>1295</v>
      </c>
      <c r="J4118" s="1">
        <v>2.8</v>
      </c>
      <c r="K4118" s="1">
        <v>5.6</v>
      </c>
      <c r="L4118" s="42">
        <v>7</v>
      </c>
      <c r="M4118" s="43">
        <v>46153</v>
      </c>
      <c r="N4118" s="1" t="e">
        <f>VLOOKUP(B4118,MICRO!E:L,8,0)</f>
        <v>#N/A</v>
      </c>
    </row>
    <row r="4119" spans="1:14" ht="20.25" x14ac:dyDescent="0.25">
      <c r="A4119" s="1">
        <v>1</v>
      </c>
      <c r="B4119" s="159">
        <v>3322</v>
      </c>
      <c r="C4119" s="1" t="s">
        <v>1899</v>
      </c>
      <c r="D4119" s="1"/>
      <c r="E4119" s="1" t="s">
        <v>3475</v>
      </c>
      <c r="F4119" s="1" t="s">
        <v>3476</v>
      </c>
      <c r="G4119" s="1">
        <v>5</v>
      </c>
      <c r="H4119" s="1" t="s">
        <v>19</v>
      </c>
      <c r="I4119" s="1" t="s">
        <v>1899</v>
      </c>
      <c r="J4119" s="1">
        <v>36</v>
      </c>
      <c r="K4119" s="1">
        <v>180</v>
      </c>
      <c r="L4119" s="42">
        <v>8</v>
      </c>
      <c r="M4119" s="43">
        <v>46175</v>
      </c>
      <c r="N4119" s="1" t="e">
        <f>VLOOKUP(B4119,MICRO!E:L,8,0)</f>
        <v>#N/A</v>
      </c>
    </row>
    <row r="4120" spans="1:14" ht="20.25" x14ac:dyDescent="0.25">
      <c r="A4120" s="1">
        <v>2</v>
      </c>
      <c r="B4120" s="159">
        <v>3323</v>
      </c>
      <c r="C4120" s="1" t="s">
        <v>1899</v>
      </c>
      <c r="D4120" s="1"/>
      <c r="E4120" s="1" t="s">
        <v>3477</v>
      </c>
      <c r="F4120" s="1" t="s">
        <v>3478</v>
      </c>
      <c r="G4120" s="1">
        <v>2</v>
      </c>
      <c r="H4120" s="1" t="s">
        <v>19</v>
      </c>
      <c r="I4120" s="1" t="s">
        <v>1899</v>
      </c>
      <c r="J4120" s="1">
        <v>31.9</v>
      </c>
      <c r="K4120" s="1">
        <v>63.8</v>
      </c>
      <c r="L4120" s="42">
        <v>8</v>
      </c>
      <c r="M4120" s="43">
        <v>46175</v>
      </c>
      <c r="N4120" s="1" t="e">
        <f>VLOOKUP(B4120,MICRO!E:L,8,0)</f>
        <v>#N/A</v>
      </c>
    </row>
    <row r="4121" spans="1:14" ht="20.25" x14ac:dyDescent="0.25">
      <c r="A4121" s="1">
        <v>3</v>
      </c>
      <c r="B4121" s="159">
        <v>3324</v>
      </c>
      <c r="C4121" s="1" t="s">
        <v>1899</v>
      </c>
      <c r="D4121" s="1"/>
      <c r="E4121" s="1" t="s">
        <v>3479</v>
      </c>
      <c r="F4121" s="1" t="s">
        <v>3480</v>
      </c>
      <c r="G4121" s="1">
        <v>1</v>
      </c>
      <c r="H4121" s="1" t="s">
        <v>19</v>
      </c>
      <c r="I4121" s="1" t="s">
        <v>1899</v>
      </c>
      <c r="J4121" s="1">
        <v>32.6</v>
      </c>
      <c r="K4121" s="1">
        <v>32.6</v>
      </c>
      <c r="L4121" s="42">
        <v>8</v>
      </c>
      <c r="M4121" s="43">
        <v>46175</v>
      </c>
      <c r="N4121" s="1" t="e">
        <f>VLOOKUP(B4121,MICRO!E:L,8,0)</f>
        <v>#N/A</v>
      </c>
    </row>
    <row r="4122" spans="1:14" ht="20.25" x14ac:dyDescent="0.25">
      <c r="A4122" s="1">
        <v>4</v>
      </c>
      <c r="B4122" s="159">
        <v>3325</v>
      </c>
      <c r="C4122" s="1" t="s">
        <v>1899</v>
      </c>
      <c r="D4122" s="1"/>
      <c r="E4122" s="1" t="s">
        <v>3481</v>
      </c>
      <c r="F4122" s="1" t="s">
        <v>3482</v>
      </c>
      <c r="G4122" s="1">
        <v>1</v>
      </c>
      <c r="H4122" s="1" t="s">
        <v>19</v>
      </c>
      <c r="I4122" s="1" t="s">
        <v>1899</v>
      </c>
      <c r="J4122" s="1">
        <v>40</v>
      </c>
      <c r="K4122" s="1">
        <v>40</v>
      </c>
      <c r="L4122" s="42">
        <v>8</v>
      </c>
      <c r="M4122" s="43">
        <v>46175</v>
      </c>
      <c r="N4122" s="1" t="e">
        <f>VLOOKUP(B4122,MICRO!E:L,8,0)</f>
        <v>#N/A</v>
      </c>
    </row>
    <row r="4123" spans="1:14" ht="20.25" x14ac:dyDescent="0.25">
      <c r="A4123" s="1">
        <v>5</v>
      </c>
      <c r="B4123" s="159">
        <v>3381</v>
      </c>
      <c r="C4123" s="1" t="s">
        <v>2063</v>
      </c>
      <c r="D4123" s="1"/>
      <c r="E4123" s="1" t="s">
        <v>3483</v>
      </c>
      <c r="F4123" s="1" t="s">
        <v>3484</v>
      </c>
      <c r="G4123" s="1">
        <v>7</v>
      </c>
      <c r="H4123" s="1" t="s">
        <v>19</v>
      </c>
      <c r="I4123" s="1" t="s">
        <v>2063</v>
      </c>
      <c r="J4123" s="1">
        <v>33</v>
      </c>
      <c r="K4123" s="1">
        <v>231</v>
      </c>
      <c r="L4123" s="42">
        <v>8</v>
      </c>
      <c r="M4123" s="43">
        <v>46175</v>
      </c>
      <c r="N4123" s="1" t="e">
        <f>VLOOKUP(B4123,MICRO!E:L,8,0)</f>
        <v>#N/A</v>
      </c>
    </row>
    <row r="4124" spans="1:14" ht="20.25" x14ac:dyDescent="0.25">
      <c r="A4124" s="1">
        <v>6</v>
      </c>
      <c r="B4124" s="159">
        <v>3382</v>
      </c>
      <c r="C4124" s="1" t="s">
        <v>2063</v>
      </c>
      <c r="D4124" s="1"/>
      <c r="E4124" s="1" t="s">
        <v>3485</v>
      </c>
      <c r="F4124" s="1" t="s">
        <v>3484</v>
      </c>
      <c r="G4124" s="1">
        <v>1</v>
      </c>
      <c r="H4124" s="1" t="s">
        <v>19</v>
      </c>
      <c r="I4124" s="1" t="s">
        <v>2063</v>
      </c>
      <c r="J4124" s="1">
        <v>33</v>
      </c>
      <c r="K4124" s="1">
        <v>33</v>
      </c>
      <c r="L4124" s="42">
        <v>8</v>
      </c>
      <c r="M4124" s="43">
        <v>46175</v>
      </c>
      <c r="N4124" s="1" t="e">
        <f>VLOOKUP(B4124,MICRO!E:L,8,0)</f>
        <v>#N/A</v>
      </c>
    </row>
    <row r="4125" spans="1:14" ht="20.25" x14ac:dyDescent="0.25">
      <c r="A4125" s="1">
        <v>7</v>
      </c>
      <c r="B4125" s="159">
        <v>3383</v>
      </c>
      <c r="C4125" s="1" t="s">
        <v>2063</v>
      </c>
      <c r="D4125" s="1"/>
      <c r="E4125" s="1" t="s">
        <v>3486</v>
      </c>
      <c r="F4125" s="1" t="s">
        <v>3484</v>
      </c>
      <c r="G4125" s="1">
        <v>1</v>
      </c>
      <c r="H4125" s="1" t="s">
        <v>19</v>
      </c>
      <c r="I4125" s="1" t="s">
        <v>2063</v>
      </c>
      <c r="J4125" s="1">
        <v>36.200000000000003</v>
      </c>
      <c r="K4125" s="1">
        <v>36.200000000000003</v>
      </c>
      <c r="L4125" s="42">
        <v>8</v>
      </c>
      <c r="M4125" s="43">
        <v>46175</v>
      </c>
      <c r="N4125" s="1" t="e">
        <f>VLOOKUP(B4125,MICRO!E:L,8,0)</f>
        <v>#N/A</v>
      </c>
    </row>
    <row r="4126" spans="1:14" ht="20.25" x14ac:dyDescent="0.25">
      <c r="A4126" s="1">
        <v>8</v>
      </c>
      <c r="B4126" s="159">
        <v>3372</v>
      </c>
      <c r="C4126" s="1" t="s">
        <v>2062</v>
      </c>
      <c r="D4126" s="1"/>
      <c r="E4126" s="1" t="s">
        <v>3487</v>
      </c>
      <c r="F4126" s="1" t="s">
        <v>3488</v>
      </c>
      <c r="G4126" s="1">
        <v>2</v>
      </c>
      <c r="H4126" s="1" t="s">
        <v>19</v>
      </c>
      <c r="I4126" s="1" t="s">
        <v>2062</v>
      </c>
      <c r="J4126" s="1">
        <v>10.199999999999999</v>
      </c>
      <c r="K4126" s="1">
        <v>20.399999999999999</v>
      </c>
      <c r="L4126" s="42">
        <v>8</v>
      </c>
      <c r="M4126" s="43">
        <v>46175</v>
      </c>
      <c r="N4126" s="1" t="e">
        <f>VLOOKUP(B4126,MICRO!E:L,8,0)</f>
        <v>#N/A</v>
      </c>
    </row>
    <row r="4127" spans="1:14" ht="20.25" x14ac:dyDescent="0.25">
      <c r="A4127" s="1">
        <v>9</v>
      </c>
      <c r="B4127" s="159">
        <v>3373</v>
      </c>
      <c r="C4127" s="1" t="s">
        <v>2062</v>
      </c>
      <c r="D4127" s="1"/>
      <c r="E4127" s="1" t="s">
        <v>3489</v>
      </c>
      <c r="F4127" s="1" t="s">
        <v>3488</v>
      </c>
      <c r="G4127" s="1">
        <v>2</v>
      </c>
      <c r="H4127" s="1" t="s">
        <v>19</v>
      </c>
      <c r="I4127" s="1" t="s">
        <v>2062</v>
      </c>
      <c r="J4127" s="1">
        <v>10.1</v>
      </c>
      <c r="K4127" s="1">
        <v>20.2</v>
      </c>
      <c r="L4127" s="42">
        <v>8</v>
      </c>
      <c r="M4127" s="43">
        <v>46175</v>
      </c>
      <c r="N4127" s="1" t="e">
        <f>VLOOKUP(B4127,MICRO!E:L,8,0)</f>
        <v>#N/A</v>
      </c>
    </row>
    <row r="4128" spans="1:14" ht="20.25" x14ac:dyDescent="0.25">
      <c r="A4128" s="1">
        <v>10</v>
      </c>
      <c r="B4128" s="159">
        <v>3358</v>
      </c>
      <c r="C4128" s="1" t="s">
        <v>2061</v>
      </c>
      <c r="D4128" s="1"/>
      <c r="E4128" s="1" t="s">
        <v>3490</v>
      </c>
      <c r="F4128" s="1" t="s">
        <v>3488</v>
      </c>
      <c r="G4128" s="1">
        <v>1</v>
      </c>
      <c r="H4128" s="1" t="s">
        <v>19</v>
      </c>
      <c r="I4128" s="1" t="s">
        <v>2061</v>
      </c>
      <c r="J4128" s="1">
        <v>10.199999999999999</v>
      </c>
      <c r="K4128" s="1">
        <v>10.199999999999999</v>
      </c>
      <c r="L4128" s="42">
        <v>8</v>
      </c>
      <c r="M4128" s="43">
        <v>46175</v>
      </c>
      <c r="N4128" s="1" t="e">
        <f>VLOOKUP(B4128,MICRO!E:L,8,0)</f>
        <v>#N/A</v>
      </c>
    </row>
    <row r="4129" spans="1:14" ht="20.25" x14ac:dyDescent="0.25">
      <c r="A4129" s="1">
        <v>15</v>
      </c>
      <c r="B4129" s="159">
        <v>3321</v>
      </c>
      <c r="C4129" s="1" t="s">
        <v>1899</v>
      </c>
      <c r="D4129" s="1"/>
      <c r="E4129" s="1" t="s">
        <v>3496</v>
      </c>
      <c r="F4129" s="1" t="s">
        <v>3497</v>
      </c>
      <c r="G4129" s="1">
        <v>36</v>
      </c>
      <c r="H4129" s="1" t="s">
        <v>19</v>
      </c>
      <c r="I4129" s="1" t="s">
        <v>1899</v>
      </c>
      <c r="J4129" s="1">
        <v>1.4</v>
      </c>
      <c r="K4129" s="1">
        <v>50.4</v>
      </c>
      <c r="L4129" s="42">
        <v>8</v>
      </c>
      <c r="M4129" s="43">
        <v>46175</v>
      </c>
      <c r="N4129" s="1" t="e">
        <f>VLOOKUP(B4129,MICRO!E:L,8,0)</f>
        <v>#N/A</v>
      </c>
    </row>
    <row r="4130" spans="1:14" ht="20.25" x14ac:dyDescent="0.25">
      <c r="A4130" s="1">
        <v>16</v>
      </c>
      <c r="B4130" s="159">
        <v>3326</v>
      </c>
      <c r="C4130" s="1" t="s">
        <v>1899</v>
      </c>
      <c r="D4130" s="1"/>
      <c r="E4130" s="1" t="s">
        <v>3498</v>
      </c>
      <c r="F4130" s="1" t="s">
        <v>3499</v>
      </c>
      <c r="G4130" s="1">
        <v>1</v>
      </c>
      <c r="H4130" s="1" t="s">
        <v>19</v>
      </c>
      <c r="I4130" s="1" t="s">
        <v>1899</v>
      </c>
      <c r="J4130" s="1">
        <v>8</v>
      </c>
      <c r="K4130" s="1">
        <v>8</v>
      </c>
      <c r="L4130" s="42">
        <v>8</v>
      </c>
      <c r="M4130" s="43">
        <v>46175</v>
      </c>
      <c r="N4130" s="1" t="e">
        <f>VLOOKUP(B4130,MICRO!E:L,8,0)</f>
        <v>#N/A</v>
      </c>
    </row>
    <row r="4131" spans="1:14" ht="20.25" x14ac:dyDescent="0.25">
      <c r="A4131" s="1">
        <v>17</v>
      </c>
      <c r="B4131" s="159">
        <v>3384</v>
      </c>
      <c r="C4131" s="1" t="s">
        <v>2063</v>
      </c>
      <c r="D4131" s="1"/>
      <c r="E4131" s="1" t="s">
        <v>3500</v>
      </c>
      <c r="F4131" s="1" t="s">
        <v>3497</v>
      </c>
      <c r="G4131" s="1">
        <v>36</v>
      </c>
      <c r="H4131" s="1" t="s">
        <v>19</v>
      </c>
      <c r="I4131" s="1" t="s">
        <v>2063</v>
      </c>
      <c r="J4131" s="1">
        <v>1.1000000000000001</v>
      </c>
      <c r="K4131" s="1">
        <v>39.6</v>
      </c>
      <c r="L4131" s="42">
        <v>8</v>
      </c>
      <c r="M4131" s="43">
        <v>46175</v>
      </c>
      <c r="N4131" s="1" t="e">
        <f>VLOOKUP(B4131,MICRO!E:L,8,0)</f>
        <v>#N/A</v>
      </c>
    </row>
    <row r="4132" spans="1:14" ht="20.25" x14ac:dyDescent="0.25">
      <c r="A4132" s="1">
        <v>18</v>
      </c>
      <c r="B4132" s="159">
        <v>3385</v>
      </c>
      <c r="C4132" s="1" t="s">
        <v>2063</v>
      </c>
      <c r="D4132" s="1"/>
      <c r="E4132" s="1" t="s">
        <v>3501</v>
      </c>
      <c r="F4132" s="1" t="s">
        <v>3484</v>
      </c>
      <c r="G4132" s="1">
        <v>1</v>
      </c>
      <c r="H4132" s="1" t="s">
        <v>19</v>
      </c>
      <c r="I4132" s="1" t="s">
        <v>2063</v>
      </c>
      <c r="J4132" s="1">
        <v>6.6</v>
      </c>
      <c r="K4132" s="1">
        <v>6.6</v>
      </c>
      <c r="L4132" s="42">
        <v>8</v>
      </c>
      <c r="M4132" s="43">
        <v>46175</v>
      </c>
      <c r="N4132" s="1" t="e">
        <f>VLOOKUP(B4132,MICRO!E:L,8,0)</f>
        <v>#N/A</v>
      </c>
    </row>
    <row r="4133" spans="1:14" ht="20.25" x14ac:dyDescent="0.25">
      <c r="A4133" s="1">
        <v>19</v>
      </c>
      <c r="B4133" s="159">
        <v>3316</v>
      </c>
      <c r="C4133" s="1" t="s">
        <v>1892</v>
      </c>
      <c r="D4133" s="1"/>
      <c r="E4133" s="1" t="s">
        <v>3502</v>
      </c>
      <c r="F4133" s="1" t="s">
        <v>1893</v>
      </c>
      <c r="G4133" s="1">
        <v>1</v>
      </c>
      <c r="H4133" s="1" t="s">
        <v>19</v>
      </c>
      <c r="I4133" s="1" t="s">
        <v>1892</v>
      </c>
      <c r="J4133" s="1">
        <v>38.799999999999997</v>
      </c>
      <c r="K4133" s="1">
        <v>38.799999999999997</v>
      </c>
      <c r="L4133" s="42">
        <v>8</v>
      </c>
      <c r="M4133" s="43">
        <v>46175</v>
      </c>
      <c r="N4133" s="1" t="e">
        <f>VLOOKUP(B4133,MICRO!E:L,8,0)</f>
        <v>#N/A</v>
      </c>
    </row>
    <row r="4134" spans="1:14" ht="20.25" x14ac:dyDescent="0.25">
      <c r="A4134" s="1">
        <v>20</v>
      </c>
      <c r="B4134" s="159">
        <v>3317</v>
      </c>
      <c r="C4134" s="1" t="s">
        <v>1892</v>
      </c>
      <c r="D4134" s="1"/>
      <c r="E4134" s="1" t="s">
        <v>3503</v>
      </c>
      <c r="F4134" s="1" t="s">
        <v>1894</v>
      </c>
      <c r="G4134" s="1">
        <v>1</v>
      </c>
      <c r="H4134" s="1" t="s">
        <v>19</v>
      </c>
      <c r="I4134" s="1" t="s">
        <v>1892</v>
      </c>
      <c r="J4134" s="1">
        <v>68.599999999999994</v>
      </c>
      <c r="K4134" s="1">
        <v>68.599999999999994</v>
      </c>
      <c r="L4134" s="42">
        <v>8</v>
      </c>
      <c r="M4134" s="43">
        <v>46175</v>
      </c>
      <c r="N4134" s="1" t="e">
        <f>VLOOKUP(B4134,MICRO!E:L,8,0)</f>
        <v>#N/A</v>
      </c>
    </row>
    <row r="4135" spans="1:14" ht="20.25" x14ac:dyDescent="0.25">
      <c r="A4135" s="1">
        <v>21</v>
      </c>
      <c r="B4135" s="159">
        <v>3318</v>
      </c>
      <c r="C4135" s="1" t="s">
        <v>1892</v>
      </c>
      <c r="D4135" s="1"/>
      <c r="E4135" s="1" t="s">
        <v>3504</v>
      </c>
      <c r="F4135" s="1" t="s">
        <v>1895</v>
      </c>
      <c r="G4135" s="1">
        <v>1</v>
      </c>
      <c r="H4135" s="1" t="s">
        <v>19</v>
      </c>
      <c r="I4135" s="1" t="s">
        <v>1892</v>
      </c>
      <c r="J4135" s="1">
        <v>62.7</v>
      </c>
      <c r="K4135" s="1">
        <v>62.7</v>
      </c>
      <c r="L4135" s="42">
        <v>8</v>
      </c>
      <c r="M4135" s="43">
        <v>46175</v>
      </c>
      <c r="N4135" s="1" t="e">
        <f>VLOOKUP(B4135,MICRO!E:L,8,0)</f>
        <v>#N/A</v>
      </c>
    </row>
    <row r="4136" spans="1:14" ht="20.25" x14ac:dyDescent="0.25">
      <c r="A4136" s="1">
        <v>22</v>
      </c>
      <c r="B4136" s="159">
        <v>3319</v>
      </c>
      <c r="C4136" s="1" t="s">
        <v>1896</v>
      </c>
      <c r="D4136" s="1"/>
      <c r="E4136" s="1" t="s">
        <v>3505</v>
      </c>
      <c r="F4136" s="1" t="s">
        <v>1897</v>
      </c>
      <c r="G4136" s="1">
        <v>1</v>
      </c>
      <c r="H4136" s="1" t="s">
        <v>19</v>
      </c>
      <c r="I4136" s="1" t="s">
        <v>1896</v>
      </c>
      <c r="J4136" s="1">
        <v>43.5</v>
      </c>
      <c r="K4136" s="1">
        <v>43.5</v>
      </c>
      <c r="L4136" s="42">
        <v>8</v>
      </c>
      <c r="M4136" s="43">
        <v>46175</v>
      </c>
      <c r="N4136" s="1" t="e">
        <f>VLOOKUP(B4136,MICRO!E:L,8,0)</f>
        <v>#N/A</v>
      </c>
    </row>
    <row r="4137" spans="1:14" ht="20.25" x14ac:dyDescent="0.25">
      <c r="A4137" s="1">
        <v>23</v>
      </c>
      <c r="B4137" s="159">
        <v>3320</v>
      </c>
      <c r="C4137" s="1" t="s">
        <v>1896</v>
      </c>
      <c r="D4137" s="1"/>
      <c r="E4137" s="1" t="s">
        <v>3506</v>
      </c>
      <c r="F4137" s="1" t="s">
        <v>1898</v>
      </c>
      <c r="G4137" s="1">
        <v>1</v>
      </c>
      <c r="H4137" s="1" t="s">
        <v>19</v>
      </c>
      <c r="I4137" s="1" t="s">
        <v>1896</v>
      </c>
      <c r="J4137" s="1">
        <v>69.7</v>
      </c>
      <c r="K4137" s="1">
        <v>69.7</v>
      </c>
      <c r="L4137" s="42">
        <v>8</v>
      </c>
      <c r="M4137" s="43">
        <v>46175</v>
      </c>
      <c r="N4137" s="1" t="e">
        <f>VLOOKUP(B4137,MICRO!E:L,8,0)</f>
        <v>#N/A</v>
      </c>
    </row>
    <row r="4138" spans="1:14" ht="20.25" x14ac:dyDescent="0.25">
      <c r="A4138" s="1">
        <v>26</v>
      </c>
      <c r="B4138" s="159">
        <v>3336</v>
      </c>
      <c r="C4138" s="1" t="s">
        <v>1902</v>
      </c>
      <c r="D4138" s="1"/>
      <c r="E4138" s="1" t="s">
        <v>3512</v>
      </c>
      <c r="F4138" s="1" t="s">
        <v>3415</v>
      </c>
      <c r="G4138" s="1">
        <v>1</v>
      </c>
      <c r="H4138" s="1" t="s">
        <v>19</v>
      </c>
      <c r="I4138" s="1" t="s">
        <v>1902</v>
      </c>
      <c r="J4138" s="1">
        <v>6.4</v>
      </c>
      <c r="K4138" s="1">
        <v>6.4</v>
      </c>
      <c r="L4138" s="42">
        <v>8</v>
      </c>
      <c r="M4138" s="43">
        <v>46175</v>
      </c>
      <c r="N4138" s="1" t="e">
        <f>VLOOKUP(B4138,MICRO!E:L,8,0)</f>
        <v>#N/A</v>
      </c>
    </row>
    <row r="4139" spans="1:14" ht="20.25" x14ac:dyDescent="0.25">
      <c r="A4139" s="1">
        <v>42</v>
      </c>
      <c r="B4139" s="159">
        <v>3374</v>
      </c>
      <c r="C4139" s="1" t="s">
        <v>2062</v>
      </c>
      <c r="D4139" s="1"/>
      <c r="E4139" s="1" t="s">
        <v>3541</v>
      </c>
      <c r="F4139" s="1" t="s">
        <v>3488</v>
      </c>
      <c r="G4139" s="1">
        <v>2</v>
      </c>
      <c r="H4139" s="1" t="s">
        <v>19</v>
      </c>
      <c r="I4139" s="1" t="s">
        <v>2062</v>
      </c>
      <c r="J4139" s="1">
        <v>9.65</v>
      </c>
      <c r="K4139" s="1">
        <v>19.3</v>
      </c>
      <c r="L4139" s="42">
        <v>8</v>
      </c>
      <c r="M4139" s="43">
        <v>46175</v>
      </c>
      <c r="N4139" s="1" t="e">
        <f>VLOOKUP(B4139,MICRO!E:L,8,0)</f>
        <v>#N/A</v>
      </c>
    </row>
    <row r="4140" spans="1:14" ht="20.25" x14ac:dyDescent="0.25">
      <c r="A4140" s="1">
        <v>43</v>
      </c>
      <c r="B4140" s="159">
        <v>3375</v>
      </c>
      <c r="C4140" s="1" t="s">
        <v>2062</v>
      </c>
      <c r="D4140" s="1"/>
      <c r="E4140" s="1" t="s">
        <v>3542</v>
      </c>
      <c r="F4140" s="1" t="s">
        <v>3488</v>
      </c>
      <c r="G4140" s="1">
        <v>2</v>
      </c>
      <c r="H4140" s="1" t="s">
        <v>19</v>
      </c>
      <c r="I4140" s="1" t="s">
        <v>2062</v>
      </c>
      <c r="J4140" s="1">
        <v>11.8</v>
      </c>
      <c r="K4140" s="1">
        <v>23.6</v>
      </c>
      <c r="L4140" s="42">
        <v>8</v>
      </c>
      <c r="M4140" s="43">
        <v>46175</v>
      </c>
      <c r="N4140" s="1" t="e">
        <f>VLOOKUP(B4140,MICRO!E:L,8,0)</f>
        <v>#N/A</v>
      </c>
    </row>
    <row r="4141" spans="1:14" ht="20.25" x14ac:dyDescent="0.25">
      <c r="A4141" s="1">
        <v>44</v>
      </c>
      <c r="B4141" s="159">
        <v>3376</v>
      </c>
      <c r="C4141" s="1" t="s">
        <v>2062</v>
      </c>
      <c r="D4141" s="1"/>
      <c r="E4141" s="1" t="s">
        <v>3543</v>
      </c>
      <c r="F4141" s="1" t="s">
        <v>3488</v>
      </c>
      <c r="G4141" s="1">
        <v>2</v>
      </c>
      <c r="H4141" s="1" t="s">
        <v>19</v>
      </c>
      <c r="I4141" s="1" t="s">
        <v>2062</v>
      </c>
      <c r="J4141" s="1">
        <v>12.3</v>
      </c>
      <c r="K4141" s="1">
        <v>24.6</v>
      </c>
      <c r="L4141" s="42">
        <v>8</v>
      </c>
      <c r="M4141" s="43">
        <v>46175</v>
      </c>
      <c r="N4141" s="1" t="e">
        <f>VLOOKUP(B4141,MICRO!E:L,8,0)</f>
        <v>#N/A</v>
      </c>
    </row>
    <row r="4142" spans="1:14" ht="20.25" x14ac:dyDescent="0.25">
      <c r="A4142" s="1">
        <v>45</v>
      </c>
      <c r="B4142" s="159">
        <v>3377</v>
      </c>
      <c r="C4142" s="1" t="s">
        <v>2062</v>
      </c>
      <c r="D4142" s="1"/>
      <c r="E4142" s="1" t="s">
        <v>3544</v>
      </c>
      <c r="F4142" s="1" t="s">
        <v>3488</v>
      </c>
      <c r="G4142" s="1">
        <v>2</v>
      </c>
      <c r="H4142" s="1" t="s">
        <v>19</v>
      </c>
      <c r="I4142" s="1" t="s">
        <v>2062</v>
      </c>
      <c r="J4142" s="1">
        <v>12.3</v>
      </c>
      <c r="K4142" s="1">
        <v>24.6</v>
      </c>
      <c r="L4142" s="42">
        <v>8</v>
      </c>
      <c r="M4142" s="43">
        <v>46175</v>
      </c>
      <c r="N4142" s="1" t="e">
        <f>VLOOKUP(B4142,MICRO!E:L,8,0)</f>
        <v>#N/A</v>
      </c>
    </row>
    <row r="4143" spans="1:14" ht="20.25" x14ac:dyDescent="0.25">
      <c r="A4143" s="1">
        <v>46</v>
      </c>
      <c r="B4143" s="159">
        <v>3378</v>
      </c>
      <c r="C4143" s="1" t="s">
        <v>2062</v>
      </c>
      <c r="D4143" s="1"/>
      <c r="E4143" s="1" t="s">
        <v>3545</v>
      </c>
      <c r="F4143" s="1" t="s">
        <v>3488</v>
      </c>
      <c r="G4143" s="1">
        <v>2</v>
      </c>
      <c r="H4143" s="1" t="s">
        <v>19</v>
      </c>
      <c r="I4143" s="1" t="s">
        <v>2062</v>
      </c>
      <c r="J4143" s="1">
        <v>12.3</v>
      </c>
      <c r="K4143" s="1">
        <v>24.6</v>
      </c>
      <c r="L4143" s="42">
        <v>8</v>
      </c>
      <c r="M4143" s="43">
        <v>46175</v>
      </c>
      <c r="N4143" s="1" t="e">
        <f>VLOOKUP(B4143,MICRO!E:L,8,0)</f>
        <v>#N/A</v>
      </c>
    </row>
    <row r="4144" spans="1:14" ht="20.25" x14ac:dyDescent="0.25">
      <c r="A4144" s="1">
        <v>47</v>
      </c>
      <c r="B4144" s="159">
        <v>3379</v>
      </c>
      <c r="C4144" s="1" t="s">
        <v>2062</v>
      </c>
      <c r="D4144" s="1"/>
      <c r="E4144" s="1" t="s">
        <v>3546</v>
      </c>
      <c r="F4144" s="1" t="s">
        <v>3488</v>
      </c>
      <c r="G4144" s="1">
        <v>2</v>
      </c>
      <c r="H4144" s="1" t="s">
        <v>19</v>
      </c>
      <c r="I4144" s="1" t="s">
        <v>2062</v>
      </c>
      <c r="J4144" s="1">
        <v>11.6</v>
      </c>
      <c r="K4144" s="1">
        <v>23.2</v>
      </c>
      <c r="L4144" s="42">
        <v>8</v>
      </c>
      <c r="M4144" s="43">
        <v>46175</v>
      </c>
      <c r="N4144" s="1" t="e">
        <f>VLOOKUP(B4144,MICRO!E:L,8,0)</f>
        <v>#N/A</v>
      </c>
    </row>
    <row r="4145" spans="1:14" ht="20.25" x14ac:dyDescent="0.25">
      <c r="A4145" s="1">
        <v>48</v>
      </c>
      <c r="B4145" s="159">
        <v>3380</v>
      </c>
      <c r="C4145" s="1" t="s">
        <v>2062</v>
      </c>
      <c r="D4145" s="1"/>
      <c r="E4145" s="1" t="s">
        <v>3547</v>
      </c>
      <c r="F4145" s="1" t="s">
        <v>3488</v>
      </c>
      <c r="G4145" s="1">
        <v>2</v>
      </c>
      <c r="H4145" s="1" t="s">
        <v>19</v>
      </c>
      <c r="I4145" s="1" t="s">
        <v>2062</v>
      </c>
      <c r="J4145" s="1">
        <v>6.6</v>
      </c>
      <c r="K4145" s="1">
        <v>13.2</v>
      </c>
      <c r="L4145" s="42">
        <v>8</v>
      </c>
      <c r="M4145" s="43">
        <v>46175</v>
      </c>
      <c r="N4145" s="1" t="e">
        <f>VLOOKUP(B4145,MICRO!E:L,8,0)</f>
        <v>#N/A</v>
      </c>
    </row>
    <row r="4146" spans="1:14" ht="20.25" x14ac:dyDescent="0.25">
      <c r="A4146" s="1">
        <v>49</v>
      </c>
      <c r="B4146" s="159">
        <v>3359</v>
      </c>
      <c r="C4146" s="1" t="s">
        <v>2061</v>
      </c>
      <c r="D4146" s="1"/>
      <c r="E4146" s="1" t="s">
        <v>3548</v>
      </c>
      <c r="F4146" s="1" t="s">
        <v>3488</v>
      </c>
      <c r="G4146" s="1">
        <v>2</v>
      </c>
      <c r="H4146" s="1" t="s">
        <v>19</v>
      </c>
      <c r="I4146" s="1" t="s">
        <v>2061</v>
      </c>
      <c r="J4146" s="1">
        <v>7.8</v>
      </c>
      <c r="K4146" s="1">
        <v>15.6</v>
      </c>
      <c r="L4146" s="42">
        <v>8</v>
      </c>
      <c r="M4146" s="43">
        <v>46175</v>
      </c>
      <c r="N4146" s="1" t="e">
        <f>VLOOKUP(B4146,MICRO!E:L,8,0)</f>
        <v>#N/A</v>
      </c>
    </row>
    <row r="4147" spans="1:14" ht="20.25" x14ac:dyDescent="0.25">
      <c r="A4147" s="1">
        <v>50</v>
      </c>
      <c r="B4147" s="159">
        <v>3360</v>
      </c>
      <c r="C4147" s="1" t="s">
        <v>2061</v>
      </c>
      <c r="D4147" s="1"/>
      <c r="E4147" s="1" t="s">
        <v>3549</v>
      </c>
      <c r="F4147" s="1" t="s">
        <v>3488</v>
      </c>
      <c r="G4147" s="1">
        <v>2</v>
      </c>
      <c r="H4147" s="1" t="s">
        <v>19</v>
      </c>
      <c r="I4147" s="1" t="s">
        <v>2061</v>
      </c>
      <c r="J4147" s="1">
        <v>5.5</v>
      </c>
      <c r="K4147" s="1">
        <v>11</v>
      </c>
      <c r="L4147" s="42">
        <v>8</v>
      </c>
      <c r="M4147" s="43">
        <v>46175</v>
      </c>
      <c r="N4147" s="1" t="e">
        <f>VLOOKUP(B4147,MICRO!E:L,8,0)</f>
        <v>#N/A</v>
      </c>
    </row>
    <row r="4148" spans="1:14" ht="20.25" x14ac:dyDescent="0.25">
      <c r="A4148" s="1">
        <v>51</v>
      </c>
      <c r="B4148" s="159">
        <v>3361</v>
      </c>
      <c r="C4148" s="1" t="s">
        <v>2061</v>
      </c>
      <c r="D4148" s="1"/>
      <c r="E4148" s="1" t="s">
        <v>3550</v>
      </c>
      <c r="F4148" s="1" t="s">
        <v>3488</v>
      </c>
      <c r="G4148" s="1">
        <v>2</v>
      </c>
      <c r="H4148" s="1" t="s">
        <v>19</v>
      </c>
      <c r="I4148" s="1" t="s">
        <v>2061</v>
      </c>
      <c r="J4148" s="1">
        <v>3.8</v>
      </c>
      <c r="K4148" s="1">
        <v>7.6</v>
      </c>
      <c r="L4148" s="42">
        <v>8</v>
      </c>
      <c r="M4148" s="43">
        <v>46175</v>
      </c>
      <c r="N4148" s="1" t="e">
        <f>VLOOKUP(B4148,MICRO!E:L,8,0)</f>
        <v>#N/A</v>
      </c>
    </row>
    <row r="4149" spans="1:14" ht="20.25" x14ac:dyDescent="0.25">
      <c r="A4149" s="1">
        <v>52</v>
      </c>
      <c r="B4149" s="159">
        <v>3362</v>
      </c>
      <c r="C4149" s="1" t="s">
        <v>2061</v>
      </c>
      <c r="D4149" s="1"/>
      <c r="E4149" s="1" t="s">
        <v>3551</v>
      </c>
      <c r="F4149" s="1" t="s">
        <v>3488</v>
      </c>
      <c r="G4149" s="1">
        <v>1</v>
      </c>
      <c r="H4149" s="1" t="s">
        <v>19</v>
      </c>
      <c r="I4149" s="1" t="s">
        <v>2061</v>
      </c>
      <c r="J4149" s="1">
        <v>7.1</v>
      </c>
      <c r="K4149" s="1">
        <v>7.1</v>
      </c>
      <c r="L4149" s="42">
        <v>8</v>
      </c>
      <c r="M4149" s="43">
        <v>46175</v>
      </c>
      <c r="N4149" s="1" t="e">
        <f>VLOOKUP(B4149,MICRO!E:L,8,0)</f>
        <v>#N/A</v>
      </c>
    </row>
    <row r="4150" spans="1:14" ht="20.25" x14ac:dyDescent="0.25">
      <c r="A4150" s="1">
        <v>53</v>
      </c>
      <c r="B4150" s="159">
        <v>3245</v>
      </c>
      <c r="C4150" s="1" t="s">
        <v>1398</v>
      </c>
      <c r="D4150" s="1"/>
      <c r="E4150" s="1" t="s">
        <v>3552</v>
      </c>
      <c r="F4150" s="1" t="s">
        <v>3418</v>
      </c>
      <c r="G4150" s="1">
        <v>1</v>
      </c>
      <c r="H4150" s="1" t="s">
        <v>19</v>
      </c>
      <c r="I4150" s="1" t="s">
        <v>1398</v>
      </c>
      <c r="J4150" s="1">
        <v>945</v>
      </c>
      <c r="K4150" s="1">
        <v>945</v>
      </c>
      <c r="L4150" s="42">
        <v>8</v>
      </c>
      <c r="M4150" s="43">
        <v>46175</v>
      </c>
      <c r="N4150" s="1" t="e">
        <f>VLOOKUP(B4150,MICRO!E:L,8,0)</f>
        <v>#N/A</v>
      </c>
    </row>
    <row r="4151" spans="1:14" ht="20.25" x14ac:dyDescent="0.25">
      <c r="A4151" s="1">
        <v>54</v>
      </c>
      <c r="B4151" s="159">
        <v>3337</v>
      </c>
      <c r="C4151" s="1" t="s">
        <v>1903</v>
      </c>
      <c r="D4151" s="1"/>
      <c r="E4151" s="1" t="s">
        <v>3553</v>
      </c>
      <c r="F4151" s="1" t="s">
        <v>3418</v>
      </c>
      <c r="G4151" s="1">
        <v>1</v>
      </c>
      <c r="H4151" s="1" t="s">
        <v>19</v>
      </c>
      <c r="I4151" s="1" t="s">
        <v>1903</v>
      </c>
      <c r="J4151" s="1">
        <v>678.6</v>
      </c>
      <c r="K4151" s="1">
        <v>678.6</v>
      </c>
      <c r="L4151" s="42">
        <v>8</v>
      </c>
      <c r="M4151" s="43">
        <v>46175</v>
      </c>
      <c r="N4151" s="1" t="e">
        <f>VLOOKUP(B4151,MICRO!E:L,8,0)</f>
        <v>#N/A</v>
      </c>
    </row>
    <row r="4152" spans="1:14" ht="20.25" x14ac:dyDescent="0.25">
      <c r="A4152" s="1">
        <v>1</v>
      </c>
      <c r="B4152" s="159">
        <v>2967</v>
      </c>
      <c r="C4152" s="1" t="s">
        <v>1288</v>
      </c>
      <c r="D4152" s="1"/>
      <c r="E4152" s="1" t="s">
        <v>2</v>
      </c>
      <c r="F4152" s="1" t="s">
        <v>1289</v>
      </c>
      <c r="G4152" s="1">
        <v>32</v>
      </c>
      <c r="H4152" s="1" t="s">
        <v>19</v>
      </c>
      <c r="I4152" s="1" t="s">
        <v>1290</v>
      </c>
      <c r="J4152" s="1">
        <v>14.8</v>
      </c>
      <c r="K4152" s="1">
        <v>473.6</v>
      </c>
      <c r="L4152" s="42">
        <v>9</v>
      </c>
      <c r="M4152" s="43">
        <v>46174</v>
      </c>
      <c r="N4152" s="1" t="e">
        <f>VLOOKUP(B4152,MICRO!E:L,8,0)</f>
        <v>#N/A</v>
      </c>
    </row>
    <row r="4153" spans="1:14" ht="20.25" x14ac:dyDescent="0.25">
      <c r="A4153" s="1">
        <v>2</v>
      </c>
      <c r="B4153" s="159">
        <v>2967</v>
      </c>
      <c r="C4153" s="1" t="s">
        <v>1288</v>
      </c>
      <c r="D4153" s="1"/>
      <c r="E4153" s="1" t="s">
        <v>2</v>
      </c>
      <c r="F4153" s="1" t="s">
        <v>1289</v>
      </c>
      <c r="G4153" s="1">
        <v>32</v>
      </c>
      <c r="H4153" s="1" t="s">
        <v>19</v>
      </c>
      <c r="I4153" s="1" t="s">
        <v>1290</v>
      </c>
      <c r="J4153" s="1">
        <v>14.8</v>
      </c>
      <c r="K4153" s="1">
        <v>473.6</v>
      </c>
      <c r="L4153" s="42">
        <v>9</v>
      </c>
      <c r="M4153" s="43">
        <v>46174</v>
      </c>
      <c r="N4153" s="1" t="e">
        <f>VLOOKUP(B4153,MICRO!E:L,8,0)</f>
        <v>#N/A</v>
      </c>
    </row>
    <row r="4154" spans="1:14" ht="20.25" x14ac:dyDescent="0.25">
      <c r="A4154" s="1">
        <v>3</v>
      </c>
      <c r="B4154" s="159">
        <v>2967</v>
      </c>
      <c r="C4154" s="1" t="s">
        <v>1288</v>
      </c>
      <c r="D4154" s="1"/>
      <c r="E4154" s="1" t="s">
        <v>2</v>
      </c>
      <c r="F4154" s="1" t="s">
        <v>1289</v>
      </c>
      <c r="G4154" s="1">
        <v>32</v>
      </c>
      <c r="H4154" s="1" t="s">
        <v>19</v>
      </c>
      <c r="I4154" s="1" t="s">
        <v>1290</v>
      </c>
      <c r="J4154" s="1">
        <v>14.8</v>
      </c>
      <c r="K4154" s="1">
        <v>473.6</v>
      </c>
      <c r="L4154" s="42">
        <v>9</v>
      </c>
      <c r="M4154" s="43">
        <v>46174</v>
      </c>
      <c r="N4154" s="1" t="e">
        <f>VLOOKUP(B4154,MICRO!E:L,8,0)</f>
        <v>#N/A</v>
      </c>
    </row>
    <row r="4155" spans="1:14" ht="20.25" x14ac:dyDescent="0.25">
      <c r="A4155" s="1">
        <v>4</v>
      </c>
      <c r="B4155" s="159">
        <v>2967</v>
      </c>
      <c r="C4155" s="1" t="s">
        <v>1288</v>
      </c>
      <c r="D4155" s="1"/>
      <c r="E4155" s="1" t="s">
        <v>2</v>
      </c>
      <c r="F4155" s="1" t="s">
        <v>1289</v>
      </c>
      <c r="G4155" s="1">
        <v>9</v>
      </c>
      <c r="H4155" s="1" t="s">
        <v>19</v>
      </c>
      <c r="I4155" s="1" t="s">
        <v>1290</v>
      </c>
      <c r="J4155" s="1">
        <v>14.8</v>
      </c>
      <c r="K4155" s="1">
        <v>133.20000000000002</v>
      </c>
      <c r="L4155" s="42">
        <v>9</v>
      </c>
      <c r="M4155" s="43">
        <v>46174</v>
      </c>
      <c r="N4155" s="1" t="e">
        <f>VLOOKUP(B4155,MICRO!E:L,8,0)</f>
        <v>#N/A</v>
      </c>
    </row>
    <row r="4156" spans="1:14" ht="20.25" x14ac:dyDescent="0.25">
      <c r="A4156" s="1">
        <v>5</v>
      </c>
      <c r="B4156" s="159">
        <v>2968</v>
      </c>
      <c r="C4156" s="1" t="s">
        <v>1291</v>
      </c>
      <c r="D4156" s="1"/>
      <c r="E4156" s="1" t="s">
        <v>2</v>
      </c>
      <c r="F4156" s="1" t="s">
        <v>1292</v>
      </c>
      <c r="G4156" s="1">
        <v>27</v>
      </c>
      <c r="H4156" s="1" t="s">
        <v>19</v>
      </c>
      <c r="I4156" s="1" t="s">
        <v>1290</v>
      </c>
      <c r="J4156" s="1">
        <v>16.8</v>
      </c>
      <c r="K4156" s="1">
        <v>453.6</v>
      </c>
      <c r="L4156" s="42">
        <v>9</v>
      </c>
      <c r="M4156" s="43">
        <v>46174</v>
      </c>
      <c r="N4156" s="1" t="e">
        <f>VLOOKUP(B4156,MICRO!E:L,8,0)</f>
        <v>#N/A</v>
      </c>
    </row>
    <row r="4157" spans="1:14" ht="20.25" x14ac:dyDescent="0.25">
      <c r="A4157" s="1">
        <v>6</v>
      </c>
      <c r="B4157" s="159">
        <v>2970</v>
      </c>
      <c r="C4157" s="1" t="s">
        <v>1296</v>
      </c>
      <c r="D4157" s="1"/>
      <c r="E4157" s="1" t="s">
        <v>2</v>
      </c>
      <c r="F4157" s="1" t="s">
        <v>1297</v>
      </c>
      <c r="G4157" s="1">
        <v>13</v>
      </c>
      <c r="H4157" s="1" t="s">
        <v>19</v>
      </c>
      <c r="I4157" s="1" t="s">
        <v>1295</v>
      </c>
      <c r="J4157" s="1">
        <v>13.5</v>
      </c>
      <c r="K4157" s="1">
        <v>175.5</v>
      </c>
      <c r="L4157" s="42">
        <v>9</v>
      </c>
      <c r="M4157" s="43">
        <v>46174</v>
      </c>
      <c r="N4157" s="1" t="e">
        <f>VLOOKUP(B4157,MICRO!E:L,8,0)</f>
        <v>#N/A</v>
      </c>
    </row>
    <row r="4158" spans="1:14" ht="20.25" x14ac:dyDescent="0.25">
      <c r="A4158" s="1">
        <v>7</v>
      </c>
      <c r="B4158" s="159">
        <v>2971</v>
      </c>
      <c r="C4158" s="1" t="s">
        <v>1298</v>
      </c>
      <c r="D4158" s="1"/>
      <c r="E4158" s="1" t="s">
        <v>2</v>
      </c>
      <c r="F4158" s="1" t="s">
        <v>1299</v>
      </c>
      <c r="G4158" s="1">
        <v>25</v>
      </c>
      <c r="H4158" s="1" t="s">
        <v>19</v>
      </c>
      <c r="I4158" s="1" t="s">
        <v>1300</v>
      </c>
      <c r="J4158" s="1">
        <v>12.7</v>
      </c>
      <c r="K4158" s="1">
        <v>317.5</v>
      </c>
      <c r="L4158" s="42">
        <v>9</v>
      </c>
      <c r="M4158" s="43">
        <v>46174</v>
      </c>
      <c r="N4158" s="1" t="e">
        <f>VLOOKUP(B4158,MICRO!E:L,8,0)</f>
        <v>#N/A</v>
      </c>
    </row>
    <row r="4159" spans="1:14" ht="20.25" x14ac:dyDescent="0.25">
      <c r="A4159" s="1">
        <v>8</v>
      </c>
      <c r="B4159" s="159">
        <v>2974</v>
      </c>
      <c r="C4159" s="1" t="s">
        <v>1302</v>
      </c>
      <c r="D4159" s="1"/>
      <c r="E4159" s="1" t="s">
        <v>2</v>
      </c>
      <c r="F4159" s="1" t="s">
        <v>1303</v>
      </c>
      <c r="G4159" s="1">
        <v>27</v>
      </c>
      <c r="H4159" s="1" t="s">
        <v>19</v>
      </c>
      <c r="I4159" s="1" t="s">
        <v>1301</v>
      </c>
      <c r="J4159" s="1">
        <v>14.7</v>
      </c>
      <c r="K4159" s="1">
        <v>396.9</v>
      </c>
      <c r="L4159" s="42">
        <v>9</v>
      </c>
      <c r="M4159" s="43">
        <v>46174</v>
      </c>
      <c r="N4159" s="1" t="e">
        <f>VLOOKUP(B4159,MICRO!E:L,8,0)</f>
        <v>#N/A</v>
      </c>
    </row>
    <row r="4160" spans="1:14" ht="20.25" x14ac:dyDescent="0.25">
      <c r="A4160" s="1">
        <v>9</v>
      </c>
      <c r="B4160" s="159">
        <v>3179</v>
      </c>
      <c r="C4160" s="1" t="s">
        <v>1382</v>
      </c>
      <c r="D4160" s="1"/>
      <c r="E4160" s="1" t="s">
        <v>2</v>
      </c>
      <c r="F4160" s="1" t="s">
        <v>1383</v>
      </c>
      <c r="G4160" s="1">
        <v>2</v>
      </c>
      <c r="H4160" s="1" t="s">
        <v>19</v>
      </c>
      <c r="I4160" s="1" t="s">
        <v>1300</v>
      </c>
      <c r="J4160" s="1">
        <v>159.6</v>
      </c>
      <c r="K4160" s="1">
        <v>319.2</v>
      </c>
      <c r="L4160" s="42">
        <v>9</v>
      </c>
      <c r="M4160" s="43">
        <v>46174</v>
      </c>
      <c r="N4160" s="1" t="e">
        <f>VLOOKUP(B4160,MICRO!E:L,8,0)</f>
        <v>#N/A</v>
      </c>
    </row>
    <row r="4161" spans="1:14" ht="20.25" x14ac:dyDescent="0.25">
      <c r="A4161" s="1">
        <v>10</v>
      </c>
      <c r="B4161" s="159">
        <v>3180</v>
      </c>
      <c r="C4161" s="1" t="s">
        <v>1382</v>
      </c>
      <c r="D4161" s="1"/>
      <c r="E4161" s="1" t="s">
        <v>43</v>
      </c>
      <c r="F4161" s="1" t="s">
        <v>1384</v>
      </c>
      <c r="G4161" s="1">
        <v>8</v>
      </c>
      <c r="H4161" s="1" t="s">
        <v>19</v>
      </c>
      <c r="I4161" s="1" t="s">
        <v>1300</v>
      </c>
      <c r="J4161" s="1">
        <v>6.6</v>
      </c>
      <c r="K4161" s="1">
        <v>52.8</v>
      </c>
      <c r="L4161" s="42">
        <v>9</v>
      </c>
      <c r="M4161" s="43">
        <v>46174</v>
      </c>
      <c r="N4161" s="1" t="e">
        <f>VLOOKUP(B4161,MICRO!E:L,8,0)</f>
        <v>#N/A</v>
      </c>
    </row>
    <row r="4162" spans="1:14" ht="20.25" x14ac:dyDescent="0.25">
      <c r="A4162" s="1">
        <v>11</v>
      </c>
      <c r="B4162" s="159">
        <v>3182</v>
      </c>
      <c r="C4162" s="1" t="s">
        <v>1386</v>
      </c>
      <c r="D4162" s="1"/>
      <c r="E4162" s="1" t="s">
        <v>2</v>
      </c>
      <c r="F4162" s="1" t="s">
        <v>1387</v>
      </c>
      <c r="G4162" s="1">
        <v>1</v>
      </c>
      <c r="H4162" s="1" t="s">
        <v>19</v>
      </c>
      <c r="I4162" s="1" t="s">
        <v>1300</v>
      </c>
      <c r="J4162" s="1">
        <v>221.6</v>
      </c>
      <c r="K4162" s="1">
        <v>221.6</v>
      </c>
      <c r="L4162" s="42">
        <v>9</v>
      </c>
      <c r="M4162" s="43">
        <v>46174</v>
      </c>
      <c r="N4162" s="1" t="e">
        <f>VLOOKUP(B4162,MICRO!E:L,8,0)</f>
        <v>#N/A</v>
      </c>
    </row>
    <row r="4163" spans="1:14" ht="20.25" x14ac:dyDescent="0.25">
      <c r="A4163" s="1">
        <v>12</v>
      </c>
      <c r="B4163" s="159">
        <v>3183</v>
      </c>
      <c r="C4163" s="1" t="s">
        <v>1386</v>
      </c>
      <c r="D4163" s="1"/>
      <c r="E4163" s="1" t="s">
        <v>43</v>
      </c>
      <c r="F4163" s="1" t="s">
        <v>1388</v>
      </c>
      <c r="G4163" s="1">
        <v>4</v>
      </c>
      <c r="H4163" s="1" t="s">
        <v>19</v>
      </c>
      <c r="I4163" s="1" t="s">
        <v>1300</v>
      </c>
      <c r="J4163" s="1">
        <v>13.2</v>
      </c>
      <c r="K4163" s="1">
        <v>52.8</v>
      </c>
      <c r="L4163" s="42">
        <v>9</v>
      </c>
      <c r="M4163" s="43">
        <v>46174</v>
      </c>
      <c r="N4163" s="1" t="e">
        <f>VLOOKUP(B4163,MICRO!E:L,8,0)</f>
        <v>#N/A</v>
      </c>
    </row>
    <row r="4164" spans="1:14" ht="20.25" x14ac:dyDescent="0.25">
      <c r="A4164" s="1">
        <v>13</v>
      </c>
      <c r="B4164" s="159">
        <v>3315</v>
      </c>
      <c r="C4164" s="1" t="s">
        <v>1890</v>
      </c>
      <c r="D4164" s="1"/>
      <c r="E4164" s="1" t="s">
        <v>2</v>
      </c>
      <c r="F4164" s="1" t="s">
        <v>1891</v>
      </c>
      <c r="G4164" s="1">
        <v>1</v>
      </c>
      <c r="H4164" s="1" t="s">
        <v>19</v>
      </c>
      <c r="I4164" s="1" t="s">
        <v>1301</v>
      </c>
      <c r="J4164" s="1">
        <v>32.4</v>
      </c>
      <c r="K4164" s="1">
        <v>32.4</v>
      </c>
      <c r="L4164" s="42">
        <v>9</v>
      </c>
      <c r="M4164" s="43">
        <v>46174</v>
      </c>
      <c r="N4164" s="1" t="e">
        <f>VLOOKUP(B4164,MICRO!E:L,8,0)</f>
        <v>#N/A</v>
      </c>
    </row>
    <row r="4165" spans="1:14" ht="20.25" x14ac:dyDescent="0.25">
      <c r="A4165" s="1">
        <v>14</v>
      </c>
      <c r="B4165" s="159">
        <v>3386</v>
      </c>
      <c r="C4165" s="1" t="s">
        <v>2064</v>
      </c>
      <c r="D4165" s="1"/>
      <c r="E4165" s="1" t="s">
        <v>2</v>
      </c>
      <c r="F4165" s="1" t="s">
        <v>2065</v>
      </c>
      <c r="G4165" s="1">
        <v>1</v>
      </c>
      <c r="H4165" s="1" t="s">
        <v>19</v>
      </c>
      <c r="I4165" s="1" t="s">
        <v>1295</v>
      </c>
      <c r="J4165" s="1">
        <v>30</v>
      </c>
      <c r="K4165" s="1">
        <v>30</v>
      </c>
      <c r="L4165" s="42">
        <v>9</v>
      </c>
      <c r="M4165" s="43">
        <v>46174</v>
      </c>
      <c r="N4165" s="1" t="e">
        <f>VLOOKUP(B4165,MICRO!E:L,8,0)</f>
        <v>#N/A</v>
      </c>
    </row>
    <row r="4166" spans="1:14" ht="20.25" x14ac:dyDescent="0.25">
      <c r="A4166" s="1">
        <v>15</v>
      </c>
      <c r="B4166" s="159">
        <v>3285</v>
      </c>
      <c r="C4166" s="1" t="s">
        <v>1881</v>
      </c>
      <c r="D4166" s="1"/>
      <c r="E4166" s="1" t="s">
        <v>2</v>
      </c>
      <c r="F4166" s="1" t="s">
        <v>1882</v>
      </c>
      <c r="G4166" s="1">
        <v>1</v>
      </c>
      <c r="H4166" s="1" t="s">
        <v>19</v>
      </c>
      <c r="I4166" s="1" t="s">
        <v>1290</v>
      </c>
      <c r="J4166" s="1">
        <v>31.5</v>
      </c>
      <c r="K4166" s="1">
        <v>31.5</v>
      </c>
      <c r="L4166" s="42">
        <v>9</v>
      </c>
      <c r="M4166" s="43">
        <v>46174</v>
      </c>
      <c r="N4166" s="1" t="e">
        <f>VLOOKUP(B4166,MICRO!E:L,8,0)</f>
        <v>#N/A</v>
      </c>
    </row>
    <row r="4167" spans="1:14" ht="20.25" x14ac:dyDescent="0.25">
      <c r="A4167" s="1">
        <v>16</v>
      </c>
      <c r="B4167" s="159">
        <v>3387</v>
      </c>
      <c r="C4167" s="1" t="s">
        <v>2066</v>
      </c>
      <c r="D4167" s="1"/>
      <c r="E4167" s="1" t="s">
        <v>2</v>
      </c>
      <c r="F4167" s="1" t="s">
        <v>2067</v>
      </c>
      <c r="G4167" s="1">
        <v>1</v>
      </c>
      <c r="H4167" s="1" t="s">
        <v>19</v>
      </c>
      <c r="I4167" s="1" t="s">
        <v>1300</v>
      </c>
      <c r="J4167" s="1">
        <v>36.1</v>
      </c>
      <c r="K4167" s="1">
        <v>36.1</v>
      </c>
      <c r="L4167" s="42">
        <v>9</v>
      </c>
      <c r="M4167" s="43">
        <v>46174</v>
      </c>
      <c r="N4167" s="1" t="e">
        <f>VLOOKUP(B4167,MICRO!E:L,8,0)</f>
        <v>#N/A</v>
      </c>
    </row>
    <row r="4168" spans="1:14" ht="20.25" x14ac:dyDescent="0.25">
      <c r="A4168" s="1">
        <v>17</v>
      </c>
      <c r="B4168" s="159">
        <v>3339</v>
      </c>
      <c r="C4168" s="1" t="s">
        <v>1905</v>
      </c>
      <c r="D4168" s="1"/>
      <c r="E4168" s="1" t="s">
        <v>2</v>
      </c>
      <c r="F4168" s="1" t="s">
        <v>1906</v>
      </c>
      <c r="G4168" s="1">
        <v>2</v>
      </c>
      <c r="H4168" s="1" t="s">
        <v>19</v>
      </c>
      <c r="I4168" s="1" t="s">
        <v>1301</v>
      </c>
      <c r="J4168" s="1">
        <v>24.6</v>
      </c>
      <c r="K4168" s="1">
        <v>49.2</v>
      </c>
      <c r="L4168" s="42">
        <v>9</v>
      </c>
      <c r="M4168" s="43">
        <v>46174</v>
      </c>
      <c r="N4168" s="1" t="e">
        <f>VLOOKUP(B4168,MICRO!E:L,8,0)</f>
        <v>#N/A</v>
      </c>
    </row>
    <row r="4169" spans="1:14" ht="20.25" x14ac:dyDescent="0.25">
      <c r="A4169" s="1">
        <v>18</v>
      </c>
      <c r="B4169" s="159">
        <v>3340</v>
      </c>
      <c r="C4169" s="1" t="s">
        <v>1905</v>
      </c>
      <c r="D4169" s="1"/>
      <c r="E4169" s="1" t="s">
        <v>43</v>
      </c>
      <c r="F4169" s="1" t="s">
        <v>1907</v>
      </c>
      <c r="G4169" s="1">
        <v>2</v>
      </c>
      <c r="H4169" s="1" t="s">
        <v>19</v>
      </c>
      <c r="I4169" s="1" t="s">
        <v>1301</v>
      </c>
      <c r="J4169" s="1">
        <v>25.6</v>
      </c>
      <c r="K4169" s="1">
        <v>51.2</v>
      </c>
      <c r="L4169" s="42">
        <v>9</v>
      </c>
      <c r="M4169" s="43">
        <v>46174</v>
      </c>
      <c r="N4169" s="1" t="e">
        <f>VLOOKUP(B4169,MICRO!E:L,8,0)</f>
        <v>#N/A</v>
      </c>
    </row>
    <row r="4170" spans="1:14" ht="20.25" x14ac:dyDescent="0.25">
      <c r="A4170" s="1">
        <v>1</v>
      </c>
      <c r="B4170" s="159">
        <v>2973</v>
      </c>
      <c r="C4170" s="1" t="s">
        <v>1302</v>
      </c>
      <c r="D4170" s="1"/>
      <c r="E4170" s="1" t="s">
        <v>2</v>
      </c>
      <c r="F4170" s="1" t="s">
        <v>1303</v>
      </c>
      <c r="G4170" s="1">
        <v>39</v>
      </c>
      <c r="H4170" s="1" t="s">
        <v>19</v>
      </c>
      <c r="I4170" s="1" t="s">
        <v>1300</v>
      </c>
      <c r="J4170" s="1">
        <v>14.7</v>
      </c>
      <c r="K4170" s="1">
        <v>573.29999999999995</v>
      </c>
      <c r="L4170" s="42">
        <v>10</v>
      </c>
      <c r="M4170" s="43">
        <v>46198</v>
      </c>
      <c r="N4170" s="1" t="e">
        <f>VLOOKUP(B4170,MICRO!E:L,8,0)</f>
        <v>#N/A</v>
      </c>
    </row>
    <row r="4171" spans="1:14" ht="20.25" x14ac:dyDescent="0.25">
      <c r="A4171" s="1">
        <v>2</v>
      </c>
      <c r="B4171" s="159">
        <v>3093</v>
      </c>
      <c r="C4171" s="1" t="s">
        <v>1360</v>
      </c>
      <c r="D4171" s="1"/>
      <c r="E4171" s="1" t="s">
        <v>2</v>
      </c>
      <c r="F4171" s="1" t="s">
        <v>2544</v>
      </c>
      <c r="G4171" s="1">
        <v>2</v>
      </c>
      <c r="H4171" s="1" t="s">
        <v>19</v>
      </c>
      <c r="I4171" s="1" t="s">
        <v>1301</v>
      </c>
      <c r="J4171" s="1">
        <v>4.0999999999999996</v>
      </c>
      <c r="K4171" s="1">
        <v>8.1999999999999993</v>
      </c>
      <c r="L4171" s="42">
        <v>10</v>
      </c>
      <c r="M4171" s="43">
        <v>46198</v>
      </c>
      <c r="N4171" s="1" t="e">
        <f>VLOOKUP(B4171,MICRO!E:L,8,0)</f>
        <v>#N/A</v>
      </c>
    </row>
    <row r="4172" spans="1:14" ht="20.25" x14ac:dyDescent="0.25">
      <c r="A4172" s="1">
        <v>3</v>
      </c>
      <c r="B4172" s="159">
        <v>3181</v>
      </c>
      <c r="C4172" s="1" t="s">
        <v>1382</v>
      </c>
      <c r="D4172" s="1"/>
      <c r="E4172" s="1" t="s">
        <v>746</v>
      </c>
      <c r="F4172" s="1" t="s">
        <v>1385</v>
      </c>
      <c r="G4172" s="1">
        <v>1</v>
      </c>
      <c r="H4172" s="1" t="s">
        <v>19</v>
      </c>
      <c r="I4172" s="1" t="s">
        <v>1300</v>
      </c>
      <c r="J4172" s="1">
        <v>15.2</v>
      </c>
      <c r="K4172" s="1">
        <v>15.2</v>
      </c>
      <c r="L4172" s="42">
        <v>10</v>
      </c>
      <c r="M4172" s="43">
        <v>46198</v>
      </c>
      <c r="N4172" s="1" t="e">
        <f>VLOOKUP(B4172,MICRO!E:L,8,0)</f>
        <v>#N/A</v>
      </c>
    </row>
    <row r="4173" spans="1:14" ht="20.25" x14ac:dyDescent="0.25">
      <c r="A4173" s="1">
        <v>4</v>
      </c>
      <c r="B4173" s="159">
        <v>3358</v>
      </c>
      <c r="C4173" s="1" t="s">
        <v>2061</v>
      </c>
      <c r="D4173" s="1"/>
      <c r="E4173" s="1" t="s">
        <v>3490</v>
      </c>
      <c r="F4173" s="1" t="s">
        <v>3488</v>
      </c>
      <c r="G4173" s="1">
        <v>1</v>
      </c>
      <c r="H4173" s="1" t="s">
        <v>19</v>
      </c>
      <c r="I4173" s="1" t="s">
        <v>1300</v>
      </c>
      <c r="J4173" s="1">
        <v>10.199999999999999</v>
      </c>
      <c r="K4173" s="1">
        <v>10.199999999999999</v>
      </c>
      <c r="L4173" s="42">
        <v>10</v>
      </c>
      <c r="M4173" s="43">
        <v>46198</v>
      </c>
      <c r="N4173" s="1" t="e">
        <f>VLOOKUP(B4173,MICRO!E:L,8,0)</f>
        <v>#N/A</v>
      </c>
    </row>
    <row r="4174" spans="1:14" ht="20.25" x14ac:dyDescent="0.25">
      <c r="A4174" s="1">
        <v>5</v>
      </c>
      <c r="B4174" s="159">
        <v>3363</v>
      </c>
      <c r="C4174" s="1" t="s">
        <v>2061</v>
      </c>
      <c r="D4174" s="1"/>
      <c r="E4174" s="1" t="s">
        <v>3624</v>
      </c>
      <c r="F4174" s="1" t="s">
        <v>3488</v>
      </c>
      <c r="G4174" s="1">
        <v>1</v>
      </c>
      <c r="H4174" s="1" t="s">
        <v>19</v>
      </c>
      <c r="I4174" s="1" t="s">
        <v>1300</v>
      </c>
      <c r="J4174" s="1">
        <v>10.4</v>
      </c>
      <c r="K4174" s="1">
        <v>10.4</v>
      </c>
      <c r="L4174" s="42">
        <v>10</v>
      </c>
      <c r="M4174" s="43">
        <v>46198</v>
      </c>
      <c r="N4174" s="1" t="e">
        <f>VLOOKUP(B4174,MICRO!E:L,8,0)</f>
        <v>#N/A</v>
      </c>
    </row>
    <row r="4175" spans="1:14" ht="20.25" x14ac:dyDescent="0.25">
      <c r="A4175" s="1">
        <v>6</v>
      </c>
      <c r="B4175" s="159">
        <v>3364</v>
      </c>
      <c r="C4175" s="1" t="s">
        <v>2061</v>
      </c>
      <c r="D4175" s="1"/>
      <c r="E4175" s="1" t="s">
        <v>3625</v>
      </c>
      <c r="F4175" s="1" t="s">
        <v>3415</v>
      </c>
      <c r="G4175" s="1">
        <v>4</v>
      </c>
      <c r="H4175" s="1" t="s">
        <v>19</v>
      </c>
      <c r="I4175" s="1" t="s">
        <v>1300</v>
      </c>
      <c r="J4175" s="1">
        <v>0.5</v>
      </c>
      <c r="K4175" s="1">
        <v>2</v>
      </c>
      <c r="L4175" s="42">
        <v>10</v>
      </c>
      <c r="M4175" s="43">
        <v>46198</v>
      </c>
      <c r="N4175" s="1" t="e">
        <f>VLOOKUP(B4175,MICRO!E:L,8,0)</f>
        <v>#N/A</v>
      </c>
    </row>
    <row r="4176" spans="1:14" ht="20.25" x14ac:dyDescent="0.25">
      <c r="A4176" s="1">
        <v>7</v>
      </c>
      <c r="B4176" s="159">
        <v>3365</v>
      </c>
      <c r="C4176" s="1" t="s">
        <v>2061</v>
      </c>
      <c r="D4176" s="1"/>
      <c r="E4176" s="1" t="s">
        <v>3626</v>
      </c>
      <c r="F4176" s="1" t="s">
        <v>3415</v>
      </c>
      <c r="G4176" s="1">
        <v>12</v>
      </c>
      <c r="H4176" s="1" t="s">
        <v>19</v>
      </c>
      <c r="I4176" s="1" t="s">
        <v>1300</v>
      </c>
      <c r="J4176" s="1">
        <v>0.5</v>
      </c>
      <c r="K4176" s="1">
        <v>6</v>
      </c>
      <c r="L4176" s="42">
        <v>10</v>
      </c>
      <c r="M4176" s="43">
        <v>46198</v>
      </c>
      <c r="N4176" s="1" t="e">
        <f>VLOOKUP(B4176,MICRO!E:L,8,0)</f>
        <v>#N/A</v>
      </c>
    </row>
    <row r="4177" spans="1:14" ht="20.25" x14ac:dyDescent="0.25">
      <c r="A4177" s="1">
        <v>8</v>
      </c>
      <c r="B4177" s="159">
        <v>3366</v>
      </c>
      <c r="C4177" s="1" t="s">
        <v>2061</v>
      </c>
      <c r="D4177" s="1"/>
      <c r="E4177" s="1" t="s">
        <v>3627</v>
      </c>
      <c r="F4177" s="1" t="s">
        <v>3415</v>
      </c>
      <c r="G4177" s="1">
        <v>6</v>
      </c>
      <c r="H4177" s="1" t="s">
        <v>19</v>
      </c>
      <c r="I4177" s="1" t="s">
        <v>1300</v>
      </c>
      <c r="J4177" s="1">
        <v>0.4</v>
      </c>
      <c r="K4177" s="1">
        <v>2.4000000000000004</v>
      </c>
      <c r="L4177" s="42">
        <v>10</v>
      </c>
      <c r="M4177" s="43">
        <v>46198</v>
      </c>
      <c r="N4177" s="1" t="e">
        <f>VLOOKUP(B4177,MICRO!E:L,8,0)</f>
        <v>#N/A</v>
      </c>
    </row>
    <row r="4178" spans="1:14" ht="20.25" x14ac:dyDescent="0.25">
      <c r="A4178" s="1">
        <v>9</v>
      </c>
      <c r="B4178" s="159">
        <v>3367</v>
      </c>
      <c r="C4178" s="1" t="s">
        <v>2061</v>
      </c>
      <c r="D4178" s="1"/>
      <c r="E4178" s="1" t="s">
        <v>3628</v>
      </c>
      <c r="F4178" s="1" t="s">
        <v>3415</v>
      </c>
      <c r="G4178" s="1">
        <v>16</v>
      </c>
      <c r="H4178" s="1" t="s">
        <v>19</v>
      </c>
      <c r="I4178" s="1" t="s">
        <v>1300</v>
      </c>
      <c r="J4178" s="1">
        <v>0.4</v>
      </c>
      <c r="K4178" s="1">
        <v>6.4</v>
      </c>
      <c r="L4178" s="42">
        <v>10</v>
      </c>
      <c r="M4178" s="43">
        <v>46198</v>
      </c>
      <c r="N4178" s="1" t="e">
        <f>VLOOKUP(B4178,MICRO!E:L,8,0)</f>
        <v>#N/A</v>
      </c>
    </row>
    <row r="4179" spans="1:14" ht="20.25" x14ac:dyDescent="0.25">
      <c r="A4179" s="1">
        <v>10</v>
      </c>
      <c r="B4179" s="159">
        <v>3368</v>
      </c>
      <c r="C4179" s="1" t="s">
        <v>2061</v>
      </c>
      <c r="D4179" s="1"/>
      <c r="E4179" s="1" t="s">
        <v>3629</v>
      </c>
      <c r="F4179" s="1" t="s">
        <v>3415</v>
      </c>
      <c r="G4179" s="1">
        <v>4</v>
      </c>
      <c r="H4179" s="1" t="s">
        <v>19</v>
      </c>
      <c r="I4179" s="1" t="s">
        <v>1300</v>
      </c>
      <c r="J4179" s="1">
        <v>0.4</v>
      </c>
      <c r="K4179" s="1">
        <v>1.6</v>
      </c>
      <c r="L4179" s="42">
        <v>10</v>
      </c>
      <c r="M4179" s="43">
        <v>46198</v>
      </c>
      <c r="N4179" s="1" t="e">
        <f>VLOOKUP(B4179,MICRO!E:L,8,0)</f>
        <v>#N/A</v>
      </c>
    </row>
    <row r="4180" spans="1:14" ht="20.25" x14ac:dyDescent="0.25">
      <c r="A4180" s="1">
        <v>11</v>
      </c>
      <c r="B4180" s="159">
        <v>3369</v>
      </c>
      <c r="C4180" s="1" t="s">
        <v>2061</v>
      </c>
      <c r="D4180" s="1"/>
      <c r="E4180" s="1" t="s">
        <v>3630</v>
      </c>
      <c r="F4180" s="1" t="s">
        <v>3415</v>
      </c>
      <c r="G4180" s="1">
        <v>12</v>
      </c>
      <c r="H4180" s="1" t="s">
        <v>19</v>
      </c>
      <c r="I4180" s="1" t="s">
        <v>1300</v>
      </c>
      <c r="J4180" s="1">
        <v>0.4</v>
      </c>
      <c r="K4180" s="1">
        <v>4.8000000000000007</v>
      </c>
      <c r="L4180" s="42">
        <v>10</v>
      </c>
      <c r="M4180" s="43">
        <v>46198</v>
      </c>
      <c r="N4180" s="1" t="e">
        <f>VLOOKUP(B4180,MICRO!E:L,8,0)</f>
        <v>#N/A</v>
      </c>
    </row>
    <row r="4181" spans="1:14" ht="20.25" x14ac:dyDescent="0.25">
      <c r="A4181" s="1">
        <v>12</v>
      </c>
      <c r="B4181" s="159">
        <v>3370</v>
      </c>
      <c r="C4181" s="1" t="s">
        <v>2061</v>
      </c>
      <c r="D4181" s="1"/>
      <c r="E4181" s="1" t="s">
        <v>3631</v>
      </c>
      <c r="F4181" s="1" t="s">
        <v>3415</v>
      </c>
      <c r="G4181" s="1">
        <v>4</v>
      </c>
      <c r="H4181" s="1" t="s">
        <v>19</v>
      </c>
      <c r="I4181" s="1" t="s">
        <v>1300</v>
      </c>
      <c r="J4181" s="1">
        <v>0.4</v>
      </c>
      <c r="K4181" s="1">
        <v>1.6</v>
      </c>
      <c r="L4181" s="42">
        <v>10</v>
      </c>
      <c r="M4181" s="43">
        <v>46198</v>
      </c>
      <c r="N4181" s="1" t="e">
        <f>VLOOKUP(B4181,MICRO!E:L,8,0)</f>
        <v>#N/A</v>
      </c>
    </row>
    <row r="4182" spans="1:14" ht="20.25" x14ac:dyDescent="0.25">
      <c r="A4182" s="1">
        <v>13</v>
      </c>
      <c r="B4182" s="159">
        <v>3371</v>
      </c>
      <c r="C4182" s="1" t="s">
        <v>2061</v>
      </c>
      <c r="D4182" s="1"/>
      <c r="E4182" s="1" t="s">
        <v>3632</v>
      </c>
      <c r="F4182" s="1" t="s">
        <v>3415</v>
      </c>
      <c r="G4182" s="1">
        <v>2</v>
      </c>
      <c r="H4182" s="1" t="s">
        <v>19</v>
      </c>
      <c r="I4182" s="1" t="s">
        <v>1300</v>
      </c>
      <c r="J4182" s="1">
        <v>0.6</v>
      </c>
      <c r="K4182" s="1">
        <v>1.2</v>
      </c>
      <c r="L4182" s="42">
        <v>10</v>
      </c>
      <c r="M4182" s="43">
        <v>46198</v>
      </c>
      <c r="N4182" s="1" t="e">
        <f>VLOOKUP(B4182,MICRO!E:L,8,0)</f>
        <v>#N/A</v>
      </c>
    </row>
    <row r="4183" spans="1:14" ht="20.25" x14ac:dyDescent="0.25">
      <c r="A4183" s="1">
        <v>14</v>
      </c>
      <c r="B4183" s="159">
        <v>3330</v>
      </c>
      <c r="C4183" s="1" t="s">
        <v>1901</v>
      </c>
      <c r="D4183" s="1"/>
      <c r="E4183" s="1" t="s">
        <v>3406</v>
      </c>
      <c r="F4183" s="1" t="s">
        <v>3407</v>
      </c>
      <c r="G4183" s="1">
        <v>1</v>
      </c>
      <c r="H4183" s="1" t="s">
        <v>19</v>
      </c>
      <c r="I4183" s="1" t="s">
        <v>1301</v>
      </c>
      <c r="J4183" s="1">
        <v>20.399999999999999</v>
      </c>
      <c r="K4183" s="1">
        <v>20.399999999999999</v>
      </c>
      <c r="L4183" s="42">
        <v>10</v>
      </c>
      <c r="M4183" s="43">
        <v>46198</v>
      </c>
      <c r="N4183" s="1" t="e">
        <f>VLOOKUP(B4183,MICRO!E:L,8,0)</f>
        <v>#N/A</v>
      </c>
    </row>
    <row r="4184" spans="1:14" ht="20.25" x14ac:dyDescent="0.25">
      <c r="A4184" s="1">
        <v>16</v>
      </c>
      <c r="B4184" s="159">
        <v>3153</v>
      </c>
      <c r="C4184" s="1" t="s">
        <v>1376</v>
      </c>
      <c r="D4184" s="1"/>
      <c r="E4184" s="1" t="s">
        <v>3633</v>
      </c>
      <c r="F4184" s="1" t="s">
        <v>3634</v>
      </c>
      <c r="G4184" s="1">
        <v>2</v>
      </c>
      <c r="H4184" s="1" t="s">
        <v>19</v>
      </c>
      <c r="I4184" s="1" t="s">
        <v>1295</v>
      </c>
      <c r="J4184" s="1">
        <v>5.5</v>
      </c>
      <c r="K4184" s="1">
        <v>11</v>
      </c>
      <c r="L4184" s="42">
        <v>10</v>
      </c>
      <c r="M4184" s="43">
        <v>46198</v>
      </c>
      <c r="N4184" s="1" t="e">
        <f>VLOOKUP(B4184,MICRO!E:L,8,0)</f>
        <v>#N/A</v>
      </c>
    </row>
    <row r="4185" spans="1:14" ht="20.25" x14ac:dyDescent="0.25">
      <c r="A4185" s="1">
        <v>17</v>
      </c>
      <c r="B4185" s="159">
        <v>3154</v>
      </c>
      <c r="C4185" s="1" t="s">
        <v>1376</v>
      </c>
      <c r="D4185" s="1"/>
      <c r="E4185" s="1" t="s">
        <v>3635</v>
      </c>
      <c r="F4185" s="1" t="s">
        <v>3636</v>
      </c>
      <c r="G4185" s="1">
        <v>2</v>
      </c>
      <c r="H4185" s="1" t="s">
        <v>19</v>
      </c>
      <c r="I4185" s="1" t="s">
        <v>1295</v>
      </c>
      <c r="J4185" s="1">
        <v>7.3</v>
      </c>
      <c r="K4185" s="1">
        <v>14.6</v>
      </c>
      <c r="L4185" s="42">
        <v>10</v>
      </c>
      <c r="M4185" s="43">
        <v>46198</v>
      </c>
      <c r="N4185" s="1" t="e">
        <f>VLOOKUP(B4185,MICRO!E:L,8,0)</f>
        <v>#N/A</v>
      </c>
    </row>
    <row r="4186" spans="1:14" ht="20.25" x14ac:dyDescent="0.25">
      <c r="A4186" s="1">
        <v>18</v>
      </c>
      <c r="B4186" s="159">
        <v>3157</v>
      </c>
      <c r="C4186" s="1" t="s">
        <v>1376</v>
      </c>
      <c r="D4186" s="1"/>
      <c r="E4186" s="1" t="s">
        <v>3633</v>
      </c>
      <c r="F4186" s="1" t="s">
        <v>3634</v>
      </c>
      <c r="G4186" s="1">
        <v>2</v>
      </c>
      <c r="H4186" s="1" t="s">
        <v>19</v>
      </c>
      <c r="I4186" s="1" t="s">
        <v>1301</v>
      </c>
      <c r="J4186" s="1">
        <v>5.5</v>
      </c>
      <c r="K4186" s="1">
        <v>11</v>
      </c>
      <c r="L4186" s="42">
        <v>10</v>
      </c>
      <c r="M4186" s="43">
        <v>46198</v>
      </c>
      <c r="N4186" s="1" t="e">
        <f>VLOOKUP(B4186,MICRO!E:L,8,0)</f>
        <v>#N/A</v>
      </c>
    </row>
    <row r="4187" spans="1:14" ht="20.25" x14ac:dyDescent="0.25">
      <c r="A4187" s="1">
        <v>19</v>
      </c>
      <c r="B4187" s="159">
        <v>3158</v>
      </c>
      <c r="C4187" s="1" t="s">
        <v>1376</v>
      </c>
      <c r="D4187" s="1"/>
      <c r="E4187" s="1" t="s">
        <v>3635</v>
      </c>
      <c r="F4187" s="1" t="s">
        <v>3636</v>
      </c>
      <c r="G4187" s="1">
        <v>2</v>
      </c>
      <c r="H4187" s="1" t="s">
        <v>19</v>
      </c>
      <c r="I4187" s="1" t="s">
        <v>1301</v>
      </c>
      <c r="J4187" s="1">
        <v>7.3</v>
      </c>
      <c r="K4187" s="1">
        <v>14.6</v>
      </c>
      <c r="L4187" s="42">
        <v>10</v>
      </c>
      <c r="M4187" s="43">
        <v>46198</v>
      </c>
      <c r="N4187" s="1" t="e">
        <f>VLOOKUP(B4187,MICRO!E:L,8,0)</f>
        <v>#N/A</v>
      </c>
    </row>
    <row r="4188" spans="1:14" ht="20.25" x14ac:dyDescent="0.25">
      <c r="A4188" s="1">
        <v>20</v>
      </c>
      <c r="B4188" s="159">
        <v>3341</v>
      </c>
      <c r="C4188" s="1" t="s">
        <v>1908</v>
      </c>
      <c r="D4188" s="1"/>
      <c r="E4188" s="1" t="s">
        <v>3637</v>
      </c>
      <c r="F4188" s="1" t="s">
        <v>3638</v>
      </c>
      <c r="G4188" s="1">
        <v>1</v>
      </c>
      <c r="H4188" s="1" t="s">
        <v>19</v>
      </c>
      <c r="I4188" s="1" t="s">
        <v>1290</v>
      </c>
      <c r="J4188" s="1">
        <v>19</v>
      </c>
      <c r="K4188" s="1">
        <v>19</v>
      </c>
      <c r="L4188" s="42">
        <v>10</v>
      </c>
      <c r="M4188" s="43">
        <v>46198</v>
      </c>
      <c r="N4188" s="1" t="e">
        <f>VLOOKUP(B4188,MICRO!E:L,8,0)</f>
        <v>#N/A</v>
      </c>
    </row>
    <row r="4189" spans="1:14" ht="20.25" x14ac:dyDescent="0.25">
      <c r="A4189" s="1">
        <v>21</v>
      </c>
      <c r="B4189" s="159">
        <v>3336</v>
      </c>
      <c r="C4189" s="1" t="s">
        <v>1902</v>
      </c>
      <c r="D4189" s="1"/>
      <c r="E4189" s="1" t="s">
        <v>3512</v>
      </c>
      <c r="F4189" s="1" t="s">
        <v>3415</v>
      </c>
      <c r="G4189" s="1">
        <v>1</v>
      </c>
      <c r="H4189" s="1" t="s">
        <v>19</v>
      </c>
      <c r="I4189" s="1" t="s">
        <v>1290</v>
      </c>
      <c r="J4189" s="1">
        <v>6.4</v>
      </c>
      <c r="K4189" s="1">
        <v>6.4</v>
      </c>
      <c r="L4189" s="42">
        <v>10</v>
      </c>
      <c r="M4189" s="43">
        <v>46198</v>
      </c>
      <c r="N4189" s="1" t="e">
        <f>VLOOKUP(B4189,MICRO!E:L,8,0)</f>
        <v>#N/A</v>
      </c>
    </row>
    <row r="4190" spans="1:14" ht="20.25" x14ac:dyDescent="0.25">
      <c r="A4190" s="1">
        <v>22</v>
      </c>
      <c r="B4190" s="159">
        <v>3155</v>
      </c>
      <c r="C4190" s="1" t="s">
        <v>1375</v>
      </c>
      <c r="D4190" s="1"/>
      <c r="E4190" s="1" t="s">
        <v>3639</v>
      </c>
      <c r="F4190" s="1" t="s">
        <v>3640</v>
      </c>
      <c r="G4190" s="1">
        <v>2</v>
      </c>
      <c r="H4190" s="1" t="s">
        <v>19</v>
      </c>
      <c r="I4190" s="1" t="s">
        <v>1295</v>
      </c>
      <c r="J4190" s="1">
        <v>6.6</v>
      </c>
      <c r="K4190" s="1">
        <v>13.2</v>
      </c>
      <c r="L4190" s="42">
        <v>10</v>
      </c>
      <c r="M4190" s="43">
        <v>46198</v>
      </c>
      <c r="N4190" s="1" t="e">
        <f>VLOOKUP(B4190,MICRO!E:L,8,0)</f>
        <v>#N/A</v>
      </c>
    </row>
    <row r="4191" spans="1:14" ht="20.25" x14ac:dyDescent="0.25">
      <c r="A4191" s="1">
        <v>24</v>
      </c>
      <c r="B4191" s="159">
        <v>3156</v>
      </c>
      <c r="C4191" s="1" t="s">
        <v>1375</v>
      </c>
      <c r="D4191" s="1"/>
      <c r="E4191" s="1" t="s">
        <v>3641</v>
      </c>
      <c r="F4191" s="1" t="s">
        <v>3642</v>
      </c>
      <c r="G4191" s="1">
        <v>2</v>
      </c>
      <c r="H4191" s="1" t="s">
        <v>19</v>
      </c>
      <c r="I4191" s="1" t="s">
        <v>1295</v>
      </c>
      <c r="J4191" s="1">
        <v>9.4</v>
      </c>
      <c r="K4191" s="1">
        <v>18.8</v>
      </c>
      <c r="L4191" s="42">
        <v>10</v>
      </c>
      <c r="M4191" s="43">
        <v>46198</v>
      </c>
      <c r="N4191" s="1" t="e">
        <f>VLOOKUP(B4191,MICRO!E:L,8,0)</f>
        <v>#N/A</v>
      </c>
    </row>
    <row r="4192" spans="1:14" ht="20.25" x14ac:dyDescent="0.25">
      <c r="A4192" s="1">
        <v>26</v>
      </c>
      <c r="B4192" s="159">
        <v>3159</v>
      </c>
      <c r="C4192" s="1" t="s">
        <v>1375</v>
      </c>
      <c r="D4192" s="1"/>
      <c r="E4192" s="1" t="s">
        <v>3639</v>
      </c>
      <c r="F4192" s="1" t="s">
        <v>3640</v>
      </c>
      <c r="G4192" s="1">
        <v>2</v>
      </c>
      <c r="H4192" s="1" t="s">
        <v>19</v>
      </c>
      <c r="I4192" s="1" t="s">
        <v>1301</v>
      </c>
      <c r="J4192" s="1">
        <v>6.6</v>
      </c>
      <c r="K4192" s="1">
        <v>13.2</v>
      </c>
      <c r="L4192" s="42">
        <v>10</v>
      </c>
      <c r="M4192" s="43">
        <v>46198</v>
      </c>
      <c r="N4192" s="1" t="e">
        <f>VLOOKUP(B4192,MICRO!E:L,8,0)</f>
        <v>#N/A</v>
      </c>
    </row>
    <row r="4193" spans="1:14" ht="20.25" x14ac:dyDescent="0.25">
      <c r="A4193" s="1">
        <v>28</v>
      </c>
      <c r="B4193" s="159">
        <v>3160</v>
      </c>
      <c r="C4193" s="1" t="s">
        <v>1375</v>
      </c>
      <c r="D4193" s="1"/>
      <c r="E4193" s="1" t="s">
        <v>3641</v>
      </c>
      <c r="F4193" s="1" t="s">
        <v>3642</v>
      </c>
      <c r="G4193" s="1">
        <v>2</v>
      </c>
      <c r="H4193" s="1" t="s">
        <v>19</v>
      </c>
      <c r="I4193" s="1" t="s">
        <v>1301</v>
      </c>
      <c r="J4193" s="1">
        <v>9.4</v>
      </c>
      <c r="K4193" s="1">
        <v>18.8</v>
      </c>
      <c r="L4193" s="42">
        <v>10</v>
      </c>
      <c r="M4193" s="43">
        <v>46198</v>
      </c>
      <c r="N4193" s="1" t="e">
        <f>VLOOKUP(B4193,MICRO!E:L,8,0)</f>
        <v>#N/A</v>
      </c>
    </row>
    <row r="4194" spans="1:14" ht="20.25" x14ac:dyDescent="0.25">
      <c r="A4194" s="1">
        <v>2</v>
      </c>
      <c r="B4194" s="159">
        <v>3851</v>
      </c>
      <c r="C4194" s="1" t="s">
        <v>1901</v>
      </c>
      <c r="D4194" s="1"/>
      <c r="E4194" s="1" t="s">
        <v>2996</v>
      </c>
      <c r="F4194" s="1" t="s">
        <v>3408</v>
      </c>
      <c r="G4194" s="1">
        <v>1</v>
      </c>
      <c r="H4194" s="1" t="s">
        <v>19</v>
      </c>
      <c r="I4194" s="1" t="s">
        <v>1301</v>
      </c>
      <c r="J4194" s="1">
        <v>1</v>
      </c>
      <c r="K4194" s="1">
        <v>1</v>
      </c>
      <c r="L4194" s="42">
        <v>7</v>
      </c>
      <c r="M4194" s="43">
        <v>46153</v>
      </c>
      <c r="N4194" s="1" t="e">
        <f>VLOOKUP(B4194,MICRO!E:L,8,0)</f>
        <v>#N/A</v>
      </c>
    </row>
    <row r="4195" spans="1:14" ht="20.25" x14ac:dyDescent="0.25">
      <c r="A4195" s="1">
        <v>4</v>
      </c>
      <c r="B4195" s="159">
        <v>3852</v>
      </c>
      <c r="C4195" s="1" t="s">
        <v>1889</v>
      </c>
      <c r="D4195" s="1"/>
      <c r="E4195" s="1" t="s">
        <v>3406</v>
      </c>
      <c r="F4195" s="1" t="s">
        <v>3407</v>
      </c>
      <c r="G4195" s="1">
        <v>1</v>
      </c>
      <c r="H4195" s="1" t="s">
        <v>19</v>
      </c>
      <c r="I4195" s="1" t="s">
        <v>1301</v>
      </c>
      <c r="J4195" s="1">
        <v>20.399999999999999</v>
      </c>
      <c r="K4195" s="1">
        <v>20.399999999999999</v>
      </c>
      <c r="L4195" s="42">
        <v>7</v>
      </c>
      <c r="M4195" s="43">
        <v>46153</v>
      </c>
      <c r="N4195" s="1" t="e">
        <f>VLOOKUP(B4195,MICRO!E:L,8,0)</f>
        <v>#N/A</v>
      </c>
    </row>
    <row r="4196" spans="1:14" ht="20.25" x14ac:dyDescent="0.25">
      <c r="A4196" s="1">
        <v>5</v>
      </c>
      <c r="B4196" s="159">
        <v>3853</v>
      </c>
      <c r="C4196" s="1" t="s">
        <v>1889</v>
      </c>
      <c r="D4196" s="1"/>
      <c r="E4196" s="1" t="s">
        <v>3406</v>
      </c>
      <c r="F4196" s="1" t="s">
        <v>3411</v>
      </c>
      <c r="G4196" s="1">
        <v>1</v>
      </c>
      <c r="H4196" s="1" t="s">
        <v>19</v>
      </c>
      <c r="I4196" s="1" t="s">
        <v>1301</v>
      </c>
      <c r="J4196" s="1">
        <v>1</v>
      </c>
      <c r="K4196" s="1">
        <v>1</v>
      </c>
      <c r="L4196" s="42">
        <v>7</v>
      </c>
      <c r="M4196" s="43">
        <v>46153</v>
      </c>
      <c r="N4196" s="1" t="e">
        <f>VLOOKUP(B4196,MICRO!E:L,8,0)</f>
        <v>#N/A</v>
      </c>
    </row>
    <row r="4197" spans="1:14" ht="20.25" x14ac:dyDescent="0.25">
      <c r="A4197" s="1">
        <v>9</v>
      </c>
      <c r="B4197" s="159">
        <v>3854</v>
      </c>
      <c r="C4197" s="1" t="s">
        <v>1900</v>
      </c>
      <c r="D4197" s="1"/>
      <c r="E4197" s="1" t="s">
        <v>3406</v>
      </c>
      <c r="F4197" s="1" t="s">
        <v>3407</v>
      </c>
      <c r="G4197" s="1">
        <v>1</v>
      </c>
      <c r="H4197" s="1" t="s">
        <v>19</v>
      </c>
      <c r="I4197" s="1" t="s">
        <v>1301</v>
      </c>
      <c r="J4197" s="1">
        <v>20.399999999999999</v>
      </c>
      <c r="K4197" s="1">
        <v>20.399999999999999</v>
      </c>
      <c r="L4197" s="42">
        <v>7</v>
      </c>
      <c r="M4197" s="43">
        <v>46153</v>
      </c>
      <c r="N4197" s="1" t="e">
        <f>VLOOKUP(B4197,MICRO!E:L,8,0)</f>
        <v>#N/A</v>
      </c>
    </row>
    <row r="4198" spans="1:14" ht="20.25" x14ac:dyDescent="0.25">
      <c r="A4198" s="1">
        <v>10</v>
      </c>
      <c r="B4198" s="159">
        <v>3855</v>
      </c>
      <c r="C4198" s="1" t="s">
        <v>1900</v>
      </c>
      <c r="D4198" s="1"/>
      <c r="E4198" s="1" t="s">
        <v>3406</v>
      </c>
      <c r="F4198" s="1" t="s">
        <v>3411</v>
      </c>
      <c r="G4198" s="1">
        <v>1</v>
      </c>
      <c r="H4198" s="1" t="s">
        <v>19</v>
      </c>
      <c r="I4198" s="1" t="s">
        <v>1301</v>
      </c>
      <c r="J4198" s="1">
        <v>1</v>
      </c>
      <c r="K4198" s="1">
        <v>1</v>
      </c>
      <c r="L4198" s="42">
        <v>7</v>
      </c>
      <c r="M4198" s="43">
        <v>46153</v>
      </c>
      <c r="N4198" s="1" t="e">
        <f>VLOOKUP(B4198,MICRO!E:L,8,0)</f>
        <v>#N/A</v>
      </c>
    </row>
    <row r="4199" spans="1:14" ht="20.25" x14ac:dyDescent="0.25">
      <c r="A4199" s="1">
        <v>15</v>
      </c>
      <c r="B4199" s="159">
        <v>3856</v>
      </c>
      <c r="C4199" s="1" t="s">
        <v>1908</v>
      </c>
      <c r="D4199" s="1"/>
      <c r="E4199" s="1" t="s">
        <v>3406</v>
      </c>
      <c r="F4199" s="1" t="s">
        <v>3407</v>
      </c>
      <c r="G4199" s="1">
        <v>1</v>
      </c>
      <c r="H4199" s="1" t="s">
        <v>19</v>
      </c>
      <c r="I4199" s="1" t="s">
        <v>1290</v>
      </c>
      <c r="J4199" s="1">
        <v>20.399999999999999</v>
      </c>
      <c r="K4199" s="1">
        <v>20.399999999999999</v>
      </c>
      <c r="L4199" s="42">
        <v>7</v>
      </c>
      <c r="M4199" s="43">
        <v>46153</v>
      </c>
      <c r="N4199" s="1" t="e">
        <f>VLOOKUP(B4199,MICRO!E:L,8,0)</f>
        <v>#N/A</v>
      </c>
    </row>
    <row r="4200" spans="1:14" ht="20.25" x14ac:dyDescent="0.25">
      <c r="A4200" s="1">
        <v>16</v>
      </c>
      <c r="B4200" s="159">
        <v>3857</v>
      </c>
      <c r="C4200" s="1" t="s">
        <v>1908</v>
      </c>
      <c r="D4200" s="1"/>
      <c r="E4200" s="1" t="s">
        <v>3406</v>
      </c>
      <c r="F4200" s="1" t="s">
        <v>3411</v>
      </c>
      <c r="G4200" s="1">
        <v>1</v>
      </c>
      <c r="H4200" s="1" t="s">
        <v>19</v>
      </c>
      <c r="I4200" s="1" t="s">
        <v>1290</v>
      </c>
      <c r="J4200" s="1">
        <v>1</v>
      </c>
      <c r="K4200" s="1">
        <v>1</v>
      </c>
      <c r="L4200" s="42">
        <v>7</v>
      </c>
      <c r="M4200" s="43">
        <v>46153</v>
      </c>
      <c r="N4200" s="1" t="e">
        <f>VLOOKUP(B4200,MICRO!E:L,8,0)</f>
        <v>#N/A</v>
      </c>
    </row>
    <row r="4201" spans="1:14" ht="20.25" x14ac:dyDescent="0.25">
      <c r="A4201" s="1">
        <v>27</v>
      </c>
      <c r="B4201" s="159">
        <v>3858</v>
      </c>
      <c r="C4201" s="1" t="s">
        <v>3438</v>
      </c>
      <c r="D4201" s="1"/>
      <c r="E4201" s="1"/>
      <c r="F4201" s="1" t="s">
        <v>3439</v>
      </c>
      <c r="G4201" s="1">
        <v>1</v>
      </c>
      <c r="H4201" s="1" t="s">
        <v>19</v>
      </c>
      <c r="I4201" s="1" t="s">
        <v>1295</v>
      </c>
      <c r="J4201" s="1">
        <v>340</v>
      </c>
      <c r="K4201" s="1">
        <v>340</v>
      </c>
      <c r="L4201" s="42">
        <v>7</v>
      </c>
      <c r="M4201" s="43">
        <v>46153</v>
      </c>
      <c r="N4201" s="1" t="e">
        <f>VLOOKUP(B4201,MICRO!E:L,8,0)</f>
        <v>#N/A</v>
      </c>
    </row>
    <row r="4202" spans="1:14" ht="20.25" x14ac:dyDescent="0.25">
      <c r="A4202" s="1">
        <v>28</v>
      </c>
      <c r="B4202" s="159">
        <v>3859</v>
      </c>
      <c r="C4202" s="1" t="s">
        <v>3438</v>
      </c>
      <c r="D4202" s="1"/>
      <c r="E4202" s="1"/>
      <c r="F4202" s="1" t="s">
        <v>3440</v>
      </c>
      <c r="G4202" s="1">
        <v>1</v>
      </c>
      <c r="H4202" s="1" t="s">
        <v>19</v>
      </c>
      <c r="I4202" s="1" t="s">
        <v>1301</v>
      </c>
      <c r="J4202" s="1">
        <v>460</v>
      </c>
      <c r="K4202" s="1">
        <v>460</v>
      </c>
      <c r="L4202" s="42">
        <v>7</v>
      </c>
      <c r="M4202" s="43">
        <v>46153</v>
      </c>
      <c r="N4202" s="1" t="e">
        <f>VLOOKUP(B4202,MICRO!E:L,8,0)</f>
        <v>#N/A</v>
      </c>
    </row>
    <row r="4203" spans="1:14" ht="20.25" x14ac:dyDescent="0.25">
      <c r="A4203" s="1">
        <v>29</v>
      </c>
      <c r="B4203" s="159">
        <v>3860</v>
      </c>
      <c r="C4203" s="1" t="s">
        <v>3438</v>
      </c>
      <c r="D4203" s="1"/>
      <c r="E4203" s="1"/>
      <c r="F4203" s="1" t="s">
        <v>3441</v>
      </c>
      <c r="G4203" s="1">
        <v>1</v>
      </c>
      <c r="H4203" s="1" t="s">
        <v>19</v>
      </c>
      <c r="I4203" s="1" t="s">
        <v>3442</v>
      </c>
      <c r="J4203" s="1">
        <v>340</v>
      </c>
      <c r="K4203" s="1">
        <v>340</v>
      </c>
      <c r="L4203" s="42">
        <v>7</v>
      </c>
      <c r="M4203" s="43">
        <v>46153</v>
      </c>
      <c r="N4203" s="1" t="e">
        <f>VLOOKUP(B4203,MICRO!E:L,8,0)</f>
        <v>#N/A</v>
      </c>
    </row>
    <row r="4204" spans="1:14" ht="20.25" x14ac:dyDescent="0.25">
      <c r="A4204" s="1">
        <v>30</v>
      </c>
      <c r="B4204" s="159">
        <v>3861</v>
      </c>
      <c r="C4204" s="1" t="s">
        <v>3438</v>
      </c>
      <c r="D4204" s="1"/>
      <c r="E4204" s="1"/>
      <c r="F4204" s="1" t="s">
        <v>3443</v>
      </c>
      <c r="G4204" s="1">
        <v>1</v>
      </c>
      <c r="H4204" s="1" t="s">
        <v>19</v>
      </c>
      <c r="I4204" s="1" t="s">
        <v>1300</v>
      </c>
      <c r="J4204" s="1">
        <v>460</v>
      </c>
      <c r="K4204" s="1">
        <v>460</v>
      </c>
      <c r="L4204" s="42">
        <v>7</v>
      </c>
      <c r="M4204" s="43">
        <v>46153</v>
      </c>
      <c r="N4204" s="1" t="e">
        <f>VLOOKUP(B4204,MICRO!E:L,8,0)</f>
        <v>#N/A</v>
      </c>
    </row>
    <row r="4205" spans="1:14" ht="20.25" x14ac:dyDescent="0.25">
      <c r="A4205" s="1">
        <v>31</v>
      </c>
      <c r="B4205" s="159">
        <v>3862</v>
      </c>
      <c r="C4205" s="1" t="s">
        <v>1900</v>
      </c>
      <c r="D4205" s="1"/>
      <c r="E4205" s="1" t="s">
        <v>3444</v>
      </c>
      <c r="F4205" s="1" t="s">
        <v>3445</v>
      </c>
      <c r="G4205" s="1">
        <v>2</v>
      </c>
      <c r="H4205" s="1" t="s">
        <v>19</v>
      </c>
      <c r="I4205" s="1" t="s">
        <v>1301</v>
      </c>
      <c r="J4205" s="1">
        <v>4.8</v>
      </c>
      <c r="K4205" s="1">
        <v>9.6</v>
      </c>
      <c r="L4205" s="42">
        <v>7</v>
      </c>
      <c r="M4205" s="43">
        <v>46153</v>
      </c>
      <c r="N4205" s="1" t="e">
        <f>VLOOKUP(B4205,MICRO!E:L,8,0)</f>
        <v>#N/A</v>
      </c>
    </row>
    <row r="4206" spans="1:14" ht="20.25" x14ac:dyDescent="0.25">
      <c r="A4206" s="1">
        <v>32</v>
      </c>
      <c r="B4206" s="159">
        <v>3863</v>
      </c>
      <c r="C4206" s="1" t="s">
        <v>1900</v>
      </c>
      <c r="D4206" s="1"/>
      <c r="E4206" s="1" t="s">
        <v>3446</v>
      </c>
      <c r="F4206" s="1" t="s">
        <v>3447</v>
      </c>
      <c r="G4206" s="1">
        <v>1</v>
      </c>
      <c r="H4206" s="1" t="s">
        <v>19</v>
      </c>
      <c r="I4206" s="1" t="s">
        <v>1301</v>
      </c>
      <c r="J4206" s="1">
        <v>3.9</v>
      </c>
      <c r="K4206" s="1">
        <v>3.9</v>
      </c>
      <c r="L4206" s="42">
        <v>7</v>
      </c>
      <c r="M4206" s="43">
        <v>46153</v>
      </c>
      <c r="N4206" s="1" t="e">
        <f>VLOOKUP(B4206,MICRO!E:L,8,0)</f>
        <v>#N/A</v>
      </c>
    </row>
    <row r="4207" spans="1:14" ht="20.25" x14ac:dyDescent="0.25">
      <c r="A4207" s="1">
        <v>33</v>
      </c>
      <c r="B4207" s="159">
        <v>3864</v>
      </c>
      <c r="C4207" s="1" t="s">
        <v>1900</v>
      </c>
      <c r="D4207" s="1"/>
      <c r="E4207" s="1" t="s">
        <v>3448</v>
      </c>
      <c r="F4207" s="1" t="s">
        <v>3449</v>
      </c>
      <c r="G4207" s="1">
        <v>1</v>
      </c>
      <c r="H4207" s="1" t="s">
        <v>19</v>
      </c>
      <c r="I4207" s="1" t="s">
        <v>1301</v>
      </c>
      <c r="J4207" s="1">
        <v>4.4000000000000004</v>
      </c>
      <c r="K4207" s="1">
        <v>4.4000000000000004</v>
      </c>
      <c r="L4207" s="42">
        <v>7</v>
      </c>
      <c r="M4207" s="43">
        <v>46153</v>
      </c>
      <c r="N4207" s="1" t="e">
        <f>VLOOKUP(B4207,MICRO!E:L,8,0)</f>
        <v>#N/A</v>
      </c>
    </row>
    <row r="4208" spans="1:14" ht="20.25" x14ac:dyDescent="0.25">
      <c r="A4208" s="1">
        <v>34</v>
      </c>
      <c r="B4208" s="159">
        <v>3865</v>
      </c>
      <c r="C4208" s="1" t="s">
        <v>1900</v>
      </c>
      <c r="D4208" s="1"/>
      <c r="E4208" s="1" t="s">
        <v>3450</v>
      </c>
      <c r="F4208" s="1" t="s">
        <v>3451</v>
      </c>
      <c r="G4208" s="1">
        <v>1</v>
      </c>
      <c r="H4208" s="1" t="s">
        <v>19</v>
      </c>
      <c r="I4208" s="1" t="s">
        <v>1301</v>
      </c>
      <c r="J4208" s="1">
        <v>2.1</v>
      </c>
      <c r="K4208" s="1">
        <v>2.1</v>
      </c>
      <c r="L4208" s="42">
        <v>7</v>
      </c>
      <c r="M4208" s="43">
        <v>46153</v>
      </c>
      <c r="N4208" s="1" t="e">
        <f>VLOOKUP(B4208,MICRO!E:L,8,0)</f>
        <v>#N/A</v>
      </c>
    </row>
    <row r="4209" spans="1:14" ht="20.25" x14ac:dyDescent="0.25">
      <c r="A4209" s="1">
        <v>35</v>
      </c>
      <c r="B4209" s="159">
        <v>3866</v>
      </c>
      <c r="C4209" s="1" t="s">
        <v>1900</v>
      </c>
      <c r="D4209" s="1"/>
      <c r="E4209" s="1" t="s">
        <v>3452</v>
      </c>
      <c r="F4209" s="1" t="s">
        <v>3453</v>
      </c>
      <c r="G4209" s="1">
        <v>2</v>
      </c>
      <c r="H4209" s="1" t="s">
        <v>19</v>
      </c>
      <c r="I4209" s="1" t="s">
        <v>1301</v>
      </c>
      <c r="J4209" s="1">
        <v>1.9</v>
      </c>
      <c r="K4209" s="1">
        <v>3.8</v>
      </c>
      <c r="L4209" s="42">
        <v>7</v>
      </c>
      <c r="M4209" s="43">
        <v>46153</v>
      </c>
      <c r="N4209" s="1" t="e">
        <f>VLOOKUP(B4209,MICRO!E:L,8,0)</f>
        <v>#N/A</v>
      </c>
    </row>
    <row r="4210" spans="1:14" ht="20.25" x14ac:dyDescent="0.25">
      <c r="A4210" s="1">
        <v>36</v>
      </c>
      <c r="B4210" s="159">
        <v>3867</v>
      </c>
      <c r="C4210" s="1" t="s">
        <v>1900</v>
      </c>
      <c r="D4210" s="1"/>
      <c r="E4210" s="1" t="s">
        <v>3454</v>
      </c>
      <c r="F4210" s="1" t="s">
        <v>3455</v>
      </c>
      <c r="G4210" s="1">
        <v>1</v>
      </c>
      <c r="H4210" s="1" t="s">
        <v>19</v>
      </c>
      <c r="I4210" s="1" t="s">
        <v>1301</v>
      </c>
      <c r="J4210" s="1">
        <v>1.8</v>
      </c>
      <c r="K4210" s="1">
        <v>1.8</v>
      </c>
      <c r="L4210" s="42">
        <v>7</v>
      </c>
      <c r="M4210" s="43">
        <v>46153</v>
      </c>
      <c r="N4210" s="1" t="e">
        <f>VLOOKUP(B4210,MICRO!E:L,8,0)</f>
        <v>#N/A</v>
      </c>
    </row>
    <row r="4211" spans="1:14" ht="20.25" x14ac:dyDescent="0.25">
      <c r="A4211" s="1">
        <v>37</v>
      </c>
      <c r="B4211" s="159">
        <v>3868</v>
      </c>
      <c r="C4211" s="1" t="s">
        <v>1900</v>
      </c>
      <c r="D4211" s="1"/>
      <c r="E4211" s="1" t="s">
        <v>3456</v>
      </c>
      <c r="F4211" s="1" t="s">
        <v>3457</v>
      </c>
      <c r="G4211" s="1">
        <v>2</v>
      </c>
      <c r="H4211" s="1" t="s">
        <v>19</v>
      </c>
      <c r="I4211" s="1" t="s">
        <v>1301</v>
      </c>
      <c r="J4211" s="1">
        <v>8.6</v>
      </c>
      <c r="K4211" s="1">
        <v>17.2</v>
      </c>
      <c r="L4211" s="42">
        <v>7</v>
      </c>
      <c r="M4211" s="43">
        <v>46153</v>
      </c>
      <c r="N4211" s="1" t="e">
        <f>VLOOKUP(B4211,MICRO!E:L,8,0)</f>
        <v>#N/A</v>
      </c>
    </row>
    <row r="4212" spans="1:14" ht="20.25" x14ac:dyDescent="0.25">
      <c r="A4212" s="1">
        <v>38</v>
      </c>
      <c r="B4212" s="159">
        <v>3869</v>
      </c>
      <c r="C4212" s="1" t="s">
        <v>1900</v>
      </c>
      <c r="D4212" s="1"/>
      <c r="E4212" s="1" t="s">
        <v>3458</v>
      </c>
      <c r="F4212" s="1" t="s">
        <v>3459</v>
      </c>
      <c r="G4212" s="1">
        <v>1</v>
      </c>
      <c r="H4212" s="1" t="s">
        <v>19</v>
      </c>
      <c r="I4212" s="1" t="s">
        <v>1301</v>
      </c>
      <c r="J4212" s="1">
        <v>9.9</v>
      </c>
      <c r="K4212" s="1">
        <v>9.9</v>
      </c>
      <c r="L4212" s="42">
        <v>7</v>
      </c>
      <c r="M4212" s="43">
        <v>46153</v>
      </c>
      <c r="N4212" s="1" t="e">
        <f>VLOOKUP(B4212,MICRO!E:L,8,0)</f>
        <v>#N/A</v>
      </c>
    </row>
    <row r="4213" spans="1:14" ht="20.25" x14ac:dyDescent="0.25">
      <c r="A4213" s="1">
        <v>39</v>
      </c>
      <c r="B4213" s="159">
        <v>3870</v>
      </c>
      <c r="C4213" s="1" t="s">
        <v>1900</v>
      </c>
      <c r="D4213" s="1"/>
      <c r="E4213" s="1" t="s">
        <v>3460</v>
      </c>
      <c r="F4213" s="1" t="s">
        <v>3461</v>
      </c>
      <c r="G4213" s="1">
        <v>1</v>
      </c>
      <c r="H4213" s="1" t="s">
        <v>19</v>
      </c>
      <c r="I4213" s="1" t="s">
        <v>1301</v>
      </c>
      <c r="J4213" s="1">
        <v>9.3000000000000007</v>
      </c>
      <c r="K4213" s="1">
        <v>9.3000000000000007</v>
      </c>
      <c r="L4213" s="42">
        <v>7</v>
      </c>
      <c r="M4213" s="43">
        <v>46153</v>
      </c>
      <c r="N4213" s="1" t="e">
        <f>VLOOKUP(B4213,MICRO!E:L,8,0)</f>
        <v>#N/A</v>
      </c>
    </row>
    <row r="4214" spans="1:14" ht="20.25" x14ac:dyDescent="0.25">
      <c r="A4214" s="1">
        <v>40</v>
      </c>
      <c r="B4214" s="159">
        <v>3871</v>
      </c>
      <c r="C4214" s="1" t="s">
        <v>1900</v>
      </c>
      <c r="D4214" s="1"/>
      <c r="E4214" s="1" t="s">
        <v>3462</v>
      </c>
      <c r="F4214" s="1" t="s">
        <v>3463</v>
      </c>
      <c r="G4214" s="1">
        <v>2</v>
      </c>
      <c r="H4214" s="1" t="s">
        <v>19</v>
      </c>
      <c r="I4214" s="1" t="s">
        <v>1301</v>
      </c>
      <c r="J4214" s="1">
        <v>1</v>
      </c>
      <c r="K4214" s="1">
        <v>2</v>
      </c>
      <c r="L4214" s="42">
        <v>7</v>
      </c>
      <c r="M4214" s="43">
        <v>46153</v>
      </c>
      <c r="N4214" s="1" t="e">
        <f>VLOOKUP(B4214,MICRO!E:L,8,0)</f>
        <v>#N/A</v>
      </c>
    </row>
    <row r="4215" spans="1:14" ht="20.25" x14ac:dyDescent="0.25">
      <c r="A4215" s="1">
        <v>41</v>
      </c>
      <c r="B4215" s="159">
        <v>3872</v>
      </c>
      <c r="C4215" s="1" t="s">
        <v>1900</v>
      </c>
      <c r="D4215" s="1"/>
      <c r="E4215" s="1" t="s">
        <v>3464</v>
      </c>
      <c r="F4215" s="1" t="s">
        <v>3465</v>
      </c>
      <c r="G4215" s="1">
        <v>1</v>
      </c>
      <c r="H4215" s="1" t="s">
        <v>19</v>
      </c>
      <c r="I4215" s="1" t="s">
        <v>1301</v>
      </c>
      <c r="J4215" s="1">
        <v>1.1000000000000001</v>
      </c>
      <c r="K4215" s="1">
        <v>1.1000000000000001</v>
      </c>
      <c r="L4215" s="42">
        <v>7</v>
      </c>
      <c r="M4215" s="43">
        <v>46153</v>
      </c>
      <c r="N4215" s="1" t="e">
        <f>VLOOKUP(B4215,MICRO!E:L,8,0)</f>
        <v>#N/A</v>
      </c>
    </row>
    <row r="4216" spans="1:14" ht="20.25" x14ac:dyDescent="0.25">
      <c r="A4216" s="1">
        <v>11</v>
      </c>
      <c r="B4216" s="159">
        <v>3873</v>
      </c>
      <c r="C4216" s="1" t="s">
        <v>2622</v>
      </c>
      <c r="D4216" s="1"/>
      <c r="E4216" s="1" t="s">
        <v>3491</v>
      </c>
      <c r="F4216" s="1" t="s">
        <v>3492</v>
      </c>
      <c r="G4216" s="1">
        <v>1</v>
      </c>
      <c r="H4216" s="1" t="s">
        <v>19</v>
      </c>
      <c r="I4216" s="1" t="s">
        <v>2622</v>
      </c>
      <c r="J4216" s="1">
        <v>17</v>
      </c>
      <c r="K4216" s="1">
        <v>17</v>
      </c>
      <c r="L4216" s="42">
        <v>8</v>
      </c>
      <c r="M4216" s="43">
        <v>46175</v>
      </c>
      <c r="N4216" s="1" t="e">
        <f>VLOOKUP(B4216,MICRO!E:L,8,0)</f>
        <v>#N/A</v>
      </c>
    </row>
    <row r="4217" spans="1:14" ht="20.25" x14ac:dyDescent="0.25">
      <c r="A4217" s="1">
        <v>12</v>
      </c>
      <c r="B4217" s="159">
        <v>3874</v>
      </c>
      <c r="C4217" s="1" t="s">
        <v>2622</v>
      </c>
      <c r="D4217" s="1"/>
      <c r="E4217" s="1" t="s">
        <v>3493</v>
      </c>
      <c r="F4217" s="1" t="s">
        <v>3492</v>
      </c>
      <c r="G4217" s="1">
        <v>2</v>
      </c>
      <c r="H4217" s="1" t="s">
        <v>19</v>
      </c>
      <c r="I4217" s="1" t="s">
        <v>2622</v>
      </c>
      <c r="J4217" s="1">
        <v>16.2</v>
      </c>
      <c r="K4217" s="1">
        <v>32.4</v>
      </c>
      <c r="L4217" s="42">
        <v>8</v>
      </c>
      <c r="M4217" s="43">
        <v>46175</v>
      </c>
      <c r="N4217" s="1" t="e">
        <f>VLOOKUP(B4217,MICRO!E:L,8,0)</f>
        <v>#N/A</v>
      </c>
    </row>
    <row r="4218" spans="1:14" ht="20.25" x14ac:dyDescent="0.25">
      <c r="A4218" s="1">
        <v>13</v>
      </c>
      <c r="B4218" s="159">
        <v>3875</v>
      </c>
      <c r="C4218" s="1" t="s">
        <v>2622</v>
      </c>
      <c r="D4218" s="1"/>
      <c r="E4218" s="1" t="s">
        <v>3494</v>
      </c>
      <c r="F4218" s="1" t="s">
        <v>3492</v>
      </c>
      <c r="G4218" s="1">
        <v>4</v>
      </c>
      <c r="H4218" s="1" t="s">
        <v>19</v>
      </c>
      <c r="I4218" s="1" t="s">
        <v>2622</v>
      </c>
      <c r="J4218" s="1">
        <v>16.399999999999999</v>
      </c>
      <c r="K4218" s="1">
        <v>65.599999999999994</v>
      </c>
      <c r="L4218" s="42">
        <v>8</v>
      </c>
      <c r="M4218" s="43">
        <v>46175</v>
      </c>
      <c r="N4218" s="1" t="e">
        <f>VLOOKUP(B4218,MICRO!E:L,8,0)</f>
        <v>#N/A</v>
      </c>
    </row>
    <row r="4219" spans="1:14" ht="20.25" x14ac:dyDescent="0.25">
      <c r="A4219" s="1">
        <v>14</v>
      </c>
      <c r="B4219" s="159">
        <v>3876</v>
      </c>
      <c r="C4219" s="1" t="s">
        <v>2622</v>
      </c>
      <c r="D4219" s="1"/>
      <c r="E4219" s="1" t="s">
        <v>3495</v>
      </c>
      <c r="F4219" s="1" t="s">
        <v>3492</v>
      </c>
      <c r="G4219" s="1">
        <v>16</v>
      </c>
      <c r="H4219" s="1" t="s">
        <v>19</v>
      </c>
      <c r="I4219" s="1" t="s">
        <v>2622</v>
      </c>
      <c r="J4219" s="1">
        <v>14.8</v>
      </c>
      <c r="K4219" s="1">
        <v>236.8</v>
      </c>
      <c r="L4219" s="42">
        <v>8</v>
      </c>
      <c r="M4219" s="43">
        <v>46175</v>
      </c>
      <c r="N4219" s="1" t="e">
        <f>VLOOKUP(B4219,MICRO!E:L,8,0)</f>
        <v>#N/A</v>
      </c>
    </row>
    <row r="4220" spans="1:14" ht="20.25" x14ac:dyDescent="0.25">
      <c r="A4220" s="1">
        <v>24</v>
      </c>
      <c r="B4220" s="159">
        <v>3877</v>
      </c>
      <c r="C4220" s="1" t="s">
        <v>3507</v>
      </c>
      <c r="D4220" s="1"/>
      <c r="E4220" s="1" t="s">
        <v>3508</v>
      </c>
      <c r="F4220" s="1" t="s">
        <v>3509</v>
      </c>
      <c r="G4220" s="1">
        <v>1</v>
      </c>
      <c r="H4220" s="1" t="s">
        <v>19</v>
      </c>
      <c r="I4220" s="1" t="s">
        <v>3507</v>
      </c>
      <c r="J4220" s="1">
        <v>27.3</v>
      </c>
      <c r="K4220" s="1">
        <v>27.3</v>
      </c>
      <c r="L4220" s="42">
        <v>8</v>
      </c>
      <c r="M4220" s="43">
        <v>46175</v>
      </c>
      <c r="N4220" s="1" t="e">
        <f>VLOOKUP(B4220,MICRO!E:L,8,0)</f>
        <v>#N/A</v>
      </c>
    </row>
    <row r="4221" spans="1:14" ht="20.25" x14ac:dyDescent="0.25">
      <c r="A4221" s="1">
        <v>25</v>
      </c>
      <c r="B4221" s="159">
        <v>3878</v>
      </c>
      <c r="C4221" s="1" t="s">
        <v>3507</v>
      </c>
      <c r="D4221" s="1"/>
      <c r="E4221" s="1" t="s">
        <v>3510</v>
      </c>
      <c r="F4221" s="1" t="s">
        <v>3511</v>
      </c>
      <c r="G4221" s="1">
        <v>1</v>
      </c>
      <c r="H4221" s="1" t="s">
        <v>19</v>
      </c>
      <c r="I4221" s="1" t="s">
        <v>3507</v>
      </c>
      <c r="J4221" s="1">
        <v>23</v>
      </c>
      <c r="K4221" s="1">
        <v>23</v>
      </c>
      <c r="L4221" s="42">
        <v>8</v>
      </c>
      <c r="M4221" s="43">
        <v>46175</v>
      </c>
      <c r="N4221" s="1" t="e">
        <f>VLOOKUP(B4221,MICRO!E:L,8,0)</f>
        <v>#N/A</v>
      </c>
    </row>
    <row r="4222" spans="1:14" ht="20.25" x14ac:dyDescent="0.25">
      <c r="A4222" s="1">
        <v>27</v>
      </c>
      <c r="B4222" s="159">
        <v>3879</v>
      </c>
      <c r="C4222" s="1" t="s">
        <v>3513</v>
      </c>
      <c r="D4222" s="1"/>
      <c r="E4222" s="1" t="s">
        <v>3514</v>
      </c>
      <c r="F4222" s="1" t="s">
        <v>3515</v>
      </c>
      <c r="G4222" s="1">
        <v>1</v>
      </c>
      <c r="H4222" s="1" t="s">
        <v>19</v>
      </c>
      <c r="I4222" s="1" t="s">
        <v>3513</v>
      </c>
      <c r="J4222" s="1">
        <v>34.6</v>
      </c>
      <c r="K4222" s="1">
        <v>34.6</v>
      </c>
      <c r="L4222" s="42">
        <v>8</v>
      </c>
      <c r="M4222" s="43">
        <v>46175</v>
      </c>
      <c r="N4222" s="1" t="e">
        <f>VLOOKUP(B4222,MICRO!E:L,8,0)</f>
        <v>#N/A</v>
      </c>
    </row>
    <row r="4223" spans="1:14" ht="20.25" x14ac:dyDescent="0.25">
      <c r="A4223" s="1">
        <v>28</v>
      </c>
      <c r="B4223" s="159">
        <v>3880</v>
      </c>
      <c r="C4223" s="1" t="s">
        <v>3513</v>
      </c>
      <c r="D4223" s="1"/>
      <c r="E4223" s="1" t="s">
        <v>3516</v>
      </c>
      <c r="F4223" s="1" t="s">
        <v>3517</v>
      </c>
      <c r="G4223" s="1">
        <v>1</v>
      </c>
      <c r="H4223" s="1" t="s">
        <v>19</v>
      </c>
      <c r="I4223" s="1" t="s">
        <v>3513</v>
      </c>
      <c r="J4223" s="1">
        <v>8</v>
      </c>
      <c r="K4223" s="1">
        <v>8</v>
      </c>
      <c r="L4223" s="42">
        <v>8</v>
      </c>
      <c r="M4223" s="43">
        <v>46175</v>
      </c>
      <c r="N4223" s="1" t="e">
        <f>VLOOKUP(B4223,MICRO!E:L,8,0)</f>
        <v>#N/A</v>
      </c>
    </row>
    <row r="4224" spans="1:14" ht="20.25" x14ac:dyDescent="0.25">
      <c r="A4224" s="1">
        <v>29</v>
      </c>
      <c r="B4224" s="159">
        <v>3881</v>
      </c>
      <c r="C4224" s="1" t="s">
        <v>3513</v>
      </c>
      <c r="D4224" s="1"/>
      <c r="E4224" s="1" t="s">
        <v>3518</v>
      </c>
      <c r="F4224" s="1" t="s">
        <v>3519</v>
      </c>
      <c r="G4224" s="1">
        <v>1</v>
      </c>
      <c r="H4224" s="1" t="s">
        <v>19</v>
      </c>
      <c r="I4224" s="1" t="s">
        <v>3513</v>
      </c>
      <c r="J4224" s="1">
        <v>31.6</v>
      </c>
      <c r="K4224" s="1">
        <v>31.6</v>
      </c>
      <c r="L4224" s="42">
        <v>8</v>
      </c>
      <c r="M4224" s="43">
        <v>46175</v>
      </c>
      <c r="N4224" s="1" t="e">
        <f>VLOOKUP(B4224,MICRO!E:L,8,0)</f>
        <v>#N/A</v>
      </c>
    </row>
    <row r="4225" spans="1:14" ht="20.25" x14ac:dyDescent="0.25">
      <c r="A4225" s="1">
        <v>30</v>
      </c>
      <c r="B4225" s="159">
        <v>3882</v>
      </c>
      <c r="C4225" s="1" t="s">
        <v>3520</v>
      </c>
      <c r="D4225" s="1"/>
      <c r="E4225" s="1" t="s">
        <v>3521</v>
      </c>
      <c r="F4225" s="1" t="s">
        <v>3519</v>
      </c>
      <c r="G4225" s="1">
        <v>1</v>
      </c>
      <c r="H4225" s="1" t="s">
        <v>19</v>
      </c>
      <c r="I4225" s="1" t="s">
        <v>3520</v>
      </c>
      <c r="J4225" s="1">
        <v>41.1</v>
      </c>
      <c r="K4225" s="1">
        <v>41.1</v>
      </c>
      <c r="L4225" s="42">
        <v>8</v>
      </c>
      <c r="M4225" s="43">
        <v>46175</v>
      </c>
      <c r="N4225" s="1" t="e">
        <f>VLOOKUP(B4225,MICRO!E:L,8,0)</f>
        <v>#N/A</v>
      </c>
    </row>
    <row r="4226" spans="1:14" ht="20.25" x14ac:dyDescent="0.25">
      <c r="A4226" s="1">
        <v>31</v>
      </c>
      <c r="B4226" s="159">
        <v>3883</v>
      </c>
      <c r="C4226" s="1" t="s">
        <v>3520</v>
      </c>
      <c r="D4226" s="1"/>
      <c r="E4226" s="1" t="s">
        <v>3522</v>
      </c>
      <c r="F4226" s="1" t="s">
        <v>3523</v>
      </c>
      <c r="G4226" s="1">
        <v>1</v>
      </c>
      <c r="H4226" s="1" t="s">
        <v>19</v>
      </c>
      <c r="I4226" s="1" t="s">
        <v>3520</v>
      </c>
      <c r="J4226" s="1">
        <v>16.2</v>
      </c>
      <c r="K4226" s="1">
        <v>16.2</v>
      </c>
      <c r="L4226" s="42">
        <v>8</v>
      </c>
      <c r="M4226" s="43">
        <v>46175</v>
      </c>
      <c r="N4226" s="1" t="e">
        <f>VLOOKUP(B4226,MICRO!E:L,8,0)</f>
        <v>#N/A</v>
      </c>
    </row>
    <row r="4227" spans="1:14" ht="20.25" x14ac:dyDescent="0.25">
      <c r="A4227" s="1">
        <v>32</v>
      </c>
      <c r="B4227" s="159">
        <v>3884</v>
      </c>
      <c r="C4227" s="1" t="s">
        <v>3520</v>
      </c>
      <c r="D4227" s="1"/>
      <c r="E4227" s="1" t="s">
        <v>3524</v>
      </c>
      <c r="F4227" s="1" t="s">
        <v>3523</v>
      </c>
      <c r="G4227" s="1">
        <v>1</v>
      </c>
      <c r="H4227" s="1" t="s">
        <v>19</v>
      </c>
      <c r="I4227" s="1" t="s">
        <v>3520</v>
      </c>
      <c r="J4227" s="1">
        <v>10.4</v>
      </c>
      <c r="K4227" s="1">
        <v>10.4</v>
      </c>
      <c r="L4227" s="42">
        <v>8</v>
      </c>
      <c r="M4227" s="43">
        <v>46175</v>
      </c>
      <c r="N4227" s="1" t="e">
        <f>VLOOKUP(B4227,MICRO!E:L,8,0)</f>
        <v>#N/A</v>
      </c>
    </row>
    <row r="4228" spans="1:14" ht="20.25" x14ac:dyDescent="0.25">
      <c r="A4228" s="1">
        <v>33</v>
      </c>
      <c r="B4228" s="159">
        <v>3885</v>
      </c>
      <c r="C4228" s="1" t="s">
        <v>3525</v>
      </c>
      <c r="D4228" s="1"/>
      <c r="E4228" s="1" t="s">
        <v>3526</v>
      </c>
      <c r="F4228" s="1" t="s">
        <v>3527</v>
      </c>
      <c r="G4228" s="1">
        <v>1</v>
      </c>
      <c r="H4228" s="1" t="s">
        <v>19</v>
      </c>
      <c r="I4228" s="1" t="s">
        <v>3525</v>
      </c>
      <c r="J4228" s="1">
        <v>35.700000000000003</v>
      </c>
      <c r="K4228" s="1">
        <v>35.700000000000003</v>
      </c>
      <c r="L4228" s="42">
        <v>8</v>
      </c>
      <c r="M4228" s="43">
        <v>46175</v>
      </c>
      <c r="N4228" s="1" t="e">
        <f>VLOOKUP(B4228,MICRO!E:L,8,0)</f>
        <v>#N/A</v>
      </c>
    </row>
    <row r="4229" spans="1:14" ht="20.25" x14ac:dyDescent="0.25">
      <c r="A4229" s="1">
        <v>34</v>
      </c>
      <c r="B4229" s="159">
        <v>3886</v>
      </c>
      <c r="C4229" s="1" t="s">
        <v>3528</v>
      </c>
      <c r="D4229" s="1"/>
      <c r="E4229" s="1" t="s">
        <v>3529</v>
      </c>
      <c r="F4229" s="1" t="s">
        <v>3523</v>
      </c>
      <c r="G4229" s="1">
        <v>1</v>
      </c>
      <c r="H4229" s="1" t="s">
        <v>19</v>
      </c>
      <c r="I4229" s="1" t="s">
        <v>3528</v>
      </c>
      <c r="J4229" s="1">
        <v>16.2</v>
      </c>
      <c r="K4229" s="1">
        <v>16.2</v>
      </c>
      <c r="L4229" s="42">
        <v>8</v>
      </c>
      <c r="M4229" s="43">
        <v>46175</v>
      </c>
      <c r="N4229" s="1" t="e">
        <f>VLOOKUP(B4229,MICRO!E:L,8,0)</f>
        <v>#N/A</v>
      </c>
    </row>
    <row r="4230" spans="1:14" ht="20.25" x14ac:dyDescent="0.25">
      <c r="A4230" s="1">
        <v>35</v>
      </c>
      <c r="B4230" s="159">
        <v>3887</v>
      </c>
      <c r="C4230" s="1" t="s">
        <v>3528</v>
      </c>
      <c r="D4230" s="1"/>
      <c r="E4230" s="1" t="s">
        <v>3530</v>
      </c>
      <c r="F4230" s="1" t="s">
        <v>3523</v>
      </c>
      <c r="G4230" s="1">
        <v>1</v>
      </c>
      <c r="H4230" s="1" t="s">
        <v>19</v>
      </c>
      <c r="I4230" s="1" t="s">
        <v>3528</v>
      </c>
      <c r="J4230" s="1">
        <v>10.4</v>
      </c>
      <c r="K4230" s="1">
        <v>10.4</v>
      </c>
      <c r="L4230" s="42">
        <v>8</v>
      </c>
      <c r="M4230" s="43">
        <v>46175</v>
      </c>
      <c r="N4230" s="1" t="e">
        <f>VLOOKUP(B4230,MICRO!E:L,8,0)</f>
        <v>#N/A</v>
      </c>
    </row>
    <row r="4231" spans="1:14" ht="20.25" x14ac:dyDescent="0.25">
      <c r="A4231" s="1">
        <v>36</v>
      </c>
      <c r="B4231" s="159">
        <v>3888</v>
      </c>
      <c r="C4231" s="1" t="s">
        <v>3531</v>
      </c>
      <c r="D4231" s="1"/>
      <c r="E4231" s="1" t="s">
        <v>3532</v>
      </c>
      <c r="F4231" s="1" t="s">
        <v>3533</v>
      </c>
      <c r="G4231" s="1">
        <v>1</v>
      </c>
      <c r="H4231" s="1" t="s">
        <v>19</v>
      </c>
      <c r="I4231" s="1" t="s">
        <v>3531</v>
      </c>
      <c r="J4231" s="1">
        <v>12.8</v>
      </c>
      <c r="K4231" s="1">
        <v>12.8</v>
      </c>
      <c r="L4231" s="42">
        <v>8</v>
      </c>
      <c r="M4231" s="43">
        <v>46175</v>
      </c>
      <c r="N4231" s="1" t="e">
        <f>VLOOKUP(B4231,MICRO!E:L,8,0)</f>
        <v>#N/A</v>
      </c>
    </row>
    <row r="4232" spans="1:14" ht="20.25" x14ac:dyDescent="0.25">
      <c r="A4232" s="1">
        <v>37</v>
      </c>
      <c r="B4232" s="159">
        <v>3889</v>
      </c>
      <c r="C4232" s="1" t="s">
        <v>3531</v>
      </c>
      <c r="D4232" s="1"/>
      <c r="E4232" s="1" t="s">
        <v>3534</v>
      </c>
      <c r="F4232" s="1" t="s">
        <v>3535</v>
      </c>
      <c r="G4232" s="1">
        <v>1</v>
      </c>
      <c r="H4232" s="1" t="s">
        <v>19</v>
      </c>
      <c r="I4232" s="1" t="s">
        <v>3531</v>
      </c>
      <c r="J4232" s="1">
        <v>9.9</v>
      </c>
      <c r="K4232" s="1">
        <v>9.9</v>
      </c>
      <c r="L4232" s="42">
        <v>8</v>
      </c>
      <c r="M4232" s="43">
        <v>46175</v>
      </c>
      <c r="N4232" s="1" t="e">
        <f>VLOOKUP(B4232,MICRO!E:L,8,0)</f>
        <v>#N/A</v>
      </c>
    </row>
    <row r="4233" spans="1:14" ht="20.25" x14ac:dyDescent="0.25">
      <c r="A4233" s="1">
        <v>38</v>
      </c>
      <c r="B4233" s="159">
        <v>3890</v>
      </c>
      <c r="C4233" s="1" t="s">
        <v>3531</v>
      </c>
      <c r="D4233" s="1"/>
      <c r="E4233" s="1" t="s">
        <v>3536</v>
      </c>
      <c r="F4233" s="1" t="s">
        <v>3537</v>
      </c>
      <c r="G4233" s="1">
        <v>1</v>
      </c>
      <c r="H4233" s="1" t="s">
        <v>19</v>
      </c>
      <c r="I4233" s="1" t="s">
        <v>3531</v>
      </c>
      <c r="J4233" s="1">
        <v>8.6999999999999993</v>
      </c>
      <c r="K4233" s="1">
        <v>8.6999999999999993</v>
      </c>
      <c r="L4233" s="42">
        <v>8</v>
      </c>
      <c r="M4233" s="43">
        <v>46175</v>
      </c>
      <c r="N4233" s="1" t="e">
        <f>VLOOKUP(B4233,MICRO!E:L,8,0)</f>
        <v>#N/A</v>
      </c>
    </row>
    <row r="4234" spans="1:14" ht="20.25" x14ac:dyDescent="0.25">
      <c r="A4234" s="1">
        <v>39</v>
      </c>
      <c r="B4234" s="159">
        <v>3891</v>
      </c>
      <c r="C4234" s="1" t="s">
        <v>3531</v>
      </c>
      <c r="D4234" s="1"/>
      <c r="E4234" s="1" t="s">
        <v>3538</v>
      </c>
      <c r="F4234" s="1" t="s">
        <v>3535</v>
      </c>
      <c r="G4234" s="1">
        <v>1</v>
      </c>
      <c r="H4234" s="1" t="s">
        <v>19</v>
      </c>
      <c r="I4234" s="1" t="s">
        <v>3531</v>
      </c>
      <c r="J4234" s="1">
        <v>5.2</v>
      </c>
      <c r="K4234" s="1">
        <v>5.2</v>
      </c>
      <c r="L4234" s="42">
        <v>8</v>
      </c>
      <c r="M4234" s="43">
        <v>46175</v>
      </c>
      <c r="N4234" s="1" t="e">
        <f>VLOOKUP(B4234,MICRO!E:L,8,0)</f>
        <v>#N/A</v>
      </c>
    </row>
    <row r="4235" spans="1:14" ht="20.25" x14ac:dyDescent="0.25">
      <c r="A4235" s="1">
        <v>40</v>
      </c>
      <c r="B4235" s="159">
        <v>3892</v>
      </c>
      <c r="C4235" s="1" t="s">
        <v>3531</v>
      </c>
      <c r="D4235" s="1"/>
      <c r="E4235" s="1" t="s">
        <v>3539</v>
      </c>
      <c r="F4235" s="1" t="s">
        <v>3535</v>
      </c>
      <c r="G4235" s="1">
        <v>1</v>
      </c>
      <c r="H4235" s="1" t="s">
        <v>19</v>
      </c>
      <c r="I4235" s="1" t="s">
        <v>3531</v>
      </c>
      <c r="J4235" s="1">
        <v>10.6</v>
      </c>
      <c r="K4235" s="1">
        <v>10.6</v>
      </c>
      <c r="L4235" s="42">
        <v>8</v>
      </c>
      <c r="M4235" s="43">
        <v>46175</v>
      </c>
      <c r="N4235" s="1" t="e">
        <f>VLOOKUP(B4235,MICRO!E:L,8,0)</f>
        <v>#N/A</v>
      </c>
    </row>
    <row r="4236" spans="1:14" ht="20.25" x14ac:dyDescent="0.25">
      <c r="A4236" s="1">
        <v>41</v>
      </c>
      <c r="B4236" s="159">
        <v>3893</v>
      </c>
      <c r="C4236" s="1" t="s">
        <v>3507</v>
      </c>
      <c r="D4236" s="1"/>
      <c r="E4236" s="1" t="s">
        <v>3540</v>
      </c>
      <c r="F4236" s="1" t="s">
        <v>3523</v>
      </c>
      <c r="G4236" s="1">
        <v>1</v>
      </c>
      <c r="H4236" s="1" t="s">
        <v>19</v>
      </c>
      <c r="I4236" s="1" t="s">
        <v>3507</v>
      </c>
      <c r="J4236" s="1">
        <v>12.8</v>
      </c>
      <c r="K4236" s="1">
        <v>12.8</v>
      </c>
      <c r="L4236" s="42">
        <v>8</v>
      </c>
      <c r="M4236" s="43">
        <v>46175</v>
      </c>
      <c r="N4236" s="1" t="e">
        <f>VLOOKUP(B4236,MICRO!E:L,8,0)</f>
        <v>#N/A</v>
      </c>
    </row>
    <row r="4237" spans="1:14" ht="20.25" x14ac:dyDescent="0.25">
      <c r="A4237" s="1">
        <v>55</v>
      </c>
      <c r="B4237" s="159">
        <v>3894</v>
      </c>
      <c r="C4237" s="1" t="s">
        <v>2622</v>
      </c>
      <c r="D4237" s="1"/>
      <c r="E4237" s="1" t="s">
        <v>3554</v>
      </c>
      <c r="F4237" s="1" t="s">
        <v>3492</v>
      </c>
      <c r="G4237" s="1">
        <v>2</v>
      </c>
      <c r="H4237" s="1" t="s">
        <v>19</v>
      </c>
      <c r="I4237" s="1" t="s">
        <v>2622</v>
      </c>
      <c r="J4237" s="1">
        <v>6.1</v>
      </c>
      <c r="K4237" s="1">
        <v>12.2</v>
      </c>
      <c r="L4237" s="42">
        <v>8</v>
      </c>
      <c r="M4237" s="43">
        <v>46175</v>
      </c>
      <c r="N4237" s="1" t="e">
        <f>VLOOKUP(B4237,MICRO!E:L,8,0)</f>
        <v>#N/A</v>
      </c>
    </row>
    <row r="4238" spans="1:14" ht="20.25" x14ac:dyDescent="0.25">
      <c r="A4238" s="1">
        <v>19</v>
      </c>
      <c r="B4238" s="159">
        <v>3895</v>
      </c>
      <c r="C4238" s="1" t="s">
        <v>3555</v>
      </c>
      <c r="D4238" s="1" t="s">
        <v>3556</v>
      </c>
      <c r="E4238" s="1" t="s">
        <v>3557</v>
      </c>
      <c r="F4238" s="1" t="s">
        <v>3558</v>
      </c>
      <c r="G4238" s="1">
        <v>64</v>
      </c>
      <c r="H4238" s="1" t="s">
        <v>19</v>
      </c>
      <c r="I4238" s="1" t="s">
        <v>1295</v>
      </c>
      <c r="J4238" s="1">
        <v>0.3</v>
      </c>
      <c r="K4238" s="1">
        <v>19.2</v>
      </c>
      <c r="L4238" s="42">
        <v>9</v>
      </c>
      <c r="M4238" s="43">
        <v>46174</v>
      </c>
      <c r="N4238" s="1" t="e">
        <f>VLOOKUP(B4238,MICRO!E:L,8,0)</f>
        <v>#N/A</v>
      </c>
    </row>
    <row r="4239" spans="1:14" ht="20.25" x14ac:dyDescent="0.25">
      <c r="A4239" s="1">
        <v>20</v>
      </c>
      <c r="B4239" s="159">
        <v>3896</v>
      </c>
      <c r="C4239" s="1" t="s">
        <v>3559</v>
      </c>
      <c r="D4239" s="1" t="s">
        <v>3560</v>
      </c>
      <c r="E4239" s="1" t="s">
        <v>3557</v>
      </c>
      <c r="F4239" s="1" t="s">
        <v>3558</v>
      </c>
      <c r="G4239" s="1">
        <v>140</v>
      </c>
      <c r="H4239" s="1" t="s">
        <v>19</v>
      </c>
      <c r="I4239" s="1" t="s">
        <v>1301</v>
      </c>
      <c r="J4239" s="1">
        <v>0.3</v>
      </c>
      <c r="K4239" s="1">
        <v>42</v>
      </c>
      <c r="L4239" s="42">
        <v>9</v>
      </c>
      <c r="M4239" s="43">
        <v>46174</v>
      </c>
      <c r="N4239" s="1" t="e">
        <f>VLOOKUP(B4239,MICRO!E:L,8,0)</f>
        <v>#N/A</v>
      </c>
    </row>
    <row r="4240" spans="1:14" ht="20.25" x14ac:dyDescent="0.25">
      <c r="A4240" s="1">
        <v>21</v>
      </c>
      <c r="B4240" s="159">
        <v>3897</v>
      </c>
      <c r="C4240" s="1" t="s">
        <v>3520</v>
      </c>
      <c r="D4240" s="1"/>
      <c r="E4240" s="1" t="s">
        <v>1107</v>
      </c>
      <c r="F4240" s="1" t="s">
        <v>3561</v>
      </c>
      <c r="G4240" s="1">
        <v>1</v>
      </c>
      <c r="H4240" s="1" t="s">
        <v>19</v>
      </c>
      <c r="I4240" s="1" t="s">
        <v>1301</v>
      </c>
      <c r="J4240" s="1">
        <v>0.7</v>
      </c>
      <c r="K4240" s="1">
        <v>0.7</v>
      </c>
      <c r="L4240" s="42">
        <v>9</v>
      </c>
      <c r="M4240" s="43">
        <v>46174</v>
      </c>
      <c r="N4240" s="1" t="e">
        <f>VLOOKUP(B4240,MICRO!E:L,8,0)</f>
        <v>#N/A</v>
      </c>
    </row>
    <row r="4241" spans="1:14" ht="20.25" x14ac:dyDescent="0.25">
      <c r="A4241" s="1">
        <v>22</v>
      </c>
      <c r="B4241" s="159">
        <v>3898</v>
      </c>
      <c r="C4241" s="1" t="s">
        <v>3520</v>
      </c>
      <c r="D4241" s="1"/>
      <c r="E4241" s="1" t="s">
        <v>1108</v>
      </c>
      <c r="F4241" s="1" t="s">
        <v>3562</v>
      </c>
      <c r="G4241" s="1">
        <v>1</v>
      </c>
      <c r="H4241" s="1">
        <v>0.6</v>
      </c>
      <c r="I4241" s="1" t="s">
        <v>1301</v>
      </c>
      <c r="J4241" s="1">
        <v>0.6</v>
      </c>
      <c r="K4241" s="1">
        <v>0.6</v>
      </c>
      <c r="L4241" s="42">
        <v>9</v>
      </c>
      <c r="M4241" s="43">
        <v>46174</v>
      </c>
      <c r="N4241" s="1" t="e">
        <f>VLOOKUP(B4241,MICRO!E:L,8,0)</f>
        <v>#N/A</v>
      </c>
    </row>
    <row r="4242" spans="1:14" ht="20.25" x14ac:dyDescent="0.25">
      <c r="A4242" s="1">
        <v>23</v>
      </c>
      <c r="B4242" s="159">
        <v>3899</v>
      </c>
      <c r="C4242" s="1" t="s">
        <v>3520</v>
      </c>
      <c r="D4242" s="1"/>
      <c r="E4242" s="1" t="s">
        <v>1109</v>
      </c>
      <c r="F4242" s="1" t="s">
        <v>3563</v>
      </c>
      <c r="G4242" s="1">
        <v>1</v>
      </c>
      <c r="H4242" s="1" t="s">
        <v>19</v>
      </c>
      <c r="I4242" s="1" t="s">
        <v>1301</v>
      </c>
      <c r="J4242" s="1">
        <v>0.9</v>
      </c>
      <c r="K4242" s="1">
        <v>0.9</v>
      </c>
      <c r="L4242" s="42">
        <v>9</v>
      </c>
      <c r="M4242" s="43">
        <v>46174</v>
      </c>
      <c r="N4242" s="1" t="e">
        <f>VLOOKUP(B4242,MICRO!E:L,8,0)</f>
        <v>#N/A</v>
      </c>
    </row>
    <row r="4243" spans="1:14" ht="20.25" x14ac:dyDescent="0.25">
      <c r="A4243" s="1">
        <v>24</v>
      </c>
      <c r="B4243" s="159">
        <v>3900</v>
      </c>
      <c r="C4243" s="1" t="s">
        <v>3520</v>
      </c>
      <c r="D4243" s="1"/>
      <c r="E4243" s="1" t="s">
        <v>1110</v>
      </c>
      <c r="F4243" s="1" t="s">
        <v>3564</v>
      </c>
      <c r="G4243" s="1">
        <v>1</v>
      </c>
      <c r="H4243" s="1" t="s">
        <v>19</v>
      </c>
      <c r="I4243" s="1" t="s">
        <v>1301</v>
      </c>
      <c r="J4243" s="1">
        <v>0.2</v>
      </c>
      <c r="K4243" s="1">
        <v>0.2</v>
      </c>
      <c r="L4243" s="42">
        <v>9</v>
      </c>
      <c r="M4243" s="43">
        <v>46174</v>
      </c>
      <c r="N4243" s="1" t="e">
        <f>VLOOKUP(B4243,MICRO!E:L,8,0)</f>
        <v>#N/A</v>
      </c>
    </row>
    <row r="4244" spans="1:14" ht="20.25" x14ac:dyDescent="0.25">
      <c r="A4244" s="1">
        <v>25</v>
      </c>
      <c r="B4244" s="159">
        <v>3901</v>
      </c>
      <c r="C4244" s="1" t="s">
        <v>3520</v>
      </c>
      <c r="D4244" s="1"/>
      <c r="E4244" s="1" t="s">
        <v>1111</v>
      </c>
      <c r="F4244" s="1" t="s">
        <v>3565</v>
      </c>
      <c r="G4244" s="1">
        <v>1</v>
      </c>
      <c r="H4244" s="1" t="s">
        <v>19</v>
      </c>
      <c r="I4244" s="1" t="s">
        <v>1301</v>
      </c>
      <c r="J4244" s="1">
        <v>0.6</v>
      </c>
      <c r="K4244" s="1">
        <v>0.6</v>
      </c>
      <c r="L4244" s="42">
        <v>9</v>
      </c>
      <c r="M4244" s="43">
        <v>46174</v>
      </c>
      <c r="N4244" s="1" t="e">
        <f>VLOOKUP(B4244,MICRO!E:L,8,0)</f>
        <v>#N/A</v>
      </c>
    </row>
    <row r="4245" spans="1:14" ht="20.25" x14ac:dyDescent="0.25">
      <c r="A4245" s="1">
        <v>26</v>
      </c>
      <c r="B4245" s="159">
        <v>3902</v>
      </c>
      <c r="C4245" s="1" t="s">
        <v>3520</v>
      </c>
      <c r="D4245" s="1"/>
      <c r="E4245" s="1" t="s">
        <v>1113</v>
      </c>
      <c r="F4245" s="1" t="s">
        <v>3566</v>
      </c>
      <c r="G4245" s="1">
        <v>1</v>
      </c>
      <c r="H4245" s="1" t="s">
        <v>19</v>
      </c>
      <c r="I4245" s="1" t="s">
        <v>1301</v>
      </c>
      <c r="J4245" s="1">
        <v>0.2</v>
      </c>
      <c r="K4245" s="1">
        <v>0.2</v>
      </c>
      <c r="L4245" s="42">
        <v>9</v>
      </c>
      <c r="M4245" s="43">
        <v>46174</v>
      </c>
      <c r="N4245" s="1" t="e">
        <f>VLOOKUP(B4245,MICRO!E:L,8,0)</f>
        <v>#N/A</v>
      </c>
    </row>
    <row r="4246" spans="1:14" ht="20.25" x14ac:dyDescent="0.25">
      <c r="A4246" s="1">
        <v>27</v>
      </c>
      <c r="B4246" s="159">
        <v>3903</v>
      </c>
      <c r="C4246" s="1" t="s">
        <v>3520</v>
      </c>
      <c r="D4246" s="1"/>
      <c r="E4246" s="1" t="s">
        <v>1115</v>
      </c>
      <c r="F4246" s="1" t="s">
        <v>3567</v>
      </c>
      <c r="G4246" s="1">
        <v>1</v>
      </c>
      <c r="H4246" s="1" t="s">
        <v>19</v>
      </c>
      <c r="I4246" s="1" t="s">
        <v>1301</v>
      </c>
      <c r="J4246" s="1">
        <v>0.6</v>
      </c>
      <c r="K4246" s="1">
        <v>0.6</v>
      </c>
      <c r="L4246" s="42">
        <v>9</v>
      </c>
      <c r="M4246" s="43">
        <v>46174</v>
      </c>
      <c r="N4246" s="1" t="e">
        <f>VLOOKUP(B4246,MICRO!E:L,8,0)</f>
        <v>#N/A</v>
      </c>
    </row>
    <row r="4247" spans="1:14" ht="20.25" x14ac:dyDescent="0.25">
      <c r="A4247" s="1">
        <v>28</v>
      </c>
      <c r="B4247" s="159">
        <v>3904</v>
      </c>
      <c r="C4247" s="1" t="s">
        <v>3520</v>
      </c>
      <c r="D4247" s="1"/>
      <c r="E4247" s="1" t="s">
        <v>2435</v>
      </c>
      <c r="F4247" s="1" t="s">
        <v>3568</v>
      </c>
      <c r="G4247" s="1">
        <v>1</v>
      </c>
      <c r="H4247" s="1" t="s">
        <v>19</v>
      </c>
      <c r="I4247" s="1" t="s">
        <v>1301</v>
      </c>
      <c r="J4247" s="1">
        <v>1.3</v>
      </c>
      <c r="K4247" s="1">
        <v>1.3</v>
      </c>
      <c r="L4247" s="42">
        <v>9</v>
      </c>
      <c r="M4247" s="43">
        <v>46174</v>
      </c>
      <c r="N4247" s="1" t="e">
        <f>VLOOKUP(B4247,MICRO!E:L,8,0)</f>
        <v>#N/A</v>
      </c>
    </row>
    <row r="4248" spans="1:14" ht="20.25" x14ac:dyDescent="0.25">
      <c r="A4248" s="1">
        <v>29</v>
      </c>
      <c r="B4248" s="159">
        <v>3905</v>
      </c>
      <c r="C4248" s="1" t="s">
        <v>3520</v>
      </c>
      <c r="D4248" s="1"/>
      <c r="E4248" s="1" t="s">
        <v>11</v>
      </c>
      <c r="F4248" s="1" t="s">
        <v>3569</v>
      </c>
      <c r="G4248" s="1">
        <v>1</v>
      </c>
      <c r="H4248" s="1" t="s">
        <v>19</v>
      </c>
      <c r="I4248" s="1" t="s">
        <v>1301</v>
      </c>
      <c r="J4248" s="1">
        <v>1.5</v>
      </c>
      <c r="K4248" s="1">
        <v>1.5</v>
      </c>
      <c r="L4248" s="42">
        <v>9</v>
      </c>
      <c r="M4248" s="43">
        <v>46174</v>
      </c>
      <c r="N4248" s="1" t="e">
        <f>VLOOKUP(B4248,MICRO!E:L,8,0)</f>
        <v>#N/A</v>
      </c>
    </row>
    <row r="4249" spans="1:14" ht="20.25" x14ac:dyDescent="0.25">
      <c r="A4249" s="1">
        <v>30</v>
      </c>
      <c r="B4249" s="159">
        <v>3906</v>
      </c>
      <c r="C4249" s="1" t="s">
        <v>3520</v>
      </c>
      <c r="D4249" s="1"/>
      <c r="E4249" s="1" t="s">
        <v>2185</v>
      </c>
      <c r="F4249" s="1" t="s">
        <v>3570</v>
      </c>
      <c r="G4249" s="1">
        <v>1</v>
      </c>
      <c r="H4249" s="1" t="s">
        <v>19</v>
      </c>
      <c r="I4249" s="1" t="s">
        <v>1301</v>
      </c>
      <c r="J4249" s="1">
        <v>1.2</v>
      </c>
      <c r="K4249" s="1">
        <v>1.2</v>
      </c>
      <c r="L4249" s="42">
        <v>9</v>
      </c>
      <c r="M4249" s="43">
        <v>46174</v>
      </c>
      <c r="N4249" s="1" t="e">
        <f>VLOOKUP(B4249,MICRO!E:L,8,0)</f>
        <v>#N/A</v>
      </c>
    </row>
    <row r="4250" spans="1:14" ht="20.25" x14ac:dyDescent="0.25">
      <c r="A4250" s="1">
        <v>31</v>
      </c>
      <c r="B4250" s="159">
        <v>3907</v>
      </c>
      <c r="C4250" s="1" t="s">
        <v>3520</v>
      </c>
      <c r="D4250" s="1"/>
      <c r="E4250" s="1" t="s">
        <v>1835</v>
      </c>
      <c r="F4250" s="1" t="s">
        <v>3571</v>
      </c>
      <c r="G4250" s="1">
        <v>1</v>
      </c>
      <c r="H4250" s="1" t="s">
        <v>19</v>
      </c>
      <c r="I4250" s="1" t="s">
        <v>1301</v>
      </c>
      <c r="J4250" s="1">
        <v>0.3</v>
      </c>
      <c r="K4250" s="1">
        <v>0.3</v>
      </c>
      <c r="L4250" s="42">
        <v>9</v>
      </c>
      <c r="M4250" s="43">
        <v>46174</v>
      </c>
      <c r="N4250" s="1" t="e">
        <f>VLOOKUP(B4250,MICRO!E:L,8,0)</f>
        <v>#N/A</v>
      </c>
    </row>
    <row r="4251" spans="1:14" ht="20.25" x14ac:dyDescent="0.25">
      <c r="A4251" s="1">
        <v>32</v>
      </c>
      <c r="B4251" s="159">
        <v>3908</v>
      </c>
      <c r="C4251" s="1" t="s">
        <v>3520</v>
      </c>
      <c r="D4251" s="1"/>
      <c r="E4251" s="1" t="s">
        <v>1837</v>
      </c>
      <c r="F4251" s="1" t="s">
        <v>3572</v>
      </c>
      <c r="G4251" s="1">
        <v>2</v>
      </c>
      <c r="H4251" s="1" t="s">
        <v>19</v>
      </c>
      <c r="I4251" s="1" t="s">
        <v>1301</v>
      </c>
      <c r="J4251" s="1">
        <v>1.6</v>
      </c>
      <c r="K4251" s="1">
        <v>3.2</v>
      </c>
      <c r="L4251" s="42">
        <v>9</v>
      </c>
      <c r="M4251" s="43">
        <v>46174</v>
      </c>
      <c r="N4251" s="1" t="e">
        <f>VLOOKUP(B4251,MICRO!E:L,8,0)</f>
        <v>#N/A</v>
      </c>
    </row>
    <row r="4252" spans="1:14" ht="20.25" x14ac:dyDescent="0.25">
      <c r="A4252" s="1">
        <v>33</v>
      </c>
      <c r="B4252" s="159">
        <v>3909</v>
      </c>
      <c r="C4252" s="1" t="s">
        <v>3520</v>
      </c>
      <c r="D4252" s="1"/>
      <c r="E4252" s="1" t="s">
        <v>2574</v>
      </c>
      <c r="F4252" s="1" t="s">
        <v>3573</v>
      </c>
      <c r="G4252" s="1">
        <v>2</v>
      </c>
      <c r="H4252" s="1" t="s">
        <v>19</v>
      </c>
      <c r="I4252" s="1" t="s">
        <v>1301</v>
      </c>
      <c r="J4252" s="1">
        <v>0.8</v>
      </c>
      <c r="K4252" s="1">
        <v>1.6</v>
      </c>
      <c r="L4252" s="42">
        <v>9</v>
      </c>
      <c r="M4252" s="43">
        <v>46174</v>
      </c>
      <c r="N4252" s="1" t="e">
        <f>VLOOKUP(B4252,MICRO!E:L,8,0)</f>
        <v>#N/A</v>
      </c>
    </row>
    <row r="4253" spans="1:14" ht="20.25" x14ac:dyDescent="0.25">
      <c r="A4253" s="1">
        <v>34</v>
      </c>
      <c r="B4253" s="159">
        <v>3910</v>
      </c>
      <c r="C4253" s="1" t="s">
        <v>3525</v>
      </c>
      <c r="D4253" s="1"/>
      <c r="E4253" s="1" t="s">
        <v>746</v>
      </c>
      <c r="F4253" s="1" t="s">
        <v>3574</v>
      </c>
      <c r="G4253" s="1">
        <v>1</v>
      </c>
      <c r="H4253" s="1" t="s">
        <v>19</v>
      </c>
      <c r="I4253" s="1" t="s">
        <v>1301</v>
      </c>
      <c r="J4253" s="1">
        <v>0.9</v>
      </c>
      <c r="K4253" s="1">
        <v>0.9</v>
      </c>
      <c r="L4253" s="42">
        <v>9</v>
      </c>
      <c r="M4253" s="43">
        <v>46174</v>
      </c>
      <c r="N4253" s="1" t="e">
        <f>VLOOKUP(B4253,MICRO!E:L,8,0)</f>
        <v>#N/A</v>
      </c>
    </row>
    <row r="4254" spans="1:14" ht="20.25" x14ac:dyDescent="0.25">
      <c r="A4254" s="1">
        <v>35</v>
      </c>
      <c r="B4254" s="159">
        <v>3911</v>
      </c>
      <c r="C4254" s="1" t="s">
        <v>3525</v>
      </c>
      <c r="D4254" s="1"/>
      <c r="E4254" s="1" t="s">
        <v>1101</v>
      </c>
      <c r="F4254" s="1" t="s">
        <v>3575</v>
      </c>
      <c r="G4254" s="1">
        <v>1</v>
      </c>
      <c r="H4254" s="1" t="s">
        <v>19</v>
      </c>
      <c r="I4254" s="1" t="s">
        <v>1301</v>
      </c>
      <c r="J4254" s="1">
        <v>1.1000000000000001</v>
      </c>
      <c r="K4254" s="1">
        <v>1.1000000000000001</v>
      </c>
      <c r="L4254" s="42">
        <v>9</v>
      </c>
      <c r="M4254" s="43">
        <v>46174</v>
      </c>
      <c r="N4254" s="1" t="e">
        <f>VLOOKUP(B4254,MICRO!E:L,8,0)</f>
        <v>#N/A</v>
      </c>
    </row>
    <row r="4255" spans="1:14" ht="20.25" x14ac:dyDescent="0.25">
      <c r="A4255" s="1">
        <v>36</v>
      </c>
      <c r="B4255" s="159">
        <v>3912</v>
      </c>
      <c r="C4255" s="1" t="s">
        <v>3525</v>
      </c>
      <c r="D4255" s="1"/>
      <c r="E4255" s="1" t="s">
        <v>100</v>
      </c>
      <c r="F4255" s="1" t="s">
        <v>3576</v>
      </c>
      <c r="G4255" s="1">
        <v>1</v>
      </c>
      <c r="H4255" s="1" t="s">
        <v>19</v>
      </c>
      <c r="I4255" s="1" t="s">
        <v>1301</v>
      </c>
      <c r="J4255" s="1">
        <v>0.4</v>
      </c>
      <c r="K4255" s="1">
        <v>0.4</v>
      </c>
      <c r="L4255" s="42">
        <v>9</v>
      </c>
      <c r="M4255" s="43">
        <v>46174</v>
      </c>
      <c r="N4255" s="1" t="e">
        <f>VLOOKUP(B4255,MICRO!E:L,8,0)</f>
        <v>#N/A</v>
      </c>
    </row>
    <row r="4256" spans="1:14" ht="20.25" x14ac:dyDescent="0.25">
      <c r="A4256" s="1">
        <v>37</v>
      </c>
      <c r="B4256" s="159">
        <v>3913</v>
      </c>
      <c r="C4256" s="1" t="s">
        <v>3525</v>
      </c>
      <c r="D4256" s="1"/>
      <c r="E4256" s="1" t="s">
        <v>173</v>
      </c>
      <c r="F4256" s="1" t="s">
        <v>3577</v>
      </c>
      <c r="G4256" s="1">
        <v>1</v>
      </c>
      <c r="H4256" s="1" t="s">
        <v>19</v>
      </c>
      <c r="I4256" s="1" t="s">
        <v>1301</v>
      </c>
      <c r="J4256" s="1">
        <v>0.7</v>
      </c>
      <c r="K4256" s="1">
        <v>0.7</v>
      </c>
      <c r="L4256" s="42">
        <v>9</v>
      </c>
      <c r="M4256" s="43">
        <v>46174</v>
      </c>
      <c r="N4256" s="1" t="e">
        <f>VLOOKUP(B4256,MICRO!E:L,8,0)</f>
        <v>#N/A</v>
      </c>
    </row>
    <row r="4257" spans="1:14" ht="20.25" x14ac:dyDescent="0.25">
      <c r="A4257" s="1">
        <v>38</v>
      </c>
      <c r="B4257" s="159">
        <v>3914</v>
      </c>
      <c r="C4257" s="1" t="s">
        <v>3525</v>
      </c>
      <c r="D4257" s="1"/>
      <c r="E4257" s="1" t="s">
        <v>461</v>
      </c>
      <c r="F4257" s="1" t="s">
        <v>3578</v>
      </c>
      <c r="G4257" s="1">
        <v>1</v>
      </c>
      <c r="H4257" s="1" t="s">
        <v>19</v>
      </c>
      <c r="I4257" s="1" t="s">
        <v>1301</v>
      </c>
      <c r="J4257" s="1">
        <v>0.4</v>
      </c>
      <c r="K4257" s="1">
        <v>0.4</v>
      </c>
      <c r="L4257" s="42">
        <v>9</v>
      </c>
      <c r="M4257" s="43">
        <v>46174</v>
      </c>
      <c r="N4257" s="1" t="e">
        <f>VLOOKUP(B4257,MICRO!E:L,8,0)</f>
        <v>#N/A</v>
      </c>
    </row>
    <row r="4258" spans="1:14" ht="20.25" x14ac:dyDescent="0.25">
      <c r="A4258" s="1">
        <v>39</v>
      </c>
      <c r="B4258" s="159">
        <v>3915</v>
      </c>
      <c r="C4258" s="1" t="s">
        <v>3525</v>
      </c>
      <c r="D4258" s="1"/>
      <c r="E4258" s="1" t="s">
        <v>464</v>
      </c>
      <c r="F4258" s="1" t="s">
        <v>3579</v>
      </c>
      <c r="G4258" s="1">
        <v>1</v>
      </c>
      <c r="H4258" s="1" t="s">
        <v>19</v>
      </c>
      <c r="I4258" s="1" t="s">
        <v>1301</v>
      </c>
      <c r="J4258" s="1">
        <v>1.5</v>
      </c>
      <c r="K4258" s="1">
        <v>1.5</v>
      </c>
      <c r="L4258" s="42">
        <v>9</v>
      </c>
      <c r="M4258" s="43">
        <v>46174</v>
      </c>
      <c r="N4258" s="1" t="e">
        <f>VLOOKUP(B4258,MICRO!E:L,8,0)</f>
        <v>#N/A</v>
      </c>
    </row>
    <row r="4259" spans="1:14" ht="20.25" x14ac:dyDescent="0.25">
      <c r="A4259" s="1">
        <v>40</v>
      </c>
      <c r="B4259" s="159">
        <v>3916</v>
      </c>
      <c r="C4259" s="1" t="s">
        <v>3525</v>
      </c>
      <c r="D4259" s="1"/>
      <c r="E4259" s="1" t="s">
        <v>1103</v>
      </c>
      <c r="F4259" s="1" t="s">
        <v>3580</v>
      </c>
      <c r="G4259" s="1">
        <v>1</v>
      </c>
      <c r="H4259" s="1" t="s">
        <v>19</v>
      </c>
      <c r="I4259" s="1" t="s">
        <v>1301</v>
      </c>
      <c r="J4259" s="1">
        <v>1.2</v>
      </c>
      <c r="K4259" s="1">
        <v>1.2</v>
      </c>
      <c r="L4259" s="42">
        <v>9</v>
      </c>
      <c r="M4259" s="43">
        <v>46174</v>
      </c>
      <c r="N4259" s="1" t="e">
        <f>VLOOKUP(B4259,MICRO!E:L,8,0)</f>
        <v>#N/A</v>
      </c>
    </row>
    <row r="4260" spans="1:14" ht="20.25" x14ac:dyDescent="0.25">
      <c r="A4260" s="1">
        <v>41</v>
      </c>
      <c r="B4260" s="159">
        <v>3917</v>
      </c>
      <c r="C4260" s="1" t="s">
        <v>3525</v>
      </c>
      <c r="D4260" s="1"/>
      <c r="E4260" s="1" t="s">
        <v>1104</v>
      </c>
      <c r="F4260" s="1" t="s">
        <v>3581</v>
      </c>
      <c r="G4260" s="1">
        <v>1</v>
      </c>
      <c r="H4260" s="1" t="s">
        <v>19</v>
      </c>
      <c r="I4260" s="1" t="s">
        <v>1301</v>
      </c>
      <c r="J4260" s="1">
        <v>3.6</v>
      </c>
      <c r="K4260" s="1">
        <v>3.6</v>
      </c>
      <c r="L4260" s="42">
        <v>9</v>
      </c>
      <c r="M4260" s="43">
        <v>46174</v>
      </c>
      <c r="N4260" s="1" t="e">
        <f>VLOOKUP(B4260,MICRO!E:L,8,0)</f>
        <v>#N/A</v>
      </c>
    </row>
    <row r="4261" spans="1:14" ht="20.25" x14ac:dyDescent="0.25">
      <c r="A4261" s="1">
        <v>42</v>
      </c>
      <c r="B4261" s="159">
        <v>3918</v>
      </c>
      <c r="C4261" s="1" t="s">
        <v>3528</v>
      </c>
      <c r="D4261" s="1"/>
      <c r="E4261" s="1" t="s">
        <v>1107</v>
      </c>
      <c r="F4261" s="1" t="s">
        <v>3582</v>
      </c>
      <c r="G4261" s="1">
        <v>1</v>
      </c>
      <c r="H4261" s="1" t="s">
        <v>19</v>
      </c>
      <c r="I4261" s="1" t="s">
        <v>1301</v>
      </c>
      <c r="J4261" s="1">
        <v>0.7</v>
      </c>
      <c r="K4261" s="1">
        <v>0.7</v>
      </c>
      <c r="L4261" s="42">
        <v>9</v>
      </c>
      <c r="M4261" s="43">
        <v>46174</v>
      </c>
      <c r="N4261" s="1" t="e">
        <f>VLOOKUP(B4261,MICRO!E:L,8,0)</f>
        <v>#N/A</v>
      </c>
    </row>
    <row r="4262" spans="1:14" ht="20.25" x14ac:dyDescent="0.25">
      <c r="A4262" s="1">
        <v>43</v>
      </c>
      <c r="B4262" s="159">
        <v>3919</v>
      </c>
      <c r="C4262" s="1" t="s">
        <v>3528</v>
      </c>
      <c r="D4262" s="1"/>
      <c r="E4262" s="1" t="s">
        <v>1108</v>
      </c>
      <c r="F4262" s="1" t="s">
        <v>3562</v>
      </c>
      <c r="G4262" s="1">
        <v>1</v>
      </c>
      <c r="H4262" s="1" t="s">
        <v>19</v>
      </c>
      <c r="I4262" s="1" t="s">
        <v>1301</v>
      </c>
      <c r="J4262" s="1">
        <v>0.6</v>
      </c>
      <c r="K4262" s="1">
        <v>0.6</v>
      </c>
      <c r="L4262" s="42">
        <v>9</v>
      </c>
      <c r="M4262" s="43">
        <v>46174</v>
      </c>
      <c r="N4262" s="1" t="e">
        <f>VLOOKUP(B4262,MICRO!E:L,8,0)</f>
        <v>#N/A</v>
      </c>
    </row>
    <row r="4263" spans="1:14" ht="20.25" x14ac:dyDescent="0.25">
      <c r="A4263" s="1">
        <v>44</v>
      </c>
      <c r="B4263" s="159">
        <v>3920</v>
      </c>
      <c r="C4263" s="1" t="s">
        <v>3528</v>
      </c>
      <c r="D4263" s="1"/>
      <c r="E4263" s="1" t="s">
        <v>1109</v>
      </c>
      <c r="F4263" s="1" t="s">
        <v>3563</v>
      </c>
      <c r="G4263" s="1">
        <v>1</v>
      </c>
      <c r="H4263" s="1" t="s">
        <v>19</v>
      </c>
      <c r="I4263" s="1" t="s">
        <v>1301</v>
      </c>
      <c r="J4263" s="1">
        <v>0.9</v>
      </c>
      <c r="K4263" s="1">
        <v>0.9</v>
      </c>
      <c r="L4263" s="42">
        <v>9</v>
      </c>
      <c r="M4263" s="43">
        <v>46174</v>
      </c>
      <c r="N4263" s="1" t="e">
        <f>VLOOKUP(B4263,MICRO!E:L,8,0)</f>
        <v>#N/A</v>
      </c>
    </row>
    <row r="4264" spans="1:14" ht="20.25" x14ac:dyDescent="0.25">
      <c r="A4264" s="1">
        <v>45</v>
      </c>
      <c r="B4264" s="159">
        <v>3921</v>
      </c>
      <c r="C4264" s="1" t="s">
        <v>3528</v>
      </c>
      <c r="D4264" s="1"/>
      <c r="E4264" s="1" t="s">
        <v>1110</v>
      </c>
      <c r="F4264" s="1" t="s">
        <v>3564</v>
      </c>
      <c r="G4264" s="1">
        <v>1</v>
      </c>
      <c r="H4264" s="1" t="s">
        <v>19</v>
      </c>
      <c r="I4264" s="1" t="s">
        <v>1301</v>
      </c>
      <c r="J4264" s="1">
        <v>0.2</v>
      </c>
      <c r="K4264" s="1">
        <v>0.2</v>
      </c>
      <c r="L4264" s="42">
        <v>9</v>
      </c>
      <c r="M4264" s="43">
        <v>46174</v>
      </c>
      <c r="N4264" s="1" t="e">
        <f>VLOOKUP(B4264,MICRO!E:L,8,0)</f>
        <v>#N/A</v>
      </c>
    </row>
    <row r="4265" spans="1:14" ht="20.25" x14ac:dyDescent="0.25">
      <c r="A4265" s="1">
        <v>46</v>
      </c>
      <c r="B4265" s="159">
        <v>3922</v>
      </c>
      <c r="C4265" s="1" t="s">
        <v>3528</v>
      </c>
      <c r="D4265" s="1"/>
      <c r="E4265" s="1" t="s">
        <v>1111</v>
      </c>
      <c r="F4265" s="1" t="s">
        <v>3565</v>
      </c>
      <c r="G4265" s="1">
        <v>1</v>
      </c>
      <c r="H4265" s="1" t="s">
        <v>19</v>
      </c>
      <c r="I4265" s="1" t="s">
        <v>1301</v>
      </c>
      <c r="J4265" s="1">
        <v>0.6</v>
      </c>
      <c r="K4265" s="1">
        <v>0.6</v>
      </c>
      <c r="L4265" s="42">
        <v>9</v>
      </c>
      <c r="M4265" s="43">
        <v>46174</v>
      </c>
      <c r="N4265" s="1" t="e">
        <f>VLOOKUP(B4265,MICRO!E:L,8,0)</f>
        <v>#N/A</v>
      </c>
    </row>
    <row r="4266" spans="1:14" ht="20.25" x14ac:dyDescent="0.25">
      <c r="A4266" s="1">
        <v>47</v>
      </c>
      <c r="B4266" s="159">
        <v>3923</v>
      </c>
      <c r="C4266" s="1" t="s">
        <v>3528</v>
      </c>
      <c r="D4266" s="1"/>
      <c r="E4266" s="1" t="s">
        <v>1113</v>
      </c>
      <c r="F4266" s="1" t="s">
        <v>3566</v>
      </c>
      <c r="G4266" s="1">
        <v>1</v>
      </c>
      <c r="H4266" s="1" t="s">
        <v>19</v>
      </c>
      <c r="I4266" s="1" t="s">
        <v>1301</v>
      </c>
      <c r="J4266" s="1">
        <v>0.2</v>
      </c>
      <c r="K4266" s="1">
        <v>0.2</v>
      </c>
      <c r="L4266" s="42">
        <v>9</v>
      </c>
      <c r="M4266" s="43">
        <v>46174</v>
      </c>
      <c r="N4266" s="1" t="e">
        <f>VLOOKUP(B4266,MICRO!E:L,8,0)</f>
        <v>#N/A</v>
      </c>
    </row>
    <row r="4267" spans="1:14" ht="20.25" x14ac:dyDescent="0.25">
      <c r="A4267" s="1">
        <v>48</v>
      </c>
      <c r="B4267" s="159">
        <v>3924</v>
      </c>
      <c r="C4267" s="1" t="s">
        <v>3528</v>
      </c>
      <c r="D4267" s="1"/>
      <c r="E4267" s="1" t="s">
        <v>1115</v>
      </c>
      <c r="F4267" s="1" t="s">
        <v>3567</v>
      </c>
      <c r="G4267" s="1">
        <v>1</v>
      </c>
      <c r="H4267" s="1" t="s">
        <v>19</v>
      </c>
      <c r="I4267" s="1" t="s">
        <v>1301</v>
      </c>
      <c r="J4267" s="1">
        <v>0.6</v>
      </c>
      <c r="K4267" s="1">
        <v>0.6</v>
      </c>
      <c r="L4267" s="42">
        <v>9</v>
      </c>
      <c r="M4267" s="43">
        <v>46174</v>
      </c>
      <c r="N4267" s="1" t="e">
        <f>VLOOKUP(B4267,MICRO!E:L,8,0)</f>
        <v>#N/A</v>
      </c>
    </row>
    <row r="4268" spans="1:14" ht="20.25" x14ac:dyDescent="0.25">
      <c r="A4268" s="1">
        <v>49</v>
      </c>
      <c r="B4268" s="159">
        <v>3925</v>
      </c>
      <c r="C4268" s="1" t="s">
        <v>3528</v>
      </c>
      <c r="D4268" s="1"/>
      <c r="E4268" s="1" t="s">
        <v>213</v>
      </c>
      <c r="F4268" s="1" t="s">
        <v>3576</v>
      </c>
      <c r="G4268" s="1">
        <v>1</v>
      </c>
      <c r="H4268" s="1" t="s">
        <v>19</v>
      </c>
      <c r="I4268" s="1" t="s">
        <v>1301</v>
      </c>
      <c r="J4268" s="1">
        <v>0.4</v>
      </c>
      <c r="K4268" s="1">
        <v>0.4</v>
      </c>
      <c r="L4268" s="42">
        <v>9</v>
      </c>
      <c r="M4268" s="43">
        <v>46174</v>
      </c>
      <c r="N4268" s="1" t="e">
        <f>VLOOKUP(B4268,MICRO!E:L,8,0)</f>
        <v>#N/A</v>
      </c>
    </row>
    <row r="4269" spans="1:14" ht="20.25" x14ac:dyDescent="0.25">
      <c r="A4269" s="1">
        <v>50</v>
      </c>
      <c r="B4269" s="159">
        <v>3926</v>
      </c>
      <c r="C4269" s="1" t="s">
        <v>3528</v>
      </c>
      <c r="D4269" s="1"/>
      <c r="E4269" s="1" t="s">
        <v>1114</v>
      </c>
      <c r="F4269" s="1" t="s">
        <v>3583</v>
      </c>
      <c r="G4269" s="1">
        <v>1</v>
      </c>
      <c r="H4269" s="1" t="s">
        <v>19</v>
      </c>
      <c r="I4269" s="1" t="s">
        <v>1301</v>
      </c>
      <c r="J4269" s="1">
        <v>0.7</v>
      </c>
      <c r="K4269" s="1">
        <v>0.7</v>
      </c>
      <c r="L4269" s="42">
        <v>9</v>
      </c>
      <c r="M4269" s="43">
        <v>46174</v>
      </c>
      <c r="N4269" s="1" t="e">
        <f>VLOOKUP(B4269,MICRO!E:L,8,0)</f>
        <v>#N/A</v>
      </c>
    </row>
    <row r="4270" spans="1:14" ht="20.25" x14ac:dyDescent="0.25">
      <c r="A4270" s="1">
        <v>51</v>
      </c>
      <c r="B4270" s="159">
        <v>3927</v>
      </c>
      <c r="C4270" s="1" t="s">
        <v>3528</v>
      </c>
      <c r="D4270" s="1"/>
      <c r="E4270" s="1" t="s">
        <v>3334</v>
      </c>
      <c r="F4270" s="1" t="s">
        <v>3584</v>
      </c>
      <c r="G4270" s="1">
        <v>1</v>
      </c>
      <c r="H4270" s="1" t="s">
        <v>19</v>
      </c>
      <c r="I4270" s="1" t="s">
        <v>1301</v>
      </c>
      <c r="J4270" s="1">
        <v>0.7</v>
      </c>
      <c r="K4270" s="1">
        <v>0.7</v>
      </c>
      <c r="L4270" s="42">
        <v>9</v>
      </c>
      <c r="M4270" s="43">
        <v>46174</v>
      </c>
      <c r="N4270" s="1" t="e">
        <f>VLOOKUP(B4270,MICRO!E:L,8,0)</f>
        <v>#N/A</v>
      </c>
    </row>
    <row r="4271" spans="1:14" ht="20.25" x14ac:dyDescent="0.25">
      <c r="A4271" s="1">
        <v>52</v>
      </c>
      <c r="B4271" s="159">
        <v>3928</v>
      </c>
      <c r="C4271" s="1" t="s">
        <v>3528</v>
      </c>
      <c r="D4271" s="1"/>
      <c r="E4271" s="1" t="s">
        <v>1106</v>
      </c>
      <c r="F4271" s="1" t="s">
        <v>3585</v>
      </c>
      <c r="G4271" s="1">
        <v>1</v>
      </c>
      <c r="H4271" s="1" t="s">
        <v>19</v>
      </c>
      <c r="I4271" s="1" t="s">
        <v>1301</v>
      </c>
      <c r="J4271" s="1">
        <v>0.9</v>
      </c>
      <c r="K4271" s="1">
        <v>0.9</v>
      </c>
      <c r="L4271" s="42">
        <v>9</v>
      </c>
      <c r="M4271" s="43">
        <v>46174</v>
      </c>
      <c r="N4271" s="1" t="e">
        <f>VLOOKUP(B4271,MICRO!E:L,8,0)</f>
        <v>#N/A</v>
      </c>
    </row>
    <row r="4272" spans="1:14" ht="20.25" x14ac:dyDescent="0.25">
      <c r="A4272" s="1">
        <v>53</v>
      </c>
      <c r="B4272" s="159">
        <v>3929</v>
      </c>
      <c r="C4272" s="1" t="s">
        <v>3528</v>
      </c>
      <c r="D4272" s="1"/>
      <c r="E4272" s="1" t="s">
        <v>1112</v>
      </c>
      <c r="F4272" s="1" t="s">
        <v>3578</v>
      </c>
      <c r="G4272" s="1">
        <v>1</v>
      </c>
      <c r="H4272" s="1" t="s">
        <v>19</v>
      </c>
      <c r="I4272" s="1" t="s">
        <v>1301</v>
      </c>
      <c r="J4272" s="1">
        <v>0.4</v>
      </c>
      <c r="K4272" s="1">
        <v>0.4</v>
      </c>
      <c r="L4272" s="42">
        <v>9</v>
      </c>
      <c r="M4272" s="43">
        <v>46174</v>
      </c>
      <c r="N4272" s="1" t="e">
        <f>VLOOKUP(B4272,MICRO!E:L,8,0)</f>
        <v>#N/A</v>
      </c>
    </row>
    <row r="4273" spans="1:14" ht="20.25" x14ac:dyDescent="0.25">
      <c r="A4273" s="1">
        <v>54</v>
      </c>
      <c r="B4273" s="159">
        <v>3930</v>
      </c>
      <c r="C4273" s="1"/>
      <c r="D4273" s="1" t="s">
        <v>3586</v>
      </c>
      <c r="E4273" s="1"/>
      <c r="F4273" s="1" t="s">
        <v>3587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2">
        <v>9</v>
      </c>
      <c r="M4273" s="43">
        <v>46174</v>
      </c>
      <c r="N4273" s="1" t="e">
        <f>VLOOKUP(B4273,MICRO!E:L,8,0)</f>
        <v>#N/A</v>
      </c>
    </row>
    <row r="4274" spans="1:14" ht="20.25" x14ac:dyDescent="0.25">
      <c r="A4274" s="1">
        <v>55</v>
      </c>
      <c r="B4274" s="159">
        <v>3931</v>
      </c>
      <c r="C4274" s="1"/>
      <c r="D4274" s="1" t="s">
        <v>3586</v>
      </c>
      <c r="E4274" s="1"/>
      <c r="F4274" s="1" t="s">
        <v>3588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2">
        <v>9</v>
      </c>
      <c r="M4274" s="43">
        <v>46174</v>
      </c>
      <c r="N4274" s="1" t="e">
        <f>VLOOKUP(B4274,MICRO!E:L,8,0)</f>
        <v>#N/A</v>
      </c>
    </row>
    <row r="4275" spans="1:14" ht="20.25" x14ac:dyDescent="0.25">
      <c r="A4275" s="1">
        <v>56</v>
      </c>
      <c r="B4275" s="159">
        <v>3932</v>
      </c>
      <c r="C4275" s="1"/>
      <c r="D4275" s="1" t="s">
        <v>3586</v>
      </c>
      <c r="E4275" s="1"/>
      <c r="F4275" s="1" t="s">
        <v>3589</v>
      </c>
      <c r="G4275" s="1">
        <v>4</v>
      </c>
      <c r="H4275" s="1" t="s">
        <v>1253</v>
      </c>
      <c r="I4275" s="1"/>
      <c r="J4275" s="1">
        <v>0.5</v>
      </c>
      <c r="K4275" s="1">
        <v>2</v>
      </c>
      <c r="L4275" s="42">
        <v>9</v>
      </c>
      <c r="M4275" s="43">
        <v>46174</v>
      </c>
      <c r="N4275" s="1" t="e">
        <f>VLOOKUP(B4275,MICRO!E:L,8,0)</f>
        <v>#N/A</v>
      </c>
    </row>
    <row r="4276" spans="1:14" ht="20.25" x14ac:dyDescent="0.25">
      <c r="A4276" s="1">
        <v>57</v>
      </c>
      <c r="B4276" s="159">
        <v>3933</v>
      </c>
      <c r="C4276" s="1"/>
      <c r="D4276" s="1" t="s">
        <v>3586</v>
      </c>
      <c r="E4276" s="1"/>
      <c r="F4276" s="1" t="s">
        <v>3590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2">
        <v>9</v>
      </c>
      <c r="M4276" s="43">
        <v>46174</v>
      </c>
      <c r="N4276" s="1" t="e">
        <f>VLOOKUP(B4276,MICRO!E:L,8,0)</f>
        <v>#N/A</v>
      </c>
    </row>
    <row r="4277" spans="1:14" ht="20.25" x14ac:dyDescent="0.25">
      <c r="A4277" s="1">
        <v>58</v>
      </c>
      <c r="B4277" s="159">
        <v>3934</v>
      </c>
      <c r="C4277" s="1"/>
      <c r="D4277" s="1" t="s">
        <v>3586</v>
      </c>
      <c r="E4277" s="1"/>
      <c r="F4277" s="1" t="s">
        <v>3591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2">
        <v>9</v>
      </c>
      <c r="M4277" s="43">
        <v>46174</v>
      </c>
      <c r="N4277" s="1" t="e">
        <f>VLOOKUP(B4277,MICRO!E:L,8,0)</f>
        <v>#N/A</v>
      </c>
    </row>
    <row r="4278" spans="1:14" ht="20.25" x14ac:dyDescent="0.25">
      <c r="A4278" s="1">
        <v>59</v>
      </c>
      <c r="B4278" s="159">
        <v>3935</v>
      </c>
      <c r="C4278" s="1"/>
      <c r="D4278" s="1" t="s">
        <v>3586</v>
      </c>
      <c r="E4278" s="1"/>
      <c r="F4278" s="1" t="s">
        <v>3592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2">
        <v>9</v>
      </c>
      <c r="M4278" s="43">
        <v>46174</v>
      </c>
      <c r="N4278" s="1" t="e">
        <f>VLOOKUP(B4278,MICRO!E:L,8,0)</f>
        <v>#N/A</v>
      </c>
    </row>
    <row r="4279" spans="1:14" ht="20.25" x14ac:dyDescent="0.25">
      <c r="A4279" s="1">
        <v>60</v>
      </c>
      <c r="B4279" s="159">
        <v>3936</v>
      </c>
      <c r="C4279" s="1"/>
      <c r="D4279" s="1" t="s">
        <v>3586</v>
      </c>
      <c r="E4279" s="1"/>
      <c r="F4279" s="1" t="s">
        <v>3593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2">
        <v>9</v>
      </c>
      <c r="M4279" s="43">
        <v>46174</v>
      </c>
      <c r="N4279" s="1" t="e">
        <f>VLOOKUP(B4279,MICRO!E:L,8,0)</f>
        <v>#N/A</v>
      </c>
    </row>
    <row r="4280" spans="1:14" ht="20.25" x14ac:dyDescent="0.25">
      <c r="A4280" s="1">
        <v>61</v>
      </c>
      <c r="B4280" s="159">
        <v>3937</v>
      </c>
      <c r="C4280" s="1"/>
      <c r="D4280" s="1" t="s">
        <v>3586</v>
      </c>
      <c r="E4280" s="1"/>
      <c r="F4280" s="1" t="s">
        <v>3594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2">
        <v>9</v>
      </c>
      <c r="M4280" s="43">
        <v>46174</v>
      </c>
      <c r="N4280" s="1" t="e">
        <f>VLOOKUP(B4280,MICRO!E:L,8,0)</f>
        <v>#N/A</v>
      </c>
    </row>
    <row r="4281" spans="1:14" ht="20.25" x14ac:dyDescent="0.25">
      <c r="A4281" s="1">
        <v>62</v>
      </c>
      <c r="B4281" s="159">
        <v>3938</v>
      </c>
      <c r="C4281" s="1"/>
      <c r="D4281" s="1" t="s">
        <v>3586</v>
      </c>
      <c r="E4281" s="1"/>
      <c r="F4281" s="1" t="s">
        <v>3595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2">
        <v>9</v>
      </c>
      <c r="M4281" s="43">
        <v>46174</v>
      </c>
      <c r="N4281" s="1" t="e">
        <f>VLOOKUP(B4281,MICRO!E:L,8,0)</f>
        <v>#N/A</v>
      </c>
    </row>
    <row r="4282" spans="1:14" ht="20.25" x14ac:dyDescent="0.25">
      <c r="A4282" s="1">
        <v>63</v>
      </c>
      <c r="B4282" s="159">
        <v>3939</v>
      </c>
      <c r="C4282" s="1" t="s">
        <v>3596</v>
      </c>
      <c r="D4282" s="1" t="s">
        <v>3597</v>
      </c>
      <c r="E4282" s="1"/>
      <c r="F4282" s="1" t="s">
        <v>3598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2">
        <v>9</v>
      </c>
      <c r="M4282" s="43">
        <v>46174</v>
      </c>
      <c r="N4282" s="1" t="e">
        <f>VLOOKUP(B4282,MICRO!E:L,8,0)</f>
        <v>#N/A</v>
      </c>
    </row>
    <row r="4283" spans="1:14" ht="20.25" x14ac:dyDescent="0.25">
      <c r="A4283" s="1">
        <v>64</v>
      </c>
      <c r="B4283" s="159">
        <v>3940</v>
      </c>
      <c r="C4283" s="1" t="s">
        <v>3596</v>
      </c>
      <c r="D4283" s="1" t="s">
        <v>3597</v>
      </c>
      <c r="E4283" s="1"/>
      <c r="F4283" s="1" t="s">
        <v>3599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2">
        <v>9</v>
      </c>
      <c r="M4283" s="43">
        <v>46174</v>
      </c>
      <c r="N4283" s="1" t="e">
        <f>VLOOKUP(B4283,MICRO!E:L,8,0)</f>
        <v>#N/A</v>
      </c>
    </row>
    <row r="4284" spans="1:14" ht="20.25" x14ac:dyDescent="0.25">
      <c r="A4284" s="1">
        <v>65</v>
      </c>
      <c r="B4284" s="159">
        <v>3941</v>
      </c>
      <c r="C4284" s="1" t="s">
        <v>3596</v>
      </c>
      <c r="D4284" s="1" t="s">
        <v>3597</v>
      </c>
      <c r="E4284" s="1"/>
      <c r="F4284" s="1" t="s">
        <v>3600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2">
        <v>9</v>
      </c>
      <c r="M4284" s="43">
        <v>46174</v>
      </c>
      <c r="N4284" s="1" t="e">
        <f>VLOOKUP(B4284,MICRO!E:L,8,0)</f>
        <v>#N/A</v>
      </c>
    </row>
    <row r="4285" spans="1:14" ht="20.25" x14ac:dyDescent="0.25">
      <c r="A4285" s="1">
        <v>66</v>
      </c>
      <c r="B4285" s="159">
        <v>3942</v>
      </c>
      <c r="C4285" s="1" t="s">
        <v>3596</v>
      </c>
      <c r="D4285" s="1" t="s">
        <v>3597</v>
      </c>
      <c r="E4285" s="1"/>
      <c r="F4285" s="1" t="s">
        <v>3601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2">
        <v>9</v>
      </c>
      <c r="M4285" s="43">
        <v>46174</v>
      </c>
      <c r="N4285" s="1" t="e">
        <f>VLOOKUP(B4285,MICRO!E:L,8,0)</f>
        <v>#N/A</v>
      </c>
    </row>
    <row r="4286" spans="1:14" ht="20.25" x14ac:dyDescent="0.25">
      <c r="A4286" s="1">
        <v>67</v>
      </c>
      <c r="B4286" s="159">
        <v>3943</v>
      </c>
      <c r="C4286" s="1" t="s">
        <v>3596</v>
      </c>
      <c r="D4286" s="1" t="s">
        <v>3597</v>
      </c>
      <c r="E4286" s="1"/>
      <c r="F4286" s="1" t="s">
        <v>3602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2">
        <v>9</v>
      </c>
      <c r="M4286" s="43">
        <v>46174</v>
      </c>
      <c r="N4286" s="1" t="e">
        <f>VLOOKUP(B4286,MICRO!E:L,8,0)</f>
        <v>#N/A</v>
      </c>
    </row>
    <row r="4287" spans="1:14" ht="20.25" x14ac:dyDescent="0.25">
      <c r="A4287" s="1">
        <v>68</v>
      </c>
      <c r="B4287" s="159">
        <v>3944</v>
      </c>
      <c r="C4287" s="1" t="s">
        <v>3596</v>
      </c>
      <c r="D4287" s="1" t="s">
        <v>3597</v>
      </c>
      <c r="E4287" s="1"/>
      <c r="F4287" s="1" t="s">
        <v>3603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2">
        <v>9</v>
      </c>
      <c r="M4287" s="43">
        <v>46174</v>
      </c>
      <c r="N4287" s="1" t="e">
        <f>VLOOKUP(B4287,MICRO!E:L,8,0)</f>
        <v>#N/A</v>
      </c>
    </row>
    <row r="4288" spans="1:14" ht="20.25" x14ac:dyDescent="0.25">
      <c r="A4288" s="1">
        <v>69</v>
      </c>
      <c r="B4288" s="159">
        <v>3945</v>
      </c>
      <c r="C4288" s="1" t="s">
        <v>3596</v>
      </c>
      <c r="D4288" s="1" t="s">
        <v>3597</v>
      </c>
      <c r="E4288" s="1"/>
      <c r="F4288" s="1" t="s">
        <v>3604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2">
        <v>9</v>
      </c>
      <c r="M4288" s="43">
        <v>46174</v>
      </c>
      <c r="N4288" s="1" t="e">
        <f>VLOOKUP(B4288,MICRO!E:L,8,0)</f>
        <v>#N/A</v>
      </c>
    </row>
    <row r="4289" spans="1:14" ht="20.25" x14ac:dyDescent="0.25">
      <c r="A4289" s="1">
        <v>70</v>
      </c>
      <c r="B4289" s="159">
        <v>3946</v>
      </c>
      <c r="C4289" s="1" t="s">
        <v>3596</v>
      </c>
      <c r="D4289" s="1" t="s">
        <v>3597</v>
      </c>
      <c r="E4289" s="1"/>
      <c r="F4289" s="1" t="s">
        <v>3605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2">
        <v>9</v>
      </c>
      <c r="M4289" s="43">
        <v>46174</v>
      </c>
      <c r="N4289" s="1" t="e">
        <f>VLOOKUP(B4289,MICRO!E:L,8,0)</f>
        <v>#N/A</v>
      </c>
    </row>
    <row r="4290" spans="1:14" ht="20.25" x14ac:dyDescent="0.25">
      <c r="A4290" s="1">
        <v>71</v>
      </c>
      <c r="B4290" s="159">
        <v>3947</v>
      </c>
      <c r="C4290" s="1" t="s">
        <v>3596</v>
      </c>
      <c r="D4290" s="1" t="s">
        <v>3597</v>
      </c>
      <c r="E4290" s="1"/>
      <c r="F4290" s="1" t="s">
        <v>3606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2">
        <v>9</v>
      </c>
      <c r="M4290" s="43">
        <v>46174</v>
      </c>
      <c r="N4290" s="1" t="e">
        <f>VLOOKUP(B4290,MICRO!E:L,8,0)</f>
        <v>#N/A</v>
      </c>
    </row>
    <row r="4291" spans="1:14" ht="20.25" x14ac:dyDescent="0.25">
      <c r="A4291" s="1">
        <v>72</v>
      </c>
      <c r="B4291" s="159">
        <v>3948</v>
      </c>
      <c r="C4291" s="1" t="s">
        <v>3596</v>
      </c>
      <c r="D4291" s="1" t="s">
        <v>3597</v>
      </c>
      <c r="E4291" s="1"/>
      <c r="F4291" s="1" t="s">
        <v>3607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2">
        <v>9</v>
      </c>
      <c r="M4291" s="43">
        <v>46174</v>
      </c>
      <c r="N4291" s="1" t="e">
        <f>VLOOKUP(B4291,MICRO!E:L,8,0)</f>
        <v>#N/A</v>
      </c>
    </row>
    <row r="4292" spans="1:14" ht="20.25" x14ac:dyDescent="0.25">
      <c r="A4292" s="1">
        <v>73</v>
      </c>
      <c r="B4292" s="159">
        <v>3949</v>
      </c>
      <c r="C4292" s="1"/>
      <c r="D4292" s="1" t="s">
        <v>3608</v>
      </c>
      <c r="E4292" s="1"/>
      <c r="F4292" s="1" t="s">
        <v>3609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2">
        <v>9</v>
      </c>
      <c r="M4292" s="43">
        <v>46174</v>
      </c>
      <c r="N4292" s="1" t="e">
        <f>VLOOKUP(B4292,MICRO!E:L,8,0)</f>
        <v>#N/A</v>
      </c>
    </row>
    <row r="4293" spans="1:14" ht="20.25" x14ac:dyDescent="0.25">
      <c r="A4293" s="1">
        <v>74</v>
      </c>
      <c r="B4293" s="159">
        <v>3950</v>
      </c>
      <c r="C4293" s="1"/>
      <c r="D4293" s="1" t="s">
        <v>3608</v>
      </c>
      <c r="E4293" s="1"/>
      <c r="F4293" s="1" t="s">
        <v>3610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2">
        <v>9</v>
      </c>
      <c r="M4293" s="43">
        <v>46174</v>
      </c>
      <c r="N4293" s="1" t="e">
        <f>VLOOKUP(B4293,MICRO!E:L,8,0)</f>
        <v>#N/A</v>
      </c>
    </row>
    <row r="4294" spans="1:14" ht="20.25" x14ac:dyDescent="0.25">
      <c r="A4294" s="1">
        <v>75</v>
      </c>
      <c r="B4294" s="159">
        <v>3951</v>
      </c>
      <c r="C4294" s="1"/>
      <c r="D4294" s="1" t="s">
        <v>3608</v>
      </c>
      <c r="E4294" s="1"/>
      <c r="F4294" s="1" t="s">
        <v>3611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2">
        <v>9</v>
      </c>
      <c r="M4294" s="43">
        <v>46174</v>
      </c>
      <c r="N4294" s="1" t="e">
        <f>VLOOKUP(B4294,MICRO!E:L,8,0)</f>
        <v>#N/A</v>
      </c>
    </row>
    <row r="4295" spans="1:14" ht="20.25" x14ac:dyDescent="0.25">
      <c r="A4295" s="1">
        <v>76</v>
      </c>
      <c r="B4295" s="159">
        <v>3952</v>
      </c>
      <c r="C4295" s="1"/>
      <c r="D4295" s="1" t="s">
        <v>3608</v>
      </c>
      <c r="E4295" s="1"/>
      <c r="F4295" s="1" t="s">
        <v>3612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2">
        <v>9</v>
      </c>
      <c r="M4295" s="43">
        <v>46174</v>
      </c>
      <c r="N4295" s="1" t="e">
        <f>VLOOKUP(B4295,MICRO!E:L,8,0)</f>
        <v>#N/A</v>
      </c>
    </row>
    <row r="4296" spans="1:14" ht="20.25" x14ac:dyDescent="0.25">
      <c r="A4296" s="1">
        <v>77</v>
      </c>
      <c r="B4296" s="159">
        <v>3953</v>
      </c>
      <c r="C4296" s="1"/>
      <c r="D4296" s="1" t="s">
        <v>3608</v>
      </c>
      <c r="E4296" s="1"/>
      <c r="F4296" s="1" t="s">
        <v>3613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2">
        <v>9</v>
      </c>
      <c r="M4296" s="43">
        <v>46174</v>
      </c>
      <c r="N4296" s="1" t="e">
        <f>VLOOKUP(B4296,MICRO!E:L,8,0)</f>
        <v>#N/A</v>
      </c>
    </row>
    <row r="4297" spans="1:14" ht="20.25" x14ac:dyDescent="0.25">
      <c r="A4297" s="1">
        <v>78</v>
      </c>
      <c r="B4297" s="159">
        <v>3954</v>
      </c>
      <c r="C4297" s="1"/>
      <c r="D4297" s="1" t="s">
        <v>3608</v>
      </c>
      <c r="E4297" s="1"/>
      <c r="F4297" s="1" t="s">
        <v>3614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2">
        <v>9</v>
      </c>
      <c r="M4297" s="43">
        <v>46174</v>
      </c>
      <c r="N4297" s="1" t="e">
        <f>VLOOKUP(B4297,MICRO!E:L,8,0)</f>
        <v>#N/A</v>
      </c>
    </row>
    <row r="4298" spans="1:14" ht="20.25" x14ac:dyDescent="0.25">
      <c r="A4298" s="1">
        <v>79</v>
      </c>
      <c r="B4298" s="159">
        <v>3955</v>
      </c>
      <c r="C4298" s="1"/>
      <c r="D4298" s="1" t="s">
        <v>3608</v>
      </c>
      <c r="E4298" s="1"/>
      <c r="F4298" s="1" t="s">
        <v>3615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2">
        <v>9</v>
      </c>
      <c r="M4298" s="43">
        <v>46174</v>
      </c>
      <c r="N4298" s="1" t="e">
        <f>VLOOKUP(B4298,MICRO!E:L,8,0)</f>
        <v>#N/A</v>
      </c>
    </row>
    <row r="4299" spans="1:14" ht="20.25" x14ac:dyDescent="0.25">
      <c r="A4299" s="1">
        <v>80</v>
      </c>
      <c r="B4299" s="159">
        <v>3956</v>
      </c>
      <c r="C4299" s="1" t="s">
        <v>3616</v>
      </c>
      <c r="D4299" s="1" t="s">
        <v>3617</v>
      </c>
      <c r="E4299" s="1"/>
      <c r="F4299" s="1" t="s">
        <v>3618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2">
        <v>9</v>
      </c>
      <c r="M4299" s="43">
        <v>46174</v>
      </c>
      <c r="N4299" s="1" t="e">
        <f>VLOOKUP(B4299,MICRO!E:L,8,0)</f>
        <v>#N/A</v>
      </c>
    </row>
    <row r="4300" spans="1:14" ht="20.25" x14ac:dyDescent="0.25">
      <c r="A4300" s="1">
        <v>81</v>
      </c>
      <c r="B4300" s="159">
        <v>3957</v>
      </c>
      <c r="C4300" s="1" t="s">
        <v>3616</v>
      </c>
      <c r="D4300" s="1" t="s">
        <v>3617</v>
      </c>
      <c r="E4300" s="1"/>
      <c r="F4300" s="1" t="s">
        <v>3619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2">
        <v>9</v>
      </c>
      <c r="M4300" s="43">
        <v>46174</v>
      </c>
      <c r="N4300" s="1" t="e">
        <f>VLOOKUP(B4300,MICRO!E:L,8,0)</f>
        <v>#N/A</v>
      </c>
    </row>
    <row r="4301" spans="1:14" ht="20.25" x14ac:dyDescent="0.25">
      <c r="A4301" s="1">
        <v>82</v>
      </c>
      <c r="B4301" s="159">
        <v>3958</v>
      </c>
      <c r="C4301" s="1" t="s">
        <v>3616</v>
      </c>
      <c r="D4301" s="1" t="s">
        <v>3617</v>
      </c>
      <c r="E4301" s="1"/>
      <c r="F4301" s="1" t="s">
        <v>3620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2">
        <v>9</v>
      </c>
      <c r="M4301" s="43">
        <v>46174</v>
      </c>
      <c r="N4301" s="1" t="e">
        <f>VLOOKUP(B4301,MICRO!E:L,8,0)</f>
        <v>#N/A</v>
      </c>
    </row>
    <row r="4302" spans="1:14" ht="20.25" x14ac:dyDescent="0.25">
      <c r="A4302" s="1">
        <v>83</v>
      </c>
      <c r="B4302" s="159">
        <v>3959</v>
      </c>
      <c r="C4302" s="1" t="s">
        <v>3616</v>
      </c>
      <c r="D4302" s="1" t="s">
        <v>3617</v>
      </c>
      <c r="E4302" s="1"/>
      <c r="F4302" s="1" t="s">
        <v>3621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2">
        <v>9</v>
      </c>
      <c r="M4302" s="43">
        <v>46174</v>
      </c>
      <c r="N4302" s="1" t="e">
        <f>VLOOKUP(B4302,MICRO!E:L,8,0)</f>
        <v>#N/A</v>
      </c>
    </row>
    <row r="4303" spans="1:14" ht="20.25" x14ac:dyDescent="0.25">
      <c r="A4303" s="1">
        <v>84</v>
      </c>
      <c r="B4303" s="159">
        <v>3960</v>
      </c>
      <c r="C4303" s="1" t="s">
        <v>3616</v>
      </c>
      <c r="D4303" s="1" t="s">
        <v>3617</v>
      </c>
      <c r="E4303" s="1"/>
      <c r="F4303" s="1" t="s">
        <v>3622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2">
        <v>9</v>
      </c>
      <c r="M4303" s="43">
        <v>46174</v>
      </c>
      <c r="N4303" s="1" t="e">
        <f>VLOOKUP(B4303,MICRO!E:L,8,0)</f>
        <v>#N/A</v>
      </c>
    </row>
    <row r="4304" spans="1:14" ht="20.25" x14ac:dyDescent="0.25">
      <c r="A4304" s="1">
        <v>85</v>
      </c>
      <c r="B4304" s="159">
        <v>3961</v>
      </c>
      <c r="C4304" s="1" t="s">
        <v>3616</v>
      </c>
      <c r="D4304" s="1" t="s">
        <v>3617</v>
      </c>
      <c r="E4304" s="1"/>
      <c r="F4304" s="1" t="s">
        <v>3623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2">
        <v>9</v>
      </c>
      <c r="M4304" s="43">
        <v>46174</v>
      </c>
      <c r="N4304" s="1" t="e">
        <f>VLOOKUP(B4304,MICRO!E:L,8,0)</f>
        <v>#N/A</v>
      </c>
    </row>
    <row r="4305" spans="1:14" ht="20.25" x14ac:dyDescent="0.25">
      <c r="A4305" s="1">
        <v>15</v>
      </c>
      <c r="B4305" s="159">
        <v>3962</v>
      </c>
      <c r="C4305" s="1" t="s">
        <v>1901</v>
      </c>
      <c r="D4305" s="1"/>
      <c r="E4305" s="1" t="s">
        <v>2996</v>
      </c>
      <c r="F4305" s="1" t="s">
        <v>3408</v>
      </c>
      <c r="G4305" s="1">
        <v>1</v>
      </c>
      <c r="H4305" s="1" t="s">
        <v>19</v>
      </c>
      <c r="I4305" s="1" t="s">
        <v>1301</v>
      </c>
      <c r="J4305" s="1">
        <v>1</v>
      </c>
      <c r="K4305" s="1">
        <v>1</v>
      </c>
      <c r="L4305" s="42">
        <v>10</v>
      </c>
      <c r="M4305" s="43">
        <v>46198</v>
      </c>
      <c r="N4305" s="1" t="e">
        <f>VLOOKUP(B4305,MICRO!E:L,8,0)</f>
        <v>#N/A</v>
      </c>
    </row>
    <row r="4306" spans="1:14" ht="20.25" x14ac:dyDescent="0.25">
      <c r="A4306" s="1">
        <v>23</v>
      </c>
      <c r="B4306" s="159">
        <v>3963</v>
      </c>
      <c r="C4306" s="1" t="s">
        <v>1375</v>
      </c>
      <c r="D4306" s="1"/>
      <c r="E4306" s="1" t="s">
        <v>2997</v>
      </c>
      <c r="F4306" s="1" t="s">
        <v>3640</v>
      </c>
      <c r="G4306" s="1">
        <v>2</v>
      </c>
      <c r="H4306" s="1" t="s">
        <v>19</v>
      </c>
      <c r="I4306" s="1" t="s">
        <v>1295</v>
      </c>
      <c r="J4306" s="1">
        <v>5.4</v>
      </c>
      <c r="K4306" s="1">
        <v>10.8</v>
      </c>
      <c r="L4306" s="42">
        <v>10</v>
      </c>
      <c r="M4306" s="43">
        <v>46198</v>
      </c>
      <c r="N4306" s="1" t="e">
        <f>VLOOKUP(B4306,MICRO!E:L,8,0)</f>
        <v>#N/A</v>
      </c>
    </row>
    <row r="4307" spans="1:14" ht="20.25" x14ac:dyDescent="0.25">
      <c r="A4307" s="1">
        <v>25</v>
      </c>
      <c r="B4307" s="159">
        <v>3964</v>
      </c>
      <c r="C4307" s="1" t="s">
        <v>1375</v>
      </c>
      <c r="D4307" s="1"/>
      <c r="E4307" s="1" t="s">
        <v>3643</v>
      </c>
      <c r="F4307" s="1" t="s">
        <v>3642</v>
      </c>
      <c r="G4307" s="1">
        <v>2</v>
      </c>
      <c r="H4307" s="1" t="s">
        <v>19</v>
      </c>
      <c r="I4307" s="1" t="s">
        <v>1295</v>
      </c>
      <c r="J4307" s="1">
        <v>8</v>
      </c>
      <c r="K4307" s="1">
        <v>16</v>
      </c>
      <c r="L4307" s="42">
        <v>10</v>
      </c>
      <c r="M4307" s="43">
        <v>46198</v>
      </c>
      <c r="N4307" s="1" t="e">
        <f>VLOOKUP(B4307,MICRO!E:L,8,0)</f>
        <v>#N/A</v>
      </c>
    </row>
    <row r="4308" spans="1:14" ht="20.25" x14ac:dyDescent="0.25">
      <c r="A4308" s="1">
        <v>27</v>
      </c>
      <c r="B4308" s="159">
        <v>3965</v>
      </c>
      <c r="C4308" s="1" t="s">
        <v>1375</v>
      </c>
      <c r="D4308" s="1"/>
      <c r="E4308" s="1" t="s">
        <v>2997</v>
      </c>
      <c r="F4308" s="1" t="s">
        <v>3640</v>
      </c>
      <c r="G4308" s="1">
        <v>2</v>
      </c>
      <c r="H4308" s="1" t="s">
        <v>19</v>
      </c>
      <c r="I4308" s="1" t="s">
        <v>1301</v>
      </c>
      <c r="J4308" s="1">
        <v>5.4</v>
      </c>
      <c r="K4308" s="1">
        <v>10.8</v>
      </c>
      <c r="L4308" s="42">
        <v>10</v>
      </c>
      <c r="M4308" s="43">
        <v>46198</v>
      </c>
      <c r="N4308" s="1" t="e">
        <f>VLOOKUP(B4308,MICRO!E:L,8,0)</f>
        <v>#N/A</v>
      </c>
    </row>
    <row r="4309" spans="1:14" ht="20.25" x14ac:dyDescent="0.25">
      <c r="A4309" s="1">
        <v>29</v>
      </c>
      <c r="B4309" s="159">
        <v>3966</v>
      </c>
      <c r="C4309" s="1" t="s">
        <v>1375</v>
      </c>
      <c r="D4309" s="1"/>
      <c r="E4309" s="1" t="s">
        <v>3643</v>
      </c>
      <c r="F4309" s="1" t="s">
        <v>3642</v>
      </c>
      <c r="G4309" s="1">
        <v>2</v>
      </c>
      <c r="H4309" s="1" t="s">
        <v>19</v>
      </c>
      <c r="I4309" s="1" t="s">
        <v>1301</v>
      </c>
      <c r="J4309" s="1">
        <v>8</v>
      </c>
      <c r="K4309" s="1">
        <v>16</v>
      </c>
      <c r="L4309" s="42">
        <v>10</v>
      </c>
      <c r="M4309" s="43">
        <v>46198</v>
      </c>
      <c r="N4309" s="1" t="e">
        <f>VLOOKUP(B4309,MICRO!E:L,8,0)</f>
        <v>#N/A</v>
      </c>
    </row>
    <row r="4310" spans="1:14" ht="20.25" x14ac:dyDescent="0.25">
      <c r="A4310" s="1">
        <v>30</v>
      </c>
      <c r="B4310" s="159">
        <v>3967</v>
      </c>
      <c r="C4310" s="1" t="s">
        <v>2622</v>
      </c>
      <c r="D4310" s="1"/>
      <c r="E4310" s="1" t="s">
        <v>3644</v>
      </c>
      <c r="F4310" s="1" t="s">
        <v>3415</v>
      </c>
      <c r="G4310" s="1">
        <v>2</v>
      </c>
      <c r="H4310" s="1" t="s">
        <v>19</v>
      </c>
      <c r="I4310" s="1" t="s">
        <v>1290</v>
      </c>
      <c r="J4310" s="1">
        <v>0.8</v>
      </c>
      <c r="K4310" s="1">
        <v>1.6</v>
      </c>
      <c r="L4310" s="42">
        <v>10</v>
      </c>
      <c r="M4310" s="43">
        <v>46198</v>
      </c>
      <c r="N4310" s="1" t="e">
        <f>VLOOKUP(B4310,MICRO!E:L,8,0)</f>
        <v>#N/A</v>
      </c>
    </row>
    <row r="4311" spans="1:14" ht="20.25" x14ac:dyDescent="0.25">
      <c r="A4311" s="1">
        <v>31</v>
      </c>
      <c r="B4311" s="159">
        <v>3968</v>
      </c>
      <c r="C4311" s="1" t="s">
        <v>2622</v>
      </c>
      <c r="D4311" s="1"/>
      <c r="E4311" s="1" t="s">
        <v>3645</v>
      </c>
      <c r="F4311" s="1" t="s">
        <v>3415</v>
      </c>
      <c r="G4311" s="1">
        <v>2</v>
      </c>
      <c r="H4311" s="1" t="s">
        <v>19</v>
      </c>
      <c r="I4311" s="1" t="s">
        <v>1290</v>
      </c>
      <c r="J4311" s="1">
        <v>0.2</v>
      </c>
      <c r="K4311" s="1">
        <v>0.4</v>
      </c>
      <c r="L4311" s="42">
        <v>10</v>
      </c>
      <c r="M4311" s="43">
        <v>46198</v>
      </c>
      <c r="N4311" s="1" t="e">
        <f>VLOOKUP(B4311,MICRO!E:L,8,0)</f>
        <v>#N/A</v>
      </c>
    </row>
    <row r="4312" spans="1:14" ht="20.25" x14ac:dyDescent="0.25">
      <c r="A4312" s="1">
        <v>32</v>
      </c>
      <c r="B4312" s="159">
        <v>3969</v>
      </c>
      <c r="C4312" s="1" t="s">
        <v>2622</v>
      </c>
      <c r="D4312" s="1"/>
      <c r="E4312" s="1" t="s">
        <v>3646</v>
      </c>
      <c r="F4312" s="1" t="s">
        <v>3415</v>
      </c>
      <c r="G4312" s="1">
        <v>2</v>
      </c>
      <c r="H4312" s="1" t="s">
        <v>19</v>
      </c>
      <c r="I4312" s="1" t="s">
        <v>1290</v>
      </c>
      <c r="J4312" s="1">
        <v>0.3</v>
      </c>
      <c r="K4312" s="1">
        <v>0.6</v>
      </c>
      <c r="L4312" s="42">
        <v>10</v>
      </c>
      <c r="M4312" s="43">
        <v>46198</v>
      </c>
      <c r="N4312" s="1" t="e">
        <f>VLOOKUP(B4312,MICRO!E:L,8,0)</f>
        <v>#N/A</v>
      </c>
    </row>
    <row r="4313" spans="1:14" ht="20.25" x14ac:dyDescent="0.25">
      <c r="A4313" s="1">
        <v>33</v>
      </c>
      <c r="B4313" s="159">
        <v>3970</v>
      </c>
      <c r="C4313" s="1" t="s">
        <v>2622</v>
      </c>
      <c r="D4313" s="1"/>
      <c r="E4313" s="1" t="s">
        <v>3647</v>
      </c>
      <c r="F4313" s="1" t="s">
        <v>3415</v>
      </c>
      <c r="G4313" s="1">
        <v>22</v>
      </c>
      <c r="H4313" s="1" t="s">
        <v>19</v>
      </c>
      <c r="I4313" s="1" t="s">
        <v>1290</v>
      </c>
      <c r="J4313" s="1">
        <v>0.5</v>
      </c>
      <c r="K4313" s="1">
        <v>11</v>
      </c>
      <c r="L4313" s="42">
        <v>10</v>
      </c>
      <c r="M4313" s="43">
        <v>46198</v>
      </c>
      <c r="N4313" s="1" t="e">
        <f>VLOOKUP(B4313,MICRO!E:L,8,0)</f>
        <v>#N/A</v>
      </c>
    </row>
    <row r="4314" spans="1:14" ht="20.25" x14ac:dyDescent="0.25">
      <c r="A4314" s="1">
        <v>34</v>
      </c>
      <c r="B4314" s="159">
        <v>3971</v>
      </c>
      <c r="C4314" s="1" t="s">
        <v>2622</v>
      </c>
      <c r="D4314" s="1"/>
      <c r="E4314" s="1" t="s">
        <v>3648</v>
      </c>
      <c r="F4314" s="1" t="s">
        <v>3415</v>
      </c>
      <c r="G4314" s="1">
        <v>4</v>
      </c>
      <c r="H4314" s="1" t="s">
        <v>19</v>
      </c>
      <c r="I4314" s="1" t="s">
        <v>1290</v>
      </c>
      <c r="J4314" s="1">
        <v>0.6</v>
      </c>
      <c r="K4314" s="1">
        <v>2.4</v>
      </c>
      <c r="L4314" s="42">
        <v>10</v>
      </c>
      <c r="M4314" s="43">
        <v>46198</v>
      </c>
      <c r="N4314" s="1" t="e">
        <f>VLOOKUP(B4314,MICRO!E:L,8,0)</f>
        <v>#N/A</v>
      </c>
    </row>
    <row r="4315" spans="1:14" ht="20.25" x14ac:dyDescent="0.25">
      <c r="A4315" s="1">
        <v>35</v>
      </c>
      <c r="B4315" s="159">
        <v>3972</v>
      </c>
      <c r="C4315" s="1" t="s">
        <v>2622</v>
      </c>
      <c r="D4315" s="1"/>
      <c r="E4315" s="1" t="s">
        <v>3649</v>
      </c>
      <c r="F4315" s="1" t="s">
        <v>3415</v>
      </c>
      <c r="G4315" s="1">
        <v>8</v>
      </c>
      <c r="H4315" s="1" t="s">
        <v>19</v>
      </c>
      <c r="I4315" s="1" t="s">
        <v>1290</v>
      </c>
      <c r="J4315" s="1">
        <v>0.7</v>
      </c>
      <c r="K4315" s="1">
        <v>5.6</v>
      </c>
      <c r="L4315" s="42">
        <v>10</v>
      </c>
      <c r="M4315" s="43">
        <v>46198</v>
      </c>
      <c r="N4315" s="1" t="e">
        <f>VLOOKUP(B4315,MICRO!E:L,8,0)</f>
        <v>#N/A</v>
      </c>
    </row>
    <row r="4316" spans="1:14" ht="20.25" x14ac:dyDescent="0.25">
      <c r="A4316" s="1">
        <v>36</v>
      </c>
      <c r="B4316" s="159">
        <v>3973</v>
      </c>
      <c r="C4316" s="1" t="s">
        <v>2622</v>
      </c>
      <c r="D4316" s="1"/>
      <c r="E4316" s="1" t="s">
        <v>3650</v>
      </c>
      <c r="F4316" s="1" t="s">
        <v>3415</v>
      </c>
      <c r="G4316" s="1">
        <v>6</v>
      </c>
      <c r="H4316" s="1" t="s">
        <v>19</v>
      </c>
      <c r="I4316" s="1" t="s">
        <v>1290</v>
      </c>
      <c r="J4316" s="1">
        <v>0.6</v>
      </c>
      <c r="K4316" s="1">
        <v>3.5999999999999996</v>
      </c>
      <c r="L4316" s="42">
        <v>10</v>
      </c>
      <c r="M4316" s="43">
        <v>46198</v>
      </c>
      <c r="N4316" s="1" t="e">
        <f>VLOOKUP(B4316,MICRO!E:L,8,0)</f>
        <v>#N/A</v>
      </c>
    </row>
    <row r="4317" spans="1:14" ht="20.25" x14ac:dyDescent="0.25">
      <c r="A4317" s="1">
        <v>37</v>
      </c>
      <c r="B4317" s="159">
        <v>3974</v>
      </c>
      <c r="C4317" s="1" t="s">
        <v>2622</v>
      </c>
      <c r="D4317" s="1"/>
      <c r="E4317" s="1" t="s">
        <v>3651</v>
      </c>
      <c r="F4317" s="1" t="s">
        <v>3415</v>
      </c>
      <c r="G4317" s="1">
        <v>6</v>
      </c>
      <c r="H4317" s="1" t="s">
        <v>19</v>
      </c>
      <c r="I4317" s="1" t="s">
        <v>1290</v>
      </c>
      <c r="J4317" s="1">
        <v>0.5</v>
      </c>
      <c r="K4317" s="1">
        <v>3</v>
      </c>
      <c r="L4317" s="42">
        <v>10</v>
      </c>
      <c r="M4317" s="43">
        <v>46198</v>
      </c>
      <c r="N4317" s="1" t="e">
        <f>VLOOKUP(B4317,MICRO!E:L,8,0)</f>
        <v>#N/A</v>
      </c>
    </row>
    <row r="4318" spans="1:14" ht="20.25" x14ac:dyDescent="0.25">
      <c r="A4318" s="1">
        <v>38</v>
      </c>
      <c r="B4318" s="159">
        <v>3975</v>
      </c>
      <c r="C4318" s="1" t="s">
        <v>2622</v>
      </c>
      <c r="D4318" s="1"/>
      <c r="E4318" s="1" t="s">
        <v>3652</v>
      </c>
      <c r="F4318" s="1" t="s">
        <v>3415</v>
      </c>
      <c r="G4318" s="1">
        <v>4</v>
      </c>
      <c r="H4318" s="1" t="s">
        <v>19</v>
      </c>
      <c r="I4318" s="1" t="s">
        <v>1290</v>
      </c>
      <c r="J4318" s="1">
        <v>0.1</v>
      </c>
      <c r="K4318" s="1">
        <v>0.4</v>
      </c>
      <c r="L4318" s="42">
        <v>10</v>
      </c>
      <c r="M4318" s="43">
        <v>46198</v>
      </c>
      <c r="N4318" s="1" t="e">
        <f>VLOOKUP(B4318,MICRO!E:L,8,0)</f>
        <v>#N/A</v>
      </c>
    </row>
    <row r="4319" spans="1:14" ht="20.25" x14ac:dyDescent="0.25">
      <c r="A4319" s="1">
        <v>39</v>
      </c>
      <c r="B4319" s="159">
        <v>3976</v>
      </c>
      <c r="C4319" s="1" t="s">
        <v>3513</v>
      </c>
      <c r="D4319" s="1"/>
      <c r="E4319" s="1" t="s">
        <v>3653</v>
      </c>
      <c r="F4319" s="1" t="s">
        <v>3654</v>
      </c>
      <c r="G4319" s="1">
        <v>1</v>
      </c>
      <c r="H4319" s="1" t="s">
        <v>19</v>
      </c>
      <c r="I4319" s="1" t="s">
        <v>1295</v>
      </c>
      <c r="J4319" s="1">
        <v>4.7</v>
      </c>
      <c r="K4319" s="1">
        <v>4.7</v>
      </c>
      <c r="L4319" s="42">
        <v>10</v>
      </c>
      <c r="M4319" s="43">
        <v>46198</v>
      </c>
      <c r="N4319" s="1" t="e">
        <f>VLOOKUP(B4319,MICRO!E:L,8,0)</f>
        <v>#N/A</v>
      </c>
    </row>
    <row r="4320" spans="1:14" ht="20.25" x14ac:dyDescent="0.25">
      <c r="A4320" s="1">
        <v>40</v>
      </c>
      <c r="B4320" s="159">
        <v>3977</v>
      </c>
      <c r="C4320" s="1" t="s">
        <v>3520</v>
      </c>
      <c r="D4320" s="1"/>
      <c r="E4320" s="1" t="s">
        <v>3655</v>
      </c>
      <c r="F4320" s="1" t="s">
        <v>3656</v>
      </c>
      <c r="G4320" s="1">
        <v>1</v>
      </c>
      <c r="H4320" s="1" t="s">
        <v>19</v>
      </c>
      <c r="I4320" s="1" t="s">
        <v>1301</v>
      </c>
      <c r="J4320" s="1">
        <v>2</v>
      </c>
      <c r="K4320" s="1">
        <v>2</v>
      </c>
      <c r="L4320" s="42">
        <v>10</v>
      </c>
      <c r="M4320" s="43">
        <v>46198</v>
      </c>
      <c r="N4320" s="1" t="e">
        <f>VLOOKUP(B4320,MICRO!E:L,8,0)</f>
        <v>#N/A</v>
      </c>
    </row>
    <row r="4321" spans="1:14" ht="20.25" x14ac:dyDescent="0.25">
      <c r="A4321" s="1">
        <v>41</v>
      </c>
      <c r="B4321" s="159">
        <v>3978</v>
      </c>
      <c r="C4321" s="1" t="s">
        <v>3520</v>
      </c>
      <c r="D4321" s="1"/>
      <c r="E4321" s="1" t="s">
        <v>3657</v>
      </c>
      <c r="F4321" s="1" t="s">
        <v>3656</v>
      </c>
      <c r="G4321" s="1">
        <v>1</v>
      </c>
      <c r="H4321" s="1" t="s">
        <v>19</v>
      </c>
      <c r="I4321" s="1" t="s">
        <v>1301</v>
      </c>
      <c r="J4321" s="1">
        <v>1.7</v>
      </c>
      <c r="K4321" s="1">
        <v>1.7</v>
      </c>
      <c r="L4321" s="42">
        <v>10</v>
      </c>
      <c r="M4321" s="43">
        <v>46198</v>
      </c>
      <c r="N4321" s="1" t="e">
        <f>VLOOKUP(B4321,MICRO!E:L,8,0)</f>
        <v>#N/A</v>
      </c>
    </row>
    <row r="4322" spans="1:14" ht="20.25" x14ac:dyDescent="0.25">
      <c r="A4322" s="1">
        <v>42</v>
      </c>
      <c r="B4322" s="159">
        <v>3979</v>
      </c>
      <c r="C4322" s="1" t="s">
        <v>3520</v>
      </c>
      <c r="D4322" s="1"/>
      <c r="E4322" s="1" t="s">
        <v>3658</v>
      </c>
      <c r="F4322" s="1" t="s">
        <v>3656</v>
      </c>
      <c r="G4322" s="1">
        <v>1</v>
      </c>
      <c r="H4322" s="1" t="s">
        <v>19</v>
      </c>
      <c r="I4322" s="1" t="s">
        <v>1301</v>
      </c>
      <c r="J4322" s="1">
        <v>5.3</v>
      </c>
      <c r="K4322" s="1">
        <v>5.3</v>
      </c>
      <c r="L4322" s="42">
        <v>10</v>
      </c>
      <c r="M4322" s="43">
        <v>46198</v>
      </c>
      <c r="N4322" s="1" t="e">
        <f>VLOOKUP(B4322,MICRO!E:L,8,0)</f>
        <v>#N/A</v>
      </c>
    </row>
    <row r="4323" spans="1:14" ht="20.25" x14ac:dyDescent="0.25">
      <c r="A4323" s="1">
        <v>43</v>
      </c>
      <c r="B4323" s="159">
        <v>3980</v>
      </c>
      <c r="C4323" s="1" t="s">
        <v>3520</v>
      </c>
      <c r="D4323" s="1"/>
      <c r="E4323" s="1" t="s">
        <v>3659</v>
      </c>
      <c r="F4323" s="1" t="s">
        <v>3656</v>
      </c>
      <c r="G4323" s="1">
        <v>1</v>
      </c>
      <c r="H4323" s="1" t="s">
        <v>19</v>
      </c>
      <c r="I4323" s="1" t="s">
        <v>1301</v>
      </c>
      <c r="J4323" s="1">
        <v>5.0999999999999996</v>
      </c>
      <c r="K4323" s="1">
        <v>5.0999999999999996</v>
      </c>
      <c r="L4323" s="42">
        <v>10</v>
      </c>
      <c r="M4323" s="43">
        <v>46198</v>
      </c>
      <c r="N4323" s="1" t="e">
        <f>VLOOKUP(B4323,MICRO!E:L,8,0)</f>
        <v>#N/A</v>
      </c>
    </row>
    <row r="4324" spans="1:14" ht="20.25" x14ac:dyDescent="0.25">
      <c r="A4324" s="1">
        <v>44</v>
      </c>
      <c r="B4324" s="159">
        <v>3981</v>
      </c>
      <c r="C4324" s="1" t="s">
        <v>3520</v>
      </c>
      <c r="D4324" s="1"/>
      <c r="E4324" s="1" t="s">
        <v>3660</v>
      </c>
      <c r="F4324" s="1" t="s">
        <v>3656</v>
      </c>
      <c r="G4324" s="1">
        <v>1</v>
      </c>
      <c r="H4324" s="1" t="s">
        <v>19</v>
      </c>
      <c r="I4324" s="1" t="s">
        <v>1301</v>
      </c>
      <c r="J4324" s="1">
        <v>1.4</v>
      </c>
      <c r="K4324" s="1">
        <v>1.4</v>
      </c>
      <c r="L4324" s="42">
        <v>10</v>
      </c>
      <c r="M4324" s="43">
        <v>46198</v>
      </c>
      <c r="N4324" s="1" t="e">
        <f>VLOOKUP(B4324,MICRO!E:L,8,0)</f>
        <v>#N/A</v>
      </c>
    </row>
    <row r="4325" spans="1:14" ht="20.25" x14ac:dyDescent="0.25">
      <c r="A4325" s="1">
        <v>45</v>
      </c>
      <c r="B4325" s="159">
        <v>3982</v>
      </c>
      <c r="C4325" s="1" t="s">
        <v>3520</v>
      </c>
      <c r="D4325" s="1"/>
      <c r="E4325" s="1" t="s">
        <v>3661</v>
      </c>
      <c r="F4325" s="1" t="s">
        <v>3656</v>
      </c>
      <c r="G4325" s="1">
        <v>1</v>
      </c>
      <c r="H4325" s="1" t="s">
        <v>19</v>
      </c>
      <c r="I4325" s="1" t="s">
        <v>1301</v>
      </c>
      <c r="J4325" s="1">
        <v>4.3</v>
      </c>
      <c r="K4325" s="1">
        <v>4.3</v>
      </c>
      <c r="L4325" s="42">
        <v>10</v>
      </c>
      <c r="M4325" s="43">
        <v>46198</v>
      </c>
      <c r="N4325" s="1" t="e">
        <f>VLOOKUP(B4325,MICRO!E:L,8,0)</f>
        <v>#N/A</v>
      </c>
    </row>
    <row r="4326" spans="1:14" ht="20.25" x14ac:dyDescent="0.25">
      <c r="A4326" s="1">
        <v>46</v>
      </c>
      <c r="B4326" s="159">
        <v>3983</v>
      </c>
      <c r="C4326" s="1" t="s">
        <v>3520</v>
      </c>
      <c r="D4326" s="1"/>
      <c r="E4326" s="1" t="s">
        <v>3662</v>
      </c>
      <c r="F4326" s="1" t="s">
        <v>3656</v>
      </c>
      <c r="G4326" s="1">
        <v>1</v>
      </c>
      <c r="H4326" s="1" t="s">
        <v>19</v>
      </c>
      <c r="I4326" s="1" t="s">
        <v>1301</v>
      </c>
      <c r="J4326" s="1">
        <v>2.8</v>
      </c>
      <c r="K4326" s="1">
        <v>2.8</v>
      </c>
      <c r="L4326" s="42">
        <v>10</v>
      </c>
      <c r="M4326" s="43">
        <v>46198</v>
      </c>
      <c r="N4326" s="1" t="e">
        <f>VLOOKUP(B4326,MICRO!E:L,8,0)</f>
        <v>#N/A</v>
      </c>
    </row>
    <row r="4327" spans="1:14" ht="20.25" x14ac:dyDescent="0.25">
      <c r="A4327" s="1">
        <v>47</v>
      </c>
      <c r="B4327" s="159">
        <v>3984</v>
      </c>
      <c r="C4327" s="1" t="s">
        <v>3520</v>
      </c>
      <c r="D4327" s="1"/>
      <c r="E4327" s="1" t="s">
        <v>3663</v>
      </c>
      <c r="F4327" s="1" t="s">
        <v>3656</v>
      </c>
      <c r="G4327" s="1">
        <v>1</v>
      </c>
      <c r="H4327" s="1" t="s">
        <v>19</v>
      </c>
      <c r="I4327" s="1" t="s">
        <v>1301</v>
      </c>
      <c r="J4327" s="1">
        <v>1.1000000000000001</v>
      </c>
      <c r="K4327" s="1">
        <v>1.1000000000000001</v>
      </c>
      <c r="L4327" s="42">
        <v>10</v>
      </c>
      <c r="M4327" s="43">
        <v>46198</v>
      </c>
      <c r="N4327" s="1" t="e">
        <f>VLOOKUP(B4327,MICRO!E:L,8,0)</f>
        <v>#N/A</v>
      </c>
    </row>
    <row r="4328" spans="1:14" ht="20.25" x14ac:dyDescent="0.25">
      <c r="A4328" s="1">
        <v>48</v>
      </c>
      <c r="B4328" s="159">
        <v>3985</v>
      </c>
      <c r="C4328" s="1" t="s">
        <v>3520</v>
      </c>
      <c r="D4328" s="1"/>
      <c r="E4328" s="1" t="s">
        <v>3664</v>
      </c>
      <c r="F4328" s="1" t="s">
        <v>3656</v>
      </c>
      <c r="G4328" s="1">
        <v>1</v>
      </c>
      <c r="H4328" s="1" t="s">
        <v>19</v>
      </c>
      <c r="I4328" s="1" t="s">
        <v>1301</v>
      </c>
      <c r="J4328" s="1">
        <v>1.2</v>
      </c>
      <c r="K4328" s="1">
        <v>1.2</v>
      </c>
      <c r="L4328" s="42">
        <v>10</v>
      </c>
      <c r="M4328" s="43">
        <v>46198</v>
      </c>
      <c r="N4328" s="1" t="e">
        <f>VLOOKUP(B4328,MICRO!E:L,8,0)</f>
        <v>#N/A</v>
      </c>
    </row>
    <row r="4329" spans="1:14" ht="20.25" x14ac:dyDescent="0.25">
      <c r="A4329" s="1">
        <v>49</v>
      </c>
      <c r="B4329" s="159">
        <v>3986</v>
      </c>
      <c r="C4329" s="1" t="s">
        <v>3520</v>
      </c>
      <c r="D4329" s="1"/>
      <c r="E4329" s="1" t="s">
        <v>3665</v>
      </c>
      <c r="F4329" s="1" t="s">
        <v>3523</v>
      </c>
      <c r="G4329" s="1">
        <v>2</v>
      </c>
      <c r="H4329" s="1" t="s">
        <v>19</v>
      </c>
      <c r="I4329" s="1" t="s">
        <v>1301</v>
      </c>
      <c r="J4329" s="1">
        <v>0.6</v>
      </c>
      <c r="K4329" s="1">
        <v>1.2</v>
      </c>
      <c r="L4329" s="42">
        <v>10</v>
      </c>
      <c r="M4329" s="43">
        <v>46198</v>
      </c>
      <c r="N4329" s="1" t="e">
        <f>VLOOKUP(B4329,MICRO!E:L,8,0)</f>
        <v>#N/A</v>
      </c>
    </row>
    <row r="4330" spans="1:14" ht="20.25" x14ac:dyDescent="0.25">
      <c r="A4330" s="1">
        <v>50</v>
      </c>
      <c r="B4330" s="159">
        <v>3987</v>
      </c>
      <c r="C4330" s="1" t="s">
        <v>3520</v>
      </c>
      <c r="D4330" s="1"/>
      <c r="E4330" s="1" t="s">
        <v>3666</v>
      </c>
      <c r="F4330" s="1" t="s">
        <v>3523</v>
      </c>
      <c r="G4330" s="1">
        <v>3</v>
      </c>
      <c r="H4330" s="1" t="s">
        <v>19</v>
      </c>
      <c r="I4330" s="1" t="s">
        <v>1301</v>
      </c>
      <c r="J4330" s="1">
        <v>1.7</v>
      </c>
      <c r="K4330" s="1">
        <v>5.0999999999999996</v>
      </c>
      <c r="L4330" s="42">
        <v>10</v>
      </c>
      <c r="M4330" s="43">
        <v>46198</v>
      </c>
      <c r="N4330" s="1" t="e">
        <f>VLOOKUP(B4330,MICRO!E:L,8,0)</f>
        <v>#N/A</v>
      </c>
    </row>
    <row r="4331" spans="1:14" ht="20.25" x14ac:dyDescent="0.25">
      <c r="A4331" s="1">
        <v>51</v>
      </c>
      <c r="B4331" s="159">
        <v>3988</v>
      </c>
      <c r="C4331" s="1" t="s">
        <v>3520</v>
      </c>
      <c r="D4331" s="1"/>
      <c r="E4331" s="1" t="s">
        <v>3667</v>
      </c>
      <c r="F4331" s="1" t="s">
        <v>3523</v>
      </c>
      <c r="G4331" s="1">
        <v>2</v>
      </c>
      <c r="H4331" s="1" t="s">
        <v>19</v>
      </c>
      <c r="I4331" s="1" t="s">
        <v>1301</v>
      </c>
      <c r="J4331" s="1">
        <v>0.4</v>
      </c>
      <c r="K4331" s="1">
        <v>0.8</v>
      </c>
      <c r="L4331" s="42">
        <v>10</v>
      </c>
      <c r="M4331" s="43">
        <v>46198</v>
      </c>
      <c r="N4331" s="1" t="e">
        <f>VLOOKUP(B4331,MICRO!E:L,8,0)</f>
        <v>#N/A</v>
      </c>
    </row>
    <row r="4332" spans="1:14" ht="20.25" x14ac:dyDescent="0.25">
      <c r="A4332" s="1">
        <v>52</v>
      </c>
      <c r="B4332" s="159">
        <v>3989</v>
      </c>
      <c r="C4332" s="1" t="s">
        <v>3525</v>
      </c>
      <c r="D4332" s="1"/>
      <c r="E4332" s="1" t="s">
        <v>3668</v>
      </c>
      <c r="F4332" s="1" t="s">
        <v>3527</v>
      </c>
      <c r="G4332" s="1">
        <v>1</v>
      </c>
      <c r="H4332" s="1" t="s">
        <v>19</v>
      </c>
      <c r="I4332" s="1" t="s">
        <v>1301</v>
      </c>
      <c r="J4332" s="1">
        <v>32.299999999999997</v>
      </c>
      <c r="K4332" s="1">
        <v>32.299999999999997</v>
      </c>
      <c r="L4332" s="42">
        <v>10</v>
      </c>
      <c r="M4332" s="43">
        <v>46198</v>
      </c>
      <c r="N4332" s="1" t="e">
        <f>VLOOKUP(B4332,MICRO!E:L,8,0)</f>
        <v>#N/A</v>
      </c>
    </row>
    <row r="4333" spans="1:14" ht="20.25" x14ac:dyDescent="0.25">
      <c r="A4333" s="1">
        <v>53</v>
      </c>
      <c r="B4333" s="159">
        <v>3990</v>
      </c>
      <c r="C4333" s="1" t="s">
        <v>3528</v>
      </c>
      <c r="D4333" s="1"/>
      <c r="E4333" s="1" t="s">
        <v>3669</v>
      </c>
      <c r="F4333" s="1" t="s">
        <v>3656</v>
      </c>
      <c r="G4333" s="1">
        <v>1</v>
      </c>
      <c r="H4333" s="1" t="s">
        <v>19</v>
      </c>
      <c r="I4333" s="1" t="s">
        <v>1301</v>
      </c>
      <c r="J4333" s="1">
        <v>2</v>
      </c>
      <c r="K4333" s="1">
        <v>2</v>
      </c>
      <c r="L4333" s="42">
        <v>10</v>
      </c>
      <c r="M4333" s="43">
        <v>46198</v>
      </c>
      <c r="N4333" s="1" t="e">
        <f>VLOOKUP(B4333,MICRO!E:L,8,0)</f>
        <v>#N/A</v>
      </c>
    </row>
    <row r="4334" spans="1:14" ht="20.25" x14ac:dyDescent="0.25">
      <c r="A4334" s="1">
        <v>54</v>
      </c>
      <c r="B4334" s="159">
        <v>3991</v>
      </c>
      <c r="C4334" s="1" t="s">
        <v>3528</v>
      </c>
      <c r="D4334" s="1"/>
      <c r="E4334" s="1" t="s">
        <v>3670</v>
      </c>
      <c r="F4334" s="1" t="s">
        <v>3656</v>
      </c>
      <c r="G4334" s="1">
        <v>1</v>
      </c>
      <c r="H4334" s="1" t="s">
        <v>19</v>
      </c>
      <c r="I4334" s="1" t="s">
        <v>1301</v>
      </c>
      <c r="J4334" s="1">
        <v>1.7</v>
      </c>
      <c r="K4334" s="1">
        <v>1.7</v>
      </c>
      <c r="L4334" s="42">
        <v>10</v>
      </c>
      <c r="M4334" s="43">
        <v>46198</v>
      </c>
      <c r="N4334" s="1" t="e">
        <f>VLOOKUP(B4334,MICRO!E:L,8,0)</f>
        <v>#N/A</v>
      </c>
    </row>
    <row r="4335" spans="1:14" ht="20.25" x14ac:dyDescent="0.25">
      <c r="A4335" s="1">
        <v>55</v>
      </c>
      <c r="B4335" s="159">
        <v>3992</v>
      </c>
      <c r="C4335" s="1" t="s">
        <v>3528</v>
      </c>
      <c r="D4335" s="1"/>
      <c r="E4335" s="1" t="s">
        <v>3671</v>
      </c>
      <c r="F4335" s="1" t="s">
        <v>3656</v>
      </c>
      <c r="G4335" s="1">
        <v>1</v>
      </c>
      <c r="H4335" s="1" t="s">
        <v>19</v>
      </c>
      <c r="I4335" s="1" t="s">
        <v>1301</v>
      </c>
      <c r="J4335" s="1">
        <v>5.3</v>
      </c>
      <c r="K4335" s="1">
        <v>5.3</v>
      </c>
      <c r="L4335" s="42">
        <v>10</v>
      </c>
      <c r="M4335" s="43">
        <v>46198</v>
      </c>
      <c r="N4335" s="1" t="e">
        <f>VLOOKUP(B4335,MICRO!E:L,8,0)</f>
        <v>#N/A</v>
      </c>
    </row>
    <row r="4336" spans="1:14" ht="20.25" x14ac:dyDescent="0.25">
      <c r="A4336" s="1">
        <v>56</v>
      </c>
      <c r="B4336" s="159">
        <v>3993</v>
      </c>
      <c r="C4336" s="1" t="s">
        <v>3528</v>
      </c>
      <c r="D4336" s="1"/>
      <c r="E4336" s="1" t="s">
        <v>3672</v>
      </c>
      <c r="F4336" s="1" t="s">
        <v>3656</v>
      </c>
      <c r="G4336" s="1">
        <v>1</v>
      </c>
      <c r="H4336" s="1" t="s">
        <v>19</v>
      </c>
      <c r="I4336" s="1" t="s">
        <v>1301</v>
      </c>
      <c r="J4336" s="1">
        <v>5.0999999999999996</v>
      </c>
      <c r="K4336" s="1">
        <v>5.0999999999999996</v>
      </c>
      <c r="L4336" s="42">
        <v>10</v>
      </c>
      <c r="M4336" s="43">
        <v>46198</v>
      </c>
      <c r="N4336" s="1" t="e">
        <f>VLOOKUP(B4336,MICRO!E:L,8,0)</f>
        <v>#N/A</v>
      </c>
    </row>
    <row r="4337" spans="1:14" ht="20.25" x14ac:dyDescent="0.25">
      <c r="A4337" s="1">
        <v>57</v>
      </c>
      <c r="B4337" s="159">
        <v>3994</v>
      </c>
      <c r="C4337" s="1" t="s">
        <v>3528</v>
      </c>
      <c r="D4337" s="1"/>
      <c r="E4337" s="1" t="s">
        <v>3673</v>
      </c>
      <c r="F4337" s="1" t="s">
        <v>3656</v>
      </c>
      <c r="G4337" s="1">
        <v>1</v>
      </c>
      <c r="H4337" s="1" t="s">
        <v>19</v>
      </c>
      <c r="I4337" s="1" t="s">
        <v>1301</v>
      </c>
      <c r="J4337" s="1">
        <v>1.4</v>
      </c>
      <c r="K4337" s="1">
        <v>1.4</v>
      </c>
      <c r="L4337" s="42">
        <v>10</v>
      </c>
      <c r="M4337" s="43">
        <v>46198</v>
      </c>
      <c r="N4337" s="1" t="e">
        <f>VLOOKUP(B4337,MICRO!E:L,8,0)</f>
        <v>#N/A</v>
      </c>
    </row>
    <row r="4338" spans="1:14" ht="20.25" x14ac:dyDescent="0.25">
      <c r="A4338" s="1">
        <v>58</v>
      </c>
      <c r="B4338" s="159">
        <v>3995</v>
      </c>
      <c r="C4338" s="1" t="s">
        <v>3528</v>
      </c>
      <c r="D4338" s="1"/>
      <c r="E4338" s="1" t="s">
        <v>3674</v>
      </c>
      <c r="F4338" s="1" t="s">
        <v>3656</v>
      </c>
      <c r="G4338" s="1">
        <v>1</v>
      </c>
      <c r="H4338" s="1" t="s">
        <v>19</v>
      </c>
      <c r="I4338" s="1" t="s">
        <v>1301</v>
      </c>
      <c r="J4338" s="1">
        <v>1.1000000000000001</v>
      </c>
      <c r="K4338" s="1">
        <v>1.1000000000000001</v>
      </c>
      <c r="L4338" s="42">
        <v>10</v>
      </c>
      <c r="M4338" s="43">
        <v>46198</v>
      </c>
      <c r="N4338" s="1" t="e">
        <f>VLOOKUP(B4338,MICRO!E:L,8,0)</f>
        <v>#N/A</v>
      </c>
    </row>
    <row r="4339" spans="1:14" ht="20.25" x14ac:dyDescent="0.25">
      <c r="A4339" s="1">
        <v>59</v>
      </c>
      <c r="B4339" s="159">
        <v>3996</v>
      </c>
      <c r="C4339" s="1" t="s">
        <v>3528</v>
      </c>
      <c r="D4339" s="1"/>
      <c r="E4339" s="1" t="s">
        <v>3675</v>
      </c>
      <c r="F4339" s="1" t="s">
        <v>3656</v>
      </c>
      <c r="G4339" s="1">
        <v>1</v>
      </c>
      <c r="H4339" s="1" t="s">
        <v>19</v>
      </c>
      <c r="I4339" s="1" t="s">
        <v>1301</v>
      </c>
      <c r="J4339" s="1">
        <v>1.2</v>
      </c>
      <c r="K4339" s="1">
        <v>1.2</v>
      </c>
      <c r="L4339" s="42">
        <v>10</v>
      </c>
      <c r="M4339" s="43">
        <v>46198</v>
      </c>
      <c r="N4339" s="1" t="e">
        <f>VLOOKUP(B4339,MICRO!E:L,8,0)</f>
        <v>#N/A</v>
      </c>
    </row>
    <row r="4340" spans="1:14" ht="20.25" x14ac:dyDescent="0.25">
      <c r="A4340" s="1">
        <v>60</v>
      </c>
      <c r="B4340" s="159">
        <v>3997</v>
      </c>
      <c r="C4340" s="1" t="s">
        <v>3528</v>
      </c>
      <c r="D4340" s="1"/>
      <c r="E4340" s="1" t="s">
        <v>3676</v>
      </c>
      <c r="F4340" s="1" t="s">
        <v>3656</v>
      </c>
      <c r="G4340" s="1">
        <v>1</v>
      </c>
      <c r="H4340" s="1" t="s">
        <v>19</v>
      </c>
      <c r="I4340" s="1" t="s">
        <v>1301</v>
      </c>
      <c r="J4340" s="1">
        <v>1.6</v>
      </c>
      <c r="K4340" s="1">
        <v>1.6</v>
      </c>
      <c r="L4340" s="42">
        <v>10</v>
      </c>
      <c r="M4340" s="43">
        <v>46198</v>
      </c>
      <c r="N4340" s="1" t="e">
        <f>VLOOKUP(B4340,MICRO!E:L,8,0)</f>
        <v>#N/A</v>
      </c>
    </row>
    <row r="4341" spans="1:14" ht="20.25" x14ac:dyDescent="0.25">
      <c r="A4341" s="1">
        <v>61</v>
      </c>
      <c r="B4341" s="159">
        <v>3998</v>
      </c>
      <c r="C4341" s="1" t="s">
        <v>3528</v>
      </c>
      <c r="D4341" s="1"/>
      <c r="E4341" s="1" t="s">
        <v>3677</v>
      </c>
      <c r="F4341" s="1" t="s">
        <v>3678</v>
      </c>
      <c r="G4341" s="1">
        <v>1</v>
      </c>
      <c r="H4341" s="1" t="s">
        <v>19</v>
      </c>
      <c r="I4341" s="1" t="s">
        <v>1301</v>
      </c>
      <c r="J4341" s="1">
        <v>27.3</v>
      </c>
      <c r="K4341" s="1">
        <v>27.3</v>
      </c>
      <c r="L4341" s="42">
        <v>10</v>
      </c>
      <c r="M4341" s="43">
        <v>46198</v>
      </c>
      <c r="N4341" s="1" t="e">
        <f>VLOOKUP(B4341,MICRO!E:L,8,0)</f>
        <v>#N/A</v>
      </c>
    </row>
    <row r="4342" spans="1:14" ht="20.25" x14ac:dyDescent="0.25">
      <c r="A4342" s="1">
        <v>62</v>
      </c>
      <c r="B4342" s="159">
        <v>3999</v>
      </c>
      <c r="C4342" s="1" t="s">
        <v>3531</v>
      </c>
      <c r="D4342" s="1"/>
      <c r="E4342" s="1" t="s">
        <v>3679</v>
      </c>
      <c r="F4342" s="1" t="s">
        <v>3515</v>
      </c>
      <c r="G4342" s="1">
        <v>1</v>
      </c>
      <c r="H4342" s="1" t="s">
        <v>19</v>
      </c>
      <c r="I4342" s="1" t="s">
        <v>1295</v>
      </c>
      <c r="J4342" s="1">
        <v>32.5</v>
      </c>
      <c r="K4342" s="1">
        <v>32.5</v>
      </c>
      <c r="L4342" s="42">
        <v>10</v>
      </c>
      <c r="M4342" s="43">
        <v>46198</v>
      </c>
      <c r="N4342" s="1" t="e">
        <f>VLOOKUP(B4342,MICRO!E:L,8,0)</f>
        <v>#N/A</v>
      </c>
    </row>
    <row r="4343" spans="1:14" ht="20.25" x14ac:dyDescent="0.25">
      <c r="A4343" s="1">
        <v>63</v>
      </c>
      <c r="B4343" s="159">
        <v>4000</v>
      </c>
      <c r="C4343" s="1" t="s">
        <v>3507</v>
      </c>
      <c r="D4343" s="1"/>
      <c r="E4343" s="1" t="s">
        <v>3680</v>
      </c>
      <c r="F4343" s="1" t="s">
        <v>3654</v>
      </c>
      <c r="G4343" s="1">
        <v>1</v>
      </c>
      <c r="H4343" s="1" t="s">
        <v>19</v>
      </c>
      <c r="I4343" s="1" t="s">
        <v>1295</v>
      </c>
      <c r="J4343" s="1">
        <v>4.7</v>
      </c>
      <c r="K4343" s="1">
        <v>4.7</v>
      </c>
      <c r="L4343" s="42">
        <v>10</v>
      </c>
      <c r="M4343" s="43">
        <v>46198</v>
      </c>
      <c r="N4343" s="1" t="e">
        <f>VLOOKUP(B4343,MICRO!E:L,8,0)</f>
        <v>#N/A</v>
      </c>
    </row>
    <row r="4344" spans="1:14" ht="20.25" x14ac:dyDescent="0.25">
      <c r="A4344" s="1">
        <v>64</v>
      </c>
      <c r="B4344" s="159">
        <v>4001</v>
      </c>
      <c r="C4344" s="1" t="s">
        <v>3681</v>
      </c>
      <c r="D4344" s="1"/>
      <c r="E4344" s="1" t="s">
        <v>3682</v>
      </c>
      <c r="F4344" s="1" t="s">
        <v>3683</v>
      </c>
      <c r="G4344" s="1">
        <v>2</v>
      </c>
      <c r="H4344" s="1" t="s">
        <v>19</v>
      </c>
      <c r="I4344" s="1" t="s">
        <v>1300</v>
      </c>
      <c r="J4344" s="1">
        <v>1.1000000000000001</v>
      </c>
      <c r="K4344" s="1">
        <v>2.2000000000000002</v>
      </c>
      <c r="L4344" s="42">
        <v>10</v>
      </c>
      <c r="M4344" s="43">
        <v>46198</v>
      </c>
      <c r="N4344" s="1" t="e">
        <f>VLOOKUP(B4344,MICRO!E:L,8,0)</f>
        <v>#N/A</v>
      </c>
    </row>
    <row r="4345" spans="1:14" ht="20.25" x14ac:dyDescent="0.25">
      <c r="A4345" s="1">
        <v>65</v>
      </c>
      <c r="B4345" s="159">
        <v>4002</v>
      </c>
      <c r="C4345" s="1" t="s">
        <v>3681</v>
      </c>
      <c r="D4345" s="1"/>
      <c r="E4345" s="1" t="s">
        <v>3684</v>
      </c>
      <c r="F4345" s="1" t="s">
        <v>3685</v>
      </c>
      <c r="G4345" s="1">
        <v>1</v>
      </c>
      <c r="H4345" s="1" t="s">
        <v>19</v>
      </c>
      <c r="I4345" s="1" t="s">
        <v>1300</v>
      </c>
      <c r="J4345" s="1">
        <v>2.2999999999999998</v>
      </c>
      <c r="K4345" s="1">
        <v>2.2999999999999998</v>
      </c>
      <c r="L4345" s="42">
        <v>10</v>
      </c>
      <c r="M4345" s="43">
        <v>46198</v>
      </c>
      <c r="N4345" s="1" t="e">
        <f>VLOOKUP(B4345,MICRO!E:L,8,0)</f>
        <v>#N/A</v>
      </c>
    </row>
    <row r="4346" spans="1:14" ht="20.25" x14ac:dyDescent="0.25">
      <c r="A4346" s="1">
        <v>66</v>
      </c>
      <c r="B4346" s="159">
        <v>4003</v>
      </c>
      <c r="C4346" s="1" t="s">
        <v>3681</v>
      </c>
      <c r="D4346" s="1"/>
      <c r="E4346" s="1" t="s">
        <v>3684</v>
      </c>
      <c r="F4346" s="1" t="s">
        <v>3686</v>
      </c>
      <c r="G4346" s="1">
        <v>1</v>
      </c>
      <c r="H4346" s="1" t="s">
        <v>19</v>
      </c>
      <c r="I4346" s="1" t="s">
        <v>1300</v>
      </c>
      <c r="J4346" s="1">
        <v>0.1</v>
      </c>
      <c r="K4346" s="1">
        <v>0.1</v>
      </c>
      <c r="L4346" s="42">
        <v>10</v>
      </c>
      <c r="M4346" s="43">
        <v>46198</v>
      </c>
      <c r="N4346" s="1" t="e">
        <f>VLOOKUP(B4346,MICRO!E:L,8,0)</f>
        <v>#N/A</v>
      </c>
    </row>
    <row r="4347" spans="1:14" ht="20.25" x14ac:dyDescent="0.25">
      <c r="A4347" s="1">
        <v>67</v>
      </c>
      <c r="B4347" s="159">
        <v>4004</v>
      </c>
      <c r="C4347" s="1" t="s">
        <v>3681</v>
      </c>
      <c r="D4347" s="1"/>
      <c r="E4347" s="1" t="s">
        <v>3687</v>
      </c>
      <c r="F4347" s="1" t="s">
        <v>3688</v>
      </c>
      <c r="G4347" s="1">
        <v>1</v>
      </c>
      <c r="H4347" s="1" t="s">
        <v>19</v>
      </c>
      <c r="I4347" s="1" t="s">
        <v>1300</v>
      </c>
      <c r="J4347" s="1">
        <v>2.5</v>
      </c>
      <c r="K4347" s="1">
        <v>2.5</v>
      </c>
      <c r="L4347" s="42">
        <v>10</v>
      </c>
      <c r="M4347" s="43">
        <v>46198</v>
      </c>
      <c r="N4347" s="1" t="e">
        <f>VLOOKUP(B4347,MICRO!E:L,8,0)</f>
        <v>#N/A</v>
      </c>
    </row>
    <row r="4348" spans="1:14" ht="20.25" x14ac:dyDescent="0.25">
      <c r="A4348" s="1">
        <v>68</v>
      </c>
      <c r="B4348" s="159">
        <v>4005</v>
      </c>
      <c r="C4348" s="1" t="s">
        <v>3681</v>
      </c>
      <c r="D4348" s="1"/>
      <c r="E4348" s="1" t="s">
        <v>3689</v>
      </c>
      <c r="F4348" s="1" t="s">
        <v>3683</v>
      </c>
      <c r="G4348" s="1">
        <v>2</v>
      </c>
      <c r="H4348" s="1" t="s">
        <v>19</v>
      </c>
      <c r="I4348" s="1" t="s">
        <v>1290</v>
      </c>
      <c r="J4348" s="1">
        <v>1.7</v>
      </c>
      <c r="K4348" s="1">
        <v>3.4</v>
      </c>
      <c r="L4348" s="42">
        <v>10</v>
      </c>
      <c r="M4348" s="43">
        <v>46198</v>
      </c>
      <c r="N4348" s="1" t="e">
        <f>VLOOKUP(B4348,MICRO!E:L,8,0)</f>
        <v>#N/A</v>
      </c>
    </row>
    <row r="4349" spans="1:14" ht="20.25" x14ac:dyDescent="0.25">
      <c r="A4349" s="1">
        <v>69</v>
      </c>
      <c r="B4349" s="159">
        <v>4006</v>
      </c>
      <c r="C4349" s="1" t="s">
        <v>3681</v>
      </c>
      <c r="D4349" s="1"/>
      <c r="E4349" s="1" t="s">
        <v>3684</v>
      </c>
      <c r="F4349" s="1" t="s">
        <v>3685</v>
      </c>
      <c r="G4349" s="1">
        <v>1</v>
      </c>
      <c r="H4349" s="1" t="s">
        <v>19</v>
      </c>
      <c r="I4349" s="1" t="s">
        <v>1290</v>
      </c>
      <c r="J4349" s="1">
        <v>2.2999999999999998</v>
      </c>
      <c r="K4349" s="1">
        <v>2.2999999999999998</v>
      </c>
      <c r="L4349" s="42">
        <v>10</v>
      </c>
      <c r="M4349" s="43">
        <v>46198</v>
      </c>
      <c r="N4349" s="1" t="e">
        <f>VLOOKUP(B4349,MICRO!E:L,8,0)</f>
        <v>#N/A</v>
      </c>
    </row>
    <row r="4350" spans="1:14" ht="20.25" x14ac:dyDescent="0.25">
      <c r="A4350" s="1">
        <v>70</v>
      </c>
      <c r="B4350" s="159">
        <v>4007</v>
      </c>
      <c r="C4350" s="1" t="s">
        <v>3681</v>
      </c>
      <c r="D4350" s="1"/>
      <c r="E4350" s="1" t="s">
        <v>3684</v>
      </c>
      <c r="F4350" s="1" t="s">
        <v>3686</v>
      </c>
      <c r="G4350" s="1">
        <v>1</v>
      </c>
      <c r="H4350" s="1" t="s">
        <v>19</v>
      </c>
      <c r="I4350" s="1" t="s">
        <v>1290</v>
      </c>
      <c r="J4350" s="1">
        <v>0.1</v>
      </c>
      <c r="K4350" s="1">
        <v>0.1</v>
      </c>
      <c r="L4350" s="42">
        <v>10</v>
      </c>
      <c r="M4350" s="43">
        <v>46198</v>
      </c>
      <c r="N4350" s="1" t="e">
        <f>VLOOKUP(B4350,MICRO!E:L,8,0)</f>
        <v>#N/A</v>
      </c>
    </row>
    <row r="4351" spans="1:14" ht="20.25" x14ac:dyDescent="0.25">
      <c r="A4351" s="1">
        <v>71</v>
      </c>
      <c r="B4351" s="159">
        <v>4008</v>
      </c>
      <c r="C4351" s="1" t="s">
        <v>3681</v>
      </c>
      <c r="D4351" s="1"/>
      <c r="E4351" s="1" t="s">
        <v>3687</v>
      </c>
      <c r="F4351" s="1" t="s">
        <v>3688</v>
      </c>
      <c r="G4351" s="1">
        <v>1</v>
      </c>
      <c r="H4351" s="1" t="s">
        <v>19</v>
      </c>
      <c r="I4351" s="1" t="s">
        <v>1290</v>
      </c>
      <c r="J4351" s="1">
        <v>2.5</v>
      </c>
      <c r="K4351" s="1">
        <v>2.5</v>
      </c>
      <c r="L4351" s="42">
        <v>10</v>
      </c>
      <c r="M4351" s="43">
        <v>46198</v>
      </c>
      <c r="N4351" s="1" t="e">
        <f>VLOOKUP(B4351,MICRO!E:L,8,0)</f>
        <v>#N/A</v>
      </c>
    </row>
    <row r="4352" spans="1:14" ht="20.25" x14ac:dyDescent="0.25">
      <c r="A4352" s="1">
        <v>72</v>
      </c>
      <c r="B4352" s="159">
        <v>4009</v>
      </c>
      <c r="C4352" s="1" t="s">
        <v>3690</v>
      </c>
      <c r="D4352" s="1"/>
      <c r="E4352" s="1" t="s">
        <v>3691</v>
      </c>
      <c r="F4352" s="1" t="s">
        <v>3685</v>
      </c>
      <c r="G4352" s="1">
        <v>1</v>
      </c>
      <c r="H4352" s="1" t="s">
        <v>19</v>
      </c>
      <c r="I4352" s="1" t="s">
        <v>1295</v>
      </c>
      <c r="J4352" s="1">
        <v>2.2999999999999998</v>
      </c>
      <c r="K4352" s="1">
        <v>2.2999999999999998</v>
      </c>
      <c r="L4352" s="42">
        <v>10</v>
      </c>
      <c r="M4352" s="43">
        <v>46198</v>
      </c>
      <c r="N4352" s="1" t="e">
        <f>VLOOKUP(B4352,MICRO!E:L,8,0)</f>
        <v>#N/A</v>
      </c>
    </row>
    <row r="4353" spans="1:14" ht="20.25" x14ac:dyDescent="0.25">
      <c r="A4353" s="1">
        <v>73</v>
      </c>
      <c r="B4353" s="159">
        <v>4010</v>
      </c>
      <c r="C4353" s="1" t="s">
        <v>3690</v>
      </c>
      <c r="D4353" s="1"/>
      <c r="E4353" s="1" t="s">
        <v>3691</v>
      </c>
      <c r="F4353" s="1" t="s">
        <v>3692</v>
      </c>
      <c r="G4353" s="1">
        <v>1</v>
      </c>
      <c r="H4353" s="1" t="s">
        <v>19</v>
      </c>
      <c r="I4353" s="1" t="s">
        <v>1295</v>
      </c>
      <c r="J4353" s="1">
        <v>0.1</v>
      </c>
      <c r="K4353" s="1">
        <v>0.1</v>
      </c>
      <c r="L4353" s="42">
        <v>10</v>
      </c>
      <c r="M4353" s="43">
        <v>46198</v>
      </c>
      <c r="N4353" s="1" t="e">
        <f>VLOOKUP(B4353,MICRO!E:L,8,0)</f>
        <v>#N/A</v>
      </c>
    </row>
    <row r="4354" spans="1:14" ht="20.25" x14ac:dyDescent="0.25">
      <c r="A4354" s="1">
        <v>74</v>
      </c>
      <c r="B4354" s="159">
        <v>4011</v>
      </c>
      <c r="C4354" s="1" t="s">
        <v>3690</v>
      </c>
      <c r="D4354" s="1"/>
      <c r="E4354" s="1" t="s">
        <v>3693</v>
      </c>
      <c r="F4354" s="1" t="s">
        <v>3688</v>
      </c>
      <c r="G4354" s="1">
        <v>1</v>
      </c>
      <c r="H4354" s="1" t="s">
        <v>19</v>
      </c>
      <c r="I4354" s="1" t="s">
        <v>1295</v>
      </c>
      <c r="J4354" s="1">
        <v>2.4</v>
      </c>
      <c r="K4354" s="1">
        <v>2.4</v>
      </c>
      <c r="L4354" s="42">
        <v>10</v>
      </c>
      <c r="M4354" s="43">
        <v>46198</v>
      </c>
      <c r="N4354" s="1" t="e">
        <f>VLOOKUP(B4354,MICRO!E:L,8,0)</f>
        <v>#N/A</v>
      </c>
    </row>
    <row r="4355" spans="1:14" ht="20.25" x14ac:dyDescent="0.25">
      <c r="A4355" s="1">
        <v>75</v>
      </c>
      <c r="B4355" s="159">
        <v>4012</v>
      </c>
      <c r="C4355" s="1" t="s">
        <v>3690</v>
      </c>
      <c r="D4355" s="1"/>
      <c r="E4355" s="1" t="s">
        <v>3694</v>
      </c>
      <c r="F4355" s="1" t="s">
        <v>3685</v>
      </c>
      <c r="G4355" s="1">
        <v>1</v>
      </c>
      <c r="H4355" s="1" t="s">
        <v>19</v>
      </c>
      <c r="I4355" s="1" t="s">
        <v>1301</v>
      </c>
      <c r="J4355" s="1">
        <v>2.2999999999999998</v>
      </c>
      <c r="K4355" s="1">
        <v>2.2999999999999998</v>
      </c>
      <c r="L4355" s="42">
        <v>10</v>
      </c>
      <c r="M4355" s="43">
        <v>46198</v>
      </c>
      <c r="N4355" s="1" t="e">
        <f>VLOOKUP(B4355,MICRO!E:L,8,0)</f>
        <v>#N/A</v>
      </c>
    </row>
    <row r="4356" spans="1:14" ht="20.25" x14ac:dyDescent="0.25">
      <c r="A4356" s="1">
        <v>76</v>
      </c>
      <c r="B4356" s="159">
        <v>4013</v>
      </c>
      <c r="C4356" s="1" t="s">
        <v>3690</v>
      </c>
      <c r="D4356" s="1"/>
      <c r="E4356" s="1" t="s">
        <v>3694</v>
      </c>
      <c r="F4356" s="1" t="s">
        <v>3692</v>
      </c>
      <c r="G4356" s="1">
        <v>1</v>
      </c>
      <c r="H4356" s="1" t="s">
        <v>19</v>
      </c>
      <c r="I4356" s="1" t="s">
        <v>1301</v>
      </c>
      <c r="J4356" s="1">
        <v>0.1</v>
      </c>
      <c r="K4356" s="1">
        <v>0.1</v>
      </c>
      <c r="L4356" s="42">
        <v>10</v>
      </c>
      <c r="M4356" s="43">
        <v>46198</v>
      </c>
      <c r="N4356" s="1" t="e">
        <f>VLOOKUP(B4356,MICRO!E:L,8,0)</f>
        <v>#N/A</v>
      </c>
    </row>
    <row r="4357" spans="1:14" ht="20.25" x14ac:dyDescent="0.25">
      <c r="A4357" s="1">
        <v>77</v>
      </c>
      <c r="B4357" s="159">
        <v>4014</v>
      </c>
      <c r="C4357" s="1" t="s">
        <v>3690</v>
      </c>
      <c r="D4357" s="1"/>
      <c r="E4357" s="1" t="s">
        <v>3693</v>
      </c>
      <c r="F4357" s="1" t="s">
        <v>3688</v>
      </c>
      <c r="G4357" s="1">
        <v>1</v>
      </c>
      <c r="H4357" s="1" t="s">
        <v>19</v>
      </c>
      <c r="I4357" s="1" t="s">
        <v>1301</v>
      </c>
      <c r="J4357" s="1">
        <v>2.5</v>
      </c>
      <c r="K4357" s="1">
        <v>2.5</v>
      </c>
      <c r="L4357" s="42">
        <v>10</v>
      </c>
      <c r="M4357" s="43">
        <v>46198</v>
      </c>
      <c r="N4357" s="1" t="e">
        <f>VLOOKUP(B4357,MICRO!E:L,8,0)</f>
        <v>#N/A</v>
      </c>
    </row>
    <row r="4358" spans="1:14" ht="20.25" x14ac:dyDescent="0.25">
      <c r="A4358" s="1">
        <v>78</v>
      </c>
      <c r="B4358" s="159">
        <v>4015</v>
      </c>
      <c r="C4358" s="1"/>
      <c r="D4358" s="1"/>
      <c r="E4358" s="1"/>
      <c r="F4358" s="1" t="s">
        <v>3695</v>
      </c>
      <c r="G4358" s="1">
        <v>2</v>
      </c>
      <c r="H4358" s="1" t="s">
        <v>19</v>
      </c>
      <c r="I4358" s="1" t="s">
        <v>3696</v>
      </c>
      <c r="J4358" s="1">
        <v>1.5</v>
      </c>
      <c r="K4358" s="1">
        <v>3</v>
      </c>
      <c r="L4358" s="42">
        <v>10</v>
      </c>
      <c r="M4358" s="43">
        <v>46198</v>
      </c>
      <c r="N4358" s="1" t="e">
        <f>VLOOKUP(B4358,MICRO!E:L,8,0)</f>
        <v>#N/A</v>
      </c>
    </row>
    <row r="4359" spans="1:14" ht="20.25" x14ac:dyDescent="0.25">
      <c r="A4359" s="1">
        <v>79</v>
      </c>
      <c r="B4359" s="159">
        <v>4016</v>
      </c>
      <c r="C4359" s="1"/>
      <c r="D4359" s="1"/>
      <c r="E4359" s="1"/>
      <c r="F4359" s="1" t="s">
        <v>3697</v>
      </c>
      <c r="G4359" s="1">
        <v>2</v>
      </c>
      <c r="H4359" s="1" t="s">
        <v>19</v>
      </c>
      <c r="I4359" s="1" t="s">
        <v>3696</v>
      </c>
      <c r="J4359" s="1">
        <v>1.2</v>
      </c>
      <c r="K4359" s="1">
        <v>2.4</v>
      </c>
      <c r="L4359" s="42">
        <v>10</v>
      </c>
      <c r="M4359" s="43">
        <v>46198</v>
      </c>
      <c r="N4359" s="1" t="e">
        <f>VLOOKUP(B4359,MICRO!E:L,8,0)</f>
        <v>#N/A</v>
      </c>
    </row>
    <row r="4360" spans="1:14" ht="20.25" x14ac:dyDescent="0.25">
      <c r="A4360" s="1">
        <v>80</v>
      </c>
      <c r="B4360" s="159">
        <v>4017</v>
      </c>
      <c r="C4360" s="1"/>
      <c r="D4360" s="1"/>
      <c r="E4360" s="1"/>
      <c r="F4360" s="1" t="s">
        <v>3698</v>
      </c>
      <c r="G4360" s="1">
        <v>1</v>
      </c>
      <c r="H4360" s="1" t="s">
        <v>19</v>
      </c>
      <c r="I4360" s="1" t="s">
        <v>3699</v>
      </c>
      <c r="J4360" s="1">
        <v>2.2999999999999998</v>
      </c>
      <c r="K4360" s="1">
        <v>2.2999999999999998</v>
      </c>
      <c r="L4360" s="42">
        <v>10</v>
      </c>
      <c r="M4360" s="43">
        <v>46198</v>
      </c>
      <c r="N4360" s="1" t="e">
        <f>VLOOKUP(B4360,MICRO!E:L,8,0)</f>
        <v>#N/A</v>
      </c>
    </row>
    <row r="4361" spans="1:14" ht="20.25" x14ac:dyDescent="0.25">
      <c r="A4361" s="1">
        <v>81</v>
      </c>
      <c r="B4361" s="159">
        <v>4018</v>
      </c>
      <c r="C4361" s="1"/>
      <c r="D4361" s="1"/>
      <c r="E4361" s="1"/>
      <c r="F4361" s="1" t="s">
        <v>3700</v>
      </c>
      <c r="G4361" s="1">
        <v>1</v>
      </c>
      <c r="H4361" s="1" t="s">
        <v>19</v>
      </c>
      <c r="I4361" s="1" t="s">
        <v>3699</v>
      </c>
      <c r="J4361" s="1">
        <v>2.5</v>
      </c>
      <c r="K4361" s="1">
        <v>2.5</v>
      </c>
      <c r="L4361" s="42">
        <v>10</v>
      </c>
      <c r="M4361" s="43">
        <v>46198</v>
      </c>
      <c r="N4361" s="1" t="e">
        <f>VLOOKUP(B4361,MICRO!E:L,8,0)</f>
        <v>#N/A</v>
      </c>
    </row>
    <row r="4362" spans="1:14" ht="20.25" x14ac:dyDescent="0.25">
      <c r="A4362" s="1">
        <v>82</v>
      </c>
      <c r="B4362" s="159">
        <v>4019</v>
      </c>
      <c r="C4362" s="1"/>
      <c r="D4362" s="1"/>
      <c r="E4362" s="1"/>
      <c r="F4362" s="1" t="s">
        <v>3701</v>
      </c>
      <c r="G4362" s="1">
        <v>2</v>
      </c>
      <c r="H4362" s="1" t="s">
        <v>19</v>
      </c>
      <c r="I4362" s="1" t="s">
        <v>3699</v>
      </c>
      <c r="J4362" s="1">
        <v>0.5</v>
      </c>
      <c r="K4362" s="1">
        <v>1</v>
      </c>
      <c r="L4362" s="42">
        <v>10</v>
      </c>
      <c r="M4362" s="43">
        <v>46198</v>
      </c>
      <c r="N4362" s="1" t="e">
        <f>VLOOKUP(B4362,MICRO!E:L,8,0)</f>
        <v>#N/A</v>
      </c>
    </row>
    <row r="4363" spans="1:14" ht="20.25" x14ac:dyDescent="0.25">
      <c r="A4363" s="1">
        <v>83</v>
      </c>
      <c r="B4363" s="159">
        <v>4020</v>
      </c>
      <c r="C4363" s="1"/>
      <c r="D4363" s="1"/>
      <c r="E4363" s="1"/>
      <c r="F4363" s="1" t="s">
        <v>3702</v>
      </c>
      <c r="G4363" s="1">
        <v>4</v>
      </c>
      <c r="H4363" s="1" t="s">
        <v>19</v>
      </c>
      <c r="I4363" s="1" t="s">
        <v>3699</v>
      </c>
      <c r="J4363" s="1">
        <v>0.2</v>
      </c>
      <c r="K4363" s="1">
        <v>0.8</v>
      </c>
      <c r="L4363" s="42">
        <v>10</v>
      </c>
      <c r="M4363" s="43">
        <v>46198</v>
      </c>
      <c r="N4363" s="1" t="e">
        <f>VLOOKUP(B4363,MICRO!E:L,8,0)</f>
        <v>#N/A</v>
      </c>
    </row>
    <row r="4364" spans="1:14" ht="20.25" x14ac:dyDescent="0.25">
      <c r="A4364" s="1">
        <v>84</v>
      </c>
      <c r="B4364" s="159">
        <v>4021</v>
      </c>
      <c r="C4364" s="1"/>
      <c r="D4364" s="1"/>
      <c r="E4364" s="1"/>
      <c r="F4364" s="1" t="s">
        <v>3703</v>
      </c>
      <c r="G4364" s="1">
        <v>1</v>
      </c>
      <c r="H4364" s="1" t="s">
        <v>19</v>
      </c>
      <c r="I4364" s="1" t="s">
        <v>3699</v>
      </c>
      <c r="J4364" s="1">
        <v>2.2999999999999998</v>
      </c>
      <c r="K4364" s="1">
        <v>2.2999999999999998</v>
      </c>
      <c r="L4364" s="42">
        <v>10</v>
      </c>
      <c r="M4364" s="43">
        <v>46198</v>
      </c>
      <c r="N4364" s="1" t="e">
        <f>VLOOKUP(B4364,MICRO!E:L,8,0)</f>
        <v>#N/A</v>
      </c>
    </row>
    <row r="4365" spans="1:14" ht="20.25" x14ac:dyDescent="0.25">
      <c r="A4365" s="1">
        <v>85</v>
      </c>
      <c r="B4365" s="159">
        <v>4022</v>
      </c>
      <c r="C4365" s="1"/>
      <c r="D4365" s="1"/>
      <c r="E4365" s="1"/>
      <c r="F4365" s="1" t="s">
        <v>3700</v>
      </c>
      <c r="G4365" s="1">
        <v>1</v>
      </c>
      <c r="H4365" s="1" t="s">
        <v>19</v>
      </c>
      <c r="I4365" s="1" t="s">
        <v>3699</v>
      </c>
      <c r="J4365" s="1">
        <v>2.5</v>
      </c>
      <c r="K4365" s="1">
        <v>2.5</v>
      </c>
      <c r="L4365" s="42">
        <v>10</v>
      </c>
      <c r="M4365" s="43">
        <v>46198</v>
      </c>
      <c r="N4365" s="1" t="e">
        <f>VLOOKUP(B4365,MICRO!E:L,8,0)</f>
        <v>#N/A</v>
      </c>
    </row>
    <row r="4366" spans="1:14" ht="20.25" x14ac:dyDescent="0.25">
      <c r="A4366" s="1">
        <v>86</v>
      </c>
      <c r="B4366" s="159">
        <v>4023</v>
      </c>
      <c r="C4366" s="1"/>
      <c r="D4366" s="1"/>
      <c r="E4366" s="1"/>
      <c r="F4366" s="1" t="s">
        <v>3704</v>
      </c>
      <c r="G4366" s="1">
        <v>2</v>
      </c>
      <c r="H4366" s="1" t="s">
        <v>19</v>
      </c>
      <c r="I4366" s="1" t="s">
        <v>3699</v>
      </c>
      <c r="J4366" s="1">
        <v>0.5</v>
      </c>
      <c r="K4366" s="1">
        <v>1</v>
      </c>
      <c r="L4366" s="42">
        <v>10</v>
      </c>
      <c r="M4366" s="43">
        <v>46198</v>
      </c>
      <c r="N4366" s="1" t="e">
        <f>VLOOKUP(B4366,MICRO!E:L,8,0)</f>
        <v>#N/A</v>
      </c>
    </row>
    <row r="4367" spans="1:14" ht="20.25" x14ac:dyDescent="0.25">
      <c r="A4367" s="1">
        <v>87</v>
      </c>
      <c r="B4367" s="159">
        <v>4024</v>
      </c>
      <c r="C4367" s="1"/>
      <c r="D4367" s="1"/>
      <c r="E4367" s="1"/>
      <c r="F4367" s="1" t="s">
        <v>3705</v>
      </c>
      <c r="G4367" s="1">
        <v>4</v>
      </c>
      <c r="H4367" s="1" t="s">
        <v>19</v>
      </c>
      <c r="I4367" s="1" t="s">
        <v>3699</v>
      </c>
      <c r="J4367" s="1">
        <v>0.2</v>
      </c>
      <c r="K4367" s="1">
        <v>0.8</v>
      </c>
      <c r="L4367" s="42">
        <v>10</v>
      </c>
      <c r="M4367" s="43">
        <v>46198</v>
      </c>
      <c r="N4367" s="1" t="e">
        <f>VLOOKUP(B4367,MICRO!E:L,8,0)</f>
        <v>#N/A</v>
      </c>
    </row>
    <row r="4368" spans="1:14" ht="20.25" x14ac:dyDescent="0.25">
      <c r="A4368" s="1">
        <v>88</v>
      </c>
      <c r="B4368" s="159">
        <v>4025</v>
      </c>
      <c r="C4368" s="1" t="s">
        <v>3616</v>
      </c>
      <c r="D4368" s="1" t="s">
        <v>3706</v>
      </c>
      <c r="E4368" s="1"/>
      <c r="F4368" s="1" t="s">
        <v>3707</v>
      </c>
      <c r="G4368" s="1">
        <v>1</v>
      </c>
      <c r="H4368" s="1" t="s">
        <v>19</v>
      </c>
      <c r="I4368" s="1" t="s">
        <v>3708</v>
      </c>
      <c r="J4368" s="1">
        <v>1.5</v>
      </c>
      <c r="K4368" s="1">
        <v>1.5</v>
      </c>
      <c r="L4368" s="42">
        <v>10</v>
      </c>
      <c r="M4368" s="43">
        <v>46198</v>
      </c>
      <c r="N4368" s="1" t="e">
        <f>VLOOKUP(B4368,MICRO!E:L,8,0)</f>
        <v>#N/A</v>
      </c>
    </row>
    <row r="4369" spans="1:14" ht="20.25" x14ac:dyDescent="0.25">
      <c r="A4369" s="1">
        <v>89</v>
      </c>
      <c r="B4369" s="159">
        <v>4026</v>
      </c>
      <c r="C4369" s="1" t="s">
        <v>3616</v>
      </c>
      <c r="D4369" s="1" t="s">
        <v>3709</v>
      </c>
      <c r="E4369" s="1"/>
      <c r="F4369" s="1" t="s">
        <v>3710</v>
      </c>
      <c r="G4369" s="1">
        <v>2</v>
      </c>
      <c r="H4369" s="1" t="s">
        <v>19</v>
      </c>
      <c r="I4369" s="1" t="s">
        <v>3708</v>
      </c>
      <c r="J4369" s="1">
        <v>1.1000000000000001</v>
      </c>
      <c r="K4369" s="1">
        <v>2.2000000000000002</v>
      </c>
      <c r="L4369" s="42">
        <v>10</v>
      </c>
      <c r="M4369" s="43">
        <v>46198</v>
      </c>
      <c r="N4369" s="1" t="e">
        <f>VLOOKUP(B4369,MICRO!E:L,8,0)</f>
        <v>#N/A</v>
      </c>
    </row>
    <row r="4370" spans="1:14" ht="20.25" x14ac:dyDescent="0.25">
      <c r="A4370" s="1">
        <v>90</v>
      </c>
      <c r="B4370" s="159">
        <v>4027</v>
      </c>
      <c r="C4370" s="1" t="s">
        <v>3616</v>
      </c>
      <c r="D4370" s="1" t="s">
        <v>3711</v>
      </c>
      <c r="E4370" s="1"/>
      <c r="F4370" s="1" t="s">
        <v>3712</v>
      </c>
      <c r="G4370" s="1">
        <v>1</v>
      </c>
      <c r="H4370" s="1" t="s">
        <v>19</v>
      </c>
      <c r="I4370" s="1" t="s">
        <v>3708</v>
      </c>
      <c r="J4370" s="1">
        <v>1.5</v>
      </c>
      <c r="K4370" s="1">
        <v>1.5</v>
      </c>
      <c r="L4370" s="42">
        <v>10</v>
      </c>
      <c r="M4370" s="43">
        <v>46198</v>
      </c>
      <c r="N4370" s="1" t="e">
        <f>VLOOKUP(B4370,MICRO!E:L,8,0)</f>
        <v>#N/A</v>
      </c>
    </row>
    <row r="4371" spans="1:14" ht="20.25" x14ac:dyDescent="0.25">
      <c r="A4371" s="1">
        <v>91</v>
      </c>
      <c r="B4371" s="159">
        <v>4028</v>
      </c>
      <c r="C4371" s="1" t="s">
        <v>3616</v>
      </c>
      <c r="D4371" s="1" t="s">
        <v>3711</v>
      </c>
      <c r="E4371" s="1"/>
      <c r="F4371" s="1" t="s">
        <v>3713</v>
      </c>
      <c r="G4371" s="1">
        <v>2</v>
      </c>
      <c r="H4371" s="1" t="s">
        <v>19</v>
      </c>
      <c r="I4371" s="1" t="s">
        <v>3708</v>
      </c>
      <c r="J4371" s="1">
        <v>1.1000000000000001</v>
      </c>
      <c r="K4371" s="1">
        <v>2.2000000000000002</v>
      </c>
      <c r="L4371" s="42">
        <v>10</v>
      </c>
      <c r="M4371" s="43">
        <v>46198</v>
      </c>
      <c r="N4371" s="1" t="e">
        <f>VLOOKUP(B4371,MICRO!E:L,8,0)</f>
        <v>#N/A</v>
      </c>
    </row>
    <row r="4372" spans="1:14" ht="20.25" x14ac:dyDescent="0.25">
      <c r="A4372" s="1">
        <v>92</v>
      </c>
      <c r="B4372" s="159">
        <v>4029</v>
      </c>
      <c r="C4372" s="1"/>
      <c r="D4372" s="1" t="s">
        <v>3714</v>
      </c>
      <c r="E4372" s="1"/>
      <c r="F4372" s="1" t="s">
        <v>3715</v>
      </c>
      <c r="G4372" s="1">
        <v>1</v>
      </c>
      <c r="H4372" s="1" t="s">
        <v>19</v>
      </c>
      <c r="I4372" s="1" t="s">
        <v>3714</v>
      </c>
      <c r="J4372" s="1">
        <v>1.5</v>
      </c>
      <c r="K4372" s="1">
        <v>1.5</v>
      </c>
      <c r="L4372" s="42">
        <v>10</v>
      </c>
      <c r="M4372" s="43">
        <v>46198</v>
      </c>
      <c r="N4372" s="1" t="e">
        <f>VLOOKUP(B4372,MICRO!E:L,8,0)</f>
        <v>#N/A</v>
      </c>
    </row>
    <row r="4373" spans="1:14" ht="20.25" x14ac:dyDescent="0.25">
      <c r="A4373" s="1">
        <v>93</v>
      </c>
      <c r="B4373" s="159">
        <v>4030</v>
      </c>
      <c r="C4373" s="1"/>
      <c r="D4373" s="1" t="s">
        <v>3714</v>
      </c>
      <c r="E4373" s="1"/>
      <c r="F4373" s="1" t="s">
        <v>3716</v>
      </c>
      <c r="G4373" s="1">
        <v>1</v>
      </c>
      <c r="H4373" s="1" t="s">
        <v>19</v>
      </c>
      <c r="I4373" s="1" t="s">
        <v>3714</v>
      </c>
      <c r="J4373" s="1">
        <v>1.1000000000000001</v>
      </c>
      <c r="K4373" s="1">
        <v>1.1000000000000001</v>
      </c>
      <c r="L4373" s="42">
        <v>10</v>
      </c>
      <c r="M4373" s="43">
        <v>46198</v>
      </c>
      <c r="N4373" s="1" t="e">
        <f>VLOOKUP(B4373,MICRO!E:L,8,0)</f>
        <v>#N/A</v>
      </c>
    </row>
    <row r="4374" spans="1:14" ht="20.25" x14ac:dyDescent="0.25">
      <c r="A4374" s="1">
        <v>94</v>
      </c>
      <c r="B4374" s="159">
        <v>4031</v>
      </c>
      <c r="C4374" s="1" t="s">
        <v>3717</v>
      </c>
      <c r="D4374" s="1" t="s">
        <v>3718</v>
      </c>
      <c r="E4374" s="1"/>
      <c r="F4374" s="1" t="s">
        <v>3719</v>
      </c>
      <c r="G4374" s="1">
        <v>1</v>
      </c>
      <c r="H4374" s="1" t="s">
        <v>19</v>
      </c>
      <c r="I4374" s="1" t="s">
        <v>3718</v>
      </c>
      <c r="J4374" s="1">
        <v>1.5</v>
      </c>
      <c r="K4374" s="1">
        <v>1.5</v>
      </c>
      <c r="L4374" s="42">
        <v>10</v>
      </c>
      <c r="M4374" s="43">
        <v>46198</v>
      </c>
      <c r="N4374" s="1" t="e">
        <f>VLOOKUP(B4374,MICRO!E:L,8,0)</f>
        <v>#N/A</v>
      </c>
    </row>
    <row r="4375" spans="1:14" ht="20.25" x14ac:dyDescent="0.25">
      <c r="A4375" s="1">
        <v>95</v>
      </c>
      <c r="B4375" s="159">
        <v>4032</v>
      </c>
      <c r="C4375" s="1" t="s">
        <v>3717</v>
      </c>
      <c r="D4375" s="1" t="s">
        <v>3718</v>
      </c>
      <c r="E4375" s="1"/>
      <c r="F4375" s="1" t="s">
        <v>3720</v>
      </c>
      <c r="G4375" s="1">
        <v>1</v>
      </c>
      <c r="H4375" s="1" t="s">
        <v>19</v>
      </c>
      <c r="I4375" s="1" t="s">
        <v>3718</v>
      </c>
      <c r="J4375" s="1">
        <v>1.1000000000000001</v>
      </c>
      <c r="K4375" s="1">
        <v>1.1000000000000001</v>
      </c>
      <c r="L4375" s="42">
        <v>10</v>
      </c>
      <c r="M4375" s="43">
        <v>46198</v>
      </c>
      <c r="N4375" s="1" t="e">
        <f>VLOOKUP(B4375,MICRO!E:L,8,0)</f>
        <v>#N/A</v>
      </c>
    </row>
    <row r="4376" spans="1:14" ht="20.25" x14ac:dyDescent="0.25">
      <c r="A4376" s="1">
        <v>96</v>
      </c>
      <c r="B4376" s="159">
        <v>4033</v>
      </c>
      <c r="C4376" s="1"/>
      <c r="D4376" s="1"/>
      <c r="E4376" s="1"/>
      <c r="F4376" s="1" t="s">
        <v>3721</v>
      </c>
      <c r="G4376" s="1">
        <v>1</v>
      </c>
      <c r="H4376" s="1" t="s">
        <v>19</v>
      </c>
      <c r="I4376" s="1" t="s">
        <v>3696</v>
      </c>
      <c r="J4376" s="1">
        <v>10</v>
      </c>
      <c r="K4376" s="1">
        <v>10</v>
      </c>
      <c r="L4376" s="42">
        <v>10</v>
      </c>
      <c r="M4376" s="43">
        <v>46198</v>
      </c>
      <c r="N4376" s="1" t="e">
        <f>VLOOKUP(B4376,MICRO!E:L,8,0)</f>
        <v>#N/A</v>
      </c>
    </row>
    <row r="4377" spans="1:14" ht="20.25" x14ac:dyDescent="0.25">
      <c r="A4377" s="1">
        <v>97</v>
      </c>
      <c r="B4377" s="159">
        <v>4034</v>
      </c>
      <c r="C4377" s="1"/>
      <c r="D4377" s="1"/>
      <c r="E4377" s="1"/>
      <c r="F4377" s="1" t="s">
        <v>3722</v>
      </c>
      <c r="G4377" s="1">
        <v>1</v>
      </c>
      <c r="H4377" s="1" t="s">
        <v>19</v>
      </c>
      <c r="I4377" s="1" t="s">
        <v>3708</v>
      </c>
      <c r="J4377" s="1">
        <v>10</v>
      </c>
      <c r="K4377" s="1">
        <v>10</v>
      </c>
      <c r="L4377" s="42">
        <v>10</v>
      </c>
      <c r="M4377" s="43">
        <v>46198</v>
      </c>
      <c r="N4377" s="1" t="e">
        <f>VLOOKUP(B4377,MICRO!E:L,8,0)</f>
        <v>#N/A</v>
      </c>
    </row>
    <row r="4378" spans="1:14" ht="20.25" x14ac:dyDescent="0.25">
      <c r="A4378" s="1">
        <v>98</v>
      </c>
      <c r="B4378" s="159">
        <v>4035</v>
      </c>
      <c r="C4378" s="1" t="s">
        <v>3596</v>
      </c>
      <c r="D4378" s="1"/>
      <c r="E4378" s="1"/>
      <c r="F4378" s="1" t="s">
        <v>3723</v>
      </c>
      <c r="G4378" s="1">
        <v>1</v>
      </c>
      <c r="H4378" s="1" t="s">
        <v>19</v>
      </c>
      <c r="I4378" s="1" t="s">
        <v>3724</v>
      </c>
      <c r="J4378" s="1">
        <v>10</v>
      </c>
      <c r="K4378" s="1">
        <v>10</v>
      </c>
      <c r="L4378" s="42">
        <v>10</v>
      </c>
      <c r="M4378" s="43">
        <v>46198</v>
      </c>
      <c r="N4378" s="1" t="e">
        <f>VLOOKUP(B4378,MICRO!E:L,8,0)</f>
        <v>#N/A</v>
      </c>
    </row>
    <row r="4379" spans="1:14" ht="20.25" x14ac:dyDescent="0.25">
      <c r="A4379" s="1">
        <v>99</v>
      </c>
      <c r="B4379" s="159">
        <v>4036</v>
      </c>
      <c r="C4379" s="1" t="s">
        <v>3616</v>
      </c>
      <c r="D4379" s="1"/>
      <c r="E4379" s="1"/>
      <c r="F4379" s="1" t="s">
        <v>3725</v>
      </c>
      <c r="G4379" s="1">
        <v>1</v>
      </c>
      <c r="H4379" s="1" t="s">
        <v>19</v>
      </c>
      <c r="I4379" s="1" t="s">
        <v>3726</v>
      </c>
      <c r="J4379" s="1">
        <v>10</v>
      </c>
      <c r="K4379" s="1">
        <v>10</v>
      </c>
      <c r="L4379" s="42">
        <v>10</v>
      </c>
      <c r="M4379" s="43">
        <v>46198</v>
      </c>
      <c r="N4379" s="1" t="e">
        <f>VLOOKUP(B4379,MICRO!E:L,8,0)</f>
        <v>#N/A</v>
      </c>
    </row>
    <row r="4380" spans="1:14" ht="20.25" x14ac:dyDescent="0.25">
      <c r="A4380" s="1">
        <v>100</v>
      </c>
      <c r="B4380" s="159">
        <v>4037</v>
      </c>
      <c r="C4380" s="1" t="s">
        <v>954</v>
      </c>
      <c r="D4380" s="1"/>
      <c r="E4380" s="1" t="s">
        <v>100</v>
      </c>
      <c r="F4380" s="1" t="s">
        <v>3727</v>
      </c>
      <c r="G4380" s="1">
        <v>12</v>
      </c>
      <c r="H4380" s="1" t="s">
        <v>19</v>
      </c>
      <c r="I4380" s="1" t="s">
        <v>634</v>
      </c>
      <c r="J4380" s="1">
        <v>0.62</v>
      </c>
      <c r="K4380" s="1">
        <v>7.4399999999999995</v>
      </c>
      <c r="L4380" s="42">
        <v>10</v>
      </c>
      <c r="M4380" s="43">
        <v>46198</v>
      </c>
      <c r="N4380" s="1" t="e">
        <f>VLOOKUP(B4380,MICRO!E:L,8,0)</f>
        <v>#N/A</v>
      </c>
    </row>
    <row r="4381" spans="1:14" ht="20.25" x14ac:dyDescent="0.25">
      <c r="A4381" s="1">
        <v>101</v>
      </c>
      <c r="B4381" s="159">
        <v>4038</v>
      </c>
      <c r="C4381" s="1" t="s">
        <v>1905</v>
      </c>
      <c r="D4381" s="1"/>
      <c r="E4381" s="1" t="s">
        <v>2</v>
      </c>
      <c r="F4381" s="1" t="s">
        <v>3728</v>
      </c>
      <c r="G4381" s="1">
        <v>18</v>
      </c>
      <c r="H4381" s="1" t="s">
        <v>19</v>
      </c>
      <c r="I4381" s="1" t="s">
        <v>1301</v>
      </c>
      <c r="J4381" s="1">
        <v>0.9</v>
      </c>
      <c r="K4381" s="1">
        <v>16.2</v>
      </c>
      <c r="L4381" s="42">
        <v>10</v>
      </c>
      <c r="M4381" s="43">
        <v>46198</v>
      </c>
      <c r="N4381" s="1" t="e">
        <f>VLOOKUP(B4381,MICRO!E:L,8,0)</f>
        <v>#N/A</v>
      </c>
    </row>
    <row r="4382" spans="1:14" ht="20.25" x14ac:dyDescent="0.25">
      <c r="A4382" s="1">
        <v>1</v>
      </c>
      <c r="B4382" s="159"/>
      <c r="C4382" s="1" t="s">
        <v>2552</v>
      </c>
      <c r="D4382" s="1"/>
      <c r="E4382" s="1"/>
      <c r="F4382" s="1" t="s">
        <v>3736</v>
      </c>
      <c r="G4382" s="1">
        <v>47</v>
      </c>
      <c r="H4382" s="1" t="s">
        <v>19</v>
      </c>
      <c r="I4382" s="1" t="s">
        <v>3737</v>
      </c>
      <c r="J4382" s="1">
        <v>121.38</v>
      </c>
      <c r="K4382" s="1">
        <v>5704.86</v>
      </c>
      <c r="L4382" s="42">
        <v>1</v>
      </c>
      <c r="M4382" s="43">
        <v>46146</v>
      </c>
      <c r="N4382" s="1" t="e">
        <f>VLOOKUP(B4382,MICRO!E:L,8,0)</f>
        <v>#N/A</v>
      </c>
    </row>
    <row r="4383" spans="1:14" ht="20.25" x14ac:dyDescent="0.25">
      <c r="A4383" s="1">
        <v>1</v>
      </c>
      <c r="B4383" s="159">
        <v>3482</v>
      </c>
      <c r="C4383" s="1" t="s">
        <v>2558</v>
      </c>
      <c r="D4383" s="1"/>
      <c r="E4383" s="1"/>
      <c r="F4383" s="1" t="s">
        <v>2559</v>
      </c>
      <c r="G4383" s="1">
        <v>2</v>
      </c>
      <c r="H4383" s="1" t="s">
        <v>19</v>
      </c>
      <c r="I4383" s="1" t="s">
        <v>3737</v>
      </c>
      <c r="J4383" s="1">
        <v>426</v>
      </c>
      <c r="K4383" s="1">
        <v>852</v>
      </c>
      <c r="L4383" s="42">
        <v>2</v>
      </c>
      <c r="M4383" s="43">
        <v>46144</v>
      </c>
      <c r="N4383" s="1" t="str">
        <f>VLOOKUP(B4383,MICRO!E:L,8,0)</f>
        <v>P-190</v>
      </c>
    </row>
    <row r="4384" spans="1:14" ht="20.25" x14ac:dyDescent="0.25">
      <c r="A4384" s="1">
        <v>2</v>
      </c>
      <c r="B4384" s="159">
        <v>3491</v>
      </c>
      <c r="C4384" s="1" t="s">
        <v>2560</v>
      </c>
      <c r="D4384" s="1"/>
      <c r="E4384" s="1"/>
      <c r="F4384" s="1" t="s">
        <v>2561</v>
      </c>
      <c r="G4384" s="1">
        <v>2</v>
      </c>
      <c r="H4384" s="1" t="s">
        <v>19</v>
      </c>
      <c r="I4384" s="1" t="s">
        <v>3737</v>
      </c>
      <c r="J4384" s="1">
        <v>71.599999999999994</v>
      </c>
      <c r="K4384" s="1">
        <v>143.19999999999999</v>
      </c>
      <c r="L4384" s="42">
        <v>2</v>
      </c>
      <c r="M4384" s="43">
        <v>46144</v>
      </c>
      <c r="N4384" s="1" t="str">
        <f>VLOOKUP(B4384,MICRO!E:L,8,0)</f>
        <v>P-190</v>
      </c>
    </row>
    <row r="4385" spans="1:14" ht="20.25" x14ac:dyDescent="0.25">
      <c r="A4385" s="1">
        <v>3</v>
      </c>
      <c r="B4385" s="159">
        <v>3503</v>
      </c>
      <c r="C4385" s="1" t="s">
        <v>2562</v>
      </c>
      <c r="D4385" s="1"/>
      <c r="E4385" s="1"/>
      <c r="F4385" s="1" t="s">
        <v>2563</v>
      </c>
      <c r="G4385" s="1">
        <v>2</v>
      </c>
      <c r="H4385" s="1" t="s">
        <v>19</v>
      </c>
      <c r="I4385" s="1" t="s">
        <v>3737</v>
      </c>
      <c r="J4385" s="1">
        <v>24</v>
      </c>
      <c r="K4385" s="1">
        <v>48</v>
      </c>
      <c r="L4385" s="42">
        <v>2</v>
      </c>
      <c r="M4385" s="43">
        <v>46144</v>
      </c>
      <c r="N4385" s="1" t="str">
        <f>VLOOKUP(B4385,MICRO!E:L,8,0)</f>
        <v>P-190</v>
      </c>
    </row>
    <row r="4386" spans="1:14" ht="20.25" x14ac:dyDescent="0.25">
      <c r="A4386" s="1">
        <v>4</v>
      </c>
      <c r="B4386" s="159">
        <v>3504</v>
      </c>
      <c r="C4386" s="1" t="s">
        <v>2564</v>
      </c>
      <c r="D4386" s="1"/>
      <c r="E4386" s="1"/>
      <c r="F4386" s="1" t="s">
        <v>2565</v>
      </c>
      <c r="G4386" s="1">
        <v>1</v>
      </c>
      <c r="H4386" s="1" t="s">
        <v>19</v>
      </c>
      <c r="I4386" s="1" t="s">
        <v>3737</v>
      </c>
      <c r="J4386" s="1">
        <v>951.2</v>
      </c>
      <c r="K4386" s="1">
        <v>951.2</v>
      </c>
      <c r="L4386" s="42">
        <v>2</v>
      </c>
      <c r="M4386" s="43">
        <v>46144</v>
      </c>
      <c r="N4386" s="1" t="str">
        <f>VLOOKUP(B4386,MICRO!E:L,8,0)</f>
        <v>P-190</v>
      </c>
    </row>
    <row r="4387" spans="1:14" ht="20.25" x14ac:dyDescent="0.25">
      <c r="A4387" s="1">
        <v>5</v>
      </c>
      <c r="B4387" s="159">
        <v>3513</v>
      </c>
      <c r="C4387" s="1" t="s">
        <v>2572</v>
      </c>
      <c r="D4387" s="1"/>
      <c r="E4387" s="1"/>
      <c r="F4387" s="1" t="s">
        <v>2573</v>
      </c>
      <c r="G4387" s="1">
        <v>1</v>
      </c>
      <c r="H4387" s="1" t="s">
        <v>19</v>
      </c>
      <c r="I4387" s="1" t="s">
        <v>3737</v>
      </c>
      <c r="J4387" s="1">
        <v>1898.7</v>
      </c>
      <c r="K4387" s="1">
        <v>1898.7</v>
      </c>
      <c r="L4387" s="42">
        <v>2</v>
      </c>
      <c r="M4387" s="43">
        <v>46144</v>
      </c>
      <c r="N4387" s="1" t="str">
        <f>VLOOKUP(B4387,MICRO!E:L,8,0)</f>
        <v>P-190</v>
      </c>
    </row>
    <row r="4388" spans="1:14" ht="20.25" x14ac:dyDescent="0.25">
      <c r="A4388" s="1">
        <v>6</v>
      </c>
      <c r="B4388" s="159"/>
      <c r="C4388" s="1" t="s">
        <v>3738</v>
      </c>
      <c r="D4388" s="1"/>
      <c r="E4388" s="1"/>
      <c r="F4388" s="1" t="s">
        <v>3739</v>
      </c>
      <c r="G4388" s="1">
        <v>2</v>
      </c>
      <c r="H4388" s="1" t="s">
        <v>19</v>
      </c>
      <c r="I4388" s="1" t="s">
        <v>3740</v>
      </c>
      <c r="J4388" s="1">
        <v>60</v>
      </c>
      <c r="K4388" s="1">
        <v>120</v>
      </c>
      <c r="L4388" s="42">
        <v>2</v>
      </c>
      <c r="M4388" s="43">
        <v>46144</v>
      </c>
      <c r="N4388" s="1" t="e">
        <f>VLOOKUP(B4388,MICRO!E:L,8,0)</f>
        <v>#N/A</v>
      </c>
    </row>
    <row r="4389" spans="1:14" ht="20.25" x14ac:dyDescent="0.25">
      <c r="A4389" s="1">
        <v>1</v>
      </c>
      <c r="B4389" s="159">
        <v>3424</v>
      </c>
      <c r="C4389" s="1" t="s">
        <v>2552</v>
      </c>
      <c r="D4389" s="1"/>
      <c r="E4389" s="1"/>
      <c r="F4389" s="1" t="s">
        <v>3741</v>
      </c>
      <c r="G4389" s="1">
        <v>4</v>
      </c>
      <c r="H4389" s="1" t="s">
        <v>19</v>
      </c>
      <c r="I4389" s="1" t="s">
        <v>3737</v>
      </c>
      <c r="J4389" s="1">
        <v>86.1</v>
      </c>
      <c r="K4389" s="1">
        <v>344.4</v>
      </c>
      <c r="L4389" s="42">
        <v>3</v>
      </c>
      <c r="M4389" s="43">
        <v>46144</v>
      </c>
      <c r="N4389" s="1" t="str">
        <f>VLOOKUP(B4389,MICRO!E:L,8,0)</f>
        <v>P-190</v>
      </c>
    </row>
    <row r="4390" spans="1:14" ht="20.25" x14ac:dyDescent="0.25">
      <c r="A4390" s="1">
        <v>2</v>
      </c>
      <c r="B4390" s="159">
        <v>3431</v>
      </c>
      <c r="C4390" s="1" t="s">
        <v>2553</v>
      </c>
      <c r="D4390" s="1"/>
      <c r="E4390" s="1"/>
      <c r="F4390" s="1" t="s">
        <v>2554</v>
      </c>
      <c r="G4390" s="1">
        <v>19</v>
      </c>
      <c r="H4390" s="1" t="s">
        <v>19</v>
      </c>
      <c r="I4390" s="1" t="s">
        <v>3737</v>
      </c>
      <c r="J4390" s="1">
        <v>7</v>
      </c>
      <c r="K4390" s="1">
        <v>133</v>
      </c>
      <c r="L4390" s="42">
        <v>3</v>
      </c>
      <c r="M4390" s="43">
        <v>46145</v>
      </c>
      <c r="N4390" s="1" t="str">
        <f>VLOOKUP(B4390,MICRO!E:L,8,0)</f>
        <v>P-190</v>
      </c>
    </row>
    <row r="4391" spans="1:14" ht="20.25" x14ac:dyDescent="0.25">
      <c r="A4391" s="1">
        <v>3</v>
      </c>
      <c r="B4391" s="159">
        <v>3509</v>
      </c>
      <c r="C4391" s="1" t="s">
        <v>2570</v>
      </c>
      <c r="D4391" s="1"/>
      <c r="E4391" s="1"/>
      <c r="F4391" s="1" t="s">
        <v>2571</v>
      </c>
      <c r="G4391" s="1">
        <v>1</v>
      </c>
      <c r="H4391" s="1" t="s">
        <v>19</v>
      </c>
      <c r="I4391" s="1" t="s">
        <v>3737</v>
      </c>
      <c r="J4391" s="1">
        <v>961</v>
      </c>
      <c r="K4391" s="1">
        <f>J4391*G4391</f>
        <v>961</v>
      </c>
      <c r="L4391" s="42">
        <v>3</v>
      </c>
      <c r="M4391" s="43">
        <v>46146</v>
      </c>
      <c r="N4391" s="1" t="str">
        <f>VLOOKUP(B4391,MICRO!E:L,8,0)</f>
        <v>P-190</v>
      </c>
    </row>
    <row r="4392" spans="1:14" ht="20.25" x14ac:dyDescent="0.25">
      <c r="A4392" s="1">
        <v>4</v>
      </c>
      <c r="B4392" s="159">
        <v>3513</v>
      </c>
      <c r="C4392" s="1" t="s">
        <v>2572</v>
      </c>
      <c r="D4392" s="1"/>
      <c r="E4392" s="1"/>
      <c r="F4392" s="1" t="s">
        <v>2573</v>
      </c>
      <c r="G4392" s="1">
        <v>1</v>
      </c>
      <c r="H4392" s="1" t="s">
        <v>19</v>
      </c>
      <c r="I4392" s="1" t="s">
        <v>3737</v>
      </c>
      <c r="J4392" s="1">
        <v>1898.7</v>
      </c>
      <c r="K4392" s="1">
        <v>1898.7</v>
      </c>
      <c r="L4392" s="42">
        <v>3</v>
      </c>
      <c r="M4392" s="43">
        <v>46147</v>
      </c>
      <c r="N4392" s="1" t="str">
        <f>VLOOKUP(B4392,MICRO!E:L,8,0)</f>
        <v>P-190</v>
      </c>
    </row>
    <row r="4393" spans="1:14" ht="20.25" x14ac:dyDescent="0.25">
      <c r="A4393" s="1">
        <v>5</v>
      </c>
      <c r="B4393" s="159"/>
      <c r="C4393" s="1" t="s">
        <v>3742</v>
      </c>
      <c r="D4393" s="1"/>
      <c r="E4393" s="1"/>
      <c r="F4393" s="1" t="s">
        <v>3743</v>
      </c>
      <c r="G4393" s="1">
        <v>1</v>
      </c>
      <c r="H4393" s="1" t="s">
        <v>19</v>
      </c>
      <c r="I4393" s="1" t="s">
        <v>3737</v>
      </c>
      <c r="J4393" s="1">
        <v>0.5</v>
      </c>
      <c r="K4393" s="1">
        <v>0.5</v>
      </c>
      <c r="L4393" s="42">
        <v>3</v>
      </c>
      <c r="M4393" s="43">
        <v>46148</v>
      </c>
      <c r="N4393" s="1" t="e">
        <f>VLOOKUP(B4393,MICRO!E:L,8,0)</f>
        <v>#N/A</v>
      </c>
    </row>
    <row r="4394" spans="1:14" ht="20.25" x14ac:dyDescent="0.25">
      <c r="A4394" s="1">
        <v>6</v>
      </c>
      <c r="B4394" s="159"/>
      <c r="C4394" s="1" t="s">
        <v>3742</v>
      </c>
      <c r="D4394" s="1"/>
      <c r="E4394" s="1"/>
      <c r="F4394" s="1" t="s">
        <v>3744</v>
      </c>
      <c r="G4394" s="1">
        <v>18</v>
      </c>
      <c r="H4394" s="1" t="s">
        <v>19</v>
      </c>
      <c r="I4394" s="1" t="s">
        <v>3737</v>
      </c>
      <c r="J4394" s="1">
        <v>0.6</v>
      </c>
      <c r="K4394" s="1">
        <v>10.799999999999999</v>
      </c>
      <c r="L4394" s="42">
        <v>3</v>
      </c>
      <c r="M4394" s="43">
        <v>46149</v>
      </c>
      <c r="N4394" s="1" t="e">
        <f>VLOOKUP(B4394,MICRO!E:L,8,0)</f>
        <v>#N/A</v>
      </c>
    </row>
    <row r="4395" spans="1:14" ht="20.25" x14ac:dyDescent="0.25">
      <c r="A4395" s="1">
        <v>7</v>
      </c>
      <c r="B4395" s="159"/>
      <c r="C4395" s="1" t="s">
        <v>3742</v>
      </c>
      <c r="D4395" s="1"/>
      <c r="E4395" s="1"/>
      <c r="F4395" s="1" t="s">
        <v>3745</v>
      </c>
      <c r="G4395" s="1">
        <v>1</v>
      </c>
      <c r="H4395" s="1" t="s">
        <v>19</v>
      </c>
      <c r="I4395" s="1" t="s">
        <v>3737</v>
      </c>
      <c r="J4395" s="1">
        <v>0.8</v>
      </c>
      <c r="K4395" s="1">
        <v>0.8</v>
      </c>
      <c r="L4395" s="42">
        <v>3</v>
      </c>
      <c r="M4395" s="43">
        <v>46150</v>
      </c>
      <c r="N4395" s="1" t="e">
        <f>VLOOKUP(B4395,MICRO!E:L,8,0)</f>
        <v>#N/A</v>
      </c>
    </row>
    <row r="4396" spans="1:14" ht="20.25" x14ac:dyDescent="0.25">
      <c r="A4396" s="1">
        <v>8</v>
      </c>
      <c r="B4396" s="159"/>
      <c r="C4396" s="1" t="s">
        <v>3742</v>
      </c>
      <c r="D4396" s="1"/>
      <c r="E4396" s="1"/>
      <c r="F4396" s="1" t="s">
        <v>3746</v>
      </c>
      <c r="G4396" s="1">
        <v>1</v>
      </c>
      <c r="H4396" s="1" t="s">
        <v>19</v>
      </c>
      <c r="I4396" s="1" t="s">
        <v>3737</v>
      </c>
      <c r="J4396" s="1">
        <v>1.2</v>
      </c>
      <c r="K4396" s="1">
        <v>1.2</v>
      </c>
      <c r="L4396" s="42">
        <v>3</v>
      </c>
      <c r="M4396" s="43">
        <v>46151</v>
      </c>
      <c r="N4396" s="1" t="e">
        <f>VLOOKUP(B4396,MICRO!E:L,8,0)</f>
        <v>#N/A</v>
      </c>
    </row>
    <row r="4397" spans="1:14" ht="20.25" x14ac:dyDescent="0.25">
      <c r="A4397" s="1">
        <v>9</v>
      </c>
      <c r="B4397" s="159"/>
      <c r="C4397" s="1" t="s">
        <v>3742</v>
      </c>
      <c r="D4397" s="1"/>
      <c r="E4397" s="1"/>
      <c r="F4397" s="1" t="s">
        <v>3747</v>
      </c>
      <c r="G4397" s="1">
        <v>1</v>
      </c>
      <c r="H4397" s="1" t="s">
        <v>19</v>
      </c>
      <c r="I4397" s="1" t="s">
        <v>3737</v>
      </c>
      <c r="J4397" s="1">
        <v>1.3</v>
      </c>
      <c r="K4397" s="1">
        <v>1.3</v>
      </c>
      <c r="L4397" s="42">
        <v>3</v>
      </c>
      <c r="M4397" s="43">
        <v>46152</v>
      </c>
      <c r="N4397" s="1" t="e">
        <f>VLOOKUP(B4397,MICRO!E:L,8,0)</f>
        <v>#N/A</v>
      </c>
    </row>
    <row r="4398" spans="1:14" ht="20.25" x14ac:dyDescent="0.25">
      <c r="A4398" s="1">
        <v>10</v>
      </c>
      <c r="B4398" s="159"/>
      <c r="C4398" s="1" t="s">
        <v>3742</v>
      </c>
      <c r="D4398" s="1"/>
      <c r="E4398" s="1"/>
      <c r="F4398" s="1" t="s">
        <v>3748</v>
      </c>
      <c r="G4398" s="1">
        <v>1</v>
      </c>
      <c r="H4398" s="1" t="s">
        <v>19</v>
      </c>
      <c r="I4398" s="1" t="s">
        <v>3737</v>
      </c>
      <c r="J4398" s="1">
        <v>12</v>
      </c>
      <c r="K4398" s="1">
        <v>12</v>
      </c>
      <c r="L4398" s="42">
        <v>3</v>
      </c>
      <c r="M4398" s="43">
        <v>46153</v>
      </c>
      <c r="N4398" s="1" t="e">
        <f>VLOOKUP(B4398,MICRO!E:L,8,0)</f>
        <v>#N/A</v>
      </c>
    </row>
    <row r="4399" spans="1:14" ht="20.25" x14ac:dyDescent="0.25">
      <c r="A4399" s="1">
        <v>11</v>
      </c>
      <c r="B4399" s="159"/>
      <c r="C4399" s="1" t="s">
        <v>3742</v>
      </c>
      <c r="D4399" s="1"/>
      <c r="E4399" s="1"/>
      <c r="F4399" s="1" t="s">
        <v>3749</v>
      </c>
      <c r="G4399" s="1">
        <v>1</v>
      </c>
      <c r="H4399" s="1" t="s">
        <v>19</v>
      </c>
      <c r="I4399" s="1" t="s">
        <v>3737</v>
      </c>
      <c r="J4399" s="1">
        <v>12</v>
      </c>
      <c r="K4399" s="1">
        <v>12</v>
      </c>
      <c r="L4399" s="42">
        <v>3</v>
      </c>
      <c r="M4399" s="43">
        <v>46154</v>
      </c>
      <c r="N4399" s="1" t="e">
        <f>VLOOKUP(B4399,MICRO!E:L,8,0)</f>
        <v>#N/A</v>
      </c>
    </row>
    <row r="4400" spans="1:14" ht="20.25" x14ac:dyDescent="0.25">
      <c r="A4400" s="1">
        <v>12</v>
      </c>
      <c r="B4400" s="159"/>
      <c r="C4400" s="1" t="s">
        <v>3750</v>
      </c>
      <c r="D4400" s="1"/>
      <c r="E4400" s="1"/>
      <c r="F4400" s="1" t="s">
        <v>3751</v>
      </c>
      <c r="G4400" s="1">
        <v>1</v>
      </c>
      <c r="H4400" s="1" t="s">
        <v>19</v>
      </c>
      <c r="I4400" s="1" t="s">
        <v>3737</v>
      </c>
      <c r="J4400" s="1">
        <v>12</v>
      </c>
      <c r="K4400" s="1">
        <v>12</v>
      </c>
      <c r="L4400" s="42">
        <v>3</v>
      </c>
      <c r="M4400" s="43">
        <v>46155</v>
      </c>
      <c r="N4400" s="1" t="e">
        <f>VLOOKUP(B4400,MICRO!E:L,8,0)</f>
        <v>#N/A</v>
      </c>
    </row>
    <row r="4401" spans="1:15" ht="20.25" x14ac:dyDescent="0.25">
      <c r="A4401" s="1">
        <v>13</v>
      </c>
      <c r="B4401" s="159"/>
      <c r="C4401" s="1" t="s">
        <v>3750</v>
      </c>
      <c r="D4401" s="1"/>
      <c r="E4401" s="1"/>
      <c r="F4401" s="1" t="s">
        <v>3752</v>
      </c>
      <c r="G4401" s="1">
        <v>1</v>
      </c>
      <c r="H4401" s="1" t="s">
        <v>19</v>
      </c>
      <c r="I4401" s="1" t="s">
        <v>3737</v>
      </c>
      <c r="J4401" s="1">
        <v>0.5</v>
      </c>
      <c r="K4401" s="1">
        <v>0.5</v>
      </c>
      <c r="L4401" s="42">
        <v>3</v>
      </c>
      <c r="M4401" s="43">
        <v>46156</v>
      </c>
      <c r="N4401" s="1" t="e">
        <f>VLOOKUP(B4401,MICRO!E:L,8,0)</f>
        <v>#N/A</v>
      </c>
    </row>
    <row r="4402" spans="1:15" ht="20.25" x14ac:dyDescent="0.25">
      <c r="A4402" s="1">
        <v>14</v>
      </c>
      <c r="B4402" s="159"/>
      <c r="C4402" s="1" t="s">
        <v>3750</v>
      </c>
      <c r="D4402" s="1"/>
      <c r="E4402" s="1"/>
      <c r="F4402" s="1" t="s">
        <v>3753</v>
      </c>
      <c r="G4402" s="1">
        <v>8</v>
      </c>
      <c r="H4402" s="1" t="s">
        <v>19</v>
      </c>
      <c r="I4402" s="1" t="s">
        <v>3737</v>
      </c>
      <c r="J4402" s="1">
        <v>0.6</v>
      </c>
      <c r="K4402" s="1">
        <v>4.8</v>
      </c>
      <c r="L4402" s="42">
        <v>3</v>
      </c>
      <c r="M4402" s="43">
        <v>46157</v>
      </c>
      <c r="N4402" s="1" t="e">
        <f>VLOOKUP(B4402,MICRO!E:L,8,0)</f>
        <v>#N/A</v>
      </c>
    </row>
    <row r="4403" spans="1:15" ht="20.25" x14ac:dyDescent="0.25">
      <c r="A4403" s="1">
        <v>15</v>
      </c>
      <c r="B4403" s="159"/>
      <c r="C4403" s="1" t="s">
        <v>3750</v>
      </c>
      <c r="D4403" s="1"/>
      <c r="E4403" s="1"/>
      <c r="F4403" s="1" t="s">
        <v>3754</v>
      </c>
      <c r="G4403" s="1">
        <v>1</v>
      </c>
      <c r="H4403" s="1" t="s">
        <v>19</v>
      </c>
      <c r="I4403" s="1" t="s">
        <v>3737</v>
      </c>
      <c r="J4403" s="1">
        <v>0.5</v>
      </c>
      <c r="K4403" s="1">
        <v>0.5</v>
      </c>
      <c r="L4403" s="42">
        <v>3</v>
      </c>
      <c r="M4403" s="43">
        <v>46158</v>
      </c>
      <c r="N4403" s="1" t="e">
        <f>VLOOKUP(B4403,MICRO!E:L,8,0)</f>
        <v>#N/A</v>
      </c>
    </row>
    <row r="4404" spans="1:15" ht="20.25" x14ac:dyDescent="0.25">
      <c r="A4404" s="1">
        <v>16</v>
      </c>
      <c r="B4404" s="159"/>
      <c r="C4404" s="1" t="s">
        <v>3750</v>
      </c>
      <c r="D4404" s="1"/>
      <c r="E4404" s="1"/>
      <c r="F4404" s="1" t="s">
        <v>3755</v>
      </c>
      <c r="G4404" s="1">
        <v>1</v>
      </c>
      <c r="H4404" s="1" t="s">
        <v>19</v>
      </c>
      <c r="I4404" s="1" t="s">
        <v>3737</v>
      </c>
      <c r="J4404" s="1">
        <v>0.8</v>
      </c>
      <c r="K4404" s="1">
        <v>0.8</v>
      </c>
      <c r="L4404" s="42">
        <v>3</v>
      </c>
      <c r="M4404" s="43">
        <v>46159</v>
      </c>
      <c r="N4404" s="1" t="e">
        <f>VLOOKUP(B4404,MICRO!E:L,8,0)</f>
        <v>#N/A</v>
      </c>
    </row>
    <row r="4405" spans="1:15" ht="20.25" x14ac:dyDescent="0.25">
      <c r="A4405" s="1">
        <v>17</v>
      </c>
      <c r="B4405" s="159"/>
      <c r="C4405" s="1" t="s">
        <v>3750</v>
      </c>
      <c r="D4405" s="1"/>
      <c r="E4405" s="1"/>
      <c r="F4405" s="1" t="s">
        <v>3756</v>
      </c>
      <c r="G4405" s="1">
        <v>1</v>
      </c>
      <c r="H4405" s="1" t="s">
        <v>19</v>
      </c>
      <c r="I4405" s="1" t="s">
        <v>3737</v>
      </c>
      <c r="J4405" s="1">
        <v>0.2</v>
      </c>
      <c r="K4405" s="1">
        <v>0.2</v>
      </c>
      <c r="L4405" s="42">
        <v>3</v>
      </c>
      <c r="M4405" s="43">
        <v>46160</v>
      </c>
      <c r="N4405" s="1" t="e">
        <f>VLOOKUP(B4405,MICRO!E:L,8,0)</f>
        <v>#N/A</v>
      </c>
    </row>
    <row r="4406" spans="1:15" ht="20.25" x14ac:dyDescent="0.25">
      <c r="A4406" s="1">
        <v>18</v>
      </c>
      <c r="B4406" s="159"/>
      <c r="C4406" s="1" t="s">
        <v>3750</v>
      </c>
      <c r="D4406" s="1"/>
      <c r="E4406" s="1"/>
      <c r="F4406" s="1" t="s">
        <v>3757</v>
      </c>
      <c r="G4406" s="1">
        <v>1</v>
      </c>
      <c r="H4406" s="1" t="s">
        <v>19</v>
      </c>
      <c r="I4406" s="1" t="s">
        <v>3737</v>
      </c>
      <c r="J4406" s="1">
        <v>0.5</v>
      </c>
      <c r="K4406" s="1">
        <v>0.5</v>
      </c>
      <c r="L4406" s="42">
        <v>3</v>
      </c>
      <c r="M4406" s="43">
        <v>46161</v>
      </c>
      <c r="N4406" s="1" t="e">
        <f>VLOOKUP(B4406,MICRO!E:L,8,0)</f>
        <v>#N/A</v>
      </c>
    </row>
    <row r="4407" spans="1:15" ht="20.25" x14ac:dyDescent="0.25">
      <c r="A4407" s="1">
        <v>1</v>
      </c>
      <c r="B4407" s="205">
        <v>4039</v>
      </c>
      <c r="C4407" s="1" t="s">
        <v>3758</v>
      </c>
      <c r="D4407" s="1"/>
      <c r="E4407" s="1" t="s">
        <v>2</v>
      </c>
      <c r="F4407" s="1" t="s">
        <v>3760</v>
      </c>
      <c r="G4407" s="1">
        <v>1</v>
      </c>
      <c r="H4407" s="1" t="s">
        <v>19</v>
      </c>
      <c r="I4407" s="1" t="s">
        <v>2274</v>
      </c>
      <c r="J4407" s="1">
        <v>1360</v>
      </c>
      <c r="K4407" s="1">
        <v>1360</v>
      </c>
      <c r="L4407" s="42">
        <v>2</v>
      </c>
      <c r="M4407" s="43">
        <v>46146</v>
      </c>
      <c r="N4407" s="1" t="s">
        <v>2069</v>
      </c>
      <c r="O4407" s="197"/>
    </row>
    <row r="4408" spans="1:15" ht="20.25" x14ac:dyDescent="0.25">
      <c r="A4408" s="1">
        <v>2</v>
      </c>
      <c r="B4408" s="159">
        <v>4040</v>
      </c>
      <c r="C4408" s="1" t="s">
        <v>3758</v>
      </c>
      <c r="D4408" s="1"/>
      <c r="E4408" s="1" t="s">
        <v>2</v>
      </c>
      <c r="F4408" s="1" t="s">
        <v>3760</v>
      </c>
      <c r="G4408" s="1">
        <v>1</v>
      </c>
      <c r="H4408" s="1" t="s">
        <v>19</v>
      </c>
      <c r="I4408" s="1" t="s">
        <v>2276</v>
      </c>
      <c r="J4408" s="1">
        <v>1360</v>
      </c>
      <c r="K4408" s="1">
        <v>1360</v>
      </c>
      <c r="L4408" s="42">
        <v>2</v>
      </c>
      <c r="M4408" s="43">
        <v>46146</v>
      </c>
      <c r="N4408" s="1" t="s">
        <v>2069</v>
      </c>
    </row>
    <row r="4409" spans="1:15" ht="20.25" x14ac:dyDescent="0.25">
      <c r="A4409" s="1">
        <v>3</v>
      </c>
      <c r="B4409" s="159">
        <v>4053</v>
      </c>
      <c r="C4409" s="1" t="s">
        <v>3773</v>
      </c>
      <c r="D4409" s="1"/>
      <c r="E4409" s="1" t="s">
        <v>2</v>
      </c>
      <c r="F4409" s="1" t="s">
        <v>3760</v>
      </c>
      <c r="G4409" s="1">
        <v>1</v>
      </c>
      <c r="H4409" s="1" t="s">
        <v>19</v>
      </c>
      <c r="I4409" s="1" t="s">
        <v>2274</v>
      </c>
      <c r="J4409" s="1">
        <v>1335.1</v>
      </c>
      <c r="K4409" s="1">
        <v>1335.1</v>
      </c>
      <c r="L4409" s="42">
        <v>2</v>
      </c>
      <c r="M4409" s="43">
        <v>46146</v>
      </c>
      <c r="N4409" s="1" t="s">
        <v>2069</v>
      </c>
    </row>
    <row r="4410" spans="1:15" ht="20.25" x14ac:dyDescent="0.25">
      <c r="A4410" s="1">
        <v>4</v>
      </c>
      <c r="B4410" s="159">
        <v>4053</v>
      </c>
      <c r="C4410" s="1" t="s">
        <v>3773</v>
      </c>
      <c r="D4410" s="1"/>
      <c r="E4410" s="1" t="s">
        <v>2</v>
      </c>
      <c r="F4410" s="1" t="s">
        <v>3760</v>
      </c>
      <c r="G4410" s="1">
        <v>1</v>
      </c>
      <c r="H4410" s="1" t="s">
        <v>19</v>
      </c>
      <c r="I4410" s="1" t="s">
        <v>2276</v>
      </c>
      <c r="J4410" s="1">
        <v>1335.1</v>
      </c>
      <c r="K4410" s="1">
        <v>1335.1</v>
      </c>
      <c r="L4410" s="42">
        <v>2</v>
      </c>
      <c r="M4410" s="43">
        <v>46146</v>
      </c>
      <c r="N4410" s="1" t="s">
        <v>2069</v>
      </c>
    </row>
    <row r="4411" spans="1:15" ht="20.25" x14ac:dyDescent="0.25">
      <c r="A4411" s="1">
        <v>5</v>
      </c>
      <c r="B4411" s="159"/>
      <c r="C4411" s="1" t="s">
        <v>3764</v>
      </c>
      <c r="D4411" s="1"/>
      <c r="E4411" s="1" t="s">
        <v>746</v>
      </c>
      <c r="F4411" s="1" t="s">
        <v>4073</v>
      </c>
      <c r="G4411" s="1">
        <v>4</v>
      </c>
      <c r="H4411" s="1" t="s">
        <v>19</v>
      </c>
      <c r="I4411" s="1" t="s">
        <v>2274</v>
      </c>
      <c r="J4411" s="1">
        <v>57.1</v>
      </c>
      <c r="K4411" s="1">
        <v>228.4</v>
      </c>
      <c r="L4411" s="42">
        <v>2</v>
      </c>
      <c r="M4411" s="43">
        <v>46146</v>
      </c>
      <c r="N4411" s="1" t="s">
        <v>2069</v>
      </c>
    </row>
    <row r="4412" spans="1:15" ht="20.25" x14ac:dyDescent="0.25">
      <c r="A4412" s="1">
        <v>6</v>
      </c>
      <c r="B4412" s="159"/>
      <c r="C4412" s="1" t="s">
        <v>3764</v>
      </c>
      <c r="D4412" s="1"/>
      <c r="E4412" s="1" t="s">
        <v>746</v>
      </c>
      <c r="F4412" s="1" t="s">
        <v>4073</v>
      </c>
      <c r="G4412" s="1">
        <v>4</v>
      </c>
      <c r="H4412" s="1" t="s">
        <v>19</v>
      </c>
      <c r="I4412" s="1" t="s">
        <v>2276</v>
      </c>
      <c r="J4412" s="1">
        <v>57.1</v>
      </c>
      <c r="K4412" s="1">
        <v>228.4</v>
      </c>
      <c r="L4412" s="42">
        <v>2</v>
      </c>
      <c r="M4412" s="43">
        <v>46146</v>
      </c>
      <c r="N4412" s="1" t="s">
        <v>2069</v>
      </c>
    </row>
    <row r="4413" spans="1:15" ht="20.25" x14ac:dyDescent="0.25">
      <c r="A4413" s="1">
        <v>1</v>
      </c>
      <c r="B4413" s="159"/>
      <c r="C4413" s="1" t="s">
        <v>4074</v>
      </c>
      <c r="D4413" s="1"/>
      <c r="E4413" s="1"/>
      <c r="F4413" s="1" t="s">
        <v>4075</v>
      </c>
      <c r="G4413" s="1">
        <v>76</v>
      </c>
      <c r="H4413" s="1" t="s">
        <v>1253</v>
      </c>
      <c r="I4413" s="1" t="s">
        <v>2274</v>
      </c>
      <c r="J4413" s="1">
        <v>18.277629999999998</v>
      </c>
      <c r="K4413" s="1">
        <v>1389.09988</v>
      </c>
      <c r="L4413" s="42">
        <v>3</v>
      </c>
      <c r="M4413" s="43">
        <v>46148</v>
      </c>
      <c r="N4413" s="1" t="s">
        <v>2069</v>
      </c>
    </row>
    <row r="4414" spans="1:15" ht="20.25" x14ac:dyDescent="0.25">
      <c r="A4414" s="1">
        <v>2</v>
      </c>
      <c r="B4414" s="159"/>
      <c r="C4414" s="1" t="s">
        <v>4074</v>
      </c>
      <c r="D4414" s="1"/>
      <c r="E4414" s="1"/>
      <c r="F4414" s="1" t="s">
        <v>4076</v>
      </c>
      <c r="G4414" s="1">
        <v>76</v>
      </c>
      <c r="H4414" s="1" t="s">
        <v>1253</v>
      </c>
      <c r="I4414" s="1" t="s">
        <v>2276</v>
      </c>
      <c r="J4414" s="1">
        <v>18.277629999999998</v>
      </c>
      <c r="K4414" s="1">
        <v>1389.09988</v>
      </c>
      <c r="L4414" s="42">
        <v>3</v>
      </c>
      <c r="M4414" s="43">
        <v>46148</v>
      </c>
      <c r="N4414" s="1" t="s">
        <v>2069</v>
      </c>
    </row>
    <row r="4415" spans="1:15" ht="20.25" x14ac:dyDescent="0.25">
      <c r="A4415" s="1">
        <v>1</v>
      </c>
      <c r="B4415" s="159">
        <v>3398</v>
      </c>
      <c r="C4415" s="1" t="s">
        <v>2280</v>
      </c>
      <c r="D4415" s="1"/>
      <c r="E4415" s="1" t="s">
        <v>2</v>
      </c>
      <c r="F4415" s="1" t="s">
        <v>2281</v>
      </c>
      <c r="G4415" s="1">
        <v>1</v>
      </c>
      <c r="H4415" s="1" t="s">
        <v>19</v>
      </c>
      <c r="I4415" s="1" t="s">
        <v>2274</v>
      </c>
      <c r="J4415" s="1">
        <v>67</v>
      </c>
      <c r="K4415" s="1">
        <v>67</v>
      </c>
      <c r="L4415" s="42">
        <v>4</v>
      </c>
      <c r="M4415" s="43">
        <v>46174</v>
      </c>
      <c r="N4415" s="1" t="s">
        <v>2069</v>
      </c>
    </row>
    <row r="4416" spans="1:15" ht="20.25" x14ac:dyDescent="0.25">
      <c r="A4416" s="1">
        <v>2</v>
      </c>
      <c r="B4416" s="159">
        <v>3399</v>
      </c>
      <c r="C4416" s="1" t="s">
        <v>2280</v>
      </c>
      <c r="D4416" s="1"/>
      <c r="E4416" s="1" t="s">
        <v>2</v>
      </c>
      <c r="F4416" s="1" t="s">
        <v>2281</v>
      </c>
      <c r="G4416" s="1">
        <v>1</v>
      </c>
      <c r="H4416" s="1" t="s">
        <v>19</v>
      </c>
      <c r="I4416" s="1" t="s">
        <v>2276</v>
      </c>
      <c r="J4416" s="1">
        <v>67</v>
      </c>
      <c r="K4416" s="1">
        <v>67</v>
      </c>
      <c r="L4416" s="42">
        <v>4</v>
      </c>
      <c r="M4416" s="43">
        <v>46174</v>
      </c>
      <c r="N4416" s="1" t="s">
        <v>2069</v>
      </c>
    </row>
    <row r="4417" spans="1:14" ht="20.25" x14ac:dyDescent="0.25">
      <c r="A4417" s="1">
        <v>3</v>
      </c>
      <c r="B4417" s="159">
        <v>3414</v>
      </c>
      <c r="C4417" s="1" t="s">
        <v>2288</v>
      </c>
      <c r="D4417" s="1"/>
      <c r="E4417" s="1"/>
      <c r="F4417" s="1" t="s">
        <v>2289</v>
      </c>
      <c r="G4417" s="1">
        <v>14</v>
      </c>
      <c r="H4417" s="1" t="s">
        <v>19</v>
      </c>
      <c r="I4417" s="1" t="s">
        <v>2274</v>
      </c>
      <c r="J4417" s="1">
        <v>8.5</v>
      </c>
      <c r="K4417" s="1">
        <v>119</v>
      </c>
      <c r="L4417" s="42">
        <v>4</v>
      </c>
      <c r="M4417" s="43">
        <v>46174</v>
      </c>
      <c r="N4417" s="1" t="s">
        <v>2069</v>
      </c>
    </row>
    <row r="4418" spans="1:14" ht="20.25" x14ac:dyDescent="0.25">
      <c r="A4418" s="1">
        <v>4</v>
      </c>
      <c r="B4418" s="159">
        <v>3415</v>
      </c>
      <c r="C4418" s="1" t="s">
        <v>2288</v>
      </c>
      <c r="D4418" s="1"/>
      <c r="E4418" s="1"/>
      <c r="F4418" s="1" t="s">
        <v>2289</v>
      </c>
      <c r="G4418" s="1">
        <v>14</v>
      </c>
      <c r="H4418" s="1" t="s">
        <v>19</v>
      </c>
      <c r="I4418" s="1" t="s">
        <v>2276</v>
      </c>
      <c r="J4418" s="1">
        <v>8.5</v>
      </c>
      <c r="K4418" s="1">
        <v>119</v>
      </c>
      <c r="L4418" s="42">
        <v>4</v>
      </c>
      <c r="M4418" s="43">
        <v>46174</v>
      </c>
      <c r="N4418" s="1" t="s">
        <v>2069</v>
      </c>
    </row>
    <row r="4419" spans="1:14" ht="20.25" x14ac:dyDescent="0.25">
      <c r="A4419" s="1">
        <v>5</v>
      </c>
      <c r="B4419" s="159"/>
      <c r="C4419" s="1" t="s">
        <v>4077</v>
      </c>
      <c r="D4419" s="1"/>
      <c r="E4419" s="1" t="s">
        <v>2</v>
      </c>
      <c r="F4419" s="1" t="s">
        <v>4078</v>
      </c>
      <c r="G4419" s="1">
        <v>1</v>
      </c>
      <c r="H4419" s="1" t="s">
        <v>19</v>
      </c>
      <c r="I4419" s="1" t="s">
        <v>2274</v>
      </c>
      <c r="J4419" s="1">
        <v>992</v>
      </c>
      <c r="K4419" s="1">
        <v>992</v>
      </c>
      <c r="L4419" s="42">
        <v>4</v>
      </c>
      <c r="M4419" s="43">
        <v>46174</v>
      </c>
      <c r="N4419" s="1" t="s">
        <v>2069</v>
      </c>
    </row>
    <row r="4420" spans="1:14" ht="20.25" x14ac:dyDescent="0.25">
      <c r="A4420" s="1">
        <v>6</v>
      </c>
      <c r="B4420" s="159"/>
      <c r="C4420" s="1" t="s">
        <v>4077</v>
      </c>
      <c r="D4420" s="1"/>
      <c r="E4420" s="1" t="s">
        <v>2</v>
      </c>
      <c r="F4420" s="1" t="s">
        <v>4078</v>
      </c>
      <c r="G4420" s="1">
        <v>1</v>
      </c>
      <c r="H4420" s="1" t="s">
        <v>19</v>
      </c>
      <c r="I4420" s="1" t="s">
        <v>2276</v>
      </c>
      <c r="J4420" s="1">
        <v>992</v>
      </c>
      <c r="K4420" s="1">
        <v>992</v>
      </c>
      <c r="L4420" s="42">
        <v>4</v>
      </c>
      <c r="M4420" s="43">
        <v>46174</v>
      </c>
      <c r="N4420" s="1" t="s">
        <v>2069</v>
      </c>
    </row>
    <row r="4421" spans="1:14" ht="20.25" x14ac:dyDescent="0.25">
      <c r="A4421" s="1">
        <v>7</v>
      </c>
      <c r="B4421" s="159"/>
      <c r="C4421" s="1" t="s">
        <v>4079</v>
      </c>
      <c r="D4421" s="1"/>
      <c r="E4421" s="1" t="s">
        <v>2</v>
      </c>
      <c r="F4421" s="1" t="s">
        <v>4080</v>
      </c>
      <c r="G4421" s="1">
        <v>1</v>
      </c>
      <c r="H4421" s="1" t="s">
        <v>19</v>
      </c>
      <c r="I4421" s="1" t="s">
        <v>2274</v>
      </c>
      <c r="J4421" s="1">
        <v>532.6</v>
      </c>
      <c r="K4421" s="1">
        <v>532.6</v>
      </c>
      <c r="L4421" s="42">
        <v>4</v>
      </c>
      <c r="M4421" s="43">
        <v>46174</v>
      </c>
      <c r="N4421" s="1" t="s">
        <v>2069</v>
      </c>
    </row>
    <row r="4422" spans="1:14" ht="20.25" x14ac:dyDescent="0.25">
      <c r="A4422" s="1">
        <v>8</v>
      </c>
      <c r="B4422" s="159"/>
      <c r="C4422" s="1" t="s">
        <v>4079</v>
      </c>
      <c r="D4422" s="1"/>
      <c r="E4422" s="1" t="s">
        <v>2</v>
      </c>
      <c r="F4422" s="1" t="s">
        <v>4080</v>
      </c>
      <c r="G4422" s="1">
        <v>1</v>
      </c>
      <c r="H4422" s="1" t="s">
        <v>19</v>
      </c>
      <c r="I4422" s="1" t="s">
        <v>2276</v>
      </c>
      <c r="J4422" s="1">
        <v>532.6</v>
      </c>
      <c r="K4422" s="1">
        <v>532.6</v>
      </c>
      <c r="L4422" s="42">
        <v>4</v>
      </c>
      <c r="M4422" s="43">
        <v>46174</v>
      </c>
      <c r="N4422" s="1" t="s">
        <v>2069</v>
      </c>
    </row>
    <row r="4423" spans="1:14" ht="20.25" x14ac:dyDescent="0.25">
      <c r="A4423" s="1">
        <v>9</v>
      </c>
      <c r="B4423" s="159"/>
      <c r="C4423" s="1" t="s">
        <v>4081</v>
      </c>
      <c r="D4423" s="1"/>
      <c r="E4423" s="1"/>
      <c r="F4423" s="1" t="s">
        <v>4082</v>
      </c>
      <c r="G4423" s="1">
        <v>1</v>
      </c>
      <c r="H4423" s="1" t="s">
        <v>19</v>
      </c>
      <c r="I4423" s="1" t="s">
        <v>2274</v>
      </c>
      <c r="J4423" s="1">
        <v>55.3</v>
      </c>
      <c r="K4423" s="1">
        <v>55.3</v>
      </c>
      <c r="L4423" s="42">
        <v>4</v>
      </c>
      <c r="M4423" s="43">
        <v>46174</v>
      </c>
      <c r="N4423" s="1" t="s">
        <v>2069</v>
      </c>
    </row>
    <row r="4424" spans="1:14" ht="20.25" x14ac:dyDescent="0.25">
      <c r="A4424" s="1">
        <v>10</v>
      </c>
      <c r="B4424" s="159"/>
      <c r="C4424" s="1" t="s">
        <v>4081</v>
      </c>
      <c r="D4424" s="1"/>
      <c r="E4424" s="1"/>
      <c r="F4424" s="1" t="s">
        <v>4082</v>
      </c>
      <c r="G4424" s="1">
        <v>1</v>
      </c>
      <c r="H4424" s="1" t="s">
        <v>19</v>
      </c>
      <c r="I4424" s="1" t="s">
        <v>2276</v>
      </c>
      <c r="J4424" s="1">
        <v>55.3</v>
      </c>
      <c r="K4424" s="1">
        <v>55.3</v>
      </c>
      <c r="L4424" s="42">
        <v>4</v>
      </c>
      <c r="M4424" s="43">
        <v>46174</v>
      </c>
      <c r="N4424" s="1" t="s">
        <v>2069</v>
      </c>
    </row>
    <row r="4425" spans="1:14" ht="20.25" x14ac:dyDescent="0.25">
      <c r="A4425" s="1">
        <v>11</v>
      </c>
      <c r="B4425" s="159"/>
      <c r="C4425" s="1" t="s">
        <v>4081</v>
      </c>
      <c r="D4425" s="1"/>
      <c r="E4425" s="1"/>
      <c r="F4425" s="1" t="s">
        <v>4083</v>
      </c>
      <c r="G4425" s="1">
        <v>1</v>
      </c>
      <c r="H4425" s="1" t="s">
        <v>19</v>
      </c>
      <c r="I4425" s="1" t="s">
        <v>2274</v>
      </c>
      <c r="J4425" s="1">
        <v>55.3</v>
      </c>
      <c r="K4425" s="1">
        <v>55.3</v>
      </c>
      <c r="L4425" s="42">
        <v>4</v>
      </c>
      <c r="M4425" s="43">
        <v>46174</v>
      </c>
      <c r="N4425" s="1" t="s">
        <v>2069</v>
      </c>
    </row>
    <row r="4426" spans="1:14" ht="20.25" x14ac:dyDescent="0.25">
      <c r="A4426" s="1">
        <v>12</v>
      </c>
      <c r="B4426" s="159"/>
      <c r="C4426" s="1" t="s">
        <v>4081</v>
      </c>
      <c r="D4426" s="1"/>
      <c r="E4426" s="1"/>
      <c r="F4426" s="1" t="s">
        <v>4083</v>
      </c>
      <c r="G4426" s="1">
        <v>1</v>
      </c>
      <c r="H4426" s="1" t="s">
        <v>19</v>
      </c>
      <c r="I4426" s="1" t="s">
        <v>2276</v>
      </c>
      <c r="J4426" s="1">
        <v>55.3</v>
      </c>
      <c r="K4426" s="1">
        <v>55.3</v>
      </c>
      <c r="L4426" s="42">
        <v>4</v>
      </c>
      <c r="M4426" s="43">
        <v>46174</v>
      </c>
      <c r="N4426" s="1" t="s">
        <v>2069</v>
      </c>
    </row>
    <row r="4427" spans="1:14" ht="20.25" x14ac:dyDescent="0.25">
      <c r="A4427" s="1">
        <v>13</v>
      </c>
      <c r="B4427" s="159"/>
      <c r="C4427" s="1" t="s">
        <v>4084</v>
      </c>
      <c r="D4427" s="1"/>
      <c r="E4427" s="1"/>
      <c r="F4427" s="1" t="s">
        <v>4085</v>
      </c>
      <c r="G4427" s="1">
        <v>8</v>
      </c>
      <c r="H4427" s="1" t="s">
        <v>19</v>
      </c>
      <c r="I4427" s="1" t="s">
        <v>4086</v>
      </c>
      <c r="J4427" s="1">
        <v>0.03</v>
      </c>
      <c r="K4427" s="1">
        <v>0.24</v>
      </c>
      <c r="L4427" s="42">
        <v>4</v>
      </c>
      <c r="M4427" s="43">
        <v>46174</v>
      </c>
      <c r="N4427" s="1" t="s">
        <v>2069</v>
      </c>
    </row>
    <row r="4428" spans="1:14" ht="20.25" x14ac:dyDescent="0.25">
      <c r="A4428" s="1">
        <v>14</v>
      </c>
      <c r="B4428" s="159"/>
      <c r="C4428" s="1" t="s">
        <v>4084</v>
      </c>
      <c r="D4428" s="1"/>
      <c r="E4428" s="1"/>
      <c r="F4428" s="1" t="s">
        <v>4087</v>
      </c>
      <c r="G4428" s="1">
        <v>24</v>
      </c>
      <c r="H4428" s="1" t="s">
        <v>19</v>
      </c>
      <c r="I4428" s="1" t="s">
        <v>4086</v>
      </c>
      <c r="J4428" s="1">
        <v>0.05</v>
      </c>
      <c r="K4428" s="1">
        <v>1.2000000000000002</v>
      </c>
      <c r="L4428" s="42">
        <v>4</v>
      </c>
      <c r="M4428" s="43">
        <v>46174</v>
      </c>
      <c r="N4428" s="1" t="s">
        <v>2069</v>
      </c>
    </row>
    <row r="4429" spans="1:14" ht="20.25" x14ac:dyDescent="0.25">
      <c r="A4429" s="1">
        <v>15</v>
      </c>
      <c r="B4429" s="159"/>
      <c r="C4429" s="1" t="s">
        <v>4084</v>
      </c>
      <c r="D4429" s="1"/>
      <c r="E4429" s="1"/>
      <c r="F4429" s="1" t="s">
        <v>4088</v>
      </c>
      <c r="G4429" s="1">
        <v>32</v>
      </c>
      <c r="H4429" s="1" t="s">
        <v>19</v>
      </c>
      <c r="I4429" s="1" t="s">
        <v>4086</v>
      </c>
      <c r="J4429" s="1">
        <v>0.01</v>
      </c>
      <c r="K4429" s="1">
        <v>0.32</v>
      </c>
      <c r="L4429" s="42">
        <v>4</v>
      </c>
      <c r="M4429" s="43">
        <v>46174</v>
      </c>
      <c r="N4429" s="1" t="s">
        <v>2069</v>
      </c>
    </row>
    <row r="4430" spans="1:14" ht="20.25" x14ac:dyDescent="0.25">
      <c r="A4430" s="1">
        <v>16</v>
      </c>
      <c r="B4430" s="159"/>
      <c r="C4430" s="1" t="s">
        <v>4084</v>
      </c>
      <c r="D4430" s="1"/>
      <c r="E4430" s="1"/>
      <c r="F4430" s="1" t="s">
        <v>4089</v>
      </c>
      <c r="G4430" s="1">
        <v>4</v>
      </c>
      <c r="H4430" s="1" t="s">
        <v>19</v>
      </c>
      <c r="I4430" s="1" t="s">
        <v>4086</v>
      </c>
      <c r="J4430" s="1">
        <v>0.05</v>
      </c>
      <c r="K4430" s="1">
        <v>0.2</v>
      </c>
      <c r="L4430" s="42">
        <v>4</v>
      </c>
      <c r="M4430" s="43">
        <v>46174</v>
      </c>
      <c r="N4430" s="1" t="s">
        <v>2069</v>
      </c>
    </row>
    <row r="4431" spans="1:14" ht="20.25" x14ac:dyDescent="0.25">
      <c r="A4431" s="1">
        <v>17</v>
      </c>
      <c r="B4431" s="159"/>
      <c r="C4431" s="1" t="s">
        <v>4084</v>
      </c>
      <c r="D4431" s="1"/>
      <c r="E4431" s="1"/>
      <c r="F4431" s="1" t="s">
        <v>4090</v>
      </c>
      <c r="G4431" s="1">
        <v>8</v>
      </c>
      <c r="H4431" s="1" t="s">
        <v>19</v>
      </c>
      <c r="I4431" s="1" t="s">
        <v>4086</v>
      </c>
      <c r="J4431" s="1">
        <v>0.05</v>
      </c>
      <c r="K4431" s="1">
        <v>0.4</v>
      </c>
      <c r="L4431" s="42">
        <v>4</v>
      </c>
      <c r="M4431" s="43">
        <v>46174</v>
      </c>
      <c r="N4431" s="1" t="s">
        <v>2069</v>
      </c>
    </row>
    <row r="4432" spans="1:14" ht="20.25" x14ac:dyDescent="0.25">
      <c r="A4432" s="1">
        <v>18</v>
      </c>
      <c r="B4432" s="159"/>
      <c r="C4432" s="1" t="s">
        <v>4084</v>
      </c>
      <c r="D4432" s="1"/>
      <c r="E4432" s="1"/>
      <c r="F4432" s="1" t="s">
        <v>4085</v>
      </c>
      <c r="G4432" s="1">
        <v>4</v>
      </c>
      <c r="H4432" s="1" t="s">
        <v>19</v>
      </c>
      <c r="I4432" s="1" t="s">
        <v>4086</v>
      </c>
      <c r="J4432" s="1">
        <v>0.03</v>
      </c>
      <c r="K4432" s="1">
        <v>0.12</v>
      </c>
      <c r="L4432" s="42">
        <v>4</v>
      </c>
      <c r="M4432" s="43">
        <v>46174</v>
      </c>
      <c r="N4432" s="1" t="s">
        <v>2069</v>
      </c>
    </row>
    <row r="4433" spans="1:14" ht="20.25" x14ac:dyDescent="0.25">
      <c r="A4433" s="1">
        <v>19</v>
      </c>
      <c r="B4433" s="159"/>
      <c r="C4433" s="1" t="s">
        <v>4084</v>
      </c>
      <c r="D4433" s="1"/>
      <c r="E4433" s="1"/>
      <c r="F4433" s="1" t="s">
        <v>4091</v>
      </c>
      <c r="G4433" s="1">
        <v>4</v>
      </c>
      <c r="H4433" s="1" t="s">
        <v>19</v>
      </c>
      <c r="I4433" s="1" t="s">
        <v>4086</v>
      </c>
      <c r="J4433" s="1">
        <v>0.01</v>
      </c>
      <c r="K4433" s="1">
        <v>0.04</v>
      </c>
      <c r="L4433" s="42">
        <v>4</v>
      </c>
      <c r="M4433" s="43">
        <v>46174</v>
      </c>
      <c r="N4433" s="1" t="s">
        <v>2069</v>
      </c>
    </row>
    <row r="4434" spans="1:14" ht="20.25" x14ac:dyDescent="0.25">
      <c r="A4434" s="1">
        <v>20</v>
      </c>
      <c r="B4434" s="159"/>
      <c r="C4434" s="1" t="s">
        <v>4092</v>
      </c>
      <c r="D4434" s="1"/>
      <c r="E4434" s="1"/>
      <c r="F4434" s="1" t="s">
        <v>4093</v>
      </c>
      <c r="G4434" s="1">
        <v>100</v>
      </c>
      <c r="H4434" s="1" t="s">
        <v>19</v>
      </c>
      <c r="I4434" s="1" t="s">
        <v>4086</v>
      </c>
      <c r="J4434" s="1">
        <v>0.03</v>
      </c>
      <c r="K4434" s="1">
        <v>3</v>
      </c>
      <c r="L4434" s="42">
        <v>4</v>
      </c>
      <c r="M4434" s="43">
        <v>46174</v>
      </c>
      <c r="N4434" s="1" t="s">
        <v>2069</v>
      </c>
    </row>
    <row r="4435" spans="1:14" ht="20.25" x14ac:dyDescent="0.25">
      <c r="A4435" s="1">
        <v>21</v>
      </c>
      <c r="B4435" s="159"/>
      <c r="C4435" s="1" t="s">
        <v>4092</v>
      </c>
      <c r="D4435" s="1"/>
      <c r="E4435" s="1"/>
      <c r="F4435" s="1" t="s">
        <v>4094</v>
      </c>
      <c r="G4435" s="1">
        <v>100</v>
      </c>
      <c r="H4435" s="1" t="s">
        <v>19</v>
      </c>
      <c r="I4435" s="1" t="s">
        <v>4086</v>
      </c>
      <c r="J4435" s="1">
        <v>0.01</v>
      </c>
      <c r="K4435" s="1">
        <v>1</v>
      </c>
      <c r="L4435" s="42">
        <v>4</v>
      </c>
      <c r="M4435" s="43">
        <v>46174</v>
      </c>
      <c r="N4435" s="1" t="s">
        <v>2069</v>
      </c>
    </row>
    <row r="4436" spans="1:14" ht="20.25" x14ac:dyDescent="0.25">
      <c r="A4436" s="1">
        <v>22</v>
      </c>
      <c r="B4436" s="159"/>
      <c r="C4436" s="1" t="s">
        <v>3993</v>
      </c>
      <c r="D4436" s="1"/>
      <c r="E4436" s="1"/>
      <c r="F4436" s="1" t="s">
        <v>4095</v>
      </c>
      <c r="G4436" s="1">
        <v>64</v>
      </c>
      <c r="H4436" s="1" t="s">
        <v>19</v>
      </c>
      <c r="I4436" s="1" t="s">
        <v>4086</v>
      </c>
      <c r="J4436" s="1">
        <v>0.05</v>
      </c>
      <c r="K4436" s="1">
        <v>3.2</v>
      </c>
      <c r="L4436" s="42">
        <v>4</v>
      </c>
      <c r="M4436" s="43">
        <v>46174</v>
      </c>
      <c r="N4436" s="1" t="s">
        <v>2069</v>
      </c>
    </row>
    <row r="4437" spans="1:14" ht="20.25" x14ac:dyDescent="0.25">
      <c r="A4437" s="1">
        <v>23</v>
      </c>
      <c r="B4437" s="159"/>
      <c r="C4437" s="1" t="s">
        <v>4030</v>
      </c>
      <c r="D4437" s="1"/>
      <c r="E4437" s="1"/>
      <c r="F4437" s="1" t="s">
        <v>4096</v>
      </c>
      <c r="G4437" s="1">
        <v>20</v>
      </c>
      <c r="H4437" s="1" t="s">
        <v>19</v>
      </c>
      <c r="I4437" s="1" t="s">
        <v>4086</v>
      </c>
      <c r="J4437" s="1">
        <v>0.05</v>
      </c>
      <c r="K4437" s="1">
        <v>1</v>
      </c>
      <c r="L4437" s="42">
        <v>4</v>
      </c>
      <c r="M4437" s="43">
        <v>46174</v>
      </c>
      <c r="N4437" s="1" t="s">
        <v>2069</v>
      </c>
    </row>
    <row r="4438" spans="1:14" ht="20.25" x14ac:dyDescent="0.25">
      <c r="A4438" s="1">
        <v>24</v>
      </c>
      <c r="B4438" s="159"/>
      <c r="C4438" s="1" t="s">
        <v>4097</v>
      </c>
      <c r="D4438" s="1"/>
      <c r="E4438" s="1"/>
      <c r="F4438" s="1" t="s">
        <v>4098</v>
      </c>
      <c r="G4438" s="1">
        <v>8</v>
      </c>
      <c r="H4438" s="1" t="s">
        <v>19</v>
      </c>
      <c r="I4438" s="1" t="s">
        <v>4086</v>
      </c>
      <c r="J4438" s="1">
        <v>0.05</v>
      </c>
      <c r="K4438" s="1">
        <v>0.4</v>
      </c>
      <c r="L4438" s="42">
        <v>4</v>
      </c>
      <c r="M4438" s="43">
        <v>46174</v>
      </c>
      <c r="N4438" s="1" t="s">
        <v>2069</v>
      </c>
    </row>
    <row r="4439" spans="1:14" ht="20.25" x14ac:dyDescent="0.25">
      <c r="A4439" s="1">
        <v>25</v>
      </c>
      <c r="B4439" s="159"/>
      <c r="C4439" s="1" t="s">
        <v>4097</v>
      </c>
      <c r="D4439" s="1"/>
      <c r="E4439" s="1"/>
      <c r="F4439" s="1" t="s">
        <v>4099</v>
      </c>
      <c r="G4439" s="1">
        <v>8</v>
      </c>
      <c r="H4439" s="1" t="s">
        <v>19</v>
      </c>
      <c r="I4439" s="1" t="s">
        <v>4086</v>
      </c>
      <c r="J4439" s="1">
        <v>0.03</v>
      </c>
      <c r="K4439" s="1">
        <v>0.24</v>
      </c>
      <c r="L4439" s="42">
        <v>4</v>
      </c>
      <c r="M4439" s="43">
        <v>46174</v>
      </c>
      <c r="N4439" s="1" t="s">
        <v>2069</v>
      </c>
    </row>
    <row r="4440" spans="1:14" ht="20.25" x14ac:dyDescent="0.25">
      <c r="A4440" s="1">
        <v>26</v>
      </c>
      <c r="B4440" s="159"/>
      <c r="C4440" s="1" t="s">
        <v>4097</v>
      </c>
      <c r="D4440" s="1"/>
      <c r="E4440" s="1"/>
      <c r="F4440" s="1" t="s">
        <v>4100</v>
      </c>
      <c r="G4440" s="1">
        <v>8</v>
      </c>
      <c r="H4440" s="1" t="s">
        <v>19</v>
      </c>
      <c r="I4440" s="1" t="s">
        <v>4086</v>
      </c>
      <c r="J4440" s="1">
        <v>0.01</v>
      </c>
      <c r="K4440" s="1">
        <v>0.08</v>
      </c>
      <c r="L4440" s="42">
        <v>4</v>
      </c>
      <c r="M4440" s="43">
        <v>46174</v>
      </c>
      <c r="N4440" s="1" t="s">
        <v>2069</v>
      </c>
    </row>
    <row r="4441" spans="1:14" ht="20.25" x14ac:dyDescent="0.25">
      <c r="A4441" s="1">
        <v>27</v>
      </c>
      <c r="B4441" s="159"/>
      <c r="C4441" s="1" t="s">
        <v>4101</v>
      </c>
      <c r="D4441" s="1"/>
      <c r="E4441" s="1"/>
      <c r="F4441" s="1" t="s">
        <v>4102</v>
      </c>
      <c r="G4441" s="1">
        <v>2</v>
      </c>
      <c r="H4441" s="1" t="s">
        <v>19</v>
      </c>
      <c r="I4441" s="1" t="s">
        <v>4086</v>
      </c>
      <c r="J4441" s="1">
        <v>0.01</v>
      </c>
      <c r="K4441" s="1">
        <v>0.02</v>
      </c>
      <c r="L4441" s="42">
        <v>4</v>
      </c>
      <c r="M4441" s="43">
        <v>46174</v>
      </c>
      <c r="N4441" s="1" t="s">
        <v>2069</v>
      </c>
    </row>
    <row r="4442" spans="1:14" ht="20.25" x14ac:dyDescent="0.25">
      <c r="A4442" s="1">
        <v>28</v>
      </c>
      <c r="B4442" s="159"/>
      <c r="C4442" s="1" t="s">
        <v>4103</v>
      </c>
      <c r="D4442" s="1"/>
      <c r="E4442" s="1"/>
      <c r="F4442" s="1" t="s">
        <v>4104</v>
      </c>
      <c r="G4442" s="1">
        <v>112</v>
      </c>
      <c r="H4442" s="1" t="s">
        <v>19</v>
      </c>
      <c r="I4442" s="1" t="s">
        <v>4086</v>
      </c>
      <c r="J4442" s="1">
        <v>0.05</v>
      </c>
      <c r="K4442" s="1">
        <v>5.6000000000000005</v>
      </c>
      <c r="L4442" s="42">
        <v>4</v>
      </c>
      <c r="M4442" s="43">
        <v>46174</v>
      </c>
      <c r="N4442" s="1" t="s">
        <v>2069</v>
      </c>
    </row>
    <row r="4443" spans="1:14" ht="20.25" x14ac:dyDescent="0.25">
      <c r="A4443" s="1">
        <v>29</v>
      </c>
      <c r="B4443" s="159"/>
      <c r="C4443" s="1" t="s">
        <v>4103</v>
      </c>
      <c r="D4443" s="1"/>
      <c r="E4443" s="1"/>
      <c r="F4443" s="1" t="s">
        <v>4105</v>
      </c>
      <c r="G4443" s="1">
        <v>112</v>
      </c>
      <c r="H4443" s="1" t="s">
        <v>19</v>
      </c>
      <c r="I4443" s="1" t="s">
        <v>4086</v>
      </c>
      <c r="J4443" s="1">
        <v>0.03</v>
      </c>
      <c r="K4443" s="1">
        <v>3.36</v>
      </c>
      <c r="L4443" s="42">
        <v>4</v>
      </c>
      <c r="M4443" s="43">
        <v>46174</v>
      </c>
      <c r="N4443" s="1" t="s">
        <v>2069</v>
      </c>
    </row>
    <row r="4444" spans="1:14" ht="20.25" x14ac:dyDescent="0.25">
      <c r="A4444" s="1">
        <v>30</v>
      </c>
      <c r="B4444" s="159"/>
      <c r="C4444" s="1" t="s">
        <v>4103</v>
      </c>
      <c r="D4444" s="1"/>
      <c r="E4444" s="1"/>
      <c r="F4444" s="1" t="s">
        <v>4106</v>
      </c>
      <c r="G4444" s="1">
        <v>112</v>
      </c>
      <c r="H4444" s="1" t="s">
        <v>19</v>
      </c>
      <c r="I4444" s="1" t="s">
        <v>4086</v>
      </c>
      <c r="J4444" s="1">
        <v>0.01</v>
      </c>
      <c r="K4444" s="1">
        <v>1.1200000000000001</v>
      </c>
      <c r="L4444" s="42">
        <v>4</v>
      </c>
      <c r="M4444" s="43">
        <v>46174</v>
      </c>
      <c r="N4444" s="1" t="s">
        <v>2069</v>
      </c>
    </row>
    <row r="4445" spans="1:14" ht="20.25" x14ac:dyDescent="0.25">
      <c r="A4445" s="1">
        <v>31</v>
      </c>
      <c r="B4445" s="159"/>
      <c r="C4445" s="1" t="s">
        <v>4103</v>
      </c>
      <c r="D4445" s="1"/>
      <c r="E4445" s="1"/>
      <c r="F4445" s="1" t="s">
        <v>4107</v>
      </c>
      <c r="G4445" s="1">
        <v>38</v>
      </c>
      <c r="H4445" s="1" t="s">
        <v>19</v>
      </c>
      <c r="I4445" s="1" t="s">
        <v>4086</v>
      </c>
      <c r="J4445" s="1">
        <v>0.05</v>
      </c>
      <c r="K4445" s="1">
        <v>1.9000000000000001</v>
      </c>
      <c r="L4445" s="42">
        <v>4</v>
      </c>
      <c r="M4445" s="43">
        <v>46174</v>
      </c>
      <c r="N4445" s="1" t="s">
        <v>2069</v>
      </c>
    </row>
    <row r="4446" spans="1:14" ht="20.25" x14ac:dyDescent="0.25">
      <c r="A4446" s="1">
        <v>32</v>
      </c>
      <c r="B4446" s="159"/>
      <c r="C4446" s="1" t="s">
        <v>4103</v>
      </c>
      <c r="D4446" s="1"/>
      <c r="E4446" s="1"/>
      <c r="F4446" s="1" t="s">
        <v>4108</v>
      </c>
      <c r="G4446" s="1">
        <v>32</v>
      </c>
      <c r="H4446" s="1" t="s">
        <v>19</v>
      </c>
      <c r="I4446" s="1" t="s">
        <v>4086</v>
      </c>
      <c r="J4446" s="1">
        <v>0.03</v>
      </c>
      <c r="K4446" s="1">
        <v>0.96</v>
      </c>
      <c r="L4446" s="42">
        <v>4</v>
      </c>
      <c r="M4446" s="43">
        <v>46174</v>
      </c>
      <c r="N4446" s="1" t="s">
        <v>2069</v>
      </c>
    </row>
    <row r="4447" spans="1:14" ht="20.25" x14ac:dyDescent="0.25">
      <c r="A4447" s="1">
        <v>33</v>
      </c>
      <c r="B4447" s="159"/>
      <c r="C4447" s="1" t="s">
        <v>4103</v>
      </c>
      <c r="D4447" s="1"/>
      <c r="E4447" s="1"/>
      <c r="F4447" s="1" t="s">
        <v>4109</v>
      </c>
      <c r="G4447" s="1">
        <v>32</v>
      </c>
      <c r="H4447" s="1" t="s">
        <v>19</v>
      </c>
      <c r="I4447" s="1" t="s">
        <v>4086</v>
      </c>
      <c r="J4447" s="1">
        <v>0.01</v>
      </c>
      <c r="K4447" s="1">
        <v>0.32</v>
      </c>
      <c r="L4447" s="42">
        <v>4</v>
      </c>
      <c r="M4447" s="43">
        <v>46174</v>
      </c>
      <c r="N4447" s="1" t="s">
        <v>2069</v>
      </c>
    </row>
    <row r="4448" spans="1:14" ht="20.25" x14ac:dyDescent="0.25">
      <c r="A4448" s="1">
        <v>34</v>
      </c>
      <c r="B4448" s="159"/>
      <c r="C4448" s="1" t="s">
        <v>4110</v>
      </c>
      <c r="D4448" s="1"/>
      <c r="E4448" s="1"/>
      <c r="F4448" s="1" t="s">
        <v>4111</v>
      </c>
      <c r="G4448" s="1">
        <v>572</v>
      </c>
      <c r="H4448" s="1" t="s">
        <v>19</v>
      </c>
      <c r="I4448" s="1" t="s">
        <v>4086</v>
      </c>
      <c r="J4448" s="1">
        <v>0.01</v>
      </c>
      <c r="K4448" s="1">
        <v>5.72</v>
      </c>
      <c r="L4448" s="42">
        <v>4</v>
      </c>
      <c r="M4448" s="43">
        <v>46174</v>
      </c>
      <c r="N4448" s="1" t="s">
        <v>2069</v>
      </c>
    </row>
    <row r="4449" spans="1:14" ht="20.25" x14ac:dyDescent="0.25">
      <c r="A4449" s="1">
        <v>35</v>
      </c>
      <c r="B4449" s="159"/>
      <c r="C4449" s="1" t="s">
        <v>3948</v>
      </c>
      <c r="D4449" s="1"/>
      <c r="E4449" s="1"/>
      <c r="F4449" s="1" t="s">
        <v>4112</v>
      </c>
      <c r="G4449" s="1">
        <v>304</v>
      </c>
      <c r="H4449" s="1" t="s">
        <v>19</v>
      </c>
      <c r="I4449" s="1" t="s">
        <v>4086</v>
      </c>
      <c r="J4449" s="1">
        <v>0.05</v>
      </c>
      <c r="K4449" s="1">
        <v>15.200000000000001</v>
      </c>
      <c r="L4449" s="42">
        <v>4</v>
      </c>
      <c r="M4449" s="43">
        <v>46174</v>
      </c>
      <c r="N4449" s="1" t="s">
        <v>2069</v>
      </c>
    </row>
    <row r="4450" spans="1:14" ht="20.25" x14ac:dyDescent="0.25">
      <c r="A4450" s="1">
        <v>36</v>
      </c>
      <c r="B4450" s="159"/>
      <c r="C4450" s="1" t="s">
        <v>3948</v>
      </c>
      <c r="D4450" s="1"/>
      <c r="E4450" s="1"/>
      <c r="F4450" s="1" t="s">
        <v>4113</v>
      </c>
      <c r="G4450" s="1">
        <v>304</v>
      </c>
      <c r="H4450" s="1" t="s">
        <v>19</v>
      </c>
      <c r="I4450" s="1" t="s">
        <v>4086</v>
      </c>
      <c r="J4450" s="1">
        <v>0.03</v>
      </c>
      <c r="K4450" s="1">
        <v>9.1199999999999992</v>
      </c>
      <c r="L4450" s="42">
        <v>4</v>
      </c>
      <c r="M4450" s="43">
        <v>46174</v>
      </c>
      <c r="N4450" s="1" t="s">
        <v>2069</v>
      </c>
    </row>
    <row r="4451" spans="1:14" ht="20.25" x14ac:dyDescent="0.25">
      <c r="A4451" s="1">
        <v>37</v>
      </c>
      <c r="B4451" s="159"/>
      <c r="C4451" s="1" t="s">
        <v>3948</v>
      </c>
      <c r="D4451" s="1"/>
      <c r="E4451" s="1"/>
      <c r="F4451" s="1" t="s">
        <v>4114</v>
      </c>
      <c r="G4451" s="1">
        <v>304</v>
      </c>
      <c r="H4451" s="1" t="s">
        <v>19</v>
      </c>
      <c r="I4451" s="1" t="s">
        <v>4086</v>
      </c>
      <c r="J4451" s="1">
        <v>0.01</v>
      </c>
      <c r="K4451" s="1">
        <v>3.04</v>
      </c>
      <c r="L4451" s="42">
        <v>4</v>
      </c>
      <c r="M4451" s="43">
        <v>46174</v>
      </c>
      <c r="N4451" s="1" t="s">
        <v>2069</v>
      </c>
    </row>
    <row r="4452" spans="1:14" ht="20.25" x14ac:dyDescent="0.25">
      <c r="A4452" s="1">
        <v>38</v>
      </c>
      <c r="B4452" s="159"/>
      <c r="C4452" s="1" t="s">
        <v>3948</v>
      </c>
      <c r="D4452" s="1"/>
      <c r="E4452" s="1"/>
      <c r="F4452" s="1" t="s">
        <v>4115</v>
      </c>
      <c r="G4452" s="1">
        <v>64</v>
      </c>
      <c r="H4452" s="1" t="s">
        <v>19</v>
      </c>
      <c r="I4452" s="1" t="s">
        <v>4086</v>
      </c>
      <c r="J4452" s="1">
        <v>0.03</v>
      </c>
      <c r="K4452" s="1">
        <v>1.92</v>
      </c>
      <c r="L4452" s="42">
        <v>4</v>
      </c>
      <c r="M4452" s="43">
        <v>46174</v>
      </c>
      <c r="N4452" s="1" t="s">
        <v>2069</v>
      </c>
    </row>
    <row r="4453" spans="1:14" ht="20.25" x14ac:dyDescent="0.25">
      <c r="A4453" s="1">
        <v>39</v>
      </c>
      <c r="B4453" s="159"/>
      <c r="C4453" s="1" t="s">
        <v>3948</v>
      </c>
      <c r="D4453" s="1"/>
      <c r="E4453" s="1"/>
      <c r="F4453" s="1" t="s">
        <v>4116</v>
      </c>
      <c r="G4453" s="1">
        <v>64</v>
      </c>
      <c r="H4453" s="1" t="s">
        <v>19</v>
      </c>
      <c r="I4453" s="1" t="s">
        <v>4086</v>
      </c>
      <c r="J4453" s="1">
        <v>0.01</v>
      </c>
      <c r="K4453" s="1">
        <v>0.64</v>
      </c>
      <c r="L4453" s="42">
        <v>4</v>
      </c>
      <c r="M4453" s="43">
        <v>46174</v>
      </c>
      <c r="N4453" s="1" t="s">
        <v>2069</v>
      </c>
    </row>
    <row r="4454" spans="1:14" ht="20.25" x14ac:dyDescent="0.25">
      <c r="A4454" s="1">
        <v>40</v>
      </c>
      <c r="B4454" s="159"/>
      <c r="C4454" s="1" t="s">
        <v>4117</v>
      </c>
      <c r="D4454" s="1"/>
      <c r="E4454" s="1"/>
      <c r="F4454" s="1" t="s">
        <v>4118</v>
      </c>
      <c r="G4454" s="1">
        <v>8</v>
      </c>
      <c r="H4454" s="1" t="s">
        <v>19</v>
      </c>
      <c r="I4454" s="1" t="s">
        <v>4086</v>
      </c>
      <c r="J4454" s="1">
        <v>0.01</v>
      </c>
      <c r="K4454" s="1">
        <v>0.08</v>
      </c>
      <c r="L4454" s="42">
        <v>4</v>
      </c>
      <c r="M4454" s="43">
        <v>46174</v>
      </c>
      <c r="N4454" s="1" t="s">
        <v>2069</v>
      </c>
    </row>
    <row r="4455" spans="1:14" ht="20.25" x14ac:dyDescent="0.25">
      <c r="A4455" s="1">
        <v>41</v>
      </c>
      <c r="B4455" s="159"/>
      <c r="C4455" s="1" t="s">
        <v>4117</v>
      </c>
      <c r="D4455" s="1"/>
      <c r="E4455" s="1"/>
      <c r="F4455" s="1" t="s">
        <v>4119</v>
      </c>
      <c r="G4455" s="1">
        <v>32</v>
      </c>
      <c r="H4455" s="1" t="s">
        <v>19</v>
      </c>
      <c r="I4455" s="1" t="s">
        <v>4086</v>
      </c>
      <c r="J4455" s="1">
        <v>0.05</v>
      </c>
      <c r="K4455" s="1">
        <v>1.6</v>
      </c>
      <c r="L4455" s="42">
        <v>4</v>
      </c>
      <c r="M4455" s="43">
        <v>46174</v>
      </c>
      <c r="N4455" s="1" t="s">
        <v>2069</v>
      </c>
    </row>
    <row r="4456" spans="1:14" ht="20.25" x14ac:dyDescent="0.25">
      <c r="A4456" s="1">
        <v>42</v>
      </c>
      <c r="B4456" s="159"/>
      <c r="C4456" s="1" t="s">
        <v>4117</v>
      </c>
      <c r="D4456" s="1"/>
      <c r="E4456" s="1"/>
      <c r="F4456" s="1" t="s">
        <v>4120</v>
      </c>
      <c r="G4456" s="1">
        <v>32</v>
      </c>
      <c r="H4456" s="1" t="s">
        <v>19</v>
      </c>
      <c r="I4456" s="1" t="s">
        <v>4086</v>
      </c>
      <c r="J4456" s="1">
        <v>0.03</v>
      </c>
      <c r="K4456" s="1">
        <v>0.96</v>
      </c>
      <c r="L4456" s="42">
        <v>4</v>
      </c>
      <c r="M4456" s="43">
        <v>46174</v>
      </c>
      <c r="N4456" s="1" t="s">
        <v>2069</v>
      </c>
    </row>
    <row r="4457" spans="1:14" ht="20.25" x14ac:dyDescent="0.25">
      <c r="A4457" s="1">
        <v>43</v>
      </c>
      <c r="B4457" s="159"/>
      <c r="C4457" s="1" t="s">
        <v>4117</v>
      </c>
      <c r="D4457" s="1"/>
      <c r="E4457" s="1"/>
      <c r="F4457" s="1" t="s">
        <v>4121</v>
      </c>
      <c r="G4457" s="1">
        <v>32</v>
      </c>
      <c r="H4457" s="1" t="s">
        <v>19</v>
      </c>
      <c r="I4457" s="1" t="s">
        <v>4086</v>
      </c>
      <c r="J4457" s="1">
        <v>0.01</v>
      </c>
      <c r="K4457" s="1">
        <v>0.32</v>
      </c>
      <c r="L4457" s="42">
        <v>4</v>
      </c>
      <c r="M4457" s="43">
        <v>46174</v>
      </c>
      <c r="N4457" s="1" t="s">
        <v>2069</v>
      </c>
    </row>
    <row r="4458" spans="1:14" ht="20.25" x14ac:dyDescent="0.25">
      <c r="A4458" s="1">
        <v>44</v>
      </c>
      <c r="B4458" s="159"/>
      <c r="C4458" s="1" t="s">
        <v>4117</v>
      </c>
      <c r="D4458" s="1"/>
      <c r="E4458" s="1"/>
      <c r="F4458" s="1" t="s">
        <v>4122</v>
      </c>
      <c r="G4458" s="1">
        <v>16</v>
      </c>
      <c r="H4458" s="1" t="s">
        <v>19</v>
      </c>
      <c r="I4458" s="1" t="s">
        <v>4086</v>
      </c>
      <c r="J4458" s="1">
        <v>0.05</v>
      </c>
      <c r="K4458" s="1">
        <v>0.8</v>
      </c>
      <c r="L4458" s="42">
        <v>4</v>
      </c>
      <c r="M4458" s="43">
        <v>46174</v>
      </c>
      <c r="N4458" s="1" t="s">
        <v>2069</v>
      </c>
    </row>
    <row r="4459" spans="1:14" ht="20.25" x14ac:dyDescent="0.25">
      <c r="A4459" s="1">
        <v>45</v>
      </c>
      <c r="B4459" s="159"/>
      <c r="C4459" s="1" t="s">
        <v>4117</v>
      </c>
      <c r="D4459" s="1"/>
      <c r="E4459" s="1"/>
      <c r="F4459" s="1" t="s">
        <v>4123</v>
      </c>
      <c r="G4459" s="1">
        <v>16</v>
      </c>
      <c r="H4459" s="1" t="s">
        <v>19</v>
      </c>
      <c r="I4459" s="1" t="s">
        <v>4086</v>
      </c>
      <c r="J4459" s="1">
        <v>0.03</v>
      </c>
      <c r="K4459" s="1">
        <v>0.48</v>
      </c>
      <c r="L4459" s="42">
        <v>4</v>
      </c>
      <c r="M4459" s="43">
        <v>46174</v>
      </c>
      <c r="N4459" s="1" t="s">
        <v>2069</v>
      </c>
    </row>
    <row r="4460" spans="1:14" ht="20.25" x14ac:dyDescent="0.25">
      <c r="A4460" s="1">
        <v>46</v>
      </c>
      <c r="B4460" s="159"/>
      <c r="C4460" s="1" t="s">
        <v>4117</v>
      </c>
      <c r="D4460" s="1"/>
      <c r="E4460" s="1"/>
      <c r="F4460" s="1" t="s">
        <v>4124</v>
      </c>
      <c r="G4460" s="1">
        <v>16</v>
      </c>
      <c r="H4460" s="1" t="s">
        <v>19</v>
      </c>
      <c r="I4460" s="1" t="s">
        <v>4086</v>
      </c>
      <c r="J4460" s="1">
        <v>0.01</v>
      </c>
      <c r="K4460" s="1">
        <v>0.16</v>
      </c>
      <c r="L4460" s="42">
        <v>4</v>
      </c>
      <c r="M4460" s="43">
        <v>46174</v>
      </c>
      <c r="N4460" s="1" t="s">
        <v>2069</v>
      </c>
    </row>
    <row r="4461" spans="1:14" ht="20.25" x14ac:dyDescent="0.25">
      <c r="A4461" s="1">
        <v>47</v>
      </c>
      <c r="B4461" s="159"/>
      <c r="C4461" s="1" t="s">
        <v>4125</v>
      </c>
      <c r="D4461" s="1"/>
      <c r="E4461" s="1"/>
      <c r="F4461" s="1" t="s">
        <v>4126</v>
      </c>
      <c r="G4461" s="1">
        <v>48</v>
      </c>
      <c r="H4461" s="1" t="s">
        <v>19</v>
      </c>
      <c r="I4461" s="1" t="s">
        <v>4086</v>
      </c>
      <c r="J4461" s="1">
        <v>0.05</v>
      </c>
      <c r="K4461" s="1">
        <v>2.4000000000000004</v>
      </c>
      <c r="L4461" s="42">
        <v>4</v>
      </c>
      <c r="M4461" s="43">
        <v>46174</v>
      </c>
      <c r="N4461" s="1" t="s">
        <v>2069</v>
      </c>
    </row>
    <row r="4462" spans="1:14" ht="20.25" x14ac:dyDescent="0.25">
      <c r="A4462" s="1">
        <v>48</v>
      </c>
      <c r="B4462" s="159"/>
      <c r="C4462" s="1" t="s">
        <v>4125</v>
      </c>
      <c r="D4462" s="1"/>
      <c r="E4462" s="1"/>
      <c r="F4462" s="1" t="s">
        <v>4127</v>
      </c>
      <c r="G4462" s="1">
        <v>48</v>
      </c>
      <c r="H4462" s="1" t="s">
        <v>19</v>
      </c>
      <c r="I4462" s="1" t="s">
        <v>4086</v>
      </c>
      <c r="J4462" s="1">
        <v>0.03</v>
      </c>
      <c r="K4462" s="1">
        <v>1.44</v>
      </c>
      <c r="L4462" s="42">
        <v>4</v>
      </c>
      <c r="M4462" s="43">
        <v>46174</v>
      </c>
      <c r="N4462" s="1" t="s">
        <v>2069</v>
      </c>
    </row>
    <row r="4463" spans="1:14" ht="20.25" x14ac:dyDescent="0.25">
      <c r="A4463" s="1">
        <v>49</v>
      </c>
      <c r="B4463" s="159"/>
      <c r="C4463" s="1" t="s">
        <v>4125</v>
      </c>
      <c r="D4463" s="1"/>
      <c r="E4463" s="1"/>
      <c r="F4463" s="1" t="s">
        <v>4128</v>
      </c>
      <c r="G4463" s="1">
        <v>48</v>
      </c>
      <c r="H4463" s="1" t="s">
        <v>19</v>
      </c>
      <c r="I4463" s="1" t="s">
        <v>4086</v>
      </c>
      <c r="J4463" s="1">
        <v>0.01</v>
      </c>
      <c r="K4463" s="1">
        <v>0.48</v>
      </c>
      <c r="L4463" s="42">
        <v>4</v>
      </c>
      <c r="M4463" s="43">
        <v>46174</v>
      </c>
      <c r="N4463" s="1" t="s">
        <v>2069</v>
      </c>
    </row>
    <row r="4464" spans="1:14" ht="20.25" x14ac:dyDescent="0.25">
      <c r="A4464" s="1">
        <v>50</v>
      </c>
      <c r="B4464" s="159"/>
      <c r="C4464" s="1" t="s">
        <v>4125</v>
      </c>
      <c r="D4464" s="1"/>
      <c r="E4464" s="1"/>
      <c r="F4464" s="1" t="s">
        <v>4129</v>
      </c>
      <c r="G4464" s="1">
        <v>144</v>
      </c>
      <c r="H4464" s="1" t="s">
        <v>19</v>
      </c>
      <c r="I4464" s="1" t="s">
        <v>4086</v>
      </c>
      <c r="J4464" s="1">
        <v>0.02</v>
      </c>
      <c r="K4464" s="1">
        <v>2.88</v>
      </c>
      <c r="L4464" s="42">
        <v>4</v>
      </c>
      <c r="M4464" s="43">
        <v>46174</v>
      </c>
      <c r="N4464" s="1" t="s">
        <v>2069</v>
      </c>
    </row>
    <row r="4465" spans="1:14" ht="20.25" x14ac:dyDescent="0.25">
      <c r="A4465" s="1">
        <v>51</v>
      </c>
      <c r="B4465" s="159"/>
      <c r="C4465" s="1" t="s">
        <v>4125</v>
      </c>
      <c r="D4465" s="1"/>
      <c r="E4465" s="1"/>
      <c r="F4465" s="1" t="s">
        <v>4130</v>
      </c>
      <c r="G4465" s="1">
        <v>44</v>
      </c>
      <c r="H4465" s="1" t="s">
        <v>19</v>
      </c>
      <c r="I4465" s="1" t="s">
        <v>4086</v>
      </c>
      <c r="J4465" s="1">
        <v>0.49</v>
      </c>
      <c r="K4465" s="1">
        <v>21.56</v>
      </c>
      <c r="L4465" s="42">
        <v>4</v>
      </c>
      <c r="M4465" s="43">
        <v>46174</v>
      </c>
      <c r="N4465" s="1" t="s">
        <v>2069</v>
      </c>
    </row>
    <row r="4466" spans="1:14" ht="20.25" x14ac:dyDescent="0.25">
      <c r="A4466" s="1">
        <v>52</v>
      </c>
      <c r="B4466" s="159"/>
      <c r="C4466" s="1" t="s">
        <v>4125</v>
      </c>
      <c r="D4466" s="1"/>
      <c r="E4466" s="1"/>
      <c r="F4466" s="1" t="s">
        <v>4131</v>
      </c>
      <c r="G4466" s="1">
        <v>20</v>
      </c>
      <c r="H4466" s="1" t="s">
        <v>1253</v>
      </c>
      <c r="I4466" s="1" t="s">
        <v>4086</v>
      </c>
      <c r="J4466" s="1">
        <v>0.49</v>
      </c>
      <c r="K4466" s="1">
        <v>9.8000000000000007</v>
      </c>
      <c r="L4466" s="42">
        <v>4</v>
      </c>
      <c r="M4466" s="43">
        <v>46174</v>
      </c>
      <c r="N4466" s="1" t="s">
        <v>2069</v>
      </c>
    </row>
    <row r="4467" spans="1:14" ht="20.25" x14ac:dyDescent="0.25">
      <c r="A4467" s="1">
        <v>53</v>
      </c>
      <c r="B4467" s="159"/>
      <c r="C4467" s="1" t="s">
        <v>3958</v>
      </c>
      <c r="D4467" s="1"/>
      <c r="E4467" s="1"/>
      <c r="F4467" s="1" t="s">
        <v>4132</v>
      </c>
      <c r="G4467" s="1">
        <v>12</v>
      </c>
      <c r="H4467" s="1" t="s">
        <v>19</v>
      </c>
      <c r="I4467" s="1" t="s">
        <v>4086</v>
      </c>
      <c r="J4467" s="1">
        <v>0.01</v>
      </c>
      <c r="K4467" s="1">
        <v>0.12</v>
      </c>
      <c r="L4467" s="42">
        <v>4</v>
      </c>
      <c r="M4467" s="43">
        <v>46174</v>
      </c>
      <c r="N4467" s="1" t="s">
        <v>2069</v>
      </c>
    </row>
    <row r="4468" spans="1:14" ht="20.25" x14ac:dyDescent="0.25">
      <c r="A4468" s="1">
        <v>54</v>
      </c>
      <c r="B4468" s="159"/>
      <c r="C4468" s="1" t="s">
        <v>3958</v>
      </c>
      <c r="D4468" s="1"/>
      <c r="E4468" s="1"/>
      <c r="F4468" s="1" t="s">
        <v>4133</v>
      </c>
      <c r="G4468" s="1">
        <v>6</v>
      </c>
      <c r="H4468" s="1" t="s">
        <v>19</v>
      </c>
      <c r="I4468" s="1" t="s">
        <v>4086</v>
      </c>
      <c r="J4468" s="1">
        <v>0.35</v>
      </c>
      <c r="K4468" s="1">
        <v>2.0999999999999996</v>
      </c>
      <c r="L4468" s="42">
        <v>4</v>
      </c>
      <c r="M4468" s="43">
        <v>46174</v>
      </c>
      <c r="N4468" s="1" t="s">
        <v>2069</v>
      </c>
    </row>
    <row r="4469" spans="1:14" ht="20.25" x14ac:dyDescent="0.25">
      <c r="A4469" s="1">
        <v>55</v>
      </c>
      <c r="B4469" s="159"/>
      <c r="C4469" s="1" t="s">
        <v>3958</v>
      </c>
      <c r="D4469" s="1"/>
      <c r="E4469" s="1"/>
      <c r="F4469" s="1" t="s">
        <v>4134</v>
      </c>
      <c r="G4469" s="1">
        <v>6</v>
      </c>
      <c r="H4469" s="1" t="s">
        <v>19</v>
      </c>
      <c r="I4469" s="1" t="s">
        <v>4086</v>
      </c>
      <c r="J4469" s="1">
        <v>1.2</v>
      </c>
      <c r="K4469" s="1">
        <v>7.1999999999999993</v>
      </c>
      <c r="L4469" s="42">
        <v>4</v>
      </c>
      <c r="M4469" s="43">
        <v>46174</v>
      </c>
      <c r="N4469" s="1" t="s">
        <v>2069</v>
      </c>
    </row>
    <row r="4470" spans="1:14" ht="20.25" x14ac:dyDescent="0.25">
      <c r="A4470" s="1">
        <v>56</v>
      </c>
      <c r="B4470" s="159"/>
      <c r="C4470" s="1" t="s">
        <v>3958</v>
      </c>
      <c r="D4470" s="1"/>
      <c r="E4470" s="1"/>
      <c r="F4470" s="1" t="s">
        <v>4135</v>
      </c>
      <c r="G4470" s="1">
        <v>12</v>
      </c>
      <c r="H4470" s="1" t="s">
        <v>19</v>
      </c>
      <c r="I4470" s="1" t="s">
        <v>4086</v>
      </c>
      <c r="J4470" s="1">
        <v>0.05</v>
      </c>
      <c r="K4470" s="1">
        <v>0.60000000000000009</v>
      </c>
      <c r="L4470" s="42">
        <v>4</v>
      </c>
      <c r="M4470" s="43">
        <v>46174</v>
      </c>
      <c r="N4470" s="1" t="s">
        <v>2069</v>
      </c>
    </row>
    <row r="4471" spans="1:14" ht="20.25" x14ac:dyDescent="0.25">
      <c r="A4471" s="1">
        <v>57</v>
      </c>
      <c r="B4471" s="159"/>
      <c r="C4471" s="1" t="s">
        <v>3958</v>
      </c>
      <c r="D4471" s="1"/>
      <c r="E4471" s="1"/>
      <c r="F4471" s="1" t="s">
        <v>4136</v>
      </c>
      <c r="G4471" s="1">
        <v>132</v>
      </c>
      <c r="H4471" s="1" t="s">
        <v>19</v>
      </c>
      <c r="I4471" s="1" t="s">
        <v>4086</v>
      </c>
      <c r="J4471" s="1">
        <v>0.01</v>
      </c>
      <c r="K4471" s="1">
        <v>1.32</v>
      </c>
      <c r="L4471" s="42">
        <v>4</v>
      </c>
      <c r="M4471" s="43">
        <v>46174</v>
      </c>
      <c r="N4471" s="1" t="s">
        <v>2069</v>
      </c>
    </row>
    <row r="4472" spans="1:14" ht="20.25" x14ac:dyDescent="0.25">
      <c r="A4472" s="1">
        <v>58</v>
      </c>
      <c r="B4472" s="159"/>
      <c r="C4472" s="1" t="s">
        <v>3958</v>
      </c>
      <c r="D4472" s="1"/>
      <c r="E4472" s="1"/>
      <c r="F4472" s="1" t="s">
        <v>4137</v>
      </c>
      <c r="G4472" s="1">
        <v>12</v>
      </c>
      <c r="H4472" s="1" t="s">
        <v>19</v>
      </c>
      <c r="I4472" s="1" t="s">
        <v>4086</v>
      </c>
      <c r="J4472" s="1">
        <v>0.03</v>
      </c>
      <c r="K4472" s="1">
        <v>0.36</v>
      </c>
      <c r="L4472" s="42">
        <v>4</v>
      </c>
      <c r="M4472" s="43">
        <v>46174</v>
      </c>
      <c r="N4472" s="1" t="s">
        <v>2069</v>
      </c>
    </row>
    <row r="4473" spans="1:14" ht="20.25" x14ac:dyDescent="0.25">
      <c r="A4473" s="1">
        <v>59</v>
      </c>
      <c r="B4473" s="159"/>
      <c r="C4473" s="1" t="s">
        <v>3958</v>
      </c>
      <c r="D4473" s="1"/>
      <c r="E4473" s="1"/>
      <c r="F4473" s="1" t="s">
        <v>4138</v>
      </c>
      <c r="G4473" s="1">
        <v>72</v>
      </c>
      <c r="H4473" s="1" t="s">
        <v>19</v>
      </c>
      <c r="I4473" s="1" t="s">
        <v>4086</v>
      </c>
      <c r="J4473" s="1">
        <v>0.05</v>
      </c>
      <c r="K4473" s="1">
        <v>3.6</v>
      </c>
      <c r="L4473" s="42">
        <v>4</v>
      </c>
      <c r="M4473" s="43">
        <v>46174</v>
      </c>
      <c r="N4473" s="1" t="s">
        <v>2069</v>
      </c>
    </row>
    <row r="4474" spans="1:14" ht="20.25" x14ac:dyDescent="0.25">
      <c r="A4474" s="1">
        <v>60</v>
      </c>
      <c r="B4474" s="159"/>
      <c r="C4474" s="1" t="s">
        <v>3958</v>
      </c>
      <c r="D4474" s="1"/>
      <c r="E4474" s="1"/>
      <c r="F4474" s="1" t="s">
        <v>4137</v>
      </c>
      <c r="G4474" s="1">
        <v>72</v>
      </c>
      <c r="H4474" s="1" t="s">
        <v>19</v>
      </c>
      <c r="I4474" s="1" t="s">
        <v>4086</v>
      </c>
      <c r="J4474" s="1">
        <v>0.03</v>
      </c>
      <c r="K4474" s="1">
        <v>2.16</v>
      </c>
      <c r="L4474" s="42">
        <v>4</v>
      </c>
      <c r="M4474" s="43">
        <v>46174</v>
      </c>
      <c r="N4474" s="1" t="s">
        <v>2069</v>
      </c>
    </row>
    <row r="4475" spans="1:14" ht="20.25" x14ac:dyDescent="0.25">
      <c r="A4475" s="1">
        <v>61</v>
      </c>
      <c r="B4475" s="159"/>
      <c r="C4475" s="1" t="s">
        <v>3958</v>
      </c>
      <c r="D4475" s="1"/>
      <c r="E4475" s="1"/>
      <c r="F4475" s="1" t="s">
        <v>4136</v>
      </c>
      <c r="G4475" s="1">
        <v>72</v>
      </c>
      <c r="H4475" s="1" t="s">
        <v>19</v>
      </c>
      <c r="I4475" s="1" t="s">
        <v>4086</v>
      </c>
      <c r="J4475" s="1">
        <v>0.01</v>
      </c>
      <c r="K4475" s="1">
        <v>0.72</v>
      </c>
      <c r="L4475" s="42">
        <v>4</v>
      </c>
      <c r="M4475" s="43">
        <v>46174</v>
      </c>
      <c r="N4475" s="1" t="s">
        <v>2069</v>
      </c>
    </row>
    <row r="4476" spans="1:14" ht="20.25" x14ac:dyDescent="0.25">
      <c r="A4476" s="1">
        <v>62</v>
      </c>
      <c r="B4476" s="159"/>
      <c r="C4476" s="1" t="s">
        <v>4139</v>
      </c>
      <c r="D4476" s="1"/>
      <c r="E4476" s="1"/>
      <c r="F4476" s="1" t="s">
        <v>4140</v>
      </c>
      <c r="G4476" s="1">
        <v>16</v>
      </c>
      <c r="H4476" s="1" t="s">
        <v>19</v>
      </c>
      <c r="I4476" s="1" t="s">
        <v>2274</v>
      </c>
      <c r="J4476" s="1">
        <v>0.01</v>
      </c>
      <c r="K4476" s="1">
        <v>0.16</v>
      </c>
      <c r="L4476" s="42">
        <v>4</v>
      </c>
      <c r="M4476" s="43">
        <v>46174</v>
      </c>
      <c r="N4476" s="1" t="s">
        <v>2069</v>
      </c>
    </row>
    <row r="4477" spans="1:14" ht="20.25" x14ac:dyDescent="0.25">
      <c r="A4477" s="1">
        <v>63</v>
      </c>
      <c r="B4477" s="159"/>
      <c r="C4477" s="1" t="s">
        <v>4139</v>
      </c>
      <c r="D4477" s="1"/>
      <c r="E4477" s="1"/>
      <c r="F4477" s="1" t="s">
        <v>4141</v>
      </c>
      <c r="G4477" s="1">
        <v>64</v>
      </c>
      <c r="H4477" s="1" t="s">
        <v>19</v>
      </c>
      <c r="I4477" s="1" t="s">
        <v>2274</v>
      </c>
      <c r="J4477" s="1">
        <v>0.01</v>
      </c>
      <c r="K4477" s="1">
        <v>0.64</v>
      </c>
      <c r="L4477" s="42">
        <v>4</v>
      </c>
      <c r="M4477" s="43">
        <v>46174</v>
      </c>
      <c r="N4477" s="1" t="s">
        <v>2069</v>
      </c>
    </row>
    <row r="4478" spans="1:14" ht="20.25" x14ac:dyDescent="0.25">
      <c r="A4478" s="1">
        <v>64</v>
      </c>
      <c r="B4478" s="159"/>
      <c r="C4478" s="1" t="s">
        <v>4139</v>
      </c>
      <c r="D4478" s="1"/>
      <c r="E4478" s="1"/>
      <c r="F4478" s="1" t="s">
        <v>4142</v>
      </c>
      <c r="G4478" s="1">
        <v>32</v>
      </c>
      <c r="H4478" s="1" t="s">
        <v>19</v>
      </c>
      <c r="I4478" s="1" t="s">
        <v>2274</v>
      </c>
      <c r="J4478" s="1">
        <v>0.01</v>
      </c>
      <c r="K4478" s="1">
        <v>0.32</v>
      </c>
      <c r="L4478" s="42">
        <v>4</v>
      </c>
      <c r="M4478" s="43">
        <v>46174</v>
      </c>
      <c r="N4478" s="1" t="s">
        <v>2069</v>
      </c>
    </row>
    <row r="4479" spans="1:14" ht="20.25" x14ac:dyDescent="0.25">
      <c r="A4479" s="1">
        <v>65</v>
      </c>
      <c r="B4479" s="159"/>
      <c r="C4479" s="1" t="s">
        <v>4139</v>
      </c>
      <c r="D4479" s="1"/>
      <c r="E4479" s="1"/>
      <c r="F4479" s="1" t="s">
        <v>4143</v>
      </c>
      <c r="G4479" s="1">
        <v>64</v>
      </c>
      <c r="H4479" s="1" t="s">
        <v>19</v>
      </c>
      <c r="I4479" s="1" t="s">
        <v>2276</v>
      </c>
      <c r="J4479" s="1">
        <v>0.01</v>
      </c>
      <c r="K4479" s="1">
        <v>0.64</v>
      </c>
      <c r="L4479" s="42">
        <v>4</v>
      </c>
      <c r="M4479" s="43">
        <v>46174</v>
      </c>
      <c r="N4479" s="1" t="s">
        <v>2069</v>
      </c>
    </row>
    <row r="4480" spans="1:14" ht="20.25" x14ac:dyDescent="0.25">
      <c r="A4480" s="1">
        <v>66</v>
      </c>
      <c r="B4480" s="159"/>
      <c r="C4480" s="1" t="s">
        <v>4144</v>
      </c>
      <c r="D4480" s="1"/>
      <c r="E4480" s="1"/>
      <c r="F4480" s="1" t="s">
        <v>4145</v>
      </c>
      <c r="G4480" s="1">
        <v>8</v>
      </c>
      <c r="H4480" s="1" t="s">
        <v>19</v>
      </c>
      <c r="I4480" s="1" t="s">
        <v>2274</v>
      </c>
      <c r="J4480" s="1">
        <v>0.05</v>
      </c>
      <c r="K4480" s="1">
        <v>0.4</v>
      </c>
      <c r="L4480" s="42">
        <v>4</v>
      </c>
      <c r="M4480" s="43">
        <v>46174</v>
      </c>
      <c r="N4480" s="1" t="s">
        <v>2069</v>
      </c>
    </row>
    <row r="4481" spans="1:14" ht="20.25" x14ac:dyDescent="0.25">
      <c r="A4481" s="1">
        <v>67</v>
      </c>
      <c r="B4481" s="159"/>
      <c r="C4481" s="1" t="s">
        <v>4144</v>
      </c>
      <c r="D4481" s="1"/>
      <c r="E4481" s="1"/>
      <c r="F4481" s="1" t="s">
        <v>4146</v>
      </c>
      <c r="G4481" s="1">
        <v>8</v>
      </c>
      <c r="H4481" s="1" t="s">
        <v>19</v>
      </c>
      <c r="I4481" s="1" t="s">
        <v>2276</v>
      </c>
      <c r="J4481" s="1">
        <v>0.05</v>
      </c>
      <c r="K4481" s="1">
        <v>0.4</v>
      </c>
      <c r="L4481" s="42">
        <v>4</v>
      </c>
      <c r="M4481" s="43">
        <v>46174</v>
      </c>
      <c r="N4481" s="1" t="s">
        <v>2069</v>
      </c>
    </row>
    <row r="4482" spans="1:14" ht="20.25" x14ac:dyDescent="0.25">
      <c r="A4482" s="1">
        <v>68</v>
      </c>
      <c r="B4482" s="159"/>
      <c r="C4482" s="1" t="s">
        <v>4144</v>
      </c>
      <c r="D4482" s="1"/>
      <c r="E4482" s="1"/>
      <c r="F4482" s="1" t="s">
        <v>4147</v>
      </c>
      <c r="G4482" s="1">
        <v>8</v>
      </c>
      <c r="H4482" s="1" t="s">
        <v>19</v>
      </c>
      <c r="I4482" s="1" t="s">
        <v>2274</v>
      </c>
      <c r="J4482" s="1">
        <v>0.01</v>
      </c>
      <c r="K4482" s="1">
        <v>0.08</v>
      </c>
      <c r="L4482" s="42">
        <v>4</v>
      </c>
      <c r="M4482" s="43">
        <v>46174</v>
      </c>
      <c r="N4482" s="1" t="s">
        <v>2069</v>
      </c>
    </row>
    <row r="4483" spans="1:14" ht="20.25" x14ac:dyDescent="0.25">
      <c r="A4483" s="1">
        <v>69</v>
      </c>
      <c r="B4483" s="159"/>
      <c r="C4483" s="1" t="s">
        <v>4144</v>
      </c>
      <c r="D4483" s="1"/>
      <c r="E4483" s="1"/>
      <c r="F4483" s="1" t="s">
        <v>4148</v>
      </c>
      <c r="G4483" s="1">
        <v>8</v>
      </c>
      <c r="H4483" s="1" t="s">
        <v>19</v>
      </c>
      <c r="I4483" s="1" t="s">
        <v>2276</v>
      </c>
      <c r="J4483" s="1">
        <v>0.01</v>
      </c>
      <c r="K4483" s="1">
        <v>0.08</v>
      </c>
      <c r="L4483" s="42">
        <v>4</v>
      </c>
      <c r="M4483" s="43">
        <v>46174</v>
      </c>
      <c r="N4483" s="1" t="s">
        <v>2069</v>
      </c>
    </row>
    <row r="4484" spans="1:14" ht="20.25" x14ac:dyDescent="0.25">
      <c r="A4484" s="1">
        <v>70</v>
      </c>
      <c r="B4484" s="159"/>
      <c r="C4484" s="1" t="s">
        <v>4149</v>
      </c>
      <c r="D4484" s="1"/>
      <c r="E4484" s="1"/>
      <c r="F4484" s="1" t="s">
        <v>4150</v>
      </c>
      <c r="G4484" s="1">
        <v>4</v>
      </c>
      <c r="H4484" s="1" t="s">
        <v>19</v>
      </c>
      <c r="I4484" s="1" t="s">
        <v>2274</v>
      </c>
      <c r="J4484" s="1">
        <v>0.01</v>
      </c>
      <c r="K4484" s="1">
        <v>0.04</v>
      </c>
      <c r="L4484" s="42">
        <v>4</v>
      </c>
      <c r="M4484" s="43">
        <v>46174</v>
      </c>
      <c r="N4484" s="1" t="s">
        <v>2069</v>
      </c>
    </row>
    <row r="4485" spans="1:14" ht="20.25" x14ac:dyDescent="0.25">
      <c r="A4485" s="1">
        <v>71</v>
      </c>
      <c r="B4485" s="159"/>
      <c r="C4485" s="1" t="s">
        <v>4149</v>
      </c>
      <c r="D4485" s="1"/>
      <c r="E4485" s="1"/>
      <c r="F4485" s="1" t="s">
        <v>4151</v>
      </c>
      <c r="G4485" s="1">
        <v>4</v>
      </c>
      <c r="H4485" s="1" t="s">
        <v>19</v>
      </c>
      <c r="I4485" s="1" t="s">
        <v>2276</v>
      </c>
      <c r="J4485" s="1">
        <v>0.01</v>
      </c>
      <c r="K4485" s="1">
        <v>0.04</v>
      </c>
      <c r="L4485" s="42">
        <v>4</v>
      </c>
      <c r="M4485" s="43">
        <v>46174</v>
      </c>
      <c r="N4485" s="1" t="s">
        <v>2069</v>
      </c>
    </row>
    <row r="4486" spans="1:14" ht="20.25" x14ac:dyDescent="0.25">
      <c r="A4486" s="1">
        <v>72</v>
      </c>
      <c r="B4486" s="159"/>
      <c r="C4486" s="1" t="s">
        <v>4149</v>
      </c>
      <c r="D4486" s="1"/>
      <c r="E4486" s="1"/>
      <c r="F4486" s="1" t="s">
        <v>4152</v>
      </c>
      <c r="G4486" s="1">
        <v>4</v>
      </c>
      <c r="H4486" s="1" t="s">
        <v>19</v>
      </c>
      <c r="I4486" s="1" t="s">
        <v>2274</v>
      </c>
      <c r="J4486" s="1">
        <v>0.01</v>
      </c>
      <c r="K4486" s="1">
        <v>0.04</v>
      </c>
      <c r="L4486" s="42">
        <v>4</v>
      </c>
      <c r="M4486" s="43">
        <v>46174</v>
      </c>
      <c r="N4486" s="1" t="s">
        <v>2069</v>
      </c>
    </row>
    <row r="4487" spans="1:14" ht="20.25" x14ac:dyDescent="0.25">
      <c r="A4487" s="1">
        <v>73</v>
      </c>
      <c r="B4487" s="159"/>
      <c r="C4487" s="1" t="s">
        <v>4149</v>
      </c>
      <c r="D4487" s="1"/>
      <c r="E4487" s="1"/>
      <c r="F4487" s="1" t="s">
        <v>4153</v>
      </c>
      <c r="G4487" s="1">
        <v>4</v>
      </c>
      <c r="H4487" s="1" t="s">
        <v>19</v>
      </c>
      <c r="I4487" s="1" t="s">
        <v>2276</v>
      </c>
      <c r="J4487" s="1">
        <v>0.01</v>
      </c>
      <c r="K4487" s="1">
        <v>0.04</v>
      </c>
      <c r="L4487" s="42">
        <v>4</v>
      </c>
      <c r="M4487" s="43">
        <v>46174</v>
      </c>
      <c r="N4487" s="1" t="s">
        <v>2069</v>
      </c>
    </row>
    <row r="4488" spans="1:14" ht="20.25" x14ac:dyDescent="0.25">
      <c r="A4488" s="1">
        <v>74</v>
      </c>
      <c r="B4488" s="159"/>
      <c r="C4488" s="1" t="s">
        <v>4154</v>
      </c>
      <c r="D4488" s="1"/>
      <c r="E4488" s="1"/>
      <c r="F4488" s="1" t="s">
        <v>4155</v>
      </c>
      <c r="G4488" s="1">
        <v>16</v>
      </c>
      <c r="H4488" s="1" t="s">
        <v>19</v>
      </c>
      <c r="I4488" s="1" t="s">
        <v>2274</v>
      </c>
      <c r="J4488" s="1">
        <v>0.03</v>
      </c>
      <c r="K4488" s="1">
        <v>0.48</v>
      </c>
      <c r="L4488" s="42">
        <v>4</v>
      </c>
      <c r="M4488" s="43">
        <v>46174</v>
      </c>
      <c r="N4488" s="1" t="s">
        <v>2069</v>
      </c>
    </row>
    <row r="4489" spans="1:14" ht="20.25" x14ac:dyDescent="0.25">
      <c r="A4489" s="1">
        <v>75</v>
      </c>
      <c r="B4489" s="159"/>
      <c r="C4489" s="1" t="s">
        <v>4156</v>
      </c>
      <c r="D4489" s="1"/>
      <c r="E4489" s="1"/>
      <c r="F4489" s="1" t="s">
        <v>4157</v>
      </c>
      <c r="G4489" s="1">
        <v>4</v>
      </c>
      <c r="H4489" s="1" t="s">
        <v>19</v>
      </c>
      <c r="I4489" s="1" t="s">
        <v>2274</v>
      </c>
      <c r="J4489" s="1">
        <v>0.01</v>
      </c>
      <c r="K4489" s="1">
        <v>0.04</v>
      </c>
      <c r="L4489" s="42">
        <v>4</v>
      </c>
      <c r="M4489" s="43">
        <v>46174</v>
      </c>
      <c r="N4489" s="1" t="s">
        <v>2069</v>
      </c>
    </row>
    <row r="4490" spans="1:14" ht="20.25" x14ac:dyDescent="0.25">
      <c r="A4490" s="1">
        <v>76</v>
      </c>
      <c r="B4490" s="159"/>
      <c r="C4490" s="1" t="s">
        <v>4156</v>
      </c>
      <c r="D4490" s="1"/>
      <c r="E4490" s="1"/>
      <c r="F4490" s="1" t="s">
        <v>4158</v>
      </c>
      <c r="G4490" s="1">
        <v>4</v>
      </c>
      <c r="H4490" s="1" t="s">
        <v>19</v>
      </c>
      <c r="I4490" s="1" t="s">
        <v>2276</v>
      </c>
      <c r="J4490" s="1">
        <v>0.01</v>
      </c>
      <c r="K4490" s="1">
        <v>0.04</v>
      </c>
      <c r="L4490" s="42">
        <v>4</v>
      </c>
      <c r="M4490" s="43">
        <v>46174</v>
      </c>
      <c r="N4490" s="1" t="s">
        <v>2069</v>
      </c>
    </row>
    <row r="4491" spans="1:14" ht="20.25" x14ac:dyDescent="0.25">
      <c r="A4491" s="1">
        <v>77</v>
      </c>
      <c r="B4491" s="159"/>
      <c r="C4491" s="1" t="s">
        <v>4156</v>
      </c>
      <c r="D4491" s="1"/>
      <c r="E4491" s="1"/>
      <c r="F4491" s="1" t="s">
        <v>4159</v>
      </c>
      <c r="G4491" s="1">
        <v>4</v>
      </c>
      <c r="H4491" s="1" t="s">
        <v>19</v>
      </c>
      <c r="I4491" s="1" t="s">
        <v>2274</v>
      </c>
      <c r="J4491" s="1">
        <v>0.01</v>
      </c>
      <c r="K4491" s="1">
        <v>0.04</v>
      </c>
      <c r="L4491" s="42">
        <v>4</v>
      </c>
      <c r="M4491" s="43">
        <v>46174</v>
      </c>
      <c r="N4491" s="1" t="s">
        <v>2069</v>
      </c>
    </row>
    <row r="4492" spans="1:14" ht="20.25" x14ac:dyDescent="0.25">
      <c r="A4492" s="1">
        <v>78</v>
      </c>
      <c r="B4492" s="159"/>
      <c r="C4492" s="1" t="s">
        <v>4156</v>
      </c>
      <c r="D4492" s="1"/>
      <c r="E4492" s="1"/>
      <c r="F4492" s="1" t="s">
        <v>4160</v>
      </c>
      <c r="G4492" s="1">
        <v>4</v>
      </c>
      <c r="H4492" s="1" t="s">
        <v>19</v>
      </c>
      <c r="I4492" s="1" t="s">
        <v>2276</v>
      </c>
      <c r="J4492" s="1">
        <v>0.01</v>
      </c>
      <c r="K4492" s="1">
        <v>0.04</v>
      </c>
      <c r="L4492" s="42">
        <v>4</v>
      </c>
      <c r="M4492" s="43">
        <v>46174</v>
      </c>
      <c r="N4492" s="1" t="s">
        <v>2069</v>
      </c>
    </row>
    <row r="4493" spans="1:14" ht="20.25" x14ac:dyDescent="0.25">
      <c r="A4493" s="1">
        <v>79</v>
      </c>
      <c r="B4493" s="159"/>
      <c r="C4493" s="1" t="s">
        <v>4161</v>
      </c>
      <c r="D4493" s="1"/>
      <c r="E4493" s="1"/>
      <c r="F4493" s="1" t="s">
        <v>4162</v>
      </c>
      <c r="G4493" s="1">
        <v>720</v>
      </c>
      <c r="H4493" s="1" t="s">
        <v>19</v>
      </c>
      <c r="I4493" s="1" t="s">
        <v>4086</v>
      </c>
      <c r="J4493" s="1">
        <v>0.01</v>
      </c>
      <c r="K4493" s="1">
        <v>7.2</v>
      </c>
      <c r="L4493" s="42">
        <v>4</v>
      </c>
      <c r="M4493" s="43">
        <v>46174</v>
      </c>
      <c r="N4493" s="1" t="s">
        <v>2069</v>
      </c>
    </row>
    <row r="4494" spans="1:14" ht="20.25" x14ac:dyDescent="0.25">
      <c r="A4494" s="1">
        <v>80</v>
      </c>
      <c r="B4494" s="159"/>
      <c r="C4494" s="1" t="s">
        <v>4161</v>
      </c>
      <c r="D4494" s="1"/>
      <c r="E4494" s="1"/>
      <c r="F4494" s="1" t="s">
        <v>4163</v>
      </c>
      <c r="G4494" s="1">
        <v>360</v>
      </c>
      <c r="H4494" s="1" t="s">
        <v>19</v>
      </c>
      <c r="I4494" s="1" t="s">
        <v>4164</v>
      </c>
      <c r="J4494" s="1">
        <v>0.03</v>
      </c>
      <c r="K4494" s="1">
        <v>10.799999999999999</v>
      </c>
      <c r="L4494" s="42">
        <v>4</v>
      </c>
      <c r="M4494" s="43">
        <v>46174</v>
      </c>
      <c r="N4494" s="1" t="s">
        <v>2069</v>
      </c>
    </row>
    <row r="4495" spans="1:14" ht="20.25" x14ac:dyDescent="0.25">
      <c r="A4495" s="1">
        <v>81</v>
      </c>
      <c r="B4495" s="159"/>
      <c r="C4495" s="1" t="s">
        <v>4161</v>
      </c>
      <c r="D4495" s="1"/>
      <c r="E4495" s="1"/>
      <c r="F4495" s="1" t="s">
        <v>4165</v>
      </c>
      <c r="G4495" s="1">
        <v>360</v>
      </c>
      <c r="H4495" s="1" t="s">
        <v>19</v>
      </c>
      <c r="I4495" s="1" t="s">
        <v>4164</v>
      </c>
      <c r="J4495" s="1">
        <v>0.05</v>
      </c>
      <c r="K4495" s="1">
        <v>18</v>
      </c>
      <c r="L4495" s="42">
        <v>4</v>
      </c>
      <c r="M4495" s="43">
        <v>46174</v>
      </c>
      <c r="N4495" s="1" t="s">
        <v>2069</v>
      </c>
    </row>
    <row r="4496" spans="1:14" ht="20.25" x14ac:dyDescent="0.25">
      <c r="A4496" s="1">
        <v>82</v>
      </c>
      <c r="B4496" s="159"/>
      <c r="C4496" s="1" t="s">
        <v>4166</v>
      </c>
      <c r="D4496" s="1"/>
      <c r="E4496" s="1"/>
      <c r="F4496" s="1" t="s">
        <v>4167</v>
      </c>
      <c r="G4496" s="1">
        <v>432</v>
      </c>
      <c r="H4496" s="1" t="s">
        <v>19</v>
      </c>
      <c r="I4496" s="1" t="s">
        <v>4086</v>
      </c>
      <c r="J4496" s="1">
        <v>0.01</v>
      </c>
      <c r="K4496" s="1">
        <v>4.32</v>
      </c>
      <c r="L4496" s="42">
        <v>4</v>
      </c>
      <c r="M4496" s="43">
        <v>46174</v>
      </c>
      <c r="N4496" s="1" t="s">
        <v>2069</v>
      </c>
    </row>
    <row r="4497" spans="1:14" ht="20.25" x14ac:dyDescent="0.25">
      <c r="A4497" s="1">
        <v>83</v>
      </c>
      <c r="B4497" s="159"/>
      <c r="C4497" s="1" t="s">
        <v>4166</v>
      </c>
      <c r="D4497" s="1"/>
      <c r="E4497" s="1"/>
      <c r="F4497" s="1" t="s">
        <v>4168</v>
      </c>
      <c r="G4497" s="1">
        <v>216</v>
      </c>
      <c r="H4497" s="1" t="s">
        <v>19</v>
      </c>
      <c r="I4497" s="1" t="s">
        <v>4086</v>
      </c>
      <c r="J4497" s="1">
        <v>0.03</v>
      </c>
      <c r="K4497" s="1">
        <v>6.4799999999999995</v>
      </c>
      <c r="L4497" s="42">
        <v>4</v>
      </c>
      <c r="M4497" s="43">
        <v>46174</v>
      </c>
      <c r="N4497" s="1" t="s">
        <v>2069</v>
      </c>
    </row>
    <row r="4498" spans="1:14" ht="20.25" x14ac:dyDescent="0.25">
      <c r="A4498" s="1">
        <v>84</v>
      </c>
      <c r="B4498" s="159"/>
      <c r="C4498" s="1" t="s">
        <v>4166</v>
      </c>
      <c r="D4498" s="1"/>
      <c r="E4498" s="1"/>
      <c r="F4498" s="1" t="s">
        <v>4169</v>
      </c>
      <c r="G4498" s="1">
        <v>216</v>
      </c>
      <c r="H4498" s="1" t="s">
        <v>19</v>
      </c>
      <c r="I4498" s="1" t="s">
        <v>4086</v>
      </c>
      <c r="J4498" s="1">
        <v>0.05</v>
      </c>
      <c r="K4498" s="1">
        <v>10.8</v>
      </c>
      <c r="L4498" s="42">
        <v>4</v>
      </c>
      <c r="M4498" s="43">
        <v>46174</v>
      </c>
      <c r="N4498" s="1" t="s">
        <v>2069</v>
      </c>
    </row>
    <row r="4499" spans="1:14" ht="20.25" x14ac:dyDescent="0.25">
      <c r="A4499" s="1">
        <v>85</v>
      </c>
      <c r="B4499" s="159"/>
      <c r="C4499" s="1" t="s">
        <v>4170</v>
      </c>
      <c r="D4499" s="1"/>
      <c r="E4499" s="1"/>
      <c r="F4499" s="1" t="s">
        <v>4171</v>
      </c>
      <c r="G4499" s="1">
        <v>176</v>
      </c>
      <c r="H4499" s="1" t="s">
        <v>19</v>
      </c>
      <c r="I4499" s="1" t="s">
        <v>4086</v>
      </c>
      <c r="J4499" s="1">
        <v>0.01</v>
      </c>
      <c r="K4499" s="1">
        <v>1.76</v>
      </c>
      <c r="L4499" s="42">
        <v>4</v>
      </c>
      <c r="M4499" s="43">
        <v>46174</v>
      </c>
      <c r="N4499" s="1" t="s">
        <v>2069</v>
      </c>
    </row>
    <row r="4500" spans="1:14" ht="20.25" x14ac:dyDescent="0.25">
      <c r="A4500" s="1">
        <v>86</v>
      </c>
      <c r="B4500" s="159"/>
      <c r="C4500" s="1" t="s">
        <v>4170</v>
      </c>
      <c r="D4500" s="1"/>
      <c r="E4500" s="1"/>
      <c r="F4500" s="1" t="s">
        <v>4172</v>
      </c>
      <c r="G4500" s="1">
        <v>176</v>
      </c>
      <c r="H4500" s="1" t="s">
        <v>19</v>
      </c>
      <c r="I4500" s="1" t="s">
        <v>4086</v>
      </c>
      <c r="J4500" s="1">
        <v>0.05</v>
      </c>
      <c r="K4500" s="1">
        <v>8.8000000000000007</v>
      </c>
      <c r="L4500" s="42">
        <v>4</v>
      </c>
      <c r="M4500" s="43">
        <v>46174</v>
      </c>
      <c r="N4500" s="1" t="s">
        <v>2069</v>
      </c>
    </row>
    <row r="4501" spans="1:14" ht="20.25" x14ac:dyDescent="0.25">
      <c r="A4501" s="1">
        <v>87</v>
      </c>
      <c r="B4501" s="159"/>
      <c r="C4501" s="1" t="s">
        <v>4173</v>
      </c>
      <c r="D4501" s="1"/>
      <c r="E4501" s="1"/>
      <c r="F4501" s="1" t="s">
        <v>4174</v>
      </c>
      <c r="G4501" s="1">
        <v>160</v>
      </c>
      <c r="H4501" s="1" t="s">
        <v>19</v>
      </c>
      <c r="I4501" s="1" t="s">
        <v>4164</v>
      </c>
      <c r="J4501" s="1">
        <v>0.01</v>
      </c>
      <c r="K4501" s="1">
        <v>1.6</v>
      </c>
      <c r="L4501" s="42">
        <v>4</v>
      </c>
      <c r="M4501" s="43">
        <v>46174</v>
      </c>
      <c r="N4501" s="1" t="s">
        <v>2069</v>
      </c>
    </row>
    <row r="4502" spans="1:14" ht="20.25" x14ac:dyDescent="0.25">
      <c r="A4502" s="1">
        <v>88</v>
      </c>
      <c r="B4502" s="159"/>
      <c r="C4502" s="1" t="s">
        <v>4173</v>
      </c>
      <c r="D4502" s="1"/>
      <c r="E4502" s="1"/>
      <c r="F4502" s="1" t="s">
        <v>4175</v>
      </c>
      <c r="G4502" s="1">
        <v>160</v>
      </c>
      <c r="H4502" s="1" t="s">
        <v>19</v>
      </c>
      <c r="I4502" s="1" t="s">
        <v>4086</v>
      </c>
      <c r="J4502" s="1">
        <v>0.05</v>
      </c>
      <c r="K4502" s="1">
        <v>8</v>
      </c>
      <c r="L4502" s="42">
        <v>4</v>
      </c>
      <c r="M4502" s="43">
        <v>46174</v>
      </c>
      <c r="N4502" s="1" t="s">
        <v>2069</v>
      </c>
    </row>
    <row r="4503" spans="1:14" ht="20.25" x14ac:dyDescent="0.25">
      <c r="A4503" s="1">
        <v>89</v>
      </c>
      <c r="B4503" s="159"/>
      <c r="C4503" s="1" t="s">
        <v>4176</v>
      </c>
      <c r="D4503" s="1"/>
      <c r="E4503" s="1"/>
      <c r="F4503" s="1" t="s">
        <v>4177</v>
      </c>
      <c r="G4503" s="1">
        <v>192</v>
      </c>
      <c r="H4503" s="1" t="s">
        <v>19</v>
      </c>
      <c r="I4503" s="1" t="s">
        <v>4086</v>
      </c>
      <c r="J4503" s="1">
        <v>0.01</v>
      </c>
      <c r="K4503" s="1">
        <v>1.92</v>
      </c>
      <c r="L4503" s="42">
        <v>4</v>
      </c>
      <c r="M4503" s="43">
        <v>46174</v>
      </c>
      <c r="N4503" s="1" t="s">
        <v>2069</v>
      </c>
    </row>
    <row r="4504" spans="1:14" ht="20.25" x14ac:dyDescent="0.25">
      <c r="A4504" s="1">
        <v>90</v>
      </c>
      <c r="B4504" s="159"/>
      <c r="C4504" s="1" t="s">
        <v>4176</v>
      </c>
      <c r="D4504" s="1"/>
      <c r="E4504" s="1"/>
      <c r="F4504" s="1" t="s">
        <v>4178</v>
      </c>
      <c r="G4504" s="1">
        <v>96</v>
      </c>
      <c r="H4504" s="1" t="s">
        <v>19</v>
      </c>
      <c r="I4504" s="1" t="s">
        <v>4086</v>
      </c>
      <c r="J4504" s="1">
        <v>0.05</v>
      </c>
      <c r="K4504" s="1">
        <v>4.8000000000000007</v>
      </c>
      <c r="L4504" s="42">
        <v>4</v>
      </c>
      <c r="M4504" s="43">
        <v>46174</v>
      </c>
      <c r="N4504" s="1" t="s">
        <v>2069</v>
      </c>
    </row>
    <row r="4505" spans="1:14" ht="20.25" x14ac:dyDescent="0.25">
      <c r="A4505" s="1">
        <v>91</v>
      </c>
      <c r="B4505" s="159"/>
      <c r="C4505" s="1" t="s">
        <v>4179</v>
      </c>
      <c r="D4505" s="1"/>
      <c r="E4505" s="1"/>
      <c r="F4505" s="1" t="s">
        <v>4180</v>
      </c>
      <c r="G4505" s="1">
        <v>192</v>
      </c>
      <c r="H4505" s="1" t="s">
        <v>19</v>
      </c>
      <c r="I4505" s="1" t="s">
        <v>4086</v>
      </c>
      <c r="J4505" s="1">
        <v>0.01</v>
      </c>
      <c r="K4505" s="1">
        <v>1.92</v>
      </c>
      <c r="L4505" s="42">
        <v>4</v>
      </c>
      <c r="M4505" s="43">
        <v>46174</v>
      </c>
      <c r="N4505" s="1" t="s">
        <v>2069</v>
      </c>
    </row>
    <row r="4506" spans="1:14" ht="20.25" x14ac:dyDescent="0.25">
      <c r="A4506" s="1">
        <v>92</v>
      </c>
      <c r="B4506" s="159"/>
      <c r="C4506" s="1" t="s">
        <v>4179</v>
      </c>
      <c r="D4506" s="1"/>
      <c r="E4506" s="1"/>
      <c r="F4506" s="1" t="s">
        <v>4181</v>
      </c>
      <c r="G4506" s="1">
        <v>96</v>
      </c>
      <c r="H4506" s="1" t="s">
        <v>19</v>
      </c>
      <c r="I4506" s="1" t="s">
        <v>4086</v>
      </c>
      <c r="J4506" s="1">
        <v>0.05</v>
      </c>
      <c r="K4506" s="1">
        <v>4.8000000000000007</v>
      </c>
      <c r="L4506" s="42">
        <v>4</v>
      </c>
      <c r="M4506" s="43">
        <v>46174</v>
      </c>
      <c r="N4506" s="1" t="s">
        <v>2069</v>
      </c>
    </row>
    <row r="4507" spans="1:14" ht="20.25" x14ac:dyDescent="0.25">
      <c r="A4507" s="1">
        <v>93</v>
      </c>
      <c r="B4507" s="159"/>
      <c r="C4507" s="1" t="s">
        <v>4182</v>
      </c>
      <c r="D4507" s="1"/>
      <c r="E4507" s="1"/>
      <c r="F4507" s="1" t="s">
        <v>4183</v>
      </c>
      <c r="G4507" s="1">
        <v>112</v>
      </c>
      <c r="H4507" s="1" t="s">
        <v>19</v>
      </c>
      <c r="I4507" s="1" t="s">
        <v>4086</v>
      </c>
      <c r="J4507" s="1">
        <v>0.01</v>
      </c>
      <c r="K4507" s="1">
        <v>1.1200000000000001</v>
      </c>
      <c r="L4507" s="42">
        <v>4</v>
      </c>
      <c r="M4507" s="43">
        <v>46174</v>
      </c>
      <c r="N4507" s="1" t="s">
        <v>2069</v>
      </c>
    </row>
    <row r="4508" spans="1:14" ht="20.25" x14ac:dyDescent="0.25">
      <c r="A4508" s="1">
        <v>94</v>
      </c>
      <c r="B4508" s="159"/>
      <c r="C4508" s="1" t="s">
        <v>4182</v>
      </c>
      <c r="D4508" s="1"/>
      <c r="E4508" s="1"/>
      <c r="F4508" s="1" t="s">
        <v>4184</v>
      </c>
      <c r="G4508" s="1">
        <v>56</v>
      </c>
      <c r="H4508" s="1" t="s">
        <v>19</v>
      </c>
      <c r="I4508" s="1" t="s">
        <v>4086</v>
      </c>
      <c r="J4508" s="1">
        <v>0.05</v>
      </c>
      <c r="K4508" s="1">
        <v>2.8000000000000003</v>
      </c>
      <c r="L4508" s="42">
        <v>4</v>
      </c>
      <c r="M4508" s="43">
        <v>46174</v>
      </c>
      <c r="N4508" s="1" t="s">
        <v>2069</v>
      </c>
    </row>
    <row r="4509" spans="1:14" ht="20.25" x14ac:dyDescent="0.25">
      <c r="A4509" s="1">
        <v>95</v>
      </c>
      <c r="B4509" s="159"/>
      <c r="C4509" s="1" t="s">
        <v>4185</v>
      </c>
      <c r="D4509" s="1"/>
      <c r="E4509" s="1"/>
      <c r="F4509" s="1" t="s">
        <v>4186</v>
      </c>
      <c r="G4509" s="1">
        <v>128</v>
      </c>
      <c r="H4509" s="1" t="s">
        <v>19</v>
      </c>
      <c r="I4509" s="1" t="s">
        <v>4086</v>
      </c>
      <c r="J4509" s="1">
        <v>0.01</v>
      </c>
      <c r="K4509" s="1">
        <v>1.28</v>
      </c>
      <c r="L4509" s="42">
        <v>4</v>
      </c>
      <c r="M4509" s="43">
        <v>46174</v>
      </c>
      <c r="N4509" s="1" t="s">
        <v>2069</v>
      </c>
    </row>
    <row r="4510" spans="1:14" ht="20.25" x14ac:dyDescent="0.25">
      <c r="A4510" s="1">
        <v>96</v>
      </c>
      <c r="B4510" s="159"/>
      <c r="C4510" s="1" t="s">
        <v>4185</v>
      </c>
      <c r="D4510" s="1"/>
      <c r="E4510" s="1"/>
      <c r="F4510" s="1" t="s">
        <v>4187</v>
      </c>
      <c r="G4510" s="1">
        <v>128</v>
      </c>
      <c r="H4510" s="1" t="s">
        <v>19</v>
      </c>
      <c r="I4510" s="1" t="s">
        <v>4086</v>
      </c>
      <c r="J4510" s="1">
        <v>0.05</v>
      </c>
      <c r="K4510" s="1">
        <v>6.4</v>
      </c>
      <c r="L4510" s="42">
        <v>4</v>
      </c>
      <c r="M4510" s="43">
        <v>46174</v>
      </c>
      <c r="N4510" s="1" t="s">
        <v>2069</v>
      </c>
    </row>
    <row r="4511" spans="1:14" ht="20.25" x14ac:dyDescent="0.25">
      <c r="A4511" s="1">
        <v>97</v>
      </c>
      <c r="B4511" s="159"/>
      <c r="C4511" s="1" t="s">
        <v>4188</v>
      </c>
      <c r="D4511" s="1"/>
      <c r="E4511" s="1"/>
      <c r="F4511" s="1" t="s">
        <v>4189</v>
      </c>
      <c r="G4511" s="1">
        <v>112</v>
      </c>
      <c r="H4511" s="1" t="s">
        <v>19</v>
      </c>
      <c r="I4511" s="1" t="s">
        <v>4086</v>
      </c>
      <c r="J4511" s="1">
        <v>0.01</v>
      </c>
      <c r="K4511" s="1">
        <v>1.1200000000000001</v>
      </c>
      <c r="L4511" s="42">
        <v>4</v>
      </c>
      <c r="M4511" s="43">
        <v>46174</v>
      </c>
      <c r="N4511" s="1" t="s">
        <v>2069</v>
      </c>
    </row>
    <row r="4512" spans="1:14" ht="20.25" x14ac:dyDescent="0.25">
      <c r="A4512" s="1">
        <v>98</v>
      </c>
      <c r="B4512" s="159"/>
      <c r="C4512" s="1" t="s">
        <v>4188</v>
      </c>
      <c r="D4512" s="1"/>
      <c r="E4512" s="1"/>
      <c r="F4512" s="1" t="s">
        <v>4190</v>
      </c>
      <c r="G4512" s="1">
        <v>112</v>
      </c>
      <c r="H4512" s="1" t="s">
        <v>19</v>
      </c>
      <c r="I4512" s="1" t="s">
        <v>4086</v>
      </c>
      <c r="J4512" s="1">
        <v>0.05</v>
      </c>
      <c r="K4512" s="1">
        <v>5.6000000000000005</v>
      </c>
      <c r="L4512" s="42">
        <v>4</v>
      </c>
      <c r="M4512" s="43">
        <v>46174</v>
      </c>
      <c r="N4512" s="1" t="s">
        <v>2069</v>
      </c>
    </row>
    <row r="4513" spans="1:14" ht="20.25" x14ac:dyDescent="0.25">
      <c r="A4513" s="1">
        <v>99</v>
      </c>
      <c r="B4513" s="159"/>
      <c r="C4513" s="1" t="s">
        <v>4188</v>
      </c>
      <c r="D4513" s="1"/>
      <c r="E4513" s="1"/>
      <c r="F4513" s="1" t="s">
        <v>4191</v>
      </c>
      <c r="G4513" s="1">
        <v>112</v>
      </c>
      <c r="H4513" s="1" t="s">
        <v>19</v>
      </c>
      <c r="I4513" s="1" t="s">
        <v>4086</v>
      </c>
      <c r="J4513" s="1">
        <v>0.01</v>
      </c>
      <c r="K4513" s="1">
        <v>1.1200000000000001</v>
      </c>
      <c r="L4513" s="42">
        <v>4</v>
      </c>
      <c r="M4513" s="43">
        <v>46174</v>
      </c>
      <c r="N4513" s="1" t="s">
        <v>2069</v>
      </c>
    </row>
    <row r="4514" spans="1:14" ht="20.25" x14ac:dyDescent="0.25">
      <c r="A4514" s="1">
        <v>100</v>
      </c>
      <c r="B4514" s="159"/>
      <c r="C4514" s="1" t="s">
        <v>4192</v>
      </c>
      <c r="D4514" s="1"/>
      <c r="E4514" s="1"/>
      <c r="F4514" s="1" t="s">
        <v>4193</v>
      </c>
      <c r="G4514" s="1">
        <v>96</v>
      </c>
      <c r="H4514" s="1" t="s">
        <v>19</v>
      </c>
      <c r="I4514" s="1" t="s">
        <v>4086</v>
      </c>
      <c r="J4514" s="1">
        <v>0.01</v>
      </c>
      <c r="K4514" s="1">
        <v>0.96</v>
      </c>
      <c r="L4514" s="42">
        <v>4</v>
      </c>
      <c r="M4514" s="43">
        <v>46174</v>
      </c>
      <c r="N4514" s="1" t="s">
        <v>2069</v>
      </c>
    </row>
    <row r="4515" spans="1:14" ht="20.25" x14ac:dyDescent="0.25">
      <c r="A4515" s="1">
        <v>101</v>
      </c>
      <c r="B4515" s="159"/>
      <c r="C4515" s="1" t="s">
        <v>4192</v>
      </c>
      <c r="D4515" s="1"/>
      <c r="E4515" s="1"/>
      <c r="F4515" s="1" t="s">
        <v>4194</v>
      </c>
      <c r="G4515" s="1">
        <v>96</v>
      </c>
      <c r="H4515" s="1" t="s">
        <v>19</v>
      </c>
      <c r="I4515" s="1" t="s">
        <v>4086</v>
      </c>
      <c r="J4515" s="1">
        <v>0.05</v>
      </c>
      <c r="K4515" s="1">
        <v>4.8000000000000007</v>
      </c>
      <c r="L4515" s="42">
        <v>4</v>
      </c>
      <c r="M4515" s="43">
        <v>46174</v>
      </c>
      <c r="N4515" s="1" t="s">
        <v>2069</v>
      </c>
    </row>
    <row r="4516" spans="1:14" ht="20.25" x14ac:dyDescent="0.25">
      <c r="A4516" s="1">
        <v>102</v>
      </c>
      <c r="B4516" s="159"/>
      <c r="C4516" s="1" t="s">
        <v>4192</v>
      </c>
      <c r="D4516" s="1"/>
      <c r="E4516" s="1"/>
      <c r="F4516" s="1" t="s">
        <v>4195</v>
      </c>
      <c r="G4516" s="1">
        <v>96</v>
      </c>
      <c r="H4516" s="1" t="s">
        <v>19</v>
      </c>
      <c r="I4516" s="1" t="s">
        <v>4086</v>
      </c>
      <c r="J4516" s="1">
        <v>0.01</v>
      </c>
      <c r="K4516" s="1">
        <v>0.96</v>
      </c>
      <c r="L4516" s="42">
        <v>4</v>
      </c>
      <c r="M4516" s="43">
        <v>46174</v>
      </c>
      <c r="N4516" s="1" t="s">
        <v>2069</v>
      </c>
    </row>
    <row r="4517" spans="1:14" ht="20.25" x14ac:dyDescent="0.25">
      <c r="A4517" s="1">
        <v>103</v>
      </c>
      <c r="B4517" s="159"/>
      <c r="C4517" s="1" t="s">
        <v>4196</v>
      </c>
      <c r="D4517" s="1"/>
      <c r="E4517" s="1"/>
      <c r="F4517" s="1" t="s">
        <v>4197</v>
      </c>
      <c r="G4517" s="1">
        <v>112</v>
      </c>
      <c r="H4517" s="1" t="s">
        <v>19</v>
      </c>
      <c r="I4517" s="1" t="s">
        <v>4086</v>
      </c>
      <c r="J4517" s="1">
        <v>0.01</v>
      </c>
      <c r="K4517" s="1">
        <v>1.1200000000000001</v>
      </c>
      <c r="L4517" s="42">
        <v>4</v>
      </c>
      <c r="M4517" s="43">
        <v>46174</v>
      </c>
      <c r="N4517" s="1" t="s">
        <v>2069</v>
      </c>
    </row>
    <row r="4518" spans="1:14" ht="20.25" x14ac:dyDescent="0.25">
      <c r="A4518" s="1">
        <v>104</v>
      </c>
      <c r="B4518" s="159"/>
      <c r="C4518" s="1" t="s">
        <v>4196</v>
      </c>
      <c r="D4518" s="1"/>
      <c r="E4518" s="1"/>
      <c r="F4518" s="1" t="s">
        <v>4198</v>
      </c>
      <c r="G4518" s="1">
        <v>112</v>
      </c>
      <c r="H4518" s="1" t="s">
        <v>19</v>
      </c>
      <c r="I4518" s="1" t="s">
        <v>4086</v>
      </c>
      <c r="J4518" s="1">
        <v>0.01</v>
      </c>
      <c r="K4518" s="1">
        <v>1.1200000000000001</v>
      </c>
      <c r="L4518" s="42">
        <v>4</v>
      </c>
      <c r="M4518" s="43">
        <v>46174</v>
      </c>
      <c r="N4518" s="1" t="s">
        <v>2069</v>
      </c>
    </row>
    <row r="4519" spans="1:14" ht="20.25" x14ac:dyDescent="0.25">
      <c r="A4519" s="1">
        <v>105</v>
      </c>
      <c r="B4519" s="159"/>
      <c r="C4519" s="1" t="s">
        <v>4196</v>
      </c>
      <c r="D4519" s="1"/>
      <c r="E4519" s="1"/>
      <c r="F4519" s="1" t="s">
        <v>4199</v>
      </c>
      <c r="G4519" s="1">
        <v>112</v>
      </c>
      <c r="H4519" s="1" t="s">
        <v>19</v>
      </c>
      <c r="I4519" s="1" t="s">
        <v>4086</v>
      </c>
      <c r="J4519" s="1">
        <v>0.05</v>
      </c>
      <c r="K4519" s="1">
        <v>5.6000000000000005</v>
      </c>
      <c r="L4519" s="42">
        <v>4</v>
      </c>
      <c r="M4519" s="43">
        <v>46174</v>
      </c>
      <c r="N4519" s="1" t="s">
        <v>2069</v>
      </c>
    </row>
    <row r="4520" spans="1:14" ht="20.25" x14ac:dyDescent="0.25">
      <c r="A4520" s="1">
        <v>106</v>
      </c>
      <c r="B4520" s="159"/>
      <c r="C4520" s="1" t="s">
        <v>4200</v>
      </c>
      <c r="D4520" s="1"/>
      <c r="E4520" s="1"/>
      <c r="F4520" s="1" t="s">
        <v>4201</v>
      </c>
      <c r="G4520" s="1">
        <v>112</v>
      </c>
      <c r="H4520" s="1" t="s">
        <v>19</v>
      </c>
      <c r="I4520" s="1" t="s">
        <v>4086</v>
      </c>
      <c r="J4520" s="1">
        <v>0.01</v>
      </c>
      <c r="K4520" s="1">
        <v>1.1200000000000001</v>
      </c>
      <c r="L4520" s="42">
        <v>4</v>
      </c>
      <c r="M4520" s="43">
        <v>46174</v>
      </c>
      <c r="N4520" s="1" t="s">
        <v>2069</v>
      </c>
    </row>
    <row r="4521" spans="1:14" ht="20.25" x14ac:dyDescent="0.25">
      <c r="A4521" s="1">
        <v>107</v>
      </c>
      <c r="B4521" s="159"/>
      <c r="C4521" s="1" t="s">
        <v>4200</v>
      </c>
      <c r="D4521" s="1"/>
      <c r="E4521" s="1"/>
      <c r="F4521" s="1" t="s">
        <v>4202</v>
      </c>
      <c r="G4521" s="1">
        <v>112</v>
      </c>
      <c r="H4521" s="1" t="s">
        <v>19</v>
      </c>
      <c r="I4521" s="1" t="s">
        <v>4086</v>
      </c>
      <c r="J4521" s="1">
        <v>0.01</v>
      </c>
      <c r="K4521" s="1">
        <v>1.1200000000000001</v>
      </c>
      <c r="L4521" s="42">
        <v>4</v>
      </c>
      <c r="M4521" s="43">
        <v>46174</v>
      </c>
      <c r="N4521" s="1" t="s">
        <v>2069</v>
      </c>
    </row>
    <row r="4522" spans="1:14" ht="20.25" x14ac:dyDescent="0.25">
      <c r="A4522" s="1">
        <v>108</v>
      </c>
      <c r="B4522" s="159"/>
      <c r="C4522" s="1" t="s">
        <v>4200</v>
      </c>
      <c r="D4522" s="1"/>
      <c r="E4522" s="1"/>
      <c r="F4522" s="1" t="s">
        <v>4203</v>
      </c>
      <c r="G4522" s="1">
        <v>112</v>
      </c>
      <c r="H4522" s="1" t="s">
        <v>19</v>
      </c>
      <c r="I4522" s="1" t="s">
        <v>4086</v>
      </c>
      <c r="J4522" s="1">
        <v>0.05</v>
      </c>
      <c r="K4522" s="1">
        <v>5.6000000000000005</v>
      </c>
      <c r="L4522" s="42">
        <v>4</v>
      </c>
      <c r="M4522" s="43">
        <v>46174</v>
      </c>
      <c r="N4522" s="1" t="s">
        <v>2069</v>
      </c>
    </row>
    <row r="4523" spans="1:14" ht="20.25" x14ac:dyDescent="0.25">
      <c r="A4523" s="1">
        <v>109</v>
      </c>
      <c r="B4523" s="159"/>
      <c r="C4523" s="1" t="s">
        <v>4204</v>
      </c>
      <c r="D4523" s="1"/>
      <c r="E4523" s="1"/>
      <c r="F4523" s="1" t="s">
        <v>4205</v>
      </c>
      <c r="G4523" s="1">
        <v>416</v>
      </c>
      <c r="H4523" s="1" t="s">
        <v>19</v>
      </c>
      <c r="I4523" s="1" t="s">
        <v>4086</v>
      </c>
      <c r="J4523" s="1">
        <v>0.01</v>
      </c>
      <c r="K4523" s="1">
        <v>4.16</v>
      </c>
      <c r="L4523" s="42">
        <v>4</v>
      </c>
      <c r="M4523" s="43">
        <v>46174</v>
      </c>
      <c r="N4523" s="1" t="s">
        <v>2069</v>
      </c>
    </row>
    <row r="4524" spans="1:14" ht="20.25" x14ac:dyDescent="0.25">
      <c r="A4524" s="1">
        <v>110</v>
      </c>
      <c r="B4524" s="159"/>
      <c r="C4524" s="1" t="s">
        <v>4204</v>
      </c>
      <c r="D4524" s="1"/>
      <c r="E4524" s="1"/>
      <c r="F4524" s="1" t="s">
        <v>4206</v>
      </c>
      <c r="G4524" s="1">
        <v>208</v>
      </c>
      <c r="H4524" s="1" t="s">
        <v>19</v>
      </c>
      <c r="I4524" s="1" t="s">
        <v>4086</v>
      </c>
      <c r="J4524" s="1">
        <v>0.05</v>
      </c>
      <c r="K4524" s="1">
        <v>10.4</v>
      </c>
      <c r="L4524" s="42">
        <v>4</v>
      </c>
      <c r="M4524" s="43">
        <v>46174</v>
      </c>
      <c r="N4524" s="1" t="s">
        <v>2069</v>
      </c>
    </row>
    <row r="4525" spans="1:14" ht="20.25" x14ac:dyDescent="0.25">
      <c r="A4525" s="1">
        <v>111</v>
      </c>
      <c r="B4525" s="159"/>
      <c r="C4525" s="1" t="s">
        <v>4207</v>
      </c>
      <c r="D4525" s="1"/>
      <c r="E4525" s="1"/>
      <c r="F4525" s="1" t="s">
        <v>4208</v>
      </c>
      <c r="G4525" s="1">
        <v>96</v>
      </c>
      <c r="H4525" s="1" t="s">
        <v>19</v>
      </c>
      <c r="I4525" s="1" t="s">
        <v>4086</v>
      </c>
      <c r="J4525" s="1">
        <v>0.05</v>
      </c>
      <c r="K4525" s="1">
        <v>4.8000000000000007</v>
      </c>
      <c r="L4525" s="42">
        <v>4</v>
      </c>
      <c r="M4525" s="43">
        <v>46174</v>
      </c>
      <c r="N4525" s="1" t="s">
        <v>2069</v>
      </c>
    </row>
    <row r="4526" spans="1:14" ht="20.25" x14ac:dyDescent="0.25">
      <c r="A4526" s="1">
        <v>112</v>
      </c>
      <c r="B4526" s="159"/>
      <c r="C4526" s="1" t="s">
        <v>4207</v>
      </c>
      <c r="D4526" s="1"/>
      <c r="E4526" s="1"/>
      <c r="F4526" s="1" t="s">
        <v>4209</v>
      </c>
      <c r="G4526" s="1">
        <v>96</v>
      </c>
      <c r="H4526" s="1" t="s">
        <v>19</v>
      </c>
      <c r="I4526" s="1" t="s">
        <v>4086</v>
      </c>
      <c r="J4526" s="1">
        <v>0.01</v>
      </c>
      <c r="K4526" s="1">
        <v>0.96</v>
      </c>
      <c r="L4526" s="42">
        <v>4</v>
      </c>
      <c r="M4526" s="43">
        <v>46174</v>
      </c>
      <c r="N4526" s="1" t="s">
        <v>2069</v>
      </c>
    </row>
    <row r="4527" spans="1:14" ht="20.25" x14ac:dyDescent="0.25">
      <c r="A4527" s="1">
        <v>113</v>
      </c>
      <c r="B4527" s="159"/>
      <c r="C4527" s="1" t="s">
        <v>4207</v>
      </c>
      <c r="D4527" s="1"/>
      <c r="E4527" s="1"/>
      <c r="F4527" s="1" t="s">
        <v>4210</v>
      </c>
      <c r="G4527" s="1">
        <v>96</v>
      </c>
      <c r="H4527" s="1" t="s">
        <v>19</v>
      </c>
      <c r="I4527" s="1" t="s">
        <v>4086</v>
      </c>
      <c r="J4527" s="1">
        <v>0.01</v>
      </c>
      <c r="K4527" s="1">
        <v>0.96</v>
      </c>
      <c r="L4527" s="42">
        <v>4</v>
      </c>
      <c r="M4527" s="43">
        <v>46174</v>
      </c>
      <c r="N4527" s="1" t="s">
        <v>2069</v>
      </c>
    </row>
    <row r="4528" spans="1:14" ht="20.25" x14ac:dyDescent="0.25">
      <c r="A4528" s="1">
        <v>114</v>
      </c>
      <c r="B4528" s="159"/>
      <c r="C4528" s="1" t="s">
        <v>4211</v>
      </c>
      <c r="D4528" s="1"/>
      <c r="E4528" s="1"/>
      <c r="F4528" s="1" t="s">
        <v>4212</v>
      </c>
      <c r="G4528" s="1">
        <v>8</v>
      </c>
      <c r="H4528" s="1" t="s">
        <v>19</v>
      </c>
      <c r="I4528" s="1" t="s">
        <v>4086</v>
      </c>
      <c r="J4528" s="1">
        <v>0.05</v>
      </c>
      <c r="K4528" s="1">
        <v>0.4</v>
      </c>
      <c r="L4528" s="42">
        <v>4</v>
      </c>
      <c r="M4528" s="43">
        <v>46174</v>
      </c>
      <c r="N4528" s="1" t="s">
        <v>2069</v>
      </c>
    </row>
    <row r="4529" spans="1:14" ht="20.25" x14ac:dyDescent="0.25">
      <c r="A4529" s="1">
        <v>115</v>
      </c>
      <c r="B4529" s="159"/>
      <c r="C4529" s="1" t="s">
        <v>4211</v>
      </c>
      <c r="D4529" s="1"/>
      <c r="E4529" s="1"/>
      <c r="F4529" s="1" t="s">
        <v>4213</v>
      </c>
      <c r="G4529" s="1">
        <v>16</v>
      </c>
      <c r="H4529" s="1" t="s">
        <v>19</v>
      </c>
      <c r="I4529" s="1" t="s">
        <v>4086</v>
      </c>
      <c r="J4529" s="1">
        <v>0.03</v>
      </c>
      <c r="K4529" s="1">
        <v>0.48</v>
      </c>
      <c r="L4529" s="42">
        <v>4</v>
      </c>
      <c r="M4529" s="43">
        <v>46174</v>
      </c>
      <c r="N4529" s="1" t="s">
        <v>2069</v>
      </c>
    </row>
    <row r="4530" spans="1:14" ht="20.25" x14ac:dyDescent="0.25">
      <c r="A4530" s="1">
        <v>116</v>
      </c>
      <c r="B4530" s="159"/>
      <c r="C4530" s="1" t="s">
        <v>4211</v>
      </c>
      <c r="D4530" s="1"/>
      <c r="E4530" s="1"/>
      <c r="F4530" s="1" t="s">
        <v>4214</v>
      </c>
      <c r="G4530" s="1">
        <v>8</v>
      </c>
      <c r="H4530" s="1" t="s">
        <v>19</v>
      </c>
      <c r="I4530" s="1" t="s">
        <v>4086</v>
      </c>
      <c r="J4530" s="1">
        <v>0.05</v>
      </c>
      <c r="K4530" s="1">
        <v>0.4</v>
      </c>
      <c r="L4530" s="42">
        <v>4</v>
      </c>
      <c r="M4530" s="43">
        <v>46174</v>
      </c>
      <c r="N4530" s="1" t="s">
        <v>2069</v>
      </c>
    </row>
    <row r="4531" spans="1:14" ht="20.25" x14ac:dyDescent="0.25">
      <c r="A4531" s="1">
        <v>117</v>
      </c>
      <c r="B4531" s="159"/>
      <c r="C4531" s="1" t="s">
        <v>4211</v>
      </c>
      <c r="D4531" s="1"/>
      <c r="E4531" s="1"/>
      <c r="F4531" s="1" t="s">
        <v>4215</v>
      </c>
      <c r="G4531" s="1">
        <v>8</v>
      </c>
      <c r="H4531" s="1" t="s">
        <v>19</v>
      </c>
      <c r="I4531" s="1" t="s">
        <v>4086</v>
      </c>
      <c r="J4531" s="1">
        <v>0.03</v>
      </c>
      <c r="K4531" s="1">
        <v>0.24</v>
      </c>
      <c r="L4531" s="42">
        <v>4</v>
      </c>
      <c r="M4531" s="43">
        <v>46174</v>
      </c>
      <c r="N4531" s="1" t="s">
        <v>2069</v>
      </c>
    </row>
    <row r="4532" spans="1:14" ht="20.25" x14ac:dyDescent="0.25">
      <c r="A4532" s="1">
        <v>118</v>
      </c>
      <c r="B4532" s="159"/>
      <c r="C4532" s="1" t="s">
        <v>4211</v>
      </c>
      <c r="D4532" s="1"/>
      <c r="E4532" s="1"/>
      <c r="F4532" s="1" t="s">
        <v>4216</v>
      </c>
      <c r="G4532" s="1">
        <v>8</v>
      </c>
      <c r="H4532" s="1" t="s">
        <v>19</v>
      </c>
      <c r="I4532" s="1" t="s">
        <v>4086</v>
      </c>
      <c r="J4532" s="1">
        <v>0.01</v>
      </c>
      <c r="K4532" s="1">
        <v>0.08</v>
      </c>
      <c r="L4532" s="42">
        <v>4</v>
      </c>
      <c r="M4532" s="43">
        <v>46174</v>
      </c>
      <c r="N4532" s="1" t="s">
        <v>2069</v>
      </c>
    </row>
    <row r="4533" spans="1:14" ht="20.25" x14ac:dyDescent="0.25">
      <c r="A4533" s="1">
        <v>119</v>
      </c>
      <c r="B4533" s="159"/>
      <c r="C4533" s="1" t="s">
        <v>4211</v>
      </c>
      <c r="D4533" s="1"/>
      <c r="E4533" s="1"/>
      <c r="F4533" s="1" t="s">
        <v>4217</v>
      </c>
      <c r="G4533" s="1">
        <v>8</v>
      </c>
      <c r="H4533" s="1" t="s">
        <v>19</v>
      </c>
      <c r="I4533" s="1" t="s">
        <v>4086</v>
      </c>
      <c r="J4533" s="1">
        <v>0.05</v>
      </c>
      <c r="K4533" s="1">
        <v>0.4</v>
      </c>
      <c r="L4533" s="42">
        <v>4</v>
      </c>
      <c r="M4533" s="43">
        <v>46174</v>
      </c>
      <c r="N4533" s="1" t="s">
        <v>2069</v>
      </c>
    </row>
    <row r="4534" spans="1:14" ht="20.25" x14ac:dyDescent="0.25">
      <c r="A4534" s="1">
        <v>120</v>
      </c>
      <c r="B4534" s="159"/>
      <c r="C4534" s="1" t="s">
        <v>4211</v>
      </c>
      <c r="D4534" s="1"/>
      <c r="E4534" s="1"/>
      <c r="F4534" s="1" t="s">
        <v>4218</v>
      </c>
      <c r="G4534" s="1">
        <v>64</v>
      </c>
      <c r="H4534" s="1" t="s">
        <v>19</v>
      </c>
      <c r="I4534" s="1" t="s">
        <v>4086</v>
      </c>
      <c r="J4534" s="1">
        <v>0.05</v>
      </c>
      <c r="K4534" s="1">
        <v>3.2</v>
      </c>
      <c r="L4534" s="42">
        <v>4</v>
      </c>
      <c r="M4534" s="43">
        <v>46174</v>
      </c>
      <c r="N4534" s="1" t="s">
        <v>2069</v>
      </c>
    </row>
    <row r="4535" spans="1:14" ht="20.25" x14ac:dyDescent="0.25">
      <c r="A4535" s="1">
        <v>121</v>
      </c>
      <c r="B4535" s="159"/>
      <c r="C4535" s="1" t="s">
        <v>4211</v>
      </c>
      <c r="D4535" s="1"/>
      <c r="E4535" s="1"/>
      <c r="F4535" s="1" t="s">
        <v>4219</v>
      </c>
      <c r="G4535" s="1">
        <v>64</v>
      </c>
      <c r="H4535" s="1" t="s">
        <v>19</v>
      </c>
      <c r="I4535" s="1" t="s">
        <v>4086</v>
      </c>
      <c r="J4535" s="1">
        <v>0.03</v>
      </c>
      <c r="K4535" s="1">
        <v>1.92</v>
      </c>
      <c r="L4535" s="42">
        <v>4</v>
      </c>
      <c r="M4535" s="43">
        <v>46174</v>
      </c>
      <c r="N4535" s="1" t="s">
        <v>2069</v>
      </c>
    </row>
    <row r="4536" spans="1:14" ht="20.25" x14ac:dyDescent="0.25">
      <c r="A4536" s="1">
        <v>122</v>
      </c>
      <c r="B4536" s="159"/>
      <c r="C4536" s="1" t="s">
        <v>4211</v>
      </c>
      <c r="D4536" s="1"/>
      <c r="E4536" s="1"/>
      <c r="F4536" s="1" t="s">
        <v>4220</v>
      </c>
      <c r="G4536" s="1">
        <v>64</v>
      </c>
      <c r="H4536" s="1" t="s">
        <v>19</v>
      </c>
      <c r="I4536" s="1" t="s">
        <v>4086</v>
      </c>
      <c r="J4536" s="1">
        <v>0.01</v>
      </c>
      <c r="K4536" s="1">
        <v>0.64</v>
      </c>
      <c r="L4536" s="42">
        <v>4</v>
      </c>
      <c r="M4536" s="43">
        <v>46174</v>
      </c>
      <c r="N4536" s="1" t="s">
        <v>2069</v>
      </c>
    </row>
    <row r="4537" spans="1:14" ht="20.25" x14ac:dyDescent="0.25">
      <c r="A4537" s="1">
        <v>123</v>
      </c>
      <c r="B4537" s="159"/>
      <c r="C4537" s="1" t="s">
        <v>4211</v>
      </c>
      <c r="D4537" s="1"/>
      <c r="E4537" s="1"/>
      <c r="F4537" s="1" t="s">
        <v>4221</v>
      </c>
      <c r="G4537" s="1">
        <v>32</v>
      </c>
      <c r="H4537" s="1" t="s">
        <v>19</v>
      </c>
      <c r="I4537" s="1" t="s">
        <v>4086</v>
      </c>
      <c r="J4537" s="1">
        <v>0.05</v>
      </c>
      <c r="K4537" s="1">
        <v>1.6</v>
      </c>
      <c r="L4537" s="42">
        <v>4</v>
      </c>
      <c r="M4537" s="43">
        <v>46174</v>
      </c>
      <c r="N4537" s="1" t="s">
        <v>2069</v>
      </c>
    </row>
    <row r="4538" spans="1:14" ht="20.25" x14ac:dyDescent="0.25">
      <c r="A4538" s="1">
        <v>124</v>
      </c>
      <c r="B4538" s="159"/>
      <c r="C4538" s="1" t="s">
        <v>4211</v>
      </c>
      <c r="D4538" s="1"/>
      <c r="E4538" s="1"/>
      <c r="F4538" s="1" t="s">
        <v>4222</v>
      </c>
      <c r="G4538" s="1">
        <v>32</v>
      </c>
      <c r="H4538" s="1" t="s">
        <v>19</v>
      </c>
      <c r="I4538" s="1" t="s">
        <v>4086</v>
      </c>
      <c r="J4538" s="1">
        <v>0.01</v>
      </c>
      <c r="K4538" s="1">
        <v>0.32</v>
      </c>
      <c r="L4538" s="42">
        <v>4</v>
      </c>
      <c r="M4538" s="43">
        <v>46174</v>
      </c>
      <c r="N4538" s="1" t="s">
        <v>2069</v>
      </c>
    </row>
    <row r="4539" spans="1:14" ht="20.25" x14ac:dyDescent="0.25">
      <c r="A4539" s="1">
        <v>125</v>
      </c>
      <c r="B4539" s="159"/>
      <c r="C4539" s="1" t="s">
        <v>4211</v>
      </c>
      <c r="D4539" s="1"/>
      <c r="E4539" s="1"/>
      <c r="F4539" s="1" t="s">
        <v>4223</v>
      </c>
      <c r="G4539" s="1">
        <v>16</v>
      </c>
      <c r="H4539" s="1" t="s">
        <v>19</v>
      </c>
      <c r="I4539" s="1" t="s">
        <v>4086</v>
      </c>
      <c r="J4539" s="1">
        <v>0.03</v>
      </c>
      <c r="K4539" s="1">
        <v>0.48</v>
      </c>
      <c r="L4539" s="42">
        <v>4</v>
      </c>
      <c r="M4539" s="43">
        <v>46174</v>
      </c>
      <c r="N4539" s="1" t="s">
        <v>2069</v>
      </c>
    </row>
    <row r="4540" spans="1:14" ht="20.25" x14ac:dyDescent="0.25">
      <c r="A4540" s="1">
        <v>126</v>
      </c>
      <c r="B4540" s="159"/>
      <c r="C4540" s="1" t="s">
        <v>4211</v>
      </c>
      <c r="D4540" s="1"/>
      <c r="E4540" s="1"/>
      <c r="F4540" s="1" t="s">
        <v>4224</v>
      </c>
      <c r="G4540" s="1">
        <v>16</v>
      </c>
      <c r="H4540" s="1" t="s">
        <v>19</v>
      </c>
      <c r="I4540" s="1" t="s">
        <v>4086</v>
      </c>
      <c r="J4540" s="1">
        <v>0.01</v>
      </c>
      <c r="K4540" s="1">
        <v>0.16</v>
      </c>
      <c r="L4540" s="42">
        <v>4</v>
      </c>
      <c r="M4540" s="43">
        <v>46174</v>
      </c>
      <c r="N4540" s="1" t="s">
        <v>2069</v>
      </c>
    </row>
    <row r="4541" spans="1:14" ht="20.25" x14ac:dyDescent="0.25">
      <c r="A4541" s="1">
        <v>127</v>
      </c>
      <c r="B4541" s="159"/>
      <c r="C4541" s="1" t="s">
        <v>4225</v>
      </c>
      <c r="D4541" s="1"/>
      <c r="E4541" s="1"/>
      <c r="F4541" s="1" t="s">
        <v>4226</v>
      </c>
      <c r="G4541" s="1">
        <v>2</v>
      </c>
      <c r="H4541" s="1" t="s">
        <v>19</v>
      </c>
      <c r="I4541" s="1" t="s">
        <v>4086</v>
      </c>
      <c r="J4541" s="1">
        <v>0.05</v>
      </c>
      <c r="K4541" s="1">
        <v>0.1</v>
      </c>
      <c r="L4541" s="42">
        <v>4</v>
      </c>
      <c r="M4541" s="43">
        <v>46174</v>
      </c>
      <c r="N4541" s="1" t="s">
        <v>2069</v>
      </c>
    </row>
    <row r="4542" spans="1:14" ht="20.25" x14ac:dyDescent="0.25">
      <c r="A4542" s="1">
        <v>128</v>
      </c>
      <c r="B4542" s="159"/>
      <c r="C4542" s="1" t="s">
        <v>4225</v>
      </c>
      <c r="D4542" s="1"/>
      <c r="E4542" s="1"/>
      <c r="F4542" s="1" t="s">
        <v>4227</v>
      </c>
      <c r="G4542" s="1">
        <v>2</v>
      </c>
      <c r="H4542" s="1" t="s">
        <v>19</v>
      </c>
      <c r="I4542" s="1" t="s">
        <v>4086</v>
      </c>
      <c r="J4542" s="1">
        <v>0.03</v>
      </c>
      <c r="K4542" s="1">
        <v>0.06</v>
      </c>
      <c r="L4542" s="42">
        <v>4</v>
      </c>
      <c r="M4542" s="43">
        <v>46174</v>
      </c>
      <c r="N4542" s="1" t="s">
        <v>2069</v>
      </c>
    </row>
    <row r="4543" spans="1:14" ht="20.25" x14ac:dyDescent="0.25">
      <c r="A4543" s="1">
        <v>129</v>
      </c>
      <c r="B4543" s="159"/>
      <c r="C4543" s="1" t="s">
        <v>4225</v>
      </c>
      <c r="D4543" s="1"/>
      <c r="E4543" s="1"/>
      <c r="F4543" s="1" t="s">
        <v>4228</v>
      </c>
      <c r="G4543" s="1">
        <v>2</v>
      </c>
      <c r="H4543" s="1" t="s">
        <v>19</v>
      </c>
      <c r="I4543" s="1" t="s">
        <v>4086</v>
      </c>
      <c r="J4543" s="1">
        <v>0.01</v>
      </c>
      <c r="K4543" s="1">
        <v>0.02</v>
      </c>
      <c r="L4543" s="42">
        <v>4</v>
      </c>
      <c r="M4543" s="43">
        <v>46174</v>
      </c>
      <c r="N4543" s="1" t="s">
        <v>2069</v>
      </c>
    </row>
    <row r="4544" spans="1:14" ht="20.25" x14ac:dyDescent="0.25">
      <c r="A4544" s="1">
        <v>130</v>
      </c>
      <c r="B4544" s="159"/>
      <c r="C4544" s="1" t="s">
        <v>4225</v>
      </c>
      <c r="D4544" s="1"/>
      <c r="E4544" s="1"/>
      <c r="F4544" s="1" t="s">
        <v>4229</v>
      </c>
      <c r="G4544" s="1">
        <v>2</v>
      </c>
      <c r="H4544" s="1" t="s">
        <v>19</v>
      </c>
      <c r="I4544" s="1" t="s">
        <v>4086</v>
      </c>
      <c r="J4544" s="1">
        <v>0.03</v>
      </c>
      <c r="K4544" s="1">
        <v>0.06</v>
      </c>
      <c r="L4544" s="42">
        <v>4</v>
      </c>
      <c r="M4544" s="43">
        <v>46174</v>
      </c>
      <c r="N4544" s="1" t="s">
        <v>2069</v>
      </c>
    </row>
    <row r="4545" spans="1:14" ht="20.25" x14ac:dyDescent="0.25">
      <c r="A4545" s="1">
        <v>131</v>
      </c>
      <c r="B4545" s="159"/>
      <c r="C4545" s="1" t="s">
        <v>4225</v>
      </c>
      <c r="D4545" s="1"/>
      <c r="E4545" s="1"/>
      <c r="F4545" s="1" t="s">
        <v>4230</v>
      </c>
      <c r="G4545" s="1">
        <v>2</v>
      </c>
      <c r="H4545" s="1" t="s">
        <v>19</v>
      </c>
      <c r="I4545" s="1" t="s">
        <v>4086</v>
      </c>
      <c r="J4545" s="1">
        <v>0.01</v>
      </c>
      <c r="K4545" s="1">
        <v>0.02</v>
      </c>
      <c r="L4545" s="42">
        <v>4</v>
      </c>
      <c r="M4545" s="43">
        <v>46174</v>
      </c>
      <c r="N4545" s="1" t="s">
        <v>2069</v>
      </c>
    </row>
    <row r="4546" spans="1:14" ht="20.25" x14ac:dyDescent="0.25">
      <c r="A4546" s="1">
        <v>132</v>
      </c>
      <c r="B4546" s="159"/>
      <c r="C4546" s="1" t="s">
        <v>4231</v>
      </c>
      <c r="D4546" s="1"/>
      <c r="E4546" s="1"/>
      <c r="F4546" s="1" t="s">
        <v>4232</v>
      </c>
      <c r="G4546" s="1">
        <v>20</v>
      </c>
      <c r="H4546" s="1" t="s">
        <v>19</v>
      </c>
      <c r="I4546" s="1" t="s">
        <v>4086</v>
      </c>
      <c r="J4546" s="1">
        <v>0.05</v>
      </c>
      <c r="K4546" s="1">
        <v>1</v>
      </c>
      <c r="L4546" s="42">
        <v>4</v>
      </c>
      <c r="M4546" s="43">
        <v>46174</v>
      </c>
      <c r="N4546" s="1" t="s">
        <v>2069</v>
      </c>
    </row>
    <row r="4547" spans="1:14" ht="20.25" x14ac:dyDescent="0.25">
      <c r="A4547" s="1">
        <v>133</v>
      </c>
      <c r="B4547" s="159"/>
      <c r="C4547" s="1" t="s">
        <v>4231</v>
      </c>
      <c r="D4547" s="1"/>
      <c r="E4547" s="1"/>
      <c r="F4547" s="1" t="s">
        <v>4233</v>
      </c>
      <c r="G4547" s="1">
        <v>20</v>
      </c>
      <c r="H4547" s="1" t="s">
        <v>19</v>
      </c>
      <c r="I4547" s="1" t="s">
        <v>4086</v>
      </c>
      <c r="J4547" s="1">
        <v>0.03</v>
      </c>
      <c r="K4547" s="1">
        <v>0.6</v>
      </c>
      <c r="L4547" s="42">
        <v>4</v>
      </c>
      <c r="M4547" s="43">
        <v>46174</v>
      </c>
      <c r="N4547" s="1" t="s">
        <v>2069</v>
      </c>
    </row>
    <row r="4548" spans="1:14" ht="20.25" x14ac:dyDescent="0.25">
      <c r="A4548" s="1">
        <v>134</v>
      </c>
      <c r="B4548" s="159"/>
      <c r="C4548" s="1" t="s">
        <v>4234</v>
      </c>
      <c r="D4548" s="1"/>
      <c r="E4548" s="1"/>
      <c r="F4548" s="1" t="s">
        <v>4235</v>
      </c>
      <c r="G4548" s="1">
        <v>664</v>
      </c>
      <c r="H4548" s="1" t="s">
        <v>19</v>
      </c>
      <c r="I4548" s="1" t="s">
        <v>4086</v>
      </c>
      <c r="J4548" s="1">
        <v>0.03</v>
      </c>
      <c r="K4548" s="1">
        <v>19.919999999999998</v>
      </c>
      <c r="L4548" s="42">
        <v>4</v>
      </c>
      <c r="M4548" s="43">
        <v>46174</v>
      </c>
      <c r="N4548" s="1" t="s">
        <v>2069</v>
      </c>
    </row>
    <row r="4549" spans="1:14" ht="20.25" x14ac:dyDescent="0.25">
      <c r="A4549" s="1">
        <v>135</v>
      </c>
      <c r="B4549" s="159"/>
      <c r="C4549" s="1" t="s">
        <v>4234</v>
      </c>
      <c r="D4549" s="1"/>
      <c r="E4549" s="1"/>
      <c r="F4549" s="1" t="s">
        <v>4236</v>
      </c>
      <c r="G4549" s="1">
        <v>664</v>
      </c>
      <c r="H4549" s="1" t="s">
        <v>19</v>
      </c>
      <c r="I4549" s="1" t="s">
        <v>4086</v>
      </c>
      <c r="J4549" s="1">
        <v>0.01</v>
      </c>
      <c r="K4549" s="1">
        <v>6.6400000000000006</v>
      </c>
      <c r="L4549" s="42">
        <v>4</v>
      </c>
      <c r="M4549" s="43">
        <v>46174</v>
      </c>
      <c r="N4549" s="1" t="s">
        <v>2069</v>
      </c>
    </row>
    <row r="4550" spans="1:14" ht="20.25" x14ac:dyDescent="0.25">
      <c r="A4550" s="1">
        <v>136</v>
      </c>
      <c r="B4550" s="159"/>
      <c r="C4550" s="1" t="s">
        <v>4234</v>
      </c>
      <c r="D4550" s="1"/>
      <c r="E4550" s="1"/>
      <c r="F4550" s="1" t="s">
        <v>4237</v>
      </c>
      <c r="G4550" s="1">
        <v>1928</v>
      </c>
      <c r="H4550" s="1" t="s">
        <v>19</v>
      </c>
      <c r="I4550" s="1" t="s">
        <v>4086</v>
      </c>
      <c r="J4550" s="1">
        <v>0.01</v>
      </c>
      <c r="K4550" s="1">
        <v>19.28</v>
      </c>
      <c r="L4550" s="42">
        <v>4</v>
      </c>
      <c r="M4550" s="43">
        <v>46174</v>
      </c>
      <c r="N4550" s="1" t="s">
        <v>2069</v>
      </c>
    </row>
    <row r="4551" spans="1:14" ht="20.25" x14ac:dyDescent="0.25">
      <c r="A4551" s="1">
        <v>137</v>
      </c>
      <c r="B4551" s="159"/>
      <c r="C4551" s="1" t="s">
        <v>4234</v>
      </c>
      <c r="D4551" s="1"/>
      <c r="E4551" s="1"/>
      <c r="F4551" s="1" t="s">
        <v>4238</v>
      </c>
      <c r="G4551" s="1">
        <v>1168</v>
      </c>
      <c r="H4551" s="1" t="s">
        <v>19</v>
      </c>
      <c r="I4551" s="1" t="s">
        <v>4086</v>
      </c>
      <c r="J4551" s="1">
        <v>0.03</v>
      </c>
      <c r="K4551" s="1">
        <v>35.04</v>
      </c>
      <c r="L4551" s="42">
        <v>4</v>
      </c>
      <c r="M4551" s="43">
        <v>46174</v>
      </c>
      <c r="N4551" s="1" t="s">
        <v>2069</v>
      </c>
    </row>
    <row r="4552" spans="1:14" ht="20.25" x14ac:dyDescent="0.25">
      <c r="A4552" s="1">
        <v>138</v>
      </c>
      <c r="B4552" s="159"/>
      <c r="C4552" s="1" t="s">
        <v>4234</v>
      </c>
      <c r="D4552" s="1"/>
      <c r="E4552" s="1"/>
      <c r="F4552" s="1" t="s">
        <v>4239</v>
      </c>
      <c r="G4552" s="1">
        <v>800</v>
      </c>
      <c r="H4552" s="1" t="s">
        <v>19</v>
      </c>
      <c r="I4552" s="1" t="s">
        <v>4086</v>
      </c>
      <c r="J4552" s="1">
        <v>0.05</v>
      </c>
      <c r="K4552" s="1">
        <v>40</v>
      </c>
      <c r="L4552" s="42">
        <v>4</v>
      </c>
      <c r="M4552" s="43">
        <v>46174</v>
      </c>
      <c r="N4552" s="1" t="s">
        <v>2069</v>
      </c>
    </row>
    <row r="4553" spans="1:14" ht="20.25" x14ac:dyDescent="0.25">
      <c r="A4553" s="1">
        <v>139</v>
      </c>
      <c r="B4553" s="159"/>
      <c r="C4553" s="1" t="s">
        <v>4234</v>
      </c>
      <c r="D4553" s="1"/>
      <c r="E4553" s="1"/>
      <c r="F4553" s="1" t="s">
        <v>4240</v>
      </c>
      <c r="G4553" s="1">
        <v>336</v>
      </c>
      <c r="H4553" s="1" t="s">
        <v>19</v>
      </c>
      <c r="I4553" s="1" t="s">
        <v>4086</v>
      </c>
      <c r="J4553" s="1">
        <v>0.05</v>
      </c>
      <c r="K4553" s="1">
        <v>16.8</v>
      </c>
      <c r="L4553" s="42">
        <v>4</v>
      </c>
      <c r="M4553" s="43">
        <v>46174</v>
      </c>
      <c r="N4553" s="1" t="s">
        <v>2069</v>
      </c>
    </row>
    <row r="4554" spans="1:14" ht="20.25" x14ac:dyDescent="0.25">
      <c r="A4554" s="1">
        <v>140</v>
      </c>
      <c r="B4554" s="159"/>
      <c r="C4554" s="1" t="s">
        <v>4144</v>
      </c>
      <c r="D4554" s="1"/>
      <c r="E4554" s="1"/>
      <c r="F4554" s="1" t="s">
        <v>4241</v>
      </c>
      <c r="G4554" s="1">
        <v>32</v>
      </c>
      <c r="H4554" s="1" t="s">
        <v>19</v>
      </c>
      <c r="I4554" s="1" t="s">
        <v>4086</v>
      </c>
      <c r="J4554" s="1">
        <v>0.05</v>
      </c>
      <c r="K4554" s="1">
        <v>1.6</v>
      </c>
      <c r="L4554" s="42">
        <v>4</v>
      </c>
      <c r="M4554" s="43">
        <v>46174</v>
      </c>
      <c r="N4554" s="1" t="s">
        <v>2069</v>
      </c>
    </row>
    <row r="4555" spans="1:14" ht="20.25" x14ac:dyDescent="0.25">
      <c r="A4555" s="1">
        <v>141</v>
      </c>
      <c r="B4555" s="159"/>
      <c r="C4555" s="1" t="s">
        <v>4144</v>
      </c>
      <c r="D4555" s="1"/>
      <c r="E4555" s="1"/>
      <c r="F4555" s="1" t="s">
        <v>4242</v>
      </c>
      <c r="G4555" s="1">
        <v>32</v>
      </c>
      <c r="H4555" s="1" t="s">
        <v>19</v>
      </c>
      <c r="I4555" s="1" t="s">
        <v>4086</v>
      </c>
      <c r="J4555" s="1">
        <v>0.01</v>
      </c>
      <c r="K4555" s="1">
        <v>0.32</v>
      </c>
      <c r="L4555" s="42">
        <v>4</v>
      </c>
      <c r="M4555" s="43">
        <v>46174</v>
      </c>
      <c r="N4555" s="1" t="s">
        <v>2069</v>
      </c>
    </row>
    <row r="4556" spans="1:14" ht="20.25" x14ac:dyDescent="0.25">
      <c r="A4556" s="1">
        <v>142</v>
      </c>
      <c r="B4556" s="159"/>
      <c r="C4556" s="1" t="s">
        <v>4243</v>
      </c>
      <c r="D4556" s="1"/>
      <c r="E4556" s="1"/>
      <c r="F4556" s="1" t="s">
        <v>4244</v>
      </c>
      <c r="G4556" s="1">
        <v>32</v>
      </c>
      <c r="H4556" s="1" t="s">
        <v>19</v>
      </c>
      <c r="I4556" s="1" t="s">
        <v>4086</v>
      </c>
      <c r="J4556" s="1">
        <v>0.05</v>
      </c>
      <c r="K4556" s="1">
        <v>1.6</v>
      </c>
      <c r="L4556" s="42">
        <v>4</v>
      </c>
      <c r="M4556" s="43">
        <v>46174</v>
      </c>
      <c r="N4556" s="1" t="s">
        <v>2069</v>
      </c>
    </row>
    <row r="4557" spans="1:14" ht="20.25" x14ac:dyDescent="0.25">
      <c r="A4557" s="1">
        <v>143</v>
      </c>
      <c r="B4557" s="159"/>
      <c r="C4557" s="1" t="s">
        <v>4243</v>
      </c>
      <c r="D4557" s="1"/>
      <c r="E4557" s="1"/>
      <c r="F4557" s="1" t="s">
        <v>4245</v>
      </c>
      <c r="G4557" s="1">
        <v>32</v>
      </c>
      <c r="H4557" s="1" t="s">
        <v>19</v>
      </c>
      <c r="I4557" s="1" t="s">
        <v>4086</v>
      </c>
      <c r="J4557" s="1">
        <v>0.01</v>
      </c>
      <c r="K4557" s="1">
        <v>0.32</v>
      </c>
      <c r="L4557" s="42">
        <v>4</v>
      </c>
      <c r="M4557" s="43">
        <v>46174</v>
      </c>
      <c r="N4557" s="1" t="s">
        <v>2069</v>
      </c>
    </row>
    <row r="4558" spans="1:14" ht="20.25" x14ac:dyDescent="0.25">
      <c r="A4558" s="1">
        <v>144</v>
      </c>
      <c r="B4558" s="159"/>
      <c r="C4558" s="1" t="s">
        <v>4243</v>
      </c>
      <c r="D4558" s="1"/>
      <c r="E4558" s="1"/>
      <c r="F4558" s="1" t="s">
        <v>4246</v>
      </c>
      <c r="G4558" s="1">
        <v>16</v>
      </c>
      <c r="H4558" s="1" t="s">
        <v>19</v>
      </c>
      <c r="I4558" s="1" t="s">
        <v>4086</v>
      </c>
      <c r="J4558" s="1">
        <v>0.03</v>
      </c>
      <c r="K4558" s="1">
        <v>0.48</v>
      </c>
      <c r="L4558" s="42">
        <v>4</v>
      </c>
      <c r="M4558" s="43">
        <v>46174</v>
      </c>
      <c r="N4558" s="1" t="s">
        <v>2069</v>
      </c>
    </row>
    <row r="4559" spans="1:14" ht="20.25" x14ac:dyDescent="0.25">
      <c r="A4559" s="1">
        <v>145</v>
      </c>
      <c r="B4559" s="159"/>
      <c r="C4559" s="1" t="s">
        <v>4243</v>
      </c>
      <c r="D4559" s="1"/>
      <c r="E4559" s="1"/>
      <c r="F4559" s="1" t="s">
        <v>4247</v>
      </c>
      <c r="G4559" s="1">
        <v>16</v>
      </c>
      <c r="H4559" s="1" t="s">
        <v>19</v>
      </c>
      <c r="I4559" s="1" t="s">
        <v>4086</v>
      </c>
      <c r="J4559" s="1">
        <v>0.01</v>
      </c>
      <c r="K4559" s="1">
        <v>0.16</v>
      </c>
      <c r="L4559" s="42">
        <v>4</v>
      </c>
      <c r="M4559" s="43">
        <v>46174</v>
      </c>
      <c r="N4559" s="1" t="s">
        <v>2069</v>
      </c>
    </row>
    <row r="4560" spans="1:14" ht="20.25" x14ac:dyDescent="0.25">
      <c r="A4560" s="1">
        <v>146</v>
      </c>
      <c r="B4560" s="159"/>
      <c r="C4560" s="1" t="s">
        <v>4243</v>
      </c>
      <c r="D4560" s="1"/>
      <c r="E4560" s="1"/>
      <c r="F4560" s="1" t="s">
        <v>4248</v>
      </c>
      <c r="G4560" s="1">
        <v>8</v>
      </c>
      <c r="H4560" s="1" t="s">
        <v>19</v>
      </c>
      <c r="I4560" s="1" t="s">
        <v>4086</v>
      </c>
      <c r="J4560" s="1">
        <v>0.03</v>
      </c>
      <c r="K4560" s="1">
        <v>0.24</v>
      </c>
      <c r="L4560" s="42">
        <v>4</v>
      </c>
      <c r="M4560" s="43">
        <v>46174</v>
      </c>
      <c r="N4560" s="1" t="s">
        <v>2069</v>
      </c>
    </row>
    <row r="4561" spans="1:14" ht="20.25" x14ac:dyDescent="0.25">
      <c r="A4561" s="1">
        <v>147</v>
      </c>
      <c r="B4561" s="159"/>
      <c r="C4561" s="1" t="s">
        <v>4249</v>
      </c>
      <c r="D4561" s="1"/>
      <c r="E4561" s="1"/>
      <c r="F4561" s="1" t="s">
        <v>4250</v>
      </c>
      <c r="G4561" s="1">
        <v>72</v>
      </c>
      <c r="H4561" s="1" t="s">
        <v>19</v>
      </c>
      <c r="I4561" s="1" t="s">
        <v>4086</v>
      </c>
      <c r="J4561" s="1">
        <v>0.05</v>
      </c>
      <c r="K4561" s="1">
        <v>3.6</v>
      </c>
      <c r="L4561" s="42">
        <v>4</v>
      </c>
      <c r="M4561" s="43">
        <v>46174</v>
      </c>
      <c r="N4561" s="1" t="s">
        <v>2069</v>
      </c>
    </row>
    <row r="4562" spans="1:14" ht="20.25" x14ac:dyDescent="0.25">
      <c r="A4562" s="1">
        <v>148</v>
      </c>
      <c r="B4562" s="159"/>
      <c r="C4562" s="1" t="s">
        <v>4249</v>
      </c>
      <c r="D4562" s="1"/>
      <c r="E4562" s="1"/>
      <c r="F4562" s="1" t="s">
        <v>4251</v>
      </c>
      <c r="G4562" s="1">
        <v>72</v>
      </c>
      <c r="H4562" s="1" t="s">
        <v>19</v>
      </c>
      <c r="I4562" s="1" t="s">
        <v>4086</v>
      </c>
      <c r="J4562" s="1">
        <v>0.01</v>
      </c>
      <c r="K4562" s="1">
        <v>0.72</v>
      </c>
      <c r="L4562" s="42">
        <v>4</v>
      </c>
      <c r="M4562" s="43">
        <v>46174</v>
      </c>
      <c r="N4562" s="1" t="s">
        <v>2069</v>
      </c>
    </row>
    <row r="4563" spans="1:14" ht="20.25" x14ac:dyDescent="0.25">
      <c r="A4563" s="1">
        <v>1</v>
      </c>
      <c r="B4563" s="159"/>
      <c r="C4563" s="1" t="s">
        <v>3762</v>
      </c>
      <c r="D4563" s="1"/>
      <c r="E4563" s="1" t="s">
        <v>3763</v>
      </c>
      <c r="F4563" s="1" t="s">
        <v>3760</v>
      </c>
      <c r="G4563" s="1">
        <v>1</v>
      </c>
      <c r="H4563" s="1" t="s">
        <v>19</v>
      </c>
      <c r="I4563" s="1" t="s">
        <v>2274</v>
      </c>
      <c r="J4563" s="1">
        <v>1335.1</v>
      </c>
      <c r="K4563" s="1">
        <v>1335.1</v>
      </c>
      <c r="L4563" s="42">
        <v>5</v>
      </c>
      <c r="M4563" s="43">
        <v>46175</v>
      </c>
      <c r="N4563" s="1" t="s">
        <v>2069</v>
      </c>
    </row>
    <row r="4564" spans="1:14" ht="20.25" x14ac:dyDescent="0.25">
      <c r="A4564" s="1">
        <v>2</v>
      </c>
      <c r="B4564" s="159"/>
      <c r="C4564" s="1" t="s">
        <v>3762</v>
      </c>
      <c r="D4564" s="1"/>
      <c r="E4564" s="1" t="s">
        <v>3763</v>
      </c>
      <c r="F4564" s="1" t="s">
        <v>3760</v>
      </c>
      <c r="G4564" s="1">
        <v>1</v>
      </c>
      <c r="H4564" s="1" t="s">
        <v>19</v>
      </c>
      <c r="I4564" s="1" t="s">
        <v>2276</v>
      </c>
      <c r="J4564" s="1">
        <v>1335.1</v>
      </c>
      <c r="K4564" s="1">
        <v>1335.1</v>
      </c>
      <c r="L4564" s="42">
        <v>5</v>
      </c>
      <c r="M4564" s="43">
        <v>46175</v>
      </c>
      <c r="N4564" s="1" t="s">
        <v>2069</v>
      </c>
    </row>
    <row r="4565" spans="1:14" ht="20.25" x14ac:dyDescent="0.25">
      <c r="A4565" s="1">
        <v>3</v>
      </c>
      <c r="B4565" s="159"/>
      <c r="C4565" s="1" t="s">
        <v>3802</v>
      </c>
      <c r="D4565" s="1"/>
      <c r="E4565" s="1" t="s">
        <v>3807</v>
      </c>
      <c r="F4565" s="1" t="s">
        <v>3808</v>
      </c>
      <c r="G4565" s="1">
        <v>8</v>
      </c>
      <c r="H4565" s="1" t="s">
        <v>19</v>
      </c>
      <c r="I4565" s="1" t="s">
        <v>3790</v>
      </c>
      <c r="J4565" s="1">
        <v>23.68</v>
      </c>
      <c r="K4565" s="1">
        <v>189.44</v>
      </c>
      <c r="L4565" s="42">
        <v>5</v>
      </c>
      <c r="M4565" s="43">
        <v>46175</v>
      </c>
      <c r="N4565" s="1" t="s">
        <v>2069</v>
      </c>
    </row>
    <row r="4566" spans="1:14" ht="20.25" x14ac:dyDescent="0.25">
      <c r="A4566" s="1">
        <v>4</v>
      </c>
      <c r="B4566" s="159"/>
      <c r="C4566" s="1" t="s">
        <v>3802</v>
      </c>
      <c r="D4566" s="1"/>
      <c r="E4566" s="1" t="s">
        <v>3809</v>
      </c>
      <c r="F4566" s="1" t="s">
        <v>3808</v>
      </c>
      <c r="G4566" s="1">
        <v>2</v>
      </c>
      <c r="H4566" s="1" t="s">
        <v>19</v>
      </c>
      <c r="I4566" s="1" t="s">
        <v>3790</v>
      </c>
      <c r="J4566" s="1">
        <v>25.94</v>
      </c>
      <c r="K4566" s="1">
        <v>51.88</v>
      </c>
      <c r="L4566" s="42">
        <v>5</v>
      </c>
      <c r="M4566" s="43">
        <v>46175</v>
      </c>
      <c r="N4566" s="1" t="s">
        <v>2069</v>
      </c>
    </row>
    <row r="4567" spans="1:14" ht="20.25" x14ac:dyDescent="0.25">
      <c r="A4567" s="1">
        <v>5</v>
      </c>
      <c r="B4567" s="159"/>
      <c r="C4567" s="1" t="s">
        <v>3802</v>
      </c>
      <c r="D4567" s="1"/>
      <c r="E4567" s="1" t="s">
        <v>3810</v>
      </c>
      <c r="F4567" s="1" t="s">
        <v>3808</v>
      </c>
      <c r="G4567" s="1">
        <v>4</v>
      </c>
      <c r="H4567" s="1" t="s">
        <v>19</v>
      </c>
      <c r="I4567" s="1" t="s">
        <v>3790</v>
      </c>
      <c r="J4567" s="1">
        <v>33.410000000000004</v>
      </c>
      <c r="K4567" s="1">
        <v>133.64000000000001</v>
      </c>
      <c r="L4567" s="42">
        <v>5</v>
      </c>
      <c r="M4567" s="43">
        <v>46175</v>
      </c>
      <c r="N4567" s="1" t="s">
        <v>2069</v>
      </c>
    </row>
    <row r="4568" spans="1:14" ht="20.25" x14ac:dyDescent="0.25">
      <c r="A4568" s="1">
        <v>6</v>
      </c>
      <c r="B4568" s="159"/>
      <c r="C4568" s="1" t="s">
        <v>3802</v>
      </c>
      <c r="D4568" s="1"/>
      <c r="E4568" s="1" t="s">
        <v>3811</v>
      </c>
      <c r="F4568" s="1" t="s">
        <v>3808</v>
      </c>
      <c r="G4568" s="1">
        <v>2</v>
      </c>
      <c r="H4568" s="1" t="s">
        <v>19</v>
      </c>
      <c r="I4568" s="1" t="s">
        <v>3790</v>
      </c>
      <c r="J4568" s="1">
        <v>25.94</v>
      </c>
      <c r="K4568" s="1">
        <v>51.88</v>
      </c>
      <c r="L4568" s="42">
        <v>5</v>
      </c>
      <c r="M4568" s="43">
        <v>46175</v>
      </c>
      <c r="N4568" s="1" t="s">
        <v>2069</v>
      </c>
    </row>
    <row r="4569" spans="1:14" ht="20.25" x14ac:dyDescent="0.25">
      <c r="A4569" s="1">
        <v>7</v>
      </c>
      <c r="B4569" s="159"/>
      <c r="C4569" s="1" t="s">
        <v>3821</v>
      </c>
      <c r="D4569" s="1"/>
      <c r="E4569" s="1" t="s">
        <v>3824</v>
      </c>
      <c r="F4569" s="1" t="s">
        <v>3808</v>
      </c>
      <c r="G4569" s="1">
        <v>2</v>
      </c>
      <c r="H4569" s="1" t="s">
        <v>19</v>
      </c>
      <c r="I4569" s="1" t="s">
        <v>3790</v>
      </c>
      <c r="J4569" s="1">
        <v>33.409999999999997</v>
      </c>
      <c r="K4569" s="1">
        <v>66.819999999999993</v>
      </c>
      <c r="L4569" s="42">
        <v>5</v>
      </c>
      <c r="M4569" s="43">
        <v>46175</v>
      </c>
      <c r="N4569" s="1" t="s">
        <v>2069</v>
      </c>
    </row>
    <row r="4570" spans="1:14" ht="20.25" x14ac:dyDescent="0.25">
      <c r="A4570" s="1">
        <v>8</v>
      </c>
      <c r="B4570" s="159"/>
      <c r="C4570" s="1" t="s">
        <v>3821</v>
      </c>
      <c r="D4570" s="1"/>
      <c r="E4570" s="1" t="s">
        <v>3825</v>
      </c>
      <c r="F4570" s="1" t="s">
        <v>3808</v>
      </c>
      <c r="G4570" s="1">
        <v>2</v>
      </c>
      <c r="H4570" s="1" t="s">
        <v>19</v>
      </c>
      <c r="I4570" s="1" t="s">
        <v>3790</v>
      </c>
      <c r="J4570" s="1">
        <v>23.68</v>
      </c>
      <c r="K4570" s="1">
        <v>47.36</v>
      </c>
      <c r="L4570" s="42">
        <v>5</v>
      </c>
      <c r="M4570" s="43">
        <v>46175</v>
      </c>
      <c r="N4570" s="1" t="s">
        <v>2069</v>
      </c>
    </row>
    <row r="4571" spans="1:14" ht="20.25" x14ac:dyDescent="0.25">
      <c r="A4571" s="1">
        <v>9</v>
      </c>
      <c r="B4571" s="159"/>
      <c r="C4571" s="1" t="s">
        <v>3821</v>
      </c>
      <c r="D4571" s="1"/>
      <c r="E4571" s="1" t="s">
        <v>3826</v>
      </c>
      <c r="F4571" s="1" t="s">
        <v>3808</v>
      </c>
      <c r="G4571" s="1">
        <v>6</v>
      </c>
      <c r="H4571" s="1" t="s">
        <v>19</v>
      </c>
      <c r="I4571" s="1" t="s">
        <v>3790</v>
      </c>
      <c r="J4571" s="1">
        <v>23.68</v>
      </c>
      <c r="K4571" s="1">
        <v>142.07999999999998</v>
      </c>
      <c r="L4571" s="42">
        <v>5</v>
      </c>
      <c r="M4571" s="43">
        <v>46175</v>
      </c>
      <c r="N4571" s="1" t="s">
        <v>2069</v>
      </c>
    </row>
    <row r="4572" spans="1:14" ht="20.25" x14ac:dyDescent="0.25">
      <c r="A4572" s="1">
        <v>10</v>
      </c>
      <c r="B4572" s="159"/>
      <c r="C4572" s="1" t="s">
        <v>3821</v>
      </c>
      <c r="D4572" s="1"/>
      <c r="E4572" s="1" t="s">
        <v>3827</v>
      </c>
      <c r="F4572" s="1" t="s">
        <v>3808</v>
      </c>
      <c r="G4572" s="1">
        <v>4</v>
      </c>
      <c r="H4572" s="1" t="s">
        <v>19</v>
      </c>
      <c r="I4572" s="1" t="s">
        <v>3790</v>
      </c>
      <c r="J4572" s="1">
        <v>25.94</v>
      </c>
      <c r="K4572" s="1">
        <v>103.76</v>
      </c>
      <c r="L4572" s="42">
        <v>5</v>
      </c>
      <c r="M4572" s="43">
        <v>46175</v>
      </c>
      <c r="N4572" s="1" t="s">
        <v>2069</v>
      </c>
    </row>
    <row r="4573" spans="1:14" ht="20.25" x14ac:dyDescent="0.25">
      <c r="A4573" s="1">
        <v>11</v>
      </c>
      <c r="B4573" s="159"/>
      <c r="C4573" s="1" t="s">
        <v>3858</v>
      </c>
      <c r="D4573" s="1"/>
      <c r="E4573" s="1" t="s">
        <v>3861</v>
      </c>
      <c r="F4573" s="1" t="s">
        <v>3808</v>
      </c>
      <c r="G4573" s="1">
        <v>10</v>
      </c>
      <c r="H4573" s="1" t="s">
        <v>19</v>
      </c>
      <c r="I4573" s="1" t="s">
        <v>3790</v>
      </c>
      <c r="J4573" s="1">
        <v>27.9</v>
      </c>
      <c r="K4573" s="1">
        <v>279</v>
      </c>
      <c r="L4573" s="42">
        <v>5</v>
      </c>
      <c r="M4573" s="43">
        <v>46175</v>
      </c>
      <c r="N4573" s="1" t="s">
        <v>2069</v>
      </c>
    </row>
    <row r="4574" spans="1:14" ht="20.25" x14ac:dyDescent="0.25">
      <c r="A4574" s="1">
        <v>12</v>
      </c>
      <c r="B4574" s="159"/>
      <c r="C4574" s="1" t="s">
        <v>3858</v>
      </c>
      <c r="D4574" s="1"/>
      <c r="E4574" s="1" t="s">
        <v>3862</v>
      </c>
      <c r="F4574" s="1" t="s">
        <v>3808</v>
      </c>
      <c r="G4574" s="1">
        <v>2</v>
      </c>
      <c r="H4574" s="1" t="s">
        <v>19</v>
      </c>
      <c r="I4574" s="1" t="s">
        <v>3790</v>
      </c>
      <c r="J4574" s="1">
        <v>25.02</v>
      </c>
      <c r="K4574" s="1">
        <v>50.04</v>
      </c>
      <c r="L4574" s="42">
        <v>5</v>
      </c>
      <c r="M4574" s="43">
        <v>46175</v>
      </c>
      <c r="N4574" s="1" t="s">
        <v>2069</v>
      </c>
    </row>
    <row r="4575" spans="1:14" ht="20.25" x14ac:dyDescent="0.25">
      <c r="A4575" s="1">
        <v>13</v>
      </c>
      <c r="B4575" s="159"/>
      <c r="C4575" s="1" t="s">
        <v>3858</v>
      </c>
      <c r="D4575" s="1"/>
      <c r="E4575" s="1" t="s">
        <v>3863</v>
      </c>
      <c r="F4575" s="1" t="s">
        <v>3808</v>
      </c>
      <c r="G4575" s="1">
        <v>2</v>
      </c>
      <c r="H4575" s="1" t="s">
        <v>19</v>
      </c>
      <c r="I4575" s="1" t="s">
        <v>3790</v>
      </c>
      <c r="J4575" s="1">
        <v>23.68</v>
      </c>
      <c r="K4575" s="1">
        <v>47.36</v>
      </c>
      <c r="L4575" s="42">
        <v>5</v>
      </c>
      <c r="M4575" s="43">
        <v>46175</v>
      </c>
      <c r="N4575" s="1" t="s">
        <v>2069</v>
      </c>
    </row>
    <row r="4576" spans="1:14" ht="20.25" x14ac:dyDescent="0.25">
      <c r="A4576" s="1">
        <v>14</v>
      </c>
      <c r="B4576" s="159"/>
      <c r="C4576" s="1" t="s">
        <v>3864</v>
      </c>
      <c r="D4576" s="1"/>
      <c r="E4576" s="1" t="s">
        <v>3867</v>
      </c>
      <c r="F4576" s="1" t="s">
        <v>3808</v>
      </c>
      <c r="G4576" s="1">
        <v>2</v>
      </c>
      <c r="H4576" s="1" t="s">
        <v>19</v>
      </c>
      <c r="I4576" s="1" t="s">
        <v>3790</v>
      </c>
      <c r="J4576" s="1">
        <v>34.4</v>
      </c>
      <c r="K4576" s="1">
        <v>68.8</v>
      </c>
      <c r="L4576" s="42">
        <v>5</v>
      </c>
      <c r="M4576" s="43">
        <v>46175</v>
      </c>
      <c r="N4576" s="1" t="s">
        <v>2069</v>
      </c>
    </row>
    <row r="4577" spans="1:14" ht="20.25" x14ac:dyDescent="0.25">
      <c r="A4577" s="1">
        <v>15</v>
      </c>
      <c r="B4577" s="159"/>
      <c r="C4577" s="1" t="s">
        <v>3864</v>
      </c>
      <c r="D4577" s="1"/>
      <c r="E4577" s="1" t="s">
        <v>3868</v>
      </c>
      <c r="F4577" s="1" t="s">
        <v>3808</v>
      </c>
      <c r="G4577" s="1">
        <v>2</v>
      </c>
      <c r="H4577" s="1" t="s">
        <v>19</v>
      </c>
      <c r="I4577" s="1" t="s">
        <v>3790</v>
      </c>
      <c r="J4577" s="1">
        <v>34.369999999999997</v>
      </c>
      <c r="K4577" s="1">
        <v>68.739999999999995</v>
      </c>
      <c r="L4577" s="42">
        <v>5</v>
      </c>
      <c r="M4577" s="43">
        <v>46175</v>
      </c>
      <c r="N4577" s="1" t="s">
        <v>2069</v>
      </c>
    </row>
    <row r="4578" spans="1:14" ht="20.25" x14ac:dyDescent="0.25">
      <c r="A4578" s="1">
        <v>16</v>
      </c>
      <c r="B4578" s="159"/>
      <c r="C4578" s="1" t="s">
        <v>3864</v>
      </c>
      <c r="D4578" s="1"/>
      <c r="E4578" s="1" t="s">
        <v>3869</v>
      </c>
      <c r="F4578" s="1" t="s">
        <v>3808</v>
      </c>
      <c r="G4578" s="1">
        <v>2</v>
      </c>
      <c r="H4578" s="1" t="s">
        <v>19</v>
      </c>
      <c r="I4578" s="1" t="s">
        <v>3790</v>
      </c>
      <c r="J4578" s="1">
        <v>34.369999999999997</v>
      </c>
      <c r="K4578" s="1">
        <v>68.739999999999995</v>
      </c>
      <c r="L4578" s="42">
        <v>5</v>
      </c>
      <c r="M4578" s="43">
        <v>46175</v>
      </c>
      <c r="N4578" s="1" t="s">
        <v>2069</v>
      </c>
    </row>
    <row r="4579" spans="1:14" ht="20.25" x14ac:dyDescent="0.25">
      <c r="A4579" s="1">
        <v>17</v>
      </c>
      <c r="B4579" s="159"/>
      <c r="C4579" s="1" t="s">
        <v>3864</v>
      </c>
      <c r="D4579" s="1"/>
      <c r="E4579" s="1" t="s">
        <v>3870</v>
      </c>
      <c r="F4579" s="1" t="s">
        <v>3808</v>
      </c>
      <c r="G4579" s="1">
        <v>2</v>
      </c>
      <c r="H4579" s="1" t="s">
        <v>19</v>
      </c>
      <c r="I4579" s="1" t="s">
        <v>3790</v>
      </c>
      <c r="J4579" s="1">
        <v>27.01</v>
      </c>
      <c r="K4579" s="1">
        <v>54.02</v>
      </c>
      <c r="L4579" s="42">
        <v>5</v>
      </c>
      <c r="M4579" s="43">
        <v>46175</v>
      </c>
      <c r="N4579" s="1" t="s">
        <v>2069</v>
      </c>
    </row>
    <row r="4580" spans="1:14" ht="20.25" x14ac:dyDescent="0.25">
      <c r="A4580" s="1">
        <v>18</v>
      </c>
      <c r="B4580" s="159"/>
      <c r="C4580" s="1" t="s">
        <v>3864</v>
      </c>
      <c r="D4580" s="1"/>
      <c r="E4580" s="1" t="s">
        <v>3871</v>
      </c>
      <c r="F4580" s="1" t="s">
        <v>3808</v>
      </c>
      <c r="G4580" s="1">
        <v>2</v>
      </c>
      <c r="H4580" s="1" t="s">
        <v>19</v>
      </c>
      <c r="I4580" s="1" t="s">
        <v>3790</v>
      </c>
      <c r="J4580" s="1">
        <v>27.01</v>
      </c>
      <c r="K4580" s="1">
        <v>54.02</v>
      </c>
      <c r="L4580" s="42">
        <v>5</v>
      </c>
      <c r="M4580" s="43">
        <v>46175</v>
      </c>
      <c r="N4580" s="1" t="s">
        <v>2069</v>
      </c>
    </row>
    <row r="4581" spans="1:14" ht="20.25" x14ac:dyDescent="0.25">
      <c r="A4581" s="1">
        <v>19</v>
      </c>
      <c r="B4581" s="159"/>
      <c r="C4581" s="1" t="s">
        <v>3864</v>
      </c>
      <c r="D4581" s="1"/>
      <c r="E4581" s="1" t="s">
        <v>3872</v>
      </c>
      <c r="F4581" s="1" t="s">
        <v>3808</v>
      </c>
      <c r="G4581" s="1">
        <v>4</v>
      </c>
      <c r="H4581" s="1" t="s">
        <v>19</v>
      </c>
      <c r="I4581" s="1" t="s">
        <v>3790</v>
      </c>
      <c r="J4581" s="1">
        <v>23.75</v>
      </c>
      <c r="K4581" s="1">
        <v>95</v>
      </c>
      <c r="L4581" s="42">
        <v>5</v>
      </c>
      <c r="M4581" s="43">
        <v>46175</v>
      </c>
      <c r="N4581" s="1" t="s">
        <v>2069</v>
      </c>
    </row>
    <row r="4582" spans="1:14" ht="20.25" x14ac:dyDescent="0.25">
      <c r="A4582" s="1">
        <v>20</v>
      </c>
      <c r="B4582" s="159"/>
      <c r="C4582" s="1" t="s">
        <v>3873</v>
      </c>
      <c r="D4582" s="1"/>
      <c r="E4582" s="1" t="s">
        <v>3874</v>
      </c>
      <c r="F4582" s="1" t="s">
        <v>3808</v>
      </c>
      <c r="G4582" s="1">
        <v>12</v>
      </c>
      <c r="H4582" s="1" t="s">
        <v>19</v>
      </c>
      <c r="I4582" s="1" t="s">
        <v>3790</v>
      </c>
      <c r="J4582" s="1">
        <v>23.68</v>
      </c>
      <c r="K4582" s="1">
        <v>284.15999999999997</v>
      </c>
      <c r="L4582" s="42">
        <v>5</v>
      </c>
      <c r="M4582" s="43">
        <v>46175</v>
      </c>
      <c r="N4582" s="1" t="s">
        <v>2069</v>
      </c>
    </row>
    <row r="4583" spans="1:14" ht="20.25" x14ac:dyDescent="0.25">
      <c r="A4583" s="1">
        <v>21</v>
      </c>
      <c r="B4583" s="159"/>
      <c r="C4583" s="1" t="s">
        <v>3875</v>
      </c>
      <c r="D4583" s="1"/>
      <c r="E4583" s="1" t="s">
        <v>3878</v>
      </c>
      <c r="F4583" s="1" t="s">
        <v>3808</v>
      </c>
      <c r="G4583" s="1">
        <v>12</v>
      </c>
      <c r="H4583" s="1" t="s">
        <v>19</v>
      </c>
      <c r="I4583" s="1" t="s">
        <v>3790</v>
      </c>
      <c r="J4583" s="1">
        <v>23.68</v>
      </c>
      <c r="K4583" s="1">
        <v>284.15999999999997</v>
      </c>
      <c r="L4583" s="42">
        <v>5</v>
      </c>
      <c r="M4583" s="43">
        <v>46175</v>
      </c>
      <c r="N4583" s="1" t="s">
        <v>2069</v>
      </c>
    </row>
    <row r="4584" spans="1:14" ht="20.25" x14ac:dyDescent="0.25">
      <c r="A4584" s="1">
        <v>22</v>
      </c>
      <c r="B4584" s="159"/>
      <c r="C4584" s="1" t="s">
        <v>3904</v>
      </c>
      <c r="D4584" s="1"/>
      <c r="E4584" s="1" t="s">
        <v>3905</v>
      </c>
      <c r="F4584" s="1" t="s">
        <v>3906</v>
      </c>
      <c r="G4584" s="1">
        <v>1</v>
      </c>
      <c r="H4584" s="1" t="s">
        <v>19</v>
      </c>
      <c r="I4584" s="1" t="s">
        <v>2274</v>
      </c>
      <c r="J4584" s="1">
        <v>273.2</v>
      </c>
      <c r="K4584" s="1">
        <v>273.2</v>
      </c>
      <c r="L4584" s="42">
        <v>5</v>
      </c>
      <c r="M4584" s="43">
        <v>46175</v>
      </c>
      <c r="N4584" s="1" t="s">
        <v>2069</v>
      </c>
    </row>
    <row r="4585" spans="1:14" ht="20.25" x14ac:dyDescent="0.25">
      <c r="A4585" s="1">
        <v>23</v>
      </c>
      <c r="B4585" s="159"/>
      <c r="C4585" s="1" t="s">
        <v>3904</v>
      </c>
      <c r="D4585" s="1"/>
      <c r="E4585" s="1" t="s">
        <v>3907</v>
      </c>
      <c r="F4585" s="1" t="s">
        <v>3908</v>
      </c>
      <c r="G4585" s="1">
        <v>1</v>
      </c>
      <c r="H4585" s="1" t="s">
        <v>19</v>
      </c>
      <c r="I4585" s="1" t="s">
        <v>2274</v>
      </c>
      <c r="J4585" s="1">
        <v>97.8</v>
      </c>
      <c r="K4585" s="1">
        <v>97.8</v>
      </c>
      <c r="L4585" s="42">
        <v>5</v>
      </c>
      <c r="M4585" s="43">
        <v>46175</v>
      </c>
      <c r="N4585" s="1" t="s">
        <v>2069</v>
      </c>
    </row>
    <row r="4586" spans="1:14" ht="20.25" x14ac:dyDescent="0.25">
      <c r="A4586" s="1">
        <v>24</v>
      </c>
      <c r="B4586" s="159"/>
      <c r="C4586" s="1" t="s">
        <v>3904</v>
      </c>
      <c r="D4586" s="1"/>
      <c r="E4586" s="1" t="s">
        <v>3907</v>
      </c>
      <c r="F4586" s="1" t="s">
        <v>3908</v>
      </c>
      <c r="G4586" s="1">
        <v>1</v>
      </c>
      <c r="H4586" s="1" t="s">
        <v>19</v>
      </c>
      <c r="I4586" s="1" t="s">
        <v>2276</v>
      </c>
      <c r="J4586" s="1">
        <v>97.8</v>
      </c>
      <c r="K4586" s="1">
        <v>97.8</v>
      </c>
      <c r="L4586" s="42">
        <v>5</v>
      </c>
      <c r="M4586" s="43">
        <v>46175</v>
      </c>
      <c r="N4586" s="1" t="s">
        <v>2069</v>
      </c>
    </row>
    <row r="4587" spans="1:14" ht="20.25" x14ac:dyDescent="0.25">
      <c r="A4587" s="1">
        <v>1</v>
      </c>
      <c r="B4587" s="159"/>
      <c r="C4587" s="1" t="s">
        <v>3779</v>
      </c>
      <c r="D4587" s="1"/>
      <c r="E4587" s="1" t="s">
        <v>3780</v>
      </c>
      <c r="F4587" s="1" t="s">
        <v>3781</v>
      </c>
      <c r="G4587" s="1">
        <v>1</v>
      </c>
      <c r="H4587" s="1" t="s">
        <v>19</v>
      </c>
      <c r="I4587" s="1" t="s">
        <v>2274</v>
      </c>
      <c r="J4587" s="1">
        <v>950.5</v>
      </c>
      <c r="K4587" s="1">
        <v>950.5</v>
      </c>
      <c r="L4587" s="42">
        <v>6</v>
      </c>
      <c r="M4587" s="43">
        <v>46182</v>
      </c>
      <c r="N4587" s="1" t="s">
        <v>2069</v>
      </c>
    </row>
    <row r="4588" spans="1:14" ht="20.25" x14ac:dyDescent="0.25">
      <c r="A4588" s="1">
        <v>2</v>
      </c>
      <c r="B4588" s="159"/>
      <c r="C4588" s="1" t="s">
        <v>3779</v>
      </c>
      <c r="D4588" s="1"/>
      <c r="E4588" s="1" t="s">
        <v>3780</v>
      </c>
      <c r="F4588" s="1" t="s">
        <v>3781</v>
      </c>
      <c r="G4588" s="1">
        <v>1</v>
      </c>
      <c r="H4588" s="1" t="s">
        <v>19</v>
      </c>
      <c r="I4588" s="1" t="s">
        <v>2276</v>
      </c>
      <c r="J4588" s="1">
        <v>950.5</v>
      </c>
      <c r="K4588" s="1">
        <v>950.5</v>
      </c>
      <c r="L4588" s="42">
        <v>6</v>
      </c>
      <c r="M4588" s="43">
        <v>46182</v>
      </c>
      <c r="N4588" s="1" t="s">
        <v>2069</v>
      </c>
    </row>
    <row r="4589" spans="1:14" ht="20.25" x14ac:dyDescent="0.25">
      <c r="A4589" s="1">
        <v>3</v>
      </c>
      <c r="B4589" s="159"/>
      <c r="C4589" s="1" t="s">
        <v>3783</v>
      </c>
      <c r="D4589" s="1"/>
      <c r="E4589" s="1" t="s">
        <v>3784</v>
      </c>
      <c r="F4589" s="1" t="s">
        <v>3781</v>
      </c>
      <c r="G4589" s="1">
        <v>1</v>
      </c>
      <c r="H4589" s="1" t="s">
        <v>19</v>
      </c>
      <c r="I4589" s="1" t="s">
        <v>2274</v>
      </c>
      <c r="J4589" s="1">
        <v>675.7</v>
      </c>
      <c r="K4589" s="1">
        <v>675.7</v>
      </c>
      <c r="L4589" s="42">
        <v>6</v>
      </c>
      <c r="M4589" s="43">
        <v>46182</v>
      </c>
      <c r="N4589" s="1" t="s">
        <v>2069</v>
      </c>
    </row>
    <row r="4590" spans="1:14" ht="20.25" x14ac:dyDescent="0.25">
      <c r="A4590" s="1">
        <v>4</v>
      </c>
      <c r="B4590" s="159"/>
      <c r="C4590" s="1" t="s">
        <v>3783</v>
      </c>
      <c r="D4590" s="1"/>
      <c r="E4590" s="1" t="s">
        <v>3784</v>
      </c>
      <c r="F4590" s="1" t="s">
        <v>3781</v>
      </c>
      <c r="G4590" s="1">
        <v>1</v>
      </c>
      <c r="H4590" s="1" t="s">
        <v>19</v>
      </c>
      <c r="I4590" s="1" t="s">
        <v>2276</v>
      </c>
      <c r="J4590" s="1">
        <v>675.7</v>
      </c>
      <c r="K4590" s="1">
        <v>675.7</v>
      </c>
      <c r="L4590" s="42">
        <v>6</v>
      </c>
      <c r="M4590" s="43">
        <v>46182</v>
      </c>
      <c r="N4590" s="1" t="s">
        <v>2069</v>
      </c>
    </row>
    <row r="4591" spans="1:14" ht="20.25" x14ac:dyDescent="0.25">
      <c r="A4591" s="1">
        <v>5</v>
      </c>
      <c r="B4591" s="159"/>
      <c r="C4591" s="1" t="s">
        <v>3913</v>
      </c>
      <c r="D4591" s="1"/>
      <c r="E4591" s="1" t="s">
        <v>3914</v>
      </c>
      <c r="F4591" s="1" t="s">
        <v>3915</v>
      </c>
      <c r="G4591" s="1">
        <v>30</v>
      </c>
      <c r="H4591" s="1" t="s">
        <v>19</v>
      </c>
      <c r="I4591" s="1" t="s">
        <v>3790</v>
      </c>
      <c r="J4591" s="1">
        <v>8.8699999999999992</v>
      </c>
      <c r="K4591" s="1">
        <v>266.09999999999997</v>
      </c>
      <c r="L4591" s="42">
        <v>6</v>
      </c>
      <c r="M4591" s="43">
        <v>46182</v>
      </c>
      <c r="N4591" s="1" t="s">
        <v>2069</v>
      </c>
    </row>
    <row r="4592" spans="1:14" ht="20.25" x14ac:dyDescent="0.25">
      <c r="A4592" s="1">
        <v>6</v>
      </c>
      <c r="B4592" s="159"/>
      <c r="C4592" s="1" t="s">
        <v>3913</v>
      </c>
      <c r="D4592" s="1"/>
      <c r="E4592" s="1" t="s">
        <v>3917</v>
      </c>
      <c r="F4592" s="1" t="s">
        <v>3918</v>
      </c>
      <c r="G4592" s="1">
        <v>30</v>
      </c>
      <c r="H4592" s="1" t="s">
        <v>19</v>
      </c>
      <c r="I4592" s="1" t="s">
        <v>3790</v>
      </c>
      <c r="J4592" s="1">
        <v>8.8699999999999992</v>
      </c>
      <c r="K4592" s="1">
        <v>266.09999999999997</v>
      </c>
      <c r="L4592" s="42">
        <v>6</v>
      </c>
      <c r="M4592" s="43">
        <v>46182</v>
      </c>
      <c r="N4592" s="1" t="s">
        <v>2069</v>
      </c>
    </row>
    <row r="4593" spans="1:14" ht="20.25" x14ac:dyDescent="0.25">
      <c r="A4593" s="1">
        <v>7</v>
      </c>
      <c r="B4593" s="159"/>
      <c r="C4593" s="1" t="s">
        <v>3913</v>
      </c>
      <c r="D4593" s="1"/>
      <c r="E4593" s="1" t="s">
        <v>3919</v>
      </c>
      <c r="F4593" s="1" t="s">
        <v>3920</v>
      </c>
      <c r="G4593" s="1">
        <v>40</v>
      </c>
      <c r="H4593" s="1" t="s">
        <v>19</v>
      </c>
      <c r="I4593" s="1" t="s">
        <v>3790</v>
      </c>
      <c r="J4593" s="1">
        <v>4.3099999999999996</v>
      </c>
      <c r="K4593" s="1">
        <v>172.39999999999998</v>
      </c>
      <c r="L4593" s="42">
        <v>6</v>
      </c>
      <c r="M4593" s="43">
        <v>46182</v>
      </c>
      <c r="N4593" s="1" t="s">
        <v>2069</v>
      </c>
    </row>
    <row r="4594" spans="1:14" ht="20.25" x14ac:dyDescent="0.25">
      <c r="A4594" s="1">
        <v>8</v>
      </c>
      <c r="B4594" s="159"/>
      <c r="C4594" s="1" t="s">
        <v>3913</v>
      </c>
      <c r="D4594" s="1"/>
      <c r="E4594" s="1" t="s">
        <v>3921</v>
      </c>
      <c r="F4594" s="1" t="s">
        <v>3922</v>
      </c>
      <c r="G4594" s="1">
        <v>10</v>
      </c>
      <c r="H4594" s="1" t="s">
        <v>19</v>
      </c>
      <c r="I4594" s="1" t="s">
        <v>3790</v>
      </c>
      <c r="J4594" s="1">
        <v>83.6</v>
      </c>
      <c r="K4594" s="1">
        <v>836</v>
      </c>
      <c r="L4594" s="42">
        <v>6</v>
      </c>
      <c r="M4594" s="43">
        <v>46182</v>
      </c>
      <c r="N4594" s="1" t="s">
        <v>2069</v>
      </c>
    </row>
    <row r="4595" spans="1:14" ht="20.25" x14ac:dyDescent="0.25">
      <c r="A4595" s="1">
        <v>9</v>
      </c>
      <c r="B4595" s="159"/>
      <c r="C4595" s="1" t="s">
        <v>3913</v>
      </c>
      <c r="D4595" s="1"/>
      <c r="E4595" s="1" t="s">
        <v>3923</v>
      </c>
      <c r="F4595" s="1" t="s">
        <v>3924</v>
      </c>
      <c r="G4595" s="1">
        <v>10</v>
      </c>
      <c r="H4595" s="1" t="s">
        <v>19</v>
      </c>
      <c r="I4595" s="1" t="s">
        <v>3790</v>
      </c>
      <c r="J4595" s="1">
        <v>83.6</v>
      </c>
      <c r="K4595" s="1">
        <v>836</v>
      </c>
      <c r="L4595" s="42">
        <v>6</v>
      </c>
      <c r="M4595" s="43">
        <v>46182</v>
      </c>
      <c r="N4595" s="1" t="s">
        <v>2069</v>
      </c>
    </row>
    <row r="4596" spans="1:14" ht="20.25" x14ac:dyDescent="0.25">
      <c r="A4596" s="1">
        <v>10</v>
      </c>
      <c r="B4596" s="159"/>
      <c r="C4596" s="1" t="s">
        <v>3913</v>
      </c>
      <c r="D4596" s="1"/>
      <c r="E4596" s="1" t="s">
        <v>3925</v>
      </c>
      <c r="F4596" s="1" t="s">
        <v>3926</v>
      </c>
      <c r="G4596" s="1">
        <v>22</v>
      </c>
      <c r="H4596" s="1" t="s">
        <v>19</v>
      </c>
      <c r="I4596" s="1" t="s">
        <v>3790</v>
      </c>
      <c r="J4596" s="1">
        <v>2.85</v>
      </c>
      <c r="K4596" s="1">
        <v>62.7</v>
      </c>
      <c r="L4596" s="42">
        <v>6</v>
      </c>
      <c r="M4596" s="43">
        <v>46182</v>
      </c>
      <c r="N4596" s="1" t="s">
        <v>2069</v>
      </c>
    </row>
    <row r="4597" spans="1:14" ht="20.25" x14ac:dyDescent="0.25">
      <c r="A4597" s="1">
        <v>11</v>
      </c>
      <c r="B4597" s="159"/>
      <c r="C4597" s="1" t="s">
        <v>3913</v>
      </c>
      <c r="D4597" s="1"/>
      <c r="E4597" s="1" t="s">
        <v>3927</v>
      </c>
      <c r="F4597" s="1" t="s">
        <v>3928</v>
      </c>
      <c r="G4597" s="1">
        <v>2</v>
      </c>
      <c r="H4597" s="1" t="s">
        <v>19</v>
      </c>
      <c r="I4597" s="1" t="s">
        <v>3790</v>
      </c>
      <c r="J4597" s="1">
        <v>23</v>
      </c>
      <c r="K4597" s="1">
        <v>46</v>
      </c>
      <c r="L4597" s="42">
        <v>6</v>
      </c>
      <c r="M4597" s="43">
        <v>46182</v>
      </c>
      <c r="N4597" s="1" t="s">
        <v>2069</v>
      </c>
    </row>
    <row r="4598" spans="1:14" ht="20.25" x14ac:dyDescent="0.25">
      <c r="A4598" s="1">
        <v>1</v>
      </c>
      <c r="B4598" s="159">
        <v>4057</v>
      </c>
      <c r="C4598" s="1" t="s">
        <v>3773</v>
      </c>
      <c r="D4598" s="1"/>
      <c r="E4598" s="1" t="s">
        <v>3778</v>
      </c>
      <c r="F4598" s="1" t="s">
        <v>3777</v>
      </c>
      <c r="G4598" s="1">
        <v>1</v>
      </c>
      <c r="H4598" s="1" t="s">
        <v>19</v>
      </c>
      <c r="I4598" s="1" t="s">
        <v>2274</v>
      </c>
      <c r="J4598" s="1">
        <v>295.39999999999998</v>
      </c>
      <c r="K4598" s="1">
        <v>295.39999999999998</v>
      </c>
      <c r="L4598" s="42">
        <v>7</v>
      </c>
      <c r="M4598" s="43">
        <v>46188</v>
      </c>
      <c r="N4598" s="1" t="s">
        <v>2069</v>
      </c>
    </row>
    <row r="4599" spans="1:14" ht="20.25" x14ac:dyDescent="0.25">
      <c r="A4599" s="1">
        <v>2</v>
      </c>
      <c r="B4599" s="159">
        <v>4058</v>
      </c>
      <c r="C4599" s="1" t="s">
        <v>3773</v>
      </c>
      <c r="D4599" s="1"/>
      <c r="E4599" s="1" t="s">
        <v>3778</v>
      </c>
      <c r="F4599" s="1" t="s">
        <v>3777</v>
      </c>
      <c r="G4599" s="1">
        <v>1</v>
      </c>
      <c r="H4599" s="1" t="s">
        <v>19</v>
      </c>
      <c r="I4599" s="1" t="s">
        <v>2276</v>
      </c>
      <c r="J4599" s="1">
        <v>295.39999999999998</v>
      </c>
      <c r="K4599" s="1">
        <v>295.39999999999998</v>
      </c>
      <c r="L4599" s="42">
        <v>7</v>
      </c>
      <c r="M4599" s="43">
        <v>46188</v>
      </c>
      <c r="N4599" s="1" t="s">
        <v>2069</v>
      </c>
    </row>
    <row r="4600" spans="1:14" ht="20.25" x14ac:dyDescent="0.25">
      <c r="A4600" s="1">
        <v>3</v>
      </c>
      <c r="B4600" s="159"/>
      <c r="C4600" s="1" t="s">
        <v>3864</v>
      </c>
      <c r="D4600" s="1"/>
      <c r="E4600" s="1" t="s">
        <v>4252</v>
      </c>
      <c r="F4600" s="1" t="s">
        <v>3804</v>
      </c>
      <c r="G4600" s="1">
        <v>2</v>
      </c>
      <c r="H4600" s="1" t="s">
        <v>19</v>
      </c>
      <c r="I4600" s="1" t="s">
        <v>3790</v>
      </c>
      <c r="J4600" s="1">
        <v>122.98</v>
      </c>
      <c r="K4600" s="1">
        <v>245.96</v>
      </c>
      <c r="L4600" s="42">
        <v>7</v>
      </c>
      <c r="M4600" s="43">
        <v>46188</v>
      </c>
      <c r="N4600" s="1" t="s">
        <v>2069</v>
      </c>
    </row>
    <row r="4601" spans="1:14" ht="20.25" x14ac:dyDescent="0.25">
      <c r="A4601" s="1">
        <v>4</v>
      </c>
      <c r="B4601" s="159"/>
      <c r="C4601" s="1" t="s">
        <v>3930</v>
      </c>
      <c r="D4601" s="1"/>
      <c r="E4601" s="1" t="s">
        <v>3931</v>
      </c>
      <c r="F4601" s="1" t="s">
        <v>3781</v>
      </c>
      <c r="G4601" s="1">
        <v>1</v>
      </c>
      <c r="H4601" s="1" t="s">
        <v>19</v>
      </c>
      <c r="I4601" s="1" t="s">
        <v>2274</v>
      </c>
      <c r="J4601" s="1">
        <v>466.3</v>
      </c>
      <c r="K4601" s="1">
        <v>466.3</v>
      </c>
      <c r="L4601" s="42">
        <v>7</v>
      </c>
      <c r="M4601" s="43">
        <v>46188</v>
      </c>
      <c r="N4601" s="1" t="s">
        <v>2069</v>
      </c>
    </row>
    <row r="4602" spans="1:14" ht="20.25" x14ac:dyDescent="0.25">
      <c r="A4602" s="1">
        <v>5</v>
      </c>
      <c r="B4602" s="159"/>
      <c r="C4602" s="1" t="s">
        <v>3930</v>
      </c>
      <c r="D4602" s="1"/>
      <c r="E4602" s="1" t="s">
        <v>3931</v>
      </c>
      <c r="F4602" s="1" t="s">
        <v>3781</v>
      </c>
      <c r="G4602" s="1">
        <v>1</v>
      </c>
      <c r="H4602" s="1" t="s">
        <v>19</v>
      </c>
      <c r="I4602" s="1" t="s">
        <v>2276</v>
      </c>
      <c r="J4602" s="1">
        <v>466.3</v>
      </c>
      <c r="K4602" s="1">
        <v>466.3</v>
      </c>
      <c r="L4602" s="42">
        <v>7</v>
      </c>
      <c r="M4602" s="43">
        <v>46188</v>
      </c>
      <c r="N4602" s="1" t="s">
        <v>2069</v>
      </c>
    </row>
    <row r="4603" spans="1:14" ht="20.25" x14ac:dyDescent="0.25">
      <c r="A4603" s="1">
        <v>6</v>
      </c>
      <c r="B4603" s="159"/>
      <c r="C4603" s="1" t="s">
        <v>3933</v>
      </c>
      <c r="D4603" s="1"/>
      <c r="E4603" s="1" t="s">
        <v>3934</v>
      </c>
      <c r="F4603" s="1" t="s">
        <v>3781</v>
      </c>
      <c r="G4603" s="1">
        <v>1</v>
      </c>
      <c r="H4603" s="1" t="s">
        <v>19</v>
      </c>
      <c r="I4603" s="1" t="s">
        <v>2274</v>
      </c>
      <c r="J4603" s="1">
        <v>320.39999999999998</v>
      </c>
      <c r="K4603" s="1">
        <v>320.39999999999998</v>
      </c>
      <c r="L4603" s="42">
        <v>7</v>
      </c>
      <c r="M4603" s="43">
        <v>46188</v>
      </c>
      <c r="N4603" s="1" t="s">
        <v>2069</v>
      </c>
    </row>
    <row r="4604" spans="1:14" ht="20.25" x14ac:dyDescent="0.25">
      <c r="A4604" s="1">
        <v>7</v>
      </c>
      <c r="B4604" s="159"/>
      <c r="C4604" s="1" t="s">
        <v>3933</v>
      </c>
      <c r="D4604" s="1"/>
      <c r="E4604" s="1" t="s">
        <v>3934</v>
      </c>
      <c r="F4604" s="1" t="s">
        <v>3781</v>
      </c>
      <c r="G4604" s="1">
        <v>1</v>
      </c>
      <c r="H4604" s="1" t="s">
        <v>19</v>
      </c>
      <c r="I4604" s="1" t="s">
        <v>2276</v>
      </c>
      <c r="J4604" s="1">
        <v>320.39999999999998</v>
      </c>
      <c r="K4604" s="1">
        <v>320.39999999999998</v>
      </c>
      <c r="L4604" s="42">
        <v>7</v>
      </c>
      <c r="M4604" s="43">
        <v>46188</v>
      </c>
      <c r="N4604" s="1" t="s">
        <v>2069</v>
      </c>
    </row>
    <row r="4605" spans="1:14" ht="20.25" x14ac:dyDescent="0.25">
      <c r="A4605" s="1">
        <v>8</v>
      </c>
      <c r="B4605" s="159"/>
      <c r="C4605" s="1" t="s">
        <v>3935</v>
      </c>
      <c r="D4605" s="1"/>
      <c r="E4605" s="1" t="s">
        <v>3936</v>
      </c>
      <c r="F4605" s="1" t="s">
        <v>3937</v>
      </c>
      <c r="G4605" s="1">
        <v>1</v>
      </c>
      <c r="H4605" s="1" t="s">
        <v>19</v>
      </c>
      <c r="I4605" s="1" t="s">
        <v>2274</v>
      </c>
      <c r="J4605" s="1">
        <v>32.9</v>
      </c>
      <c r="K4605" s="1">
        <v>32.9</v>
      </c>
      <c r="L4605" s="42">
        <v>7</v>
      </c>
      <c r="M4605" s="43">
        <v>46188</v>
      </c>
      <c r="N4605" s="1" t="s">
        <v>2069</v>
      </c>
    </row>
    <row r="4606" spans="1:14" ht="20.25" x14ac:dyDescent="0.25">
      <c r="A4606" s="1">
        <v>9</v>
      </c>
      <c r="B4606" s="159"/>
      <c r="C4606" s="1" t="s">
        <v>3935</v>
      </c>
      <c r="D4606" s="1"/>
      <c r="E4606" s="1" t="s">
        <v>3938</v>
      </c>
      <c r="F4606" s="1" t="s">
        <v>3937</v>
      </c>
      <c r="G4606" s="1">
        <v>1</v>
      </c>
      <c r="H4606" s="1" t="s">
        <v>19</v>
      </c>
      <c r="I4606" s="1" t="s">
        <v>2274</v>
      </c>
      <c r="J4606" s="1">
        <v>45.6</v>
      </c>
      <c r="K4606" s="1">
        <v>45.6</v>
      </c>
      <c r="L4606" s="42">
        <v>7</v>
      </c>
      <c r="M4606" s="43">
        <v>46188</v>
      </c>
      <c r="N4606" s="1" t="s">
        <v>2069</v>
      </c>
    </row>
    <row r="4607" spans="1:14" ht="20.25" x14ac:dyDescent="0.25">
      <c r="A4607" s="1">
        <v>10</v>
      </c>
      <c r="B4607" s="159"/>
      <c r="C4607" s="1" t="s">
        <v>3935</v>
      </c>
      <c r="D4607" s="1"/>
      <c r="E4607" s="1" t="s">
        <v>3939</v>
      </c>
      <c r="F4607" s="1" t="s">
        <v>3937</v>
      </c>
      <c r="G4607" s="1">
        <v>1</v>
      </c>
      <c r="H4607" s="1" t="s">
        <v>19</v>
      </c>
      <c r="I4607" s="1" t="s">
        <v>2274</v>
      </c>
      <c r="J4607" s="1">
        <v>22.2</v>
      </c>
      <c r="K4607" s="1">
        <v>22.2</v>
      </c>
      <c r="L4607" s="42">
        <v>7</v>
      </c>
      <c r="M4607" s="43">
        <v>46188</v>
      </c>
      <c r="N4607" s="1" t="s">
        <v>2069</v>
      </c>
    </row>
    <row r="4608" spans="1:14" ht="20.25" x14ac:dyDescent="0.25">
      <c r="A4608" s="1">
        <v>11</v>
      </c>
      <c r="B4608" s="159"/>
      <c r="C4608" s="1" t="s">
        <v>3935</v>
      </c>
      <c r="D4608" s="1"/>
      <c r="E4608" s="1" t="s">
        <v>3940</v>
      </c>
      <c r="F4608" s="1" t="s">
        <v>3937</v>
      </c>
      <c r="G4608" s="1">
        <v>1</v>
      </c>
      <c r="H4608" s="1" t="s">
        <v>19</v>
      </c>
      <c r="I4608" s="1" t="s">
        <v>2274</v>
      </c>
      <c r="J4608" s="1">
        <v>34</v>
      </c>
      <c r="K4608" s="1">
        <v>34</v>
      </c>
      <c r="L4608" s="42">
        <v>7</v>
      </c>
      <c r="M4608" s="43">
        <v>46188</v>
      </c>
      <c r="N4608" s="1" t="s">
        <v>2069</v>
      </c>
    </row>
    <row r="4609" spans="1:14" ht="20.25" x14ac:dyDescent="0.25">
      <c r="A4609" s="1">
        <v>12</v>
      </c>
      <c r="B4609" s="159"/>
      <c r="C4609" s="1" t="s">
        <v>3935</v>
      </c>
      <c r="D4609" s="1"/>
      <c r="E4609" s="1" t="s">
        <v>3942</v>
      </c>
      <c r="F4609" s="1" t="s">
        <v>3937</v>
      </c>
      <c r="G4609" s="1">
        <v>1</v>
      </c>
      <c r="H4609" s="1" t="s">
        <v>19</v>
      </c>
      <c r="I4609" s="1" t="s">
        <v>2274</v>
      </c>
      <c r="J4609" s="1">
        <v>49.8</v>
      </c>
      <c r="K4609" s="1">
        <v>49.8</v>
      </c>
      <c r="L4609" s="42">
        <v>7</v>
      </c>
      <c r="M4609" s="43">
        <v>46188</v>
      </c>
      <c r="N4609" s="1" t="s">
        <v>2069</v>
      </c>
    </row>
    <row r="4610" spans="1:14" ht="20.25" x14ac:dyDescent="0.25">
      <c r="A4610" s="1">
        <v>13</v>
      </c>
      <c r="B4610" s="159"/>
      <c r="C4610" s="1" t="s">
        <v>3935</v>
      </c>
      <c r="D4610" s="1"/>
      <c r="E4610" s="1" t="s">
        <v>3943</v>
      </c>
      <c r="F4610" s="1" t="s">
        <v>3937</v>
      </c>
      <c r="G4610" s="1">
        <v>1</v>
      </c>
      <c r="H4610" s="1" t="s">
        <v>19</v>
      </c>
      <c r="I4610" s="1" t="s">
        <v>2274</v>
      </c>
      <c r="J4610" s="1">
        <v>24.3</v>
      </c>
      <c r="K4610" s="1">
        <v>24.3</v>
      </c>
      <c r="L4610" s="42">
        <v>7</v>
      </c>
      <c r="M4610" s="43">
        <v>46188</v>
      </c>
      <c r="N4610" s="1" t="s">
        <v>2069</v>
      </c>
    </row>
    <row r="4611" spans="1:14" ht="20.25" x14ac:dyDescent="0.25">
      <c r="A4611" s="1">
        <v>14</v>
      </c>
      <c r="B4611" s="159"/>
      <c r="C4611" s="1" t="s">
        <v>3935</v>
      </c>
      <c r="D4611" s="1"/>
      <c r="E4611" s="1" t="s">
        <v>3936</v>
      </c>
      <c r="F4611" s="1" t="s">
        <v>3937</v>
      </c>
      <c r="G4611" s="1">
        <v>1</v>
      </c>
      <c r="H4611" s="1" t="s">
        <v>19</v>
      </c>
      <c r="I4611" s="1" t="s">
        <v>2276</v>
      </c>
      <c r="J4611" s="1">
        <v>32.9</v>
      </c>
      <c r="K4611" s="1">
        <v>32.9</v>
      </c>
      <c r="L4611" s="42">
        <v>7</v>
      </c>
      <c r="M4611" s="43">
        <v>46188</v>
      </c>
      <c r="N4611" s="1" t="s">
        <v>2069</v>
      </c>
    </row>
    <row r="4612" spans="1:14" ht="20.25" x14ac:dyDescent="0.25">
      <c r="A4612" s="1">
        <v>15</v>
      </c>
      <c r="B4612" s="159"/>
      <c r="C4612" s="1" t="s">
        <v>3935</v>
      </c>
      <c r="D4612" s="1"/>
      <c r="E4612" s="1" t="s">
        <v>3938</v>
      </c>
      <c r="F4612" s="1" t="s">
        <v>3937</v>
      </c>
      <c r="G4612" s="1">
        <v>1</v>
      </c>
      <c r="H4612" s="1" t="s">
        <v>19</v>
      </c>
      <c r="I4612" s="1" t="s">
        <v>2276</v>
      </c>
      <c r="J4612" s="1">
        <v>45.6</v>
      </c>
      <c r="K4612" s="1">
        <v>45.6</v>
      </c>
      <c r="L4612" s="42">
        <v>7</v>
      </c>
      <c r="M4612" s="43">
        <v>46188</v>
      </c>
      <c r="N4612" s="1" t="s">
        <v>2069</v>
      </c>
    </row>
    <row r="4613" spans="1:14" ht="20.25" x14ac:dyDescent="0.25">
      <c r="A4613" s="1">
        <v>16</v>
      </c>
      <c r="B4613" s="159"/>
      <c r="C4613" s="1" t="s">
        <v>3935</v>
      </c>
      <c r="D4613" s="1"/>
      <c r="E4613" s="1" t="s">
        <v>3939</v>
      </c>
      <c r="F4613" s="1" t="s">
        <v>3937</v>
      </c>
      <c r="G4613" s="1">
        <v>1</v>
      </c>
      <c r="H4613" s="1" t="s">
        <v>19</v>
      </c>
      <c r="I4613" s="1" t="s">
        <v>2276</v>
      </c>
      <c r="J4613" s="1">
        <v>22.2</v>
      </c>
      <c r="K4613" s="1">
        <v>22.2</v>
      </c>
      <c r="L4613" s="42">
        <v>7</v>
      </c>
      <c r="M4613" s="43">
        <v>46188</v>
      </c>
      <c r="N4613" s="1" t="s">
        <v>2069</v>
      </c>
    </row>
    <row r="4614" spans="1:14" ht="20.25" x14ac:dyDescent="0.25">
      <c r="A4614" s="1">
        <v>17</v>
      </c>
      <c r="B4614" s="159"/>
      <c r="C4614" s="1" t="s">
        <v>3935</v>
      </c>
      <c r="D4614" s="1"/>
      <c r="E4614" s="1" t="s">
        <v>3940</v>
      </c>
      <c r="F4614" s="1" t="s">
        <v>3937</v>
      </c>
      <c r="G4614" s="1">
        <v>1</v>
      </c>
      <c r="H4614" s="1" t="s">
        <v>19</v>
      </c>
      <c r="I4614" s="1" t="s">
        <v>2276</v>
      </c>
      <c r="J4614" s="1">
        <v>34</v>
      </c>
      <c r="K4614" s="1">
        <v>34</v>
      </c>
      <c r="L4614" s="42">
        <v>7</v>
      </c>
      <c r="M4614" s="43">
        <v>46188</v>
      </c>
      <c r="N4614" s="1" t="s">
        <v>2069</v>
      </c>
    </row>
    <row r="4615" spans="1:14" ht="20.25" x14ac:dyDescent="0.25">
      <c r="A4615" s="1">
        <v>18</v>
      </c>
      <c r="B4615" s="159"/>
      <c r="C4615" s="1" t="s">
        <v>3935</v>
      </c>
      <c r="D4615" s="1"/>
      <c r="E4615" s="1" t="s">
        <v>3942</v>
      </c>
      <c r="F4615" s="1" t="s">
        <v>3937</v>
      </c>
      <c r="G4615" s="1">
        <v>1</v>
      </c>
      <c r="H4615" s="1" t="s">
        <v>19</v>
      </c>
      <c r="I4615" s="1" t="s">
        <v>2276</v>
      </c>
      <c r="J4615" s="1">
        <v>49.8</v>
      </c>
      <c r="K4615" s="1">
        <v>49.8</v>
      </c>
      <c r="L4615" s="42">
        <v>7</v>
      </c>
      <c r="M4615" s="43">
        <v>46188</v>
      </c>
      <c r="N4615" s="1" t="s">
        <v>2069</v>
      </c>
    </row>
    <row r="4616" spans="1:14" ht="20.25" x14ac:dyDescent="0.25">
      <c r="A4616" s="1">
        <v>19</v>
      </c>
      <c r="B4616" s="159"/>
      <c r="C4616" s="1" t="s">
        <v>3935</v>
      </c>
      <c r="D4616" s="1"/>
      <c r="E4616" s="1" t="s">
        <v>3943</v>
      </c>
      <c r="F4616" s="1" t="s">
        <v>3937</v>
      </c>
      <c r="G4616" s="1">
        <v>1</v>
      </c>
      <c r="H4616" s="1" t="s">
        <v>19</v>
      </c>
      <c r="I4616" s="1" t="s">
        <v>2276</v>
      </c>
      <c r="J4616" s="1">
        <v>24.3</v>
      </c>
      <c r="K4616" s="1">
        <v>24.3</v>
      </c>
      <c r="L4616" s="42">
        <v>7</v>
      </c>
      <c r="M4616" s="43">
        <v>46188</v>
      </c>
      <c r="N4616" s="1" t="s">
        <v>2069</v>
      </c>
    </row>
    <row r="4617" spans="1:14" ht="20.25" x14ac:dyDescent="0.25">
      <c r="A4617" s="1">
        <v>20</v>
      </c>
      <c r="B4617" s="159"/>
      <c r="C4617" s="1" t="s">
        <v>3971</v>
      </c>
      <c r="D4617" s="1"/>
      <c r="E4617" s="1" t="s">
        <v>3977</v>
      </c>
      <c r="F4617" s="1" t="s">
        <v>3978</v>
      </c>
      <c r="G4617" s="1">
        <v>2</v>
      </c>
      <c r="H4617" s="1" t="s">
        <v>19</v>
      </c>
      <c r="I4617" s="1" t="s">
        <v>2274</v>
      </c>
      <c r="J4617" s="1">
        <v>37.200000000000003</v>
      </c>
      <c r="K4617" s="1">
        <v>74.400000000000006</v>
      </c>
      <c r="L4617" s="42">
        <v>7</v>
      </c>
      <c r="M4617" s="43">
        <v>46188</v>
      </c>
      <c r="N4617" s="1" t="s">
        <v>2069</v>
      </c>
    </row>
    <row r="4618" spans="1:14" ht="20.25" x14ac:dyDescent="0.25">
      <c r="A4618" s="1">
        <v>21</v>
      </c>
      <c r="B4618" s="159"/>
      <c r="C4618" s="1" t="s">
        <v>3971</v>
      </c>
      <c r="D4618" s="1"/>
      <c r="E4618" s="1" t="s">
        <v>3977</v>
      </c>
      <c r="F4618" s="1" t="s">
        <v>3978</v>
      </c>
      <c r="G4618" s="1">
        <v>2</v>
      </c>
      <c r="H4618" s="1" t="s">
        <v>19</v>
      </c>
      <c r="I4618" s="1" t="s">
        <v>2276</v>
      </c>
      <c r="J4618" s="1">
        <v>37.200000000000003</v>
      </c>
      <c r="K4618" s="1">
        <v>74.400000000000006</v>
      </c>
      <c r="L4618" s="42">
        <v>7</v>
      </c>
      <c r="M4618" s="43">
        <v>46188</v>
      </c>
      <c r="N4618" s="1" t="s">
        <v>2069</v>
      </c>
    </row>
    <row r="4619" spans="1:14" ht="20.25" x14ac:dyDescent="0.25">
      <c r="A4619" s="1">
        <v>22</v>
      </c>
      <c r="B4619" s="159"/>
      <c r="C4619" s="1" t="s">
        <v>3979</v>
      </c>
      <c r="D4619" s="1"/>
      <c r="E4619" s="1" t="s">
        <v>3980</v>
      </c>
      <c r="F4619" s="1" t="s">
        <v>3981</v>
      </c>
      <c r="G4619" s="1">
        <v>1</v>
      </c>
      <c r="H4619" s="1" t="s">
        <v>19</v>
      </c>
      <c r="I4619" s="1" t="s">
        <v>2274</v>
      </c>
      <c r="J4619" s="1">
        <v>62.2</v>
      </c>
      <c r="K4619" s="1">
        <v>62.2</v>
      </c>
      <c r="L4619" s="42">
        <v>7</v>
      </c>
      <c r="M4619" s="43">
        <v>46188</v>
      </c>
      <c r="N4619" s="1" t="s">
        <v>2069</v>
      </c>
    </row>
    <row r="4620" spans="1:14" ht="20.25" x14ac:dyDescent="0.25">
      <c r="A4620" s="1">
        <v>23</v>
      </c>
      <c r="B4620" s="159"/>
      <c r="C4620" s="1" t="s">
        <v>3979</v>
      </c>
      <c r="D4620" s="1"/>
      <c r="E4620" s="1" t="s">
        <v>3980</v>
      </c>
      <c r="F4620" s="1" t="s">
        <v>3981</v>
      </c>
      <c r="G4620" s="1">
        <v>1</v>
      </c>
      <c r="H4620" s="1" t="s">
        <v>19</v>
      </c>
      <c r="I4620" s="1" t="s">
        <v>2276</v>
      </c>
      <c r="J4620" s="1">
        <v>62.2</v>
      </c>
      <c r="K4620" s="1">
        <v>62.2</v>
      </c>
      <c r="L4620" s="42">
        <v>7</v>
      </c>
      <c r="M4620" s="43">
        <v>46188</v>
      </c>
      <c r="N4620" s="1" t="s">
        <v>2069</v>
      </c>
    </row>
    <row r="4621" spans="1:14" ht="20.25" x14ac:dyDescent="0.25">
      <c r="A4621" s="1">
        <v>1</v>
      </c>
      <c r="B4621" s="159"/>
      <c r="C4621" s="1" t="s">
        <v>3812</v>
      </c>
      <c r="D4621" s="1"/>
      <c r="E4621" s="1" t="s">
        <v>3813</v>
      </c>
      <c r="F4621" s="1" t="s">
        <v>3814</v>
      </c>
      <c r="G4621" s="1">
        <v>3</v>
      </c>
      <c r="H4621" s="1" t="s">
        <v>19</v>
      </c>
      <c r="I4621" s="1" t="s">
        <v>3790</v>
      </c>
      <c r="J4621" s="1">
        <v>48.94</v>
      </c>
      <c r="K4621" s="1">
        <v>146.82</v>
      </c>
      <c r="L4621" s="42">
        <v>8</v>
      </c>
      <c r="M4621" s="43">
        <v>46196</v>
      </c>
      <c r="N4621" s="1" t="s">
        <v>2069</v>
      </c>
    </row>
    <row r="4622" spans="1:14" ht="20.25" x14ac:dyDescent="0.25">
      <c r="A4622" s="1">
        <v>2</v>
      </c>
      <c r="B4622" s="159"/>
      <c r="C4622" s="1" t="s">
        <v>3875</v>
      </c>
      <c r="D4622" s="1"/>
      <c r="E4622" s="1" t="s">
        <v>3876</v>
      </c>
      <c r="F4622" s="1" t="s">
        <v>3804</v>
      </c>
      <c r="G4622" s="1">
        <v>2</v>
      </c>
      <c r="H4622" s="1" t="s">
        <v>19</v>
      </c>
      <c r="I4622" s="1" t="s">
        <v>3790</v>
      </c>
      <c r="J4622" s="1">
        <v>128.86000000000001</v>
      </c>
      <c r="K4622" s="1">
        <v>257.72000000000003</v>
      </c>
      <c r="L4622" s="42">
        <v>8</v>
      </c>
      <c r="M4622" s="43">
        <v>46196</v>
      </c>
      <c r="N4622" s="1" t="s">
        <v>2069</v>
      </c>
    </row>
    <row r="4623" spans="1:14" ht="20.25" x14ac:dyDescent="0.25">
      <c r="A4623" s="1">
        <v>3</v>
      </c>
      <c r="B4623" s="159"/>
      <c r="C4623" s="1" t="s">
        <v>3875</v>
      </c>
      <c r="D4623" s="1"/>
      <c r="E4623" s="1" t="s">
        <v>3877</v>
      </c>
      <c r="F4623" s="1" t="s">
        <v>3806</v>
      </c>
      <c r="G4623" s="1">
        <v>2</v>
      </c>
      <c r="H4623" s="1" t="s">
        <v>19</v>
      </c>
      <c r="I4623" s="1" t="s">
        <v>3790</v>
      </c>
      <c r="J4623" s="1">
        <v>128.86000000000001</v>
      </c>
      <c r="K4623" s="1">
        <v>257.72000000000003</v>
      </c>
      <c r="L4623" s="42">
        <v>8</v>
      </c>
      <c r="M4623" s="43">
        <v>46196</v>
      </c>
      <c r="N4623" s="1" t="s">
        <v>2069</v>
      </c>
    </row>
    <row r="4624" spans="1:14" ht="20.25" x14ac:dyDescent="0.25">
      <c r="A4624" s="1">
        <v>4</v>
      </c>
      <c r="B4624" s="159"/>
      <c r="C4624" s="1" t="s">
        <v>3837</v>
      </c>
      <c r="D4624" s="1"/>
      <c r="E4624" s="1" t="s">
        <v>3840</v>
      </c>
      <c r="F4624" s="1" t="s">
        <v>3818</v>
      </c>
      <c r="G4624" s="1">
        <v>2</v>
      </c>
      <c r="H4624" s="1" t="s">
        <v>19</v>
      </c>
      <c r="I4624" s="1" t="s">
        <v>3790</v>
      </c>
      <c r="J4624" s="1">
        <v>62.12</v>
      </c>
      <c r="K4624" s="1">
        <v>124.24</v>
      </c>
      <c r="L4624" s="42">
        <v>8</v>
      </c>
      <c r="M4624" s="43">
        <v>46196</v>
      </c>
      <c r="N4624" s="1" t="s">
        <v>2069</v>
      </c>
    </row>
    <row r="4625" spans="1:14" ht="20.25" x14ac:dyDescent="0.25">
      <c r="A4625" s="1">
        <v>5</v>
      </c>
      <c r="B4625" s="159"/>
      <c r="C4625" s="1" t="s">
        <v>3837</v>
      </c>
      <c r="D4625" s="1"/>
      <c r="E4625" s="1" t="s">
        <v>3841</v>
      </c>
      <c r="F4625" s="1" t="s">
        <v>3820</v>
      </c>
      <c r="G4625" s="1">
        <v>2</v>
      </c>
      <c r="H4625" s="1" t="s">
        <v>19</v>
      </c>
      <c r="I4625" s="1" t="s">
        <v>3790</v>
      </c>
      <c r="J4625" s="1">
        <v>40.82</v>
      </c>
      <c r="K4625" s="1">
        <v>81.64</v>
      </c>
      <c r="L4625" s="42">
        <v>8</v>
      </c>
      <c r="M4625" s="43">
        <v>46196</v>
      </c>
      <c r="N4625" s="1" t="s">
        <v>2069</v>
      </c>
    </row>
    <row r="4626" spans="1:14" ht="20.25" x14ac:dyDescent="0.25">
      <c r="A4626" s="1">
        <v>6</v>
      </c>
      <c r="B4626" s="159"/>
      <c r="C4626" s="1" t="s">
        <v>3842</v>
      </c>
      <c r="D4626" s="1"/>
      <c r="E4626" s="1" t="s">
        <v>3843</v>
      </c>
      <c r="F4626" s="1" t="s">
        <v>3844</v>
      </c>
      <c r="G4626" s="1">
        <v>2</v>
      </c>
      <c r="H4626" s="1" t="s">
        <v>19</v>
      </c>
      <c r="I4626" s="1" t="s">
        <v>3790</v>
      </c>
      <c r="J4626" s="1">
        <v>39.380000000000003</v>
      </c>
      <c r="K4626" s="1">
        <v>78.760000000000005</v>
      </c>
      <c r="L4626" s="42">
        <v>8</v>
      </c>
      <c r="M4626" s="43">
        <v>46196</v>
      </c>
      <c r="N4626" s="1" t="s">
        <v>2069</v>
      </c>
    </row>
    <row r="4627" spans="1:14" ht="20.25" x14ac:dyDescent="0.25">
      <c r="A4627" s="1">
        <v>7</v>
      </c>
      <c r="B4627" s="159"/>
      <c r="C4627" s="1" t="s">
        <v>3828</v>
      </c>
      <c r="D4627" s="1"/>
      <c r="E4627" s="1" t="s">
        <v>3829</v>
      </c>
      <c r="F4627" s="1" t="s">
        <v>3814</v>
      </c>
      <c r="G4627" s="1">
        <v>4</v>
      </c>
      <c r="H4627" s="1" t="s">
        <v>19</v>
      </c>
      <c r="I4627" s="1" t="s">
        <v>3790</v>
      </c>
      <c r="J4627" s="1">
        <v>77</v>
      </c>
      <c r="K4627" s="1">
        <v>308</v>
      </c>
      <c r="L4627" s="42">
        <v>8</v>
      </c>
      <c r="M4627" s="43">
        <v>46196</v>
      </c>
      <c r="N4627" s="1" t="s">
        <v>2069</v>
      </c>
    </row>
    <row r="4628" spans="1:14" ht="20.25" x14ac:dyDescent="0.25">
      <c r="A4628" s="1">
        <v>8</v>
      </c>
      <c r="B4628" s="159"/>
      <c r="C4628" s="1" t="s">
        <v>3832</v>
      </c>
      <c r="D4628" s="1"/>
      <c r="E4628" s="1" t="s">
        <v>3833</v>
      </c>
      <c r="F4628" s="1" t="s">
        <v>3814</v>
      </c>
      <c r="G4628" s="1">
        <v>2</v>
      </c>
      <c r="H4628" s="1" t="s">
        <v>19</v>
      </c>
      <c r="I4628" s="1" t="s">
        <v>3790</v>
      </c>
      <c r="J4628" s="1">
        <v>81.680000000000007</v>
      </c>
      <c r="K4628" s="1">
        <v>163.36000000000001</v>
      </c>
      <c r="L4628" s="42">
        <v>8</v>
      </c>
      <c r="M4628" s="43">
        <v>46196</v>
      </c>
      <c r="N4628" s="1" t="s">
        <v>2069</v>
      </c>
    </row>
    <row r="4629" spans="1:14" ht="20.25" x14ac:dyDescent="0.25">
      <c r="A4629" s="1">
        <v>9</v>
      </c>
      <c r="B4629" s="159"/>
      <c r="C4629" s="1" t="s">
        <v>3832</v>
      </c>
      <c r="D4629" s="1"/>
      <c r="E4629" s="1" t="s">
        <v>3834</v>
      </c>
      <c r="F4629" s="1" t="s">
        <v>3816</v>
      </c>
      <c r="G4629" s="1">
        <v>2</v>
      </c>
      <c r="H4629" s="1" t="s">
        <v>19</v>
      </c>
      <c r="I4629" s="1" t="s">
        <v>3790</v>
      </c>
      <c r="J4629" s="1">
        <v>83.17</v>
      </c>
      <c r="K4629" s="1">
        <v>166.34</v>
      </c>
      <c r="L4629" s="42">
        <v>8</v>
      </c>
      <c r="M4629" s="43">
        <v>46196</v>
      </c>
      <c r="N4629" s="1" t="s">
        <v>2069</v>
      </c>
    </row>
    <row r="4630" spans="1:14" ht="20.25" x14ac:dyDescent="0.25">
      <c r="A4630" s="1">
        <v>10</v>
      </c>
      <c r="B4630" s="159"/>
      <c r="C4630" s="1" t="s">
        <v>3832</v>
      </c>
      <c r="D4630" s="1"/>
      <c r="E4630" s="1" t="s">
        <v>3835</v>
      </c>
      <c r="F4630" s="1" t="s">
        <v>3818</v>
      </c>
      <c r="G4630" s="1">
        <v>2</v>
      </c>
      <c r="H4630" s="1" t="s">
        <v>19</v>
      </c>
      <c r="I4630" s="1" t="s">
        <v>3790</v>
      </c>
      <c r="J4630" s="1">
        <v>115.1</v>
      </c>
      <c r="K4630" s="1">
        <v>230.2</v>
      </c>
      <c r="L4630" s="42">
        <v>8</v>
      </c>
      <c r="M4630" s="43">
        <v>46196</v>
      </c>
      <c r="N4630" s="1" t="s">
        <v>2069</v>
      </c>
    </row>
    <row r="4631" spans="1:14" ht="20.25" x14ac:dyDescent="0.25">
      <c r="A4631" s="1">
        <v>11</v>
      </c>
      <c r="B4631" s="159"/>
      <c r="C4631" s="1" t="s">
        <v>3837</v>
      </c>
      <c r="D4631" s="1"/>
      <c r="E4631" s="1" t="s">
        <v>3838</v>
      </c>
      <c r="F4631" s="1" t="s">
        <v>3814</v>
      </c>
      <c r="G4631" s="1">
        <v>2</v>
      </c>
      <c r="H4631" s="1" t="s">
        <v>19</v>
      </c>
      <c r="I4631" s="1" t="s">
        <v>3790</v>
      </c>
      <c r="J4631" s="1">
        <v>101.75</v>
      </c>
      <c r="K4631" s="1">
        <v>203.5</v>
      </c>
      <c r="L4631" s="42">
        <v>8</v>
      </c>
      <c r="M4631" s="43">
        <v>46196</v>
      </c>
      <c r="N4631" s="1" t="s">
        <v>2069</v>
      </c>
    </row>
    <row r="4632" spans="1:14" ht="20.25" x14ac:dyDescent="0.25">
      <c r="A4632" s="1">
        <v>12</v>
      </c>
      <c r="B4632" s="159"/>
      <c r="C4632" s="1" t="s">
        <v>3812</v>
      </c>
      <c r="D4632" s="1"/>
      <c r="E4632" s="1" t="s">
        <v>3813</v>
      </c>
      <c r="F4632" s="1" t="s">
        <v>3814</v>
      </c>
      <c r="G4632" s="1">
        <v>1</v>
      </c>
      <c r="H4632" s="1" t="s">
        <v>19</v>
      </c>
      <c r="I4632" s="1" t="s">
        <v>3790</v>
      </c>
      <c r="J4632" s="1">
        <v>48.94</v>
      </c>
      <c r="K4632" s="1">
        <v>48.94</v>
      </c>
      <c r="L4632" s="42">
        <v>8</v>
      </c>
      <c r="M4632" s="43">
        <v>46196</v>
      </c>
      <c r="N4632" s="1" t="s">
        <v>2069</v>
      </c>
    </row>
    <row r="4633" spans="1:14" ht="20.25" x14ac:dyDescent="0.25">
      <c r="A4633" s="1">
        <v>13</v>
      </c>
      <c r="B4633" s="159"/>
      <c r="C4633" s="1" t="s">
        <v>3832</v>
      </c>
      <c r="D4633" s="1"/>
      <c r="E4633" s="1" t="s">
        <v>3836</v>
      </c>
      <c r="F4633" s="1" t="s">
        <v>3820</v>
      </c>
      <c r="G4633" s="1">
        <v>2</v>
      </c>
      <c r="H4633" s="1" t="s">
        <v>19</v>
      </c>
      <c r="I4633" s="1" t="s">
        <v>3790</v>
      </c>
      <c r="J4633" s="1">
        <v>44.32</v>
      </c>
      <c r="K4633" s="1">
        <v>88.64</v>
      </c>
      <c r="L4633" s="42">
        <v>8</v>
      </c>
      <c r="M4633" s="43">
        <v>46196</v>
      </c>
      <c r="N4633" s="1" t="s">
        <v>2069</v>
      </c>
    </row>
    <row r="4634" spans="1:14" ht="20.25" x14ac:dyDescent="0.25">
      <c r="A4634" s="1">
        <v>14</v>
      </c>
      <c r="B4634" s="159"/>
      <c r="C4634" s="1" t="s">
        <v>3842</v>
      </c>
      <c r="D4634" s="1"/>
      <c r="E4634" s="1" t="s">
        <v>3845</v>
      </c>
      <c r="F4634" s="1" t="s">
        <v>3846</v>
      </c>
      <c r="G4634" s="1">
        <v>4</v>
      </c>
      <c r="H4634" s="1" t="s">
        <v>19</v>
      </c>
      <c r="I4634" s="1" t="s">
        <v>3790</v>
      </c>
      <c r="J4634" s="1">
        <v>39.78</v>
      </c>
      <c r="K4634" s="1">
        <v>159.12</v>
      </c>
      <c r="L4634" s="42">
        <v>8</v>
      </c>
      <c r="M4634" s="43">
        <v>46196</v>
      </c>
      <c r="N4634" s="1" t="s">
        <v>2069</v>
      </c>
    </row>
    <row r="4635" spans="1:14" ht="20.25" x14ac:dyDescent="0.25">
      <c r="A4635" s="1">
        <v>1</v>
      </c>
      <c r="B4635" s="159"/>
      <c r="C4635" s="1" t="s">
        <v>3864</v>
      </c>
      <c r="D4635" s="1"/>
      <c r="E4635" s="1" t="s">
        <v>3866</v>
      </c>
      <c r="F4635" s="1" t="s">
        <v>3806</v>
      </c>
      <c r="G4635" s="1">
        <v>2</v>
      </c>
      <c r="H4635" s="1" t="s">
        <v>19</v>
      </c>
      <c r="I4635" s="1" t="s">
        <v>3790</v>
      </c>
      <c r="J4635" s="1">
        <v>122.98</v>
      </c>
      <c r="K4635" s="1">
        <v>245.96</v>
      </c>
      <c r="L4635" s="42">
        <v>9</v>
      </c>
      <c r="M4635" s="43">
        <v>46196</v>
      </c>
      <c r="N4635" s="1" t="s">
        <v>2069</v>
      </c>
    </row>
    <row r="4636" spans="1:14" ht="20.25" x14ac:dyDescent="0.25">
      <c r="A4636" s="1">
        <v>2</v>
      </c>
      <c r="B4636" s="159"/>
      <c r="C4636" s="1" t="s">
        <v>3849</v>
      </c>
      <c r="D4636" s="1"/>
      <c r="E4636" s="1" t="s">
        <v>3850</v>
      </c>
      <c r="F4636" s="1" t="s">
        <v>3814</v>
      </c>
      <c r="G4636" s="1">
        <v>4</v>
      </c>
      <c r="H4636" s="1" t="s">
        <v>19</v>
      </c>
      <c r="I4636" s="1" t="s">
        <v>3790</v>
      </c>
      <c r="J4636" s="1">
        <v>47.47</v>
      </c>
      <c r="K4636" s="1">
        <v>189.88</v>
      </c>
      <c r="L4636" s="42">
        <v>9</v>
      </c>
      <c r="M4636" s="43">
        <v>46196</v>
      </c>
      <c r="N4636" s="1" t="s">
        <v>2069</v>
      </c>
    </row>
    <row r="4637" spans="1:14" ht="20.25" x14ac:dyDescent="0.25">
      <c r="A4637" s="1">
        <v>3</v>
      </c>
      <c r="B4637" s="159"/>
      <c r="C4637" s="1" t="s">
        <v>3849</v>
      </c>
      <c r="D4637" s="1"/>
      <c r="E4637" s="1" t="s">
        <v>3851</v>
      </c>
      <c r="F4637" s="1" t="s">
        <v>3816</v>
      </c>
      <c r="G4637" s="1">
        <v>2</v>
      </c>
      <c r="H4637" s="1" t="s">
        <v>19</v>
      </c>
      <c r="I4637" s="1" t="s">
        <v>3790</v>
      </c>
      <c r="J4637" s="1">
        <v>50.82</v>
      </c>
      <c r="K4637" s="1">
        <v>101.64</v>
      </c>
      <c r="L4637" s="42">
        <v>9</v>
      </c>
      <c r="M4637" s="43">
        <v>46196</v>
      </c>
      <c r="N4637" s="1" t="s">
        <v>2069</v>
      </c>
    </row>
    <row r="4638" spans="1:14" ht="20.25" x14ac:dyDescent="0.25">
      <c r="A4638" s="1">
        <v>4</v>
      </c>
      <c r="B4638" s="159"/>
      <c r="C4638" s="1" t="s">
        <v>3849</v>
      </c>
      <c r="D4638" s="1"/>
      <c r="E4638" s="1" t="s">
        <v>3852</v>
      </c>
      <c r="F4638" s="1" t="s">
        <v>3818</v>
      </c>
      <c r="G4638" s="1">
        <v>2</v>
      </c>
      <c r="H4638" s="1" t="s">
        <v>19</v>
      </c>
      <c r="I4638" s="1" t="s">
        <v>3790</v>
      </c>
      <c r="J4638" s="1">
        <v>55.81</v>
      </c>
      <c r="K4638" s="1">
        <v>111.62</v>
      </c>
      <c r="L4638" s="42">
        <v>9</v>
      </c>
      <c r="M4638" s="43">
        <v>46196</v>
      </c>
      <c r="N4638" s="1" t="s">
        <v>2069</v>
      </c>
    </row>
    <row r="4639" spans="1:14" ht="20.25" x14ac:dyDescent="0.25">
      <c r="A4639" s="1">
        <v>5</v>
      </c>
      <c r="B4639" s="159"/>
      <c r="C4639" s="1" t="s">
        <v>3849</v>
      </c>
      <c r="D4639" s="1"/>
      <c r="E4639" s="1" t="s">
        <v>3853</v>
      </c>
      <c r="F4639" s="1" t="s">
        <v>3820</v>
      </c>
      <c r="G4639" s="1">
        <v>2</v>
      </c>
      <c r="H4639" s="1" t="s">
        <v>19</v>
      </c>
      <c r="I4639" s="1" t="s">
        <v>3790</v>
      </c>
      <c r="J4639" s="1">
        <v>78.33</v>
      </c>
      <c r="K4639" s="1">
        <v>156.66</v>
      </c>
      <c r="L4639" s="42">
        <v>9</v>
      </c>
      <c r="M4639" s="43">
        <v>46196</v>
      </c>
      <c r="N4639" s="1" t="s">
        <v>2069</v>
      </c>
    </row>
    <row r="4640" spans="1:14" ht="20.25" x14ac:dyDescent="0.25">
      <c r="A4640" s="1">
        <v>6</v>
      </c>
      <c r="B4640" s="159"/>
      <c r="C4640" s="1" t="s">
        <v>3849</v>
      </c>
      <c r="D4640" s="1"/>
      <c r="E4640" s="1" t="s">
        <v>3854</v>
      </c>
      <c r="F4640" s="1" t="s">
        <v>3844</v>
      </c>
      <c r="G4640" s="1">
        <v>2</v>
      </c>
      <c r="H4640" s="1" t="s">
        <v>19</v>
      </c>
      <c r="I4640" s="1" t="s">
        <v>3790</v>
      </c>
      <c r="J4640" s="1">
        <v>75.52</v>
      </c>
      <c r="K4640" s="1">
        <v>151.04</v>
      </c>
      <c r="L4640" s="42">
        <v>9</v>
      </c>
      <c r="M4640" s="43">
        <v>46196</v>
      </c>
      <c r="N4640" s="1" t="s">
        <v>2069</v>
      </c>
    </row>
    <row r="4641" spans="1:14" ht="20.25" x14ac:dyDescent="0.25">
      <c r="A4641" s="1">
        <v>7</v>
      </c>
      <c r="B4641" s="159"/>
      <c r="C4641" s="1" t="s">
        <v>3802</v>
      </c>
      <c r="D4641" s="1"/>
      <c r="E4641" s="1" t="s">
        <v>3803</v>
      </c>
      <c r="F4641" s="1" t="s">
        <v>3804</v>
      </c>
      <c r="G4641" s="1">
        <v>2</v>
      </c>
      <c r="H4641" s="1" t="s">
        <v>19</v>
      </c>
      <c r="I4641" s="1" t="s">
        <v>3790</v>
      </c>
      <c r="J4641" s="1">
        <v>161.66999999999999</v>
      </c>
      <c r="K4641" s="1">
        <v>323.33999999999997</v>
      </c>
      <c r="L4641" s="42">
        <v>9</v>
      </c>
      <c r="M4641" s="43">
        <v>46196</v>
      </c>
      <c r="N4641" s="1" t="s">
        <v>2069</v>
      </c>
    </row>
    <row r="4642" spans="1:14" ht="20.25" x14ac:dyDescent="0.25">
      <c r="A4642" s="1">
        <v>8</v>
      </c>
      <c r="B4642" s="159"/>
      <c r="C4642" s="1" t="s">
        <v>3802</v>
      </c>
      <c r="D4642" s="1"/>
      <c r="E4642" s="1" t="s">
        <v>3805</v>
      </c>
      <c r="F4642" s="1" t="s">
        <v>3806</v>
      </c>
      <c r="G4642" s="1">
        <v>2</v>
      </c>
      <c r="H4642" s="1" t="s">
        <v>19</v>
      </c>
      <c r="I4642" s="1" t="s">
        <v>3790</v>
      </c>
      <c r="J4642" s="1">
        <v>161.66999999999999</v>
      </c>
      <c r="K4642" s="1">
        <v>323.33999999999997</v>
      </c>
      <c r="L4642" s="42">
        <v>9</v>
      </c>
      <c r="M4642" s="43">
        <v>46196</v>
      </c>
      <c r="N4642" s="1" t="s">
        <v>2069</v>
      </c>
    </row>
    <row r="4643" spans="1:14" ht="20.25" x14ac:dyDescent="0.25">
      <c r="A4643" s="1">
        <v>9</v>
      </c>
      <c r="B4643" s="159"/>
      <c r="C4643" s="1" t="s">
        <v>3873</v>
      </c>
      <c r="D4643" s="1"/>
      <c r="E4643" s="1" t="s">
        <v>4253</v>
      </c>
      <c r="F4643" s="1" t="s">
        <v>3814</v>
      </c>
      <c r="G4643" s="1">
        <v>4</v>
      </c>
      <c r="H4643" s="1" t="s">
        <v>19</v>
      </c>
      <c r="I4643" s="1" t="s">
        <v>3790</v>
      </c>
      <c r="J4643" s="1">
        <v>71.44</v>
      </c>
      <c r="K4643" s="1">
        <v>285.76</v>
      </c>
      <c r="L4643" s="42">
        <v>9</v>
      </c>
      <c r="M4643" s="43">
        <v>46196</v>
      </c>
      <c r="N4643" s="1" t="s">
        <v>2069</v>
      </c>
    </row>
    <row r="4644" spans="1:14" ht="20.25" x14ac:dyDescent="0.25">
      <c r="A4644" s="1">
        <v>10</v>
      </c>
      <c r="B4644" s="159"/>
      <c r="C4644" s="1" t="s">
        <v>3873</v>
      </c>
      <c r="D4644" s="1"/>
      <c r="E4644" s="1" t="s">
        <v>4254</v>
      </c>
      <c r="F4644" s="1" t="s">
        <v>3816</v>
      </c>
      <c r="G4644" s="1">
        <v>4</v>
      </c>
      <c r="H4644" s="1" t="s">
        <v>19</v>
      </c>
      <c r="I4644" s="1" t="s">
        <v>3790</v>
      </c>
      <c r="J4644" s="1">
        <v>71.44</v>
      </c>
      <c r="K4644" s="1">
        <v>285.76</v>
      </c>
      <c r="L4644" s="42">
        <v>9</v>
      </c>
      <c r="M4644" s="43">
        <v>46196</v>
      </c>
      <c r="N4644" s="1" t="s">
        <v>2069</v>
      </c>
    </row>
    <row r="4645" spans="1:14" ht="20.25" x14ac:dyDescent="0.25">
      <c r="A4645" s="1">
        <v>11</v>
      </c>
      <c r="B4645" s="159"/>
      <c r="C4645" s="1" t="s">
        <v>3875</v>
      </c>
      <c r="D4645" s="1"/>
      <c r="E4645" s="1" t="s">
        <v>3877</v>
      </c>
      <c r="F4645" s="1" t="s">
        <v>3879</v>
      </c>
      <c r="G4645" s="1">
        <v>8</v>
      </c>
      <c r="H4645" s="1" t="s">
        <v>19</v>
      </c>
      <c r="I4645" s="1" t="s">
        <v>3790</v>
      </c>
      <c r="J4645" s="1">
        <v>71.44</v>
      </c>
      <c r="K4645" s="1">
        <v>571.52</v>
      </c>
      <c r="L4645" s="42">
        <v>9</v>
      </c>
      <c r="M4645" s="43">
        <v>46196</v>
      </c>
      <c r="N4645" s="1" t="s">
        <v>2069</v>
      </c>
    </row>
    <row r="4646" spans="1:14" ht="20.25" x14ac:dyDescent="0.25">
      <c r="A4646" s="1">
        <v>12</v>
      </c>
      <c r="B4646" s="159"/>
      <c r="C4646" s="1" t="s">
        <v>3858</v>
      </c>
      <c r="D4646" s="1"/>
      <c r="E4646" s="1" t="s">
        <v>4255</v>
      </c>
      <c r="F4646" s="1" t="s">
        <v>3804</v>
      </c>
      <c r="G4646" s="1">
        <v>2</v>
      </c>
      <c r="H4646" s="1" t="s">
        <v>19</v>
      </c>
      <c r="I4646" s="1" t="s">
        <v>3790</v>
      </c>
      <c r="J4646" s="1">
        <v>152.22</v>
      </c>
      <c r="K4646" s="1">
        <v>304.44</v>
      </c>
      <c r="L4646" s="42">
        <v>9</v>
      </c>
      <c r="M4646" s="43">
        <v>46196</v>
      </c>
      <c r="N4646" s="1" t="s">
        <v>2069</v>
      </c>
    </row>
    <row r="4647" spans="1:14" ht="20.25" x14ac:dyDescent="0.25">
      <c r="A4647" s="1">
        <v>13</v>
      </c>
      <c r="B4647" s="159"/>
      <c r="C4647" s="1" t="s">
        <v>3873</v>
      </c>
      <c r="D4647" s="1"/>
      <c r="E4647" s="1" t="s">
        <v>4256</v>
      </c>
      <c r="F4647" s="1" t="s">
        <v>3804</v>
      </c>
      <c r="G4647" s="1">
        <v>2</v>
      </c>
      <c r="H4647" s="1" t="s">
        <v>19</v>
      </c>
      <c r="I4647" s="1" t="s">
        <v>3790</v>
      </c>
      <c r="J4647" s="1">
        <v>129.09</v>
      </c>
      <c r="K4647" s="1">
        <v>258.18</v>
      </c>
      <c r="L4647" s="42">
        <v>9</v>
      </c>
      <c r="M4647" s="43">
        <v>46196</v>
      </c>
      <c r="N4647" s="1" t="s">
        <v>2069</v>
      </c>
    </row>
    <row r="4648" spans="1:14" ht="20.25" x14ac:dyDescent="0.25">
      <c r="A4648" s="1">
        <v>14</v>
      </c>
      <c r="B4648" s="159"/>
      <c r="C4648" s="1" t="s">
        <v>3873</v>
      </c>
      <c r="D4648" s="1"/>
      <c r="E4648" s="1" t="s">
        <v>4257</v>
      </c>
      <c r="F4648" s="1" t="s">
        <v>3806</v>
      </c>
      <c r="G4648" s="1">
        <v>2</v>
      </c>
      <c r="H4648" s="1" t="s">
        <v>19</v>
      </c>
      <c r="I4648" s="1" t="s">
        <v>3790</v>
      </c>
      <c r="J4648" s="1">
        <v>129.09</v>
      </c>
      <c r="K4648" s="1">
        <v>258.18</v>
      </c>
      <c r="L4648" s="42">
        <v>9</v>
      </c>
      <c r="M4648" s="43">
        <v>46196</v>
      </c>
      <c r="N4648" s="1" t="s">
        <v>2069</v>
      </c>
    </row>
    <row r="4649" spans="1:14" ht="20.25" x14ac:dyDescent="0.25">
      <c r="A4649" s="1">
        <v>15</v>
      </c>
      <c r="B4649" s="159"/>
      <c r="C4649" s="1" t="s">
        <v>3779</v>
      </c>
      <c r="D4649" s="1"/>
      <c r="E4649" s="1" t="s">
        <v>3946</v>
      </c>
      <c r="F4649" s="1" t="s">
        <v>3947</v>
      </c>
      <c r="G4649" s="1">
        <v>2</v>
      </c>
      <c r="H4649" s="1" t="s">
        <v>19</v>
      </c>
      <c r="I4649" s="1" t="s">
        <v>2274</v>
      </c>
      <c r="J4649" s="1">
        <v>108.2</v>
      </c>
      <c r="K4649" s="1">
        <v>216.4</v>
      </c>
      <c r="L4649" s="42">
        <v>9</v>
      </c>
      <c r="M4649" s="43">
        <v>46196</v>
      </c>
      <c r="N4649" s="1" t="s">
        <v>2069</v>
      </c>
    </row>
    <row r="4650" spans="1:14" ht="20.25" x14ac:dyDescent="0.25">
      <c r="A4650" s="1">
        <v>16</v>
      </c>
      <c r="B4650" s="159"/>
      <c r="C4650" s="1" t="s">
        <v>3779</v>
      </c>
      <c r="D4650" s="1"/>
      <c r="E4650" s="1" t="s">
        <v>3946</v>
      </c>
      <c r="F4650" s="1" t="s">
        <v>3947</v>
      </c>
      <c r="G4650" s="1">
        <v>2</v>
      </c>
      <c r="H4650" s="1" t="s">
        <v>19</v>
      </c>
      <c r="I4650" s="1" t="s">
        <v>2276</v>
      </c>
      <c r="J4650" s="1">
        <v>108.2</v>
      </c>
      <c r="K4650" s="1">
        <v>216.4</v>
      </c>
      <c r="L4650" s="42">
        <v>9</v>
      </c>
      <c r="M4650" s="43">
        <v>46196</v>
      </c>
      <c r="N4650" s="1" t="s">
        <v>2069</v>
      </c>
    </row>
    <row r="4651" spans="1:14" ht="20.25" x14ac:dyDescent="0.25">
      <c r="A4651" s="1">
        <v>1</v>
      </c>
      <c r="B4651" s="159"/>
      <c r="C4651" s="1" t="s">
        <v>4258</v>
      </c>
      <c r="D4651" s="1"/>
      <c r="E4651" s="1"/>
      <c r="F4651" s="1" t="s">
        <v>4259</v>
      </c>
      <c r="G4651" s="1">
        <v>32</v>
      </c>
      <c r="H4651" s="1" t="s">
        <v>19</v>
      </c>
      <c r="I4651" s="1" t="s">
        <v>4086</v>
      </c>
      <c r="J4651" s="1">
        <v>0.02</v>
      </c>
      <c r="K4651" s="1">
        <v>0.64</v>
      </c>
      <c r="L4651" s="42">
        <v>10</v>
      </c>
      <c r="M4651" s="43">
        <v>46197</v>
      </c>
      <c r="N4651" s="1" t="s">
        <v>2069</v>
      </c>
    </row>
    <row r="4652" spans="1:14" ht="20.25" x14ac:dyDescent="0.25">
      <c r="A4652" s="1">
        <v>2</v>
      </c>
      <c r="B4652" s="159"/>
      <c r="C4652" s="1" t="s">
        <v>4260</v>
      </c>
      <c r="D4652" s="1"/>
      <c r="E4652" s="1"/>
      <c r="F4652" s="1" t="s">
        <v>4261</v>
      </c>
      <c r="G4652" s="1">
        <v>1144</v>
      </c>
      <c r="H4652" s="1" t="s">
        <v>19</v>
      </c>
      <c r="I4652" s="1" t="s">
        <v>4086</v>
      </c>
      <c r="J4652" s="1">
        <v>0.02</v>
      </c>
      <c r="K4652" s="1">
        <v>22.88</v>
      </c>
      <c r="L4652" s="42">
        <v>10</v>
      </c>
      <c r="M4652" s="43">
        <v>46197</v>
      </c>
      <c r="N4652" s="1" t="s">
        <v>2069</v>
      </c>
    </row>
    <row r="4653" spans="1:14" ht="20.25" x14ac:dyDescent="0.25">
      <c r="A4653" s="1">
        <v>3</v>
      </c>
      <c r="B4653" s="159"/>
      <c r="C4653" s="1" t="s">
        <v>3948</v>
      </c>
      <c r="D4653" s="1"/>
      <c r="E4653" s="1"/>
      <c r="F4653" s="1" t="s">
        <v>4262</v>
      </c>
      <c r="G4653" s="1">
        <v>264</v>
      </c>
      <c r="H4653" s="1" t="s">
        <v>19</v>
      </c>
      <c r="I4653" s="1" t="s">
        <v>4086</v>
      </c>
      <c r="J4653" s="1">
        <v>0.05</v>
      </c>
      <c r="K4653" s="1">
        <v>13.200000000000001</v>
      </c>
      <c r="L4653" s="42">
        <v>10</v>
      </c>
      <c r="M4653" s="43">
        <v>46197</v>
      </c>
      <c r="N4653" s="1" t="s">
        <v>2069</v>
      </c>
    </row>
    <row r="4654" spans="1:14" ht="20.25" x14ac:dyDescent="0.25">
      <c r="A4654" s="1">
        <v>4</v>
      </c>
      <c r="B4654" s="159"/>
      <c r="C4654" s="1" t="s">
        <v>3948</v>
      </c>
      <c r="D4654" s="1"/>
      <c r="E4654" s="1"/>
      <c r="F4654" s="1" t="s">
        <v>4263</v>
      </c>
      <c r="G4654" s="1">
        <v>672</v>
      </c>
      <c r="H4654" s="1" t="s">
        <v>19</v>
      </c>
      <c r="I4654" s="1" t="s">
        <v>4086</v>
      </c>
      <c r="J4654" s="1">
        <v>0.04</v>
      </c>
      <c r="K4654" s="1">
        <v>26.88</v>
      </c>
      <c r="L4654" s="42">
        <v>10</v>
      </c>
      <c r="M4654" s="43">
        <v>46197</v>
      </c>
      <c r="N4654" s="1" t="s">
        <v>2069</v>
      </c>
    </row>
    <row r="4655" spans="1:14" ht="20.25" x14ac:dyDescent="0.25">
      <c r="A4655" s="1">
        <v>5</v>
      </c>
      <c r="B4655" s="159"/>
      <c r="C4655" s="1" t="s">
        <v>3880</v>
      </c>
      <c r="D4655" s="1"/>
      <c r="E4655" s="1"/>
      <c r="F4655" s="1" t="s">
        <v>4264</v>
      </c>
      <c r="G4655" s="1">
        <v>8</v>
      </c>
      <c r="H4655" s="1" t="s">
        <v>19</v>
      </c>
      <c r="I4655" s="1" t="s">
        <v>4086</v>
      </c>
      <c r="J4655" s="1">
        <v>1.5</v>
      </c>
      <c r="K4655" s="1">
        <v>12</v>
      </c>
      <c r="L4655" s="42">
        <v>10</v>
      </c>
      <c r="M4655" s="43">
        <v>46197</v>
      </c>
      <c r="N4655" s="1" t="s">
        <v>2069</v>
      </c>
    </row>
    <row r="4656" spans="1:14" ht="20.25" x14ac:dyDescent="0.25">
      <c r="A4656" s="1">
        <v>6</v>
      </c>
      <c r="B4656" s="159"/>
      <c r="C4656" s="1" t="s">
        <v>3909</v>
      </c>
      <c r="D4656" s="1"/>
      <c r="E4656" s="1"/>
      <c r="F4656" s="1" t="s">
        <v>4265</v>
      </c>
      <c r="G4656" s="1">
        <v>8</v>
      </c>
      <c r="H4656" s="1" t="s">
        <v>19</v>
      </c>
      <c r="I4656" s="1" t="s">
        <v>4086</v>
      </c>
      <c r="J4656" s="1">
        <v>0.3</v>
      </c>
      <c r="K4656" s="1">
        <v>2.4</v>
      </c>
      <c r="L4656" s="42">
        <v>10</v>
      </c>
      <c r="M4656" s="43">
        <v>46197</v>
      </c>
      <c r="N4656" s="1" t="s">
        <v>2069</v>
      </c>
    </row>
    <row r="4657" spans="1:14" ht="20.25" x14ac:dyDescent="0.25">
      <c r="A4657" s="1">
        <v>7</v>
      </c>
      <c r="B4657" s="159"/>
      <c r="C4657" s="1" t="s">
        <v>4266</v>
      </c>
      <c r="D4657" s="1"/>
      <c r="E4657" s="1"/>
      <c r="F4657" s="1" t="s">
        <v>4267</v>
      </c>
      <c r="G4657" s="1">
        <v>4</v>
      </c>
      <c r="H4657" s="1" t="s">
        <v>19</v>
      </c>
      <c r="I4657" s="1" t="s">
        <v>4086</v>
      </c>
      <c r="J4657" s="1">
        <v>2.8</v>
      </c>
      <c r="K4657" s="1">
        <v>11.2</v>
      </c>
      <c r="L4657" s="42">
        <v>10</v>
      </c>
      <c r="M4657" s="43">
        <v>46197</v>
      </c>
      <c r="N4657" s="1" t="s">
        <v>2069</v>
      </c>
    </row>
    <row r="4658" spans="1:14" ht="20.25" x14ac:dyDescent="0.25">
      <c r="A4658" s="1">
        <v>8</v>
      </c>
      <c r="B4658" s="159"/>
      <c r="C4658" s="1" t="s">
        <v>4266</v>
      </c>
      <c r="D4658" s="1"/>
      <c r="E4658" s="1"/>
      <c r="F4658" s="1" t="s">
        <v>4268</v>
      </c>
      <c r="G4658" s="1">
        <v>40</v>
      </c>
      <c r="H4658" s="1" t="s">
        <v>19</v>
      </c>
      <c r="I4658" s="1" t="s">
        <v>4086</v>
      </c>
      <c r="J4658" s="1">
        <v>7.5</v>
      </c>
      <c r="K4658" s="1">
        <v>300</v>
      </c>
      <c r="L4658" s="42">
        <v>10</v>
      </c>
      <c r="M4658" s="43">
        <v>46197</v>
      </c>
      <c r="N4658" s="1" t="s">
        <v>2069</v>
      </c>
    </row>
    <row r="4659" spans="1:14" ht="20.25" x14ac:dyDescent="0.25">
      <c r="A4659" s="1">
        <v>9</v>
      </c>
      <c r="B4659" s="159"/>
      <c r="C4659" s="1" t="s">
        <v>3979</v>
      </c>
      <c r="D4659" s="1"/>
      <c r="E4659" s="1"/>
      <c r="F4659" s="1" t="s">
        <v>4269</v>
      </c>
      <c r="G4659" s="1">
        <v>50</v>
      </c>
      <c r="H4659" s="1" t="s">
        <v>1253</v>
      </c>
      <c r="I4659" s="1" t="s">
        <v>4086</v>
      </c>
      <c r="J4659" s="1">
        <v>1.5</v>
      </c>
      <c r="K4659" s="1">
        <v>75</v>
      </c>
      <c r="L4659" s="42">
        <v>10</v>
      </c>
      <c r="M4659" s="43">
        <v>46197</v>
      </c>
      <c r="N4659" s="1" t="s">
        <v>2069</v>
      </c>
    </row>
    <row r="4660" spans="1:14" ht="20.25" x14ac:dyDescent="0.25">
      <c r="A4660" s="1">
        <v>10</v>
      </c>
      <c r="B4660" s="159"/>
      <c r="C4660" s="1" t="s">
        <v>3773</v>
      </c>
      <c r="D4660" s="1"/>
      <c r="E4660" s="1"/>
      <c r="F4660" s="1" t="s">
        <v>4242</v>
      </c>
      <c r="G4660" s="1">
        <v>32</v>
      </c>
      <c r="H4660" s="1" t="s">
        <v>19</v>
      </c>
      <c r="I4660" s="1" t="s">
        <v>4086</v>
      </c>
      <c r="J4660" s="1">
        <v>0.03</v>
      </c>
      <c r="K4660" s="1">
        <v>0.96</v>
      </c>
      <c r="L4660" s="42">
        <v>10</v>
      </c>
      <c r="M4660" s="43">
        <v>46197</v>
      </c>
      <c r="N4660" s="1" t="s">
        <v>2069</v>
      </c>
    </row>
    <row r="4661" spans="1:14" ht="20.25" x14ac:dyDescent="0.25">
      <c r="A4661" s="1">
        <v>11</v>
      </c>
      <c r="B4661" s="159"/>
      <c r="C4661" s="1" t="s">
        <v>4270</v>
      </c>
      <c r="D4661" s="1"/>
      <c r="E4661" s="1"/>
      <c r="F4661" s="1" t="s">
        <v>4271</v>
      </c>
      <c r="G4661" s="1">
        <v>32</v>
      </c>
      <c r="H4661" s="1" t="s">
        <v>19</v>
      </c>
      <c r="I4661" s="1" t="s">
        <v>4086</v>
      </c>
      <c r="J4661" s="1">
        <v>0.05</v>
      </c>
      <c r="K4661" s="1">
        <v>1.6</v>
      </c>
      <c r="L4661" s="42">
        <v>10</v>
      </c>
      <c r="M4661" s="43">
        <v>46197</v>
      </c>
      <c r="N4661" s="1" t="s">
        <v>2069</v>
      </c>
    </row>
    <row r="4662" spans="1:14" ht="20.25" x14ac:dyDescent="0.25">
      <c r="A4662" s="1">
        <v>12</v>
      </c>
      <c r="B4662" s="159"/>
      <c r="C4662" s="1" t="s">
        <v>4270</v>
      </c>
      <c r="D4662" s="1"/>
      <c r="E4662" s="1"/>
      <c r="F4662" s="1" t="s">
        <v>4272</v>
      </c>
      <c r="G4662" s="1">
        <v>16</v>
      </c>
      <c r="H4662" s="1" t="s">
        <v>19</v>
      </c>
      <c r="I4662" s="1" t="s">
        <v>4086</v>
      </c>
      <c r="J4662" s="1">
        <v>0.5</v>
      </c>
      <c r="K4662" s="1">
        <v>8</v>
      </c>
      <c r="L4662" s="42">
        <v>10</v>
      </c>
      <c r="M4662" s="43">
        <v>46197</v>
      </c>
      <c r="N4662" s="1" t="s">
        <v>2069</v>
      </c>
    </row>
    <row r="4663" spans="1:14" ht="20.25" x14ac:dyDescent="0.25">
      <c r="A4663" s="1">
        <v>13</v>
      </c>
      <c r="B4663" s="159"/>
      <c r="C4663" s="1" t="s">
        <v>4270</v>
      </c>
      <c r="D4663" s="1"/>
      <c r="E4663" s="1"/>
      <c r="F4663" s="1" t="s">
        <v>4273</v>
      </c>
      <c r="G4663" s="1">
        <v>4</v>
      </c>
      <c r="H4663" s="1" t="s">
        <v>19</v>
      </c>
      <c r="I4663" s="1" t="s">
        <v>4086</v>
      </c>
      <c r="J4663" s="1">
        <v>0.8</v>
      </c>
      <c r="K4663" s="1">
        <v>3.2</v>
      </c>
      <c r="L4663" s="42">
        <v>10</v>
      </c>
      <c r="M4663" s="43">
        <v>46197</v>
      </c>
      <c r="N4663" s="1" t="s">
        <v>2069</v>
      </c>
    </row>
    <row r="4664" spans="1:14" ht="20.25" x14ac:dyDescent="0.25">
      <c r="A4664" s="1">
        <v>14</v>
      </c>
      <c r="B4664" s="159"/>
      <c r="C4664" s="1" t="s">
        <v>4274</v>
      </c>
      <c r="D4664" s="1"/>
      <c r="E4664" s="1"/>
      <c r="F4664" s="1" t="s">
        <v>4275</v>
      </c>
      <c r="G4664" s="1">
        <v>72</v>
      </c>
      <c r="H4664" s="1" t="s">
        <v>19</v>
      </c>
      <c r="I4664" s="1" t="s">
        <v>4086</v>
      </c>
      <c r="J4664" s="1">
        <v>0.05</v>
      </c>
      <c r="K4664" s="1">
        <v>3.6</v>
      </c>
      <c r="L4664" s="42">
        <v>10</v>
      </c>
      <c r="M4664" s="43">
        <v>46197</v>
      </c>
      <c r="N4664" s="1" t="s">
        <v>2069</v>
      </c>
    </row>
    <row r="4665" spans="1:14" ht="20.25" x14ac:dyDescent="0.25">
      <c r="A4665" s="1">
        <v>15</v>
      </c>
      <c r="B4665" s="159"/>
      <c r="C4665" s="1" t="s">
        <v>4144</v>
      </c>
      <c r="D4665" s="1"/>
      <c r="E4665" s="1"/>
      <c r="F4665" s="1" t="s">
        <v>4276</v>
      </c>
      <c r="G4665" s="1">
        <v>8</v>
      </c>
      <c r="H4665" s="1" t="s">
        <v>19</v>
      </c>
      <c r="I4665" s="1" t="s">
        <v>4086</v>
      </c>
      <c r="J4665" s="1">
        <v>0.05</v>
      </c>
      <c r="K4665" s="1">
        <v>0.4</v>
      </c>
      <c r="L4665" s="42">
        <v>10</v>
      </c>
      <c r="M4665" s="43">
        <v>46197</v>
      </c>
      <c r="N4665" s="1" t="s">
        <v>2069</v>
      </c>
    </row>
    <row r="4666" spans="1:14" ht="20.25" x14ac:dyDescent="0.25">
      <c r="A4666" s="1">
        <v>16</v>
      </c>
      <c r="B4666" s="159"/>
      <c r="C4666" s="1" t="s">
        <v>4144</v>
      </c>
      <c r="D4666" s="1"/>
      <c r="E4666" s="1"/>
      <c r="F4666" s="1" t="s">
        <v>4277</v>
      </c>
      <c r="G4666" s="1">
        <v>8</v>
      </c>
      <c r="H4666" s="1" t="s">
        <v>19</v>
      </c>
      <c r="I4666" s="1" t="s">
        <v>4086</v>
      </c>
      <c r="J4666" s="1">
        <v>0.02</v>
      </c>
      <c r="K4666" s="1">
        <v>0.16</v>
      </c>
      <c r="L4666" s="42">
        <v>10</v>
      </c>
      <c r="M4666" s="43">
        <v>46197</v>
      </c>
      <c r="N4666" s="1" t="s">
        <v>2069</v>
      </c>
    </row>
    <row r="4667" spans="1:14" ht="20.25" x14ac:dyDescent="0.25">
      <c r="A4667" s="1">
        <v>17</v>
      </c>
      <c r="B4667" s="159"/>
      <c r="C4667" s="1" t="s">
        <v>4144</v>
      </c>
      <c r="D4667" s="1"/>
      <c r="E4667" s="1"/>
      <c r="F4667" s="1" t="s">
        <v>4278</v>
      </c>
      <c r="G4667" s="1">
        <v>8</v>
      </c>
      <c r="H4667" s="1" t="s">
        <v>19</v>
      </c>
      <c r="I4667" s="1" t="s">
        <v>4086</v>
      </c>
      <c r="J4667" s="1">
        <v>0.02</v>
      </c>
      <c r="K4667" s="1">
        <v>0.16</v>
      </c>
      <c r="L4667" s="42">
        <v>10</v>
      </c>
      <c r="M4667" s="43">
        <v>46197</v>
      </c>
      <c r="N4667" s="1" t="s">
        <v>2069</v>
      </c>
    </row>
    <row r="4668" spans="1:14" ht="20.25" x14ac:dyDescent="0.25">
      <c r="A4668" s="1">
        <v>18</v>
      </c>
      <c r="B4668" s="159"/>
      <c r="C4668" s="1" t="s">
        <v>4161</v>
      </c>
      <c r="D4668" s="1"/>
      <c r="E4668" s="1"/>
      <c r="F4668" s="1" t="s">
        <v>4279</v>
      </c>
      <c r="G4668" s="1">
        <v>360</v>
      </c>
      <c r="H4668" s="1" t="s">
        <v>19</v>
      </c>
      <c r="I4668" s="1" t="s">
        <v>4086</v>
      </c>
      <c r="J4668" s="1">
        <v>0.02</v>
      </c>
      <c r="K4668" s="1">
        <v>7.2</v>
      </c>
      <c r="L4668" s="42">
        <v>10</v>
      </c>
      <c r="M4668" s="43">
        <v>46197</v>
      </c>
      <c r="N4668" s="1" t="s">
        <v>2069</v>
      </c>
    </row>
    <row r="4669" spans="1:14" ht="20.25" x14ac:dyDescent="0.25">
      <c r="A4669" s="1">
        <v>19</v>
      </c>
      <c r="B4669" s="159"/>
      <c r="C4669" s="1" t="s">
        <v>4166</v>
      </c>
      <c r="D4669" s="1"/>
      <c r="E4669" s="1"/>
      <c r="F4669" s="1" t="s">
        <v>4280</v>
      </c>
      <c r="G4669" s="1">
        <v>216</v>
      </c>
      <c r="H4669" s="1" t="s">
        <v>19</v>
      </c>
      <c r="I4669" s="1" t="s">
        <v>4086</v>
      </c>
      <c r="J4669" s="1">
        <v>0.02</v>
      </c>
      <c r="K4669" s="1">
        <v>4.32</v>
      </c>
      <c r="L4669" s="42">
        <v>10</v>
      </c>
      <c r="M4669" s="43">
        <v>46197</v>
      </c>
      <c r="N4669" s="1" t="s">
        <v>2069</v>
      </c>
    </row>
    <row r="4670" spans="1:14" ht="20.25" x14ac:dyDescent="0.25">
      <c r="A4670" s="1">
        <v>20</v>
      </c>
      <c r="B4670" s="159"/>
      <c r="C4670" s="1" t="s">
        <v>4166</v>
      </c>
      <c r="D4670" s="1"/>
      <c r="E4670" s="1"/>
      <c r="F4670" s="1" t="s">
        <v>4281</v>
      </c>
      <c r="G4670" s="1">
        <v>216</v>
      </c>
      <c r="H4670" s="1" t="s">
        <v>19</v>
      </c>
      <c r="I4670" s="1" t="s">
        <v>4086</v>
      </c>
      <c r="J4670" s="1">
        <v>0.05</v>
      </c>
      <c r="K4670" s="1">
        <v>10.8</v>
      </c>
      <c r="L4670" s="42">
        <v>10</v>
      </c>
      <c r="M4670" s="43">
        <v>46197</v>
      </c>
      <c r="N4670" s="1" t="s">
        <v>2069</v>
      </c>
    </row>
    <row r="4671" spans="1:14" ht="20.25" x14ac:dyDescent="0.25">
      <c r="A4671" s="1">
        <v>21</v>
      </c>
      <c r="B4671" s="159"/>
      <c r="C4671" s="1" t="s">
        <v>4170</v>
      </c>
      <c r="D4671" s="1"/>
      <c r="E4671" s="1"/>
      <c r="F4671" s="1" t="s">
        <v>4282</v>
      </c>
      <c r="G4671" s="1">
        <v>176</v>
      </c>
      <c r="H4671" s="1" t="s">
        <v>19</v>
      </c>
      <c r="I4671" s="1" t="s">
        <v>4086</v>
      </c>
      <c r="J4671" s="1">
        <v>0.02</v>
      </c>
      <c r="K4671" s="1">
        <v>3.52</v>
      </c>
      <c r="L4671" s="42">
        <v>10</v>
      </c>
      <c r="M4671" s="43">
        <v>46197</v>
      </c>
      <c r="N4671" s="1" t="s">
        <v>2069</v>
      </c>
    </row>
    <row r="4672" spans="1:14" ht="20.25" x14ac:dyDescent="0.25">
      <c r="A4672" s="1">
        <v>22</v>
      </c>
      <c r="B4672" s="159"/>
      <c r="C4672" s="1" t="s">
        <v>4173</v>
      </c>
      <c r="D4672" s="1"/>
      <c r="E4672" s="1"/>
      <c r="F4672" s="1" t="s">
        <v>4283</v>
      </c>
      <c r="G4672" s="1">
        <v>160</v>
      </c>
      <c r="H4672" s="1" t="s">
        <v>19</v>
      </c>
      <c r="I4672" s="1" t="s">
        <v>4086</v>
      </c>
      <c r="J4672" s="1">
        <v>0.02</v>
      </c>
      <c r="K4672" s="1">
        <v>3.2</v>
      </c>
      <c r="L4672" s="42">
        <v>10</v>
      </c>
      <c r="M4672" s="43">
        <v>46197</v>
      </c>
      <c r="N4672" s="1" t="s">
        <v>2069</v>
      </c>
    </row>
    <row r="4673" spans="1:14" ht="20.25" x14ac:dyDescent="0.25">
      <c r="A4673" s="1">
        <v>23</v>
      </c>
      <c r="B4673" s="159"/>
      <c r="C4673" s="1" t="s">
        <v>4176</v>
      </c>
      <c r="D4673" s="1"/>
      <c r="E4673" s="1"/>
      <c r="F4673" s="1" t="s">
        <v>4284</v>
      </c>
      <c r="G4673" s="1">
        <v>96</v>
      </c>
      <c r="H4673" s="1" t="s">
        <v>19</v>
      </c>
      <c r="I4673" s="1" t="s">
        <v>4086</v>
      </c>
      <c r="J4673" s="1">
        <v>0.02</v>
      </c>
      <c r="K4673" s="1">
        <v>1.92</v>
      </c>
      <c r="L4673" s="42">
        <v>10</v>
      </c>
      <c r="M4673" s="43">
        <v>46197</v>
      </c>
      <c r="N4673" s="1" t="s">
        <v>2069</v>
      </c>
    </row>
    <row r="4674" spans="1:14" ht="20.25" x14ac:dyDescent="0.25">
      <c r="A4674" s="1">
        <v>24</v>
      </c>
      <c r="B4674" s="159"/>
      <c r="C4674" s="1" t="s">
        <v>4179</v>
      </c>
      <c r="D4674" s="1"/>
      <c r="E4674" s="1"/>
      <c r="F4674" s="1" t="s">
        <v>4285</v>
      </c>
      <c r="G4674" s="1">
        <v>96</v>
      </c>
      <c r="H4674" s="1" t="s">
        <v>19</v>
      </c>
      <c r="I4674" s="1" t="s">
        <v>4086</v>
      </c>
      <c r="J4674" s="1">
        <v>0.05</v>
      </c>
      <c r="K4674" s="1">
        <v>4.8000000000000007</v>
      </c>
      <c r="L4674" s="42">
        <v>10</v>
      </c>
      <c r="M4674" s="43">
        <v>46197</v>
      </c>
      <c r="N4674" s="1" t="s">
        <v>2069</v>
      </c>
    </row>
    <row r="4675" spans="1:14" ht="20.25" x14ac:dyDescent="0.25">
      <c r="A4675" s="1">
        <v>25</v>
      </c>
      <c r="B4675" s="159"/>
      <c r="C4675" s="1" t="s">
        <v>4182</v>
      </c>
      <c r="D4675" s="1"/>
      <c r="E4675" s="1"/>
      <c r="F4675" s="1" t="s">
        <v>4286</v>
      </c>
      <c r="G4675" s="1">
        <v>56</v>
      </c>
      <c r="H4675" s="1" t="s">
        <v>19</v>
      </c>
      <c r="I4675" s="1" t="s">
        <v>4086</v>
      </c>
      <c r="J4675" s="1">
        <v>0.02</v>
      </c>
      <c r="K4675" s="1">
        <v>1.1200000000000001</v>
      </c>
      <c r="L4675" s="42">
        <v>10</v>
      </c>
      <c r="M4675" s="43">
        <v>46197</v>
      </c>
      <c r="N4675" s="1" t="s">
        <v>2069</v>
      </c>
    </row>
    <row r="4676" spans="1:14" ht="20.25" x14ac:dyDescent="0.25">
      <c r="A4676" s="1">
        <v>26</v>
      </c>
      <c r="B4676" s="159"/>
      <c r="C4676" s="1" t="s">
        <v>4185</v>
      </c>
      <c r="D4676" s="1"/>
      <c r="E4676" s="1"/>
      <c r="F4676" s="1" t="s">
        <v>4287</v>
      </c>
      <c r="G4676" s="1">
        <v>128</v>
      </c>
      <c r="H4676" s="1" t="s">
        <v>19</v>
      </c>
      <c r="I4676" s="1" t="s">
        <v>4086</v>
      </c>
      <c r="J4676" s="1">
        <v>0.02</v>
      </c>
      <c r="K4676" s="1">
        <v>2.56</v>
      </c>
      <c r="L4676" s="42">
        <v>10</v>
      </c>
      <c r="M4676" s="43">
        <v>46197</v>
      </c>
      <c r="N4676" s="1" t="s">
        <v>2069</v>
      </c>
    </row>
    <row r="4677" spans="1:14" ht="20.25" x14ac:dyDescent="0.25">
      <c r="A4677" s="1">
        <v>27</v>
      </c>
      <c r="B4677" s="159"/>
      <c r="C4677" s="1" t="s">
        <v>4188</v>
      </c>
      <c r="D4677" s="1"/>
      <c r="E4677" s="1"/>
      <c r="F4677" s="1" t="s">
        <v>4288</v>
      </c>
      <c r="G4677" s="1">
        <v>112</v>
      </c>
      <c r="H4677" s="1" t="s">
        <v>19</v>
      </c>
      <c r="I4677" s="1" t="s">
        <v>4086</v>
      </c>
      <c r="J4677" s="1">
        <v>0.02</v>
      </c>
      <c r="K4677" s="1">
        <v>2.2400000000000002</v>
      </c>
      <c r="L4677" s="42">
        <v>10</v>
      </c>
      <c r="M4677" s="43">
        <v>46197</v>
      </c>
      <c r="N4677" s="1" t="s">
        <v>2069</v>
      </c>
    </row>
    <row r="4678" spans="1:14" ht="20.25" x14ac:dyDescent="0.25">
      <c r="A4678" s="1">
        <v>28</v>
      </c>
      <c r="B4678" s="159"/>
      <c r="C4678" s="1" t="s">
        <v>4192</v>
      </c>
      <c r="D4678" s="1"/>
      <c r="E4678" s="1"/>
      <c r="F4678" s="1" t="s">
        <v>4289</v>
      </c>
      <c r="G4678" s="1">
        <v>96</v>
      </c>
      <c r="H4678" s="1" t="s">
        <v>19</v>
      </c>
      <c r="I4678" s="1" t="s">
        <v>4086</v>
      </c>
      <c r="J4678" s="1">
        <v>0.02</v>
      </c>
      <c r="K4678" s="1">
        <v>1.92</v>
      </c>
      <c r="L4678" s="42">
        <v>10</v>
      </c>
      <c r="M4678" s="43">
        <v>46197</v>
      </c>
      <c r="N4678" s="1" t="s">
        <v>2069</v>
      </c>
    </row>
    <row r="4679" spans="1:14" ht="20.25" x14ac:dyDescent="0.25">
      <c r="A4679" s="1">
        <v>29</v>
      </c>
      <c r="B4679" s="159"/>
      <c r="C4679" s="1" t="s">
        <v>4196</v>
      </c>
      <c r="D4679" s="1"/>
      <c r="E4679" s="1"/>
      <c r="F4679" s="1" t="s">
        <v>4290</v>
      </c>
      <c r="G4679" s="1">
        <v>112</v>
      </c>
      <c r="H4679" s="1" t="s">
        <v>19</v>
      </c>
      <c r="I4679" s="1" t="s">
        <v>4086</v>
      </c>
      <c r="J4679" s="1">
        <v>0.02</v>
      </c>
      <c r="K4679" s="1">
        <v>2.2400000000000002</v>
      </c>
      <c r="L4679" s="42">
        <v>10</v>
      </c>
      <c r="M4679" s="43">
        <v>46197</v>
      </c>
      <c r="N4679" s="1" t="s">
        <v>2069</v>
      </c>
    </row>
    <row r="4680" spans="1:14" ht="20.25" x14ac:dyDescent="0.25">
      <c r="A4680" s="1">
        <v>30</v>
      </c>
      <c r="B4680" s="159"/>
      <c r="C4680" s="1" t="s">
        <v>4200</v>
      </c>
      <c r="D4680" s="1"/>
      <c r="E4680" s="1"/>
      <c r="F4680" s="1" t="s">
        <v>4291</v>
      </c>
      <c r="G4680" s="1">
        <v>112</v>
      </c>
      <c r="H4680" s="1" t="s">
        <v>19</v>
      </c>
      <c r="I4680" s="1" t="s">
        <v>4086</v>
      </c>
      <c r="J4680" s="1">
        <v>0.02</v>
      </c>
      <c r="K4680" s="1">
        <v>2.2400000000000002</v>
      </c>
      <c r="L4680" s="42">
        <v>10</v>
      </c>
      <c r="M4680" s="43">
        <v>46197</v>
      </c>
      <c r="N4680" s="1" t="s">
        <v>2069</v>
      </c>
    </row>
    <row r="4681" spans="1:14" ht="20.25" x14ac:dyDescent="0.25">
      <c r="A4681" s="1">
        <v>31</v>
      </c>
      <c r="B4681" s="159"/>
      <c r="C4681" s="1" t="s">
        <v>4204</v>
      </c>
      <c r="D4681" s="1"/>
      <c r="E4681" s="1"/>
      <c r="F4681" s="1" t="s">
        <v>4291</v>
      </c>
      <c r="G4681" s="1">
        <v>208</v>
      </c>
      <c r="H4681" s="1" t="s">
        <v>19</v>
      </c>
      <c r="I4681" s="1" t="s">
        <v>4086</v>
      </c>
      <c r="J4681" s="1">
        <v>0.02</v>
      </c>
      <c r="K4681" s="1">
        <v>4.16</v>
      </c>
      <c r="L4681" s="42">
        <v>10</v>
      </c>
      <c r="M4681" s="43">
        <v>46197</v>
      </c>
      <c r="N4681" s="1" t="s">
        <v>2069</v>
      </c>
    </row>
    <row r="4682" spans="1:14" ht="20.25" x14ac:dyDescent="0.25">
      <c r="A4682" s="1">
        <v>32</v>
      </c>
      <c r="B4682" s="159"/>
      <c r="C4682" s="1" t="s">
        <v>4204</v>
      </c>
      <c r="D4682" s="1"/>
      <c r="E4682" s="1"/>
      <c r="F4682" s="1" t="s">
        <v>4292</v>
      </c>
      <c r="G4682" s="1">
        <v>208</v>
      </c>
      <c r="H4682" s="1" t="s">
        <v>19</v>
      </c>
      <c r="I4682" s="1" t="s">
        <v>4086</v>
      </c>
      <c r="J4682" s="1">
        <v>0.05</v>
      </c>
      <c r="K4682" s="1">
        <v>10.4</v>
      </c>
      <c r="L4682" s="42">
        <v>10</v>
      </c>
      <c r="M4682" s="43">
        <v>46197</v>
      </c>
      <c r="N4682" s="1" t="s">
        <v>2069</v>
      </c>
    </row>
    <row r="4683" spans="1:14" ht="20.25" x14ac:dyDescent="0.25">
      <c r="A4683" s="1">
        <v>33</v>
      </c>
      <c r="B4683" s="159"/>
      <c r="C4683" s="1" t="s">
        <v>4207</v>
      </c>
      <c r="D4683" s="1"/>
      <c r="E4683" s="1"/>
      <c r="F4683" s="1" t="s">
        <v>4293</v>
      </c>
      <c r="G4683" s="1">
        <v>384</v>
      </c>
      <c r="H4683" s="1" t="s">
        <v>19</v>
      </c>
      <c r="I4683" s="1" t="s">
        <v>4086</v>
      </c>
      <c r="J4683" s="1">
        <v>0.02</v>
      </c>
      <c r="K4683" s="1">
        <v>7.68</v>
      </c>
      <c r="L4683" s="42">
        <v>10</v>
      </c>
      <c r="M4683" s="43">
        <v>46197</v>
      </c>
      <c r="N4683" s="1" t="s">
        <v>2069</v>
      </c>
    </row>
    <row r="4684" spans="1:14" ht="20.25" x14ac:dyDescent="0.25">
      <c r="A4684" s="1">
        <v>34</v>
      </c>
      <c r="B4684" s="159"/>
      <c r="C4684" s="1" t="s">
        <v>4211</v>
      </c>
      <c r="D4684" s="1"/>
      <c r="E4684" s="1"/>
      <c r="F4684" s="1" t="s">
        <v>4294</v>
      </c>
      <c r="G4684" s="1">
        <v>8</v>
      </c>
      <c r="H4684" s="1" t="s">
        <v>19</v>
      </c>
      <c r="I4684" s="1" t="s">
        <v>4086</v>
      </c>
      <c r="J4684" s="1">
        <v>0.02</v>
      </c>
      <c r="K4684" s="1">
        <v>0.16</v>
      </c>
      <c r="L4684" s="42">
        <v>10</v>
      </c>
      <c r="M4684" s="43">
        <v>46197</v>
      </c>
      <c r="N4684" s="1" t="s">
        <v>2069</v>
      </c>
    </row>
    <row r="4685" spans="1:14" ht="20.25" x14ac:dyDescent="0.25">
      <c r="A4685" s="1">
        <v>35</v>
      </c>
      <c r="B4685" s="159"/>
      <c r="C4685" s="1" t="s">
        <v>4234</v>
      </c>
      <c r="D4685" s="1"/>
      <c r="E4685" s="1"/>
      <c r="F4685" s="1" t="s">
        <v>4295</v>
      </c>
      <c r="G4685" s="1">
        <v>664</v>
      </c>
      <c r="H4685" s="1" t="s">
        <v>19</v>
      </c>
      <c r="I4685" s="1" t="s">
        <v>4086</v>
      </c>
      <c r="J4685" s="1">
        <v>0.05</v>
      </c>
      <c r="K4685" s="1">
        <v>33.200000000000003</v>
      </c>
      <c r="L4685" s="42">
        <v>10</v>
      </c>
      <c r="M4685" s="43">
        <v>46197</v>
      </c>
      <c r="N4685" s="1" t="s">
        <v>2069</v>
      </c>
    </row>
    <row r="4686" spans="1:14" ht="20.25" x14ac:dyDescent="0.25">
      <c r="A4686" s="1">
        <v>36</v>
      </c>
      <c r="B4686" s="159"/>
      <c r="C4686" s="1" t="s">
        <v>3764</v>
      </c>
      <c r="D4686" s="1"/>
      <c r="E4686" s="1" t="s">
        <v>3765</v>
      </c>
      <c r="F4686" s="1" t="s">
        <v>3766</v>
      </c>
      <c r="G4686" s="1">
        <v>2</v>
      </c>
      <c r="H4686" s="1" t="s">
        <v>19</v>
      </c>
      <c r="I4686" s="1" t="s">
        <v>2274</v>
      </c>
      <c r="J4686" s="1">
        <v>12.6</v>
      </c>
      <c r="K4686" s="1">
        <v>25.2</v>
      </c>
      <c r="L4686" s="42">
        <v>10</v>
      </c>
      <c r="M4686" s="43">
        <v>46197</v>
      </c>
      <c r="N4686" s="1" t="s">
        <v>2069</v>
      </c>
    </row>
    <row r="4687" spans="1:14" ht="20.25" x14ac:dyDescent="0.25">
      <c r="A4687" s="1">
        <v>37</v>
      </c>
      <c r="B4687" s="159"/>
      <c r="C4687" s="1" t="s">
        <v>3764</v>
      </c>
      <c r="D4687" s="1"/>
      <c r="E4687" s="1" t="s">
        <v>3768</v>
      </c>
      <c r="F4687" s="1" t="s">
        <v>3766</v>
      </c>
      <c r="G4687" s="1">
        <v>4</v>
      </c>
      <c r="H4687" s="1" t="s">
        <v>19</v>
      </c>
      <c r="I4687" s="1" t="s">
        <v>2274</v>
      </c>
      <c r="J4687" s="1">
        <v>12.6</v>
      </c>
      <c r="K4687" s="1">
        <v>50.4</v>
      </c>
      <c r="L4687" s="42">
        <v>10</v>
      </c>
      <c r="M4687" s="43">
        <v>46197</v>
      </c>
      <c r="N4687" s="1" t="s">
        <v>2069</v>
      </c>
    </row>
    <row r="4688" spans="1:14" ht="20.25" x14ac:dyDescent="0.25">
      <c r="A4688" s="1">
        <v>38</v>
      </c>
      <c r="B4688" s="159"/>
      <c r="C4688" s="1" t="s">
        <v>3764</v>
      </c>
      <c r="D4688" s="1"/>
      <c r="E4688" s="1" t="s">
        <v>3765</v>
      </c>
      <c r="F4688" s="1" t="s">
        <v>3766</v>
      </c>
      <c r="G4688" s="1">
        <v>2</v>
      </c>
      <c r="H4688" s="1" t="s">
        <v>19</v>
      </c>
      <c r="I4688" s="1" t="s">
        <v>2276</v>
      </c>
      <c r="J4688" s="1">
        <v>12.6</v>
      </c>
      <c r="K4688" s="1">
        <v>25.2</v>
      </c>
      <c r="L4688" s="42">
        <v>10</v>
      </c>
      <c r="M4688" s="43">
        <v>46197</v>
      </c>
      <c r="N4688" s="1" t="s">
        <v>2069</v>
      </c>
    </row>
    <row r="4689" spans="1:14" ht="20.25" x14ac:dyDescent="0.25">
      <c r="A4689" s="1">
        <v>39</v>
      </c>
      <c r="B4689" s="159"/>
      <c r="C4689" s="1" t="s">
        <v>3764</v>
      </c>
      <c r="D4689" s="1"/>
      <c r="E4689" s="1" t="s">
        <v>3768</v>
      </c>
      <c r="F4689" s="1" t="s">
        <v>3766</v>
      </c>
      <c r="G4689" s="1">
        <v>4</v>
      </c>
      <c r="H4689" s="1" t="s">
        <v>19</v>
      </c>
      <c r="I4689" s="1" t="s">
        <v>2276</v>
      </c>
      <c r="J4689" s="1">
        <v>12.6</v>
      </c>
      <c r="K4689" s="1">
        <v>50.4</v>
      </c>
      <c r="L4689" s="42">
        <v>10</v>
      </c>
      <c r="M4689" s="43">
        <v>46197</v>
      </c>
      <c r="N4689" s="1" t="s">
        <v>2069</v>
      </c>
    </row>
    <row r="4690" spans="1:14" ht="20.25" x14ac:dyDescent="0.25">
      <c r="A4690" s="1">
        <v>40</v>
      </c>
      <c r="B4690" s="159"/>
      <c r="C4690" s="1" t="s">
        <v>3773</v>
      </c>
      <c r="D4690" s="1"/>
      <c r="E4690" s="1" t="s">
        <v>3776</v>
      </c>
      <c r="F4690" s="1" t="s">
        <v>3777</v>
      </c>
      <c r="G4690" s="1">
        <v>1</v>
      </c>
      <c r="H4690" s="1" t="s">
        <v>19</v>
      </c>
      <c r="I4690" s="1" t="s">
        <v>2274</v>
      </c>
      <c r="J4690" s="1">
        <v>142.19999999999999</v>
      </c>
      <c r="K4690" s="1">
        <v>142.19999999999999</v>
      </c>
      <c r="L4690" s="42">
        <v>10</v>
      </c>
      <c r="M4690" s="43">
        <v>46197</v>
      </c>
      <c r="N4690" s="1" t="s">
        <v>2069</v>
      </c>
    </row>
    <row r="4691" spans="1:14" ht="20.25" x14ac:dyDescent="0.25">
      <c r="A4691" s="1">
        <v>41</v>
      </c>
      <c r="B4691" s="159"/>
      <c r="C4691" s="1" t="s">
        <v>3773</v>
      </c>
      <c r="D4691" s="1"/>
      <c r="E4691" s="1" t="s">
        <v>3776</v>
      </c>
      <c r="F4691" s="1" t="s">
        <v>3777</v>
      </c>
      <c r="G4691" s="1">
        <v>1</v>
      </c>
      <c r="H4691" s="1" t="s">
        <v>19</v>
      </c>
      <c r="I4691" s="1" t="s">
        <v>2276</v>
      </c>
      <c r="J4691" s="1">
        <v>142.19999999999999</v>
      </c>
      <c r="K4691" s="1">
        <v>142.19999999999999</v>
      </c>
      <c r="L4691" s="42">
        <v>10</v>
      </c>
      <c r="M4691" s="43">
        <v>46197</v>
      </c>
      <c r="N4691" s="1" t="s">
        <v>2069</v>
      </c>
    </row>
    <row r="4692" spans="1:14" ht="20.25" x14ac:dyDescent="0.25">
      <c r="A4692" s="1">
        <v>42</v>
      </c>
      <c r="B4692" s="159"/>
      <c r="C4692" s="1" t="s">
        <v>3842</v>
      </c>
      <c r="D4692" s="1"/>
      <c r="E4692" s="1" t="s">
        <v>4296</v>
      </c>
      <c r="F4692" s="1" t="s">
        <v>3848</v>
      </c>
      <c r="G4692" s="1">
        <v>4</v>
      </c>
      <c r="H4692" s="1" t="s">
        <v>19</v>
      </c>
      <c r="I4692" s="1" t="s">
        <v>3790</v>
      </c>
      <c r="J4692" s="1">
        <v>134.97999999999999</v>
      </c>
      <c r="K4692" s="1">
        <v>539.91999999999996</v>
      </c>
      <c r="L4692" s="42">
        <v>10</v>
      </c>
      <c r="M4692" s="43">
        <v>46197</v>
      </c>
      <c r="N4692" s="1" t="s">
        <v>2069</v>
      </c>
    </row>
    <row r="4693" spans="1:14" ht="20.25" x14ac:dyDescent="0.25">
      <c r="A4693" s="1">
        <v>43</v>
      </c>
      <c r="B4693" s="159"/>
      <c r="C4693" s="1" t="s">
        <v>3900</v>
      </c>
      <c r="D4693" s="1"/>
      <c r="E4693" s="1" t="s">
        <v>3901</v>
      </c>
      <c r="F4693" s="1" t="s">
        <v>3902</v>
      </c>
      <c r="G4693" s="1">
        <v>1</v>
      </c>
      <c r="H4693" s="1" t="s">
        <v>19</v>
      </c>
      <c r="I4693" s="1" t="s">
        <v>2274</v>
      </c>
      <c r="J4693" s="1">
        <v>300.39999999999998</v>
      </c>
      <c r="K4693" s="1">
        <v>300.39999999999998</v>
      </c>
      <c r="L4693" s="42">
        <v>10</v>
      </c>
      <c r="M4693" s="43">
        <v>46197</v>
      </c>
      <c r="N4693" s="1" t="s">
        <v>2069</v>
      </c>
    </row>
    <row r="4694" spans="1:14" ht="20.25" x14ac:dyDescent="0.25">
      <c r="A4694" s="1">
        <v>44</v>
      </c>
      <c r="B4694" s="159"/>
      <c r="C4694" s="1" t="s">
        <v>3900</v>
      </c>
      <c r="D4694" s="1"/>
      <c r="E4694" s="1" t="s">
        <v>3901</v>
      </c>
      <c r="F4694" s="1" t="s">
        <v>3902</v>
      </c>
      <c r="G4694" s="1">
        <v>1</v>
      </c>
      <c r="H4694" s="1" t="s">
        <v>19</v>
      </c>
      <c r="I4694" s="1" t="s">
        <v>2276</v>
      </c>
      <c r="J4694" s="1">
        <v>300.39999999999998</v>
      </c>
      <c r="K4694" s="1">
        <v>300.39999999999998</v>
      </c>
      <c r="L4694" s="42">
        <v>10</v>
      </c>
      <c r="M4694" s="43">
        <v>46197</v>
      </c>
      <c r="N4694" s="1" t="s">
        <v>2069</v>
      </c>
    </row>
    <row r="4695" spans="1:14" ht="20.25" x14ac:dyDescent="0.25">
      <c r="A4695" s="1">
        <v>45</v>
      </c>
      <c r="B4695" s="159"/>
      <c r="C4695" s="1" t="s">
        <v>3913</v>
      </c>
      <c r="D4695" s="1"/>
      <c r="E4695" s="1" t="s">
        <v>4297</v>
      </c>
      <c r="F4695" s="1" t="s">
        <v>3897</v>
      </c>
      <c r="G4695" s="1">
        <v>60</v>
      </c>
      <c r="H4695" s="1" t="s">
        <v>19</v>
      </c>
      <c r="I4695" s="1" t="s">
        <v>3790</v>
      </c>
      <c r="J4695" s="1">
        <v>0.64</v>
      </c>
      <c r="K4695" s="1">
        <v>38.4</v>
      </c>
      <c r="L4695" s="42">
        <v>10</v>
      </c>
      <c r="M4695" s="43">
        <v>46197</v>
      </c>
      <c r="N4695" s="1" t="s">
        <v>2069</v>
      </c>
    </row>
    <row r="4696" spans="1:14" ht="20.25" x14ac:dyDescent="0.25">
      <c r="A4696" s="1">
        <v>46</v>
      </c>
      <c r="B4696" s="159"/>
      <c r="C4696" s="1" t="s">
        <v>3935</v>
      </c>
      <c r="D4696" s="1"/>
      <c r="E4696" s="1" t="s">
        <v>3941</v>
      </c>
      <c r="F4696" s="1" t="s">
        <v>3937</v>
      </c>
      <c r="G4696" s="1">
        <v>1</v>
      </c>
      <c r="H4696" s="1" t="s">
        <v>19</v>
      </c>
      <c r="I4696" s="1" t="s">
        <v>2274</v>
      </c>
      <c r="J4696" s="1">
        <v>10.199999999999999</v>
      </c>
      <c r="K4696" s="1">
        <v>10.199999999999999</v>
      </c>
      <c r="L4696" s="42">
        <v>10</v>
      </c>
      <c r="M4696" s="43">
        <v>46197</v>
      </c>
      <c r="N4696" s="1" t="s">
        <v>2069</v>
      </c>
    </row>
    <row r="4697" spans="1:14" ht="20.25" x14ac:dyDescent="0.25">
      <c r="A4697" s="1">
        <v>47</v>
      </c>
      <c r="B4697" s="159"/>
      <c r="C4697" s="1" t="s">
        <v>3935</v>
      </c>
      <c r="D4697" s="1"/>
      <c r="E4697" s="1" t="s">
        <v>3941</v>
      </c>
      <c r="F4697" s="1" t="s">
        <v>3937</v>
      </c>
      <c r="G4697" s="1">
        <v>1</v>
      </c>
      <c r="H4697" s="1" t="s">
        <v>19</v>
      </c>
      <c r="I4697" s="1" t="s">
        <v>2276</v>
      </c>
      <c r="J4697" s="1">
        <v>10.199999999999999</v>
      </c>
      <c r="K4697" s="1">
        <v>10.199999999999999</v>
      </c>
      <c r="L4697" s="42">
        <v>10</v>
      </c>
      <c r="M4697" s="43">
        <v>46197</v>
      </c>
      <c r="N4697" s="1" t="s">
        <v>2069</v>
      </c>
    </row>
    <row r="4698" spans="1:14" ht="20.25" x14ac:dyDescent="0.25">
      <c r="A4698" s="1">
        <v>48</v>
      </c>
      <c r="B4698" s="159"/>
      <c r="C4698" s="1" t="s">
        <v>3971</v>
      </c>
      <c r="D4698" s="1"/>
      <c r="E4698" s="1" t="s">
        <v>3972</v>
      </c>
      <c r="F4698" s="1" t="s">
        <v>3973</v>
      </c>
      <c r="G4698" s="1">
        <v>1</v>
      </c>
      <c r="H4698" s="1" t="s">
        <v>19</v>
      </c>
      <c r="I4698" s="1" t="s">
        <v>2274</v>
      </c>
      <c r="J4698" s="1">
        <v>704.9</v>
      </c>
      <c r="K4698" s="1">
        <v>704.9</v>
      </c>
      <c r="L4698" s="42">
        <v>10</v>
      </c>
      <c r="M4698" s="43">
        <v>46197</v>
      </c>
      <c r="N4698" s="1" t="s">
        <v>2069</v>
      </c>
    </row>
    <row r="4699" spans="1:14" ht="20.25" x14ac:dyDescent="0.25">
      <c r="A4699" s="1">
        <v>49</v>
      </c>
      <c r="B4699" s="159"/>
      <c r="C4699" s="1" t="s">
        <v>3971</v>
      </c>
      <c r="D4699" s="1"/>
      <c r="E4699" s="1" t="s">
        <v>3975</v>
      </c>
      <c r="F4699" s="1" t="s">
        <v>3976</v>
      </c>
      <c r="G4699" s="1">
        <v>8</v>
      </c>
      <c r="H4699" s="1" t="s">
        <v>19</v>
      </c>
      <c r="I4699" s="1" t="s">
        <v>2274</v>
      </c>
      <c r="J4699" s="1">
        <v>2.6</v>
      </c>
      <c r="K4699" s="1">
        <v>20.8</v>
      </c>
      <c r="L4699" s="42">
        <v>10</v>
      </c>
      <c r="M4699" s="43">
        <v>46197</v>
      </c>
      <c r="N4699" s="1" t="s">
        <v>2069</v>
      </c>
    </row>
    <row r="4700" spans="1:14" ht="20.25" x14ac:dyDescent="0.25">
      <c r="A4700" s="1">
        <v>50</v>
      </c>
      <c r="B4700" s="159"/>
      <c r="C4700" s="1" t="s">
        <v>3971</v>
      </c>
      <c r="D4700" s="1"/>
      <c r="E4700" s="1" t="s">
        <v>3975</v>
      </c>
      <c r="F4700" s="1" t="s">
        <v>3976</v>
      </c>
      <c r="G4700" s="1">
        <v>8</v>
      </c>
      <c r="H4700" s="1" t="s">
        <v>19</v>
      </c>
      <c r="I4700" s="1" t="s">
        <v>2276</v>
      </c>
      <c r="J4700" s="1">
        <v>2.6</v>
      </c>
      <c r="K4700" s="1">
        <v>20.8</v>
      </c>
      <c r="L4700" s="42">
        <v>10</v>
      </c>
      <c r="M4700" s="43">
        <v>46197</v>
      </c>
      <c r="N4700" s="1" t="s">
        <v>2069</v>
      </c>
    </row>
    <row r="4701" spans="1:14" ht="20.25" x14ac:dyDescent="0.25">
      <c r="A4701" s="1">
        <v>51</v>
      </c>
      <c r="B4701" s="159"/>
      <c r="C4701" s="1" t="s">
        <v>3979</v>
      </c>
      <c r="D4701" s="1"/>
      <c r="E4701" s="1" t="s">
        <v>3980</v>
      </c>
      <c r="F4701" s="1" t="s">
        <v>3982</v>
      </c>
      <c r="G4701" s="1">
        <v>4</v>
      </c>
      <c r="H4701" s="1" t="s">
        <v>19</v>
      </c>
      <c r="I4701" s="1" t="s">
        <v>2274</v>
      </c>
      <c r="J4701" s="1">
        <v>2.6</v>
      </c>
      <c r="K4701" s="1">
        <v>10.4</v>
      </c>
      <c r="L4701" s="42">
        <v>10</v>
      </c>
      <c r="M4701" s="43">
        <v>46197</v>
      </c>
      <c r="N4701" s="1" t="s">
        <v>2069</v>
      </c>
    </row>
    <row r="4702" spans="1:14" ht="20.25" x14ac:dyDescent="0.25">
      <c r="A4702" s="1">
        <v>52</v>
      </c>
      <c r="B4702" s="159"/>
      <c r="C4702" s="1" t="s">
        <v>3979</v>
      </c>
      <c r="D4702" s="1"/>
      <c r="E4702" s="1" t="s">
        <v>3980</v>
      </c>
      <c r="F4702" s="1" t="s">
        <v>3982</v>
      </c>
      <c r="G4702" s="1">
        <v>4</v>
      </c>
      <c r="H4702" s="1" t="s">
        <v>19</v>
      </c>
      <c r="I4702" s="1" t="s">
        <v>2276</v>
      </c>
      <c r="J4702" s="1">
        <v>2.6</v>
      </c>
      <c r="K4702" s="1">
        <v>10.4</v>
      </c>
      <c r="L4702" s="42">
        <v>10</v>
      </c>
      <c r="M4702" s="43">
        <v>46197</v>
      </c>
      <c r="N4702" s="1" t="s">
        <v>2069</v>
      </c>
    </row>
    <row r="4703" spans="1:14" ht="20.25" x14ac:dyDescent="0.25">
      <c r="A4703" s="1">
        <v>53</v>
      </c>
      <c r="B4703" s="159"/>
      <c r="C4703" s="1" t="s">
        <v>3904</v>
      </c>
      <c r="D4703" s="1"/>
      <c r="E4703" s="1" t="s">
        <v>3905</v>
      </c>
      <c r="F4703" s="1" t="s">
        <v>3906</v>
      </c>
      <c r="G4703" s="1">
        <v>1</v>
      </c>
      <c r="H4703" s="1" t="s">
        <v>19</v>
      </c>
      <c r="I4703" s="1" t="s">
        <v>2274</v>
      </c>
      <c r="J4703" s="1">
        <v>282</v>
      </c>
      <c r="K4703" s="1">
        <v>282</v>
      </c>
      <c r="L4703" s="42">
        <v>10</v>
      </c>
      <c r="M4703" s="43">
        <v>46197</v>
      </c>
      <c r="N4703" s="1" t="s">
        <v>2069</v>
      </c>
    </row>
    <row r="4704" spans="1:14" ht="20.25" x14ac:dyDescent="0.25">
      <c r="A4704" s="1">
        <v>54</v>
      </c>
      <c r="B4704" s="159"/>
      <c r="C4704" s="1" t="s">
        <v>3904</v>
      </c>
      <c r="D4704" s="1"/>
      <c r="E4704" s="1" t="s">
        <v>3905</v>
      </c>
      <c r="F4704" s="1" t="s">
        <v>3906</v>
      </c>
      <c r="G4704" s="1">
        <v>1</v>
      </c>
      <c r="H4704" s="1" t="s">
        <v>19</v>
      </c>
      <c r="I4704" s="1" t="s">
        <v>2276</v>
      </c>
      <c r="J4704" s="1">
        <v>282</v>
      </c>
      <c r="K4704" s="1">
        <v>282</v>
      </c>
      <c r="L4704" s="42">
        <v>10</v>
      </c>
      <c r="M4704" s="43">
        <v>46197</v>
      </c>
      <c r="N4704" s="1" t="s">
        <v>2069</v>
      </c>
    </row>
    <row r="4705" spans="1:14" ht="20.25" x14ac:dyDescent="0.25">
      <c r="A4705" s="1">
        <v>1</v>
      </c>
      <c r="B4705" s="159"/>
      <c r="C4705" s="1" t="s">
        <v>3812</v>
      </c>
      <c r="D4705" s="1"/>
      <c r="E4705" s="1" t="s">
        <v>3815</v>
      </c>
      <c r="F4705" s="1" t="s">
        <v>3816</v>
      </c>
      <c r="G4705" s="1">
        <v>4</v>
      </c>
      <c r="H4705" s="1" t="s">
        <v>19</v>
      </c>
      <c r="I4705" s="1" t="s">
        <v>3790</v>
      </c>
      <c r="J4705" s="1">
        <v>81.900000000000006</v>
      </c>
      <c r="K4705" s="1">
        <v>327.60000000000002</v>
      </c>
      <c r="L4705" s="42">
        <v>11</v>
      </c>
      <c r="M4705" s="43">
        <v>46198</v>
      </c>
      <c r="N4705" s="1" t="s">
        <v>2069</v>
      </c>
    </row>
    <row r="4706" spans="1:14" ht="20.25" x14ac:dyDescent="0.25">
      <c r="A4706" s="1">
        <v>2</v>
      </c>
      <c r="B4706" s="159"/>
      <c r="C4706" s="1" t="s">
        <v>3812</v>
      </c>
      <c r="D4706" s="1"/>
      <c r="E4706" s="1" t="s">
        <v>3817</v>
      </c>
      <c r="F4706" s="1" t="s">
        <v>3818</v>
      </c>
      <c r="G4706" s="1">
        <v>4</v>
      </c>
      <c r="H4706" s="1" t="s">
        <v>19</v>
      </c>
      <c r="I4706" s="1" t="s">
        <v>3790</v>
      </c>
      <c r="J4706" s="1">
        <v>46.5</v>
      </c>
      <c r="K4706" s="1">
        <v>186</v>
      </c>
      <c r="L4706" s="42">
        <v>11</v>
      </c>
      <c r="M4706" s="43">
        <v>46198</v>
      </c>
      <c r="N4706" s="1" t="s">
        <v>2069</v>
      </c>
    </row>
    <row r="4707" spans="1:14" ht="20.25" x14ac:dyDescent="0.25">
      <c r="A4707" s="1">
        <v>3</v>
      </c>
      <c r="B4707" s="159"/>
      <c r="C4707" s="1" t="s">
        <v>3821</v>
      </c>
      <c r="D4707" s="1"/>
      <c r="E4707" s="1" t="s">
        <v>3822</v>
      </c>
      <c r="F4707" s="1" t="s">
        <v>3804</v>
      </c>
      <c r="G4707" s="1">
        <v>2</v>
      </c>
      <c r="H4707" s="1" t="s">
        <v>19</v>
      </c>
      <c r="I4707" s="1" t="s">
        <v>3790</v>
      </c>
      <c r="J4707" s="1">
        <v>159.30000000000001</v>
      </c>
      <c r="K4707" s="1">
        <v>318.60000000000002</v>
      </c>
      <c r="L4707" s="42">
        <v>11</v>
      </c>
      <c r="M4707" s="43">
        <v>46198</v>
      </c>
      <c r="N4707" s="1" t="s">
        <v>2069</v>
      </c>
    </row>
    <row r="4708" spans="1:14" ht="20.25" x14ac:dyDescent="0.25">
      <c r="A4708" s="1">
        <v>4</v>
      </c>
      <c r="B4708" s="159"/>
      <c r="C4708" s="1" t="s">
        <v>3821</v>
      </c>
      <c r="D4708" s="1"/>
      <c r="E4708" s="1" t="s">
        <v>3823</v>
      </c>
      <c r="F4708" s="1" t="s">
        <v>3806</v>
      </c>
      <c r="G4708" s="1">
        <v>2</v>
      </c>
      <c r="H4708" s="1" t="s">
        <v>19</v>
      </c>
      <c r="I4708" s="1" t="s">
        <v>3790</v>
      </c>
      <c r="J4708" s="1">
        <v>159.30000000000001</v>
      </c>
      <c r="K4708" s="1">
        <v>318.60000000000002</v>
      </c>
      <c r="L4708" s="42">
        <v>11</v>
      </c>
      <c r="M4708" s="43">
        <v>46198</v>
      </c>
      <c r="N4708" s="1" t="s">
        <v>2069</v>
      </c>
    </row>
    <row r="4709" spans="1:14" ht="20.25" x14ac:dyDescent="0.25">
      <c r="A4709" s="1">
        <v>5</v>
      </c>
      <c r="B4709" s="159"/>
      <c r="C4709" s="1" t="s">
        <v>3828</v>
      </c>
      <c r="D4709" s="1"/>
      <c r="E4709" s="1" t="s">
        <v>3830</v>
      </c>
      <c r="F4709" s="1" t="s">
        <v>3816</v>
      </c>
      <c r="G4709" s="1">
        <v>4</v>
      </c>
      <c r="H4709" s="1" t="s">
        <v>19</v>
      </c>
      <c r="I4709" s="1" t="s">
        <v>3790</v>
      </c>
      <c r="J4709" s="1">
        <v>85</v>
      </c>
      <c r="K4709" s="1">
        <v>340</v>
      </c>
      <c r="L4709" s="42">
        <v>11</v>
      </c>
      <c r="M4709" s="43">
        <v>46198</v>
      </c>
      <c r="N4709" s="1" t="s">
        <v>2069</v>
      </c>
    </row>
    <row r="4710" spans="1:14" ht="20.25" x14ac:dyDescent="0.25">
      <c r="A4710" s="1">
        <v>6</v>
      </c>
      <c r="B4710" s="159"/>
      <c r="C4710" s="1" t="s">
        <v>3837</v>
      </c>
      <c r="D4710" s="1"/>
      <c r="E4710" s="1" t="s">
        <v>3839</v>
      </c>
      <c r="F4710" s="1" t="s">
        <v>3816</v>
      </c>
      <c r="G4710" s="1">
        <v>4</v>
      </c>
      <c r="H4710" s="1" t="s">
        <v>19</v>
      </c>
      <c r="I4710" s="1" t="s">
        <v>3790</v>
      </c>
      <c r="J4710" s="1">
        <v>31.4</v>
      </c>
      <c r="K4710" s="1">
        <v>125.6</v>
      </c>
      <c r="L4710" s="42">
        <v>11</v>
      </c>
      <c r="M4710" s="43">
        <v>46198</v>
      </c>
      <c r="N4710" s="1" t="s">
        <v>2069</v>
      </c>
    </row>
    <row r="4711" spans="1:14" ht="20.25" x14ac:dyDescent="0.25">
      <c r="A4711" s="1">
        <v>7</v>
      </c>
      <c r="B4711" s="159"/>
      <c r="C4711" s="1" t="s">
        <v>3858</v>
      </c>
      <c r="D4711" s="1"/>
      <c r="E4711" s="1" t="s">
        <v>3860</v>
      </c>
      <c r="F4711" s="1" t="s">
        <v>3806</v>
      </c>
      <c r="G4711" s="1">
        <v>2</v>
      </c>
      <c r="H4711" s="1" t="s">
        <v>19</v>
      </c>
      <c r="I4711" s="1" t="s">
        <v>3790</v>
      </c>
      <c r="J4711" s="1">
        <v>152.19999999999999</v>
      </c>
      <c r="K4711" s="1">
        <v>304.39999999999998</v>
      </c>
      <c r="L4711" s="42">
        <v>11</v>
      </c>
      <c r="M4711" s="43">
        <v>46198</v>
      </c>
      <c r="N4711" s="1" t="s">
        <v>2069</v>
      </c>
    </row>
    <row r="4712" spans="1:14" ht="20.25" x14ac:dyDescent="0.25">
      <c r="A4712" s="1">
        <v>8</v>
      </c>
      <c r="B4712" s="159"/>
      <c r="C4712" s="1" t="s">
        <v>3971</v>
      </c>
      <c r="D4712" s="1"/>
      <c r="E4712" s="1" t="s">
        <v>3972</v>
      </c>
      <c r="F4712" s="1" t="s">
        <v>3973</v>
      </c>
      <c r="G4712" s="1">
        <v>1</v>
      </c>
      <c r="H4712" s="1" t="s">
        <v>19</v>
      </c>
      <c r="I4712" s="1" t="s">
        <v>2276</v>
      </c>
      <c r="J4712" s="1">
        <v>704.9</v>
      </c>
      <c r="K4712" s="1">
        <v>704.9</v>
      </c>
      <c r="L4712" s="42">
        <v>11</v>
      </c>
      <c r="M4712" s="43">
        <v>46198</v>
      </c>
      <c r="N4712" s="1" t="s">
        <v>2069</v>
      </c>
    </row>
    <row r="4713" spans="1:14" ht="20.25" x14ac:dyDescent="0.25">
      <c r="A4713" s="1">
        <v>9</v>
      </c>
      <c r="B4713" s="159"/>
      <c r="C4713" s="1" t="s">
        <v>3773</v>
      </c>
      <c r="D4713" s="1"/>
      <c r="E4713" s="1" t="s">
        <v>4002</v>
      </c>
      <c r="F4713" s="1" t="s">
        <v>4003</v>
      </c>
      <c r="G4713" s="1">
        <v>1</v>
      </c>
      <c r="H4713" s="1" t="s">
        <v>19</v>
      </c>
      <c r="I4713" s="1" t="s">
        <v>2274</v>
      </c>
      <c r="J4713" s="1">
        <v>151.80000000000001</v>
      </c>
      <c r="K4713" s="1">
        <v>151.80000000000001</v>
      </c>
      <c r="L4713" s="42">
        <v>11</v>
      </c>
      <c r="M4713" s="43">
        <v>46198</v>
      </c>
      <c r="N4713" s="1" t="s">
        <v>2069</v>
      </c>
    </row>
    <row r="4714" spans="1:14" ht="20.25" x14ac:dyDescent="0.25">
      <c r="A4714" s="1">
        <v>10</v>
      </c>
      <c r="B4714" s="159"/>
      <c r="C4714" s="1" t="s">
        <v>3773</v>
      </c>
      <c r="D4714" s="1"/>
      <c r="E4714" s="1" t="s">
        <v>4002</v>
      </c>
      <c r="F4714" s="1" t="s">
        <v>4003</v>
      </c>
      <c r="G4714" s="1">
        <v>1</v>
      </c>
      <c r="H4714" s="1" t="s">
        <v>19</v>
      </c>
      <c r="I4714" s="1" t="s">
        <v>2276</v>
      </c>
      <c r="J4714" s="1">
        <v>151.80000000000001</v>
      </c>
      <c r="K4714" s="1">
        <v>151.80000000000001</v>
      </c>
      <c r="L4714" s="42">
        <v>11</v>
      </c>
      <c r="M4714" s="43">
        <v>46198</v>
      </c>
      <c r="N4714" s="1" t="s">
        <v>2069</v>
      </c>
    </row>
    <row r="4715" spans="1:14" ht="20.25" x14ac:dyDescent="0.25">
      <c r="A4715" s="1">
        <v>1</v>
      </c>
      <c r="B4715" s="159">
        <v>3720</v>
      </c>
      <c r="C4715" s="1" t="s">
        <v>226</v>
      </c>
      <c r="D4715" s="1" t="s">
        <v>4447</v>
      </c>
      <c r="E4715" s="1" t="s">
        <v>2</v>
      </c>
      <c r="F4715" s="1" t="s">
        <v>3010</v>
      </c>
      <c r="G4715" s="1">
        <v>10</v>
      </c>
      <c r="H4715" s="1" t="s">
        <v>19</v>
      </c>
      <c r="I4715" s="1" t="s">
        <v>4448</v>
      </c>
      <c r="J4715" s="42">
        <v>97.6</v>
      </c>
      <c r="K4715" s="43">
        <f>G4715*J4715</f>
        <v>976</v>
      </c>
      <c r="L4715" s="1">
        <v>1</v>
      </c>
      <c r="M4715" s="185">
        <v>46209</v>
      </c>
      <c r="N4715" s="1" t="str">
        <f>VLOOKUP(B4715,MICRO!E:L,8,0)</f>
        <v>P-200</v>
      </c>
    </row>
    <row r="4716" spans="1:14" ht="20.25" x14ac:dyDescent="0.25">
      <c r="A4716" s="1">
        <v>1</v>
      </c>
      <c r="B4716" s="159">
        <v>3419</v>
      </c>
      <c r="C4716" s="1" t="s">
        <v>2546</v>
      </c>
      <c r="D4716" s="1"/>
      <c r="E4716" s="1"/>
      <c r="F4716" s="1" t="s">
        <v>2547</v>
      </c>
      <c r="G4716" s="1">
        <v>2</v>
      </c>
      <c r="H4716" s="1" t="s">
        <v>19</v>
      </c>
      <c r="I4716" s="1" t="s">
        <v>3737</v>
      </c>
      <c r="J4716" s="1">
        <v>32.4</v>
      </c>
      <c r="K4716" s="1">
        <f>G4716*J4716</f>
        <v>64.8</v>
      </c>
      <c r="L4716" s="42">
        <v>4</v>
      </c>
      <c r="M4716" s="43">
        <v>46218</v>
      </c>
      <c r="N4716" s="1" t="s">
        <v>2551</v>
      </c>
    </row>
    <row r="4717" spans="1:14" ht="20.25" x14ac:dyDescent="0.25">
      <c r="A4717" s="1">
        <v>2</v>
      </c>
      <c r="B4717" s="159">
        <v>3420</v>
      </c>
      <c r="C4717" s="1" t="s">
        <v>2546</v>
      </c>
      <c r="D4717" s="1"/>
      <c r="E4717" s="1"/>
      <c r="F4717" s="1" t="s">
        <v>2548</v>
      </c>
      <c r="G4717" s="1">
        <v>1</v>
      </c>
      <c r="H4717" s="1" t="s">
        <v>19</v>
      </c>
      <c r="I4717" s="1" t="s">
        <v>3737</v>
      </c>
      <c r="J4717" s="1">
        <v>13.1</v>
      </c>
      <c r="K4717" s="1">
        <f t="shared" ref="K4717:K4780" si="3">G4717*J4717</f>
        <v>13.1</v>
      </c>
      <c r="L4717" s="42">
        <v>4</v>
      </c>
      <c r="M4717" s="43">
        <v>46218</v>
      </c>
      <c r="N4717" s="1" t="s">
        <v>2551</v>
      </c>
    </row>
    <row r="4718" spans="1:14" ht="20.25" x14ac:dyDescent="0.25">
      <c r="A4718" s="1">
        <v>3</v>
      </c>
      <c r="B4718" s="159">
        <v>3421</v>
      </c>
      <c r="C4718" s="1" t="s">
        <v>2546</v>
      </c>
      <c r="D4718" s="1"/>
      <c r="E4718" s="1"/>
      <c r="F4718" s="1" t="s">
        <v>2549</v>
      </c>
      <c r="G4718" s="1">
        <v>1</v>
      </c>
      <c r="H4718" s="1" t="s">
        <v>19</v>
      </c>
      <c r="I4718" s="1" t="s">
        <v>3737</v>
      </c>
      <c r="J4718" s="1">
        <v>6.2</v>
      </c>
      <c r="K4718" s="1">
        <f t="shared" si="3"/>
        <v>6.2</v>
      </c>
      <c r="L4718" s="42">
        <v>4</v>
      </c>
      <c r="M4718" s="43">
        <v>46218</v>
      </c>
      <c r="N4718" s="1" t="s">
        <v>2551</v>
      </c>
    </row>
    <row r="4719" spans="1:14" ht="20.25" x14ac:dyDescent="0.25">
      <c r="A4719" s="1">
        <v>4</v>
      </c>
      <c r="B4719" s="159">
        <v>3422</v>
      </c>
      <c r="C4719" s="1" t="s">
        <v>4330</v>
      </c>
      <c r="D4719" s="1"/>
      <c r="E4719" s="1"/>
      <c r="F4719" s="1" t="s">
        <v>4331</v>
      </c>
      <c r="G4719" s="1">
        <v>2</v>
      </c>
      <c r="H4719" s="1" t="s">
        <v>19</v>
      </c>
      <c r="I4719" s="1" t="s">
        <v>3737</v>
      </c>
      <c r="J4719" s="1">
        <v>17.5</v>
      </c>
      <c r="K4719" s="1">
        <f t="shared" si="3"/>
        <v>35</v>
      </c>
      <c r="L4719" s="42">
        <v>4</v>
      </c>
      <c r="M4719" s="43">
        <v>46218</v>
      </c>
      <c r="N4719" s="1" t="s">
        <v>2551</v>
      </c>
    </row>
    <row r="4720" spans="1:14" ht="20.25" x14ac:dyDescent="0.25">
      <c r="A4720" s="1">
        <v>5</v>
      </c>
      <c r="B4720" s="159">
        <v>3426</v>
      </c>
      <c r="C4720" s="1" t="s">
        <v>2553</v>
      </c>
      <c r="D4720" s="1"/>
      <c r="E4720" s="1" t="s">
        <v>2</v>
      </c>
      <c r="F4720" s="1" t="s">
        <v>4334</v>
      </c>
      <c r="G4720" s="1">
        <v>1</v>
      </c>
      <c r="H4720" s="1" t="s">
        <v>19</v>
      </c>
      <c r="I4720" s="1" t="s">
        <v>3737</v>
      </c>
      <c r="J4720" s="1">
        <v>4.5999999999999996</v>
      </c>
      <c r="K4720" s="1">
        <f t="shared" si="3"/>
        <v>4.5999999999999996</v>
      </c>
      <c r="L4720" s="42">
        <v>4</v>
      </c>
      <c r="M4720" s="43">
        <v>46218</v>
      </c>
      <c r="N4720" s="1" t="s">
        <v>2551</v>
      </c>
    </row>
    <row r="4721" spans="1:14" ht="20.25" x14ac:dyDescent="0.25">
      <c r="A4721" s="1">
        <v>6</v>
      </c>
      <c r="B4721" s="159">
        <v>3427</v>
      </c>
      <c r="C4721" s="1" t="s">
        <v>2553</v>
      </c>
      <c r="D4721" s="1"/>
      <c r="E4721" s="1" t="s">
        <v>43</v>
      </c>
      <c r="F4721" s="1" t="s">
        <v>4335</v>
      </c>
      <c r="G4721" s="1">
        <v>1</v>
      </c>
      <c r="H4721" s="1" t="s">
        <v>19</v>
      </c>
      <c r="I4721" s="1" t="s">
        <v>3737</v>
      </c>
      <c r="J4721" s="1">
        <v>50.8</v>
      </c>
      <c r="K4721" s="1">
        <f t="shared" si="3"/>
        <v>50.8</v>
      </c>
      <c r="L4721" s="42">
        <v>4</v>
      </c>
      <c r="M4721" s="43">
        <v>46218</v>
      </c>
      <c r="N4721" s="1" t="s">
        <v>2551</v>
      </c>
    </row>
    <row r="4722" spans="1:14" ht="20.25" x14ac:dyDescent="0.25">
      <c r="A4722" s="1">
        <v>7</v>
      </c>
      <c r="B4722" s="159">
        <v>3428</v>
      </c>
      <c r="C4722" s="1" t="s">
        <v>2553</v>
      </c>
      <c r="D4722" s="1"/>
      <c r="E4722" s="1" t="s">
        <v>746</v>
      </c>
      <c r="F4722" s="1" t="s">
        <v>4336</v>
      </c>
      <c r="G4722" s="1">
        <v>1</v>
      </c>
      <c r="H4722" s="1" t="s">
        <v>19</v>
      </c>
      <c r="I4722" s="1" t="s">
        <v>3737</v>
      </c>
      <c r="J4722" s="1">
        <v>1.1000000000000001</v>
      </c>
      <c r="K4722" s="1">
        <f t="shared" si="3"/>
        <v>1.1000000000000001</v>
      </c>
      <c r="L4722" s="42">
        <v>4</v>
      </c>
      <c r="M4722" s="43">
        <v>46218</v>
      </c>
      <c r="N4722" s="1" t="s">
        <v>2551</v>
      </c>
    </row>
    <row r="4723" spans="1:14" ht="20.25" x14ac:dyDescent="0.25">
      <c r="A4723" s="1">
        <v>8</v>
      </c>
      <c r="B4723" s="159">
        <v>3429</v>
      </c>
      <c r="C4723" s="1" t="s">
        <v>2553</v>
      </c>
      <c r="D4723" s="1"/>
      <c r="E4723" s="1" t="s">
        <v>1101</v>
      </c>
      <c r="F4723" s="1" t="s">
        <v>4337</v>
      </c>
      <c r="G4723" s="1">
        <v>1</v>
      </c>
      <c r="H4723" s="1" t="s">
        <v>19</v>
      </c>
      <c r="I4723" s="1" t="s">
        <v>3737</v>
      </c>
      <c r="J4723" s="1">
        <v>23.6</v>
      </c>
      <c r="K4723" s="1">
        <f t="shared" si="3"/>
        <v>23.6</v>
      </c>
      <c r="L4723" s="42">
        <v>4</v>
      </c>
      <c r="M4723" s="43">
        <v>46218</v>
      </c>
      <c r="N4723" s="1" t="s">
        <v>2551</v>
      </c>
    </row>
    <row r="4724" spans="1:14" ht="20.25" x14ac:dyDescent="0.25">
      <c r="A4724" s="1">
        <v>9</v>
      </c>
      <c r="B4724" s="159">
        <v>3430</v>
      </c>
      <c r="C4724" s="1" t="s">
        <v>2553</v>
      </c>
      <c r="D4724" s="1"/>
      <c r="E4724" s="1" t="s">
        <v>100</v>
      </c>
      <c r="F4724" s="1" t="s">
        <v>4338</v>
      </c>
      <c r="G4724" s="1">
        <v>1</v>
      </c>
      <c r="H4724" s="1" t="s">
        <v>19</v>
      </c>
      <c r="I4724" s="1" t="s">
        <v>3737</v>
      </c>
      <c r="J4724" s="1">
        <v>1.1000000000000001</v>
      </c>
      <c r="K4724" s="1">
        <f t="shared" si="3"/>
        <v>1.1000000000000001</v>
      </c>
      <c r="L4724" s="42">
        <v>4</v>
      </c>
      <c r="M4724" s="43">
        <v>46218</v>
      </c>
      <c r="N4724" s="1" t="s">
        <v>2551</v>
      </c>
    </row>
    <row r="4725" spans="1:14" ht="20.25" x14ac:dyDescent="0.25">
      <c r="A4725" s="1">
        <v>10</v>
      </c>
      <c r="B4725" s="159">
        <v>3435</v>
      </c>
      <c r="C4725" s="1" t="s">
        <v>4451</v>
      </c>
      <c r="D4725" s="1"/>
      <c r="E4725" s="1"/>
      <c r="F4725" s="1" t="s">
        <v>4452</v>
      </c>
      <c r="G4725" s="1">
        <v>1</v>
      </c>
      <c r="H4725" s="1" t="s">
        <v>19</v>
      </c>
      <c r="I4725" s="1" t="s">
        <v>3737</v>
      </c>
      <c r="J4725" s="1">
        <v>871.8</v>
      </c>
      <c r="K4725" s="1">
        <f t="shared" si="3"/>
        <v>871.8</v>
      </c>
      <c r="L4725" s="42">
        <v>4</v>
      </c>
      <c r="M4725" s="43">
        <v>46218</v>
      </c>
      <c r="N4725" s="1" t="s">
        <v>2551</v>
      </c>
    </row>
    <row r="4726" spans="1:14" ht="20.25" x14ac:dyDescent="0.25">
      <c r="A4726" s="1">
        <v>11</v>
      </c>
      <c r="B4726" s="159">
        <v>3437</v>
      </c>
      <c r="C4726" s="1" t="s">
        <v>4453</v>
      </c>
      <c r="D4726" s="1"/>
      <c r="E4726" s="1"/>
      <c r="F4726" s="1" t="s">
        <v>4454</v>
      </c>
      <c r="G4726" s="1">
        <v>2</v>
      </c>
      <c r="H4726" s="1" t="s">
        <v>19</v>
      </c>
      <c r="I4726" s="1" t="s">
        <v>3737</v>
      </c>
      <c r="J4726" s="1">
        <v>66.3</v>
      </c>
      <c r="K4726" s="1">
        <f t="shared" si="3"/>
        <v>132.6</v>
      </c>
      <c r="L4726" s="42">
        <v>4</v>
      </c>
      <c r="M4726" s="43">
        <v>46218</v>
      </c>
      <c r="N4726" s="1" t="s">
        <v>2551</v>
      </c>
    </row>
    <row r="4727" spans="1:14" ht="20.25" x14ac:dyDescent="0.25">
      <c r="A4727" s="1">
        <v>12</v>
      </c>
      <c r="B4727" s="159">
        <v>3438</v>
      </c>
      <c r="C4727" s="1" t="s">
        <v>4455</v>
      </c>
      <c r="D4727" s="1"/>
      <c r="E4727" s="1"/>
      <c r="F4727" s="1" t="s">
        <v>4456</v>
      </c>
      <c r="G4727" s="1">
        <v>2</v>
      </c>
      <c r="H4727" s="1" t="s">
        <v>19</v>
      </c>
      <c r="I4727" s="1" t="s">
        <v>3737</v>
      </c>
      <c r="J4727" s="1">
        <v>63.7</v>
      </c>
      <c r="K4727" s="1">
        <f t="shared" si="3"/>
        <v>127.4</v>
      </c>
      <c r="L4727" s="42">
        <v>4</v>
      </c>
      <c r="M4727" s="43">
        <v>46218</v>
      </c>
      <c r="N4727" s="1" t="s">
        <v>2551</v>
      </c>
    </row>
    <row r="4728" spans="1:14" ht="20.25" x14ac:dyDescent="0.25">
      <c r="A4728" s="1">
        <v>13</v>
      </c>
      <c r="B4728" s="159">
        <v>3439</v>
      </c>
      <c r="C4728" s="1" t="s">
        <v>4345</v>
      </c>
      <c r="D4728" s="1"/>
      <c r="E4728" s="1" t="s">
        <v>2</v>
      </c>
      <c r="F4728" s="1" t="s">
        <v>4346</v>
      </c>
      <c r="G4728" s="1">
        <v>1</v>
      </c>
      <c r="H4728" s="1" t="s">
        <v>19</v>
      </c>
      <c r="I4728" s="1" t="s">
        <v>3737</v>
      </c>
      <c r="J4728" s="1">
        <v>0.5</v>
      </c>
      <c r="K4728" s="1">
        <f t="shared" si="3"/>
        <v>0.5</v>
      </c>
      <c r="L4728" s="42">
        <v>4</v>
      </c>
      <c r="M4728" s="43">
        <v>46218</v>
      </c>
      <c r="N4728" s="1" t="s">
        <v>2551</v>
      </c>
    </row>
    <row r="4729" spans="1:14" ht="20.25" x14ac:dyDescent="0.25">
      <c r="A4729" s="1">
        <v>14</v>
      </c>
      <c r="B4729" s="159">
        <v>3440</v>
      </c>
      <c r="C4729" s="1" t="s">
        <v>4347</v>
      </c>
      <c r="D4729" s="1"/>
      <c r="E4729" s="1" t="s">
        <v>2</v>
      </c>
      <c r="F4729" s="1" t="s">
        <v>4348</v>
      </c>
      <c r="G4729" s="1">
        <v>1</v>
      </c>
      <c r="H4729" s="1" t="s">
        <v>19</v>
      </c>
      <c r="I4729" s="1" t="s">
        <v>3737</v>
      </c>
      <c r="J4729" s="1">
        <v>5</v>
      </c>
      <c r="K4729" s="1">
        <f t="shared" si="3"/>
        <v>5</v>
      </c>
      <c r="L4729" s="42">
        <v>4</v>
      </c>
      <c r="M4729" s="43">
        <v>46218</v>
      </c>
      <c r="N4729" s="1" t="s">
        <v>2551</v>
      </c>
    </row>
    <row r="4730" spans="1:14" ht="20.25" x14ac:dyDescent="0.25">
      <c r="A4730" s="1">
        <v>15</v>
      </c>
      <c r="B4730" s="159">
        <v>3441</v>
      </c>
      <c r="C4730" s="1" t="s">
        <v>4347</v>
      </c>
      <c r="D4730" s="1"/>
      <c r="E4730" s="1" t="s">
        <v>43</v>
      </c>
      <c r="F4730" s="1" t="s">
        <v>4349</v>
      </c>
      <c r="G4730" s="1">
        <v>1</v>
      </c>
      <c r="H4730" s="1" t="s">
        <v>19</v>
      </c>
      <c r="I4730" s="1" t="s">
        <v>3737</v>
      </c>
      <c r="J4730" s="1">
        <v>2</v>
      </c>
      <c r="K4730" s="1">
        <f t="shared" si="3"/>
        <v>2</v>
      </c>
      <c r="L4730" s="42">
        <v>4</v>
      </c>
      <c r="M4730" s="43">
        <v>46218</v>
      </c>
      <c r="N4730" s="1" t="s">
        <v>2551</v>
      </c>
    </row>
    <row r="4731" spans="1:14" ht="20.25" x14ac:dyDescent="0.25">
      <c r="A4731" s="1">
        <v>16</v>
      </c>
      <c r="B4731" s="159">
        <v>3442</v>
      </c>
      <c r="C4731" s="1" t="s">
        <v>4347</v>
      </c>
      <c r="D4731" s="1"/>
      <c r="E4731" s="1" t="s">
        <v>746</v>
      </c>
      <c r="F4731" s="1" t="s">
        <v>4350</v>
      </c>
      <c r="G4731" s="1">
        <v>1</v>
      </c>
      <c r="H4731" s="1" t="s">
        <v>19</v>
      </c>
      <c r="I4731" s="1" t="s">
        <v>3737</v>
      </c>
      <c r="J4731" s="1">
        <v>5.0999999999999996</v>
      </c>
      <c r="K4731" s="1">
        <f t="shared" si="3"/>
        <v>5.0999999999999996</v>
      </c>
      <c r="L4731" s="42">
        <v>4</v>
      </c>
      <c r="M4731" s="43">
        <v>46218</v>
      </c>
      <c r="N4731" s="1" t="s">
        <v>2551</v>
      </c>
    </row>
    <row r="4732" spans="1:14" ht="20.25" x14ac:dyDescent="0.25">
      <c r="A4732" s="1">
        <v>17</v>
      </c>
      <c r="B4732" s="159">
        <v>3443</v>
      </c>
      <c r="C4732" s="1" t="s">
        <v>4351</v>
      </c>
      <c r="D4732" s="1"/>
      <c r="E4732" s="1" t="s">
        <v>2</v>
      </c>
      <c r="F4732" s="1" t="s">
        <v>4352</v>
      </c>
      <c r="G4732" s="1">
        <v>1</v>
      </c>
      <c r="H4732" s="1" t="s">
        <v>19</v>
      </c>
      <c r="I4732" s="1" t="s">
        <v>3737</v>
      </c>
      <c r="J4732" s="1">
        <v>628.70000000000005</v>
      </c>
      <c r="K4732" s="1">
        <f t="shared" si="3"/>
        <v>628.70000000000005</v>
      </c>
      <c r="L4732" s="42">
        <v>4</v>
      </c>
      <c r="M4732" s="43">
        <v>46218</v>
      </c>
      <c r="N4732" s="1" t="s">
        <v>2551</v>
      </c>
    </row>
    <row r="4733" spans="1:14" ht="20.25" x14ac:dyDescent="0.25">
      <c r="A4733" s="1">
        <v>18</v>
      </c>
      <c r="B4733" s="159">
        <v>3444</v>
      </c>
      <c r="C4733" s="1" t="s">
        <v>4351</v>
      </c>
      <c r="D4733" s="1"/>
      <c r="E4733" s="1" t="s">
        <v>43</v>
      </c>
      <c r="F4733" s="1" t="s">
        <v>4353</v>
      </c>
      <c r="G4733" s="1">
        <v>1</v>
      </c>
      <c r="H4733" s="1" t="s">
        <v>19</v>
      </c>
      <c r="I4733" s="1" t="s">
        <v>3737</v>
      </c>
      <c r="J4733" s="1">
        <v>11.1</v>
      </c>
      <c r="K4733" s="1">
        <f t="shared" si="3"/>
        <v>11.1</v>
      </c>
      <c r="L4733" s="42">
        <v>4</v>
      </c>
      <c r="M4733" s="43">
        <v>46218</v>
      </c>
      <c r="N4733" s="1" t="s">
        <v>2551</v>
      </c>
    </row>
    <row r="4734" spans="1:14" ht="20.25" x14ac:dyDescent="0.25">
      <c r="A4734" s="1">
        <v>19</v>
      </c>
      <c r="B4734" s="159">
        <v>3464</v>
      </c>
      <c r="C4734" s="1" t="s">
        <v>4373</v>
      </c>
      <c r="D4734" s="1"/>
      <c r="E4734" s="1"/>
      <c r="F4734" s="1" t="s">
        <v>4374</v>
      </c>
      <c r="G4734" s="1">
        <v>1</v>
      </c>
      <c r="H4734" s="1" t="s">
        <v>19</v>
      </c>
      <c r="I4734" s="1" t="s">
        <v>3737</v>
      </c>
      <c r="J4734" s="1">
        <v>51.7</v>
      </c>
      <c r="K4734" s="1">
        <f t="shared" si="3"/>
        <v>51.7</v>
      </c>
      <c r="L4734" s="42">
        <v>4</v>
      </c>
      <c r="M4734" s="43">
        <v>46218</v>
      </c>
      <c r="N4734" s="1" t="s">
        <v>2551</v>
      </c>
    </row>
    <row r="4735" spans="1:14" ht="20.25" x14ac:dyDescent="0.25">
      <c r="A4735" s="1">
        <v>20</v>
      </c>
      <c r="B4735" s="159">
        <v>3465</v>
      </c>
      <c r="C4735" s="1" t="s">
        <v>4375</v>
      </c>
      <c r="D4735" s="1"/>
      <c r="E4735" s="1"/>
      <c r="F4735" s="1" t="s">
        <v>4376</v>
      </c>
      <c r="G4735" s="1">
        <v>1</v>
      </c>
      <c r="H4735" s="1" t="s">
        <v>19</v>
      </c>
      <c r="I4735" s="1" t="s">
        <v>3737</v>
      </c>
      <c r="J4735" s="1">
        <v>232.8</v>
      </c>
      <c r="K4735" s="1">
        <f t="shared" si="3"/>
        <v>232.8</v>
      </c>
      <c r="L4735" s="42">
        <v>4</v>
      </c>
      <c r="M4735" s="43">
        <v>46218</v>
      </c>
      <c r="N4735" s="1" t="s">
        <v>2551</v>
      </c>
    </row>
    <row r="4736" spans="1:14" ht="20.25" x14ac:dyDescent="0.25">
      <c r="A4736" s="1">
        <v>21</v>
      </c>
      <c r="B4736" s="159">
        <v>3469</v>
      </c>
      <c r="C4736" s="1" t="s">
        <v>4383</v>
      </c>
      <c r="D4736" s="1"/>
      <c r="E4736" s="1" t="s">
        <v>2</v>
      </c>
      <c r="F4736" s="1" t="s">
        <v>4384</v>
      </c>
      <c r="G4736" s="1">
        <v>1</v>
      </c>
      <c r="H4736" s="1" t="s">
        <v>19</v>
      </c>
      <c r="I4736" s="1" t="s">
        <v>3737</v>
      </c>
      <c r="J4736" s="1">
        <v>28.1</v>
      </c>
      <c r="K4736" s="1">
        <f t="shared" si="3"/>
        <v>28.1</v>
      </c>
      <c r="L4736" s="42">
        <v>4</v>
      </c>
      <c r="M4736" s="43">
        <v>46218</v>
      </c>
      <c r="N4736" s="1" t="s">
        <v>2551</v>
      </c>
    </row>
    <row r="4737" spans="1:14" ht="20.25" x14ac:dyDescent="0.25">
      <c r="A4737" s="1">
        <v>22</v>
      </c>
      <c r="B4737" s="159">
        <v>3469</v>
      </c>
      <c r="C4737" s="1" t="s">
        <v>4383</v>
      </c>
      <c r="D4737" s="1"/>
      <c r="E4737" s="1" t="s">
        <v>43</v>
      </c>
      <c r="F4737" s="1" t="s">
        <v>4457</v>
      </c>
      <c r="G4737" s="1">
        <v>1</v>
      </c>
      <c r="H4737" s="1" t="s">
        <v>19</v>
      </c>
      <c r="I4737" s="1" t="s">
        <v>3737</v>
      </c>
      <c r="J4737" s="1">
        <v>38.4</v>
      </c>
      <c r="K4737" s="1">
        <f t="shared" si="3"/>
        <v>38.4</v>
      </c>
      <c r="L4737" s="42">
        <v>4</v>
      </c>
      <c r="M4737" s="43">
        <v>46218</v>
      </c>
      <c r="N4737" s="1" t="s">
        <v>2551</v>
      </c>
    </row>
    <row r="4738" spans="1:14" ht="20.25" x14ac:dyDescent="0.25">
      <c r="A4738" s="1">
        <v>23</v>
      </c>
      <c r="B4738" s="159">
        <v>3470</v>
      </c>
      <c r="C4738" s="1" t="s">
        <v>4383</v>
      </c>
      <c r="D4738" s="1"/>
      <c r="E4738" s="1" t="s">
        <v>746</v>
      </c>
      <c r="F4738" s="1" t="s">
        <v>4385</v>
      </c>
      <c r="G4738" s="1">
        <v>1</v>
      </c>
      <c r="H4738" s="1" t="s">
        <v>19</v>
      </c>
      <c r="I4738" s="1" t="s">
        <v>3737</v>
      </c>
      <c r="J4738" s="1">
        <v>2.9</v>
      </c>
      <c r="K4738" s="1">
        <f t="shared" si="3"/>
        <v>2.9</v>
      </c>
      <c r="L4738" s="42">
        <v>4</v>
      </c>
      <c r="M4738" s="43">
        <v>46218</v>
      </c>
      <c r="N4738" s="1" t="s">
        <v>2551</v>
      </c>
    </row>
    <row r="4739" spans="1:14" ht="20.25" x14ac:dyDescent="0.25">
      <c r="A4739" s="1">
        <v>24</v>
      </c>
      <c r="B4739" s="159">
        <v>3471</v>
      </c>
      <c r="C4739" s="1" t="s">
        <v>4383</v>
      </c>
      <c r="D4739" s="1"/>
      <c r="E4739" s="1" t="s">
        <v>1101</v>
      </c>
      <c r="F4739" s="1" t="s">
        <v>4386</v>
      </c>
      <c r="G4739" s="1">
        <v>1</v>
      </c>
      <c r="H4739" s="1" t="s">
        <v>19</v>
      </c>
      <c r="I4739" s="1" t="s">
        <v>3737</v>
      </c>
      <c r="J4739" s="1">
        <v>3.3</v>
      </c>
      <c r="K4739" s="1">
        <f t="shared" si="3"/>
        <v>3.3</v>
      </c>
      <c r="L4739" s="42">
        <v>4</v>
      </c>
      <c r="M4739" s="43">
        <v>46218</v>
      </c>
      <c r="N4739" s="1" t="s">
        <v>2551</v>
      </c>
    </row>
    <row r="4740" spans="1:14" ht="20.25" x14ac:dyDescent="0.25">
      <c r="A4740" s="1">
        <v>25</v>
      </c>
      <c r="B4740" s="159">
        <v>3472</v>
      </c>
      <c r="C4740" s="1" t="s">
        <v>4383</v>
      </c>
      <c r="D4740" s="1"/>
      <c r="E4740" s="1" t="s">
        <v>100</v>
      </c>
      <c r="F4740" s="1" t="s">
        <v>4387</v>
      </c>
      <c r="G4740" s="1">
        <v>1</v>
      </c>
      <c r="H4740" s="1" t="s">
        <v>19</v>
      </c>
      <c r="I4740" s="1" t="s">
        <v>3737</v>
      </c>
      <c r="J4740" s="1">
        <v>0.1</v>
      </c>
      <c r="K4740" s="1">
        <f t="shared" si="3"/>
        <v>0.1</v>
      </c>
      <c r="L4740" s="42">
        <v>4</v>
      </c>
      <c r="M4740" s="43">
        <v>46218</v>
      </c>
      <c r="N4740" s="1" t="s">
        <v>2551</v>
      </c>
    </row>
    <row r="4741" spans="1:14" ht="20.25" x14ac:dyDescent="0.25">
      <c r="A4741" s="1">
        <v>26</v>
      </c>
      <c r="B4741" s="159">
        <v>3473</v>
      </c>
      <c r="C4741" s="1" t="s">
        <v>4383</v>
      </c>
      <c r="D4741" s="1"/>
      <c r="E4741" s="1" t="s">
        <v>173</v>
      </c>
      <c r="F4741" s="1" t="s">
        <v>4388</v>
      </c>
      <c r="G4741" s="1">
        <v>1</v>
      </c>
      <c r="H4741" s="1" t="s">
        <v>19</v>
      </c>
      <c r="I4741" s="1" t="s">
        <v>3737</v>
      </c>
      <c r="J4741" s="1">
        <v>0.1</v>
      </c>
      <c r="K4741" s="1">
        <f t="shared" si="3"/>
        <v>0.1</v>
      </c>
      <c r="L4741" s="42">
        <v>4</v>
      </c>
      <c r="M4741" s="43">
        <v>46218</v>
      </c>
      <c r="N4741" s="1" t="s">
        <v>2551</v>
      </c>
    </row>
    <row r="4742" spans="1:14" ht="20.25" x14ac:dyDescent="0.25">
      <c r="A4742" s="1">
        <v>27</v>
      </c>
      <c r="B4742" s="159">
        <v>3474</v>
      </c>
      <c r="C4742" s="1" t="s">
        <v>4383</v>
      </c>
      <c r="D4742" s="1"/>
      <c r="E4742" s="1" t="s">
        <v>461</v>
      </c>
      <c r="F4742" s="1" t="s">
        <v>4389</v>
      </c>
      <c r="G4742" s="1">
        <v>1</v>
      </c>
      <c r="H4742" s="1" t="s">
        <v>19</v>
      </c>
      <c r="I4742" s="1" t="s">
        <v>3737</v>
      </c>
      <c r="J4742" s="1">
        <v>0.1</v>
      </c>
      <c r="K4742" s="1">
        <f t="shared" si="3"/>
        <v>0.1</v>
      </c>
      <c r="L4742" s="42">
        <v>4</v>
      </c>
      <c r="M4742" s="43">
        <v>46218</v>
      </c>
      <c r="N4742" s="1" t="s">
        <v>2551</v>
      </c>
    </row>
    <row r="4743" spans="1:14" ht="20.25" x14ac:dyDescent="0.25">
      <c r="A4743" s="1">
        <v>28</v>
      </c>
      <c r="B4743" s="159">
        <v>3475</v>
      </c>
      <c r="C4743" s="1" t="s">
        <v>4383</v>
      </c>
      <c r="D4743" s="1"/>
      <c r="E4743" s="1" t="s">
        <v>464</v>
      </c>
      <c r="F4743" s="1" t="s">
        <v>4390</v>
      </c>
      <c r="G4743" s="1">
        <v>1</v>
      </c>
      <c r="H4743" s="1" t="s">
        <v>19</v>
      </c>
      <c r="I4743" s="1" t="s">
        <v>3737</v>
      </c>
      <c r="J4743" s="1">
        <v>0.1</v>
      </c>
      <c r="K4743" s="1">
        <f t="shared" si="3"/>
        <v>0.1</v>
      </c>
      <c r="L4743" s="42">
        <v>4</v>
      </c>
      <c r="M4743" s="43">
        <v>46218</v>
      </c>
      <c r="N4743" s="1" t="s">
        <v>2551</v>
      </c>
    </row>
    <row r="4744" spans="1:14" ht="20.25" x14ac:dyDescent="0.25">
      <c r="A4744" s="1">
        <v>29</v>
      </c>
      <c r="B4744" s="159">
        <v>3476</v>
      </c>
      <c r="C4744" s="1" t="s">
        <v>4383</v>
      </c>
      <c r="D4744" s="1"/>
      <c r="E4744" s="1" t="s">
        <v>1102</v>
      </c>
      <c r="F4744" s="1" t="s">
        <v>4391</v>
      </c>
      <c r="G4744" s="1">
        <v>1</v>
      </c>
      <c r="H4744" s="1" t="s">
        <v>19</v>
      </c>
      <c r="I4744" s="1" t="s">
        <v>3737</v>
      </c>
      <c r="J4744" s="1">
        <v>0.1</v>
      </c>
      <c r="K4744" s="1">
        <f t="shared" si="3"/>
        <v>0.1</v>
      </c>
      <c r="L4744" s="42">
        <v>4</v>
      </c>
      <c r="M4744" s="43">
        <v>46218</v>
      </c>
      <c r="N4744" s="1" t="s">
        <v>2551</v>
      </c>
    </row>
    <row r="4745" spans="1:14" ht="20.25" x14ac:dyDescent="0.25">
      <c r="A4745" s="1">
        <v>30</v>
      </c>
      <c r="B4745" s="159">
        <v>3477</v>
      </c>
      <c r="C4745" s="1" t="s">
        <v>4383</v>
      </c>
      <c r="D4745" s="1"/>
      <c r="E4745" s="1" t="s">
        <v>1103</v>
      </c>
      <c r="F4745" s="1" t="s">
        <v>4392</v>
      </c>
      <c r="G4745" s="1">
        <v>1</v>
      </c>
      <c r="H4745" s="1" t="s">
        <v>19</v>
      </c>
      <c r="I4745" s="1" t="s">
        <v>3737</v>
      </c>
      <c r="J4745" s="1">
        <v>0.1</v>
      </c>
      <c r="K4745" s="1">
        <f t="shared" si="3"/>
        <v>0.1</v>
      </c>
      <c r="L4745" s="42">
        <v>4</v>
      </c>
      <c r="M4745" s="43">
        <v>46218</v>
      </c>
      <c r="N4745" s="1" t="s">
        <v>2551</v>
      </c>
    </row>
    <row r="4746" spans="1:14" ht="20.25" x14ac:dyDescent="0.25">
      <c r="A4746" s="1">
        <v>31</v>
      </c>
      <c r="B4746" s="159">
        <v>3478</v>
      </c>
      <c r="C4746" s="1" t="s">
        <v>4383</v>
      </c>
      <c r="D4746" s="1"/>
      <c r="E4746" s="1" t="s">
        <v>1105</v>
      </c>
      <c r="F4746" s="1" t="s">
        <v>4393</v>
      </c>
      <c r="G4746" s="1">
        <v>2</v>
      </c>
      <c r="H4746" s="1" t="s">
        <v>19</v>
      </c>
      <c r="I4746" s="1" t="s">
        <v>3737</v>
      </c>
      <c r="J4746" s="1">
        <v>0.1</v>
      </c>
      <c r="K4746" s="1">
        <f t="shared" si="3"/>
        <v>0.2</v>
      </c>
      <c r="L4746" s="42">
        <v>4</v>
      </c>
      <c r="M4746" s="43">
        <v>46218</v>
      </c>
      <c r="N4746" s="1" t="s">
        <v>2551</v>
      </c>
    </row>
    <row r="4747" spans="1:14" ht="20.25" x14ac:dyDescent="0.25">
      <c r="A4747" s="1">
        <v>32</v>
      </c>
      <c r="B4747" s="159">
        <v>3479</v>
      </c>
      <c r="C4747" s="1" t="s">
        <v>4394</v>
      </c>
      <c r="D4747" s="1"/>
      <c r="E4747" s="1"/>
      <c r="F4747" s="1" t="s">
        <v>4395</v>
      </c>
      <c r="G4747" s="1">
        <v>1</v>
      </c>
      <c r="H4747" s="1" t="s">
        <v>19</v>
      </c>
      <c r="I4747" s="1" t="s">
        <v>3737</v>
      </c>
      <c r="J4747" s="1">
        <v>2.4</v>
      </c>
      <c r="K4747" s="1">
        <f t="shared" si="3"/>
        <v>2.4</v>
      </c>
      <c r="L4747" s="42">
        <v>4</v>
      </c>
      <c r="M4747" s="43">
        <v>46218</v>
      </c>
      <c r="N4747" s="1" t="s">
        <v>2551</v>
      </c>
    </row>
    <row r="4748" spans="1:14" ht="20.25" x14ac:dyDescent="0.25">
      <c r="A4748" s="1">
        <v>33</v>
      </c>
      <c r="B4748" s="159">
        <v>3481</v>
      </c>
      <c r="C4748" s="1" t="s">
        <v>4398</v>
      </c>
      <c r="D4748" s="1"/>
      <c r="E4748" s="1"/>
      <c r="F4748" s="1" t="s">
        <v>4399</v>
      </c>
      <c r="G4748" s="1">
        <v>4</v>
      </c>
      <c r="H4748" s="1" t="s">
        <v>19</v>
      </c>
      <c r="I4748" s="1" t="s">
        <v>3737</v>
      </c>
      <c r="J4748" s="1">
        <v>4.0999999999999996</v>
      </c>
      <c r="K4748" s="1">
        <f t="shared" si="3"/>
        <v>16.399999999999999</v>
      </c>
      <c r="L4748" s="42">
        <v>4</v>
      </c>
      <c r="M4748" s="43">
        <v>46218</v>
      </c>
      <c r="N4748" s="1" t="s">
        <v>2551</v>
      </c>
    </row>
    <row r="4749" spans="1:14" ht="20.25" x14ac:dyDescent="0.25">
      <c r="A4749" s="1">
        <v>34</v>
      </c>
      <c r="B4749" s="205">
        <v>4347</v>
      </c>
      <c r="C4749" s="1" t="s">
        <v>4458</v>
      </c>
      <c r="D4749" s="1"/>
      <c r="E4749" s="1"/>
      <c r="F4749" s="1" t="s">
        <v>4459</v>
      </c>
      <c r="G4749" s="1">
        <v>2</v>
      </c>
      <c r="H4749" s="1" t="s">
        <v>19</v>
      </c>
      <c r="I4749" s="1" t="s">
        <v>3737</v>
      </c>
      <c r="J4749" s="1">
        <v>45</v>
      </c>
      <c r="K4749" s="1">
        <f t="shared" si="3"/>
        <v>90</v>
      </c>
      <c r="L4749" s="42">
        <v>4</v>
      </c>
      <c r="M4749" s="43">
        <v>46218</v>
      </c>
      <c r="N4749" s="1" t="s">
        <v>2551</v>
      </c>
    </row>
    <row r="4750" spans="1:14" ht="20.25" x14ac:dyDescent="0.25">
      <c r="A4750" s="1">
        <v>35</v>
      </c>
      <c r="B4750" s="159">
        <v>4348</v>
      </c>
      <c r="C4750" s="1" t="s">
        <v>4458</v>
      </c>
      <c r="D4750" s="1"/>
      <c r="E4750" s="1"/>
      <c r="F4750" s="1" t="s">
        <v>4460</v>
      </c>
      <c r="G4750" s="1">
        <v>1</v>
      </c>
      <c r="H4750" s="1" t="s">
        <v>19</v>
      </c>
      <c r="I4750" s="1" t="s">
        <v>3737</v>
      </c>
      <c r="J4750" s="1">
        <v>85</v>
      </c>
      <c r="K4750" s="1">
        <f t="shared" si="3"/>
        <v>85</v>
      </c>
      <c r="L4750" s="42">
        <v>4</v>
      </c>
      <c r="M4750" s="43">
        <v>46218</v>
      </c>
      <c r="N4750" s="1" t="s">
        <v>2551</v>
      </c>
    </row>
    <row r="4751" spans="1:14" ht="20.25" x14ac:dyDescent="0.25">
      <c r="A4751" s="1">
        <v>36</v>
      </c>
      <c r="B4751" s="205">
        <v>4349</v>
      </c>
      <c r="C4751" s="1" t="s">
        <v>4458</v>
      </c>
      <c r="D4751" s="1"/>
      <c r="E4751" s="1"/>
      <c r="F4751" s="1" t="s">
        <v>4461</v>
      </c>
      <c r="G4751" s="1">
        <v>1</v>
      </c>
      <c r="H4751" s="1" t="s">
        <v>19</v>
      </c>
      <c r="I4751" s="1" t="s">
        <v>3737</v>
      </c>
      <c r="J4751" s="1">
        <v>65</v>
      </c>
      <c r="K4751" s="1">
        <f t="shared" si="3"/>
        <v>65</v>
      </c>
      <c r="L4751" s="42">
        <v>4</v>
      </c>
      <c r="M4751" s="43">
        <v>46218</v>
      </c>
      <c r="N4751" s="1" t="s">
        <v>2551</v>
      </c>
    </row>
    <row r="4752" spans="1:14" ht="20.25" x14ac:dyDescent="0.25">
      <c r="A4752" s="1">
        <v>37</v>
      </c>
      <c r="B4752" s="159">
        <v>4350</v>
      </c>
      <c r="C4752" s="1" t="s">
        <v>4462</v>
      </c>
      <c r="D4752" s="1"/>
      <c r="E4752" s="1"/>
      <c r="F4752" s="1" t="s">
        <v>4463</v>
      </c>
      <c r="G4752" s="1">
        <v>1</v>
      </c>
      <c r="H4752" s="1" t="s">
        <v>19</v>
      </c>
      <c r="I4752" s="1" t="s">
        <v>3737</v>
      </c>
      <c r="J4752" s="1">
        <v>7.2</v>
      </c>
      <c r="K4752" s="1">
        <f t="shared" si="3"/>
        <v>7.2</v>
      </c>
      <c r="L4752" s="42">
        <v>4</v>
      </c>
      <c r="M4752" s="43">
        <v>46218</v>
      </c>
      <c r="N4752" s="1" t="s">
        <v>2551</v>
      </c>
    </row>
    <row r="4753" spans="1:14" ht="20.25" x14ac:dyDescent="0.25">
      <c r="A4753" s="1">
        <v>38</v>
      </c>
      <c r="B4753" s="205">
        <v>4351</v>
      </c>
      <c r="C4753" s="1" t="s">
        <v>4394</v>
      </c>
      <c r="D4753" s="1"/>
      <c r="E4753" s="1"/>
      <c r="F4753" s="1" t="s">
        <v>4464</v>
      </c>
      <c r="G4753" s="1">
        <v>1</v>
      </c>
      <c r="H4753" s="1" t="s">
        <v>19</v>
      </c>
      <c r="I4753" s="1" t="s">
        <v>3737</v>
      </c>
      <c r="J4753" s="1">
        <v>0.03</v>
      </c>
      <c r="K4753" s="1">
        <f t="shared" si="3"/>
        <v>0.03</v>
      </c>
      <c r="L4753" s="42">
        <v>4</v>
      </c>
      <c r="M4753" s="43">
        <v>46218</v>
      </c>
      <c r="N4753" s="1" t="s">
        <v>2551</v>
      </c>
    </row>
    <row r="4754" spans="1:14" ht="20.25" x14ac:dyDescent="0.25">
      <c r="A4754" s="1">
        <v>39</v>
      </c>
      <c r="B4754" s="159">
        <v>4352</v>
      </c>
      <c r="C4754" s="1" t="s">
        <v>4394</v>
      </c>
      <c r="D4754" s="1"/>
      <c r="E4754" s="1"/>
      <c r="F4754" s="1" t="s">
        <v>4465</v>
      </c>
      <c r="G4754" s="1">
        <v>4</v>
      </c>
      <c r="H4754" s="1" t="s">
        <v>19</v>
      </c>
      <c r="I4754" s="1" t="s">
        <v>3737</v>
      </c>
      <c r="J4754" s="1">
        <v>0.02</v>
      </c>
      <c r="K4754" s="1">
        <f t="shared" si="3"/>
        <v>0.08</v>
      </c>
      <c r="L4754" s="42">
        <v>4</v>
      </c>
      <c r="M4754" s="43">
        <v>46218</v>
      </c>
      <c r="N4754" s="1" t="s">
        <v>2551</v>
      </c>
    </row>
    <row r="4755" spans="1:14" ht="20.25" x14ac:dyDescent="0.25">
      <c r="A4755" s="1">
        <v>40</v>
      </c>
      <c r="B4755" s="205">
        <v>4353</v>
      </c>
      <c r="C4755" s="1" t="s">
        <v>4394</v>
      </c>
      <c r="D4755" s="1"/>
      <c r="E4755" s="1"/>
      <c r="F4755" s="1" t="s">
        <v>4466</v>
      </c>
      <c r="G4755" s="1">
        <v>2</v>
      </c>
      <c r="H4755" s="1" t="s">
        <v>19</v>
      </c>
      <c r="I4755" s="1" t="s">
        <v>3737</v>
      </c>
      <c r="J4755" s="1">
        <v>0.02</v>
      </c>
      <c r="K4755" s="1">
        <f t="shared" si="3"/>
        <v>0.04</v>
      </c>
      <c r="L4755" s="42">
        <v>4</v>
      </c>
      <c r="M4755" s="43">
        <v>46218</v>
      </c>
      <c r="N4755" s="1" t="s">
        <v>2551</v>
      </c>
    </row>
    <row r="4756" spans="1:14" ht="20.25" x14ac:dyDescent="0.25">
      <c r="A4756" s="1">
        <v>41</v>
      </c>
      <c r="B4756" s="159">
        <v>4354</v>
      </c>
      <c r="C4756" s="1" t="s">
        <v>4462</v>
      </c>
      <c r="D4756" s="1"/>
      <c r="E4756" s="1"/>
      <c r="F4756" s="1" t="s">
        <v>4467</v>
      </c>
      <c r="G4756" s="1">
        <v>110</v>
      </c>
      <c r="H4756" s="1" t="s">
        <v>1253</v>
      </c>
      <c r="I4756" s="1" t="s">
        <v>3737</v>
      </c>
      <c r="J4756" s="1">
        <v>1.55</v>
      </c>
      <c r="K4756" s="1">
        <f t="shared" si="3"/>
        <v>170.5</v>
      </c>
      <c r="L4756" s="42">
        <v>4</v>
      </c>
      <c r="M4756" s="43">
        <v>46218</v>
      </c>
      <c r="N4756" s="1" t="s">
        <v>2551</v>
      </c>
    </row>
    <row r="4757" spans="1:14" ht="20.25" x14ac:dyDescent="0.25">
      <c r="A4757" s="1">
        <v>42</v>
      </c>
      <c r="B4757" s="205">
        <v>4355</v>
      </c>
      <c r="C4757" s="1" t="s">
        <v>4468</v>
      </c>
      <c r="D4757" s="1"/>
      <c r="E4757" s="1"/>
      <c r="F4757" s="1" t="s">
        <v>4469</v>
      </c>
      <c r="G4757" s="1">
        <v>40</v>
      </c>
      <c r="H4757" s="1" t="s">
        <v>19</v>
      </c>
      <c r="I4757" s="1" t="s">
        <v>3737</v>
      </c>
      <c r="J4757" s="1">
        <v>0.28999999999999998</v>
      </c>
      <c r="K4757" s="1">
        <f t="shared" si="3"/>
        <v>11.6</v>
      </c>
      <c r="L4757" s="42">
        <v>4</v>
      </c>
      <c r="M4757" s="43">
        <v>46218</v>
      </c>
      <c r="N4757" s="1" t="s">
        <v>2551</v>
      </c>
    </row>
    <row r="4758" spans="1:14" ht="20.25" x14ac:dyDescent="0.25">
      <c r="A4758" s="1">
        <v>43</v>
      </c>
      <c r="B4758" s="159">
        <v>4356</v>
      </c>
      <c r="C4758" s="1" t="s">
        <v>4468</v>
      </c>
      <c r="D4758" s="1"/>
      <c r="E4758" s="1"/>
      <c r="F4758" s="1" t="s">
        <v>4470</v>
      </c>
      <c r="G4758" s="1">
        <v>40</v>
      </c>
      <c r="H4758" s="1" t="s">
        <v>19</v>
      </c>
      <c r="I4758" s="1" t="s">
        <v>3737</v>
      </c>
      <c r="J4758" s="1">
        <v>0.02</v>
      </c>
      <c r="K4758" s="1">
        <f t="shared" si="3"/>
        <v>0.8</v>
      </c>
      <c r="L4758" s="42">
        <v>4</v>
      </c>
      <c r="M4758" s="43">
        <v>46218</v>
      </c>
      <c r="N4758" s="1" t="s">
        <v>2551</v>
      </c>
    </row>
    <row r="4759" spans="1:14" ht="20.25" x14ac:dyDescent="0.25">
      <c r="A4759" s="1">
        <v>44</v>
      </c>
      <c r="B4759" s="205">
        <v>4357</v>
      </c>
      <c r="C4759" s="1" t="s">
        <v>4468</v>
      </c>
      <c r="D4759" s="1"/>
      <c r="E4759" s="1"/>
      <c r="F4759" s="1" t="s">
        <v>4471</v>
      </c>
      <c r="G4759" s="1">
        <v>40</v>
      </c>
      <c r="H4759" s="1" t="s">
        <v>19</v>
      </c>
      <c r="I4759" s="1" t="s">
        <v>3737</v>
      </c>
      <c r="J4759" s="1">
        <v>5.5E-2</v>
      </c>
      <c r="K4759" s="1">
        <f t="shared" si="3"/>
        <v>2.2000000000000002</v>
      </c>
      <c r="L4759" s="42">
        <v>4</v>
      </c>
      <c r="M4759" s="43">
        <v>46218</v>
      </c>
      <c r="N4759" s="1" t="s">
        <v>2551</v>
      </c>
    </row>
    <row r="4760" spans="1:14" ht="20.25" x14ac:dyDescent="0.25">
      <c r="A4760" s="1">
        <v>45</v>
      </c>
      <c r="B4760" s="159">
        <v>4358</v>
      </c>
      <c r="C4760" s="1" t="s">
        <v>4472</v>
      </c>
      <c r="D4760" s="1"/>
      <c r="E4760" s="1"/>
      <c r="F4760" s="1" t="s">
        <v>4473</v>
      </c>
      <c r="G4760" s="1">
        <v>1</v>
      </c>
      <c r="H4760" s="1" t="s">
        <v>19</v>
      </c>
      <c r="I4760" s="1" t="s">
        <v>3737</v>
      </c>
      <c r="J4760" s="1">
        <v>6.5</v>
      </c>
      <c r="K4760" s="1">
        <f t="shared" si="3"/>
        <v>6.5</v>
      </c>
      <c r="L4760" s="42">
        <v>4</v>
      </c>
      <c r="M4760" s="43">
        <v>46218</v>
      </c>
      <c r="N4760" s="1" t="s">
        <v>2551</v>
      </c>
    </row>
    <row r="4761" spans="1:14" ht="20.25" x14ac:dyDescent="0.25">
      <c r="A4761" s="1">
        <v>46</v>
      </c>
      <c r="B4761" s="205">
        <v>4359</v>
      </c>
      <c r="C4761" s="1" t="s">
        <v>4474</v>
      </c>
      <c r="D4761" s="1"/>
      <c r="E4761" s="1"/>
      <c r="F4761" s="1" t="s">
        <v>4475</v>
      </c>
      <c r="G4761" s="1">
        <v>18</v>
      </c>
      <c r="H4761" s="1" t="s">
        <v>19</v>
      </c>
      <c r="I4761" s="1" t="s">
        <v>3737</v>
      </c>
      <c r="J4761" s="1">
        <v>0.02</v>
      </c>
      <c r="K4761" s="1">
        <f t="shared" si="3"/>
        <v>0.36</v>
      </c>
      <c r="L4761" s="42">
        <v>4</v>
      </c>
      <c r="M4761" s="43">
        <v>46218</v>
      </c>
      <c r="N4761" s="1" t="s">
        <v>2551</v>
      </c>
    </row>
    <row r="4762" spans="1:14" ht="20.25" x14ac:dyDescent="0.25">
      <c r="A4762" s="1">
        <v>47</v>
      </c>
      <c r="B4762" s="159">
        <v>4360</v>
      </c>
      <c r="C4762" s="1" t="s">
        <v>4474</v>
      </c>
      <c r="D4762" s="1"/>
      <c r="E4762" s="1"/>
      <c r="F4762" s="1" t="s">
        <v>4476</v>
      </c>
      <c r="G4762" s="1">
        <v>18</v>
      </c>
      <c r="H4762" s="1" t="s">
        <v>19</v>
      </c>
      <c r="I4762" s="1" t="s">
        <v>3737</v>
      </c>
      <c r="J4762" s="1">
        <v>0.03</v>
      </c>
      <c r="K4762" s="1">
        <f t="shared" si="3"/>
        <v>0.54</v>
      </c>
      <c r="L4762" s="42">
        <v>4</v>
      </c>
      <c r="M4762" s="43">
        <v>46218</v>
      </c>
      <c r="N4762" s="1" t="s">
        <v>2551</v>
      </c>
    </row>
    <row r="4763" spans="1:14" ht="20.25" x14ac:dyDescent="0.25">
      <c r="A4763" s="1">
        <v>48</v>
      </c>
      <c r="B4763" s="205">
        <v>4361</v>
      </c>
      <c r="C4763" s="1" t="s">
        <v>4474</v>
      </c>
      <c r="D4763" s="1"/>
      <c r="E4763" s="1"/>
      <c r="F4763" s="1" t="s">
        <v>4477</v>
      </c>
      <c r="G4763" s="1">
        <v>5</v>
      </c>
      <c r="H4763" s="1" t="s">
        <v>19</v>
      </c>
      <c r="I4763" s="1" t="s">
        <v>3737</v>
      </c>
      <c r="J4763" s="1">
        <v>0.02</v>
      </c>
      <c r="K4763" s="1">
        <f t="shared" si="3"/>
        <v>0.1</v>
      </c>
      <c r="L4763" s="42">
        <v>4</v>
      </c>
      <c r="M4763" s="43">
        <v>46218</v>
      </c>
      <c r="N4763" s="1" t="s">
        <v>2551</v>
      </c>
    </row>
    <row r="4764" spans="1:14" ht="20.25" x14ac:dyDescent="0.25">
      <c r="A4764" s="1">
        <v>49</v>
      </c>
      <c r="B4764" s="159">
        <v>4362</v>
      </c>
      <c r="C4764" s="1" t="s">
        <v>4474</v>
      </c>
      <c r="D4764" s="1"/>
      <c r="E4764" s="1"/>
      <c r="F4764" s="1" t="s">
        <v>4478</v>
      </c>
      <c r="G4764" s="1">
        <v>3</v>
      </c>
      <c r="H4764" s="1" t="s">
        <v>19</v>
      </c>
      <c r="I4764" s="1" t="s">
        <v>3737</v>
      </c>
      <c r="J4764" s="1">
        <v>0.04</v>
      </c>
      <c r="K4764" s="1">
        <f t="shared" si="3"/>
        <v>0.12</v>
      </c>
      <c r="L4764" s="42">
        <v>4</v>
      </c>
      <c r="M4764" s="43">
        <v>46218</v>
      </c>
      <c r="N4764" s="1" t="s">
        <v>2551</v>
      </c>
    </row>
    <row r="4765" spans="1:14" ht="20.25" x14ac:dyDescent="0.25">
      <c r="A4765" s="1">
        <v>50</v>
      </c>
      <c r="B4765" s="205">
        <v>4363</v>
      </c>
      <c r="C4765" s="1" t="s">
        <v>4474</v>
      </c>
      <c r="D4765" s="1"/>
      <c r="E4765" s="1"/>
      <c r="F4765" s="1" t="s">
        <v>4479</v>
      </c>
      <c r="G4765" s="1">
        <v>3</v>
      </c>
      <c r="H4765" s="1" t="s">
        <v>19</v>
      </c>
      <c r="I4765" s="1" t="s">
        <v>3737</v>
      </c>
      <c r="J4765" s="1">
        <v>0.05</v>
      </c>
      <c r="K4765" s="1">
        <f t="shared" si="3"/>
        <v>0.15000000000000002</v>
      </c>
      <c r="L4765" s="42">
        <v>4</v>
      </c>
      <c r="M4765" s="43">
        <v>46218</v>
      </c>
      <c r="N4765" s="1" t="s">
        <v>2551</v>
      </c>
    </row>
    <row r="4766" spans="1:14" ht="20.25" x14ac:dyDescent="0.25">
      <c r="A4766" s="1">
        <v>51</v>
      </c>
      <c r="B4766" s="159">
        <v>4364</v>
      </c>
      <c r="C4766" s="1" t="s">
        <v>4474</v>
      </c>
      <c r="D4766" s="1"/>
      <c r="E4766" s="1"/>
      <c r="F4766" s="1" t="s">
        <v>4480</v>
      </c>
      <c r="G4766" s="1">
        <v>10</v>
      </c>
      <c r="H4766" s="1" t="s">
        <v>19</v>
      </c>
      <c r="I4766" s="1" t="s">
        <v>3737</v>
      </c>
      <c r="J4766" s="1">
        <v>0.05</v>
      </c>
      <c r="K4766" s="1">
        <f t="shared" si="3"/>
        <v>0.5</v>
      </c>
      <c r="L4766" s="42">
        <v>4</v>
      </c>
      <c r="M4766" s="43">
        <v>46218</v>
      </c>
      <c r="N4766" s="1" t="s">
        <v>2551</v>
      </c>
    </row>
    <row r="4767" spans="1:14" ht="20.25" x14ac:dyDescent="0.25">
      <c r="A4767" s="1">
        <v>52</v>
      </c>
      <c r="B4767" s="205">
        <v>4365</v>
      </c>
      <c r="C4767" s="1" t="s">
        <v>4474</v>
      </c>
      <c r="D4767" s="1"/>
      <c r="E4767" s="1"/>
      <c r="F4767" s="1" t="s">
        <v>4481</v>
      </c>
      <c r="G4767" s="1">
        <v>10</v>
      </c>
      <c r="H4767" s="1" t="s">
        <v>19</v>
      </c>
      <c r="I4767" s="1" t="s">
        <v>3737</v>
      </c>
      <c r="J4767" s="1">
        <v>0.06</v>
      </c>
      <c r="K4767" s="1">
        <f t="shared" si="3"/>
        <v>0.6</v>
      </c>
      <c r="L4767" s="42">
        <v>4</v>
      </c>
      <c r="M4767" s="43">
        <v>46218</v>
      </c>
      <c r="N4767" s="1" t="s">
        <v>2551</v>
      </c>
    </row>
    <row r="4768" spans="1:14" ht="20.25" x14ac:dyDescent="0.25">
      <c r="A4768" s="1">
        <v>53</v>
      </c>
      <c r="B4768" s="159">
        <v>4366</v>
      </c>
      <c r="C4768" s="1" t="s">
        <v>4474</v>
      </c>
      <c r="D4768" s="1"/>
      <c r="E4768" s="1"/>
      <c r="F4768" s="1" t="s">
        <v>4482</v>
      </c>
      <c r="G4768" s="1">
        <v>2</v>
      </c>
      <c r="H4768" s="1" t="s">
        <v>19</v>
      </c>
      <c r="I4768" s="1" t="s">
        <v>3737</v>
      </c>
      <c r="J4768" s="1">
        <v>0.03</v>
      </c>
      <c r="K4768" s="1">
        <f t="shared" si="3"/>
        <v>0.06</v>
      </c>
      <c r="L4768" s="42">
        <v>4</v>
      </c>
      <c r="M4768" s="43">
        <v>46218</v>
      </c>
      <c r="N4768" s="1" t="s">
        <v>2551</v>
      </c>
    </row>
    <row r="4769" spans="1:14" ht="20.25" x14ac:dyDescent="0.25">
      <c r="A4769" s="1">
        <v>54</v>
      </c>
      <c r="B4769" s="205">
        <v>4367</v>
      </c>
      <c r="C4769" s="1" t="s">
        <v>4474</v>
      </c>
      <c r="D4769" s="1"/>
      <c r="E4769" s="1"/>
      <c r="F4769" s="1" t="s">
        <v>4483</v>
      </c>
      <c r="G4769" s="1">
        <v>4</v>
      </c>
      <c r="H4769" s="1" t="s">
        <v>19</v>
      </c>
      <c r="I4769" s="1" t="s">
        <v>3737</v>
      </c>
      <c r="J4769" s="1">
        <v>0.04</v>
      </c>
      <c r="K4769" s="1">
        <f t="shared" si="3"/>
        <v>0.16</v>
      </c>
      <c r="L4769" s="42">
        <v>4</v>
      </c>
      <c r="M4769" s="43">
        <v>46218</v>
      </c>
      <c r="N4769" s="1" t="s">
        <v>2551</v>
      </c>
    </row>
    <row r="4770" spans="1:14" ht="20.25" x14ac:dyDescent="0.25">
      <c r="A4770" s="1">
        <v>55</v>
      </c>
      <c r="B4770" s="159">
        <v>4368</v>
      </c>
      <c r="C4770" s="1" t="s">
        <v>4474</v>
      </c>
      <c r="D4770" s="1"/>
      <c r="E4770" s="1"/>
      <c r="F4770" s="1" t="s">
        <v>4484</v>
      </c>
      <c r="G4770" s="1">
        <v>2</v>
      </c>
      <c r="H4770" s="1" t="s">
        <v>19</v>
      </c>
      <c r="I4770" s="1" t="s">
        <v>3737</v>
      </c>
      <c r="J4770" s="1">
        <v>0.02</v>
      </c>
      <c r="K4770" s="1">
        <f t="shared" si="3"/>
        <v>0.04</v>
      </c>
      <c r="L4770" s="42">
        <v>4</v>
      </c>
      <c r="M4770" s="43">
        <v>46218</v>
      </c>
      <c r="N4770" s="1" t="s">
        <v>2551</v>
      </c>
    </row>
    <row r="4771" spans="1:14" ht="20.25" x14ac:dyDescent="0.25">
      <c r="A4771" s="1">
        <v>56</v>
      </c>
      <c r="B4771" s="205">
        <v>4369</v>
      </c>
      <c r="C4771" s="1" t="s">
        <v>4474</v>
      </c>
      <c r="D4771" s="1"/>
      <c r="E4771" s="1"/>
      <c r="F4771" s="1" t="s">
        <v>4485</v>
      </c>
      <c r="G4771" s="1">
        <v>8</v>
      </c>
      <c r="H4771" s="1" t="s">
        <v>19</v>
      </c>
      <c r="I4771" s="1" t="s">
        <v>3737</v>
      </c>
      <c r="J4771" s="1">
        <v>0.04</v>
      </c>
      <c r="K4771" s="1">
        <f t="shared" si="3"/>
        <v>0.32</v>
      </c>
      <c r="L4771" s="42">
        <v>4</v>
      </c>
      <c r="M4771" s="43">
        <v>46218</v>
      </c>
      <c r="N4771" s="1" t="s">
        <v>2551</v>
      </c>
    </row>
    <row r="4772" spans="1:14" ht="20.25" x14ac:dyDescent="0.25">
      <c r="A4772" s="1">
        <v>57</v>
      </c>
      <c r="B4772" s="159">
        <v>4370</v>
      </c>
      <c r="C4772" s="1" t="s">
        <v>4474</v>
      </c>
      <c r="D4772" s="1"/>
      <c r="E4772" s="1"/>
      <c r="F4772" s="1" t="s">
        <v>4486</v>
      </c>
      <c r="G4772" s="1">
        <v>1</v>
      </c>
      <c r="H4772" s="1" t="s">
        <v>19</v>
      </c>
      <c r="I4772" s="1" t="s">
        <v>3737</v>
      </c>
      <c r="J4772" s="1">
        <v>2.2000000000000002</v>
      </c>
      <c r="K4772" s="1">
        <f t="shared" si="3"/>
        <v>2.2000000000000002</v>
      </c>
      <c r="L4772" s="42">
        <v>4</v>
      </c>
      <c r="M4772" s="43">
        <v>46218</v>
      </c>
      <c r="N4772" s="1" t="s">
        <v>2551</v>
      </c>
    </row>
    <row r="4773" spans="1:14" ht="20.25" x14ac:dyDescent="0.25">
      <c r="A4773" s="1">
        <v>58</v>
      </c>
      <c r="B4773" s="205">
        <v>4371</v>
      </c>
      <c r="C4773" s="1" t="s">
        <v>4474</v>
      </c>
      <c r="D4773" s="1"/>
      <c r="E4773" s="1"/>
      <c r="F4773" s="1" t="s">
        <v>4487</v>
      </c>
      <c r="G4773" s="1">
        <v>71</v>
      </c>
      <c r="H4773" s="1" t="s">
        <v>4488</v>
      </c>
      <c r="I4773" s="1" t="s">
        <v>3737</v>
      </c>
      <c r="J4773" s="1">
        <v>0.127</v>
      </c>
      <c r="K4773" s="1">
        <f t="shared" si="3"/>
        <v>9.0169999999999995</v>
      </c>
      <c r="L4773" s="42">
        <v>4</v>
      </c>
      <c r="M4773" s="43">
        <v>46218</v>
      </c>
      <c r="N4773" s="1" t="s">
        <v>2551</v>
      </c>
    </row>
    <row r="4774" spans="1:14" ht="20.25" x14ac:dyDescent="0.25">
      <c r="A4774" s="1">
        <v>59</v>
      </c>
      <c r="B4774" s="159">
        <v>4372</v>
      </c>
      <c r="C4774" s="1" t="s">
        <v>4474</v>
      </c>
      <c r="D4774" s="1"/>
      <c r="E4774" s="1"/>
      <c r="F4774" s="1" t="s">
        <v>4489</v>
      </c>
      <c r="G4774" s="1">
        <v>10</v>
      </c>
      <c r="H4774" s="1" t="s">
        <v>4488</v>
      </c>
      <c r="I4774" s="1" t="s">
        <v>3737</v>
      </c>
      <c r="J4774" s="1">
        <v>0.14000000000000001</v>
      </c>
      <c r="K4774" s="1">
        <f t="shared" si="3"/>
        <v>1.4000000000000001</v>
      </c>
      <c r="L4774" s="42">
        <v>4</v>
      </c>
      <c r="M4774" s="43">
        <v>46218</v>
      </c>
      <c r="N4774" s="1" t="s">
        <v>2551</v>
      </c>
    </row>
    <row r="4775" spans="1:14" ht="20.25" x14ac:dyDescent="0.25">
      <c r="A4775" s="1">
        <v>60</v>
      </c>
      <c r="B4775" s="205">
        <v>4373</v>
      </c>
      <c r="C4775" s="1" t="s">
        <v>4474</v>
      </c>
      <c r="D4775" s="1"/>
      <c r="E4775" s="1"/>
      <c r="F4775" s="1" t="s">
        <v>4490</v>
      </c>
      <c r="G4775" s="1">
        <v>18</v>
      </c>
      <c r="H4775" s="1" t="s">
        <v>4488</v>
      </c>
      <c r="I4775" s="1" t="s">
        <v>3737</v>
      </c>
      <c r="J4775" s="1">
        <v>0.36699999999999999</v>
      </c>
      <c r="K4775" s="1">
        <f t="shared" si="3"/>
        <v>6.6059999999999999</v>
      </c>
      <c r="L4775" s="42">
        <v>4</v>
      </c>
      <c r="M4775" s="43">
        <v>46218</v>
      </c>
      <c r="N4775" s="1" t="s">
        <v>2551</v>
      </c>
    </row>
    <row r="4776" spans="1:14" ht="20.25" x14ac:dyDescent="0.25">
      <c r="A4776" s="1">
        <v>61</v>
      </c>
      <c r="B4776" s="159">
        <v>4374</v>
      </c>
      <c r="C4776" s="1" t="s">
        <v>4474</v>
      </c>
      <c r="D4776" s="1"/>
      <c r="E4776" s="1"/>
      <c r="F4776" s="1" t="s">
        <v>4491</v>
      </c>
      <c r="G4776" s="1">
        <v>50</v>
      </c>
      <c r="H4776" s="1" t="s">
        <v>4488</v>
      </c>
      <c r="I4776" s="1" t="s">
        <v>3737</v>
      </c>
      <c r="J4776" s="1">
        <v>0.56999999999999995</v>
      </c>
      <c r="K4776" s="1">
        <f t="shared" si="3"/>
        <v>28.499999999999996</v>
      </c>
      <c r="L4776" s="42">
        <v>4</v>
      </c>
      <c r="M4776" s="43">
        <v>46218</v>
      </c>
      <c r="N4776" s="1" t="s">
        <v>2551</v>
      </c>
    </row>
    <row r="4777" spans="1:14" ht="20.25" x14ac:dyDescent="0.25">
      <c r="A4777" s="1">
        <v>62</v>
      </c>
      <c r="B4777" s="205">
        <v>4375</v>
      </c>
      <c r="C4777" s="1" t="s">
        <v>4474</v>
      </c>
      <c r="D4777" s="1"/>
      <c r="E4777" s="1"/>
      <c r="F4777" s="1" t="s">
        <v>4492</v>
      </c>
      <c r="G4777" s="1">
        <v>60</v>
      </c>
      <c r="H4777" s="1" t="s">
        <v>4488</v>
      </c>
      <c r="I4777" s="1" t="s">
        <v>3737</v>
      </c>
      <c r="J4777" s="1">
        <v>0.1666</v>
      </c>
      <c r="K4777" s="1">
        <f t="shared" si="3"/>
        <v>9.9960000000000004</v>
      </c>
      <c r="L4777" s="42">
        <v>4</v>
      </c>
      <c r="M4777" s="43">
        <v>46218</v>
      </c>
      <c r="N4777" s="1" t="s">
        <v>2551</v>
      </c>
    </row>
    <row r="4778" spans="1:14" ht="20.25" x14ac:dyDescent="0.25">
      <c r="A4778" s="1">
        <v>63</v>
      </c>
      <c r="B4778" s="159">
        <v>4376</v>
      </c>
      <c r="C4778" s="1" t="s">
        <v>4474</v>
      </c>
      <c r="D4778" s="1"/>
      <c r="E4778" s="1"/>
      <c r="F4778" s="1" t="s">
        <v>4493</v>
      </c>
      <c r="G4778" s="1">
        <v>15</v>
      </c>
      <c r="H4778" s="1" t="s">
        <v>4488</v>
      </c>
      <c r="I4778" s="1" t="s">
        <v>3737</v>
      </c>
      <c r="J4778" s="1">
        <v>0.16</v>
      </c>
      <c r="K4778" s="1">
        <f t="shared" si="3"/>
        <v>2.4</v>
      </c>
      <c r="L4778" s="42">
        <v>4</v>
      </c>
      <c r="M4778" s="43">
        <v>46218</v>
      </c>
      <c r="N4778" s="1" t="s">
        <v>2551</v>
      </c>
    </row>
    <row r="4779" spans="1:14" ht="20.25" x14ac:dyDescent="0.25">
      <c r="A4779" s="1">
        <v>64</v>
      </c>
      <c r="B4779" s="205">
        <v>4377</v>
      </c>
      <c r="C4779" s="1" t="s">
        <v>4474</v>
      </c>
      <c r="D4779" s="1"/>
      <c r="E4779" s="1"/>
      <c r="F4779" s="1" t="s">
        <v>4494</v>
      </c>
      <c r="G4779" s="1">
        <v>52</v>
      </c>
      <c r="H4779" s="1" t="s">
        <v>4488</v>
      </c>
      <c r="I4779" s="1" t="s">
        <v>3737</v>
      </c>
      <c r="J4779" s="1">
        <v>0.44600000000000001</v>
      </c>
      <c r="K4779" s="1">
        <f t="shared" si="3"/>
        <v>23.192</v>
      </c>
      <c r="L4779" s="42">
        <v>4</v>
      </c>
      <c r="M4779" s="43">
        <v>46218</v>
      </c>
      <c r="N4779" s="1" t="s">
        <v>2551</v>
      </c>
    </row>
    <row r="4780" spans="1:14" ht="20.25" x14ac:dyDescent="0.25">
      <c r="A4780" s="1">
        <v>65</v>
      </c>
      <c r="B4780" s="159">
        <v>4378</v>
      </c>
      <c r="C4780" s="1" t="s">
        <v>4474</v>
      </c>
      <c r="D4780" s="1"/>
      <c r="E4780" s="1"/>
      <c r="F4780" s="1" t="s">
        <v>4495</v>
      </c>
      <c r="G4780" s="1">
        <v>78</v>
      </c>
      <c r="H4780" s="1" t="s">
        <v>4488</v>
      </c>
      <c r="I4780" s="1" t="s">
        <v>3737</v>
      </c>
      <c r="J4780" s="1">
        <v>0.14799999999999999</v>
      </c>
      <c r="K4780" s="1">
        <f t="shared" si="3"/>
        <v>11.543999999999999</v>
      </c>
      <c r="L4780" s="42">
        <v>4</v>
      </c>
      <c r="M4780" s="43">
        <v>46218</v>
      </c>
      <c r="N4780" s="1" t="s">
        <v>2551</v>
      </c>
    </row>
    <row r="4781" spans="1:14" ht="20.25" x14ac:dyDescent="0.25">
      <c r="A4781" s="1">
        <v>66</v>
      </c>
      <c r="B4781" s="205">
        <v>4379</v>
      </c>
      <c r="C4781" s="1" t="s">
        <v>4474</v>
      </c>
      <c r="D4781" s="1"/>
      <c r="E4781" s="1"/>
      <c r="F4781" s="1" t="s">
        <v>4496</v>
      </c>
      <c r="G4781" s="1">
        <v>26</v>
      </c>
      <c r="H4781" s="1" t="s">
        <v>4488</v>
      </c>
      <c r="I4781" s="1" t="s">
        <v>3737</v>
      </c>
      <c r="J4781" s="1">
        <v>0.16900000000000001</v>
      </c>
      <c r="K4781" s="1">
        <f t="shared" ref="K4781:K4796" si="4">G4781*J4781</f>
        <v>4.3940000000000001</v>
      </c>
      <c r="L4781" s="42">
        <v>4</v>
      </c>
      <c r="M4781" s="43">
        <v>46218</v>
      </c>
      <c r="N4781" s="1" t="s">
        <v>2551</v>
      </c>
    </row>
    <row r="4782" spans="1:14" ht="20.25" x14ac:dyDescent="0.25">
      <c r="A4782" s="1">
        <v>67</v>
      </c>
      <c r="B4782" s="159">
        <v>4380</v>
      </c>
      <c r="C4782" s="1" t="s">
        <v>4474</v>
      </c>
      <c r="D4782" s="1"/>
      <c r="E4782" s="1"/>
      <c r="F4782" s="1" t="s">
        <v>4497</v>
      </c>
      <c r="G4782" s="1">
        <v>60</v>
      </c>
      <c r="H4782" s="1" t="s">
        <v>4488</v>
      </c>
      <c r="I4782" s="1" t="s">
        <v>3737</v>
      </c>
      <c r="J4782" s="1">
        <v>0.66600000000000004</v>
      </c>
      <c r="K4782" s="1">
        <f t="shared" si="4"/>
        <v>39.96</v>
      </c>
      <c r="L4782" s="42">
        <v>4</v>
      </c>
      <c r="M4782" s="43">
        <v>46218</v>
      </c>
      <c r="N4782" s="1" t="s">
        <v>2551</v>
      </c>
    </row>
    <row r="4783" spans="1:14" ht="20.25" x14ac:dyDescent="0.25">
      <c r="A4783" s="1">
        <v>68</v>
      </c>
      <c r="B4783" s="205">
        <v>4381</v>
      </c>
      <c r="C4783" s="1" t="s">
        <v>4474</v>
      </c>
      <c r="D4783" s="1"/>
      <c r="E4783" s="1"/>
      <c r="F4783" s="1" t="s">
        <v>4498</v>
      </c>
      <c r="G4783" s="1">
        <v>52</v>
      </c>
      <c r="H4783" s="1" t="s">
        <v>4488</v>
      </c>
      <c r="I4783" s="1" t="s">
        <v>3737</v>
      </c>
      <c r="J4783" s="1">
        <v>0.21099999999999999</v>
      </c>
      <c r="K4783" s="1">
        <f t="shared" si="4"/>
        <v>10.972</v>
      </c>
      <c r="L4783" s="42">
        <v>4</v>
      </c>
      <c r="M4783" s="43">
        <v>46218</v>
      </c>
      <c r="N4783" s="1" t="s">
        <v>2551</v>
      </c>
    </row>
    <row r="4784" spans="1:14" ht="20.25" x14ac:dyDescent="0.25">
      <c r="A4784" s="1">
        <v>69</v>
      </c>
      <c r="B4784" s="159">
        <v>4382</v>
      </c>
      <c r="C4784" s="1" t="s">
        <v>4474</v>
      </c>
      <c r="D4784" s="1"/>
      <c r="E4784" s="1"/>
      <c r="F4784" s="1" t="s">
        <v>4499</v>
      </c>
      <c r="G4784" s="1">
        <v>26</v>
      </c>
      <c r="H4784" s="1" t="s">
        <v>4488</v>
      </c>
      <c r="I4784" s="1" t="s">
        <v>3737</v>
      </c>
      <c r="J4784" s="1">
        <v>0.42299999999999999</v>
      </c>
      <c r="K4784" s="1">
        <f t="shared" si="4"/>
        <v>10.997999999999999</v>
      </c>
      <c r="L4784" s="42">
        <v>4</v>
      </c>
      <c r="M4784" s="43">
        <v>46218</v>
      </c>
      <c r="N4784" s="1" t="s">
        <v>2551</v>
      </c>
    </row>
    <row r="4785" spans="1:14" ht="20.25" x14ac:dyDescent="0.25">
      <c r="A4785" s="1">
        <v>70</v>
      </c>
      <c r="B4785" s="205">
        <v>4383</v>
      </c>
      <c r="C4785" s="1" t="s">
        <v>4474</v>
      </c>
      <c r="D4785" s="1"/>
      <c r="E4785" s="1"/>
      <c r="F4785" s="1" t="s">
        <v>4500</v>
      </c>
      <c r="G4785" s="1">
        <v>3</v>
      </c>
      <c r="H4785" s="1" t="s">
        <v>4488</v>
      </c>
      <c r="I4785" s="1" t="s">
        <v>3737</v>
      </c>
      <c r="J4785" s="1">
        <v>3.5</v>
      </c>
      <c r="K4785" s="1">
        <f t="shared" si="4"/>
        <v>10.5</v>
      </c>
      <c r="L4785" s="42">
        <v>4</v>
      </c>
      <c r="M4785" s="43">
        <v>46218</v>
      </c>
      <c r="N4785" s="1" t="s">
        <v>2551</v>
      </c>
    </row>
    <row r="4786" spans="1:14" ht="20.25" x14ac:dyDescent="0.25">
      <c r="A4786" s="1">
        <v>71</v>
      </c>
      <c r="B4786" s="159">
        <v>4384</v>
      </c>
      <c r="C4786" s="1" t="s">
        <v>4474</v>
      </c>
      <c r="D4786" s="1"/>
      <c r="E4786" s="1"/>
      <c r="F4786" s="1" t="s">
        <v>4501</v>
      </c>
      <c r="G4786" s="1">
        <v>20</v>
      </c>
      <c r="H4786" s="1" t="s">
        <v>4488</v>
      </c>
      <c r="I4786" s="1" t="s">
        <v>3737</v>
      </c>
      <c r="J4786" s="1">
        <v>0.3</v>
      </c>
      <c r="K4786" s="1">
        <f t="shared" si="4"/>
        <v>6</v>
      </c>
      <c r="L4786" s="42">
        <v>4</v>
      </c>
      <c r="M4786" s="43">
        <v>46218</v>
      </c>
      <c r="N4786" s="1" t="s">
        <v>2551</v>
      </c>
    </row>
    <row r="4787" spans="1:14" ht="20.25" x14ac:dyDescent="0.25">
      <c r="A4787" s="1">
        <v>72</v>
      </c>
      <c r="B4787" s="205">
        <v>4385</v>
      </c>
      <c r="C4787" s="1" t="s">
        <v>4474</v>
      </c>
      <c r="D4787" s="1"/>
      <c r="E4787" s="1"/>
      <c r="F4787" s="1" t="s">
        <v>4502</v>
      </c>
      <c r="G4787" s="1">
        <v>6</v>
      </c>
      <c r="H4787" s="1" t="s">
        <v>4488</v>
      </c>
      <c r="I4787" s="1" t="s">
        <v>3737</v>
      </c>
      <c r="J4787" s="1">
        <v>0.01</v>
      </c>
      <c r="K4787" s="1">
        <f t="shared" si="4"/>
        <v>0.06</v>
      </c>
      <c r="L4787" s="42">
        <v>4</v>
      </c>
      <c r="M4787" s="43">
        <v>46218</v>
      </c>
      <c r="N4787" s="1" t="s">
        <v>2551</v>
      </c>
    </row>
    <row r="4788" spans="1:14" ht="20.25" x14ac:dyDescent="0.25">
      <c r="A4788" s="1">
        <v>73</v>
      </c>
      <c r="B4788" s="159">
        <v>4386</v>
      </c>
      <c r="C4788" s="1" t="s">
        <v>4474</v>
      </c>
      <c r="D4788" s="1"/>
      <c r="E4788" s="1"/>
      <c r="F4788" s="1" t="s">
        <v>4503</v>
      </c>
      <c r="G4788" s="1">
        <v>3</v>
      </c>
      <c r="H4788" s="1" t="s">
        <v>4488</v>
      </c>
      <c r="I4788" s="1" t="s">
        <v>3737</v>
      </c>
      <c r="J4788" s="1">
        <v>0.02</v>
      </c>
      <c r="K4788" s="1">
        <f t="shared" si="4"/>
        <v>0.06</v>
      </c>
      <c r="L4788" s="42">
        <v>4</v>
      </c>
      <c r="M4788" s="43">
        <v>46218</v>
      </c>
      <c r="N4788" s="1" t="s">
        <v>2551</v>
      </c>
    </row>
    <row r="4789" spans="1:14" ht="20.25" x14ac:dyDescent="0.25">
      <c r="A4789" s="1">
        <v>74</v>
      </c>
      <c r="B4789" s="205">
        <v>4387</v>
      </c>
      <c r="C4789" s="1" t="s">
        <v>4474</v>
      </c>
      <c r="D4789" s="1"/>
      <c r="E4789" s="1"/>
      <c r="F4789" s="1" t="s">
        <v>4504</v>
      </c>
      <c r="G4789" s="1">
        <v>6</v>
      </c>
      <c r="H4789" s="1" t="s">
        <v>4488</v>
      </c>
      <c r="I4789" s="1" t="s">
        <v>3737</v>
      </c>
      <c r="J4789" s="1">
        <v>0.01</v>
      </c>
      <c r="K4789" s="1">
        <f t="shared" si="4"/>
        <v>0.06</v>
      </c>
      <c r="L4789" s="42">
        <v>4</v>
      </c>
      <c r="M4789" s="43">
        <v>46218</v>
      </c>
      <c r="N4789" s="1" t="s">
        <v>2551</v>
      </c>
    </row>
    <row r="4790" spans="1:14" ht="20.25" x14ac:dyDescent="0.25">
      <c r="A4790" s="1">
        <v>75</v>
      </c>
      <c r="B4790" s="159">
        <v>4388</v>
      </c>
      <c r="C4790" s="1" t="s">
        <v>4474</v>
      </c>
      <c r="D4790" s="1"/>
      <c r="E4790" s="1"/>
      <c r="F4790" s="1" t="s">
        <v>4505</v>
      </c>
      <c r="G4790" s="1">
        <v>15</v>
      </c>
      <c r="H4790" s="1" t="s">
        <v>4488</v>
      </c>
      <c r="I4790" s="1" t="s">
        <v>3737</v>
      </c>
      <c r="J4790" s="1">
        <v>0.34599999999999997</v>
      </c>
      <c r="K4790" s="1">
        <f t="shared" si="4"/>
        <v>5.1899999999999995</v>
      </c>
      <c r="L4790" s="42">
        <v>4</v>
      </c>
      <c r="M4790" s="43">
        <v>46218</v>
      </c>
      <c r="N4790" s="1" t="s">
        <v>2551</v>
      </c>
    </row>
    <row r="4791" spans="1:14" ht="20.25" x14ac:dyDescent="0.25">
      <c r="A4791" s="1">
        <v>76</v>
      </c>
      <c r="B4791" s="205">
        <v>4389</v>
      </c>
      <c r="C4791" s="1" t="s">
        <v>4474</v>
      </c>
      <c r="D4791" s="1"/>
      <c r="E4791" s="1"/>
      <c r="F4791" s="1" t="s">
        <v>4506</v>
      </c>
      <c r="G4791" s="1">
        <v>12</v>
      </c>
      <c r="H4791" s="1" t="s">
        <v>4488</v>
      </c>
      <c r="I4791" s="1" t="s">
        <v>3737</v>
      </c>
      <c r="J4791" s="1">
        <v>0.11700000000000001</v>
      </c>
      <c r="K4791" s="1">
        <f t="shared" si="4"/>
        <v>1.4040000000000001</v>
      </c>
      <c r="L4791" s="42">
        <v>4</v>
      </c>
      <c r="M4791" s="43">
        <v>46218</v>
      </c>
      <c r="N4791" s="1" t="s">
        <v>2551</v>
      </c>
    </row>
    <row r="4792" spans="1:14" ht="20.25" x14ac:dyDescent="0.25">
      <c r="A4792" s="1">
        <v>77</v>
      </c>
      <c r="B4792" s="159">
        <v>4390</v>
      </c>
      <c r="C4792" s="1" t="s">
        <v>4462</v>
      </c>
      <c r="D4792" s="1"/>
      <c r="E4792" s="1"/>
      <c r="F4792" s="1" t="s">
        <v>4507</v>
      </c>
      <c r="G4792" s="1">
        <v>4</v>
      </c>
      <c r="H4792" s="1" t="s">
        <v>19</v>
      </c>
      <c r="I4792" s="1" t="s">
        <v>3737</v>
      </c>
      <c r="J4792" s="1">
        <v>1</v>
      </c>
      <c r="K4792" s="1">
        <f t="shared" si="4"/>
        <v>4</v>
      </c>
      <c r="L4792" s="42">
        <v>4</v>
      </c>
      <c r="M4792" s="43">
        <v>46218</v>
      </c>
      <c r="N4792" s="1" t="s">
        <v>2551</v>
      </c>
    </row>
    <row r="4793" spans="1:14" ht="20.25" x14ac:dyDescent="0.25">
      <c r="A4793" s="1">
        <v>78</v>
      </c>
      <c r="B4793" s="205">
        <v>4391</v>
      </c>
      <c r="C4793" s="1" t="s">
        <v>4474</v>
      </c>
      <c r="D4793" s="1"/>
      <c r="E4793" s="1"/>
      <c r="F4793" s="1" t="s">
        <v>4508</v>
      </c>
      <c r="G4793" s="1">
        <v>1</v>
      </c>
      <c r="H4793" s="1" t="s">
        <v>19</v>
      </c>
      <c r="I4793" s="1" t="s">
        <v>4474</v>
      </c>
      <c r="J4793" s="1">
        <v>1.2</v>
      </c>
      <c r="K4793" s="1">
        <f t="shared" si="4"/>
        <v>1.2</v>
      </c>
      <c r="L4793" s="42">
        <v>4</v>
      </c>
      <c r="M4793" s="43">
        <v>46218</v>
      </c>
      <c r="N4793" s="1" t="s">
        <v>2551</v>
      </c>
    </row>
    <row r="4794" spans="1:14" ht="20.25" x14ac:dyDescent="0.25">
      <c r="A4794" s="1">
        <v>79</v>
      </c>
      <c r="B4794" s="159">
        <v>4392</v>
      </c>
      <c r="C4794" s="1" t="s">
        <v>4474</v>
      </c>
      <c r="D4794" s="1"/>
      <c r="E4794" s="1"/>
      <c r="F4794" s="1" t="s">
        <v>4450</v>
      </c>
      <c r="G4794" s="1">
        <v>1</v>
      </c>
      <c r="H4794" s="1" t="s">
        <v>19</v>
      </c>
      <c r="I4794" s="1" t="s">
        <v>4474</v>
      </c>
      <c r="J4794" s="1">
        <v>2.5</v>
      </c>
      <c r="K4794" s="1">
        <f t="shared" si="4"/>
        <v>2.5</v>
      </c>
      <c r="L4794" s="42">
        <v>4</v>
      </c>
      <c r="M4794" s="43">
        <v>46218</v>
      </c>
      <c r="N4794" s="1" t="s">
        <v>2551</v>
      </c>
    </row>
    <row r="4795" spans="1:14" ht="20.25" x14ac:dyDescent="0.25">
      <c r="A4795" s="1">
        <v>80</v>
      </c>
      <c r="B4795" s="205">
        <v>4393</v>
      </c>
      <c r="C4795" s="1" t="s">
        <v>4509</v>
      </c>
      <c r="D4795" s="1"/>
      <c r="E4795" s="1"/>
      <c r="F4795" s="1" t="s">
        <v>4510</v>
      </c>
      <c r="G4795" s="1">
        <v>1</v>
      </c>
      <c r="H4795" s="1" t="s">
        <v>19</v>
      </c>
      <c r="I4795" s="1" t="s">
        <v>4509</v>
      </c>
      <c r="J4795" s="1">
        <v>120</v>
      </c>
      <c r="K4795" s="1">
        <f t="shared" si="4"/>
        <v>120</v>
      </c>
      <c r="L4795" s="42">
        <v>4</v>
      </c>
      <c r="M4795" s="43">
        <v>46218</v>
      </c>
      <c r="N4795" s="1" t="s">
        <v>2551</v>
      </c>
    </row>
    <row r="4796" spans="1:14" ht="20.25" x14ac:dyDescent="0.25">
      <c r="A4796" s="1">
        <v>81</v>
      </c>
      <c r="B4796" s="159">
        <v>4394</v>
      </c>
      <c r="C4796" s="1" t="s">
        <v>4509</v>
      </c>
      <c r="D4796" s="1"/>
      <c r="E4796" s="1"/>
      <c r="F4796" s="1" t="s">
        <v>4511</v>
      </c>
      <c r="G4796" s="1">
        <v>1</v>
      </c>
      <c r="H4796" s="1" t="s">
        <v>19</v>
      </c>
      <c r="I4796" s="1" t="s">
        <v>4509</v>
      </c>
      <c r="J4796" s="1">
        <v>0.5</v>
      </c>
      <c r="K4796" s="1">
        <f t="shared" si="4"/>
        <v>0.5</v>
      </c>
      <c r="L4796" s="42">
        <v>4</v>
      </c>
      <c r="M4796" s="43">
        <v>46218</v>
      </c>
      <c r="N4796" s="1" t="s">
        <v>2551</v>
      </c>
    </row>
    <row r="4797" spans="1:14" ht="20.25" x14ac:dyDescent="0.25">
      <c r="A4797" s="1">
        <v>1</v>
      </c>
      <c r="B4797" s="159">
        <v>3733</v>
      </c>
      <c r="C4797" s="1" t="s">
        <v>3032</v>
      </c>
      <c r="D4797" s="1"/>
      <c r="E4797" s="1"/>
      <c r="F4797" s="1" t="s">
        <v>3033</v>
      </c>
      <c r="G4797" s="1">
        <v>16</v>
      </c>
      <c r="H4797" s="1" t="s">
        <v>19</v>
      </c>
      <c r="I4797" s="1" t="s">
        <v>3034</v>
      </c>
      <c r="J4797" s="1">
        <v>9</v>
      </c>
      <c r="K4797" s="1">
        <v>144</v>
      </c>
      <c r="L4797" s="42">
        <v>2</v>
      </c>
      <c r="M4797" s="43">
        <v>46223</v>
      </c>
      <c r="N4797" s="1" t="str">
        <f>VLOOKUP(B4797,MICRO!E:L,8,0)</f>
        <v>P-198</v>
      </c>
    </row>
    <row r="4798" spans="1:14" ht="20.25" x14ac:dyDescent="0.25">
      <c r="A4798" s="1">
        <v>2</v>
      </c>
      <c r="B4798" s="159">
        <v>3736</v>
      </c>
      <c r="C4798" s="1" t="s">
        <v>3039</v>
      </c>
      <c r="D4798" s="1"/>
      <c r="E4798" s="1"/>
      <c r="F4798" s="1" t="s">
        <v>3040</v>
      </c>
      <c r="G4798" s="1">
        <v>4</v>
      </c>
      <c r="H4798" s="1" t="s">
        <v>19</v>
      </c>
      <c r="I4798" s="1" t="s">
        <v>3034</v>
      </c>
      <c r="J4798" s="1">
        <v>2.7</v>
      </c>
      <c r="K4798" s="1">
        <v>10.8</v>
      </c>
      <c r="L4798" s="42">
        <v>2</v>
      </c>
      <c r="M4798" s="43">
        <v>46223</v>
      </c>
      <c r="N4798" s="1" t="str">
        <f>VLOOKUP(B4798,MICRO!E:L,8,0)</f>
        <v>P-198</v>
      </c>
    </row>
    <row r="4799" spans="1:14" ht="20.25" x14ac:dyDescent="0.25">
      <c r="A4799" s="1">
        <v>3</v>
      </c>
      <c r="B4799" s="159">
        <v>3738</v>
      </c>
      <c r="C4799" s="1" t="s">
        <v>3043</v>
      </c>
      <c r="D4799" s="1"/>
      <c r="E4799" s="1"/>
      <c r="F4799" s="1" t="s">
        <v>3044</v>
      </c>
      <c r="G4799" s="1">
        <v>4</v>
      </c>
      <c r="H4799" s="1" t="s">
        <v>19</v>
      </c>
      <c r="I4799" s="1" t="s">
        <v>3034</v>
      </c>
      <c r="J4799" s="1">
        <v>3.2</v>
      </c>
      <c r="K4799" s="1">
        <v>12.8</v>
      </c>
      <c r="L4799" s="42">
        <v>2</v>
      </c>
      <c r="M4799" s="43">
        <v>46223</v>
      </c>
      <c r="N4799" s="1" t="str">
        <f>VLOOKUP(B4799,MICRO!E:L,8,0)</f>
        <v>P-198</v>
      </c>
    </row>
    <row r="4800" spans="1:14" ht="20.25" x14ac:dyDescent="0.25">
      <c r="A4800" s="1">
        <v>4</v>
      </c>
      <c r="B4800" s="159">
        <v>3739</v>
      </c>
      <c r="C4800" s="1" t="s">
        <v>3039</v>
      </c>
      <c r="D4800" s="1"/>
      <c r="E4800" s="1"/>
      <c r="F4800" s="1" t="s">
        <v>3040</v>
      </c>
      <c r="G4800" s="1">
        <v>4</v>
      </c>
      <c r="H4800" s="1" t="s">
        <v>19</v>
      </c>
      <c r="I4800" s="1" t="s">
        <v>3045</v>
      </c>
      <c r="J4800" s="1">
        <v>2.7</v>
      </c>
      <c r="K4800" s="1">
        <v>10.8</v>
      </c>
      <c r="L4800" s="42">
        <v>2</v>
      </c>
      <c r="M4800" s="43">
        <v>46223</v>
      </c>
      <c r="N4800" s="1" t="str">
        <f>VLOOKUP(B4800,MICRO!E:L,8,0)</f>
        <v>P-198</v>
      </c>
    </row>
    <row r="4801" spans="1:14" ht="20.25" x14ac:dyDescent="0.25">
      <c r="A4801" s="1">
        <v>5</v>
      </c>
      <c r="B4801" s="159">
        <v>3740</v>
      </c>
      <c r="C4801" s="1" t="s">
        <v>3043</v>
      </c>
      <c r="D4801" s="1"/>
      <c r="E4801" s="1"/>
      <c r="F4801" s="1" t="s">
        <v>3044</v>
      </c>
      <c r="G4801" s="1">
        <v>4</v>
      </c>
      <c r="H4801" s="1" t="s">
        <v>19</v>
      </c>
      <c r="I4801" s="1" t="s">
        <v>3045</v>
      </c>
      <c r="J4801" s="1">
        <v>3.2</v>
      </c>
      <c r="K4801" s="1">
        <v>12.8</v>
      </c>
      <c r="L4801" s="42">
        <v>2</v>
      </c>
      <c r="M4801" s="43">
        <v>46223</v>
      </c>
      <c r="N4801" s="1" t="str">
        <f>VLOOKUP(B4801,MICRO!E:L,8,0)</f>
        <v>P-198</v>
      </c>
    </row>
    <row r="4802" spans="1:14" ht="20.25" x14ac:dyDescent="0.25">
      <c r="A4802" s="1">
        <v>6</v>
      </c>
      <c r="B4802" s="159">
        <v>3741</v>
      </c>
      <c r="C4802" s="1" t="s">
        <v>3046</v>
      </c>
      <c r="D4802" s="1"/>
      <c r="E4802" s="1"/>
      <c r="F4802" s="1" t="s">
        <v>3047</v>
      </c>
      <c r="G4802" s="1">
        <v>32</v>
      </c>
      <c r="H4802" s="1" t="s">
        <v>19</v>
      </c>
      <c r="I4802" s="1" t="s">
        <v>3045</v>
      </c>
      <c r="J4802" s="1">
        <v>18</v>
      </c>
      <c r="K4802" s="1">
        <v>576</v>
      </c>
      <c r="L4802" s="42">
        <v>2</v>
      </c>
      <c r="M4802" s="43">
        <v>46223</v>
      </c>
      <c r="N4802" s="1" t="str">
        <f>VLOOKUP(B4802,MICRO!E:L,8,0)</f>
        <v>P-198</v>
      </c>
    </row>
    <row r="4803" spans="1:14" ht="20.25" x14ac:dyDescent="0.25">
      <c r="A4803" s="1">
        <v>7</v>
      </c>
      <c r="B4803" s="159">
        <v>3744</v>
      </c>
      <c r="C4803" s="1" t="s">
        <v>122</v>
      </c>
      <c r="D4803" s="1"/>
      <c r="E4803" s="1"/>
      <c r="F4803" s="1" t="s">
        <v>3052</v>
      </c>
      <c r="G4803" s="1">
        <v>11</v>
      </c>
      <c r="H4803" s="1" t="s">
        <v>19</v>
      </c>
      <c r="I4803" s="1" t="s">
        <v>3045</v>
      </c>
      <c r="J4803" s="1">
        <v>16</v>
      </c>
      <c r="K4803" s="1">
        <v>176</v>
      </c>
      <c r="L4803" s="42">
        <v>2</v>
      </c>
      <c r="M4803" s="43">
        <v>46223</v>
      </c>
      <c r="N4803" s="1" t="str">
        <f>VLOOKUP(B4803,MICRO!E:L,8,0)</f>
        <v>P-198</v>
      </c>
    </row>
    <row r="4804" spans="1:14" ht="20.25" x14ac:dyDescent="0.25">
      <c r="A4804" s="1">
        <v>8</v>
      </c>
      <c r="B4804" s="159">
        <v>3745</v>
      </c>
      <c r="C4804" s="1" t="s">
        <v>3053</v>
      </c>
      <c r="D4804" s="1"/>
      <c r="E4804" s="1"/>
      <c r="F4804" s="1" t="s">
        <v>3054</v>
      </c>
      <c r="G4804" s="1">
        <v>132</v>
      </c>
      <c r="H4804" s="1" t="s">
        <v>19</v>
      </c>
      <c r="I4804" s="1" t="s">
        <v>3045</v>
      </c>
      <c r="J4804" s="1">
        <v>16</v>
      </c>
      <c r="K4804" s="1">
        <v>2112</v>
      </c>
      <c r="L4804" s="42">
        <v>2</v>
      </c>
      <c r="M4804" s="43">
        <v>46223</v>
      </c>
      <c r="N4804" s="1" t="str">
        <f>VLOOKUP(B4804,MICRO!E:L,8,0)</f>
        <v>P-198</v>
      </c>
    </row>
    <row r="4805" spans="1:14" ht="20.25" x14ac:dyDescent="0.25">
      <c r="A4805" s="1">
        <v>9</v>
      </c>
      <c r="B4805" s="159">
        <v>3771</v>
      </c>
      <c r="C4805" s="1" t="s">
        <v>3100</v>
      </c>
      <c r="D4805" s="1"/>
      <c r="E4805" s="1"/>
      <c r="F4805" s="1" t="s">
        <v>3101</v>
      </c>
      <c r="G4805" s="1">
        <v>24</v>
      </c>
      <c r="H4805" s="1" t="s">
        <v>19</v>
      </c>
      <c r="I4805" s="1" t="s">
        <v>3093</v>
      </c>
      <c r="J4805" s="1">
        <v>28</v>
      </c>
      <c r="K4805" s="1">
        <v>672</v>
      </c>
      <c r="L4805" s="42">
        <v>2</v>
      </c>
      <c r="M4805" s="43">
        <v>46223</v>
      </c>
      <c r="N4805" s="1" t="str">
        <f>VLOOKUP(B4805,MICRO!E:L,8,0)</f>
        <v>P-198</v>
      </c>
    </row>
    <row r="4806" spans="1:14" ht="20.25" x14ac:dyDescent="0.25">
      <c r="A4806" s="1">
        <v>10</v>
      </c>
      <c r="B4806" s="159">
        <v>3773</v>
      </c>
      <c r="C4806" s="1" t="s">
        <v>3104</v>
      </c>
      <c r="D4806" s="1"/>
      <c r="E4806" s="1"/>
      <c r="F4806" s="1" t="s">
        <v>3105</v>
      </c>
      <c r="G4806" s="1">
        <v>12</v>
      </c>
      <c r="H4806" s="1" t="s">
        <v>19</v>
      </c>
      <c r="I4806" s="1" t="s">
        <v>3093</v>
      </c>
      <c r="J4806" s="1">
        <v>28</v>
      </c>
      <c r="K4806" s="1">
        <v>336</v>
      </c>
      <c r="L4806" s="42">
        <v>2</v>
      </c>
      <c r="M4806" s="43">
        <v>46223</v>
      </c>
      <c r="N4806" s="1" t="str">
        <f>VLOOKUP(B4806,MICRO!E:L,8,0)</f>
        <v>P-198</v>
      </c>
    </row>
    <row r="4807" spans="1:14" ht="20.25" x14ac:dyDescent="0.25">
      <c r="A4807" s="1">
        <v>11</v>
      </c>
      <c r="B4807" s="159">
        <v>3774</v>
      </c>
      <c r="C4807" s="1" t="s">
        <v>3106</v>
      </c>
      <c r="D4807" s="1"/>
      <c r="E4807" s="1"/>
      <c r="F4807" s="1" t="s">
        <v>3107</v>
      </c>
      <c r="G4807" s="1">
        <v>10</v>
      </c>
      <c r="H4807" s="1" t="s">
        <v>19</v>
      </c>
      <c r="I4807" s="1" t="s">
        <v>3093</v>
      </c>
      <c r="J4807" s="1">
        <v>28</v>
      </c>
      <c r="K4807" s="1">
        <v>280</v>
      </c>
      <c r="L4807" s="42">
        <v>2</v>
      </c>
      <c r="M4807" s="43">
        <v>46223</v>
      </c>
      <c r="N4807" s="1" t="str">
        <f>VLOOKUP(B4807,MICRO!E:L,8,0)</f>
        <v>P-198</v>
      </c>
    </row>
    <row r="4808" spans="1:14" ht="20.25" x14ac:dyDescent="0.25">
      <c r="A4808" s="1">
        <v>12</v>
      </c>
      <c r="B4808" s="159">
        <v>3775</v>
      </c>
      <c r="C4808" s="1" t="s">
        <v>3039</v>
      </c>
      <c r="D4808" s="1"/>
      <c r="E4808" s="1"/>
      <c r="F4808" s="1" t="s">
        <v>3108</v>
      </c>
      <c r="G4808" s="1">
        <v>4</v>
      </c>
      <c r="H4808" s="1" t="s">
        <v>19</v>
      </c>
      <c r="I4808" s="1" t="s">
        <v>3093</v>
      </c>
      <c r="J4808" s="1">
        <v>28</v>
      </c>
      <c r="K4808" s="1">
        <v>112</v>
      </c>
      <c r="L4808" s="42">
        <v>2</v>
      </c>
      <c r="M4808" s="43">
        <v>46223</v>
      </c>
      <c r="N4808" s="1" t="str">
        <f>VLOOKUP(B4808,MICRO!E:L,8,0)</f>
        <v>P-198</v>
      </c>
    </row>
    <row r="4809" spans="1:14" ht="20.25" x14ac:dyDescent="0.25">
      <c r="A4809" s="1">
        <v>13</v>
      </c>
      <c r="B4809" s="159">
        <v>3798</v>
      </c>
      <c r="C4809" s="1" t="s">
        <v>3039</v>
      </c>
      <c r="D4809" s="1"/>
      <c r="E4809" s="1"/>
      <c r="F4809" s="1" t="s">
        <v>3040</v>
      </c>
      <c r="G4809" s="1">
        <v>4</v>
      </c>
      <c r="H4809" s="1" t="s">
        <v>19</v>
      </c>
      <c r="I4809" s="1" t="s">
        <v>3140</v>
      </c>
      <c r="J4809" s="1">
        <v>28</v>
      </c>
      <c r="K4809" s="1">
        <v>112</v>
      </c>
      <c r="L4809" s="42">
        <v>2</v>
      </c>
      <c r="M4809" s="43">
        <v>46223</v>
      </c>
      <c r="N4809" s="1" t="str">
        <f>VLOOKUP(B4809,MICRO!E:L,8,0)</f>
        <v>P-198</v>
      </c>
    </row>
    <row r="4810" spans="1:14" ht="20.25" x14ac:dyDescent="0.25">
      <c r="A4810" s="1">
        <v>14</v>
      </c>
      <c r="B4810" s="159">
        <v>3799</v>
      </c>
      <c r="C4810" s="1" t="s">
        <v>3043</v>
      </c>
      <c r="D4810" s="1"/>
      <c r="E4810" s="1"/>
      <c r="F4810" s="1" t="s">
        <v>3141</v>
      </c>
      <c r="G4810" s="1">
        <v>4</v>
      </c>
      <c r="H4810" s="1" t="s">
        <v>19</v>
      </c>
      <c r="I4810" s="1" t="s">
        <v>3140</v>
      </c>
      <c r="J4810" s="1">
        <v>28</v>
      </c>
      <c r="K4810" s="1">
        <v>112</v>
      </c>
      <c r="L4810" s="42">
        <v>2</v>
      </c>
      <c r="M4810" s="43">
        <v>46223</v>
      </c>
      <c r="N4810" s="1" t="str">
        <f>VLOOKUP(B4810,MICRO!E:L,8,0)</f>
        <v>P-198</v>
      </c>
    </row>
    <row r="4811" spans="1:14" ht="20.25" x14ac:dyDescent="0.25">
      <c r="A4811" s="1">
        <v>15</v>
      </c>
      <c r="B4811" s="159">
        <v>3802</v>
      </c>
      <c r="C4811" s="1" t="s">
        <v>144</v>
      </c>
      <c r="D4811" s="1"/>
      <c r="E4811" s="1"/>
      <c r="F4811" s="1" t="s">
        <v>205</v>
      </c>
      <c r="G4811" s="1">
        <v>42</v>
      </c>
      <c r="H4811" s="1" t="s">
        <v>19</v>
      </c>
      <c r="I4811" s="1" t="s">
        <v>3140</v>
      </c>
      <c r="J4811" s="1">
        <v>28</v>
      </c>
      <c r="K4811" s="1">
        <v>1176</v>
      </c>
      <c r="L4811" s="42">
        <v>2</v>
      </c>
      <c r="M4811" s="43">
        <v>46223</v>
      </c>
      <c r="N4811" s="1" t="str">
        <f>VLOOKUP(B4811,MICRO!E:L,8,0)</f>
        <v>P-198</v>
      </c>
    </row>
    <row r="4812" spans="1:14" ht="20.25" x14ac:dyDescent="0.25">
      <c r="A4812" s="1">
        <v>16</v>
      </c>
      <c r="B4812" s="159">
        <v>3803</v>
      </c>
      <c r="C4812" s="1" t="s">
        <v>414</v>
      </c>
      <c r="D4812" s="1"/>
      <c r="E4812" s="1"/>
      <c r="F4812" s="1" t="s">
        <v>3145</v>
      </c>
      <c r="G4812" s="1">
        <v>24</v>
      </c>
      <c r="H4812" s="1" t="s">
        <v>19</v>
      </c>
      <c r="I4812" s="1" t="s">
        <v>3140</v>
      </c>
      <c r="J4812" s="1">
        <v>28</v>
      </c>
      <c r="K4812" s="1">
        <v>672</v>
      </c>
      <c r="L4812" s="42">
        <v>2</v>
      </c>
      <c r="M4812" s="43">
        <v>46223</v>
      </c>
      <c r="N4812" s="1" t="str">
        <f>VLOOKUP(B4812,MICRO!E:L,8,0)</f>
        <v>P-198</v>
      </c>
    </row>
    <row r="4813" spans="1:14" ht="20.25" x14ac:dyDescent="0.25">
      <c r="A4813" s="1">
        <v>17</v>
      </c>
      <c r="B4813" s="159">
        <v>3753</v>
      </c>
      <c r="C4813" s="1" t="s">
        <v>3065</v>
      </c>
      <c r="D4813" s="1"/>
      <c r="E4813" s="1"/>
      <c r="F4813" s="1" t="s">
        <v>3066</v>
      </c>
      <c r="G4813" s="1">
        <v>1</v>
      </c>
      <c r="H4813" s="1" t="s">
        <v>19</v>
      </c>
      <c r="I4813" s="1" t="s">
        <v>3045</v>
      </c>
      <c r="J4813" s="1">
        <v>41.9</v>
      </c>
      <c r="K4813" s="1">
        <v>41.9</v>
      </c>
      <c r="L4813" s="42">
        <v>2</v>
      </c>
      <c r="M4813" s="43">
        <v>46223</v>
      </c>
      <c r="N4813" s="1" t="str">
        <f>VLOOKUP(B4813,MICRO!E:L,8,0)</f>
        <v>P-198</v>
      </c>
    </row>
    <row r="4814" spans="1:14" ht="20.25" x14ac:dyDescent="0.25">
      <c r="A4814" s="1">
        <v>18</v>
      </c>
      <c r="B4814" s="159">
        <v>3754</v>
      </c>
      <c r="C4814" s="1" t="s">
        <v>3067</v>
      </c>
      <c r="D4814" s="1"/>
      <c r="E4814" s="1"/>
      <c r="F4814" s="1" t="s">
        <v>3071</v>
      </c>
      <c r="G4814" s="1">
        <v>1</v>
      </c>
      <c r="H4814" s="1" t="s">
        <v>19</v>
      </c>
      <c r="I4814" s="1" t="s">
        <v>3045</v>
      </c>
      <c r="J4814" s="1">
        <v>54</v>
      </c>
      <c r="K4814" s="1">
        <v>54</v>
      </c>
      <c r="L4814" s="42">
        <v>2</v>
      </c>
      <c r="M4814" s="43">
        <v>46223</v>
      </c>
      <c r="N4814" s="1" t="str">
        <f>VLOOKUP(B4814,MICRO!E:L,8,0)</f>
        <v>P-198</v>
      </c>
    </row>
    <row r="4815" spans="1:14" ht="20.25" x14ac:dyDescent="0.25">
      <c r="A4815" s="1">
        <v>19</v>
      </c>
      <c r="B4815" s="159">
        <v>3759</v>
      </c>
      <c r="C4815" s="1" t="s">
        <v>3077</v>
      </c>
      <c r="D4815" s="1"/>
      <c r="E4815" s="1"/>
      <c r="F4815" s="1" t="s">
        <v>3078</v>
      </c>
      <c r="G4815" s="1">
        <v>2</v>
      </c>
      <c r="H4815" s="1" t="s">
        <v>19</v>
      </c>
      <c r="I4815" s="1" t="s">
        <v>3045</v>
      </c>
      <c r="J4815" s="1">
        <v>59.1</v>
      </c>
      <c r="K4815" s="1">
        <v>118.2</v>
      </c>
      <c r="L4815" s="42">
        <v>2</v>
      </c>
      <c r="M4815" s="43">
        <v>46223</v>
      </c>
      <c r="N4815" s="1" t="str">
        <f>VLOOKUP(B4815,MICRO!E:L,8,0)</f>
        <v>P-198</v>
      </c>
    </row>
    <row r="4816" spans="1:14" ht="20.25" x14ac:dyDescent="0.25">
      <c r="A4816" s="1">
        <v>20</v>
      </c>
      <c r="B4816" s="159">
        <v>3760</v>
      </c>
      <c r="C4816" s="1" t="s">
        <v>3079</v>
      </c>
      <c r="D4816" s="1"/>
      <c r="E4816" s="1"/>
      <c r="F4816" s="1" t="s">
        <v>3080</v>
      </c>
      <c r="G4816" s="1">
        <v>1</v>
      </c>
      <c r="H4816" s="1" t="s">
        <v>19</v>
      </c>
      <c r="I4816" s="1" t="s">
        <v>3034</v>
      </c>
      <c r="J4816" s="1">
        <v>53.8</v>
      </c>
      <c r="K4816" s="1">
        <v>53.8</v>
      </c>
      <c r="L4816" s="42">
        <v>2</v>
      </c>
      <c r="M4816" s="43">
        <v>46223</v>
      </c>
      <c r="N4816" s="1" t="str">
        <f>VLOOKUP(B4816,MICRO!E:L,8,0)</f>
        <v>P-198</v>
      </c>
    </row>
    <row r="4817" spans="1:15" ht="20.25" x14ac:dyDescent="0.25">
      <c r="A4817" s="1">
        <v>21</v>
      </c>
      <c r="B4817" s="159">
        <v>3762</v>
      </c>
      <c r="C4817" s="1" t="s">
        <v>3083</v>
      </c>
      <c r="D4817" s="1"/>
      <c r="E4817" s="1"/>
      <c r="F4817" s="1" t="s">
        <v>3084</v>
      </c>
      <c r="G4817" s="1">
        <v>8</v>
      </c>
      <c r="H4817" s="1" t="s">
        <v>19</v>
      </c>
      <c r="I4817" s="1" t="s">
        <v>3034</v>
      </c>
      <c r="J4817" s="1">
        <v>28.8</v>
      </c>
      <c r="K4817" s="1">
        <v>230.4</v>
      </c>
      <c r="L4817" s="42">
        <v>2</v>
      </c>
      <c r="M4817" s="43">
        <v>46223</v>
      </c>
      <c r="N4817" s="1" t="str">
        <f>VLOOKUP(B4817,MICRO!E:L,8,0)</f>
        <v>P-198</v>
      </c>
    </row>
    <row r="4818" spans="1:15" ht="20.25" x14ac:dyDescent="0.25">
      <c r="A4818" s="1">
        <v>22</v>
      </c>
      <c r="B4818" s="159">
        <v>3764</v>
      </c>
      <c r="C4818" s="1" t="s">
        <v>3087</v>
      </c>
      <c r="D4818" s="1"/>
      <c r="E4818" s="1"/>
      <c r="F4818" s="1" t="s">
        <v>3088</v>
      </c>
      <c r="G4818" s="1">
        <v>2</v>
      </c>
      <c r="H4818" s="1" t="s">
        <v>19</v>
      </c>
      <c r="I4818" s="1" t="s">
        <v>3034</v>
      </c>
      <c r="J4818" s="1">
        <v>49</v>
      </c>
      <c r="K4818" s="1">
        <v>98</v>
      </c>
      <c r="L4818" s="42">
        <v>2</v>
      </c>
      <c r="M4818" s="43">
        <v>46223</v>
      </c>
      <c r="N4818" s="1" t="str">
        <f>VLOOKUP(B4818,MICRO!E:L,8,0)</f>
        <v>P-198</v>
      </c>
    </row>
    <row r="4819" spans="1:15" ht="20.25" x14ac:dyDescent="0.25">
      <c r="A4819" s="1">
        <v>23</v>
      </c>
      <c r="B4819" s="159">
        <v>3765</v>
      </c>
      <c r="C4819" s="1" t="s">
        <v>3089</v>
      </c>
      <c r="D4819" s="1"/>
      <c r="E4819" s="1"/>
      <c r="F4819" s="1" t="s">
        <v>3090</v>
      </c>
      <c r="G4819" s="1">
        <v>2</v>
      </c>
      <c r="H4819" s="1" t="s">
        <v>19</v>
      </c>
      <c r="I4819" s="1" t="s">
        <v>3034</v>
      </c>
      <c r="J4819" s="1">
        <v>28</v>
      </c>
      <c r="K4819" s="1">
        <v>56</v>
      </c>
      <c r="L4819" s="42">
        <v>2</v>
      </c>
      <c r="M4819" s="43">
        <v>46223</v>
      </c>
      <c r="N4819" s="1" t="str">
        <f>VLOOKUP(B4819,MICRO!E:L,8,0)</f>
        <v>P-198</v>
      </c>
    </row>
    <row r="4820" spans="1:15" ht="20.25" x14ac:dyDescent="0.25">
      <c r="A4820" s="1">
        <v>24</v>
      </c>
      <c r="B4820" s="159">
        <v>3768</v>
      </c>
      <c r="C4820" s="1" t="s">
        <v>3094</v>
      </c>
      <c r="D4820" s="1"/>
      <c r="E4820" s="1" t="s">
        <v>43</v>
      </c>
      <c r="F4820" s="1" t="s">
        <v>3309</v>
      </c>
      <c r="G4820" s="1"/>
      <c r="H4820" s="1" t="s">
        <v>19</v>
      </c>
      <c r="I4820" s="1" t="s">
        <v>3093</v>
      </c>
      <c r="J4820" s="1">
        <v>4.4000000000000004</v>
      </c>
      <c r="K4820" s="1">
        <v>316.8</v>
      </c>
      <c r="L4820" s="42">
        <v>2</v>
      </c>
      <c r="M4820" s="43">
        <v>46223</v>
      </c>
      <c r="N4820" s="1" t="str">
        <f>VLOOKUP(B4820,MICRO!E:L,8,0)</f>
        <v>P-198</v>
      </c>
    </row>
    <row r="4821" spans="1:15" ht="20.25" x14ac:dyDescent="0.25">
      <c r="A4821" s="1">
        <v>25</v>
      </c>
      <c r="B4821" s="159">
        <v>3768</v>
      </c>
      <c r="C4821" s="1" t="s">
        <v>3094</v>
      </c>
      <c r="D4821" s="1"/>
      <c r="E4821" s="1" t="s">
        <v>746</v>
      </c>
      <c r="F4821" s="1" t="s">
        <v>3310</v>
      </c>
      <c r="G4821" s="1"/>
      <c r="H4821" s="1" t="s">
        <v>19</v>
      </c>
      <c r="I4821" s="1" t="s">
        <v>3093</v>
      </c>
      <c r="J4821" s="1">
        <v>4.5</v>
      </c>
      <c r="K4821" s="1">
        <v>324</v>
      </c>
      <c r="L4821" s="42">
        <v>2</v>
      </c>
      <c r="M4821" s="43">
        <v>46223</v>
      </c>
      <c r="N4821" s="1" t="str">
        <f>VLOOKUP(B4821,MICRO!E:L,8,0)</f>
        <v>P-198</v>
      </c>
    </row>
    <row r="4822" spans="1:15" ht="20.25" x14ac:dyDescent="0.25">
      <c r="A4822" s="1">
        <v>26</v>
      </c>
      <c r="B4822" s="159">
        <v>3768</v>
      </c>
      <c r="C4822" s="1" t="s">
        <v>3094</v>
      </c>
      <c r="D4822" s="1"/>
      <c r="E4822" s="1" t="s">
        <v>2</v>
      </c>
      <c r="F4822" s="1" t="s">
        <v>3095</v>
      </c>
      <c r="G4822" s="1">
        <v>13</v>
      </c>
      <c r="H4822" s="1" t="s">
        <v>19</v>
      </c>
      <c r="I4822" s="1" t="s">
        <v>3093</v>
      </c>
      <c r="J4822" s="1">
        <v>86.2</v>
      </c>
      <c r="K4822" s="1">
        <v>1120.6000000000001</v>
      </c>
      <c r="L4822" s="42">
        <v>2</v>
      </c>
      <c r="M4822" s="43">
        <v>46223</v>
      </c>
      <c r="N4822" s="1" t="str">
        <f>VLOOKUP(B4822,MICRO!E:L,8,0)</f>
        <v>P-198</v>
      </c>
    </row>
    <row r="4823" spans="1:15" ht="20.25" x14ac:dyDescent="0.25">
      <c r="A4823" s="1">
        <v>27</v>
      </c>
      <c r="B4823" s="159">
        <v>3804</v>
      </c>
      <c r="C4823" s="1" t="s">
        <v>3146</v>
      </c>
      <c r="D4823" s="1"/>
      <c r="E4823" s="1"/>
      <c r="F4823" s="1" t="s">
        <v>3147</v>
      </c>
      <c r="G4823" s="1">
        <v>1</v>
      </c>
      <c r="H4823" s="1" t="s">
        <v>19</v>
      </c>
      <c r="I4823" s="1" t="s">
        <v>3140</v>
      </c>
      <c r="J4823" s="1">
        <v>28</v>
      </c>
      <c r="K4823" s="1">
        <v>28</v>
      </c>
      <c r="L4823" s="42">
        <v>2</v>
      </c>
      <c r="M4823" s="43">
        <v>46223</v>
      </c>
      <c r="N4823" s="1" t="str">
        <f>VLOOKUP(B4823,MICRO!E:L,8,0)</f>
        <v>P-198</v>
      </c>
    </row>
    <row r="4824" spans="1:15" ht="20.25" x14ac:dyDescent="0.25">
      <c r="A4824" s="1">
        <v>28</v>
      </c>
      <c r="B4824" s="159">
        <v>3805</v>
      </c>
      <c r="C4824" s="1" t="s">
        <v>3148</v>
      </c>
      <c r="D4824" s="1"/>
      <c r="E4824" s="1"/>
      <c r="F4824" s="1" t="s">
        <v>3149</v>
      </c>
      <c r="G4824" s="1">
        <v>1</v>
      </c>
      <c r="H4824" s="1" t="s">
        <v>19</v>
      </c>
      <c r="I4824" s="1" t="s">
        <v>3140</v>
      </c>
      <c r="J4824" s="1">
        <v>28</v>
      </c>
      <c r="K4824" s="1">
        <v>28</v>
      </c>
      <c r="L4824" s="42">
        <v>2</v>
      </c>
      <c r="M4824" s="43">
        <v>46223</v>
      </c>
      <c r="N4824" s="1" t="str">
        <f>VLOOKUP(B4824,MICRO!E:L,8,0)</f>
        <v>P-198</v>
      </c>
    </row>
    <row r="4825" spans="1:15" ht="20.25" x14ac:dyDescent="0.25">
      <c r="A4825" s="1">
        <v>29</v>
      </c>
      <c r="B4825" s="159">
        <v>3807</v>
      </c>
      <c r="C4825" s="1" t="s">
        <v>3152</v>
      </c>
      <c r="D4825" s="1"/>
      <c r="E4825" s="1"/>
      <c r="F4825" s="1" t="s">
        <v>3153</v>
      </c>
      <c r="G4825" s="1">
        <v>2</v>
      </c>
      <c r="H4825" s="1" t="s">
        <v>19</v>
      </c>
      <c r="I4825" s="1" t="s">
        <v>3140</v>
      </c>
      <c r="J4825" s="1">
        <v>28</v>
      </c>
      <c r="K4825" s="1">
        <v>56</v>
      </c>
      <c r="L4825" s="42">
        <v>2</v>
      </c>
      <c r="M4825" s="43">
        <v>46223</v>
      </c>
      <c r="N4825" s="1" t="str">
        <f>VLOOKUP(B4825,MICRO!E:L,8,0)</f>
        <v>P-198</v>
      </c>
    </row>
    <row r="4826" spans="1:15" ht="20.25" x14ac:dyDescent="0.25">
      <c r="A4826" s="1">
        <v>30</v>
      </c>
      <c r="B4826" s="159">
        <v>3808</v>
      </c>
      <c r="C4826" s="1" t="s">
        <v>3154</v>
      </c>
      <c r="D4826" s="1"/>
      <c r="E4826" s="1"/>
      <c r="F4826" s="1" t="s">
        <v>3155</v>
      </c>
      <c r="G4826" s="1">
        <v>11</v>
      </c>
      <c r="H4826" s="1" t="s">
        <v>19</v>
      </c>
      <c r="I4826" s="1" t="s">
        <v>3140</v>
      </c>
      <c r="J4826" s="1">
        <v>28.1</v>
      </c>
      <c r="K4826" s="1">
        <v>309.10000000000002</v>
      </c>
      <c r="L4826" s="42">
        <v>2</v>
      </c>
      <c r="M4826" s="43">
        <v>46223</v>
      </c>
      <c r="N4826" s="1" t="str">
        <f>VLOOKUP(B4826,MICRO!E:L,8,0)</f>
        <v>P-198</v>
      </c>
    </row>
    <row r="4827" spans="1:15" ht="20.25" x14ac:dyDescent="0.25">
      <c r="A4827" s="1">
        <v>31</v>
      </c>
      <c r="B4827" s="159">
        <v>3810</v>
      </c>
      <c r="C4827" s="1" t="s">
        <v>3157</v>
      </c>
      <c r="D4827" s="1"/>
      <c r="E4827" s="1"/>
      <c r="F4827" s="1" t="s">
        <v>3158</v>
      </c>
      <c r="G4827" s="1">
        <v>1</v>
      </c>
      <c r="H4827" s="1" t="s">
        <v>19</v>
      </c>
      <c r="I4827" s="1" t="s">
        <v>3140</v>
      </c>
      <c r="J4827" s="1">
        <v>28</v>
      </c>
      <c r="K4827" s="1">
        <v>28</v>
      </c>
      <c r="L4827" s="42">
        <v>2</v>
      </c>
      <c r="M4827" s="43">
        <v>46223</v>
      </c>
      <c r="N4827" s="1" t="str">
        <f>VLOOKUP(B4827,MICRO!E:L,8,0)</f>
        <v>P-198</v>
      </c>
    </row>
    <row r="4828" spans="1:15" ht="20.25" x14ac:dyDescent="0.25">
      <c r="A4828" s="1">
        <v>1</v>
      </c>
      <c r="B4828" s="159">
        <v>3406</v>
      </c>
      <c r="C4828" s="1" t="s">
        <v>139</v>
      </c>
      <c r="D4828" s="1"/>
      <c r="E4828" s="1"/>
      <c r="F4828" s="1" t="s">
        <v>188</v>
      </c>
      <c r="G4828" s="1">
        <v>3</v>
      </c>
      <c r="H4828" s="1" t="s">
        <v>19</v>
      </c>
      <c r="I4828" s="1" t="s">
        <v>2274</v>
      </c>
      <c r="J4828" s="1">
        <v>7</v>
      </c>
      <c r="K4828" s="1">
        <v>21</v>
      </c>
      <c r="L4828" s="42">
        <v>12</v>
      </c>
      <c r="M4828" s="43">
        <v>46216</v>
      </c>
      <c r="N4828" s="1" t="str">
        <f>VLOOKUP(B4828,MICRO!E:L,8,0)</f>
        <v>P-188</v>
      </c>
      <c r="O4828" s="211" t="s">
        <v>6</v>
      </c>
    </row>
    <row r="4829" spans="1:15" ht="20.25" x14ac:dyDescent="0.25">
      <c r="A4829" s="1">
        <v>2</v>
      </c>
      <c r="B4829" s="159">
        <v>3407</v>
      </c>
      <c r="C4829" s="1" t="s">
        <v>139</v>
      </c>
      <c r="D4829" s="1"/>
      <c r="E4829" s="1"/>
      <c r="F4829" s="1" t="s">
        <v>188</v>
      </c>
      <c r="G4829" s="1">
        <v>3</v>
      </c>
      <c r="H4829" s="1" t="s">
        <v>19</v>
      </c>
      <c r="I4829" s="1" t="s">
        <v>2276</v>
      </c>
      <c r="J4829" s="1">
        <v>7</v>
      </c>
      <c r="K4829" s="1">
        <v>21</v>
      </c>
      <c r="L4829" s="42">
        <v>12</v>
      </c>
      <c r="M4829" s="43">
        <v>46216</v>
      </c>
      <c r="N4829" s="1" t="str">
        <f>VLOOKUP(B4829,MICRO!E:L,8,0)</f>
        <v>P-188</v>
      </c>
      <c r="O4829" s="211" t="s">
        <v>6</v>
      </c>
    </row>
    <row r="4830" spans="1:15" ht="20.25" x14ac:dyDescent="0.25">
      <c r="A4830" s="1">
        <v>3</v>
      </c>
      <c r="B4830" s="159">
        <v>4415</v>
      </c>
      <c r="C4830" s="1" t="s">
        <v>653</v>
      </c>
      <c r="D4830" s="1"/>
      <c r="E4830" s="1"/>
      <c r="F4830" s="1" t="s">
        <v>4559</v>
      </c>
      <c r="G4830" s="1">
        <v>2</v>
      </c>
      <c r="H4830" s="1" t="s">
        <v>19</v>
      </c>
      <c r="I4830" s="1" t="s">
        <v>2274</v>
      </c>
      <c r="J4830" s="1">
        <v>2.39</v>
      </c>
      <c r="K4830" s="1">
        <v>4.78</v>
      </c>
      <c r="L4830" s="42">
        <v>12</v>
      </c>
      <c r="M4830" s="43">
        <v>46216</v>
      </c>
      <c r="N4830" s="1" t="str">
        <f>VLOOKUP(B4830,MICRO!E:L,8,0)</f>
        <v>P-188</v>
      </c>
      <c r="O4830" s="211" t="s">
        <v>6</v>
      </c>
    </row>
    <row r="4831" spans="1:15" ht="20.25" x14ac:dyDescent="0.25">
      <c r="A4831" s="1">
        <v>4</v>
      </c>
      <c r="B4831" s="159">
        <v>4416</v>
      </c>
      <c r="C4831" s="1" t="s">
        <v>653</v>
      </c>
      <c r="D4831" s="1"/>
      <c r="E4831" s="1"/>
      <c r="F4831" s="1" t="s">
        <v>4559</v>
      </c>
      <c r="G4831" s="1">
        <v>2</v>
      </c>
      <c r="H4831" s="1" t="s">
        <v>19</v>
      </c>
      <c r="I4831" s="1" t="s">
        <v>2276</v>
      </c>
      <c r="J4831" s="1">
        <v>2.39</v>
      </c>
      <c r="K4831" s="1">
        <v>4.78</v>
      </c>
      <c r="L4831" s="42">
        <v>12</v>
      </c>
      <c r="M4831" s="43">
        <v>46216</v>
      </c>
      <c r="N4831" s="1" t="str">
        <f>VLOOKUP(B4831,MICRO!E:L,8,0)</f>
        <v>P-188</v>
      </c>
      <c r="O4831" s="211" t="s">
        <v>6</v>
      </c>
    </row>
    <row r="4832" spans="1:15" ht="20.25" x14ac:dyDescent="0.25">
      <c r="A4832" s="1">
        <v>5</v>
      </c>
      <c r="B4832" t="s">
        <v>4697</v>
      </c>
      <c r="C4832" s="1" t="s">
        <v>4560</v>
      </c>
      <c r="D4832" s="1"/>
      <c r="E4832" s="1"/>
      <c r="F4832" s="1" t="s">
        <v>4561</v>
      </c>
      <c r="G4832" s="1">
        <v>16</v>
      </c>
      <c r="H4832" s="1" t="s">
        <v>4562</v>
      </c>
      <c r="I4832" s="1" t="s">
        <v>4560</v>
      </c>
      <c r="J4832" s="1">
        <v>1.2</v>
      </c>
      <c r="K4832" s="1">
        <v>19.2</v>
      </c>
      <c r="L4832" s="42">
        <v>12</v>
      </c>
      <c r="M4832" s="43">
        <v>46216</v>
      </c>
      <c r="N4832" s="1" t="str">
        <f>VLOOKUP(B4832,MICRO!E:L,8,0)</f>
        <v>P-188</v>
      </c>
      <c r="O4832" s="211" t="s">
        <v>6</v>
      </c>
    </row>
    <row r="4833" spans="1:15" ht="20.25" x14ac:dyDescent="0.25">
      <c r="A4833" s="1">
        <v>6</v>
      </c>
      <c r="B4833" t="s">
        <v>4698</v>
      </c>
      <c r="C4833" s="1" t="s">
        <v>4560</v>
      </c>
      <c r="D4833" s="1"/>
      <c r="E4833" s="1"/>
      <c r="F4833" s="1" t="s">
        <v>4563</v>
      </c>
      <c r="G4833" s="1">
        <v>8</v>
      </c>
      <c r="H4833" s="1" t="s">
        <v>4562</v>
      </c>
      <c r="I4833" s="1" t="s">
        <v>4560</v>
      </c>
      <c r="J4833" s="1">
        <v>1.8</v>
      </c>
      <c r="K4833" s="1">
        <v>14.4</v>
      </c>
      <c r="L4833" s="42">
        <v>12</v>
      </c>
      <c r="M4833" s="43">
        <v>46216</v>
      </c>
      <c r="N4833" s="1" t="str">
        <f>VLOOKUP(B4833,MICRO!E:L,8,0)</f>
        <v>P-188</v>
      </c>
      <c r="O4833" s="211" t="s">
        <v>6</v>
      </c>
    </row>
    <row r="4834" spans="1:15" ht="20.25" x14ac:dyDescent="0.25">
      <c r="A4834" s="1">
        <v>7</v>
      </c>
      <c r="B4834" t="s">
        <v>4699</v>
      </c>
      <c r="C4834" s="1" t="s">
        <v>4560</v>
      </c>
      <c r="D4834" s="1"/>
      <c r="E4834" s="1"/>
      <c r="F4834" s="1" t="s">
        <v>4564</v>
      </c>
      <c r="G4834" s="1">
        <v>7</v>
      </c>
      <c r="H4834" s="1" t="s">
        <v>4562</v>
      </c>
      <c r="I4834" s="1" t="s">
        <v>4560</v>
      </c>
      <c r="J4834" s="1">
        <v>2.1</v>
      </c>
      <c r="K4834" s="1">
        <v>14.700000000000001</v>
      </c>
      <c r="L4834" s="42">
        <v>12</v>
      </c>
      <c r="M4834" s="43">
        <v>46216</v>
      </c>
      <c r="N4834" s="1" t="str">
        <f>VLOOKUP(B4834,MICRO!E:L,8,0)</f>
        <v>P-188</v>
      </c>
      <c r="O4834" s="211" t="s">
        <v>6</v>
      </c>
    </row>
    <row r="4835" spans="1:15" ht="20.25" x14ac:dyDescent="0.25">
      <c r="A4835" s="1">
        <v>8</v>
      </c>
      <c r="B4835" t="s">
        <v>4700</v>
      </c>
      <c r="C4835" s="1" t="s">
        <v>4560</v>
      </c>
      <c r="D4835" s="1"/>
      <c r="E4835" s="1"/>
      <c r="F4835" s="1" t="s">
        <v>4565</v>
      </c>
      <c r="G4835" s="1">
        <v>3</v>
      </c>
      <c r="H4835" s="1" t="s">
        <v>4566</v>
      </c>
      <c r="I4835" s="1" t="s">
        <v>4560</v>
      </c>
      <c r="J4835" s="1">
        <v>0.05</v>
      </c>
      <c r="K4835" s="1">
        <v>0.15000000000000002</v>
      </c>
      <c r="L4835" s="42">
        <v>12</v>
      </c>
      <c r="M4835" s="43">
        <v>46216</v>
      </c>
      <c r="N4835" s="1" t="str">
        <f>VLOOKUP(B4835,MICRO!E:L,8,0)</f>
        <v>P-188</v>
      </c>
      <c r="O4835" s="211" t="s">
        <v>6</v>
      </c>
    </row>
    <row r="4836" spans="1:15" ht="20.25" x14ac:dyDescent="0.25">
      <c r="A4836" s="1">
        <v>9</v>
      </c>
      <c r="B4836" t="s">
        <v>4701</v>
      </c>
      <c r="C4836" s="1" t="s">
        <v>4560</v>
      </c>
      <c r="D4836" s="1"/>
      <c r="E4836" s="1"/>
      <c r="F4836" s="1" t="s">
        <v>4567</v>
      </c>
      <c r="G4836" s="1">
        <v>3</v>
      </c>
      <c r="H4836" s="1" t="s">
        <v>4566</v>
      </c>
      <c r="I4836" s="1" t="s">
        <v>4560</v>
      </c>
      <c r="J4836" s="1">
        <v>0.02</v>
      </c>
      <c r="K4836" s="1">
        <v>0.06</v>
      </c>
      <c r="L4836" s="42">
        <v>12</v>
      </c>
      <c r="M4836" s="43">
        <v>46216</v>
      </c>
      <c r="N4836" s="1" t="str">
        <f>VLOOKUP(B4836,MICRO!E:L,8,0)</f>
        <v>P-188</v>
      </c>
      <c r="O4836" s="211" t="s">
        <v>6</v>
      </c>
    </row>
    <row r="4837" spans="1:15" ht="20.25" x14ac:dyDescent="0.25">
      <c r="A4837" s="1">
        <v>10</v>
      </c>
      <c r="B4837" t="s">
        <v>4702</v>
      </c>
      <c r="C4837" s="1" t="s">
        <v>4560</v>
      </c>
      <c r="D4837" s="1"/>
      <c r="E4837" s="1"/>
      <c r="F4837" s="1" t="s">
        <v>4568</v>
      </c>
      <c r="G4837" s="1">
        <v>2</v>
      </c>
      <c r="H4837" s="1" t="s">
        <v>4566</v>
      </c>
      <c r="I4837" s="1" t="s">
        <v>4560</v>
      </c>
      <c r="J4837" s="1">
        <v>0.8</v>
      </c>
      <c r="K4837" s="1">
        <v>1.6</v>
      </c>
      <c r="L4837" s="42">
        <v>12</v>
      </c>
      <c r="M4837" s="43">
        <v>46216</v>
      </c>
      <c r="N4837" s="1" t="str">
        <f>VLOOKUP(B4837,MICRO!E:L,8,0)</f>
        <v>P-188</v>
      </c>
      <c r="O4837" s="211" t="s">
        <v>6</v>
      </c>
    </row>
    <row r="4838" spans="1:15" ht="20.25" x14ac:dyDescent="0.25">
      <c r="A4838" s="1">
        <v>11</v>
      </c>
      <c r="B4838" t="s">
        <v>4703</v>
      </c>
      <c r="C4838" s="1" t="s">
        <v>4560</v>
      </c>
      <c r="D4838" s="1"/>
      <c r="E4838" s="1"/>
      <c r="F4838" s="1" t="s">
        <v>4569</v>
      </c>
      <c r="G4838" s="1">
        <v>6</v>
      </c>
      <c r="H4838" s="1" t="s">
        <v>4566</v>
      </c>
      <c r="I4838" s="1" t="s">
        <v>4560</v>
      </c>
      <c r="J4838" s="1">
        <v>0.04</v>
      </c>
      <c r="K4838" s="1">
        <v>0.24</v>
      </c>
      <c r="L4838" s="42">
        <v>12</v>
      </c>
      <c r="M4838" s="43">
        <v>46216</v>
      </c>
      <c r="N4838" s="1" t="str">
        <f>VLOOKUP(B4838,MICRO!E:L,8,0)</f>
        <v>P-188</v>
      </c>
      <c r="O4838" s="211" t="s">
        <v>6</v>
      </c>
    </row>
    <row r="4839" spans="1:15" ht="20.25" x14ac:dyDescent="0.25">
      <c r="A4839" s="1">
        <v>12</v>
      </c>
      <c r="B4839" t="s">
        <v>4704</v>
      </c>
      <c r="C4839" s="1" t="s">
        <v>4560</v>
      </c>
      <c r="D4839" s="1"/>
      <c r="E4839" s="1"/>
      <c r="F4839" s="1" t="s">
        <v>4570</v>
      </c>
      <c r="G4839" s="1">
        <v>2</v>
      </c>
      <c r="H4839" s="1" t="s">
        <v>4562</v>
      </c>
      <c r="I4839" s="1" t="s">
        <v>4560</v>
      </c>
      <c r="J4839" s="1">
        <v>0.05</v>
      </c>
      <c r="K4839" s="1">
        <v>0.1</v>
      </c>
      <c r="L4839" s="42">
        <v>12</v>
      </c>
      <c r="M4839" s="43">
        <v>46216</v>
      </c>
      <c r="N4839" s="1" t="str">
        <f>VLOOKUP(B4839,MICRO!E:L,8,0)</f>
        <v>P-188</v>
      </c>
      <c r="O4839" s="211" t="s">
        <v>6</v>
      </c>
    </row>
    <row r="4840" spans="1:15" ht="20.25" x14ac:dyDescent="0.25">
      <c r="A4840" s="1">
        <v>13</v>
      </c>
      <c r="B4840" t="s">
        <v>4705</v>
      </c>
      <c r="C4840" s="1" t="s">
        <v>4560</v>
      </c>
      <c r="D4840" s="1"/>
      <c r="E4840" s="1"/>
      <c r="F4840" s="1" t="s">
        <v>4571</v>
      </c>
      <c r="G4840" s="1">
        <v>6</v>
      </c>
      <c r="H4840" s="1" t="s">
        <v>4562</v>
      </c>
      <c r="I4840" s="1" t="s">
        <v>4560</v>
      </c>
      <c r="J4840" s="1">
        <v>0.03</v>
      </c>
      <c r="K4840" s="1">
        <v>0.18</v>
      </c>
      <c r="L4840" s="42">
        <v>12</v>
      </c>
      <c r="M4840" s="43">
        <v>46216</v>
      </c>
      <c r="N4840" s="1" t="str">
        <f>VLOOKUP(B4840,MICRO!E:L,8,0)</f>
        <v>P-188</v>
      </c>
      <c r="O4840" s="211" t="s">
        <v>6</v>
      </c>
    </row>
    <row r="4841" spans="1:15" ht="20.25" x14ac:dyDescent="0.25">
      <c r="A4841" s="1">
        <v>14</v>
      </c>
      <c r="B4841" t="s">
        <v>4706</v>
      </c>
      <c r="C4841" s="1" t="s">
        <v>4560</v>
      </c>
      <c r="D4841" s="1"/>
      <c r="E4841" s="1"/>
      <c r="F4841" s="1" t="s">
        <v>4572</v>
      </c>
      <c r="G4841" s="1">
        <v>2</v>
      </c>
      <c r="H4841" s="1" t="s">
        <v>4562</v>
      </c>
      <c r="I4841" s="1" t="s">
        <v>4560</v>
      </c>
      <c r="J4841" s="1">
        <v>0.05</v>
      </c>
      <c r="K4841" s="1">
        <v>0.1</v>
      </c>
      <c r="L4841" s="42">
        <v>12</v>
      </c>
      <c r="M4841" s="43">
        <v>46216</v>
      </c>
      <c r="N4841" s="1" t="str">
        <f>VLOOKUP(B4841,MICRO!E:L,8,0)</f>
        <v>P-188</v>
      </c>
      <c r="O4841" s="211" t="s">
        <v>6</v>
      </c>
    </row>
    <row r="4842" spans="1:15" ht="20.25" x14ac:dyDescent="0.25">
      <c r="A4842" s="1">
        <v>15</v>
      </c>
      <c r="B4842" t="s">
        <v>4707</v>
      </c>
      <c r="C4842" s="1" t="s">
        <v>4560</v>
      </c>
      <c r="D4842" s="1"/>
      <c r="E4842" s="1"/>
      <c r="F4842" s="1" t="s">
        <v>4573</v>
      </c>
      <c r="G4842" s="1">
        <v>2</v>
      </c>
      <c r="H4842" s="1" t="s">
        <v>4562</v>
      </c>
      <c r="I4842" s="1" t="s">
        <v>4560</v>
      </c>
      <c r="J4842" s="1">
        <v>0.08</v>
      </c>
      <c r="K4842" s="1">
        <v>0.16</v>
      </c>
      <c r="L4842" s="42">
        <v>12</v>
      </c>
      <c r="M4842" s="43">
        <v>46216</v>
      </c>
      <c r="N4842" s="1" t="str">
        <f>VLOOKUP(B4842,MICRO!E:L,8,0)</f>
        <v>P-188</v>
      </c>
      <c r="O4842" s="211" t="s">
        <v>6</v>
      </c>
    </row>
    <row r="4843" spans="1:15" ht="20.25" x14ac:dyDescent="0.25">
      <c r="A4843" s="1">
        <v>16</v>
      </c>
      <c r="B4843" t="s">
        <v>4708</v>
      </c>
      <c r="C4843" s="1" t="s">
        <v>4560</v>
      </c>
      <c r="D4843" s="1"/>
      <c r="E4843" s="1"/>
      <c r="F4843" s="1" t="s">
        <v>4574</v>
      </c>
      <c r="G4843" s="1">
        <v>4</v>
      </c>
      <c r="H4843" s="1" t="s">
        <v>4566</v>
      </c>
      <c r="I4843" s="1" t="s">
        <v>4560</v>
      </c>
      <c r="J4843" s="1">
        <v>0.03</v>
      </c>
      <c r="K4843" s="1">
        <v>0.12</v>
      </c>
      <c r="L4843" s="42">
        <v>12</v>
      </c>
      <c r="M4843" s="43">
        <v>46216</v>
      </c>
      <c r="N4843" s="1" t="str">
        <f>VLOOKUP(B4843,MICRO!E:L,8,0)</f>
        <v>P-188</v>
      </c>
      <c r="O4843" s="211" t="s">
        <v>6</v>
      </c>
    </row>
    <row r="4844" spans="1:15" ht="20.25" x14ac:dyDescent="0.25">
      <c r="A4844" s="1">
        <v>17</v>
      </c>
      <c r="B4844" t="s">
        <v>4709</v>
      </c>
      <c r="C4844" s="1" t="s">
        <v>4560</v>
      </c>
      <c r="D4844" s="1"/>
      <c r="E4844" s="1"/>
      <c r="F4844" s="1" t="s">
        <v>4575</v>
      </c>
      <c r="G4844" s="1">
        <v>2</v>
      </c>
      <c r="H4844" s="1" t="s">
        <v>4566</v>
      </c>
      <c r="I4844" s="1" t="s">
        <v>4560</v>
      </c>
      <c r="J4844" s="1">
        <v>0.05</v>
      </c>
      <c r="K4844" s="1">
        <v>0.1</v>
      </c>
      <c r="L4844" s="42">
        <v>12</v>
      </c>
      <c r="M4844" s="43">
        <v>46216</v>
      </c>
      <c r="N4844" s="1" t="str">
        <f>VLOOKUP(B4844,MICRO!E:L,8,0)</f>
        <v>P-188</v>
      </c>
      <c r="O4844" s="211" t="s">
        <v>6</v>
      </c>
    </row>
    <row r="4845" spans="1:15" ht="20.25" x14ac:dyDescent="0.25">
      <c r="A4845" s="1">
        <v>18</v>
      </c>
      <c r="B4845" t="s">
        <v>4710</v>
      </c>
      <c r="C4845" s="1" t="s">
        <v>4560</v>
      </c>
      <c r="D4845" s="1"/>
      <c r="E4845" s="1"/>
      <c r="F4845" s="1" t="s">
        <v>4576</v>
      </c>
      <c r="G4845" s="1">
        <v>3</v>
      </c>
      <c r="H4845" s="1" t="s">
        <v>4566</v>
      </c>
      <c r="I4845" s="1" t="s">
        <v>4560</v>
      </c>
      <c r="J4845" s="1">
        <v>0.08</v>
      </c>
      <c r="K4845" s="1">
        <v>0.24</v>
      </c>
      <c r="L4845" s="42">
        <v>12</v>
      </c>
      <c r="M4845" s="43">
        <v>46216</v>
      </c>
      <c r="N4845" s="1" t="str">
        <f>VLOOKUP(B4845,MICRO!E:L,8,0)</f>
        <v>P-188</v>
      </c>
      <c r="O4845" s="211" t="s">
        <v>6</v>
      </c>
    </row>
    <row r="4846" spans="1:15" ht="20.25" x14ac:dyDescent="0.25">
      <c r="A4846" s="1">
        <v>19</v>
      </c>
      <c r="B4846" t="s">
        <v>4711</v>
      </c>
      <c r="C4846" s="1" t="s">
        <v>4560</v>
      </c>
      <c r="D4846" s="1"/>
      <c r="E4846" s="1"/>
      <c r="F4846" s="1" t="s">
        <v>4577</v>
      </c>
      <c r="G4846" s="1">
        <v>5</v>
      </c>
      <c r="H4846" s="1" t="s">
        <v>4566</v>
      </c>
      <c r="I4846" s="1" t="s">
        <v>4560</v>
      </c>
      <c r="J4846" s="1">
        <v>0.03</v>
      </c>
      <c r="K4846" s="1">
        <v>0.15</v>
      </c>
      <c r="L4846" s="42">
        <v>12</v>
      </c>
      <c r="M4846" s="43">
        <v>46216</v>
      </c>
      <c r="N4846" s="1" t="str">
        <f>VLOOKUP(B4846,MICRO!E:L,8,0)</f>
        <v>P-188</v>
      </c>
      <c r="O4846" s="211" t="s">
        <v>6</v>
      </c>
    </row>
    <row r="4847" spans="1:15" ht="20.25" x14ac:dyDescent="0.25">
      <c r="A4847" s="1">
        <v>20</v>
      </c>
      <c r="B4847" t="s">
        <v>4712</v>
      </c>
      <c r="C4847" s="1" t="s">
        <v>4560</v>
      </c>
      <c r="D4847" s="1"/>
      <c r="E4847" s="1"/>
      <c r="F4847" s="1" t="s">
        <v>4578</v>
      </c>
      <c r="G4847" s="1">
        <v>7</v>
      </c>
      <c r="H4847" s="1" t="s">
        <v>4566</v>
      </c>
      <c r="I4847" s="1" t="s">
        <v>4560</v>
      </c>
      <c r="J4847" s="1">
        <v>0.02</v>
      </c>
      <c r="K4847" s="1">
        <v>0.14000000000000001</v>
      </c>
      <c r="L4847" s="42">
        <v>12</v>
      </c>
      <c r="M4847" s="43">
        <v>46216</v>
      </c>
      <c r="N4847" s="1" t="str">
        <f>VLOOKUP(B4847,MICRO!E:L,8,0)</f>
        <v>P-188</v>
      </c>
      <c r="O4847" s="211" t="s">
        <v>6</v>
      </c>
    </row>
    <row r="4848" spans="1:15" ht="20.25" x14ac:dyDescent="0.25">
      <c r="A4848" s="1">
        <v>21</v>
      </c>
      <c r="B4848" t="s">
        <v>4713</v>
      </c>
      <c r="C4848" s="1" t="s">
        <v>4560</v>
      </c>
      <c r="D4848" s="1"/>
      <c r="E4848" s="1"/>
      <c r="F4848" s="1" t="s">
        <v>4579</v>
      </c>
      <c r="G4848" s="1">
        <v>32</v>
      </c>
      <c r="H4848" s="1" t="s">
        <v>4562</v>
      </c>
      <c r="I4848" s="1" t="s">
        <v>4560</v>
      </c>
      <c r="J4848" s="1">
        <v>0.02</v>
      </c>
      <c r="K4848" s="1">
        <v>0.64</v>
      </c>
      <c r="L4848" s="42">
        <v>12</v>
      </c>
      <c r="M4848" s="43">
        <v>46216</v>
      </c>
      <c r="N4848" s="1" t="str">
        <f>VLOOKUP(B4848,MICRO!E:L,8,0)</f>
        <v>P-188</v>
      </c>
      <c r="O4848" s="211" t="s">
        <v>6</v>
      </c>
    </row>
    <row r="4849" spans="1:15" ht="20.25" x14ac:dyDescent="0.25">
      <c r="A4849" s="1">
        <v>22</v>
      </c>
      <c r="B4849" t="s">
        <v>4714</v>
      </c>
      <c r="C4849" s="1" t="s">
        <v>4560</v>
      </c>
      <c r="D4849" s="1"/>
      <c r="E4849" s="1"/>
      <c r="F4849" s="1" t="s">
        <v>4580</v>
      </c>
      <c r="G4849" s="1">
        <v>16</v>
      </c>
      <c r="H4849" s="1" t="s">
        <v>4562</v>
      </c>
      <c r="I4849" s="1" t="s">
        <v>4560</v>
      </c>
      <c r="J4849" s="1">
        <v>0.04</v>
      </c>
      <c r="K4849" s="1">
        <v>0.64</v>
      </c>
      <c r="L4849" s="42">
        <v>12</v>
      </c>
      <c r="M4849" s="43">
        <v>46216</v>
      </c>
      <c r="N4849" s="1" t="str">
        <f>VLOOKUP(B4849,MICRO!E:L,8,0)</f>
        <v>P-188</v>
      </c>
      <c r="O4849" s="211" t="s">
        <v>6</v>
      </c>
    </row>
    <row r="4850" spans="1:15" ht="20.25" x14ac:dyDescent="0.25">
      <c r="A4850" s="1">
        <v>23</v>
      </c>
      <c r="B4850" t="s">
        <v>4715</v>
      </c>
      <c r="C4850" s="1" t="s">
        <v>4560</v>
      </c>
      <c r="D4850" s="1"/>
      <c r="E4850" s="1"/>
      <c r="F4850" s="1" t="s">
        <v>4581</v>
      </c>
      <c r="G4850" s="1">
        <v>14</v>
      </c>
      <c r="H4850" s="1" t="s">
        <v>4566</v>
      </c>
      <c r="I4850" s="1" t="s">
        <v>4560</v>
      </c>
      <c r="J4850" s="1">
        <v>0.06</v>
      </c>
      <c r="K4850" s="1">
        <v>0.84</v>
      </c>
      <c r="L4850" s="42">
        <v>12</v>
      </c>
      <c r="M4850" s="43">
        <v>46216</v>
      </c>
      <c r="N4850" s="1" t="str">
        <f>VLOOKUP(B4850,MICRO!E:L,8,0)</f>
        <v>P-188</v>
      </c>
      <c r="O4850" s="211" t="s">
        <v>6</v>
      </c>
    </row>
    <row r="4851" spans="1:15" ht="20.25" x14ac:dyDescent="0.25">
      <c r="A4851" s="1">
        <v>24</v>
      </c>
      <c r="B4851" t="s">
        <v>4716</v>
      </c>
      <c r="C4851" s="1" t="s">
        <v>4582</v>
      </c>
      <c r="D4851" s="1"/>
      <c r="E4851" s="1"/>
      <c r="F4851" s="1" t="s">
        <v>4583</v>
      </c>
      <c r="G4851" s="1">
        <v>16</v>
      </c>
      <c r="H4851" s="1" t="s">
        <v>4562</v>
      </c>
      <c r="I4851" s="1" t="s">
        <v>4582</v>
      </c>
      <c r="J4851" s="1">
        <v>1.2</v>
      </c>
      <c r="K4851" s="1">
        <v>19.2</v>
      </c>
      <c r="L4851" s="42">
        <v>12</v>
      </c>
      <c r="M4851" s="43">
        <v>46216</v>
      </c>
      <c r="N4851" s="1" t="str">
        <f>VLOOKUP(B4851,MICRO!E:L,8,0)</f>
        <v>P-188</v>
      </c>
      <c r="O4851" s="211" t="s">
        <v>6</v>
      </c>
    </row>
    <row r="4852" spans="1:15" ht="20.25" x14ac:dyDescent="0.25">
      <c r="A4852" s="1">
        <v>25</v>
      </c>
      <c r="B4852" t="s">
        <v>4717</v>
      </c>
      <c r="C4852" s="1" t="s">
        <v>4582</v>
      </c>
      <c r="D4852" s="1"/>
      <c r="E4852" s="1"/>
      <c r="F4852" s="1" t="s">
        <v>4584</v>
      </c>
      <c r="G4852" s="1">
        <v>8</v>
      </c>
      <c r="H4852" s="1" t="s">
        <v>4562</v>
      </c>
      <c r="I4852" s="1" t="s">
        <v>4582</v>
      </c>
      <c r="J4852" s="1">
        <v>1.8</v>
      </c>
      <c r="K4852" s="1">
        <v>14.4</v>
      </c>
      <c r="L4852" s="42">
        <v>12</v>
      </c>
      <c r="M4852" s="43">
        <v>46216</v>
      </c>
      <c r="N4852" s="1" t="str">
        <f>VLOOKUP(B4852,MICRO!E:L,8,0)</f>
        <v>P-188</v>
      </c>
      <c r="O4852" s="211" t="s">
        <v>6</v>
      </c>
    </row>
    <row r="4853" spans="1:15" ht="20.25" x14ac:dyDescent="0.25">
      <c r="A4853" s="1">
        <v>26</v>
      </c>
      <c r="B4853" t="s">
        <v>4718</v>
      </c>
      <c r="C4853" s="1" t="s">
        <v>4582</v>
      </c>
      <c r="D4853" s="1"/>
      <c r="E4853" s="1"/>
      <c r="F4853" s="1" t="s">
        <v>4585</v>
      </c>
      <c r="G4853" s="1">
        <v>7</v>
      </c>
      <c r="H4853" s="1" t="s">
        <v>4562</v>
      </c>
      <c r="I4853" s="1" t="s">
        <v>4582</v>
      </c>
      <c r="J4853" s="1">
        <v>2.1</v>
      </c>
      <c r="K4853" s="1">
        <v>14.700000000000001</v>
      </c>
      <c r="L4853" s="42">
        <v>12</v>
      </c>
      <c r="M4853" s="43">
        <v>46216</v>
      </c>
      <c r="N4853" s="1" t="str">
        <f>VLOOKUP(B4853,MICRO!E:L,8,0)</f>
        <v>P-188</v>
      </c>
      <c r="O4853" s="211" t="s">
        <v>6</v>
      </c>
    </row>
    <row r="4854" spans="1:15" ht="20.25" x14ac:dyDescent="0.25">
      <c r="A4854" s="1">
        <v>27</v>
      </c>
      <c r="B4854" t="s">
        <v>4719</v>
      </c>
      <c r="C4854" s="1" t="s">
        <v>4582</v>
      </c>
      <c r="D4854" s="1"/>
      <c r="E4854" s="1"/>
      <c r="F4854" s="1" t="s">
        <v>4586</v>
      </c>
      <c r="G4854" s="1">
        <v>3</v>
      </c>
      <c r="H4854" s="1" t="s">
        <v>4566</v>
      </c>
      <c r="I4854" s="1" t="s">
        <v>4582</v>
      </c>
      <c r="J4854" s="1">
        <v>0.05</v>
      </c>
      <c r="K4854" s="1">
        <v>0.15000000000000002</v>
      </c>
      <c r="L4854" s="42">
        <v>12</v>
      </c>
      <c r="M4854" s="43">
        <v>46216</v>
      </c>
      <c r="N4854" s="1" t="str">
        <f>VLOOKUP(B4854,MICRO!E:L,8,0)</f>
        <v>P-188</v>
      </c>
      <c r="O4854" s="211" t="s">
        <v>6</v>
      </c>
    </row>
    <row r="4855" spans="1:15" ht="20.25" x14ac:dyDescent="0.25">
      <c r="A4855" s="1">
        <v>28</v>
      </c>
      <c r="B4855" t="s">
        <v>4720</v>
      </c>
      <c r="C4855" s="1" t="s">
        <v>4582</v>
      </c>
      <c r="D4855" s="1"/>
      <c r="E4855" s="1"/>
      <c r="F4855" s="1" t="s">
        <v>4587</v>
      </c>
      <c r="G4855" s="1">
        <v>3</v>
      </c>
      <c r="H4855" s="1" t="s">
        <v>4566</v>
      </c>
      <c r="I4855" s="1" t="s">
        <v>4582</v>
      </c>
      <c r="J4855" s="1">
        <v>0.02</v>
      </c>
      <c r="K4855" s="1">
        <v>0.06</v>
      </c>
      <c r="L4855" s="42">
        <v>12</v>
      </c>
      <c r="M4855" s="43">
        <v>46216</v>
      </c>
      <c r="N4855" s="1" t="str">
        <f>VLOOKUP(B4855,MICRO!E:L,8,0)</f>
        <v>P-188</v>
      </c>
      <c r="O4855" s="211" t="s">
        <v>6</v>
      </c>
    </row>
    <row r="4856" spans="1:15" ht="20.25" x14ac:dyDescent="0.25">
      <c r="A4856" s="1">
        <v>29</v>
      </c>
      <c r="B4856" t="s">
        <v>4721</v>
      </c>
      <c r="C4856" s="1" t="s">
        <v>4582</v>
      </c>
      <c r="D4856" s="1"/>
      <c r="E4856" s="1"/>
      <c r="F4856" s="1" t="s">
        <v>4588</v>
      </c>
      <c r="G4856" s="1">
        <v>2</v>
      </c>
      <c r="H4856" s="1" t="s">
        <v>4566</v>
      </c>
      <c r="I4856" s="1" t="s">
        <v>4582</v>
      </c>
      <c r="J4856" s="1">
        <v>0.8</v>
      </c>
      <c r="K4856" s="1">
        <v>1.6</v>
      </c>
      <c r="L4856" s="42">
        <v>12</v>
      </c>
      <c r="M4856" s="43">
        <v>46216</v>
      </c>
      <c r="N4856" s="1" t="str">
        <f>VLOOKUP(B4856,MICRO!E:L,8,0)</f>
        <v>P-188</v>
      </c>
      <c r="O4856" s="211" t="s">
        <v>6</v>
      </c>
    </row>
    <row r="4857" spans="1:15" ht="20.25" x14ac:dyDescent="0.25">
      <c r="A4857" s="1">
        <v>30</v>
      </c>
      <c r="B4857" t="s">
        <v>4722</v>
      </c>
      <c r="C4857" s="1" t="s">
        <v>4582</v>
      </c>
      <c r="D4857" s="1"/>
      <c r="E4857" s="1"/>
      <c r="F4857" s="1" t="s">
        <v>4589</v>
      </c>
      <c r="G4857" s="1">
        <v>6</v>
      </c>
      <c r="H4857" s="1" t="s">
        <v>4566</v>
      </c>
      <c r="I4857" s="1" t="s">
        <v>4582</v>
      </c>
      <c r="J4857" s="1">
        <v>0.04</v>
      </c>
      <c r="K4857" s="1">
        <v>0.24</v>
      </c>
      <c r="L4857" s="42">
        <v>12</v>
      </c>
      <c r="M4857" s="43">
        <v>46216</v>
      </c>
      <c r="N4857" s="1" t="str">
        <f>VLOOKUP(B4857,MICRO!E:L,8,0)</f>
        <v>P-188</v>
      </c>
      <c r="O4857" s="211" t="s">
        <v>6</v>
      </c>
    </row>
    <row r="4858" spans="1:15" ht="20.25" x14ac:dyDescent="0.25">
      <c r="A4858" s="1">
        <v>31</v>
      </c>
      <c r="B4858" t="s">
        <v>4723</v>
      </c>
      <c r="C4858" s="1" t="s">
        <v>4582</v>
      </c>
      <c r="D4858" s="1"/>
      <c r="E4858" s="1"/>
      <c r="F4858" s="1" t="s">
        <v>4590</v>
      </c>
      <c r="G4858" s="1">
        <v>2</v>
      </c>
      <c r="H4858" s="1" t="s">
        <v>4562</v>
      </c>
      <c r="I4858" s="1" t="s">
        <v>4582</v>
      </c>
      <c r="J4858" s="1">
        <v>0.05</v>
      </c>
      <c r="K4858" s="1">
        <v>0.1</v>
      </c>
      <c r="L4858" s="42">
        <v>12</v>
      </c>
      <c r="M4858" s="43">
        <v>46216</v>
      </c>
      <c r="N4858" s="1" t="str">
        <f>VLOOKUP(B4858,MICRO!E:L,8,0)</f>
        <v>P-188</v>
      </c>
      <c r="O4858" s="211" t="s">
        <v>6</v>
      </c>
    </row>
    <row r="4859" spans="1:15" ht="20.25" x14ac:dyDescent="0.25">
      <c r="A4859" s="1">
        <v>32</v>
      </c>
      <c r="B4859" t="s">
        <v>4724</v>
      </c>
      <c r="C4859" s="1" t="s">
        <v>4582</v>
      </c>
      <c r="D4859" s="1"/>
      <c r="E4859" s="1"/>
      <c r="F4859" s="1" t="s">
        <v>4591</v>
      </c>
      <c r="G4859" s="1">
        <v>6</v>
      </c>
      <c r="H4859" s="1" t="s">
        <v>4562</v>
      </c>
      <c r="I4859" s="1" t="s">
        <v>4582</v>
      </c>
      <c r="J4859" s="1">
        <v>0.03</v>
      </c>
      <c r="K4859" s="1">
        <v>0.18</v>
      </c>
      <c r="L4859" s="42">
        <v>12</v>
      </c>
      <c r="M4859" s="43">
        <v>46216</v>
      </c>
      <c r="N4859" s="1" t="str">
        <f>VLOOKUP(B4859,MICRO!E:L,8,0)</f>
        <v>P-188</v>
      </c>
      <c r="O4859" s="211" t="s">
        <v>6</v>
      </c>
    </row>
    <row r="4860" spans="1:15" ht="20.25" x14ac:dyDescent="0.25">
      <c r="A4860" s="1">
        <v>33</v>
      </c>
      <c r="B4860" t="s">
        <v>4725</v>
      </c>
      <c r="C4860" s="1" t="s">
        <v>4582</v>
      </c>
      <c r="D4860" s="1"/>
      <c r="E4860" s="1"/>
      <c r="F4860" s="1" t="s">
        <v>4592</v>
      </c>
      <c r="G4860" s="1">
        <v>2</v>
      </c>
      <c r="H4860" s="1" t="s">
        <v>4562</v>
      </c>
      <c r="I4860" s="1" t="s">
        <v>4582</v>
      </c>
      <c r="J4860" s="1">
        <v>0.05</v>
      </c>
      <c r="K4860" s="1">
        <v>0.1</v>
      </c>
      <c r="L4860" s="42">
        <v>12</v>
      </c>
      <c r="M4860" s="43">
        <v>46216</v>
      </c>
      <c r="N4860" s="1" t="str">
        <f>VLOOKUP(B4860,MICRO!E:L,8,0)</f>
        <v>P-188</v>
      </c>
      <c r="O4860" s="211" t="s">
        <v>6</v>
      </c>
    </row>
    <row r="4861" spans="1:15" ht="20.25" x14ac:dyDescent="0.25">
      <c r="A4861" s="1">
        <v>34</v>
      </c>
      <c r="B4861" t="s">
        <v>4726</v>
      </c>
      <c r="C4861" s="1" t="s">
        <v>4582</v>
      </c>
      <c r="D4861" s="1"/>
      <c r="E4861" s="1"/>
      <c r="F4861" s="1" t="s">
        <v>4593</v>
      </c>
      <c r="G4861" s="1">
        <v>2</v>
      </c>
      <c r="H4861" s="1" t="s">
        <v>4562</v>
      </c>
      <c r="I4861" s="1" t="s">
        <v>4582</v>
      </c>
      <c r="J4861" s="1">
        <v>0.08</v>
      </c>
      <c r="K4861" s="1">
        <v>0.16</v>
      </c>
      <c r="L4861" s="42">
        <v>12</v>
      </c>
      <c r="M4861" s="43">
        <v>46216</v>
      </c>
      <c r="N4861" s="1" t="str">
        <f>VLOOKUP(B4861,MICRO!E:L,8,0)</f>
        <v>P-188</v>
      </c>
      <c r="O4861" s="211" t="s">
        <v>6</v>
      </c>
    </row>
    <row r="4862" spans="1:15" ht="20.25" x14ac:dyDescent="0.25">
      <c r="A4862" s="1">
        <v>35</v>
      </c>
      <c r="B4862" t="s">
        <v>4727</v>
      </c>
      <c r="C4862" s="1" t="s">
        <v>4582</v>
      </c>
      <c r="D4862" s="1"/>
      <c r="E4862" s="1"/>
      <c r="F4862" s="1" t="s">
        <v>4594</v>
      </c>
      <c r="G4862" s="1">
        <v>4</v>
      </c>
      <c r="H4862" s="1" t="s">
        <v>4566</v>
      </c>
      <c r="I4862" s="1" t="s">
        <v>4582</v>
      </c>
      <c r="J4862" s="1">
        <v>0.03</v>
      </c>
      <c r="K4862" s="1">
        <v>0.12</v>
      </c>
      <c r="L4862" s="42">
        <v>12</v>
      </c>
      <c r="M4862" s="43">
        <v>46216</v>
      </c>
      <c r="N4862" s="1" t="str">
        <f>VLOOKUP(B4862,MICRO!E:L,8,0)</f>
        <v>P-188</v>
      </c>
      <c r="O4862" s="211" t="s">
        <v>6</v>
      </c>
    </row>
    <row r="4863" spans="1:15" ht="20.25" x14ac:dyDescent="0.25">
      <c r="A4863" s="1">
        <v>36</v>
      </c>
      <c r="B4863" t="s">
        <v>4728</v>
      </c>
      <c r="C4863" s="1" t="s">
        <v>4582</v>
      </c>
      <c r="D4863" s="1"/>
      <c r="E4863" s="1"/>
      <c r="F4863" s="1" t="s">
        <v>4595</v>
      </c>
      <c r="G4863" s="1">
        <v>2</v>
      </c>
      <c r="H4863" s="1" t="s">
        <v>4566</v>
      </c>
      <c r="I4863" s="1" t="s">
        <v>4582</v>
      </c>
      <c r="J4863" s="1">
        <v>0.05</v>
      </c>
      <c r="K4863" s="1">
        <v>0.1</v>
      </c>
      <c r="L4863" s="42">
        <v>12</v>
      </c>
      <c r="M4863" s="43">
        <v>46216</v>
      </c>
      <c r="N4863" s="1" t="str">
        <f>VLOOKUP(B4863,MICRO!E:L,8,0)</f>
        <v>P-188</v>
      </c>
      <c r="O4863" s="211" t="s">
        <v>6</v>
      </c>
    </row>
    <row r="4864" spans="1:15" ht="20.25" x14ac:dyDescent="0.25">
      <c r="A4864" s="1">
        <v>37</v>
      </c>
      <c r="B4864" t="s">
        <v>4729</v>
      </c>
      <c r="C4864" s="1" t="s">
        <v>4582</v>
      </c>
      <c r="D4864" s="1"/>
      <c r="E4864" s="1"/>
      <c r="F4864" s="1" t="s">
        <v>4596</v>
      </c>
      <c r="G4864" s="1">
        <v>3</v>
      </c>
      <c r="H4864" s="1" t="s">
        <v>4566</v>
      </c>
      <c r="I4864" s="1" t="s">
        <v>4582</v>
      </c>
      <c r="J4864" s="1">
        <v>0.08</v>
      </c>
      <c r="K4864" s="1">
        <v>0.24</v>
      </c>
      <c r="L4864" s="42">
        <v>12</v>
      </c>
      <c r="M4864" s="43">
        <v>46216</v>
      </c>
      <c r="N4864" s="1" t="str">
        <f>VLOOKUP(B4864,MICRO!E:L,8,0)</f>
        <v>P-188</v>
      </c>
      <c r="O4864" s="211" t="s">
        <v>6</v>
      </c>
    </row>
    <row r="4865" spans="1:15" ht="20.25" x14ac:dyDescent="0.25">
      <c r="A4865" s="1">
        <v>38</v>
      </c>
      <c r="B4865" t="s">
        <v>4730</v>
      </c>
      <c r="C4865" s="1" t="s">
        <v>4582</v>
      </c>
      <c r="D4865" s="1"/>
      <c r="E4865" s="1"/>
      <c r="F4865" s="1" t="s">
        <v>4597</v>
      </c>
      <c r="G4865" s="1">
        <v>5</v>
      </c>
      <c r="H4865" s="1" t="s">
        <v>4566</v>
      </c>
      <c r="I4865" s="1" t="s">
        <v>4582</v>
      </c>
      <c r="J4865" s="1">
        <v>0.03</v>
      </c>
      <c r="K4865" s="1">
        <v>0.15</v>
      </c>
      <c r="L4865" s="42">
        <v>12</v>
      </c>
      <c r="M4865" s="43">
        <v>46216</v>
      </c>
      <c r="N4865" s="1" t="str">
        <f>VLOOKUP(B4865,MICRO!E:L,8,0)</f>
        <v>P-188</v>
      </c>
      <c r="O4865" s="211" t="s">
        <v>6</v>
      </c>
    </row>
    <row r="4866" spans="1:15" ht="20.25" x14ac:dyDescent="0.25">
      <c r="A4866" s="1">
        <v>39</v>
      </c>
      <c r="B4866" t="s">
        <v>4731</v>
      </c>
      <c r="C4866" s="1" t="s">
        <v>4582</v>
      </c>
      <c r="D4866" s="1"/>
      <c r="E4866" s="1"/>
      <c r="F4866" s="1" t="s">
        <v>4598</v>
      </c>
      <c r="G4866" s="1">
        <v>7</v>
      </c>
      <c r="H4866" s="1" t="s">
        <v>4566</v>
      </c>
      <c r="I4866" s="1" t="s">
        <v>4582</v>
      </c>
      <c r="J4866" s="1">
        <v>0.02</v>
      </c>
      <c r="K4866" s="1">
        <v>0.14000000000000001</v>
      </c>
      <c r="L4866" s="42">
        <v>12</v>
      </c>
      <c r="M4866" s="43">
        <v>46216</v>
      </c>
      <c r="N4866" s="1" t="str">
        <f>VLOOKUP(B4866,MICRO!E:L,8,0)</f>
        <v>P-188</v>
      </c>
      <c r="O4866" s="211" t="s">
        <v>6</v>
      </c>
    </row>
    <row r="4867" spans="1:15" ht="20.25" x14ac:dyDescent="0.25">
      <c r="A4867" s="1">
        <v>40</v>
      </c>
      <c r="B4867" t="s">
        <v>4732</v>
      </c>
      <c r="C4867" s="1" t="s">
        <v>4582</v>
      </c>
      <c r="D4867" s="1"/>
      <c r="E4867" s="1"/>
      <c r="F4867" s="1" t="s">
        <v>4599</v>
      </c>
      <c r="G4867" s="1">
        <v>32</v>
      </c>
      <c r="H4867" s="1" t="s">
        <v>4562</v>
      </c>
      <c r="I4867" s="1" t="s">
        <v>4582</v>
      </c>
      <c r="J4867" s="1">
        <v>0.02</v>
      </c>
      <c r="K4867" s="1">
        <v>0.64</v>
      </c>
      <c r="L4867" s="42">
        <v>12</v>
      </c>
      <c r="M4867" s="43">
        <v>46216</v>
      </c>
      <c r="N4867" s="1" t="str">
        <f>VLOOKUP(B4867,MICRO!E:L,8,0)</f>
        <v>P-188</v>
      </c>
      <c r="O4867" s="211" t="s">
        <v>6</v>
      </c>
    </row>
    <row r="4868" spans="1:15" ht="20.25" x14ac:dyDescent="0.25">
      <c r="A4868" s="1">
        <v>41</v>
      </c>
      <c r="B4868" t="s">
        <v>4733</v>
      </c>
      <c r="C4868" s="1" t="s">
        <v>4582</v>
      </c>
      <c r="D4868" s="1"/>
      <c r="E4868" s="1"/>
      <c r="F4868" s="1" t="s">
        <v>4600</v>
      </c>
      <c r="G4868" s="1">
        <v>16</v>
      </c>
      <c r="H4868" s="1" t="s">
        <v>4562</v>
      </c>
      <c r="I4868" s="1" t="s">
        <v>4582</v>
      </c>
      <c r="J4868" s="1">
        <v>0.04</v>
      </c>
      <c r="K4868" s="1">
        <v>0.64</v>
      </c>
      <c r="L4868" s="42">
        <v>12</v>
      </c>
      <c r="M4868" s="43">
        <v>46216</v>
      </c>
      <c r="N4868" s="1" t="str">
        <f>VLOOKUP(B4868,MICRO!E:L,8,0)</f>
        <v>P-188</v>
      </c>
      <c r="O4868" s="211" t="s">
        <v>6</v>
      </c>
    </row>
    <row r="4869" spans="1:15" ht="20.25" x14ac:dyDescent="0.25">
      <c r="A4869" s="1">
        <v>42</v>
      </c>
      <c r="B4869" t="s">
        <v>4734</v>
      </c>
      <c r="C4869" s="1" t="s">
        <v>4582</v>
      </c>
      <c r="D4869" s="1"/>
      <c r="E4869" s="1"/>
      <c r="F4869" s="1" t="s">
        <v>4601</v>
      </c>
      <c r="G4869" s="1">
        <v>14</v>
      </c>
      <c r="H4869" s="1" t="s">
        <v>4566</v>
      </c>
      <c r="I4869" s="1" t="s">
        <v>4582</v>
      </c>
      <c r="J4869" s="1">
        <v>0.06</v>
      </c>
      <c r="K4869" s="1">
        <v>0.84</v>
      </c>
      <c r="L4869" s="42">
        <v>12</v>
      </c>
      <c r="M4869" s="43">
        <v>46216</v>
      </c>
      <c r="N4869" s="1" t="str">
        <f>VLOOKUP(B4869,MICRO!E:L,8,0)</f>
        <v>P-188</v>
      </c>
      <c r="O4869" s="211" t="s">
        <v>6</v>
      </c>
    </row>
    <row r="4870" spans="1:15" ht="20.25" x14ac:dyDescent="0.25">
      <c r="A4870" s="1">
        <v>43</v>
      </c>
      <c r="B4870" t="s">
        <v>4735</v>
      </c>
      <c r="C4870" s="1" t="s">
        <v>4582</v>
      </c>
      <c r="D4870" s="1"/>
      <c r="E4870" s="1"/>
      <c r="F4870" s="1" t="s">
        <v>4602</v>
      </c>
      <c r="G4870" s="1">
        <v>130</v>
      </c>
      <c r="H4870" s="1" t="s">
        <v>1105</v>
      </c>
      <c r="I4870" s="1" t="s">
        <v>4582</v>
      </c>
      <c r="J4870" s="1">
        <v>0.35</v>
      </c>
      <c r="K4870" s="1">
        <v>45.5</v>
      </c>
      <c r="L4870" s="42">
        <v>12</v>
      </c>
      <c r="M4870" s="43">
        <v>46216</v>
      </c>
      <c r="N4870" s="1" t="str">
        <f>VLOOKUP(B4870,MICRO!E:L,8,0)</f>
        <v>P-188</v>
      </c>
      <c r="O4870" s="211" t="s">
        <v>6</v>
      </c>
    </row>
    <row r="4871" spans="1:15" ht="20.25" x14ac:dyDescent="0.25">
      <c r="A4871" s="1">
        <v>44</v>
      </c>
      <c r="B4871" t="s">
        <v>4736</v>
      </c>
      <c r="C4871" s="1" t="s">
        <v>4582</v>
      </c>
      <c r="D4871" s="1"/>
      <c r="E4871" s="1"/>
      <c r="F4871" s="1" t="s">
        <v>4603</v>
      </c>
      <c r="G4871" s="1">
        <v>250</v>
      </c>
      <c r="H4871" s="1" t="s">
        <v>1105</v>
      </c>
      <c r="I4871" s="1" t="s">
        <v>4582</v>
      </c>
      <c r="J4871" s="1"/>
      <c r="K4871" s="1">
        <v>0</v>
      </c>
      <c r="L4871" s="42">
        <v>12</v>
      </c>
      <c r="M4871" s="43">
        <v>46216</v>
      </c>
      <c r="N4871" s="1" t="str">
        <f>VLOOKUP(B4871,MICRO!E:L,8,0)</f>
        <v>P-188</v>
      </c>
      <c r="O4871" s="211" t="s">
        <v>6</v>
      </c>
    </row>
    <row r="4872" spans="1:15" ht="20.25" x14ac:dyDescent="0.25">
      <c r="A4872" s="1">
        <v>45</v>
      </c>
      <c r="B4872" t="s">
        <v>4737</v>
      </c>
      <c r="C4872" s="1" t="s">
        <v>4582</v>
      </c>
      <c r="D4872" s="1"/>
      <c r="E4872" s="1"/>
      <c r="F4872" s="1" t="s">
        <v>4604</v>
      </c>
      <c r="G4872" s="1">
        <v>5</v>
      </c>
      <c r="H4872" s="1" t="s">
        <v>1105</v>
      </c>
      <c r="I4872" s="1" t="s">
        <v>4582</v>
      </c>
      <c r="J4872" s="1">
        <v>0.3</v>
      </c>
      <c r="K4872" s="1">
        <v>1.5</v>
      </c>
      <c r="L4872" s="42">
        <v>12</v>
      </c>
      <c r="M4872" s="43">
        <v>46216</v>
      </c>
      <c r="N4872" s="1" t="str">
        <f>VLOOKUP(B4872,MICRO!E:L,8,0)</f>
        <v>P-188</v>
      </c>
      <c r="O4872" s="211" t="s">
        <v>6</v>
      </c>
    </row>
    <row r="4873" spans="1:15" ht="20.25" x14ac:dyDescent="0.25">
      <c r="A4873" s="1">
        <v>46</v>
      </c>
      <c r="B4873" t="s">
        <v>4738</v>
      </c>
      <c r="C4873" s="1" t="s">
        <v>4582</v>
      </c>
      <c r="D4873" s="1"/>
      <c r="E4873" s="1"/>
      <c r="F4873" s="1" t="s">
        <v>4605</v>
      </c>
      <c r="G4873" s="1">
        <v>6</v>
      </c>
      <c r="H4873" s="1" t="s">
        <v>4562</v>
      </c>
      <c r="I4873" s="1" t="s">
        <v>4582</v>
      </c>
      <c r="J4873" s="1">
        <v>0.02</v>
      </c>
      <c r="K4873" s="1">
        <v>0.12</v>
      </c>
      <c r="L4873" s="42">
        <v>12</v>
      </c>
      <c r="M4873" s="43">
        <v>46216</v>
      </c>
      <c r="N4873" s="1" t="str">
        <f>VLOOKUP(B4873,MICRO!E:L,8,0)</f>
        <v>P-188</v>
      </c>
      <c r="O4873" s="211" t="s">
        <v>6</v>
      </c>
    </row>
    <row r="4874" spans="1:15" ht="20.25" x14ac:dyDescent="0.25">
      <c r="A4874" s="1">
        <v>47</v>
      </c>
      <c r="B4874" t="s">
        <v>4739</v>
      </c>
      <c r="C4874" s="1" t="s">
        <v>4582</v>
      </c>
      <c r="D4874" s="1"/>
      <c r="E4874" s="1"/>
      <c r="F4874" s="1" t="s">
        <v>4606</v>
      </c>
      <c r="G4874" s="1">
        <v>6</v>
      </c>
      <c r="H4874" s="1" t="s">
        <v>4566</v>
      </c>
      <c r="I4874" s="1" t="s">
        <v>4582</v>
      </c>
      <c r="J4874" s="1">
        <v>0.03</v>
      </c>
      <c r="K4874" s="1">
        <v>0.18</v>
      </c>
      <c r="L4874" s="42">
        <v>12</v>
      </c>
      <c r="M4874" s="43">
        <v>46216</v>
      </c>
      <c r="N4874" s="1" t="str">
        <f>VLOOKUP(B4874,MICRO!E:L,8,0)</f>
        <v>P-188</v>
      </c>
      <c r="O4874" s="211" t="s">
        <v>6</v>
      </c>
    </row>
    <row r="4875" spans="1:15" ht="20.25" x14ac:dyDescent="0.25">
      <c r="A4875" s="1">
        <v>48</v>
      </c>
      <c r="B4875" t="s">
        <v>4740</v>
      </c>
      <c r="C4875" s="1" t="s">
        <v>4582</v>
      </c>
      <c r="D4875" s="1"/>
      <c r="E4875" s="1"/>
      <c r="F4875" s="1" t="s">
        <v>4607</v>
      </c>
      <c r="G4875" s="1">
        <v>4</v>
      </c>
      <c r="H4875" s="1" t="s">
        <v>1105</v>
      </c>
      <c r="I4875" s="1" t="s">
        <v>4582</v>
      </c>
      <c r="J4875" s="1">
        <v>0.01</v>
      </c>
      <c r="K4875" s="1">
        <v>0.04</v>
      </c>
      <c r="L4875" s="42">
        <v>12</v>
      </c>
      <c r="M4875" s="43">
        <v>46216</v>
      </c>
      <c r="N4875" s="1" t="str">
        <f>VLOOKUP(B4875,MICRO!E:L,8,0)</f>
        <v>P-188</v>
      </c>
      <c r="O4875" s="211" t="s">
        <v>6</v>
      </c>
    </row>
    <row r="4876" spans="1:15" ht="20.25" x14ac:dyDescent="0.25">
      <c r="A4876" s="1">
        <v>49</v>
      </c>
      <c r="B4876" t="s">
        <v>4741</v>
      </c>
      <c r="C4876" s="1" t="s">
        <v>4582</v>
      </c>
      <c r="D4876" s="1"/>
      <c r="E4876" s="1"/>
      <c r="F4876" s="1" t="s">
        <v>4608</v>
      </c>
      <c r="G4876" s="1">
        <v>3</v>
      </c>
      <c r="H4876" s="1" t="s">
        <v>4562</v>
      </c>
      <c r="I4876" s="1" t="s">
        <v>4582</v>
      </c>
      <c r="J4876" s="1">
        <v>0.05</v>
      </c>
      <c r="K4876" s="1">
        <v>0.15000000000000002</v>
      </c>
      <c r="L4876" s="42">
        <v>12</v>
      </c>
      <c r="M4876" s="43">
        <v>46216</v>
      </c>
      <c r="N4876" s="1" t="str">
        <f>VLOOKUP(B4876,MICRO!E:L,8,0)</f>
        <v>P-188</v>
      </c>
      <c r="O4876" s="211" t="s">
        <v>6</v>
      </c>
    </row>
    <row r="4877" spans="1:15" ht="20.25" x14ac:dyDescent="0.25">
      <c r="A4877" s="1">
        <v>50</v>
      </c>
      <c r="B4877" t="s">
        <v>4742</v>
      </c>
      <c r="C4877" s="1" t="s">
        <v>4582</v>
      </c>
      <c r="D4877" s="1"/>
      <c r="E4877" s="1"/>
      <c r="F4877" s="1" t="s">
        <v>4609</v>
      </c>
      <c r="G4877" s="1">
        <v>3</v>
      </c>
      <c r="H4877" s="1" t="s">
        <v>4562</v>
      </c>
      <c r="I4877" s="1" t="s">
        <v>4582</v>
      </c>
      <c r="J4877" s="1">
        <v>0.05</v>
      </c>
      <c r="K4877" s="1">
        <v>0.15000000000000002</v>
      </c>
      <c r="L4877" s="42">
        <v>12</v>
      </c>
      <c r="M4877" s="43">
        <v>46216</v>
      </c>
      <c r="N4877" s="1" t="str">
        <f>VLOOKUP(B4877,MICRO!E:L,8,0)</f>
        <v>P-188</v>
      </c>
      <c r="O4877" s="211" t="s">
        <v>6</v>
      </c>
    </row>
    <row r="4878" spans="1:15" ht="20.25" x14ac:dyDescent="0.25">
      <c r="A4878" s="1">
        <v>51</v>
      </c>
      <c r="B4878" t="s">
        <v>4743</v>
      </c>
      <c r="C4878" s="1" t="s">
        <v>4582</v>
      </c>
      <c r="D4878" s="1"/>
      <c r="E4878" s="1"/>
      <c r="F4878" s="1" t="s">
        <v>4610</v>
      </c>
      <c r="G4878" s="1">
        <v>5</v>
      </c>
      <c r="H4878" s="1" t="s">
        <v>4566</v>
      </c>
      <c r="I4878" s="1" t="s">
        <v>4582</v>
      </c>
      <c r="J4878" s="1">
        <v>0.02</v>
      </c>
      <c r="K4878" s="1">
        <v>0.1</v>
      </c>
      <c r="L4878" s="42">
        <v>12</v>
      </c>
      <c r="M4878" s="43">
        <v>46216</v>
      </c>
      <c r="N4878" s="1" t="str">
        <f>VLOOKUP(B4878,MICRO!E:L,8,0)</f>
        <v>P-188</v>
      </c>
      <c r="O4878" s="211" t="s">
        <v>6</v>
      </c>
    </row>
    <row r="4879" spans="1:15" ht="20.25" x14ac:dyDescent="0.25">
      <c r="A4879" s="1">
        <v>52</v>
      </c>
      <c r="B4879" t="s">
        <v>4744</v>
      </c>
      <c r="C4879" s="1" t="s">
        <v>4582</v>
      </c>
      <c r="D4879" s="1"/>
      <c r="E4879" s="1"/>
      <c r="F4879" s="1" t="s">
        <v>4611</v>
      </c>
      <c r="G4879" s="1">
        <v>2</v>
      </c>
      <c r="H4879" s="1" t="s">
        <v>4566</v>
      </c>
      <c r="I4879" s="1" t="s">
        <v>4582</v>
      </c>
      <c r="J4879" s="1">
        <v>0.04</v>
      </c>
      <c r="K4879" s="1">
        <v>0.08</v>
      </c>
      <c r="L4879" s="42">
        <v>12</v>
      </c>
      <c r="M4879" s="43">
        <v>46216</v>
      </c>
      <c r="N4879" s="1" t="str">
        <f>VLOOKUP(B4879,MICRO!E:L,8,0)</f>
        <v>P-188</v>
      </c>
      <c r="O4879" s="211" t="s">
        <v>6</v>
      </c>
    </row>
    <row r="4880" spans="1:15" ht="20.25" x14ac:dyDescent="0.25">
      <c r="A4880" s="1">
        <v>53</v>
      </c>
      <c r="B4880" t="s">
        <v>4745</v>
      </c>
      <c r="C4880" s="1" t="s">
        <v>4582</v>
      </c>
      <c r="D4880" s="1"/>
      <c r="E4880" s="1"/>
      <c r="F4880" s="1" t="s">
        <v>4612</v>
      </c>
      <c r="G4880" s="1">
        <v>1</v>
      </c>
      <c r="H4880" s="1" t="s">
        <v>4566</v>
      </c>
      <c r="I4880" s="1" t="s">
        <v>4582</v>
      </c>
      <c r="J4880" s="1">
        <v>1.2</v>
      </c>
      <c r="K4880" s="1">
        <v>1.2</v>
      </c>
      <c r="L4880" s="42">
        <v>12</v>
      </c>
      <c r="M4880" s="43">
        <v>46216</v>
      </c>
      <c r="N4880" s="1" t="str">
        <f>VLOOKUP(B4880,MICRO!E:L,8,0)</f>
        <v>P-188</v>
      </c>
      <c r="O4880" s="211" t="s">
        <v>6</v>
      </c>
    </row>
    <row r="4881" spans="1:15" ht="20.25" x14ac:dyDescent="0.25">
      <c r="A4881" s="1">
        <v>54</v>
      </c>
      <c r="B4881" t="s">
        <v>4746</v>
      </c>
      <c r="C4881" s="1" t="s">
        <v>4560</v>
      </c>
      <c r="D4881" s="1"/>
      <c r="E4881" s="1"/>
      <c r="F4881" s="1" t="s">
        <v>4613</v>
      </c>
      <c r="G4881" s="1">
        <v>130</v>
      </c>
      <c r="H4881" s="1" t="s">
        <v>1105</v>
      </c>
      <c r="I4881" s="1" t="s">
        <v>4560</v>
      </c>
      <c r="J4881" s="1">
        <v>1.8</v>
      </c>
      <c r="K4881" s="1">
        <v>234</v>
      </c>
      <c r="L4881" s="42">
        <v>12</v>
      </c>
      <c r="M4881" s="43">
        <v>46216</v>
      </c>
      <c r="N4881" s="1" t="str">
        <f>VLOOKUP(B4881,MICRO!E:L,8,0)</f>
        <v>P-188</v>
      </c>
      <c r="O4881" s="211" t="s">
        <v>6</v>
      </c>
    </row>
    <row r="4882" spans="1:15" ht="20.25" x14ac:dyDescent="0.25">
      <c r="A4882" s="1">
        <v>55</v>
      </c>
      <c r="B4882" t="s">
        <v>4747</v>
      </c>
      <c r="C4882" s="1" t="s">
        <v>4560</v>
      </c>
      <c r="D4882" s="1"/>
      <c r="E4882" s="1"/>
      <c r="F4882" s="1" t="s">
        <v>4614</v>
      </c>
      <c r="G4882" s="1">
        <v>250</v>
      </c>
      <c r="H4882" s="1" t="s">
        <v>1105</v>
      </c>
      <c r="I4882" s="1" t="s">
        <v>4560</v>
      </c>
      <c r="J4882" s="1">
        <v>1.8</v>
      </c>
      <c r="K4882" s="1">
        <v>450</v>
      </c>
      <c r="L4882" s="42">
        <v>12</v>
      </c>
      <c r="M4882" s="43">
        <v>46216</v>
      </c>
      <c r="N4882" s="1" t="str">
        <f>VLOOKUP(B4882,MICRO!E:L,8,0)</f>
        <v>P-188</v>
      </c>
      <c r="O4882" s="211" t="s">
        <v>6</v>
      </c>
    </row>
    <row r="4883" spans="1:15" ht="20.25" x14ac:dyDescent="0.25">
      <c r="A4883" s="1">
        <v>56</v>
      </c>
      <c r="B4883" t="s">
        <v>4748</v>
      </c>
      <c r="C4883" s="1" t="s">
        <v>4560</v>
      </c>
      <c r="D4883" s="1"/>
      <c r="E4883" s="1"/>
      <c r="F4883" s="1" t="s">
        <v>4615</v>
      </c>
      <c r="G4883" s="1">
        <v>5</v>
      </c>
      <c r="H4883" s="1" t="s">
        <v>1105</v>
      </c>
      <c r="I4883" s="1" t="s">
        <v>4560</v>
      </c>
      <c r="J4883" s="1">
        <v>0.3</v>
      </c>
      <c r="K4883" s="1">
        <v>1.5</v>
      </c>
      <c r="L4883" s="42">
        <v>12</v>
      </c>
      <c r="M4883" s="43">
        <v>46216</v>
      </c>
      <c r="N4883" s="1" t="str">
        <f>VLOOKUP(B4883,MICRO!E:L,8,0)</f>
        <v>P-188</v>
      </c>
      <c r="O4883" s="211" t="s">
        <v>6</v>
      </c>
    </row>
    <row r="4884" spans="1:15" ht="20.25" x14ac:dyDescent="0.25">
      <c r="A4884" s="1">
        <v>57</v>
      </c>
      <c r="B4884" t="s">
        <v>4749</v>
      </c>
      <c r="C4884" s="1" t="s">
        <v>4560</v>
      </c>
      <c r="D4884" s="1"/>
      <c r="E4884" s="1"/>
      <c r="F4884" s="1" t="s">
        <v>4616</v>
      </c>
      <c r="G4884" s="1">
        <v>6</v>
      </c>
      <c r="H4884" s="1" t="s">
        <v>4562</v>
      </c>
      <c r="I4884" s="1" t="s">
        <v>4560</v>
      </c>
      <c r="J4884" s="1">
        <v>0.02</v>
      </c>
      <c r="K4884" s="1">
        <v>0.12</v>
      </c>
      <c r="L4884" s="42">
        <v>12</v>
      </c>
      <c r="M4884" s="43">
        <v>46216</v>
      </c>
      <c r="N4884" s="1" t="str">
        <f>VLOOKUP(B4884,MICRO!E:L,8,0)</f>
        <v>P-188</v>
      </c>
      <c r="O4884" s="211" t="s">
        <v>6</v>
      </c>
    </row>
    <row r="4885" spans="1:15" ht="20.25" x14ac:dyDescent="0.25">
      <c r="A4885" s="1">
        <v>58</v>
      </c>
      <c r="B4885" t="s">
        <v>4750</v>
      </c>
      <c r="C4885" s="1" t="s">
        <v>4560</v>
      </c>
      <c r="D4885" s="1"/>
      <c r="E4885" s="1"/>
      <c r="F4885" s="1" t="s">
        <v>4617</v>
      </c>
      <c r="G4885" s="1">
        <v>6</v>
      </c>
      <c r="H4885" s="1" t="s">
        <v>4566</v>
      </c>
      <c r="I4885" s="1" t="s">
        <v>4560</v>
      </c>
      <c r="J4885" s="1">
        <v>0.03</v>
      </c>
      <c r="K4885" s="1">
        <v>0.18</v>
      </c>
      <c r="L4885" s="42">
        <v>12</v>
      </c>
      <c r="M4885" s="43">
        <v>46216</v>
      </c>
      <c r="N4885" s="1" t="str">
        <f>VLOOKUP(B4885,MICRO!E:L,8,0)</f>
        <v>P-188</v>
      </c>
      <c r="O4885" s="211" t="s">
        <v>6</v>
      </c>
    </row>
    <row r="4886" spans="1:15" ht="20.25" x14ac:dyDescent="0.25">
      <c r="A4886" s="1">
        <v>59</v>
      </c>
      <c r="B4886" t="s">
        <v>4751</v>
      </c>
      <c r="C4886" s="1" t="s">
        <v>4560</v>
      </c>
      <c r="D4886" s="1"/>
      <c r="E4886" s="1"/>
      <c r="F4886" s="1" t="s">
        <v>4618</v>
      </c>
      <c r="G4886" s="1">
        <v>4</v>
      </c>
      <c r="H4886" s="1" t="s">
        <v>1105</v>
      </c>
      <c r="I4886" s="1" t="s">
        <v>4560</v>
      </c>
      <c r="J4886" s="1">
        <v>0.01</v>
      </c>
      <c r="K4886" s="1">
        <v>0.04</v>
      </c>
      <c r="L4886" s="42">
        <v>12</v>
      </c>
      <c r="M4886" s="43">
        <v>46216</v>
      </c>
      <c r="N4886" s="1" t="str">
        <f>VLOOKUP(B4886,MICRO!E:L,8,0)</f>
        <v>P-188</v>
      </c>
      <c r="O4886" s="211" t="s">
        <v>6</v>
      </c>
    </row>
    <row r="4887" spans="1:15" ht="20.25" x14ac:dyDescent="0.25">
      <c r="A4887" s="1">
        <v>60</v>
      </c>
      <c r="B4887" t="s">
        <v>4752</v>
      </c>
      <c r="C4887" s="1" t="s">
        <v>4560</v>
      </c>
      <c r="D4887" s="1"/>
      <c r="E4887" s="1"/>
      <c r="F4887" s="1" t="s">
        <v>4619</v>
      </c>
      <c r="G4887" s="1">
        <v>3</v>
      </c>
      <c r="H4887" s="1" t="s">
        <v>4562</v>
      </c>
      <c r="I4887" s="1" t="s">
        <v>4560</v>
      </c>
      <c r="J4887" s="1">
        <v>2</v>
      </c>
      <c r="K4887" s="1">
        <v>6</v>
      </c>
      <c r="L4887" s="42">
        <v>12</v>
      </c>
      <c r="M4887" s="43">
        <v>46216</v>
      </c>
      <c r="N4887" s="1" t="str">
        <f>VLOOKUP(B4887,MICRO!E:L,8,0)</f>
        <v>P-188</v>
      </c>
      <c r="O4887" s="211" t="s">
        <v>6</v>
      </c>
    </row>
    <row r="4888" spans="1:15" ht="20.25" x14ac:dyDescent="0.25">
      <c r="A4888" s="1">
        <v>61</v>
      </c>
      <c r="B4888" t="s">
        <v>4753</v>
      </c>
      <c r="C4888" s="1" t="s">
        <v>4560</v>
      </c>
      <c r="D4888" s="1"/>
      <c r="E4888" s="1"/>
      <c r="F4888" s="1" t="s">
        <v>4620</v>
      </c>
      <c r="G4888" s="1">
        <v>3</v>
      </c>
      <c r="H4888" s="1" t="s">
        <v>4562</v>
      </c>
      <c r="I4888" s="1" t="s">
        <v>4560</v>
      </c>
      <c r="J4888" s="1">
        <v>1.5</v>
      </c>
      <c r="K4888" s="1">
        <v>4.5</v>
      </c>
      <c r="L4888" s="42">
        <v>12</v>
      </c>
      <c r="M4888" s="43">
        <v>46216</v>
      </c>
      <c r="N4888" s="1" t="str">
        <f>VLOOKUP(B4888,MICRO!E:L,8,0)</f>
        <v>P-188</v>
      </c>
      <c r="O4888" s="211" t="s">
        <v>6</v>
      </c>
    </row>
    <row r="4889" spans="1:15" ht="20.25" x14ac:dyDescent="0.25">
      <c r="A4889" s="1">
        <v>62</v>
      </c>
      <c r="B4889" t="s">
        <v>4754</v>
      </c>
      <c r="C4889" s="1" t="s">
        <v>4560</v>
      </c>
      <c r="D4889" s="1"/>
      <c r="E4889" s="1"/>
      <c r="F4889" s="1" t="s">
        <v>4621</v>
      </c>
      <c r="G4889" s="1">
        <v>5</v>
      </c>
      <c r="H4889" s="1" t="s">
        <v>4566</v>
      </c>
      <c r="I4889" s="1" t="s">
        <v>4560</v>
      </c>
      <c r="J4889" s="1">
        <v>0.02</v>
      </c>
      <c r="K4889" s="1">
        <v>0.1</v>
      </c>
      <c r="L4889" s="42">
        <v>12</v>
      </c>
      <c r="M4889" s="43">
        <v>46216</v>
      </c>
      <c r="N4889" s="1" t="str">
        <f>VLOOKUP(B4889,MICRO!E:L,8,0)</f>
        <v>P-188</v>
      </c>
      <c r="O4889" s="211" t="s">
        <v>6</v>
      </c>
    </row>
    <row r="4890" spans="1:15" ht="20.25" x14ac:dyDescent="0.25">
      <c r="A4890" s="1">
        <v>63</v>
      </c>
      <c r="B4890" t="s">
        <v>4755</v>
      </c>
      <c r="C4890" s="1" t="s">
        <v>4560</v>
      </c>
      <c r="D4890" s="1"/>
      <c r="E4890" s="1"/>
      <c r="F4890" s="1" t="s">
        <v>4622</v>
      </c>
      <c r="G4890" s="1">
        <v>2</v>
      </c>
      <c r="H4890" s="1" t="s">
        <v>4566</v>
      </c>
      <c r="I4890" s="1" t="s">
        <v>4560</v>
      </c>
      <c r="J4890" s="1">
        <v>0.04</v>
      </c>
      <c r="K4890" s="1">
        <v>0.08</v>
      </c>
      <c r="L4890" s="42">
        <v>12</v>
      </c>
      <c r="M4890" s="43">
        <v>46216</v>
      </c>
      <c r="N4890" s="1" t="str">
        <f>VLOOKUP(B4890,MICRO!E:L,8,0)</f>
        <v>P-188</v>
      </c>
      <c r="O4890" s="211" t="s">
        <v>6</v>
      </c>
    </row>
    <row r="4891" spans="1:15" ht="20.25" x14ac:dyDescent="0.25">
      <c r="A4891" s="1">
        <v>64</v>
      </c>
      <c r="B4891" t="s">
        <v>4756</v>
      </c>
      <c r="C4891" s="1" t="s">
        <v>4560</v>
      </c>
      <c r="D4891" s="1"/>
      <c r="E4891" s="1"/>
      <c r="F4891" s="1" t="s">
        <v>4623</v>
      </c>
      <c r="G4891" s="1">
        <v>1</v>
      </c>
      <c r="H4891" s="1" t="s">
        <v>4566</v>
      </c>
      <c r="I4891" s="1" t="s">
        <v>4560</v>
      </c>
      <c r="J4891" s="1">
        <v>1.2</v>
      </c>
      <c r="K4891" s="1">
        <v>1.2</v>
      </c>
      <c r="L4891" s="42">
        <v>12</v>
      </c>
      <c r="M4891" s="43">
        <v>46216</v>
      </c>
      <c r="N4891" s="1" t="str">
        <f>VLOOKUP(B4891,MICRO!E:L,8,0)</f>
        <v>P-188</v>
      </c>
      <c r="O4891" s="211" t="s">
        <v>6</v>
      </c>
    </row>
    <row r="4892" spans="1:15" ht="20.25" x14ac:dyDescent="0.25">
      <c r="A4892" s="1">
        <v>65</v>
      </c>
      <c r="B4892" t="s">
        <v>4757</v>
      </c>
      <c r="C4892" s="1" t="s">
        <v>4582</v>
      </c>
      <c r="D4892" s="1"/>
      <c r="E4892" s="1"/>
      <c r="F4892" s="1" t="s">
        <v>4624</v>
      </c>
      <c r="G4892" s="1">
        <v>1</v>
      </c>
      <c r="H4892" s="1" t="s">
        <v>4562</v>
      </c>
      <c r="I4892" s="1" t="s">
        <v>4582</v>
      </c>
      <c r="J4892" s="1">
        <v>1.8</v>
      </c>
      <c r="K4892" s="1">
        <v>1.8</v>
      </c>
      <c r="L4892" s="42">
        <v>12</v>
      </c>
      <c r="M4892" s="43">
        <v>46216</v>
      </c>
      <c r="N4892" s="1" t="str">
        <f>VLOOKUP(B4892,MICRO!E:L,8,0)</f>
        <v>P-188</v>
      </c>
      <c r="O4892" s="211" t="s">
        <v>6</v>
      </c>
    </row>
    <row r="4893" spans="1:15" ht="20.25" x14ac:dyDescent="0.25">
      <c r="A4893" s="1">
        <v>66</v>
      </c>
      <c r="B4893" t="s">
        <v>4758</v>
      </c>
      <c r="C4893" s="1" t="s">
        <v>4582</v>
      </c>
      <c r="D4893" s="1"/>
      <c r="E4893" s="1"/>
      <c r="F4893" s="1" t="s">
        <v>4625</v>
      </c>
      <c r="G4893" s="1">
        <v>2</v>
      </c>
      <c r="H4893" s="1" t="s">
        <v>4566</v>
      </c>
      <c r="I4893" s="1" t="s">
        <v>4582</v>
      </c>
      <c r="J4893" s="1">
        <v>1.8</v>
      </c>
      <c r="K4893" s="1">
        <v>3.6</v>
      </c>
      <c r="L4893" s="42">
        <v>12</v>
      </c>
      <c r="M4893" s="43">
        <v>46216</v>
      </c>
      <c r="N4893" s="1" t="str">
        <f>VLOOKUP(B4893,MICRO!E:L,8,0)</f>
        <v>P-188</v>
      </c>
      <c r="O4893" s="211" t="s">
        <v>6</v>
      </c>
    </row>
    <row r="4894" spans="1:15" ht="20.25" x14ac:dyDescent="0.25">
      <c r="A4894" s="1">
        <v>67</v>
      </c>
      <c r="B4894" t="s">
        <v>4759</v>
      </c>
      <c r="C4894" s="1" t="s">
        <v>4582</v>
      </c>
      <c r="D4894" s="1"/>
      <c r="E4894" s="1"/>
      <c r="F4894" s="1" t="s">
        <v>4626</v>
      </c>
      <c r="G4894" s="1">
        <v>4</v>
      </c>
      <c r="H4894" s="1" t="s">
        <v>4566</v>
      </c>
      <c r="I4894" s="1" t="s">
        <v>4582</v>
      </c>
      <c r="J4894" s="1">
        <v>2</v>
      </c>
      <c r="K4894" s="1">
        <v>8</v>
      </c>
      <c r="L4894" s="42">
        <v>12</v>
      </c>
      <c r="M4894" s="43">
        <v>46216</v>
      </c>
      <c r="N4894" s="1" t="str">
        <f>VLOOKUP(B4894,MICRO!E:L,8,0)</f>
        <v>P-188</v>
      </c>
      <c r="O4894" s="211" t="s">
        <v>6</v>
      </c>
    </row>
    <row r="4895" spans="1:15" ht="20.25" x14ac:dyDescent="0.25">
      <c r="A4895" s="1">
        <v>68</v>
      </c>
      <c r="B4895" t="s">
        <v>4760</v>
      </c>
      <c r="C4895" s="1" t="s">
        <v>4582</v>
      </c>
      <c r="D4895" s="1"/>
      <c r="E4895" s="1"/>
      <c r="F4895" s="1" t="s">
        <v>4627</v>
      </c>
      <c r="G4895" s="1">
        <v>1</v>
      </c>
      <c r="H4895" s="1" t="s">
        <v>4566</v>
      </c>
      <c r="I4895" s="1" t="s">
        <v>4582</v>
      </c>
      <c r="J4895" s="1">
        <v>1.5</v>
      </c>
      <c r="K4895" s="1">
        <v>1.5</v>
      </c>
      <c r="L4895" s="42">
        <v>12</v>
      </c>
      <c r="M4895" s="43">
        <v>46216</v>
      </c>
      <c r="N4895" s="1" t="str">
        <f>VLOOKUP(B4895,MICRO!E:L,8,0)</f>
        <v>P-188</v>
      </c>
      <c r="O4895" s="211" t="s">
        <v>6</v>
      </c>
    </row>
    <row r="4896" spans="1:15" ht="20.25" x14ac:dyDescent="0.25">
      <c r="A4896" s="1">
        <v>69</v>
      </c>
      <c r="B4896" t="s">
        <v>4761</v>
      </c>
      <c r="C4896" s="1" t="s">
        <v>4582</v>
      </c>
      <c r="D4896" s="1"/>
      <c r="E4896" s="1"/>
      <c r="F4896" s="1" t="s">
        <v>4628</v>
      </c>
      <c r="G4896" s="1">
        <v>1</v>
      </c>
      <c r="H4896" s="1" t="s">
        <v>4562</v>
      </c>
      <c r="I4896" s="1" t="s">
        <v>4582</v>
      </c>
      <c r="J4896" s="1">
        <v>2</v>
      </c>
      <c r="K4896" s="1">
        <v>2</v>
      </c>
      <c r="L4896" s="42">
        <v>12</v>
      </c>
      <c r="M4896" s="43">
        <v>46216</v>
      </c>
      <c r="N4896" s="1" t="str">
        <f>VLOOKUP(B4896,MICRO!E:L,8,0)</f>
        <v>P-188</v>
      </c>
      <c r="O4896" s="211" t="s">
        <v>6</v>
      </c>
    </row>
    <row r="4897" spans="1:15" ht="20.25" x14ac:dyDescent="0.25">
      <c r="A4897" s="1">
        <v>70</v>
      </c>
      <c r="B4897" t="s">
        <v>4762</v>
      </c>
      <c r="C4897" s="1" t="s">
        <v>4582</v>
      </c>
      <c r="D4897" s="1"/>
      <c r="E4897" s="1"/>
      <c r="F4897" s="1" t="s">
        <v>4629</v>
      </c>
      <c r="G4897" s="1">
        <v>2</v>
      </c>
      <c r="H4897" s="1" t="s">
        <v>4566</v>
      </c>
      <c r="I4897" s="1" t="s">
        <v>4582</v>
      </c>
      <c r="J4897" s="1">
        <v>1.8</v>
      </c>
      <c r="K4897" s="1">
        <v>3.6</v>
      </c>
      <c r="L4897" s="42">
        <v>12</v>
      </c>
      <c r="M4897" s="43">
        <v>46216</v>
      </c>
      <c r="N4897" s="1" t="str">
        <f>VLOOKUP(B4897,MICRO!E:L,8,0)</f>
        <v>P-188</v>
      </c>
      <c r="O4897" s="211" t="s">
        <v>6</v>
      </c>
    </row>
    <row r="4898" spans="1:15" ht="20.25" x14ac:dyDescent="0.25">
      <c r="A4898" s="1">
        <v>71</v>
      </c>
      <c r="B4898" t="s">
        <v>4763</v>
      </c>
      <c r="C4898" s="1" t="s">
        <v>4582</v>
      </c>
      <c r="D4898" s="1"/>
      <c r="E4898" s="1"/>
      <c r="F4898" s="1" t="s">
        <v>4630</v>
      </c>
      <c r="G4898" s="1">
        <v>4</v>
      </c>
      <c r="H4898" s="1" t="s">
        <v>4566</v>
      </c>
      <c r="I4898" s="1" t="s">
        <v>4582</v>
      </c>
      <c r="J4898" s="1">
        <v>2</v>
      </c>
      <c r="K4898" s="1">
        <v>8</v>
      </c>
      <c r="L4898" s="42">
        <v>12</v>
      </c>
      <c r="M4898" s="43">
        <v>46216</v>
      </c>
      <c r="N4898" s="1" t="str">
        <f>VLOOKUP(B4898,MICRO!E:L,8,0)</f>
        <v>P-188</v>
      </c>
      <c r="O4898" s="211" t="s">
        <v>6</v>
      </c>
    </row>
    <row r="4899" spans="1:15" ht="20.25" x14ac:dyDescent="0.25">
      <c r="A4899" s="1">
        <v>72</v>
      </c>
      <c r="B4899" t="s">
        <v>4764</v>
      </c>
      <c r="C4899" s="1" t="s">
        <v>4582</v>
      </c>
      <c r="D4899" s="1"/>
      <c r="E4899" s="1"/>
      <c r="F4899" s="1" t="s">
        <v>4631</v>
      </c>
      <c r="G4899" s="1">
        <v>1</v>
      </c>
      <c r="H4899" s="1" t="s">
        <v>4566</v>
      </c>
      <c r="I4899" s="1" t="s">
        <v>4582</v>
      </c>
      <c r="J4899" s="1">
        <v>1.5</v>
      </c>
      <c r="K4899" s="1">
        <v>1.5</v>
      </c>
      <c r="L4899" s="42">
        <v>12</v>
      </c>
      <c r="M4899" s="43">
        <v>46216</v>
      </c>
      <c r="N4899" s="1" t="str">
        <f>VLOOKUP(B4899,MICRO!E:L,8,0)</f>
        <v>P-188</v>
      </c>
      <c r="O4899" s="211" t="s">
        <v>6</v>
      </c>
    </row>
    <row r="4900" spans="1:15" ht="20.25" x14ac:dyDescent="0.25">
      <c r="A4900" s="1">
        <v>73</v>
      </c>
      <c r="B4900" t="s">
        <v>4765</v>
      </c>
      <c r="C4900" s="1" t="s">
        <v>4582</v>
      </c>
      <c r="D4900" s="1"/>
      <c r="E4900" s="1"/>
      <c r="F4900" s="1" t="s">
        <v>4632</v>
      </c>
      <c r="G4900" s="1">
        <v>2</v>
      </c>
      <c r="H4900" s="1" t="s">
        <v>4566</v>
      </c>
      <c r="I4900" s="1" t="s">
        <v>4582</v>
      </c>
      <c r="J4900" s="1">
        <v>1.8</v>
      </c>
      <c r="K4900" s="1">
        <v>3.6</v>
      </c>
      <c r="L4900" s="42">
        <v>12</v>
      </c>
      <c r="M4900" s="43">
        <v>46216</v>
      </c>
      <c r="N4900" s="1" t="str">
        <f>VLOOKUP(B4900,MICRO!E:L,8,0)</f>
        <v>P-188</v>
      </c>
      <c r="O4900" s="211" t="s">
        <v>6</v>
      </c>
    </row>
    <row r="4901" spans="1:15" ht="20.25" x14ac:dyDescent="0.25">
      <c r="A4901" s="1">
        <v>74</v>
      </c>
      <c r="B4901" t="s">
        <v>4766</v>
      </c>
      <c r="C4901" s="1" t="s">
        <v>4582</v>
      </c>
      <c r="D4901" s="1"/>
      <c r="E4901" s="1"/>
      <c r="F4901" s="1" t="s">
        <v>4633</v>
      </c>
      <c r="G4901" s="1">
        <v>1</v>
      </c>
      <c r="H4901" s="1" t="s">
        <v>4566</v>
      </c>
      <c r="I4901" s="1" t="s">
        <v>4582</v>
      </c>
      <c r="J4901" s="1">
        <v>0.01</v>
      </c>
      <c r="K4901" s="1">
        <v>0.01</v>
      </c>
      <c r="L4901" s="42">
        <v>12</v>
      </c>
      <c r="M4901" s="43">
        <v>46216</v>
      </c>
      <c r="N4901" s="1" t="str">
        <f>VLOOKUP(B4901,MICRO!E:L,8,0)</f>
        <v>P-188</v>
      </c>
      <c r="O4901" s="211" t="s">
        <v>6</v>
      </c>
    </row>
    <row r="4902" spans="1:15" ht="20.25" x14ac:dyDescent="0.25">
      <c r="A4902" s="1">
        <v>75</v>
      </c>
      <c r="B4902" t="s">
        <v>4767</v>
      </c>
      <c r="C4902" s="1" t="s">
        <v>4582</v>
      </c>
      <c r="D4902" s="1"/>
      <c r="E4902" s="1"/>
      <c r="F4902" s="1" t="s">
        <v>4632</v>
      </c>
      <c r="G4902" s="1">
        <v>2</v>
      </c>
      <c r="H4902" s="1" t="s">
        <v>4566</v>
      </c>
      <c r="I4902" s="1" t="s">
        <v>4582</v>
      </c>
      <c r="J4902" s="1">
        <v>1.8</v>
      </c>
      <c r="K4902" s="1">
        <v>3.6</v>
      </c>
      <c r="L4902" s="42">
        <v>12</v>
      </c>
      <c r="M4902" s="43">
        <v>46216</v>
      </c>
      <c r="N4902" s="1" t="str">
        <f>VLOOKUP(B4902,MICRO!E:L,8,0)</f>
        <v>P-188</v>
      </c>
      <c r="O4902" s="211" t="s">
        <v>6</v>
      </c>
    </row>
    <row r="4903" spans="1:15" ht="20.25" x14ac:dyDescent="0.25">
      <c r="A4903" s="1">
        <v>76</v>
      </c>
      <c r="B4903" t="s">
        <v>4768</v>
      </c>
      <c r="C4903" s="1" t="s">
        <v>4582</v>
      </c>
      <c r="D4903" s="1"/>
      <c r="E4903" s="1"/>
      <c r="F4903" s="1" t="s">
        <v>4633</v>
      </c>
      <c r="G4903" s="1">
        <v>1</v>
      </c>
      <c r="H4903" s="1" t="s">
        <v>4566</v>
      </c>
      <c r="I4903" s="1" t="s">
        <v>4582</v>
      </c>
      <c r="J4903" s="1">
        <v>0.01</v>
      </c>
      <c r="K4903" s="1">
        <v>0.01</v>
      </c>
      <c r="L4903" s="42">
        <v>12</v>
      </c>
      <c r="M4903" s="43">
        <v>46216</v>
      </c>
      <c r="N4903" s="1" t="str">
        <f>VLOOKUP(B4903,MICRO!E:L,8,0)</f>
        <v>P-188</v>
      </c>
      <c r="O4903" s="211" t="s">
        <v>6</v>
      </c>
    </row>
    <row r="4904" spans="1:15" ht="20.25" x14ac:dyDescent="0.25">
      <c r="A4904" s="1">
        <v>77</v>
      </c>
      <c r="B4904" t="s">
        <v>4769</v>
      </c>
      <c r="C4904" s="1" t="s">
        <v>3773</v>
      </c>
      <c r="D4904" s="1"/>
      <c r="E4904" s="1"/>
      <c r="F4904" s="1" t="s">
        <v>4634</v>
      </c>
      <c r="G4904" s="1">
        <v>32</v>
      </c>
      <c r="H4904" s="1" t="s">
        <v>19</v>
      </c>
      <c r="I4904" s="1"/>
      <c r="J4904" s="1">
        <v>0.02</v>
      </c>
      <c r="K4904" s="1">
        <v>0.64</v>
      </c>
      <c r="L4904" s="42">
        <v>12</v>
      </c>
      <c r="M4904" s="43">
        <v>46216</v>
      </c>
      <c r="N4904" s="1" t="str">
        <f>VLOOKUP(B4904,MICRO!E:L,8,0)</f>
        <v>P-188</v>
      </c>
      <c r="O4904" s="211" t="s">
        <v>6</v>
      </c>
    </row>
    <row r="4905" spans="1:15" ht="20.25" x14ac:dyDescent="0.25">
      <c r="A4905" s="1">
        <v>78</v>
      </c>
      <c r="B4905" t="s">
        <v>4770</v>
      </c>
      <c r="C4905" s="1" t="s">
        <v>4166</v>
      </c>
      <c r="D4905" s="1"/>
      <c r="E4905" s="1"/>
      <c r="F4905" s="1" t="s">
        <v>4635</v>
      </c>
      <c r="G4905" s="1">
        <v>216</v>
      </c>
      <c r="H4905" s="1" t="s">
        <v>19</v>
      </c>
      <c r="I4905" s="1"/>
      <c r="J4905" s="1">
        <v>0.05</v>
      </c>
      <c r="K4905" s="1">
        <v>10.8</v>
      </c>
      <c r="L4905" s="42">
        <v>12</v>
      </c>
      <c r="M4905" s="43">
        <v>46216</v>
      </c>
      <c r="N4905" s="1" t="str">
        <f>VLOOKUP(B4905,MICRO!E:L,8,0)</f>
        <v>P-188</v>
      </c>
      <c r="O4905" s="211" t="s">
        <v>6</v>
      </c>
    </row>
    <row r="4906" spans="1:15" ht="20.25" x14ac:dyDescent="0.25">
      <c r="A4906" s="1">
        <v>79</v>
      </c>
      <c r="B4906" t="s">
        <v>4771</v>
      </c>
      <c r="C4906" s="1" t="s">
        <v>4204</v>
      </c>
      <c r="D4906" s="1"/>
      <c r="E4906" s="1"/>
      <c r="F4906" s="1" t="s">
        <v>4635</v>
      </c>
      <c r="G4906" s="1">
        <v>208</v>
      </c>
      <c r="H4906" s="1" t="s">
        <v>19</v>
      </c>
      <c r="I4906" s="1"/>
      <c r="J4906" s="1">
        <v>0.05</v>
      </c>
      <c r="K4906" s="1">
        <v>10.4</v>
      </c>
      <c r="L4906" s="42">
        <v>12</v>
      </c>
      <c r="M4906" s="43">
        <v>46216</v>
      </c>
      <c r="N4906" s="1" t="str">
        <f>VLOOKUP(B4906,MICRO!E:L,8,0)</f>
        <v>P-188</v>
      </c>
      <c r="O4906" s="211" t="s">
        <v>6</v>
      </c>
    </row>
    <row r="4907" spans="1:15" ht="20.25" x14ac:dyDescent="0.25">
      <c r="A4907" s="1">
        <v>80</v>
      </c>
      <c r="B4907" t="s">
        <v>4772</v>
      </c>
      <c r="C4907" s="1" t="s">
        <v>4636</v>
      </c>
      <c r="D4907" s="1"/>
      <c r="E4907" s="1"/>
      <c r="F4907" s="1" t="s">
        <v>4637</v>
      </c>
      <c r="G4907" s="1">
        <v>1</v>
      </c>
      <c r="H4907" s="1" t="s">
        <v>19</v>
      </c>
      <c r="I4907" s="1" t="s">
        <v>2274</v>
      </c>
      <c r="J4907" s="1"/>
      <c r="K4907" s="1">
        <v>0</v>
      </c>
      <c r="L4907" s="42">
        <v>12</v>
      </c>
      <c r="M4907" s="43">
        <v>46216</v>
      </c>
      <c r="N4907" s="1" t="str">
        <f>VLOOKUP(B4907,MICRO!E:L,8,0)</f>
        <v>P-188</v>
      </c>
      <c r="O4907" s="211" t="s">
        <v>6</v>
      </c>
    </row>
    <row r="4908" spans="1:15" ht="20.25" x14ac:dyDescent="0.25">
      <c r="A4908" s="1">
        <v>81</v>
      </c>
      <c r="B4908" t="s">
        <v>4773</v>
      </c>
      <c r="C4908" s="1" t="s">
        <v>4636</v>
      </c>
      <c r="D4908" s="1"/>
      <c r="E4908" s="1"/>
      <c r="F4908" s="1" t="s">
        <v>4637</v>
      </c>
      <c r="G4908" s="1">
        <v>1</v>
      </c>
      <c r="H4908" s="1" t="s">
        <v>19</v>
      </c>
      <c r="I4908" s="1" t="s">
        <v>2276</v>
      </c>
      <c r="J4908" s="1"/>
      <c r="K4908" s="1">
        <v>0</v>
      </c>
      <c r="L4908" s="42">
        <v>12</v>
      </c>
      <c r="M4908" s="43">
        <v>46216</v>
      </c>
      <c r="N4908" s="1" t="str">
        <f>VLOOKUP(B4908,MICRO!E:L,8,0)</f>
        <v>P-188</v>
      </c>
      <c r="O4908" s="211" t="s">
        <v>6</v>
      </c>
    </row>
    <row r="4909" spans="1:15" ht="20.25" x14ac:dyDescent="0.25">
      <c r="A4909" s="1">
        <v>82</v>
      </c>
      <c r="B4909" t="s">
        <v>4774</v>
      </c>
      <c r="C4909" s="1" t="s">
        <v>4636</v>
      </c>
      <c r="D4909" s="1"/>
      <c r="E4909" s="1"/>
      <c r="F4909" s="1" t="s">
        <v>4638</v>
      </c>
      <c r="G4909" s="1">
        <v>1</v>
      </c>
      <c r="H4909" s="1" t="s">
        <v>19</v>
      </c>
      <c r="I4909" s="1" t="s">
        <v>2274</v>
      </c>
      <c r="J4909" s="1">
        <v>1800</v>
      </c>
      <c r="K4909" s="1">
        <v>1800</v>
      </c>
      <c r="L4909" s="42">
        <v>12</v>
      </c>
      <c r="M4909" s="43">
        <v>46216</v>
      </c>
      <c r="N4909" s="1" t="str">
        <f>VLOOKUP(B4909,MICRO!E:L,8,0)</f>
        <v>P-188</v>
      </c>
      <c r="O4909" s="211" t="s">
        <v>6</v>
      </c>
    </row>
    <row r="4910" spans="1:15" ht="20.25" x14ac:dyDescent="0.25">
      <c r="A4910" s="1">
        <v>83</v>
      </c>
      <c r="B4910" t="s">
        <v>4775</v>
      </c>
      <c r="C4910" s="1" t="s">
        <v>4636</v>
      </c>
      <c r="D4910" s="1"/>
      <c r="E4910" s="1"/>
      <c r="F4910" s="1" t="s">
        <v>4638</v>
      </c>
      <c r="G4910" s="1">
        <v>1</v>
      </c>
      <c r="H4910" s="1" t="s">
        <v>19</v>
      </c>
      <c r="I4910" s="1" t="s">
        <v>2276</v>
      </c>
      <c r="J4910" s="1">
        <v>1800</v>
      </c>
      <c r="K4910" s="1">
        <v>1800</v>
      </c>
      <c r="L4910" s="42">
        <v>12</v>
      </c>
      <c r="M4910" s="43">
        <v>46216</v>
      </c>
      <c r="N4910" s="1" t="str">
        <f>VLOOKUP(B4910,MICRO!E:L,8,0)</f>
        <v>P-188</v>
      </c>
      <c r="O4910" s="211" t="s">
        <v>6</v>
      </c>
    </row>
    <row r="4911" spans="1:15" ht="20.25" x14ac:dyDescent="0.25">
      <c r="A4911" s="1">
        <v>84</v>
      </c>
      <c r="B4911" t="s">
        <v>4776</v>
      </c>
      <c r="C4911" s="1" t="s">
        <v>3802</v>
      </c>
      <c r="D4911" s="1"/>
      <c r="E4911" s="1"/>
      <c r="F4911" s="1" t="s">
        <v>4639</v>
      </c>
      <c r="G4911" s="1">
        <v>232</v>
      </c>
      <c r="H4911" s="1" t="s">
        <v>19</v>
      </c>
      <c r="I4911" s="1" t="s">
        <v>4086</v>
      </c>
      <c r="J4911" s="1">
        <v>0.188</v>
      </c>
      <c r="K4911" s="1">
        <v>43.616</v>
      </c>
      <c r="L4911" s="42">
        <v>12</v>
      </c>
      <c r="M4911" s="43">
        <v>46216</v>
      </c>
      <c r="N4911" s="1" t="str">
        <f>VLOOKUP(B4911,MICRO!E:L,8,0)</f>
        <v>P-188</v>
      </c>
      <c r="O4911" s="211" t="s">
        <v>6</v>
      </c>
    </row>
    <row r="4912" spans="1:15" ht="20.25" x14ac:dyDescent="0.25">
      <c r="A4912" s="1">
        <v>85</v>
      </c>
      <c r="B4912" t="s">
        <v>4777</v>
      </c>
      <c r="C4912" s="1" t="s">
        <v>3821</v>
      </c>
      <c r="D4912" s="1"/>
      <c r="E4912" s="1"/>
      <c r="F4912" s="1" t="s">
        <v>4640</v>
      </c>
      <c r="G4912" s="1">
        <v>96</v>
      </c>
      <c r="H4912" s="1" t="s">
        <v>19</v>
      </c>
      <c r="I4912" s="1" t="s">
        <v>4086</v>
      </c>
      <c r="J4912" s="1">
        <v>0.188</v>
      </c>
      <c r="K4912" s="1">
        <v>18.048000000000002</v>
      </c>
      <c r="L4912" s="42">
        <v>12</v>
      </c>
      <c r="M4912" s="43">
        <v>46216</v>
      </c>
      <c r="N4912" s="1" t="str">
        <f>VLOOKUP(B4912,MICRO!E:L,8,0)</f>
        <v>P-188</v>
      </c>
      <c r="O4912" s="211" t="s">
        <v>6</v>
      </c>
    </row>
    <row r="4913" spans="1:15" ht="20.25" x14ac:dyDescent="0.25">
      <c r="A4913" s="1">
        <v>86</v>
      </c>
      <c r="B4913" t="s">
        <v>4778</v>
      </c>
      <c r="C4913" s="1" t="s">
        <v>3858</v>
      </c>
      <c r="D4913" s="1"/>
      <c r="E4913" s="1"/>
      <c r="F4913" s="1" t="s">
        <v>4641</v>
      </c>
      <c r="G4913" s="1">
        <v>218</v>
      </c>
      <c r="H4913" s="1" t="s">
        <v>19</v>
      </c>
      <c r="I4913" s="1" t="s">
        <v>4086</v>
      </c>
      <c r="J4913" s="1">
        <v>0.188</v>
      </c>
      <c r="K4913" s="1">
        <v>40.984000000000002</v>
      </c>
      <c r="L4913" s="42">
        <v>12</v>
      </c>
      <c r="M4913" s="43">
        <v>46216</v>
      </c>
      <c r="N4913" s="1" t="str">
        <f>VLOOKUP(B4913,MICRO!E:L,8,0)</f>
        <v>P-188</v>
      </c>
      <c r="O4913" s="211" t="s">
        <v>6</v>
      </c>
    </row>
    <row r="4914" spans="1:15" ht="20.25" x14ac:dyDescent="0.25">
      <c r="A4914" s="1">
        <v>87</v>
      </c>
      <c r="B4914" t="s">
        <v>4779</v>
      </c>
      <c r="C4914" s="1" t="s">
        <v>4642</v>
      </c>
      <c r="D4914" s="1"/>
      <c r="E4914" s="1"/>
      <c r="F4914" s="1" t="s">
        <v>4643</v>
      </c>
      <c r="G4914" s="1">
        <v>58</v>
      </c>
      <c r="H4914" s="1" t="s">
        <v>19</v>
      </c>
      <c r="I4914" s="1" t="s">
        <v>4086</v>
      </c>
      <c r="J4914" s="1">
        <v>0.188</v>
      </c>
      <c r="K4914" s="1">
        <v>10.904</v>
      </c>
      <c r="L4914" s="42">
        <v>12</v>
      </c>
      <c r="M4914" s="43">
        <v>46216</v>
      </c>
      <c r="N4914" s="1" t="str">
        <f>VLOOKUP(B4914,MICRO!E:L,8,0)</f>
        <v>P-188</v>
      </c>
      <c r="O4914" s="211" t="s">
        <v>6</v>
      </c>
    </row>
    <row r="4915" spans="1:15" ht="20.25" x14ac:dyDescent="0.25">
      <c r="A4915" s="1">
        <v>88</v>
      </c>
      <c r="B4915" t="s">
        <v>4780</v>
      </c>
      <c r="C4915" s="1" t="s">
        <v>4642</v>
      </c>
      <c r="D4915" s="1"/>
      <c r="E4915" s="1"/>
      <c r="F4915" s="1" t="s">
        <v>4644</v>
      </c>
      <c r="G4915" s="1">
        <v>2</v>
      </c>
      <c r="H4915" s="1" t="s">
        <v>19</v>
      </c>
      <c r="I4915" s="1" t="s">
        <v>4086</v>
      </c>
      <c r="J4915" s="1">
        <v>14.361000000000001</v>
      </c>
      <c r="K4915" s="1">
        <v>28.722000000000001</v>
      </c>
      <c r="L4915" s="42">
        <v>12</v>
      </c>
      <c r="M4915" s="43">
        <v>46216</v>
      </c>
      <c r="N4915" s="1" t="str">
        <f>VLOOKUP(B4915,MICRO!E:L,8,0)</f>
        <v>P-188</v>
      </c>
      <c r="O4915" s="211" t="s">
        <v>6</v>
      </c>
    </row>
    <row r="4916" spans="1:15" ht="20.25" x14ac:dyDescent="0.25">
      <c r="A4916" s="1">
        <v>89</v>
      </c>
      <c r="B4916" t="s">
        <v>4781</v>
      </c>
      <c r="C4916" s="1" t="s">
        <v>4642</v>
      </c>
      <c r="D4916" s="1"/>
      <c r="E4916" s="1"/>
      <c r="F4916" s="1" t="s">
        <v>4645</v>
      </c>
      <c r="G4916" s="1">
        <v>2</v>
      </c>
      <c r="H4916" s="1" t="s">
        <v>19</v>
      </c>
      <c r="I4916" s="1" t="s">
        <v>4086</v>
      </c>
      <c r="J4916" s="1">
        <v>14.361000000000001</v>
      </c>
      <c r="K4916" s="1">
        <v>28.722000000000001</v>
      </c>
      <c r="L4916" s="42">
        <v>12</v>
      </c>
      <c r="M4916" s="43">
        <v>46216</v>
      </c>
      <c r="N4916" s="1" t="str">
        <f>VLOOKUP(B4916,MICRO!E:L,8,0)</f>
        <v>P-188</v>
      </c>
      <c r="O4916" s="211" t="s">
        <v>6</v>
      </c>
    </row>
    <row r="4917" spans="1:15" ht="20.25" x14ac:dyDescent="0.25">
      <c r="A4917" s="1">
        <v>90</v>
      </c>
      <c r="B4917" t="s">
        <v>4782</v>
      </c>
      <c r="C4917" s="1" t="s">
        <v>4642</v>
      </c>
      <c r="D4917" s="1"/>
      <c r="E4917" s="1"/>
      <c r="F4917" s="1" t="s">
        <v>4646</v>
      </c>
      <c r="G4917" s="1">
        <v>2</v>
      </c>
      <c r="H4917" s="1" t="s">
        <v>19</v>
      </c>
      <c r="I4917" s="1" t="s">
        <v>4086</v>
      </c>
      <c r="J4917" s="1">
        <v>14.361000000000001</v>
      </c>
      <c r="K4917" s="1">
        <v>28.722000000000001</v>
      </c>
      <c r="L4917" s="42">
        <v>12</v>
      </c>
      <c r="M4917" s="43">
        <v>46216</v>
      </c>
      <c r="N4917" s="1" t="str">
        <f>VLOOKUP(B4917,MICRO!E:L,8,0)</f>
        <v>P-188</v>
      </c>
      <c r="O4917" s="211" t="s">
        <v>6</v>
      </c>
    </row>
    <row r="4918" spans="1:15" ht="20.25" x14ac:dyDescent="0.25">
      <c r="A4918" s="1">
        <v>91</v>
      </c>
      <c r="B4918" t="s">
        <v>4783</v>
      </c>
      <c r="C4918" s="1" t="s">
        <v>4642</v>
      </c>
      <c r="D4918" s="1"/>
      <c r="E4918" s="1"/>
      <c r="F4918" s="1" t="s">
        <v>4647</v>
      </c>
      <c r="G4918" s="1">
        <v>2</v>
      </c>
      <c r="H4918" s="1" t="s">
        <v>19</v>
      </c>
      <c r="I4918" s="1" t="s">
        <v>4086</v>
      </c>
      <c r="J4918" s="1">
        <v>14.361000000000001</v>
      </c>
      <c r="K4918" s="1">
        <v>28.722000000000001</v>
      </c>
      <c r="L4918" s="42">
        <v>12</v>
      </c>
      <c r="M4918" s="43">
        <v>46216</v>
      </c>
      <c r="N4918" s="1" t="str">
        <f>VLOOKUP(B4918,MICRO!E:L,8,0)</f>
        <v>P-188</v>
      </c>
      <c r="O4918" s="211" t="s">
        <v>6</v>
      </c>
    </row>
    <row r="4919" spans="1:15" ht="20.25" x14ac:dyDescent="0.25">
      <c r="A4919" s="1">
        <v>92</v>
      </c>
      <c r="B4919" t="s">
        <v>4784</v>
      </c>
      <c r="C4919" s="1" t="s">
        <v>4642</v>
      </c>
      <c r="D4919" s="1"/>
      <c r="E4919" s="1"/>
      <c r="F4919" s="1" t="s">
        <v>4648</v>
      </c>
      <c r="G4919" s="1">
        <v>2</v>
      </c>
      <c r="H4919" s="1" t="s">
        <v>19</v>
      </c>
      <c r="I4919" s="1" t="s">
        <v>4086</v>
      </c>
      <c r="J4919" s="1">
        <v>14.361000000000001</v>
      </c>
      <c r="K4919" s="1">
        <v>28.722000000000001</v>
      </c>
      <c r="L4919" s="42">
        <v>12</v>
      </c>
      <c r="M4919" s="43">
        <v>46216</v>
      </c>
      <c r="N4919" s="1" t="str">
        <f>VLOOKUP(B4919,MICRO!E:L,8,0)</f>
        <v>P-188</v>
      </c>
      <c r="O4919" s="211" t="s">
        <v>6</v>
      </c>
    </row>
    <row r="4920" spans="1:15" ht="20.25" x14ac:dyDescent="0.25">
      <c r="A4920" s="1">
        <v>93</v>
      </c>
      <c r="B4920" t="s">
        <v>4785</v>
      </c>
      <c r="C4920" s="1" t="s">
        <v>4642</v>
      </c>
      <c r="D4920" s="1"/>
      <c r="E4920" s="1"/>
      <c r="F4920" s="1" t="s">
        <v>4649</v>
      </c>
      <c r="G4920" s="1">
        <v>2</v>
      </c>
      <c r="H4920" s="1" t="s">
        <v>19</v>
      </c>
      <c r="I4920" s="1" t="s">
        <v>4086</v>
      </c>
      <c r="J4920" s="1">
        <v>14.361000000000001</v>
      </c>
      <c r="K4920" s="1">
        <v>28.722000000000001</v>
      </c>
      <c r="L4920" s="42">
        <v>12</v>
      </c>
      <c r="M4920" s="43">
        <v>46216</v>
      </c>
      <c r="N4920" s="1" t="str">
        <f>VLOOKUP(B4920,MICRO!E:L,8,0)</f>
        <v>P-188</v>
      </c>
      <c r="O4920" s="211" t="s">
        <v>6</v>
      </c>
    </row>
    <row r="4921" spans="1:15" ht="20.25" x14ac:dyDescent="0.25">
      <c r="A4921" s="1">
        <v>94</v>
      </c>
      <c r="B4921" t="s">
        <v>4786</v>
      </c>
      <c r="C4921" s="1" t="s">
        <v>3802</v>
      </c>
      <c r="D4921" s="1"/>
      <c r="E4921" s="1"/>
      <c r="F4921" s="1" t="s">
        <v>4650</v>
      </c>
      <c r="G4921" s="1">
        <v>4</v>
      </c>
      <c r="H4921" s="1" t="s">
        <v>19</v>
      </c>
      <c r="I4921" s="1" t="s">
        <v>4086</v>
      </c>
      <c r="J4921" s="1">
        <v>14.361000000000001</v>
      </c>
      <c r="K4921" s="1">
        <v>57.444000000000003</v>
      </c>
      <c r="L4921" s="42">
        <v>12</v>
      </c>
      <c r="M4921" s="43">
        <v>46216</v>
      </c>
      <c r="N4921" s="1" t="str">
        <f>VLOOKUP(B4921,MICRO!E:L,8,0)</f>
        <v>P-188</v>
      </c>
      <c r="O4921" s="211" t="s">
        <v>6</v>
      </c>
    </row>
    <row r="4922" spans="1:15" ht="20.25" x14ac:dyDescent="0.25">
      <c r="A4922" s="1">
        <v>95</v>
      </c>
      <c r="B4922" t="s">
        <v>4787</v>
      </c>
      <c r="C4922" s="1" t="s">
        <v>3802</v>
      </c>
      <c r="D4922" s="1"/>
      <c r="E4922" s="1"/>
      <c r="F4922" s="1" t="s">
        <v>4651</v>
      </c>
      <c r="G4922" s="1">
        <v>4</v>
      </c>
      <c r="H4922" s="1" t="s">
        <v>19</v>
      </c>
      <c r="I4922" s="1" t="s">
        <v>4086</v>
      </c>
      <c r="J4922" s="1">
        <v>14.361000000000001</v>
      </c>
      <c r="K4922" s="1">
        <v>57.444000000000003</v>
      </c>
      <c r="L4922" s="42">
        <v>12</v>
      </c>
      <c r="M4922" s="43">
        <v>46216</v>
      </c>
      <c r="N4922" s="1" t="str">
        <f>VLOOKUP(B4922,MICRO!E:L,8,0)</f>
        <v>P-188</v>
      </c>
      <c r="O4922" s="211" t="s">
        <v>6</v>
      </c>
    </row>
    <row r="4923" spans="1:15" ht="20.25" x14ac:dyDescent="0.25">
      <c r="A4923" s="1">
        <v>96</v>
      </c>
      <c r="B4923" t="s">
        <v>4788</v>
      </c>
      <c r="C4923" s="1" t="s">
        <v>3802</v>
      </c>
      <c r="D4923" s="1"/>
      <c r="E4923" s="1"/>
      <c r="F4923" s="1" t="s">
        <v>4652</v>
      </c>
      <c r="G4923" s="1">
        <v>4</v>
      </c>
      <c r="H4923" s="1" t="s">
        <v>19</v>
      </c>
      <c r="I4923" s="1" t="s">
        <v>4086</v>
      </c>
      <c r="J4923" s="1">
        <v>14.361000000000001</v>
      </c>
      <c r="K4923" s="1">
        <v>57.444000000000003</v>
      </c>
      <c r="L4923" s="42">
        <v>12</v>
      </c>
      <c r="M4923" s="43">
        <v>46216</v>
      </c>
      <c r="N4923" s="1" t="str">
        <f>VLOOKUP(B4923,MICRO!E:L,8,0)</f>
        <v>P-188</v>
      </c>
      <c r="O4923" s="211" t="s">
        <v>6</v>
      </c>
    </row>
    <row r="4924" spans="1:15" ht="20.25" x14ac:dyDescent="0.25">
      <c r="A4924" s="1">
        <v>97</v>
      </c>
      <c r="B4924" t="s">
        <v>4789</v>
      </c>
      <c r="C4924" s="1" t="s">
        <v>3802</v>
      </c>
      <c r="D4924" s="1"/>
      <c r="E4924" s="1"/>
      <c r="F4924" s="1" t="s">
        <v>4653</v>
      </c>
      <c r="G4924" s="1">
        <v>4</v>
      </c>
      <c r="H4924" s="1" t="s">
        <v>19</v>
      </c>
      <c r="I4924" s="1" t="s">
        <v>4086</v>
      </c>
      <c r="J4924" s="1">
        <v>14.361000000000001</v>
      </c>
      <c r="K4924" s="1">
        <v>57.444000000000003</v>
      </c>
      <c r="L4924" s="42">
        <v>12</v>
      </c>
      <c r="M4924" s="43">
        <v>46216</v>
      </c>
      <c r="N4924" s="1" t="str">
        <f>VLOOKUP(B4924,MICRO!E:L,8,0)</f>
        <v>P-188</v>
      </c>
      <c r="O4924" s="211" t="s">
        <v>6</v>
      </c>
    </row>
    <row r="4925" spans="1:15" ht="20.25" x14ac:dyDescent="0.25">
      <c r="A4925" s="1">
        <v>98</v>
      </c>
      <c r="B4925" t="s">
        <v>4790</v>
      </c>
      <c r="C4925" s="1" t="s">
        <v>3802</v>
      </c>
      <c r="D4925" s="1"/>
      <c r="E4925" s="1"/>
      <c r="F4925" s="1" t="s">
        <v>4654</v>
      </c>
      <c r="G4925" s="1">
        <v>4</v>
      </c>
      <c r="H4925" s="1" t="s">
        <v>19</v>
      </c>
      <c r="I4925" s="1" t="s">
        <v>4086</v>
      </c>
      <c r="J4925" s="1">
        <v>14.361000000000001</v>
      </c>
      <c r="K4925" s="1">
        <v>57.444000000000003</v>
      </c>
      <c r="L4925" s="42">
        <v>12</v>
      </c>
      <c r="M4925" s="43">
        <v>46216</v>
      </c>
      <c r="N4925" s="1" t="str">
        <f>VLOOKUP(B4925,MICRO!E:L,8,0)</f>
        <v>P-188</v>
      </c>
      <c r="O4925" s="211" t="s">
        <v>6</v>
      </c>
    </row>
    <row r="4926" spans="1:15" ht="20.25" x14ac:dyDescent="0.25">
      <c r="A4926" s="1">
        <v>99</v>
      </c>
      <c r="B4926" t="s">
        <v>4791</v>
      </c>
      <c r="C4926" s="1" t="s">
        <v>3802</v>
      </c>
      <c r="D4926" s="1"/>
      <c r="E4926" s="1"/>
      <c r="F4926" s="1" t="s">
        <v>4655</v>
      </c>
      <c r="G4926" s="1">
        <v>8</v>
      </c>
      <c r="H4926" s="1" t="s">
        <v>19</v>
      </c>
      <c r="I4926" s="1" t="s">
        <v>4086</v>
      </c>
      <c r="J4926" s="1">
        <v>14.361000000000001</v>
      </c>
      <c r="K4926" s="1">
        <v>114.88800000000001</v>
      </c>
      <c r="L4926" s="42">
        <v>12</v>
      </c>
      <c r="M4926" s="43">
        <v>46216</v>
      </c>
      <c r="N4926" s="1" t="str">
        <f>VLOOKUP(B4926,MICRO!E:L,8,0)</f>
        <v>P-188</v>
      </c>
      <c r="O4926" s="211" t="s">
        <v>6</v>
      </c>
    </row>
    <row r="4927" spans="1:15" ht="20.25" x14ac:dyDescent="0.25">
      <c r="A4927" s="1">
        <v>100</v>
      </c>
      <c r="B4927" t="s">
        <v>4792</v>
      </c>
      <c r="C4927" s="1" t="s">
        <v>3821</v>
      </c>
      <c r="D4927" s="1"/>
      <c r="E4927" s="1"/>
      <c r="F4927" s="1" t="s">
        <v>4656</v>
      </c>
      <c r="G4927" s="1">
        <v>4</v>
      </c>
      <c r="H4927" s="1" t="s">
        <v>19</v>
      </c>
      <c r="I4927" s="1" t="s">
        <v>4086</v>
      </c>
      <c r="J4927" s="1">
        <v>14.361000000000001</v>
      </c>
      <c r="K4927" s="1">
        <v>57.444000000000003</v>
      </c>
      <c r="L4927" s="42">
        <v>12</v>
      </c>
      <c r="M4927" s="43">
        <v>46216</v>
      </c>
      <c r="N4927" s="1" t="str">
        <f>VLOOKUP(B4927,MICRO!E:L,8,0)</f>
        <v>P-188</v>
      </c>
      <c r="O4927" s="211" t="s">
        <v>6</v>
      </c>
    </row>
    <row r="4928" spans="1:15" ht="20.25" x14ac:dyDescent="0.25">
      <c r="A4928" s="1">
        <v>101</v>
      </c>
      <c r="B4928" t="s">
        <v>4793</v>
      </c>
      <c r="C4928" s="1" t="s">
        <v>3821</v>
      </c>
      <c r="D4928" s="1"/>
      <c r="E4928" s="1"/>
      <c r="F4928" s="1" t="s">
        <v>4657</v>
      </c>
      <c r="G4928" s="1">
        <v>12</v>
      </c>
      <c r="H4928" s="1" t="s">
        <v>19</v>
      </c>
      <c r="I4928" s="1" t="s">
        <v>4086</v>
      </c>
      <c r="J4928" s="1">
        <v>14.361000000000001</v>
      </c>
      <c r="K4928" s="1">
        <v>172.33199999999999</v>
      </c>
      <c r="L4928" s="42">
        <v>12</v>
      </c>
      <c r="M4928" s="43">
        <v>46216</v>
      </c>
      <c r="N4928" s="1" t="str">
        <f>VLOOKUP(B4928,MICRO!E:L,8,0)</f>
        <v>P-188</v>
      </c>
      <c r="O4928" s="211" t="s">
        <v>6</v>
      </c>
    </row>
    <row r="4929" spans="1:15" ht="20.25" x14ac:dyDescent="0.25">
      <c r="A4929" s="1">
        <v>102</v>
      </c>
      <c r="B4929" t="s">
        <v>4794</v>
      </c>
      <c r="C4929" s="1" t="s">
        <v>3821</v>
      </c>
      <c r="D4929" s="1"/>
      <c r="E4929" s="1"/>
      <c r="F4929" s="1" t="s">
        <v>4658</v>
      </c>
      <c r="G4929" s="1">
        <v>4</v>
      </c>
      <c r="H4929" s="1" t="s">
        <v>19</v>
      </c>
      <c r="I4929" s="1" t="s">
        <v>4086</v>
      </c>
      <c r="J4929" s="1">
        <v>14.361000000000001</v>
      </c>
      <c r="K4929" s="1">
        <v>57.444000000000003</v>
      </c>
      <c r="L4929" s="42">
        <v>12</v>
      </c>
      <c r="M4929" s="43">
        <v>46216</v>
      </c>
      <c r="N4929" s="1" t="str">
        <f>VLOOKUP(B4929,MICRO!E:L,8,0)</f>
        <v>P-188</v>
      </c>
      <c r="O4929" s="211" t="s">
        <v>6</v>
      </c>
    </row>
    <row r="4930" spans="1:15" ht="20.25" x14ac:dyDescent="0.25">
      <c r="A4930" s="1">
        <v>103</v>
      </c>
      <c r="B4930" t="s">
        <v>4795</v>
      </c>
      <c r="C4930" s="1" t="s">
        <v>3821</v>
      </c>
      <c r="D4930" s="1"/>
      <c r="E4930" s="1"/>
      <c r="F4930" s="1" t="s">
        <v>4658</v>
      </c>
      <c r="G4930" s="1">
        <v>4</v>
      </c>
      <c r="H4930" s="1" t="s">
        <v>19</v>
      </c>
      <c r="I4930" s="1" t="s">
        <v>4086</v>
      </c>
      <c r="J4930" s="1">
        <v>14.361000000000001</v>
      </c>
      <c r="K4930" s="1">
        <v>57.444000000000003</v>
      </c>
      <c r="L4930" s="42">
        <v>12</v>
      </c>
      <c r="M4930" s="43">
        <v>46216</v>
      </c>
      <c r="N4930" s="1" t="str">
        <f>VLOOKUP(B4930,MICRO!E:L,8,0)</f>
        <v>P-188</v>
      </c>
      <c r="O4930" s="211" t="s">
        <v>6</v>
      </c>
    </row>
    <row r="4931" spans="1:15" ht="20.25" x14ac:dyDescent="0.25">
      <c r="A4931" s="1">
        <v>104</v>
      </c>
      <c r="B4931" t="s">
        <v>4796</v>
      </c>
      <c r="C4931" s="1" t="s">
        <v>3875</v>
      </c>
      <c r="D4931" s="1"/>
      <c r="E4931" s="1"/>
      <c r="F4931" s="1" t="s">
        <v>4659</v>
      </c>
      <c r="G4931" s="1">
        <v>4</v>
      </c>
      <c r="H4931" s="1" t="s">
        <v>19</v>
      </c>
      <c r="I4931" s="1" t="s">
        <v>4086</v>
      </c>
      <c r="J4931" s="1">
        <v>14.361000000000001</v>
      </c>
      <c r="K4931" s="1">
        <v>57.444000000000003</v>
      </c>
      <c r="L4931" s="42">
        <v>12</v>
      </c>
      <c r="M4931" s="43">
        <v>46216</v>
      </c>
      <c r="N4931" s="1" t="str">
        <f>VLOOKUP(B4931,MICRO!E:L,8,0)</f>
        <v>P-188</v>
      </c>
      <c r="O4931" s="211" t="s">
        <v>6</v>
      </c>
    </row>
    <row r="4932" spans="1:15" ht="20.25" x14ac:dyDescent="0.25">
      <c r="A4932" s="1">
        <v>105</v>
      </c>
      <c r="B4932" t="s">
        <v>4797</v>
      </c>
      <c r="C4932" s="1" t="s">
        <v>3875</v>
      </c>
      <c r="D4932" s="1"/>
      <c r="E4932" s="1"/>
      <c r="F4932" s="1" t="s">
        <v>4660</v>
      </c>
      <c r="G4932" s="1">
        <v>20</v>
      </c>
      <c r="H4932" s="1" t="s">
        <v>19</v>
      </c>
      <c r="I4932" s="1" t="s">
        <v>4086</v>
      </c>
      <c r="J4932" s="1">
        <v>14.361000000000001</v>
      </c>
      <c r="K4932" s="1">
        <v>287.22000000000003</v>
      </c>
      <c r="L4932" s="42">
        <v>12</v>
      </c>
      <c r="M4932" s="43">
        <v>46216</v>
      </c>
      <c r="N4932" s="1" t="str">
        <f>VLOOKUP(B4932,MICRO!E:L,8,0)</f>
        <v>P-188</v>
      </c>
      <c r="O4932" s="211" t="s">
        <v>6</v>
      </c>
    </row>
    <row r="4933" spans="1:15" ht="20.25" x14ac:dyDescent="0.25">
      <c r="A4933" s="1">
        <v>106</v>
      </c>
      <c r="B4933" t="s">
        <v>4798</v>
      </c>
      <c r="C4933" s="1" t="s">
        <v>3858</v>
      </c>
      <c r="D4933" s="1"/>
      <c r="E4933" s="1"/>
      <c r="F4933" s="1" t="s">
        <v>4661</v>
      </c>
      <c r="G4933" s="1">
        <v>2</v>
      </c>
      <c r="H4933" s="1" t="s">
        <v>19</v>
      </c>
      <c r="I4933" s="1" t="s">
        <v>4086</v>
      </c>
      <c r="J4933" s="1">
        <v>14.361000000000001</v>
      </c>
      <c r="K4933" s="1">
        <v>28.722000000000001</v>
      </c>
      <c r="L4933" s="42">
        <v>12</v>
      </c>
      <c r="M4933" s="43">
        <v>46216</v>
      </c>
      <c r="N4933" s="1" t="str">
        <f>VLOOKUP(B4933,MICRO!E:L,8,0)</f>
        <v>P-188</v>
      </c>
      <c r="O4933" s="211" t="s">
        <v>6</v>
      </c>
    </row>
    <row r="4934" spans="1:15" ht="20.25" x14ac:dyDescent="0.25">
      <c r="A4934" s="1">
        <v>107</v>
      </c>
      <c r="B4934" t="s">
        <v>4799</v>
      </c>
      <c r="C4934" s="1" t="s">
        <v>3858</v>
      </c>
      <c r="D4934" s="1"/>
      <c r="E4934" s="1"/>
      <c r="F4934" s="1" t="s">
        <v>4661</v>
      </c>
      <c r="G4934" s="1">
        <v>22</v>
      </c>
      <c r="H4934" s="1" t="s">
        <v>19</v>
      </c>
      <c r="I4934" s="1" t="s">
        <v>4086</v>
      </c>
      <c r="J4934" s="1">
        <v>14.361000000000001</v>
      </c>
      <c r="K4934" s="1">
        <v>315.94200000000001</v>
      </c>
      <c r="L4934" s="42">
        <v>12</v>
      </c>
      <c r="M4934" s="43">
        <v>46216</v>
      </c>
      <c r="N4934" s="1" t="str">
        <f>VLOOKUP(B4934,MICRO!E:L,8,0)</f>
        <v>P-188</v>
      </c>
      <c r="O4934" s="211" t="s">
        <v>6</v>
      </c>
    </row>
    <row r="4935" spans="1:15" ht="20.25" x14ac:dyDescent="0.25">
      <c r="A4935" s="1">
        <v>108</v>
      </c>
      <c r="B4935" t="s">
        <v>4800</v>
      </c>
      <c r="C4935" s="1" t="s">
        <v>3858</v>
      </c>
      <c r="D4935" s="1"/>
      <c r="E4935" s="1"/>
      <c r="F4935" s="1" t="s">
        <v>4662</v>
      </c>
      <c r="G4935" s="1">
        <v>2</v>
      </c>
      <c r="H4935" s="1" t="s">
        <v>19</v>
      </c>
      <c r="I4935" s="1" t="s">
        <v>4086</v>
      </c>
      <c r="J4935" s="1">
        <v>14.361000000000001</v>
      </c>
      <c r="K4935" s="1">
        <v>28.722000000000001</v>
      </c>
      <c r="L4935" s="42">
        <v>12</v>
      </c>
      <c r="M4935" s="43">
        <v>46216</v>
      </c>
      <c r="N4935" s="1" t="str">
        <f>VLOOKUP(B4935,MICRO!E:L,8,0)</f>
        <v>P-188</v>
      </c>
      <c r="O4935" s="211" t="s">
        <v>6</v>
      </c>
    </row>
    <row r="4936" spans="1:15" ht="20.25" x14ac:dyDescent="0.25">
      <c r="A4936" s="1">
        <v>109</v>
      </c>
      <c r="B4936" t="s">
        <v>4801</v>
      </c>
      <c r="C4936" s="1" t="s">
        <v>3858</v>
      </c>
      <c r="D4936" s="1"/>
      <c r="E4936" s="1"/>
      <c r="F4936" s="1" t="s">
        <v>4662</v>
      </c>
      <c r="G4936" s="1">
        <v>2</v>
      </c>
      <c r="H4936" s="1" t="s">
        <v>19</v>
      </c>
      <c r="I4936" s="1" t="s">
        <v>4086</v>
      </c>
      <c r="J4936" s="1">
        <v>14.361000000000001</v>
      </c>
      <c r="K4936" s="1">
        <v>28.722000000000001</v>
      </c>
      <c r="L4936" s="42">
        <v>12</v>
      </c>
      <c r="M4936" s="43">
        <v>46216</v>
      </c>
      <c r="N4936" s="1" t="str">
        <f>VLOOKUP(B4936,MICRO!E:L,8,0)</f>
        <v>P-188</v>
      </c>
      <c r="O4936" s="211" t="s">
        <v>6</v>
      </c>
    </row>
    <row r="4937" spans="1:15" ht="20.25" x14ac:dyDescent="0.25">
      <c r="A4937" s="1">
        <v>110</v>
      </c>
      <c r="B4937" t="s">
        <v>4802</v>
      </c>
      <c r="C4937" s="1" t="s">
        <v>3864</v>
      </c>
      <c r="D4937" s="1"/>
      <c r="E4937" s="1"/>
      <c r="F4937" s="1" t="s">
        <v>4663</v>
      </c>
      <c r="G4937" s="1">
        <v>2</v>
      </c>
      <c r="H4937" s="1" t="s">
        <v>19</v>
      </c>
      <c r="I4937" s="1" t="s">
        <v>4086</v>
      </c>
      <c r="J4937" s="1">
        <v>14.361000000000001</v>
      </c>
      <c r="K4937" s="1">
        <v>28.722000000000001</v>
      </c>
      <c r="L4937" s="42">
        <v>12</v>
      </c>
      <c r="M4937" s="43">
        <v>46216</v>
      </c>
      <c r="N4937" s="1" t="str">
        <f>VLOOKUP(B4937,MICRO!E:L,8,0)</f>
        <v>P-188</v>
      </c>
      <c r="O4937" s="211" t="s">
        <v>6</v>
      </c>
    </row>
    <row r="4938" spans="1:15" ht="20.25" x14ac:dyDescent="0.25">
      <c r="A4938" s="1">
        <v>111</v>
      </c>
      <c r="B4938" t="s">
        <v>4803</v>
      </c>
      <c r="C4938" s="1" t="s">
        <v>3864</v>
      </c>
      <c r="D4938" s="1"/>
      <c r="E4938" s="1"/>
      <c r="F4938" s="1" t="s">
        <v>4664</v>
      </c>
      <c r="G4938" s="1">
        <v>2</v>
      </c>
      <c r="H4938" s="1" t="s">
        <v>19</v>
      </c>
      <c r="I4938" s="1" t="s">
        <v>4086</v>
      </c>
      <c r="J4938" s="1">
        <v>14.361000000000001</v>
      </c>
      <c r="K4938" s="1">
        <v>28.722000000000001</v>
      </c>
      <c r="L4938" s="42">
        <v>12</v>
      </c>
      <c r="M4938" s="43">
        <v>46216</v>
      </c>
      <c r="N4938" s="1" t="str">
        <f>VLOOKUP(B4938,MICRO!E:L,8,0)</f>
        <v>P-188</v>
      </c>
      <c r="O4938" s="211" t="s">
        <v>6</v>
      </c>
    </row>
    <row r="4939" spans="1:15" ht="20.25" x14ac:dyDescent="0.25">
      <c r="A4939" s="1">
        <v>112</v>
      </c>
      <c r="B4939" t="s">
        <v>4804</v>
      </c>
      <c r="C4939" s="1" t="s">
        <v>3864</v>
      </c>
      <c r="D4939" s="1"/>
      <c r="E4939" s="1"/>
      <c r="F4939" s="1" t="s">
        <v>4665</v>
      </c>
      <c r="G4939" s="1">
        <v>4</v>
      </c>
      <c r="H4939" s="1" t="s">
        <v>19</v>
      </c>
      <c r="I4939" s="1" t="s">
        <v>4086</v>
      </c>
      <c r="J4939" s="1">
        <v>14.361000000000001</v>
      </c>
      <c r="K4939" s="1">
        <v>57.444000000000003</v>
      </c>
      <c r="L4939" s="42">
        <v>12</v>
      </c>
      <c r="M4939" s="43">
        <v>46216</v>
      </c>
      <c r="N4939" s="1" t="str">
        <f>VLOOKUP(B4939,MICRO!E:L,8,0)</f>
        <v>P-188</v>
      </c>
      <c r="O4939" s="211" t="s">
        <v>6</v>
      </c>
    </row>
    <row r="4940" spans="1:15" ht="20.25" x14ac:dyDescent="0.25">
      <c r="A4940" s="1">
        <v>113</v>
      </c>
      <c r="B4940" t="s">
        <v>4805</v>
      </c>
      <c r="C4940" s="1" t="s">
        <v>3864</v>
      </c>
      <c r="D4940" s="1"/>
      <c r="E4940" s="1"/>
      <c r="F4940" s="1" t="s">
        <v>4666</v>
      </c>
      <c r="G4940" s="1">
        <v>4</v>
      </c>
      <c r="H4940" s="1" t="s">
        <v>19</v>
      </c>
      <c r="I4940" s="1" t="s">
        <v>4086</v>
      </c>
      <c r="J4940" s="1">
        <v>14.361000000000001</v>
      </c>
      <c r="K4940" s="1">
        <v>57.444000000000003</v>
      </c>
      <c r="L4940" s="42">
        <v>12</v>
      </c>
      <c r="M4940" s="43">
        <v>46216</v>
      </c>
      <c r="N4940" s="1" t="str">
        <f>VLOOKUP(B4940,MICRO!E:L,8,0)</f>
        <v>P-188</v>
      </c>
      <c r="O4940" s="211" t="s">
        <v>6</v>
      </c>
    </row>
    <row r="4941" spans="1:15" ht="20.25" x14ac:dyDescent="0.25">
      <c r="A4941" s="1">
        <v>114</v>
      </c>
      <c r="B4941" t="s">
        <v>4806</v>
      </c>
      <c r="C4941" s="1" t="s">
        <v>3864</v>
      </c>
      <c r="D4941" s="1"/>
      <c r="E4941" s="1"/>
      <c r="F4941" s="1" t="s">
        <v>4667</v>
      </c>
      <c r="G4941" s="1">
        <v>6</v>
      </c>
      <c r="H4941" s="1" t="s">
        <v>19</v>
      </c>
      <c r="I4941" s="1" t="s">
        <v>4086</v>
      </c>
      <c r="J4941" s="1">
        <v>14.361000000000001</v>
      </c>
      <c r="K4941" s="1">
        <v>86.165999999999997</v>
      </c>
      <c r="L4941" s="42">
        <v>12</v>
      </c>
      <c r="M4941" s="43">
        <v>46216</v>
      </c>
      <c r="N4941" s="1" t="str">
        <f>VLOOKUP(B4941,MICRO!E:L,8,0)</f>
        <v>P-188</v>
      </c>
      <c r="O4941" s="211" t="s">
        <v>6</v>
      </c>
    </row>
    <row r="4942" spans="1:15" ht="20.25" x14ac:dyDescent="0.25">
      <c r="A4942" s="1">
        <v>115</v>
      </c>
      <c r="B4942" t="s">
        <v>4807</v>
      </c>
      <c r="C4942" s="1" t="s">
        <v>3864</v>
      </c>
      <c r="D4942" s="1"/>
      <c r="E4942" s="1"/>
      <c r="F4942" s="1" t="s">
        <v>4668</v>
      </c>
      <c r="G4942" s="1">
        <v>2</v>
      </c>
      <c r="H4942" s="1" t="s">
        <v>19</v>
      </c>
      <c r="I4942" s="1" t="s">
        <v>4086</v>
      </c>
      <c r="J4942" s="1">
        <v>14.361000000000001</v>
      </c>
      <c r="K4942" s="1">
        <v>28.722000000000001</v>
      </c>
      <c r="L4942" s="42">
        <v>12</v>
      </c>
      <c r="M4942" s="43">
        <v>46216</v>
      </c>
      <c r="N4942" s="1" t="str">
        <f>VLOOKUP(B4942,MICRO!E:L,8,0)</f>
        <v>P-188</v>
      </c>
      <c r="O4942" s="211" t="s">
        <v>6</v>
      </c>
    </row>
    <row r="4943" spans="1:15" ht="20.25" x14ac:dyDescent="0.25">
      <c r="A4943" s="1">
        <v>116</v>
      </c>
      <c r="B4943" t="s">
        <v>4808</v>
      </c>
      <c r="C4943" s="1" t="s">
        <v>3855</v>
      </c>
      <c r="D4943" s="1"/>
      <c r="E4943" s="1"/>
      <c r="F4943" s="1" t="s">
        <v>4669</v>
      </c>
      <c r="G4943" s="1">
        <v>2</v>
      </c>
      <c r="H4943" s="1" t="s">
        <v>19</v>
      </c>
      <c r="I4943" s="1" t="s">
        <v>4086</v>
      </c>
      <c r="J4943" s="1">
        <v>14.361000000000001</v>
      </c>
      <c r="K4943" s="1">
        <v>28.722000000000001</v>
      </c>
      <c r="L4943" s="42">
        <v>12</v>
      </c>
      <c r="M4943" s="43">
        <v>46216</v>
      </c>
      <c r="N4943" s="1" t="str">
        <f>VLOOKUP(B4943,MICRO!E:L,8,0)</f>
        <v>P-188</v>
      </c>
      <c r="O4943" s="211" t="s">
        <v>6</v>
      </c>
    </row>
    <row r="4944" spans="1:15" ht="20.25" x14ac:dyDescent="0.25">
      <c r="A4944" s="1">
        <v>117</v>
      </c>
      <c r="B4944" t="s">
        <v>4809</v>
      </c>
      <c r="C4944" s="1" t="s">
        <v>3855</v>
      </c>
      <c r="D4944" s="1"/>
      <c r="E4944" s="1"/>
      <c r="F4944" s="1" t="s">
        <v>4670</v>
      </c>
      <c r="G4944" s="1">
        <v>26</v>
      </c>
      <c r="H4944" s="1" t="s">
        <v>19</v>
      </c>
      <c r="I4944" s="1" t="s">
        <v>4086</v>
      </c>
      <c r="J4944" s="1">
        <v>14.361000000000001</v>
      </c>
      <c r="K4944" s="1">
        <v>373.38600000000002</v>
      </c>
      <c r="L4944" s="42">
        <v>12</v>
      </c>
      <c r="M4944" s="43">
        <v>46216</v>
      </c>
      <c r="N4944" s="1" t="str">
        <f>VLOOKUP(B4944,MICRO!E:L,8,0)</f>
        <v>P-188</v>
      </c>
      <c r="O4944" s="211" t="s">
        <v>6</v>
      </c>
    </row>
    <row r="4945" spans="1:15" ht="20.25" x14ac:dyDescent="0.25">
      <c r="A4945" s="1">
        <v>118</v>
      </c>
      <c r="B4945" t="s">
        <v>4810</v>
      </c>
      <c r="C4945" s="1" t="s">
        <v>3873</v>
      </c>
      <c r="D4945" s="1"/>
      <c r="E4945" s="1"/>
      <c r="F4945" s="1" t="s">
        <v>4671</v>
      </c>
      <c r="G4945" s="1">
        <v>4</v>
      </c>
      <c r="H4945" s="1" t="s">
        <v>19</v>
      </c>
      <c r="I4945" s="1" t="s">
        <v>4086</v>
      </c>
      <c r="J4945" s="1">
        <v>14.361000000000001</v>
      </c>
      <c r="K4945" s="1">
        <v>57.444000000000003</v>
      </c>
      <c r="L4945" s="42">
        <v>12</v>
      </c>
      <c r="M4945" s="43">
        <v>46216</v>
      </c>
      <c r="N4945" s="1" t="str">
        <f>VLOOKUP(B4945,MICRO!E:L,8,0)</f>
        <v>P-188</v>
      </c>
      <c r="O4945" s="211" t="s">
        <v>6</v>
      </c>
    </row>
    <row r="4946" spans="1:15" ht="20.25" x14ac:dyDescent="0.25">
      <c r="A4946" s="1">
        <v>119</v>
      </c>
      <c r="B4946" t="s">
        <v>4811</v>
      </c>
      <c r="C4946" s="1" t="s">
        <v>3873</v>
      </c>
      <c r="D4946" s="1"/>
      <c r="E4946" s="1"/>
      <c r="F4946" s="1" t="s">
        <v>4672</v>
      </c>
      <c r="G4946" s="1">
        <v>20</v>
      </c>
      <c r="H4946" s="1" t="s">
        <v>19</v>
      </c>
      <c r="I4946" s="1" t="s">
        <v>4086</v>
      </c>
      <c r="J4946" s="1">
        <v>14.361000000000001</v>
      </c>
      <c r="K4946" s="1">
        <v>287.22000000000003</v>
      </c>
      <c r="L4946" s="42">
        <v>12</v>
      </c>
      <c r="M4946" s="43">
        <v>46216</v>
      </c>
      <c r="N4946" s="1" t="str">
        <f>VLOOKUP(B4946,MICRO!E:L,8,0)</f>
        <v>P-188</v>
      </c>
      <c r="O4946" s="211" t="s">
        <v>6</v>
      </c>
    </row>
    <row r="4947" spans="1:15" ht="20.25" x14ac:dyDescent="0.25">
      <c r="A4947" s="1">
        <v>120</v>
      </c>
      <c r="B4947" t="s">
        <v>4812</v>
      </c>
      <c r="C4947" s="1" t="s">
        <v>4673</v>
      </c>
      <c r="D4947" s="1"/>
      <c r="E4947" s="1"/>
      <c r="F4947" s="1" t="s">
        <v>4674</v>
      </c>
      <c r="G4947" s="1">
        <v>1</v>
      </c>
      <c r="H4947" s="1" t="s">
        <v>19</v>
      </c>
      <c r="I4947" s="1" t="s">
        <v>4675</v>
      </c>
      <c r="J4947" s="1">
        <v>12.6</v>
      </c>
      <c r="K4947" s="1">
        <v>12.6</v>
      </c>
      <c r="L4947" s="42">
        <v>12</v>
      </c>
      <c r="M4947" s="43">
        <v>46216</v>
      </c>
      <c r="N4947" s="1" t="str">
        <f>VLOOKUP(B4947,MICRO!E:L,8,0)</f>
        <v>P-188</v>
      </c>
      <c r="O4947" s="211" t="s">
        <v>6</v>
      </c>
    </row>
    <row r="4948" spans="1:15" ht="20.25" x14ac:dyDescent="0.25">
      <c r="A4948" s="1">
        <v>121</v>
      </c>
      <c r="B4948" t="s">
        <v>4813</v>
      </c>
      <c r="C4948" s="1" t="s">
        <v>4673</v>
      </c>
      <c r="D4948" s="1"/>
      <c r="E4948" s="1"/>
      <c r="F4948" s="1" t="s">
        <v>4676</v>
      </c>
      <c r="G4948" s="1">
        <v>1</v>
      </c>
      <c r="H4948" s="1" t="s">
        <v>19</v>
      </c>
      <c r="I4948" s="1" t="s">
        <v>4675</v>
      </c>
      <c r="J4948" s="1">
        <v>12.6</v>
      </c>
      <c r="K4948" s="1">
        <v>12.6</v>
      </c>
      <c r="L4948" s="42">
        <v>12</v>
      </c>
      <c r="M4948" s="43">
        <v>46216</v>
      </c>
      <c r="N4948" s="1" t="str">
        <f>VLOOKUP(B4948,MICRO!E:L,8,0)</f>
        <v>P-188</v>
      </c>
      <c r="O4948" s="211" t="s">
        <v>6</v>
      </c>
    </row>
    <row r="4949" spans="1:15" ht="20.25" x14ac:dyDescent="0.25">
      <c r="A4949" s="1">
        <v>122</v>
      </c>
      <c r="B4949" t="s">
        <v>4814</v>
      </c>
      <c r="C4949" s="1" t="s">
        <v>4673</v>
      </c>
      <c r="D4949" s="1"/>
      <c r="E4949" s="1"/>
      <c r="F4949" s="1" t="s">
        <v>4677</v>
      </c>
      <c r="G4949" s="1">
        <v>1</v>
      </c>
      <c r="H4949" s="1" t="s">
        <v>19</v>
      </c>
      <c r="I4949" s="1" t="s">
        <v>4675</v>
      </c>
      <c r="J4949" s="1">
        <v>12.6</v>
      </c>
      <c r="K4949" s="1">
        <v>12.6</v>
      </c>
      <c r="L4949" s="42">
        <v>12</v>
      </c>
      <c r="M4949" s="43">
        <v>46216</v>
      </c>
      <c r="N4949" s="1" t="str">
        <f>VLOOKUP(B4949,MICRO!E:L,8,0)</f>
        <v>P-188</v>
      </c>
      <c r="O4949" s="211" t="s">
        <v>6</v>
      </c>
    </row>
    <row r="4950" spans="1:15" ht="20.25" x14ac:dyDescent="0.25">
      <c r="A4950" s="1">
        <v>123</v>
      </c>
      <c r="B4950" t="s">
        <v>4815</v>
      </c>
      <c r="C4950" s="1" t="s">
        <v>4673</v>
      </c>
      <c r="D4950" s="1"/>
      <c r="E4950" s="1"/>
      <c r="F4950" s="1" t="s">
        <v>4678</v>
      </c>
      <c r="G4950" s="1">
        <v>1</v>
      </c>
      <c r="H4950" s="1" t="s">
        <v>19</v>
      </c>
      <c r="I4950" s="1" t="s">
        <v>4675</v>
      </c>
      <c r="J4950" s="1">
        <v>12.6</v>
      </c>
      <c r="K4950" s="1">
        <v>12.6</v>
      </c>
      <c r="L4950" s="42">
        <v>12</v>
      </c>
      <c r="M4950" s="43">
        <v>46216</v>
      </c>
      <c r="N4950" s="1" t="str">
        <f>VLOOKUP(B4950,MICRO!E:L,8,0)</f>
        <v>P-188</v>
      </c>
      <c r="O4950" s="211" t="s">
        <v>6</v>
      </c>
    </row>
    <row r="4951" spans="1:15" ht="20.25" x14ac:dyDescent="0.25">
      <c r="A4951" s="1">
        <v>124</v>
      </c>
      <c r="B4951" t="s">
        <v>4816</v>
      </c>
      <c r="C4951" s="1" t="s">
        <v>4673</v>
      </c>
      <c r="D4951" s="1"/>
      <c r="E4951" s="1"/>
      <c r="F4951" s="1" t="s">
        <v>4679</v>
      </c>
      <c r="G4951" s="1">
        <v>1</v>
      </c>
      <c r="H4951" s="1" t="s">
        <v>19</v>
      </c>
      <c r="I4951" s="1" t="s">
        <v>4675</v>
      </c>
      <c r="J4951" s="1">
        <v>12.6</v>
      </c>
      <c r="K4951" s="1">
        <v>12.6</v>
      </c>
      <c r="L4951" s="42">
        <v>12</v>
      </c>
      <c r="M4951" s="43">
        <v>46216</v>
      </c>
      <c r="N4951" s="1" t="str">
        <f>VLOOKUP(B4951,MICRO!E:L,8,0)</f>
        <v>P-188</v>
      </c>
      <c r="O4951" s="211" t="s">
        <v>6</v>
      </c>
    </row>
    <row r="4952" spans="1:15" ht="20.25" x14ac:dyDescent="0.25">
      <c r="A4952" s="1">
        <v>125</v>
      </c>
      <c r="B4952" t="s">
        <v>4817</v>
      </c>
      <c r="C4952" s="1" t="s">
        <v>4673</v>
      </c>
      <c r="D4952" s="1"/>
      <c r="E4952" s="1"/>
      <c r="F4952" s="1" t="s">
        <v>4680</v>
      </c>
      <c r="G4952" s="1">
        <v>1</v>
      </c>
      <c r="H4952" s="1" t="s">
        <v>19</v>
      </c>
      <c r="I4952" s="1" t="s">
        <v>4675</v>
      </c>
      <c r="J4952" s="1">
        <v>12.6</v>
      </c>
      <c r="K4952" s="1">
        <v>12.6</v>
      </c>
      <c r="L4952" s="42">
        <v>12</v>
      </c>
      <c r="M4952" s="43">
        <v>46216</v>
      </c>
      <c r="N4952" s="1" t="str">
        <f>VLOOKUP(B4952,MICRO!E:L,8,0)</f>
        <v>P-188</v>
      </c>
      <c r="O4952" s="211" t="s">
        <v>6</v>
      </c>
    </row>
    <row r="4953" spans="1:15" ht="20.25" x14ac:dyDescent="0.25">
      <c r="A4953" s="1">
        <v>126</v>
      </c>
      <c r="B4953" t="s">
        <v>4818</v>
      </c>
      <c r="C4953" s="1" t="s">
        <v>4673</v>
      </c>
      <c r="D4953" s="1"/>
      <c r="E4953" s="1"/>
      <c r="F4953" s="1" t="s">
        <v>4681</v>
      </c>
      <c r="G4953" s="1">
        <v>1</v>
      </c>
      <c r="H4953" s="1" t="s">
        <v>19</v>
      </c>
      <c r="I4953" s="1" t="s">
        <v>2276</v>
      </c>
      <c r="J4953" s="1">
        <v>12.6</v>
      </c>
      <c r="K4953" s="1">
        <v>12.6</v>
      </c>
      <c r="L4953" s="42">
        <v>12</v>
      </c>
      <c r="M4953" s="43">
        <v>46216</v>
      </c>
      <c r="N4953" s="1" t="str">
        <f>VLOOKUP(B4953,MICRO!E:L,8,0)</f>
        <v>P-188</v>
      </c>
      <c r="O4953" s="211" t="s">
        <v>6</v>
      </c>
    </row>
    <row r="4954" spans="1:15" ht="20.25" x14ac:dyDescent="0.25">
      <c r="A4954" s="1">
        <v>127</v>
      </c>
      <c r="B4954" t="s">
        <v>4819</v>
      </c>
      <c r="C4954" s="1" t="s">
        <v>4673</v>
      </c>
      <c r="D4954" s="1"/>
      <c r="E4954" s="1"/>
      <c r="F4954" s="1" t="s">
        <v>4682</v>
      </c>
      <c r="G4954" s="1">
        <v>1</v>
      </c>
      <c r="H4954" s="1" t="s">
        <v>19</v>
      </c>
      <c r="I4954" s="1" t="s">
        <v>2276</v>
      </c>
      <c r="J4954" s="1">
        <v>12.6</v>
      </c>
      <c r="K4954" s="1">
        <v>12.6</v>
      </c>
      <c r="L4954" s="42">
        <v>12</v>
      </c>
      <c r="M4954" s="43">
        <v>46216</v>
      </c>
      <c r="N4954" s="1" t="str">
        <f>VLOOKUP(B4954,MICRO!E:L,8,0)</f>
        <v>P-188</v>
      </c>
      <c r="O4954" s="211" t="s">
        <v>6</v>
      </c>
    </row>
    <row r="4955" spans="1:15" ht="20.25" x14ac:dyDescent="0.25">
      <c r="A4955" s="1">
        <v>128</v>
      </c>
      <c r="B4955" t="s">
        <v>4820</v>
      </c>
      <c r="C4955" s="1" t="s">
        <v>4673</v>
      </c>
      <c r="D4955" s="1"/>
      <c r="E4955" s="1"/>
      <c r="F4955" s="1" t="s">
        <v>4683</v>
      </c>
      <c r="G4955" s="1">
        <v>1</v>
      </c>
      <c r="H4955" s="1" t="s">
        <v>19</v>
      </c>
      <c r="I4955" s="1" t="s">
        <v>2276</v>
      </c>
      <c r="J4955" s="1">
        <v>12.6</v>
      </c>
      <c r="K4955" s="1">
        <v>12.6</v>
      </c>
      <c r="L4955" s="42">
        <v>12</v>
      </c>
      <c r="M4955" s="43">
        <v>46216</v>
      </c>
      <c r="N4955" s="1" t="str">
        <f>VLOOKUP(B4955,MICRO!E:L,8,0)</f>
        <v>P-188</v>
      </c>
      <c r="O4955" s="211" t="s">
        <v>6</v>
      </c>
    </row>
    <row r="4956" spans="1:15" ht="20.25" x14ac:dyDescent="0.25">
      <c r="A4956" s="1">
        <v>129</v>
      </c>
      <c r="B4956" t="s">
        <v>4821</v>
      </c>
      <c r="C4956" s="1" t="s">
        <v>4673</v>
      </c>
      <c r="D4956" s="1"/>
      <c r="E4956" s="1"/>
      <c r="F4956" s="1" t="s">
        <v>4684</v>
      </c>
      <c r="G4956" s="1">
        <v>1</v>
      </c>
      <c r="H4956" s="1" t="s">
        <v>19</v>
      </c>
      <c r="I4956" s="1" t="s">
        <v>2276</v>
      </c>
      <c r="J4956" s="1">
        <v>12.6</v>
      </c>
      <c r="K4956" s="1">
        <v>12.6</v>
      </c>
      <c r="L4956" s="42">
        <v>12</v>
      </c>
      <c r="M4956" s="43">
        <v>46216</v>
      </c>
      <c r="N4956" s="1" t="str">
        <f>VLOOKUP(B4956,MICRO!E:L,8,0)</f>
        <v>P-188</v>
      </c>
      <c r="O4956" s="211" t="s">
        <v>6</v>
      </c>
    </row>
    <row r="4957" spans="1:15" ht="20.25" x14ac:dyDescent="0.25">
      <c r="A4957" s="1">
        <v>130</v>
      </c>
      <c r="B4957" t="s">
        <v>4822</v>
      </c>
      <c r="C4957" s="1" t="s">
        <v>4673</v>
      </c>
      <c r="D4957" s="1"/>
      <c r="E4957" s="1"/>
      <c r="F4957" s="1" t="s">
        <v>4685</v>
      </c>
      <c r="G4957" s="1">
        <v>1</v>
      </c>
      <c r="H4957" s="1" t="s">
        <v>19</v>
      </c>
      <c r="I4957" s="1" t="s">
        <v>2276</v>
      </c>
      <c r="J4957" s="1">
        <v>12.6</v>
      </c>
      <c r="K4957" s="1">
        <v>12.6</v>
      </c>
      <c r="L4957" s="42">
        <v>12</v>
      </c>
      <c r="M4957" s="43">
        <v>46216</v>
      </c>
      <c r="N4957" s="1" t="str">
        <f>VLOOKUP(B4957,MICRO!E:L,8,0)</f>
        <v>P-188</v>
      </c>
      <c r="O4957" s="211" t="s">
        <v>6</v>
      </c>
    </row>
    <row r="4958" spans="1:15" ht="20.25" x14ac:dyDescent="0.25">
      <c r="A4958" s="1">
        <v>131</v>
      </c>
      <c r="B4958" t="s">
        <v>4823</v>
      </c>
      <c r="C4958" s="1" t="s">
        <v>4673</v>
      </c>
      <c r="D4958" s="1"/>
      <c r="E4958" s="1"/>
      <c r="F4958" s="1" t="s">
        <v>4686</v>
      </c>
      <c r="G4958" s="1">
        <v>1</v>
      </c>
      <c r="H4958" s="1" t="s">
        <v>19</v>
      </c>
      <c r="I4958" s="1" t="s">
        <v>2276</v>
      </c>
      <c r="J4958" s="1">
        <v>12.6</v>
      </c>
      <c r="K4958" s="1">
        <v>12.6</v>
      </c>
      <c r="L4958" s="42">
        <v>12</v>
      </c>
      <c r="M4958" s="43">
        <v>46216</v>
      </c>
      <c r="N4958" s="1" t="str">
        <f>VLOOKUP(B4958,MICRO!E:L,8,0)</f>
        <v>P-188</v>
      </c>
      <c r="O4958" s="211" t="s">
        <v>6</v>
      </c>
    </row>
    <row r="4959" spans="1:15" ht="20.25" x14ac:dyDescent="0.25">
      <c r="A4959" s="1">
        <v>132</v>
      </c>
      <c r="B4959" t="s">
        <v>4824</v>
      </c>
      <c r="C4959" s="1" t="s">
        <v>4673</v>
      </c>
      <c r="D4959" s="1"/>
      <c r="E4959" s="1"/>
      <c r="F4959" s="1" t="s">
        <v>4687</v>
      </c>
      <c r="G4959" s="1">
        <v>168</v>
      </c>
      <c r="H4959" s="1" t="s">
        <v>19</v>
      </c>
      <c r="I4959" s="1" t="s">
        <v>4675</v>
      </c>
      <c r="J4959" s="1">
        <v>0.188</v>
      </c>
      <c r="K4959" s="1">
        <v>31.584</v>
      </c>
      <c r="L4959" s="42">
        <v>12</v>
      </c>
      <c r="M4959" s="43">
        <v>46216</v>
      </c>
      <c r="N4959" s="1" t="str">
        <f>VLOOKUP(B4959,MICRO!E:L,8,0)</f>
        <v>P-188</v>
      </c>
      <c r="O4959" s="211" t="s">
        <v>6</v>
      </c>
    </row>
    <row r="4960" spans="1:15" ht="20.25" x14ac:dyDescent="0.25">
      <c r="A4960" s="1">
        <v>133</v>
      </c>
      <c r="B4960" t="s">
        <v>4825</v>
      </c>
      <c r="C4960" s="1" t="s">
        <v>4673</v>
      </c>
      <c r="D4960" s="1"/>
      <c r="E4960" s="1"/>
      <c r="F4960" s="1" t="s">
        <v>4688</v>
      </c>
      <c r="G4960" s="1">
        <v>336</v>
      </c>
      <c r="H4960" s="1" t="s">
        <v>19</v>
      </c>
      <c r="I4960" s="1" t="s">
        <v>4675</v>
      </c>
      <c r="J4960" s="1">
        <v>0.188</v>
      </c>
      <c r="K4960" s="1">
        <v>63.167999999999999</v>
      </c>
      <c r="L4960" s="42">
        <v>12</v>
      </c>
      <c r="M4960" s="43">
        <v>46216</v>
      </c>
      <c r="N4960" s="1" t="str">
        <f>VLOOKUP(B4960,MICRO!E:L,8,0)</f>
        <v>P-188</v>
      </c>
      <c r="O4960" s="211" t="s">
        <v>6</v>
      </c>
    </row>
    <row r="4961" spans="1:15" ht="20.25" x14ac:dyDescent="0.25">
      <c r="A4961" s="1">
        <v>134</v>
      </c>
      <c r="B4961" t="s">
        <v>4826</v>
      </c>
      <c r="C4961" s="1" t="s">
        <v>4673</v>
      </c>
      <c r="D4961" s="1"/>
      <c r="E4961" s="1"/>
      <c r="F4961" s="1" t="s">
        <v>4689</v>
      </c>
      <c r="G4961" s="1">
        <v>168</v>
      </c>
      <c r="H4961" s="1" t="s">
        <v>19</v>
      </c>
      <c r="I4961" s="1" t="s">
        <v>2276</v>
      </c>
      <c r="J4961" s="1">
        <v>0.188</v>
      </c>
      <c r="K4961" s="1">
        <v>31.584</v>
      </c>
      <c r="L4961" s="42">
        <v>12</v>
      </c>
      <c r="M4961" s="43">
        <v>46216</v>
      </c>
      <c r="N4961" s="1" t="str">
        <f>VLOOKUP(B4961,MICRO!E:L,8,0)</f>
        <v>P-188</v>
      </c>
      <c r="O4961" s="211" t="s">
        <v>6</v>
      </c>
    </row>
    <row r="4962" spans="1:15" ht="20.25" x14ac:dyDescent="0.25">
      <c r="A4962" s="1">
        <v>135</v>
      </c>
      <c r="B4962" t="s">
        <v>4827</v>
      </c>
      <c r="C4962" s="1" t="s">
        <v>4673</v>
      </c>
      <c r="D4962" s="1"/>
      <c r="E4962" s="1"/>
      <c r="F4962" s="1" t="s">
        <v>4689</v>
      </c>
      <c r="G4962" s="1">
        <v>336</v>
      </c>
      <c r="H4962" s="1" t="s">
        <v>19</v>
      </c>
      <c r="I4962" s="1" t="s">
        <v>2276</v>
      </c>
      <c r="J4962" s="1">
        <v>0.188</v>
      </c>
      <c r="K4962" s="1">
        <v>63.167999999999999</v>
      </c>
      <c r="L4962" s="42">
        <v>12</v>
      </c>
      <c r="M4962" s="43">
        <v>46216</v>
      </c>
      <c r="N4962" s="1" t="str">
        <f>VLOOKUP(B4962,MICRO!E:L,8,0)</f>
        <v>P-188</v>
      </c>
      <c r="O4962" s="211" t="s">
        <v>6</v>
      </c>
    </row>
    <row r="4963" spans="1:15" ht="20.25" x14ac:dyDescent="0.25">
      <c r="A4963" s="1">
        <v>140</v>
      </c>
      <c r="B4963" s="159" t="s">
        <v>4828</v>
      </c>
      <c r="C4963" s="1" t="s">
        <v>3913</v>
      </c>
      <c r="D4963" s="1"/>
      <c r="E4963" s="1" t="s">
        <v>173</v>
      </c>
      <c r="F4963" s="1" t="s">
        <v>4691</v>
      </c>
      <c r="G4963" s="1">
        <v>160</v>
      </c>
      <c r="H4963" s="1" t="s">
        <v>19</v>
      </c>
      <c r="I4963" s="1" t="s">
        <v>2274</v>
      </c>
      <c r="J4963" s="1">
        <v>9.1300000000000008</v>
      </c>
      <c r="K4963" s="1">
        <v>1460.8000000000002</v>
      </c>
      <c r="L4963" s="42">
        <v>12</v>
      </c>
      <c r="M4963" s="43">
        <v>46216</v>
      </c>
      <c r="N4963" s="1" t="str">
        <f>VLOOKUP(B4963,MICRO!E:L,8,0)</f>
        <v>P-188</v>
      </c>
      <c r="O4963" s="211" t="s">
        <v>6</v>
      </c>
    </row>
    <row r="4964" spans="1:15" ht="20.25" x14ac:dyDescent="0.25">
      <c r="A4964" s="1">
        <v>141</v>
      </c>
      <c r="B4964" s="159" t="s">
        <v>4829</v>
      </c>
      <c r="C4964" s="1" t="s">
        <v>3913</v>
      </c>
      <c r="D4964" s="1"/>
      <c r="E4964" s="1" t="s">
        <v>173</v>
      </c>
      <c r="F4964" s="1" t="s">
        <v>4691</v>
      </c>
      <c r="G4964" s="1">
        <v>160</v>
      </c>
      <c r="H4964" s="1" t="s">
        <v>19</v>
      </c>
      <c r="I4964" s="1" t="s">
        <v>2276</v>
      </c>
      <c r="J4964" s="1">
        <v>9.1300000000000008</v>
      </c>
      <c r="K4964" s="1">
        <v>1460.8000000000002</v>
      </c>
      <c r="L4964" s="42">
        <v>12</v>
      </c>
      <c r="M4964" s="43">
        <v>46216</v>
      </c>
      <c r="N4964" s="1" t="str">
        <f>VLOOKUP(B4964,MICRO!E:L,8,0)</f>
        <v>P-188</v>
      </c>
      <c r="O4964" s="211" t="s">
        <v>6</v>
      </c>
    </row>
    <row r="4965" spans="1:15" ht="20.25" x14ac:dyDescent="0.25">
      <c r="A4965" s="1">
        <v>142</v>
      </c>
      <c r="B4965" s="159" t="s">
        <v>4830</v>
      </c>
      <c r="C4965" s="1" t="s">
        <v>4692</v>
      </c>
      <c r="D4965" s="1"/>
      <c r="E4965" s="1"/>
      <c r="F4965" s="1" t="s">
        <v>4693</v>
      </c>
      <c r="G4965" s="1">
        <v>1</v>
      </c>
      <c r="H4965" s="1" t="s">
        <v>19</v>
      </c>
      <c r="I4965" s="1" t="s">
        <v>2274</v>
      </c>
      <c r="J4965" s="1">
        <v>12.5</v>
      </c>
      <c r="K4965" s="1">
        <v>12.5</v>
      </c>
      <c r="L4965" s="42">
        <v>12</v>
      </c>
      <c r="M4965" s="43">
        <v>46216</v>
      </c>
      <c r="N4965" s="1" t="str">
        <f>VLOOKUP(B4965,MICRO!E:L,8,0)</f>
        <v>P-188</v>
      </c>
      <c r="O4965" s="211" t="s">
        <v>6</v>
      </c>
    </row>
    <row r="4966" spans="1:15" ht="20.25" x14ac:dyDescent="0.25">
      <c r="A4966" s="1">
        <v>143</v>
      </c>
      <c r="B4966" s="159" t="s">
        <v>4831</v>
      </c>
      <c r="C4966" s="1" t="s">
        <v>4692</v>
      </c>
      <c r="D4966" s="1"/>
      <c r="E4966" s="1"/>
      <c r="F4966" s="1" t="s">
        <v>4693</v>
      </c>
      <c r="G4966" s="1">
        <v>1</v>
      </c>
      <c r="H4966" s="1" t="s">
        <v>19</v>
      </c>
      <c r="I4966" s="1" t="s">
        <v>2276</v>
      </c>
      <c r="J4966" s="1">
        <v>12.5</v>
      </c>
      <c r="K4966" s="1">
        <v>12.5</v>
      </c>
      <c r="L4966" s="42">
        <v>12</v>
      </c>
      <c r="M4966" s="43">
        <v>46216</v>
      </c>
      <c r="N4966" s="1" t="str">
        <f>VLOOKUP(B4966,MICRO!E:L,8,0)</f>
        <v>P-188</v>
      </c>
      <c r="O4966" s="211" t="s">
        <v>6</v>
      </c>
    </row>
    <row r="4967" spans="1:15" ht="20.25" x14ac:dyDescent="0.25">
      <c r="A4967" s="1">
        <v>136</v>
      </c>
      <c r="B4967" s="159">
        <v>4131</v>
      </c>
      <c r="C4967" s="115" t="s">
        <v>3880</v>
      </c>
      <c r="D4967" s="1"/>
      <c r="E4967" s="1" t="s">
        <v>2</v>
      </c>
      <c r="F4967" s="1" t="s">
        <v>3882</v>
      </c>
      <c r="G4967" s="1">
        <v>1</v>
      </c>
      <c r="H4967" s="1" t="s">
        <v>19</v>
      </c>
      <c r="I4967" s="1" t="s">
        <v>2274</v>
      </c>
      <c r="J4967" s="1">
        <v>383.4</v>
      </c>
      <c r="K4967" s="1">
        <v>383.4</v>
      </c>
      <c r="L4967" s="42"/>
      <c r="M4967" s="43"/>
      <c r="N4967" s="1" t="str">
        <f>VLOOKUP(B4967,MICRO!E:L,8,0)</f>
        <v>P-188</v>
      </c>
      <c r="O4967" s="211" t="s">
        <v>6</v>
      </c>
    </row>
    <row r="4968" spans="1:15" ht="20.25" x14ac:dyDescent="0.25">
      <c r="A4968" s="1">
        <v>137</v>
      </c>
      <c r="B4968" s="159">
        <v>4131</v>
      </c>
      <c r="C4968" s="115" t="s">
        <v>3880</v>
      </c>
      <c r="D4968" s="1"/>
      <c r="E4968" s="1" t="s">
        <v>4690</v>
      </c>
      <c r="F4968" s="1" t="s">
        <v>3885</v>
      </c>
      <c r="G4968" s="1"/>
      <c r="H4968" s="1" t="s">
        <v>19</v>
      </c>
      <c r="I4968" s="1" t="s">
        <v>2274</v>
      </c>
      <c r="J4968" s="1">
        <v>0.3</v>
      </c>
      <c r="K4968" s="1">
        <v>1.2</v>
      </c>
      <c r="L4968" s="42"/>
      <c r="M4968" s="43"/>
      <c r="N4968" s="1" t="str">
        <f>VLOOKUP(B4968,MICRO!E:L,8,0)</f>
        <v>P-188</v>
      </c>
      <c r="O4968" s="211" t="s">
        <v>6</v>
      </c>
    </row>
    <row r="4969" spans="1:15" ht="20.25" x14ac:dyDescent="0.25">
      <c r="A4969" s="1">
        <v>138</v>
      </c>
      <c r="B4969" s="159">
        <v>4133</v>
      </c>
      <c r="C4969" s="115" t="s">
        <v>3880</v>
      </c>
      <c r="D4969" s="1"/>
      <c r="E4969" s="1" t="s">
        <v>2</v>
      </c>
      <c r="F4969" s="1" t="s">
        <v>3882</v>
      </c>
      <c r="G4969" s="1">
        <v>1</v>
      </c>
      <c r="H4969" s="1" t="s">
        <v>19</v>
      </c>
      <c r="I4969" s="1" t="s">
        <v>2276</v>
      </c>
      <c r="J4969" s="1">
        <v>383.4</v>
      </c>
      <c r="K4969" s="1">
        <v>383.4</v>
      </c>
      <c r="L4969" s="42"/>
      <c r="M4969" s="43"/>
      <c r="N4969" s="1" t="str">
        <f>VLOOKUP(B4969,MICRO!E:L,8,0)</f>
        <v>P-188</v>
      </c>
      <c r="O4969" s="211" t="s">
        <v>6</v>
      </c>
    </row>
    <row r="4970" spans="1:15" ht="20.25" x14ac:dyDescent="0.25">
      <c r="A4970" s="1">
        <v>139</v>
      </c>
      <c r="B4970" s="159">
        <v>4133</v>
      </c>
      <c r="C4970" s="115" t="s">
        <v>3880</v>
      </c>
      <c r="D4970" s="1"/>
      <c r="E4970" s="1" t="s">
        <v>4690</v>
      </c>
      <c r="F4970" s="1" t="s">
        <v>3885</v>
      </c>
      <c r="G4970" s="1"/>
      <c r="H4970" s="1" t="s">
        <v>19</v>
      </c>
      <c r="I4970" s="1" t="s">
        <v>2276</v>
      </c>
      <c r="J4970" s="1">
        <v>0.3</v>
      </c>
      <c r="K4970" s="1">
        <v>1.2</v>
      </c>
      <c r="L4970" s="42"/>
      <c r="M4970" s="43"/>
      <c r="N4970" s="1" t="str">
        <f>VLOOKUP(B4970,MICRO!E:L,8,0)</f>
        <v>P-188</v>
      </c>
      <c r="O4970" s="211" t="s">
        <v>6</v>
      </c>
    </row>
  </sheetData>
  <autoFilter ref="A1:O4966" xr:uid="{E826462E-1715-45FB-827E-B16DF1FB20B2}"/>
  <phoneticPr fontId="6" type="noConversion"/>
  <conditionalFormatting sqref="B764:B4406">
    <cfRule type="expression" dxfId="4" priority="5">
      <formula>$AH764="OK"</formula>
    </cfRule>
  </conditionalFormatting>
  <conditionalFormatting sqref="B4407:B4408 B4749:B4970">
    <cfRule type="expression" dxfId="3" priority="4">
      <formula>$AI4407="OK"</formula>
    </cfRule>
  </conditionalFormatting>
  <conditionalFormatting sqref="B4409:B4748">
    <cfRule type="expression" dxfId="2" priority="2">
      <formula>$AH4409="OK"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36" zoomScale="85" zoomScaleNormal="85" workbookViewId="0">
      <selection activeCell="F384" sqref="F384"/>
    </sheetView>
  </sheetViews>
  <sheetFormatPr defaultRowHeight="15" x14ac:dyDescent="0.25"/>
  <cols>
    <col min="1" max="2" width="0" hidden="1" customWidth="1"/>
    <col min="3" max="3" width="8.85546875" hidden="1" customWidth="1"/>
    <col min="4" max="4" width="17.85546875" customWidth="1"/>
    <col min="5" max="5" width="13.7109375" customWidth="1"/>
    <col min="6" max="6" width="24.7109375" bestFit="1" customWidth="1"/>
    <col min="7" max="7" width="36.140625" style="55" customWidth="1"/>
    <col min="8" max="8" width="34.28515625" customWidth="1"/>
    <col min="9" max="9" width="19.85546875" customWidth="1"/>
    <col min="10" max="10" width="21.7109375" customWidth="1"/>
    <col min="11" max="11" width="25.85546875" customWidth="1"/>
    <col min="12" max="12" width="28.85546875" customWidth="1"/>
    <col min="13" max="13" width="28" customWidth="1"/>
    <col min="14" max="14" width="19.7109375" style="55" customWidth="1"/>
    <col min="15" max="15" width="34.28515625" style="55" bestFit="1" customWidth="1"/>
    <col min="18" max="18" width="11.28515625" bestFit="1" customWidth="1"/>
  </cols>
  <sheetData>
    <row r="1" spans="3:18" hidden="1" x14ac:dyDescent="0.25"/>
    <row r="2" spans="3:18" hidden="1" x14ac:dyDescent="0.25"/>
    <row r="3" spans="3:18" ht="42.75" customHeight="1" thickBot="1" x14ac:dyDescent="0.3">
      <c r="C3" s="47" t="s">
        <v>304</v>
      </c>
      <c r="D3" s="60" t="s">
        <v>5</v>
      </c>
      <c r="E3" s="48" t="s">
        <v>42</v>
      </c>
      <c r="F3" s="49" t="s">
        <v>48</v>
      </c>
      <c r="G3" s="57" t="s">
        <v>313</v>
      </c>
      <c r="H3" s="50" t="s">
        <v>318</v>
      </c>
      <c r="I3" s="50" t="s">
        <v>319</v>
      </c>
      <c r="J3" s="51" t="s">
        <v>314</v>
      </c>
      <c r="K3" s="52" t="s">
        <v>315</v>
      </c>
      <c r="L3" s="53" t="s">
        <v>316</v>
      </c>
      <c r="M3" s="54" t="s">
        <v>317</v>
      </c>
      <c r="N3" s="55" t="s">
        <v>27</v>
      </c>
      <c r="O3" s="55" t="s">
        <v>28</v>
      </c>
      <c r="P3" s="119" t="s">
        <v>822</v>
      </c>
      <c r="Q3" s="119" t="s">
        <v>3030</v>
      </c>
      <c r="R3" s="119" t="s">
        <v>1022</v>
      </c>
    </row>
    <row r="4" spans="3:18" s="2" customFormat="1" ht="18.75" thickBot="1" x14ac:dyDescent="0.3">
      <c r="C4" s="45"/>
      <c r="D4" s="61" t="s">
        <v>40</v>
      </c>
      <c r="E4" s="46" t="e">
        <f>VLOOKUP(Tabela2[[#This Row],[TAG]],MICRO!J:L,3,0)</f>
        <v>#N/A</v>
      </c>
      <c r="F4" s="44" t="s">
        <v>31</v>
      </c>
      <c r="G4" s="58">
        <f>SUMIF(MICRO!AP:AP,O:O,MICRO!H:H)</f>
        <v>0</v>
      </c>
      <c r="H4" s="1">
        <f>SUMIF(MICRO!AP:AP,O:O,MICRO!R:R)</f>
        <v>0</v>
      </c>
      <c r="I4" s="1">
        <f>SUMIF(MICRO!AP:AP,O:O,MICRO!T:T)</f>
        <v>0</v>
      </c>
      <c r="J4" s="59">
        <f>IF(G4 = 0,0,H4/G4)</f>
        <v>0</v>
      </c>
      <c r="K4" s="1">
        <f>SUMIF(MICRO!AP:AP,O:O,MICRO!X:X)</f>
        <v>0</v>
      </c>
      <c r="L4" s="59" t="str">
        <f>IF(G4&lt;&gt;0,SUM(K4/G4*1),"0%")</f>
        <v>0%</v>
      </c>
      <c r="M4" s="1">
        <f>G4-K4</f>
        <v>0</v>
      </c>
      <c r="N4" s="56" t="e">
        <f>E4&amp;F4</f>
        <v>#N/A</v>
      </c>
      <c r="O4" s="56" t="e">
        <f>D4&amp;E4&amp;F4</f>
        <v>#N/A</v>
      </c>
      <c r="P4" s="2">
        <f>SUMIF(MICRO!AP:AP,O4,MICRO!AS:AS)</f>
        <v>0</v>
      </c>
      <c r="Q4" s="2">
        <f>SUMIF(MICRO!AP:AP,O4,MICRO!AT:AT)</f>
        <v>0</v>
      </c>
      <c r="R4" s="2">
        <f>SUMIF(MICRO!AP:AP,O:O,MICRO!AU:AU)</f>
        <v>0</v>
      </c>
    </row>
    <row r="5" spans="3:18" s="2" customFormat="1" ht="18.75" thickBot="1" x14ac:dyDescent="0.3">
      <c r="C5" s="45"/>
      <c r="D5" s="61" t="s">
        <v>40</v>
      </c>
      <c r="E5" s="46" t="e">
        <f>VLOOKUP(Tabela2[[#This Row],[TAG]],MICRO!J:L,3,0)</f>
        <v>#N/A</v>
      </c>
      <c r="F5" s="44" t="s">
        <v>32</v>
      </c>
      <c r="G5" s="58">
        <f>SUMIF(MICRO!AP:AP,O:O,MICRO!H:H)</f>
        <v>0</v>
      </c>
      <c r="H5" s="1">
        <f>SUMIF(MICRO!AP:AP,O:O,MICRO!R:R)</f>
        <v>0</v>
      </c>
      <c r="I5" s="1">
        <f>SUMIF(MICRO!AP:AP,O:O,MICRO!T:T)</f>
        <v>0</v>
      </c>
      <c r="J5" s="59">
        <f t="shared" ref="J5:J68" si="0">IF(G5 = 0,0,H5/G5)</f>
        <v>0</v>
      </c>
      <c r="K5" s="1">
        <f>SUMIF(MICRO!AP:AP,O:O,MICRO!X:X)</f>
        <v>0</v>
      </c>
      <c r="L5" s="59" t="str">
        <f t="shared" ref="L5:L68" si="1">IF(G5&lt;&gt;0,SUM(K5/G5*1),"0%")</f>
        <v>0%</v>
      </c>
      <c r="M5" s="1">
        <f t="shared" ref="M5:M68" si="2">G5-K5</f>
        <v>0</v>
      </c>
      <c r="N5" s="56" t="e">
        <f t="shared" ref="N5:N68" si="3">E5&amp;F5</f>
        <v>#N/A</v>
      </c>
      <c r="O5" s="56" t="e">
        <f t="shared" ref="O5:O68" si="4">D5&amp;E5&amp;F5</f>
        <v>#N/A</v>
      </c>
      <c r="P5" s="2">
        <f>SUMIF(MICRO!AP:AP,O5,MICRO!AS:AS)</f>
        <v>0</v>
      </c>
      <c r="Q5" s="2">
        <f>SUMIF(MICRO!AP:AP,O5,MICRO!AT:AT)</f>
        <v>0</v>
      </c>
      <c r="R5" s="2">
        <f>SUMIF(MICRO!AP:AP,O:O,MICRO!AU:AU)</f>
        <v>0</v>
      </c>
    </row>
    <row r="6" spans="3:18" s="2" customFormat="1" ht="18.75" thickBot="1" x14ac:dyDescent="0.3">
      <c r="C6" s="45"/>
      <c r="D6" s="61" t="s">
        <v>40</v>
      </c>
      <c r="E6" s="46" t="e">
        <f>VLOOKUP(Tabela2[[#This Row],[TAG]],MICRO!J:L,3,0)</f>
        <v>#N/A</v>
      </c>
      <c r="F6" s="44" t="s">
        <v>44</v>
      </c>
      <c r="G6" s="58">
        <f>SUMIF(MICRO!AP:AP,O:O,MICRO!H:H)</f>
        <v>0</v>
      </c>
      <c r="H6" s="1">
        <f>SUMIF(MICRO!AP:AP,O:O,MICRO!R:R)</f>
        <v>0</v>
      </c>
      <c r="I6" s="1">
        <f>SUMIF(MICRO!AP:AP,O:O,MICRO!T:T)</f>
        <v>0</v>
      </c>
      <c r="J6" s="59">
        <f t="shared" si="0"/>
        <v>0</v>
      </c>
      <c r="K6" s="1">
        <f>SUMIF(MICRO!AP:AP,O:O,MICRO!X:X)</f>
        <v>0</v>
      </c>
      <c r="L6" s="59" t="str">
        <f t="shared" si="1"/>
        <v>0%</v>
      </c>
      <c r="M6" s="1">
        <f t="shared" si="2"/>
        <v>0</v>
      </c>
      <c r="N6" s="56" t="e">
        <f t="shared" si="3"/>
        <v>#N/A</v>
      </c>
      <c r="O6" s="56" t="e">
        <f t="shared" si="4"/>
        <v>#N/A</v>
      </c>
      <c r="P6" s="2">
        <f>SUMIF(MICRO!AP:AP,O6,MICRO!AS:AS)</f>
        <v>0</v>
      </c>
      <c r="Q6" s="2">
        <f>SUMIF(MICRO!AP:AP,O6,MICRO!AT:AT)</f>
        <v>0</v>
      </c>
      <c r="R6" s="2">
        <f>SUMIF(MICRO!AP:AP,O:O,MICRO!AU:AU)</f>
        <v>0</v>
      </c>
    </row>
    <row r="7" spans="3:18" s="2" customFormat="1" ht="18.75" thickBot="1" x14ac:dyDescent="0.3">
      <c r="C7" s="45"/>
      <c r="D7" s="61" t="s">
        <v>40</v>
      </c>
      <c r="E7" s="46" t="e">
        <f>VLOOKUP(Tabela2[[#This Row],[TAG]],MICRO!J:L,3,0)</f>
        <v>#N/A</v>
      </c>
      <c r="F7" s="44" t="s">
        <v>22</v>
      </c>
      <c r="G7" s="58">
        <f>SUMIF(MICRO!AP:AP,O:O,MICRO!H:H)</f>
        <v>0</v>
      </c>
      <c r="H7" s="1">
        <f>SUMIF(MICRO!AP:AP,O:O,MICRO!R:R)</f>
        <v>0</v>
      </c>
      <c r="I7" s="1">
        <f>SUMIF(MICRO!AP:AP,O:O,MICRO!T:T)</f>
        <v>0</v>
      </c>
      <c r="J7" s="59">
        <f t="shared" si="0"/>
        <v>0</v>
      </c>
      <c r="K7" s="1">
        <f>SUMIF(MICRO!AP:AP,O:O,MICRO!X:X)</f>
        <v>0</v>
      </c>
      <c r="L7" s="59" t="str">
        <f t="shared" si="1"/>
        <v>0%</v>
      </c>
      <c r="M7" s="1">
        <f t="shared" si="2"/>
        <v>0</v>
      </c>
      <c r="N7" s="56" t="e">
        <f t="shared" si="3"/>
        <v>#N/A</v>
      </c>
      <c r="O7" s="56" t="e">
        <f t="shared" si="4"/>
        <v>#N/A</v>
      </c>
      <c r="P7" s="2">
        <f>SUMIF(MICRO!AP:AP,O7,MICRO!AS:AS)</f>
        <v>0</v>
      </c>
      <c r="Q7" s="2">
        <f>SUMIF(MICRO!AP:AP,O7,MICRO!AT:AT)</f>
        <v>0</v>
      </c>
      <c r="R7" s="2">
        <f>SUMIF(MICRO!AP:AP,O:O,MICRO!AU:AU)</f>
        <v>0</v>
      </c>
    </row>
    <row r="8" spans="3:18" s="2" customFormat="1" ht="18.75" thickBot="1" x14ac:dyDescent="0.3">
      <c r="C8" s="45"/>
      <c r="D8" s="61" t="s">
        <v>40</v>
      </c>
      <c r="E8" s="46" t="e">
        <f>VLOOKUP(Tabela2[[#This Row],[TAG]],MICRO!J:L,3,0)</f>
        <v>#N/A</v>
      </c>
      <c r="F8" s="44" t="s">
        <v>23</v>
      </c>
      <c r="G8" s="58">
        <f>SUMIF(MICRO!AP:AP,O:O,MICRO!H:H)</f>
        <v>0</v>
      </c>
      <c r="H8" s="1">
        <f>SUMIF(MICRO!AP:AP,O:O,MICRO!R:R)</f>
        <v>0</v>
      </c>
      <c r="I8" s="1">
        <f>SUMIF(MICRO!AP:AP,O:O,MICRO!T:T)</f>
        <v>0</v>
      </c>
      <c r="J8" s="59">
        <f t="shared" si="0"/>
        <v>0</v>
      </c>
      <c r="K8" s="1">
        <f>SUMIF(MICRO!AP:AP,O:O,MICRO!X:X)</f>
        <v>0</v>
      </c>
      <c r="L8" s="59" t="str">
        <f t="shared" si="1"/>
        <v>0%</v>
      </c>
      <c r="M8" s="1">
        <f t="shared" si="2"/>
        <v>0</v>
      </c>
      <c r="N8" s="56" t="e">
        <f t="shared" si="3"/>
        <v>#N/A</v>
      </c>
      <c r="O8" s="56" t="e">
        <f t="shared" si="4"/>
        <v>#N/A</v>
      </c>
      <c r="P8" s="2">
        <f>SUMIF(MICRO!AP:AP,O8,MICRO!AS:AS)</f>
        <v>0</v>
      </c>
      <c r="Q8" s="2">
        <f>SUMIF(MICRO!AP:AP,O8,MICRO!AT:AT)</f>
        <v>0</v>
      </c>
      <c r="R8" s="2">
        <f>SUMIF(MICRO!AP:AP,O:O,MICRO!AU:AU)</f>
        <v>0</v>
      </c>
    </row>
    <row r="9" spans="3:18" s="2" customFormat="1" ht="18.75" thickBot="1" x14ac:dyDescent="0.3">
      <c r="C9" s="45"/>
      <c r="D9" s="61" t="s">
        <v>40</v>
      </c>
      <c r="E9" s="46" t="e">
        <f>VLOOKUP(Tabela2[[#This Row],[TAG]],MICRO!J:L,3,0)</f>
        <v>#N/A</v>
      </c>
      <c r="F9" s="44" t="s">
        <v>33</v>
      </c>
      <c r="G9" s="58">
        <f>SUMIF(MICRO!AP:AP,O:O,MICRO!H:H)</f>
        <v>0</v>
      </c>
      <c r="H9" s="1">
        <f>SUMIF(MICRO!AP:AP,O:O,MICRO!R:R)</f>
        <v>0</v>
      </c>
      <c r="I9" s="1">
        <f>SUMIF(MICRO!AP:AP,O:O,MICRO!T:T)</f>
        <v>0</v>
      </c>
      <c r="J9" s="59">
        <f t="shared" si="0"/>
        <v>0</v>
      </c>
      <c r="K9" s="1">
        <f>SUMIF(MICRO!AP:AP,O:O,MICRO!X:X)</f>
        <v>0</v>
      </c>
      <c r="L9" s="59" t="str">
        <f t="shared" si="1"/>
        <v>0%</v>
      </c>
      <c r="M9" s="1">
        <f t="shared" si="2"/>
        <v>0</v>
      </c>
      <c r="N9" s="56" t="e">
        <f t="shared" si="3"/>
        <v>#N/A</v>
      </c>
      <c r="O9" s="56" t="e">
        <f t="shared" si="4"/>
        <v>#N/A</v>
      </c>
      <c r="P9" s="2">
        <f>SUMIF(MICRO!AP:AP,O9,MICRO!AS:AS)</f>
        <v>0</v>
      </c>
      <c r="Q9" s="2">
        <f>SUMIF(MICRO!AP:AP,O9,MICRO!AT:AT)</f>
        <v>0</v>
      </c>
      <c r="R9" s="2">
        <f>SUMIF(MICRO!AP:AP,O:O,MICRO!AU:AU)</f>
        <v>0</v>
      </c>
    </row>
    <row r="10" spans="3:18" s="2" customFormat="1" ht="18.75" thickBot="1" x14ac:dyDescent="0.3">
      <c r="C10" s="45"/>
      <c r="D10" s="61" t="s">
        <v>39</v>
      </c>
      <c r="E10" s="46" t="e">
        <f>VLOOKUP(Tabela2[[#This Row],[TAG]],MICRO!J:L,3,0)</f>
        <v>#N/A</v>
      </c>
      <c r="F10" s="44" t="s">
        <v>31</v>
      </c>
      <c r="G10" s="58">
        <f>SUMIF(MICRO!AP:AP,O:O,MICRO!H:H)</f>
        <v>0</v>
      </c>
      <c r="H10" s="1">
        <f>SUMIF(MICRO!AP:AP,O:O,MICRO!R:R)</f>
        <v>0</v>
      </c>
      <c r="I10" s="1">
        <f>SUMIF(MICRO!AP:AP,O:O,MICRO!T:T)</f>
        <v>0</v>
      </c>
      <c r="J10" s="59">
        <f t="shared" si="0"/>
        <v>0</v>
      </c>
      <c r="K10" s="1">
        <f>SUMIF(MICRO!AP:AP,O:O,MICRO!X:X)</f>
        <v>0</v>
      </c>
      <c r="L10" s="59" t="str">
        <f t="shared" si="1"/>
        <v>0%</v>
      </c>
      <c r="M10" s="1">
        <f t="shared" si="2"/>
        <v>0</v>
      </c>
      <c r="N10" s="56" t="e">
        <f t="shared" si="3"/>
        <v>#N/A</v>
      </c>
      <c r="O10" s="56" t="e">
        <f t="shared" si="4"/>
        <v>#N/A</v>
      </c>
      <c r="P10" s="2">
        <f>SUMIF(MICRO!AP:AP,O10,MICRO!AS:AS)</f>
        <v>0</v>
      </c>
      <c r="Q10" s="2">
        <f>SUMIF(MICRO!AP:AP,O10,MICRO!AT:AT)</f>
        <v>0</v>
      </c>
      <c r="R10" s="2">
        <f>SUMIF(MICRO!AP:AP,O:O,MICRO!AU:AU)</f>
        <v>0</v>
      </c>
    </row>
    <row r="11" spans="3:18" s="2" customFormat="1" ht="18.75" thickBot="1" x14ac:dyDescent="0.3">
      <c r="C11" s="45"/>
      <c r="D11" s="61" t="s">
        <v>39</v>
      </c>
      <c r="E11" s="46" t="e">
        <f>VLOOKUP(Tabela2[[#This Row],[TAG]],MICRO!J:L,3,0)</f>
        <v>#N/A</v>
      </c>
      <c r="F11" s="44" t="s">
        <v>32</v>
      </c>
      <c r="G11" s="58">
        <f>SUMIF(MICRO!AP:AP,O:O,MICRO!H:H)</f>
        <v>0</v>
      </c>
      <c r="H11" s="1">
        <f>SUMIF(MICRO!AP:AP,O:O,MICRO!R:R)</f>
        <v>0</v>
      </c>
      <c r="I11" s="1">
        <f>SUMIF(MICRO!AP:AP,O:O,MICRO!T:T)</f>
        <v>0</v>
      </c>
      <c r="J11" s="59">
        <f t="shared" si="0"/>
        <v>0</v>
      </c>
      <c r="K11" s="1">
        <f>SUMIF(MICRO!AP:AP,O:O,MICRO!X:X)</f>
        <v>0</v>
      </c>
      <c r="L11" s="59" t="str">
        <f t="shared" si="1"/>
        <v>0%</v>
      </c>
      <c r="M11" s="1">
        <f t="shared" si="2"/>
        <v>0</v>
      </c>
      <c r="N11" s="56" t="e">
        <f t="shared" si="3"/>
        <v>#N/A</v>
      </c>
      <c r="O11" s="56" t="e">
        <f t="shared" si="4"/>
        <v>#N/A</v>
      </c>
      <c r="P11" s="2">
        <f>SUMIF(MICRO!AP:AP,O11,MICRO!AS:AS)</f>
        <v>0</v>
      </c>
      <c r="Q11" s="2">
        <f>SUMIF(MICRO!AP:AP,O11,MICRO!AT:AT)</f>
        <v>0</v>
      </c>
      <c r="R11" s="2">
        <f>SUMIF(MICRO!AP:AP,O:O,MICRO!AU:AU)</f>
        <v>0</v>
      </c>
    </row>
    <row r="12" spans="3:18" s="2" customFormat="1" ht="18.75" thickBot="1" x14ac:dyDescent="0.3">
      <c r="C12" s="45"/>
      <c r="D12" s="61" t="s">
        <v>39</v>
      </c>
      <c r="E12" s="46" t="e">
        <f>VLOOKUP(Tabela2[[#This Row],[TAG]],MICRO!J:L,3,0)</f>
        <v>#N/A</v>
      </c>
      <c r="F12" s="44" t="s">
        <v>44</v>
      </c>
      <c r="G12" s="58">
        <f>SUMIF(MICRO!AP:AP,O:O,MICRO!H:H)</f>
        <v>0</v>
      </c>
      <c r="H12" s="1">
        <f>SUMIF(MICRO!AP:AP,O:O,MICRO!R:R)</f>
        <v>0</v>
      </c>
      <c r="I12" s="1">
        <f>SUMIF(MICRO!AP:AP,O:O,MICRO!T:T)</f>
        <v>0</v>
      </c>
      <c r="J12" s="59">
        <f t="shared" si="0"/>
        <v>0</v>
      </c>
      <c r="K12" s="1">
        <f>SUMIF(MICRO!AP:AP,O:O,MICRO!X:X)</f>
        <v>0</v>
      </c>
      <c r="L12" s="59" t="str">
        <f t="shared" si="1"/>
        <v>0%</v>
      </c>
      <c r="M12" s="1">
        <f t="shared" si="2"/>
        <v>0</v>
      </c>
      <c r="N12" s="56" t="e">
        <f t="shared" si="3"/>
        <v>#N/A</v>
      </c>
      <c r="O12" s="56" t="e">
        <f t="shared" si="4"/>
        <v>#N/A</v>
      </c>
      <c r="P12" s="2">
        <f>SUMIF(MICRO!AP:AP,O12,MICRO!AS:AS)</f>
        <v>0</v>
      </c>
      <c r="Q12" s="2">
        <f>SUMIF(MICRO!AP:AP,O12,MICRO!AT:AT)</f>
        <v>0</v>
      </c>
      <c r="R12" s="2">
        <f>SUMIF(MICRO!AP:AP,O:O,MICRO!AU:AU)</f>
        <v>0</v>
      </c>
    </row>
    <row r="13" spans="3:18" s="2" customFormat="1" ht="18.75" thickBot="1" x14ac:dyDescent="0.3">
      <c r="C13" s="45"/>
      <c r="D13" s="61" t="s">
        <v>39</v>
      </c>
      <c r="E13" s="46" t="e">
        <f>VLOOKUP(Tabela2[[#This Row],[TAG]],MICRO!J:L,3,0)</f>
        <v>#N/A</v>
      </c>
      <c r="F13" s="44" t="s">
        <v>22</v>
      </c>
      <c r="G13" s="58">
        <f>SUMIF(MICRO!AP:AP,O:O,MICRO!H:H)</f>
        <v>0</v>
      </c>
      <c r="H13" s="1">
        <f>SUMIF(MICRO!AP:AP,O:O,MICRO!R:R)</f>
        <v>0</v>
      </c>
      <c r="I13" s="1">
        <f>SUMIF(MICRO!AP:AP,O:O,MICRO!T:T)</f>
        <v>0</v>
      </c>
      <c r="J13" s="59">
        <f t="shared" si="0"/>
        <v>0</v>
      </c>
      <c r="K13" s="1">
        <f>SUMIF(MICRO!AP:AP,O:O,MICRO!X:X)</f>
        <v>0</v>
      </c>
      <c r="L13" s="59" t="str">
        <f t="shared" si="1"/>
        <v>0%</v>
      </c>
      <c r="M13" s="1">
        <f t="shared" si="2"/>
        <v>0</v>
      </c>
      <c r="N13" s="56" t="e">
        <f t="shared" si="3"/>
        <v>#N/A</v>
      </c>
      <c r="O13" s="56" t="e">
        <f t="shared" si="4"/>
        <v>#N/A</v>
      </c>
      <c r="P13" s="2">
        <f>SUMIF(MICRO!AP:AP,O13,MICRO!AS:AS)</f>
        <v>0</v>
      </c>
      <c r="Q13" s="2">
        <f>SUMIF(MICRO!AP:AP,O13,MICRO!AT:AT)</f>
        <v>0</v>
      </c>
      <c r="R13" s="2">
        <f>SUMIF(MICRO!AP:AP,O:O,MICRO!AU:AU)</f>
        <v>0</v>
      </c>
    </row>
    <row r="14" spans="3:18" s="2" customFormat="1" ht="18.75" thickBot="1" x14ac:dyDescent="0.3">
      <c r="C14" s="45"/>
      <c r="D14" s="61" t="s">
        <v>39</v>
      </c>
      <c r="E14" s="46" t="e">
        <f>VLOOKUP(Tabela2[[#This Row],[TAG]],MICRO!J:L,3,0)</f>
        <v>#N/A</v>
      </c>
      <c r="F14" s="44" t="s">
        <v>23</v>
      </c>
      <c r="G14" s="58">
        <f>SUMIF(MICRO!AP:AP,O:O,MICRO!H:H)</f>
        <v>0</v>
      </c>
      <c r="H14" s="1">
        <f>SUMIF(MICRO!AP:AP,O:O,MICRO!R:R)</f>
        <v>0</v>
      </c>
      <c r="I14" s="1">
        <f>SUMIF(MICRO!AP:AP,O:O,MICRO!T:T)</f>
        <v>0</v>
      </c>
      <c r="J14" s="59">
        <f t="shared" si="0"/>
        <v>0</v>
      </c>
      <c r="K14" s="1">
        <f>SUMIF(MICRO!AP:AP,O:O,MICRO!X:X)</f>
        <v>0</v>
      </c>
      <c r="L14" s="59" t="str">
        <f t="shared" si="1"/>
        <v>0%</v>
      </c>
      <c r="M14" s="1">
        <f t="shared" si="2"/>
        <v>0</v>
      </c>
      <c r="N14" s="56" t="e">
        <f t="shared" si="3"/>
        <v>#N/A</v>
      </c>
      <c r="O14" s="56" t="e">
        <f t="shared" si="4"/>
        <v>#N/A</v>
      </c>
      <c r="P14" s="2">
        <f>SUMIF(MICRO!AP:AP,O14,MICRO!AS:AS)</f>
        <v>0</v>
      </c>
      <c r="Q14" s="2">
        <f>SUMIF(MICRO!AP:AP,O14,MICRO!AT:AT)</f>
        <v>0</v>
      </c>
      <c r="R14" s="2">
        <f>SUMIF(MICRO!AP:AP,O:O,MICRO!AU:AU)</f>
        <v>0</v>
      </c>
    </row>
    <row r="15" spans="3:18" s="2" customFormat="1" ht="18.75" thickBot="1" x14ac:dyDescent="0.3">
      <c r="C15" s="45"/>
      <c r="D15" s="61" t="s">
        <v>39</v>
      </c>
      <c r="E15" s="46" t="e">
        <f>VLOOKUP(Tabela2[[#This Row],[TAG]],MICRO!J:L,3,0)</f>
        <v>#N/A</v>
      </c>
      <c r="F15" s="44" t="s">
        <v>33</v>
      </c>
      <c r="G15" s="58">
        <f>SUMIF(MICRO!AP:AP,O:O,MICRO!H:H)</f>
        <v>0</v>
      </c>
      <c r="H15" s="1">
        <f>SUMIF(MICRO!AP:AP,O:O,MICRO!R:R)</f>
        <v>0</v>
      </c>
      <c r="I15" s="1">
        <f>SUMIF(MICRO!AP:AP,O:O,MICRO!T:T)</f>
        <v>0</v>
      </c>
      <c r="J15" s="59">
        <f t="shared" si="0"/>
        <v>0</v>
      </c>
      <c r="K15" s="1">
        <f>SUMIF(MICRO!AP:AP,O:O,MICRO!X:X)</f>
        <v>0</v>
      </c>
      <c r="L15" s="59" t="str">
        <f t="shared" si="1"/>
        <v>0%</v>
      </c>
      <c r="M15" s="1">
        <f t="shared" si="2"/>
        <v>0</v>
      </c>
      <c r="N15" s="56" t="e">
        <f t="shared" si="3"/>
        <v>#N/A</v>
      </c>
      <c r="O15" s="56" t="e">
        <f t="shared" si="4"/>
        <v>#N/A</v>
      </c>
      <c r="P15" s="2">
        <f>SUMIF(MICRO!AP:AP,O15,MICRO!AS:AS)</f>
        <v>0</v>
      </c>
      <c r="Q15" s="2">
        <f>SUMIF(MICRO!AP:AP,O15,MICRO!AT:AT)</f>
        <v>0</v>
      </c>
      <c r="R15" s="2">
        <f>SUMIF(MICRO!AP:AP,O:O,MICRO!AU:AU)</f>
        <v>0</v>
      </c>
    </row>
    <row r="16" spans="3:18" s="2" customFormat="1" ht="18.75" thickBot="1" x14ac:dyDescent="0.3">
      <c r="C16" s="45"/>
      <c r="D16" s="61" t="s">
        <v>41</v>
      </c>
      <c r="E16" s="46" t="e">
        <f>VLOOKUP(Tabela2[[#This Row],[TAG]],MICRO!J:L,3,0)</f>
        <v>#N/A</v>
      </c>
      <c r="F16" s="44" t="s">
        <v>31</v>
      </c>
      <c r="G16" s="58">
        <f>SUMIF(MICRO!AP:AP,O:O,MICRO!H:H)</f>
        <v>0</v>
      </c>
      <c r="H16" s="1">
        <f>SUMIF(MICRO!AP:AP,O:O,MICRO!R:R)</f>
        <v>0</v>
      </c>
      <c r="I16" s="1">
        <f>SUMIF(MICRO!AP:AP,O:O,MICRO!T:T)</f>
        <v>0</v>
      </c>
      <c r="J16" s="59">
        <f t="shared" si="0"/>
        <v>0</v>
      </c>
      <c r="K16" s="1">
        <f>SUMIF(MICRO!AP:AP,O:O,MICRO!X:X)</f>
        <v>0</v>
      </c>
      <c r="L16" s="59" t="str">
        <f t="shared" si="1"/>
        <v>0%</v>
      </c>
      <c r="M16" s="1">
        <f t="shared" si="2"/>
        <v>0</v>
      </c>
      <c r="N16" s="56" t="e">
        <f t="shared" si="3"/>
        <v>#N/A</v>
      </c>
      <c r="O16" s="56" t="e">
        <f t="shared" si="4"/>
        <v>#N/A</v>
      </c>
      <c r="P16" s="2">
        <f>SUMIF(MICRO!AP:AP,O16,MICRO!AS:AS)</f>
        <v>0</v>
      </c>
      <c r="Q16" s="2">
        <f>SUMIF(MICRO!AP:AP,O16,MICRO!AT:AT)</f>
        <v>0</v>
      </c>
      <c r="R16" s="2">
        <f>SUMIF(MICRO!AP:AP,O:O,MICRO!AU:AU)</f>
        <v>0</v>
      </c>
    </row>
    <row r="17" spans="3:18" s="2" customFormat="1" ht="18.75" thickBot="1" x14ac:dyDescent="0.3">
      <c r="C17" s="45"/>
      <c r="D17" s="61" t="s">
        <v>41</v>
      </c>
      <c r="E17" s="46" t="e">
        <f>VLOOKUP(Tabela2[[#This Row],[TAG]],MICRO!J:L,3,0)</f>
        <v>#N/A</v>
      </c>
      <c r="F17" s="44" t="s">
        <v>32</v>
      </c>
      <c r="G17" s="58">
        <f>SUMIF(MICRO!AP:AP,O:O,MICRO!H:H)</f>
        <v>0</v>
      </c>
      <c r="H17" s="1">
        <f>SUMIF(MICRO!AP:AP,O:O,MICRO!R:R)</f>
        <v>0</v>
      </c>
      <c r="I17" s="1">
        <f>SUMIF(MICRO!AP:AP,O:O,MICRO!T:T)</f>
        <v>0</v>
      </c>
      <c r="J17" s="59">
        <f t="shared" si="0"/>
        <v>0</v>
      </c>
      <c r="K17" s="1">
        <f>SUMIF(MICRO!AP:AP,O:O,MICRO!X:X)</f>
        <v>0</v>
      </c>
      <c r="L17" s="59" t="str">
        <f t="shared" si="1"/>
        <v>0%</v>
      </c>
      <c r="M17" s="1">
        <f t="shared" si="2"/>
        <v>0</v>
      </c>
      <c r="N17" s="56" t="e">
        <f t="shared" si="3"/>
        <v>#N/A</v>
      </c>
      <c r="O17" s="56" t="e">
        <f t="shared" si="4"/>
        <v>#N/A</v>
      </c>
      <c r="P17" s="2">
        <f>SUMIF(MICRO!AP:AP,O17,MICRO!AS:AS)</f>
        <v>0</v>
      </c>
      <c r="Q17" s="2">
        <f>SUMIF(MICRO!AP:AP,O17,MICRO!AT:AT)</f>
        <v>0</v>
      </c>
      <c r="R17" s="2">
        <f>SUMIF(MICRO!AP:AP,O:O,MICRO!AU:AU)</f>
        <v>0</v>
      </c>
    </row>
    <row r="18" spans="3:18" s="2" customFormat="1" ht="18.75" thickBot="1" x14ac:dyDescent="0.3">
      <c r="C18" s="45"/>
      <c r="D18" s="61" t="s">
        <v>41</v>
      </c>
      <c r="E18" s="46" t="e">
        <f>VLOOKUP(Tabela2[[#This Row],[TAG]],MICRO!J:L,3,0)</f>
        <v>#N/A</v>
      </c>
      <c r="F18" s="44" t="s">
        <v>44</v>
      </c>
      <c r="G18" s="58">
        <f>SUMIF(MICRO!AP:AP,O:O,MICRO!H:H)</f>
        <v>0</v>
      </c>
      <c r="H18" s="1">
        <f>SUMIF(MICRO!AP:AP,O:O,MICRO!R:R)</f>
        <v>0</v>
      </c>
      <c r="I18" s="1">
        <f>SUMIF(MICRO!AP:AP,O:O,MICRO!T:T)</f>
        <v>0</v>
      </c>
      <c r="J18" s="59">
        <f t="shared" si="0"/>
        <v>0</v>
      </c>
      <c r="K18" s="1">
        <f>SUMIF(MICRO!AP:AP,O:O,MICRO!X:X)</f>
        <v>0</v>
      </c>
      <c r="L18" s="59" t="str">
        <f t="shared" si="1"/>
        <v>0%</v>
      </c>
      <c r="M18" s="1">
        <f t="shared" si="2"/>
        <v>0</v>
      </c>
      <c r="N18" s="56" t="e">
        <f t="shared" si="3"/>
        <v>#N/A</v>
      </c>
      <c r="O18" s="56" t="e">
        <f t="shared" si="4"/>
        <v>#N/A</v>
      </c>
      <c r="P18" s="2">
        <f>SUMIF(MICRO!AP:AP,O18,MICRO!AS:AS)</f>
        <v>0</v>
      </c>
      <c r="Q18" s="2">
        <f>SUMIF(MICRO!AP:AP,O18,MICRO!AT:AT)</f>
        <v>0</v>
      </c>
      <c r="R18" s="2">
        <f>SUMIF(MICRO!AP:AP,O:O,MICRO!AU:AU)</f>
        <v>0</v>
      </c>
    </row>
    <row r="19" spans="3:18" s="2" customFormat="1" ht="18.75" thickBot="1" x14ac:dyDescent="0.3">
      <c r="C19" s="45"/>
      <c r="D19" s="61" t="s">
        <v>41</v>
      </c>
      <c r="E19" s="46" t="e">
        <f>VLOOKUP(Tabela2[[#This Row],[TAG]],MICRO!J:L,3,0)</f>
        <v>#N/A</v>
      </c>
      <c r="F19" s="44" t="s">
        <v>22</v>
      </c>
      <c r="G19" s="58">
        <f>SUMIF(MICRO!AP:AP,O:O,MICRO!H:H)</f>
        <v>0</v>
      </c>
      <c r="H19" s="1">
        <f>SUMIF(MICRO!AP:AP,O:O,MICRO!R:R)</f>
        <v>0</v>
      </c>
      <c r="I19" s="1">
        <f>SUMIF(MICRO!AP:AP,O:O,MICRO!T:T)</f>
        <v>0</v>
      </c>
      <c r="J19" s="59">
        <f t="shared" si="0"/>
        <v>0</v>
      </c>
      <c r="K19" s="1">
        <f>SUMIF(MICRO!AP:AP,O:O,MICRO!X:X)</f>
        <v>0</v>
      </c>
      <c r="L19" s="59" t="str">
        <f t="shared" si="1"/>
        <v>0%</v>
      </c>
      <c r="M19" s="1">
        <f t="shared" si="2"/>
        <v>0</v>
      </c>
      <c r="N19" s="56" t="e">
        <f t="shared" si="3"/>
        <v>#N/A</v>
      </c>
      <c r="O19" s="56" t="e">
        <f t="shared" si="4"/>
        <v>#N/A</v>
      </c>
      <c r="P19" s="2">
        <f>SUMIF(MICRO!AP:AP,O19,MICRO!AS:AS)</f>
        <v>0</v>
      </c>
      <c r="Q19" s="2">
        <f>SUMIF(MICRO!AP:AP,O19,MICRO!AT:AT)</f>
        <v>0</v>
      </c>
      <c r="R19" s="2">
        <f>SUMIF(MICRO!AP:AP,O:O,MICRO!AU:AU)</f>
        <v>0</v>
      </c>
    </row>
    <row r="20" spans="3:18" s="2" customFormat="1" ht="18.75" thickBot="1" x14ac:dyDescent="0.3">
      <c r="C20" s="45"/>
      <c r="D20" s="61" t="s">
        <v>41</v>
      </c>
      <c r="E20" s="46" t="e">
        <f>VLOOKUP(Tabela2[[#This Row],[TAG]],MICRO!J:L,3,0)</f>
        <v>#N/A</v>
      </c>
      <c r="F20" s="44" t="s">
        <v>23</v>
      </c>
      <c r="G20" s="58">
        <f>SUMIF(MICRO!AP:AP,O:O,MICRO!H:H)</f>
        <v>0</v>
      </c>
      <c r="H20" s="1">
        <f>SUMIF(MICRO!AP:AP,O:O,MICRO!R:R)</f>
        <v>0</v>
      </c>
      <c r="I20" s="1">
        <f>SUMIF(MICRO!AP:AP,O:O,MICRO!T:T)</f>
        <v>0</v>
      </c>
      <c r="J20" s="59">
        <f t="shared" si="0"/>
        <v>0</v>
      </c>
      <c r="K20" s="1">
        <f>SUMIF(MICRO!AP:AP,O:O,MICRO!X:X)</f>
        <v>0</v>
      </c>
      <c r="L20" s="59" t="str">
        <f t="shared" si="1"/>
        <v>0%</v>
      </c>
      <c r="M20" s="1">
        <f t="shared" si="2"/>
        <v>0</v>
      </c>
      <c r="N20" s="56" t="e">
        <f t="shared" si="3"/>
        <v>#N/A</v>
      </c>
      <c r="O20" s="56" t="e">
        <f t="shared" si="4"/>
        <v>#N/A</v>
      </c>
      <c r="P20" s="2">
        <f>SUMIF(MICRO!AP:AP,O20,MICRO!AS:AS)</f>
        <v>0</v>
      </c>
      <c r="Q20" s="2">
        <f>SUMIF(MICRO!AP:AP,O20,MICRO!AT:AT)</f>
        <v>0</v>
      </c>
      <c r="R20" s="2">
        <f>SUMIF(MICRO!AP:AP,O:O,MICRO!AU:AU)</f>
        <v>0</v>
      </c>
    </row>
    <row r="21" spans="3:18" s="2" customFormat="1" ht="18.75" thickBot="1" x14ac:dyDescent="0.3">
      <c r="C21" s="45"/>
      <c r="D21" s="61" t="s">
        <v>41</v>
      </c>
      <c r="E21" s="46" t="e">
        <f>VLOOKUP(Tabela2[[#This Row],[TAG]],MICRO!J:L,3,0)</f>
        <v>#N/A</v>
      </c>
      <c r="F21" s="44" t="s">
        <v>33</v>
      </c>
      <c r="G21" s="58">
        <f>SUMIF(MICRO!AP:AP,O:O,MICRO!H:H)</f>
        <v>0</v>
      </c>
      <c r="H21" s="1">
        <f>SUMIF(MICRO!AP:AP,O:O,MICRO!R:R)</f>
        <v>0</v>
      </c>
      <c r="I21" s="1">
        <f>SUMIF(MICRO!AP:AP,O:O,MICRO!T:T)</f>
        <v>0</v>
      </c>
      <c r="J21" s="59">
        <f t="shared" si="0"/>
        <v>0</v>
      </c>
      <c r="K21" s="1">
        <f>SUMIF(MICRO!AP:AP,O:O,MICRO!X:X)</f>
        <v>0</v>
      </c>
      <c r="L21" s="59" t="str">
        <f t="shared" si="1"/>
        <v>0%</v>
      </c>
      <c r="M21" s="1">
        <f t="shared" si="2"/>
        <v>0</v>
      </c>
      <c r="N21" s="56" t="e">
        <f t="shared" si="3"/>
        <v>#N/A</v>
      </c>
      <c r="O21" s="56" t="e">
        <f t="shared" si="4"/>
        <v>#N/A</v>
      </c>
      <c r="P21" s="2">
        <f>SUMIF(MICRO!AP:AP,O21,MICRO!AS:AS)</f>
        <v>0</v>
      </c>
      <c r="Q21" s="2">
        <f>SUMIF(MICRO!AP:AP,O21,MICRO!AT:AT)</f>
        <v>0</v>
      </c>
      <c r="R21" s="2">
        <f>SUMIF(MICRO!AP:AP,O:O,MICRO!AU:AU)</f>
        <v>0</v>
      </c>
    </row>
    <row r="22" spans="3:18" s="2" customFormat="1" ht="18.75" thickBot="1" x14ac:dyDescent="0.3">
      <c r="C22" s="45"/>
      <c r="D22" s="61" t="s">
        <v>60</v>
      </c>
      <c r="E22" s="46" t="e">
        <f>VLOOKUP(Tabela2[[#This Row],[TAG]],MICRO!J:L,3,0)</f>
        <v>#N/A</v>
      </c>
      <c r="F22" s="44" t="s">
        <v>31</v>
      </c>
      <c r="G22" s="58">
        <f>SUMIF(MICRO!AP:AP,O:O,MICRO!H:H)</f>
        <v>0</v>
      </c>
      <c r="H22" s="1">
        <f>SUMIF(MICRO!AP:AP,O:O,MICRO!R:R)</f>
        <v>0</v>
      </c>
      <c r="I22" s="1">
        <f>SUMIF(MICRO!AP:AP,O:O,MICRO!T:T)</f>
        <v>0</v>
      </c>
      <c r="J22" s="59">
        <f t="shared" si="0"/>
        <v>0</v>
      </c>
      <c r="K22" s="1">
        <f>SUMIF(MICRO!AP:AP,O:O,MICRO!X:X)</f>
        <v>0</v>
      </c>
      <c r="L22" s="59" t="str">
        <f t="shared" si="1"/>
        <v>0%</v>
      </c>
      <c r="M22" s="1">
        <f t="shared" si="2"/>
        <v>0</v>
      </c>
      <c r="N22" s="56" t="e">
        <f t="shared" si="3"/>
        <v>#N/A</v>
      </c>
      <c r="O22" s="56" t="e">
        <f t="shared" si="4"/>
        <v>#N/A</v>
      </c>
      <c r="P22" s="2">
        <f>SUMIF(MICRO!AP:AP,O22,MICRO!AS:AS)</f>
        <v>0</v>
      </c>
      <c r="Q22" s="2">
        <f>SUMIF(MICRO!AP:AP,O22,MICRO!AT:AT)</f>
        <v>0</v>
      </c>
      <c r="R22" s="2">
        <f>SUMIF(MICRO!AP:AP,O:O,MICRO!AU:AU)</f>
        <v>0</v>
      </c>
    </row>
    <row r="23" spans="3:18" s="2" customFormat="1" ht="18.75" thickBot="1" x14ac:dyDescent="0.3">
      <c r="C23" s="45"/>
      <c r="D23" s="61" t="s">
        <v>56</v>
      </c>
      <c r="E23" s="46" t="e">
        <f>VLOOKUP(Tabela2[[#This Row],[TAG]],MICRO!J:L,3,0)</f>
        <v>#N/A</v>
      </c>
      <c r="F23" s="44" t="s">
        <v>31</v>
      </c>
      <c r="G23" s="58">
        <f>SUMIF(MICRO!AP:AP,O:O,MICRO!H:H)</f>
        <v>0</v>
      </c>
      <c r="H23" s="1">
        <f>SUMIF(MICRO!AP:AP,O:O,MICRO!R:R)</f>
        <v>0</v>
      </c>
      <c r="I23" s="1">
        <f>SUMIF(MICRO!AP:AP,O:O,MICRO!T:T)</f>
        <v>0</v>
      </c>
      <c r="J23" s="59">
        <f t="shared" si="0"/>
        <v>0</v>
      </c>
      <c r="K23" s="1">
        <f>SUMIF(MICRO!AP:AP,O:O,MICRO!X:X)</f>
        <v>0</v>
      </c>
      <c r="L23" s="59" t="str">
        <f t="shared" si="1"/>
        <v>0%</v>
      </c>
      <c r="M23" s="1">
        <f t="shared" si="2"/>
        <v>0</v>
      </c>
      <c r="N23" s="56" t="e">
        <f t="shared" si="3"/>
        <v>#N/A</v>
      </c>
      <c r="O23" s="56" t="e">
        <f t="shared" si="4"/>
        <v>#N/A</v>
      </c>
      <c r="P23" s="2">
        <f>SUMIF(MICRO!AP:AP,O23,MICRO!AS:AS)</f>
        <v>0</v>
      </c>
      <c r="Q23" s="2">
        <f>SUMIF(MICRO!AP:AP,O23,MICRO!AT:AT)</f>
        <v>0</v>
      </c>
      <c r="R23" s="2">
        <f>SUMIF(MICRO!AP:AP,O:O,MICRO!AU:AU)</f>
        <v>0</v>
      </c>
    </row>
    <row r="24" spans="3:18" s="2" customFormat="1" ht="18.75" thickBot="1" x14ac:dyDescent="0.3">
      <c r="C24" s="45"/>
      <c r="D24" s="61" t="s">
        <v>71</v>
      </c>
      <c r="E24" s="46" t="e">
        <f>VLOOKUP(Tabela2[[#This Row],[TAG]],MICRO!J:L,3,0)</f>
        <v>#N/A</v>
      </c>
      <c r="F24" s="44" t="s">
        <v>31</v>
      </c>
      <c r="G24" s="58">
        <f>SUMIF(MICRO!AP:AP,O:O,MICRO!H:H)</f>
        <v>0</v>
      </c>
      <c r="H24" s="1">
        <f>SUMIF(MICRO!AP:AP,O:O,MICRO!R:R)</f>
        <v>0</v>
      </c>
      <c r="I24" s="1">
        <f>SUMIF(MICRO!AP:AP,O:O,MICRO!T:T)</f>
        <v>0</v>
      </c>
      <c r="J24" s="59">
        <f t="shared" si="0"/>
        <v>0</v>
      </c>
      <c r="K24" s="1">
        <f>SUMIF(MICRO!AP:AP,O:O,MICRO!X:X)</f>
        <v>0</v>
      </c>
      <c r="L24" s="59" t="str">
        <f t="shared" si="1"/>
        <v>0%</v>
      </c>
      <c r="M24" s="1">
        <f t="shared" si="2"/>
        <v>0</v>
      </c>
      <c r="N24" s="56" t="e">
        <f t="shared" si="3"/>
        <v>#N/A</v>
      </c>
      <c r="O24" s="56" t="e">
        <f t="shared" si="4"/>
        <v>#N/A</v>
      </c>
      <c r="P24" s="2">
        <f>SUMIF(MICRO!AP:AP,O24,MICRO!AS:AS)</f>
        <v>0</v>
      </c>
      <c r="Q24" s="2">
        <f>SUMIF(MICRO!AP:AP,O24,MICRO!AT:AT)</f>
        <v>0</v>
      </c>
      <c r="R24" s="2">
        <f>SUMIF(MICRO!AP:AP,O:O,MICRO!AU:AU)</f>
        <v>0</v>
      </c>
    </row>
    <row r="25" spans="3:18" s="2" customFormat="1" ht="18.75" thickBot="1" x14ac:dyDescent="0.3">
      <c r="C25" s="45"/>
      <c r="D25" s="61" t="s">
        <v>61</v>
      </c>
      <c r="E25" s="46" t="e">
        <f>VLOOKUP(Tabela2[[#This Row],[TAG]],MICRO!J:L,3,0)</f>
        <v>#N/A</v>
      </c>
      <c r="F25" s="44" t="s">
        <v>31</v>
      </c>
      <c r="G25" s="58">
        <f>SUMIF(MICRO!AP:AP,O:O,MICRO!H:H)</f>
        <v>0</v>
      </c>
      <c r="H25" s="1">
        <f>SUMIF(MICRO!AP:AP,O:O,MICRO!R:R)</f>
        <v>0</v>
      </c>
      <c r="I25" s="1">
        <f>SUMIF(MICRO!AP:AP,O:O,MICRO!T:T)</f>
        <v>0</v>
      </c>
      <c r="J25" s="59">
        <f t="shared" si="0"/>
        <v>0</v>
      </c>
      <c r="K25" s="1">
        <f>SUMIF(MICRO!AP:AP,O:O,MICRO!X:X)</f>
        <v>0</v>
      </c>
      <c r="L25" s="59" t="str">
        <f t="shared" si="1"/>
        <v>0%</v>
      </c>
      <c r="M25" s="1">
        <f t="shared" si="2"/>
        <v>0</v>
      </c>
      <c r="N25" s="56" t="e">
        <f t="shared" si="3"/>
        <v>#N/A</v>
      </c>
      <c r="O25" s="56" t="e">
        <f t="shared" si="4"/>
        <v>#N/A</v>
      </c>
      <c r="P25" s="2">
        <f>SUMIF(MICRO!AP:AP,O25,MICRO!AS:AS)</f>
        <v>0</v>
      </c>
      <c r="Q25" s="2">
        <f>SUMIF(MICRO!AP:AP,O25,MICRO!AT:AT)</f>
        <v>0</v>
      </c>
      <c r="R25" s="2">
        <f>SUMIF(MICRO!AP:AP,O:O,MICRO!AU:AU)</f>
        <v>0</v>
      </c>
    </row>
    <row r="26" spans="3:18" s="2" customFormat="1" ht="18.75" thickBot="1" x14ac:dyDescent="0.3">
      <c r="C26" s="45"/>
      <c r="D26" s="61" t="s">
        <v>62</v>
      </c>
      <c r="E26" s="46" t="e">
        <f>VLOOKUP(Tabela2[[#This Row],[TAG]],MICRO!J:L,3,0)</f>
        <v>#N/A</v>
      </c>
      <c r="F26" s="44" t="s">
        <v>31</v>
      </c>
      <c r="G26" s="58">
        <f>SUMIF(MICRO!AP:AP,O:O,MICRO!H:H)</f>
        <v>0</v>
      </c>
      <c r="H26" s="1">
        <f>SUMIF(MICRO!AP:AP,O:O,MICRO!R:R)</f>
        <v>0</v>
      </c>
      <c r="I26" s="1">
        <f>SUMIF(MICRO!AP:AP,O:O,MICRO!T:T)</f>
        <v>0</v>
      </c>
      <c r="J26" s="59">
        <f t="shared" si="0"/>
        <v>0</v>
      </c>
      <c r="K26" s="1">
        <f>SUMIF(MICRO!AP:AP,O:O,MICRO!X:X)</f>
        <v>0</v>
      </c>
      <c r="L26" s="59" t="str">
        <f t="shared" si="1"/>
        <v>0%</v>
      </c>
      <c r="M26" s="1">
        <f t="shared" si="2"/>
        <v>0</v>
      </c>
      <c r="N26" s="56" t="e">
        <f t="shared" si="3"/>
        <v>#N/A</v>
      </c>
      <c r="O26" s="56" t="e">
        <f t="shared" si="4"/>
        <v>#N/A</v>
      </c>
      <c r="P26" s="2">
        <f>SUMIF(MICRO!AP:AP,O26,MICRO!AS:AS)</f>
        <v>0</v>
      </c>
      <c r="Q26" s="2">
        <f>SUMIF(MICRO!AP:AP,O26,MICRO!AT:AT)</f>
        <v>0</v>
      </c>
      <c r="R26" s="2">
        <f>SUMIF(MICRO!AP:AP,O:O,MICRO!AU:AU)</f>
        <v>0</v>
      </c>
    </row>
    <row r="27" spans="3:18" s="2" customFormat="1" ht="18.75" thickBot="1" x14ac:dyDescent="0.3">
      <c r="C27" s="45"/>
      <c r="D27" s="61" t="s">
        <v>58</v>
      </c>
      <c r="E27" s="46" t="e">
        <f>VLOOKUP(Tabela2[[#This Row],[TAG]],MICRO!J:L,3,0)</f>
        <v>#N/A</v>
      </c>
      <c r="F27" s="44" t="s">
        <v>31</v>
      </c>
      <c r="G27" s="58">
        <f>SUMIF(MICRO!AP:AP,O:O,MICRO!H:H)</f>
        <v>0</v>
      </c>
      <c r="H27" s="1">
        <f>SUMIF(MICRO!AP:AP,O:O,MICRO!R:R)</f>
        <v>0</v>
      </c>
      <c r="I27" s="1">
        <f>SUMIF(MICRO!AP:AP,O:O,MICRO!T:T)</f>
        <v>0</v>
      </c>
      <c r="J27" s="59">
        <f t="shared" si="0"/>
        <v>0</v>
      </c>
      <c r="K27" s="1">
        <f>SUMIF(MICRO!AP:AP,O:O,MICRO!X:X)</f>
        <v>0</v>
      </c>
      <c r="L27" s="59" t="str">
        <f t="shared" si="1"/>
        <v>0%</v>
      </c>
      <c r="M27" s="1">
        <f t="shared" si="2"/>
        <v>0</v>
      </c>
      <c r="N27" s="56" t="e">
        <f t="shared" si="3"/>
        <v>#N/A</v>
      </c>
      <c r="O27" s="56" t="e">
        <f t="shared" si="4"/>
        <v>#N/A</v>
      </c>
      <c r="P27" s="2">
        <f>SUMIF(MICRO!AP:AP,O27,MICRO!AS:AS)</f>
        <v>0</v>
      </c>
      <c r="Q27" s="2">
        <f>SUMIF(MICRO!AP:AP,O27,MICRO!AT:AT)</f>
        <v>0</v>
      </c>
      <c r="R27" s="2">
        <f>SUMIF(MICRO!AP:AP,O:O,MICRO!AU:AU)</f>
        <v>0</v>
      </c>
    </row>
    <row r="28" spans="3:18" s="2" customFormat="1" ht="18.75" thickBot="1" x14ac:dyDescent="0.3">
      <c r="C28" s="45"/>
      <c r="D28" s="61" t="s">
        <v>69</v>
      </c>
      <c r="E28" s="46" t="e">
        <f>VLOOKUP(Tabela2[[#This Row],[TAG]],MICRO!J:L,3,0)</f>
        <v>#N/A</v>
      </c>
      <c r="F28" s="44" t="s">
        <v>31</v>
      </c>
      <c r="G28" s="58">
        <f>SUMIF(MICRO!AP:AP,O:O,MICRO!H:H)</f>
        <v>0</v>
      </c>
      <c r="H28" s="1">
        <f>SUMIF(MICRO!AP:AP,O:O,MICRO!R:R)</f>
        <v>0</v>
      </c>
      <c r="I28" s="1">
        <f>SUMIF(MICRO!AP:AP,O:O,MICRO!T:T)</f>
        <v>0</v>
      </c>
      <c r="J28" s="59">
        <f t="shared" si="0"/>
        <v>0</v>
      </c>
      <c r="K28" s="1">
        <f>SUMIF(MICRO!AP:AP,O:O,MICRO!X:X)</f>
        <v>0</v>
      </c>
      <c r="L28" s="59" t="str">
        <f t="shared" si="1"/>
        <v>0%</v>
      </c>
      <c r="M28" s="1">
        <f t="shared" si="2"/>
        <v>0</v>
      </c>
      <c r="N28" s="56" t="e">
        <f t="shared" si="3"/>
        <v>#N/A</v>
      </c>
      <c r="O28" s="56" t="e">
        <f t="shared" si="4"/>
        <v>#N/A</v>
      </c>
      <c r="P28" s="2">
        <f>SUMIF(MICRO!AP:AP,O28,MICRO!AS:AS)</f>
        <v>0</v>
      </c>
      <c r="Q28" s="2">
        <f>SUMIF(MICRO!AP:AP,O28,MICRO!AT:AT)</f>
        <v>0</v>
      </c>
      <c r="R28" s="2">
        <f>SUMIF(MICRO!AP:AP,O:O,MICRO!AU:AU)</f>
        <v>0</v>
      </c>
    </row>
    <row r="29" spans="3:18" s="2" customFormat="1" ht="18.75" thickBot="1" x14ac:dyDescent="0.3">
      <c r="C29" s="45"/>
      <c r="D29" s="61" t="s">
        <v>70</v>
      </c>
      <c r="E29" s="46" t="e">
        <f>VLOOKUP(Tabela2[[#This Row],[TAG]],MICRO!J:L,3,0)</f>
        <v>#N/A</v>
      </c>
      <c r="F29" s="44" t="s">
        <v>31</v>
      </c>
      <c r="G29" s="58">
        <f>SUMIF(MICRO!AP:AP,O:O,MICRO!H:H)</f>
        <v>0</v>
      </c>
      <c r="H29" s="1">
        <f>SUMIF(MICRO!AP:AP,O:O,MICRO!R:R)</f>
        <v>0</v>
      </c>
      <c r="I29" s="1">
        <f>SUMIF(MICRO!AP:AP,O:O,MICRO!T:T)</f>
        <v>0</v>
      </c>
      <c r="J29" s="59">
        <f t="shared" si="0"/>
        <v>0</v>
      </c>
      <c r="K29" s="1">
        <f>SUMIF(MICRO!AP:AP,O:O,MICRO!X:X)</f>
        <v>0</v>
      </c>
      <c r="L29" s="59" t="str">
        <f t="shared" si="1"/>
        <v>0%</v>
      </c>
      <c r="M29" s="1">
        <f t="shared" si="2"/>
        <v>0</v>
      </c>
      <c r="N29" s="56" t="e">
        <f t="shared" si="3"/>
        <v>#N/A</v>
      </c>
      <c r="O29" s="56" t="e">
        <f t="shared" si="4"/>
        <v>#N/A</v>
      </c>
      <c r="P29" s="2">
        <f>SUMIF(MICRO!AP:AP,O29,MICRO!AS:AS)</f>
        <v>0</v>
      </c>
      <c r="Q29" s="2">
        <f>SUMIF(MICRO!AP:AP,O29,MICRO!AT:AT)</f>
        <v>0</v>
      </c>
      <c r="R29" s="2">
        <f>SUMIF(MICRO!AP:AP,O:O,MICRO!AU:AU)</f>
        <v>0</v>
      </c>
    </row>
    <row r="30" spans="3:18" s="2" customFormat="1" ht="18.75" thickBot="1" x14ac:dyDescent="0.3">
      <c r="C30" s="45"/>
      <c r="D30" s="61" t="s">
        <v>63</v>
      </c>
      <c r="E30" s="46" t="e">
        <f>VLOOKUP(Tabela2[[#This Row],[TAG]],MICRO!J:L,3,0)</f>
        <v>#N/A</v>
      </c>
      <c r="F30" s="44" t="s">
        <v>31</v>
      </c>
      <c r="G30" s="58">
        <f>SUMIF(MICRO!AP:AP,O:O,MICRO!H:H)</f>
        <v>0</v>
      </c>
      <c r="H30" s="1">
        <f>SUMIF(MICRO!AP:AP,O:O,MICRO!R:R)</f>
        <v>0</v>
      </c>
      <c r="I30" s="1">
        <f>SUMIF(MICRO!AP:AP,O:O,MICRO!T:T)</f>
        <v>0</v>
      </c>
      <c r="J30" s="59">
        <f t="shared" si="0"/>
        <v>0</v>
      </c>
      <c r="K30" s="1">
        <f>SUMIF(MICRO!AP:AP,O:O,MICRO!X:X)</f>
        <v>0</v>
      </c>
      <c r="L30" s="59" t="str">
        <f t="shared" si="1"/>
        <v>0%</v>
      </c>
      <c r="M30" s="1">
        <f t="shared" si="2"/>
        <v>0</v>
      </c>
      <c r="N30" s="56" t="e">
        <f t="shared" si="3"/>
        <v>#N/A</v>
      </c>
      <c r="O30" s="56" t="e">
        <f t="shared" si="4"/>
        <v>#N/A</v>
      </c>
      <c r="P30" s="2">
        <f>SUMIF(MICRO!AP:AP,O30,MICRO!AS:AS)</f>
        <v>0</v>
      </c>
      <c r="Q30" s="2">
        <f>SUMIF(MICRO!AP:AP,O30,MICRO!AT:AT)</f>
        <v>0</v>
      </c>
      <c r="R30" s="2">
        <f>SUMIF(MICRO!AP:AP,O:O,MICRO!AU:AU)</f>
        <v>0</v>
      </c>
    </row>
    <row r="31" spans="3:18" s="2" customFormat="1" ht="18.75" thickBot="1" x14ac:dyDescent="0.3">
      <c r="C31" s="45"/>
      <c r="D31" s="61" t="s">
        <v>68</v>
      </c>
      <c r="E31" s="46" t="e">
        <f>VLOOKUP(Tabela2[[#This Row],[TAG]],MICRO!J:L,3,0)</f>
        <v>#N/A</v>
      </c>
      <c r="F31" s="44" t="s">
        <v>31</v>
      </c>
      <c r="G31" s="58">
        <f>SUMIF(MICRO!AP:AP,O:O,MICRO!H:H)</f>
        <v>0</v>
      </c>
      <c r="H31" s="1">
        <f>SUMIF(MICRO!AP:AP,O:O,MICRO!R:R)</f>
        <v>0</v>
      </c>
      <c r="I31" s="1">
        <f>SUMIF(MICRO!AP:AP,O:O,MICRO!T:T)</f>
        <v>0</v>
      </c>
      <c r="J31" s="59">
        <f t="shared" si="0"/>
        <v>0</v>
      </c>
      <c r="K31" s="1">
        <f>SUMIF(MICRO!AP:AP,O:O,MICRO!X:X)</f>
        <v>0</v>
      </c>
      <c r="L31" s="59" t="str">
        <f t="shared" si="1"/>
        <v>0%</v>
      </c>
      <c r="M31" s="1">
        <f t="shared" si="2"/>
        <v>0</v>
      </c>
      <c r="N31" s="56" t="e">
        <f t="shared" si="3"/>
        <v>#N/A</v>
      </c>
      <c r="O31" s="56" t="e">
        <f t="shared" si="4"/>
        <v>#N/A</v>
      </c>
      <c r="P31" s="2">
        <f>SUMIF(MICRO!AP:AP,O31,MICRO!AS:AS)</f>
        <v>0</v>
      </c>
      <c r="Q31" s="2">
        <f>SUMIF(MICRO!AP:AP,O31,MICRO!AT:AT)</f>
        <v>0</v>
      </c>
      <c r="R31" s="2">
        <f>SUMIF(MICRO!AP:AP,O:O,MICRO!AU:AU)</f>
        <v>0</v>
      </c>
    </row>
    <row r="32" spans="3:18" s="2" customFormat="1" ht="18.75" thickBot="1" x14ac:dyDescent="0.3">
      <c r="C32" s="45"/>
      <c r="D32" s="61" t="s">
        <v>64</v>
      </c>
      <c r="E32" s="46" t="e">
        <f>VLOOKUP(Tabela2[[#This Row],[TAG]],MICRO!J:L,3,0)</f>
        <v>#N/A</v>
      </c>
      <c r="F32" s="44" t="s">
        <v>31</v>
      </c>
      <c r="G32" s="58">
        <f>SUMIF(MICRO!AP:AP,O:O,MICRO!H:H)</f>
        <v>0</v>
      </c>
      <c r="H32" s="1">
        <f>SUMIF(MICRO!AP:AP,O:O,MICRO!R:R)</f>
        <v>0</v>
      </c>
      <c r="I32" s="1">
        <f>SUMIF(MICRO!AP:AP,O:O,MICRO!T:T)</f>
        <v>0</v>
      </c>
      <c r="J32" s="59">
        <f t="shared" si="0"/>
        <v>0</v>
      </c>
      <c r="K32" s="1">
        <f>SUMIF(MICRO!AP:AP,O:O,MICRO!X:X)</f>
        <v>0</v>
      </c>
      <c r="L32" s="59" t="str">
        <f t="shared" si="1"/>
        <v>0%</v>
      </c>
      <c r="M32" s="1">
        <f t="shared" si="2"/>
        <v>0</v>
      </c>
      <c r="N32" s="56" t="e">
        <f t="shared" si="3"/>
        <v>#N/A</v>
      </c>
      <c r="O32" s="56" t="e">
        <f t="shared" si="4"/>
        <v>#N/A</v>
      </c>
      <c r="P32" s="2">
        <f>SUMIF(MICRO!AP:AP,O32,MICRO!AS:AS)</f>
        <v>0</v>
      </c>
      <c r="Q32" s="2">
        <f>SUMIF(MICRO!AP:AP,O32,MICRO!AT:AT)</f>
        <v>0</v>
      </c>
      <c r="R32" s="2">
        <f>SUMIF(MICRO!AP:AP,O:O,MICRO!AU:AU)</f>
        <v>0</v>
      </c>
    </row>
    <row r="33" spans="3:18" s="2" customFormat="1" ht="18.75" thickBot="1" x14ac:dyDescent="0.3">
      <c r="C33" s="45"/>
      <c r="D33" s="61" t="s">
        <v>65</v>
      </c>
      <c r="E33" s="46" t="e">
        <f>VLOOKUP(Tabela2[[#This Row],[TAG]],MICRO!J:L,3,0)</f>
        <v>#N/A</v>
      </c>
      <c r="F33" s="44" t="s">
        <v>31</v>
      </c>
      <c r="G33" s="58">
        <f>SUMIF(MICRO!AP:AP,O:O,MICRO!H:H)</f>
        <v>0</v>
      </c>
      <c r="H33" s="1">
        <f>SUMIF(MICRO!AP:AP,O:O,MICRO!R:R)</f>
        <v>0</v>
      </c>
      <c r="I33" s="1">
        <f>SUMIF(MICRO!AP:AP,O:O,MICRO!T:T)</f>
        <v>0</v>
      </c>
      <c r="J33" s="59">
        <f t="shared" si="0"/>
        <v>0</v>
      </c>
      <c r="K33" s="1">
        <f>SUMIF(MICRO!AP:AP,O:O,MICRO!X:X)</f>
        <v>0</v>
      </c>
      <c r="L33" s="59" t="str">
        <f t="shared" si="1"/>
        <v>0%</v>
      </c>
      <c r="M33" s="1">
        <f t="shared" si="2"/>
        <v>0</v>
      </c>
      <c r="N33" s="56" t="e">
        <f t="shared" si="3"/>
        <v>#N/A</v>
      </c>
      <c r="O33" s="56" t="e">
        <f t="shared" si="4"/>
        <v>#N/A</v>
      </c>
      <c r="P33" s="2">
        <f>SUMIF(MICRO!AP:AP,O33,MICRO!AS:AS)</f>
        <v>0</v>
      </c>
      <c r="Q33" s="2">
        <f>SUMIF(MICRO!AP:AP,O33,MICRO!AT:AT)</f>
        <v>0</v>
      </c>
      <c r="R33" s="2">
        <f>SUMIF(MICRO!AP:AP,O:O,MICRO!AU:AU)</f>
        <v>0</v>
      </c>
    </row>
    <row r="34" spans="3:18" s="2" customFormat="1" ht="18.75" thickBot="1" x14ac:dyDescent="0.3">
      <c r="C34" s="45"/>
      <c r="D34" s="61" t="s">
        <v>66</v>
      </c>
      <c r="E34" s="46" t="e">
        <f>VLOOKUP(Tabela2[[#This Row],[TAG]],MICRO!J:L,3,0)</f>
        <v>#N/A</v>
      </c>
      <c r="F34" s="44" t="s">
        <v>31</v>
      </c>
      <c r="G34" s="58">
        <f>SUMIF(MICRO!AP:AP,O:O,MICRO!H:H)</f>
        <v>0</v>
      </c>
      <c r="H34" s="1">
        <f>SUMIF(MICRO!AP:AP,O:O,MICRO!R:R)</f>
        <v>0</v>
      </c>
      <c r="I34" s="1">
        <f>SUMIF(MICRO!AP:AP,O:O,MICRO!T:T)</f>
        <v>0</v>
      </c>
      <c r="J34" s="59">
        <f t="shared" si="0"/>
        <v>0</v>
      </c>
      <c r="K34" s="1">
        <f>SUMIF(MICRO!AP:AP,O:O,MICRO!X:X)</f>
        <v>0</v>
      </c>
      <c r="L34" s="59" t="str">
        <f t="shared" si="1"/>
        <v>0%</v>
      </c>
      <c r="M34" s="1">
        <f t="shared" si="2"/>
        <v>0</v>
      </c>
      <c r="N34" s="56" t="e">
        <f t="shared" si="3"/>
        <v>#N/A</v>
      </c>
      <c r="O34" s="56" t="e">
        <f t="shared" si="4"/>
        <v>#N/A</v>
      </c>
      <c r="P34" s="2">
        <f>SUMIF(MICRO!AP:AP,O34,MICRO!AS:AS)</f>
        <v>0</v>
      </c>
      <c r="Q34" s="2">
        <f>SUMIF(MICRO!AP:AP,O34,MICRO!AT:AT)</f>
        <v>0</v>
      </c>
      <c r="R34" s="2">
        <f>SUMIF(MICRO!AP:AP,O:O,MICRO!AU:AU)</f>
        <v>0</v>
      </c>
    </row>
    <row r="35" spans="3:18" s="2" customFormat="1" ht="18.75" thickBot="1" x14ac:dyDescent="0.3">
      <c r="C35" s="45"/>
      <c r="D35" s="61" t="s">
        <v>59</v>
      </c>
      <c r="E35" s="46" t="e">
        <f>VLOOKUP(Tabela2[[#This Row],[TAG]],MICRO!J:L,3,0)</f>
        <v>#N/A</v>
      </c>
      <c r="F35" s="44" t="s">
        <v>31</v>
      </c>
      <c r="G35" s="58">
        <f>SUMIF(MICRO!AP:AP,O:O,MICRO!H:H)</f>
        <v>0</v>
      </c>
      <c r="H35" s="1">
        <f>SUMIF(MICRO!AP:AP,O:O,MICRO!R:R)</f>
        <v>0</v>
      </c>
      <c r="I35" s="1">
        <f>SUMIF(MICRO!AP:AP,O:O,MICRO!T:T)</f>
        <v>0</v>
      </c>
      <c r="J35" s="59">
        <f t="shared" si="0"/>
        <v>0</v>
      </c>
      <c r="K35" s="1">
        <f>SUMIF(MICRO!AP:AP,O:O,MICRO!X:X)</f>
        <v>0</v>
      </c>
      <c r="L35" s="59" t="str">
        <f t="shared" si="1"/>
        <v>0%</v>
      </c>
      <c r="M35" s="1">
        <f t="shared" si="2"/>
        <v>0</v>
      </c>
      <c r="N35" s="56" t="e">
        <f t="shared" si="3"/>
        <v>#N/A</v>
      </c>
      <c r="O35" s="56" t="e">
        <f t="shared" si="4"/>
        <v>#N/A</v>
      </c>
      <c r="P35" s="2">
        <f>SUMIF(MICRO!AP:AP,O35,MICRO!AS:AS)</f>
        <v>0</v>
      </c>
      <c r="Q35" s="2">
        <f>SUMIF(MICRO!AP:AP,O35,MICRO!AT:AT)</f>
        <v>0</v>
      </c>
      <c r="R35" s="2">
        <f>SUMIF(MICRO!AP:AP,O:O,MICRO!AU:AU)</f>
        <v>0</v>
      </c>
    </row>
    <row r="36" spans="3:18" s="2" customFormat="1" ht="18.75" thickBot="1" x14ac:dyDescent="0.3">
      <c r="C36" s="45"/>
      <c r="D36" s="61" t="s">
        <v>67</v>
      </c>
      <c r="E36" s="46" t="e">
        <f>VLOOKUP(Tabela2[[#This Row],[TAG]],MICRO!J:L,3,0)</f>
        <v>#N/A</v>
      </c>
      <c r="F36" s="44" t="s">
        <v>31</v>
      </c>
      <c r="G36" s="58">
        <f>SUMIF(MICRO!AP:AP,O:O,MICRO!H:H)</f>
        <v>0</v>
      </c>
      <c r="H36" s="1">
        <f>SUMIF(MICRO!AP:AP,O:O,MICRO!R:R)</f>
        <v>0</v>
      </c>
      <c r="I36" s="1">
        <f>SUMIF(MICRO!AP:AP,O:O,MICRO!T:T)</f>
        <v>0</v>
      </c>
      <c r="J36" s="59">
        <f t="shared" si="0"/>
        <v>0</v>
      </c>
      <c r="K36" s="1">
        <f>SUMIF(MICRO!AP:AP,O:O,MICRO!X:X)</f>
        <v>0</v>
      </c>
      <c r="L36" s="59" t="str">
        <f t="shared" si="1"/>
        <v>0%</v>
      </c>
      <c r="M36" s="1">
        <f t="shared" si="2"/>
        <v>0</v>
      </c>
      <c r="N36" s="56" t="e">
        <f t="shared" si="3"/>
        <v>#N/A</v>
      </c>
      <c r="O36" s="56" t="e">
        <f t="shared" si="4"/>
        <v>#N/A</v>
      </c>
      <c r="P36" s="2">
        <f>SUMIF(MICRO!AP:AP,O36,MICRO!AS:AS)</f>
        <v>0</v>
      </c>
      <c r="Q36" s="2">
        <f>SUMIF(MICRO!AP:AP,O36,MICRO!AT:AT)</f>
        <v>0</v>
      </c>
      <c r="R36" s="2">
        <f>SUMIF(MICRO!AP:AP,O:O,MICRO!AU:AU)</f>
        <v>0</v>
      </c>
    </row>
    <row r="37" spans="3:18" s="2" customFormat="1" ht="18.75" thickBot="1" x14ac:dyDescent="0.3">
      <c r="C37" s="45"/>
      <c r="D37" s="61" t="s">
        <v>57</v>
      </c>
      <c r="E37" s="46" t="e">
        <f>VLOOKUP(Tabela2[[#This Row],[TAG]],MICRO!J:L,3,0)</f>
        <v>#N/A</v>
      </c>
      <c r="F37" s="44" t="s">
        <v>31</v>
      </c>
      <c r="G37" s="58">
        <f>SUMIF(MICRO!AP:AP,O:O,MICRO!H:H)</f>
        <v>0</v>
      </c>
      <c r="H37" s="1">
        <f>SUMIF(MICRO!AP:AP,O:O,MICRO!R:R)</f>
        <v>0</v>
      </c>
      <c r="I37" s="1">
        <f>SUMIF(MICRO!AP:AP,O:O,MICRO!T:T)</f>
        <v>0</v>
      </c>
      <c r="J37" s="59">
        <f t="shared" si="0"/>
        <v>0</v>
      </c>
      <c r="K37" s="1">
        <f>SUMIF(MICRO!AP:AP,O:O,MICRO!X:X)</f>
        <v>0</v>
      </c>
      <c r="L37" s="59" t="str">
        <f t="shared" si="1"/>
        <v>0%</v>
      </c>
      <c r="M37" s="1">
        <f t="shared" si="2"/>
        <v>0</v>
      </c>
      <c r="N37" s="56" t="e">
        <f t="shared" si="3"/>
        <v>#N/A</v>
      </c>
      <c r="O37" s="56" t="e">
        <f t="shared" si="4"/>
        <v>#N/A</v>
      </c>
      <c r="P37" s="2">
        <f>SUMIF(MICRO!AP:AP,O37,MICRO!AS:AS)</f>
        <v>0</v>
      </c>
      <c r="Q37" s="2">
        <f>SUMIF(MICRO!AP:AP,O37,MICRO!AT:AT)</f>
        <v>0</v>
      </c>
      <c r="R37" s="2">
        <f>SUMIF(MICRO!AP:AP,O:O,MICRO!AU:AU)</f>
        <v>0</v>
      </c>
    </row>
    <row r="38" spans="3:18" s="2" customFormat="1" ht="18.75" thickBot="1" x14ac:dyDescent="0.3">
      <c r="C38" s="45"/>
      <c r="D38" s="61" t="s">
        <v>60</v>
      </c>
      <c r="E38" s="46" t="e">
        <f>VLOOKUP(Tabela2[[#This Row],[TAG]],MICRO!J:L,3,0)</f>
        <v>#N/A</v>
      </c>
      <c r="F38" s="44" t="s">
        <v>44</v>
      </c>
      <c r="G38" s="58">
        <f>SUMIF(MICRO!AP:AP,O:O,MICRO!H:H)</f>
        <v>0</v>
      </c>
      <c r="H38" s="1">
        <f>SUMIF(MICRO!AP:AP,O:O,MICRO!R:R)</f>
        <v>0</v>
      </c>
      <c r="I38" s="1">
        <f>SUMIF(MICRO!AP:AP,O:O,MICRO!T:T)</f>
        <v>0</v>
      </c>
      <c r="J38" s="59">
        <f t="shared" si="0"/>
        <v>0</v>
      </c>
      <c r="K38" s="1">
        <f>SUMIF(MICRO!AP:AP,O:O,MICRO!X:X)</f>
        <v>0</v>
      </c>
      <c r="L38" s="59" t="str">
        <f t="shared" si="1"/>
        <v>0%</v>
      </c>
      <c r="M38" s="1">
        <f t="shared" si="2"/>
        <v>0</v>
      </c>
      <c r="N38" s="56" t="e">
        <f t="shared" si="3"/>
        <v>#N/A</v>
      </c>
      <c r="O38" s="56" t="e">
        <f t="shared" si="4"/>
        <v>#N/A</v>
      </c>
      <c r="P38" s="2">
        <f>SUMIF(MICRO!AP:AP,O38,MICRO!AS:AS)</f>
        <v>0</v>
      </c>
      <c r="Q38" s="2">
        <f>SUMIF(MICRO!AP:AP,O38,MICRO!AT:AT)</f>
        <v>0</v>
      </c>
      <c r="R38" s="2">
        <f>SUMIF(MICRO!AP:AP,O:O,MICRO!AU:AU)</f>
        <v>0</v>
      </c>
    </row>
    <row r="39" spans="3:18" s="2" customFormat="1" ht="18.75" thickBot="1" x14ac:dyDescent="0.3">
      <c r="C39" s="45"/>
      <c r="D39" s="61" t="s">
        <v>56</v>
      </c>
      <c r="E39" s="46" t="e">
        <f>VLOOKUP(Tabela2[[#This Row],[TAG]],MICRO!J:L,3,0)</f>
        <v>#N/A</v>
      </c>
      <c r="F39" s="44" t="s">
        <v>44</v>
      </c>
      <c r="G39" s="58">
        <f>SUMIF(MICRO!AP:AP,O:O,MICRO!H:H)</f>
        <v>0</v>
      </c>
      <c r="H39" s="1">
        <f>SUMIF(MICRO!AP:AP,O:O,MICRO!R:R)</f>
        <v>0</v>
      </c>
      <c r="I39" s="1">
        <f>SUMIF(MICRO!AP:AP,O:O,MICRO!T:T)</f>
        <v>0</v>
      </c>
      <c r="J39" s="59">
        <f t="shared" si="0"/>
        <v>0</v>
      </c>
      <c r="K39" s="1">
        <f>SUMIF(MICRO!AP:AP,O:O,MICRO!X:X)</f>
        <v>0</v>
      </c>
      <c r="L39" s="59" t="str">
        <f t="shared" si="1"/>
        <v>0%</v>
      </c>
      <c r="M39" s="1">
        <f t="shared" si="2"/>
        <v>0</v>
      </c>
      <c r="N39" s="56" t="e">
        <f t="shared" si="3"/>
        <v>#N/A</v>
      </c>
      <c r="O39" s="56" t="e">
        <f t="shared" si="4"/>
        <v>#N/A</v>
      </c>
      <c r="P39" s="2">
        <f>SUMIF(MICRO!AP:AP,O39,MICRO!AS:AS)</f>
        <v>0</v>
      </c>
      <c r="Q39" s="2">
        <f>SUMIF(MICRO!AP:AP,O39,MICRO!AT:AT)</f>
        <v>0</v>
      </c>
      <c r="R39" s="2">
        <f>SUMIF(MICRO!AP:AP,O:O,MICRO!AU:AU)</f>
        <v>0</v>
      </c>
    </row>
    <row r="40" spans="3:18" s="2" customFormat="1" ht="18.75" thickBot="1" x14ac:dyDescent="0.3">
      <c r="C40" s="45"/>
      <c r="D40" s="61" t="s">
        <v>71</v>
      </c>
      <c r="E40" s="46" t="e">
        <f>VLOOKUP(Tabela2[[#This Row],[TAG]],MICRO!J:L,3,0)</f>
        <v>#N/A</v>
      </c>
      <c r="F40" s="44" t="s">
        <v>44</v>
      </c>
      <c r="G40" s="58">
        <f>SUMIF(MICRO!AP:AP,O:O,MICRO!H:H)</f>
        <v>0</v>
      </c>
      <c r="H40" s="1">
        <f>SUMIF(MICRO!AP:AP,O:O,MICRO!R:R)</f>
        <v>0</v>
      </c>
      <c r="I40" s="1">
        <f>SUMIF(MICRO!AP:AP,O:O,MICRO!T:T)</f>
        <v>0</v>
      </c>
      <c r="J40" s="59">
        <f t="shared" si="0"/>
        <v>0</v>
      </c>
      <c r="K40" s="1">
        <f>SUMIF(MICRO!AP:AP,O:O,MICRO!X:X)</f>
        <v>0</v>
      </c>
      <c r="L40" s="59" t="str">
        <f t="shared" si="1"/>
        <v>0%</v>
      </c>
      <c r="M40" s="1">
        <f t="shared" si="2"/>
        <v>0</v>
      </c>
      <c r="N40" s="56" t="e">
        <f t="shared" si="3"/>
        <v>#N/A</v>
      </c>
      <c r="O40" s="56" t="e">
        <f t="shared" si="4"/>
        <v>#N/A</v>
      </c>
      <c r="P40" s="2">
        <f>SUMIF(MICRO!AP:AP,O40,MICRO!AS:AS)</f>
        <v>0</v>
      </c>
      <c r="Q40" s="2">
        <f>SUMIF(MICRO!AP:AP,O40,MICRO!AT:AT)</f>
        <v>0</v>
      </c>
      <c r="R40" s="2">
        <f>SUMIF(MICRO!AP:AP,O:O,MICRO!AU:AU)</f>
        <v>0</v>
      </c>
    </row>
    <row r="41" spans="3:18" s="2" customFormat="1" ht="18.75" thickBot="1" x14ac:dyDescent="0.3">
      <c r="C41" s="45"/>
      <c r="D41" s="61" t="s">
        <v>61</v>
      </c>
      <c r="E41" s="46" t="e">
        <f>VLOOKUP(Tabela2[[#This Row],[TAG]],MICRO!J:L,3,0)</f>
        <v>#N/A</v>
      </c>
      <c r="F41" s="44" t="s">
        <v>44</v>
      </c>
      <c r="G41" s="58">
        <f>SUMIF(MICRO!AP:AP,O:O,MICRO!H:H)</f>
        <v>0</v>
      </c>
      <c r="H41" s="1">
        <f>SUMIF(MICRO!AP:AP,O:O,MICRO!R:R)</f>
        <v>0</v>
      </c>
      <c r="I41" s="1">
        <f>SUMIF(MICRO!AP:AP,O:O,MICRO!T:T)</f>
        <v>0</v>
      </c>
      <c r="J41" s="59">
        <f t="shared" si="0"/>
        <v>0</v>
      </c>
      <c r="K41" s="1">
        <f>SUMIF(MICRO!AP:AP,O:O,MICRO!X:X)</f>
        <v>0</v>
      </c>
      <c r="L41" s="59" t="str">
        <f t="shared" si="1"/>
        <v>0%</v>
      </c>
      <c r="M41" s="1">
        <f t="shared" si="2"/>
        <v>0</v>
      </c>
      <c r="N41" s="56" t="e">
        <f t="shared" si="3"/>
        <v>#N/A</v>
      </c>
      <c r="O41" s="56" t="e">
        <f t="shared" si="4"/>
        <v>#N/A</v>
      </c>
      <c r="P41" s="2">
        <f>SUMIF(MICRO!AP:AP,O41,MICRO!AS:AS)</f>
        <v>0</v>
      </c>
      <c r="Q41" s="2">
        <f>SUMIF(MICRO!AP:AP,O41,MICRO!AT:AT)</f>
        <v>0</v>
      </c>
      <c r="R41" s="2">
        <f>SUMIF(MICRO!AP:AP,O:O,MICRO!AU:AU)</f>
        <v>0</v>
      </c>
    </row>
    <row r="42" spans="3:18" s="2" customFormat="1" ht="18.75" thickBot="1" x14ac:dyDescent="0.3">
      <c r="C42" s="45"/>
      <c r="D42" s="61" t="s">
        <v>62</v>
      </c>
      <c r="E42" s="46" t="e">
        <f>VLOOKUP(Tabela2[[#This Row],[TAG]],MICRO!J:L,3,0)</f>
        <v>#N/A</v>
      </c>
      <c r="F42" s="44" t="s">
        <v>44</v>
      </c>
      <c r="G42" s="58">
        <f>SUMIF(MICRO!AP:AP,O:O,MICRO!H:H)</f>
        <v>0</v>
      </c>
      <c r="H42" s="1">
        <f>SUMIF(MICRO!AP:AP,O:O,MICRO!R:R)</f>
        <v>0</v>
      </c>
      <c r="I42" s="1">
        <f>SUMIF(MICRO!AP:AP,O:O,MICRO!T:T)</f>
        <v>0</v>
      </c>
      <c r="J42" s="59">
        <f t="shared" si="0"/>
        <v>0</v>
      </c>
      <c r="K42" s="1">
        <f>SUMIF(MICRO!AP:AP,O:O,MICRO!X:X)</f>
        <v>0</v>
      </c>
      <c r="L42" s="59" t="str">
        <f t="shared" si="1"/>
        <v>0%</v>
      </c>
      <c r="M42" s="1">
        <f t="shared" si="2"/>
        <v>0</v>
      </c>
      <c r="N42" s="56" t="e">
        <f t="shared" si="3"/>
        <v>#N/A</v>
      </c>
      <c r="O42" s="56" t="e">
        <f t="shared" si="4"/>
        <v>#N/A</v>
      </c>
      <c r="P42" s="2">
        <f>SUMIF(MICRO!AP:AP,O42,MICRO!AS:AS)</f>
        <v>0</v>
      </c>
      <c r="Q42" s="2">
        <f>SUMIF(MICRO!AP:AP,O42,MICRO!AT:AT)</f>
        <v>0</v>
      </c>
      <c r="R42" s="2">
        <f>SUMIF(MICRO!AP:AP,O:O,MICRO!AU:AU)</f>
        <v>0</v>
      </c>
    </row>
    <row r="43" spans="3:18" s="2" customFormat="1" ht="18.75" thickBot="1" x14ac:dyDescent="0.3">
      <c r="C43" s="45"/>
      <c r="D43" s="61" t="s">
        <v>58</v>
      </c>
      <c r="E43" s="46" t="e">
        <f>VLOOKUP(Tabela2[[#This Row],[TAG]],MICRO!J:L,3,0)</f>
        <v>#N/A</v>
      </c>
      <c r="F43" s="44" t="s">
        <v>44</v>
      </c>
      <c r="G43" s="58">
        <f>SUMIF(MICRO!AP:AP,O:O,MICRO!H:H)</f>
        <v>0</v>
      </c>
      <c r="H43" s="1">
        <f>SUMIF(MICRO!AP:AP,O:O,MICRO!R:R)</f>
        <v>0</v>
      </c>
      <c r="I43" s="1">
        <f>SUMIF(MICRO!AP:AP,O:O,MICRO!T:T)</f>
        <v>0</v>
      </c>
      <c r="J43" s="59">
        <f t="shared" si="0"/>
        <v>0</v>
      </c>
      <c r="K43" s="1">
        <f>SUMIF(MICRO!AP:AP,O:O,MICRO!X:X)</f>
        <v>0</v>
      </c>
      <c r="L43" s="59" t="str">
        <f t="shared" si="1"/>
        <v>0%</v>
      </c>
      <c r="M43" s="1">
        <f t="shared" si="2"/>
        <v>0</v>
      </c>
      <c r="N43" s="56" t="e">
        <f t="shared" si="3"/>
        <v>#N/A</v>
      </c>
      <c r="O43" s="56" t="e">
        <f t="shared" si="4"/>
        <v>#N/A</v>
      </c>
      <c r="P43" s="2">
        <f>SUMIF(MICRO!AP:AP,O43,MICRO!AS:AS)</f>
        <v>0</v>
      </c>
      <c r="Q43" s="2">
        <f>SUMIF(MICRO!AP:AP,O43,MICRO!AT:AT)</f>
        <v>0</v>
      </c>
      <c r="R43" s="2">
        <f>SUMIF(MICRO!AP:AP,O:O,MICRO!AU:AU)</f>
        <v>0</v>
      </c>
    </row>
    <row r="44" spans="3:18" s="2" customFormat="1" ht="18.75" thickBot="1" x14ac:dyDescent="0.3">
      <c r="C44" s="45"/>
      <c r="D44" s="61" t="s">
        <v>69</v>
      </c>
      <c r="E44" s="46" t="e">
        <f>VLOOKUP(Tabela2[[#This Row],[TAG]],MICRO!J:L,3,0)</f>
        <v>#N/A</v>
      </c>
      <c r="F44" s="44" t="s">
        <v>44</v>
      </c>
      <c r="G44" s="58">
        <f>SUMIF(MICRO!AP:AP,O:O,MICRO!H:H)</f>
        <v>0</v>
      </c>
      <c r="H44" s="1">
        <f>SUMIF(MICRO!AP:AP,O:O,MICRO!R:R)</f>
        <v>0</v>
      </c>
      <c r="I44" s="1">
        <f>SUMIF(MICRO!AP:AP,O:O,MICRO!T:T)</f>
        <v>0</v>
      </c>
      <c r="J44" s="59">
        <f t="shared" si="0"/>
        <v>0</v>
      </c>
      <c r="K44" s="1">
        <f>SUMIF(MICRO!AP:AP,O:O,MICRO!X:X)</f>
        <v>0</v>
      </c>
      <c r="L44" s="59" t="str">
        <f t="shared" si="1"/>
        <v>0%</v>
      </c>
      <c r="M44" s="1">
        <f t="shared" si="2"/>
        <v>0</v>
      </c>
      <c r="N44" s="56" t="e">
        <f t="shared" si="3"/>
        <v>#N/A</v>
      </c>
      <c r="O44" s="56" t="e">
        <f t="shared" si="4"/>
        <v>#N/A</v>
      </c>
      <c r="P44" s="2">
        <f>SUMIF(MICRO!AP:AP,O44,MICRO!AS:AS)</f>
        <v>0</v>
      </c>
      <c r="Q44" s="2">
        <f>SUMIF(MICRO!AP:AP,O44,MICRO!AT:AT)</f>
        <v>0</v>
      </c>
      <c r="R44" s="2">
        <f>SUMIF(MICRO!AP:AP,O:O,MICRO!AU:AU)</f>
        <v>0</v>
      </c>
    </row>
    <row r="45" spans="3:18" s="2" customFormat="1" ht="18.75" thickBot="1" x14ac:dyDescent="0.3">
      <c r="C45" s="45"/>
      <c r="D45" s="61" t="s">
        <v>70</v>
      </c>
      <c r="E45" s="46" t="e">
        <f>VLOOKUP(Tabela2[[#This Row],[TAG]],MICRO!J:L,3,0)</f>
        <v>#N/A</v>
      </c>
      <c r="F45" s="44" t="s">
        <v>44</v>
      </c>
      <c r="G45" s="58">
        <f>SUMIF(MICRO!AP:AP,O:O,MICRO!H:H)</f>
        <v>0</v>
      </c>
      <c r="H45" s="1">
        <f>SUMIF(MICRO!AP:AP,O:O,MICRO!R:R)</f>
        <v>0</v>
      </c>
      <c r="I45" s="1">
        <f>SUMIF(MICRO!AP:AP,O:O,MICRO!T:T)</f>
        <v>0</v>
      </c>
      <c r="J45" s="59">
        <f t="shared" si="0"/>
        <v>0</v>
      </c>
      <c r="K45" s="1">
        <f>SUMIF(MICRO!AP:AP,O:O,MICRO!X:X)</f>
        <v>0</v>
      </c>
      <c r="L45" s="59" t="str">
        <f t="shared" si="1"/>
        <v>0%</v>
      </c>
      <c r="M45" s="1">
        <f t="shared" si="2"/>
        <v>0</v>
      </c>
      <c r="N45" s="56" t="e">
        <f t="shared" si="3"/>
        <v>#N/A</v>
      </c>
      <c r="O45" s="56" t="e">
        <f t="shared" si="4"/>
        <v>#N/A</v>
      </c>
      <c r="P45" s="2">
        <f>SUMIF(MICRO!AP:AP,O45,MICRO!AS:AS)</f>
        <v>0</v>
      </c>
      <c r="Q45" s="2">
        <f>SUMIF(MICRO!AP:AP,O45,MICRO!AT:AT)</f>
        <v>0</v>
      </c>
      <c r="R45" s="2">
        <f>SUMIF(MICRO!AP:AP,O:O,MICRO!AU:AU)</f>
        <v>0</v>
      </c>
    </row>
    <row r="46" spans="3:18" s="2" customFormat="1" ht="18.75" thickBot="1" x14ac:dyDescent="0.3">
      <c r="C46" s="45"/>
      <c r="D46" s="61" t="s">
        <v>63</v>
      </c>
      <c r="E46" s="46" t="e">
        <f>VLOOKUP(Tabela2[[#This Row],[TAG]],MICRO!J:L,3,0)</f>
        <v>#N/A</v>
      </c>
      <c r="F46" s="44" t="s">
        <v>44</v>
      </c>
      <c r="G46" s="58">
        <f>SUMIF(MICRO!AP:AP,O:O,MICRO!H:H)</f>
        <v>0</v>
      </c>
      <c r="H46" s="1">
        <f>SUMIF(MICRO!AP:AP,O:O,MICRO!R:R)</f>
        <v>0</v>
      </c>
      <c r="I46" s="1">
        <f>SUMIF(MICRO!AP:AP,O:O,MICRO!T:T)</f>
        <v>0</v>
      </c>
      <c r="J46" s="59">
        <f t="shared" si="0"/>
        <v>0</v>
      </c>
      <c r="K46" s="1">
        <f>SUMIF(MICRO!AP:AP,O:O,MICRO!X:X)</f>
        <v>0</v>
      </c>
      <c r="L46" s="59" t="str">
        <f t="shared" si="1"/>
        <v>0%</v>
      </c>
      <c r="M46" s="1">
        <f t="shared" si="2"/>
        <v>0</v>
      </c>
      <c r="N46" s="56" t="e">
        <f t="shared" si="3"/>
        <v>#N/A</v>
      </c>
      <c r="O46" s="56" t="e">
        <f t="shared" si="4"/>
        <v>#N/A</v>
      </c>
      <c r="P46" s="2">
        <f>SUMIF(MICRO!AP:AP,O46,MICRO!AS:AS)</f>
        <v>0</v>
      </c>
      <c r="Q46" s="2">
        <f>SUMIF(MICRO!AP:AP,O46,MICRO!AT:AT)</f>
        <v>0</v>
      </c>
      <c r="R46" s="2">
        <f>SUMIF(MICRO!AP:AP,O:O,MICRO!AU:AU)</f>
        <v>0</v>
      </c>
    </row>
    <row r="47" spans="3:18" s="2" customFormat="1" ht="18.75" thickBot="1" x14ac:dyDescent="0.3">
      <c r="C47" s="45"/>
      <c r="D47" s="61" t="s">
        <v>68</v>
      </c>
      <c r="E47" s="46" t="e">
        <f>VLOOKUP(Tabela2[[#This Row],[TAG]],MICRO!J:L,3,0)</f>
        <v>#N/A</v>
      </c>
      <c r="F47" s="44" t="s">
        <v>44</v>
      </c>
      <c r="G47" s="58">
        <f>SUMIF(MICRO!AP:AP,O:O,MICRO!H:H)</f>
        <v>0</v>
      </c>
      <c r="H47" s="1">
        <f>SUMIF(MICRO!AP:AP,O:O,MICRO!R:R)</f>
        <v>0</v>
      </c>
      <c r="I47" s="1">
        <f>SUMIF(MICRO!AP:AP,O:O,MICRO!T:T)</f>
        <v>0</v>
      </c>
      <c r="J47" s="59">
        <f t="shared" si="0"/>
        <v>0</v>
      </c>
      <c r="K47" s="1">
        <f>SUMIF(MICRO!AP:AP,O:O,MICRO!X:X)</f>
        <v>0</v>
      </c>
      <c r="L47" s="59" t="str">
        <f t="shared" si="1"/>
        <v>0%</v>
      </c>
      <c r="M47" s="1">
        <f t="shared" si="2"/>
        <v>0</v>
      </c>
      <c r="N47" s="56" t="e">
        <f t="shared" si="3"/>
        <v>#N/A</v>
      </c>
      <c r="O47" s="56" t="e">
        <f t="shared" si="4"/>
        <v>#N/A</v>
      </c>
      <c r="P47" s="2">
        <f>SUMIF(MICRO!AP:AP,O47,MICRO!AS:AS)</f>
        <v>0</v>
      </c>
      <c r="Q47" s="2">
        <f>SUMIF(MICRO!AP:AP,O47,MICRO!AT:AT)</f>
        <v>0</v>
      </c>
      <c r="R47" s="2">
        <f>SUMIF(MICRO!AP:AP,O:O,MICRO!AU:AU)</f>
        <v>0</v>
      </c>
    </row>
    <row r="48" spans="3:18" s="2" customFormat="1" ht="18.75" thickBot="1" x14ac:dyDescent="0.3">
      <c r="C48" s="45"/>
      <c r="D48" s="61" t="s">
        <v>64</v>
      </c>
      <c r="E48" s="46" t="e">
        <f>VLOOKUP(Tabela2[[#This Row],[TAG]],MICRO!J:L,3,0)</f>
        <v>#N/A</v>
      </c>
      <c r="F48" s="44" t="s">
        <v>44</v>
      </c>
      <c r="G48" s="58">
        <f>SUMIF(MICRO!AP:AP,O:O,MICRO!H:H)</f>
        <v>0</v>
      </c>
      <c r="H48" s="1">
        <f>SUMIF(MICRO!AP:AP,O:O,MICRO!R:R)</f>
        <v>0</v>
      </c>
      <c r="I48" s="1">
        <f>SUMIF(MICRO!AP:AP,O:O,MICRO!T:T)</f>
        <v>0</v>
      </c>
      <c r="J48" s="59">
        <f t="shared" si="0"/>
        <v>0</v>
      </c>
      <c r="K48" s="1">
        <f>SUMIF(MICRO!AP:AP,O:O,MICRO!X:X)</f>
        <v>0</v>
      </c>
      <c r="L48" s="59" t="str">
        <f t="shared" si="1"/>
        <v>0%</v>
      </c>
      <c r="M48" s="1">
        <f t="shared" si="2"/>
        <v>0</v>
      </c>
      <c r="N48" s="56" t="e">
        <f t="shared" si="3"/>
        <v>#N/A</v>
      </c>
      <c r="O48" s="56" t="e">
        <f t="shared" si="4"/>
        <v>#N/A</v>
      </c>
      <c r="P48" s="2">
        <f>SUMIF(MICRO!AP:AP,O48,MICRO!AS:AS)</f>
        <v>0</v>
      </c>
      <c r="Q48" s="2">
        <f>SUMIF(MICRO!AP:AP,O48,MICRO!AT:AT)</f>
        <v>0</v>
      </c>
      <c r="R48" s="2">
        <f>SUMIF(MICRO!AP:AP,O:O,MICRO!AU:AU)</f>
        <v>0</v>
      </c>
    </row>
    <row r="49" spans="3:18" s="2" customFormat="1" ht="18.75" thickBot="1" x14ac:dyDescent="0.3">
      <c r="C49" s="45"/>
      <c r="D49" s="61" t="s">
        <v>65</v>
      </c>
      <c r="E49" s="46" t="e">
        <f>VLOOKUP(Tabela2[[#This Row],[TAG]],MICRO!J:L,3,0)</f>
        <v>#N/A</v>
      </c>
      <c r="F49" s="44" t="s">
        <v>44</v>
      </c>
      <c r="G49" s="58">
        <f>SUMIF(MICRO!AP:AP,O:O,MICRO!H:H)</f>
        <v>0</v>
      </c>
      <c r="H49" s="1">
        <f>SUMIF(MICRO!AP:AP,O:O,MICRO!R:R)</f>
        <v>0</v>
      </c>
      <c r="I49" s="1">
        <f>SUMIF(MICRO!AP:AP,O:O,MICRO!T:T)</f>
        <v>0</v>
      </c>
      <c r="J49" s="59">
        <f t="shared" si="0"/>
        <v>0</v>
      </c>
      <c r="K49" s="1">
        <f>SUMIF(MICRO!AP:AP,O:O,MICRO!X:X)</f>
        <v>0</v>
      </c>
      <c r="L49" s="59" t="str">
        <f t="shared" si="1"/>
        <v>0%</v>
      </c>
      <c r="M49" s="1">
        <f t="shared" si="2"/>
        <v>0</v>
      </c>
      <c r="N49" s="56" t="e">
        <f t="shared" si="3"/>
        <v>#N/A</v>
      </c>
      <c r="O49" s="56" t="e">
        <f t="shared" si="4"/>
        <v>#N/A</v>
      </c>
      <c r="P49" s="2">
        <f>SUMIF(MICRO!AP:AP,O49,MICRO!AS:AS)</f>
        <v>0</v>
      </c>
      <c r="Q49" s="2">
        <f>SUMIF(MICRO!AP:AP,O49,MICRO!AT:AT)</f>
        <v>0</v>
      </c>
      <c r="R49" s="2">
        <f>SUMIF(MICRO!AP:AP,O:O,MICRO!AU:AU)</f>
        <v>0</v>
      </c>
    </row>
    <row r="50" spans="3:18" s="2" customFormat="1" ht="18.75" thickBot="1" x14ac:dyDescent="0.3">
      <c r="C50" s="45"/>
      <c r="D50" s="61" t="s">
        <v>66</v>
      </c>
      <c r="E50" s="46" t="e">
        <f>VLOOKUP(Tabela2[[#This Row],[TAG]],MICRO!J:L,3,0)</f>
        <v>#N/A</v>
      </c>
      <c r="F50" s="44" t="s">
        <v>44</v>
      </c>
      <c r="G50" s="58">
        <f>SUMIF(MICRO!AP:AP,O:O,MICRO!H:H)</f>
        <v>0</v>
      </c>
      <c r="H50" s="1">
        <f>SUMIF(MICRO!AP:AP,O:O,MICRO!R:R)</f>
        <v>0</v>
      </c>
      <c r="I50" s="1">
        <f>SUMIF(MICRO!AP:AP,O:O,MICRO!T:T)</f>
        <v>0</v>
      </c>
      <c r="J50" s="59">
        <f t="shared" si="0"/>
        <v>0</v>
      </c>
      <c r="K50" s="1">
        <f>SUMIF(MICRO!AP:AP,O:O,MICRO!X:X)</f>
        <v>0</v>
      </c>
      <c r="L50" s="59" t="str">
        <f t="shared" si="1"/>
        <v>0%</v>
      </c>
      <c r="M50" s="1">
        <f t="shared" si="2"/>
        <v>0</v>
      </c>
      <c r="N50" s="56" t="e">
        <f t="shared" si="3"/>
        <v>#N/A</v>
      </c>
      <c r="O50" s="56" t="e">
        <f t="shared" si="4"/>
        <v>#N/A</v>
      </c>
      <c r="P50" s="2">
        <f>SUMIF(MICRO!AP:AP,O50,MICRO!AS:AS)</f>
        <v>0</v>
      </c>
      <c r="Q50" s="2">
        <f>SUMIF(MICRO!AP:AP,O50,MICRO!AT:AT)</f>
        <v>0</v>
      </c>
      <c r="R50" s="2">
        <f>SUMIF(MICRO!AP:AP,O:O,MICRO!AU:AU)</f>
        <v>0</v>
      </c>
    </row>
    <row r="51" spans="3:18" s="2" customFormat="1" ht="18.75" thickBot="1" x14ac:dyDescent="0.3">
      <c r="C51" s="45"/>
      <c r="D51" s="61" t="s">
        <v>59</v>
      </c>
      <c r="E51" s="46" t="e">
        <f>VLOOKUP(Tabela2[[#This Row],[TAG]],MICRO!J:L,3,0)</f>
        <v>#N/A</v>
      </c>
      <c r="F51" s="44" t="s">
        <v>44</v>
      </c>
      <c r="G51" s="58">
        <f>SUMIF(MICRO!AP:AP,O:O,MICRO!H:H)</f>
        <v>0</v>
      </c>
      <c r="H51" s="1">
        <f>SUMIF(MICRO!AP:AP,O:O,MICRO!R:R)</f>
        <v>0</v>
      </c>
      <c r="I51" s="1">
        <f>SUMIF(MICRO!AP:AP,O:O,MICRO!T:T)</f>
        <v>0</v>
      </c>
      <c r="J51" s="59">
        <f t="shared" si="0"/>
        <v>0</v>
      </c>
      <c r="K51" s="1">
        <f>SUMIF(MICRO!AP:AP,O:O,MICRO!X:X)</f>
        <v>0</v>
      </c>
      <c r="L51" s="59" t="str">
        <f t="shared" si="1"/>
        <v>0%</v>
      </c>
      <c r="M51" s="1">
        <f t="shared" si="2"/>
        <v>0</v>
      </c>
      <c r="N51" s="56" t="e">
        <f t="shared" si="3"/>
        <v>#N/A</v>
      </c>
      <c r="O51" s="56" t="e">
        <f t="shared" si="4"/>
        <v>#N/A</v>
      </c>
      <c r="P51" s="2">
        <f>SUMIF(MICRO!AP:AP,O51,MICRO!AS:AS)</f>
        <v>0</v>
      </c>
      <c r="Q51" s="2">
        <f>SUMIF(MICRO!AP:AP,O51,MICRO!AT:AT)</f>
        <v>0</v>
      </c>
      <c r="R51" s="2">
        <f>SUMIF(MICRO!AP:AP,O:O,MICRO!AU:AU)</f>
        <v>0</v>
      </c>
    </row>
    <row r="52" spans="3:18" s="2" customFormat="1" ht="18.75" thickBot="1" x14ac:dyDescent="0.3">
      <c r="C52" s="45"/>
      <c r="D52" s="61" t="s">
        <v>67</v>
      </c>
      <c r="E52" s="46" t="e">
        <f>VLOOKUP(Tabela2[[#This Row],[TAG]],MICRO!J:L,3,0)</f>
        <v>#N/A</v>
      </c>
      <c r="F52" s="44" t="s">
        <v>44</v>
      </c>
      <c r="G52" s="58">
        <f>SUMIF(MICRO!AP:AP,O:O,MICRO!H:H)</f>
        <v>0</v>
      </c>
      <c r="H52" s="1">
        <f>SUMIF(MICRO!AP:AP,O:O,MICRO!R:R)</f>
        <v>0</v>
      </c>
      <c r="I52" s="1">
        <f>SUMIF(MICRO!AP:AP,O:O,MICRO!T:T)</f>
        <v>0</v>
      </c>
      <c r="J52" s="59">
        <f t="shared" si="0"/>
        <v>0</v>
      </c>
      <c r="K52" s="1">
        <f>SUMIF(MICRO!AP:AP,O:O,MICRO!X:X)</f>
        <v>0</v>
      </c>
      <c r="L52" s="59" t="str">
        <f t="shared" si="1"/>
        <v>0%</v>
      </c>
      <c r="M52" s="1">
        <f t="shared" si="2"/>
        <v>0</v>
      </c>
      <c r="N52" s="56" t="e">
        <f t="shared" si="3"/>
        <v>#N/A</v>
      </c>
      <c r="O52" s="56" t="e">
        <f t="shared" si="4"/>
        <v>#N/A</v>
      </c>
      <c r="P52" s="2">
        <f>SUMIF(MICRO!AP:AP,O52,MICRO!AS:AS)</f>
        <v>0</v>
      </c>
      <c r="Q52" s="2">
        <f>SUMIF(MICRO!AP:AP,O52,MICRO!AT:AT)</f>
        <v>0</v>
      </c>
      <c r="R52" s="2">
        <f>SUMIF(MICRO!AP:AP,O:O,MICRO!AU:AU)</f>
        <v>0</v>
      </c>
    </row>
    <row r="53" spans="3:18" s="2" customFormat="1" ht="18.75" thickBot="1" x14ac:dyDescent="0.3">
      <c r="C53" s="45"/>
      <c r="D53" s="61" t="s">
        <v>57</v>
      </c>
      <c r="E53" s="46" t="e">
        <f>VLOOKUP(Tabela2[[#This Row],[TAG]],MICRO!J:L,3,0)</f>
        <v>#N/A</v>
      </c>
      <c r="F53" s="44" t="s">
        <v>44</v>
      </c>
      <c r="G53" s="58">
        <f>SUMIF(MICRO!AP:AP,O:O,MICRO!H:H)</f>
        <v>0</v>
      </c>
      <c r="H53" s="1">
        <f>SUMIF(MICRO!AP:AP,O:O,MICRO!R:R)</f>
        <v>0</v>
      </c>
      <c r="I53" s="1">
        <f>SUMIF(MICRO!AP:AP,O:O,MICRO!T:T)</f>
        <v>0</v>
      </c>
      <c r="J53" s="59">
        <f t="shared" si="0"/>
        <v>0</v>
      </c>
      <c r="K53" s="1">
        <f>SUMIF(MICRO!AP:AP,O:O,MICRO!X:X)</f>
        <v>0</v>
      </c>
      <c r="L53" s="59" t="str">
        <f t="shared" si="1"/>
        <v>0%</v>
      </c>
      <c r="M53" s="1">
        <f t="shared" si="2"/>
        <v>0</v>
      </c>
      <c r="N53" s="56" t="e">
        <f t="shared" si="3"/>
        <v>#N/A</v>
      </c>
      <c r="O53" s="56" t="e">
        <f t="shared" si="4"/>
        <v>#N/A</v>
      </c>
      <c r="P53" s="2">
        <f>SUMIF(MICRO!AP:AP,O53,MICRO!AS:AS)</f>
        <v>0</v>
      </c>
      <c r="Q53" s="2">
        <f>SUMIF(MICRO!AP:AP,O53,MICRO!AT:AT)</f>
        <v>0</v>
      </c>
      <c r="R53" s="2">
        <f>SUMIF(MICRO!AP:AP,O:O,MICRO!AU:AU)</f>
        <v>0</v>
      </c>
    </row>
    <row r="54" spans="3:18" s="2" customFormat="1" ht="18.75" thickBot="1" x14ac:dyDescent="0.3">
      <c r="C54" s="45"/>
      <c r="D54" s="61" t="s">
        <v>74</v>
      </c>
      <c r="E54" s="46" t="e">
        <f>VLOOKUP(Tabela2[[#This Row],[TAG]],MICRO!J:L,3,0)</f>
        <v>#N/A</v>
      </c>
      <c r="F54" s="44" t="s">
        <v>31</v>
      </c>
      <c r="G54" s="58">
        <f>SUMIF(MICRO!AP:AP,O:O,MICRO!H:H)</f>
        <v>0</v>
      </c>
      <c r="H54" s="1">
        <f>SUMIF(MICRO!AP:AP,O:O,MICRO!R:R)</f>
        <v>0</v>
      </c>
      <c r="I54" s="1">
        <f>SUMIF(MICRO!AP:AP,O:O,MICRO!T:T)</f>
        <v>0</v>
      </c>
      <c r="J54" s="59">
        <f t="shared" si="0"/>
        <v>0</v>
      </c>
      <c r="K54" s="1">
        <f>SUMIF(MICRO!AP:AP,O:O,MICRO!X:X)</f>
        <v>0</v>
      </c>
      <c r="L54" s="59" t="str">
        <f t="shared" si="1"/>
        <v>0%</v>
      </c>
      <c r="M54" s="1">
        <f t="shared" si="2"/>
        <v>0</v>
      </c>
      <c r="N54" s="56" t="e">
        <f t="shared" si="3"/>
        <v>#N/A</v>
      </c>
      <c r="O54" s="56" t="e">
        <f t="shared" si="4"/>
        <v>#N/A</v>
      </c>
      <c r="P54" s="2">
        <f>SUMIF(MICRO!AP:AP,O54,MICRO!AS:AS)</f>
        <v>0</v>
      </c>
      <c r="Q54" s="2">
        <f>SUMIF(MICRO!AP:AP,O54,MICRO!AT:AT)</f>
        <v>0</v>
      </c>
      <c r="R54" s="2">
        <f>SUMIF(MICRO!AP:AP,O:O,MICRO!AU:AU)</f>
        <v>0</v>
      </c>
    </row>
    <row r="55" spans="3:18" s="2" customFormat="1" ht="18.75" thickBot="1" x14ac:dyDescent="0.3">
      <c r="C55" s="45"/>
      <c r="D55" s="61" t="s">
        <v>75</v>
      </c>
      <c r="E55" s="46" t="e">
        <f>VLOOKUP(Tabela2[[#This Row],[TAG]],MICRO!J:L,3,0)</f>
        <v>#N/A</v>
      </c>
      <c r="F55" s="44" t="s">
        <v>31</v>
      </c>
      <c r="G55" s="58">
        <f>SUMIF(MICRO!AP:AP,O:O,MICRO!H:H)</f>
        <v>0</v>
      </c>
      <c r="H55" s="1">
        <f>SUMIF(MICRO!AP:AP,O:O,MICRO!R:R)</f>
        <v>0</v>
      </c>
      <c r="I55" s="1">
        <f>SUMIF(MICRO!AP:AP,O:O,MICRO!T:T)</f>
        <v>0</v>
      </c>
      <c r="J55" s="59">
        <f t="shared" si="0"/>
        <v>0</v>
      </c>
      <c r="K55" s="1">
        <f>SUMIF(MICRO!AP:AP,O:O,MICRO!X:X)</f>
        <v>0</v>
      </c>
      <c r="L55" s="59" t="str">
        <f t="shared" si="1"/>
        <v>0%</v>
      </c>
      <c r="M55" s="1">
        <f t="shared" si="2"/>
        <v>0</v>
      </c>
      <c r="N55" s="56" t="e">
        <f t="shared" si="3"/>
        <v>#N/A</v>
      </c>
      <c r="O55" s="56" t="e">
        <f t="shared" si="4"/>
        <v>#N/A</v>
      </c>
      <c r="P55" s="2">
        <f>SUMIF(MICRO!AP:AP,O55,MICRO!AS:AS)</f>
        <v>0</v>
      </c>
      <c r="Q55" s="2">
        <f>SUMIF(MICRO!AP:AP,O55,MICRO!AT:AT)</f>
        <v>0</v>
      </c>
      <c r="R55" s="2">
        <f>SUMIF(MICRO!AP:AP,O:O,MICRO!AU:AU)</f>
        <v>0</v>
      </c>
    </row>
    <row r="56" spans="3:18" s="2" customFormat="1" ht="18.75" thickBot="1" x14ac:dyDescent="0.3">
      <c r="C56" s="45"/>
      <c r="D56" s="61" t="s">
        <v>75</v>
      </c>
      <c r="E56" s="46" t="e">
        <f>VLOOKUP(Tabela2[[#This Row],[TAG]],MICRO!J:L,3,0)</f>
        <v>#N/A</v>
      </c>
      <c r="F56" s="44" t="s">
        <v>32</v>
      </c>
      <c r="G56" s="58">
        <f>SUMIF(MICRO!AP:AP,O:O,MICRO!H:H)</f>
        <v>0</v>
      </c>
      <c r="H56" s="1">
        <f>SUMIF(MICRO!AP:AP,O:O,MICRO!R:R)</f>
        <v>0</v>
      </c>
      <c r="I56" s="1">
        <f>SUMIF(MICRO!AP:AP,O:O,MICRO!T:T)</f>
        <v>0</v>
      </c>
      <c r="J56" s="59">
        <f t="shared" si="0"/>
        <v>0</v>
      </c>
      <c r="K56" s="1">
        <f>SUMIF(MICRO!AP:AP,O:O,MICRO!X:X)</f>
        <v>0</v>
      </c>
      <c r="L56" s="59" t="str">
        <f t="shared" si="1"/>
        <v>0%</v>
      </c>
      <c r="M56" s="1">
        <f t="shared" si="2"/>
        <v>0</v>
      </c>
      <c r="N56" s="56" t="e">
        <f t="shared" si="3"/>
        <v>#N/A</v>
      </c>
      <c r="O56" s="56" t="e">
        <f t="shared" si="4"/>
        <v>#N/A</v>
      </c>
      <c r="P56" s="2">
        <f>SUMIF(MICRO!AP:AP,O56,MICRO!AS:AS)</f>
        <v>0</v>
      </c>
      <c r="Q56" s="2">
        <f>SUMIF(MICRO!AP:AP,O56,MICRO!AT:AT)</f>
        <v>0</v>
      </c>
      <c r="R56" s="2">
        <f>SUMIF(MICRO!AP:AP,O:O,MICRO!AU:AU)</f>
        <v>0</v>
      </c>
    </row>
    <row r="57" spans="3:18" s="2" customFormat="1" ht="18.75" thickBot="1" x14ac:dyDescent="0.3">
      <c r="C57" s="45"/>
      <c r="D57" s="61" t="s">
        <v>85</v>
      </c>
      <c r="E57" s="46" t="e">
        <f>VLOOKUP(Tabela2[[#This Row],[TAG]],MICRO!J:L,3,0)</f>
        <v>#N/A</v>
      </c>
      <c r="F57" s="44" t="s">
        <v>23</v>
      </c>
      <c r="G57" s="58">
        <f>SUMIF(MICRO!AP:AP,O:O,MICRO!H:H)</f>
        <v>0</v>
      </c>
      <c r="H57" s="1">
        <f>SUMIF(MICRO!AP:AP,O:O,MICRO!R:R)</f>
        <v>0</v>
      </c>
      <c r="I57" s="1">
        <f>SUMIF(MICRO!AP:AP,O:O,MICRO!T:T)</f>
        <v>0</v>
      </c>
      <c r="J57" s="59">
        <f t="shared" si="0"/>
        <v>0</v>
      </c>
      <c r="K57" s="1">
        <f>SUMIF(MICRO!AP:AP,O:O,MICRO!X:X)</f>
        <v>0</v>
      </c>
      <c r="L57" s="59" t="str">
        <f t="shared" si="1"/>
        <v>0%</v>
      </c>
      <c r="M57" s="1">
        <f t="shared" si="2"/>
        <v>0</v>
      </c>
      <c r="N57" s="56" t="e">
        <f t="shared" si="3"/>
        <v>#N/A</v>
      </c>
      <c r="O57" s="56" t="e">
        <f t="shared" si="4"/>
        <v>#N/A</v>
      </c>
      <c r="P57" s="2">
        <f>SUMIF(MICRO!AP:AP,O57,MICRO!AS:AS)</f>
        <v>0</v>
      </c>
      <c r="Q57" s="2">
        <f>SUMIF(MICRO!AP:AP,O57,MICRO!AT:AT)</f>
        <v>0</v>
      </c>
      <c r="R57" s="2">
        <f>SUMIF(MICRO!AP:AP,O:O,MICRO!AU:AU)</f>
        <v>0</v>
      </c>
    </row>
    <row r="58" spans="3:18" s="2" customFormat="1" ht="18.75" thickBot="1" x14ac:dyDescent="0.3">
      <c r="C58" s="45"/>
      <c r="D58" s="61" t="s">
        <v>85</v>
      </c>
      <c r="E58" s="46" t="e">
        <f>VLOOKUP(Tabela2[[#This Row],[TAG]],MICRO!J:L,3,0)</f>
        <v>#N/A</v>
      </c>
      <c r="F58" s="44" t="s">
        <v>33</v>
      </c>
      <c r="G58" s="58">
        <f>SUMIF(MICRO!AP:AP,O:O,MICRO!H:H)</f>
        <v>0</v>
      </c>
      <c r="H58" s="1">
        <f>SUMIF(MICRO!AP:AP,O:O,MICRO!R:R)</f>
        <v>0</v>
      </c>
      <c r="I58" s="1">
        <f>SUMIF(MICRO!AP:AP,O:O,MICRO!T:T)</f>
        <v>0</v>
      </c>
      <c r="J58" s="59">
        <f t="shared" si="0"/>
        <v>0</v>
      </c>
      <c r="K58" s="1">
        <f>SUMIF(MICRO!AP:AP,O:O,MICRO!X:X)</f>
        <v>0</v>
      </c>
      <c r="L58" s="59" t="str">
        <f t="shared" si="1"/>
        <v>0%</v>
      </c>
      <c r="M58" s="1">
        <f t="shared" si="2"/>
        <v>0</v>
      </c>
      <c r="N58" s="56" t="e">
        <f t="shared" si="3"/>
        <v>#N/A</v>
      </c>
      <c r="O58" s="56" t="e">
        <f t="shared" si="4"/>
        <v>#N/A</v>
      </c>
      <c r="P58" s="2">
        <f>SUMIF(MICRO!AP:AP,O58,MICRO!AS:AS)</f>
        <v>0</v>
      </c>
      <c r="Q58" s="2">
        <f>SUMIF(MICRO!AP:AP,O58,MICRO!AT:AT)</f>
        <v>0</v>
      </c>
      <c r="R58" s="2">
        <f>SUMIF(MICRO!AP:AP,O:O,MICRO!AU:AU)</f>
        <v>0</v>
      </c>
    </row>
    <row r="59" spans="3:18" s="2" customFormat="1" ht="18.75" thickBot="1" x14ac:dyDescent="0.3">
      <c r="C59" s="45"/>
      <c r="D59" s="61" t="s">
        <v>98</v>
      </c>
      <c r="E59" s="46" t="e">
        <f>VLOOKUP(Tabela2[[#This Row],[TAG]],MICRO!J:L,3,0)</f>
        <v>#N/A</v>
      </c>
      <c r="F59" s="44" t="s">
        <v>23</v>
      </c>
      <c r="G59" s="58">
        <f>SUMIF(MICRO!AP:AP,O:O,MICRO!H:H)</f>
        <v>0</v>
      </c>
      <c r="H59" s="1">
        <f>SUMIF(MICRO!AP:AP,O:O,MICRO!R:R)</f>
        <v>0</v>
      </c>
      <c r="I59" s="1">
        <f>SUMIF(MICRO!AP:AP,O:O,MICRO!T:T)</f>
        <v>0</v>
      </c>
      <c r="J59" s="59">
        <f t="shared" si="0"/>
        <v>0</v>
      </c>
      <c r="K59" s="1">
        <f>SUMIF(MICRO!AP:AP,O:O,MICRO!X:X)</f>
        <v>0</v>
      </c>
      <c r="L59" s="59" t="str">
        <f t="shared" si="1"/>
        <v>0%</v>
      </c>
      <c r="M59" s="1">
        <f t="shared" si="2"/>
        <v>0</v>
      </c>
      <c r="N59" s="56" t="e">
        <f t="shared" si="3"/>
        <v>#N/A</v>
      </c>
      <c r="O59" s="56" t="e">
        <f t="shared" si="4"/>
        <v>#N/A</v>
      </c>
      <c r="P59" s="2">
        <f>SUMIF(MICRO!AP:AP,O59,MICRO!AS:AS)</f>
        <v>0</v>
      </c>
      <c r="Q59" s="2">
        <f>SUMIF(MICRO!AP:AP,O59,MICRO!AT:AT)</f>
        <v>0</v>
      </c>
      <c r="R59" s="2">
        <f>SUMIF(MICRO!AP:AP,O:O,MICRO!AU:AU)</f>
        <v>0</v>
      </c>
    </row>
    <row r="60" spans="3:18" s="2" customFormat="1" ht="18.75" thickBot="1" x14ac:dyDescent="0.3">
      <c r="C60" s="45"/>
      <c r="D60" s="61" t="s">
        <v>99</v>
      </c>
      <c r="E60" s="46" t="e">
        <f>VLOOKUP(Tabela2[[#This Row],[TAG]],MICRO!J:L,3,0)</f>
        <v>#N/A</v>
      </c>
      <c r="F60" s="44" t="s">
        <v>23</v>
      </c>
      <c r="G60" s="58">
        <f>SUMIF(MICRO!AP:AP,O:O,MICRO!H:H)</f>
        <v>0</v>
      </c>
      <c r="H60" s="1">
        <f>SUMIF(MICRO!AP:AP,O:O,MICRO!R:R)</f>
        <v>0</v>
      </c>
      <c r="I60" s="1">
        <f>SUMIF(MICRO!AP:AP,O:O,MICRO!T:T)</f>
        <v>0</v>
      </c>
      <c r="J60" s="59">
        <f t="shared" si="0"/>
        <v>0</v>
      </c>
      <c r="K60" s="1">
        <f>SUMIF(MICRO!AP:AP,O:O,MICRO!X:X)</f>
        <v>0</v>
      </c>
      <c r="L60" s="59" t="str">
        <f t="shared" si="1"/>
        <v>0%</v>
      </c>
      <c r="M60" s="1">
        <f t="shared" si="2"/>
        <v>0</v>
      </c>
      <c r="N60" s="56" t="e">
        <f t="shared" si="3"/>
        <v>#N/A</v>
      </c>
      <c r="O60" s="56" t="e">
        <f t="shared" si="4"/>
        <v>#N/A</v>
      </c>
      <c r="P60" s="2">
        <f>SUMIF(MICRO!AP:AP,O60,MICRO!AS:AS)</f>
        <v>0</v>
      </c>
      <c r="Q60" s="2">
        <f>SUMIF(MICRO!AP:AP,O60,MICRO!AT:AT)</f>
        <v>0</v>
      </c>
      <c r="R60" s="2">
        <f>SUMIF(MICRO!AP:AP,O:O,MICRO!AU:AU)</f>
        <v>0</v>
      </c>
    </row>
    <row r="61" spans="3:18" s="2" customFormat="1" ht="18.75" thickBot="1" x14ac:dyDescent="0.3">
      <c r="C61" s="45"/>
      <c r="D61" s="61" t="s">
        <v>86</v>
      </c>
      <c r="E61" s="46" t="e">
        <f>VLOOKUP(Tabela2[[#This Row],[TAG]],MICRO!J:L,3,0)</f>
        <v>#N/A</v>
      </c>
      <c r="F61" s="44" t="s">
        <v>23</v>
      </c>
      <c r="G61" s="58">
        <f>SUMIF(MICRO!AP:AP,O:O,MICRO!H:H)</f>
        <v>0</v>
      </c>
      <c r="H61" s="1">
        <f>SUMIF(MICRO!AP:AP,O:O,MICRO!R:R)</f>
        <v>0</v>
      </c>
      <c r="I61" s="1">
        <f>SUMIF(MICRO!AP:AP,O:O,MICRO!T:T)</f>
        <v>0</v>
      </c>
      <c r="J61" s="59">
        <f t="shared" si="0"/>
        <v>0</v>
      </c>
      <c r="K61" s="1">
        <f>SUMIF(MICRO!AP:AP,O:O,MICRO!X:X)</f>
        <v>0</v>
      </c>
      <c r="L61" s="59" t="str">
        <f t="shared" si="1"/>
        <v>0%</v>
      </c>
      <c r="M61" s="1">
        <f t="shared" si="2"/>
        <v>0</v>
      </c>
      <c r="N61" s="56" t="e">
        <f t="shared" si="3"/>
        <v>#N/A</v>
      </c>
      <c r="O61" s="56" t="e">
        <f t="shared" si="4"/>
        <v>#N/A</v>
      </c>
      <c r="P61" s="2">
        <f>SUMIF(MICRO!AP:AP,O61,MICRO!AS:AS)</f>
        <v>0</v>
      </c>
      <c r="Q61" s="2">
        <f>SUMIF(MICRO!AP:AP,O61,MICRO!AT:AT)</f>
        <v>0</v>
      </c>
      <c r="R61" s="2">
        <f>SUMIF(MICRO!AP:AP,O:O,MICRO!AU:AU)</f>
        <v>0</v>
      </c>
    </row>
    <row r="62" spans="3:18" s="2" customFormat="1" ht="18.75" thickBot="1" x14ac:dyDescent="0.3">
      <c r="C62" s="45"/>
      <c r="D62" s="61" t="s">
        <v>87</v>
      </c>
      <c r="E62" s="46" t="e">
        <f>VLOOKUP(Tabela2[[#This Row],[TAG]],MICRO!J:L,3,0)</f>
        <v>#N/A</v>
      </c>
      <c r="F62" s="44" t="s">
        <v>23</v>
      </c>
      <c r="G62" s="58">
        <f>SUMIF(MICRO!AP:AP,O:O,MICRO!H:H)</f>
        <v>0</v>
      </c>
      <c r="H62" s="1">
        <f>SUMIF(MICRO!AP:AP,O:O,MICRO!R:R)</f>
        <v>0</v>
      </c>
      <c r="I62" s="1">
        <f>SUMIF(MICRO!AP:AP,O:O,MICRO!T:T)</f>
        <v>0</v>
      </c>
      <c r="J62" s="59">
        <f t="shared" si="0"/>
        <v>0</v>
      </c>
      <c r="K62" s="1">
        <f>SUMIF(MICRO!AP:AP,O:O,MICRO!X:X)</f>
        <v>0</v>
      </c>
      <c r="L62" s="59" t="str">
        <f t="shared" si="1"/>
        <v>0%</v>
      </c>
      <c r="M62" s="1">
        <f t="shared" si="2"/>
        <v>0</v>
      </c>
      <c r="N62" s="56" t="e">
        <f t="shared" si="3"/>
        <v>#N/A</v>
      </c>
      <c r="O62" s="56" t="e">
        <f t="shared" si="4"/>
        <v>#N/A</v>
      </c>
      <c r="P62" s="2">
        <f>SUMIF(MICRO!AP:AP,O62,MICRO!AS:AS)</f>
        <v>0</v>
      </c>
      <c r="Q62" s="2">
        <f>SUMIF(MICRO!AP:AP,O62,MICRO!AT:AT)</f>
        <v>0</v>
      </c>
      <c r="R62" s="2">
        <f>SUMIF(MICRO!AP:AP,O:O,MICRO!AU:AU)</f>
        <v>0</v>
      </c>
    </row>
    <row r="63" spans="3:18" s="2" customFormat="1" ht="18.75" thickBot="1" x14ac:dyDescent="0.3">
      <c r="C63" s="45"/>
      <c r="D63" s="61" t="s">
        <v>88</v>
      </c>
      <c r="E63" s="46" t="e">
        <f>VLOOKUP(Tabela2[[#This Row],[TAG]],MICRO!J:L,3,0)</f>
        <v>#N/A</v>
      </c>
      <c r="F63" s="44" t="s">
        <v>23</v>
      </c>
      <c r="G63" s="58">
        <f>SUMIF(MICRO!AP:AP,O:O,MICRO!H:H)</f>
        <v>0</v>
      </c>
      <c r="H63" s="1">
        <f>SUMIF(MICRO!AP:AP,O:O,MICRO!R:R)</f>
        <v>0</v>
      </c>
      <c r="I63" s="1">
        <f>SUMIF(MICRO!AP:AP,O:O,MICRO!T:T)</f>
        <v>0</v>
      </c>
      <c r="J63" s="59">
        <f t="shared" si="0"/>
        <v>0</v>
      </c>
      <c r="K63" s="1">
        <f>SUMIF(MICRO!AP:AP,O:O,MICRO!X:X)</f>
        <v>0</v>
      </c>
      <c r="L63" s="59" t="str">
        <f t="shared" si="1"/>
        <v>0%</v>
      </c>
      <c r="M63" s="1">
        <f t="shared" si="2"/>
        <v>0</v>
      </c>
      <c r="N63" s="56" t="e">
        <f t="shared" si="3"/>
        <v>#N/A</v>
      </c>
      <c r="O63" s="56" t="e">
        <f t="shared" si="4"/>
        <v>#N/A</v>
      </c>
      <c r="P63" s="2">
        <f>SUMIF(MICRO!AP:AP,O63,MICRO!AS:AS)</f>
        <v>0</v>
      </c>
      <c r="Q63" s="2">
        <f>SUMIF(MICRO!AP:AP,O63,MICRO!AT:AT)</f>
        <v>0</v>
      </c>
      <c r="R63" s="2">
        <f>SUMIF(MICRO!AP:AP,O:O,MICRO!AU:AU)</f>
        <v>0</v>
      </c>
    </row>
    <row r="64" spans="3:18" s="2" customFormat="1" ht="18.75" thickBot="1" x14ac:dyDescent="0.3">
      <c r="C64" s="45"/>
      <c r="D64" s="61" t="s">
        <v>89</v>
      </c>
      <c r="E64" s="46" t="e">
        <f>VLOOKUP(Tabela2[[#This Row],[TAG]],MICRO!J:L,3,0)</f>
        <v>#N/A</v>
      </c>
      <c r="F64" s="44" t="s">
        <v>23</v>
      </c>
      <c r="G64" s="58">
        <f>SUMIF(MICRO!AP:AP,O:O,MICRO!H:H)</f>
        <v>0</v>
      </c>
      <c r="H64" s="1">
        <f>SUMIF(MICRO!AP:AP,O:O,MICRO!R:R)</f>
        <v>0</v>
      </c>
      <c r="I64" s="1">
        <f>SUMIF(MICRO!AP:AP,O:O,MICRO!T:T)</f>
        <v>0</v>
      </c>
      <c r="J64" s="59">
        <f t="shared" si="0"/>
        <v>0</v>
      </c>
      <c r="K64" s="1">
        <f>SUMIF(MICRO!AP:AP,O:O,MICRO!X:X)</f>
        <v>0</v>
      </c>
      <c r="L64" s="59" t="str">
        <f t="shared" si="1"/>
        <v>0%</v>
      </c>
      <c r="M64" s="1">
        <f t="shared" si="2"/>
        <v>0</v>
      </c>
      <c r="N64" s="56" t="e">
        <f t="shared" si="3"/>
        <v>#N/A</v>
      </c>
      <c r="O64" s="56" t="e">
        <f t="shared" si="4"/>
        <v>#N/A</v>
      </c>
      <c r="P64" s="2">
        <f>SUMIF(MICRO!AP:AP,O64,MICRO!AS:AS)</f>
        <v>0</v>
      </c>
      <c r="Q64" s="2">
        <f>SUMIF(MICRO!AP:AP,O64,MICRO!AT:AT)</f>
        <v>0</v>
      </c>
      <c r="R64" s="2">
        <f>SUMIF(MICRO!AP:AP,O:O,MICRO!AU:AU)</f>
        <v>0</v>
      </c>
    </row>
    <row r="65" spans="3:18" s="2" customFormat="1" ht="18.75" thickBot="1" x14ac:dyDescent="0.3">
      <c r="C65" s="45"/>
      <c r="D65" s="61" t="s">
        <v>90</v>
      </c>
      <c r="E65" s="46" t="e">
        <f>VLOOKUP(Tabela2[[#This Row],[TAG]],MICRO!J:L,3,0)</f>
        <v>#N/A</v>
      </c>
      <c r="F65" s="44" t="s">
        <v>23</v>
      </c>
      <c r="G65" s="58">
        <f>SUMIF(MICRO!AP:AP,O:O,MICRO!H:H)</f>
        <v>0</v>
      </c>
      <c r="H65" s="1">
        <f>SUMIF(MICRO!AP:AP,O:O,MICRO!R:R)</f>
        <v>0</v>
      </c>
      <c r="I65" s="1">
        <f>SUMIF(MICRO!AP:AP,O:O,MICRO!T:T)</f>
        <v>0</v>
      </c>
      <c r="J65" s="59">
        <f t="shared" si="0"/>
        <v>0</v>
      </c>
      <c r="K65" s="1">
        <f>SUMIF(MICRO!AP:AP,O:O,MICRO!X:X)</f>
        <v>0</v>
      </c>
      <c r="L65" s="59" t="str">
        <f t="shared" si="1"/>
        <v>0%</v>
      </c>
      <c r="M65" s="1">
        <f t="shared" si="2"/>
        <v>0</v>
      </c>
      <c r="N65" s="56" t="e">
        <f t="shared" si="3"/>
        <v>#N/A</v>
      </c>
      <c r="O65" s="56" t="e">
        <f t="shared" si="4"/>
        <v>#N/A</v>
      </c>
      <c r="P65" s="2">
        <f>SUMIF(MICRO!AP:AP,O65,MICRO!AS:AS)</f>
        <v>0</v>
      </c>
      <c r="Q65" s="2">
        <f>SUMIF(MICRO!AP:AP,O65,MICRO!AT:AT)</f>
        <v>0</v>
      </c>
      <c r="R65" s="2">
        <f>SUMIF(MICRO!AP:AP,O:O,MICRO!AU:AU)</f>
        <v>0</v>
      </c>
    </row>
    <row r="66" spans="3:18" s="2" customFormat="1" ht="18.75" thickBot="1" x14ac:dyDescent="0.3">
      <c r="C66" s="45"/>
      <c r="D66" s="61" t="s">
        <v>91</v>
      </c>
      <c r="E66" s="46" t="e">
        <f>VLOOKUP(Tabela2[[#This Row],[TAG]],MICRO!J:L,3,0)</f>
        <v>#N/A</v>
      </c>
      <c r="F66" s="44" t="s">
        <v>23</v>
      </c>
      <c r="G66" s="58">
        <f>SUMIF(MICRO!AP:AP,O:O,MICRO!H:H)</f>
        <v>0</v>
      </c>
      <c r="H66" s="1">
        <f>SUMIF(MICRO!AP:AP,O:O,MICRO!R:R)</f>
        <v>0</v>
      </c>
      <c r="I66" s="1">
        <f>SUMIF(MICRO!AP:AP,O:O,MICRO!T:T)</f>
        <v>0</v>
      </c>
      <c r="J66" s="59">
        <f t="shared" si="0"/>
        <v>0</v>
      </c>
      <c r="K66" s="1">
        <f>SUMIF(MICRO!AP:AP,O:O,MICRO!X:X)</f>
        <v>0</v>
      </c>
      <c r="L66" s="59" t="str">
        <f t="shared" si="1"/>
        <v>0%</v>
      </c>
      <c r="M66" s="1">
        <f t="shared" si="2"/>
        <v>0</v>
      </c>
      <c r="N66" s="56" t="e">
        <f t="shared" si="3"/>
        <v>#N/A</v>
      </c>
      <c r="O66" s="56" t="e">
        <f t="shared" si="4"/>
        <v>#N/A</v>
      </c>
      <c r="P66" s="2">
        <f>SUMIF(MICRO!AP:AP,O66,MICRO!AS:AS)</f>
        <v>0</v>
      </c>
      <c r="Q66" s="2">
        <f>SUMIF(MICRO!AP:AP,O66,MICRO!AT:AT)</f>
        <v>0</v>
      </c>
      <c r="R66" s="2">
        <f>SUMIF(MICRO!AP:AP,O:O,MICRO!AU:AU)</f>
        <v>0</v>
      </c>
    </row>
    <row r="67" spans="3:18" s="2" customFormat="1" ht="18.75" thickBot="1" x14ac:dyDescent="0.3">
      <c r="C67" s="45"/>
      <c r="D67" s="61" t="s">
        <v>92</v>
      </c>
      <c r="E67" s="46" t="e">
        <f>VLOOKUP(Tabela2[[#This Row],[TAG]],MICRO!J:L,3,0)</f>
        <v>#N/A</v>
      </c>
      <c r="F67" s="44" t="s">
        <v>23</v>
      </c>
      <c r="G67" s="58">
        <f>SUMIF(MICRO!AP:AP,O:O,MICRO!H:H)</f>
        <v>0</v>
      </c>
      <c r="H67" s="1">
        <f>SUMIF(MICRO!AP:AP,O:O,MICRO!R:R)</f>
        <v>0</v>
      </c>
      <c r="I67" s="1">
        <f>SUMIF(MICRO!AP:AP,O:O,MICRO!T:T)</f>
        <v>0</v>
      </c>
      <c r="J67" s="59">
        <f t="shared" si="0"/>
        <v>0</v>
      </c>
      <c r="K67" s="1">
        <f>SUMIF(MICRO!AP:AP,O:O,MICRO!X:X)</f>
        <v>0</v>
      </c>
      <c r="L67" s="59" t="str">
        <f t="shared" si="1"/>
        <v>0%</v>
      </c>
      <c r="M67" s="1">
        <f t="shared" si="2"/>
        <v>0</v>
      </c>
      <c r="N67" s="56" t="e">
        <f t="shared" si="3"/>
        <v>#N/A</v>
      </c>
      <c r="O67" s="56" t="e">
        <f t="shared" si="4"/>
        <v>#N/A</v>
      </c>
      <c r="P67" s="2">
        <f>SUMIF(MICRO!AP:AP,O67,MICRO!AS:AS)</f>
        <v>0</v>
      </c>
      <c r="Q67" s="2">
        <f>SUMIF(MICRO!AP:AP,O67,MICRO!AT:AT)</f>
        <v>0</v>
      </c>
      <c r="R67" s="2">
        <f>SUMIF(MICRO!AP:AP,O:O,MICRO!AU:AU)</f>
        <v>0</v>
      </c>
    </row>
    <row r="68" spans="3:18" s="2" customFormat="1" ht="18.75" thickBot="1" x14ac:dyDescent="0.3">
      <c r="C68" s="45"/>
      <c r="D68" s="61" t="s">
        <v>93</v>
      </c>
      <c r="E68" s="46" t="e">
        <f>VLOOKUP(Tabela2[[#This Row],[TAG]],MICRO!J:L,3,0)</f>
        <v>#N/A</v>
      </c>
      <c r="F68" s="44" t="s">
        <v>23</v>
      </c>
      <c r="G68" s="58">
        <f>SUMIF(MICRO!AP:AP,O:O,MICRO!H:H)</f>
        <v>0</v>
      </c>
      <c r="H68" s="1">
        <f>SUMIF(MICRO!AP:AP,O:O,MICRO!R:R)</f>
        <v>0</v>
      </c>
      <c r="I68" s="1">
        <f>SUMIF(MICRO!AP:AP,O:O,MICRO!T:T)</f>
        <v>0</v>
      </c>
      <c r="J68" s="59">
        <f t="shared" si="0"/>
        <v>0</v>
      </c>
      <c r="K68" s="1">
        <f>SUMIF(MICRO!AP:AP,O:O,MICRO!X:X)</f>
        <v>0</v>
      </c>
      <c r="L68" s="59" t="str">
        <f t="shared" si="1"/>
        <v>0%</v>
      </c>
      <c r="M68" s="1">
        <f t="shared" si="2"/>
        <v>0</v>
      </c>
      <c r="N68" s="56" t="e">
        <f t="shared" si="3"/>
        <v>#N/A</v>
      </c>
      <c r="O68" s="56" t="e">
        <f t="shared" si="4"/>
        <v>#N/A</v>
      </c>
      <c r="P68" s="2">
        <f>SUMIF(MICRO!AP:AP,O68,MICRO!AS:AS)</f>
        <v>0</v>
      </c>
      <c r="Q68" s="2">
        <f>SUMIF(MICRO!AP:AP,O68,MICRO!AT:AT)</f>
        <v>0</v>
      </c>
      <c r="R68" s="2">
        <f>SUMIF(MICRO!AP:AP,O:O,MICRO!AU:AU)</f>
        <v>0</v>
      </c>
    </row>
    <row r="69" spans="3:18" s="2" customFormat="1" ht="18.75" thickBot="1" x14ac:dyDescent="0.3">
      <c r="C69" s="45"/>
      <c r="D69" s="61" t="s">
        <v>94</v>
      </c>
      <c r="E69" s="46" t="e">
        <f>VLOOKUP(Tabela2[[#This Row],[TAG]],MICRO!J:L,3,0)</f>
        <v>#N/A</v>
      </c>
      <c r="F69" s="44" t="s">
        <v>33</v>
      </c>
      <c r="G69" s="58">
        <f>SUMIF(MICRO!AP:AP,O:O,MICRO!H:H)</f>
        <v>0</v>
      </c>
      <c r="H69" s="1">
        <f>SUMIF(MICRO!AP:AP,O:O,MICRO!R:R)</f>
        <v>0</v>
      </c>
      <c r="I69" s="1">
        <f>SUMIF(MICRO!AP:AP,O:O,MICRO!T:T)</f>
        <v>0</v>
      </c>
      <c r="J69" s="59">
        <f t="shared" ref="J69:J132" si="5">IF(G69 = 0,0,H69/G69)</f>
        <v>0</v>
      </c>
      <c r="K69" s="1">
        <f>SUMIF(MICRO!AP:AP,O:O,MICRO!X:X)</f>
        <v>0</v>
      </c>
      <c r="L69" s="59" t="str">
        <f t="shared" ref="L69:L132" si="6">IF(G69&lt;&gt;0,SUM(K69/G69*1),"0%")</f>
        <v>0%</v>
      </c>
      <c r="M69" s="1">
        <f t="shared" ref="M69:M132" si="7">G69-K69</f>
        <v>0</v>
      </c>
      <c r="N69" s="56" t="e">
        <f t="shared" ref="N69:N132" si="8">E69&amp;F69</f>
        <v>#N/A</v>
      </c>
      <c r="O69" s="56" t="e">
        <f t="shared" ref="O69:O132" si="9">D69&amp;E69&amp;F69</f>
        <v>#N/A</v>
      </c>
      <c r="P69" s="2">
        <f>SUMIF(MICRO!AP:AP,O69,MICRO!AS:AS)</f>
        <v>0</v>
      </c>
      <c r="Q69" s="2">
        <f>SUMIF(MICRO!AP:AP,O69,MICRO!AT:AT)</f>
        <v>0</v>
      </c>
      <c r="R69" s="2">
        <f>SUMIF(MICRO!AP:AP,O:O,MICRO!AU:AU)</f>
        <v>0</v>
      </c>
    </row>
    <row r="70" spans="3:18" s="2" customFormat="1" ht="18.75" thickBot="1" x14ac:dyDescent="0.3">
      <c r="C70" s="45"/>
      <c r="D70" s="61" t="s">
        <v>95</v>
      </c>
      <c r="E70" s="46" t="e">
        <f>VLOOKUP(Tabela2[[#This Row],[TAG]],MICRO!J:L,3,0)</f>
        <v>#N/A</v>
      </c>
      <c r="F70" s="44" t="s">
        <v>23</v>
      </c>
      <c r="G70" s="58">
        <f>SUMIF(MICRO!AP:AP,O:O,MICRO!H:H)</f>
        <v>0</v>
      </c>
      <c r="H70" s="1">
        <f>SUMIF(MICRO!AP:AP,O:O,MICRO!R:R)</f>
        <v>0</v>
      </c>
      <c r="I70" s="1">
        <f>SUMIF(MICRO!AP:AP,O:O,MICRO!T:T)</f>
        <v>0</v>
      </c>
      <c r="J70" s="59">
        <f t="shared" si="5"/>
        <v>0</v>
      </c>
      <c r="K70" s="1">
        <f>SUMIF(MICRO!AP:AP,O:O,MICRO!X:X)</f>
        <v>0</v>
      </c>
      <c r="L70" s="59" t="str">
        <f t="shared" si="6"/>
        <v>0%</v>
      </c>
      <c r="M70" s="1">
        <f t="shared" si="7"/>
        <v>0</v>
      </c>
      <c r="N70" s="56" t="e">
        <f t="shared" si="8"/>
        <v>#N/A</v>
      </c>
      <c r="O70" s="56" t="e">
        <f t="shared" si="9"/>
        <v>#N/A</v>
      </c>
      <c r="P70" s="2">
        <f>SUMIF(MICRO!AP:AP,O70,MICRO!AS:AS)</f>
        <v>0</v>
      </c>
      <c r="Q70" s="2">
        <f>SUMIF(MICRO!AP:AP,O70,MICRO!AT:AT)</f>
        <v>0</v>
      </c>
      <c r="R70" s="2">
        <f>SUMIF(MICRO!AP:AP,O:O,MICRO!AU:AU)</f>
        <v>0</v>
      </c>
    </row>
    <row r="71" spans="3:18" s="2" customFormat="1" ht="18.75" thickBot="1" x14ac:dyDescent="0.3">
      <c r="C71" s="45"/>
      <c r="D71" s="61" t="s">
        <v>96</v>
      </c>
      <c r="E71" s="46" t="e">
        <f>VLOOKUP(Tabela2[[#This Row],[TAG]],MICRO!J:L,3,0)</f>
        <v>#N/A</v>
      </c>
      <c r="F71" s="44" t="s">
        <v>23</v>
      </c>
      <c r="G71" s="58">
        <f>SUMIF(MICRO!AP:AP,O:O,MICRO!H:H)</f>
        <v>0</v>
      </c>
      <c r="H71" s="1">
        <f>SUMIF(MICRO!AP:AP,O:O,MICRO!R:R)</f>
        <v>0</v>
      </c>
      <c r="I71" s="1">
        <f>SUMIF(MICRO!AP:AP,O:O,MICRO!T:T)</f>
        <v>0</v>
      </c>
      <c r="J71" s="59">
        <f t="shared" si="5"/>
        <v>0</v>
      </c>
      <c r="K71" s="1">
        <f>SUMIF(MICRO!AP:AP,O:O,MICRO!X:X)</f>
        <v>0</v>
      </c>
      <c r="L71" s="59" t="str">
        <f t="shared" si="6"/>
        <v>0%</v>
      </c>
      <c r="M71" s="1">
        <f t="shared" si="7"/>
        <v>0</v>
      </c>
      <c r="N71" s="56" t="e">
        <f t="shared" si="8"/>
        <v>#N/A</v>
      </c>
      <c r="O71" s="56" t="e">
        <f t="shared" si="9"/>
        <v>#N/A</v>
      </c>
      <c r="P71" s="2">
        <f>SUMIF(MICRO!AP:AP,O71,MICRO!AS:AS)</f>
        <v>0</v>
      </c>
      <c r="Q71" s="2">
        <f>SUMIF(MICRO!AP:AP,O71,MICRO!AT:AT)</f>
        <v>0</v>
      </c>
      <c r="R71" s="2">
        <f>SUMIF(MICRO!AP:AP,O:O,MICRO!AU:AU)</f>
        <v>0</v>
      </c>
    </row>
    <row r="72" spans="3:18" s="2" customFormat="1" ht="18.75" thickBot="1" x14ac:dyDescent="0.3">
      <c r="C72" s="45"/>
      <c r="D72" s="61" t="s">
        <v>97</v>
      </c>
      <c r="E72" s="46" t="e">
        <f>VLOOKUP(Tabela2[[#This Row],[TAG]],MICRO!J:L,3,0)</f>
        <v>#N/A</v>
      </c>
      <c r="F72" s="44" t="s">
        <v>33</v>
      </c>
      <c r="G72" s="58">
        <f>SUMIF(MICRO!AP:AP,O:O,MICRO!H:H)</f>
        <v>0</v>
      </c>
      <c r="H72" s="1">
        <f>SUMIF(MICRO!AP:AP,O:O,MICRO!R:R)</f>
        <v>0</v>
      </c>
      <c r="I72" s="1">
        <f>SUMIF(MICRO!AP:AP,O:O,MICRO!T:T)</f>
        <v>0</v>
      </c>
      <c r="J72" s="59">
        <f t="shared" si="5"/>
        <v>0</v>
      </c>
      <c r="K72" s="1">
        <f>SUMIF(MICRO!AP:AP,O:O,MICRO!X:X)</f>
        <v>0</v>
      </c>
      <c r="L72" s="59" t="str">
        <f t="shared" si="6"/>
        <v>0%</v>
      </c>
      <c r="M72" s="1">
        <f t="shared" si="7"/>
        <v>0</v>
      </c>
      <c r="N72" s="56" t="e">
        <f t="shared" si="8"/>
        <v>#N/A</v>
      </c>
      <c r="O72" s="56" t="e">
        <f t="shared" si="9"/>
        <v>#N/A</v>
      </c>
      <c r="P72" s="2">
        <f>SUMIF(MICRO!AP:AP,O72,MICRO!AS:AS)</f>
        <v>0</v>
      </c>
      <c r="Q72" s="2">
        <f>SUMIF(MICRO!AP:AP,O72,MICRO!AT:AT)</f>
        <v>0</v>
      </c>
      <c r="R72" s="2">
        <f>SUMIF(MICRO!AP:AP,O:O,MICRO!AU:AU)</f>
        <v>0</v>
      </c>
    </row>
    <row r="73" spans="3:18" s="2" customFormat="1" ht="18.75" thickBot="1" x14ac:dyDescent="0.3">
      <c r="C73" s="45"/>
      <c r="D73" s="61" t="s">
        <v>73</v>
      </c>
      <c r="E73" s="46" t="e">
        <f>VLOOKUP(Tabela2[[#This Row],[TAG]],MICRO!J:L,3,0)</f>
        <v>#N/A</v>
      </c>
      <c r="F73" s="44" t="s">
        <v>31</v>
      </c>
      <c r="G73" s="58">
        <f>SUMIF(MICRO!AP:AP,O:O,MICRO!H:H)</f>
        <v>0</v>
      </c>
      <c r="H73" s="1">
        <f>SUMIF(MICRO!AP:AP,O:O,MICRO!R:R)</f>
        <v>0</v>
      </c>
      <c r="I73" s="1">
        <f>SUMIF(MICRO!AP:AP,O:O,MICRO!T:T)</f>
        <v>0</v>
      </c>
      <c r="J73" s="59">
        <f t="shared" si="5"/>
        <v>0</v>
      </c>
      <c r="K73" s="1">
        <f>SUMIF(MICRO!AP:AP,O:O,MICRO!X:X)</f>
        <v>0</v>
      </c>
      <c r="L73" s="59" t="str">
        <f t="shared" si="6"/>
        <v>0%</v>
      </c>
      <c r="M73" s="1">
        <f t="shared" si="7"/>
        <v>0</v>
      </c>
      <c r="N73" s="56" t="e">
        <f t="shared" si="8"/>
        <v>#N/A</v>
      </c>
      <c r="O73" s="56" t="e">
        <f t="shared" si="9"/>
        <v>#N/A</v>
      </c>
      <c r="P73" s="2">
        <f>SUMIF(MICRO!AP:AP,O73,MICRO!AS:AS)</f>
        <v>0</v>
      </c>
      <c r="Q73" s="2">
        <f>SUMIF(MICRO!AP:AP,O73,MICRO!AT:AT)</f>
        <v>0</v>
      </c>
      <c r="R73" s="2">
        <f>SUMIF(MICRO!AP:AP,O:O,MICRO!AU:AU)</f>
        <v>0</v>
      </c>
    </row>
    <row r="74" spans="3:18" s="2" customFormat="1" ht="18.75" thickBot="1" x14ac:dyDescent="0.3">
      <c r="C74" s="45"/>
      <c r="D74" s="61" t="s">
        <v>102</v>
      </c>
      <c r="E74" s="46" t="e">
        <f>VLOOKUP(Tabela2[[#This Row],[TAG]],MICRO!J:L,3,0)</f>
        <v>#N/A</v>
      </c>
      <c r="F74" s="44" t="s">
        <v>23</v>
      </c>
      <c r="G74" s="58">
        <f>SUMIF(MICRO!AP:AP,O:O,MICRO!H:H)</f>
        <v>0</v>
      </c>
      <c r="H74" s="1">
        <f>SUMIF(MICRO!AP:AP,O:O,MICRO!R:R)</f>
        <v>0</v>
      </c>
      <c r="I74" s="1">
        <f>SUMIF(MICRO!AP:AP,O:O,MICRO!T:T)</f>
        <v>0</v>
      </c>
      <c r="J74" s="59">
        <f t="shared" si="5"/>
        <v>0</v>
      </c>
      <c r="K74" s="1">
        <f>SUMIF(MICRO!AP:AP,O:O,MICRO!X:X)</f>
        <v>0</v>
      </c>
      <c r="L74" s="59" t="str">
        <f t="shared" si="6"/>
        <v>0%</v>
      </c>
      <c r="M74" s="1">
        <f t="shared" si="7"/>
        <v>0</v>
      </c>
      <c r="N74" s="56" t="e">
        <f t="shared" si="8"/>
        <v>#N/A</v>
      </c>
      <c r="O74" s="56" t="e">
        <f t="shared" si="9"/>
        <v>#N/A</v>
      </c>
      <c r="P74" s="2">
        <f>SUMIF(MICRO!AP:AP,O74,MICRO!AS:AS)</f>
        <v>0</v>
      </c>
      <c r="Q74" s="2">
        <f>SUMIF(MICRO!AP:AP,O74,MICRO!AT:AT)</f>
        <v>0</v>
      </c>
      <c r="R74" s="2">
        <f>SUMIF(MICRO!AP:AP,O:O,MICRO!AU:AU)</f>
        <v>0</v>
      </c>
    </row>
    <row r="75" spans="3:18" s="2" customFormat="1" ht="18.75" thickBot="1" x14ac:dyDescent="0.3">
      <c r="C75" s="45"/>
      <c r="D75" s="61" t="s">
        <v>104</v>
      </c>
      <c r="E75" s="46" t="e">
        <f>VLOOKUP(Tabela2[[#This Row],[TAG]],MICRO!J:L,3,0)</f>
        <v>#N/A</v>
      </c>
      <c r="F75" s="44" t="s">
        <v>23</v>
      </c>
      <c r="G75" s="58">
        <f>SUMIF(MICRO!AP:AP,O:O,MICRO!H:H)</f>
        <v>0</v>
      </c>
      <c r="H75" s="1">
        <f>SUMIF(MICRO!AP:AP,O:O,MICRO!R:R)</f>
        <v>0</v>
      </c>
      <c r="I75" s="1">
        <f>SUMIF(MICRO!AP:AP,O:O,MICRO!T:T)</f>
        <v>0</v>
      </c>
      <c r="J75" s="59">
        <f t="shared" si="5"/>
        <v>0</v>
      </c>
      <c r="K75" s="1">
        <f>SUMIF(MICRO!AP:AP,O:O,MICRO!X:X)</f>
        <v>0</v>
      </c>
      <c r="L75" s="59" t="str">
        <f t="shared" si="6"/>
        <v>0%</v>
      </c>
      <c r="M75" s="1">
        <f t="shared" si="7"/>
        <v>0</v>
      </c>
      <c r="N75" s="56" t="e">
        <f t="shared" si="8"/>
        <v>#N/A</v>
      </c>
      <c r="O75" s="56" t="e">
        <f t="shared" si="9"/>
        <v>#N/A</v>
      </c>
      <c r="P75" s="2">
        <f>SUMIF(MICRO!AP:AP,O75,MICRO!AS:AS)</f>
        <v>0</v>
      </c>
      <c r="Q75" s="2">
        <f>SUMIF(MICRO!AP:AP,O75,MICRO!AT:AT)</f>
        <v>0</v>
      </c>
      <c r="R75" s="2">
        <f>SUMIF(MICRO!AP:AP,O:O,MICRO!AU:AU)</f>
        <v>0</v>
      </c>
    </row>
    <row r="76" spans="3:18" s="2" customFormat="1" ht="18.75" thickBot="1" x14ac:dyDescent="0.3">
      <c r="C76" s="45"/>
      <c r="D76" s="61" t="s">
        <v>106</v>
      </c>
      <c r="E76" s="46" t="e">
        <f>VLOOKUP(Tabela2[[#This Row],[TAG]],MICRO!J:L,3,0)</f>
        <v>#N/A</v>
      </c>
      <c r="F76" s="44" t="s">
        <v>23</v>
      </c>
      <c r="G76" s="58">
        <f>SUMIF(MICRO!AP:AP,O:O,MICRO!H:H)</f>
        <v>0</v>
      </c>
      <c r="H76" s="1">
        <f>SUMIF(MICRO!AP:AP,O:O,MICRO!R:R)</f>
        <v>0</v>
      </c>
      <c r="I76" s="1">
        <f>SUMIF(MICRO!AP:AP,O:O,MICRO!T:T)</f>
        <v>0</v>
      </c>
      <c r="J76" s="59">
        <f t="shared" si="5"/>
        <v>0</v>
      </c>
      <c r="K76" s="1">
        <f>SUMIF(MICRO!AP:AP,O:O,MICRO!X:X)</f>
        <v>0</v>
      </c>
      <c r="L76" s="59" t="str">
        <f t="shared" si="6"/>
        <v>0%</v>
      </c>
      <c r="M76" s="1">
        <f t="shared" si="7"/>
        <v>0</v>
      </c>
      <c r="N76" s="56" t="e">
        <f t="shared" si="8"/>
        <v>#N/A</v>
      </c>
      <c r="O76" s="56" t="e">
        <f t="shared" si="9"/>
        <v>#N/A</v>
      </c>
      <c r="P76" s="2">
        <f>SUMIF(MICRO!AP:AP,O76,MICRO!AS:AS)</f>
        <v>0</v>
      </c>
      <c r="Q76" s="2">
        <f>SUMIF(MICRO!AP:AP,O76,MICRO!AT:AT)</f>
        <v>0</v>
      </c>
      <c r="R76" s="2">
        <f>SUMIF(MICRO!AP:AP,O:O,MICRO!AU:AU)</f>
        <v>0</v>
      </c>
    </row>
    <row r="77" spans="3:18" s="2" customFormat="1" ht="18.75" thickBot="1" x14ac:dyDescent="0.3">
      <c r="C77" s="45"/>
      <c r="D77" s="61" t="s">
        <v>105</v>
      </c>
      <c r="E77" s="46" t="e">
        <f>VLOOKUP(Tabela2[[#This Row],[TAG]],MICRO!J:L,3,0)</f>
        <v>#N/A</v>
      </c>
      <c r="F77" s="44" t="s">
        <v>23</v>
      </c>
      <c r="G77" s="58">
        <f>SUMIF(MICRO!AP:AP,O:O,MICRO!H:H)</f>
        <v>0</v>
      </c>
      <c r="H77" s="1">
        <f>SUMIF(MICRO!AP:AP,O:O,MICRO!R:R)</f>
        <v>0</v>
      </c>
      <c r="I77" s="1">
        <f>SUMIF(MICRO!AP:AP,O:O,MICRO!T:T)</f>
        <v>0</v>
      </c>
      <c r="J77" s="59">
        <f t="shared" si="5"/>
        <v>0</v>
      </c>
      <c r="K77" s="1">
        <f>SUMIF(MICRO!AP:AP,O:O,MICRO!X:X)</f>
        <v>0</v>
      </c>
      <c r="L77" s="59" t="str">
        <f t="shared" si="6"/>
        <v>0%</v>
      </c>
      <c r="M77" s="1">
        <f t="shared" si="7"/>
        <v>0</v>
      </c>
      <c r="N77" s="56" t="e">
        <f t="shared" si="8"/>
        <v>#N/A</v>
      </c>
      <c r="O77" s="56" t="e">
        <f t="shared" si="9"/>
        <v>#N/A</v>
      </c>
      <c r="P77" s="2">
        <f>SUMIF(MICRO!AP:AP,O77,MICRO!AS:AS)</f>
        <v>0</v>
      </c>
      <c r="Q77" s="2">
        <f>SUMIF(MICRO!AP:AP,O77,MICRO!AT:AT)</f>
        <v>0</v>
      </c>
      <c r="R77" s="2">
        <f>SUMIF(MICRO!AP:AP,O:O,MICRO!AU:AU)</f>
        <v>0</v>
      </c>
    </row>
    <row r="78" spans="3:18" s="2" customFormat="1" ht="18.75" thickBot="1" x14ac:dyDescent="0.3">
      <c r="C78" s="45"/>
      <c r="D78" s="61" t="s">
        <v>107</v>
      </c>
      <c r="E78" s="46" t="e">
        <f>VLOOKUP(Tabela2[[#This Row],[TAG]],MICRO!J:L,3,0)</f>
        <v>#N/A</v>
      </c>
      <c r="F78" s="44" t="s">
        <v>23</v>
      </c>
      <c r="G78" s="58">
        <f>SUMIF(MICRO!AP:AP,O:O,MICRO!H:H)</f>
        <v>0</v>
      </c>
      <c r="H78" s="1">
        <f>SUMIF(MICRO!AP:AP,O:O,MICRO!R:R)</f>
        <v>0</v>
      </c>
      <c r="I78" s="1">
        <f>SUMIF(MICRO!AP:AP,O:O,MICRO!T:T)</f>
        <v>0</v>
      </c>
      <c r="J78" s="59">
        <f t="shared" si="5"/>
        <v>0</v>
      </c>
      <c r="K78" s="1">
        <f>SUMIF(MICRO!AP:AP,O:O,MICRO!X:X)</f>
        <v>0</v>
      </c>
      <c r="L78" s="59" t="str">
        <f t="shared" si="6"/>
        <v>0%</v>
      </c>
      <c r="M78" s="1">
        <f t="shared" si="7"/>
        <v>0</v>
      </c>
      <c r="N78" s="56" t="e">
        <f t="shared" si="8"/>
        <v>#N/A</v>
      </c>
      <c r="O78" s="56" t="e">
        <f t="shared" si="9"/>
        <v>#N/A</v>
      </c>
      <c r="P78" s="2">
        <f>SUMIF(MICRO!AP:AP,O78,MICRO!AS:AS)</f>
        <v>0</v>
      </c>
      <c r="Q78" s="2">
        <f>SUMIF(MICRO!AP:AP,O78,MICRO!AT:AT)</f>
        <v>0</v>
      </c>
      <c r="R78" s="2">
        <f>SUMIF(MICRO!AP:AP,O:O,MICRO!AU:AU)</f>
        <v>0</v>
      </c>
    </row>
    <row r="79" spans="3:18" s="2" customFormat="1" ht="18.75" thickBot="1" x14ac:dyDescent="0.3">
      <c r="C79" s="45"/>
      <c r="D79" s="61" t="s">
        <v>107</v>
      </c>
      <c r="E79" s="46" t="e">
        <f>VLOOKUP(Tabela2[[#This Row],[TAG]],MICRO!J:L,3,0)</f>
        <v>#N/A</v>
      </c>
      <c r="F79" s="44" t="s">
        <v>31</v>
      </c>
      <c r="G79" s="58">
        <f>SUMIF(MICRO!AP:AP,O:O,MICRO!H:H)</f>
        <v>0</v>
      </c>
      <c r="H79" s="1">
        <f>SUMIF(MICRO!AP:AP,O:O,MICRO!R:R)</f>
        <v>0</v>
      </c>
      <c r="I79" s="1">
        <f>SUMIF(MICRO!AP:AP,O:O,MICRO!T:T)</f>
        <v>0</v>
      </c>
      <c r="J79" s="59">
        <f t="shared" si="5"/>
        <v>0</v>
      </c>
      <c r="K79" s="1">
        <f>SUMIF(MICRO!AP:AP,O:O,MICRO!X:X)</f>
        <v>0</v>
      </c>
      <c r="L79" s="59" t="str">
        <f t="shared" si="6"/>
        <v>0%</v>
      </c>
      <c r="M79" s="1">
        <f t="shared" si="7"/>
        <v>0</v>
      </c>
      <c r="N79" s="56" t="e">
        <f t="shared" si="8"/>
        <v>#N/A</v>
      </c>
      <c r="O79" s="56" t="e">
        <f t="shared" si="9"/>
        <v>#N/A</v>
      </c>
      <c r="P79" s="2">
        <f>SUMIF(MICRO!AP:AP,O79,MICRO!AS:AS)</f>
        <v>0</v>
      </c>
      <c r="Q79" s="2">
        <f>SUMIF(MICRO!AP:AP,O79,MICRO!AT:AT)</f>
        <v>0</v>
      </c>
      <c r="R79" s="2">
        <f>SUMIF(MICRO!AP:AP,O:O,MICRO!AU:AU)</f>
        <v>0</v>
      </c>
    </row>
    <row r="80" spans="3:18" s="2" customFormat="1" ht="18.75" thickBot="1" x14ac:dyDescent="0.3">
      <c r="C80" s="45"/>
      <c r="D80" s="61" t="s">
        <v>109</v>
      </c>
      <c r="E80" s="46" t="e">
        <f>VLOOKUP(Tabela2[[#This Row],[TAG]],MICRO!J:L,3,0)</f>
        <v>#N/A</v>
      </c>
      <c r="F80" s="44" t="s">
        <v>22</v>
      </c>
      <c r="G80" s="58">
        <f>SUMIF(MICRO!AP:AP,O:O,MICRO!H:H)</f>
        <v>0</v>
      </c>
      <c r="H80" s="1">
        <f>SUMIF(MICRO!AP:AP,O:O,MICRO!R:R)</f>
        <v>0</v>
      </c>
      <c r="I80" s="1">
        <f>SUMIF(MICRO!AP:AP,O:O,MICRO!T:T)</f>
        <v>0</v>
      </c>
      <c r="J80" s="59">
        <f t="shared" si="5"/>
        <v>0</v>
      </c>
      <c r="K80" s="1">
        <f>SUMIF(MICRO!AP:AP,O:O,MICRO!X:X)</f>
        <v>0</v>
      </c>
      <c r="L80" s="59" t="str">
        <f t="shared" si="6"/>
        <v>0%</v>
      </c>
      <c r="M80" s="1">
        <f t="shared" si="7"/>
        <v>0</v>
      </c>
      <c r="N80" s="56" t="e">
        <f t="shared" si="8"/>
        <v>#N/A</v>
      </c>
      <c r="O80" s="56" t="e">
        <f t="shared" si="9"/>
        <v>#N/A</v>
      </c>
      <c r="P80" s="2">
        <f>SUMIF(MICRO!AP:AP,O80,MICRO!AS:AS)</f>
        <v>0</v>
      </c>
      <c r="Q80" s="2">
        <f>SUMIF(MICRO!AP:AP,O80,MICRO!AT:AT)</f>
        <v>0</v>
      </c>
      <c r="R80" s="2">
        <f>SUMIF(MICRO!AP:AP,O:O,MICRO!AU:AU)</f>
        <v>0</v>
      </c>
    </row>
    <row r="81" spans="3:18" s="2" customFormat="1" ht="18.75" thickBot="1" x14ac:dyDescent="0.3">
      <c r="C81" s="45"/>
      <c r="D81" s="61" t="s">
        <v>110</v>
      </c>
      <c r="E81" s="46" t="e">
        <f>VLOOKUP(Tabela2[[#This Row],[TAG]],MICRO!J:L,3,0)</f>
        <v>#N/A</v>
      </c>
      <c r="F81" s="44" t="s">
        <v>22</v>
      </c>
      <c r="G81" s="58">
        <f>SUMIF(MICRO!AP:AP,O:O,MICRO!H:H)</f>
        <v>0</v>
      </c>
      <c r="H81" s="1">
        <f>SUMIF(MICRO!AP:AP,O:O,MICRO!R:R)</f>
        <v>0</v>
      </c>
      <c r="I81" s="1">
        <f>SUMIF(MICRO!AP:AP,O:O,MICRO!T:T)</f>
        <v>0</v>
      </c>
      <c r="J81" s="59">
        <f t="shared" si="5"/>
        <v>0</v>
      </c>
      <c r="K81" s="1">
        <f>SUMIF(MICRO!AP:AP,O:O,MICRO!X:X)</f>
        <v>0</v>
      </c>
      <c r="L81" s="59" t="str">
        <f t="shared" si="6"/>
        <v>0%</v>
      </c>
      <c r="M81" s="1">
        <f t="shared" si="7"/>
        <v>0</v>
      </c>
      <c r="N81" s="56" t="e">
        <f t="shared" si="8"/>
        <v>#N/A</v>
      </c>
      <c r="O81" s="56" t="e">
        <f t="shared" si="9"/>
        <v>#N/A</v>
      </c>
      <c r="P81" s="2">
        <f>SUMIF(MICRO!AP:AP,O81,MICRO!AS:AS)</f>
        <v>0</v>
      </c>
      <c r="Q81" s="2">
        <f>SUMIF(MICRO!AP:AP,O81,MICRO!AT:AT)</f>
        <v>0</v>
      </c>
      <c r="R81" s="2">
        <f>SUMIF(MICRO!AP:AP,O:O,MICRO!AU:AU)</f>
        <v>0</v>
      </c>
    </row>
    <row r="82" spans="3:18" s="2" customFormat="1" ht="18.75" thickBot="1" x14ac:dyDescent="0.3">
      <c r="C82" s="45"/>
      <c r="D82" s="61" t="s">
        <v>110</v>
      </c>
      <c r="E82" s="46" t="e">
        <f>VLOOKUP(Tabela2[[#This Row],[TAG]],MICRO!J:L,3,0)</f>
        <v>#N/A</v>
      </c>
      <c r="F82" s="44" t="s">
        <v>23</v>
      </c>
      <c r="G82" s="58">
        <f>SUMIF(MICRO!AP:AP,O:O,MICRO!H:H)</f>
        <v>0</v>
      </c>
      <c r="H82" s="1">
        <f>SUMIF(MICRO!AP:AP,O:O,MICRO!R:R)</f>
        <v>0</v>
      </c>
      <c r="I82" s="1">
        <f>SUMIF(MICRO!AP:AP,O:O,MICRO!T:T)</f>
        <v>0</v>
      </c>
      <c r="J82" s="59">
        <f t="shared" si="5"/>
        <v>0</v>
      </c>
      <c r="K82" s="1">
        <f>SUMIF(MICRO!AP:AP,O:O,MICRO!X:X)</f>
        <v>0</v>
      </c>
      <c r="L82" s="59" t="str">
        <f t="shared" si="6"/>
        <v>0%</v>
      </c>
      <c r="M82" s="1">
        <f t="shared" si="7"/>
        <v>0</v>
      </c>
      <c r="N82" s="56" t="e">
        <f t="shared" si="8"/>
        <v>#N/A</v>
      </c>
      <c r="O82" s="56" t="e">
        <f t="shared" si="9"/>
        <v>#N/A</v>
      </c>
      <c r="P82" s="2">
        <f>SUMIF(MICRO!AP:AP,O82,MICRO!AS:AS)</f>
        <v>0</v>
      </c>
      <c r="Q82" s="2">
        <f>SUMIF(MICRO!AP:AP,O82,MICRO!AT:AT)</f>
        <v>0</v>
      </c>
      <c r="R82" s="2">
        <f>SUMIF(MICRO!AP:AP,O:O,MICRO!AU:AU)</f>
        <v>0</v>
      </c>
    </row>
    <row r="83" spans="3:18" s="2" customFormat="1" ht="18.75" thickBot="1" x14ac:dyDescent="0.3">
      <c r="C83" s="45"/>
      <c r="D83" s="61" t="s">
        <v>123</v>
      </c>
      <c r="E83" s="46" t="e">
        <f>VLOOKUP(Tabela2[[#This Row],[TAG]],MICRO!J:L,3,0)</f>
        <v>#N/A</v>
      </c>
      <c r="F83" s="44" t="s">
        <v>23</v>
      </c>
      <c r="G83" s="58">
        <f>SUMIF(MICRO!AP:AP,O:O,MICRO!H:H)</f>
        <v>0</v>
      </c>
      <c r="H83" s="1">
        <f>SUMIF(MICRO!AP:AP,O:O,MICRO!R:R)</f>
        <v>0</v>
      </c>
      <c r="I83" s="1">
        <f>SUMIF(MICRO!AP:AP,O:O,MICRO!T:T)</f>
        <v>0</v>
      </c>
      <c r="J83" s="59">
        <f t="shared" si="5"/>
        <v>0</v>
      </c>
      <c r="K83" s="1">
        <f>SUMIF(MICRO!AP:AP,O:O,MICRO!X:X)</f>
        <v>0</v>
      </c>
      <c r="L83" s="59" t="str">
        <f t="shared" si="6"/>
        <v>0%</v>
      </c>
      <c r="M83" s="1">
        <f t="shared" si="7"/>
        <v>0</v>
      </c>
      <c r="N83" s="56" t="e">
        <f t="shared" si="8"/>
        <v>#N/A</v>
      </c>
      <c r="O83" s="56" t="e">
        <f t="shared" si="9"/>
        <v>#N/A</v>
      </c>
      <c r="P83" s="2">
        <f>SUMIF(MICRO!AP:AP,O83,MICRO!AS:AS)</f>
        <v>0</v>
      </c>
      <c r="Q83" s="2">
        <f>SUMIF(MICRO!AP:AP,O83,MICRO!AT:AT)</f>
        <v>0</v>
      </c>
      <c r="R83" s="2">
        <f>SUMIF(MICRO!AP:AP,O:O,MICRO!AU:AU)</f>
        <v>0</v>
      </c>
    </row>
    <row r="84" spans="3:18" s="2" customFormat="1" ht="18.75" thickBot="1" x14ac:dyDescent="0.3">
      <c r="C84" s="45"/>
      <c r="D84" s="61" t="s">
        <v>129</v>
      </c>
      <c r="E84" s="46" t="e">
        <f>VLOOKUP(Tabela2[[#This Row],[TAG]],MICRO!J:L,3,0)</f>
        <v>#N/A</v>
      </c>
      <c r="F84" s="44" t="s">
        <v>23</v>
      </c>
      <c r="G84" s="58">
        <f>SUMIF(MICRO!AP:AP,O:O,MICRO!H:H)</f>
        <v>0</v>
      </c>
      <c r="H84" s="1">
        <f>SUMIF(MICRO!AP:AP,O:O,MICRO!R:R)</f>
        <v>0</v>
      </c>
      <c r="I84" s="1">
        <f>SUMIF(MICRO!AP:AP,O:O,MICRO!T:T)</f>
        <v>0</v>
      </c>
      <c r="J84" s="59">
        <f t="shared" si="5"/>
        <v>0</v>
      </c>
      <c r="K84" s="1">
        <f>SUMIF(MICRO!AP:AP,O:O,MICRO!X:X)</f>
        <v>0</v>
      </c>
      <c r="L84" s="59" t="str">
        <f t="shared" si="6"/>
        <v>0%</v>
      </c>
      <c r="M84" s="1">
        <f t="shared" si="7"/>
        <v>0</v>
      </c>
      <c r="N84" s="56" t="e">
        <f t="shared" si="8"/>
        <v>#N/A</v>
      </c>
      <c r="O84" s="56" t="e">
        <f t="shared" si="9"/>
        <v>#N/A</v>
      </c>
      <c r="P84" s="2">
        <f>SUMIF(MICRO!AP:AP,O84,MICRO!AS:AS)</f>
        <v>0</v>
      </c>
      <c r="Q84" s="2">
        <f>SUMIF(MICRO!AP:AP,O84,MICRO!AT:AT)</f>
        <v>0</v>
      </c>
      <c r="R84" s="2">
        <f>SUMIF(MICRO!AP:AP,O:O,MICRO!AU:AU)</f>
        <v>0</v>
      </c>
    </row>
    <row r="85" spans="3:18" s="2" customFormat="1" ht="18.75" thickBot="1" x14ac:dyDescent="0.3">
      <c r="C85" s="45"/>
      <c r="D85" s="61" t="s">
        <v>130</v>
      </c>
      <c r="E85" s="46" t="e">
        <f>VLOOKUP(Tabela2[[#This Row],[TAG]],MICRO!J:L,3,0)</f>
        <v>#N/A</v>
      </c>
      <c r="F85" s="44" t="s">
        <v>31</v>
      </c>
      <c r="G85" s="58">
        <f>SUMIF(MICRO!AP:AP,O:O,MICRO!H:H)</f>
        <v>0</v>
      </c>
      <c r="H85" s="1">
        <f>SUMIF(MICRO!AP:AP,O:O,MICRO!R:R)</f>
        <v>0</v>
      </c>
      <c r="I85" s="1">
        <f>SUMIF(MICRO!AP:AP,O:O,MICRO!T:T)</f>
        <v>0</v>
      </c>
      <c r="J85" s="59">
        <f t="shared" si="5"/>
        <v>0</v>
      </c>
      <c r="K85" s="1">
        <f>SUMIF(MICRO!AP:AP,O:O,MICRO!X:X)</f>
        <v>0</v>
      </c>
      <c r="L85" s="59" t="str">
        <f t="shared" si="6"/>
        <v>0%</v>
      </c>
      <c r="M85" s="1">
        <f t="shared" si="7"/>
        <v>0</v>
      </c>
      <c r="N85" s="56" t="e">
        <f t="shared" si="8"/>
        <v>#N/A</v>
      </c>
      <c r="O85" s="56" t="e">
        <f t="shared" si="9"/>
        <v>#N/A</v>
      </c>
      <c r="P85" s="2">
        <f>SUMIF(MICRO!AP:AP,O85,MICRO!AS:AS)</f>
        <v>0</v>
      </c>
      <c r="Q85" s="2">
        <f>SUMIF(MICRO!AP:AP,O85,MICRO!AT:AT)</f>
        <v>0</v>
      </c>
      <c r="R85" s="2">
        <f>SUMIF(MICRO!AP:AP,O:O,MICRO!AU:AU)</f>
        <v>0</v>
      </c>
    </row>
    <row r="86" spans="3:18" s="2" customFormat="1" ht="18.75" thickBot="1" x14ac:dyDescent="0.3">
      <c r="C86" s="45"/>
      <c r="D86" s="61" t="s">
        <v>130</v>
      </c>
      <c r="E86" s="46" t="e">
        <f>VLOOKUP(Tabela2[[#This Row],[TAG]],MICRO!J:L,3,0)</f>
        <v>#N/A</v>
      </c>
      <c r="F86" s="44" t="s">
        <v>33</v>
      </c>
      <c r="G86" s="58">
        <f>SUMIF(MICRO!AP:AP,O:O,MICRO!H:H)</f>
        <v>0</v>
      </c>
      <c r="H86" s="1">
        <f>SUMIF(MICRO!AP:AP,O:O,MICRO!R:R)</f>
        <v>0</v>
      </c>
      <c r="I86" s="1">
        <f>SUMIF(MICRO!AP:AP,O:O,MICRO!T:T)</f>
        <v>0</v>
      </c>
      <c r="J86" s="59">
        <f t="shared" si="5"/>
        <v>0</v>
      </c>
      <c r="K86" s="1">
        <f>SUMIF(MICRO!AP:AP,O:O,MICRO!X:X)</f>
        <v>0</v>
      </c>
      <c r="L86" s="59" t="str">
        <f t="shared" si="6"/>
        <v>0%</v>
      </c>
      <c r="M86" s="1">
        <f t="shared" si="7"/>
        <v>0</v>
      </c>
      <c r="N86" s="56" t="e">
        <f t="shared" si="8"/>
        <v>#N/A</v>
      </c>
      <c r="O86" s="56" t="e">
        <f t="shared" si="9"/>
        <v>#N/A</v>
      </c>
      <c r="P86" s="2">
        <f>SUMIF(MICRO!AP:AP,O86,MICRO!AS:AS)</f>
        <v>0</v>
      </c>
      <c r="Q86" s="2">
        <f>SUMIF(MICRO!AP:AP,O86,MICRO!AT:AT)</f>
        <v>0</v>
      </c>
      <c r="R86" s="2">
        <f>SUMIF(MICRO!AP:AP,O:O,MICRO!AU:AU)</f>
        <v>0</v>
      </c>
    </row>
    <row r="87" spans="3:18" s="2" customFormat="1" ht="18.75" thickBot="1" x14ac:dyDescent="0.3">
      <c r="C87" s="45"/>
      <c r="D87" s="61" t="s">
        <v>131</v>
      </c>
      <c r="E87" s="46" t="e">
        <f>VLOOKUP(Tabela2[[#This Row],[TAG]],MICRO!J:L,3,0)</f>
        <v>#N/A</v>
      </c>
      <c r="F87" s="44" t="s">
        <v>22</v>
      </c>
      <c r="G87" s="58">
        <f>SUMIF(MICRO!AP:AP,O:O,MICRO!H:H)</f>
        <v>0</v>
      </c>
      <c r="H87" s="1">
        <f>SUMIF(MICRO!AP:AP,O:O,MICRO!R:R)</f>
        <v>0</v>
      </c>
      <c r="I87" s="1">
        <f>SUMIF(MICRO!AP:AP,O:O,MICRO!T:T)</f>
        <v>0</v>
      </c>
      <c r="J87" s="59">
        <f t="shared" si="5"/>
        <v>0</v>
      </c>
      <c r="K87" s="1">
        <f>SUMIF(MICRO!AP:AP,O:O,MICRO!X:X)</f>
        <v>0</v>
      </c>
      <c r="L87" s="59" t="str">
        <f t="shared" si="6"/>
        <v>0%</v>
      </c>
      <c r="M87" s="1">
        <f t="shared" si="7"/>
        <v>0</v>
      </c>
      <c r="N87" s="56" t="e">
        <f t="shared" si="8"/>
        <v>#N/A</v>
      </c>
      <c r="O87" s="56" t="e">
        <f t="shared" si="9"/>
        <v>#N/A</v>
      </c>
      <c r="P87" s="2">
        <f>SUMIF(MICRO!AP:AP,O87,MICRO!AS:AS)</f>
        <v>0</v>
      </c>
      <c r="Q87" s="2">
        <f>SUMIF(MICRO!AP:AP,O87,MICRO!AT:AT)</f>
        <v>0</v>
      </c>
      <c r="R87" s="2">
        <f>SUMIF(MICRO!AP:AP,O:O,MICRO!AU:AU)</f>
        <v>0</v>
      </c>
    </row>
    <row r="88" spans="3:18" s="2" customFormat="1" ht="18.75" thickBot="1" x14ac:dyDescent="0.3">
      <c r="C88" s="45"/>
      <c r="D88" s="61" t="s">
        <v>134</v>
      </c>
      <c r="E88" s="46" t="e">
        <f>VLOOKUP(Tabela2[[#This Row],[TAG]],MICRO!J:L,3,0)</f>
        <v>#N/A</v>
      </c>
      <c r="F88" s="44" t="s">
        <v>44</v>
      </c>
      <c r="G88" s="58">
        <f>SUMIF(MICRO!AP:AP,O:O,MICRO!H:H)</f>
        <v>0</v>
      </c>
      <c r="H88" s="1">
        <f>SUMIF(MICRO!AP:AP,O:O,MICRO!R:R)</f>
        <v>0</v>
      </c>
      <c r="I88" s="1">
        <f>SUMIF(MICRO!AP:AP,O:O,MICRO!T:T)</f>
        <v>0</v>
      </c>
      <c r="J88" s="59">
        <f t="shared" si="5"/>
        <v>0</v>
      </c>
      <c r="K88" s="1">
        <f>SUMIF(MICRO!AP:AP,O:O,MICRO!X:X)</f>
        <v>0</v>
      </c>
      <c r="L88" s="59" t="str">
        <f t="shared" si="6"/>
        <v>0%</v>
      </c>
      <c r="M88" s="1">
        <f t="shared" si="7"/>
        <v>0</v>
      </c>
      <c r="N88" s="56" t="e">
        <f t="shared" si="8"/>
        <v>#N/A</v>
      </c>
      <c r="O88" s="56" t="e">
        <f t="shared" si="9"/>
        <v>#N/A</v>
      </c>
      <c r="P88" s="2">
        <f>SUMIF(MICRO!AP:AP,O88,MICRO!AS:AS)</f>
        <v>0</v>
      </c>
      <c r="Q88" s="2">
        <f>SUMIF(MICRO!AP:AP,O88,MICRO!AT:AT)</f>
        <v>0</v>
      </c>
      <c r="R88" s="2">
        <f>SUMIF(MICRO!AP:AP,O:O,MICRO!AU:AU)</f>
        <v>0</v>
      </c>
    </row>
    <row r="89" spans="3:18" s="2" customFormat="1" ht="18.75" thickBot="1" x14ac:dyDescent="0.3">
      <c r="C89" s="45"/>
      <c r="D89" s="61" t="s">
        <v>135</v>
      </c>
      <c r="E89" s="46" t="e">
        <f>VLOOKUP(Tabela2[[#This Row],[TAG]],MICRO!J:L,3,0)</f>
        <v>#N/A</v>
      </c>
      <c r="F89" s="44" t="s">
        <v>23</v>
      </c>
      <c r="G89" s="58">
        <f>SUMIF(MICRO!AP:AP,O:O,MICRO!H:H)</f>
        <v>0</v>
      </c>
      <c r="H89" s="1">
        <f>SUMIF(MICRO!AP:AP,O:O,MICRO!R:R)</f>
        <v>0</v>
      </c>
      <c r="I89" s="1">
        <f>SUMIF(MICRO!AP:AP,O:O,MICRO!T:T)</f>
        <v>0</v>
      </c>
      <c r="J89" s="59">
        <f t="shared" si="5"/>
        <v>0</v>
      </c>
      <c r="K89" s="1">
        <f>SUMIF(MICRO!AP:AP,O:O,MICRO!X:X)</f>
        <v>0</v>
      </c>
      <c r="L89" s="59" t="str">
        <f t="shared" si="6"/>
        <v>0%</v>
      </c>
      <c r="M89" s="1">
        <f t="shared" si="7"/>
        <v>0</v>
      </c>
      <c r="N89" s="56" t="e">
        <f t="shared" si="8"/>
        <v>#N/A</v>
      </c>
      <c r="O89" s="56" t="e">
        <f t="shared" si="9"/>
        <v>#N/A</v>
      </c>
      <c r="P89" s="2">
        <f>SUMIF(MICRO!AP:AP,O89,MICRO!AS:AS)</f>
        <v>0</v>
      </c>
      <c r="Q89" s="2">
        <f>SUMIF(MICRO!AP:AP,O89,MICRO!AT:AT)</f>
        <v>0</v>
      </c>
      <c r="R89" s="2">
        <f>SUMIF(MICRO!AP:AP,O:O,MICRO!AU:AU)</f>
        <v>0</v>
      </c>
    </row>
    <row r="90" spans="3:18" s="2" customFormat="1" ht="32.25" thickBot="1" x14ac:dyDescent="0.3">
      <c r="C90" s="45"/>
      <c r="D90" s="61" t="s">
        <v>158</v>
      </c>
      <c r="E90" s="46" t="e">
        <f>VLOOKUP(Tabela2[[#This Row],[TAG]],MICRO!J:L,3,0)</f>
        <v>#N/A</v>
      </c>
      <c r="F90" s="44" t="s">
        <v>31</v>
      </c>
      <c r="G90" s="58">
        <f>SUMIF(MICRO!AP:AP,O:O,MICRO!H:H)</f>
        <v>0</v>
      </c>
      <c r="H90" s="1">
        <f>SUMIF(MICRO!AP:AP,O:O,MICRO!R:R)</f>
        <v>0</v>
      </c>
      <c r="I90" s="1">
        <f>SUMIF(MICRO!AP:AP,O:O,MICRO!T:T)</f>
        <v>0</v>
      </c>
      <c r="J90" s="59">
        <f t="shared" si="5"/>
        <v>0</v>
      </c>
      <c r="K90" s="1">
        <f>SUMIF(MICRO!AP:AP,O:O,MICRO!X:X)</f>
        <v>0</v>
      </c>
      <c r="L90" s="59" t="str">
        <f t="shared" si="6"/>
        <v>0%</v>
      </c>
      <c r="M90" s="1">
        <f t="shared" si="7"/>
        <v>0</v>
      </c>
      <c r="N90" s="56" t="e">
        <f t="shared" si="8"/>
        <v>#N/A</v>
      </c>
      <c r="O90" s="56" t="e">
        <f t="shared" si="9"/>
        <v>#N/A</v>
      </c>
      <c r="P90" s="2">
        <f>SUMIF(MICRO!AP:AP,O90,MICRO!AS:AS)</f>
        <v>0</v>
      </c>
      <c r="Q90" s="2">
        <f>SUMIF(MICRO!AP:AP,O90,MICRO!AT:AT)</f>
        <v>0</v>
      </c>
      <c r="R90" s="2">
        <f>SUMIF(MICRO!AP:AP,O:O,MICRO!AU:AU)</f>
        <v>0</v>
      </c>
    </row>
    <row r="91" spans="3:18" s="2" customFormat="1" ht="32.25" thickBot="1" x14ac:dyDescent="0.3">
      <c r="C91" s="45"/>
      <c r="D91" s="61" t="s">
        <v>158</v>
      </c>
      <c r="E91" s="46" t="e">
        <f>VLOOKUP(Tabela2[[#This Row],[TAG]],MICRO!J:L,3,0)</f>
        <v>#N/A</v>
      </c>
      <c r="F91" s="44" t="s">
        <v>33</v>
      </c>
      <c r="G91" s="58">
        <f>SUMIF(MICRO!AP:AP,O:O,MICRO!H:H)</f>
        <v>0</v>
      </c>
      <c r="H91" s="1">
        <f>SUMIF(MICRO!AP:AP,O:O,MICRO!R:R)</f>
        <v>0</v>
      </c>
      <c r="I91" s="1">
        <f>SUMIF(MICRO!AP:AP,O:O,MICRO!T:T)</f>
        <v>0</v>
      </c>
      <c r="J91" s="59">
        <f t="shared" si="5"/>
        <v>0</v>
      </c>
      <c r="K91" s="1">
        <f>SUMIF(MICRO!AP:AP,O:O,MICRO!X:X)</f>
        <v>0</v>
      </c>
      <c r="L91" s="59" t="str">
        <f t="shared" si="6"/>
        <v>0%</v>
      </c>
      <c r="M91" s="1">
        <f t="shared" si="7"/>
        <v>0</v>
      </c>
      <c r="N91" s="56" t="e">
        <f t="shared" si="8"/>
        <v>#N/A</v>
      </c>
      <c r="O91" s="56" t="e">
        <f t="shared" si="9"/>
        <v>#N/A</v>
      </c>
      <c r="P91" s="2">
        <f>SUMIF(MICRO!AP:AP,O91,MICRO!AS:AS)</f>
        <v>0</v>
      </c>
      <c r="Q91" s="2">
        <f>SUMIF(MICRO!AP:AP,O91,MICRO!AT:AT)</f>
        <v>0</v>
      </c>
      <c r="R91" s="2">
        <f>SUMIF(MICRO!AP:AP,O:O,MICRO!AU:AU)</f>
        <v>0</v>
      </c>
    </row>
    <row r="92" spans="3:18" s="2" customFormat="1" ht="32.25" thickBot="1" x14ac:dyDescent="0.3">
      <c r="C92" s="45"/>
      <c r="D92" s="61" t="s">
        <v>158</v>
      </c>
      <c r="E92" s="46" t="e">
        <f>VLOOKUP(Tabela2[[#This Row],[TAG]],MICRO!J:L,3,0)</f>
        <v>#N/A</v>
      </c>
      <c r="F92" s="44" t="s">
        <v>22</v>
      </c>
      <c r="G92" s="58">
        <f>SUMIF(MICRO!AP:AP,O:O,MICRO!H:H)</f>
        <v>0</v>
      </c>
      <c r="H92" s="1">
        <f>SUMIF(MICRO!AP:AP,O:O,MICRO!R:R)</f>
        <v>0</v>
      </c>
      <c r="I92" s="1">
        <f>SUMIF(MICRO!AP:AP,O:O,MICRO!T:T)</f>
        <v>0</v>
      </c>
      <c r="J92" s="59">
        <f t="shared" si="5"/>
        <v>0</v>
      </c>
      <c r="K92" s="1">
        <f>SUMIF(MICRO!AP:AP,O:O,MICRO!X:X)</f>
        <v>0</v>
      </c>
      <c r="L92" s="59" t="str">
        <f t="shared" si="6"/>
        <v>0%</v>
      </c>
      <c r="M92" s="1">
        <f t="shared" si="7"/>
        <v>0</v>
      </c>
      <c r="N92" s="56" t="e">
        <f t="shared" si="8"/>
        <v>#N/A</v>
      </c>
      <c r="O92" s="56" t="e">
        <f t="shared" si="9"/>
        <v>#N/A</v>
      </c>
      <c r="P92" s="2">
        <f>SUMIF(MICRO!AP:AP,O92,MICRO!AS:AS)</f>
        <v>0</v>
      </c>
      <c r="Q92" s="2">
        <f>SUMIF(MICRO!AP:AP,O92,MICRO!AT:AT)</f>
        <v>0</v>
      </c>
      <c r="R92" s="2">
        <f>SUMIF(MICRO!AP:AP,O:O,MICRO!AU:AU)</f>
        <v>0</v>
      </c>
    </row>
    <row r="93" spans="3:18" s="2" customFormat="1" ht="32.25" thickBot="1" x14ac:dyDescent="0.3">
      <c r="C93" s="45"/>
      <c r="D93" s="61" t="s">
        <v>158</v>
      </c>
      <c r="E93" s="46" t="e">
        <f>VLOOKUP(Tabela2[[#This Row],[TAG]],MICRO!J:L,3,0)</f>
        <v>#N/A</v>
      </c>
      <c r="F93" s="44" t="s">
        <v>23</v>
      </c>
      <c r="G93" s="58">
        <f>SUMIF(MICRO!AP:AP,O:O,MICRO!H:H)</f>
        <v>0</v>
      </c>
      <c r="H93" s="1">
        <f>SUMIF(MICRO!AP:AP,O:O,MICRO!R:R)</f>
        <v>0</v>
      </c>
      <c r="I93" s="1">
        <f>SUMIF(MICRO!AP:AP,O:O,MICRO!T:T)</f>
        <v>0</v>
      </c>
      <c r="J93" s="59">
        <f t="shared" si="5"/>
        <v>0</v>
      </c>
      <c r="K93" s="1">
        <f>SUMIF(MICRO!AP:AP,O:O,MICRO!X:X)</f>
        <v>0</v>
      </c>
      <c r="L93" s="59" t="str">
        <f t="shared" si="6"/>
        <v>0%</v>
      </c>
      <c r="M93" s="1">
        <f t="shared" si="7"/>
        <v>0</v>
      </c>
      <c r="N93" s="56" t="e">
        <f t="shared" si="8"/>
        <v>#N/A</v>
      </c>
      <c r="O93" s="56" t="e">
        <f t="shared" si="9"/>
        <v>#N/A</v>
      </c>
      <c r="P93" s="2">
        <f>SUMIF(MICRO!AP:AP,O93,MICRO!AS:AS)</f>
        <v>0</v>
      </c>
      <c r="Q93" s="2">
        <f>SUMIF(MICRO!AP:AP,O93,MICRO!AT:AT)</f>
        <v>0</v>
      </c>
      <c r="R93" s="2">
        <f>SUMIF(MICRO!AP:AP,O:O,MICRO!AU:AU)</f>
        <v>0</v>
      </c>
    </row>
    <row r="94" spans="3:18" s="2" customFormat="1" ht="32.25" thickBot="1" x14ac:dyDescent="0.3">
      <c r="C94" s="45"/>
      <c r="D94" s="61" t="s">
        <v>159</v>
      </c>
      <c r="E94" s="46" t="e">
        <f>VLOOKUP(Tabela2[[#This Row],[TAG]],MICRO!J:L,3,0)</f>
        <v>#N/A</v>
      </c>
      <c r="F94" s="44" t="s">
        <v>31</v>
      </c>
      <c r="G94" s="58">
        <f>SUMIF(MICRO!AP:AP,O:O,MICRO!H:H)</f>
        <v>0</v>
      </c>
      <c r="H94" s="1">
        <f>SUMIF(MICRO!AP:AP,O:O,MICRO!R:R)</f>
        <v>0</v>
      </c>
      <c r="I94" s="1">
        <f>SUMIF(MICRO!AP:AP,O:O,MICRO!T:T)</f>
        <v>0</v>
      </c>
      <c r="J94" s="59">
        <f t="shared" si="5"/>
        <v>0</v>
      </c>
      <c r="K94" s="1">
        <f>SUMIF(MICRO!AP:AP,O:O,MICRO!X:X)</f>
        <v>0</v>
      </c>
      <c r="L94" s="59" t="str">
        <f t="shared" si="6"/>
        <v>0%</v>
      </c>
      <c r="M94" s="1">
        <f t="shared" si="7"/>
        <v>0</v>
      </c>
      <c r="N94" s="56" t="e">
        <f t="shared" si="8"/>
        <v>#N/A</v>
      </c>
      <c r="O94" s="56" t="e">
        <f t="shared" si="9"/>
        <v>#N/A</v>
      </c>
      <c r="P94" s="2">
        <f>SUMIF(MICRO!AP:AP,O94,MICRO!AS:AS)</f>
        <v>0</v>
      </c>
      <c r="Q94" s="2">
        <f>SUMIF(MICRO!AP:AP,O94,MICRO!AT:AT)</f>
        <v>0</v>
      </c>
      <c r="R94" s="2">
        <f>SUMIF(MICRO!AP:AP,O:O,MICRO!AU:AU)</f>
        <v>0</v>
      </c>
    </row>
    <row r="95" spans="3:18" s="2" customFormat="1" ht="32.25" thickBot="1" x14ac:dyDescent="0.3">
      <c r="C95" s="45"/>
      <c r="D95" s="61" t="s">
        <v>159</v>
      </c>
      <c r="E95" s="46" t="e">
        <f>VLOOKUP(Tabela2[[#This Row],[TAG]],MICRO!J:L,3,0)</f>
        <v>#N/A</v>
      </c>
      <c r="F95" s="44" t="s">
        <v>33</v>
      </c>
      <c r="G95" s="58">
        <f>SUMIF(MICRO!AP:AP,O:O,MICRO!H:H)</f>
        <v>0</v>
      </c>
      <c r="H95" s="1">
        <f>SUMIF(MICRO!AP:AP,O:O,MICRO!R:R)</f>
        <v>0</v>
      </c>
      <c r="I95" s="1">
        <f>SUMIF(MICRO!AP:AP,O:O,MICRO!T:T)</f>
        <v>0</v>
      </c>
      <c r="J95" s="59">
        <f t="shared" si="5"/>
        <v>0</v>
      </c>
      <c r="K95" s="1">
        <f>SUMIF(MICRO!AP:AP,O:O,MICRO!X:X)</f>
        <v>0</v>
      </c>
      <c r="L95" s="59" t="str">
        <f t="shared" si="6"/>
        <v>0%</v>
      </c>
      <c r="M95" s="1">
        <f t="shared" si="7"/>
        <v>0</v>
      </c>
      <c r="N95" s="56" t="e">
        <f t="shared" si="8"/>
        <v>#N/A</v>
      </c>
      <c r="O95" s="56" t="e">
        <f t="shared" si="9"/>
        <v>#N/A</v>
      </c>
      <c r="P95" s="2">
        <f>SUMIF(MICRO!AP:AP,O95,MICRO!AS:AS)</f>
        <v>0</v>
      </c>
      <c r="Q95" s="2">
        <f>SUMIF(MICRO!AP:AP,O95,MICRO!AT:AT)</f>
        <v>0</v>
      </c>
      <c r="R95" s="2">
        <f>SUMIF(MICRO!AP:AP,O:O,MICRO!AU:AU)</f>
        <v>0</v>
      </c>
    </row>
    <row r="96" spans="3:18" s="2" customFormat="1" ht="32.25" thickBot="1" x14ac:dyDescent="0.3">
      <c r="C96" s="45"/>
      <c r="D96" s="61" t="s">
        <v>159</v>
      </c>
      <c r="E96" s="46" t="e">
        <f>VLOOKUP(Tabela2[[#This Row],[TAG]],MICRO!J:L,3,0)</f>
        <v>#N/A</v>
      </c>
      <c r="F96" s="44" t="s">
        <v>23</v>
      </c>
      <c r="G96" s="58">
        <f>SUMIF(MICRO!AP:AP,O:O,MICRO!H:H)</f>
        <v>0</v>
      </c>
      <c r="H96" s="1">
        <f>SUMIF(MICRO!AP:AP,O:O,MICRO!R:R)</f>
        <v>0</v>
      </c>
      <c r="I96" s="1">
        <f>SUMIF(MICRO!AP:AP,O:O,MICRO!T:T)</f>
        <v>0</v>
      </c>
      <c r="J96" s="59">
        <f t="shared" si="5"/>
        <v>0</v>
      </c>
      <c r="K96" s="1">
        <f>SUMIF(MICRO!AP:AP,O:O,MICRO!X:X)</f>
        <v>0</v>
      </c>
      <c r="L96" s="59" t="str">
        <f t="shared" si="6"/>
        <v>0%</v>
      </c>
      <c r="M96" s="1">
        <f t="shared" si="7"/>
        <v>0</v>
      </c>
      <c r="N96" s="56" t="e">
        <f t="shared" si="8"/>
        <v>#N/A</v>
      </c>
      <c r="O96" s="56" t="e">
        <f t="shared" si="9"/>
        <v>#N/A</v>
      </c>
      <c r="P96" s="2">
        <f>SUMIF(MICRO!AP:AP,O96,MICRO!AS:AS)</f>
        <v>0</v>
      </c>
      <c r="Q96" s="2">
        <f>SUMIF(MICRO!AP:AP,O96,MICRO!AT:AT)</f>
        <v>0</v>
      </c>
      <c r="R96" s="2">
        <f>SUMIF(MICRO!AP:AP,O:O,MICRO!AU:AU)</f>
        <v>0</v>
      </c>
    </row>
    <row r="97" spans="3:18" s="2" customFormat="1" ht="32.25" thickBot="1" x14ac:dyDescent="0.3">
      <c r="C97" s="45"/>
      <c r="D97" s="61" t="s">
        <v>159</v>
      </c>
      <c r="E97" s="46" t="e">
        <f>VLOOKUP(Tabela2[[#This Row],[TAG]],MICRO!J:L,3,0)</f>
        <v>#N/A</v>
      </c>
      <c r="F97" s="44" t="s">
        <v>22</v>
      </c>
      <c r="G97" s="58">
        <f>SUMIF(MICRO!AP:AP,O:O,MICRO!H:H)</f>
        <v>0</v>
      </c>
      <c r="H97" s="1">
        <f>SUMIF(MICRO!AP:AP,O:O,MICRO!R:R)</f>
        <v>0</v>
      </c>
      <c r="I97" s="1">
        <f>SUMIF(MICRO!AP:AP,O:O,MICRO!T:T)</f>
        <v>0</v>
      </c>
      <c r="J97" s="59">
        <f t="shared" si="5"/>
        <v>0</v>
      </c>
      <c r="K97" s="1">
        <f>SUMIF(MICRO!AP:AP,O:O,MICRO!X:X)</f>
        <v>0</v>
      </c>
      <c r="L97" s="59" t="str">
        <f t="shared" si="6"/>
        <v>0%</v>
      </c>
      <c r="M97" s="1">
        <f t="shared" si="7"/>
        <v>0</v>
      </c>
      <c r="N97" s="56" t="e">
        <f t="shared" si="8"/>
        <v>#N/A</v>
      </c>
      <c r="O97" s="56" t="e">
        <f t="shared" si="9"/>
        <v>#N/A</v>
      </c>
      <c r="P97" s="2">
        <f>SUMIF(MICRO!AP:AP,O97,MICRO!AS:AS)</f>
        <v>0</v>
      </c>
      <c r="Q97" s="2">
        <f>SUMIF(MICRO!AP:AP,O97,MICRO!AT:AT)</f>
        <v>0</v>
      </c>
      <c r="R97" s="2">
        <f>SUMIF(MICRO!AP:AP,O:O,MICRO!AU:AU)</f>
        <v>0</v>
      </c>
    </row>
    <row r="98" spans="3:18" s="2" customFormat="1" ht="32.25" thickBot="1" x14ac:dyDescent="0.3">
      <c r="C98" s="45"/>
      <c r="D98" s="61" t="s">
        <v>157</v>
      </c>
      <c r="E98" s="46" t="e">
        <f>VLOOKUP(Tabela2[[#This Row],[TAG]],MICRO!J:L,3,0)</f>
        <v>#N/A</v>
      </c>
      <c r="F98" s="44" t="s">
        <v>31</v>
      </c>
      <c r="G98" s="58">
        <f>SUMIF(MICRO!AP:AP,O:O,MICRO!H:H)</f>
        <v>0</v>
      </c>
      <c r="H98" s="1">
        <f>SUMIF(MICRO!AP:AP,O:O,MICRO!R:R)</f>
        <v>0</v>
      </c>
      <c r="I98" s="1">
        <f>SUMIF(MICRO!AP:AP,O:O,MICRO!T:T)</f>
        <v>0</v>
      </c>
      <c r="J98" s="59">
        <f t="shared" si="5"/>
        <v>0</v>
      </c>
      <c r="K98" s="1">
        <f>SUMIF(MICRO!AP:AP,O:O,MICRO!X:X)</f>
        <v>0</v>
      </c>
      <c r="L98" s="59" t="str">
        <f t="shared" si="6"/>
        <v>0%</v>
      </c>
      <c r="M98" s="1">
        <f t="shared" si="7"/>
        <v>0</v>
      </c>
      <c r="N98" s="56" t="e">
        <f t="shared" si="8"/>
        <v>#N/A</v>
      </c>
      <c r="O98" s="56" t="e">
        <f t="shared" si="9"/>
        <v>#N/A</v>
      </c>
      <c r="P98" s="2">
        <f>SUMIF(MICRO!AP:AP,O98,MICRO!AS:AS)</f>
        <v>0</v>
      </c>
      <c r="Q98" s="2">
        <f>SUMIF(MICRO!AP:AP,O98,MICRO!AT:AT)</f>
        <v>0</v>
      </c>
      <c r="R98" s="2">
        <f>SUMIF(MICRO!AP:AP,O:O,MICRO!AU:AU)</f>
        <v>0</v>
      </c>
    </row>
    <row r="99" spans="3:18" s="2" customFormat="1" ht="32.25" thickBot="1" x14ac:dyDescent="0.3">
      <c r="C99" s="45"/>
      <c r="D99" s="61" t="s">
        <v>157</v>
      </c>
      <c r="E99" s="46" t="e">
        <f>VLOOKUP(Tabela2[[#This Row],[TAG]],MICRO!J:L,3,0)</f>
        <v>#N/A</v>
      </c>
      <c r="F99" s="44" t="s">
        <v>22</v>
      </c>
      <c r="G99" s="58">
        <f>SUMIF(MICRO!AP:AP,O:O,MICRO!H:H)</f>
        <v>0</v>
      </c>
      <c r="H99" s="1">
        <f>SUMIF(MICRO!AP:AP,O:O,MICRO!R:R)</f>
        <v>0</v>
      </c>
      <c r="I99" s="1">
        <f>SUMIF(MICRO!AP:AP,O:O,MICRO!T:T)</f>
        <v>0</v>
      </c>
      <c r="J99" s="59">
        <f t="shared" si="5"/>
        <v>0</v>
      </c>
      <c r="K99" s="1">
        <f>SUMIF(MICRO!AP:AP,O:O,MICRO!X:X)</f>
        <v>0</v>
      </c>
      <c r="L99" s="59" t="str">
        <f t="shared" si="6"/>
        <v>0%</v>
      </c>
      <c r="M99" s="1">
        <f t="shared" si="7"/>
        <v>0</v>
      </c>
      <c r="N99" s="56" t="e">
        <f t="shared" si="8"/>
        <v>#N/A</v>
      </c>
      <c r="O99" s="56" t="e">
        <f t="shared" si="9"/>
        <v>#N/A</v>
      </c>
      <c r="P99" s="2">
        <f>SUMIF(MICRO!AP:AP,O99,MICRO!AS:AS)</f>
        <v>0</v>
      </c>
      <c r="Q99" s="2">
        <f>SUMIF(MICRO!AP:AP,O99,MICRO!AT:AT)</f>
        <v>0</v>
      </c>
      <c r="R99" s="2">
        <f>SUMIF(MICRO!AP:AP,O:O,MICRO!AU:AU)</f>
        <v>0</v>
      </c>
    </row>
    <row r="100" spans="3:18" s="2" customFormat="1" ht="32.25" thickBot="1" x14ac:dyDescent="0.3">
      <c r="C100" s="45"/>
      <c r="D100" s="61" t="s">
        <v>157</v>
      </c>
      <c r="E100" s="46" t="e">
        <f>VLOOKUP(Tabela2[[#This Row],[TAG]],MICRO!J:L,3,0)</f>
        <v>#N/A</v>
      </c>
      <c r="F100" s="44" t="s">
        <v>33</v>
      </c>
      <c r="G100" s="58">
        <f>SUMIF(MICRO!AP:AP,O:O,MICRO!H:H)</f>
        <v>0</v>
      </c>
      <c r="H100" s="1">
        <f>SUMIF(MICRO!AP:AP,O:O,MICRO!R:R)</f>
        <v>0</v>
      </c>
      <c r="I100" s="1">
        <f>SUMIF(MICRO!AP:AP,O:O,MICRO!T:T)</f>
        <v>0</v>
      </c>
      <c r="J100" s="59">
        <f t="shared" si="5"/>
        <v>0</v>
      </c>
      <c r="K100" s="1">
        <f>SUMIF(MICRO!AP:AP,O:O,MICRO!X:X)</f>
        <v>0</v>
      </c>
      <c r="L100" s="59" t="str">
        <f t="shared" si="6"/>
        <v>0%</v>
      </c>
      <c r="M100" s="1">
        <f t="shared" si="7"/>
        <v>0</v>
      </c>
      <c r="N100" s="56" t="e">
        <f t="shared" si="8"/>
        <v>#N/A</v>
      </c>
      <c r="O100" s="56" t="e">
        <f t="shared" si="9"/>
        <v>#N/A</v>
      </c>
      <c r="P100" s="2">
        <f>SUMIF(MICRO!AP:AP,O100,MICRO!AS:AS)</f>
        <v>0</v>
      </c>
      <c r="Q100" s="2">
        <f>SUMIF(MICRO!AP:AP,O100,MICRO!AT:AT)</f>
        <v>0</v>
      </c>
      <c r="R100" s="2">
        <f>SUMIF(MICRO!AP:AP,O:O,MICRO!AU:AU)</f>
        <v>0</v>
      </c>
    </row>
    <row r="101" spans="3:18" s="2" customFormat="1" ht="32.25" thickBot="1" x14ac:dyDescent="0.3">
      <c r="C101" s="45"/>
      <c r="D101" s="61" t="s">
        <v>157</v>
      </c>
      <c r="E101" s="46" t="e">
        <f>VLOOKUP(Tabela2[[#This Row],[TAG]],MICRO!J:L,3,0)</f>
        <v>#N/A</v>
      </c>
      <c r="F101" s="44" t="s">
        <v>23</v>
      </c>
      <c r="G101" s="58">
        <f>SUMIF(MICRO!AP:AP,O:O,MICRO!H:H)</f>
        <v>0</v>
      </c>
      <c r="H101" s="1">
        <f>SUMIF(MICRO!AP:AP,O:O,MICRO!R:R)</f>
        <v>0</v>
      </c>
      <c r="I101" s="1">
        <f>SUMIF(MICRO!AP:AP,O:O,MICRO!T:T)</f>
        <v>0</v>
      </c>
      <c r="J101" s="59">
        <f t="shared" si="5"/>
        <v>0</v>
      </c>
      <c r="K101" s="1">
        <f>SUMIF(MICRO!AP:AP,O:O,MICRO!X:X)</f>
        <v>0</v>
      </c>
      <c r="L101" s="59" t="str">
        <f t="shared" si="6"/>
        <v>0%</v>
      </c>
      <c r="M101" s="1">
        <f t="shared" si="7"/>
        <v>0</v>
      </c>
      <c r="N101" s="56" t="e">
        <f t="shared" si="8"/>
        <v>#N/A</v>
      </c>
      <c r="O101" s="56" t="e">
        <f t="shared" si="9"/>
        <v>#N/A</v>
      </c>
      <c r="P101" s="2">
        <f>SUMIF(MICRO!AP:AP,O101,MICRO!AS:AS)</f>
        <v>0</v>
      </c>
      <c r="Q101" s="2">
        <f>SUMIF(MICRO!AP:AP,O101,MICRO!AT:AT)</f>
        <v>0</v>
      </c>
      <c r="R101" s="2">
        <f>SUMIF(MICRO!AP:AP,O:O,MICRO!AU:AU)</f>
        <v>0</v>
      </c>
    </row>
    <row r="102" spans="3:18" s="2" customFormat="1" ht="18.75" thickBot="1" x14ac:dyDescent="0.3">
      <c r="C102" s="45"/>
      <c r="D102" s="61" t="s">
        <v>131</v>
      </c>
      <c r="E102" s="46" t="e">
        <f>VLOOKUP(Tabela2[[#This Row],[TAG]],MICRO!J:L,3,0)</f>
        <v>#N/A</v>
      </c>
      <c r="F102" s="44" t="s">
        <v>22</v>
      </c>
      <c r="G102" s="58">
        <f>SUMIF(MICRO!AP:AP,O:O,MICRO!H:H)</f>
        <v>0</v>
      </c>
      <c r="H102" s="1">
        <f>SUMIF(MICRO!AP:AP,O:O,MICRO!R:R)</f>
        <v>0</v>
      </c>
      <c r="I102" s="1">
        <f>SUMIF(MICRO!AP:AP,O:O,MICRO!T:T)</f>
        <v>0</v>
      </c>
      <c r="J102" s="59">
        <f t="shared" si="5"/>
        <v>0</v>
      </c>
      <c r="K102" s="1">
        <f>SUMIF(MICRO!AP:AP,O:O,MICRO!X:X)</f>
        <v>0</v>
      </c>
      <c r="L102" s="59" t="str">
        <f t="shared" si="6"/>
        <v>0%</v>
      </c>
      <c r="M102" s="1">
        <f t="shared" si="7"/>
        <v>0</v>
      </c>
      <c r="N102" s="56" t="e">
        <f t="shared" si="8"/>
        <v>#N/A</v>
      </c>
      <c r="O102" s="56" t="e">
        <f t="shared" si="9"/>
        <v>#N/A</v>
      </c>
      <c r="P102" s="2">
        <f>SUMIF(MICRO!AP:AP,O102,MICRO!AS:AS)</f>
        <v>0</v>
      </c>
      <c r="Q102" s="2">
        <f>SUMIF(MICRO!AP:AP,O102,MICRO!AT:AT)</f>
        <v>0</v>
      </c>
      <c r="R102" s="2">
        <f>SUMIF(MICRO!AP:AP,O:O,MICRO!AU:AU)</f>
        <v>0</v>
      </c>
    </row>
    <row r="103" spans="3:18" s="2" customFormat="1" ht="18.75" thickBot="1" x14ac:dyDescent="0.3">
      <c r="C103" s="45"/>
      <c r="D103" s="61" t="s">
        <v>155</v>
      </c>
      <c r="E103" s="46" t="e">
        <f>VLOOKUP(Tabela2[[#This Row],[TAG]],MICRO!J:L,3,0)</f>
        <v>#N/A</v>
      </c>
      <c r="F103" s="44" t="s">
        <v>22</v>
      </c>
      <c r="G103" s="58">
        <f>SUMIF(MICRO!AP:AP,O:O,MICRO!H:H)</f>
        <v>0</v>
      </c>
      <c r="H103" s="1">
        <f>SUMIF(MICRO!AP:AP,O:O,MICRO!R:R)</f>
        <v>0</v>
      </c>
      <c r="I103" s="1">
        <f>SUMIF(MICRO!AP:AP,O:O,MICRO!T:T)</f>
        <v>0</v>
      </c>
      <c r="J103" s="59">
        <f t="shared" si="5"/>
        <v>0</v>
      </c>
      <c r="K103" s="1">
        <f>SUMIF(MICRO!AP:AP,O:O,MICRO!X:X)</f>
        <v>0</v>
      </c>
      <c r="L103" s="59" t="str">
        <f t="shared" si="6"/>
        <v>0%</v>
      </c>
      <c r="M103" s="1">
        <f t="shared" si="7"/>
        <v>0</v>
      </c>
      <c r="N103" s="56" t="e">
        <f t="shared" si="8"/>
        <v>#N/A</v>
      </c>
      <c r="O103" s="56" t="e">
        <f t="shared" si="9"/>
        <v>#N/A</v>
      </c>
      <c r="P103" s="2">
        <f>SUMIF(MICRO!AP:AP,O103,MICRO!AS:AS)</f>
        <v>0</v>
      </c>
      <c r="Q103" s="2">
        <f>SUMIF(MICRO!AP:AP,O103,MICRO!AT:AT)</f>
        <v>0</v>
      </c>
      <c r="R103" s="2">
        <f>SUMIF(MICRO!AP:AP,O:O,MICRO!AU:AU)</f>
        <v>0</v>
      </c>
    </row>
    <row r="104" spans="3:18" s="2" customFormat="1" ht="18.75" thickBot="1" x14ac:dyDescent="0.3">
      <c r="C104" s="45"/>
      <c r="D104" s="61" t="s">
        <v>153</v>
      </c>
      <c r="E104" s="46" t="e">
        <f>VLOOKUP(Tabela2[[#This Row],[TAG]],MICRO!J:L,3,0)</f>
        <v>#N/A</v>
      </c>
      <c r="F104" s="44" t="s">
        <v>31</v>
      </c>
      <c r="G104" s="58">
        <f>SUMIF(MICRO!AP:AP,O:O,MICRO!H:H)</f>
        <v>0</v>
      </c>
      <c r="H104" s="1">
        <f>SUMIF(MICRO!AP:AP,O:O,MICRO!R:R)</f>
        <v>0</v>
      </c>
      <c r="I104" s="1">
        <f>SUMIF(MICRO!AP:AP,O:O,MICRO!T:T)</f>
        <v>0</v>
      </c>
      <c r="J104" s="59">
        <f t="shared" si="5"/>
        <v>0</v>
      </c>
      <c r="K104" s="1">
        <f>SUMIF(MICRO!AP:AP,O:O,MICRO!X:X)</f>
        <v>0</v>
      </c>
      <c r="L104" s="59" t="str">
        <f t="shared" si="6"/>
        <v>0%</v>
      </c>
      <c r="M104" s="1">
        <f t="shared" si="7"/>
        <v>0</v>
      </c>
      <c r="N104" s="56" t="e">
        <f t="shared" si="8"/>
        <v>#N/A</v>
      </c>
      <c r="O104" s="56" t="e">
        <f t="shared" si="9"/>
        <v>#N/A</v>
      </c>
      <c r="P104" s="2">
        <f>SUMIF(MICRO!AP:AP,O104,MICRO!AS:AS)</f>
        <v>0</v>
      </c>
      <c r="Q104" s="2">
        <f>SUMIF(MICRO!AP:AP,O104,MICRO!AT:AT)</f>
        <v>0</v>
      </c>
      <c r="R104" s="2">
        <f>SUMIF(MICRO!AP:AP,O:O,MICRO!AU:AU)</f>
        <v>0</v>
      </c>
    </row>
    <row r="105" spans="3:18" s="2" customFormat="1" ht="18.75" thickBot="1" x14ac:dyDescent="0.3">
      <c r="C105" s="45"/>
      <c r="D105" s="61" t="s">
        <v>154</v>
      </c>
      <c r="E105" s="46" t="e">
        <f>VLOOKUP(Tabela2[[#This Row],[TAG]],MICRO!J:L,3,0)</f>
        <v>#N/A</v>
      </c>
      <c r="F105" s="44" t="s">
        <v>33</v>
      </c>
      <c r="G105" s="58">
        <f>SUMIF(MICRO!AP:AP,O:O,MICRO!H:H)</f>
        <v>0</v>
      </c>
      <c r="H105" s="1">
        <f>SUMIF(MICRO!AP:AP,O:O,MICRO!R:R)</f>
        <v>0</v>
      </c>
      <c r="I105" s="1">
        <f>SUMIF(MICRO!AP:AP,O:O,MICRO!T:T)</f>
        <v>0</v>
      </c>
      <c r="J105" s="59">
        <f t="shared" si="5"/>
        <v>0</v>
      </c>
      <c r="K105" s="1">
        <f>SUMIF(MICRO!AP:AP,O:O,MICRO!X:X)</f>
        <v>0</v>
      </c>
      <c r="L105" s="59" t="str">
        <f t="shared" si="6"/>
        <v>0%</v>
      </c>
      <c r="M105" s="1">
        <f t="shared" si="7"/>
        <v>0</v>
      </c>
      <c r="N105" s="56" t="e">
        <f t="shared" si="8"/>
        <v>#N/A</v>
      </c>
      <c r="O105" s="56" t="e">
        <f t="shared" si="9"/>
        <v>#N/A</v>
      </c>
      <c r="P105" s="2">
        <f>SUMIF(MICRO!AP:AP,O105,MICRO!AS:AS)</f>
        <v>0</v>
      </c>
      <c r="Q105" s="2">
        <f>SUMIF(MICRO!AP:AP,O105,MICRO!AT:AT)</f>
        <v>0</v>
      </c>
      <c r="R105" s="2">
        <f>SUMIF(MICRO!AP:AP,O:O,MICRO!AU:AU)</f>
        <v>0</v>
      </c>
    </row>
    <row r="106" spans="3:18" s="2" customFormat="1" ht="18.75" thickBot="1" x14ac:dyDescent="0.3">
      <c r="C106" s="45"/>
      <c r="D106" s="61" t="s">
        <v>151</v>
      </c>
      <c r="E106" s="46" t="e">
        <f>VLOOKUP(Tabela2[[#This Row],[TAG]],MICRO!J:L,3,0)</f>
        <v>#N/A</v>
      </c>
      <c r="F106" s="44" t="s">
        <v>33</v>
      </c>
      <c r="G106" s="58">
        <f>SUMIF(MICRO!AP:AP,O:O,MICRO!H:H)</f>
        <v>0</v>
      </c>
      <c r="H106" s="1">
        <f>SUMIF(MICRO!AP:AP,O:O,MICRO!R:R)</f>
        <v>0</v>
      </c>
      <c r="I106" s="1">
        <f>SUMIF(MICRO!AP:AP,O:O,MICRO!T:T)</f>
        <v>0</v>
      </c>
      <c r="J106" s="59">
        <f t="shared" si="5"/>
        <v>0</v>
      </c>
      <c r="K106" s="1">
        <f>SUMIF(MICRO!AP:AP,O:O,MICRO!X:X)</f>
        <v>0</v>
      </c>
      <c r="L106" s="59" t="str">
        <f t="shared" si="6"/>
        <v>0%</v>
      </c>
      <c r="M106" s="1">
        <f t="shared" si="7"/>
        <v>0</v>
      </c>
      <c r="N106" s="56" t="e">
        <f t="shared" si="8"/>
        <v>#N/A</v>
      </c>
      <c r="O106" s="56" t="e">
        <f t="shared" si="9"/>
        <v>#N/A</v>
      </c>
      <c r="P106" s="2">
        <f>SUMIF(MICRO!AP:AP,O106,MICRO!AS:AS)</f>
        <v>0</v>
      </c>
      <c r="Q106" s="2">
        <f>SUMIF(MICRO!AP:AP,O106,MICRO!AT:AT)</f>
        <v>0</v>
      </c>
      <c r="R106" s="2">
        <f>SUMIF(MICRO!AP:AP,O:O,MICRO!AU:AU)</f>
        <v>0</v>
      </c>
    </row>
    <row r="107" spans="3:18" s="2" customFormat="1" ht="18.75" thickBot="1" x14ac:dyDescent="0.3">
      <c r="C107" s="45"/>
      <c r="D107" s="61" t="s">
        <v>160</v>
      </c>
      <c r="E107" s="46" t="e">
        <f>VLOOKUP(Tabela2[[#This Row],[TAG]],MICRO!J:L,3,0)</f>
        <v>#N/A</v>
      </c>
      <c r="F107" s="44" t="s">
        <v>31</v>
      </c>
      <c r="G107" s="58">
        <f>SUMIF(MICRO!AP:AP,O:O,MICRO!H:H)</f>
        <v>0</v>
      </c>
      <c r="H107" s="1">
        <f>SUMIF(MICRO!AP:AP,O:O,MICRO!R:R)</f>
        <v>0</v>
      </c>
      <c r="I107" s="1">
        <f>SUMIF(MICRO!AP:AP,O:O,MICRO!T:T)</f>
        <v>0</v>
      </c>
      <c r="J107" s="59">
        <f t="shared" si="5"/>
        <v>0</v>
      </c>
      <c r="K107" s="1">
        <f>SUMIF(MICRO!AP:AP,O:O,MICRO!X:X)</f>
        <v>0</v>
      </c>
      <c r="L107" s="59" t="str">
        <f t="shared" si="6"/>
        <v>0%</v>
      </c>
      <c r="M107" s="1">
        <f t="shared" si="7"/>
        <v>0</v>
      </c>
      <c r="N107" s="56" t="e">
        <f t="shared" si="8"/>
        <v>#N/A</v>
      </c>
      <c r="O107" s="56" t="e">
        <f t="shared" si="9"/>
        <v>#N/A</v>
      </c>
      <c r="P107" s="2">
        <f>SUMIF(MICRO!AP:AP,O107,MICRO!AS:AS)</f>
        <v>0</v>
      </c>
      <c r="Q107" s="2">
        <f>SUMIF(MICRO!AP:AP,O107,MICRO!AT:AT)</f>
        <v>0</v>
      </c>
      <c r="R107" s="2">
        <f>SUMIF(MICRO!AP:AP,O:O,MICRO!AU:AU)</f>
        <v>0</v>
      </c>
    </row>
    <row r="108" spans="3:18" s="2" customFormat="1" ht="18.75" thickBot="1" x14ac:dyDescent="0.3">
      <c r="C108" s="45"/>
      <c r="D108" s="61" t="s">
        <v>161</v>
      </c>
      <c r="E108" s="46" t="e">
        <f>VLOOKUP(Tabela2[[#This Row],[TAG]],MICRO!J:L,3,0)</f>
        <v>#N/A</v>
      </c>
      <c r="F108" s="44" t="s">
        <v>33</v>
      </c>
      <c r="G108" s="58">
        <f>SUMIF(MICRO!AP:AP,O:O,MICRO!H:H)</f>
        <v>0</v>
      </c>
      <c r="H108" s="1">
        <f>SUMIF(MICRO!AP:AP,O:O,MICRO!R:R)</f>
        <v>0</v>
      </c>
      <c r="I108" s="1">
        <f>SUMIF(MICRO!AP:AP,O:O,MICRO!T:T)</f>
        <v>0</v>
      </c>
      <c r="J108" s="59">
        <f t="shared" si="5"/>
        <v>0</v>
      </c>
      <c r="K108" s="1">
        <f>SUMIF(MICRO!AP:AP,O:O,MICRO!X:X)</f>
        <v>0</v>
      </c>
      <c r="L108" s="59" t="str">
        <f t="shared" si="6"/>
        <v>0%</v>
      </c>
      <c r="M108" s="1">
        <f t="shared" si="7"/>
        <v>0</v>
      </c>
      <c r="N108" s="56" t="e">
        <f t="shared" si="8"/>
        <v>#N/A</v>
      </c>
      <c r="O108" s="56" t="e">
        <f t="shared" si="9"/>
        <v>#N/A</v>
      </c>
      <c r="P108" s="2">
        <f>SUMIF(MICRO!AP:AP,O108,MICRO!AS:AS)</f>
        <v>0</v>
      </c>
      <c r="Q108" s="2">
        <f>SUMIF(MICRO!AP:AP,O108,MICRO!AT:AT)</f>
        <v>0</v>
      </c>
      <c r="R108" s="2">
        <f>SUMIF(MICRO!AP:AP,O:O,MICRO!AU:AU)</f>
        <v>0</v>
      </c>
    </row>
    <row r="109" spans="3:18" s="2" customFormat="1" ht="18.75" thickBot="1" x14ac:dyDescent="0.3">
      <c r="C109" s="45"/>
      <c r="D109" s="61" t="s">
        <v>163</v>
      </c>
      <c r="E109" s="46" t="e">
        <f>VLOOKUP(Tabela2[[#This Row],[TAG]],MICRO!J:L,3,0)</f>
        <v>#N/A</v>
      </c>
      <c r="F109" s="44" t="s">
        <v>23</v>
      </c>
      <c r="G109" s="58">
        <f>SUMIF(MICRO!AP:AP,O:O,MICRO!H:H)</f>
        <v>0</v>
      </c>
      <c r="H109" s="1">
        <f>SUMIF(MICRO!AP:AP,O:O,MICRO!R:R)</f>
        <v>0</v>
      </c>
      <c r="I109" s="1">
        <f>SUMIF(MICRO!AP:AP,O:O,MICRO!T:T)</f>
        <v>0</v>
      </c>
      <c r="J109" s="59">
        <f t="shared" si="5"/>
        <v>0</v>
      </c>
      <c r="K109" s="1">
        <f>SUMIF(MICRO!AP:AP,O:O,MICRO!X:X)</f>
        <v>0</v>
      </c>
      <c r="L109" s="59" t="str">
        <f t="shared" si="6"/>
        <v>0%</v>
      </c>
      <c r="M109" s="1">
        <f t="shared" si="7"/>
        <v>0</v>
      </c>
      <c r="N109" s="56" t="e">
        <f t="shared" si="8"/>
        <v>#N/A</v>
      </c>
      <c r="O109" s="56" t="e">
        <f t="shared" si="9"/>
        <v>#N/A</v>
      </c>
      <c r="P109" s="2">
        <f>SUMIF(MICRO!AP:AP,O109,MICRO!AS:AS)</f>
        <v>0</v>
      </c>
      <c r="Q109" s="2">
        <f>SUMIF(MICRO!AP:AP,O109,MICRO!AT:AT)</f>
        <v>0</v>
      </c>
      <c r="R109" s="2">
        <f>SUMIF(MICRO!AP:AP,O:O,MICRO!AU:AU)</f>
        <v>0</v>
      </c>
    </row>
    <row r="110" spans="3:18" s="2" customFormat="1" ht="18.75" thickBot="1" x14ac:dyDescent="0.3">
      <c r="C110" s="45"/>
      <c r="D110" s="61" t="s">
        <v>164</v>
      </c>
      <c r="E110" s="46" t="e">
        <f>VLOOKUP(Tabela2[[#This Row],[TAG]],MICRO!J:L,3,0)</f>
        <v>#N/A</v>
      </c>
      <c r="F110" s="44" t="s">
        <v>33</v>
      </c>
      <c r="G110" s="58">
        <f>SUMIF(MICRO!AP:AP,O:O,MICRO!H:H)</f>
        <v>0</v>
      </c>
      <c r="H110" s="1">
        <f>SUMIF(MICRO!AP:AP,O:O,MICRO!R:R)</f>
        <v>0</v>
      </c>
      <c r="I110" s="1">
        <f>SUMIF(MICRO!AP:AP,O:O,MICRO!T:T)</f>
        <v>0</v>
      </c>
      <c r="J110" s="59">
        <f t="shared" si="5"/>
        <v>0</v>
      </c>
      <c r="K110" s="1">
        <f>SUMIF(MICRO!AP:AP,O:O,MICRO!X:X)</f>
        <v>0</v>
      </c>
      <c r="L110" s="59" t="str">
        <f t="shared" si="6"/>
        <v>0%</v>
      </c>
      <c r="M110" s="1">
        <f t="shared" si="7"/>
        <v>0</v>
      </c>
      <c r="N110" s="56" t="e">
        <f t="shared" si="8"/>
        <v>#N/A</v>
      </c>
      <c r="O110" s="56" t="e">
        <f t="shared" si="9"/>
        <v>#N/A</v>
      </c>
      <c r="P110" s="2">
        <f>SUMIF(MICRO!AP:AP,O110,MICRO!AS:AS)</f>
        <v>0</v>
      </c>
      <c r="Q110" s="2">
        <f>SUMIF(MICRO!AP:AP,O110,MICRO!AT:AT)</f>
        <v>0</v>
      </c>
      <c r="R110" s="2">
        <f>SUMIF(MICRO!AP:AP,O:O,MICRO!AU:AU)</f>
        <v>0</v>
      </c>
    </row>
    <row r="111" spans="3:18" s="2" customFormat="1" ht="18.75" thickBot="1" x14ac:dyDescent="0.3">
      <c r="C111" s="45"/>
      <c r="D111" s="61" t="s">
        <v>169</v>
      </c>
      <c r="E111" s="46" t="e">
        <f>VLOOKUP(Tabela2[[#This Row],[TAG]],MICRO!J:L,3,0)</f>
        <v>#N/A</v>
      </c>
      <c r="F111" s="44" t="s">
        <v>31</v>
      </c>
      <c r="G111" s="58">
        <f>SUMIF(MICRO!AP:AP,O:O,MICRO!H:H)</f>
        <v>0</v>
      </c>
      <c r="H111" s="1">
        <f>SUMIF(MICRO!AP:AP,O:O,MICRO!R:R)</f>
        <v>0</v>
      </c>
      <c r="I111" s="1">
        <f>SUMIF(MICRO!AP:AP,O:O,MICRO!T:T)</f>
        <v>0</v>
      </c>
      <c r="J111" s="59">
        <f t="shared" si="5"/>
        <v>0</v>
      </c>
      <c r="K111" s="1">
        <f>SUMIF(MICRO!AP:AP,O:O,MICRO!X:X)</f>
        <v>0</v>
      </c>
      <c r="L111" s="59" t="str">
        <f t="shared" si="6"/>
        <v>0%</v>
      </c>
      <c r="M111" s="1">
        <f t="shared" si="7"/>
        <v>0</v>
      </c>
      <c r="N111" s="56" t="e">
        <f t="shared" si="8"/>
        <v>#N/A</v>
      </c>
      <c r="O111" s="56" t="e">
        <f t="shared" si="9"/>
        <v>#N/A</v>
      </c>
      <c r="P111" s="2">
        <f>SUMIF(MICRO!AP:AP,O111,MICRO!AS:AS)</f>
        <v>0</v>
      </c>
      <c r="Q111" s="2">
        <f>SUMIF(MICRO!AP:AP,O111,MICRO!AT:AT)</f>
        <v>0</v>
      </c>
      <c r="R111" s="2">
        <f>SUMIF(MICRO!AP:AP,O:O,MICRO!AU:AU)</f>
        <v>0</v>
      </c>
    </row>
    <row r="112" spans="3:18" s="2" customFormat="1" ht="18.75" thickBot="1" x14ac:dyDescent="0.3">
      <c r="C112" s="45"/>
      <c r="D112" s="61" t="s">
        <v>168</v>
      </c>
      <c r="E112" s="46" t="e">
        <f>VLOOKUP(Tabela2[[#This Row],[TAG]],MICRO!J:L,3,0)</f>
        <v>#N/A</v>
      </c>
      <c r="F112" s="44" t="s">
        <v>31</v>
      </c>
      <c r="G112" s="58">
        <f>SUMIF(MICRO!AP:AP,O:O,MICRO!H:H)</f>
        <v>0</v>
      </c>
      <c r="H112" s="1">
        <f>SUMIF(MICRO!AP:AP,O:O,MICRO!R:R)</f>
        <v>0</v>
      </c>
      <c r="I112" s="1">
        <f>SUMIF(MICRO!AP:AP,O:O,MICRO!T:T)</f>
        <v>0</v>
      </c>
      <c r="J112" s="59">
        <f t="shared" si="5"/>
        <v>0</v>
      </c>
      <c r="K112" s="1">
        <f>SUMIF(MICRO!AP:AP,O:O,MICRO!X:X)</f>
        <v>0</v>
      </c>
      <c r="L112" s="59" t="str">
        <f t="shared" si="6"/>
        <v>0%</v>
      </c>
      <c r="M112" s="1">
        <f t="shared" si="7"/>
        <v>0</v>
      </c>
      <c r="N112" s="56" t="e">
        <f t="shared" si="8"/>
        <v>#N/A</v>
      </c>
      <c r="O112" s="56" t="e">
        <f t="shared" si="9"/>
        <v>#N/A</v>
      </c>
      <c r="P112" s="2">
        <f>SUMIF(MICRO!AP:AP,O112,MICRO!AS:AS)</f>
        <v>0</v>
      </c>
      <c r="Q112" s="2">
        <f>SUMIF(MICRO!AP:AP,O112,MICRO!AT:AT)</f>
        <v>0</v>
      </c>
      <c r="R112" s="2">
        <f>SUMIF(MICRO!AP:AP,O:O,MICRO!AU:AU)</f>
        <v>0</v>
      </c>
    </row>
    <row r="113" spans="3:18" s="2" customFormat="1" ht="18.75" thickBot="1" x14ac:dyDescent="0.3">
      <c r="C113" s="45"/>
      <c r="D113" s="61" t="s">
        <v>169</v>
      </c>
      <c r="E113" s="46" t="e">
        <f>VLOOKUP(Tabela2[[#This Row],[TAG]],MICRO!J:L,3,0)</f>
        <v>#N/A</v>
      </c>
      <c r="F113" s="44" t="s">
        <v>23</v>
      </c>
      <c r="G113" s="58">
        <f>SUMIF(MICRO!AP:AP,O:O,MICRO!H:H)</f>
        <v>0</v>
      </c>
      <c r="H113" s="1">
        <f>SUMIF(MICRO!AP:AP,O:O,MICRO!R:R)</f>
        <v>0</v>
      </c>
      <c r="I113" s="1">
        <f>SUMIF(MICRO!AP:AP,O:O,MICRO!T:T)</f>
        <v>0</v>
      </c>
      <c r="J113" s="59">
        <f t="shared" si="5"/>
        <v>0</v>
      </c>
      <c r="K113" s="1">
        <f>SUMIF(MICRO!AP:AP,O:O,MICRO!X:X)</f>
        <v>0</v>
      </c>
      <c r="L113" s="59" t="str">
        <f t="shared" si="6"/>
        <v>0%</v>
      </c>
      <c r="M113" s="1">
        <f t="shared" si="7"/>
        <v>0</v>
      </c>
      <c r="N113" s="56" t="e">
        <f t="shared" si="8"/>
        <v>#N/A</v>
      </c>
      <c r="O113" s="56" t="e">
        <f t="shared" si="9"/>
        <v>#N/A</v>
      </c>
      <c r="P113" s="2">
        <f>SUMIF(MICRO!AP:AP,O113,MICRO!AS:AS)</f>
        <v>0</v>
      </c>
      <c r="Q113" s="2">
        <f>SUMIF(MICRO!AP:AP,O113,MICRO!AT:AT)</f>
        <v>0</v>
      </c>
      <c r="R113" s="2">
        <f>SUMIF(MICRO!AP:AP,O:O,MICRO!AU:AU)</f>
        <v>0</v>
      </c>
    </row>
    <row r="114" spans="3:18" s="2" customFormat="1" ht="18.75" thickBot="1" x14ac:dyDescent="0.3">
      <c r="C114" s="45"/>
      <c r="D114" s="61" t="s">
        <v>168</v>
      </c>
      <c r="E114" s="46" t="e">
        <f>VLOOKUP(Tabela2[[#This Row],[TAG]],MICRO!J:L,3,0)</f>
        <v>#N/A</v>
      </c>
      <c r="F114" s="44" t="s">
        <v>23</v>
      </c>
      <c r="G114" s="58">
        <f>SUMIF(MICRO!AP:AP,O:O,MICRO!H:H)</f>
        <v>0</v>
      </c>
      <c r="H114" s="1">
        <f>SUMIF(MICRO!AP:AP,O:O,MICRO!R:R)</f>
        <v>0</v>
      </c>
      <c r="I114" s="1">
        <f>SUMIF(MICRO!AP:AP,O:O,MICRO!T:T)</f>
        <v>0</v>
      </c>
      <c r="J114" s="59">
        <f t="shared" si="5"/>
        <v>0</v>
      </c>
      <c r="K114" s="1">
        <f>SUMIF(MICRO!AP:AP,O:O,MICRO!X:X)</f>
        <v>0</v>
      </c>
      <c r="L114" s="59" t="str">
        <f t="shared" si="6"/>
        <v>0%</v>
      </c>
      <c r="M114" s="1">
        <f t="shared" si="7"/>
        <v>0</v>
      </c>
      <c r="N114" s="56" t="e">
        <f t="shared" si="8"/>
        <v>#N/A</v>
      </c>
      <c r="O114" s="56" t="e">
        <f t="shared" si="9"/>
        <v>#N/A</v>
      </c>
      <c r="P114" s="2">
        <f>SUMIF(MICRO!AP:AP,O114,MICRO!AS:AS)</f>
        <v>0</v>
      </c>
      <c r="Q114" s="2">
        <f>SUMIF(MICRO!AP:AP,O114,MICRO!AT:AT)</f>
        <v>0</v>
      </c>
      <c r="R114" s="2">
        <f>SUMIF(MICRO!AP:AP,O:O,MICRO!AU:AU)</f>
        <v>0</v>
      </c>
    </row>
    <row r="115" spans="3:18" s="2" customFormat="1" ht="18.75" thickBot="1" x14ac:dyDescent="0.3">
      <c r="C115" s="45"/>
      <c r="D115" s="61" t="s">
        <v>169</v>
      </c>
      <c r="E115" s="46" t="e">
        <f>VLOOKUP(Tabela2[[#This Row],[TAG]],MICRO!J:L,3,0)</f>
        <v>#N/A</v>
      </c>
      <c r="F115" s="44" t="s">
        <v>22</v>
      </c>
      <c r="G115" s="58">
        <f>SUMIF(MICRO!AP:AP,O:O,MICRO!H:H)</f>
        <v>0</v>
      </c>
      <c r="H115" s="1">
        <f>SUMIF(MICRO!AP:AP,O:O,MICRO!R:R)</f>
        <v>0</v>
      </c>
      <c r="I115" s="1">
        <f>SUMIF(MICRO!AP:AP,O:O,MICRO!T:T)</f>
        <v>0</v>
      </c>
      <c r="J115" s="59">
        <f t="shared" si="5"/>
        <v>0</v>
      </c>
      <c r="K115" s="1">
        <f>SUMIF(MICRO!AP:AP,O:O,MICRO!X:X)</f>
        <v>0</v>
      </c>
      <c r="L115" s="59" t="str">
        <f t="shared" si="6"/>
        <v>0%</v>
      </c>
      <c r="M115" s="1">
        <f t="shared" si="7"/>
        <v>0</v>
      </c>
      <c r="N115" s="56" t="e">
        <f t="shared" si="8"/>
        <v>#N/A</v>
      </c>
      <c r="O115" s="56" t="e">
        <f t="shared" si="9"/>
        <v>#N/A</v>
      </c>
      <c r="P115" s="2">
        <f>SUMIF(MICRO!AP:AP,O115,MICRO!AS:AS)</f>
        <v>0</v>
      </c>
      <c r="Q115" s="2">
        <f>SUMIF(MICRO!AP:AP,O115,MICRO!AT:AT)</f>
        <v>0</v>
      </c>
      <c r="R115" s="2">
        <f>SUMIF(MICRO!AP:AP,O:O,MICRO!AU:AU)</f>
        <v>0</v>
      </c>
    </row>
    <row r="116" spans="3:18" s="2" customFormat="1" ht="18.75" thickBot="1" x14ac:dyDescent="0.3">
      <c r="C116" s="45"/>
      <c r="D116" s="61" t="s">
        <v>168</v>
      </c>
      <c r="E116" s="46" t="e">
        <f>VLOOKUP(Tabela2[[#This Row],[TAG]],MICRO!J:L,3,0)</f>
        <v>#N/A</v>
      </c>
      <c r="F116" s="44" t="s">
        <v>22</v>
      </c>
      <c r="G116" s="58">
        <f>SUMIF(MICRO!AP:AP,O:O,MICRO!H:H)</f>
        <v>0</v>
      </c>
      <c r="H116" s="1">
        <f>SUMIF(MICRO!AP:AP,O:O,MICRO!R:R)</f>
        <v>0</v>
      </c>
      <c r="I116" s="1">
        <f>SUMIF(MICRO!AP:AP,O:O,MICRO!T:T)</f>
        <v>0</v>
      </c>
      <c r="J116" s="59">
        <f t="shared" si="5"/>
        <v>0</v>
      </c>
      <c r="K116" s="1">
        <f>SUMIF(MICRO!AP:AP,O:O,MICRO!X:X)</f>
        <v>0</v>
      </c>
      <c r="L116" s="59" t="str">
        <f t="shared" si="6"/>
        <v>0%</v>
      </c>
      <c r="M116" s="1">
        <f t="shared" si="7"/>
        <v>0</v>
      </c>
      <c r="N116" s="56" t="e">
        <f t="shared" si="8"/>
        <v>#N/A</v>
      </c>
      <c r="O116" s="56" t="e">
        <f t="shared" si="9"/>
        <v>#N/A</v>
      </c>
      <c r="P116" s="2">
        <f>SUMIF(MICRO!AP:AP,O116,MICRO!AS:AS)</f>
        <v>0</v>
      </c>
      <c r="Q116" s="2">
        <f>SUMIF(MICRO!AP:AP,O116,MICRO!AT:AT)</f>
        <v>0</v>
      </c>
      <c r="R116" s="2">
        <f>SUMIF(MICRO!AP:AP,O:O,MICRO!AU:AU)</f>
        <v>0</v>
      </c>
    </row>
    <row r="117" spans="3:18" s="2" customFormat="1" ht="18.75" thickBot="1" x14ac:dyDescent="0.3">
      <c r="C117" s="45"/>
      <c r="D117" s="61" t="s">
        <v>169</v>
      </c>
      <c r="E117" s="46" t="e">
        <f>VLOOKUP(Tabela2[[#This Row],[TAG]],MICRO!J:L,3,0)</f>
        <v>#N/A</v>
      </c>
      <c r="F117" s="44" t="s">
        <v>44</v>
      </c>
      <c r="G117" s="58">
        <f>SUMIF(MICRO!AP:AP,O:O,MICRO!H:H)</f>
        <v>0</v>
      </c>
      <c r="H117" s="1">
        <f>SUMIF(MICRO!AP:AP,O:O,MICRO!R:R)</f>
        <v>0</v>
      </c>
      <c r="I117" s="1">
        <f>SUMIF(MICRO!AP:AP,O:O,MICRO!T:T)</f>
        <v>0</v>
      </c>
      <c r="J117" s="59">
        <f t="shared" si="5"/>
        <v>0</v>
      </c>
      <c r="K117" s="1">
        <f>SUMIF(MICRO!AP:AP,O:O,MICRO!X:X)</f>
        <v>0</v>
      </c>
      <c r="L117" s="59" t="str">
        <f t="shared" si="6"/>
        <v>0%</v>
      </c>
      <c r="M117" s="1">
        <f t="shared" si="7"/>
        <v>0</v>
      </c>
      <c r="N117" s="56" t="e">
        <f t="shared" si="8"/>
        <v>#N/A</v>
      </c>
      <c r="O117" s="56" t="e">
        <f t="shared" si="9"/>
        <v>#N/A</v>
      </c>
      <c r="P117" s="2">
        <f>SUMIF(MICRO!AP:AP,O117,MICRO!AS:AS)</f>
        <v>0</v>
      </c>
      <c r="Q117" s="2">
        <f>SUMIF(MICRO!AP:AP,O117,MICRO!AT:AT)</f>
        <v>0</v>
      </c>
      <c r="R117" s="2">
        <f>SUMIF(MICRO!AP:AP,O:O,MICRO!AU:AU)</f>
        <v>0</v>
      </c>
    </row>
    <row r="118" spans="3:18" s="2" customFormat="1" ht="18.75" thickBot="1" x14ac:dyDescent="0.3">
      <c r="C118" s="45"/>
      <c r="D118" s="61" t="s">
        <v>168</v>
      </c>
      <c r="E118" s="46" t="e">
        <f>VLOOKUP(Tabela2[[#This Row],[TAG]],MICRO!J:L,3,0)</f>
        <v>#N/A</v>
      </c>
      <c r="F118" s="44" t="s">
        <v>44</v>
      </c>
      <c r="G118" s="58">
        <f>SUMIF(MICRO!AP:AP,O:O,MICRO!H:H)</f>
        <v>0</v>
      </c>
      <c r="H118" s="1">
        <f>SUMIF(MICRO!AP:AP,O:O,MICRO!R:R)</f>
        <v>0</v>
      </c>
      <c r="I118" s="1">
        <f>SUMIF(MICRO!AP:AP,O:O,MICRO!T:T)</f>
        <v>0</v>
      </c>
      <c r="J118" s="59">
        <f t="shared" si="5"/>
        <v>0</v>
      </c>
      <c r="K118" s="1">
        <f>SUMIF(MICRO!AP:AP,O:O,MICRO!X:X)</f>
        <v>0</v>
      </c>
      <c r="L118" s="59" t="str">
        <f t="shared" si="6"/>
        <v>0%</v>
      </c>
      <c r="M118" s="1">
        <f t="shared" si="7"/>
        <v>0</v>
      </c>
      <c r="N118" s="56" t="e">
        <f t="shared" si="8"/>
        <v>#N/A</v>
      </c>
      <c r="O118" s="56" t="e">
        <f t="shared" si="9"/>
        <v>#N/A</v>
      </c>
      <c r="P118" s="2">
        <f>SUMIF(MICRO!AP:AP,O118,MICRO!AS:AS)</f>
        <v>0</v>
      </c>
      <c r="Q118" s="2">
        <f>SUMIF(MICRO!AP:AP,O118,MICRO!AT:AT)</f>
        <v>0</v>
      </c>
      <c r="R118" s="2">
        <f>SUMIF(MICRO!AP:AP,O:O,MICRO!AU:AU)</f>
        <v>0</v>
      </c>
    </row>
    <row r="119" spans="3:18" s="2" customFormat="1" ht="18.75" thickBot="1" x14ac:dyDescent="0.3">
      <c r="C119" s="45"/>
      <c r="D119" s="61" t="s">
        <v>169</v>
      </c>
      <c r="E119" s="46" t="e">
        <f>VLOOKUP(Tabela2[[#This Row],[TAG]],MICRO!J:L,3,0)</f>
        <v>#N/A</v>
      </c>
      <c r="F119" s="44" t="s">
        <v>33</v>
      </c>
      <c r="G119" s="58">
        <f>SUMIF(MICRO!AP:AP,O:O,MICRO!H:H)</f>
        <v>0</v>
      </c>
      <c r="H119" s="1">
        <f>SUMIF(MICRO!AP:AP,O:O,MICRO!R:R)</f>
        <v>0</v>
      </c>
      <c r="I119" s="1">
        <f>SUMIF(MICRO!AP:AP,O:O,MICRO!T:T)</f>
        <v>0</v>
      </c>
      <c r="J119" s="59">
        <f t="shared" si="5"/>
        <v>0</v>
      </c>
      <c r="K119" s="1">
        <f>SUMIF(MICRO!AP:AP,O:O,MICRO!X:X)</f>
        <v>0</v>
      </c>
      <c r="L119" s="59" t="str">
        <f t="shared" si="6"/>
        <v>0%</v>
      </c>
      <c r="M119" s="1">
        <f t="shared" si="7"/>
        <v>0</v>
      </c>
      <c r="N119" s="56" t="e">
        <f t="shared" si="8"/>
        <v>#N/A</v>
      </c>
      <c r="O119" s="56" t="e">
        <f t="shared" si="9"/>
        <v>#N/A</v>
      </c>
      <c r="P119" s="2">
        <f>SUMIF(MICRO!AP:AP,O119,MICRO!AS:AS)</f>
        <v>0</v>
      </c>
      <c r="Q119" s="2">
        <f>SUMIF(MICRO!AP:AP,O119,MICRO!AT:AT)</f>
        <v>0</v>
      </c>
      <c r="R119" s="2">
        <f>SUMIF(MICRO!AP:AP,O:O,MICRO!AU:AU)</f>
        <v>0</v>
      </c>
    </row>
    <row r="120" spans="3:18" s="2" customFormat="1" ht="18.75" thickBot="1" x14ac:dyDescent="0.3">
      <c r="C120" s="45"/>
      <c r="D120" s="61" t="s">
        <v>168</v>
      </c>
      <c r="E120" s="46" t="e">
        <f>VLOOKUP(Tabela2[[#This Row],[TAG]],MICRO!J:L,3,0)</f>
        <v>#N/A</v>
      </c>
      <c r="F120" s="44" t="s">
        <v>33</v>
      </c>
      <c r="G120" s="58">
        <f>SUMIF(MICRO!AP:AP,O:O,MICRO!H:H)</f>
        <v>0</v>
      </c>
      <c r="H120" s="1">
        <f>SUMIF(MICRO!AP:AP,O:O,MICRO!R:R)</f>
        <v>0</v>
      </c>
      <c r="I120" s="1">
        <f>SUMIF(MICRO!AP:AP,O:O,MICRO!T:T)</f>
        <v>0</v>
      </c>
      <c r="J120" s="59">
        <f t="shared" si="5"/>
        <v>0</v>
      </c>
      <c r="K120" s="1">
        <f>SUMIF(MICRO!AP:AP,O:O,MICRO!X:X)</f>
        <v>0</v>
      </c>
      <c r="L120" s="59" t="str">
        <f t="shared" si="6"/>
        <v>0%</v>
      </c>
      <c r="M120" s="1">
        <f t="shared" si="7"/>
        <v>0</v>
      </c>
      <c r="N120" s="56" t="e">
        <f t="shared" si="8"/>
        <v>#N/A</v>
      </c>
      <c r="O120" s="56" t="e">
        <f t="shared" si="9"/>
        <v>#N/A</v>
      </c>
      <c r="P120" s="2">
        <f>SUMIF(MICRO!AP:AP,O120,MICRO!AS:AS)</f>
        <v>0</v>
      </c>
      <c r="Q120" s="2">
        <f>SUMIF(MICRO!AP:AP,O120,MICRO!AT:AT)</f>
        <v>0</v>
      </c>
      <c r="R120" s="2">
        <f>SUMIF(MICRO!AP:AP,O:O,MICRO!AU:AU)</f>
        <v>0</v>
      </c>
    </row>
    <row r="121" spans="3:18" s="2" customFormat="1" ht="18.75" thickBot="1" x14ac:dyDescent="0.3">
      <c r="C121" s="45"/>
      <c r="D121" s="61" t="s">
        <v>191</v>
      </c>
      <c r="E121" s="46" t="e">
        <f>VLOOKUP(Tabela2[[#This Row],[TAG]],MICRO!J:L,3,0)</f>
        <v>#N/A</v>
      </c>
      <c r="F121" s="44" t="s">
        <v>31</v>
      </c>
      <c r="G121" s="58">
        <f>SUMIF(MICRO!AP:AP,O:O,MICRO!H:H)</f>
        <v>0</v>
      </c>
      <c r="H121" s="1">
        <f>SUMIF(MICRO!AP:AP,O:O,MICRO!R:R)</f>
        <v>0</v>
      </c>
      <c r="I121" s="1">
        <f>SUMIF(MICRO!AP:AP,O:O,MICRO!T:T)</f>
        <v>0</v>
      </c>
      <c r="J121" s="59">
        <f t="shared" si="5"/>
        <v>0</v>
      </c>
      <c r="K121" s="1">
        <f>SUMIF(MICRO!AP:AP,O:O,MICRO!X:X)</f>
        <v>0</v>
      </c>
      <c r="L121" s="59" t="str">
        <f t="shared" si="6"/>
        <v>0%</v>
      </c>
      <c r="M121" s="1">
        <f t="shared" si="7"/>
        <v>0</v>
      </c>
      <c r="N121" s="56" t="e">
        <f t="shared" si="8"/>
        <v>#N/A</v>
      </c>
      <c r="O121" s="56" t="e">
        <f t="shared" si="9"/>
        <v>#N/A</v>
      </c>
      <c r="P121" s="2">
        <f>SUMIF(MICRO!AP:AP,O121,MICRO!AS:AS)</f>
        <v>0</v>
      </c>
      <c r="Q121" s="2">
        <f>SUMIF(MICRO!AP:AP,O121,MICRO!AT:AT)</f>
        <v>0</v>
      </c>
      <c r="R121" s="2">
        <f>SUMIF(MICRO!AP:AP,O:O,MICRO!AU:AU)</f>
        <v>0</v>
      </c>
    </row>
    <row r="122" spans="3:18" s="2" customFormat="1" ht="18.75" thickBot="1" x14ac:dyDescent="0.3">
      <c r="C122" s="45"/>
      <c r="D122" s="61" t="s">
        <v>186</v>
      </c>
      <c r="E122" s="46" t="e">
        <f>VLOOKUP(Tabela2[[#This Row],[TAG]],MICRO!J:L,3,0)</f>
        <v>#N/A</v>
      </c>
      <c r="F122" s="44" t="s">
        <v>31</v>
      </c>
      <c r="G122" s="58">
        <f>SUMIF(MICRO!AP:AP,O:O,MICRO!H:H)</f>
        <v>0</v>
      </c>
      <c r="H122" s="1">
        <f>SUMIF(MICRO!AP:AP,O:O,MICRO!R:R)</f>
        <v>0</v>
      </c>
      <c r="I122" s="1">
        <f>SUMIF(MICRO!AP:AP,O:O,MICRO!T:T)</f>
        <v>0</v>
      </c>
      <c r="J122" s="59">
        <f t="shared" si="5"/>
        <v>0</v>
      </c>
      <c r="K122" s="1">
        <f>SUMIF(MICRO!AP:AP,O:O,MICRO!X:X)</f>
        <v>0</v>
      </c>
      <c r="L122" s="59" t="str">
        <f t="shared" si="6"/>
        <v>0%</v>
      </c>
      <c r="M122" s="1">
        <f t="shared" si="7"/>
        <v>0</v>
      </c>
      <c r="N122" s="56" t="e">
        <f t="shared" si="8"/>
        <v>#N/A</v>
      </c>
      <c r="O122" s="56" t="e">
        <f t="shared" si="9"/>
        <v>#N/A</v>
      </c>
      <c r="P122" s="2">
        <f>SUMIF(MICRO!AP:AP,O122,MICRO!AS:AS)</f>
        <v>0</v>
      </c>
      <c r="Q122" s="2">
        <f>SUMIF(MICRO!AP:AP,O122,MICRO!AT:AT)</f>
        <v>0</v>
      </c>
      <c r="R122" s="2">
        <f>SUMIF(MICRO!AP:AP,O:O,MICRO!AU:AU)</f>
        <v>0</v>
      </c>
    </row>
    <row r="123" spans="3:18" s="2" customFormat="1" ht="18.75" thickBot="1" x14ac:dyDescent="0.3">
      <c r="C123" s="45"/>
      <c r="D123" s="61" t="s">
        <v>192</v>
      </c>
      <c r="E123" s="46" t="e">
        <f>VLOOKUP(Tabela2[[#This Row],[TAG]],MICRO!J:L,3,0)</f>
        <v>#N/A</v>
      </c>
      <c r="F123" s="44" t="s">
        <v>23</v>
      </c>
      <c r="G123" s="58">
        <f>SUMIF(MICRO!AP:AP,O:O,MICRO!H:H)</f>
        <v>0</v>
      </c>
      <c r="H123" s="1">
        <f>SUMIF(MICRO!AP:AP,O:O,MICRO!R:R)</f>
        <v>0</v>
      </c>
      <c r="I123" s="1">
        <f>SUMIF(MICRO!AP:AP,O:O,MICRO!T:T)</f>
        <v>0</v>
      </c>
      <c r="J123" s="59">
        <f t="shared" si="5"/>
        <v>0</v>
      </c>
      <c r="K123" s="1">
        <f>SUMIF(MICRO!AP:AP,O:O,MICRO!X:X)</f>
        <v>0</v>
      </c>
      <c r="L123" s="59" t="str">
        <f t="shared" si="6"/>
        <v>0%</v>
      </c>
      <c r="M123" s="1">
        <f t="shared" si="7"/>
        <v>0</v>
      </c>
      <c r="N123" s="56" t="e">
        <f t="shared" si="8"/>
        <v>#N/A</v>
      </c>
      <c r="O123" s="56" t="e">
        <f t="shared" si="9"/>
        <v>#N/A</v>
      </c>
      <c r="P123" s="2">
        <f>SUMIF(MICRO!AP:AP,O123,MICRO!AS:AS)</f>
        <v>0</v>
      </c>
      <c r="Q123" s="2">
        <f>SUMIF(MICRO!AP:AP,O123,MICRO!AT:AT)</f>
        <v>0</v>
      </c>
      <c r="R123" s="2">
        <f>SUMIF(MICRO!AP:AP,O:O,MICRO!AU:AU)</f>
        <v>0</v>
      </c>
    </row>
    <row r="124" spans="3:18" s="2" customFormat="1" ht="18.75" thickBot="1" x14ac:dyDescent="0.3">
      <c r="C124" s="45"/>
      <c r="D124" s="61" t="s">
        <v>194</v>
      </c>
      <c r="E124" s="46" t="e">
        <f>VLOOKUP(Tabela2[[#This Row],[TAG]],MICRO!J:L,3,0)</f>
        <v>#N/A</v>
      </c>
      <c r="F124" s="44" t="s">
        <v>22</v>
      </c>
      <c r="G124" s="58">
        <f>SUMIF(MICRO!AP:AP,O:O,MICRO!H:H)</f>
        <v>0</v>
      </c>
      <c r="H124" s="1">
        <f>SUMIF(MICRO!AP:AP,O:O,MICRO!R:R)</f>
        <v>0</v>
      </c>
      <c r="I124" s="1">
        <f>SUMIF(MICRO!AP:AP,O:O,MICRO!T:T)</f>
        <v>0</v>
      </c>
      <c r="J124" s="59">
        <f t="shared" si="5"/>
        <v>0</v>
      </c>
      <c r="K124" s="1">
        <f>SUMIF(MICRO!AP:AP,O:O,MICRO!X:X)</f>
        <v>0</v>
      </c>
      <c r="L124" s="59" t="str">
        <f t="shared" si="6"/>
        <v>0%</v>
      </c>
      <c r="M124" s="1">
        <f t="shared" si="7"/>
        <v>0</v>
      </c>
      <c r="N124" s="56" t="e">
        <f t="shared" si="8"/>
        <v>#N/A</v>
      </c>
      <c r="O124" s="56" t="e">
        <f t="shared" si="9"/>
        <v>#N/A</v>
      </c>
      <c r="P124" s="2">
        <f>SUMIF(MICRO!AP:AP,O124,MICRO!AS:AS)</f>
        <v>0</v>
      </c>
      <c r="Q124" s="2">
        <f>SUMIF(MICRO!AP:AP,O124,MICRO!AT:AT)</f>
        <v>0</v>
      </c>
      <c r="R124" s="2">
        <f>SUMIF(MICRO!AP:AP,O:O,MICRO!AU:AU)</f>
        <v>0</v>
      </c>
    </row>
    <row r="125" spans="3:18" s="2" customFormat="1" ht="18.75" thickBot="1" x14ac:dyDescent="0.3">
      <c r="C125" s="45"/>
      <c r="D125" s="61" t="s">
        <v>201</v>
      </c>
      <c r="E125" s="46" t="e">
        <f>VLOOKUP(Tabela2[[#This Row],[TAG]],MICRO!J:L,3,0)</f>
        <v>#N/A</v>
      </c>
      <c r="F125" s="44" t="s">
        <v>23</v>
      </c>
      <c r="G125" s="58">
        <f>SUMIF(MICRO!AP:AP,O:O,MICRO!H:H)</f>
        <v>0</v>
      </c>
      <c r="H125" s="1">
        <f>SUMIF(MICRO!AP:AP,O:O,MICRO!R:R)</f>
        <v>0</v>
      </c>
      <c r="I125" s="1">
        <f>SUMIF(MICRO!AP:AP,O:O,MICRO!T:T)</f>
        <v>0</v>
      </c>
      <c r="J125" s="59">
        <f t="shared" si="5"/>
        <v>0</v>
      </c>
      <c r="K125" s="1">
        <f>SUMIF(MICRO!AP:AP,O:O,MICRO!X:X)</f>
        <v>0</v>
      </c>
      <c r="L125" s="59" t="str">
        <f t="shared" si="6"/>
        <v>0%</v>
      </c>
      <c r="M125" s="1">
        <f t="shared" si="7"/>
        <v>0</v>
      </c>
      <c r="N125" s="56" t="e">
        <f t="shared" si="8"/>
        <v>#N/A</v>
      </c>
      <c r="O125" s="56" t="e">
        <f t="shared" si="9"/>
        <v>#N/A</v>
      </c>
      <c r="P125" s="2">
        <f>SUMIF(MICRO!AP:AP,O125,MICRO!AS:AS)</f>
        <v>0</v>
      </c>
      <c r="Q125" s="2">
        <f>SUMIF(MICRO!AP:AP,O125,MICRO!AT:AT)</f>
        <v>0</v>
      </c>
      <c r="R125" s="2">
        <f>SUMIF(MICRO!AP:AP,O:O,MICRO!AU:AU)</f>
        <v>0</v>
      </c>
    </row>
    <row r="126" spans="3:18" s="2" customFormat="1" ht="18.75" thickBot="1" x14ac:dyDescent="0.3">
      <c r="C126" s="45"/>
      <c r="D126" s="61" t="s">
        <v>203</v>
      </c>
      <c r="E126" s="46" t="e">
        <f>VLOOKUP(Tabela2[[#This Row],[TAG]],MICRO!J:L,3,0)</f>
        <v>#N/A</v>
      </c>
      <c r="F126" s="44" t="s">
        <v>22</v>
      </c>
      <c r="G126" s="58">
        <f>SUMIF(MICRO!AP:AP,O:O,MICRO!H:H)</f>
        <v>0</v>
      </c>
      <c r="H126" s="1">
        <f>SUMIF(MICRO!AP:AP,O:O,MICRO!R:R)</f>
        <v>0</v>
      </c>
      <c r="I126" s="1">
        <f>SUMIF(MICRO!AP:AP,O:O,MICRO!T:T)</f>
        <v>0</v>
      </c>
      <c r="J126" s="59">
        <f t="shared" si="5"/>
        <v>0</v>
      </c>
      <c r="K126" s="1">
        <f>SUMIF(MICRO!AP:AP,O:O,MICRO!X:X)</f>
        <v>0</v>
      </c>
      <c r="L126" s="59" t="str">
        <f t="shared" si="6"/>
        <v>0%</v>
      </c>
      <c r="M126" s="1">
        <f t="shared" si="7"/>
        <v>0</v>
      </c>
      <c r="N126" s="56" t="e">
        <f t="shared" si="8"/>
        <v>#N/A</v>
      </c>
      <c r="O126" s="56" t="e">
        <f t="shared" si="9"/>
        <v>#N/A</v>
      </c>
      <c r="P126" s="2">
        <f>SUMIF(MICRO!AP:AP,O126,MICRO!AS:AS)</f>
        <v>0</v>
      </c>
      <c r="Q126" s="2">
        <f>SUMIF(MICRO!AP:AP,O126,MICRO!AT:AT)</f>
        <v>0</v>
      </c>
      <c r="R126" s="2">
        <f>SUMIF(MICRO!AP:AP,O:O,MICRO!AU:AU)</f>
        <v>0</v>
      </c>
    </row>
    <row r="127" spans="3:18" s="2" customFormat="1" ht="18.75" thickBot="1" x14ac:dyDescent="0.3">
      <c r="C127" s="45"/>
      <c r="D127" s="61" t="s">
        <v>181</v>
      </c>
      <c r="E127" s="46" t="e">
        <f>VLOOKUP(Tabela2[[#This Row],[TAG]],MICRO!J:L,3,0)</f>
        <v>#N/A</v>
      </c>
      <c r="F127" s="44" t="s">
        <v>32</v>
      </c>
      <c r="G127" s="58">
        <f>SUMIF(MICRO!AP:AP,O:O,MICRO!H:H)</f>
        <v>0</v>
      </c>
      <c r="H127" s="1">
        <f>SUMIF(MICRO!AP:AP,O:O,MICRO!R:R)</f>
        <v>0</v>
      </c>
      <c r="I127" s="1">
        <f>SUMIF(MICRO!AP:AP,O:O,MICRO!T:T)</f>
        <v>0</v>
      </c>
      <c r="J127" s="59">
        <f t="shared" si="5"/>
        <v>0</v>
      </c>
      <c r="K127" s="1">
        <f>SUMIF(MICRO!AP:AP,O:O,MICRO!X:X)</f>
        <v>0</v>
      </c>
      <c r="L127" s="59" t="str">
        <f t="shared" si="6"/>
        <v>0%</v>
      </c>
      <c r="M127" s="1">
        <f t="shared" si="7"/>
        <v>0</v>
      </c>
      <c r="N127" s="56" t="e">
        <f t="shared" si="8"/>
        <v>#N/A</v>
      </c>
      <c r="O127" s="56" t="e">
        <f t="shared" si="9"/>
        <v>#N/A</v>
      </c>
      <c r="P127" s="2">
        <f>SUMIF(MICRO!AP:AP,O127,MICRO!AS:AS)</f>
        <v>0</v>
      </c>
      <c r="Q127" s="2">
        <f>SUMIF(MICRO!AP:AP,O127,MICRO!AT:AT)</f>
        <v>0</v>
      </c>
      <c r="R127" s="2">
        <f>SUMIF(MICRO!AP:AP,O:O,MICRO!AU:AU)</f>
        <v>0</v>
      </c>
    </row>
    <row r="128" spans="3:18" s="2" customFormat="1" ht="18.75" thickBot="1" x14ac:dyDescent="0.3">
      <c r="C128" s="45"/>
      <c r="D128" s="61" t="s">
        <v>180</v>
      </c>
      <c r="E128" s="46" t="e">
        <f>VLOOKUP(Tabela2[[#This Row],[TAG]],MICRO!J:L,3,0)</f>
        <v>#N/A</v>
      </c>
      <c r="F128" s="44" t="s">
        <v>23</v>
      </c>
      <c r="G128" s="58">
        <f>SUMIF(MICRO!AP:AP,O:O,MICRO!H:H)</f>
        <v>0</v>
      </c>
      <c r="H128" s="1">
        <f>SUMIF(MICRO!AP:AP,O:O,MICRO!R:R)</f>
        <v>0</v>
      </c>
      <c r="I128" s="1">
        <f>SUMIF(MICRO!AP:AP,O:O,MICRO!T:T)</f>
        <v>0</v>
      </c>
      <c r="J128" s="59">
        <f t="shared" si="5"/>
        <v>0</v>
      </c>
      <c r="K128" s="1">
        <f>SUMIF(MICRO!AP:AP,O:O,MICRO!X:X)</f>
        <v>0</v>
      </c>
      <c r="L128" s="59" t="str">
        <f t="shared" si="6"/>
        <v>0%</v>
      </c>
      <c r="M128" s="1">
        <f t="shared" si="7"/>
        <v>0</v>
      </c>
      <c r="N128" s="56" t="e">
        <f t="shared" si="8"/>
        <v>#N/A</v>
      </c>
      <c r="O128" s="56" t="e">
        <f t="shared" si="9"/>
        <v>#N/A</v>
      </c>
      <c r="P128" s="2">
        <f>SUMIF(MICRO!AP:AP,O128,MICRO!AS:AS)</f>
        <v>0</v>
      </c>
      <c r="Q128" s="2">
        <f>SUMIF(MICRO!AP:AP,O128,MICRO!AT:AT)</f>
        <v>0</v>
      </c>
      <c r="R128" s="2">
        <f>SUMIF(MICRO!AP:AP,O:O,MICRO!AU:AU)</f>
        <v>0</v>
      </c>
    </row>
    <row r="129" spans="3:18" s="2" customFormat="1" ht="18.75" thickBot="1" x14ac:dyDescent="0.3">
      <c r="C129" s="45"/>
      <c r="D129" s="61" t="s">
        <v>176</v>
      </c>
      <c r="E129" s="46" t="e">
        <f>VLOOKUP(Tabela2[[#This Row],[TAG]],MICRO!J:L,3,0)</f>
        <v>#N/A</v>
      </c>
      <c r="F129" s="44" t="s">
        <v>22</v>
      </c>
      <c r="G129" s="58">
        <f>SUMIF(MICRO!AP:AP,O:O,MICRO!H:H)</f>
        <v>0</v>
      </c>
      <c r="H129" s="1">
        <f>SUMIF(MICRO!AP:AP,O:O,MICRO!R:R)</f>
        <v>0</v>
      </c>
      <c r="I129" s="1">
        <f>SUMIF(MICRO!AP:AP,O:O,MICRO!T:T)</f>
        <v>0</v>
      </c>
      <c r="J129" s="59">
        <f t="shared" si="5"/>
        <v>0</v>
      </c>
      <c r="K129" s="1">
        <f>SUMIF(MICRO!AP:AP,O:O,MICRO!X:X)</f>
        <v>0</v>
      </c>
      <c r="L129" s="59" t="str">
        <f t="shared" si="6"/>
        <v>0%</v>
      </c>
      <c r="M129" s="1">
        <f t="shared" si="7"/>
        <v>0</v>
      </c>
      <c r="N129" s="56" t="e">
        <f t="shared" si="8"/>
        <v>#N/A</v>
      </c>
      <c r="O129" s="56" t="e">
        <f t="shared" si="9"/>
        <v>#N/A</v>
      </c>
      <c r="P129" s="2">
        <f>SUMIF(MICRO!AP:AP,O129,MICRO!AS:AS)</f>
        <v>0</v>
      </c>
      <c r="Q129" s="2">
        <f>SUMIF(MICRO!AP:AP,O129,MICRO!AT:AT)</f>
        <v>0</v>
      </c>
      <c r="R129" s="2">
        <f>SUMIF(MICRO!AP:AP,O:O,MICRO!AU:AU)</f>
        <v>0</v>
      </c>
    </row>
    <row r="130" spans="3:18" s="2" customFormat="1" ht="18.75" thickBot="1" x14ac:dyDescent="0.3">
      <c r="C130" s="45"/>
      <c r="D130" s="61" t="s">
        <v>305</v>
      </c>
      <c r="E130" s="46" t="e">
        <f>VLOOKUP(Tabela2[[#This Row],[TAG]],MICRO!J:L,3,0)</f>
        <v>#N/A</v>
      </c>
      <c r="F130" s="44" t="s">
        <v>23</v>
      </c>
      <c r="G130" s="58">
        <f>SUMIF(MICRO!AP:AP,O:O,MICRO!H:H)</f>
        <v>0</v>
      </c>
      <c r="H130" s="1">
        <f>SUMIF(MICRO!AP:AP,O:O,MICRO!R:R)</f>
        <v>0</v>
      </c>
      <c r="I130" s="1">
        <f>SUMIF(MICRO!AP:AP,O:O,MICRO!T:T)</f>
        <v>0</v>
      </c>
      <c r="J130" s="59">
        <f t="shared" si="5"/>
        <v>0</v>
      </c>
      <c r="K130" s="1">
        <f>SUMIF(MICRO!AP:AP,O:O,MICRO!X:X)</f>
        <v>0</v>
      </c>
      <c r="L130" s="59" t="str">
        <f t="shared" si="6"/>
        <v>0%</v>
      </c>
      <c r="M130" s="1">
        <f t="shared" si="7"/>
        <v>0</v>
      </c>
      <c r="N130" s="56" t="e">
        <f t="shared" si="8"/>
        <v>#N/A</v>
      </c>
      <c r="O130" s="56" t="e">
        <f t="shared" si="9"/>
        <v>#N/A</v>
      </c>
      <c r="P130" s="2">
        <f>SUMIF(MICRO!AP:AP,O130,MICRO!AS:AS)</f>
        <v>0</v>
      </c>
      <c r="Q130" s="2">
        <f>SUMIF(MICRO!AP:AP,O130,MICRO!AT:AT)</f>
        <v>0</v>
      </c>
      <c r="R130" s="2">
        <f>SUMIF(MICRO!AP:AP,O:O,MICRO!AU:AU)</f>
        <v>0</v>
      </c>
    </row>
    <row r="131" spans="3:18" s="2" customFormat="1" ht="18.75" thickBot="1" x14ac:dyDescent="0.3">
      <c r="C131" s="45"/>
      <c r="D131" s="61" t="s">
        <v>306</v>
      </c>
      <c r="E131" s="46" t="e">
        <f>VLOOKUP(Tabela2[[#This Row],[TAG]],MICRO!J:L,3,0)</f>
        <v>#N/A</v>
      </c>
      <c r="F131" s="44" t="s">
        <v>31</v>
      </c>
      <c r="G131" s="58">
        <f>SUMIF(MICRO!AP:AP,O:O,MICRO!H:H)</f>
        <v>0</v>
      </c>
      <c r="H131" s="1">
        <f>SUMIF(MICRO!AP:AP,O:O,MICRO!R:R)</f>
        <v>0</v>
      </c>
      <c r="I131" s="1">
        <f>SUMIF(MICRO!AP:AP,O:O,MICRO!T:T)</f>
        <v>0</v>
      </c>
      <c r="J131" s="59">
        <f t="shared" si="5"/>
        <v>0</v>
      </c>
      <c r="K131" s="1">
        <f>SUMIF(MICRO!AP:AP,O:O,MICRO!X:X)</f>
        <v>0</v>
      </c>
      <c r="L131" s="59" t="str">
        <f t="shared" si="6"/>
        <v>0%</v>
      </c>
      <c r="M131" s="1">
        <f t="shared" si="7"/>
        <v>0</v>
      </c>
      <c r="N131" s="56" t="e">
        <f t="shared" si="8"/>
        <v>#N/A</v>
      </c>
      <c r="O131" s="56" t="e">
        <f t="shared" si="9"/>
        <v>#N/A</v>
      </c>
      <c r="P131" s="2">
        <f>SUMIF(MICRO!AP:AP,O131,MICRO!AS:AS)</f>
        <v>0</v>
      </c>
      <c r="Q131" s="2">
        <f>SUMIF(MICRO!AP:AP,O131,MICRO!AT:AT)</f>
        <v>0</v>
      </c>
      <c r="R131" s="2">
        <f>SUMIF(MICRO!AP:AP,O:O,MICRO!AU:AU)</f>
        <v>0</v>
      </c>
    </row>
    <row r="132" spans="3:18" s="2" customFormat="1" ht="18.75" thickBot="1" x14ac:dyDescent="0.3">
      <c r="C132" s="45"/>
      <c r="D132" s="61" t="s">
        <v>306</v>
      </c>
      <c r="E132" s="46" t="e">
        <f>VLOOKUP(Tabela2[[#This Row],[TAG]],MICRO!J:L,3,0)</f>
        <v>#N/A</v>
      </c>
      <c r="F132" s="44" t="s">
        <v>33</v>
      </c>
      <c r="G132" s="58">
        <f>SUMIF(MICRO!AP:AP,O:O,MICRO!H:H)</f>
        <v>0</v>
      </c>
      <c r="H132" s="1">
        <f>SUMIF(MICRO!AP:AP,O:O,MICRO!R:R)</f>
        <v>0</v>
      </c>
      <c r="I132" s="1">
        <f>SUMIF(MICRO!AP:AP,O:O,MICRO!T:T)</f>
        <v>0</v>
      </c>
      <c r="J132" s="59">
        <f t="shared" si="5"/>
        <v>0</v>
      </c>
      <c r="K132" s="1">
        <f>SUMIF(MICRO!AP:AP,O:O,MICRO!X:X)</f>
        <v>0</v>
      </c>
      <c r="L132" s="59" t="str">
        <f t="shared" si="6"/>
        <v>0%</v>
      </c>
      <c r="M132" s="1">
        <f t="shared" si="7"/>
        <v>0</v>
      </c>
      <c r="N132" s="56" t="e">
        <f t="shared" si="8"/>
        <v>#N/A</v>
      </c>
      <c r="O132" s="56" t="e">
        <f t="shared" si="9"/>
        <v>#N/A</v>
      </c>
      <c r="P132" s="2">
        <f>SUMIF(MICRO!AP:AP,O132,MICRO!AS:AS)</f>
        <v>0</v>
      </c>
      <c r="Q132" s="2">
        <f>SUMIF(MICRO!AP:AP,O132,MICRO!AT:AT)</f>
        <v>0</v>
      </c>
      <c r="R132" s="2">
        <f>SUMIF(MICRO!AP:AP,O:O,MICRO!AU:AU)</f>
        <v>0</v>
      </c>
    </row>
    <row r="133" spans="3:18" s="2" customFormat="1" ht="18.75" thickBot="1" x14ac:dyDescent="0.3">
      <c r="C133" s="45"/>
      <c r="D133" s="61" t="s">
        <v>306</v>
      </c>
      <c r="E133" s="46" t="e">
        <f>VLOOKUP(Tabela2[[#This Row],[TAG]],MICRO!J:L,3,0)</f>
        <v>#N/A</v>
      </c>
      <c r="F133" s="44" t="s">
        <v>23</v>
      </c>
      <c r="G133" s="58">
        <f>SUMIF(MICRO!AP:AP,O:O,MICRO!H:H)</f>
        <v>0</v>
      </c>
      <c r="H133" s="1">
        <f>SUMIF(MICRO!AP:AP,O:O,MICRO!R:R)</f>
        <v>0</v>
      </c>
      <c r="I133" s="1">
        <f>SUMIF(MICRO!AP:AP,O:O,MICRO!T:T)</f>
        <v>0</v>
      </c>
      <c r="J133" s="59">
        <f t="shared" ref="J133:J183" si="10">IF(G133 = 0,0,H133/G133)</f>
        <v>0</v>
      </c>
      <c r="K133" s="1">
        <f>SUMIF(MICRO!AP:AP,O:O,MICRO!X:X)</f>
        <v>0</v>
      </c>
      <c r="L133" s="59" t="str">
        <f t="shared" ref="L133:L183" si="11">IF(G133&lt;&gt;0,SUM(K133/G133*1),"0%")</f>
        <v>0%</v>
      </c>
      <c r="M133" s="1">
        <f t="shared" ref="M133:M183" si="12">G133-K133</f>
        <v>0</v>
      </c>
      <c r="N133" s="56" t="e">
        <f t="shared" ref="N133:N183" si="13">E133&amp;F133</f>
        <v>#N/A</v>
      </c>
      <c r="O133" s="56" t="e">
        <f t="shared" ref="O133:O183" si="14">D133&amp;E133&amp;F133</f>
        <v>#N/A</v>
      </c>
      <c r="P133" s="2">
        <f>SUMIF(MICRO!AP:AP,O133,MICRO!AS:AS)</f>
        <v>0</v>
      </c>
      <c r="Q133" s="2">
        <f>SUMIF(MICRO!AP:AP,O133,MICRO!AT:AT)</f>
        <v>0</v>
      </c>
      <c r="R133" s="2">
        <f>SUMIF(MICRO!AP:AP,O:O,MICRO!AU:AU)</f>
        <v>0</v>
      </c>
    </row>
    <row r="134" spans="3:18" s="2" customFormat="1" ht="18.75" thickBot="1" x14ac:dyDescent="0.3">
      <c r="C134" s="45"/>
      <c r="D134" s="61" t="s">
        <v>306</v>
      </c>
      <c r="E134" s="46" t="e">
        <f>VLOOKUP(Tabela2[[#This Row],[TAG]],MICRO!J:L,3,0)</f>
        <v>#N/A</v>
      </c>
      <c r="F134" s="44" t="s">
        <v>44</v>
      </c>
      <c r="G134" s="58">
        <f>SUMIF(MICRO!AP:AP,O:O,MICRO!H:H)</f>
        <v>0</v>
      </c>
      <c r="H134" s="1">
        <f>SUMIF(MICRO!AP:AP,O:O,MICRO!R:R)</f>
        <v>0</v>
      </c>
      <c r="I134" s="1">
        <f>SUMIF(MICRO!AP:AP,O:O,MICRO!T:T)</f>
        <v>0</v>
      </c>
      <c r="J134" s="59">
        <f t="shared" si="10"/>
        <v>0</v>
      </c>
      <c r="K134" s="1">
        <f>SUMIF(MICRO!AP:AP,O:O,MICRO!X:X)</f>
        <v>0</v>
      </c>
      <c r="L134" s="59" t="str">
        <f t="shared" si="11"/>
        <v>0%</v>
      </c>
      <c r="M134" s="1">
        <f t="shared" si="12"/>
        <v>0</v>
      </c>
      <c r="N134" s="56" t="e">
        <f t="shared" si="13"/>
        <v>#N/A</v>
      </c>
      <c r="O134" s="56" t="e">
        <f t="shared" si="14"/>
        <v>#N/A</v>
      </c>
      <c r="P134" s="2">
        <f>SUMIF(MICRO!AP:AP,O134,MICRO!AS:AS)</f>
        <v>0</v>
      </c>
      <c r="Q134" s="2">
        <f>SUMIF(MICRO!AP:AP,O134,MICRO!AT:AT)</f>
        <v>0</v>
      </c>
      <c r="R134" s="2">
        <f>SUMIF(MICRO!AP:AP,O:O,MICRO!AU:AU)</f>
        <v>0</v>
      </c>
    </row>
    <row r="135" spans="3:18" s="2" customFormat="1" ht="18.75" thickBot="1" x14ac:dyDescent="0.3">
      <c r="C135" s="45"/>
      <c r="D135" s="61" t="s">
        <v>307</v>
      </c>
      <c r="E135" s="46" t="e">
        <f>VLOOKUP(Tabela2[[#This Row],[TAG]],MICRO!J:L,3,0)</f>
        <v>#N/A</v>
      </c>
      <c r="F135" s="44" t="s">
        <v>33</v>
      </c>
      <c r="G135" s="58">
        <f>SUMIF(MICRO!AP:AP,O:O,MICRO!H:H)</f>
        <v>0</v>
      </c>
      <c r="H135" s="1">
        <f>SUMIF(MICRO!AP:AP,O:O,MICRO!R:R)</f>
        <v>0</v>
      </c>
      <c r="I135" s="1">
        <f>SUMIF(MICRO!AP:AP,O:O,MICRO!T:T)</f>
        <v>0</v>
      </c>
      <c r="J135" s="59">
        <f t="shared" si="10"/>
        <v>0</v>
      </c>
      <c r="K135" s="1">
        <f>SUMIF(MICRO!AP:AP,O:O,MICRO!X:X)</f>
        <v>0</v>
      </c>
      <c r="L135" s="59" t="str">
        <f t="shared" si="11"/>
        <v>0%</v>
      </c>
      <c r="M135" s="1">
        <f t="shared" si="12"/>
        <v>0</v>
      </c>
      <c r="N135" s="56" t="e">
        <f t="shared" si="13"/>
        <v>#N/A</v>
      </c>
      <c r="O135" s="56" t="e">
        <f t="shared" si="14"/>
        <v>#N/A</v>
      </c>
      <c r="P135" s="2">
        <f>SUMIF(MICRO!AP:AP,O135,MICRO!AS:AS)</f>
        <v>0</v>
      </c>
      <c r="Q135" s="2">
        <f>SUMIF(MICRO!AP:AP,O135,MICRO!AT:AT)</f>
        <v>0</v>
      </c>
      <c r="R135" s="2">
        <f>SUMIF(MICRO!AP:AP,O:O,MICRO!AU:AU)</f>
        <v>0</v>
      </c>
    </row>
    <row r="136" spans="3:18" s="2" customFormat="1" ht="18.75" thickBot="1" x14ac:dyDescent="0.3">
      <c r="C136" s="45"/>
      <c r="D136" s="61" t="s">
        <v>308</v>
      </c>
      <c r="E136" s="46" t="e">
        <f>VLOOKUP(Tabela2[[#This Row],[TAG]],MICRO!J:L,3,0)</f>
        <v>#N/A</v>
      </c>
      <c r="F136" s="44" t="s">
        <v>23</v>
      </c>
      <c r="G136" s="58">
        <f>SUMIF(MICRO!AP:AP,O:O,MICRO!H:H)</f>
        <v>0</v>
      </c>
      <c r="H136" s="1">
        <f>SUMIF(MICRO!AP:AP,O:O,MICRO!R:R)</f>
        <v>0</v>
      </c>
      <c r="I136" s="1">
        <f>SUMIF(MICRO!AP:AP,O:O,MICRO!T:T)</f>
        <v>0</v>
      </c>
      <c r="J136" s="59">
        <f t="shared" si="10"/>
        <v>0</v>
      </c>
      <c r="K136" s="1">
        <f>SUMIF(MICRO!AP:AP,O:O,MICRO!X:X)</f>
        <v>0</v>
      </c>
      <c r="L136" s="59" t="str">
        <f t="shared" si="11"/>
        <v>0%</v>
      </c>
      <c r="M136" s="1">
        <f t="shared" si="12"/>
        <v>0</v>
      </c>
      <c r="N136" s="56" t="e">
        <f t="shared" si="13"/>
        <v>#N/A</v>
      </c>
      <c r="O136" s="56" t="e">
        <f t="shared" si="14"/>
        <v>#N/A</v>
      </c>
      <c r="P136" s="2">
        <f>SUMIF(MICRO!AP:AP,O136,MICRO!AS:AS)</f>
        <v>0</v>
      </c>
      <c r="Q136" s="2">
        <f>SUMIF(MICRO!AP:AP,O136,MICRO!AT:AT)</f>
        <v>0</v>
      </c>
      <c r="R136" s="2">
        <f>SUMIF(MICRO!AP:AP,O:O,MICRO!AU:AU)</f>
        <v>0</v>
      </c>
    </row>
    <row r="137" spans="3:18" s="2" customFormat="1" ht="18.75" thickBot="1" x14ac:dyDescent="0.3">
      <c r="C137" s="45"/>
      <c r="D137" s="61" t="s">
        <v>309</v>
      </c>
      <c r="E137" s="46" t="e">
        <f>VLOOKUP(Tabela2[[#This Row],[TAG]],MICRO!J:L,3,0)</f>
        <v>#N/A</v>
      </c>
      <c r="F137" s="44" t="s">
        <v>23</v>
      </c>
      <c r="G137" s="58">
        <f>SUMIF(MICRO!AP:AP,O:O,MICRO!H:H)</f>
        <v>0</v>
      </c>
      <c r="H137" s="1">
        <f>SUMIF(MICRO!AP:AP,O:O,MICRO!R:R)</f>
        <v>0</v>
      </c>
      <c r="I137" s="1">
        <f>SUMIF(MICRO!AP:AP,O:O,MICRO!T:T)</f>
        <v>0</v>
      </c>
      <c r="J137" s="59">
        <f t="shared" si="10"/>
        <v>0</v>
      </c>
      <c r="K137" s="1">
        <f>SUMIF(MICRO!AP:AP,O:O,MICRO!X:X)</f>
        <v>0</v>
      </c>
      <c r="L137" s="59" t="str">
        <f t="shared" si="11"/>
        <v>0%</v>
      </c>
      <c r="M137" s="1">
        <f t="shared" si="12"/>
        <v>0</v>
      </c>
      <c r="N137" s="56" t="e">
        <f t="shared" si="13"/>
        <v>#N/A</v>
      </c>
      <c r="O137" s="56" t="e">
        <f t="shared" si="14"/>
        <v>#N/A</v>
      </c>
      <c r="P137" s="2">
        <f>SUMIF(MICRO!AP:AP,O137,MICRO!AS:AS)</f>
        <v>0</v>
      </c>
      <c r="Q137" s="2">
        <f>SUMIF(MICRO!AP:AP,O137,MICRO!AT:AT)</f>
        <v>0</v>
      </c>
      <c r="R137" s="2">
        <f>SUMIF(MICRO!AP:AP,O:O,MICRO!AU:AU)</f>
        <v>0</v>
      </c>
    </row>
    <row r="138" spans="3:18" s="2" customFormat="1" ht="18.75" thickBot="1" x14ac:dyDescent="0.3">
      <c r="C138" s="45"/>
      <c r="D138" s="61" t="s">
        <v>310</v>
      </c>
      <c r="E138" s="46" t="e">
        <f>VLOOKUP(Tabela2[[#This Row],[TAG]],MICRO!J:L,3,0)</f>
        <v>#N/A</v>
      </c>
      <c r="F138" s="44" t="s">
        <v>23</v>
      </c>
      <c r="G138" s="58">
        <f>SUMIF(MICRO!AP:AP,O:O,MICRO!H:H)</f>
        <v>0</v>
      </c>
      <c r="H138" s="1">
        <f>SUMIF(MICRO!AP:AP,O:O,MICRO!R:R)</f>
        <v>0</v>
      </c>
      <c r="I138" s="1">
        <f>SUMIF(MICRO!AP:AP,O:O,MICRO!T:T)</f>
        <v>0</v>
      </c>
      <c r="J138" s="59">
        <f t="shared" si="10"/>
        <v>0</v>
      </c>
      <c r="K138" s="1">
        <f>SUMIF(MICRO!AP:AP,O:O,MICRO!X:X)</f>
        <v>0</v>
      </c>
      <c r="L138" s="59" t="str">
        <f t="shared" si="11"/>
        <v>0%</v>
      </c>
      <c r="M138" s="1">
        <f t="shared" si="12"/>
        <v>0</v>
      </c>
      <c r="N138" s="56" t="e">
        <f t="shared" si="13"/>
        <v>#N/A</v>
      </c>
      <c r="O138" s="56" t="e">
        <f t="shared" si="14"/>
        <v>#N/A</v>
      </c>
      <c r="P138" s="2">
        <f>SUMIF(MICRO!AP:AP,O138,MICRO!AS:AS)</f>
        <v>0</v>
      </c>
      <c r="Q138" s="2">
        <f>SUMIF(MICRO!AP:AP,O138,MICRO!AT:AT)</f>
        <v>0</v>
      </c>
      <c r="R138" s="2">
        <f>SUMIF(MICRO!AP:AP,O:O,MICRO!AU:AU)</f>
        <v>0</v>
      </c>
    </row>
    <row r="139" spans="3:18" s="2" customFormat="1" ht="18.75" thickBot="1" x14ac:dyDescent="0.3">
      <c r="C139" s="45"/>
      <c r="D139" s="61" t="s">
        <v>311</v>
      </c>
      <c r="E139" s="46" t="e">
        <f>VLOOKUP(Tabela2[[#This Row],[TAG]],MICRO!J:L,3,0)</f>
        <v>#N/A</v>
      </c>
      <c r="F139" s="44" t="s">
        <v>23</v>
      </c>
      <c r="G139" s="58">
        <f>SUMIF(MICRO!AP:AP,O:O,MICRO!H:H)</f>
        <v>0</v>
      </c>
      <c r="H139" s="1">
        <f>SUMIF(MICRO!AP:AP,O:O,MICRO!R:R)</f>
        <v>0</v>
      </c>
      <c r="I139" s="1">
        <f>SUMIF(MICRO!AP:AP,O:O,MICRO!T:T)</f>
        <v>0</v>
      </c>
      <c r="J139" s="59">
        <f t="shared" si="10"/>
        <v>0</v>
      </c>
      <c r="K139" s="1">
        <f>SUMIF(MICRO!AP:AP,O:O,MICRO!X:X)</f>
        <v>0</v>
      </c>
      <c r="L139" s="59" t="str">
        <f t="shared" si="11"/>
        <v>0%</v>
      </c>
      <c r="M139" s="1">
        <f t="shared" si="12"/>
        <v>0</v>
      </c>
      <c r="N139" s="56" t="e">
        <f t="shared" si="13"/>
        <v>#N/A</v>
      </c>
      <c r="O139" s="56" t="e">
        <f t="shared" si="14"/>
        <v>#N/A</v>
      </c>
      <c r="P139" s="2">
        <f>SUMIF(MICRO!AP:AP,O139,MICRO!AS:AS)</f>
        <v>0</v>
      </c>
      <c r="Q139" s="2">
        <f>SUMIF(MICRO!AP:AP,O139,MICRO!AT:AT)</f>
        <v>0</v>
      </c>
      <c r="R139" s="2">
        <f>SUMIF(MICRO!AP:AP,O:O,MICRO!AU:AU)</f>
        <v>0</v>
      </c>
    </row>
    <row r="140" spans="3:18" s="2" customFormat="1" ht="18.75" thickBot="1" x14ac:dyDescent="0.3">
      <c r="C140" s="45"/>
      <c r="D140" s="61" t="s">
        <v>175</v>
      </c>
      <c r="E140" s="46" t="e">
        <f>VLOOKUP(Tabela2[[#This Row],[TAG]],MICRO!J:L,3,0)</f>
        <v>#N/A</v>
      </c>
      <c r="F140" s="44" t="s">
        <v>23</v>
      </c>
      <c r="G140" s="58">
        <f>SUMIF(MICRO!AP:AP,O:O,MICRO!H:H)</f>
        <v>0</v>
      </c>
      <c r="H140" s="1">
        <f>SUMIF(MICRO!AP:AP,O:O,MICRO!R:R)</f>
        <v>0</v>
      </c>
      <c r="I140" s="1">
        <f>SUMIF(MICRO!AP:AP,O:O,MICRO!T:T)</f>
        <v>0</v>
      </c>
      <c r="J140" s="59">
        <f t="shared" si="10"/>
        <v>0</v>
      </c>
      <c r="K140" s="1">
        <f>SUMIF(MICRO!AP:AP,O:O,MICRO!X:X)</f>
        <v>0</v>
      </c>
      <c r="L140" s="59" t="str">
        <f t="shared" si="11"/>
        <v>0%</v>
      </c>
      <c r="M140" s="1">
        <f t="shared" si="12"/>
        <v>0</v>
      </c>
      <c r="N140" s="56" t="e">
        <f t="shared" si="13"/>
        <v>#N/A</v>
      </c>
      <c r="O140" s="56" t="e">
        <f t="shared" si="14"/>
        <v>#N/A</v>
      </c>
      <c r="P140" s="2">
        <f>SUMIF(MICRO!AP:AP,O140,MICRO!AS:AS)</f>
        <v>0</v>
      </c>
      <c r="Q140" s="2">
        <f>SUMIF(MICRO!AP:AP,O140,MICRO!AT:AT)</f>
        <v>0</v>
      </c>
      <c r="R140" s="2">
        <f>SUMIF(MICRO!AP:AP,O:O,MICRO!AU:AU)</f>
        <v>0</v>
      </c>
    </row>
    <row r="141" spans="3:18" s="2" customFormat="1" ht="18.75" thickBot="1" x14ac:dyDescent="0.3">
      <c r="C141" s="45"/>
      <c r="D141" s="61" t="s">
        <v>177</v>
      </c>
      <c r="E141" s="46" t="e">
        <f>VLOOKUP(Tabela2[[#This Row],[TAG]],MICRO!J:L,3,0)</f>
        <v>#N/A</v>
      </c>
      <c r="F141" s="44" t="s">
        <v>23</v>
      </c>
      <c r="G141" s="58">
        <f>SUMIF(MICRO!AP:AP,O:O,MICRO!H:H)</f>
        <v>0</v>
      </c>
      <c r="H141" s="1">
        <f>SUMIF(MICRO!AP:AP,O:O,MICRO!R:R)</f>
        <v>0</v>
      </c>
      <c r="I141" s="1">
        <f>SUMIF(MICRO!AP:AP,O:O,MICRO!T:T)</f>
        <v>0</v>
      </c>
      <c r="J141" s="59">
        <f t="shared" si="10"/>
        <v>0</v>
      </c>
      <c r="K141" s="1">
        <f>SUMIF(MICRO!AP:AP,O:O,MICRO!X:X)</f>
        <v>0</v>
      </c>
      <c r="L141" s="59" t="str">
        <f t="shared" si="11"/>
        <v>0%</v>
      </c>
      <c r="M141" s="1">
        <f t="shared" si="12"/>
        <v>0</v>
      </c>
      <c r="N141" s="56" t="e">
        <f t="shared" si="13"/>
        <v>#N/A</v>
      </c>
      <c r="O141" s="56" t="e">
        <f t="shared" si="14"/>
        <v>#N/A</v>
      </c>
      <c r="P141" s="2">
        <f>SUMIF(MICRO!AP:AP,O141,MICRO!AS:AS)</f>
        <v>0</v>
      </c>
      <c r="Q141" s="2">
        <f>SUMIF(MICRO!AP:AP,O141,MICRO!AT:AT)</f>
        <v>0</v>
      </c>
      <c r="R141" s="2">
        <f>SUMIF(MICRO!AP:AP,O:O,MICRO!AU:AU)</f>
        <v>0</v>
      </c>
    </row>
    <row r="142" spans="3:18" s="2" customFormat="1" ht="18.75" thickBot="1" x14ac:dyDescent="0.3">
      <c r="C142" s="45"/>
      <c r="D142" s="61" t="s">
        <v>187</v>
      </c>
      <c r="E142" s="46" t="e">
        <f>VLOOKUP(Tabela2[[#This Row],[TAG]],MICRO!J:L,3,0)</f>
        <v>#N/A</v>
      </c>
      <c r="F142" s="44" t="s">
        <v>23</v>
      </c>
      <c r="G142" s="58">
        <f>SUMIF(MICRO!AP:AP,O:O,MICRO!H:H)</f>
        <v>0</v>
      </c>
      <c r="H142" s="1">
        <f>SUMIF(MICRO!AP:AP,O:O,MICRO!R:R)</f>
        <v>0</v>
      </c>
      <c r="I142" s="1">
        <f>SUMIF(MICRO!AP:AP,O:O,MICRO!T:T)</f>
        <v>0</v>
      </c>
      <c r="J142" s="59">
        <f t="shared" si="10"/>
        <v>0</v>
      </c>
      <c r="K142" s="1">
        <f>SUMIF(MICRO!AP:AP,O:O,MICRO!X:X)</f>
        <v>0</v>
      </c>
      <c r="L142" s="59" t="str">
        <f t="shared" si="11"/>
        <v>0%</v>
      </c>
      <c r="M142" s="1">
        <f t="shared" si="12"/>
        <v>0</v>
      </c>
      <c r="N142" s="56" t="e">
        <f t="shared" si="13"/>
        <v>#N/A</v>
      </c>
      <c r="O142" s="56" t="e">
        <f t="shared" si="14"/>
        <v>#N/A</v>
      </c>
      <c r="P142" s="2">
        <f>SUMIF(MICRO!AP:AP,O142,MICRO!AS:AS)</f>
        <v>0</v>
      </c>
      <c r="Q142" s="2">
        <f>SUMIF(MICRO!AP:AP,O142,MICRO!AT:AT)</f>
        <v>0</v>
      </c>
      <c r="R142" s="2">
        <f>SUMIF(MICRO!AP:AP,O:O,MICRO!AU:AU)</f>
        <v>0</v>
      </c>
    </row>
    <row r="143" spans="3:18" s="2" customFormat="1" ht="18.75" thickBot="1" x14ac:dyDescent="0.3">
      <c r="C143" s="45"/>
      <c r="D143" s="61" t="s">
        <v>189</v>
      </c>
      <c r="E143" s="46" t="e">
        <f>VLOOKUP(Tabela2[[#This Row],[TAG]],MICRO!J:L,3,0)</f>
        <v>#N/A</v>
      </c>
      <c r="F143" s="44" t="s">
        <v>23</v>
      </c>
      <c r="G143" s="58">
        <f>SUMIF(MICRO!AP:AP,O:O,MICRO!H:H)</f>
        <v>0</v>
      </c>
      <c r="H143" s="1">
        <f>SUMIF(MICRO!AP:AP,O:O,MICRO!R:R)</f>
        <v>0</v>
      </c>
      <c r="I143" s="1">
        <f>SUMIF(MICRO!AP:AP,O:O,MICRO!T:T)</f>
        <v>0</v>
      </c>
      <c r="J143" s="59">
        <f t="shared" si="10"/>
        <v>0</v>
      </c>
      <c r="K143" s="1">
        <f>SUMIF(MICRO!AP:AP,O:O,MICRO!X:X)</f>
        <v>0</v>
      </c>
      <c r="L143" s="59" t="str">
        <f t="shared" si="11"/>
        <v>0%</v>
      </c>
      <c r="M143" s="1">
        <f t="shared" si="12"/>
        <v>0</v>
      </c>
      <c r="N143" s="56" t="e">
        <f t="shared" si="13"/>
        <v>#N/A</v>
      </c>
      <c r="O143" s="56" t="e">
        <f t="shared" si="14"/>
        <v>#N/A</v>
      </c>
      <c r="P143" s="2">
        <f>SUMIF(MICRO!AP:AP,O143,MICRO!AS:AS)</f>
        <v>0</v>
      </c>
      <c r="Q143" s="2">
        <f>SUMIF(MICRO!AP:AP,O143,MICRO!AT:AT)</f>
        <v>0</v>
      </c>
      <c r="R143" s="2">
        <f>SUMIF(MICRO!AP:AP,O:O,MICRO!AU:AU)</f>
        <v>0</v>
      </c>
    </row>
    <row r="144" spans="3:18" s="2" customFormat="1" ht="18.75" thickBot="1" x14ac:dyDescent="0.3">
      <c r="C144" s="45"/>
      <c r="D144" s="61" t="s">
        <v>204</v>
      </c>
      <c r="E144" s="46" t="e">
        <f>VLOOKUP(Tabela2[[#This Row],[TAG]],MICRO!J:L,3,0)</f>
        <v>#N/A</v>
      </c>
      <c r="F144" s="44" t="s">
        <v>23</v>
      </c>
      <c r="G144" s="58">
        <f>SUMIF(MICRO!AP:AP,O:O,MICRO!H:H)</f>
        <v>0</v>
      </c>
      <c r="H144" s="1">
        <f>SUMIF(MICRO!AP:AP,O:O,MICRO!R:R)</f>
        <v>0</v>
      </c>
      <c r="I144" s="1">
        <f>SUMIF(MICRO!AP:AP,O:O,MICRO!T:T)</f>
        <v>0</v>
      </c>
      <c r="J144" s="59">
        <f t="shared" si="10"/>
        <v>0</v>
      </c>
      <c r="K144" s="1">
        <f>SUMIF(MICRO!AP:AP,O:O,MICRO!X:X)</f>
        <v>0</v>
      </c>
      <c r="L144" s="59" t="str">
        <f t="shared" si="11"/>
        <v>0%</v>
      </c>
      <c r="M144" s="1">
        <f t="shared" si="12"/>
        <v>0</v>
      </c>
      <c r="N144" s="56" t="e">
        <f t="shared" si="13"/>
        <v>#N/A</v>
      </c>
      <c r="O144" s="56" t="e">
        <f t="shared" si="14"/>
        <v>#N/A</v>
      </c>
      <c r="P144" s="2">
        <f>SUMIF(MICRO!AP:AP,O144,MICRO!AS:AS)</f>
        <v>0</v>
      </c>
      <c r="Q144" s="2">
        <f>SUMIF(MICRO!AP:AP,O144,MICRO!AT:AT)</f>
        <v>0</v>
      </c>
      <c r="R144" s="2">
        <f>SUMIF(MICRO!AP:AP,O:O,MICRO!AU:AU)</f>
        <v>0</v>
      </c>
    </row>
    <row r="145" spans="3:18" s="2" customFormat="1" ht="18.75" thickBot="1" x14ac:dyDescent="0.3">
      <c r="C145" s="45"/>
      <c r="D145" s="61" t="s">
        <v>206</v>
      </c>
      <c r="E145" s="46" t="e">
        <f>VLOOKUP(Tabela2[[#This Row],[TAG]],MICRO!J:L,3,0)</f>
        <v>#N/A</v>
      </c>
      <c r="F145" s="44" t="s">
        <v>23</v>
      </c>
      <c r="G145" s="58">
        <f>SUMIF(MICRO!AP:AP,O:O,MICRO!H:H)</f>
        <v>0</v>
      </c>
      <c r="H145" s="1">
        <f>SUMIF(MICRO!AP:AP,O:O,MICRO!R:R)</f>
        <v>0</v>
      </c>
      <c r="I145" s="1">
        <f>SUMIF(MICRO!AP:AP,O:O,MICRO!T:T)</f>
        <v>0</v>
      </c>
      <c r="J145" s="59">
        <f t="shared" si="10"/>
        <v>0</v>
      </c>
      <c r="K145" s="1">
        <f>SUMIF(MICRO!AP:AP,O:O,MICRO!X:X)</f>
        <v>0</v>
      </c>
      <c r="L145" s="59" t="str">
        <f t="shared" si="11"/>
        <v>0%</v>
      </c>
      <c r="M145" s="1">
        <f t="shared" si="12"/>
        <v>0</v>
      </c>
      <c r="N145" s="56" t="e">
        <f t="shared" si="13"/>
        <v>#N/A</v>
      </c>
      <c r="O145" s="56" t="e">
        <f t="shared" si="14"/>
        <v>#N/A</v>
      </c>
      <c r="P145" s="2">
        <f>SUMIF(MICRO!AP:AP,O145,MICRO!AS:AS)</f>
        <v>0</v>
      </c>
      <c r="Q145" s="2">
        <f>SUMIF(MICRO!AP:AP,O145,MICRO!AT:AT)</f>
        <v>0</v>
      </c>
      <c r="R145" s="2">
        <f>SUMIF(MICRO!AP:AP,O:O,MICRO!AU:AU)</f>
        <v>0</v>
      </c>
    </row>
    <row r="146" spans="3:18" s="2" customFormat="1" ht="18.75" thickBot="1" x14ac:dyDescent="0.3">
      <c r="C146" s="45"/>
      <c r="D146" s="61" t="s">
        <v>208</v>
      </c>
      <c r="E146" s="46" t="e">
        <f>VLOOKUP(Tabela2[[#This Row],[TAG]],MICRO!J:L,3,0)</f>
        <v>#N/A</v>
      </c>
      <c r="F146" s="44" t="s">
        <v>23</v>
      </c>
      <c r="G146" s="58">
        <f>SUMIF(MICRO!AP:AP,O:O,MICRO!H:H)</f>
        <v>0</v>
      </c>
      <c r="H146" s="1">
        <f>SUMIF(MICRO!AP:AP,O:O,MICRO!R:R)</f>
        <v>0</v>
      </c>
      <c r="I146" s="1">
        <f>SUMIF(MICRO!AP:AP,O:O,MICRO!T:T)</f>
        <v>0</v>
      </c>
      <c r="J146" s="59">
        <f t="shared" si="10"/>
        <v>0</v>
      </c>
      <c r="K146" s="1">
        <f>SUMIF(MICRO!AP:AP,O:O,MICRO!X:X)</f>
        <v>0</v>
      </c>
      <c r="L146" s="59" t="str">
        <f t="shared" si="11"/>
        <v>0%</v>
      </c>
      <c r="M146" s="1">
        <f t="shared" si="12"/>
        <v>0</v>
      </c>
      <c r="N146" s="56" t="e">
        <f t="shared" si="13"/>
        <v>#N/A</v>
      </c>
      <c r="O146" s="56" t="e">
        <f t="shared" si="14"/>
        <v>#N/A</v>
      </c>
      <c r="P146" s="2">
        <f>SUMIF(MICRO!AP:AP,O146,MICRO!AS:AS)</f>
        <v>0</v>
      </c>
      <c r="Q146" s="2">
        <f>SUMIF(MICRO!AP:AP,O146,MICRO!AT:AT)</f>
        <v>0</v>
      </c>
      <c r="R146" s="2">
        <f>SUMIF(MICRO!AP:AP,O:O,MICRO!AU:AU)</f>
        <v>0</v>
      </c>
    </row>
    <row r="147" spans="3:18" s="2" customFormat="1" ht="18.75" thickBot="1" x14ac:dyDescent="0.3">
      <c r="C147" s="45"/>
      <c r="D147" s="61" t="s">
        <v>208</v>
      </c>
      <c r="E147" s="46" t="e">
        <f>VLOOKUP(Tabela2[[#This Row],[TAG]],MICRO!J:L,3,0)</f>
        <v>#N/A</v>
      </c>
      <c r="F147" s="44" t="s">
        <v>45</v>
      </c>
      <c r="G147" s="58">
        <f>SUMIF(MICRO!AP:AP,O:O,MICRO!H:H)</f>
        <v>0</v>
      </c>
      <c r="H147" s="1">
        <f>SUMIF(MICRO!AP:AP,O:O,MICRO!R:R)</f>
        <v>0</v>
      </c>
      <c r="I147" s="1">
        <f>SUMIF(MICRO!AP:AP,O:O,MICRO!T:T)</f>
        <v>0</v>
      </c>
      <c r="J147" s="59">
        <f t="shared" si="10"/>
        <v>0</v>
      </c>
      <c r="K147" s="1">
        <f>SUMIF(MICRO!AP:AP,O:O,MICRO!X:X)</f>
        <v>0</v>
      </c>
      <c r="L147" s="59" t="str">
        <f t="shared" si="11"/>
        <v>0%</v>
      </c>
      <c r="M147" s="1">
        <f t="shared" si="12"/>
        <v>0</v>
      </c>
      <c r="N147" s="56" t="e">
        <f t="shared" si="13"/>
        <v>#N/A</v>
      </c>
      <c r="O147" s="56" t="e">
        <f t="shared" si="14"/>
        <v>#N/A</v>
      </c>
      <c r="P147" s="2">
        <f>SUMIF(MICRO!AP:AP,O147,MICRO!AS:AS)</f>
        <v>0</v>
      </c>
      <c r="Q147" s="2">
        <f>SUMIF(MICRO!AP:AP,O147,MICRO!AT:AT)</f>
        <v>0</v>
      </c>
      <c r="R147" s="2">
        <f>SUMIF(MICRO!AP:AP,O:O,MICRO!AU:AU)</f>
        <v>0</v>
      </c>
    </row>
    <row r="148" spans="3:18" s="2" customFormat="1" ht="18.75" thickBot="1" x14ac:dyDescent="0.3">
      <c r="C148" s="45"/>
      <c r="D148" s="61" t="s">
        <v>212</v>
      </c>
      <c r="E148" s="46" t="e">
        <f>VLOOKUP(Tabela2[[#This Row],[TAG]],MICRO!J:L,3,0)</f>
        <v>#N/A</v>
      </c>
      <c r="F148" s="44" t="s">
        <v>23</v>
      </c>
      <c r="G148" s="58">
        <f>SUMIF(MICRO!AP:AP,O:O,MICRO!H:H)</f>
        <v>0</v>
      </c>
      <c r="H148" s="1">
        <f>SUMIF(MICRO!AP:AP,O:O,MICRO!R:R)</f>
        <v>0</v>
      </c>
      <c r="I148" s="1">
        <f>SUMIF(MICRO!AP:AP,O:O,MICRO!T:T)</f>
        <v>0</v>
      </c>
      <c r="J148" s="59">
        <f t="shared" si="10"/>
        <v>0</v>
      </c>
      <c r="K148" s="1">
        <f>SUMIF(MICRO!AP:AP,O:O,MICRO!X:X)</f>
        <v>0</v>
      </c>
      <c r="L148" s="59" t="str">
        <f t="shared" si="11"/>
        <v>0%</v>
      </c>
      <c r="M148" s="1">
        <f t="shared" si="12"/>
        <v>0</v>
      </c>
      <c r="N148" s="56" t="e">
        <f t="shared" si="13"/>
        <v>#N/A</v>
      </c>
      <c r="O148" s="56" t="e">
        <f t="shared" si="14"/>
        <v>#N/A</v>
      </c>
      <c r="P148" s="2">
        <f>SUMIF(MICRO!AP:AP,O148,MICRO!AS:AS)</f>
        <v>0</v>
      </c>
      <c r="Q148" s="2">
        <f>SUMIF(MICRO!AP:AP,O148,MICRO!AT:AT)</f>
        <v>0</v>
      </c>
      <c r="R148" s="2">
        <f>SUMIF(MICRO!AP:AP,O:O,MICRO!AU:AU)</f>
        <v>0</v>
      </c>
    </row>
    <row r="149" spans="3:18" s="2" customFormat="1" ht="18.75" thickBot="1" x14ac:dyDescent="0.3">
      <c r="C149" s="45"/>
      <c r="D149" s="61" t="s">
        <v>214</v>
      </c>
      <c r="E149" s="46" t="e">
        <f>VLOOKUP(Tabela2[[#This Row],[TAG]],MICRO!J:L,3,0)</f>
        <v>#N/A</v>
      </c>
      <c r="F149" s="44" t="s">
        <v>23</v>
      </c>
      <c r="G149" s="58">
        <f>SUMIF(MICRO!AP:AP,O:O,MICRO!H:H)</f>
        <v>0</v>
      </c>
      <c r="H149" s="1">
        <f>SUMIF(MICRO!AP:AP,O:O,MICRO!R:R)</f>
        <v>0</v>
      </c>
      <c r="I149" s="1">
        <f>SUMIF(MICRO!AP:AP,O:O,MICRO!T:T)</f>
        <v>0</v>
      </c>
      <c r="J149" s="59">
        <f t="shared" si="10"/>
        <v>0</v>
      </c>
      <c r="K149" s="1">
        <f>SUMIF(MICRO!AP:AP,O:O,MICRO!X:X)</f>
        <v>0</v>
      </c>
      <c r="L149" s="59" t="str">
        <f t="shared" si="11"/>
        <v>0%</v>
      </c>
      <c r="M149" s="1">
        <f t="shared" si="12"/>
        <v>0</v>
      </c>
      <c r="N149" s="56" t="e">
        <f t="shared" si="13"/>
        <v>#N/A</v>
      </c>
      <c r="O149" s="56" t="e">
        <f t="shared" si="14"/>
        <v>#N/A</v>
      </c>
      <c r="P149" s="2">
        <f>SUMIF(MICRO!AP:AP,O149,MICRO!AS:AS)</f>
        <v>0</v>
      </c>
      <c r="Q149" s="2">
        <f>SUMIF(MICRO!AP:AP,O149,MICRO!AT:AT)</f>
        <v>0</v>
      </c>
      <c r="R149" s="2">
        <f>SUMIF(MICRO!AP:AP,O:O,MICRO!AU:AU)</f>
        <v>0</v>
      </c>
    </row>
    <row r="150" spans="3:18" s="2" customFormat="1" ht="18.75" thickBot="1" x14ac:dyDescent="0.3">
      <c r="C150" s="45"/>
      <c r="D150" s="61" t="s">
        <v>216</v>
      </c>
      <c r="E150" s="46" t="e">
        <f>VLOOKUP(Tabela2[[#This Row],[TAG]],MICRO!J:L,3,0)</f>
        <v>#N/A</v>
      </c>
      <c r="F150" s="44" t="s">
        <v>23</v>
      </c>
      <c r="G150" s="58">
        <f>SUMIF(MICRO!AP:AP,O:O,MICRO!H:H)</f>
        <v>0</v>
      </c>
      <c r="H150" s="1">
        <f>SUMIF(MICRO!AP:AP,O:O,MICRO!R:R)</f>
        <v>0</v>
      </c>
      <c r="I150" s="1">
        <f>SUMIF(MICRO!AP:AP,O:O,MICRO!T:T)</f>
        <v>0</v>
      </c>
      <c r="J150" s="59">
        <f t="shared" si="10"/>
        <v>0</v>
      </c>
      <c r="K150" s="1">
        <f>SUMIF(MICRO!AP:AP,O:O,MICRO!X:X)</f>
        <v>0</v>
      </c>
      <c r="L150" s="59" t="str">
        <f t="shared" si="11"/>
        <v>0%</v>
      </c>
      <c r="M150" s="1">
        <f t="shared" si="12"/>
        <v>0</v>
      </c>
      <c r="N150" s="56" t="e">
        <f t="shared" si="13"/>
        <v>#N/A</v>
      </c>
      <c r="O150" s="56" t="e">
        <f t="shared" si="14"/>
        <v>#N/A</v>
      </c>
      <c r="P150" s="2">
        <f>SUMIF(MICRO!AP:AP,O150,MICRO!AS:AS)</f>
        <v>0</v>
      </c>
      <c r="Q150" s="2">
        <f>SUMIF(MICRO!AP:AP,O150,MICRO!AT:AT)</f>
        <v>0</v>
      </c>
      <c r="R150" s="2">
        <f>SUMIF(MICRO!AP:AP,O:O,MICRO!AU:AU)</f>
        <v>0</v>
      </c>
    </row>
    <row r="151" spans="3:18" s="2" customFormat="1" ht="18.75" thickBot="1" x14ac:dyDescent="0.3">
      <c r="C151" s="45"/>
      <c r="D151" s="61" t="s">
        <v>229</v>
      </c>
      <c r="E151" s="46" t="e">
        <f>VLOOKUP(Tabela2[[#This Row],[TAG]],MICRO!J:L,3,0)</f>
        <v>#N/A</v>
      </c>
      <c r="F151" s="44" t="s">
        <v>23</v>
      </c>
      <c r="G151" s="58">
        <f>SUMIF(MICRO!AP:AP,O:O,MICRO!H:H)</f>
        <v>0</v>
      </c>
      <c r="H151" s="1">
        <f>SUMIF(MICRO!AP:AP,O:O,MICRO!R:R)</f>
        <v>0</v>
      </c>
      <c r="I151" s="1">
        <f>SUMIF(MICRO!AP:AP,O:O,MICRO!T:T)</f>
        <v>0</v>
      </c>
      <c r="J151" s="59">
        <f t="shared" si="10"/>
        <v>0</v>
      </c>
      <c r="K151" s="1">
        <f>SUMIF(MICRO!AP:AP,O:O,MICRO!X:X)</f>
        <v>0</v>
      </c>
      <c r="L151" s="59" t="str">
        <f t="shared" si="11"/>
        <v>0%</v>
      </c>
      <c r="M151" s="1">
        <f t="shared" si="12"/>
        <v>0</v>
      </c>
      <c r="N151" s="56" t="e">
        <f t="shared" si="13"/>
        <v>#N/A</v>
      </c>
      <c r="O151" s="56" t="e">
        <f t="shared" si="14"/>
        <v>#N/A</v>
      </c>
      <c r="P151" s="2">
        <f>SUMIF(MICRO!AP:AP,O151,MICRO!AS:AS)</f>
        <v>0</v>
      </c>
      <c r="Q151" s="2">
        <f>SUMIF(MICRO!AP:AP,O151,MICRO!AT:AT)</f>
        <v>0</v>
      </c>
      <c r="R151" s="2">
        <f>SUMIF(MICRO!AP:AP,O:O,MICRO!AU:AU)</f>
        <v>0</v>
      </c>
    </row>
    <row r="152" spans="3:18" s="2" customFormat="1" ht="18.75" thickBot="1" x14ac:dyDescent="0.3">
      <c r="C152" s="45"/>
      <c r="D152" s="61" t="s">
        <v>223</v>
      </c>
      <c r="E152" s="46" t="e">
        <f>VLOOKUP(Tabela2[[#This Row],[TAG]],MICRO!J:L,3,0)</f>
        <v>#N/A</v>
      </c>
      <c r="F152" s="44" t="s">
        <v>31</v>
      </c>
      <c r="G152" s="58">
        <f>SUMIF(MICRO!AP:AP,O:O,MICRO!H:H)</f>
        <v>0</v>
      </c>
      <c r="H152" s="1">
        <f>SUMIF(MICRO!AP:AP,O:O,MICRO!R:R)</f>
        <v>0</v>
      </c>
      <c r="I152" s="1">
        <f>SUMIF(MICRO!AP:AP,O:O,MICRO!T:T)</f>
        <v>0</v>
      </c>
      <c r="J152" s="59">
        <f t="shared" si="10"/>
        <v>0</v>
      </c>
      <c r="K152" s="1">
        <f>SUMIF(MICRO!AP:AP,O:O,MICRO!X:X)</f>
        <v>0</v>
      </c>
      <c r="L152" s="59" t="str">
        <f t="shared" si="11"/>
        <v>0%</v>
      </c>
      <c r="M152" s="1">
        <f t="shared" si="12"/>
        <v>0</v>
      </c>
      <c r="N152" s="56" t="e">
        <f t="shared" si="13"/>
        <v>#N/A</v>
      </c>
      <c r="O152" s="56" t="e">
        <f t="shared" si="14"/>
        <v>#N/A</v>
      </c>
      <c r="P152" s="2">
        <f>SUMIF(MICRO!AP:AP,O152,MICRO!AS:AS)</f>
        <v>0</v>
      </c>
      <c r="Q152" s="2">
        <f>SUMIF(MICRO!AP:AP,O152,MICRO!AT:AT)</f>
        <v>0</v>
      </c>
      <c r="R152" s="2">
        <f>SUMIF(MICRO!AP:AP,O:O,MICRO!AU:AU)</f>
        <v>0</v>
      </c>
    </row>
    <row r="153" spans="3:18" s="2" customFormat="1" ht="18.75" thickBot="1" x14ac:dyDescent="0.3">
      <c r="C153" s="45"/>
      <c r="D153" s="61" t="s">
        <v>223</v>
      </c>
      <c r="E153" s="46" t="e">
        <f>VLOOKUP(Tabela2[[#This Row],[TAG]],MICRO!J:L,3,0)</f>
        <v>#N/A</v>
      </c>
      <c r="F153" s="44" t="s">
        <v>32</v>
      </c>
      <c r="G153" s="58">
        <f>SUMIF(MICRO!AP:AP,O:O,MICRO!H:H)</f>
        <v>0</v>
      </c>
      <c r="H153" s="1">
        <f>SUMIF(MICRO!AP:AP,O:O,MICRO!R:R)</f>
        <v>0</v>
      </c>
      <c r="I153" s="1">
        <f>SUMIF(MICRO!AP:AP,O:O,MICRO!T:T)</f>
        <v>0</v>
      </c>
      <c r="J153" s="59">
        <f t="shared" si="10"/>
        <v>0</v>
      </c>
      <c r="K153" s="1">
        <f>SUMIF(MICRO!AP:AP,O:O,MICRO!X:X)</f>
        <v>0</v>
      </c>
      <c r="L153" s="59" t="str">
        <f t="shared" si="11"/>
        <v>0%</v>
      </c>
      <c r="M153" s="1">
        <f t="shared" si="12"/>
        <v>0</v>
      </c>
      <c r="N153" s="56" t="e">
        <f t="shared" si="13"/>
        <v>#N/A</v>
      </c>
      <c r="O153" s="56" t="e">
        <f t="shared" si="14"/>
        <v>#N/A</v>
      </c>
      <c r="P153" s="2">
        <f>SUMIF(MICRO!AP:AP,O153,MICRO!AS:AS)</f>
        <v>0</v>
      </c>
      <c r="Q153" s="2">
        <f>SUMIF(MICRO!AP:AP,O153,MICRO!AT:AT)</f>
        <v>0</v>
      </c>
      <c r="R153" s="2">
        <f>SUMIF(MICRO!AP:AP,O:O,MICRO!AU:AU)</f>
        <v>0</v>
      </c>
    </row>
    <row r="154" spans="3:18" s="2" customFormat="1" ht="18.75" thickBot="1" x14ac:dyDescent="0.3">
      <c r="C154" s="45"/>
      <c r="D154" s="61" t="s">
        <v>220</v>
      </c>
      <c r="E154" s="46" t="e">
        <f>VLOOKUP(Tabela2[[#This Row],[TAG]],MICRO!J:L,3,0)</f>
        <v>#N/A</v>
      </c>
      <c r="F154" s="44" t="s">
        <v>31</v>
      </c>
      <c r="G154" s="58">
        <f>SUMIF(MICRO!AP:AP,O:O,MICRO!H:H)</f>
        <v>0</v>
      </c>
      <c r="H154" s="1">
        <f>SUMIF(MICRO!AP:AP,O:O,MICRO!R:R)</f>
        <v>0</v>
      </c>
      <c r="I154" s="1">
        <f>SUMIF(MICRO!AP:AP,O:O,MICRO!T:T)</f>
        <v>0</v>
      </c>
      <c r="J154" s="59">
        <f t="shared" si="10"/>
        <v>0</v>
      </c>
      <c r="K154" s="1">
        <f>SUMIF(MICRO!AP:AP,O:O,MICRO!X:X)</f>
        <v>0</v>
      </c>
      <c r="L154" s="59" t="str">
        <f t="shared" si="11"/>
        <v>0%</v>
      </c>
      <c r="M154" s="1">
        <f t="shared" si="12"/>
        <v>0</v>
      </c>
      <c r="N154" s="56" t="e">
        <f t="shared" si="13"/>
        <v>#N/A</v>
      </c>
      <c r="O154" s="56" t="e">
        <f t="shared" si="14"/>
        <v>#N/A</v>
      </c>
      <c r="P154" s="2">
        <f>SUMIF(MICRO!AP:AP,O154,MICRO!AS:AS)</f>
        <v>0</v>
      </c>
      <c r="Q154" s="2">
        <f>SUMIF(MICRO!AP:AP,O154,MICRO!AT:AT)</f>
        <v>0</v>
      </c>
      <c r="R154" s="2">
        <f>SUMIF(MICRO!AP:AP,O:O,MICRO!AU:AU)</f>
        <v>0</v>
      </c>
    </row>
    <row r="155" spans="3:18" s="2" customFormat="1" ht="18.75" thickBot="1" x14ac:dyDescent="0.3">
      <c r="C155" s="45"/>
      <c r="D155" s="61" t="s">
        <v>220</v>
      </c>
      <c r="E155" s="46" t="e">
        <f>VLOOKUP(Tabela2[[#This Row],[TAG]],MICRO!J:L,3,0)</f>
        <v>#N/A</v>
      </c>
      <c r="F155" s="44" t="s">
        <v>45</v>
      </c>
      <c r="G155" s="58">
        <f>SUMIF(MICRO!AP:AP,O:O,MICRO!H:H)</f>
        <v>0</v>
      </c>
      <c r="H155" s="1">
        <f>SUMIF(MICRO!AP:AP,O:O,MICRO!R:R)</f>
        <v>0</v>
      </c>
      <c r="I155" s="1">
        <f>SUMIF(MICRO!AP:AP,O:O,MICRO!T:T)</f>
        <v>0</v>
      </c>
      <c r="J155" s="59">
        <f t="shared" si="10"/>
        <v>0</v>
      </c>
      <c r="K155" s="1">
        <f>SUMIF(MICRO!AP:AP,O:O,MICRO!X:X)</f>
        <v>0</v>
      </c>
      <c r="L155" s="59" t="str">
        <f t="shared" si="11"/>
        <v>0%</v>
      </c>
      <c r="M155" s="1">
        <f t="shared" si="12"/>
        <v>0</v>
      </c>
      <c r="N155" s="56" t="e">
        <f t="shared" si="13"/>
        <v>#N/A</v>
      </c>
      <c r="O155" s="56" t="e">
        <f t="shared" si="14"/>
        <v>#N/A</v>
      </c>
      <c r="P155" s="2">
        <f>SUMIF(MICRO!AP:AP,O155,MICRO!AS:AS)</f>
        <v>0</v>
      </c>
      <c r="Q155" s="2">
        <f>SUMIF(MICRO!AP:AP,O155,MICRO!AT:AT)</f>
        <v>0</v>
      </c>
      <c r="R155" s="2">
        <f>SUMIF(MICRO!AP:AP,O:O,MICRO!AU:AU)</f>
        <v>0</v>
      </c>
    </row>
    <row r="156" spans="3:18" s="2" customFormat="1" ht="18.75" thickBot="1" x14ac:dyDescent="0.3">
      <c r="C156" s="45"/>
      <c r="D156" s="61" t="s">
        <v>228</v>
      </c>
      <c r="E156" s="46" t="e">
        <f>VLOOKUP(Tabela2[[#This Row],[TAG]],MICRO!J:L,3,0)</f>
        <v>#N/A</v>
      </c>
      <c r="F156" s="44" t="s">
        <v>32</v>
      </c>
      <c r="G156" s="58">
        <f>SUMIF(MICRO!AP:AP,O:O,MICRO!H:H)</f>
        <v>0</v>
      </c>
      <c r="H156" s="1">
        <f>SUMIF(MICRO!AP:AP,O:O,MICRO!R:R)</f>
        <v>0</v>
      </c>
      <c r="I156" s="1">
        <f>SUMIF(MICRO!AP:AP,O:O,MICRO!T:T)</f>
        <v>0</v>
      </c>
      <c r="J156" s="59">
        <f t="shared" si="10"/>
        <v>0</v>
      </c>
      <c r="K156" s="1">
        <f>SUMIF(MICRO!AP:AP,O:O,MICRO!X:X)</f>
        <v>0</v>
      </c>
      <c r="L156" s="59" t="str">
        <f t="shared" si="11"/>
        <v>0%</v>
      </c>
      <c r="M156" s="1">
        <f t="shared" si="12"/>
        <v>0</v>
      </c>
      <c r="N156" s="56" t="e">
        <f t="shared" si="13"/>
        <v>#N/A</v>
      </c>
      <c r="O156" s="56" t="e">
        <f t="shared" si="14"/>
        <v>#N/A</v>
      </c>
      <c r="P156" s="2">
        <f>SUMIF(MICRO!AP:AP,O156,MICRO!AS:AS)</f>
        <v>0</v>
      </c>
      <c r="Q156" s="2">
        <f>SUMIF(MICRO!AP:AP,O156,MICRO!AT:AT)</f>
        <v>0</v>
      </c>
      <c r="R156" s="2">
        <f>SUMIF(MICRO!AP:AP,O:O,MICRO!AU:AU)</f>
        <v>0</v>
      </c>
    </row>
    <row r="157" spans="3:18" s="2" customFormat="1" ht="18.75" thickBot="1" x14ac:dyDescent="0.3">
      <c r="C157" s="45"/>
      <c r="D157" s="61" t="s">
        <v>312</v>
      </c>
      <c r="E157" s="46" t="e">
        <f>VLOOKUP(Tabela2[[#This Row],[TAG]],MICRO!J:L,3,0)</f>
        <v>#N/A</v>
      </c>
      <c r="F157" s="44"/>
      <c r="G157" s="58">
        <f>SUMIF(MICRO!AP:AP,O:O,MICRO!H:H)</f>
        <v>0</v>
      </c>
      <c r="H157" s="1">
        <f>SUMIF(MICRO!AP:AP,O:O,MICRO!R:R)</f>
        <v>0</v>
      </c>
      <c r="I157" s="1">
        <f>SUMIF(MICRO!AP:AP,O:O,MICRO!T:T)</f>
        <v>0</v>
      </c>
      <c r="J157" s="59">
        <f t="shared" si="10"/>
        <v>0</v>
      </c>
      <c r="K157" s="1">
        <f>SUMIF(MICRO!AP:AP,O:O,MICRO!X:X)</f>
        <v>0</v>
      </c>
      <c r="L157" s="59" t="str">
        <f t="shared" si="11"/>
        <v>0%</v>
      </c>
      <c r="M157" s="1">
        <f t="shared" si="12"/>
        <v>0</v>
      </c>
      <c r="N157" s="56" t="e">
        <f t="shared" si="13"/>
        <v>#N/A</v>
      </c>
      <c r="O157" s="56" t="e">
        <f t="shared" si="14"/>
        <v>#N/A</v>
      </c>
      <c r="P157" s="2">
        <f>SUMIF(MICRO!AP:AP,O157,MICRO!AS:AS)</f>
        <v>0</v>
      </c>
      <c r="Q157" s="2">
        <f>SUMIF(MICRO!AP:AP,O157,MICRO!AT:AT)</f>
        <v>0</v>
      </c>
      <c r="R157" s="2">
        <f>SUMIF(MICRO!AP:AP,O:O,MICRO!AU:AU)</f>
        <v>0</v>
      </c>
    </row>
    <row r="158" spans="3:18" s="2" customFormat="1" ht="18.75" thickBot="1" x14ac:dyDescent="0.3">
      <c r="C158" s="45"/>
      <c r="D158" s="61" t="s">
        <v>233</v>
      </c>
      <c r="E158" s="46" t="e">
        <f>VLOOKUP(Tabela2[[#This Row],[TAG]],MICRO!J:L,3,0)</f>
        <v>#N/A</v>
      </c>
      <c r="F158" s="44" t="s">
        <v>23</v>
      </c>
      <c r="G158" s="58">
        <f>SUMIF(MICRO!AP:AP,O:O,MICRO!H:H)</f>
        <v>0</v>
      </c>
      <c r="H158" s="1">
        <f>SUMIF(MICRO!AP:AP,O:O,MICRO!R:R)</f>
        <v>0</v>
      </c>
      <c r="I158" s="1">
        <f>SUMIF(MICRO!AP:AP,O:O,MICRO!T:T)</f>
        <v>0</v>
      </c>
      <c r="J158" s="59">
        <f t="shared" si="10"/>
        <v>0</v>
      </c>
      <c r="K158" s="1">
        <f>SUMIF(MICRO!AP:AP,O:O,MICRO!X:X)</f>
        <v>0</v>
      </c>
      <c r="L158" s="59" t="str">
        <f t="shared" si="11"/>
        <v>0%</v>
      </c>
      <c r="M158" s="1">
        <f t="shared" si="12"/>
        <v>0</v>
      </c>
      <c r="N158" s="56" t="e">
        <f t="shared" si="13"/>
        <v>#N/A</v>
      </c>
      <c r="O158" s="56" t="e">
        <f t="shared" si="14"/>
        <v>#N/A</v>
      </c>
      <c r="P158" s="2">
        <f>SUMIF(MICRO!AP:AP,O158,MICRO!AS:AS)</f>
        <v>0</v>
      </c>
      <c r="Q158" s="2">
        <f>SUMIF(MICRO!AP:AP,O158,MICRO!AT:AT)</f>
        <v>0</v>
      </c>
      <c r="R158" s="2">
        <f>SUMIF(MICRO!AP:AP,O:O,MICRO!AU:AU)</f>
        <v>0</v>
      </c>
    </row>
    <row r="159" spans="3:18" s="2" customFormat="1" ht="18.75" thickBot="1" x14ac:dyDescent="0.3">
      <c r="C159" s="45"/>
      <c r="D159" s="61" t="s">
        <v>235</v>
      </c>
      <c r="E159" s="46" t="e">
        <f>VLOOKUP(Tabela2[[#This Row],[TAG]],MICRO!J:L,3,0)</f>
        <v>#N/A</v>
      </c>
      <c r="F159" s="44" t="s">
        <v>23</v>
      </c>
      <c r="G159" s="58">
        <f>SUMIF(MICRO!AP:AP,O:O,MICRO!H:H)</f>
        <v>0</v>
      </c>
      <c r="H159" s="1">
        <f>SUMIF(MICRO!AP:AP,O:O,MICRO!R:R)</f>
        <v>0</v>
      </c>
      <c r="I159" s="1">
        <f>SUMIF(MICRO!AP:AP,O:O,MICRO!T:T)</f>
        <v>0</v>
      </c>
      <c r="J159" s="59">
        <f t="shared" si="10"/>
        <v>0</v>
      </c>
      <c r="K159" s="1">
        <f>SUMIF(MICRO!AP:AP,O:O,MICRO!X:X)</f>
        <v>0</v>
      </c>
      <c r="L159" s="59" t="str">
        <f t="shared" si="11"/>
        <v>0%</v>
      </c>
      <c r="M159" s="1">
        <f t="shared" si="12"/>
        <v>0</v>
      </c>
      <c r="N159" s="56" t="e">
        <f t="shared" si="13"/>
        <v>#N/A</v>
      </c>
      <c r="O159" s="56" t="e">
        <f t="shared" si="14"/>
        <v>#N/A</v>
      </c>
      <c r="P159" s="2">
        <f>SUMIF(MICRO!AP:AP,O159,MICRO!AS:AS)</f>
        <v>0</v>
      </c>
      <c r="Q159" s="2">
        <f>SUMIF(MICRO!AP:AP,O159,MICRO!AT:AT)</f>
        <v>0</v>
      </c>
      <c r="R159" s="2">
        <f>SUMIF(MICRO!AP:AP,O:O,MICRO!AU:AU)</f>
        <v>0</v>
      </c>
    </row>
    <row r="160" spans="3:18" s="2" customFormat="1" ht="18.75" thickBot="1" x14ac:dyDescent="0.3">
      <c r="C160" s="45"/>
      <c r="D160" s="61" t="s">
        <v>237</v>
      </c>
      <c r="E160" s="46" t="e">
        <f>VLOOKUP(Tabela2[[#This Row],[TAG]],MICRO!J:L,3,0)</f>
        <v>#N/A</v>
      </c>
      <c r="F160" s="44" t="s">
        <v>33</v>
      </c>
      <c r="G160" s="58">
        <f>SUMIF(MICRO!AP:AP,O:O,MICRO!H:H)</f>
        <v>0</v>
      </c>
      <c r="H160" s="1">
        <f>SUMIF(MICRO!AP:AP,O:O,MICRO!R:R)</f>
        <v>0</v>
      </c>
      <c r="I160" s="1">
        <f>SUMIF(MICRO!AP:AP,O:O,MICRO!T:T)</f>
        <v>0</v>
      </c>
      <c r="J160" s="59">
        <f t="shared" si="10"/>
        <v>0</v>
      </c>
      <c r="K160" s="1">
        <f>SUMIF(MICRO!AP:AP,O:O,MICRO!X:X)</f>
        <v>0</v>
      </c>
      <c r="L160" s="59" t="str">
        <f t="shared" si="11"/>
        <v>0%</v>
      </c>
      <c r="M160" s="1">
        <f t="shared" si="12"/>
        <v>0</v>
      </c>
      <c r="N160" s="56" t="e">
        <f t="shared" si="13"/>
        <v>#N/A</v>
      </c>
      <c r="O160" s="56" t="e">
        <f t="shared" si="14"/>
        <v>#N/A</v>
      </c>
      <c r="P160" s="2">
        <f>SUMIF(MICRO!AP:AP,O160,MICRO!AS:AS)</f>
        <v>0</v>
      </c>
      <c r="Q160" s="2">
        <f>SUMIF(MICRO!AP:AP,O160,MICRO!AT:AT)</f>
        <v>0</v>
      </c>
      <c r="R160" s="2">
        <f>SUMIF(MICRO!AP:AP,O:O,MICRO!AU:AU)</f>
        <v>0</v>
      </c>
    </row>
    <row r="161" spans="3:18" s="2" customFormat="1" ht="18.75" thickBot="1" x14ac:dyDescent="0.3">
      <c r="C161" s="45"/>
      <c r="D161" s="61" t="s">
        <v>240</v>
      </c>
      <c r="E161" s="46" t="e">
        <f>VLOOKUP(Tabela2[[#This Row],[TAG]],MICRO!J:L,3,0)</f>
        <v>#N/A</v>
      </c>
      <c r="F161" s="44" t="s">
        <v>44</v>
      </c>
      <c r="G161" s="58">
        <f>SUMIF(MICRO!AP:AP,O:O,MICRO!H:H)</f>
        <v>0</v>
      </c>
      <c r="H161" s="1">
        <f>SUMIF(MICRO!AP:AP,O:O,MICRO!R:R)</f>
        <v>0</v>
      </c>
      <c r="I161" s="1">
        <f>SUMIF(MICRO!AP:AP,O:O,MICRO!T:T)</f>
        <v>0</v>
      </c>
      <c r="J161" s="59">
        <f t="shared" si="10"/>
        <v>0</v>
      </c>
      <c r="K161" s="1">
        <f>SUMIF(MICRO!AP:AP,O:O,MICRO!X:X)</f>
        <v>0</v>
      </c>
      <c r="L161" s="59" t="str">
        <f t="shared" si="11"/>
        <v>0%</v>
      </c>
      <c r="M161" s="1">
        <f t="shared" si="12"/>
        <v>0</v>
      </c>
      <c r="N161" s="56" t="e">
        <f t="shared" si="13"/>
        <v>#N/A</v>
      </c>
      <c r="O161" s="56" t="e">
        <f t="shared" si="14"/>
        <v>#N/A</v>
      </c>
      <c r="P161" s="2">
        <f>SUMIF(MICRO!AP:AP,O161,MICRO!AS:AS)</f>
        <v>0</v>
      </c>
      <c r="Q161" s="2">
        <f>SUMIF(MICRO!AP:AP,O161,MICRO!AT:AT)</f>
        <v>0</v>
      </c>
      <c r="R161" s="2">
        <f>SUMIF(MICRO!AP:AP,O:O,MICRO!AU:AU)</f>
        <v>0</v>
      </c>
    </row>
    <row r="162" spans="3:18" s="2" customFormat="1" ht="18.75" thickBot="1" x14ac:dyDescent="0.3">
      <c r="C162" s="45"/>
      <c r="D162" s="61" t="s">
        <v>241</v>
      </c>
      <c r="E162" s="46" t="e">
        <f>VLOOKUP(Tabela2[[#This Row],[TAG]],MICRO!J:L,3,0)</f>
        <v>#N/A</v>
      </c>
      <c r="F162" s="44" t="s">
        <v>22</v>
      </c>
      <c r="G162" s="58">
        <f>SUMIF(MICRO!AP:AP,O:O,MICRO!H:H)</f>
        <v>0</v>
      </c>
      <c r="H162" s="1">
        <f>SUMIF(MICRO!AP:AP,O:O,MICRO!R:R)</f>
        <v>0</v>
      </c>
      <c r="I162" s="1">
        <f>SUMIF(MICRO!AP:AP,O:O,MICRO!T:T)</f>
        <v>0</v>
      </c>
      <c r="J162" s="59">
        <f t="shared" si="10"/>
        <v>0</v>
      </c>
      <c r="K162" s="1">
        <f>SUMIF(MICRO!AP:AP,O:O,MICRO!X:X)</f>
        <v>0</v>
      </c>
      <c r="L162" s="59" t="str">
        <f t="shared" si="11"/>
        <v>0%</v>
      </c>
      <c r="M162" s="1">
        <f t="shared" si="12"/>
        <v>0</v>
      </c>
      <c r="N162" s="56" t="e">
        <f t="shared" si="13"/>
        <v>#N/A</v>
      </c>
      <c r="O162" s="56" t="e">
        <f t="shared" si="14"/>
        <v>#N/A</v>
      </c>
      <c r="P162" s="2">
        <f>SUMIF(MICRO!AP:AP,O162,MICRO!AS:AS)</f>
        <v>0</v>
      </c>
      <c r="Q162" s="2">
        <f>SUMIF(MICRO!AP:AP,O162,MICRO!AT:AT)</f>
        <v>0</v>
      </c>
      <c r="R162" s="2">
        <f>SUMIF(MICRO!AP:AP,O:O,MICRO!AU:AU)</f>
        <v>0</v>
      </c>
    </row>
    <row r="163" spans="3:18" s="2" customFormat="1" ht="18.75" thickBot="1" x14ac:dyDescent="0.3">
      <c r="C163" s="45"/>
      <c r="D163" s="61" t="s">
        <v>281</v>
      </c>
      <c r="E163" s="46" t="e">
        <f>VLOOKUP(Tabela2[[#This Row],[TAG]],MICRO!J:L,3,0)</f>
        <v>#N/A</v>
      </c>
      <c r="F163" s="44" t="s">
        <v>32</v>
      </c>
      <c r="G163" s="58">
        <f>SUMIF(MICRO!AP:AP,O:O,MICRO!H:H)</f>
        <v>0</v>
      </c>
      <c r="H163" s="1">
        <f>SUMIF(MICRO!AP:AP,O:O,MICRO!R:R)</f>
        <v>0</v>
      </c>
      <c r="I163" s="1">
        <f>SUMIF(MICRO!AP:AP,O:O,MICRO!T:T)</f>
        <v>0</v>
      </c>
      <c r="J163" s="59">
        <f t="shared" si="10"/>
        <v>0</v>
      </c>
      <c r="K163" s="1">
        <f>SUMIF(MICRO!AP:AP,O:O,MICRO!X:X)</f>
        <v>0</v>
      </c>
      <c r="L163" s="59" t="str">
        <f t="shared" si="11"/>
        <v>0%</v>
      </c>
      <c r="M163" s="1">
        <f t="shared" si="12"/>
        <v>0</v>
      </c>
      <c r="N163" s="56" t="e">
        <f t="shared" si="13"/>
        <v>#N/A</v>
      </c>
      <c r="O163" s="56" t="e">
        <f t="shared" si="14"/>
        <v>#N/A</v>
      </c>
      <c r="P163" s="2">
        <f>SUMIF(MICRO!AP:AP,O163,MICRO!AS:AS)</f>
        <v>0</v>
      </c>
      <c r="Q163" s="2">
        <f>SUMIF(MICRO!AP:AP,O163,MICRO!AT:AT)</f>
        <v>0</v>
      </c>
      <c r="R163" s="2">
        <f>SUMIF(MICRO!AP:AP,O:O,MICRO!AU:AU)</f>
        <v>0</v>
      </c>
    </row>
    <row r="164" spans="3:18" s="2" customFormat="1" ht="18.75" thickBot="1" x14ac:dyDescent="0.3">
      <c r="C164" s="45"/>
      <c r="D164" s="61" t="s">
        <v>292</v>
      </c>
      <c r="E164" s="46" t="e">
        <f>VLOOKUP(Tabela2[[#This Row],[TAG]],MICRO!J:L,3,0)</f>
        <v>#N/A</v>
      </c>
      <c r="F164" s="44" t="s">
        <v>23</v>
      </c>
      <c r="G164" s="58">
        <f>SUMIF(MICRO!AP:AP,O:O,MICRO!H:H)</f>
        <v>0</v>
      </c>
      <c r="H164" s="1">
        <f>SUMIF(MICRO!AP:AP,O:O,MICRO!R:R)</f>
        <v>0</v>
      </c>
      <c r="I164" s="1">
        <f>SUMIF(MICRO!AP:AP,O:O,MICRO!T:T)</f>
        <v>0</v>
      </c>
      <c r="J164" s="59">
        <f t="shared" si="10"/>
        <v>0</v>
      </c>
      <c r="K164" s="1">
        <f>SUMIF(MICRO!AP:AP,O:O,MICRO!X:X)</f>
        <v>0</v>
      </c>
      <c r="L164" s="59" t="str">
        <f t="shared" si="11"/>
        <v>0%</v>
      </c>
      <c r="M164" s="1">
        <f t="shared" si="12"/>
        <v>0</v>
      </c>
      <c r="N164" s="56" t="e">
        <f t="shared" si="13"/>
        <v>#N/A</v>
      </c>
      <c r="O164" s="56" t="e">
        <f t="shared" si="14"/>
        <v>#N/A</v>
      </c>
      <c r="P164" s="2">
        <f>SUMIF(MICRO!AP:AP,O164,MICRO!AS:AS)</f>
        <v>0</v>
      </c>
      <c r="Q164" s="2">
        <f>SUMIF(MICRO!AP:AP,O164,MICRO!AT:AT)</f>
        <v>0</v>
      </c>
      <c r="R164" s="2">
        <f>SUMIF(MICRO!AP:AP,O:O,MICRO!AU:AU)</f>
        <v>0</v>
      </c>
    </row>
    <row r="165" spans="3:18" s="2" customFormat="1" ht="18.75" thickBot="1" x14ac:dyDescent="0.3">
      <c r="C165" s="45"/>
      <c r="D165" s="61" t="s">
        <v>293</v>
      </c>
      <c r="E165" s="46" t="e">
        <f>VLOOKUP(Tabela2[[#This Row],[TAG]],MICRO!J:L,3,0)</f>
        <v>#N/A</v>
      </c>
      <c r="F165" s="44" t="s">
        <v>45</v>
      </c>
      <c r="G165" s="58">
        <f>SUMIF(MICRO!AP:AP,O:O,MICRO!H:H)</f>
        <v>0</v>
      </c>
      <c r="H165" s="1">
        <f>SUMIF(MICRO!AP:AP,O:O,MICRO!R:R)</f>
        <v>0</v>
      </c>
      <c r="I165" s="1">
        <f>SUMIF(MICRO!AP:AP,O:O,MICRO!T:T)</f>
        <v>0</v>
      </c>
      <c r="J165" s="59">
        <f t="shared" si="10"/>
        <v>0</v>
      </c>
      <c r="K165" s="1">
        <f>SUMIF(MICRO!AP:AP,O:O,MICRO!X:X)</f>
        <v>0</v>
      </c>
      <c r="L165" s="59" t="str">
        <f t="shared" si="11"/>
        <v>0%</v>
      </c>
      <c r="M165" s="1">
        <f t="shared" si="12"/>
        <v>0</v>
      </c>
      <c r="N165" s="56" t="e">
        <f t="shared" si="13"/>
        <v>#N/A</v>
      </c>
      <c r="O165" s="56" t="e">
        <f t="shared" si="14"/>
        <v>#N/A</v>
      </c>
      <c r="P165" s="2">
        <f>SUMIF(MICRO!AP:AP,O165,MICRO!AS:AS)</f>
        <v>0</v>
      </c>
      <c r="Q165" s="2">
        <f>SUMIF(MICRO!AP:AP,O165,MICRO!AT:AT)</f>
        <v>0</v>
      </c>
      <c r="R165" s="2">
        <f>SUMIF(MICRO!AP:AP,O:O,MICRO!AU:AU)</f>
        <v>0</v>
      </c>
    </row>
    <row r="166" spans="3:18" s="2" customFormat="1" ht="18.75" thickBot="1" x14ac:dyDescent="0.3">
      <c r="C166" s="45"/>
      <c r="D166" s="61" t="s">
        <v>293</v>
      </c>
      <c r="E166" s="46" t="e">
        <f>VLOOKUP(Tabela2[[#This Row],[TAG]],MICRO!J:L,3,0)</f>
        <v>#N/A</v>
      </c>
      <c r="F166" s="44" t="s">
        <v>32</v>
      </c>
      <c r="G166" s="58">
        <f>SUMIF(MICRO!AP:AP,O:O,MICRO!H:H)</f>
        <v>0</v>
      </c>
      <c r="H166" s="1">
        <f>SUMIF(MICRO!AP:AP,O:O,MICRO!R:R)</f>
        <v>0</v>
      </c>
      <c r="I166" s="1">
        <f>SUMIF(MICRO!AP:AP,O:O,MICRO!T:T)</f>
        <v>0</v>
      </c>
      <c r="J166" s="59">
        <f t="shared" si="10"/>
        <v>0</v>
      </c>
      <c r="K166" s="1">
        <f>SUMIF(MICRO!AP:AP,O:O,MICRO!X:X)</f>
        <v>0</v>
      </c>
      <c r="L166" s="59" t="str">
        <f t="shared" si="11"/>
        <v>0%</v>
      </c>
      <c r="M166" s="1">
        <f t="shared" si="12"/>
        <v>0</v>
      </c>
      <c r="N166" s="56" t="e">
        <f t="shared" si="13"/>
        <v>#N/A</v>
      </c>
      <c r="O166" s="56" t="e">
        <f t="shared" si="14"/>
        <v>#N/A</v>
      </c>
      <c r="P166" s="2">
        <f>SUMIF(MICRO!AP:AP,O166,MICRO!AS:AS)</f>
        <v>0</v>
      </c>
      <c r="Q166" s="2">
        <f>SUMIF(MICRO!AP:AP,O166,MICRO!AT:AT)</f>
        <v>0</v>
      </c>
      <c r="R166" s="2">
        <f>SUMIF(MICRO!AP:AP,O:O,MICRO!AU:AU)</f>
        <v>0</v>
      </c>
    </row>
    <row r="167" spans="3:18" s="2" customFormat="1" ht="18.75" thickBot="1" x14ac:dyDescent="0.3">
      <c r="C167" s="45"/>
      <c r="D167" s="61" t="s">
        <v>293</v>
      </c>
      <c r="E167" s="46" t="e">
        <f>VLOOKUP(Tabela2[[#This Row],[TAG]],MICRO!J:L,3,0)</f>
        <v>#N/A</v>
      </c>
      <c r="F167" s="44" t="s">
        <v>31</v>
      </c>
      <c r="G167" s="58">
        <f>SUMIF(MICRO!AP:AP,O:O,MICRO!H:H)</f>
        <v>0</v>
      </c>
      <c r="H167" s="1">
        <f>SUMIF(MICRO!AP:AP,O:O,MICRO!R:R)</f>
        <v>0</v>
      </c>
      <c r="I167" s="1">
        <f>SUMIF(MICRO!AP:AP,O:O,MICRO!T:T)</f>
        <v>0</v>
      </c>
      <c r="J167" s="59">
        <f t="shared" si="10"/>
        <v>0</v>
      </c>
      <c r="K167" s="1">
        <f>SUMIF(MICRO!AP:AP,O:O,MICRO!X:X)</f>
        <v>0</v>
      </c>
      <c r="L167" s="59" t="str">
        <f t="shared" si="11"/>
        <v>0%</v>
      </c>
      <c r="M167" s="1">
        <f t="shared" si="12"/>
        <v>0</v>
      </c>
      <c r="N167" s="56" t="e">
        <f t="shared" si="13"/>
        <v>#N/A</v>
      </c>
      <c r="O167" s="56" t="e">
        <f t="shared" si="14"/>
        <v>#N/A</v>
      </c>
      <c r="P167" s="2">
        <f>SUMIF(MICRO!AP:AP,O167,MICRO!AS:AS)</f>
        <v>0</v>
      </c>
      <c r="Q167" s="2">
        <f>SUMIF(MICRO!AP:AP,O167,MICRO!AT:AT)</f>
        <v>0</v>
      </c>
      <c r="R167" s="2">
        <f>SUMIF(MICRO!AP:AP,O:O,MICRO!AU:AU)</f>
        <v>0</v>
      </c>
    </row>
    <row r="168" spans="3:18" s="2" customFormat="1" ht="18.75" thickBot="1" x14ac:dyDescent="0.3">
      <c r="C168" s="45"/>
      <c r="D168" s="61" t="s">
        <v>339</v>
      </c>
      <c r="E168" s="46" t="e">
        <f>VLOOKUP(Tabela2[[#This Row],[TAG]],MICRO!J:L,3,0)</f>
        <v>#N/A</v>
      </c>
      <c r="F168" s="44" t="s">
        <v>31</v>
      </c>
      <c r="G168" s="58">
        <f>SUMIF(MICRO!AP:AP,O:O,MICRO!H:H)</f>
        <v>0</v>
      </c>
      <c r="H168" s="1">
        <f>SUMIF(MICRO!AP:AP,O:O,MICRO!R:R)</f>
        <v>0</v>
      </c>
      <c r="I168" s="1">
        <f>SUMIF(MICRO!AP:AP,O:O,MICRO!T:T)</f>
        <v>0</v>
      </c>
      <c r="J168" s="59">
        <f t="shared" si="10"/>
        <v>0</v>
      </c>
      <c r="K168" s="1">
        <f>SUMIF(MICRO!AP:AP,O:O,MICRO!X:X)</f>
        <v>0</v>
      </c>
      <c r="L168" s="59" t="str">
        <f t="shared" si="11"/>
        <v>0%</v>
      </c>
      <c r="M168" s="1">
        <f t="shared" si="12"/>
        <v>0</v>
      </c>
      <c r="N168" s="56" t="e">
        <f t="shared" si="13"/>
        <v>#N/A</v>
      </c>
      <c r="O168" s="56" t="e">
        <f t="shared" si="14"/>
        <v>#N/A</v>
      </c>
      <c r="P168" s="2">
        <f>SUMIF(MICRO!AP:AP,O168,MICRO!AS:AS)</f>
        <v>0</v>
      </c>
      <c r="Q168" s="2">
        <f>SUMIF(MICRO!AP:AP,O168,MICRO!AT:AT)</f>
        <v>0</v>
      </c>
      <c r="R168" s="2">
        <f>SUMIF(MICRO!AP:AP,O:O,MICRO!AU:AU)</f>
        <v>0</v>
      </c>
    </row>
    <row r="169" spans="3:18" s="2" customFormat="1" ht="18.75" thickBot="1" x14ac:dyDescent="0.3">
      <c r="C169" s="45"/>
      <c r="D169" s="61" t="s">
        <v>339</v>
      </c>
      <c r="E169" s="46" t="e">
        <f>VLOOKUP(Tabela2[[#This Row],[TAG]],MICRO!J:L,3,0)</f>
        <v>#N/A</v>
      </c>
      <c r="F169" s="44" t="s">
        <v>44</v>
      </c>
      <c r="G169" s="58">
        <f>SUMIF(MICRO!AP:AP,O:O,MICRO!H:H)</f>
        <v>0</v>
      </c>
      <c r="H169" s="1">
        <f>SUMIF(MICRO!AP:AP,O:O,MICRO!R:R)</f>
        <v>0</v>
      </c>
      <c r="I169" s="1">
        <f>SUMIF(MICRO!AP:AP,O:O,MICRO!T:T)</f>
        <v>0</v>
      </c>
      <c r="J169" s="59">
        <f t="shared" si="10"/>
        <v>0</v>
      </c>
      <c r="K169" s="1">
        <f>SUMIF(MICRO!AP:AP,O:O,MICRO!X:X)</f>
        <v>0</v>
      </c>
      <c r="L169" s="59" t="str">
        <f t="shared" si="11"/>
        <v>0%</v>
      </c>
      <c r="M169" s="1">
        <f t="shared" si="12"/>
        <v>0</v>
      </c>
      <c r="N169" s="56" t="e">
        <f t="shared" si="13"/>
        <v>#N/A</v>
      </c>
      <c r="O169" s="56" t="e">
        <f t="shared" si="14"/>
        <v>#N/A</v>
      </c>
      <c r="P169" s="2">
        <f>SUMIF(MICRO!AP:AP,O169,MICRO!AS:AS)</f>
        <v>0</v>
      </c>
      <c r="Q169" s="2">
        <f>SUMIF(MICRO!AP:AP,O169,MICRO!AT:AT)</f>
        <v>0</v>
      </c>
      <c r="R169" s="2">
        <f>SUMIF(MICRO!AP:AP,O:O,MICRO!AU:AU)</f>
        <v>0</v>
      </c>
    </row>
    <row r="170" spans="3:18" s="2" customFormat="1" ht="18.75" thickBot="1" x14ac:dyDescent="0.3">
      <c r="C170" s="45"/>
      <c r="D170" s="61" t="s">
        <v>342</v>
      </c>
      <c r="E170" s="46" t="e">
        <f>VLOOKUP(Tabela2[[#This Row],[TAG]],MICRO!J:L,3,0)</f>
        <v>#N/A</v>
      </c>
      <c r="F170" s="44" t="s">
        <v>23</v>
      </c>
      <c r="G170" s="58">
        <f>SUMIF(MICRO!AP:AP,O:O,MICRO!H:H)</f>
        <v>0</v>
      </c>
      <c r="H170" s="1">
        <f>SUMIF(MICRO!AP:AP,O:O,MICRO!R:R)</f>
        <v>0</v>
      </c>
      <c r="I170" s="1">
        <f>SUMIF(MICRO!AP:AP,O:O,MICRO!T:T)</f>
        <v>0</v>
      </c>
      <c r="J170" s="59">
        <f t="shared" si="10"/>
        <v>0</v>
      </c>
      <c r="K170" s="1">
        <f>SUMIF(MICRO!AP:AP,O:O,MICRO!X:X)</f>
        <v>0</v>
      </c>
      <c r="L170" s="59" t="str">
        <f t="shared" si="11"/>
        <v>0%</v>
      </c>
      <c r="M170" s="1">
        <f t="shared" si="12"/>
        <v>0</v>
      </c>
      <c r="N170" s="56" t="e">
        <f t="shared" si="13"/>
        <v>#N/A</v>
      </c>
      <c r="O170" s="56" t="e">
        <f t="shared" si="14"/>
        <v>#N/A</v>
      </c>
      <c r="P170" s="2">
        <f>SUMIF(MICRO!AP:AP,O170,MICRO!AS:AS)</f>
        <v>0</v>
      </c>
      <c r="Q170" s="2">
        <f>SUMIF(MICRO!AP:AP,O170,MICRO!AT:AT)</f>
        <v>0</v>
      </c>
      <c r="R170" s="2">
        <f>SUMIF(MICRO!AP:AP,O:O,MICRO!AU:AU)</f>
        <v>0</v>
      </c>
    </row>
    <row r="171" spans="3:18" s="2" customFormat="1" ht="18.75" thickBot="1" x14ac:dyDescent="0.3">
      <c r="C171" s="45"/>
      <c r="D171" s="61" t="s">
        <v>344</v>
      </c>
      <c r="E171" s="46" t="e">
        <f>VLOOKUP(Tabela2[[#This Row],[TAG]],MICRO!J:L,3,0)</f>
        <v>#N/A</v>
      </c>
      <c r="F171" s="44" t="s">
        <v>44</v>
      </c>
      <c r="G171" s="58">
        <f>SUMIF(MICRO!AP:AP,O:O,MICRO!H:H)</f>
        <v>0</v>
      </c>
      <c r="H171" s="1">
        <f>SUMIF(MICRO!AP:AP,O:O,MICRO!R:R)</f>
        <v>0</v>
      </c>
      <c r="I171" s="1">
        <f>SUMIF(MICRO!AP:AP,O:O,MICRO!T:T)</f>
        <v>0</v>
      </c>
      <c r="J171" s="59">
        <f t="shared" si="10"/>
        <v>0</v>
      </c>
      <c r="K171" s="1">
        <f>SUMIF(MICRO!AP:AP,O:O,MICRO!X:X)</f>
        <v>0</v>
      </c>
      <c r="L171" s="59" t="str">
        <f t="shared" si="11"/>
        <v>0%</v>
      </c>
      <c r="M171" s="1">
        <f t="shared" si="12"/>
        <v>0</v>
      </c>
      <c r="N171" s="56" t="e">
        <f t="shared" si="13"/>
        <v>#N/A</v>
      </c>
      <c r="O171" s="56" t="e">
        <f t="shared" si="14"/>
        <v>#N/A</v>
      </c>
      <c r="P171" s="2">
        <f>SUMIF(MICRO!AP:AP,O171,MICRO!AS:AS)</f>
        <v>0</v>
      </c>
      <c r="Q171" s="2">
        <f>SUMIF(MICRO!AP:AP,O171,MICRO!AT:AT)</f>
        <v>0</v>
      </c>
      <c r="R171" s="2">
        <f>SUMIF(MICRO!AP:AP,O:O,MICRO!AU:AU)</f>
        <v>0</v>
      </c>
    </row>
    <row r="172" spans="3:18" s="2" customFormat="1" ht="18.75" thickBot="1" x14ac:dyDescent="0.3">
      <c r="C172" s="45"/>
      <c r="D172" s="61" t="s">
        <v>393</v>
      </c>
      <c r="E172" s="46" t="e">
        <f>VLOOKUP(Tabela2[[#This Row],[TAG]],MICRO!J:L,3,0)</f>
        <v>#N/A</v>
      </c>
      <c r="F172" s="44" t="s">
        <v>22</v>
      </c>
      <c r="G172" s="58">
        <f>SUMIF(MICRO!AP:AP,O:O,MICRO!H:H)</f>
        <v>0</v>
      </c>
      <c r="H172" s="1">
        <f>SUMIF(MICRO!AP:AP,O:O,MICRO!R:R)</f>
        <v>0</v>
      </c>
      <c r="I172" s="1">
        <f>SUMIF(MICRO!AP:AP,O:O,MICRO!T:T)</f>
        <v>0</v>
      </c>
      <c r="J172" s="59">
        <f t="shared" si="10"/>
        <v>0</v>
      </c>
      <c r="K172" s="1">
        <f>SUMIF(MICRO!AP:AP,O:O,MICRO!X:X)</f>
        <v>0</v>
      </c>
      <c r="L172" s="59" t="str">
        <f t="shared" si="11"/>
        <v>0%</v>
      </c>
      <c r="M172" s="1">
        <f t="shared" si="12"/>
        <v>0</v>
      </c>
      <c r="N172" s="56" t="e">
        <f t="shared" si="13"/>
        <v>#N/A</v>
      </c>
      <c r="O172" s="56" t="e">
        <f t="shared" si="14"/>
        <v>#N/A</v>
      </c>
      <c r="P172" s="2">
        <f>SUMIF(MICRO!AP:AP,O172,MICRO!AS:AS)</f>
        <v>0</v>
      </c>
      <c r="Q172" s="2">
        <f>SUMIF(MICRO!AP:AP,O172,MICRO!AT:AT)</f>
        <v>0</v>
      </c>
      <c r="R172" s="2">
        <f>SUMIF(MICRO!AP:AP,O:O,MICRO!AU:AU)</f>
        <v>0</v>
      </c>
    </row>
    <row r="173" spans="3:18" s="2" customFormat="1" ht="18.75" thickBot="1" x14ac:dyDescent="0.3">
      <c r="C173" s="45"/>
      <c r="D173" s="61" t="s">
        <v>394</v>
      </c>
      <c r="E173" s="46" t="e">
        <f>VLOOKUP(Tabela2[[#This Row],[TAG]],MICRO!J:L,3,0)</f>
        <v>#N/A</v>
      </c>
      <c r="F173" s="44" t="s">
        <v>22</v>
      </c>
      <c r="G173" s="58">
        <f>SUMIF(MICRO!AP:AP,O:O,MICRO!H:H)</f>
        <v>0</v>
      </c>
      <c r="H173" s="1">
        <f>SUMIF(MICRO!AP:AP,O:O,MICRO!R:R)</f>
        <v>0</v>
      </c>
      <c r="I173" s="1">
        <f>SUMIF(MICRO!AP:AP,O:O,MICRO!T:T)</f>
        <v>0</v>
      </c>
      <c r="J173" s="59">
        <f t="shared" si="10"/>
        <v>0</v>
      </c>
      <c r="K173" s="1">
        <f>SUMIF(MICRO!AP:AP,O:O,MICRO!X:X)</f>
        <v>0</v>
      </c>
      <c r="L173" s="59" t="str">
        <f t="shared" si="11"/>
        <v>0%</v>
      </c>
      <c r="M173" s="1">
        <f t="shared" si="12"/>
        <v>0</v>
      </c>
      <c r="N173" s="56" t="e">
        <f t="shared" si="13"/>
        <v>#N/A</v>
      </c>
      <c r="O173" s="56" t="e">
        <f t="shared" si="14"/>
        <v>#N/A</v>
      </c>
      <c r="P173" s="2">
        <f>SUMIF(MICRO!AP:AP,O173,MICRO!AS:AS)</f>
        <v>0</v>
      </c>
      <c r="Q173" s="2">
        <f>SUMIF(MICRO!AP:AP,O173,MICRO!AT:AT)</f>
        <v>0</v>
      </c>
      <c r="R173" s="2">
        <f>SUMIF(MICRO!AP:AP,O:O,MICRO!AU:AU)</f>
        <v>0</v>
      </c>
    </row>
    <row r="174" spans="3:18" s="2" customFormat="1" ht="18.75" thickBot="1" x14ac:dyDescent="0.3">
      <c r="C174" s="45"/>
      <c r="D174" s="61" t="s">
        <v>396</v>
      </c>
      <c r="E174" s="46" t="e">
        <f>VLOOKUP(Tabela2[[#This Row],[TAG]],MICRO!J:L,3,0)</f>
        <v>#N/A</v>
      </c>
      <c r="F174" s="44" t="s">
        <v>22</v>
      </c>
      <c r="G174" s="58">
        <f>SUMIF(MICRO!AP:AP,O:O,MICRO!H:H)</f>
        <v>0</v>
      </c>
      <c r="H174" s="1">
        <f>SUMIF(MICRO!AP:AP,O:O,MICRO!R:R)</f>
        <v>0</v>
      </c>
      <c r="I174" s="1">
        <f>SUMIF(MICRO!AP:AP,O:O,MICRO!T:T)</f>
        <v>0</v>
      </c>
      <c r="J174" s="59">
        <f t="shared" si="10"/>
        <v>0</v>
      </c>
      <c r="K174" s="1">
        <f>SUMIF(MICRO!AP:AP,O:O,MICRO!X:X)</f>
        <v>0</v>
      </c>
      <c r="L174" s="59" t="str">
        <f t="shared" si="11"/>
        <v>0%</v>
      </c>
      <c r="M174" s="1">
        <f t="shared" si="12"/>
        <v>0</v>
      </c>
      <c r="N174" s="56" t="e">
        <f t="shared" si="13"/>
        <v>#N/A</v>
      </c>
      <c r="O174" s="56" t="e">
        <f t="shared" si="14"/>
        <v>#N/A</v>
      </c>
      <c r="P174" s="2">
        <f>SUMIF(MICRO!AP:AP,O174,MICRO!AS:AS)</f>
        <v>0</v>
      </c>
      <c r="Q174" s="2">
        <f>SUMIF(MICRO!AP:AP,O174,MICRO!AT:AT)</f>
        <v>0</v>
      </c>
      <c r="R174" s="2">
        <f>SUMIF(MICRO!AP:AP,O:O,MICRO!AU:AU)</f>
        <v>0</v>
      </c>
    </row>
    <row r="175" spans="3:18" s="2" customFormat="1" ht="18.75" thickBot="1" x14ac:dyDescent="0.3">
      <c r="C175" s="45"/>
      <c r="D175" s="61" t="s">
        <v>395</v>
      </c>
      <c r="E175" s="46" t="e">
        <f>VLOOKUP(Tabela2[[#This Row],[TAG]],MICRO!J:L,3,0)</f>
        <v>#N/A</v>
      </c>
      <c r="F175" s="44" t="s">
        <v>22</v>
      </c>
      <c r="G175" s="58">
        <f>SUMIF(MICRO!AP:AP,O:O,MICRO!H:H)</f>
        <v>0</v>
      </c>
      <c r="H175" s="1">
        <f>SUMIF(MICRO!AP:AP,O:O,MICRO!R:R)</f>
        <v>0</v>
      </c>
      <c r="I175" s="1">
        <f>SUMIF(MICRO!AP:AP,O:O,MICRO!T:T)</f>
        <v>0</v>
      </c>
      <c r="J175" s="59">
        <f t="shared" si="10"/>
        <v>0</v>
      </c>
      <c r="K175" s="1">
        <f>SUMIF(MICRO!AP:AP,O:O,MICRO!X:X)</f>
        <v>0</v>
      </c>
      <c r="L175" s="59" t="str">
        <f t="shared" si="11"/>
        <v>0%</v>
      </c>
      <c r="M175" s="1">
        <f t="shared" si="12"/>
        <v>0</v>
      </c>
      <c r="N175" s="56" t="e">
        <f t="shared" si="13"/>
        <v>#N/A</v>
      </c>
      <c r="O175" s="56" t="e">
        <f t="shared" si="14"/>
        <v>#N/A</v>
      </c>
      <c r="P175" s="2">
        <f>SUMIF(MICRO!AP:AP,O175,MICRO!AS:AS)</f>
        <v>0</v>
      </c>
      <c r="Q175" s="2">
        <f>SUMIF(MICRO!AP:AP,O175,MICRO!AT:AT)</f>
        <v>0</v>
      </c>
      <c r="R175" s="2">
        <f>SUMIF(MICRO!AP:AP,O:O,MICRO!AU:AU)</f>
        <v>0</v>
      </c>
    </row>
    <row r="176" spans="3:18" s="2" customFormat="1" ht="18.75" thickBot="1" x14ac:dyDescent="0.3">
      <c r="C176" s="45"/>
      <c r="D176" s="61" t="s">
        <v>397</v>
      </c>
      <c r="E176" s="46" t="e">
        <f>VLOOKUP(Tabela2[[#This Row],[TAG]],MICRO!J:L,3,0)</f>
        <v>#N/A</v>
      </c>
      <c r="F176" s="44" t="s">
        <v>31</v>
      </c>
      <c r="G176" s="58">
        <f>SUMIF(MICRO!AP:AP,O:O,MICRO!H:H)</f>
        <v>0</v>
      </c>
      <c r="H176" s="1">
        <f>SUMIF(MICRO!AP:AP,O:O,MICRO!R:R)</f>
        <v>0</v>
      </c>
      <c r="I176" s="1">
        <f>SUMIF(MICRO!AP:AP,O:O,MICRO!T:T)</f>
        <v>0</v>
      </c>
      <c r="J176" s="59">
        <f t="shared" si="10"/>
        <v>0</v>
      </c>
      <c r="K176" s="1">
        <f>SUMIF(MICRO!AP:AP,O:O,MICRO!X:X)</f>
        <v>0</v>
      </c>
      <c r="L176" s="59" t="str">
        <f t="shared" si="11"/>
        <v>0%</v>
      </c>
      <c r="M176" s="1">
        <f t="shared" si="12"/>
        <v>0</v>
      </c>
      <c r="N176" s="56" t="e">
        <f t="shared" si="13"/>
        <v>#N/A</v>
      </c>
      <c r="O176" s="56" t="e">
        <f t="shared" si="14"/>
        <v>#N/A</v>
      </c>
      <c r="P176" s="2">
        <f>SUMIF(MICRO!AP:AP,O176,MICRO!AS:AS)</f>
        <v>0</v>
      </c>
      <c r="Q176" s="2">
        <f>SUMIF(MICRO!AP:AP,O176,MICRO!AT:AT)</f>
        <v>0</v>
      </c>
      <c r="R176" s="2">
        <f>SUMIF(MICRO!AP:AP,O:O,MICRO!AU:AU)</f>
        <v>0</v>
      </c>
    </row>
    <row r="177" spans="3:22" s="2" customFormat="1" ht="18.75" thickBot="1" x14ac:dyDescent="0.3">
      <c r="C177" s="45"/>
      <c r="D177" s="61" t="s">
        <v>397</v>
      </c>
      <c r="E177" s="46" t="e">
        <f>VLOOKUP(Tabela2[[#This Row],[TAG]],MICRO!J:L,3,0)</f>
        <v>#N/A</v>
      </c>
      <c r="F177" s="44" t="s">
        <v>23</v>
      </c>
      <c r="G177" s="58">
        <f>SUMIF(MICRO!AP:AP,O:O,MICRO!H:H)</f>
        <v>0</v>
      </c>
      <c r="H177" s="1">
        <f>SUMIF(MICRO!AP:AP,O:O,MICRO!R:R)</f>
        <v>0</v>
      </c>
      <c r="I177" s="1">
        <f>SUMIF(MICRO!AP:AP,O:O,MICRO!T:T)</f>
        <v>0</v>
      </c>
      <c r="J177" s="59">
        <f t="shared" si="10"/>
        <v>0</v>
      </c>
      <c r="K177" s="1">
        <f>SUMIF(MICRO!AP:AP,O:O,MICRO!X:X)</f>
        <v>0</v>
      </c>
      <c r="L177" s="59" t="str">
        <f t="shared" si="11"/>
        <v>0%</v>
      </c>
      <c r="M177" s="1">
        <f t="shared" si="12"/>
        <v>0</v>
      </c>
      <c r="N177" s="56" t="e">
        <f t="shared" si="13"/>
        <v>#N/A</v>
      </c>
      <c r="O177" s="56" t="e">
        <f t="shared" si="14"/>
        <v>#N/A</v>
      </c>
      <c r="P177" s="2">
        <f>SUMIF(MICRO!AP:AP,O177,MICRO!AS:AS)</f>
        <v>0</v>
      </c>
      <c r="Q177" s="2">
        <f>SUMIF(MICRO!AP:AP,O177,MICRO!AT:AT)</f>
        <v>0</v>
      </c>
      <c r="R177" s="2">
        <f>SUMIF(MICRO!AP:AP,O:O,MICRO!AU:AU)</f>
        <v>0</v>
      </c>
    </row>
    <row r="178" spans="3:22" s="2" customFormat="1" ht="18.75" thickBot="1" x14ac:dyDescent="0.3">
      <c r="C178" s="45"/>
      <c r="D178" s="61" t="s">
        <v>399</v>
      </c>
      <c r="E178" s="46" t="e">
        <f>VLOOKUP(Tabela2[[#This Row],[TAG]],MICRO!J:L,3,0)</f>
        <v>#N/A</v>
      </c>
      <c r="F178" s="44" t="s">
        <v>23</v>
      </c>
      <c r="G178" s="58">
        <f>SUMIF(MICRO!AP:AP,O:O,MICRO!H:H)</f>
        <v>0</v>
      </c>
      <c r="H178" s="1">
        <f>SUMIF(MICRO!AP:AP,O:O,MICRO!R:R)</f>
        <v>0</v>
      </c>
      <c r="I178" s="1">
        <f>SUMIF(MICRO!AP:AP,O:O,MICRO!T:T)</f>
        <v>0</v>
      </c>
      <c r="J178" s="59">
        <f t="shared" si="10"/>
        <v>0</v>
      </c>
      <c r="K178" s="1">
        <f>SUMIF(MICRO!AP:AP,O:O,MICRO!X:X)</f>
        <v>0</v>
      </c>
      <c r="L178" s="59" t="str">
        <f t="shared" si="11"/>
        <v>0%</v>
      </c>
      <c r="M178" s="1">
        <f t="shared" si="12"/>
        <v>0</v>
      </c>
      <c r="N178" s="56" t="e">
        <f t="shared" si="13"/>
        <v>#N/A</v>
      </c>
      <c r="O178" s="56" t="e">
        <f t="shared" si="14"/>
        <v>#N/A</v>
      </c>
      <c r="P178" s="2">
        <f>SUMIF(MICRO!AP:AP,O178,MICRO!AS:AS)</f>
        <v>0</v>
      </c>
      <c r="Q178" s="2">
        <f>SUMIF(MICRO!AP:AP,O178,MICRO!AT:AT)</f>
        <v>0</v>
      </c>
      <c r="R178" s="2">
        <f>SUMIF(MICRO!AP:AP,O:O,MICRO!AU:AU)</f>
        <v>0</v>
      </c>
    </row>
    <row r="179" spans="3:22" s="2" customFormat="1" ht="18.75" thickBot="1" x14ac:dyDescent="0.3">
      <c r="C179" s="45"/>
      <c r="D179" s="61" t="s">
        <v>412</v>
      </c>
      <c r="E179" s="46" t="e">
        <f>VLOOKUP(Tabela2[[#This Row],[TAG]],MICRO!J:L,3,0)</f>
        <v>#N/A</v>
      </c>
      <c r="F179" s="44" t="s">
        <v>23</v>
      </c>
      <c r="G179" s="58">
        <f>SUMIF(MICRO!AP:AP,O:O,MICRO!H:H)</f>
        <v>0</v>
      </c>
      <c r="H179" s="1">
        <f>SUMIF(MICRO!AP:AP,O:O,MICRO!R:R)</f>
        <v>0</v>
      </c>
      <c r="I179" s="1">
        <f>SUMIF(MICRO!AP:AP,O:O,MICRO!T:T)</f>
        <v>0</v>
      </c>
      <c r="J179" s="59">
        <f t="shared" si="10"/>
        <v>0</v>
      </c>
      <c r="K179" s="1">
        <f>SUMIF(MICRO!AP:AP,O:O,MICRO!X:X)</f>
        <v>0</v>
      </c>
      <c r="L179" s="59" t="str">
        <f t="shared" si="11"/>
        <v>0%</v>
      </c>
      <c r="M179" s="1">
        <f t="shared" si="12"/>
        <v>0</v>
      </c>
      <c r="N179" s="56" t="e">
        <f t="shared" si="13"/>
        <v>#N/A</v>
      </c>
      <c r="O179" s="56" t="e">
        <f t="shared" si="14"/>
        <v>#N/A</v>
      </c>
      <c r="P179" s="2">
        <f>SUMIF(MICRO!AP:AP,O179,MICRO!AS:AS)</f>
        <v>0</v>
      </c>
      <c r="Q179" s="2">
        <f>SUMIF(MICRO!AP:AP,O179,MICRO!AT:AT)</f>
        <v>0</v>
      </c>
      <c r="R179" s="2">
        <f>SUMIF(MICRO!AP:AP,O:O,MICRO!AU:AU)</f>
        <v>0</v>
      </c>
    </row>
    <row r="180" spans="3:22" s="2" customFormat="1" ht="18.75" thickBot="1" x14ac:dyDescent="0.3">
      <c r="C180" s="45"/>
      <c r="D180" s="61" t="s">
        <v>413</v>
      </c>
      <c r="E180" s="46" t="e">
        <f>VLOOKUP(Tabela2[[#This Row],[TAG]],MICRO!J:L,3,0)</f>
        <v>#N/A</v>
      </c>
      <c r="F180" s="44" t="s">
        <v>31</v>
      </c>
      <c r="G180" s="58">
        <f>SUMIF(MICRO!AP:AP,O:O,MICRO!H:H)</f>
        <v>0</v>
      </c>
      <c r="H180" s="1">
        <f>SUMIF(MICRO!AP:AP,O:O,MICRO!R:R)</f>
        <v>0</v>
      </c>
      <c r="I180" s="1">
        <f>SUMIF(MICRO!AP:AP,O:O,MICRO!T:T)</f>
        <v>0</v>
      </c>
      <c r="J180" s="59">
        <f t="shared" si="10"/>
        <v>0</v>
      </c>
      <c r="K180" s="1">
        <f>SUMIF(MICRO!AP:AP,O:O,MICRO!X:X)</f>
        <v>0</v>
      </c>
      <c r="L180" s="59" t="str">
        <f t="shared" si="11"/>
        <v>0%</v>
      </c>
      <c r="M180" s="1">
        <f t="shared" si="12"/>
        <v>0</v>
      </c>
      <c r="N180" s="56" t="e">
        <f t="shared" si="13"/>
        <v>#N/A</v>
      </c>
      <c r="O180" s="56" t="e">
        <f t="shared" si="14"/>
        <v>#N/A</v>
      </c>
      <c r="P180" s="2">
        <f>SUMIF(MICRO!AP:AP,O180,MICRO!AS:AS)</f>
        <v>0</v>
      </c>
      <c r="Q180" s="2">
        <f>SUMIF(MICRO!AP:AP,O180,MICRO!AT:AT)</f>
        <v>0</v>
      </c>
      <c r="R180" s="2">
        <f>SUMIF(MICRO!AP:AP,O:O,MICRO!AU:AU)</f>
        <v>0</v>
      </c>
    </row>
    <row r="181" spans="3:22" s="2" customFormat="1" ht="18.75" thickBot="1" x14ac:dyDescent="0.3">
      <c r="C181" s="45"/>
      <c r="D181" s="61" t="s">
        <v>413</v>
      </c>
      <c r="E181" s="46" t="e">
        <f>VLOOKUP(Tabela2[[#This Row],[TAG]],MICRO!J:L,3,0)</f>
        <v>#N/A</v>
      </c>
      <c r="F181" s="44" t="s">
        <v>23</v>
      </c>
      <c r="G181" s="58">
        <f>SUMIF(MICRO!AP:AP,O:O,MICRO!H:H)</f>
        <v>0</v>
      </c>
      <c r="H181" s="1">
        <f>SUMIF(MICRO!AP:AP,O:O,MICRO!R:R)</f>
        <v>0</v>
      </c>
      <c r="I181" s="1">
        <f>SUMIF(MICRO!AP:AP,O:O,MICRO!T:T)</f>
        <v>0</v>
      </c>
      <c r="J181" s="59">
        <f t="shared" si="10"/>
        <v>0</v>
      </c>
      <c r="K181" s="1">
        <f>SUMIF(MICRO!AP:AP,O:O,MICRO!X:X)</f>
        <v>0</v>
      </c>
      <c r="L181" s="59" t="str">
        <f t="shared" si="11"/>
        <v>0%</v>
      </c>
      <c r="M181" s="1">
        <f t="shared" si="12"/>
        <v>0</v>
      </c>
      <c r="N181" s="56" t="e">
        <f t="shared" si="13"/>
        <v>#N/A</v>
      </c>
      <c r="O181" s="56" t="e">
        <f t="shared" si="14"/>
        <v>#N/A</v>
      </c>
      <c r="P181" s="2">
        <f>SUMIF(MICRO!AP:AP,O181,MICRO!AS:AS)</f>
        <v>0</v>
      </c>
      <c r="Q181" s="2">
        <f>SUMIF(MICRO!AP:AP,O181,MICRO!AT:AT)</f>
        <v>0</v>
      </c>
      <c r="R181" s="2">
        <f>SUMIF(MICRO!AP:AP,O:O,MICRO!AU:AU)</f>
        <v>0</v>
      </c>
    </row>
    <row r="182" spans="3:22" s="2" customFormat="1" ht="18.75" thickBot="1" x14ac:dyDescent="0.3">
      <c r="C182" s="45"/>
      <c r="D182" s="61" t="s">
        <v>423</v>
      </c>
      <c r="E182" s="46" t="e">
        <f>VLOOKUP(Tabela2[[#This Row],[TAG]],MICRO!J:L,3,0)</f>
        <v>#N/A</v>
      </c>
      <c r="F182" s="44" t="s">
        <v>31</v>
      </c>
      <c r="G182" s="58">
        <f>SUMIF(MICRO!AP:AP,O:O,MICRO!H:H)</f>
        <v>0</v>
      </c>
      <c r="H182" s="1">
        <f>SUMIF(MICRO!AP:AP,O:O,MICRO!R:R)</f>
        <v>0</v>
      </c>
      <c r="I182" s="1">
        <f>SUMIF(MICRO!AP:AP,O:O,MICRO!T:T)</f>
        <v>0</v>
      </c>
      <c r="J182" s="59">
        <f t="shared" si="10"/>
        <v>0</v>
      </c>
      <c r="K182" s="1">
        <f>SUMIF(MICRO!AP:AP,O:O,MICRO!X:X)</f>
        <v>0</v>
      </c>
      <c r="L182" s="59" t="str">
        <f t="shared" si="11"/>
        <v>0%</v>
      </c>
      <c r="M182" s="1">
        <f t="shared" si="12"/>
        <v>0</v>
      </c>
      <c r="N182" s="56" t="e">
        <f t="shared" si="13"/>
        <v>#N/A</v>
      </c>
      <c r="O182" s="56" t="e">
        <f t="shared" si="14"/>
        <v>#N/A</v>
      </c>
      <c r="P182" s="2">
        <f>SUMIF(MICRO!AP:AP,O182,MICRO!AS:AS)</f>
        <v>0</v>
      </c>
      <c r="Q182" s="2">
        <f>SUMIF(MICRO!AP:AP,O182,MICRO!AT:AT)</f>
        <v>0</v>
      </c>
      <c r="R182" s="2">
        <f>SUMIF(MICRO!AP:AP,O:O,MICRO!AU:AU)</f>
        <v>0</v>
      </c>
    </row>
    <row r="183" spans="3:22" s="2" customFormat="1" ht="18.75" thickBot="1" x14ac:dyDescent="0.3">
      <c r="C183" s="45"/>
      <c r="D183" s="61" t="s">
        <v>424</v>
      </c>
      <c r="E183" s="46" t="e">
        <f>VLOOKUP(Tabela2[[#This Row],[TAG]],MICRO!J:L,3,0)</f>
        <v>#N/A</v>
      </c>
      <c r="F183" s="44" t="s">
        <v>31</v>
      </c>
      <c r="G183" s="58">
        <f>SUMIF(MICRO!AP:AP,O:O,MICRO!H:H)</f>
        <v>0</v>
      </c>
      <c r="H183" s="1">
        <f>SUMIF(MICRO!AP:AP,O:O,MICRO!R:R)</f>
        <v>0</v>
      </c>
      <c r="I183" s="1">
        <f>SUMIF(MICRO!AP:AP,O:O,MICRO!T:T)</f>
        <v>0</v>
      </c>
      <c r="J183" s="59">
        <f t="shared" si="10"/>
        <v>0</v>
      </c>
      <c r="K183" s="1">
        <f>SUMIF(MICRO!AP:AP,O:O,MICRO!X:X)</f>
        <v>0</v>
      </c>
      <c r="L183" s="59" t="str">
        <f t="shared" si="11"/>
        <v>0%</v>
      </c>
      <c r="M183" s="1">
        <f t="shared" si="12"/>
        <v>0</v>
      </c>
      <c r="N183" s="56" t="e">
        <f t="shared" si="13"/>
        <v>#N/A</v>
      </c>
      <c r="O183" s="56" t="e">
        <f t="shared" si="14"/>
        <v>#N/A</v>
      </c>
      <c r="P183" s="2">
        <f>SUMIF(MICRO!AP:AP,O183,MICRO!AS:AS)</f>
        <v>0</v>
      </c>
      <c r="Q183" s="2">
        <f>SUMIF(MICRO!AP:AP,O183,MICRO!AT:AT)</f>
        <v>0</v>
      </c>
      <c r="R183" s="2">
        <f>SUMIF(MICRO!AP:AP,O:O,MICRO!AU:AU)</f>
        <v>0</v>
      </c>
    </row>
    <row r="184" spans="3:22" ht="18.75" thickBot="1" x14ac:dyDescent="0.3">
      <c r="D184" s="110" t="s">
        <v>425</v>
      </c>
      <c r="E184" s="111" t="e">
        <f>VLOOKUP(Tabela2[[#This Row],[TAG]],MICRO!J:L,3,0)</f>
        <v>#N/A</v>
      </c>
      <c r="F184" s="44" t="s">
        <v>31</v>
      </c>
      <c r="G184" s="112">
        <f>SUMIF(MICRO!AP:AP,O:O,MICRO!H:H)</f>
        <v>0</v>
      </c>
      <c r="H184" s="113">
        <f>SUMIF(MICRO!AP:AP,O:O,MICRO!R:R)</f>
        <v>0</v>
      </c>
      <c r="I184" s="113">
        <f>SUMIF(MICRO!AP:AP,O:O,MICRO!T:T)</f>
        <v>0</v>
      </c>
      <c r="J184" s="114">
        <f t="shared" ref="J184:J189" si="15">IF(G184 = 0,0,H184/G184)</f>
        <v>0</v>
      </c>
      <c r="K184" s="113">
        <f>SUMIF(MICRO!AP:AP,O:O,MICRO!X:X)</f>
        <v>0</v>
      </c>
      <c r="L184" s="114" t="str">
        <f t="shared" ref="L184:L189" si="16">IF(G184&lt;&gt;0,SUM(K184/G184*1),"0%")</f>
        <v>0%</v>
      </c>
      <c r="M184" s="113">
        <f t="shared" ref="M184:M189" si="17">G184-K184</f>
        <v>0</v>
      </c>
      <c r="N184" s="56" t="e">
        <f t="shared" ref="N184:N189" si="18">E184&amp;F184</f>
        <v>#N/A</v>
      </c>
      <c r="O184" s="56" t="e">
        <f t="shared" ref="O184:O189" si="19">D184&amp;E184&amp;F184</f>
        <v>#N/A</v>
      </c>
      <c r="P184" s="2">
        <f>SUMIF(MICRO!AP:AP,O184,MICRO!AS:AS)</f>
        <v>0</v>
      </c>
      <c r="Q184">
        <f>SUMIF(MICRO!AP:AP,O184,MICRO!AT:AT)</f>
        <v>0</v>
      </c>
      <c r="R184">
        <f>SUMIF(MICRO!AP:AP,O:O,MICRO!AU:AU)</f>
        <v>0</v>
      </c>
      <c r="V184" s="2"/>
    </row>
    <row r="185" spans="3:22" ht="18.75" thickBot="1" x14ac:dyDescent="0.3">
      <c r="D185" s="110" t="s">
        <v>426</v>
      </c>
      <c r="E185" s="111" t="e">
        <f>VLOOKUP(Tabela2[[#This Row],[TAG]],MICRO!J:L,3,0)</f>
        <v>#N/A</v>
      </c>
      <c r="F185" s="44" t="s">
        <v>31</v>
      </c>
      <c r="G185" s="112">
        <f>SUMIF(MICRO!AP:AP,O:O,MICRO!H:H)</f>
        <v>0</v>
      </c>
      <c r="H185" s="113">
        <f>SUMIF(MICRO!AP:AP,O:O,MICRO!R:R)</f>
        <v>0</v>
      </c>
      <c r="I185" s="113">
        <f>SUMIF(MICRO!AP:AP,O:O,MICRO!T:T)</f>
        <v>0</v>
      </c>
      <c r="J185" s="114">
        <f t="shared" si="15"/>
        <v>0</v>
      </c>
      <c r="K185" s="113">
        <f>SUMIF(MICRO!AP:AP,O:O,MICRO!X:X)</f>
        <v>0</v>
      </c>
      <c r="L185" s="114" t="str">
        <f t="shared" si="16"/>
        <v>0%</v>
      </c>
      <c r="M185" s="113">
        <f t="shared" si="17"/>
        <v>0</v>
      </c>
      <c r="N185" s="56" t="e">
        <f t="shared" si="18"/>
        <v>#N/A</v>
      </c>
      <c r="O185" s="56" t="e">
        <f t="shared" si="19"/>
        <v>#N/A</v>
      </c>
      <c r="P185" s="2">
        <f>SUMIF(MICRO!AP:AP,O185,MICRO!AS:AS)</f>
        <v>0</v>
      </c>
      <c r="Q185">
        <f>SUMIF(MICRO!AP:AP,O185,MICRO!AT:AT)</f>
        <v>0</v>
      </c>
      <c r="R185">
        <f>SUMIF(MICRO!AP:AP,O:O,MICRO!AU:AU)</f>
        <v>0</v>
      </c>
      <c r="V185" s="2"/>
    </row>
    <row r="186" spans="3:22" ht="18.75" thickBot="1" x14ac:dyDescent="0.3">
      <c r="D186" s="110" t="s">
        <v>427</v>
      </c>
      <c r="E186" s="111" t="e">
        <f>VLOOKUP(Tabela2[[#This Row],[TAG]],MICRO!J:L,3,0)</f>
        <v>#N/A</v>
      </c>
      <c r="F186" s="44" t="s">
        <v>31</v>
      </c>
      <c r="G186" s="112">
        <f>SUMIF(MICRO!AP:AP,O:O,MICRO!H:H)</f>
        <v>0</v>
      </c>
      <c r="H186" s="113">
        <f>SUMIF(MICRO!AP:AP,O:O,MICRO!R:R)</f>
        <v>0</v>
      </c>
      <c r="I186" s="113">
        <f>SUMIF(MICRO!AP:AP,O:O,MICRO!T:T)</f>
        <v>0</v>
      </c>
      <c r="J186" s="114">
        <f t="shared" si="15"/>
        <v>0</v>
      </c>
      <c r="K186" s="113">
        <f>SUMIF(MICRO!AP:AP,O:O,MICRO!X:X)</f>
        <v>0</v>
      </c>
      <c r="L186" s="114" t="str">
        <f t="shared" si="16"/>
        <v>0%</v>
      </c>
      <c r="M186" s="113">
        <f t="shared" si="17"/>
        <v>0</v>
      </c>
      <c r="N186" s="56" t="e">
        <f t="shared" si="18"/>
        <v>#N/A</v>
      </c>
      <c r="O186" s="56" t="e">
        <f t="shared" si="19"/>
        <v>#N/A</v>
      </c>
      <c r="P186" s="2">
        <f>SUMIF(MICRO!AP:AP,O186,MICRO!AS:AS)</f>
        <v>0</v>
      </c>
      <c r="Q186">
        <f>SUMIF(MICRO!AP:AP,O186,MICRO!AT:AT)</f>
        <v>0</v>
      </c>
      <c r="R186">
        <f>SUMIF(MICRO!AP:AP,O:O,MICRO!AU:AU)</f>
        <v>0</v>
      </c>
      <c r="V186" s="2"/>
    </row>
    <row r="187" spans="3:22" ht="18.75" thickBot="1" x14ac:dyDescent="0.3">
      <c r="D187" s="110" t="s">
        <v>430</v>
      </c>
      <c r="E187" s="111" t="e">
        <f>VLOOKUP(Tabela2[[#This Row],[TAG]],MICRO!J:L,3,0)</f>
        <v>#N/A</v>
      </c>
      <c r="F187" s="109" t="s">
        <v>23</v>
      </c>
      <c r="G187" s="112">
        <f>SUMIF(MICRO!AP:AP,O:O,MICRO!H:H)</f>
        <v>0</v>
      </c>
      <c r="H187" s="113">
        <f>SUMIF(MICRO!AP:AP,O:O,MICRO!R:R)</f>
        <v>0</v>
      </c>
      <c r="I187" s="113">
        <f>SUMIF(MICRO!AP:AP,O:O,MICRO!T:T)</f>
        <v>0</v>
      </c>
      <c r="J187" s="114">
        <f t="shared" si="15"/>
        <v>0</v>
      </c>
      <c r="K187" s="113">
        <f>SUMIF(MICRO!AP:AP,O:O,MICRO!X:X)</f>
        <v>0</v>
      </c>
      <c r="L187" s="114" t="str">
        <f t="shared" si="16"/>
        <v>0%</v>
      </c>
      <c r="M187" s="113">
        <f t="shared" si="17"/>
        <v>0</v>
      </c>
      <c r="N187" s="56" t="e">
        <f t="shared" si="18"/>
        <v>#N/A</v>
      </c>
      <c r="O187" s="56" t="e">
        <f t="shared" si="19"/>
        <v>#N/A</v>
      </c>
      <c r="P187" s="2">
        <f>SUMIF(MICRO!AP:AP,O187,MICRO!AS:AS)</f>
        <v>0</v>
      </c>
      <c r="Q187">
        <f>SUMIF(MICRO!AP:AP,O187,MICRO!AT:AT)</f>
        <v>0</v>
      </c>
      <c r="R187">
        <f>SUMIF(MICRO!AP:AP,O:O,MICRO!AU:AU)</f>
        <v>0</v>
      </c>
      <c r="V187" s="2"/>
    </row>
    <row r="188" spans="3:22" ht="18.75" thickBot="1" x14ac:dyDescent="0.3">
      <c r="D188" s="110" t="s">
        <v>430</v>
      </c>
      <c r="E188" s="111" t="e">
        <f>VLOOKUP(Tabela2[[#This Row],[TAG]],MICRO!J:L,3,0)</f>
        <v>#N/A</v>
      </c>
      <c r="F188" s="109" t="s">
        <v>33</v>
      </c>
      <c r="G188" s="112">
        <f>SUMIF(MICRO!AP:AP,O:O,MICRO!H:H)</f>
        <v>0</v>
      </c>
      <c r="H188" s="113">
        <f>SUMIF(MICRO!AP:AP,O:O,MICRO!R:R)</f>
        <v>0</v>
      </c>
      <c r="I188" s="113">
        <f>SUMIF(MICRO!AP:AP,O:O,MICRO!T:T)</f>
        <v>0</v>
      </c>
      <c r="J188" s="114">
        <f t="shared" si="15"/>
        <v>0</v>
      </c>
      <c r="K188" s="113">
        <f>SUMIF(MICRO!AP:AP,O:O,MICRO!X:X)</f>
        <v>0</v>
      </c>
      <c r="L188" s="114" t="str">
        <f t="shared" si="16"/>
        <v>0%</v>
      </c>
      <c r="M188" s="113">
        <f t="shared" si="17"/>
        <v>0</v>
      </c>
      <c r="N188" s="56" t="e">
        <f t="shared" si="18"/>
        <v>#N/A</v>
      </c>
      <c r="O188" s="56" t="e">
        <f t="shared" si="19"/>
        <v>#N/A</v>
      </c>
      <c r="P188" s="2">
        <f>SUMIF(MICRO!AP:AP,O188,MICRO!AS:AS)</f>
        <v>0</v>
      </c>
      <c r="Q188">
        <f>SUMIF(MICRO!AP:AP,O188,MICRO!AT:AT)</f>
        <v>0</v>
      </c>
      <c r="R188">
        <f>SUMIF(MICRO!AP:AP,O:O,MICRO!AU:AU)</f>
        <v>0</v>
      </c>
      <c r="V188" s="2"/>
    </row>
    <row r="189" spans="3:22" ht="18.75" thickBot="1" x14ac:dyDescent="0.3">
      <c r="D189" s="110" t="s">
        <v>433</v>
      </c>
      <c r="E189" s="111" t="e">
        <f>VLOOKUP(Tabela2[[#This Row],[TAG]],MICRO!J:L,3,0)</f>
        <v>#N/A</v>
      </c>
      <c r="F189" s="109" t="s">
        <v>23</v>
      </c>
      <c r="G189" s="112">
        <f>SUMIF(MICRO!AP:AP,O:O,MICRO!H:H)</f>
        <v>0</v>
      </c>
      <c r="H189" s="113">
        <f>SUMIF(MICRO!AP:AP,O:O,MICRO!R:R)</f>
        <v>0</v>
      </c>
      <c r="I189" s="113">
        <f>SUMIF(MICRO!AP:AP,O:O,MICRO!T:T)</f>
        <v>0</v>
      </c>
      <c r="J189" s="114">
        <f t="shared" si="15"/>
        <v>0</v>
      </c>
      <c r="K189" s="113">
        <f>SUMIF(MICRO!AP:AP,O:O,MICRO!X:X)</f>
        <v>0</v>
      </c>
      <c r="L189" s="114" t="str">
        <f t="shared" si="16"/>
        <v>0%</v>
      </c>
      <c r="M189" s="113">
        <f t="shared" si="17"/>
        <v>0</v>
      </c>
      <c r="N189" s="56" t="e">
        <f t="shared" si="18"/>
        <v>#N/A</v>
      </c>
      <c r="O189" s="56" t="e">
        <f t="shared" si="19"/>
        <v>#N/A</v>
      </c>
      <c r="P189" s="2">
        <f>SUMIF(MICRO!AP:AP,O189,MICRO!AS:AS)</f>
        <v>0</v>
      </c>
      <c r="Q189">
        <f>SUMIF(MICRO!AP:AP,O189,MICRO!AT:AT)</f>
        <v>0</v>
      </c>
      <c r="R189">
        <f>SUMIF(MICRO!AP:AP,O:O,MICRO!AU:AU)</f>
        <v>0</v>
      </c>
      <c r="V189" s="2"/>
    </row>
    <row r="190" spans="3:22" ht="18.75" thickBot="1" x14ac:dyDescent="0.3">
      <c r="D190" s="110" t="s">
        <v>519</v>
      </c>
      <c r="E190" s="111" t="e">
        <f>VLOOKUP(Tabela2[[#This Row],[TAG]],MICRO!J:L,3,0)</f>
        <v>#N/A</v>
      </c>
      <c r="F190" s="109" t="s">
        <v>23</v>
      </c>
      <c r="G190" s="112">
        <f>SUMIF(MICRO!AP:AP,O:O,MICRO!H:H)</f>
        <v>0</v>
      </c>
      <c r="H190" s="113">
        <f>SUMIF(MICRO!AP:AP,O:O,MICRO!R:R)</f>
        <v>0</v>
      </c>
      <c r="I190" s="113">
        <f>SUMIF(MICRO!AP:AP,O:O,MICRO!T:T)</f>
        <v>0</v>
      </c>
      <c r="J190" s="114">
        <f t="shared" ref="J190:J199" si="20">IF(G190 = 0,0,H190/G190)</f>
        <v>0</v>
      </c>
      <c r="K190" s="113">
        <f>SUMIF(MICRO!AP:AP,O:O,MICRO!X:X)</f>
        <v>0</v>
      </c>
      <c r="L190" s="114" t="str">
        <f t="shared" ref="L190:L199" si="21">IF(G190&lt;&gt;0,SUM(K190/G190*1),"0%")</f>
        <v>0%</v>
      </c>
      <c r="M190" s="113">
        <f t="shared" ref="M190:M199" si="22">G190-K190</f>
        <v>0</v>
      </c>
      <c r="N190" s="56" t="e">
        <f t="shared" ref="N190:N199" si="23">E190&amp;F190</f>
        <v>#N/A</v>
      </c>
      <c r="O190" s="56" t="e">
        <f t="shared" ref="O190:O199" si="24">D190&amp;E190&amp;F190</f>
        <v>#N/A</v>
      </c>
      <c r="P190" s="2">
        <f>SUMIF(MICRO!AP:AP,O190,MICRO!AS:AS)</f>
        <v>0</v>
      </c>
      <c r="Q190">
        <f>SUMIF(MICRO!AP:AP,O190,MICRO!AT:AT)</f>
        <v>0</v>
      </c>
      <c r="R190">
        <f>SUMIF(MICRO!AP:AP,O:O,MICRO!AU:AU)</f>
        <v>0</v>
      </c>
      <c r="V190" s="2"/>
    </row>
    <row r="191" spans="3:22" ht="18.75" thickBot="1" x14ac:dyDescent="0.3">
      <c r="D191" s="110" t="s">
        <v>522</v>
      </c>
      <c r="E191" s="111" t="e">
        <f>VLOOKUP(Tabela2[[#This Row],[TAG]],MICRO!J:L,3,0)</f>
        <v>#N/A</v>
      </c>
      <c r="F191" s="109" t="s">
        <v>23</v>
      </c>
      <c r="G191" s="112">
        <f>SUMIF(MICRO!AP:AP,O:O,MICRO!H:H)</f>
        <v>0</v>
      </c>
      <c r="H191" s="113">
        <f>SUMIF(MICRO!AP:AP,O:O,MICRO!R:R)</f>
        <v>0</v>
      </c>
      <c r="I191" s="113">
        <f>SUMIF(MICRO!AP:AP,O:O,MICRO!T:T)</f>
        <v>0</v>
      </c>
      <c r="J191" s="114">
        <f t="shared" si="20"/>
        <v>0</v>
      </c>
      <c r="K191" s="113">
        <f>SUMIF(MICRO!AP:AP,O:O,MICRO!X:X)</f>
        <v>0</v>
      </c>
      <c r="L191" s="114" t="str">
        <f t="shared" si="21"/>
        <v>0%</v>
      </c>
      <c r="M191" s="113">
        <f t="shared" si="22"/>
        <v>0</v>
      </c>
      <c r="N191" s="56" t="e">
        <f t="shared" si="23"/>
        <v>#N/A</v>
      </c>
      <c r="O191" s="56" t="e">
        <f t="shared" si="24"/>
        <v>#N/A</v>
      </c>
      <c r="P191" s="2">
        <f>SUMIF(MICRO!AP:AP,O191,MICRO!AS:AS)</f>
        <v>0</v>
      </c>
      <c r="Q191">
        <f>SUMIF(MICRO!AP:AP,O191,MICRO!AT:AT)</f>
        <v>0</v>
      </c>
      <c r="R191">
        <f>SUMIF(MICRO!AP:AP,O:O,MICRO!AU:AU)</f>
        <v>0</v>
      </c>
      <c r="V191" s="2"/>
    </row>
    <row r="192" spans="3:22" ht="16.5" thickBot="1" x14ac:dyDescent="0.3">
      <c r="D192" s="110" t="s">
        <v>525</v>
      </c>
      <c r="E192" s="111" t="e">
        <f>VLOOKUP(Tabela2[[#This Row],[TAG]],MICRO!J:L,3,0)</f>
        <v>#N/A</v>
      </c>
      <c r="F192" s="8" t="s">
        <v>45</v>
      </c>
      <c r="G192" s="112">
        <f>SUMIF(MICRO!AP:AP,O:O,MICRO!H:H)</f>
        <v>0</v>
      </c>
      <c r="H192" s="113">
        <f>SUMIF(MICRO!AP:AP,O:O,MICRO!R:R)</f>
        <v>0</v>
      </c>
      <c r="I192" s="113">
        <f>SUMIF(MICRO!AP:AP,O:O,MICRO!T:T)</f>
        <v>0</v>
      </c>
      <c r="J192" s="114">
        <f t="shared" si="20"/>
        <v>0</v>
      </c>
      <c r="K192" s="113">
        <f>SUMIF(MICRO!AP:AP,O:O,MICRO!X:X)</f>
        <v>0</v>
      </c>
      <c r="L192" s="114" t="str">
        <f t="shared" si="21"/>
        <v>0%</v>
      </c>
      <c r="M192" s="113">
        <f t="shared" si="22"/>
        <v>0</v>
      </c>
      <c r="N192" s="56" t="e">
        <f t="shared" si="23"/>
        <v>#N/A</v>
      </c>
      <c r="O192" s="56" t="e">
        <f t="shared" si="24"/>
        <v>#N/A</v>
      </c>
      <c r="P192" s="2">
        <f>SUMIF(MICRO!AP:AP,O192,MICRO!AS:AS)</f>
        <v>0</v>
      </c>
      <c r="Q192">
        <f>SUMIF(MICRO!AP:AP,O192,MICRO!AT:AT)</f>
        <v>0</v>
      </c>
      <c r="R192">
        <f>SUMIF(MICRO!AP:AP,O:O,MICRO!AU:AU)</f>
        <v>0</v>
      </c>
      <c r="V192" s="2"/>
    </row>
    <row r="193" spans="4:22" ht="18.75" thickBot="1" x14ac:dyDescent="0.3">
      <c r="D193" s="110" t="s">
        <v>525</v>
      </c>
      <c r="E193" s="111" t="e">
        <f>VLOOKUP(Tabela2[[#This Row],[TAG]],MICRO!J:L,3,0)</f>
        <v>#N/A</v>
      </c>
      <c r="F193" s="44" t="s">
        <v>31</v>
      </c>
      <c r="G193" s="112">
        <f>SUMIF(MICRO!AP:AP,O:O,MICRO!H:H)</f>
        <v>0</v>
      </c>
      <c r="H193" s="113">
        <f>SUMIF(MICRO!AP:AP,O:O,MICRO!R:R)</f>
        <v>0</v>
      </c>
      <c r="I193" s="113">
        <f>SUMIF(MICRO!AP:AP,O:O,MICRO!T:T)</f>
        <v>0</v>
      </c>
      <c r="J193" s="114">
        <f t="shared" si="20"/>
        <v>0</v>
      </c>
      <c r="K193" s="113">
        <f>SUMIF(MICRO!AP:AP,O:O,MICRO!X:X)</f>
        <v>0</v>
      </c>
      <c r="L193" s="114" t="str">
        <f t="shared" si="21"/>
        <v>0%</v>
      </c>
      <c r="M193" s="113">
        <f t="shared" si="22"/>
        <v>0</v>
      </c>
      <c r="N193" s="56" t="e">
        <f t="shared" si="23"/>
        <v>#N/A</v>
      </c>
      <c r="O193" s="56" t="e">
        <f t="shared" si="24"/>
        <v>#N/A</v>
      </c>
      <c r="P193" s="2">
        <f>SUMIF(MICRO!AP:AP,O193,MICRO!AS:AS)</f>
        <v>0</v>
      </c>
      <c r="Q193">
        <f>SUMIF(MICRO!AP:AP,O193,MICRO!AT:AT)</f>
        <v>0</v>
      </c>
      <c r="R193">
        <f>SUMIF(MICRO!AP:AP,O:O,MICRO!AU:AU)</f>
        <v>0</v>
      </c>
      <c r="V193" s="2"/>
    </row>
    <row r="194" spans="4:22" ht="18.75" thickBot="1" x14ac:dyDescent="0.3">
      <c r="D194" s="110" t="s">
        <v>525</v>
      </c>
      <c r="E194" s="111" t="e">
        <f>VLOOKUP(Tabela2[[#This Row],[TAG]],MICRO!J:L,3,0)</f>
        <v>#N/A</v>
      </c>
      <c r="F194" s="44" t="s">
        <v>32</v>
      </c>
      <c r="G194" s="112">
        <f>SUMIF(MICRO!AP:AP,O:O,MICRO!H:H)</f>
        <v>0</v>
      </c>
      <c r="H194" s="113">
        <f>SUMIF(MICRO!AP:AP,O:O,MICRO!R:R)</f>
        <v>0</v>
      </c>
      <c r="I194" s="113">
        <f>SUMIF(MICRO!AP:AP,O:O,MICRO!T:T)</f>
        <v>0</v>
      </c>
      <c r="J194" s="114">
        <f t="shared" si="20"/>
        <v>0</v>
      </c>
      <c r="K194" s="113">
        <f>SUMIF(MICRO!AP:AP,O:O,MICRO!X:X)</f>
        <v>0</v>
      </c>
      <c r="L194" s="114" t="str">
        <f t="shared" si="21"/>
        <v>0%</v>
      </c>
      <c r="M194" s="113">
        <f t="shared" si="22"/>
        <v>0</v>
      </c>
      <c r="N194" s="56" t="e">
        <f t="shared" si="23"/>
        <v>#N/A</v>
      </c>
      <c r="O194" s="56" t="e">
        <f t="shared" si="24"/>
        <v>#N/A</v>
      </c>
      <c r="P194" s="2">
        <f>SUMIF(MICRO!AP:AP,O194,MICRO!AS:AS)</f>
        <v>0</v>
      </c>
      <c r="Q194">
        <f>SUMIF(MICRO!AP:AP,O194,MICRO!AT:AT)</f>
        <v>0</v>
      </c>
      <c r="R194">
        <f>SUMIF(MICRO!AP:AP,O:O,MICRO!AU:AU)</f>
        <v>0</v>
      </c>
      <c r="V194" s="2"/>
    </row>
    <row r="195" spans="4:22" ht="18.75" thickBot="1" x14ac:dyDescent="0.3">
      <c r="D195" s="110" t="s">
        <v>548</v>
      </c>
      <c r="E195" s="111" t="e">
        <f>VLOOKUP(Tabela2[[#This Row],[TAG]],MICRO!J:L,3,0)</f>
        <v>#N/A</v>
      </c>
      <c r="F195" s="109" t="s">
        <v>23</v>
      </c>
      <c r="G195" s="112">
        <f>SUMIF(MICRO!AP:AP,O:O,MICRO!H:H)</f>
        <v>0</v>
      </c>
      <c r="H195" s="113">
        <f>SUMIF(MICRO!AP:AP,O:O,MICRO!R:R)</f>
        <v>0</v>
      </c>
      <c r="I195" s="113">
        <f>SUMIF(MICRO!AP:AP,O:O,MICRO!T:T)</f>
        <v>0</v>
      </c>
      <c r="J195" s="114">
        <f t="shared" si="20"/>
        <v>0</v>
      </c>
      <c r="K195" s="113">
        <f>SUMIF(MICRO!AP:AP,O:O,MICRO!X:X)</f>
        <v>0</v>
      </c>
      <c r="L195" s="114" t="str">
        <f t="shared" si="21"/>
        <v>0%</v>
      </c>
      <c r="M195" s="113">
        <f t="shared" si="22"/>
        <v>0</v>
      </c>
      <c r="N195" s="56" t="e">
        <f t="shared" si="23"/>
        <v>#N/A</v>
      </c>
      <c r="O195" s="56" t="e">
        <f t="shared" si="24"/>
        <v>#N/A</v>
      </c>
      <c r="P195" s="2">
        <f>SUMIF(MICRO!AP:AP,O195,MICRO!AS:AS)</f>
        <v>0</v>
      </c>
      <c r="Q195">
        <f>SUMIF(MICRO!AP:AP,O195,MICRO!AT:AT)</f>
        <v>0</v>
      </c>
      <c r="R195">
        <f>SUMIF(MICRO!AP:AP,O:O,MICRO!AU:AU)</f>
        <v>0</v>
      </c>
      <c r="V195" s="2"/>
    </row>
    <row r="196" spans="4:22" ht="18.75" thickBot="1" x14ac:dyDescent="0.3">
      <c r="D196" s="110" t="s">
        <v>549</v>
      </c>
      <c r="E196" s="111" t="e">
        <f>VLOOKUP(Tabela2[[#This Row],[TAG]],MICRO!J:L,3,0)</f>
        <v>#N/A</v>
      </c>
      <c r="F196" s="109" t="s">
        <v>23</v>
      </c>
      <c r="G196" s="112">
        <f>SUMIF(MICRO!AP:AP,O:O,MICRO!H:H)</f>
        <v>0</v>
      </c>
      <c r="H196" s="113">
        <f>SUMIF(MICRO!AP:AP,O:O,MICRO!R:R)</f>
        <v>0</v>
      </c>
      <c r="I196" s="113">
        <f>SUMIF(MICRO!AP:AP,O:O,MICRO!T:T)</f>
        <v>0</v>
      </c>
      <c r="J196" s="114">
        <f t="shared" si="20"/>
        <v>0</v>
      </c>
      <c r="K196" s="113">
        <f>SUMIF(MICRO!AP:AP,O:O,MICRO!X:X)</f>
        <v>0</v>
      </c>
      <c r="L196" s="114" t="str">
        <f t="shared" si="21"/>
        <v>0%</v>
      </c>
      <c r="M196" s="113">
        <f t="shared" si="22"/>
        <v>0</v>
      </c>
      <c r="N196" s="56" t="e">
        <f t="shared" si="23"/>
        <v>#N/A</v>
      </c>
      <c r="O196" s="56" t="e">
        <f t="shared" si="24"/>
        <v>#N/A</v>
      </c>
      <c r="P196" s="2">
        <f>SUMIF(MICRO!AP:AP,O196,MICRO!AS:AS)</f>
        <v>0</v>
      </c>
      <c r="Q196">
        <f>SUMIF(MICRO!AP:AP,O196,MICRO!AT:AT)</f>
        <v>0</v>
      </c>
      <c r="R196">
        <f>SUMIF(MICRO!AP:AP,O:O,MICRO!AU:AU)</f>
        <v>0</v>
      </c>
      <c r="V196" s="2"/>
    </row>
    <row r="197" spans="4:22" ht="18.75" thickBot="1" x14ac:dyDescent="0.3">
      <c r="D197" s="110" t="s">
        <v>552</v>
      </c>
      <c r="E197" s="111" t="e">
        <f>VLOOKUP(Tabela2[[#This Row],[TAG]],MICRO!J:L,3,0)</f>
        <v>#N/A</v>
      </c>
      <c r="F197" s="109" t="s">
        <v>23</v>
      </c>
      <c r="G197" s="112">
        <f>SUMIF(MICRO!AP:AP,O:O,MICRO!H:H)</f>
        <v>0</v>
      </c>
      <c r="H197" s="113">
        <f>SUMIF(MICRO!AP:AP,O:O,MICRO!R:R)</f>
        <v>0</v>
      </c>
      <c r="I197" s="113">
        <f>SUMIF(MICRO!AP:AP,O:O,MICRO!T:T)</f>
        <v>0</v>
      </c>
      <c r="J197" s="114">
        <f t="shared" si="20"/>
        <v>0</v>
      </c>
      <c r="K197" s="113">
        <f>SUMIF(MICRO!AP:AP,O:O,MICRO!X:X)</f>
        <v>0</v>
      </c>
      <c r="L197" s="114" t="str">
        <f t="shared" si="21"/>
        <v>0%</v>
      </c>
      <c r="M197" s="113">
        <f t="shared" si="22"/>
        <v>0</v>
      </c>
      <c r="N197" s="56" t="e">
        <f t="shared" si="23"/>
        <v>#N/A</v>
      </c>
      <c r="O197" s="56" t="e">
        <f t="shared" si="24"/>
        <v>#N/A</v>
      </c>
      <c r="P197" s="2">
        <f>SUMIF(MICRO!AP:AP,O197,MICRO!AS:AS)</f>
        <v>0</v>
      </c>
      <c r="Q197">
        <f>SUMIF(MICRO!AP:AP,O197,MICRO!AT:AT)</f>
        <v>0</v>
      </c>
      <c r="R197">
        <f>SUMIF(MICRO!AP:AP,O:O,MICRO!AU:AU)</f>
        <v>0</v>
      </c>
      <c r="V197" s="2"/>
    </row>
    <row r="198" spans="4:22" ht="18.75" thickBot="1" x14ac:dyDescent="0.3">
      <c r="D198" s="110" t="s">
        <v>550</v>
      </c>
      <c r="E198" s="111" t="e">
        <f>VLOOKUP(Tabela2[[#This Row],[TAG]],MICRO!J:L,3,0)</f>
        <v>#N/A</v>
      </c>
      <c r="F198" s="109" t="s">
        <v>23</v>
      </c>
      <c r="G198" s="112">
        <f>SUMIF(MICRO!AP:AP,O:O,MICRO!H:H)</f>
        <v>0</v>
      </c>
      <c r="H198" s="113">
        <f>SUMIF(MICRO!AP:AP,O:O,MICRO!R:R)</f>
        <v>0</v>
      </c>
      <c r="I198" s="113">
        <f>SUMIF(MICRO!AP:AP,O:O,MICRO!T:T)</f>
        <v>0</v>
      </c>
      <c r="J198" s="114">
        <f t="shared" si="20"/>
        <v>0</v>
      </c>
      <c r="K198" s="113">
        <f>SUMIF(MICRO!AP:AP,O:O,MICRO!X:X)</f>
        <v>0</v>
      </c>
      <c r="L198" s="114" t="str">
        <f t="shared" si="21"/>
        <v>0%</v>
      </c>
      <c r="M198" s="113">
        <f t="shared" si="22"/>
        <v>0</v>
      </c>
      <c r="N198" s="56" t="e">
        <f t="shared" si="23"/>
        <v>#N/A</v>
      </c>
      <c r="O198" s="56" t="e">
        <f t="shared" si="24"/>
        <v>#N/A</v>
      </c>
      <c r="P198" s="2">
        <f>SUMIF(MICRO!AP:AP,O198,MICRO!AS:AS)</f>
        <v>0</v>
      </c>
      <c r="Q198">
        <f>SUMIF(MICRO!AP:AP,O198,MICRO!AT:AT)</f>
        <v>0</v>
      </c>
      <c r="R198">
        <f>SUMIF(MICRO!AP:AP,O:O,MICRO!AU:AU)</f>
        <v>0</v>
      </c>
      <c r="V198" s="2"/>
    </row>
    <row r="199" spans="4:22" ht="18.75" thickBot="1" x14ac:dyDescent="0.3">
      <c r="D199" s="110" t="s">
        <v>551</v>
      </c>
      <c r="E199" s="111" t="e">
        <f>VLOOKUP(Tabela2[[#This Row],[TAG]],MICRO!J:L,3,0)</f>
        <v>#N/A</v>
      </c>
      <c r="F199" s="109" t="s">
        <v>23</v>
      </c>
      <c r="G199" s="112">
        <f>SUMIF(MICRO!AP:AP,O:O,MICRO!H:H)</f>
        <v>0</v>
      </c>
      <c r="H199" s="113">
        <f>SUMIF(MICRO!AP:AP,O:O,MICRO!R:R)</f>
        <v>0</v>
      </c>
      <c r="I199" s="113">
        <f>SUMIF(MICRO!AP:AP,O:O,MICRO!T:T)</f>
        <v>0</v>
      </c>
      <c r="J199" s="114">
        <f t="shared" si="20"/>
        <v>0</v>
      </c>
      <c r="K199" s="113">
        <f>SUMIF(MICRO!AP:AP,O:O,MICRO!X:X)</f>
        <v>0</v>
      </c>
      <c r="L199" s="114" t="str">
        <f t="shared" si="21"/>
        <v>0%</v>
      </c>
      <c r="M199" s="113">
        <f t="shared" si="22"/>
        <v>0</v>
      </c>
      <c r="N199" s="56" t="e">
        <f t="shared" si="23"/>
        <v>#N/A</v>
      </c>
      <c r="O199" s="56" t="e">
        <f t="shared" si="24"/>
        <v>#N/A</v>
      </c>
      <c r="P199" s="2">
        <f>SUMIF(MICRO!AP:AP,O199,MICRO!AS:AS)</f>
        <v>0</v>
      </c>
      <c r="Q199">
        <f>SUMIF(MICRO!AP:AP,O199,MICRO!AT:AT)</f>
        <v>0</v>
      </c>
      <c r="R199">
        <f>SUMIF(MICRO!AP:AP,O:O,MICRO!AU:AU)</f>
        <v>0</v>
      </c>
      <c r="V199" s="2"/>
    </row>
    <row r="200" spans="4:22" ht="18.75" thickBot="1" x14ac:dyDescent="0.3">
      <c r="D200" s="110" t="s">
        <v>559</v>
      </c>
      <c r="E200" s="111" t="e">
        <f>VLOOKUP(Tabela2[[#This Row],[TAG]],MICRO!J:L,3,0)</f>
        <v>#N/A</v>
      </c>
      <c r="F200" s="109" t="s">
        <v>33</v>
      </c>
      <c r="G200" s="58">
        <f>SUMIF(MICRO!AP:AP,O:O,MICRO!H:H)</f>
        <v>0</v>
      </c>
      <c r="H200" s="1">
        <f>SUMIF(MICRO!AP:AP,O:O,MICRO!R:R)</f>
        <v>0</v>
      </c>
      <c r="I200" s="1">
        <f>SUMIF(MICRO!AP:AP,O:O,MICRO!T:T)</f>
        <v>0</v>
      </c>
      <c r="J200" s="59">
        <f t="shared" ref="J200:J205" si="25">IF(G200 = 0,0,H200/G200)</f>
        <v>0</v>
      </c>
      <c r="K200" s="1">
        <f>SUMIF(MICRO!AP:AP,O:O,MICRO!X:X)</f>
        <v>0</v>
      </c>
      <c r="L200" s="59" t="str">
        <f t="shared" ref="L200:L205" si="26">IF(G200&lt;&gt;0,SUM(K200/G200*1),"0%")</f>
        <v>0%</v>
      </c>
      <c r="M200" s="1">
        <f t="shared" ref="M200:M205" si="27">G200-K200</f>
        <v>0</v>
      </c>
      <c r="N200" s="56" t="e">
        <f t="shared" ref="N200:N205" si="28">E200&amp;F200</f>
        <v>#N/A</v>
      </c>
      <c r="O200" s="56" t="e">
        <f t="shared" ref="O200:O205" si="29">D200&amp;E200&amp;F200</f>
        <v>#N/A</v>
      </c>
      <c r="P200" s="2">
        <f>SUMIF(MICRO!AP:AP,O200,MICRO!AS:AS)</f>
        <v>0</v>
      </c>
      <c r="Q200">
        <f>SUMIF(MICRO!AP:AP,O200,MICRO!AT:AT)</f>
        <v>0</v>
      </c>
      <c r="R200">
        <f>SUMIF(MICRO!AP:AP,O:O,MICRO!AU:AU)</f>
        <v>0</v>
      </c>
      <c r="V200" s="2"/>
    </row>
    <row r="201" spans="4:22" ht="18.75" thickBot="1" x14ac:dyDescent="0.3">
      <c r="D201" s="110" t="s">
        <v>560</v>
      </c>
      <c r="E201" s="111" t="e">
        <f>VLOOKUP(Tabela2[[#This Row],[TAG]],MICRO!J:L,3,0)</f>
        <v>#N/A</v>
      </c>
      <c r="F201" s="109" t="s">
        <v>23</v>
      </c>
      <c r="G201" s="58">
        <f>SUMIF(MICRO!AP:AP,O:O,MICRO!H:H)</f>
        <v>0</v>
      </c>
      <c r="H201" s="1">
        <f>SUMIF(MICRO!AP:AP,O:O,MICRO!R:R)</f>
        <v>0</v>
      </c>
      <c r="I201" s="1">
        <f>SUMIF(MICRO!AP:AP,O:O,MICRO!T:T)</f>
        <v>0</v>
      </c>
      <c r="J201" s="59">
        <f t="shared" si="25"/>
        <v>0</v>
      </c>
      <c r="K201" s="1">
        <f>SUMIF(MICRO!AP:AP,O:O,MICRO!X:X)</f>
        <v>0</v>
      </c>
      <c r="L201" s="59" t="str">
        <f t="shared" si="26"/>
        <v>0%</v>
      </c>
      <c r="M201" s="1">
        <f t="shared" si="27"/>
        <v>0</v>
      </c>
      <c r="N201" s="56" t="e">
        <f t="shared" si="28"/>
        <v>#N/A</v>
      </c>
      <c r="O201" s="56" t="e">
        <f t="shared" si="29"/>
        <v>#N/A</v>
      </c>
      <c r="P201" s="2">
        <f>SUMIF(MICRO!AP:AP,O201,MICRO!AS:AS)</f>
        <v>0</v>
      </c>
      <c r="Q201">
        <f>SUMIF(MICRO!AP:AP,O201,MICRO!AT:AT)</f>
        <v>0</v>
      </c>
      <c r="R201">
        <f>SUMIF(MICRO!AP:AP,O:O,MICRO!AU:AU)</f>
        <v>0</v>
      </c>
      <c r="V201" s="2"/>
    </row>
    <row r="202" spans="4:22" ht="18.75" thickBot="1" x14ac:dyDescent="0.3">
      <c r="D202" s="110" t="s">
        <v>569</v>
      </c>
      <c r="E202" s="111" t="e">
        <f>VLOOKUP(Tabela2[[#This Row],[TAG]],MICRO!J:L,3,0)</f>
        <v>#N/A</v>
      </c>
      <c r="F202" s="44" t="s">
        <v>31</v>
      </c>
      <c r="G202" s="58">
        <f>SUMIF(MICRO!AP:AP,O:O,MICRO!H:H)</f>
        <v>0</v>
      </c>
      <c r="H202" s="1">
        <f>SUMIF(MICRO!AP:AP,O:O,MICRO!R:R)</f>
        <v>0</v>
      </c>
      <c r="I202" s="1">
        <f>SUMIF(MICRO!AP:AP,O:O,MICRO!T:T)</f>
        <v>0</v>
      </c>
      <c r="J202" s="59">
        <f t="shared" si="25"/>
        <v>0</v>
      </c>
      <c r="K202" s="1">
        <f>SUMIF(MICRO!AP:AP,O:O,MICRO!X:X)</f>
        <v>0</v>
      </c>
      <c r="L202" s="59" t="str">
        <f t="shared" si="26"/>
        <v>0%</v>
      </c>
      <c r="M202" s="1">
        <f t="shared" si="27"/>
        <v>0</v>
      </c>
      <c r="N202" s="56" t="e">
        <f t="shared" si="28"/>
        <v>#N/A</v>
      </c>
      <c r="O202" s="56" t="e">
        <f t="shared" si="29"/>
        <v>#N/A</v>
      </c>
      <c r="P202" s="2">
        <f>SUMIF(MICRO!AP:AP,O202,MICRO!AS:AS)</f>
        <v>0</v>
      </c>
      <c r="Q202">
        <f>SUMIF(MICRO!AP:AP,O202,MICRO!AT:AT)</f>
        <v>0</v>
      </c>
      <c r="R202">
        <f>SUMIF(MICRO!AP:AP,O:O,MICRO!AU:AU)</f>
        <v>0</v>
      </c>
      <c r="V202" s="2"/>
    </row>
    <row r="203" spans="4:22" ht="18.75" thickBot="1" x14ac:dyDescent="0.3">
      <c r="D203" s="110" t="s">
        <v>570</v>
      </c>
      <c r="E203" s="111" t="e">
        <f>VLOOKUP(Tabela2[[#This Row],[TAG]],MICRO!J:L,3,0)</f>
        <v>#N/A</v>
      </c>
      <c r="F203" s="44" t="s">
        <v>31</v>
      </c>
      <c r="G203" s="58">
        <f>SUMIF(MICRO!AP:AP,O:O,MICRO!H:H)</f>
        <v>0</v>
      </c>
      <c r="H203" s="1">
        <f>SUMIF(MICRO!AP:AP,O:O,MICRO!R:R)</f>
        <v>0</v>
      </c>
      <c r="I203" s="1">
        <f>SUMIF(MICRO!AP:AP,O:O,MICRO!T:T)</f>
        <v>0</v>
      </c>
      <c r="J203" s="59">
        <f t="shared" si="25"/>
        <v>0</v>
      </c>
      <c r="K203" s="1">
        <f>SUMIF(MICRO!AP:AP,O:O,MICRO!X:X)</f>
        <v>0</v>
      </c>
      <c r="L203" s="59" t="str">
        <f t="shared" si="26"/>
        <v>0%</v>
      </c>
      <c r="M203" s="1">
        <f t="shared" si="27"/>
        <v>0</v>
      </c>
      <c r="N203" s="56" t="e">
        <f t="shared" si="28"/>
        <v>#N/A</v>
      </c>
      <c r="O203" s="56" t="e">
        <f t="shared" si="29"/>
        <v>#N/A</v>
      </c>
      <c r="P203" s="2">
        <f>SUMIF(MICRO!AP:AP,O203,MICRO!AS:AS)</f>
        <v>0</v>
      </c>
      <c r="Q203">
        <f>SUMIF(MICRO!AP:AP,O203,MICRO!AT:AT)</f>
        <v>0</v>
      </c>
      <c r="R203">
        <f>SUMIF(MICRO!AP:AP,O:O,MICRO!AU:AU)</f>
        <v>0</v>
      </c>
      <c r="V203" s="2"/>
    </row>
    <row r="204" spans="4:22" ht="18.75" thickBot="1" x14ac:dyDescent="0.3">
      <c r="D204" s="110" t="s">
        <v>571</v>
      </c>
      <c r="E204" s="111" t="e">
        <f>VLOOKUP(Tabela2[[#This Row],[TAG]],MICRO!J:L,3,0)</f>
        <v>#N/A</v>
      </c>
      <c r="F204" s="44" t="s">
        <v>31</v>
      </c>
      <c r="G204" s="58">
        <f>SUMIF(MICRO!AP:AP,O:O,MICRO!H:H)</f>
        <v>0</v>
      </c>
      <c r="H204" s="1">
        <f>SUMIF(MICRO!AP:AP,O:O,MICRO!R:R)</f>
        <v>0</v>
      </c>
      <c r="I204" s="1">
        <f>SUMIF(MICRO!AP:AP,O:O,MICRO!T:T)</f>
        <v>0</v>
      </c>
      <c r="J204" s="59">
        <f t="shared" si="25"/>
        <v>0</v>
      </c>
      <c r="K204" s="1">
        <f>SUMIF(MICRO!AP:AP,O:O,MICRO!X:X)</f>
        <v>0</v>
      </c>
      <c r="L204" s="59" t="str">
        <f t="shared" si="26"/>
        <v>0%</v>
      </c>
      <c r="M204" s="1">
        <f t="shared" si="27"/>
        <v>0</v>
      </c>
      <c r="N204" s="56" t="e">
        <f t="shared" si="28"/>
        <v>#N/A</v>
      </c>
      <c r="O204" s="56" t="e">
        <f t="shared" si="29"/>
        <v>#N/A</v>
      </c>
      <c r="P204" s="2">
        <f>SUMIF(MICRO!AP:AP,O204,MICRO!AS:AS)</f>
        <v>0</v>
      </c>
      <c r="Q204">
        <f>SUMIF(MICRO!AP:AP,O204,MICRO!AT:AT)</f>
        <v>0</v>
      </c>
      <c r="R204">
        <f>SUMIF(MICRO!AP:AP,O:O,MICRO!AU:AU)</f>
        <v>0</v>
      </c>
      <c r="V204" s="2"/>
    </row>
    <row r="205" spans="4:22" ht="18.75" thickBot="1" x14ac:dyDescent="0.3">
      <c r="D205" s="110" t="s">
        <v>572</v>
      </c>
      <c r="E205" s="111" t="e">
        <f>VLOOKUP(Tabela2[[#This Row],[TAG]],MICRO!J:L,3,0)</f>
        <v>#N/A</v>
      </c>
      <c r="F205" s="44" t="s">
        <v>31</v>
      </c>
      <c r="G205" s="58">
        <f>SUMIF(MICRO!AP:AP,O:O,MICRO!H:H)</f>
        <v>0</v>
      </c>
      <c r="H205" s="1">
        <f>SUMIF(MICRO!AP:AP,O:O,MICRO!R:R)</f>
        <v>0</v>
      </c>
      <c r="I205" s="1">
        <f>SUMIF(MICRO!AP:AP,O:O,MICRO!T:T)</f>
        <v>0</v>
      </c>
      <c r="J205" s="59">
        <f t="shared" si="25"/>
        <v>0</v>
      </c>
      <c r="K205" s="1">
        <f>SUMIF(MICRO!AP:AP,O:O,MICRO!X:X)</f>
        <v>0</v>
      </c>
      <c r="L205" s="59" t="str">
        <f t="shared" si="26"/>
        <v>0%</v>
      </c>
      <c r="M205" s="1">
        <f t="shared" si="27"/>
        <v>0</v>
      </c>
      <c r="N205" s="56" t="e">
        <f t="shared" si="28"/>
        <v>#N/A</v>
      </c>
      <c r="O205" s="56" t="e">
        <f t="shared" si="29"/>
        <v>#N/A</v>
      </c>
      <c r="P205" s="2">
        <f>SUMIF(MICRO!AP:AP,O205,MICRO!AS:AS)</f>
        <v>0</v>
      </c>
      <c r="Q205">
        <f>SUMIF(MICRO!AP:AP,O205,MICRO!AT:AT)</f>
        <v>0</v>
      </c>
      <c r="R205">
        <f>SUMIF(MICRO!AP:AP,O:O,MICRO!AU:AU)</f>
        <v>0</v>
      </c>
      <c r="V205" s="2"/>
    </row>
    <row r="206" spans="4:22" ht="18.75" thickBot="1" x14ac:dyDescent="0.3">
      <c r="D206" s="110" t="s">
        <v>634</v>
      </c>
      <c r="E206" s="111" t="e">
        <f>VLOOKUP(Tabela2[[#This Row],[TAG]],MICRO!J:L,3,0)</f>
        <v>#N/A</v>
      </c>
      <c r="F206" s="44" t="s">
        <v>31</v>
      </c>
      <c r="G206" s="58">
        <f>SUMIF(MICRO!AP:AP,O:O,MICRO!H:H)</f>
        <v>0</v>
      </c>
      <c r="H206" s="1">
        <f>SUMIF(MICRO!AP:AP,O:O,MICRO!R:R)</f>
        <v>0</v>
      </c>
      <c r="I206" s="1">
        <f>SUMIF(MICRO!AP:AP,O:O,MICRO!T:T)</f>
        <v>0</v>
      </c>
      <c r="J206" s="59">
        <f t="shared" ref="J206:J217" si="30">IF(G206 = 0,0,H206/G206)</f>
        <v>0</v>
      </c>
      <c r="K206" s="1">
        <f>SUMIF(MICRO!AP:AP,O:O,MICRO!X:X)</f>
        <v>0</v>
      </c>
      <c r="L206" s="59" t="str">
        <f t="shared" ref="L206:L217" si="31">IF(G206&lt;&gt;0,SUM(K206/G206*1),"0%")</f>
        <v>0%</v>
      </c>
      <c r="M206" s="1">
        <f t="shared" ref="M206:M217" si="32">G206-K206</f>
        <v>0</v>
      </c>
      <c r="N206" s="56" t="e">
        <f t="shared" ref="N206:N217" si="33">E206&amp;F206</f>
        <v>#N/A</v>
      </c>
      <c r="O206" s="56" t="e">
        <f t="shared" ref="O206:O217" si="34">D206&amp;E206&amp;F206</f>
        <v>#N/A</v>
      </c>
      <c r="P206" s="2">
        <f>SUMIF(MICRO!AP:AP,O206,MICRO!AS:AS)</f>
        <v>0</v>
      </c>
      <c r="Q206">
        <f>SUMIF(MICRO!AP:AP,O206,MICRO!AT:AT)</f>
        <v>0</v>
      </c>
      <c r="R206">
        <f>SUMIF(MICRO!AP:AP,O:O,MICRO!AU:AU)</f>
        <v>0</v>
      </c>
      <c r="V206" s="2"/>
    </row>
    <row r="207" spans="4:22" ht="18.75" thickBot="1" x14ac:dyDescent="0.3">
      <c r="D207" s="110" t="s">
        <v>629</v>
      </c>
      <c r="E207" s="111" t="e">
        <f>VLOOKUP(Tabela2[[#This Row],[TAG]],MICRO!J:L,3,0)</f>
        <v>#N/A</v>
      </c>
      <c r="F207" s="44" t="s">
        <v>31</v>
      </c>
      <c r="G207" s="112">
        <f>SUMIF(MICRO!AP:AP,O:O,MICRO!H:H)</f>
        <v>0</v>
      </c>
      <c r="H207" s="113">
        <f>SUMIF(MICRO!AP:AP,O:O,MICRO!R:R)</f>
        <v>0</v>
      </c>
      <c r="I207" s="113">
        <f>SUMIF(MICRO!AP:AP,O:O,MICRO!T:T)</f>
        <v>0</v>
      </c>
      <c r="J207" s="114">
        <f t="shared" si="30"/>
        <v>0</v>
      </c>
      <c r="K207" s="113">
        <f>SUMIF(MICRO!AP:AP,O:O,MICRO!X:X)</f>
        <v>0</v>
      </c>
      <c r="L207" s="114" t="str">
        <f t="shared" si="31"/>
        <v>0%</v>
      </c>
      <c r="M207" s="113">
        <f t="shared" si="32"/>
        <v>0</v>
      </c>
      <c r="N207" s="56" t="e">
        <f t="shared" si="33"/>
        <v>#N/A</v>
      </c>
      <c r="O207" s="56" t="e">
        <f t="shared" si="34"/>
        <v>#N/A</v>
      </c>
      <c r="P207" s="2">
        <f>SUMIF(MICRO!AP:AP,O207,MICRO!AS:AS)</f>
        <v>0</v>
      </c>
      <c r="Q207">
        <f>SUMIF(MICRO!AP:AP,O207,MICRO!AT:AT)</f>
        <v>0</v>
      </c>
      <c r="R207">
        <f>SUMIF(MICRO!AP:AP,O:O,MICRO!AU:AU)</f>
        <v>0</v>
      </c>
      <c r="V207" s="2"/>
    </row>
    <row r="208" spans="4:22" ht="18.75" thickBot="1" x14ac:dyDescent="0.3">
      <c r="D208" s="110" t="s">
        <v>585</v>
      </c>
      <c r="E208" s="111" t="e">
        <f>VLOOKUP(Tabela2[[#This Row],[TAG]],MICRO!J:L,3,0)</f>
        <v>#N/A</v>
      </c>
      <c r="F208" s="44" t="s">
        <v>31</v>
      </c>
      <c r="G208" s="112">
        <f>SUMIF(MICRO!AP:AP,O:O,MICRO!H:H)</f>
        <v>0</v>
      </c>
      <c r="H208" s="113">
        <f>SUMIF(MICRO!AP:AP,O:O,MICRO!R:R)</f>
        <v>0</v>
      </c>
      <c r="I208" s="113">
        <f>SUMIF(MICRO!AP:AP,O:O,MICRO!T:T)</f>
        <v>0</v>
      </c>
      <c r="J208" s="114">
        <f t="shared" si="30"/>
        <v>0</v>
      </c>
      <c r="K208" s="113">
        <f>SUMIF(MICRO!AP:AP,O:O,MICRO!X:X)</f>
        <v>0</v>
      </c>
      <c r="L208" s="114" t="str">
        <f t="shared" si="31"/>
        <v>0%</v>
      </c>
      <c r="M208" s="113">
        <f t="shared" si="32"/>
        <v>0</v>
      </c>
      <c r="N208" s="56" t="e">
        <f t="shared" si="33"/>
        <v>#N/A</v>
      </c>
      <c r="O208" s="56" t="e">
        <f t="shared" si="34"/>
        <v>#N/A</v>
      </c>
      <c r="P208" s="2">
        <f>SUMIF(MICRO!AP:AP,O208,MICRO!AS:AS)</f>
        <v>0</v>
      </c>
      <c r="Q208">
        <f>SUMIF(MICRO!AP:AP,O208,MICRO!AT:AT)</f>
        <v>0</v>
      </c>
      <c r="R208">
        <f>SUMIF(MICRO!AP:AP,O:O,MICRO!AU:AU)</f>
        <v>0</v>
      </c>
      <c r="V208" s="2"/>
    </row>
    <row r="209" spans="4:22" ht="18.75" thickBot="1" x14ac:dyDescent="0.3">
      <c r="D209" s="110" t="s">
        <v>589</v>
      </c>
      <c r="E209" s="111" t="e">
        <f>VLOOKUP(Tabela2[[#This Row],[TAG]],MICRO!J:L,3,0)</f>
        <v>#N/A</v>
      </c>
      <c r="F209" s="44" t="s">
        <v>31</v>
      </c>
      <c r="G209" s="112">
        <f>SUMIF(MICRO!AP:AP,O:O,MICRO!H:H)</f>
        <v>0</v>
      </c>
      <c r="H209" s="113">
        <f>SUMIF(MICRO!AP:AP,O:O,MICRO!R:R)</f>
        <v>0</v>
      </c>
      <c r="I209" s="113">
        <f>SUMIF(MICRO!AP:AP,O:O,MICRO!T:T)</f>
        <v>0</v>
      </c>
      <c r="J209" s="114">
        <f t="shared" si="30"/>
        <v>0</v>
      </c>
      <c r="K209" s="113">
        <f>SUMIF(MICRO!AP:AP,O:O,MICRO!X:X)</f>
        <v>0</v>
      </c>
      <c r="L209" s="114" t="str">
        <f t="shared" si="31"/>
        <v>0%</v>
      </c>
      <c r="M209" s="113">
        <f t="shared" si="32"/>
        <v>0</v>
      </c>
      <c r="N209" s="56" t="e">
        <f t="shared" si="33"/>
        <v>#N/A</v>
      </c>
      <c r="O209" s="56" t="e">
        <f t="shared" si="34"/>
        <v>#N/A</v>
      </c>
      <c r="P209" s="2">
        <f>SUMIF(MICRO!AP:AP,O209,MICRO!AS:AS)</f>
        <v>0</v>
      </c>
      <c r="Q209">
        <f>SUMIF(MICRO!AP:AP,O209,MICRO!AT:AT)</f>
        <v>0</v>
      </c>
      <c r="R209">
        <f>SUMIF(MICRO!AP:AP,O:O,MICRO!AU:AU)</f>
        <v>0</v>
      </c>
      <c r="V209" s="2"/>
    </row>
    <row r="210" spans="4:22" ht="18.75" thickBot="1" x14ac:dyDescent="0.3">
      <c r="D210" s="110" t="s">
        <v>634</v>
      </c>
      <c r="E210" s="111" t="e">
        <f>VLOOKUP(Tabela2[[#This Row],[TAG]],MICRO!J:L,3,0)</f>
        <v>#N/A</v>
      </c>
      <c r="F210" s="109" t="s">
        <v>23</v>
      </c>
      <c r="G210" s="58">
        <f>SUMIF(MICRO!AP:AP,O:O,MICRO!H:H)</f>
        <v>0</v>
      </c>
      <c r="H210" s="1">
        <f>SUMIF(MICRO!AP:AP,O:O,MICRO!R:R)</f>
        <v>0</v>
      </c>
      <c r="I210" s="1">
        <f>SUMIF(MICRO!AP:AP,O:O,MICRO!T:T)</f>
        <v>0</v>
      </c>
      <c r="J210" s="59">
        <f t="shared" si="30"/>
        <v>0</v>
      </c>
      <c r="K210" s="1">
        <f>SUMIF(MICRO!AP:AP,O:O,MICRO!X:X)</f>
        <v>0</v>
      </c>
      <c r="L210" s="59" t="str">
        <f t="shared" si="31"/>
        <v>0%</v>
      </c>
      <c r="M210" s="1">
        <f t="shared" si="32"/>
        <v>0</v>
      </c>
      <c r="N210" s="56" t="e">
        <f t="shared" si="33"/>
        <v>#N/A</v>
      </c>
      <c r="O210" s="56" t="e">
        <f t="shared" si="34"/>
        <v>#N/A</v>
      </c>
      <c r="P210" s="2">
        <f>SUMIF(MICRO!AP:AP,O210,MICRO!AS:AS)</f>
        <v>0</v>
      </c>
      <c r="Q210">
        <f>SUMIF(MICRO!AP:AP,O210,MICRO!AT:AT)</f>
        <v>0</v>
      </c>
      <c r="R210">
        <f>SUMIF(MICRO!AP:AP,O:O,MICRO!AU:AU)</f>
        <v>0</v>
      </c>
      <c r="V210" s="2"/>
    </row>
    <row r="211" spans="4:22" ht="18.75" thickBot="1" x14ac:dyDescent="0.3">
      <c r="D211" s="110" t="s">
        <v>629</v>
      </c>
      <c r="E211" s="111" t="e">
        <f>VLOOKUP(Tabela2[[#This Row],[TAG]],MICRO!J:L,3,0)</f>
        <v>#N/A</v>
      </c>
      <c r="F211" s="109" t="s">
        <v>23</v>
      </c>
      <c r="G211" s="58">
        <f>SUMIF(MICRO!AP:AP,O:O,MICRO!H:H)</f>
        <v>0</v>
      </c>
      <c r="H211" s="1">
        <f>SUMIF(MICRO!AP:AP,O:O,MICRO!R:R)</f>
        <v>0</v>
      </c>
      <c r="I211" s="1">
        <f>SUMIF(MICRO!AP:AP,O:O,MICRO!T:T)</f>
        <v>0</v>
      </c>
      <c r="J211" s="59">
        <f t="shared" si="30"/>
        <v>0</v>
      </c>
      <c r="K211" s="1">
        <f>SUMIF(MICRO!AP:AP,O:O,MICRO!X:X)</f>
        <v>0</v>
      </c>
      <c r="L211" s="59" t="str">
        <f t="shared" si="31"/>
        <v>0%</v>
      </c>
      <c r="M211" s="1">
        <f t="shared" si="32"/>
        <v>0</v>
      </c>
      <c r="N211" s="56" t="e">
        <f t="shared" si="33"/>
        <v>#N/A</v>
      </c>
      <c r="O211" s="56" t="e">
        <f t="shared" si="34"/>
        <v>#N/A</v>
      </c>
      <c r="P211" s="2">
        <f>SUMIF(MICRO!AP:AP,O211,MICRO!AS:AS)</f>
        <v>0</v>
      </c>
      <c r="Q211">
        <f>SUMIF(MICRO!AP:AP,O211,MICRO!AT:AT)</f>
        <v>0</v>
      </c>
      <c r="R211">
        <f>SUMIF(MICRO!AP:AP,O:O,MICRO!AU:AU)</f>
        <v>0</v>
      </c>
      <c r="V211" s="2"/>
    </row>
    <row r="212" spans="4:22" ht="18.75" thickBot="1" x14ac:dyDescent="0.3">
      <c r="D212" s="110" t="s">
        <v>585</v>
      </c>
      <c r="E212" s="111" t="e">
        <f>VLOOKUP(Tabela2[[#This Row],[TAG]],MICRO!J:L,3,0)</f>
        <v>#N/A</v>
      </c>
      <c r="F212" s="109" t="s">
        <v>23</v>
      </c>
      <c r="G212" s="58">
        <f>SUMIF(MICRO!AP:AP,O:O,MICRO!H:H)</f>
        <v>0</v>
      </c>
      <c r="H212" s="1">
        <f>SUMIF(MICRO!AP:AP,O:O,MICRO!R:R)</f>
        <v>0</v>
      </c>
      <c r="I212" s="1">
        <f>SUMIF(MICRO!AP:AP,O:O,MICRO!T:T)</f>
        <v>0</v>
      </c>
      <c r="J212" s="59">
        <f t="shared" si="30"/>
        <v>0</v>
      </c>
      <c r="K212" s="1">
        <f>SUMIF(MICRO!AP:AP,O:O,MICRO!X:X)</f>
        <v>0</v>
      </c>
      <c r="L212" s="59" t="str">
        <f t="shared" si="31"/>
        <v>0%</v>
      </c>
      <c r="M212" s="1">
        <f t="shared" si="32"/>
        <v>0</v>
      </c>
      <c r="N212" s="56" t="e">
        <f t="shared" si="33"/>
        <v>#N/A</v>
      </c>
      <c r="O212" s="56" t="e">
        <f t="shared" si="34"/>
        <v>#N/A</v>
      </c>
      <c r="P212" s="2">
        <f>SUMIF(MICRO!AP:AP,O212,MICRO!AS:AS)</f>
        <v>0</v>
      </c>
      <c r="Q212">
        <f>SUMIF(MICRO!AP:AP,O212,MICRO!AT:AT)</f>
        <v>0</v>
      </c>
      <c r="R212">
        <f>SUMIF(MICRO!AP:AP,O:O,MICRO!AU:AU)</f>
        <v>0</v>
      </c>
      <c r="V212" s="2"/>
    </row>
    <row r="213" spans="4:22" ht="18.75" thickBot="1" x14ac:dyDescent="0.3">
      <c r="D213" s="110" t="s">
        <v>589</v>
      </c>
      <c r="E213" s="111" t="e">
        <f>VLOOKUP(Tabela2[[#This Row],[TAG]],MICRO!J:L,3,0)</f>
        <v>#N/A</v>
      </c>
      <c r="F213" s="109" t="s">
        <v>23</v>
      </c>
      <c r="G213" s="112">
        <f>SUMIF(MICRO!AP:AP,O:O,MICRO!H:H)</f>
        <v>0</v>
      </c>
      <c r="H213" s="113">
        <f>SUMIF(MICRO!AP:AP,O:O,MICRO!R:R)</f>
        <v>0</v>
      </c>
      <c r="I213" s="113">
        <f>SUMIF(MICRO!AP:AP,O:O,MICRO!T:T)</f>
        <v>0</v>
      </c>
      <c r="J213" s="114">
        <f t="shared" si="30"/>
        <v>0</v>
      </c>
      <c r="K213" s="113">
        <f>SUMIF(MICRO!AP:AP,O:O,MICRO!X:X)</f>
        <v>0</v>
      </c>
      <c r="L213" s="114" t="str">
        <f t="shared" si="31"/>
        <v>0%</v>
      </c>
      <c r="M213" s="113">
        <f t="shared" si="32"/>
        <v>0</v>
      </c>
      <c r="N213" s="56" t="e">
        <f t="shared" si="33"/>
        <v>#N/A</v>
      </c>
      <c r="O213" s="56" t="e">
        <f t="shared" si="34"/>
        <v>#N/A</v>
      </c>
      <c r="P213" s="2">
        <f>SUMIF(MICRO!AP:AP,O213,MICRO!AS:AS)</f>
        <v>0</v>
      </c>
      <c r="Q213">
        <f>SUMIF(MICRO!AP:AP,O213,MICRO!AT:AT)</f>
        <v>0</v>
      </c>
      <c r="R213">
        <f>SUMIF(MICRO!AP:AP,O:O,MICRO!AU:AU)</f>
        <v>0</v>
      </c>
      <c r="V213" s="2"/>
    </row>
    <row r="214" spans="4:22" ht="18.75" thickBot="1" x14ac:dyDescent="0.3">
      <c r="D214" s="110" t="s">
        <v>634</v>
      </c>
      <c r="E214" s="111" t="e">
        <f>VLOOKUP(Tabela2[[#This Row],[TAG]],MICRO!J:L,3,0)</f>
        <v>#N/A</v>
      </c>
      <c r="F214" s="109" t="s">
        <v>33</v>
      </c>
      <c r="G214" s="58">
        <f>SUMIF(MICRO!AP:AP,O:O,MICRO!H:H)</f>
        <v>0</v>
      </c>
      <c r="H214" s="1">
        <f>SUMIF(MICRO!AP:AP,O:O,MICRO!R:R)</f>
        <v>0</v>
      </c>
      <c r="I214" s="1">
        <f>SUMIF(MICRO!AP:AP,O:O,MICRO!T:T)</f>
        <v>0</v>
      </c>
      <c r="J214" s="59">
        <f t="shared" si="30"/>
        <v>0</v>
      </c>
      <c r="K214" s="1">
        <f>SUMIF(MICRO!AP:AP,O:O,MICRO!X:X)</f>
        <v>0</v>
      </c>
      <c r="L214" s="59" t="str">
        <f t="shared" si="31"/>
        <v>0%</v>
      </c>
      <c r="M214" s="1">
        <f t="shared" si="32"/>
        <v>0</v>
      </c>
      <c r="N214" s="56" t="e">
        <f t="shared" si="33"/>
        <v>#N/A</v>
      </c>
      <c r="O214" s="56" t="e">
        <f t="shared" si="34"/>
        <v>#N/A</v>
      </c>
      <c r="P214" s="2">
        <f>SUMIF(MICRO!AP:AP,O214,MICRO!AS:AS)</f>
        <v>0</v>
      </c>
      <c r="Q214">
        <f>SUMIF(MICRO!AP:AP,O214,MICRO!AT:AT)</f>
        <v>0</v>
      </c>
      <c r="R214">
        <f>SUMIF(MICRO!AP:AP,O:O,MICRO!AU:AU)</f>
        <v>0</v>
      </c>
      <c r="V214" s="2"/>
    </row>
    <row r="215" spans="4:22" ht="18.75" thickBot="1" x14ac:dyDescent="0.3">
      <c r="D215" s="110" t="s">
        <v>629</v>
      </c>
      <c r="E215" s="111" t="e">
        <f>VLOOKUP(Tabela2[[#This Row],[TAG]],MICRO!J:L,3,0)</f>
        <v>#N/A</v>
      </c>
      <c r="F215" s="109" t="s">
        <v>33</v>
      </c>
      <c r="G215" s="58">
        <f>SUMIF(MICRO!AP:AP,O:O,MICRO!H:H)</f>
        <v>0</v>
      </c>
      <c r="H215" s="1">
        <f>SUMIF(MICRO!AP:AP,O:O,MICRO!R:R)</f>
        <v>0</v>
      </c>
      <c r="I215" s="1">
        <f>SUMIF(MICRO!AP:AP,O:O,MICRO!T:T)</f>
        <v>0</v>
      </c>
      <c r="J215" s="59">
        <f t="shared" si="30"/>
        <v>0</v>
      </c>
      <c r="K215" s="1">
        <f>SUMIF(MICRO!AP:AP,O:O,MICRO!X:X)</f>
        <v>0</v>
      </c>
      <c r="L215" s="59" t="str">
        <f t="shared" si="31"/>
        <v>0%</v>
      </c>
      <c r="M215" s="1">
        <f t="shared" si="32"/>
        <v>0</v>
      </c>
      <c r="N215" s="56" t="e">
        <f t="shared" si="33"/>
        <v>#N/A</v>
      </c>
      <c r="O215" s="56" t="e">
        <f t="shared" si="34"/>
        <v>#N/A</v>
      </c>
      <c r="P215" s="2">
        <f>SUMIF(MICRO!AP:AP,O215,MICRO!AS:AS)</f>
        <v>0</v>
      </c>
      <c r="Q215">
        <f>SUMIF(MICRO!AP:AP,O215,MICRO!AT:AT)</f>
        <v>0</v>
      </c>
      <c r="R215">
        <f>SUMIF(MICRO!AP:AP,O:O,MICRO!AU:AU)</f>
        <v>0</v>
      </c>
      <c r="V215" s="2"/>
    </row>
    <row r="216" spans="4:22" ht="18.75" thickBot="1" x14ac:dyDescent="0.3">
      <c r="D216" s="110" t="s">
        <v>585</v>
      </c>
      <c r="E216" s="111" t="e">
        <f>VLOOKUP(Tabela2[[#This Row],[TAG]],MICRO!J:L,3,0)</f>
        <v>#N/A</v>
      </c>
      <c r="F216" s="109" t="s">
        <v>33</v>
      </c>
      <c r="G216" s="58">
        <f>SUMIF(MICRO!AP:AP,O:O,MICRO!H:H)</f>
        <v>0</v>
      </c>
      <c r="H216" s="1">
        <f>SUMIF(MICRO!AP:AP,O:O,MICRO!R:R)</f>
        <v>0</v>
      </c>
      <c r="I216" s="1">
        <f>SUMIF(MICRO!AP:AP,O:O,MICRO!T:T)</f>
        <v>0</v>
      </c>
      <c r="J216" s="59">
        <f t="shared" si="30"/>
        <v>0</v>
      </c>
      <c r="K216" s="1">
        <f>SUMIF(MICRO!AP:AP,O:O,MICRO!X:X)</f>
        <v>0</v>
      </c>
      <c r="L216" s="59" t="str">
        <f t="shared" si="31"/>
        <v>0%</v>
      </c>
      <c r="M216" s="1">
        <f t="shared" si="32"/>
        <v>0</v>
      </c>
      <c r="N216" s="56" t="e">
        <f t="shared" si="33"/>
        <v>#N/A</v>
      </c>
      <c r="O216" s="56" t="e">
        <f t="shared" si="34"/>
        <v>#N/A</v>
      </c>
      <c r="P216" s="2">
        <f>SUMIF(MICRO!AP:AP,O216,MICRO!AS:AS)</f>
        <v>0</v>
      </c>
      <c r="Q216">
        <f>SUMIF(MICRO!AP:AP,O216,MICRO!AT:AT)</f>
        <v>0</v>
      </c>
      <c r="R216">
        <f>SUMIF(MICRO!AP:AP,O:O,MICRO!AU:AU)</f>
        <v>0</v>
      </c>
      <c r="V216" s="2"/>
    </row>
    <row r="217" spans="4:22" ht="18.75" thickBot="1" x14ac:dyDescent="0.3">
      <c r="D217" s="110" t="s">
        <v>589</v>
      </c>
      <c r="E217" s="111" t="e">
        <f>VLOOKUP(Tabela2[[#This Row],[TAG]],MICRO!J:L,3,0)</f>
        <v>#N/A</v>
      </c>
      <c r="F217" s="109" t="s">
        <v>33</v>
      </c>
      <c r="G217" s="112">
        <f>SUMIF(MICRO!AP:AP,O:O,MICRO!H:H)</f>
        <v>0</v>
      </c>
      <c r="H217" s="113">
        <f>SUMIF(MICRO!AP:AP,O:O,MICRO!R:R)</f>
        <v>0</v>
      </c>
      <c r="I217" s="113">
        <f>SUMIF(MICRO!AP:AP,O:O,MICRO!T:T)</f>
        <v>0</v>
      </c>
      <c r="J217" s="114">
        <f t="shared" si="30"/>
        <v>0</v>
      </c>
      <c r="K217" s="113">
        <f>SUMIF(MICRO!AP:AP,O:O,MICRO!X:X)</f>
        <v>0</v>
      </c>
      <c r="L217" s="114" t="str">
        <f t="shared" si="31"/>
        <v>0%</v>
      </c>
      <c r="M217" s="113">
        <f t="shared" si="32"/>
        <v>0</v>
      </c>
      <c r="N217" s="56" t="e">
        <f t="shared" si="33"/>
        <v>#N/A</v>
      </c>
      <c r="O217" s="56" t="e">
        <f t="shared" si="34"/>
        <v>#N/A</v>
      </c>
      <c r="P217" s="2">
        <f>SUMIF(MICRO!AP:AP,O217,MICRO!AS:AS)</f>
        <v>0</v>
      </c>
      <c r="Q217">
        <f>SUMIF(MICRO!AP:AP,O217,MICRO!AT:AT)</f>
        <v>0</v>
      </c>
      <c r="R217">
        <f>SUMIF(MICRO!AP:AP,O:O,MICRO!AU:AU)</f>
        <v>0</v>
      </c>
      <c r="V217" s="2"/>
    </row>
    <row r="218" spans="4:22" ht="18.75" thickBot="1" x14ac:dyDescent="0.3">
      <c r="D218" s="110" t="s">
        <v>682</v>
      </c>
      <c r="E218" s="111" t="e">
        <f>VLOOKUP(Tabela2[[#This Row],[TAG]],MICRO!J:L,3,0)</f>
        <v>#N/A</v>
      </c>
      <c r="F218" s="109" t="s">
        <v>23</v>
      </c>
      <c r="G218" s="112">
        <f>SUMIF(MICRO!AP:AP,O:O,MICRO!H:H)</f>
        <v>0</v>
      </c>
      <c r="H218" s="113">
        <f>SUMIF(MICRO!AP:AP,O:O,MICRO!R:R)</f>
        <v>0</v>
      </c>
      <c r="I218" s="113">
        <f>SUMIF(MICRO!AP:AP,O:O,MICRO!T:T)</f>
        <v>0</v>
      </c>
      <c r="J218" s="114">
        <f t="shared" ref="J218:J223" si="35">IF(G218 = 0,0,H218/G218)</f>
        <v>0</v>
      </c>
      <c r="K218" s="113">
        <f>SUMIF(MICRO!AP:AP,O:O,MICRO!X:X)</f>
        <v>0</v>
      </c>
      <c r="L218" s="114" t="str">
        <f t="shared" ref="L218:L223" si="36">IF(G218&lt;&gt;0,SUM(K218/G218*1),"0%")</f>
        <v>0%</v>
      </c>
      <c r="M218" s="113">
        <f t="shared" ref="M218:M223" si="37">G218-K218</f>
        <v>0</v>
      </c>
      <c r="N218" s="56" t="e">
        <f t="shared" ref="N218:N223" si="38">E218&amp;F218</f>
        <v>#N/A</v>
      </c>
      <c r="O218" s="56" t="e">
        <f t="shared" ref="O218:O223" si="39">D218&amp;E218&amp;F218</f>
        <v>#N/A</v>
      </c>
      <c r="P218" s="2">
        <f>SUMIF(MICRO!AP:AP,O218,MICRO!AS:AS)</f>
        <v>0</v>
      </c>
      <c r="Q218">
        <f>SUMIF(MICRO!AP:AP,O218,MICRO!AT:AT)</f>
        <v>0</v>
      </c>
      <c r="R218">
        <f>SUMIF(MICRO!AP:AP,O:O,MICRO!AU:AU)</f>
        <v>0</v>
      </c>
      <c r="V218" s="2"/>
    </row>
    <row r="219" spans="4:22" ht="18.75" thickBot="1" x14ac:dyDescent="0.3">
      <c r="D219" s="110" t="s">
        <v>686</v>
      </c>
      <c r="E219" s="111" t="e">
        <f>VLOOKUP(Tabela2[[#This Row],[TAG]],MICRO!J:L,3,0)</f>
        <v>#N/A</v>
      </c>
      <c r="F219" s="109" t="s">
        <v>23</v>
      </c>
      <c r="G219" s="112">
        <f>SUMIF(MICRO!AP:AP,O:O,MICRO!H:H)</f>
        <v>0</v>
      </c>
      <c r="H219" s="113">
        <f>SUMIF(MICRO!AP:AP,O:O,MICRO!R:R)</f>
        <v>0</v>
      </c>
      <c r="I219" s="113">
        <f>SUMIF(MICRO!AP:AP,O:O,MICRO!T:T)</f>
        <v>0</v>
      </c>
      <c r="J219" s="114">
        <f t="shared" si="35"/>
        <v>0</v>
      </c>
      <c r="K219" s="113">
        <f>SUMIF(MICRO!AP:AP,O:O,MICRO!X:X)</f>
        <v>0</v>
      </c>
      <c r="L219" s="114" t="str">
        <f t="shared" si="36"/>
        <v>0%</v>
      </c>
      <c r="M219" s="113">
        <f t="shared" si="37"/>
        <v>0</v>
      </c>
      <c r="N219" s="56" t="e">
        <f t="shared" si="38"/>
        <v>#N/A</v>
      </c>
      <c r="O219" s="56" t="e">
        <f t="shared" si="39"/>
        <v>#N/A</v>
      </c>
      <c r="P219" s="2">
        <f>SUMIF(MICRO!AP:AP,O219,MICRO!AS:AS)</f>
        <v>0</v>
      </c>
      <c r="Q219">
        <f>SUMIF(MICRO!AP:AP,O219,MICRO!AT:AT)</f>
        <v>0</v>
      </c>
      <c r="R219">
        <f>SUMIF(MICRO!AP:AP,O:O,MICRO!AU:AU)</f>
        <v>0</v>
      </c>
      <c r="V219" s="2"/>
    </row>
    <row r="220" spans="4:22" ht="18.75" thickBot="1" x14ac:dyDescent="0.3">
      <c r="D220" s="110" t="s">
        <v>678</v>
      </c>
      <c r="E220" s="111" t="e">
        <f>VLOOKUP(Tabela2[[#This Row],[TAG]],MICRO!J:L,3,0)</f>
        <v>#N/A</v>
      </c>
      <c r="F220" s="109" t="s">
        <v>23</v>
      </c>
      <c r="G220" s="112">
        <f>SUMIF(MICRO!AP:AP,O:O,MICRO!H:H)</f>
        <v>0</v>
      </c>
      <c r="H220" s="113">
        <f>SUMIF(MICRO!AP:AP,O:O,MICRO!R:R)</f>
        <v>0</v>
      </c>
      <c r="I220" s="113">
        <f>SUMIF(MICRO!AP:AP,O:O,MICRO!T:T)</f>
        <v>0</v>
      </c>
      <c r="J220" s="114">
        <f t="shared" si="35"/>
        <v>0</v>
      </c>
      <c r="K220" s="113">
        <f>SUMIF(MICRO!AP:AP,O:O,MICRO!X:X)</f>
        <v>0</v>
      </c>
      <c r="L220" s="114" t="str">
        <f t="shared" si="36"/>
        <v>0%</v>
      </c>
      <c r="M220" s="113">
        <f t="shared" si="37"/>
        <v>0</v>
      </c>
      <c r="N220" s="56" t="e">
        <f t="shared" si="38"/>
        <v>#N/A</v>
      </c>
      <c r="O220" s="56" t="e">
        <f t="shared" si="39"/>
        <v>#N/A</v>
      </c>
      <c r="P220" s="2">
        <f>SUMIF(MICRO!AP:AP,O220,MICRO!AS:AS)</f>
        <v>0</v>
      </c>
      <c r="Q220">
        <f>SUMIF(MICRO!AP:AP,O220,MICRO!AT:AT)</f>
        <v>0</v>
      </c>
      <c r="R220">
        <f>SUMIF(MICRO!AP:AP,O:O,MICRO!AU:AU)</f>
        <v>0</v>
      </c>
      <c r="V220" s="2"/>
    </row>
    <row r="221" spans="4:22" ht="18.75" thickBot="1" x14ac:dyDescent="0.3">
      <c r="D221" s="110" t="s">
        <v>551</v>
      </c>
      <c r="E221" s="111" t="e">
        <f>VLOOKUP(Tabela2[[#This Row],[TAG]],MICRO!J:L,3,0)</f>
        <v>#N/A</v>
      </c>
      <c r="F221" s="109" t="s">
        <v>33</v>
      </c>
      <c r="G221" s="112">
        <f>SUMIF(MICRO!AP:AP,O:O,MICRO!H:H)</f>
        <v>0</v>
      </c>
      <c r="H221" s="113">
        <f>SUMIF(MICRO!AP:AP,O:O,MICRO!R:R)</f>
        <v>0</v>
      </c>
      <c r="I221" s="113">
        <f>SUMIF(MICRO!AP:AP,O:O,MICRO!T:T)</f>
        <v>0</v>
      </c>
      <c r="J221" s="114">
        <f t="shared" si="35"/>
        <v>0</v>
      </c>
      <c r="K221" s="113">
        <f>SUMIF(MICRO!AP:AP,O:O,MICRO!X:X)</f>
        <v>0</v>
      </c>
      <c r="L221" s="114" t="str">
        <f t="shared" si="36"/>
        <v>0%</v>
      </c>
      <c r="M221" s="113">
        <f t="shared" si="37"/>
        <v>0</v>
      </c>
      <c r="N221" s="56" t="e">
        <f t="shared" si="38"/>
        <v>#N/A</v>
      </c>
      <c r="O221" s="56" t="e">
        <f t="shared" si="39"/>
        <v>#N/A</v>
      </c>
      <c r="P221" s="2">
        <f>SUMIF(MICRO!AP:AP,O221,MICRO!AS:AS)</f>
        <v>0</v>
      </c>
      <c r="Q221">
        <f>SUMIF(MICRO!AP:AP,O221,MICRO!AT:AT)</f>
        <v>0</v>
      </c>
      <c r="R221">
        <f>SUMIF(MICRO!AP:AP,O:O,MICRO!AU:AU)</f>
        <v>0</v>
      </c>
      <c r="V221" s="2"/>
    </row>
    <row r="222" spans="4:22" ht="18.75" thickBot="1" x14ac:dyDescent="0.3">
      <c r="D222" s="110" t="s">
        <v>679</v>
      </c>
      <c r="E222" s="111" t="e">
        <f>VLOOKUP(Tabela2[[#This Row],[TAG]],MICRO!J:L,3,0)</f>
        <v>#N/A</v>
      </c>
      <c r="F222" s="44" t="s">
        <v>22</v>
      </c>
      <c r="G222" s="112">
        <f>SUMIF(MICRO!AP:AP,O:O,MICRO!H:H)</f>
        <v>0</v>
      </c>
      <c r="H222" s="113">
        <f>SUMIF(MICRO!AP:AP,O:O,MICRO!R:R)</f>
        <v>0</v>
      </c>
      <c r="I222" s="113">
        <f>SUMIF(MICRO!AP:AP,O:O,MICRO!T:T)</f>
        <v>0</v>
      </c>
      <c r="J222" s="114">
        <f t="shared" si="35"/>
        <v>0</v>
      </c>
      <c r="K222" s="113">
        <f>SUMIF(MICRO!AP:AP,O:O,MICRO!X:X)</f>
        <v>0</v>
      </c>
      <c r="L222" s="114" t="str">
        <f t="shared" si="36"/>
        <v>0%</v>
      </c>
      <c r="M222" s="113">
        <f t="shared" si="37"/>
        <v>0</v>
      </c>
      <c r="N222" s="56" t="e">
        <f t="shared" si="38"/>
        <v>#N/A</v>
      </c>
      <c r="O222" s="56" t="e">
        <f t="shared" si="39"/>
        <v>#N/A</v>
      </c>
      <c r="P222" s="2">
        <f>SUMIF(MICRO!AP:AP,O222,MICRO!AS:AS)</f>
        <v>0</v>
      </c>
      <c r="Q222">
        <f>SUMIF(MICRO!AP:AP,O222,MICRO!AT:AT)</f>
        <v>0</v>
      </c>
      <c r="R222">
        <f>SUMIF(MICRO!AP:AP,O:O,MICRO!AU:AU)</f>
        <v>0</v>
      </c>
      <c r="V222" s="2"/>
    </row>
    <row r="223" spans="4:22" ht="18.75" thickBot="1" x14ac:dyDescent="0.3">
      <c r="D223" s="110" t="s">
        <v>652</v>
      </c>
      <c r="E223" s="111" t="e">
        <f>VLOOKUP(Tabela2[[#This Row],[TAG]],MICRO!J:L,3,0)</f>
        <v>#N/A</v>
      </c>
      <c r="F223" s="109" t="s">
        <v>23</v>
      </c>
      <c r="G223" s="112">
        <f>SUMIF(MICRO!AP:AP,O:O,MICRO!H:H)</f>
        <v>0</v>
      </c>
      <c r="H223" s="113">
        <f>SUMIF(MICRO!AP:AP,O:O,MICRO!R:R)</f>
        <v>0</v>
      </c>
      <c r="I223" s="113">
        <f>SUMIF(MICRO!AP:AP,O:O,MICRO!T:T)</f>
        <v>0</v>
      </c>
      <c r="J223" s="114">
        <f t="shared" si="35"/>
        <v>0</v>
      </c>
      <c r="K223" s="113">
        <f>SUMIF(MICRO!AP:AP,O:O,MICRO!X:X)</f>
        <v>0</v>
      </c>
      <c r="L223" s="114" t="str">
        <f t="shared" si="36"/>
        <v>0%</v>
      </c>
      <c r="M223" s="113">
        <f t="shared" si="37"/>
        <v>0</v>
      </c>
      <c r="N223" s="56" t="e">
        <f t="shared" si="38"/>
        <v>#N/A</v>
      </c>
      <c r="O223" s="56" t="e">
        <f t="shared" si="39"/>
        <v>#N/A</v>
      </c>
      <c r="P223" s="2">
        <f>SUMIF(MICRO!AP:AP,O223,MICRO!AS:AS)</f>
        <v>0</v>
      </c>
      <c r="Q223">
        <f>SUMIF(MICRO!AP:AP,O223,MICRO!AT:AT)</f>
        <v>0</v>
      </c>
      <c r="R223">
        <f>SUMIF(MICRO!AP:AP,O:O,MICRO!AU:AU)</f>
        <v>0</v>
      </c>
      <c r="V223" s="2"/>
    </row>
    <row r="224" spans="4:22" ht="18.75" thickBot="1" x14ac:dyDescent="0.3">
      <c r="D224" s="61" t="s">
        <v>423</v>
      </c>
      <c r="E224" s="111" t="e">
        <f>VLOOKUP(Tabela2[[#This Row],[TAG]],MICRO!J:L,3,0)</f>
        <v>#N/A</v>
      </c>
      <c r="F224" s="109" t="s">
        <v>23</v>
      </c>
      <c r="G224" s="58">
        <f>SUMIF(MICRO!AP:AP,O:O,MICRO!H:H)</f>
        <v>0</v>
      </c>
      <c r="H224" s="1">
        <f>SUMIF(MICRO!AP:AP,O:O,MICRO!R:R)</f>
        <v>0</v>
      </c>
      <c r="I224" s="1">
        <f>SUMIF(MICRO!AP:AP,O:O,MICRO!T:T)</f>
        <v>0</v>
      </c>
      <c r="J224" s="59">
        <f t="shared" ref="J224:J228" si="40">IF(G224 = 0,0,H224/G224)</f>
        <v>0</v>
      </c>
      <c r="K224" s="1">
        <f>SUMIF(MICRO!AP:AP,O:O,MICRO!X:X)</f>
        <v>0</v>
      </c>
      <c r="L224" s="59" t="str">
        <f t="shared" ref="L224:L228" si="41">IF(G224&lt;&gt;0,SUM(K224/G224*1),"0%")</f>
        <v>0%</v>
      </c>
      <c r="M224" s="1">
        <f t="shared" ref="M224:M228" si="42">G224-K224</f>
        <v>0</v>
      </c>
      <c r="N224" s="56" t="e">
        <f t="shared" ref="N224:N228" si="43">E224&amp;F224</f>
        <v>#N/A</v>
      </c>
      <c r="O224" s="56" t="e">
        <f t="shared" ref="O224:O228" si="44">D224&amp;E224&amp;F224</f>
        <v>#N/A</v>
      </c>
      <c r="P224" s="2">
        <f>SUMIF(MICRO!AP:AP,O224,MICRO!AS:AS)</f>
        <v>0</v>
      </c>
      <c r="Q224">
        <f>SUMIF(MICRO!AP:AP,O224,MICRO!AT:AT)</f>
        <v>0</v>
      </c>
      <c r="R224">
        <f>SUMIF(MICRO!AP:AP,O:O,MICRO!AU:AU)</f>
        <v>0</v>
      </c>
      <c r="V224" s="2"/>
    </row>
    <row r="225" spans="4:22" ht="18.75" thickBot="1" x14ac:dyDescent="0.3">
      <c r="D225" s="61" t="s">
        <v>424</v>
      </c>
      <c r="E225" s="111" t="e">
        <f>VLOOKUP(Tabela2[[#This Row],[TAG]],MICRO!J:L,3,0)</f>
        <v>#N/A</v>
      </c>
      <c r="F225" s="109" t="s">
        <v>23</v>
      </c>
      <c r="G225" s="58">
        <f>SUMIF(MICRO!AP:AP,O:O,MICRO!H:H)</f>
        <v>0</v>
      </c>
      <c r="H225" s="1">
        <f>SUMIF(MICRO!AP:AP,O:O,MICRO!R:R)</f>
        <v>0</v>
      </c>
      <c r="I225" s="1">
        <f>SUMIF(MICRO!AP:AP,O:O,MICRO!T:T)</f>
        <v>0</v>
      </c>
      <c r="J225" s="59">
        <f t="shared" si="40"/>
        <v>0</v>
      </c>
      <c r="K225" s="1">
        <f>SUMIF(MICRO!AP:AP,O:O,MICRO!X:X)</f>
        <v>0</v>
      </c>
      <c r="L225" s="59" t="str">
        <f t="shared" si="41"/>
        <v>0%</v>
      </c>
      <c r="M225" s="1">
        <f t="shared" si="42"/>
        <v>0</v>
      </c>
      <c r="N225" s="56" t="e">
        <f t="shared" si="43"/>
        <v>#N/A</v>
      </c>
      <c r="O225" s="56" t="e">
        <f t="shared" si="44"/>
        <v>#N/A</v>
      </c>
      <c r="P225" s="2">
        <f>SUMIF(MICRO!AP:AP,O225,MICRO!AS:AS)</f>
        <v>0</v>
      </c>
      <c r="Q225">
        <f>SUMIF(MICRO!AP:AP,O225,MICRO!AT:AT)</f>
        <v>0</v>
      </c>
      <c r="R225">
        <f>SUMIF(MICRO!AP:AP,O:O,MICRO!AU:AU)</f>
        <v>0</v>
      </c>
      <c r="V225" s="2"/>
    </row>
    <row r="226" spans="4:22" ht="18.75" thickBot="1" x14ac:dyDescent="0.3">
      <c r="D226" s="110" t="s">
        <v>425</v>
      </c>
      <c r="E226" s="111" t="e">
        <f>VLOOKUP(Tabela2[[#This Row],[TAG]],MICRO!J:L,3,0)</f>
        <v>#N/A</v>
      </c>
      <c r="F226" s="109" t="s">
        <v>23</v>
      </c>
      <c r="G226" s="58">
        <f>SUMIF(MICRO!AP:AP,O:O,MICRO!H:H)</f>
        <v>0</v>
      </c>
      <c r="H226" s="1">
        <f>SUMIF(MICRO!AP:AP,O:O,MICRO!R:R)</f>
        <v>0</v>
      </c>
      <c r="I226" s="1">
        <f>SUMIF(MICRO!AP:AP,O:O,MICRO!T:T)</f>
        <v>0</v>
      </c>
      <c r="J226" s="59">
        <f t="shared" si="40"/>
        <v>0</v>
      </c>
      <c r="K226" s="1">
        <f>SUMIF(MICRO!AP:AP,O:O,MICRO!X:X)</f>
        <v>0</v>
      </c>
      <c r="L226" s="59" t="str">
        <f t="shared" si="41"/>
        <v>0%</v>
      </c>
      <c r="M226" s="1">
        <f t="shared" si="42"/>
        <v>0</v>
      </c>
      <c r="N226" s="56" t="e">
        <f t="shared" si="43"/>
        <v>#N/A</v>
      </c>
      <c r="O226" s="56" t="e">
        <f t="shared" si="44"/>
        <v>#N/A</v>
      </c>
      <c r="P226" s="2">
        <f>SUMIF(MICRO!AP:AP,O226,MICRO!AS:AS)</f>
        <v>0</v>
      </c>
      <c r="Q226">
        <f>SUMIF(MICRO!AP:AP,O226,MICRO!AT:AT)</f>
        <v>0</v>
      </c>
      <c r="R226">
        <f>SUMIF(MICRO!AP:AP,O:O,MICRO!AU:AU)</f>
        <v>0</v>
      </c>
      <c r="V226" s="2"/>
    </row>
    <row r="227" spans="4:22" ht="18.75" thickBot="1" x14ac:dyDescent="0.3">
      <c r="D227" s="110" t="s">
        <v>426</v>
      </c>
      <c r="E227" s="111" t="e">
        <f>VLOOKUP(Tabela2[[#This Row],[TAG]],MICRO!J:L,3,0)</f>
        <v>#N/A</v>
      </c>
      <c r="F227" s="109" t="s">
        <v>23</v>
      </c>
      <c r="G227" s="58">
        <f>SUMIF(MICRO!AP:AP,O:O,MICRO!H:H)</f>
        <v>0</v>
      </c>
      <c r="H227" s="1">
        <f>SUMIF(MICRO!AP:AP,O:O,MICRO!R:R)</f>
        <v>0</v>
      </c>
      <c r="I227" s="1">
        <f>SUMIF(MICRO!AP:AP,O:O,MICRO!T:T)</f>
        <v>0</v>
      </c>
      <c r="J227" s="59">
        <f t="shared" si="40"/>
        <v>0</v>
      </c>
      <c r="K227" s="1">
        <f>SUMIF(MICRO!AP:AP,O:O,MICRO!X:X)</f>
        <v>0</v>
      </c>
      <c r="L227" s="59" t="str">
        <f t="shared" si="41"/>
        <v>0%</v>
      </c>
      <c r="M227" s="1">
        <f t="shared" si="42"/>
        <v>0</v>
      </c>
      <c r="N227" s="56" t="e">
        <f t="shared" si="43"/>
        <v>#N/A</v>
      </c>
      <c r="O227" s="56" t="e">
        <f t="shared" si="44"/>
        <v>#N/A</v>
      </c>
      <c r="P227" s="2">
        <f>SUMIF(MICRO!AP:AP,O227,MICRO!AS:AS)</f>
        <v>0</v>
      </c>
      <c r="Q227">
        <f>SUMIF(MICRO!AP:AP,O227,MICRO!AT:AT)</f>
        <v>0</v>
      </c>
      <c r="R227">
        <f>SUMIF(MICRO!AP:AP,O:O,MICRO!AU:AU)</f>
        <v>0</v>
      </c>
      <c r="V227" s="2"/>
    </row>
    <row r="228" spans="4:22" ht="18.75" thickBot="1" x14ac:dyDescent="0.3">
      <c r="D228" s="110" t="s">
        <v>427</v>
      </c>
      <c r="E228" s="111" t="e">
        <f>VLOOKUP(Tabela2[[#This Row],[TAG]],MICRO!J:L,3,0)</f>
        <v>#N/A</v>
      </c>
      <c r="F228" s="109" t="s">
        <v>23</v>
      </c>
      <c r="G228" s="112">
        <f>SUMIF(MICRO!AP:AP,O:O,MICRO!H:H)</f>
        <v>0</v>
      </c>
      <c r="H228" s="113">
        <f>SUMIF(MICRO!AP:AP,O:O,MICRO!R:R)</f>
        <v>0</v>
      </c>
      <c r="I228" s="113">
        <f>SUMIF(MICRO!AP:AP,O:O,MICRO!T:T)</f>
        <v>0</v>
      </c>
      <c r="J228" s="114">
        <f t="shared" si="40"/>
        <v>0</v>
      </c>
      <c r="K228" s="113">
        <f>SUMIF(MICRO!AP:AP,O:O,MICRO!X:X)</f>
        <v>0</v>
      </c>
      <c r="L228" s="114" t="str">
        <f t="shared" si="41"/>
        <v>0%</v>
      </c>
      <c r="M228" s="113">
        <f t="shared" si="42"/>
        <v>0</v>
      </c>
      <c r="N228" s="56" t="e">
        <f t="shared" si="43"/>
        <v>#N/A</v>
      </c>
      <c r="O228" s="56" t="e">
        <f t="shared" si="44"/>
        <v>#N/A</v>
      </c>
      <c r="P228" s="2">
        <f>SUMIF(MICRO!AP:AP,O228,MICRO!AS:AS)</f>
        <v>0</v>
      </c>
      <c r="Q228">
        <f>SUMIF(MICRO!AP:AP,O228,MICRO!AT:AT)</f>
        <v>0</v>
      </c>
      <c r="R228">
        <f>SUMIF(MICRO!AP:AP,O:O,MICRO!AU:AU)</f>
        <v>0</v>
      </c>
      <c r="V228" s="2"/>
    </row>
    <row r="229" spans="4:22" ht="18.75" thickBot="1" x14ac:dyDescent="0.3">
      <c r="D229" s="61" t="s">
        <v>423</v>
      </c>
      <c r="E229" s="111" t="e">
        <f>VLOOKUP(Tabela2[[#This Row],[TAG]],MICRO!J:L,3,0)</f>
        <v>#N/A</v>
      </c>
      <c r="F229" s="109" t="s">
        <v>32</v>
      </c>
      <c r="G229" s="58">
        <f>SUMIF(MICRO!AP:AP,O:O,MICRO!H:H)</f>
        <v>0</v>
      </c>
      <c r="H229" s="1">
        <f>SUMIF(MICRO!AP:AP,O:O,MICRO!R:R)</f>
        <v>0</v>
      </c>
      <c r="I229" s="1">
        <f>SUMIF(MICRO!AP:AP,O:O,MICRO!T:T)</f>
        <v>0</v>
      </c>
      <c r="J229" s="59">
        <f t="shared" ref="J229:J233" si="45">IF(G229 = 0,0,H229/G229)</f>
        <v>0</v>
      </c>
      <c r="K229" s="113">
        <f>SUMIF(MICRO!AP:AP,O:O,MICRO!X:X)</f>
        <v>0</v>
      </c>
      <c r="L229" s="59" t="str">
        <f t="shared" ref="L229:L233" si="46">IF(G229&lt;&gt;0,SUM(K229/G229*1),"0%")</f>
        <v>0%</v>
      </c>
      <c r="M229" s="1">
        <f t="shared" ref="M229:M233" si="47">G229-K229</f>
        <v>0</v>
      </c>
      <c r="N229" s="56" t="e">
        <f t="shared" ref="N229:N233" si="48">E229&amp;F229</f>
        <v>#N/A</v>
      </c>
      <c r="O229" s="56" t="e">
        <f t="shared" ref="O229:O233" si="49">D229&amp;E229&amp;F229</f>
        <v>#N/A</v>
      </c>
      <c r="P229" s="2">
        <f>SUMIF(MICRO!AP:AP,O229,MICRO!AS:AS)</f>
        <v>0</v>
      </c>
      <c r="Q229">
        <f>SUMIF(MICRO!AP:AP,O229,MICRO!AT:AT)</f>
        <v>0</v>
      </c>
      <c r="R229">
        <f>SUMIF(MICRO!AP:AP,O:O,MICRO!AU:AU)</f>
        <v>0</v>
      </c>
      <c r="V229" s="2"/>
    </row>
    <row r="230" spans="4:22" ht="18.75" thickBot="1" x14ac:dyDescent="0.3">
      <c r="D230" s="61" t="s">
        <v>424</v>
      </c>
      <c r="E230" s="111" t="e">
        <f>VLOOKUP(Tabela2[[#This Row],[TAG]],MICRO!J:L,3,0)</f>
        <v>#N/A</v>
      </c>
      <c r="F230" s="109" t="s">
        <v>32</v>
      </c>
      <c r="G230" s="58">
        <f>SUMIF(MICRO!AP:AP,O:O,MICRO!H:H)</f>
        <v>0</v>
      </c>
      <c r="H230" s="1">
        <f>SUMIF(MICRO!AP:AP,O:O,MICRO!R:R)</f>
        <v>0</v>
      </c>
      <c r="I230" s="1">
        <f>SUMIF(MICRO!AP:AP,O:O,MICRO!T:T)</f>
        <v>0</v>
      </c>
      <c r="J230" s="59">
        <f t="shared" si="45"/>
        <v>0</v>
      </c>
      <c r="K230" s="113">
        <f>SUMIF(MICRO!AP:AP,O:O,MICRO!X:X)</f>
        <v>0</v>
      </c>
      <c r="L230" s="59" t="str">
        <f t="shared" si="46"/>
        <v>0%</v>
      </c>
      <c r="M230" s="1">
        <f t="shared" si="47"/>
        <v>0</v>
      </c>
      <c r="N230" s="56" t="e">
        <f t="shared" si="48"/>
        <v>#N/A</v>
      </c>
      <c r="O230" s="56" t="e">
        <f t="shared" si="49"/>
        <v>#N/A</v>
      </c>
      <c r="P230" s="2">
        <f>SUMIF(MICRO!AP:AP,O230,MICRO!AS:AS)</f>
        <v>0</v>
      </c>
      <c r="Q230">
        <f>SUMIF(MICRO!AP:AP,O230,MICRO!AT:AT)</f>
        <v>0</v>
      </c>
      <c r="R230">
        <f>SUMIF(MICRO!AP:AP,O:O,MICRO!AU:AU)</f>
        <v>0</v>
      </c>
      <c r="V230" s="2"/>
    </row>
    <row r="231" spans="4:22" ht="18.75" thickBot="1" x14ac:dyDescent="0.3">
      <c r="D231" s="110" t="s">
        <v>425</v>
      </c>
      <c r="E231" s="111" t="e">
        <f>VLOOKUP(Tabela2[[#This Row],[TAG]],MICRO!J:L,3,0)</f>
        <v>#N/A</v>
      </c>
      <c r="F231" s="109" t="s">
        <v>32</v>
      </c>
      <c r="G231" s="58">
        <f>SUMIF(MICRO!AP:AP,O:O,MICRO!H:H)</f>
        <v>0</v>
      </c>
      <c r="H231" s="1">
        <f>SUMIF(MICRO!AP:AP,O:O,MICRO!R:R)</f>
        <v>0</v>
      </c>
      <c r="I231" s="1">
        <f>SUMIF(MICRO!AP:AP,O:O,MICRO!T:T)</f>
        <v>0</v>
      </c>
      <c r="J231" s="59">
        <f t="shared" si="45"/>
        <v>0</v>
      </c>
      <c r="K231" s="113">
        <f>SUMIF(MICRO!AP:AP,O:O,MICRO!X:X)</f>
        <v>0</v>
      </c>
      <c r="L231" s="59" t="str">
        <f t="shared" si="46"/>
        <v>0%</v>
      </c>
      <c r="M231" s="1">
        <f t="shared" si="47"/>
        <v>0</v>
      </c>
      <c r="N231" s="56" t="e">
        <f t="shared" si="48"/>
        <v>#N/A</v>
      </c>
      <c r="O231" s="56" t="e">
        <f t="shared" si="49"/>
        <v>#N/A</v>
      </c>
      <c r="P231" s="2">
        <f>SUMIF(MICRO!AP:AP,O231,MICRO!AS:AS)</f>
        <v>0</v>
      </c>
      <c r="Q231">
        <f>SUMIF(MICRO!AP:AP,O231,MICRO!AT:AT)</f>
        <v>0</v>
      </c>
      <c r="R231">
        <f>SUMIF(MICRO!AP:AP,O:O,MICRO!AU:AU)</f>
        <v>0</v>
      </c>
      <c r="V231" s="2"/>
    </row>
    <row r="232" spans="4:22" ht="18.75" thickBot="1" x14ac:dyDescent="0.3">
      <c r="D232" s="110" t="s">
        <v>426</v>
      </c>
      <c r="E232" s="111" t="e">
        <f>VLOOKUP(Tabela2[[#This Row],[TAG]],MICRO!J:L,3,0)</f>
        <v>#N/A</v>
      </c>
      <c r="F232" s="109" t="s">
        <v>32</v>
      </c>
      <c r="G232" s="58">
        <f>SUMIF(MICRO!AP:AP,O:O,MICRO!H:H)</f>
        <v>0</v>
      </c>
      <c r="H232" s="1">
        <f>SUMIF(MICRO!AP:AP,O:O,MICRO!R:R)</f>
        <v>0</v>
      </c>
      <c r="I232" s="1">
        <f>SUMIF(MICRO!AP:AP,O:O,MICRO!T:T)</f>
        <v>0</v>
      </c>
      <c r="J232" s="59">
        <f t="shared" si="45"/>
        <v>0</v>
      </c>
      <c r="K232" s="113">
        <f>SUMIF(MICRO!AP:AP,O:O,MICRO!X:X)</f>
        <v>0</v>
      </c>
      <c r="L232" s="59" t="str">
        <f t="shared" si="46"/>
        <v>0%</v>
      </c>
      <c r="M232" s="1">
        <f t="shared" si="47"/>
        <v>0</v>
      </c>
      <c r="N232" s="56" t="e">
        <f t="shared" si="48"/>
        <v>#N/A</v>
      </c>
      <c r="O232" s="56" t="e">
        <f t="shared" si="49"/>
        <v>#N/A</v>
      </c>
      <c r="P232" s="2">
        <f>SUMIF(MICRO!AP:AP,O232,MICRO!AS:AS)</f>
        <v>0</v>
      </c>
      <c r="Q232">
        <f>SUMIF(MICRO!AP:AP,O232,MICRO!AT:AT)</f>
        <v>0</v>
      </c>
      <c r="R232">
        <f>SUMIF(MICRO!AP:AP,O:O,MICRO!AU:AU)</f>
        <v>0</v>
      </c>
      <c r="V232" s="2"/>
    </row>
    <row r="233" spans="4:22" ht="18.75" thickBot="1" x14ac:dyDescent="0.3">
      <c r="D233" s="110" t="s">
        <v>427</v>
      </c>
      <c r="E233" s="111" t="e">
        <f>VLOOKUP(Tabela2[[#This Row],[TAG]],MICRO!J:L,3,0)</f>
        <v>#N/A</v>
      </c>
      <c r="F233" s="109" t="s">
        <v>32</v>
      </c>
      <c r="G233" s="112">
        <f>SUMIF(MICRO!AP:AP,O:O,MICRO!H:H)</f>
        <v>0</v>
      </c>
      <c r="H233" s="113">
        <f>SUMIF(MICRO!AP:AP,O:O,MICRO!R:R)</f>
        <v>0</v>
      </c>
      <c r="I233" s="113">
        <f>SUMIF(MICRO!AP:AP,O:O,MICRO!T:T)</f>
        <v>0</v>
      </c>
      <c r="J233" s="114">
        <f t="shared" si="45"/>
        <v>0</v>
      </c>
      <c r="K233" s="113">
        <f>SUMIF(MICRO!AP:AP,O:O,MICRO!X:X)</f>
        <v>0</v>
      </c>
      <c r="L233" s="114" t="str">
        <f t="shared" si="46"/>
        <v>0%</v>
      </c>
      <c r="M233" s="113">
        <f t="shared" si="47"/>
        <v>0</v>
      </c>
      <c r="N233" s="56" t="e">
        <f t="shared" si="48"/>
        <v>#N/A</v>
      </c>
      <c r="O233" s="56" t="e">
        <f t="shared" si="49"/>
        <v>#N/A</v>
      </c>
      <c r="P233" s="2">
        <f>SUMIF(MICRO!AP:AP,O233,MICRO!AS:AS)</f>
        <v>0</v>
      </c>
      <c r="Q233">
        <f>SUMIF(MICRO!AP:AP,O233,MICRO!AT:AT)</f>
        <v>0</v>
      </c>
      <c r="R233">
        <f>SUMIF(MICRO!AP:AP,O:O,MICRO!AU:AU)</f>
        <v>0</v>
      </c>
      <c r="V233" s="2"/>
    </row>
    <row r="234" spans="4:22" ht="18.75" thickBot="1" x14ac:dyDescent="0.3">
      <c r="D234" s="61" t="s">
        <v>423</v>
      </c>
      <c r="E234" s="111" t="e">
        <f>VLOOKUP(Tabela2[[#This Row],[TAG]],MICRO!J:L,3,0)</f>
        <v>#N/A</v>
      </c>
      <c r="F234" s="109" t="s">
        <v>33</v>
      </c>
      <c r="G234" s="58">
        <f>SUMIF(MICRO!AP:AP,O:O,MICRO!H:H)</f>
        <v>0</v>
      </c>
      <c r="H234" s="1">
        <f>SUMIF(MICRO!AP:AP,O:O,MICRO!R:R)</f>
        <v>0</v>
      </c>
      <c r="I234" s="1">
        <f>SUMIF(MICRO!AP:AP,O:O,MICRO!T:T)</f>
        <v>0</v>
      </c>
      <c r="J234" s="59">
        <f t="shared" ref="J234:J238" si="50">IF(G234 = 0,0,H234/G234)</f>
        <v>0</v>
      </c>
      <c r="K234" s="1">
        <f>SUMIF(MICRO!AP:AP,O:O,MICRO!X:X)</f>
        <v>0</v>
      </c>
      <c r="L234" s="59" t="str">
        <f t="shared" ref="L234:L238" si="51">IF(G234&lt;&gt;0,SUM(K234/G234*1),"0%")</f>
        <v>0%</v>
      </c>
      <c r="M234" s="1">
        <f t="shared" ref="M234:M238" si="52">G234-K234</f>
        <v>0</v>
      </c>
      <c r="N234" s="56" t="e">
        <f t="shared" ref="N234:N238" si="53">E234&amp;F234</f>
        <v>#N/A</v>
      </c>
      <c r="O234" s="56" t="e">
        <f t="shared" ref="O234:O238" si="54">D234&amp;E234&amp;F234</f>
        <v>#N/A</v>
      </c>
      <c r="P234" s="2">
        <f>SUMIF(MICRO!AP:AP,O234,MICRO!AS:AS)</f>
        <v>0</v>
      </c>
      <c r="Q234">
        <f>SUMIF(MICRO!AP:AP,O234,MICRO!AT:AT)</f>
        <v>0</v>
      </c>
      <c r="R234">
        <f>SUMIF(MICRO!AP:AP,O:O,MICRO!AU:AU)</f>
        <v>0</v>
      </c>
      <c r="V234" s="2"/>
    </row>
    <row r="235" spans="4:22" ht="18.75" thickBot="1" x14ac:dyDescent="0.3">
      <c r="D235" s="61" t="s">
        <v>424</v>
      </c>
      <c r="E235" s="111" t="e">
        <f>VLOOKUP(Tabela2[[#This Row],[TAG]],MICRO!J:L,3,0)</f>
        <v>#N/A</v>
      </c>
      <c r="F235" s="109" t="s">
        <v>33</v>
      </c>
      <c r="G235" s="58">
        <f>SUMIF(MICRO!AP:AP,O:O,MICRO!H:H)</f>
        <v>0</v>
      </c>
      <c r="H235" s="1">
        <f>SUMIF(MICRO!AP:AP,O:O,MICRO!R:R)</f>
        <v>0</v>
      </c>
      <c r="I235" s="1">
        <f>SUMIF(MICRO!AP:AP,O:O,MICRO!T:T)</f>
        <v>0</v>
      </c>
      <c r="J235" s="59">
        <f t="shared" si="50"/>
        <v>0</v>
      </c>
      <c r="K235" s="1">
        <f>SUMIF(MICRO!AP:AP,O:O,MICRO!X:X)</f>
        <v>0</v>
      </c>
      <c r="L235" s="59" t="str">
        <f t="shared" si="51"/>
        <v>0%</v>
      </c>
      <c r="M235" s="1">
        <f t="shared" si="52"/>
        <v>0</v>
      </c>
      <c r="N235" s="56" t="e">
        <f t="shared" si="53"/>
        <v>#N/A</v>
      </c>
      <c r="O235" s="56" t="e">
        <f t="shared" si="54"/>
        <v>#N/A</v>
      </c>
      <c r="P235" s="2">
        <f>SUMIF(MICRO!AP:AP,O235,MICRO!AS:AS)</f>
        <v>0</v>
      </c>
      <c r="Q235">
        <f>SUMIF(MICRO!AP:AP,O235,MICRO!AT:AT)</f>
        <v>0</v>
      </c>
      <c r="R235">
        <f>SUMIF(MICRO!AP:AP,O:O,MICRO!AU:AU)</f>
        <v>0</v>
      </c>
      <c r="V235" s="2"/>
    </row>
    <row r="236" spans="4:22" ht="18.75" thickBot="1" x14ac:dyDescent="0.3">
      <c r="D236" s="110" t="s">
        <v>425</v>
      </c>
      <c r="E236" s="111" t="e">
        <f>VLOOKUP(Tabela2[[#This Row],[TAG]],MICRO!J:L,3,0)</f>
        <v>#N/A</v>
      </c>
      <c r="F236" s="109" t="s">
        <v>33</v>
      </c>
      <c r="G236" s="58">
        <f>SUMIF(MICRO!AP:AP,O:O,MICRO!H:H)</f>
        <v>0</v>
      </c>
      <c r="H236" s="1">
        <f>SUMIF(MICRO!AP:AP,O:O,MICRO!R:R)</f>
        <v>0</v>
      </c>
      <c r="I236" s="1">
        <f>SUMIF(MICRO!AP:AP,O:O,MICRO!T:T)</f>
        <v>0</v>
      </c>
      <c r="J236" s="59">
        <f t="shared" si="50"/>
        <v>0</v>
      </c>
      <c r="K236" s="1">
        <f>SUMIF(MICRO!AP:AP,O:O,MICRO!X:X)</f>
        <v>0</v>
      </c>
      <c r="L236" s="59" t="str">
        <f t="shared" si="51"/>
        <v>0%</v>
      </c>
      <c r="M236" s="1">
        <f t="shared" si="52"/>
        <v>0</v>
      </c>
      <c r="N236" s="56" t="e">
        <f t="shared" si="53"/>
        <v>#N/A</v>
      </c>
      <c r="O236" s="56" t="e">
        <f t="shared" si="54"/>
        <v>#N/A</v>
      </c>
      <c r="P236" s="2">
        <f>SUMIF(MICRO!AP:AP,O236,MICRO!AS:AS)</f>
        <v>0</v>
      </c>
      <c r="Q236">
        <f>SUMIF(MICRO!AP:AP,O236,MICRO!AT:AT)</f>
        <v>0</v>
      </c>
      <c r="R236">
        <f>SUMIF(MICRO!AP:AP,O:O,MICRO!AU:AU)</f>
        <v>0</v>
      </c>
      <c r="V236" s="2"/>
    </row>
    <row r="237" spans="4:22" ht="18.75" thickBot="1" x14ac:dyDescent="0.3">
      <c r="D237" s="110" t="s">
        <v>426</v>
      </c>
      <c r="E237" s="111" t="e">
        <f>VLOOKUP(Tabela2[[#This Row],[TAG]],MICRO!J:L,3,0)</f>
        <v>#N/A</v>
      </c>
      <c r="F237" s="109" t="s">
        <v>33</v>
      </c>
      <c r="G237" s="58">
        <f>SUMIF(MICRO!AP:AP,O:O,MICRO!H:H)</f>
        <v>0</v>
      </c>
      <c r="H237" s="1">
        <f>SUMIF(MICRO!AP:AP,O:O,MICRO!R:R)</f>
        <v>0</v>
      </c>
      <c r="I237" s="1">
        <f>SUMIF(MICRO!AP:AP,O:O,MICRO!T:T)</f>
        <v>0</v>
      </c>
      <c r="J237" s="59">
        <f t="shared" si="50"/>
        <v>0</v>
      </c>
      <c r="K237" s="1">
        <f>SUMIF(MICRO!AP:AP,O:O,MICRO!X:X)</f>
        <v>0</v>
      </c>
      <c r="L237" s="59" t="str">
        <f t="shared" si="51"/>
        <v>0%</v>
      </c>
      <c r="M237" s="1">
        <f t="shared" si="52"/>
        <v>0</v>
      </c>
      <c r="N237" s="56" t="e">
        <f t="shared" si="53"/>
        <v>#N/A</v>
      </c>
      <c r="O237" s="56" t="e">
        <f t="shared" si="54"/>
        <v>#N/A</v>
      </c>
      <c r="P237" s="2">
        <f>SUMIF(MICRO!AP:AP,O237,MICRO!AS:AS)</f>
        <v>0</v>
      </c>
      <c r="Q237">
        <f>SUMIF(MICRO!AP:AP,O237,MICRO!AT:AT)</f>
        <v>0</v>
      </c>
      <c r="R237">
        <f>SUMIF(MICRO!AP:AP,O:O,MICRO!AU:AU)</f>
        <v>0</v>
      </c>
      <c r="V237" s="2"/>
    </row>
    <row r="238" spans="4:22" ht="18.75" thickBot="1" x14ac:dyDescent="0.3">
      <c r="D238" s="110" t="s">
        <v>427</v>
      </c>
      <c r="E238" s="111" t="e">
        <f>VLOOKUP(Tabela2[[#This Row],[TAG]],MICRO!J:L,3,0)</f>
        <v>#N/A</v>
      </c>
      <c r="F238" s="109" t="s">
        <v>33</v>
      </c>
      <c r="G238" s="112">
        <f>SUMIF(MICRO!AP:AP,O:O,MICRO!H:H)</f>
        <v>0</v>
      </c>
      <c r="H238" s="113">
        <f>SUMIF(MICRO!AP:AP,O:O,MICRO!R:R)</f>
        <v>0</v>
      </c>
      <c r="I238" s="113">
        <f>SUMIF(MICRO!AP:AP,O:O,MICRO!T:T)</f>
        <v>0</v>
      </c>
      <c r="J238" s="114">
        <f t="shared" si="50"/>
        <v>0</v>
      </c>
      <c r="K238" s="113">
        <f>SUMIF(MICRO!AP:AP,O:O,MICRO!X:X)</f>
        <v>0</v>
      </c>
      <c r="L238" s="114" t="str">
        <f t="shared" si="51"/>
        <v>0%</v>
      </c>
      <c r="M238" s="113">
        <f t="shared" si="52"/>
        <v>0</v>
      </c>
      <c r="N238" s="56" t="e">
        <f t="shared" si="53"/>
        <v>#N/A</v>
      </c>
      <c r="O238" s="56" t="e">
        <f t="shared" si="54"/>
        <v>#N/A</v>
      </c>
      <c r="P238" s="2">
        <f>SUMIF(MICRO!AP:AP,O238,MICRO!AS:AS)</f>
        <v>0</v>
      </c>
      <c r="Q238">
        <f>SUMIF(MICRO!AP:AP,O238,MICRO!AT:AT)</f>
        <v>0</v>
      </c>
      <c r="R238">
        <f>SUMIF(MICRO!AP:AP,O:O,MICRO!AU:AU)</f>
        <v>0</v>
      </c>
      <c r="V238" s="2"/>
    </row>
    <row r="239" spans="4:22" ht="18.75" thickBot="1" x14ac:dyDescent="0.3">
      <c r="D239" s="61" t="s">
        <v>423</v>
      </c>
      <c r="E239" s="111" t="e">
        <f>VLOOKUP(Tabela2[[#This Row],[TAG]],MICRO!J:L,3,0)</f>
        <v>#N/A</v>
      </c>
      <c r="F239" s="109" t="s">
        <v>22</v>
      </c>
      <c r="G239" s="58">
        <f>SUMIF(MICRO!AP:AP,O:O,MICRO!H:H)</f>
        <v>0</v>
      </c>
      <c r="H239" s="1">
        <f>SUMIF(MICRO!AP:AP,O:O,MICRO!R:R)</f>
        <v>0</v>
      </c>
      <c r="I239" s="1">
        <f>SUMIF(MICRO!AP:AP,O:O,MICRO!T:T)</f>
        <v>0</v>
      </c>
      <c r="J239" s="59">
        <f t="shared" ref="J239:J243" si="55">IF(G239 = 0,0,H239/G239)</f>
        <v>0</v>
      </c>
      <c r="K239" s="1">
        <f>SUMIF(MICRO!AP:AP,O:O,MICRO!X:X)</f>
        <v>0</v>
      </c>
      <c r="L239" s="59" t="str">
        <f t="shared" ref="L239:L243" si="56">IF(G239&lt;&gt;0,SUM(K239/G239*1),"0%")</f>
        <v>0%</v>
      </c>
      <c r="M239" s="1">
        <f t="shared" ref="M239:M243" si="57">G239-K239</f>
        <v>0</v>
      </c>
      <c r="N239" s="56" t="e">
        <f t="shared" ref="N239:N243" si="58">E239&amp;F239</f>
        <v>#N/A</v>
      </c>
      <c r="O239" s="56" t="e">
        <f t="shared" ref="O239:O243" si="59">D239&amp;E239&amp;F239</f>
        <v>#N/A</v>
      </c>
      <c r="P239" s="2">
        <f>SUMIF(MICRO!AP:AP,O239,MICRO!AS:AS)</f>
        <v>0</v>
      </c>
      <c r="Q239">
        <f>SUMIF(MICRO!AP:AP,O239,MICRO!AT:AT)</f>
        <v>0</v>
      </c>
      <c r="R239">
        <f>SUMIF(MICRO!AP:AP,O:O,MICRO!AU:AU)</f>
        <v>0</v>
      </c>
      <c r="V239" s="2"/>
    </row>
    <row r="240" spans="4:22" ht="18.75" thickBot="1" x14ac:dyDescent="0.3">
      <c r="D240" s="61" t="s">
        <v>424</v>
      </c>
      <c r="E240" s="111" t="e">
        <f>VLOOKUP(Tabela2[[#This Row],[TAG]],MICRO!J:L,3,0)</f>
        <v>#N/A</v>
      </c>
      <c r="F240" s="109" t="s">
        <v>22</v>
      </c>
      <c r="G240" s="58">
        <f>SUMIF(MICRO!AP:AP,O:O,MICRO!H:H)</f>
        <v>0</v>
      </c>
      <c r="H240" s="1">
        <f>SUMIF(MICRO!AP:AP,O:O,MICRO!R:R)</f>
        <v>0</v>
      </c>
      <c r="I240" s="1">
        <f>SUMIF(MICRO!AP:AP,O:O,MICRO!T:T)</f>
        <v>0</v>
      </c>
      <c r="J240" s="59">
        <f t="shared" si="55"/>
        <v>0</v>
      </c>
      <c r="K240" s="1">
        <f>SUMIF(MICRO!AP:AP,O:O,MICRO!X:X)</f>
        <v>0</v>
      </c>
      <c r="L240" s="59" t="str">
        <f t="shared" si="56"/>
        <v>0%</v>
      </c>
      <c r="M240" s="1">
        <f t="shared" si="57"/>
        <v>0</v>
      </c>
      <c r="N240" s="56" t="e">
        <f t="shared" si="58"/>
        <v>#N/A</v>
      </c>
      <c r="O240" s="56" t="e">
        <f t="shared" si="59"/>
        <v>#N/A</v>
      </c>
      <c r="P240" s="2">
        <f>SUMIF(MICRO!AP:AP,O240,MICRO!AS:AS)</f>
        <v>0</v>
      </c>
      <c r="Q240">
        <f>SUMIF(MICRO!AP:AP,O240,MICRO!AT:AT)</f>
        <v>0</v>
      </c>
      <c r="R240">
        <f>SUMIF(MICRO!AP:AP,O:O,MICRO!AU:AU)</f>
        <v>0</v>
      </c>
      <c r="V240" s="2"/>
    </row>
    <row r="241" spans="4:22" ht="18.75" thickBot="1" x14ac:dyDescent="0.3">
      <c r="D241" s="110" t="s">
        <v>425</v>
      </c>
      <c r="E241" s="111" t="e">
        <f>VLOOKUP(Tabela2[[#This Row],[TAG]],MICRO!J:L,3,0)</f>
        <v>#N/A</v>
      </c>
      <c r="F241" s="109" t="s">
        <v>22</v>
      </c>
      <c r="G241" s="58">
        <f>SUMIF(MICRO!AP:AP,O:O,MICRO!H:H)</f>
        <v>0</v>
      </c>
      <c r="H241" s="1">
        <f>SUMIF(MICRO!AP:AP,O:O,MICRO!R:R)</f>
        <v>0</v>
      </c>
      <c r="I241" s="1">
        <f>SUMIF(MICRO!AP:AP,O:O,MICRO!T:T)</f>
        <v>0</v>
      </c>
      <c r="J241" s="59">
        <f t="shared" si="55"/>
        <v>0</v>
      </c>
      <c r="K241" s="1">
        <f>SUMIF(MICRO!AP:AP,O:O,MICRO!X:X)</f>
        <v>0</v>
      </c>
      <c r="L241" s="59" t="str">
        <f t="shared" si="56"/>
        <v>0%</v>
      </c>
      <c r="M241" s="1">
        <f t="shared" si="57"/>
        <v>0</v>
      </c>
      <c r="N241" s="56" t="e">
        <f t="shared" si="58"/>
        <v>#N/A</v>
      </c>
      <c r="O241" s="56" t="e">
        <f t="shared" si="59"/>
        <v>#N/A</v>
      </c>
      <c r="P241" s="2">
        <f>SUMIF(MICRO!AP:AP,O241,MICRO!AS:AS)</f>
        <v>0</v>
      </c>
      <c r="Q241">
        <f>SUMIF(MICRO!AP:AP,O241,MICRO!AT:AT)</f>
        <v>0</v>
      </c>
      <c r="R241">
        <f>SUMIF(MICRO!AP:AP,O:O,MICRO!AU:AU)</f>
        <v>0</v>
      </c>
      <c r="V241" s="2"/>
    </row>
    <row r="242" spans="4:22" ht="18.75" thickBot="1" x14ac:dyDescent="0.3">
      <c r="D242" s="110" t="s">
        <v>426</v>
      </c>
      <c r="E242" s="111" t="e">
        <f>VLOOKUP(Tabela2[[#This Row],[TAG]],MICRO!J:L,3,0)</f>
        <v>#N/A</v>
      </c>
      <c r="F242" s="109" t="s">
        <v>22</v>
      </c>
      <c r="G242" s="58">
        <f>SUMIF(MICRO!AP:AP,O:O,MICRO!H:H)</f>
        <v>0</v>
      </c>
      <c r="H242" s="1">
        <f>SUMIF(MICRO!AP:AP,O:O,MICRO!R:R)</f>
        <v>0</v>
      </c>
      <c r="I242" s="1">
        <f>SUMIF(MICRO!AP:AP,O:O,MICRO!T:T)</f>
        <v>0</v>
      </c>
      <c r="J242" s="59">
        <f t="shared" si="55"/>
        <v>0</v>
      </c>
      <c r="K242" s="1">
        <f>SUMIF(MICRO!AP:AP,O:O,MICRO!X:X)</f>
        <v>0</v>
      </c>
      <c r="L242" s="59" t="str">
        <f t="shared" si="56"/>
        <v>0%</v>
      </c>
      <c r="M242" s="1">
        <f t="shared" si="57"/>
        <v>0</v>
      </c>
      <c r="N242" s="56" t="e">
        <f t="shared" si="58"/>
        <v>#N/A</v>
      </c>
      <c r="O242" s="56" t="e">
        <f t="shared" si="59"/>
        <v>#N/A</v>
      </c>
      <c r="P242" s="2">
        <f>SUMIF(MICRO!AP:AP,O242,MICRO!AS:AS)</f>
        <v>0</v>
      </c>
      <c r="Q242">
        <f>SUMIF(MICRO!AP:AP,O242,MICRO!AT:AT)</f>
        <v>0</v>
      </c>
      <c r="R242">
        <f>SUMIF(MICRO!AP:AP,O:O,MICRO!AU:AU)</f>
        <v>0</v>
      </c>
      <c r="V242" s="2"/>
    </row>
    <row r="243" spans="4:22" ht="18.75" thickBot="1" x14ac:dyDescent="0.3">
      <c r="D243" s="110" t="s">
        <v>427</v>
      </c>
      <c r="E243" s="111" t="e">
        <f>VLOOKUP(Tabela2[[#This Row],[TAG]],MICRO!J:L,3,0)</f>
        <v>#N/A</v>
      </c>
      <c r="F243" s="109" t="s">
        <v>22</v>
      </c>
      <c r="G243" s="112">
        <f>SUMIF(MICRO!AP:AP,O:O,MICRO!H:H)</f>
        <v>0</v>
      </c>
      <c r="H243" s="113">
        <f>SUMIF(MICRO!AP:AP,O:O,MICRO!R:R)</f>
        <v>0</v>
      </c>
      <c r="I243" s="113">
        <f>SUMIF(MICRO!AP:AP,O:O,MICRO!T:T)</f>
        <v>0</v>
      </c>
      <c r="J243" s="114">
        <f t="shared" si="55"/>
        <v>0</v>
      </c>
      <c r="K243" s="113">
        <f>SUMIF(MICRO!AP:AP,O:O,MICRO!X:X)</f>
        <v>0</v>
      </c>
      <c r="L243" s="114" t="str">
        <f t="shared" si="56"/>
        <v>0%</v>
      </c>
      <c r="M243" s="113">
        <f t="shared" si="57"/>
        <v>0</v>
      </c>
      <c r="N243" s="56" t="e">
        <f t="shared" si="58"/>
        <v>#N/A</v>
      </c>
      <c r="O243" s="56" t="e">
        <f t="shared" si="59"/>
        <v>#N/A</v>
      </c>
      <c r="P243" s="2">
        <f>SUMIF(MICRO!AP:AP,O243,MICRO!AS:AS)</f>
        <v>0</v>
      </c>
      <c r="Q243">
        <f>SUMIF(MICRO!AP:AP,O243,MICRO!AT:AT)</f>
        <v>0</v>
      </c>
      <c r="R243">
        <f>SUMIF(MICRO!AP:AP,O:O,MICRO!AU:AU)</f>
        <v>0</v>
      </c>
      <c r="V243" s="2"/>
    </row>
    <row r="244" spans="4:22" ht="18.75" thickBot="1" x14ac:dyDescent="0.3">
      <c r="D244" s="61" t="s">
        <v>423</v>
      </c>
      <c r="E244" s="111" t="e">
        <f>VLOOKUP(Tabela2[[#This Row],[TAG]],MICRO!J:L,3,0)</f>
        <v>#N/A</v>
      </c>
      <c r="F244" s="109" t="s">
        <v>44</v>
      </c>
      <c r="G244" s="58">
        <f>SUMIF(MICRO!AP:AP,O:O,MICRO!H:H)</f>
        <v>0</v>
      </c>
      <c r="H244" s="1">
        <f>SUMIF(MICRO!AP:AP,O:O,MICRO!R:R)</f>
        <v>0</v>
      </c>
      <c r="I244" s="1">
        <f>SUMIF(MICRO!AP:AP,O:O,MICRO!T:T)</f>
        <v>0</v>
      </c>
      <c r="J244" s="59">
        <f t="shared" ref="J244:J248" si="60">IF(G244 = 0,0,H244/G244)</f>
        <v>0</v>
      </c>
      <c r="K244" s="1">
        <f>SUMIF(MICRO!AP:AP,O:O,MICRO!X:X)</f>
        <v>0</v>
      </c>
      <c r="L244" s="59" t="str">
        <f t="shared" ref="L244:L248" si="61">IF(G244&lt;&gt;0,SUM(K244/G244*1),"0%")</f>
        <v>0%</v>
      </c>
      <c r="M244" s="1">
        <f t="shared" ref="M244:M248" si="62">G244-K244</f>
        <v>0</v>
      </c>
      <c r="N244" s="56" t="e">
        <f t="shared" ref="N244:N248" si="63">E244&amp;F244</f>
        <v>#N/A</v>
      </c>
      <c r="O244" s="56" t="e">
        <f t="shared" ref="O244:O248" si="64">D244&amp;E244&amp;F244</f>
        <v>#N/A</v>
      </c>
      <c r="P244" s="2">
        <f>SUMIF(MICRO!AP:AP,O244,MICRO!AS:AS)</f>
        <v>0</v>
      </c>
      <c r="Q244">
        <f>SUMIF(MICRO!AP:AP,O244,MICRO!AT:AT)</f>
        <v>0</v>
      </c>
      <c r="R244">
        <f>SUMIF(MICRO!AP:AP,O:O,MICRO!AU:AU)</f>
        <v>0</v>
      </c>
      <c r="V244" s="2"/>
    </row>
    <row r="245" spans="4:22" ht="18.75" thickBot="1" x14ac:dyDescent="0.3">
      <c r="D245" s="61" t="s">
        <v>424</v>
      </c>
      <c r="E245" s="111" t="e">
        <f>VLOOKUP(Tabela2[[#This Row],[TAG]],MICRO!J:L,3,0)</f>
        <v>#N/A</v>
      </c>
      <c r="F245" s="109" t="s">
        <v>44</v>
      </c>
      <c r="G245" s="58">
        <f>SUMIF(MICRO!AP:AP,O:O,MICRO!H:H)</f>
        <v>0</v>
      </c>
      <c r="H245" s="1">
        <f>SUMIF(MICRO!AP:AP,O:O,MICRO!R:R)</f>
        <v>0</v>
      </c>
      <c r="I245" s="1">
        <f>SUMIF(MICRO!AP:AP,O:O,MICRO!T:T)</f>
        <v>0</v>
      </c>
      <c r="J245" s="59">
        <f t="shared" si="60"/>
        <v>0</v>
      </c>
      <c r="K245" s="1">
        <f>SUMIF(MICRO!AP:AP,O:O,MICRO!X:X)</f>
        <v>0</v>
      </c>
      <c r="L245" s="59" t="str">
        <f t="shared" si="61"/>
        <v>0%</v>
      </c>
      <c r="M245" s="1">
        <f t="shared" si="62"/>
        <v>0</v>
      </c>
      <c r="N245" s="56" t="e">
        <f t="shared" si="63"/>
        <v>#N/A</v>
      </c>
      <c r="O245" s="56" t="e">
        <f t="shared" si="64"/>
        <v>#N/A</v>
      </c>
      <c r="P245" s="2">
        <f>SUMIF(MICRO!AP:AP,O245,MICRO!AS:AS)</f>
        <v>0</v>
      </c>
      <c r="Q245">
        <f>SUMIF(MICRO!AP:AP,O245,MICRO!AT:AT)</f>
        <v>0</v>
      </c>
      <c r="R245">
        <f>SUMIF(MICRO!AP:AP,O:O,MICRO!AU:AU)</f>
        <v>0</v>
      </c>
      <c r="V245" s="2"/>
    </row>
    <row r="246" spans="4:22" ht="18.75" thickBot="1" x14ac:dyDescent="0.3">
      <c r="D246" s="110" t="s">
        <v>425</v>
      </c>
      <c r="E246" s="111" t="e">
        <f>VLOOKUP(Tabela2[[#This Row],[TAG]],MICRO!J:L,3,0)</f>
        <v>#N/A</v>
      </c>
      <c r="F246" s="109" t="s">
        <v>44</v>
      </c>
      <c r="G246" s="58">
        <f>SUMIF(MICRO!AP:AP,O:O,MICRO!H:H)</f>
        <v>0</v>
      </c>
      <c r="H246" s="1">
        <f>SUMIF(MICRO!AP:AP,O:O,MICRO!R:R)</f>
        <v>0</v>
      </c>
      <c r="I246" s="1">
        <f>SUMIF(MICRO!AP:AP,O:O,MICRO!T:T)</f>
        <v>0</v>
      </c>
      <c r="J246" s="59">
        <f t="shared" si="60"/>
        <v>0</v>
      </c>
      <c r="K246" s="1">
        <f>SUMIF(MICRO!AP:AP,O:O,MICRO!X:X)</f>
        <v>0</v>
      </c>
      <c r="L246" s="59" t="str">
        <f t="shared" si="61"/>
        <v>0%</v>
      </c>
      <c r="M246" s="1">
        <f t="shared" si="62"/>
        <v>0</v>
      </c>
      <c r="N246" s="56" t="e">
        <f t="shared" si="63"/>
        <v>#N/A</v>
      </c>
      <c r="O246" s="56" t="e">
        <f t="shared" si="64"/>
        <v>#N/A</v>
      </c>
      <c r="P246" s="2">
        <f>SUMIF(MICRO!AP:AP,O246,MICRO!AS:AS)</f>
        <v>0</v>
      </c>
      <c r="Q246">
        <f>SUMIF(MICRO!AP:AP,O246,MICRO!AT:AT)</f>
        <v>0</v>
      </c>
      <c r="R246">
        <f>SUMIF(MICRO!AP:AP,O:O,MICRO!AU:AU)</f>
        <v>0</v>
      </c>
      <c r="V246" s="2"/>
    </row>
    <row r="247" spans="4:22" ht="18.75" thickBot="1" x14ac:dyDescent="0.3">
      <c r="D247" s="110" t="s">
        <v>426</v>
      </c>
      <c r="E247" s="111" t="e">
        <f>VLOOKUP(Tabela2[[#This Row],[TAG]],MICRO!J:L,3,0)</f>
        <v>#N/A</v>
      </c>
      <c r="F247" s="109" t="s">
        <v>44</v>
      </c>
      <c r="G247" s="58">
        <f>SUMIF(MICRO!AP:AP,O:O,MICRO!H:H)</f>
        <v>0</v>
      </c>
      <c r="H247" s="1">
        <f>SUMIF(MICRO!AP:AP,O:O,MICRO!R:R)</f>
        <v>0</v>
      </c>
      <c r="I247" s="1">
        <f>SUMIF(MICRO!AP:AP,O:O,MICRO!T:T)</f>
        <v>0</v>
      </c>
      <c r="J247" s="59">
        <f t="shared" si="60"/>
        <v>0</v>
      </c>
      <c r="K247" s="1">
        <f>SUMIF(MICRO!AP:AP,O:O,MICRO!X:X)</f>
        <v>0</v>
      </c>
      <c r="L247" s="59" t="str">
        <f t="shared" si="61"/>
        <v>0%</v>
      </c>
      <c r="M247" s="1">
        <f t="shared" si="62"/>
        <v>0</v>
      </c>
      <c r="N247" s="56" t="e">
        <f t="shared" si="63"/>
        <v>#N/A</v>
      </c>
      <c r="O247" s="56" t="e">
        <f t="shared" si="64"/>
        <v>#N/A</v>
      </c>
      <c r="P247" s="2">
        <f>SUMIF(MICRO!AP:AP,O247,MICRO!AS:AS)</f>
        <v>0</v>
      </c>
      <c r="Q247">
        <f>SUMIF(MICRO!AP:AP,O247,MICRO!AT:AT)</f>
        <v>0</v>
      </c>
      <c r="R247">
        <f>SUMIF(MICRO!AP:AP,O:O,MICRO!AU:AU)</f>
        <v>0</v>
      </c>
      <c r="V247" s="2"/>
    </row>
    <row r="248" spans="4:22" ht="18.75" thickBot="1" x14ac:dyDescent="0.3">
      <c r="D248" s="110" t="s">
        <v>427</v>
      </c>
      <c r="E248" s="111" t="e">
        <f>VLOOKUP(Tabela2[[#This Row],[TAG]],MICRO!J:L,3,0)</f>
        <v>#N/A</v>
      </c>
      <c r="F248" s="109" t="s">
        <v>44</v>
      </c>
      <c r="G248" s="112">
        <f>SUMIF(MICRO!AP:AP,O:O,MICRO!H:H)</f>
        <v>0</v>
      </c>
      <c r="H248" s="113">
        <f>SUMIF(MICRO!AP:AP,O:O,MICRO!R:R)</f>
        <v>0</v>
      </c>
      <c r="I248" s="113">
        <f>SUMIF(MICRO!AP:AP,O:O,MICRO!T:T)</f>
        <v>0</v>
      </c>
      <c r="J248" s="114">
        <f t="shared" si="60"/>
        <v>0</v>
      </c>
      <c r="K248" s="113">
        <f>SUMIF(MICRO!AP:AP,O:O,MICRO!X:X)</f>
        <v>0</v>
      </c>
      <c r="L248" s="114" t="str">
        <f t="shared" si="61"/>
        <v>0%</v>
      </c>
      <c r="M248" s="113">
        <f t="shared" si="62"/>
        <v>0</v>
      </c>
      <c r="N248" s="56" t="e">
        <f t="shared" si="63"/>
        <v>#N/A</v>
      </c>
      <c r="O248" s="56" t="e">
        <f t="shared" si="64"/>
        <v>#N/A</v>
      </c>
      <c r="P248" s="2">
        <f>SUMIF(MICRO!AP:AP,O248,MICRO!AS:AS)</f>
        <v>0</v>
      </c>
      <c r="Q248">
        <f>SUMIF(MICRO!AP:AP,O248,MICRO!AT:AT)</f>
        <v>0</v>
      </c>
      <c r="R248">
        <f>SUMIF(MICRO!AP:AP,O:O,MICRO!AU:AU)</f>
        <v>0</v>
      </c>
      <c r="V248" s="2"/>
    </row>
    <row r="249" spans="4:22" ht="18.75" thickBot="1" x14ac:dyDescent="0.3">
      <c r="D249" s="110" t="s">
        <v>569</v>
      </c>
      <c r="E249" s="111" t="e">
        <f>VLOOKUP(Tabela2[[#This Row],[TAG]],MICRO!J:L,3,0)</f>
        <v>#N/A</v>
      </c>
      <c r="F249" s="118" t="s">
        <v>23</v>
      </c>
      <c r="G249" s="58">
        <f>SUMIF(MICRO!AP:AP,O:O,MICRO!H:H)</f>
        <v>0</v>
      </c>
      <c r="H249" s="1">
        <f>SUMIF(MICRO!AP:AP,O:O,MICRO!R:R)</f>
        <v>0</v>
      </c>
      <c r="I249" s="1">
        <f>SUMIF(MICRO!AP:AP,O:O,MICRO!T:T)</f>
        <v>0</v>
      </c>
      <c r="J249" s="59">
        <f t="shared" ref="J249:J252" si="65">IF(G249 = 0,0,H249/G249)</f>
        <v>0</v>
      </c>
      <c r="K249" s="1">
        <f>SUMIF(MICRO!AP:AP,O:O,MICRO!X:X)</f>
        <v>0</v>
      </c>
      <c r="L249" s="59" t="str">
        <f t="shared" ref="L249:L252" si="66">IF(G249&lt;&gt;0,SUM(K249/G249*1),"0%")</f>
        <v>0%</v>
      </c>
      <c r="M249" s="1">
        <f t="shared" ref="M249:M252" si="67">G249-K249</f>
        <v>0</v>
      </c>
      <c r="N249" s="56" t="e">
        <f t="shared" ref="N249:N252" si="68">E249&amp;F249</f>
        <v>#N/A</v>
      </c>
      <c r="O249" s="56" t="e">
        <f t="shared" ref="O249:O252" si="69">D249&amp;E249&amp;F249</f>
        <v>#N/A</v>
      </c>
      <c r="P249" s="2">
        <f>SUMIF(MICRO!AP:AP,O249,MICRO!AS:AS)</f>
        <v>0</v>
      </c>
      <c r="Q249">
        <f>SUMIF(MICRO!AP:AP,O249,MICRO!AT:AT)</f>
        <v>0</v>
      </c>
      <c r="R249">
        <f>SUMIF(MICRO!AP:AP,O:O,MICRO!AU:AU)</f>
        <v>0</v>
      </c>
    </row>
    <row r="250" spans="4:22" ht="18.75" thickBot="1" x14ac:dyDescent="0.3">
      <c r="D250" s="110" t="s">
        <v>570</v>
      </c>
      <c r="E250" s="111" t="e">
        <f>VLOOKUP(Tabela2[[#This Row],[TAG]],MICRO!J:L,3,0)</f>
        <v>#N/A</v>
      </c>
      <c r="F250" s="118" t="s">
        <v>23</v>
      </c>
      <c r="G250" s="58">
        <f>SUMIF(MICRO!AP:AP,O:O,MICRO!H:H)</f>
        <v>0</v>
      </c>
      <c r="H250" s="1">
        <f>SUMIF(MICRO!AP:AP,O:O,MICRO!R:R)</f>
        <v>0</v>
      </c>
      <c r="I250" s="1">
        <f>SUMIF(MICRO!AP:AP,O:O,MICRO!T:T)</f>
        <v>0</v>
      </c>
      <c r="J250" s="59">
        <f t="shared" si="65"/>
        <v>0</v>
      </c>
      <c r="K250" s="1">
        <f>SUMIF(MICRO!AP:AP,O:O,MICRO!X:X)</f>
        <v>0</v>
      </c>
      <c r="L250" s="59" t="str">
        <f t="shared" si="66"/>
        <v>0%</v>
      </c>
      <c r="M250" s="1">
        <f t="shared" si="67"/>
        <v>0</v>
      </c>
      <c r="N250" s="56" t="e">
        <f t="shared" si="68"/>
        <v>#N/A</v>
      </c>
      <c r="O250" s="56" t="e">
        <f t="shared" si="69"/>
        <v>#N/A</v>
      </c>
      <c r="P250" s="2">
        <f>SUMIF(MICRO!AP:AP,O250,MICRO!AS:AS)</f>
        <v>0</v>
      </c>
      <c r="Q250">
        <f>SUMIF(MICRO!AP:AP,O250,MICRO!AT:AT)</f>
        <v>0</v>
      </c>
      <c r="R250">
        <f>SUMIF(MICRO!AP:AP,O:O,MICRO!AU:AU)</f>
        <v>0</v>
      </c>
    </row>
    <row r="251" spans="4:22" ht="18.75" thickBot="1" x14ac:dyDescent="0.3">
      <c r="D251" s="110" t="s">
        <v>571</v>
      </c>
      <c r="E251" s="111" t="e">
        <f>VLOOKUP(Tabela2[[#This Row],[TAG]],MICRO!J:L,3,0)</f>
        <v>#N/A</v>
      </c>
      <c r="F251" s="118" t="s">
        <v>23</v>
      </c>
      <c r="G251" s="58">
        <f>SUMIF(MICRO!AP:AP,O:O,MICRO!H:H)</f>
        <v>0</v>
      </c>
      <c r="H251" s="1">
        <f>SUMIF(MICRO!AP:AP,O:O,MICRO!R:R)</f>
        <v>0</v>
      </c>
      <c r="I251" s="1">
        <f>SUMIF(MICRO!AP:AP,O:O,MICRO!T:T)</f>
        <v>0</v>
      </c>
      <c r="J251" s="59">
        <f t="shared" si="65"/>
        <v>0</v>
      </c>
      <c r="K251" s="1">
        <f>SUMIF(MICRO!AP:AP,O:O,MICRO!X:X)</f>
        <v>0</v>
      </c>
      <c r="L251" s="59" t="str">
        <f t="shared" si="66"/>
        <v>0%</v>
      </c>
      <c r="M251" s="1">
        <f t="shared" si="67"/>
        <v>0</v>
      </c>
      <c r="N251" s="56" t="e">
        <f t="shared" si="68"/>
        <v>#N/A</v>
      </c>
      <c r="O251" s="56" t="e">
        <f t="shared" si="69"/>
        <v>#N/A</v>
      </c>
      <c r="P251" s="2">
        <f>SUMIF(MICRO!AP:AP,O251,MICRO!AS:AS)</f>
        <v>0</v>
      </c>
      <c r="Q251">
        <f>SUMIF(MICRO!AP:AP,O251,MICRO!AT:AT)</f>
        <v>0</v>
      </c>
      <c r="R251">
        <f>SUMIF(MICRO!AP:AP,O:O,MICRO!AU:AU)</f>
        <v>0</v>
      </c>
    </row>
    <row r="252" spans="4:22" ht="18.75" thickBot="1" x14ac:dyDescent="0.3">
      <c r="D252" s="110" t="s">
        <v>572</v>
      </c>
      <c r="E252" s="111" t="e">
        <f>VLOOKUP(Tabela2[[#This Row],[TAG]],MICRO!J:L,3,0)</f>
        <v>#N/A</v>
      </c>
      <c r="F252" s="118" t="s">
        <v>23</v>
      </c>
      <c r="G252" s="112">
        <f>SUMIF(MICRO!AP:AP,O:O,MICRO!H:H)</f>
        <v>0</v>
      </c>
      <c r="H252" s="113">
        <f>SUMIF(MICRO!AP:AP,O:O,MICRO!R:R)</f>
        <v>0</v>
      </c>
      <c r="I252" s="113">
        <f>SUMIF(MICRO!AP:AP,O:O,MICRO!T:T)</f>
        <v>0</v>
      </c>
      <c r="J252" s="114">
        <f t="shared" si="65"/>
        <v>0</v>
      </c>
      <c r="K252" s="113">
        <f>SUMIF(MICRO!AP:AP,O:O,MICRO!X:X)</f>
        <v>0</v>
      </c>
      <c r="L252" s="114" t="str">
        <f t="shared" si="66"/>
        <v>0%</v>
      </c>
      <c r="M252" s="113">
        <f t="shared" si="67"/>
        <v>0</v>
      </c>
      <c r="N252" s="56" t="e">
        <f t="shared" si="68"/>
        <v>#N/A</v>
      </c>
      <c r="O252" s="56" t="e">
        <f t="shared" si="69"/>
        <v>#N/A</v>
      </c>
      <c r="P252" s="2">
        <f>SUMIF(MICRO!AP:AP,O252,MICRO!AS:AS)</f>
        <v>0</v>
      </c>
      <c r="Q252">
        <f>SUMIF(MICRO!AP:AP,O252,MICRO!AT:AT)</f>
        <v>0</v>
      </c>
      <c r="R252">
        <f>SUMIF(MICRO!AP:AP,O:O,MICRO!AU:AU)</f>
        <v>0</v>
      </c>
    </row>
    <row r="253" spans="4:22" ht="18.75" thickBot="1" x14ac:dyDescent="0.3">
      <c r="D253" s="110" t="s">
        <v>569</v>
      </c>
      <c r="E253" s="111" t="e">
        <f>VLOOKUP(Tabela2[[#This Row],[TAG]],MICRO!J:L,3,0)</f>
        <v>#N/A</v>
      </c>
      <c r="F253" s="109" t="s">
        <v>33</v>
      </c>
      <c r="G253" s="58">
        <f>SUMIF(MICRO!AP:AP,O:O,MICRO!H:H)</f>
        <v>0</v>
      </c>
      <c r="H253" s="1">
        <f>SUMIF(MICRO!AP:AP,O:O,MICRO!R:R)</f>
        <v>0</v>
      </c>
      <c r="I253" s="1">
        <f>SUMIF(MICRO!AP:AP,O:O,MICRO!T:T)</f>
        <v>0</v>
      </c>
      <c r="J253" s="59">
        <f t="shared" ref="J253:J256" si="70">IF(G253 = 0,0,H253/G253)</f>
        <v>0</v>
      </c>
      <c r="K253" s="1">
        <f>SUMIF(MICRO!AP:AP,O:O,MICRO!X:X)</f>
        <v>0</v>
      </c>
      <c r="L253" s="59" t="str">
        <f t="shared" ref="L253:L256" si="71">IF(G253&lt;&gt;0,SUM(K253/G253*1),"0%")</f>
        <v>0%</v>
      </c>
      <c r="M253" s="1">
        <f t="shared" ref="M253:M256" si="72">G253-K253</f>
        <v>0</v>
      </c>
      <c r="N253" s="56" t="e">
        <f t="shared" ref="N253:N256" si="73">E253&amp;F253</f>
        <v>#N/A</v>
      </c>
      <c r="O253" s="56" t="e">
        <f t="shared" ref="O253:O256" si="74">D253&amp;E253&amp;F253</f>
        <v>#N/A</v>
      </c>
      <c r="P253" s="2">
        <f>SUMIF(MICRO!AP:AP,O253,MICRO!AS:AS)</f>
        <v>0</v>
      </c>
      <c r="Q253">
        <f>SUMIF(MICRO!AP:AP,O253,MICRO!AT:AT)</f>
        <v>0</v>
      </c>
      <c r="R253">
        <f>SUMIF(MICRO!AP:AP,O:O,MICRO!AU:AU)</f>
        <v>0</v>
      </c>
    </row>
    <row r="254" spans="4:22" ht="18.75" thickBot="1" x14ac:dyDescent="0.3">
      <c r="D254" s="110" t="s">
        <v>570</v>
      </c>
      <c r="E254" s="111" t="e">
        <f>VLOOKUP(Tabela2[[#This Row],[TAG]],MICRO!J:L,3,0)</f>
        <v>#N/A</v>
      </c>
      <c r="F254" s="109" t="s">
        <v>33</v>
      </c>
      <c r="G254" s="58">
        <f>SUMIF(MICRO!AP:AP,O:O,MICRO!H:H)</f>
        <v>0</v>
      </c>
      <c r="H254" s="1">
        <f>SUMIF(MICRO!AP:AP,O:O,MICRO!R:R)</f>
        <v>0</v>
      </c>
      <c r="I254" s="1">
        <f>SUMIF(MICRO!AP:AP,O:O,MICRO!T:T)</f>
        <v>0</v>
      </c>
      <c r="J254" s="59">
        <f t="shared" si="70"/>
        <v>0</v>
      </c>
      <c r="K254" s="1">
        <f>SUMIF(MICRO!AP:AP,O:O,MICRO!X:X)</f>
        <v>0</v>
      </c>
      <c r="L254" s="59" t="str">
        <f t="shared" si="71"/>
        <v>0%</v>
      </c>
      <c r="M254" s="1">
        <f t="shared" si="72"/>
        <v>0</v>
      </c>
      <c r="N254" s="56" t="e">
        <f t="shared" si="73"/>
        <v>#N/A</v>
      </c>
      <c r="O254" s="56" t="e">
        <f t="shared" si="74"/>
        <v>#N/A</v>
      </c>
      <c r="P254" s="2">
        <f>SUMIF(MICRO!AP:AP,O254,MICRO!AS:AS)</f>
        <v>0</v>
      </c>
      <c r="Q254">
        <f>SUMIF(MICRO!AP:AP,O254,MICRO!AT:AT)</f>
        <v>0</v>
      </c>
      <c r="R254">
        <f>SUMIF(MICRO!AP:AP,O:O,MICRO!AU:AU)</f>
        <v>0</v>
      </c>
    </row>
    <row r="255" spans="4:22" ht="18.75" thickBot="1" x14ac:dyDescent="0.3">
      <c r="D255" s="110" t="s">
        <v>571</v>
      </c>
      <c r="E255" s="111" t="e">
        <f>VLOOKUP(Tabela2[[#This Row],[TAG]],MICRO!J:L,3,0)</f>
        <v>#N/A</v>
      </c>
      <c r="F255" s="109" t="s">
        <v>33</v>
      </c>
      <c r="G255" s="58">
        <f>SUMIF(MICRO!AP:AP,O:O,MICRO!H:H)</f>
        <v>0</v>
      </c>
      <c r="H255" s="1">
        <f>SUMIF(MICRO!AP:AP,O:O,MICRO!R:R)</f>
        <v>0</v>
      </c>
      <c r="I255" s="1">
        <f>SUMIF(MICRO!AP:AP,O:O,MICRO!T:T)</f>
        <v>0</v>
      </c>
      <c r="J255" s="59">
        <f t="shared" si="70"/>
        <v>0</v>
      </c>
      <c r="K255" s="1">
        <f>SUMIF(MICRO!AP:AP,O:O,MICRO!X:X)</f>
        <v>0</v>
      </c>
      <c r="L255" s="59" t="str">
        <f t="shared" si="71"/>
        <v>0%</v>
      </c>
      <c r="M255" s="1">
        <f t="shared" si="72"/>
        <v>0</v>
      </c>
      <c r="N255" s="56" t="e">
        <f t="shared" si="73"/>
        <v>#N/A</v>
      </c>
      <c r="O255" s="56" t="e">
        <f t="shared" si="74"/>
        <v>#N/A</v>
      </c>
      <c r="P255" s="2">
        <f>SUMIF(MICRO!AP:AP,O255,MICRO!AS:AS)</f>
        <v>0</v>
      </c>
      <c r="Q255">
        <f>SUMIF(MICRO!AP:AP,O255,MICRO!AT:AT)</f>
        <v>0</v>
      </c>
      <c r="R255">
        <f>SUMIF(MICRO!AP:AP,O:O,MICRO!AU:AU)</f>
        <v>0</v>
      </c>
    </row>
    <row r="256" spans="4:22" ht="18.75" thickBot="1" x14ac:dyDescent="0.3">
      <c r="D256" s="110" t="s">
        <v>572</v>
      </c>
      <c r="E256" s="111" t="e">
        <f>VLOOKUP(Tabela2[[#This Row],[TAG]],MICRO!J:L,3,0)</f>
        <v>#N/A</v>
      </c>
      <c r="F256" s="109" t="s">
        <v>33</v>
      </c>
      <c r="G256" s="112">
        <f>SUMIF(MICRO!AP:AP,O:O,MICRO!H:H)</f>
        <v>0</v>
      </c>
      <c r="H256" s="113">
        <f>SUMIF(MICRO!AP:AP,O:O,MICRO!R:R)</f>
        <v>0</v>
      </c>
      <c r="I256" s="113">
        <f>SUMIF(MICRO!AP:AP,O:O,MICRO!T:T)</f>
        <v>0</v>
      </c>
      <c r="J256" s="114">
        <f t="shared" si="70"/>
        <v>0</v>
      </c>
      <c r="K256" s="113">
        <f>SUMIF(MICRO!AP:AP,O:O,MICRO!X:X)</f>
        <v>0</v>
      </c>
      <c r="L256" s="114" t="str">
        <f t="shared" si="71"/>
        <v>0%</v>
      </c>
      <c r="M256" s="113">
        <f t="shared" si="72"/>
        <v>0</v>
      </c>
      <c r="N256" s="56" t="e">
        <f t="shared" si="73"/>
        <v>#N/A</v>
      </c>
      <c r="O256" s="56" t="e">
        <f t="shared" si="74"/>
        <v>#N/A</v>
      </c>
      <c r="P256" s="2">
        <f>SUMIF(MICRO!AP:AP,O256,MICRO!AS:AS)</f>
        <v>0</v>
      </c>
      <c r="Q256">
        <f>SUMIF(MICRO!AP:AP,O256,MICRO!AT:AT)</f>
        <v>0</v>
      </c>
      <c r="R256">
        <f>SUMIF(MICRO!AP:AP,O:O,MICRO!AU:AU)</f>
        <v>0</v>
      </c>
    </row>
    <row r="257" spans="4:18" ht="18.75" thickBot="1" x14ac:dyDescent="0.3">
      <c r="D257" s="110" t="s">
        <v>569</v>
      </c>
      <c r="E257" s="111" t="e">
        <f>VLOOKUP(Tabela2[[#This Row],[TAG]],MICRO!J:L,3,0)</f>
        <v>#N/A</v>
      </c>
      <c r="F257" s="109" t="s">
        <v>22</v>
      </c>
      <c r="G257" s="58">
        <f>SUMIF(MICRO!AP:AP,O:O,MICRO!H:H)</f>
        <v>0</v>
      </c>
      <c r="H257" s="1">
        <f>SUMIF(MICRO!AP:AP,O:O,MICRO!R:R)</f>
        <v>0</v>
      </c>
      <c r="I257" s="1">
        <f>SUMIF(MICRO!AP:AP,O:O,MICRO!T:T)</f>
        <v>0</v>
      </c>
      <c r="J257" s="59">
        <f t="shared" ref="J257:J260" si="75">IF(G257 = 0,0,H257/G257)</f>
        <v>0</v>
      </c>
      <c r="K257" s="1">
        <f>SUMIF(MICRO!AP:AP,O:O,MICRO!X:X)</f>
        <v>0</v>
      </c>
      <c r="L257" s="59" t="str">
        <f t="shared" ref="L257:L260" si="76">IF(G257&lt;&gt;0,SUM(K257/G257*1),"0%")</f>
        <v>0%</v>
      </c>
      <c r="M257" s="1">
        <f t="shared" ref="M257:M260" si="77">G257-K257</f>
        <v>0</v>
      </c>
      <c r="N257" s="56" t="e">
        <f t="shared" ref="N257:N260" si="78">E257&amp;F257</f>
        <v>#N/A</v>
      </c>
      <c r="O257" s="56" t="e">
        <f t="shared" ref="O257:O260" si="79">D257&amp;E257&amp;F257</f>
        <v>#N/A</v>
      </c>
      <c r="P257" s="2">
        <f>SUMIF(MICRO!AP:AP,O257,MICRO!AS:AS)</f>
        <v>0</v>
      </c>
      <c r="Q257">
        <f>SUMIF(MICRO!AP:AP,O257,MICRO!AT:AT)</f>
        <v>0</v>
      </c>
      <c r="R257">
        <f>SUMIF(MICRO!AP:AP,O:O,MICRO!AU:AU)</f>
        <v>0</v>
      </c>
    </row>
    <row r="258" spans="4:18" ht="18.75" thickBot="1" x14ac:dyDescent="0.3">
      <c r="D258" s="110" t="s">
        <v>570</v>
      </c>
      <c r="E258" s="111" t="e">
        <f>VLOOKUP(Tabela2[[#This Row],[TAG]],MICRO!J:L,3,0)</f>
        <v>#N/A</v>
      </c>
      <c r="F258" s="109" t="s">
        <v>22</v>
      </c>
      <c r="G258" s="58">
        <f>SUMIF(MICRO!AP:AP,O:O,MICRO!H:H)</f>
        <v>0</v>
      </c>
      <c r="H258" s="1">
        <f>SUMIF(MICRO!AP:AP,O:O,MICRO!R:R)</f>
        <v>0</v>
      </c>
      <c r="I258" s="1">
        <f>SUMIF(MICRO!AP:AP,O:O,MICRO!T:T)</f>
        <v>0</v>
      </c>
      <c r="J258" s="59">
        <f t="shared" si="75"/>
        <v>0</v>
      </c>
      <c r="K258" s="1">
        <f>SUMIF(MICRO!AP:AP,O:O,MICRO!X:X)</f>
        <v>0</v>
      </c>
      <c r="L258" s="59" t="str">
        <f t="shared" si="76"/>
        <v>0%</v>
      </c>
      <c r="M258" s="1">
        <f t="shared" si="77"/>
        <v>0</v>
      </c>
      <c r="N258" s="56" t="e">
        <f t="shared" si="78"/>
        <v>#N/A</v>
      </c>
      <c r="O258" s="56" t="e">
        <f t="shared" si="79"/>
        <v>#N/A</v>
      </c>
      <c r="P258" s="2">
        <f>SUMIF(MICRO!AP:AP,O258,MICRO!AS:AS)</f>
        <v>0</v>
      </c>
      <c r="Q258">
        <f>SUMIF(MICRO!AP:AP,O258,MICRO!AT:AT)</f>
        <v>0</v>
      </c>
      <c r="R258">
        <f>SUMIF(MICRO!AP:AP,O:O,MICRO!AU:AU)</f>
        <v>0</v>
      </c>
    </row>
    <row r="259" spans="4:18" ht="18.75" thickBot="1" x14ac:dyDescent="0.3">
      <c r="D259" s="110" t="s">
        <v>571</v>
      </c>
      <c r="E259" s="111" t="e">
        <f>VLOOKUP(Tabela2[[#This Row],[TAG]],MICRO!J:L,3,0)</f>
        <v>#N/A</v>
      </c>
      <c r="F259" s="109" t="s">
        <v>22</v>
      </c>
      <c r="G259" s="58">
        <f>SUMIF(MICRO!AP:AP,O:O,MICRO!H:H)</f>
        <v>0</v>
      </c>
      <c r="H259" s="1">
        <f>SUMIF(MICRO!AP:AP,O:O,MICRO!R:R)</f>
        <v>0</v>
      </c>
      <c r="I259" s="1">
        <f>SUMIF(MICRO!AP:AP,O:O,MICRO!T:T)</f>
        <v>0</v>
      </c>
      <c r="J259" s="59">
        <f t="shared" si="75"/>
        <v>0</v>
      </c>
      <c r="K259" s="1">
        <f>SUMIF(MICRO!AP:AP,O:O,MICRO!X:X)</f>
        <v>0</v>
      </c>
      <c r="L259" s="59" t="str">
        <f t="shared" si="76"/>
        <v>0%</v>
      </c>
      <c r="M259" s="1">
        <f t="shared" si="77"/>
        <v>0</v>
      </c>
      <c r="N259" s="56" t="e">
        <f t="shared" si="78"/>
        <v>#N/A</v>
      </c>
      <c r="O259" s="56" t="e">
        <f t="shared" si="79"/>
        <v>#N/A</v>
      </c>
      <c r="P259" s="2">
        <f>SUMIF(MICRO!AP:AP,O259,MICRO!AS:AS)</f>
        <v>0</v>
      </c>
      <c r="Q259">
        <f>SUMIF(MICRO!AP:AP,O259,MICRO!AT:AT)</f>
        <v>0</v>
      </c>
      <c r="R259">
        <f>SUMIF(MICRO!AP:AP,O:O,MICRO!AU:AU)</f>
        <v>0</v>
      </c>
    </row>
    <row r="260" spans="4:18" ht="18.75" thickBot="1" x14ac:dyDescent="0.3">
      <c r="D260" s="110" t="s">
        <v>572</v>
      </c>
      <c r="E260" s="111" t="e">
        <f>VLOOKUP(Tabela2[[#This Row],[TAG]],MICRO!J:L,3,0)</f>
        <v>#N/A</v>
      </c>
      <c r="F260" s="109" t="s">
        <v>22</v>
      </c>
      <c r="G260" s="112">
        <f>SUMIF(MICRO!AP:AP,O:O,MICRO!H:H)</f>
        <v>0</v>
      </c>
      <c r="H260" s="113">
        <f>SUMIF(MICRO!AP:AP,O:O,MICRO!R:R)</f>
        <v>0</v>
      </c>
      <c r="I260" s="113">
        <f>SUMIF(MICRO!AP:AP,O:O,MICRO!T:T)</f>
        <v>0</v>
      </c>
      <c r="J260" s="114">
        <f t="shared" si="75"/>
        <v>0</v>
      </c>
      <c r="K260" s="113">
        <f>SUMIF(MICRO!AP:AP,O:O,MICRO!X:X)</f>
        <v>0</v>
      </c>
      <c r="L260" s="114" t="str">
        <f t="shared" si="76"/>
        <v>0%</v>
      </c>
      <c r="M260" s="113">
        <f t="shared" si="77"/>
        <v>0</v>
      </c>
      <c r="N260" s="56" t="e">
        <f t="shared" si="78"/>
        <v>#N/A</v>
      </c>
      <c r="O260" s="56" t="e">
        <f t="shared" si="79"/>
        <v>#N/A</v>
      </c>
      <c r="P260" s="2">
        <f>SUMIF(MICRO!AP:AP,O260,MICRO!AS:AS)</f>
        <v>0</v>
      </c>
      <c r="Q260">
        <f>SUMIF(MICRO!AP:AP,O260,MICRO!AT:AT)</f>
        <v>0</v>
      </c>
      <c r="R260">
        <f>SUMIF(MICRO!AP:AP,O:O,MICRO!AU:AU)</f>
        <v>0</v>
      </c>
    </row>
    <row r="261" spans="4:18" ht="18.75" thickBot="1" x14ac:dyDescent="0.3">
      <c r="D261" s="110" t="s">
        <v>569</v>
      </c>
      <c r="E261" s="111" t="e">
        <f>VLOOKUP(Tabela2[[#This Row],[TAG]],MICRO!J:L,3,0)</f>
        <v>#N/A</v>
      </c>
      <c r="F261" s="109" t="s">
        <v>44</v>
      </c>
      <c r="G261" s="58">
        <f>SUMIF(MICRO!AP:AP,O:O,MICRO!H:H)</f>
        <v>0</v>
      </c>
      <c r="H261" s="1">
        <f>SUMIF(MICRO!AP:AP,O:O,MICRO!R:R)</f>
        <v>0</v>
      </c>
      <c r="I261" s="1">
        <f>SUMIF(MICRO!AP:AP,O:O,MICRO!T:T)</f>
        <v>0</v>
      </c>
      <c r="J261" s="59">
        <f t="shared" ref="J261:J264" si="80">IF(G261 = 0,0,H261/G261)</f>
        <v>0</v>
      </c>
      <c r="K261" s="1">
        <f>SUMIF(MICRO!AP:AP,O:O,MICRO!X:X)</f>
        <v>0</v>
      </c>
      <c r="L261" s="59" t="str">
        <f t="shared" ref="L261:L264" si="81">IF(G261&lt;&gt;0,SUM(K261/G261*1),"0%")</f>
        <v>0%</v>
      </c>
      <c r="M261" s="1">
        <f t="shared" ref="M261:M264" si="82">G261-K261</f>
        <v>0</v>
      </c>
      <c r="N261" s="56" t="e">
        <f t="shared" ref="N261:N264" si="83">E261&amp;F261</f>
        <v>#N/A</v>
      </c>
      <c r="O261" s="56" t="e">
        <f t="shared" ref="O261:O264" si="84">D261&amp;E261&amp;F261</f>
        <v>#N/A</v>
      </c>
      <c r="P261" s="2">
        <f>SUMIF(MICRO!AP:AP,O261,MICRO!AS:AS)</f>
        <v>0</v>
      </c>
      <c r="Q261">
        <f>SUMIF(MICRO!AP:AP,O261,MICRO!AT:AT)</f>
        <v>0</v>
      </c>
      <c r="R261">
        <f>SUMIF(MICRO!AP:AP,O:O,MICRO!AU:AU)</f>
        <v>0</v>
      </c>
    </row>
    <row r="262" spans="4:18" ht="18.75" thickBot="1" x14ac:dyDescent="0.3">
      <c r="D262" s="110" t="s">
        <v>570</v>
      </c>
      <c r="E262" s="111" t="e">
        <f>VLOOKUP(Tabela2[[#This Row],[TAG]],MICRO!J:L,3,0)</f>
        <v>#N/A</v>
      </c>
      <c r="F262" s="109" t="s">
        <v>44</v>
      </c>
      <c r="G262" s="58">
        <f>SUMIF(MICRO!AP:AP,O:O,MICRO!H:H)</f>
        <v>0</v>
      </c>
      <c r="H262" s="1">
        <f>SUMIF(MICRO!AP:AP,O:O,MICRO!R:R)</f>
        <v>0</v>
      </c>
      <c r="I262" s="1">
        <f>SUMIF(MICRO!AP:AP,O:O,MICRO!T:T)</f>
        <v>0</v>
      </c>
      <c r="J262" s="59">
        <f t="shared" si="80"/>
        <v>0</v>
      </c>
      <c r="K262" s="1">
        <f>SUMIF(MICRO!AP:AP,O:O,MICRO!X:X)</f>
        <v>0</v>
      </c>
      <c r="L262" s="59" t="str">
        <f t="shared" si="81"/>
        <v>0%</v>
      </c>
      <c r="M262" s="1">
        <f t="shared" si="82"/>
        <v>0</v>
      </c>
      <c r="N262" s="56" t="e">
        <f t="shared" si="83"/>
        <v>#N/A</v>
      </c>
      <c r="O262" s="56" t="e">
        <f t="shared" si="84"/>
        <v>#N/A</v>
      </c>
      <c r="P262" s="2">
        <f>SUMIF(MICRO!AP:AP,O262,MICRO!AS:AS)</f>
        <v>0</v>
      </c>
      <c r="Q262">
        <f>SUMIF(MICRO!AP:AP,O262,MICRO!AT:AT)</f>
        <v>0</v>
      </c>
      <c r="R262">
        <f>SUMIF(MICRO!AP:AP,O:O,MICRO!AU:AU)</f>
        <v>0</v>
      </c>
    </row>
    <row r="263" spans="4:18" ht="18.75" thickBot="1" x14ac:dyDescent="0.3">
      <c r="D263" s="110" t="s">
        <v>571</v>
      </c>
      <c r="E263" s="111" t="e">
        <f>VLOOKUP(Tabela2[[#This Row],[TAG]],MICRO!J:L,3,0)</f>
        <v>#N/A</v>
      </c>
      <c r="F263" s="109" t="s">
        <v>44</v>
      </c>
      <c r="G263" s="58">
        <f>SUMIF(MICRO!AP:AP,O:O,MICRO!H:H)</f>
        <v>0</v>
      </c>
      <c r="H263" s="1">
        <f>SUMIF(MICRO!AP:AP,O:O,MICRO!R:R)</f>
        <v>0</v>
      </c>
      <c r="I263" s="1">
        <f>SUMIF(MICRO!AP:AP,O:O,MICRO!T:T)</f>
        <v>0</v>
      </c>
      <c r="J263" s="59">
        <f t="shared" si="80"/>
        <v>0</v>
      </c>
      <c r="K263" s="1">
        <f>SUMIF(MICRO!AP:AP,O:O,MICRO!X:X)</f>
        <v>0</v>
      </c>
      <c r="L263" s="59" t="str">
        <f t="shared" si="81"/>
        <v>0%</v>
      </c>
      <c r="M263" s="1">
        <f t="shared" si="82"/>
        <v>0</v>
      </c>
      <c r="N263" s="56" t="e">
        <f t="shared" si="83"/>
        <v>#N/A</v>
      </c>
      <c r="O263" s="56" t="e">
        <f t="shared" si="84"/>
        <v>#N/A</v>
      </c>
      <c r="P263" s="2">
        <f>SUMIF(MICRO!AP:AP,O263,MICRO!AS:AS)</f>
        <v>0</v>
      </c>
      <c r="Q263">
        <f>SUMIF(MICRO!AP:AP,O263,MICRO!AT:AT)</f>
        <v>0</v>
      </c>
      <c r="R263">
        <f>SUMIF(MICRO!AP:AP,O:O,MICRO!AU:AU)</f>
        <v>0</v>
      </c>
    </row>
    <row r="264" spans="4:18" ht="18.75" thickBot="1" x14ac:dyDescent="0.3">
      <c r="D264" s="110" t="s">
        <v>572</v>
      </c>
      <c r="E264" s="111" t="e">
        <f>VLOOKUP(Tabela2[[#This Row],[TAG]],MICRO!J:L,3,0)</f>
        <v>#N/A</v>
      </c>
      <c r="F264" s="109" t="s">
        <v>44</v>
      </c>
      <c r="G264" s="112">
        <f>SUMIF(MICRO!AP:AP,O:O,MICRO!H:H)</f>
        <v>0</v>
      </c>
      <c r="H264" s="113">
        <f>SUMIF(MICRO!AP:AP,O:O,MICRO!R:R)</f>
        <v>0</v>
      </c>
      <c r="I264" s="113">
        <f>SUMIF(MICRO!AP:AP,O:O,MICRO!T:T)</f>
        <v>0</v>
      </c>
      <c r="J264" s="114">
        <f t="shared" si="80"/>
        <v>0</v>
      </c>
      <c r="K264" s="113">
        <f>SUMIF(MICRO!AP:AP,O:O,MICRO!X:X)</f>
        <v>0</v>
      </c>
      <c r="L264" s="114" t="str">
        <f t="shared" si="81"/>
        <v>0%</v>
      </c>
      <c r="M264" s="113">
        <f t="shared" si="82"/>
        <v>0</v>
      </c>
      <c r="N264" s="56" t="e">
        <f t="shared" si="83"/>
        <v>#N/A</v>
      </c>
      <c r="O264" s="56" t="e">
        <f t="shared" si="84"/>
        <v>#N/A</v>
      </c>
      <c r="P264" s="2">
        <f>SUMIF(MICRO!AP:AP,O264,MICRO!AS:AS)</f>
        <v>0</v>
      </c>
      <c r="Q264">
        <f>SUMIF(MICRO!AP:AP,O264,MICRO!AT:AT)</f>
        <v>0</v>
      </c>
      <c r="R264">
        <f>SUMIF(MICRO!AP:AP,O:O,MICRO!AU:AU)</f>
        <v>0</v>
      </c>
    </row>
    <row r="265" spans="4:18" ht="18.75" thickBot="1" x14ac:dyDescent="0.3">
      <c r="D265" s="110" t="s">
        <v>569</v>
      </c>
      <c r="E265" s="111" t="e">
        <f>VLOOKUP(Tabela2[[#This Row],[TAG]],MICRO!J:L,3,0)</f>
        <v>#N/A</v>
      </c>
      <c r="F265" s="109" t="s">
        <v>32</v>
      </c>
      <c r="G265" s="58">
        <f>SUMIF(MICRO!AP:AP,O:O,MICRO!H:H)</f>
        <v>0</v>
      </c>
      <c r="H265" s="1">
        <f>SUMIF(MICRO!AP:AP,O:O,MICRO!R:R)</f>
        <v>0</v>
      </c>
      <c r="I265" s="1">
        <f>SUMIF(MICRO!AP:AP,O:O,MICRO!T:T)</f>
        <v>0</v>
      </c>
      <c r="J265" s="59">
        <f t="shared" ref="J265:J268" si="85">IF(G265 = 0,0,H265/G265)</f>
        <v>0</v>
      </c>
      <c r="K265" s="1">
        <f>SUMIF(MICRO!AP:AP,O:O,MICRO!X:X)</f>
        <v>0</v>
      </c>
      <c r="L265" s="59" t="str">
        <f t="shared" ref="L265:L268" si="86">IF(G265&lt;&gt;0,SUM(K265/G265*1),"0%")</f>
        <v>0%</v>
      </c>
      <c r="M265" s="1">
        <f t="shared" ref="M265:M268" si="87">G265-K265</f>
        <v>0</v>
      </c>
      <c r="N265" s="56" t="e">
        <f t="shared" ref="N265:N268" si="88">E265&amp;F265</f>
        <v>#N/A</v>
      </c>
      <c r="O265" s="56" t="e">
        <f t="shared" ref="O265:O268" si="89">D265&amp;E265&amp;F265</f>
        <v>#N/A</v>
      </c>
      <c r="P265" s="2">
        <f>SUMIF(MICRO!AP:AP,O265,MICRO!AS:AS)</f>
        <v>0</v>
      </c>
      <c r="Q265">
        <f>SUMIF(MICRO!AP:AP,O265,MICRO!AT:AT)</f>
        <v>0</v>
      </c>
      <c r="R265">
        <f>SUMIF(MICRO!AP:AP,O:O,MICRO!AU:AU)</f>
        <v>0</v>
      </c>
    </row>
    <row r="266" spans="4:18" ht="18.75" thickBot="1" x14ac:dyDescent="0.3">
      <c r="D266" s="110" t="s">
        <v>570</v>
      </c>
      <c r="E266" s="111" t="e">
        <f>VLOOKUP(Tabela2[[#This Row],[TAG]],MICRO!J:L,3,0)</f>
        <v>#N/A</v>
      </c>
      <c r="F266" s="109" t="s">
        <v>32</v>
      </c>
      <c r="G266" s="58">
        <f>SUMIF(MICRO!AP:AP,O:O,MICRO!H:H)</f>
        <v>0</v>
      </c>
      <c r="H266" s="1">
        <f>SUMIF(MICRO!AP:AP,O:O,MICRO!R:R)</f>
        <v>0</v>
      </c>
      <c r="I266" s="1">
        <f>SUMIF(MICRO!AP:AP,O:O,MICRO!T:T)</f>
        <v>0</v>
      </c>
      <c r="J266" s="59">
        <f t="shared" si="85"/>
        <v>0</v>
      </c>
      <c r="K266" s="1">
        <f>SUMIF(MICRO!AP:AP,O:O,MICRO!X:X)</f>
        <v>0</v>
      </c>
      <c r="L266" s="59" t="str">
        <f t="shared" si="86"/>
        <v>0%</v>
      </c>
      <c r="M266" s="1">
        <f t="shared" si="87"/>
        <v>0</v>
      </c>
      <c r="N266" s="56" t="e">
        <f t="shared" si="88"/>
        <v>#N/A</v>
      </c>
      <c r="O266" s="56" t="e">
        <f t="shared" si="89"/>
        <v>#N/A</v>
      </c>
      <c r="P266" s="2">
        <f>SUMIF(MICRO!AP:AP,O266,MICRO!AS:AS)</f>
        <v>0</v>
      </c>
      <c r="Q266">
        <f>SUMIF(MICRO!AP:AP,O266,MICRO!AT:AT)</f>
        <v>0</v>
      </c>
      <c r="R266">
        <f>SUMIF(MICRO!AP:AP,O:O,MICRO!AU:AU)</f>
        <v>0</v>
      </c>
    </row>
    <row r="267" spans="4:18" ht="18.75" thickBot="1" x14ac:dyDescent="0.3">
      <c r="D267" s="110" t="s">
        <v>571</v>
      </c>
      <c r="E267" s="111" t="e">
        <f>VLOOKUP(Tabela2[[#This Row],[TAG]],MICRO!J:L,3,0)</f>
        <v>#N/A</v>
      </c>
      <c r="F267" s="109" t="s">
        <v>32</v>
      </c>
      <c r="G267" s="58">
        <f>SUMIF(MICRO!AP:AP,O:O,MICRO!H:H)</f>
        <v>0</v>
      </c>
      <c r="H267" s="1">
        <f>SUMIF(MICRO!AP:AP,O:O,MICRO!R:R)</f>
        <v>0</v>
      </c>
      <c r="I267" s="1">
        <f>SUMIF(MICRO!AP:AP,O:O,MICRO!T:T)</f>
        <v>0</v>
      </c>
      <c r="J267" s="59">
        <f t="shared" si="85"/>
        <v>0</v>
      </c>
      <c r="K267" s="1">
        <f>SUMIF(MICRO!AP:AP,O:O,MICRO!X:X)</f>
        <v>0</v>
      </c>
      <c r="L267" s="59" t="str">
        <f t="shared" si="86"/>
        <v>0%</v>
      </c>
      <c r="M267" s="1">
        <f t="shared" si="87"/>
        <v>0</v>
      </c>
      <c r="N267" s="56" t="e">
        <f t="shared" si="88"/>
        <v>#N/A</v>
      </c>
      <c r="O267" s="56" t="e">
        <f t="shared" si="89"/>
        <v>#N/A</v>
      </c>
      <c r="P267" s="2">
        <f>SUMIF(MICRO!AP:AP,O267,MICRO!AS:AS)</f>
        <v>0</v>
      </c>
      <c r="Q267">
        <f>SUMIF(MICRO!AP:AP,O267,MICRO!AT:AT)</f>
        <v>0</v>
      </c>
      <c r="R267">
        <f>SUMIF(MICRO!AP:AP,O:O,MICRO!AU:AU)</f>
        <v>0</v>
      </c>
    </row>
    <row r="268" spans="4:18" ht="18.75" thickBot="1" x14ac:dyDescent="0.3">
      <c r="D268" s="110" t="s">
        <v>572</v>
      </c>
      <c r="E268" s="111" t="e">
        <f>VLOOKUP(Tabela2[[#This Row],[TAG]],MICRO!J:L,3,0)</f>
        <v>#N/A</v>
      </c>
      <c r="F268" s="109" t="s">
        <v>32</v>
      </c>
      <c r="G268" s="112">
        <f>SUMIF(MICRO!AP:AP,O:O,MICRO!H:H)</f>
        <v>0</v>
      </c>
      <c r="H268" s="113">
        <f>SUMIF(MICRO!AP:AP,O:O,MICRO!R:R)</f>
        <v>0</v>
      </c>
      <c r="I268" s="113">
        <f>SUMIF(MICRO!AP:AP,O:O,MICRO!T:T)</f>
        <v>0</v>
      </c>
      <c r="J268" s="114">
        <f t="shared" si="85"/>
        <v>0</v>
      </c>
      <c r="K268" s="113">
        <f>SUMIF(MICRO!AP:AP,O:O,MICRO!X:X)</f>
        <v>0</v>
      </c>
      <c r="L268" s="114" t="str">
        <f t="shared" si="86"/>
        <v>0%</v>
      </c>
      <c r="M268" s="113">
        <f t="shared" si="87"/>
        <v>0</v>
      </c>
      <c r="N268" s="56" t="e">
        <f t="shared" si="88"/>
        <v>#N/A</v>
      </c>
      <c r="O268" s="56" t="e">
        <f t="shared" si="89"/>
        <v>#N/A</v>
      </c>
      <c r="P268" s="2">
        <f>SUMIF(MICRO!AP:AP,O268,MICRO!AS:AS)</f>
        <v>0</v>
      </c>
      <c r="Q268">
        <f>SUMIF(MICRO!AP:AP,O268,MICRO!AT:AT)</f>
        <v>0</v>
      </c>
      <c r="R268">
        <f>SUMIF(MICRO!AP:AP,O:O,MICRO!AU:AU)</f>
        <v>0</v>
      </c>
    </row>
    <row r="269" spans="4:18" ht="18.75" thickBot="1" x14ac:dyDescent="0.3">
      <c r="D269" s="110" t="s">
        <v>811</v>
      </c>
      <c r="E269" s="111" t="e">
        <f>VLOOKUP(Tabela2[[#This Row],[TAG]],MICRO!J:L,3,0)</f>
        <v>#N/A</v>
      </c>
      <c r="F269" s="109" t="s">
        <v>23</v>
      </c>
      <c r="G269" s="112">
        <f>SUMIF(MICRO!AP:AP,O:O,MICRO!H:H)</f>
        <v>0</v>
      </c>
      <c r="H269" s="113">
        <f>SUMIF(MICRO!AP:AP,O:O,MICRO!R:R)</f>
        <v>0</v>
      </c>
      <c r="I269" s="113">
        <f>SUMIF(MICRO!AP:AP,O:O,MICRO!T:T)</f>
        <v>0</v>
      </c>
      <c r="J269" s="114">
        <f t="shared" ref="J269:J287" si="90">IF(G269 = 0,0,H269/G269)</f>
        <v>0</v>
      </c>
      <c r="K269" s="113">
        <f>SUMIF(MICRO!AP:AP,O:O,MICRO!X:X)</f>
        <v>0</v>
      </c>
      <c r="L269" s="114" t="str">
        <f t="shared" ref="L269:L287" si="91">IF(G269&lt;&gt;0,SUM(K269/G269*1),"0%")</f>
        <v>0%</v>
      </c>
      <c r="M269" s="113">
        <f t="shared" ref="M269:M287" si="92">G269-K269</f>
        <v>0</v>
      </c>
      <c r="N269" s="56" t="e">
        <f t="shared" ref="N269:N287" si="93">E269&amp;F269</f>
        <v>#N/A</v>
      </c>
      <c r="O269" s="56" t="e">
        <f t="shared" ref="O269:O287" si="94">D269&amp;E269&amp;F269</f>
        <v>#N/A</v>
      </c>
      <c r="P269" s="2">
        <f>SUMIF(MICRO!AP:AP,O269,MICRO!AS:AS)</f>
        <v>0</v>
      </c>
      <c r="Q269">
        <f>SUMIF(MICRO!AP:AP,O269,MICRO!AT:AT)</f>
        <v>0</v>
      </c>
      <c r="R269">
        <f>SUMIF(MICRO!AP:AP,O:O,MICRO!AU:AU)</f>
        <v>0</v>
      </c>
    </row>
    <row r="270" spans="4:18" ht="18.75" thickBot="1" x14ac:dyDescent="0.3">
      <c r="D270" s="110" t="s">
        <v>812</v>
      </c>
      <c r="E270" s="111" t="e">
        <f>VLOOKUP(Tabela2[[#This Row],[TAG]],MICRO!J:L,3,0)</f>
        <v>#N/A</v>
      </c>
      <c r="F270" s="109" t="s">
        <v>23</v>
      </c>
      <c r="G270" s="112">
        <f>SUMIF(MICRO!AP:AP,O:O,MICRO!H:H)</f>
        <v>0</v>
      </c>
      <c r="H270" s="113">
        <f>SUMIF(MICRO!AP:AP,O:O,MICRO!R:R)</f>
        <v>0</v>
      </c>
      <c r="I270" s="113">
        <f>SUMIF(MICRO!AP:AP,O:O,MICRO!T:T)</f>
        <v>0</v>
      </c>
      <c r="J270" s="114">
        <f t="shared" si="90"/>
        <v>0</v>
      </c>
      <c r="K270" s="113">
        <f>SUMIF(MICRO!AP:AP,O:O,MICRO!X:X)</f>
        <v>0</v>
      </c>
      <c r="L270" s="114" t="str">
        <f t="shared" si="91"/>
        <v>0%</v>
      </c>
      <c r="M270" s="113">
        <f t="shared" si="92"/>
        <v>0</v>
      </c>
      <c r="N270" s="56" t="e">
        <f t="shared" si="93"/>
        <v>#N/A</v>
      </c>
      <c r="O270" s="56" t="e">
        <f t="shared" si="94"/>
        <v>#N/A</v>
      </c>
      <c r="P270" s="2">
        <f>SUMIF(MICRO!AP:AP,O270,MICRO!AS:AS)</f>
        <v>0</v>
      </c>
      <c r="Q270">
        <f>SUMIF(MICRO!AP:AP,O270,MICRO!AT:AT)</f>
        <v>0</v>
      </c>
      <c r="R270">
        <f>SUMIF(MICRO!AP:AP,O:O,MICRO!AU:AU)</f>
        <v>0</v>
      </c>
    </row>
    <row r="271" spans="4:18" ht="18.75" thickBot="1" x14ac:dyDescent="0.3">
      <c r="D271" s="110" t="s">
        <v>810</v>
      </c>
      <c r="E271" s="111" t="e">
        <f>VLOOKUP(Tabela2[[#This Row],[TAG]],MICRO!J:L,3,0)</f>
        <v>#N/A</v>
      </c>
      <c r="F271" s="109" t="s">
        <v>33</v>
      </c>
      <c r="G271" s="112">
        <f>SUMIF(MICRO!AP:AP,O:O,MICRO!H:H)</f>
        <v>0</v>
      </c>
      <c r="H271" s="113">
        <f>SUMIF(MICRO!AP:AP,O:O,MICRO!R:R)</f>
        <v>0</v>
      </c>
      <c r="I271" s="113">
        <f>SUMIF(MICRO!AP:AP,O:O,MICRO!T:T)</f>
        <v>0</v>
      </c>
      <c r="J271" s="114">
        <f t="shared" si="90"/>
        <v>0</v>
      </c>
      <c r="K271" s="113">
        <f>SUMIF(MICRO!AP:AP,O:O,MICRO!X:X)</f>
        <v>0</v>
      </c>
      <c r="L271" s="114" t="str">
        <f t="shared" si="91"/>
        <v>0%</v>
      </c>
      <c r="M271" s="113">
        <f t="shared" si="92"/>
        <v>0</v>
      </c>
      <c r="N271" s="56" t="e">
        <f t="shared" si="93"/>
        <v>#N/A</v>
      </c>
      <c r="O271" s="56" t="e">
        <f t="shared" si="94"/>
        <v>#N/A</v>
      </c>
      <c r="P271" s="2">
        <f>SUMIF(MICRO!AP:AP,O271,MICRO!AS:AS)</f>
        <v>0</v>
      </c>
      <c r="Q271">
        <f>SUMIF(MICRO!AP:AP,O271,MICRO!AT:AT)</f>
        <v>0</v>
      </c>
      <c r="R271">
        <f>SUMIF(MICRO!AP:AP,O:O,MICRO!AU:AU)</f>
        <v>0</v>
      </c>
    </row>
    <row r="272" spans="4:18" ht="18.75" thickBot="1" x14ac:dyDescent="0.3">
      <c r="D272" s="110" t="s">
        <v>813</v>
      </c>
      <c r="E272" s="111" t="e">
        <f>VLOOKUP(Tabela2[[#This Row],[TAG]],MICRO!J:L,3,0)</f>
        <v>#N/A</v>
      </c>
      <c r="F272" s="109" t="s">
        <v>45</v>
      </c>
      <c r="G272" s="112">
        <f>SUMIF(MICRO!AP:AP,O:O,MICRO!H:H)</f>
        <v>0</v>
      </c>
      <c r="H272" s="113">
        <f>SUMIF(MICRO!AP:AP,O:O,MICRO!R:R)</f>
        <v>0</v>
      </c>
      <c r="I272" s="113">
        <f>SUMIF(MICRO!AP:AP,O:O,MICRO!T:T)</f>
        <v>0</v>
      </c>
      <c r="J272" s="114">
        <f t="shared" si="90"/>
        <v>0</v>
      </c>
      <c r="K272" s="113">
        <f>SUMIF(MICRO!AP:AP,O:O,MICRO!X:X)</f>
        <v>0</v>
      </c>
      <c r="L272" s="114" t="str">
        <f t="shared" si="91"/>
        <v>0%</v>
      </c>
      <c r="M272" s="113">
        <f t="shared" si="92"/>
        <v>0</v>
      </c>
      <c r="N272" s="56" t="e">
        <f t="shared" si="93"/>
        <v>#N/A</v>
      </c>
      <c r="O272" s="56" t="e">
        <f t="shared" si="94"/>
        <v>#N/A</v>
      </c>
      <c r="P272" s="2">
        <f>SUMIF(MICRO!AP:AP,O272,MICRO!AS:AS)</f>
        <v>0</v>
      </c>
      <c r="Q272">
        <f>SUMIF(MICRO!AP:AP,O272,MICRO!AT:AT)</f>
        <v>0</v>
      </c>
      <c r="R272">
        <f>SUMIF(MICRO!AP:AP,O:O,MICRO!AU:AU)</f>
        <v>0</v>
      </c>
    </row>
    <row r="273" spans="4:18" ht="16.5" thickBot="1" x14ac:dyDescent="0.3">
      <c r="D273" s="110" t="s">
        <v>1126</v>
      </c>
      <c r="E273" s="111" t="e">
        <f>VLOOKUP(Tabela2[[#This Row],[TAG]],MICRO!J:L,3,0)</f>
        <v>#N/A</v>
      </c>
      <c r="F273" s="111" t="e">
        <f>_xlfn.XLOOKUP(Tabela2[[#This Row],[PEDIDO]],MICRO!L:L,MICRO!K:K,)</f>
        <v>#N/A</v>
      </c>
      <c r="G273" s="112">
        <f>SUMIF(MICRO!AP:AP,O:O,MICRO!H:H)</f>
        <v>0</v>
      </c>
      <c r="H273" s="113">
        <f>SUMIF(MICRO!AP:AP,O:O,MICRO!R:R)</f>
        <v>0</v>
      </c>
      <c r="I273" s="113">
        <f>SUMIF(MICRO!AP:AP,O:O,MICRO!T:T)</f>
        <v>0</v>
      </c>
      <c r="J273" s="114">
        <f t="shared" si="90"/>
        <v>0</v>
      </c>
      <c r="K273" s="113">
        <f>SUMIF(MICRO!AP:AP,O:O,MICRO!X:X)</f>
        <v>0</v>
      </c>
      <c r="L273" s="114" t="str">
        <f t="shared" si="91"/>
        <v>0%</v>
      </c>
      <c r="M273" s="113">
        <f t="shared" si="92"/>
        <v>0</v>
      </c>
      <c r="N273" s="56" t="e">
        <f t="shared" si="93"/>
        <v>#N/A</v>
      </c>
      <c r="O273" s="56" t="e">
        <f t="shared" si="94"/>
        <v>#N/A</v>
      </c>
      <c r="P273" s="2">
        <f>SUMIF(MICRO!AP:AP,O273,MICRO!AS:AS)</f>
        <v>0</v>
      </c>
      <c r="Q273">
        <f>SUMIF(MICRO!AP:AP,O273,MICRO!AT:AT)</f>
        <v>0</v>
      </c>
      <c r="R273">
        <f>SUMIF(MICRO!AP:AP,O:O,MICRO!AU:AU)</f>
        <v>0</v>
      </c>
    </row>
    <row r="274" spans="4:18" ht="16.5" thickBot="1" x14ac:dyDescent="0.3">
      <c r="D274" s="110" t="s">
        <v>1127</v>
      </c>
      <c r="E274" s="111" t="e">
        <f>VLOOKUP(Tabela2[[#This Row],[TAG]],MICRO!J:L,3,0)</f>
        <v>#N/A</v>
      </c>
      <c r="F274" s="111" t="e">
        <f>_xlfn.XLOOKUP(Tabela2[[#This Row],[PEDIDO]],MICRO!L:L,MICRO!K:K,)</f>
        <v>#N/A</v>
      </c>
      <c r="G274" s="112">
        <f>SUMIF(MICRO!AP:AP,O:O,MICRO!H:H)</f>
        <v>0</v>
      </c>
      <c r="H274" s="113">
        <f>SUMIF(MICRO!AP:AP,O:O,MICRO!R:R)</f>
        <v>0</v>
      </c>
      <c r="I274" s="113">
        <f>SUMIF(MICRO!AP:AP,O:O,MICRO!T:T)</f>
        <v>0</v>
      </c>
      <c r="J274" s="114">
        <f t="shared" si="90"/>
        <v>0</v>
      </c>
      <c r="K274" s="113">
        <f>SUMIF(MICRO!AP:AP,O:O,MICRO!X:X)</f>
        <v>0</v>
      </c>
      <c r="L274" s="114" t="str">
        <f t="shared" si="91"/>
        <v>0%</v>
      </c>
      <c r="M274" s="113">
        <f t="shared" si="92"/>
        <v>0</v>
      </c>
      <c r="N274" s="56" t="e">
        <f t="shared" si="93"/>
        <v>#N/A</v>
      </c>
      <c r="O274" s="56" t="e">
        <f t="shared" si="94"/>
        <v>#N/A</v>
      </c>
      <c r="P274" s="2">
        <f>SUMIF(MICRO!AP:AP,O274,MICRO!AS:AS)</f>
        <v>0</v>
      </c>
      <c r="Q274">
        <f>SUMIF(MICRO!AP:AP,O274,MICRO!AT:AT)</f>
        <v>0</v>
      </c>
      <c r="R274">
        <f>SUMIF(MICRO!AP:AP,O:O,MICRO!AU:AU)</f>
        <v>0</v>
      </c>
    </row>
    <row r="275" spans="4:18" ht="16.5" thickBot="1" x14ac:dyDescent="0.3">
      <c r="D275" s="110" t="s">
        <v>1131</v>
      </c>
      <c r="E275" s="111" t="e">
        <f>VLOOKUP(Tabela2[[#This Row],[TAG]],MICRO!J:L,3,0)</f>
        <v>#N/A</v>
      </c>
      <c r="F275" s="111" t="e">
        <f>_xlfn.XLOOKUP(Tabela2[[#This Row],[PEDIDO]],MICRO!L:L,MICRO!K:K,)</f>
        <v>#N/A</v>
      </c>
      <c r="G275" s="112">
        <f>SUMIF(MICRO!AP:AP,O:O,MICRO!H:H)</f>
        <v>0</v>
      </c>
      <c r="H275" s="113">
        <f>SUMIF(MICRO!AP:AP,O:O,MICRO!R:R)</f>
        <v>0</v>
      </c>
      <c r="I275" s="113">
        <f>SUMIF(MICRO!AP:AP,O:O,MICRO!T:T)</f>
        <v>0</v>
      </c>
      <c r="J275" s="114">
        <f t="shared" si="90"/>
        <v>0</v>
      </c>
      <c r="K275" s="113">
        <f>SUMIF(MICRO!AP:AP,O:O,MICRO!X:X)</f>
        <v>0</v>
      </c>
      <c r="L275" s="114" t="str">
        <f t="shared" si="91"/>
        <v>0%</v>
      </c>
      <c r="M275" s="113">
        <f t="shared" si="92"/>
        <v>0</v>
      </c>
      <c r="N275" s="56" t="e">
        <f t="shared" si="93"/>
        <v>#N/A</v>
      </c>
      <c r="O275" s="56" t="e">
        <f t="shared" si="94"/>
        <v>#N/A</v>
      </c>
      <c r="P275" s="2">
        <f>SUMIF(MICRO!AP:AP,O275,MICRO!AS:AS)</f>
        <v>0</v>
      </c>
      <c r="Q275">
        <f>SUMIF(MICRO!AP:AP,O275,MICRO!AT:AT)</f>
        <v>0</v>
      </c>
      <c r="R275">
        <f>SUMIF(MICRO!AP:AP,O:O,MICRO!AU:AU)</f>
        <v>0</v>
      </c>
    </row>
    <row r="276" spans="4:18" ht="16.5" thickBot="1" x14ac:dyDescent="0.3">
      <c r="D276" s="110" t="s">
        <v>1199</v>
      </c>
      <c r="E276" s="111" t="e">
        <f>VLOOKUP(Tabela2[[#This Row],[TAG]],MICRO!J:L,3,0)</f>
        <v>#N/A</v>
      </c>
      <c r="F276" s="111" t="e">
        <f>_xlfn.XLOOKUP(Tabela2[[#This Row],[PEDIDO]],MICRO!L:L,MICRO!K:K,)</f>
        <v>#N/A</v>
      </c>
      <c r="G276" s="112">
        <f>SUMIF(MICRO!AP:AP,O:O,MICRO!H:H)</f>
        <v>0</v>
      </c>
      <c r="H276" s="113">
        <f>SUMIF(MICRO!AP:AP,O:O,MICRO!R:R)</f>
        <v>0</v>
      </c>
      <c r="I276" s="113">
        <f>SUMIF(MICRO!AP:AP,O:O,MICRO!T:T)</f>
        <v>0</v>
      </c>
      <c r="J276" s="114">
        <f t="shared" si="90"/>
        <v>0</v>
      </c>
      <c r="K276" s="113">
        <f>SUMIF(MICRO!AP:AP,O:O,MICRO!X:X)</f>
        <v>0</v>
      </c>
      <c r="L276" s="114" t="str">
        <f t="shared" si="91"/>
        <v>0%</v>
      </c>
      <c r="M276" s="113">
        <f t="shared" si="92"/>
        <v>0</v>
      </c>
      <c r="N276" s="56" t="e">
        <f t="shared" si="93"/>
        <v>#N/A</v>
      </c>
      <c r="O276" s="56" t="e">
        <f t="shared" si="94"/>
        <v>#N/A</v>
      </c>
      <c r="P276" s="2">
        <f>SUMIF(MICRO!AP:AP,O276,MICRO!AS:AS)</f>
        <v>0</v>
      </c>
      <c r="Q276">
        <f>SUMIF(MICRO!AP:AP,O276,MICRO!AT:AT)</f>
        <v>0</v>
      </c>
      <c r="R276">
        <f>SUMIF(MICRO!AP:AP,O:O,MICRO!AU:AU)</f>
        <v>0</v>
      </c>
    </row>
    <row r="277" spans="4:18" ht="16.5" thickBot="1" x14ac:dyDescent="0.3">
      <c r="D277" s="110" t="s">
        <v>1200</v>
      </c>
      <c r="E277" s="111" t="e">
        <f>VLOOKUP(Tabela2[[#This Row],[TAG]],MICRO!J:L,3,0)</f>
        <v>#N/A</v>
      </c>
      <c r="F277" s="111" t="e">
        <f>_xlfn.XLOOKUP(Tabela2[[#This Row],[PEDIDO]],MICRO!L:L,MICRO!K:K,)</f>
        <v>#N/A</v>
      </c>
      <c r="G277" s="112">
        <f>SUMIF(MICRO!AP:AP,O:O,MICRO!H:H)</f>
        <v>0</v>
      </c>
      <c r="H277" s="113">
        <f>SUMIF(MICRO!AP:AP,O:O,MICRO!R:R)</f>
        <v>0</v>
      </c>
      <c r="I277" s="113">
        <f>SUMIF(MICRO!AP:AP,O:O,MICRO!T:T)</f>
        <v>0</v>
      </c>
      <c r="J277" s="114">
        <f t="shared" ref="J277:J285" si="95">IF(G277 = 0,0,H277/G277)</f>
        <v>0</v>
      </c>
      <c r="K277" s="113">
        <f>SUMIF(MICRO!AP:AP,O:O,MICRO!X:X)</f>
        <v>0</v>
      </c>
      <c r="L277" s="114" t="str">
        <f t="shared" ref="L277:L285" si="96">IF(G277&lt;&gt;0,SUM(K277/G277*1),"0%")</f>
        <v>0%</v>
      </c>
      <c r="M277" s="113">
        <f t="shared" ref="M277:M285" si="97">G277-K277</f>
        <v>0</v>
      </c>
      <c r="N277" s="56" t="e">
        <f t="shared" ref="N277:N285" si="98">E277&amp;F277</f>
        <v>#N/A</v>
      </c>
      <c r="O277" s="56" t="e">
        <f t="shared" ref="O277:O285" si="99">D277&amp;E277&amp;F277</f>
        <v>#N/A</v>
      </c>
      <c r="P277" s="2">
        <f>SUMIF(MICRO!AP:AP,O277,MICRO!AS:AS)</f>
        <v>0</v>
      </c>
      <c r="Q277">
        <f>SUMIF(MICRO!AP:AP,O277,MICRO!AT:AT)</f>
        <v>0</v>
      </c>
      <c r="R277">
        <f>SUMIF(MICRO!AP:AP,O:O,MICRO!AU:AU)</f>
        <v>0</v>
      </c>
    </row>
    <row r="278" spans="4:18" ht="16.5" thickBot="1" x14ac:dyDescent="0.3">
      <c r="D278" s="110" t="s">
        <v>1149</v>
      </c>
      <c r="E278" s="111" t="e">
        <f>VLOOKUP(Tabela2[[#This Row],[TAG]],MICRO!J:L,3,0)</f>
        <v>#N/A</v>
      </c>
      <c r="F278" s="111" t="e">
        <f>_xlfn.XLOOKUP(Tabela2[[#This Row],[PEDIDO]],MICRO!L:L,MICRO!K:K,)</f>
        <v>#N/A</v>
      </c>
      <c r="G278" s="112">
        <f>SUMIF(MICRO!AP:AP,O:O,MICRO!H:H)</f>
        <v>0</v>
      </c>
      <c r="H278" s="113">
        <f>SUMIF(MICRO!AP:AP,O:O,MICRO!R:R)</f>
        <v>0</v>
      </c>
      <c r="I278" s="113">
        <f>SUMIF(MICRO!AP:AP,O:O,MICRO!T:T)</f>
        <v>0</v>
      </c>
      <c r="J278" s="114">
        <f t="shared" si="95"/>
        <v>0</v>
      </c>
      <c r="K278" s="113">
        <f>SUMIF(MICRO!AP:AP,O:O,MICRO!X:X)</f>
        <v>0</v>
      </c>
      <c r="L278" s="114" t="str">
        <f t="shared" si="96"/>
        <v>0%</v>
      </c>
      <c r="M278" s="113">
        <f t="shared" si="97"/>
        <v>0</v>
      </c>
      <c r="N278" s="56" t="e">
        <f t="shared" si="98"/>
        <v>#N/A</v>
      </c>
      <c r="O278" s="56" t="e">
        <f t="shared" si="99"/>
        <v>#N/A</v>
      </c>
      <c r="P278" s="2">
        <f>SUMIF(MICRO!AP:AP,O278,MICRO!AS:AS)</f>
        <v>0</v>
      </c>
      <c r="Q278">
        <f>SUMIF(MICRO!AP:AP,O278,MICRO!AT:AT)</f>
        <v>0</v>
      </c>
      <c r="R278">
        <f>SUMIF(MICRO!AP:AP,O:O,MICRO!AU:AU)</f>
        <v>0</v>
      </c>
    </row>
    <row r="279" spans="4:18" ht="16.5" thickBot="1" x14ac:dyDescent="0.3">
      <c r="D279" s="110" t="s">
        <v>1148</v>
      </c>
      <c r="E279" s="111" t="e">
        <f>VLOOKUP(Tabela2[[#This Row],[TAG]],MICRO!J:L,3,0)</f>
        <v>#N/A</v>
      </c>
      <c r="F279" s="111" t="e">
        <f>_xlfn.XLOOKUP(Tabela2[[#This Row],[PEDIDO]],MICRO!L:L,MICRO!K:K,)</f>
        <v>#N/A</v>
      </c>
      <c r="G279" s="112">
        <f>SUMIF(MICRO!AP:AP,O:O,MICRO!H:H)</f>
        <v>0</v>
      </c>
      <c r="H279" s="113">
        <f>SUMIF(MICRO!AP:AP,O:O,MICRO!R:R)</f>
        <v>0</v>
      </c>
      <c r="I279" s="113">
        <f>SUMIF(MICRO!AP:AP,O:O,MICRO!T:T)</f>
        <v>0</v>
      </c>
      <c r="J279" s="114">
        <f t="shared" si="95"/>
        <v>0</v>
      </c>
      <c r="K279" s="113">
        <f>SUMIF(MICRO!AP:AP,O:O,MICRO!X:X)</f>
        <v>0</v>
      </c>
      <c r="L279" s="114" t="str">
        <f t="shared" si="96"/>
        <v>0%</v>
      </c>
      <c r="M279" s="113">
        <f t="shared" si="97"/>
        <v>0</v>
      </c>
      <c r="N279" s="56" t="e">
        <f t="shared" si="98"/>
        <v>#N/A</v>
      </c>
      <c r="O279" s="56" t="e">
        <f t="shared" si="99"/>
        <v>#N/A</v>
      </c>
      <c r="P279" s="2">
        <f>SUMIF(MICRO!AP:AP,O279,MICRO!AS:AS)</f>
        <v>0</v>
      </c>
      <c r="Q279">
        <f>SUMIF(MICRO!AP:AP,O279,MICRO!AT:AT)</f>
        <v>0</v>
      </c>
      <c r="R279">
        <f>SUMIF(MICRO!AP:AP,O:O,MICRO!AU:AU)</f>
        <v>0</v>
      </c>
    </row>
    <row r="280" spans="4:18" ht="16.5" thickBot="1" x14ac:dyDescent="0.3">
      <c r="D280" s="110" t="s">
        <v>1197</v>
      </c>
      <c r="E280" s="111" t="e">
        <f>VLOOKUP(Tabela2[[#This Row],[TAG]],MICRO!J:L,3,0)</f>
        <v>#N/A</v>
      </c>
      <c r="F280" s="111" t="e">
        <f>_xlfn.XLOOKUP(Tabela2[[#This Row],[PEDIDO]],MICRO!L:L,MICRO!K:K,)</f>
        <v>#N/A</v>
      </c>
      <c r="G280" s="112">
        <f>SUMIF(MICRO!AP:AP,O:O,MICRO!H:H)</f>
        <v>0</v>
      </c>
      <c r="H280" s="113">
        <f>SUMIF(MICRO!AP:AP,O:O,MICRO!R:R)</f>
        <v>0</v>
      </c>
      <c r="I280" s="113">
        <f>SUMIF(MICRO!AP:AP,O:O,MICRO!T:T)</f>
        <v>0</v>
      </c>
      <c r="J280" s="114">
        <f t="shared" si="95"/>
        <v>0</v>
      </c>
      <c r="K280" s="113">
        <f>SUMIF(MICRO!AP:AP,O:O,MICRO!X:X)</f>
        <v>0</v>
      </c>
      <c r="L280" s="114" t="str">
        <f t="shared" si="96"/>
        <v>0%</v>
      </c>
      <c r="M280" s="113">
        <f t="shared" si="97"/>
        <v>0</v>
      </c>
      <c r="N280" s="56" t="e">
        <f t="shared" si="98"/>
        <v>#N/A</v>
      </c>
      <c r="O280" s="56" t="e">
        <f t="shared" si="99"/>
        <v>#N/A</v>
      </c>
      <c r="P280" s="2">
        <f>SUMIF(MICRO!AP:AP,O280,MICRO!AS:AS)</f>
        <v>0</v>
      </c>
      <c r="Q280">
        <f>SUMIF(MICRO!AP:AP,O280,MICRO!AT:AT)</f>
        <v>0</v>
      </c>
      <c r="R280">
        <f>SUMIF(MICRO!AP:AP,O:O,MICRO!AU:AU)</f>
        <v>0</v>
      </c>
    </row>
    <row r="281" spans="4:18" ht="16.5" thickBot="1" x14ac:dyDescent="0.3">
      <c r="D281" s="110" t="s">
        <v>1196</v>
      </c>
      <c r="E281" s="111" t="e">
        <f>VLOOKUP(Tabela2[[#This Row],[TAG]],MICRO!J:L,3,0)</f>
        <v>#N/A</v>
      </c>
      <c r="F281" s="111" t="e">
        <f>_xlfn.XLOOKUP(Tabela2[[#This Row],[PEDIDO]],MICRO!L:L,MICRO!K:K,)</f>
        <v>#N/A</v>
      </c>
      <c r="G281" s="112">
        <f>SUMIF(MICRO!AP:AP,O:O,MICRO!H:H)</f>
        <v>0</v>
      </c>
      <c r="H281" s="113">
        <f>SUMIF(MICRO!AP:AP,O:O,MICRO!R:R)</f>
        <v>0</v>
      </c>
      <c r="I281" s="113">
        <f>SUMIF(MICRO!AP:AP,O:O,MICRO!T:T)</f>
        <v>0</v>
      </c>
      <c r="J281" s="114">
        <f t="shared" si="95"/>
        <v>0</v>
      </c>
      <c r="K281" s="113">
        <f>SUMIF(MICRO!AP:AP,O:O,MICRO!X:X)</f>
        <v>0</v>
      </c>
      <c r="L281" s="114" t="str">
        <f t="shared" si="96"/>
        <v>0%</v>
      </c>
      <c r="M281" s="113">
        <f t="shared" si="97"/>
        <v>0</v>
      </c>
      <c r="N281" s="56" t="e">
        <f t="shared" si="98"/>
        <v>#N/A</v>
      </c>
      <c r="O281" s="56" t="e">
        <f t="shared" si="99"/>
        <v>#N/A</v>
      </c>
      <c r="P281" s="2">
        <f>SUMIF(MICRO!AP:AP,O281,MICRO!AS:AS)</f>
        <v>0</v>
      </c>
      <c r="Q281">
        <f>SUMIF(MICRO!AP:AP,O281,MICRO!AT:AT)</f>
        <v>0</v>
      </c>
      <c r="R281">
        <f>SUMIF(MICRO!AP:AP,O:O,MICRO!AU:AU)</f>
        <v>0</v>
      </c>
    </row>
    <row r="282" spans="4:18" ht="16.5" thickBot="1" x14ac:dyDescent="0.3">
      <c r="D282" s="110" t="s">
        <v>1189</v>
      </c>
      <c r="E282" s="111" t="e">
        <f>VLOOKUP(Tabela2[[#This Row],[TAG]],MICRO!J:L,3,0)</f>
        <v>#N/A</v>
      </c>
      <c r="F282" s="111" t="e">
        <f>_xlfn.XLOOKUP(Tabela2[[#This Row],[PEDIDO]],MICRO!L:L,MICRO!K:K,)</f>
        <v>#N/A</v>
      </c>
      <c r="G282" s="112">
        <f>SUMIF(MICRO!AP:AP,O:O,MICRO!H:H)</f>
        <v>0</v>
      </c>
      <c r="H282" s="113">
        <f>SUMIF(MICRO!AP:AP,O:O,MICRO!R:R)</f>
        <v>0</v>
      </c>
      <c r="I282" s="113">
        <f>SUMIF(MICRO!AP:AP,O:O,MICRO!T:T)</f>
        <v>0</v>
      </c>
      <c r="J282" s="114">
        <f t="shared" si="95"/>
        <v>0</v>
      </c>
      <c r="K282" s="113">
        <f>SUMIF(MICRO!AP:AP,O:O,MICRO!X:X)</f>
        <v>0</v>
      </c>
      <c r="L282" s="114" t="str">
        <f t="shared" si="96"/>
        <v>0%</v>
      </c>
      <c r="M282" s="113">
        <f t="shared" si="97"/>
        <v>0</v>
      </c>
      <c r="N282" s="56" t="e">
        <f t="shared" si="98"/>
        <v>#N/A</v>
      </c>
      <c r="O282" s="56" t="e">
        <f t="shared" si="99"/>
        <v>#N/A</v>
      </c>
      <c r="P282" s="2">
        <f>SUMIF(MICRO!AP:AP,O282,MICRO!AS:AS)</f>
        <v>0</v>
      </c>
      <c r="Q282">
        <f>SUMIF(MICRO!AP:AP,O282,MICRO!AT:AT)</f>
        <v>0</v>
      </c>
      <c r="R282">
        <f>SUMIF(MICRO!AP:AP,O:O,MICRO!AU:AU)</f>
        <v>0</v>
      </c>
    </row>
    <row r="283" spans="4:18" ht="16.5" thickBot="1" x14ac:dyDescent="0.3">
      <c r="D283" s="110" t="s">
        <v>1198</v>
      </c>
      <c r="E283" s="111" t="e">
        <f>VLOOKUP(Tabela2[[#This Row],[TAG]],MICRO!J:L,3,0)</f>
        <v>#N/A</v>
      </c>
      <c r="F283" s="111" t="e">
        <f>_xlfn.XLOOKUP(Tabela2[[#This Row],[PEDIDO]],MICRO!L:L,MICRO!K:K,)</f>
        <v>#N/A</v>
      </c>
      <c r="G283" s="112">
        <f>SUMIF(MICRO!AP:AP,O:O,MICRO!H:H)</f>
        <v>0</v>
      </c>
      <c r="H283" s="113">
        <f>SUMIF(MICRO!AP:AP,O:O,MICRO!R:R)</f>
        <v>0</v>
      </c>
      <c r="I283" s="113">
        <f>SUMIF(MICRO!AP:AP,O:O,MICRO!T:T)</f>
        <v>0</v>
      </c>
      <c r="J283" s="114">
        <f t="shared" si="95"/>
        <v>0</v>
      </c>
      <c r="K283" s="113">
        <f>SUMIF(MICRO!AP:AP,O:O,MICRO!X:X)</f>
        <v>0</v>
      </c>
      <c r="L283" s="114" t="str">
        <f t="shared" si="96"/>
        <v>0%</v>
      </c>
      <c r="M283" s="113">
        <f t="shared" si="97"/>
        <v>0</v>
      </c>
      <c r="N283" s="56" t="e">
        <f t="shared" si="98"/>
        <v>#N/A</v>
      </c>
      <c r="O283" s="56" t="e">
        <f t="shared" si="99"/>
        <v>#N/A</v>
      </c>
      <c r="P283" s="2">
        <f>SUMIF(MICRO!AP:AP,O283,MICRO!AS:AS)</f>
        <v>0</v>
      </c>
      <c r="Q283">
        <f>SUMIF(MICRO!AP:AP,O283,MICRO!AT:AT)</f>
        <v>0</v>
      </c>
      <c r="R283">
        <f>SUMIF(MICRO!AP:AP,O:O,MICRO!AU:AU)</f>
        <v>0</v>
      </c>
    </row>
    <row r="284" spans="4:18" ht="16.5" thickBot="1" x14ac:dyDescent="0.3">
      <c r="D284" s="110" t="s">
        <v>1188</v>
      </c>
      <c r="E284" s="111" t="e">
        <f>VLOOKUP(Tabela2[[#This Row],[TAG]],MICRO!J:L,3,0)</f>
        <v>#N/A</v>
      </c>
      <c r="F284" s="111" t="e">
        <f>_xlfn.XLOOKUP(Tabela2[[#This Row],[PEDIDO]],MICRO!L:L,MICRO!K:K,)</f>
        <v>#N/A</v>
      </c>
      <c r="G284" s="112">
        <f>SUMIF(MICRO!AP:AP,O:O,MICRO!H:H)</f>
        <v>0</v>
      </c>
      <c r="H284" s="113">
        <f>SUMIF(MICRO!AP:AP,O:O,MICRO!R:R)</f>
        <v>0</v>
      </c>
      <c r="I284" s="113">
        <f>SUMIF(MICRO!AP:AP,O:O,MICRO!T:T)</f>
        <v>0</v>
      </c>
      <c r="J284" s="114">
        <f t="shared" si="95"/>
        <v>0</v>
      </c>
      <c r="K284" s="113">
        <f>SUMIF(MICRO!AP:AP,O:O,MICRO!X:X)</f>
        <v>0</v>
      </c>
      <c r="L284" s="114" t="str">
        <f t="shared" si="96"/>
        <v>0%</v>
      </c>
      <c r="M284" s="113">
        <f t="shared" si="97"/>
        <v>0</v>
      </c>
      <c r="N284" s="56" t="e">
        <f t="shared" si="98"/>
        <v>#N/A</v>
      </c>
      <c r="O284" s="56" t="e">
        <f t="shared" si="99"/>
        <v>#N/A</v>
      </c>
      <c r="P284" s="2">
        <f>SUMIF(MICRO!AP:AP,O284,MICRO!AS:AS)</f>
        <v>0</v>
      </c>
      <c r="Q284">
        <f>SUMIF(MICRO!AP:AP,O284,MICRO!AT:AT)</f>
        <v>0</v>
      </c>
      <c r="R284">
        <f>SUMIF(MICRO!AP:AP,O:O,MICRO!AU:AU)</f>
        <v>0</v>
      </c>
    </row>
    <row r="285" spans="4:18" ht="18.75" thickBot="1" x14ac:dyDescent="0.3">
      <c r="D285" s="110"/>
      <c r="E285" s="111" t="e">
        <f>VLOOKUP(Tabela2[[#This Row],[TAG]],MICRO!J:L,3,0)</f>
        <v>#N/A</v>
      </c>
      <c r="F285" s="109"/>
      <c r="G285" s="112">
        <f>SUMIF(MICRO!AP:AP,O:O,MICRO!H:H)</f>
        <v>0</v>
      </c>
      <c r="H285" s="113">
        <f>SUMIF(MICRO!AP:AP,O:O,MICRO!R:R)</f>
        <v>0</v>
      </c>
      <c r="I285" s="113">
        <f>SUMIF(MICRO!AP:AP,O:O,MICRO!T:T)</f>
        <v>0</v>
      </c>
      <c r="J285" s="114">
        <f t="shared" si="95"/>
        <v>0</v>
      </c>
      <c r="K285" s="113">
        <f>SUMIF(MICRO!AP:AP,O:O,MICRO!X:X)</f>
        <v>0</v>
      </c>
      <c r="L285" s="114" t="str">
        <f t="shared" si="96"/>
        <v>0%</v>
      </c>
      <c r="M285" s="113">
        <f t="shared" si="97"/>
        <v>0</v>
      </c>
      <c r="N285" s="56" t="e">
        <f t="shared" si="98"/>
        <v>#N/A</v>
      </c>
      <c r="O285" s="56" t="e">
        <f t="shared" si="99"/>
        <v>#N/A</v>
      </c>
      <c r="P285" s="2">
        <f>SUMIF(MICRO!AP:AP,O285,MICRO!AS:AS)</f>
        <v>0</v>
      </c>
      <c r="Q285">
        <f>SUMIF(MICRO!AP:AP,O285,MICRO!AT:AT)</f>
        <v>0</v>
      </c>
      <c r="R285">
        <f>SUMIF(MICRO!AP:AP,O:O,MICRO!AU:AU)</f>
        <v>0</v>
      </c>
    </row>
    <row r="286" spans="4:18" ht="18.75" thickBot="1" x14ac:dyDescent="0.3">
      <c r="D286" s="110"/>
      <c r="E286" s="111" t="e">
        <f>VLOOKUP(Tabela2[[#This Row],[TAG]],MICRO!J:L,3,0)</f>
        <v>#N/A</v>
      </c>
      <c r="F286" s="109"/>
      <c r="G286" s="112">
        <f>SUMIF(MICRO!AP:AP,O:O,MICRO!H:H)</f>
        <v>0</v>
      </c>
      <c r="H286" s="113">
        <f>SUMIF(MICRO!AP:AP,O:O,MICRO!R:R)</f>
        <v>0</v>
      </c>
      <c r="I286" s="113">
        <f>SUMIF(MICRO!AP:AP,O:O,MICRO!T:T)</f>
        <v>0</v>
      </c>
      <c r="J286" s="114">
        <f t="shared" si="90"/>
        <v>0</v>
      </c>
      <c r="K286" s="113">
        <f>SUMIF(MICRO!AP:AP,O:O,MICRO!X:X)</f>
        <v>0</v>
      </c>
      <c r="L286" s="114" t="str">
        <f t="shared" si="91"/>
        <v>0%</v>
      </c>
      <c r="M286" s="113">
        <f t="shared" si="92"/>
        <v>0</v>
      </c>
      <c r="N286" s="56" t="e">
        <f t="shared" si="93"/>
        <v>#N/A</v>
      </c>
      <c r="O286" s="56" t="e">
        <f t="shared" si="94"/>
        <v>#N/A</v>
      </c>
      <c r="P286" s="2">
        <f>SUMIF(MICRO!AP:AP,O286,MICRO!AS:AS)</f>
        <v>0</v>
      </c>
      <c r="Q286">
        <f>SUMIF(MICRO!AP:AP,O286,MICRO!AT:AT)</f>
        <v>0</v>
      </c>
      <c r="R286">
        <f>SUMIF(MICRO!AP:AP,O:O,MICRO!AU:AU)</f>
        <v>0</v>
      </c>
    </row>
    <row r="287" spans="4:18" ht="18.75" thickBot="1" x14ac:dyDescent="0.3">
      <c r="D287" s="110"/>
      <c r="E287" s="111" t="e">
        <f>VLOOKUP(Tabela2[[#This Row],[TAG]],MICRO!J:L,3,0)</f>
        <v>#N/A</v>
      </c>
      <c r="F287" s="109"/>
      <c r="G287" s="112">
        <f>SUMIF(MICRO!AP:AP,O:O,MICRO!H:H)</f>
        <v>0</v>
      </c>
      <c r="H287" s="113">
        <f>SUMIF(MICRO!AP:AP,O:O,MICRO!R:R)</f>
        <v>0</v>
      </c>
      <c r="I287" s="113">
        <f>SUMIF(MICRO!AP:AP,O:O,MICRO!T:T)</f>
        <v>0</v>
      </c>
      <c r="J287" s="114">
        <f t="shared" si="90"/>
        <v>0</v>
      </c>
      <c r="K287" s="113">
        <f>SUMIF(MICRO!AP:AP,O:O,MICRO!X:X)</f>
        <v>0</v>
      </c>
      <c r="L287" s="114" t="str">
        <f t="shared" si="91"/>
        <v>0%</v>
      </c>
      <c r="M287" s="113">
        <f t="shared" si="92"/>
        <v>0</v>
      </c>
      <c r="N287" s="56" t="e">
        <f t="shared" si="93"/>
        <v>#N/A</v>
      </c>
      <c r="O287" s="56" t="e">
        <f t="shared" si="94"/>
        <v>#N/A</v>
      </c>
      <c r="P287" s="2">
        <f>SUMIF(MICRO!AP:AP,O287,MICRO!AS:AS)</f>
        <v>0</v>
      </c>
      <c r="Q287">
        <f>SUMIF(MICRO!AP:AP,O287,MICRO!AT:AT)</f>
        <v>0</v>
      </c>
      <c r="R287">
        <f>SUMIF(MICRO!AP:AP,O:O,MICRO!AU:AU)</f>
        <v>0</v>
      </c>
    </row>
    <row r="288" spans="4:18" ht="18.75" thickBot="1" x14ac:dyDescent="0.3">
      <c r="D288" s="110" t="s">
        <v>652</v>
      </c>
      <c r="E288" s="111" t="e">
        <f>VLOOKUP(Tabela2[[#This Row],[TAG]],MICRO!J:L,3,0)</f>
        <v>#N/A</v>
      </c>
      <c r="F288" s="109" t="s">
        <v>31</v>
      </c>
      <c r="G288" s="112">
        <f>SUMIF(MICRO!AP:AP,O:O,MICRO!H:H)</f>
        <v>0</v>
      </c>
      <c r="H288" s="113">
        <f>SUMIF(MICRO!AP:AP,O:O,MICRO!R:R)</f>
        <v>0</v>
      </c>
      <c r="I288" s="113">
        <f>SUMIF(MICRO!AP:AP,O:O,MICRO!T:T)</f>
        <v>0</v>
      </c>
      <c r="J288" s="114">
        <f t="shared" ref="J288:J299" si="100">IF(G288 = 0,0,H288/G288)</f>
        <v>0</v>
      </c>
      <c r="K288" s="113">
        <f>SUMIF(MICRO!AP:AP,O:O,MICRO!X:X)</f>
        <v>0</v>
      </c>
      <c r="L288" s="114" t="str">
        <f t="shared" ref="L288:L299" si="101">IF(G288&lt;&gt;0,SUM(K288/G288*1),"0%")</f>
        <v>0%</v>
      </c>
      <c r="M288" s="113">
        <f t="shared" ref="M288:M299" si="102">G288-K288</f>
        <v>0</v>
      </c>
      <c r="N288" s="56" t="e">
        <f t="shared" ref="N288:N299" si="103">E288&amp;F288</f>
        <v>#N/A</v>
      </c>
      <c r="O288" s="56" t="e">
        <f t="shared" ref="O288:O299" si="104">D288&amp;E288&amp;F288</f>
        <v>#N/A</v>
      </c>
      <c r="P288" s="2">
        <f>SUMIF(MICRO!AP:AP,O288,MICRO!AS:AS)</f>
        <v>0</v>
      </c>
      <c r="Q288">
        <f>SUMIF(MICRO!AP:AP,O288,MICRO!AT:AT)</f>
        <v>0</v>
      </c>
      <c r="R288">
        <f>SUMIF(MICRO!AP:AP,O:O,MICRO!AU:AU)</f>
        <v>0</v>
      </c>
    </row>
    <row r="289" spans="4:18" ht="18.75" thickBot="1" x14ac:dyDescent="0.3">
      <c r="D289" s="110" t="s">
        <v>652</v>
      </c>
      <c r="E289" s="111" t="e">
        <f>VLOOKUP(Tabela2[[#This Row],[TAG]],MICRO!J:L,3,0)</f>
        <v>#N/A</v>
      </c>
      <c r="F289" s="109" t="s">
        <v>22</v>
      </c>
      <c r="G289" s="112">
        <f>SUMIF(MICRO!AP:AP,O:O,MICRO!H:H)</f>
        <v>0</v>
      </c>
      <c r="H289" s="113">
        <f>SUMIF(MICRO!AP:AP,O:O,MICRO!R:R)</f>
        <v>0</v>
      </c>
      <c r="I289" s="113">
        <f>SUMIF(MICRO!AP:AP,O:O,MICRO!T:T)</f>
        <v>0</v>
      </c>
      <c r="J289" s="114">
        <f t="shared" si="100"/>
        <v>0</v>
      </c>
      <c r="K289" s="113">
        <f>SUMIF(MICRO!AP:AP,O:O,MICRO!X:X)</f>
        <v>0</v>
      </c>
      <c r="L289" s="114" t="str">
        <f t="shared" si="101"/>
        <v>0%</v>
      </c>
      <c r="M289" s="113">
        <f t="shared" si="102"/>
        <v>0</v>
      </c>
      <c r="N289" s="56" t="e">
        <f t="shared" si="103"/>
        <v>#N/A</v>
      </c>
      <c r="O289" s="56" t="e">
        <f t="shared" si="104"/>
        <v>#N/A</v>
      </c>
      <c r="P289" s="2">
        <f>SUMIF(MICRO!AP:AP,O289,MICRO!AS:AS)</f>
        <v>0</v>
      </c>
      <c r="Q289">
        <f>SUMIF(MICRO!AP:AP,O289,MICRO!AT:AT)</f>
        <v>0</v>
      </c>
      <c r="R289">
        <f>SUMIF(MICRO!AP:AP,O:O,MICRO!AU:AU)</f>
        <v>0</v>
      </c>
    </row>
    <row r="290" spans="4:18" ht="18.75" thickBot="1" x14ac:dyDescent="0.3">
      <c r="D290" s="110" t="s">
        <v>652</v>
      </c>
      <c r="E290" s="111" t="e">
        <f>VLOOKUP(Tabela2[[#This Row],[TAG]],MICRO!J:L,3,0)</f>
        <v>#N/A</v>
      </c>
      <c r="F290" s="109" t="s">
        <v>32</v>
      </c>
      <c r="G290" s="112">
        <f>SUMIF(MICRO!AP:AP,O:O,MICRO!H:H)</f>
        <v>0</v>
      </c>
      <c r="H290" s="113">
        <f>SUMIF(MICRO!AP:AP,O:O,MICRO!R:R)</f>
        <v>0</v>
      </c>
      <c r="I290" s="113">
        <f>SUMIF(MICRO!AP:AP,O:O,MICRO!T:T)</f>
        <v>0</v>
      </c>
      <c r="J290" s="114">
        <f t="shared" si="100"/>
        <v>0</v>
      </c>
      <c r="K290" s="113">
        <f>SUMIF(MICRO!AP:AP,O:O,MICRO!X:X)</f>
        <v>0</v>
      </c>
      <c r="L290" s="114" t="str">
        <f t="shared" si="101"/>
        <v>0%</v>
      </c>
      <c r="M290" s="113">
        <f t="shared" si="102"/>
        <v>0</v>
      </c>
      <c r="N290" s="56" t="e">
        <f t="shared" si="103"/>
        <v>#N/A</v>
      </c>
      <c r="O290" s="56" t="e">
        <f t="shared" si="104"/>
        <v>#N/A</v>
      </c>
      <c r="P290" s="2">
        <f>SUMIF(MICRO!AP:AP,O290,MICRO!AS:AS)</f>
        <v>0</v>
      </c>
      <c r="Q290">
        <f>SUMIF(MICRO!AP:AP,O290,MICRO!AT:AT)</f>
        <v>0</v>
      </c>
      <c r="R290">
        <f>SUMIF(MICRO!AP:AP,O:O,MICRO!AU:AU)</f>
        <v>0</v>
      </c>
    </row>
    <row r="291" spans="4:18" ht="18.75" thickBot="1" x14ac:dyDescent="0.3">
      <c r="D291" s="110" t="s">
        <v>652</v>
      </c>
      <c r="E291" s="111" t="e">
        <f>VLOOKUP(Tabela2[[#This Row],[TAG]],MICRO!J:L,3,0)</f>
        <v>#N/A</v>
      </c>
      <c r="F291" s="109" t="s">
        <v>33</v>
      </c>
      <c r="G291" s="112">
        <f>SUMIF(MICRO!AP:AP,O:O,MICRO!H:H)</f>
        <v>0</v>
      </c>
      <c r="H291" s="113">
        <f>SUMIF(MICRO!AP:AP,O:O,MICRO!R:R)</f>
        <v>0</v>
      </c>
      <c r="I291" s="113">
        <f>SUMIF(MICRO!AP:AP,O:O,MICRO!T:T)</f>
        <v>0</v>
      </c>
      <c r="J291" s="114">
        <f t="shared" si="100"/>
        <v>0</v>
      </c>
      <c r="K291" s="113">
        <f>SUMIF(MICRO!AP:AP,O:O,MICRO!X:X)</f>
        <v>0</v>
      </c>
      <c r="L291" s="114" t="str">
        <f t="shared" si="101"/>
        <v>0%</v>
      </c>
      <c r="M291" s="113">
        <f t="shared" si="102"/>
        <v>0</v>
      </c>
      <c r="N291" s="56" t="e">
        <f t="shared" si="103"/>
        <v>#N/A</v>
      </c>
      <c r="O291" s="56" t="e">
        <f t="shared" si="104"/>
        <v>#N/A</v>
      </c>
      <c r="P291" s="2">
        <f>SUMIF(MICRO!AP:AP,O291,MICRO!AS:AS)</f>
        <v>0</v>
      </c>
      <c r="Q291">
        <f>SUMIF(MICRO!AP:AP,O291,MICRO!AT:AT)</f>
        <v>0</v>
      </c>
      <c r="R291">
        <f>SUMIF(MICRO!AP:AP,O:O,MICRO!AU:AU)</f>
        <v>0</v>
      </c>
    </row>
    <row r="292" spans="4:18" ht="18.75" thickBot="1" x14ac:dyDescent="0.3">
      <c r="D292" s="110" t="s">
        <v>585</v>
      </c>
      <c r="E292" s="111" t="e">
        <f>VLOOKUP(Tabela2[[#This Row],[TAG]],MICRO!J:L,3,0)</f>
        <v>#N/A</v>
      </c>
      <c r="F292" s="109" t="s">
        <v>22</v>
      </c>
      <c r="G292" s="112">
        <f>SUMIF(MICRO!AP:AP,O:O,MICRO!H:H)</f>
        <v>0</v>
      </c>
      <c r="H292" s="113">
        <f>SUMIF(MICRO!AP:AP,O:O,MICRO!R:R)</f>
        <v>0</v>
      </c>
      <c r="I292" s="113">
        <f>SUMIF(MICRO!AP:AP,O:O,MICRO!T:T)</f>
        <v>0</v>
      </c>
      <c r="J292" s="114">
        <f t="shared" si="100"/>
        <v>0</v>
      </c>
      <c r="K292" s="113">
        <f>SUMIF(MICRO!AP:AP,O:O,MICRO!X:X)</f>
        <v>0</v>
      </c>
      <c r="L292" s="114" t="str">
        <f t="shared" si="101"/>
        <v>0%</v>
      </c>
      <c r="M292" s="113">
        <f t="shared" si="102"/>
        <v>0</v>
      </c>
      <c r="N292" s="56" t="e">
        <f t="shared" si="103"/>
        <v>#N/A</v>
      </c>
      <c r="O292" s="56" t="e">
        <f t="shared" si="104"/>
        <v>#N/A</v>
      </c>
      <c r="P292" s="2">
        <f>SUMIF(MICRO!AP:AP,O292,MICRO!AS:AS)</f>
        <v>0</v>
      </c>
      <c r="Q292">
        <f>SUMIF(MICRO!AP:AP,O292,MICRO!AT:AT)</f>
        <v>0</v>
      </c>
      <c r="R292">
        <f>SUMIF(MICRO!AP:AP,O:O,MICRO!AU:AU)</f>
        <v>0</v>
      </c>
    </row>
    <row r="293" spans="4:18" ht="18.75" thickBot="1" x14ac:dyDescent="0.3">
      <c r="D293" s="110" t="s">
        <v>634</v>
      </c>
      <c r="E293" s="111" t="e">
        <f>VLOOKUP(Tabela2[[#This Row],[TAG]],MICRO!J:L,3,0)</f>
        <v>#N/A</v>
      </c>
      <c r="F293" s="109" t="s">
        <v>22</v>
      </c>
      <c r="G293" s="112">
        <f>SUMIF(MICRO!AP:AP,O:O,MICRO!H:H)</f>
        <v>0</v>
      </c>
      <c r="H293" s="113">
        <f>SUMIF(MICRO!AP:AP,O:O,MICRO!R:R)</f>
        <v>0</v>
      </c>
      <c r="I293" s="113">
        <f>SUMIF(MICRO!AP:AP,O:O,MICRO!T:T)</f>
        <v>0</v>
      </c>
      <c r="J293" s="114">
        <f t="shared" si="100"/>
        <v>0</v>
      </c>
      <c r="K293" s="113">
        <f>SUMIF(MICRO!AP:AP,O:O,MICRO!X:X)</f>
        <v>0</v>
      </c>
      <c r="L293" s="114" t="str">
        <f t="shared" si="101"/>
        <v>0%</v>
      </c>
      <c r="M293" s="113">
        <f t="shared" si="102"/>
        <v>0</v>
      </c>
      <c r="N293" s="56" t="e">
        <f t="shared" si="103"/>
        <v>#N/A</v>
      </c>
      <c r="O293" s="56" t="e">
        <f t="shared" si="104"/>
        <v>#N/A</v>
      </c>
      <c r="P293" s="2">
        <f>SUMIF(MICRO!AP:AP,O293,MICRO!AS:AS)</f>
        <v>0</v>
      </c>
      <c r="Q293">
        <f>SUMIF(MICRO!AP:AP,O293,MICRO!AT:AT)</f>
        <v>0</v>
      </c>
      <c r="R293">
        <f>SUMIF(MICRO!AP:AP,O:O,MICRO!AU:AU)</f>
        <v>0</v>
      </c>
    </row>
    <row r="294" spans="4:18" ht="18.75" thickBot="1" x14ac:dyDescent="0.3">
      <c r="D294" s="110" t="s">
        <v>634</v>
      </c>
      <c r="E294" s="111" t="e">
        <f>VLOOKUP(Tabela2[[#This Row],[TAG]],MICRO!J:L,3,0)</f>
        <v>#N/A</v>
      </c>
      <c r="F294" s="109" t="s">
        <v>32</v>
      </c>
      <c r="G294" s="112">
        <f>SUMIF(MICRO!AP:AP,O:O,MICRO!H:H)</f>
        <v>0</v>
      </c>
      <c r="H294" s="113">
        <f>SUMIF(MICRO!AP:AP,O:O,MICRO!R:R)</f>
        <v>0</v>
      </c>
      <c r="I294" s="113">
        <f>SUMIF(MICRO!AP:AP,O:O,MICRO!T:T)</f>
        <v>0</v>
      </c>
      <c r="J294" s="114">
        <f t="shared" si="100"/>
        <v>0</v>
      </c>
      <c r="K294" s="113">
        <f>SUMIF(MICRO!AP:AP,O:O,MICRO!X:X)</f>
        <v>0</v>
      </c>
      <c r="L294" s="114" t="str">
        <f t="shared" si="101"/>
        <v>0%</v>
      </c>
      <c r="M294" s="113">
        <f t="shared" si="102"/>
        <v>0</v>
      </c>
      <c r="N294" s="56" t="e">
        <f t="shared" si="103"/>
        <v>#N/A</v>
      </c>
      <c r="O294" s="56" t="e">
        <f t="shared" si="104"/>
        <v>#N/A</v>
      </c>
      <c r="P294" s="2">
        <f>SUMIF(MICRO!AP:AP,O294,MICRO!AS:AS)</f>
        <v>0</v>
      </c>
      <c r="Q294">
        <f>SUMIF(MICRO!AP:AP,O294,MICRO!AT:AT)</f>
        <v>0</v>
      </c>
      <c r="R294">
        <f>SUMIF(MICRO!AP:AP,O:O,MICRO!AU:AU)</f>
        <v>0</v>
      </c>
    </row>
    <row r="295" spans="4:18" ht="18.75" thickBot="1" x14ac:dyDescent="0.3">
      <c r="D295" s="110" t="s">
        <v>629</v>
      </c>
      <c r="E295" s="111" t="e">
        <f>VLOOKUP(Tabela2[[#This Row],[TAG]],MICRO!J:L,3,0)</f>
        <v>#N/A</v>
      </c>
      <c r="F295" s="109" t="s">
        <v>22</v>
      </c>
      <c r="G295" s="112">
        <f>SUMIF(MICRO!AP:AP,O:O,MICRO!H:H)</f>
        <v>0</v>
      </c>
      <c r="H295" s="113">
        <f>SUMIF(MICRO!AP:AP,O:O,MICRO!R:R)</f>
        <v>0</v>
      </c>
      <c r="I295" s="113">
        <f>SUMIF(MICRO!AP:AP,O:O,MICRO!T:T)</f>
        <v>0</v>
      </c>
      <c r="J295" s="114">
        <f t="shared" si="100"/>
        <v>0</v>
      </c>
      <c r="K295" s="113">
        <f>SUMIF(MICRO!AP:AP,O:O,MICRO!X:X)</f>
        <v>0</v>
      </c>
      <c r="L295" s="114" t="str">
        <f t="shared" si="101"/>
        <v>0%</v>
      </c>
      <c r="M295" s="113">
        <f t="shared" si="102"/>
        <v>0</v>
      </c>
      <c r="N295" s="56" t="e">
        <f t="shared" si="103"/>
        <v>#N/A</v>
      </c>
      <c r="O295" s="56" t="e">
        <f t="shared" si="104"/>
        <v>#N/A</v>
      </c>
      <c r="P295" s="2">
        <f>SUMIF(MICRO!AP:AP,O295,MICRO!AS:AS)</f>
        <v>0</v>
      </c>
      <c r="Q295">
        <f>SUMIF(MICRO!AP:AP,O295,MICRO!AT:AT)</f>
        <v>0</v>
      </c>
      <c r="R295">
        <f>SUMIF(MICRO!AP:AP,O:O,MICRO!AU:AU)</f>
        <v>0</v>
      </c>
    </row>
    <row r="296" spans="4:18" ht="18.75" thickBot="1" x14ac:dyDescent="0.3">
      <c r="D296" s="110" t="s">
        <v>629</v>
      </c>
      <c r="E296" s="111" t="e">
        <f>VLOOKUP(Tabela2[[#This Row],[TAG]],MICRO!J:L,3,0)</f>
        <v>#N/A</v>
      </c>
      <c r="F296" s="109" t="s">
        <v>32</v>
      </c>
      <c r="G296" s="112">
        <f>SUMIF(MICRO!AP:AP,O:O,MICRO!H:H)</f>
        <v>0</v>
      </c>
      <c r="H296" s="113">
        <f>SUMIF(MICRO!AP:AP,O:O,MICRO!R:R)</f>
        <v>0</v>
      </c>
      <c r="I296" s="113">
        <f>SUMIF(MICRO!AP:AP,O:O,MICRO!T:T)</f>
        <v>0</v>
      </c>
      <c r="J296" s="114">
        <f t="shared" si="100"/>
        <v>0</v>
      </c>
      <c r="K296" s="113">
        <f>SUMIF(MICRO!AP:AP,O:O,MICRO!X:X)</f>
        <v>0</v>
      </c>
      <c r="L296" s="114" t="str">
        <f t="shared" si="101"/>
        <v>0%</v>
      </c>
      <c r="M296" s="113">
        <f t="shared" si="102"/>
        <v>0</v>
      </c>
      <c r="N296" s="56" t="e">
        <f t="shared" si="103"/>
        <v>#N/A</v>
      </c>
      <c r="O296" s="56" t="e">
        <f t="shared" si="104"/>
        <v>#N/A</v>
      </c>
      <c r="P296" s="2">
        <f>SUMIF(MICRO!AP:AP,O296,MICRO!AS:AS)</f>
        <v>0</v>
      </c>
      <c r="Q296">
        <f>SUMIF(MICRO!AP:AP,O296,MICRO!AT:AT)</f>
        <v>0</v>
      </c>
      <c r="R296">
        <f>SUMIF(MICRO!AP:AP,O:O,MICRO!AU:AU)</f>
        <v>0</v>
      </c>
    </row>
    <row r="297" spans="4:18" ht="18.75" thickBot="1" x14ac:dyDescent="0.3">
      <c r="D297" s="110" t="s">
        <v>585</v>
      </c>
      <c r="E297" s="111" t="e">
        <f>VLOOKUP(Tabela2[[#This Row],[TAG]],MICRO!J:L,3,0)</f>
        <v>#N/A</v>
      </c>
      <c r="F297" s="109" t="s">
        <v>32</v>
      </c>
      <c r="G297" s="112">
        <f>SUMIF(MICRO!AP:AP,O:O,MICRO!H:H)</f>
        <v>0</v>
      </c>
      <c r="H297" s="113">
        <f>SUMIF(MICRO!AP:AP,O:O,MICRO!R:R)</f>
        <v>0</v>
      </c>
      <c r="I297" s="113">
        <f>SUMIF(MICRO!AP:AP,O:O,MICRO!T:T)</f>
        <v>0</v>
      </c>
      <c r="J297" s="114">
        <f t="shared" si="100"/>
        <v>0</v>
      </c>
      <c r="K297" s="113">
        <f>SUMIF(MICRO!AP:AP,O:O,MICRO!X:X)</f>
        <v>0</v>
      </c>
      <c r="L297" s="114" t="str">
        <f t="shared" si="101"/>
        <v>0%</v>
      </c>
      <c r="M297" s="113">
        <f t="shared" si="102"/>
        <v>0</v>
      </c>
      <c r="N297" s="56" t="e">
        <f t="shared" si="103"/>
        <v>#N/A</v>
      </c>
      <c r="O297" s="56" t="e">
        <f t="shared" si="104"/>
        <v>#N/A</v>
      </c>
      <c r="P297" s="2">
        <f>SUMIF(MICRO!AP:AP,O297,MICRO!AS:AS)</f>
        <v>0</v>
      </c>
      <c r="Q297">
        <f>SUMIF(MICRO!AP:AP,O297,MICRO!AT:AT)</f>
        <v>0</v>
      </c>
      <c r="R297">
        <f>SUMIF(MICRO!AP:AP,O:O,MICRO!AU:AU)</f>
        <v>0</v>
      </c>
    </row>
    <row r="298" spans="4:18" ht="18.75" thickBot="1" x14ac:dyDescent="0.3">
      <c r="D298" s="110" t="s">
        <v>589</v>
      </c>
      <c r="E298" s="111" t="e">
        <f>VLOOKUP(Tabela2[[#This Row],[TAG]],MICRO!J:L,3,0)</f>
        <v>#N/A</v>
      </c>
      <c r="F298" s="109" t="s">
        <v>22</v>
      </c>
      <c r="G298" s="112">
        <f>SUMIF(MICRO!AP:AP,O:O,MICRO!H:H)</f>
        <v>0</v>
      </c>
      <c r="H298" s="113">
        <f>SUMIF(MICRO!AP:AP,O:O,MICRO!R:R)</f>
        <v>0</v>
      </c>
      <c r="I298" s="113">
        <f>SUMIF(MICRO!AP:AP,O:O,MICRO!T:T)</f>
        <v>0</v>
      </c>
      <c r="J298" s="114">
        <f t="shared" si="100"/>
        <v>0</v>
      </c>
      <c r="K298" s="113">
        <f>SUMIF(MICRO!AP:AP,O:O,MICRO!X:X)</f>
        <v>0</v>
      </c>
      <c r="L298" s="114" t="str">
        <f t="shared" si="101"/>
        <v>0%</v>
      </c>
      <c r="M298" s="113">
        <f t="shared" si="102"/>
        <v>0</v>
      </c>
      <c r="N298" s="56" t="e">
        <f t="shared" si="103"/>
        <v>#N/A</v>
      </c>
      <c r="O298" s="56" t="e">
        <f t="shared" si="104"/>
        <v>#N/A</v>
      </c>
      <c r="P298" s="2">
        <f>SUMIF(MICRO!AP:AP,O298,MICRO!AS:AS)</f>
        <v>0</v>
      </c>
      <c r="Q298">
        <f>SUMIF(MICRO!AP:AP,O298,MICRO!AT:AT)</f>
        <v>0</v>
      </c>
      <c r="R298">
        <f>SUMIF(MICRO!AP:AP,O:O,MICRO!AU:AU)</f>
        <v>0</v>
      </c>
    </row>
    <row r="299" spans="4:18" ht="18.75" thickBot="1" x14ac:dyDescent="0.3">
      <c r="D299" s="110" t="s">
        <v>589</v>
      </c>
      <c r="E299" s="111" t="e">
        <f>VLOOKUP(Tabela2[[#This Row],[TAG]],MICRO!J:L,3,0)</f>
        <v>#N/A</v>
      </c>
      <c r="F299" s="109" t="s">
        <v>32</v>
      </c>
      <c r="G299" s="112">
        <f>SUMIF(MICRO!AP:AP,O:O,MICRO!H:H)</f>
        <v>0</v>
      </c>
      <c r="H299" s="113">
        <f>SUMIF(MICRO!AP:AP,O:O,MICRO!R:R)</f>
        <v>0</v>
      </c>
      <c r="I299" s="113">
        <f>SUMIF(MICRO!AP:AP,O:O,MICRO!T:T)</f>
        <v>0</v>
      </c>
      <c r="J299" s="114">
        <f t="shared" si="100"/>
        <v>0</v>
      </c>
      <c r="K299" s="113">
        <f>SUMIF(MICRO!AP:AP,O:O,MICRO!X:X)</f>
        <v>0</v>
      </c>
      <c r="L299" s="114" t="str">
        <f t="shared" si="101"/>
        <v>0%</v>
      </c>
      <c r="M299" s="113">
        <f t="shared" si="102"/>
        <v>0</v>
      </c>
      <c r="N299" s="56" t="e">
        <f t="shared" si="103"/>
        <v>#N/A</v>
      </c>
      <c r="O299" s="56" t="e">
        <f t="shared" si="104"/>
        <v>#N/A</v>
      </c>
      <c r="P299" s="2">
        <f>SUMIF(MICRO!AP:AP,O299,MICRO!AS:AS)</f>
        <v>0</v>
      </c>
      <c r="Q299">
        <f>SUMIF(MICRO!AP:AP,O299,MICRO!AT:AT)</f>
        <v>0</v>
      </c>
      <c r="R299">
        <f>SUMIF(MICRO!AP:AP,O:O,MICRO!AU:AU)</f>
        <v>0</v>
      </c>
    </row>
    <row r="300" spans="4:18" ht="18.75" thickBot="1" x14ac:dyDescent="0.3">
      <c r="D300" s="110" t="s">
        <v>948</v>
      </c>
      <c r="E300" s="111" t="e">
        <f>VLOOKUP(Tabela2[[#This Row],[TAG]],MICRO!J:L,3,0)</f>
        <v>#N/A</v>
      </c>
      <c r="F300" s="109" t="s">
        <v>23</v>
      </c>
      <c r="G300" s="112">
        <f>SUMIF(MICRO!AP:AP,O:O,MICRO!H:H)</f>
        <v>0</v>
      </c>
      <c r="H300" s="113">
        <f>SUMIF(MICRO!AP:AP,O:O,MICRO!R:R)</f>
        <v>0</v>
      </c>
      <c r="I300" s="113">
        <f>SUMIF(MICRO!AP:AP,O:O,MICRO!T:T)</f>
        <v>0</v>
      </c>
      <c r="J300" s="114">
        <f t="shared" ref="J300:J334" si="105">IF(G300 = 0,0,H300/G300)</f>
        <v>0</v>
      </c>
      <c r="K300" s="113">
        <f>SUMIF(MICRO!AP:AP,O:O,MICRO!X:X)</f>
        <v>0</v>
      </c>
      <c r="L300" s="114" t="str">
        <f t="shared" ref="L300:L334" si="106">IF(G300&lt;&gt;0,SUM(K300/G300*1),"0%")</f>
        <v>0%</v>
      </c>
      <c r="M300" s="113">
        <f t="shared" ref="M300:M334" si="107">G300-K300</f>
        <v>0</v>
      </c>
      <c r="N300" s="56" t="e">
        <f t="shared" ref="N300:N334" si="108">E300&amp;F300</f>
        <v>#N/A</v>
      </c>
      <c r="O300" s="56" t="e">
        <f t="shared" ref="O300:O334" si="109">D300&amp;E300&amp;F300</f>
        <v>#N/A</v>
      </c>
      <c r="P300" s="2">
        <f>SUMIF(MICRO!AP:AP,O300,MICRO!AS:AS)</f>
        <v>0</v>
      </c>
      <c r="Q300">
        <f>SUMIF(MICRO!AP:AP,O300,MICRO!AT:AT)</f>
        <v>0</v>
      </c>
      <c r="R300">
        <f>SUMIF(MICRO!AP:AP,O:O,MICRO!AU:AU)</f>
        <v>0</v>
      </c>
    </row>
    <row r="301" spans="4:18" ht="18.75" thickBot="1" x14ac:dyDescent="0.3">
      <c r="D301" s="110" t="s">
        <v>1865</v>
      </c>
      <c r="E301" s="111" t="e">
        <f>VLOOKUP(Tabela2[[#This Row],[TAG]],MICRO!J:L,3,0)</f>
        <v>#N/A</v>
      </c>
      <c r="F301" s="109" t="s">
        <v>31</v>
      </c>
      <c r="G301" s="112">
        <f>SUMIF(MICRO!AP:AP,O:O,MICRO!H:H)</f>
        <v>0</v>
      </c>
      <c r="H301" s="113">
        <f>SUMIF(MICRO!AP:AP,O:O,MICRO!R:R)</f>
        <v>0</v>
      </c>
      <c r="I301" s="113">
        <f>SUMIF(MICRO!AP:AP,O:O,MICRO!T:T)</f>
        <v>0</v>
      </c>
      <c r="J301" s="114">
        <f t="shared" si="105"/>
        <v>0</v>
      </c>
      <c r="K301" s="113">
        <f>SUMIF(MICRO!AP:AP,O:O,MICRO!X:X)</f>
        <v>0</v>
      </c>
      <c r="L301" s="114" t="str">
        <f t="shared" si="106"/>
        <v>0%</v>
      </c>
      <c r="M301" s="113">
        <f t="shared" si="107"/>
        <v>0</v>
      </c>
      <c r="N301" s="56" t="e">
        <f t="shared" si="108"/>
        <v>#N/A</v>
      </c>
      <c r="O301" s="56" t="e">
        <f t="shared" si="109"/>
        <v>#N/A</v>
      </c>
      <c r="P301" s="2">
        <f>SUMIF(MICRO!AP:AP,O301,MICRO!AS:AS)</f>
        <v>0</v>
      </c>
      <c r="Q301">
        <f>SUMIF(MICRO!AP:AP,O301,MICRO!AT:AT)</f>
        <v>0</v>
      </c>
      <c r="R301">
        <f>SUMIF(MICRO!AP:AP,O:O,MICRO!AU:AU)</f>
        <v>0</v>
      </c>
    </row>
    <row r="302" spans="4:18" ht="18.75" thickBot="1" x14ac:dyDescent="0.3">
      <c r="D302" s="110" t="s">
        <v>1865</v>
      </c>
      <c r="E302" s="111" t="e">
        <f>VLOOKUP(Tabela2[[#This Row],[TAG]],MICRO!J:L,3,0)</f>
        <v>#N/A</v>
      </c>
      <c r="F302" s="109" t="s">
        <v>44</v>
      </c>
      <c r="G302" s="112">
        <f>SUMIF(MICRO!AP:AP,O:O,MICRO!H:H)</f>
        <v>0</v>
      </c>
      <c r="H302" s="113">
        <f>SUMIF(MICRO!AP:AP,O:O,MICRO!R:R)</f>
        <v>0</v>
      </c>
      <c r="I302" s="113">
        <f>SUMIF(MICRO!AP:AP,O:O,MICRO!T:T)</f>
        <v>0</v>
      </c>
      <c r="J302" s="114">
        <f t="shared" si="105"/>
        <v>0</v>
      </c>
      <c r="K302" s="113">
        <f>SUMIF(MICRO!AP:AP,O:O,MICRO!X:X)</f>
        <v>0</v>
      </c>
      <c r="L302" s="114" t="str">
        <f t="shared" si="106"/>
        <v>0%</v>
      </c>
      <c r="M302" s="113">
        <f t="shared" si="107"/>
        <v>0</v>
      </c>
      <c r="N302" s="56" t="e">
        <f t="shared" si="108"/>
        <v>#N/A</v>
      </c>
      <c r="O302" s="56" t="e">
        <f t="shared" si="109"/>
        <v>#N/A</v>
      </c>
      <c r="P302" s="2">
        <f>SUMIF(MICRO!AP:AP,O302,MICRO!AS:AS)</f>
        <v>0</v>
      </c>
      <c r="Q302">
        <f>SUMIF(MICRO!AP:AP,O302,MICRO!AT:AT)</f>
        <v>0</v>
      </c>
      <c r="R302">
        <f>SUMIF(MICRO!AP:AP,O:O,MICRO!AU:AU)</f>
        <v>0</v>
      </c>
    </row>
    <row r="303" spans="4:18" ht="18.75" thickBot="1" x14ac:dyDescent="0.3">
      <c r="D303" s="110" t="s">
        <v>1854</v>
      </c>
      <c r="E303" s="111" t="e">
        <f>VLOOKUP(Tabela2[[#This Row],[TAG]],MICRO!J:L,3,0)</f>
        <v>#N/A</v>
      </c>
      <c r="F303" s="109" t="s">
        <v>23</v>
      </c>
      <c r="G303" s="112">
        <f>SUMIF(MICRO!AP:AP,O:O,MICRO!H:H)</f>
        <v>0</v>
      </c>
      <c r="H303" s="113">
        <f>SUMIF(MICRO!AP:AP,O:O,MICRO!R:R)</f>
        <v>0</v>
      </c>
      <c r="I303" s="113">
        <f>SUMIF(MICRO!AP:AP,O:O,MICRO!T:T)</f>
        <v>0</v>
      </c>
      <c r="J303" s="114">
        <f t="shared" ref="J303:J312" si="110">IF(G303 = 0,0,H303/G303)</f>
        <v>0</v>
      </c>
      <c r="K303" s="113">
        <f>SUMIF(MICRO!AP:AP,O:O,MICRO!X:X)</f>
        <v>0</v>
      </c>
      <c r="L303" s="114" t="str">
        <f t="shared" ref="L303:L312" si="111">IF(G303&lt;&gt;0,SUM(K303/G303*1),"0%")</f>
        <v>0%</v>
      </c>
      <c r="M303" s="113">
        <f t="shared" ref="M303:M312" si="112">G303-K303</f>
        <v>0</v>
      </c>
      <c r="N303" s="56" t="e">
        <f t="shared" ref="N303:N312" si="113">E303&amp;F303</f>
        <v>#N/A</v>
      </c>
      <c r="O303" s="56" t="e">
        <f t="shared" ref="O303:O312" si="114">D303&amp;E303&amp;F303</f>
        <v>#N/A</v>
      </c>
      <c r="P303" s="2">
        <f>SUMIF(MICRO!AP:AP,O303,MICRO!AS:AS)</f>
        <v>0</v>
      </c>
      <c r="Q303">
        <f>SUMIF(MICRO!AP:AP,O303,MICRO!AT:AT)</f>
        <v>0</v>
      </c>
      <c r="R303">
        <f>SUMIF(MICRO!AP:AP,O:O,MICRO!AU:AU)</f>
        <v>0</v>
      </c>
    </row>
    <row r="304" spans="4:18" ht="18.75" thickBot="1" x14ac:dyDescent="0.3">
      <c r="D304" s="110" t="s">
        <v>1855</v>
      </c>
      <c r="E304" s="111" t="e">
        <f>VLOOKUP(Tabela2[[#This Row],[TAG]],MICRO!J:L,3,0)</f>
        <v>#N/A</v>
      </c>
      <c r="F304" s="109" t="s">
        <v>23</v>
      </c>
      <c r="G304" s="112">
        <f>SUMIF(MICRO!AP:AP,O:O,MICRO!H:H)</f>
        <v>0</v>
      </c>
      <c r="H304" s="113">
        <f>SUMIF(MICRO!AP:AP,O:O,MICRO!R:R)</f>
        <v>0</v>
      </c>
      <c r="I304" s="113">
        <f>SUMIF(MICRO!AP:AP,O:O,MICRO!T:T)</f>
        <v>0</v>
      </c>
      <c r="J304" s="114">
        <f t="shared" si="110"/>
        <v>0</v>
      </c>
      <c r="K304" s="113">
        <f>SUMIF(MICRO!AP:AP,O:O,MICRO!X:X)</f>
        <v>0</v>
      </c>
      <c r="L304" s="114" t="str">
        <f t="shared" si="111"/>
        <v>0%</v>
      </c>
      <c r="M304" s="113">
        <f t="shared" si="112"/>
        <v>0</v>
      </c>
      <c r="N304" s="56" t="e">
        <f t="shared" si="113"/>
        <v>#N/A</v>
      </c>
      <c r="O304" s="56" t="e">
        <f t="shared" si="114"/>
        <v>#N/A</v>
      </c>
      <c r="P304" s="2">
        <f>SUMIF(MICRO!AP:AP,O304,MICRO!AS:AS)</f>
        <v>0</v>
      </c>
      <c r="Q304">
        <f>SUMIF(MICRO!AP:AP,O304,MICRO!AT:AT)</f>
        <v>0</v>
      </c>
      <c r="R304">
        <f>SUMIF(MICRO!AP:AP,O:O,MICRO!AU:AU)</f>
        <v>0</v>
      </c>
    </row>
    <row r="305" spans="4:18" ht="18.75" thickBot="1" x14ac:dyDescent="0.3">
      <c r="D305" s="110" t="s">
        <v>1856</v>
      </c>
      <c r="E305" s="111" t="e">
        <f>VLOOKUP(Tabela2[[#This Row],[TAG]],MICRO!J:L,3,0)</f>
        <v>#N/A</v>
      </c>
      <c r="F305" s="109" t="s">
        <v>33</v>
      </c>
      <c r="G305" s="112">
        <f>SUMIF(MICRO!AP:AP,O:O,MICRO!H:H)</f>
        <v>0</v>
      </c>
      <c r="H305" s="113">
        <f>SUMIF(MICRO!AP:AP,O:O,MICRO!R:R)</f>
        <v>0</v>
      </c>
      <c r="I305" s="113">
        <f>SUMIF(MICRO!AP:AP,O:O,MICRO!T:T)</f>
        <v>0</v>
      </c>
      <c r="J305" s="114">
        <f t="shared" si="110"/>
        <v>0</v>
      </c>
      <c r="K305" s="113">
        <f>SUMIF(MICRO!AP:AP,O:O,MICRO!X:X)</f>
        <v>0</v>
      </c>
      <c r="L305" s="114" t="str">
        <f t="shared" si="111"/>
        <v>0%</v>
      </c>
      <c r="M305" s="113">
        <f t="shared" si="112"/>
        <v>0</v>
      </c>
      <c r="N305" s="56" t="e">
        <f t="shared" si="113"/>
        <v>#N/A</v>
      </c>
      <c r="O305" s="56" t="e">
        <f t="shared" si="114"/>
        <v>#N/A</v>
      </c>
      <c r="P305" s="2">
        <f>SUMIF(MICRO!AP:AP,O305,MICRO!AS:AS)</f>
        <v>0</v>
      </c>
      <c r="Q305">
        <f>SUMIF(MICRO!AP:AP,O305,MICRO!AT:AT)</f>
        <v>0</v>
      </c>
      <c r="R305">
        <f>SUMIF(MICRO!AP:AP,O:O,MICRO!AU:AU)</f>
        <v>0</v>
      </c>
    </row>
    <row r="306" spans="4:18" ht="18.75" thickBot="1" x14ac:dyDescent="0.3">
      <c r="D306" s="110" t="s">
        <v>1858</v>
      </c>
      <c r="E306" s="111" t="e">
        <f>VLOOKUP(Tabela2[[#This Row],[TAG]],MICRO!J:L,3,0)</f>
        <v>#N/A</v>
      </c>
      <c r="F306" s="109" t="s">
        <v>23</v>
      </c>
      <c r="G306" s="112">
        <f>SUMIF(MICRO!AP:AP,O:O,MICRO!H:H)</f>
        <v>0</v>
      </c>
      <c r="H306" s="113">
        <f>SUMIF(MICRO!AP:AP,O:O,MICRO!R:R)</f>
        <v>0</v>
      </c>
      <c r="I306" s="113">
        <f>SUMIF(MICRO!AP:AP,O:O,MICRO!T:T)</f>
        <v>0</v>
      </c>
      <c r="J306" s="114">
        <f t="shared" si="110"/>
        <v>0</v>
      </c>
      <c r="K306" s="113">
        <f>SUMIF(MICRO!AP:AP,O:O,MICRO!X:X)</f>
        <v>0</v>
      </c>
      <c r="L306" s="114" t="str">
        <f t="shared" si="111"/>
        <v>0%</v>
      </c>
      <c r="M306" s="113">
        <f t="shared" si="112"/>
        <v>0</v>
      </c>
      <c r="N306" s="56" t="e">
        <f t="shared" si="113"/>
        <v>#N/A</v>
      </c>
      <c r="O306" s="56" t="e">
        <f t="shared" si="114"/>
        <v>#N/A</v>
      </c>
      <c r="P306" s="2">
        <f>SUMIF(MICRO!AP:AP,O306,MICRO!AS:AS)</f>
        <v>0</v>
      </c>
      <c r="Q306">
        <f>SUMIF(MICRO!AP:AP,O306,MICRO!AT:AT)</f>
        <v>0</v>
      </c>
      <c r="R306">
        <f>SUMIF(MICRO!AP:AP,O:O,MICRO!AU:AU)</f>
        <v>0</v>
      </c>
    </row>
    <row r="307" spans="4:18" ht="18.75" thickBot="1" x14ac:dyDescent="0.3">
      <c r="D307" s="110" t="s">
        <v>1859</v>
      </c>
      <c r="E307" s="111" t="e">
        <f>VLOOKUP(Tabela2[[#This Row],[TAG]],MICRO!J:L,3,0)</f>
        <v>#N/A</v>
      </c>
      <c r="F307" s="109" t="s">
        <v>23</v>
      </c>
      <c r="G307" s="112">
        <f>SUMIF(MICRO!AP:AP,O:O,MICRO!H:H)</f>
        <v>0</v>
      </c>
      <c r="H307" s="113">
        <f>SUMIF(MICRO!AP:AP,O:O,MICRO!R:R)</f>
        <v>0</v>
      </c>
      <c r="I307" s="113">
        <f>SUMIF(MICRO!AP:AP,O:O,MICRO!T:T)</f>
        <v>0</v>
      </c>
      <c r="J307" s="114">
        <f t="shared" si="110"/>
        <v>0</v>
      </c>
      <c r="K307" s="113">
        <f>SUMIF(MICRO!AP:AP,O:O,MICRO!X:X)</f>
        <v>0</v>
      </c>
      <c r="L307" s="114" t="str">
        <f t="shared" si="111"/>
        <v>0%</v>
      </c>
      <c r="M307" s="113">
        <f t="shared" si="112"/>
        <v>0</v>
      </c>
      <c r="N307" s="56" t="e">
        <f t="shared" si="113"/>
        <v>#N/A</v>
      </c>
      <c r="O307" s="56" t="e">
        <f t="shared" si="114"/>
        <v>#N/A</v>
      </c>
      <c r="P307" s="2">
        <f>SUMIF(MICRO!AP:AP,O307,MICRO!AS:AS)</f>
        <v>0</v>
      </c>
      <c r="Q307">
        <f>SUMIF(MICRO!AP:AP,O307,MICRO!AT:AT)</f>
        <v>0</v>
      </c>
      <c r="R307">
        <f>SUMIF(MICRO!AP:AP,O:O,MICRO!AU:AU)</f>
        <v>0</v>
      </c>
    </row>
    <row r="308" spans="4:18" ht="18.75" thickBot="1" x14ac:dyDescent="0.3">
      <c r="D308" s="110" t="s">
        <v>1861</v>
      </c>
      <c r="E308" s="111" t="e">
        <f>VLOOKUP(Tabela2[[#This Row],[TAG]],MICRO!J:L,3,0)</f>
        <v>#N/A</v>
      </c>
      <c r="F308" s="109" t="s">
        <v>23</v>
      </c>
      <c r="G308" s="112">
        <f>SUMIF(MICRO!AP:AP,O:O,MICRO!H:H)</f>
        <v>0</v>
      </c>
      <c r="H308" s="113">
        <f>SUMIF(MICRO!AP:AP,O:O,MICRO!R:R)</f>
        <v>0</v>
      </c>
      <c r="I308" s="113">
        <f>SUMIF(MICRO!AP:AP,O:O,MICRO!T:T)</f>
        <v>0</v>
      </c>
      <c r="J308" s="114">
        <f t="shared" si="110"/>
        <v>0</v>
      </c>
      <c r="K308" s="113">
        <f>SUMIF(MICRO!AP:AP,O:O,MICRO!X:X)</f>
        <v>0</v>
      </c>
      <c r="L308" s="114" t="str">
        <f t="shared" si="111"/>
        <v>0%</v>
      </c>
      <c r="M308" s="113">
        <f t="shared" si="112"/>
        <v>0</v>
      </c>
      <c r="N308" s="56" t="e">
        <f t="shared" si="113"/>
        <v>#N/A</v>
      </c>
      <c r="O308" s="56" t="e">
        <f t="shared" si="114"/>
        <v>#N/A</v>
      </c>
      <c r="P308" s="2">
        <f>SUMIF(MICRO!AP:AP,O308,MICRO!AS:AS)</f>
        <v>0</v>
      </c>
      <c r="Q308">
        <f>SUMIF(MICRO!AP:AP,O308,MICRO!AT:AT)</f>
        <v>0</v>
      </c>
      <c r="R308">
        <f>SUMIF(MICRO!AP:AP,O:O,MICRO!AU:AU)</f>
        <v>0</v>
      </c>
    </row>
    <row r="309" spans="4:18" ht="18.75" thickBot="1" x14ac:dyDescent="0.3">
      <c r="D309" s="110" t="s">
        <v>1862</v>
      </c>
      <c r="E309" s="111" t="e">
        <f>VLOOKUP(Tabela2[[#This Row],[TAG]],MICRO!J:L,3,0)</f>
        <v>#N/A</v>
      </c>
      <c r="F309" s="109" t="s">
        <v>23</v>
      </c>
      <c r="G309" s="112">
        <f>SUMIF(MICRO!AP:AP,O:O,MICRO!H:H)</f>
        <v>0</v>
      </c>
      <c r="H309" s="113">
        <f>SUMIF(MICRO!AP:AP,O:O,MICRO!R:R)</f>
        <v>0</v>
      </c>
      <c r="I309" s="113">
        <f>SUMIF(MICRO!AP:AP,O:O,MICRO!T:T)</f>
        <v>0</v>
      </c>
      <c r="J309" s="114">
        <f t="shared" si="110"/>
        <v>0</v>
      </c>
      <c r="K309" s="113">
        <f>SUMIF(MICRO!AP:AP,O:O,MICRO!X:X)</f>
        <v>0</v>
      </c>
      <c r="L309" s="114" t="str">
        <f t="shared" si="111"/>
        <v>0%</v>
      </c>
      <c r="M309" s="113">
        <f t="shared" si="112"/>
        <v>0</v>
      </c>
      <c r="N309" s="56" t="e">
        <f t="shared" si="113"/>
        <v>#N/A</v>
      </c>
      <c r="O309" s="56" t="e">
        <f t="shared" si="114"/>
        <v>#N/A</v>
      </c>
      <c r="P309" s="2">
        <f>SUMIF(MICRO!AP:AP,O309,MICRO!AS:AS)</f>
        <v>0</v>
      </c>
      <c r="Q309">
        <f>SUMIF(MICRO!AP:AP,O309,MICRO!AT:AT)</f>
        <v>0</v>
      </c>
      <c r="R309">
        <f>SUMIF(MICRO!AP:AP,O:O,MICRO!AU:AU)</f>
        <v>0</v>
      </c>
    </row>
    <row r="310" spans="4:18" ht="18.75" thickBot="1" x14ac:dyDescent="0.3">
      <c r="D310" s="110" t="s">
        <v>1863</v>
      </c>
      <c r="E310" s="111" t="e">
        <f>VLOOKUP(Tabela2[[#This Row],[TAG]],MICRO!J:L,3,0)</f>
        <v>#N/A</v>
      </c>
      <c r="F310" s="109" t="s">
        <v>23</v>
      </c>
      <c r="G310" s="112">
        <f>SUMIF(MICRO!AP:AP,O:O,MICRO!H:H)</f>
        <v>0</v>
      </c>
      <c r="H310" s="113">
        <f>SUMIF(MICRO!AP:AP,O:O,MICRO!R:R)</f>
        <v>0</v>
      </c>
      <c r="I310" s="113">
        <f>SUMIF(MICRO!AP:AP,O:O,MICRO!T:T)</f>
        <v>0</v>
      </c>
      <c r="J310" s="114">
        <f t="shared" si="110"/>
        <v>0</v>
      </c>
      <c r="K310" s="113">
        <f>SUMIF(MICRO!AP:AP,O:O,MICRO!X:X)</f>
        <v>0</v>
      </c>
      <c r="L310" s="114" t="str">
        <f t="shared" si="111"/>
        <v>0%</v>
      </c>
      <c r="M310" s="113">
        <f t="shared" si="112"/>
        <v>0</v>
      </c>
      <c r="N310" s="56" t="e">
        <f t="shared" si="113"/>
        <v>#N/A</v>
      </c>
      <c r="O310" s="56" t="e">
        <f t="shared" si="114"/>
        <v>#N/A</v>
      </c>
      <c r="P310" s="2">
        <f>SUMIF(MICRO!AP:AP,O310,MICRO!AS:AS)</f>
        <v>0</v>
      </c>
      <c r="Q310">
        <f>SUMIF(MICRO!AP:AP,O310,MICRO!AT:AT)</f>
        <v>0</v>
      </c>
      <c r="R310">
        <f>SUMIF(MICRO!AP:AP,O:O,MICRO!AU:AU)</f>
        <v>0</v>
      </c>
    </row>
    <row r="311" spans="4:18" ht="18.75" thickBot="1" x14ac:dyDescent="0.3">
      <c r="D311" s="110" t="s">
        <v>1864</v>
      </c>
      <c r="E311" s="111" t="e">
        <f>VLOOKUP(Tabela2[[#This Row],[TAG]],MICRO!J:L,3,0)</f>
        <v>#N/A</v>
      </c>
      <c r="F311" s="109" t="s">
        <v>33</v>
      </c>
      <c r="G311" s="112">
        <f>SUMIF(MICRO!AP:AP,O:O,MICRO!H:H)</f>
        <v>0</v>
      </c>
      <c r="H311" s="113">
        <f>SUMIF(MICRO!AP:AP,O:O,MICRO!R:R)</f>
        <v>0</v>
      </c>
      <c r="I311" s="113">
        <f>SUMIF(MICRO!AP:AP,O:O,MICRO!T:T)</f>
        <v>0</v>
      </c>
      <c r="J311" s="114">
        <f t="shared" si="110"/>
        <v>0</v>
      </c>
      <c r="K311" s="113">
        <f>SUMIF(MICRO!AP:AP,O:O,MICRO!X:X)</f>
        <v>0</v>
      </c>
      <c r="L311" s="114" t="str">
        <f t="shared" si="111"/>
        <v>0%</v>
      </c>
      <c r="M311" s="113">
        <f t="shared" si="112"/>
        <v>0</v>
      </c>
      <c r="N311" s="56" t="e">
        <f t="shared" si="113"/>
        <v>#N/A</v>
      </c>
      <c r="O311" s="56" t="e">
        <f t="shared" si="114"/>
        <v>#N/A</v>
      </c>
      <c r="P311" s="2">
        <f>SUMIF(MICRO!AP:AP,O311,MICRO!AS:AS)</f>
        <v>0</v>
      </c>
      <c r="Q311">
        <f>SUMIF(MICRO!AP:AP,O311,MICRO!AT:AT)</f>
        <v>0</v>
      </c>
      <c r="R311">
        <f>SUMIF(MICRO!AP:AP,O:O,MICRO!AU:AU)</f>
        <v>0</v>
      </c>
    </row>
    <row r="312" spans="4:18" ht="18.75" thickBot="1" x14ac:dyDescent="0.3">
      <c r="D312" s="110" t="s">
        <v>1867</v>
      </c>
      <c r="E312" s="111" t="e">
        <f>VLOOKUP(Tabela2[[#This Row],[TAG]],MICRO!J:L,3,0)</f>
        <v>#N/A</v>
      </c>
      <c r="F312" s="109" t="s">
        <v>23</v>
      </c>
      <c r="G312" s="112">
        <f>SUMIF(MICRO!AP:AP,O:O,MICRO!H:H)</f>
        <v>0</v>
      </c>
      <c r="H312" s="113">
        <f>SUMIF(MICRO!AP:AP,O:O,MICRO!R:R)</f>
        <v>0</v>
      </c>
      <c r="I312" s="113">
        <f>SUMIF(MICRO!AP:AP,O:O,MICRO!T:T)</f>
        <v>0</v>
      </c>
      <c r="J312" s="114">
        <f t="shared" si="110"/>
        <v>0</v>
      </c>
      <c r="K312" s="113">
        <f>SUMIF(MICRO!AP:AP,O:O,MICRO!X:X)</f>
        <v>0</v>
      </c>
      <c r="L312" s="114" t="str">
        <f t="shared" si="111"/>
        <v>0%</v>
      </c>
      <c r="M312" s="113">
        <f t="shared" si="112"/>
        <v>0</v>
      </c>
      <c r="N312" s="56" t="e">
        <f t="shared" si="113"/>
        <v>#N/A</v>
      </c>
      <c r="O312" s="56" t="e">
        <f t="shared" si="114"/>
        <v>#N/A</v>
      </c>
      <c r="P312" s="2">
        <f>SUMIF(MICRO!AP:AP,O312,MICRO!AS:AS)</f>
        <v>0</v>
      </c>
      <c r="Q312">
        <f>SUMIF(MICRO!AP:AP,O312,MICRO!AT:AT)</f>
        <v>0</v>
      </c>
      <c r="R312">
        <f>SUMIF(MICRO!AP:AP,O:O,MICRO!AU:AU)</f>
        <v>0</v>
      </c>
    </row>
    <row r="313" spans="4:18" ht="18.75" thickBot="1" x14ac:dyDescent="0.3">
      <c r="D313" s="110" t="s">
        <v>1866</v>
      </c>
      <c r="E313" s="111" t="e">
        <f>VLOOKUP(Tabela2[[#This Row],[TAG]],MICRO!J:L,3,0)</f>
        <v>#N/A</v>
      </c>
      <c r="F313" s="109" t="s">
        <v>23</v>
      </c>
      <c r="G313" s="112">
        <f>SUMIF(MICRO!AP:AP,O:O,MICRO!H:H)</f>
        <v>0</v>
      </c>
      <c r="H313" s="113">
        <f>SUMIF(MICRO!AP:AP,O:O,MICRO!R:R)</f>
        <v>0</v>
      </c>
      <c r="I313" s="113">
        <f>SUMIF(MICRO!AP:AP,O:O,MICRO!T:T)</f>
        <v>0</v>
      </c>
      <c r="J313" s="114">
        <f t="shared" ref="J313:J320" si="115">IF(G313 = 0,0,H313/G313)</f>
        <v>0</v>
      </c>
      <c r="K313" s="113">
        <f>SUMIF(MICRO!AP:AP,O:O,MICRO!X:X)</f>
        <v>0</v>
      </c>
      <c r="L313" s="114" t="str">
        <f t="shared" ref="L313:L320" si="116">IF(G313&lt;&gt;0,SUM(K313/G313*1),"0%")</f>
        <v>0%</v>
      </c>
      <c r="M313" s="113">
        <f t="shared" ref="M313:M320" si="117">G313-K313</f>
        <v>0</v>
      </c>
      <c r="N313" s="56" t="e">
        <f t="shared" ref="N313:N320" si="118">E313&amp;F313</f>
        <v>#N/A</v>
      </c>
      <c r="O313" s="56" t="e">
        <f t="shared" ref="O313:O320" si="119">D313&amp;E313&amp;F313</f>
        <v>#N/A</v>
      </c>
      <c r="P313" s="2">
        <f>SUMIF(MICRO!AP:AP,O313,MICRO!AS:AS)</f>
        <v>0</v>
      </c>
      <c r="Q313">
        <f>SUMIF(MICRO!AP:AP,O313,MICRO!AT:AT)</f>
        <v>0</v>
      </c>
      <c r="R313">
        <f>SUMIF(MICRO!AP:AP,O:O,MICRO!AU:AU)</f>
        <v>0</v>
      </c>
    </row>
    <row r="314" spans="4:18" ht="18.75" thickBot="1" x14ac:dyDescent="0.3">
      <c r="D314" s="110" t="s">
        <v>1857</v>
      </c>
      <c r="E314" s="111" t="e">
        <f>VLOOKUP(Tabela2[[#This Row],[TAG]],MICRO!J:L,3,0)</f>
        <v>#N/A</v>
      </c>
      <c r="F314" s="109" t="s">
        <v>45</v>
      </c>
      <c r="G314" s="112">
        <f>SUMIF(MICRO!AP:AP,O:O,MICRO!H:H)</f>
        <v>0</v>
      </c>
      <c r="H314" s="113">
        <f>SUMIF(MICRO!AP:AP,O:O,MICRO!R:R)</f>
        <v>0</v>
      </c>
      <c r="I314" s="113">
        <f>SUMIF(MICRO!AP:AP,O:O,MICRO!T:T)</f>
        <v>0</v>
      </c>
      <c r="J314" s="114">
        <f t="shared" si="115"/>
        <v>0</v>
      </c>
      <c r="K314" s="113">
        <f>SUMIF(MICRO!AP:AP,O:O,MICRO!X:X)</f>
        <v>0</v>
      </c>
      <c r="L314" s="114" t="str">
        <f t="shared" si="116"/>
        <v>0%</v>
      </c>
      <c r="M314" s="113">
        <f t="shared" si="117"/>
        <v>0</v>
      </c>
      <c r="N314" s="56" t="e">
        <f t="shared" si="118"/>
        <v>#N/A</v>
      </c>
      <c r="O314" s="56" t="e">
        <f t="shared" si="119"/>
        <v>#N/A</v>
      </c>
      <c r="P314" s="2">
        <f>SUMIF(MICRO!AP:AP,O314,MICRO!AS:AS)</f>
        <v>0</v>
      </c>
      <c r="Q314">
        <f>SUMIF(MICRO!AP:AP,O314,MICRO!AT:AT)</f>
        <v>0</v>
      </c>
      <c r="R314">
        <f>SUMIF(MICRO!AP:AP,O:O,MICRO!AU:AU)</f>
        <v>0</v>
      </c>
    </row>
    <row r="315" spans="4:18" ht="18.75" thickBot="1" x14ac:dyDescent="0.3">
      <c r="D315" s="110" t="s">
        <v>1300</v>
      </c>
      <c r="E315" s="111" t="e">
        <f>VLOOKUP(Tabela2[[#This Row],[TAG]],MICRO!J:L,3,0)</f>
        <v>#N/A</v>
      </c>
      <c r="F315" s="109" t="s">
        <v>32</v>
      </c>
      <c r="G315" s="112">
        <f>SUMIF(MICRO!AP:AP,O:O,MICRO!H:H)</f>
        <v>0</v>
      </c>
      <c r="H315" s="113">
        <f>SUMIF(MICRO!AP:AP,O:O,MICRO!R:R)</f>
        <v>0</v>
      </c>
      <c r="I315" s="113">
        <f>SUMIF(MICRO!AP:AP,O:O,MICRO!T:T)</f>
        <v>0</v>
      </c>
      <c r="J315" s="114">
        <f t="shared" si="115"/>
        <v>0</v>
      </c>
      <c r="K315" s="113">
        <f>SUMIF(MICRO!AP:AP,O:O,MICRO!X:X)</f>
        <v>0</v>
      </c>
      <c r="L315" s="114" t="str">
        <f t="shared" si="116"/>
        <v>0%</v>
      </c>
      <c r="M315" s="113">
        <f t="shared" si="117"/>
        <v>0</v>
      </c>
      <c r="N315" s="56" t="e">
        <f t="shared" si="118"/>
        <v>#N/A</v>
      </c>
      <c r="O315" s="56" t="e">
        <f t="shared" si="119"/>
        <v>#N/A</v>
      </c>
      <c r="P315" s="2">
        <f>SUMIF(MICRO!AP:AP,O315,MICRO!AS:AS)</f>
        <v>0</v>
      </c>
      <c r="Q315">
        <f>SUMIF(MICRO!AP:AP,O315,MICRO!AT:AT)</f>
        <v>0</v>
      </c>
      <c r="R315">
        <f>SUMIF(MICRO!AP:AP,O:O,MICRO!AU:AU)</f>
        <v>0</v>
      </c>
    </row>
    <row r="316" spans="4:18" ht="18.75" thickBot="1" x14ac:dyDescent="0.3">
      <c r="D316" s="110" t="s">
        <v>1295</v>
      </c>
      <c r="E316" s="111" t="e">
        <f>VLOOKUP(Tabela2[[#This Row],[TAG]],MICRO!J:L,3,0)</f>
        <v>#N/A</v>
      </c>
      <c r="F316" s="109" t="s">
        <v>32</v>
      </c>
      <c r="G316" s="112">
        <f>SUMIF(MICRO!AP:AP,O:O,MICRO!H:H)</f>
        <v>0</v>
      </c>
      <c r="H316" s="113">
        <f>SUMIF(MICRO!AP:AP,O:O,MICRO!R:R)</f>
        <v>0</v>
      </c>
      <c r="I316" s="113">
        <f>SUMIF(MICRO!AP:AP,O:O,MICRO!T:T)</f>
        <v>0</v>
      </c>
      <c r="J316" s="114">
        <f t="shared" si="115"/>
        <v>0</v>
      </c>
      <c r="K316" s="113">
        <f>SUMIF(MICRO!AP:AP,O:O,MICRO!X:X)</f>
        <v>0</v>
      </c>
      <c r="L316" s="114" t="str">
        <f t="shared" si="116"/>
        <v>0%</v>
      </c>
      <c r="M316" s="113">
        <f t="shared" si="117"/>
        <v>0</v>
      </c>
      <c r="N316" s="56" t="e">
        <f t="shared" si="118"/>
        <v>#N/A</v>
      </c>
      <c r="O316" s="56" t="e">
        <f t="shared" si="119"/>
        <v>#N/A</v>
      </c>
      <c r="P316" s="2">
        <f>SUMIF(MICRO!AP:AP,O316,MICRO!AS:AS)</f>
        <v>0</v>
      </c>
      <c r="Q316">
        <f>SUMIF(MICRO!AP:AP,O316,MICRO!AT:AT)</f>
        <v>0</v>
      </c>
      <c r="R316">
        <f>SUMIF(MICRO!AP:AP,O:O,MICRO!AU:AU)</f>
        <v>0</v>
      </c>
    </row>
    <row r="317" spans="4:18" ht="18.75" thickBot="1" x14ac:dyDescent="0.3">
      <c r="D317" s="110" t="s">
        <v>1301</v>
      </c>
      <c r="E317" s="111" t="e">
        <f>VLOOKUP(Tabela2[[#This Row],[TAG]],MICRO!J:L,3,0)</f>
        <v>#N/A</v>
      </c>
      <c r="F317" s="109" t="s">
        <v>32</v>
      </c>
      <c r="G317" s="112">
        <f>SUMIF(MICRO!AP:AP,O:O,MICRO!H:H)</f>
        <v>0</v>
      </c>
      <c r="H317" s="113">
        <f>SUMIF(MICRO!AP:AP,O:O,MICRO!R:R)</f>
        <v>0</v>
      </c>
      <c r="I317" s="113">
        <f>SUMIF(MICRO!AP:AP,O:O,MICRO!T:T)</f>
        <v>0</v>
      </c>
      <c r="J317" s="114">
        <f t="shared" si="115"/>
        <v>0</v>
      </c>
      <c r="K317" s="113">
        <f>SUMIF(MICRO!AP:AP,O:O,MICRO!X:X)</f>
        <v>0</v>
      </c>
      <c r="L317" s="114" t="str">
        <f t="shared" si="116"/>
        <v>0%</v>
      </c>
      <c r="M317" s="113">
        <f t="shared" si="117"/>
        <v>0</v>
      </c>
      <c r="N317" s="56" t="e">
        <f t="shared" si="118"/>
        <v>#N/A</v>
      </c>
      <c r="O317" s="56" t="e">
        <f t="shared" si="119"/>
        <v>#N/A</v>
      </c>
      <c r="P317" s="2">
        <f>SUMIF(MICRO!AP:AP,O317,MICRO!AS:AS)</f>
        <v>0</v>
      </c>
      <c r="Q317">
        <f>SUMIF(MICRO!AP:AP,O317,MICRO!AT:AT)</f>
        <v>0</v>
      </c>
      <c r="R317">
        <f>SUMIF(MICRO!AP:AP,O:O,MICRO!AU:AU)</f>
        <v>0</v>
      </c>
    </row>
    <row r="318" spans="4:18" ht="18.75" thickBot="1" x14ac:dyDescent="0.3">
      <c r="D318" s="110" t="s">
        <v>1290</v>
      </c>
      <c r="E318" s="111" t="e">
        <f>VLOOKUP(Tabela2[[#This Row],[TAG]],MICRO!J:L,3,0)</f>
        <v>#N/A</v>
      </c>
      <c r="F318" s="109" t="s">
        <v>32</v>
      </c>
      <c r="G318" s="112">
        <f>SUMIF(MICRO!AP:AP,O:O,MICRO!H:H)</f>
        <v>0</v>
      </c>
      <c r="H318" s="113">
        <f>SUMIF(MICRO!AP:AP,O:O,MICRO!R:R)</f>
        <v>0</v>
      </c>
      <c r="I318" s="113">
        <f>SUMIF(MICRO!AP:AP,O:O,MICRO!T:T)</f>
        <v>0</v>
      </c>
      <c r="J318" s="114">
        <f t="shared" si="115"/>
        <v>0</v>
      </c>
      <c r="K318" s="113">
        <f>SUMIF(MICRO!AP:AP,O:O,MICRO!X:X)</f>
        <v>0</v>
      </c>
      <c r="L318" s="114" t="str">
        <f t="shared" si="116"/>
        <v>0%</v>
      </c>
      <c r="M318" s="113">
        <f t="shared" si="117"/>
        <v>0</v>
      </c>
      <c r="N318" s="56" t="e">
        <f t="shared" si="118"/>
        <v>#N/A</v>
      </c>
      <c r="O318" s="56" t="e">
        <f t="shared" si="119"/>
        <v>#N/A</v>
      </c>
      <c r="P318" s="2">
        <f>SUMIF(MICRO!AP:AP,O318,MICRO!AS:AS)</f>
        <v>0</v>
      </c>
      <c r="Q318">
        <f>SUMIF(MICRO!AP:AP,O318,MICRO!AT:AT)</f>
        <v>0</v>
      </c>
      <c r="R318">
        <f>SUMIF(MICRO!AP:AP,O:O,MICRO!AU:AU)</f>
        <v>0</v>
      </c>
    </row>
    <row r="319" spans="4:18" ht="18.75" thickBot="1" x14ac:dyDescent="0.3">
      <c r="D319" s="110" t="s">
        <v>1300</v>
      </c>
      <c r="E319" s="111" t="e">
        <f>VLOOKUP(Tabela2[[#This Row],[TAG]],MICRO!J:L,3,0)</f>
        <v>#N/A</v>
      </c>
      <c r="F319" s="109" t="s">
        <v>31</v>
      </c>
      <c r="G319" s="112">
        <f>SUMIF(MICRO!AP:AP,O:O,MICRO!H:H)</f>
        <v>0</v>
      </c>
      <c r="H319" s="113">
        <f>SUMIF(MICRO!AP:AP,O:O,MICRO!R:R)</f>
        <v>0</v>
      </c>
      <c r="I319" s="113">
        <f>SUMIF(MICRO!AP:AP,O:O,MICRO!T:T)</f>
        <v>0</v>
      </c>
      <c r="J319" s="114">
        <f t="shared" si="115"/>
        <v>0</v>
      </c>
      <c r="K319" s="113">
        <f>SUMIF(MICRO!AP:AP,O:O,MICRO!X:X)</f>
        <v>0</v>
      </c>
      <c r="L319" s="114" t="str">
        <f t="shared" si="116"/>
        <v>0%</v>
      </c>
      <c r="M319" s="113">
        <f t="shared" si="117"/>
        <v>0</v>
      </c>
      <c r="N319" s="56" t="e">
        <f t="shared" si="118"/>
        <v>#N/A</v>
      </c>
      <c r="O319" s="56" t="e">
        <f t="shared" si="119"/>
        <v>#N/A</v>
      </c>
      <c r="P319" s="2">
        <f>SUMIF(MICRO!AP:AP,O319,MICRO!AS:AS)</f>
        <v>0</v>
      </c>
      <c r="Q319">
        <f>SUMIF(MICRO!AP:AP,O319,MICRO!AT:AT)</f>
        <v>0</v>
      </c>
      <c r="R319">
        <f>SUMIF(MICRO!AP:AP,O:O,MICRO!AU:AU)</f>
        <v>0</v>
      </c>
    </row>
    <row r="320" spans="4:18" ht="18.75" thickBot="1" x14ac:dyDescent="0.3">
      <c r="D320" s="110" t="s">
        <v>1295</v>
      </c>
      <c r="E320" s="111" t="e">
        <f>VLOOKUP(Tabela2[[#This Row],[TAG]],MICRO!J:L,3,0)</f>
        <v>#N/A</v>
      </c>
      <c r="F320" s="109" t="s">
        <v>31</v>
      </c>
      <c r="G320" s="112">
        <f>SUMIF(MICRO!AP:AP,O:O,MICRO!H:H)</f>
        <v>0</v>
      </c>
      <c r="H320" s="113">
        <f>SUMIF(MICRO!AP:AP,O:O,MICRO!R:R)</f>
        <v>0</v>
      </c>
      <c r="I320" s="113">
        <f>SUMIF(MICRO!AP:AP,O:O,MICRO!T:T)</f>
        <v>0</v>
      </c>
      <c r="J320" s="114">
        <f t="shared" si="115"/>
        <v>0</v>
      </c>
      <c r="K320" s="113">
        <f>SUMIF(MICRO!AP:AP,O:O,MICRO!X:X)</f>
        <v>0</v>
      </c>
      <c r="L320" s="114" t="str">
        <f t="shared" si="116"/>
        <v>0%</v>
      </c>
      <c r="M320" s="113">
        <f t="shared" si="117"/>
        <v>0</v>
      </c>
      <c r="N320" s="56" t="e">
        <f t="shared" si="118"/>
        <v>#N/A</v>
      </c>
      <c r="O320" s="56" t="e">
        <f t="shared" si="119"/>
        <v>#N/A</v>
      </c>
      <c r="P320" s="2">
        <f>SUMIF(MICRO!AP:AP,O320,MICRO!AS:AS)</f>
        <v>0</v>
      </c>
      <c r="Q320">
        <f>SUMIF(MICRO!AP:AP,O320,MICRO!AT:AT)</f>
        <v>0</v>
      </c>
      <c r="R320">
        <f>SUMIF(MICRO!AP:AP,O:O,MICRO!AU:AU)</f>
        <v>0</v>
      </c>
    </row>
    <row r="321" spans="4:18" ht="18.75" thickBot="1" x14ac:dyDescent="0.3">
      <c r="D321" s="110" t="s">
        <v>1301</v>
      </c>
      <c r="E321" s="111" t="e">
        <f>VLOOKUP(Tabela2[[#This Row],[TAG]],MICRO!J:L,3,0)</f>
        <v>#N/A</v>
      </c>
      <c r="F321" s="109" t="s">
        <v>31</v>
      </c>
      <c r="G321" s="112">
        <f>SUMIF(MICRO!AP:AP,O:O,MICRO!H:H)</f>
        <v>0</v>
      </c>
      <c r="H321" s="113">
        <f>SUMIF(MICRO!AP:AP,O:O,MICRO!R:R)</f>
        <v>0</v>
      </c>
      <c r="I321" s="113">
        <f>SUMIF(MICRO!AP:AP,O:O,MICRO!T:T)</f>
        <v>0</v>
      </c>
      <c r="J321" s="114">
        <f t="shared" ref="J321:J333" si="120">IF(G321 = 0,0,H321/G321)</f>
        <v>0</v>
      </c>
      <c r="K321" s="113">
        <f>SUMIF(MICRO!AP:AP,O:O,MICRO!X:X)</f>
        <v>0</v>
      </c>
      <c r="L321" s="114" t="str">
        <f t="shared" ref="L321:L333" si="121">IF(G321&lt;&gt;0,SUM(K321/G321*1),"0%")</f>
        <v>0%</v>
      </c>
      <c r="M321" s="113">
        <f t="shared" ref="M321:M333" si="122">G321-K321</f>
        <v>0</v>
      </c>
      <c r="N321" s="56" t="e">
        <f t="shared" ref="N321:N333" si="123">E321&amp;F321</f>
        <v>#N/A</v>
      </c>
      <c r="O321" s="56" t="e">
        <f t="shared" ref="O321:O333" si="124">D321&amp;E321&amp;F321</f>
        <v>#N/A</v>
      </c>
      <c r="P321" s="2">
        <f>SUMIF(MICRO!AP:AP,O321,MICRO!AS:AS)</f>
        <v>0</v>
      </c>
      <c r="Q321">
        <f>SUMIF(MICRO!AP:AP,O321,MICRO!AT:AT)</f>
        <v>0</v>
      </c>
      <c r="R321">
        <f>SUMIF(MICRO!AP:AP,O:O,MICRO!AU:AU)</f>
        <v>0</v>
      </c>
    </row>
    <row r="322" spans="4:18" ht="18.75" thickBot="1" x14ac:dyDescent="0.3">
      <c r="D322" s="110" t="s">
        <v>1290</v>
      </c>
      <c r="E322" s="111" t="e">
        <f>VLOOKUP(Tabela2[[#This Row],[TAG]],MICRO!J:L,3,0)</f>
        <v>#N/A</v>
      </c>
      <c r="F322" s="109" t="s">
        <v>31</v>
      </c>
      <c r="G322" s="112">
        <f>SUMIF(MICRO!AP:AP,O:O,MICRO!H:H)</f>
        <v>0</v>
      </c>
      <c r="H322" s="113">
        <f>SUMIF(MICRO!AP:AP,O:O,MICRO!R:R)</f>
        <v>0</v>
      </c>
      <c r="I322" s="113">
        <f>SUMIF(MICRO!AP:AP,O:O,MICRO!T:T)</f>
        <v>0</v>
      </c>
      <c r="J322" s="114">
        <f t="shared" si="120"/>
        <v>0</v>
      </c>
      <c r="K322" s="113">
        <f>SUMIF(MICRO!AP:AP,O:O,MICRO!X:X)</f>
        <v>0</v>
      </c>
      <c r="L322" s="114" t="str">
        <f t="shared" si="121"/>
        <v>0%</v>
      </c>
      <c r="M322" s="113">
        <f t="shared" si="122"/>
        <v>0</v>
      </c>
      <c r="N322" s="56" t="e">
        <f t="shared" si="123"/>
        <v>#N/A</v>
      </c>
      <c r="O322" s="56" t="e">
        <f t="shared" si="124"/>
        <v>#N/A</v>
      </c>
      <c r="P322" s="2">
        <f>SUMIF(MICRO!AP:AP,O322,MICRO!AS:AS)</f>
        <v>0</v>
      </c>
      <c r="Q322">
        <f>SUMIF(MICRO!AP:AP,O322,MICRO!AT:AT)</f>
        <v>0</v>
      </c>
      <c r="R322">
        <f>SUMIF(MICRO!AP:AP,O:O,MICRO!AU:AU)</f>
        <v>0</v>
      </c>
    </row>
    <row r="323" spans="4:18" ht="18.75" thickBot="1" x14ac:dyDescent="0.3">
      <c r="D323" s="110" t="s">
        <v>1865</v>
      </c>
      <c r="E323" s="111" t="e">
        <f>VLOOKUP(Tabela2[[#This Row],[TAG]],MICRO!J:L,3,0)</f>
        <v>#N/A</v>
      </c>
      <c r="F323" s="109" t="s">
        <v>31</v>
      </c>
      <c r="G323" s="112">
        <f>SUMIF(MICRO!AP:AP,O:O,MICRO!H:H)</f>
        <v>0</v>
      </c>
      <c r="H323" s="113">
        <f>SUMIF(MICRO!AP:AP,O:O,MICRO!R:R)</f>
        <v>0</v>
      </c>
      <c r="I323" s="113">
        <f>SUMIF(MICRO!AP:AP,O:O,MICRO!T:T)</f>
        <v>0</v>
      </c>
      <c r="J323" s="114">
        <f t="shared" si="120"/>
        <v>0</v>
      </c>
      <c r="K323" s="113">
        <f>SUMIF(MICRO!AP:AP,O:O,MICRO!X:X)</f>
        <v>0</v>
      </c>
      <c r="L323" s="114" t="str">
        <f t="shared" si="121"/>
        <v>0%</v>
      </c>
      <c r="M323" s="113">
        <f t="shared" si="122"/>
        <v>0</v>
      </c>
      <c r="N323" s="56" t="e">
        <f t="shared" si="123"/>
        <v>#N/A</v>
      </c>
      <c r="O323" s="56" t="e">
        <f t="shared" si="124"/>
        <v>#N/A</v>
      </c>
      <c r="P323" s="2">
        <f>SUMIF(MICRO!AP:AP,O323,MICRO!AS:AS)</f>
        <v>0</v>
      </c>
      <c r="Q323">
        <f>SUMIF(MICRO!AP:AP,O323,MICRO!AT:AT)</f>
        <v>0</v>
      </c>
      <c r="R323">
        <f>SUMIF(MICRO!AP:AP,O:O,MICRO!AU:AU)</f>
        <v>0</v>
      </c>
    </row>
    <row r="324" spans="4:18" ht="18.75" thickBot="1" x14ac:dyDescent="0.3">
      <c r="D324" s="110" t="s">
        <v>1377</v>
      </c>
      <c r="E324" s="111" t="e">
        <f>VLOOKUP(Tabela2[[#This Row],[TAG]],MICRO!J:L,3,0)</f>
        <v>#N/A</v>
      </c>
      <c r="F324" s="109" t="s">
        <v>23</v>
      </c>
      <c r="G324" s="112">
        <f>SUMIF(MICRO!AP:AP,O:O,MICRO!H:H)</f>
        <v>0</v>
      </c>
      <c r="H324" s="113">
        <f>SUMIF(MICRO!AP:AP,O:O,MICRO!R:R)</f>
        <v>0</v>
      </c>
      <c r="I324" s="113">
        <f>SUMIF(MICRO!AP:AP,O:O,MICRO!T:T)</f>
        <v>0</v>
      </c>
      <c r="J324" s="114">
        <f t="shared" si="120"/>
        <v>0</v>
      </c>
      <c r="K324" s="113">
        <f>SUMIF(MICRO!AP:AP,O:O,MICRO!X:X)</f>
        <v>0</v>
      </c>
      <c r="L324" s="114" t="str">
        <f t="shared" si="121"/>
        <v>0%</v>
      </c>
      <c r="M324" s="113">
        <f t="shared" si="122"/>
        <v>0</v>
      </c>
      <c r="N324" s="56" t="e">
        <f t="shared" si="123"/>
        <v>#N/A</v>
      </c>
      <c r="O324" s="56" t="e">
        <f t="shared" si="124"/>
        <v>#N/A</v>
      </c>
      <c r="P324" s="2">
        <f>SUMIF(MICRO!AP:AP,O324,MICRO!AS:AS)</f>
        <v>0</v>
      </c>
      <c r="Q324">
        <f>SUMIF(MICRO!AP:AP,O324,MICRO!AT:AT)</f>
        <v>0</v>
      </c>
      <c r="R324">
        <f>SUMIF(MICRO!AP:AP,O:O,MICRO!AU:AU)</f>
        <v>0</v>
      </c>
    </row>
    <row r="325" spans="4:18" ht="18.75" thickBot="1" x14ac:dyDescent="0.3">
      <c r="D325" s="110" t="s">
        <v>1876</v>
      </c>
      <c r="E325" s="111" t="e">
        <f>VLOOKUP(Tabela2[[#This Row],[TAG]],MICRO!J:L,3,0)</f>
        <v>#N/A</v>
      </c>
      <c r="F325" s="109" t="s">
        <v>23</v>
      </c>
      <c r="G325" s="112">
        <f>SUMIF(MICRO!AP:AP,O:O,MICRO!H:H)</f>
        <v>0</v>
      </c>
      <c r="H325" s="113">
        <f>SUMIF(MICRO!AP:AP,O:O,MICRO!R:R)</f>
        <v>0</v>
      </c>
      <c r="I325" s="113">
        <f>SUMIF(MICRO!AP:AP,O:O,MICRO!T:T)</f>
        <v>0</v>
      </c>
      <c r="J325" s="114">
        <f t="shared" si="120"/>
        <v>0</v>
      </c>
      <c r="K325" s="113">
        <f>SUMIF(MICRO!AP:AP,O:O,MICRO!X:X)</f>
        <v>0</v>
      </c>
      <c r="L325" s="114" t="str">
        <f t="shared" si="121"/>
        <v>0%</v>
      </c>
      <c r="M325" s="113">
        <f t="shared" si="122"/>
        <v>0</v>
      </c>
      <c r="N325" s="56" t="e">
        <f t="shared" si="123"/>
        <v>#N/A</v>
      </c>
      <c r="O325" s="56" t="e">
        <f t="shared" si="124"/>
        <v>#N/A</v>
      </c>
      <c r="P325" s="2">
        <f>SUMIF(MICRO!AP:AP,O325,MICRO!AS:AS)</f>
        <v>0</v>
      </c>
      <c r="Q325">
        <f>SUMIF(MICRO!AP:AP,O325,MICRO!AT:AT)</f>
        <v>0</v>
      </c>
      <c r="R325">
        <f>SUMIF(MICRO!AP:AP,O:O,MICRO!AU:AU)</f>
        <v>0</v>
      </c>
    </row>
    <row r="326" spans="4:18" ht="18.75" thickBot="1" x14ac:dyDescent="0.3">
      <c r="D326" s="110" t="s">
        <v>1877</v>
      </c>
      <c r="E326" s="111" t="e">
        <f>VLOOKUP(Tabela2[[#This Row],[TAG]],MICRO!J:L,3,0)</f>
        <v>#N/A</v>
      </c>
      <c r="F326" s="109" t="s">
        <v>23</v>
      </c>
      <c r="G326" s="112">
        <f>SUMIF(MICRO!AP:AP,O:O,MICRO!H:H)</f>
        <v>0</v>
      </c>
      <c r="H326" s="113">
        <f>SUMIF(MICRO!AP:AP,O:O,MICRO!R:R)</f>
        <v>0</v>
      </c>
      <c r="I326" s="113">
        <f>SUMIF(MICRO!AP:AP,O:O,MICRO!T:T)</f>
        <v>0</v>
      </c>
      <c r="J326" s="114">
        <f t="shared" si="120"/>
        <v>0</v>
      </c>
      <c r="K326" s="113">
        <f>SUMIF(MICRO!AP:AP,O:O,MICRO!X:X)</f>
        <v>0</v>
      </c>
      <c r="L326" s="114" t="str">
        <f t="shared" si="121"/>
        <v>0%</v>
      </c>
      <c r="M326" s="113">
        <f t="shared" si="122"/>
        <v>0</v>
      </c>
      <c r="N326" s="56" t="e">
        <f t="shared" si="123"/>
        <v>#N/A</v>
      </c>
      <c r="O326" s="56" t="e">
        <f t="shared" si="124"/>
        <v>#N/A</v>
      </c>
      <c r="P326" s="2">
        <f>SUMIF(MICRO!AP:AP,O326,MICRO!AS:AS)</f>
        <v>0</v>
      </c>
      <c r="Q326">
        <f>SUMIF(MICRO!AP:AP,O326,MICRO!AT:AT)</f>
        <v>0</v>
      </c>
      <c r="R326">
        <f>SUMIF(MICRO!AP:AP,O:O,MICRO!AU:AU)</f>
        <v>0</v>
      </c>
    </row>
    <row r="327" spans="4:18" ht="18.75" thickBot="1" x14ac:dyDescent="0.3">
      <c r="D327" s="110" t="s">
        <v>2059</v>
      </c>
      <c r="E327" s="111" t="e">
        <f>VLOOKUP(Tabela2[[#This Row],[TAG]],MICRO!J:L,3,0)</f>
        <v>#N/A</v>
      </c>
      <c r="F327" s="109"/>
      <c r="G327" s="112">
        <f>SUMIF(MICRO!AP:AP,O:O,MICRO!H:H)</f>
        <v>0</v>
      </c>
      <c r="H327" s="113">
        <f>SUMIF(MICRO!AP:AP,O:O,MICRO!R:R)</f>
        <v>0</v>
      </c>
      <c r="I327" s="113">
        <f>SUMIF(MICRO!AP:AP,O:O,MICRO!T:T)</f>
        <v>0</v>
      </c>
      <c r="J327" s="114">
        <f t="shared" si="120"/>
        <v>0</v>
      </c>
      <c r="K327" s="113">
        <f>SUMIF(MICRO!AP:AP,O:O,MICRO!X:X)</f>
        <v>0</v>
      </c>
      <c r="L327" s="114" t="str">
        <f t="shared" si="121"/>
        <v>0%</v>
      </c>
      <c r="M327" s="113">
        <f t="shared" si="122"/>
        <v>0</v>
      </c>
      <c r="N327" s="56" t="e">
        <f t="shared" si="123"/>
        <v>#N/A</v>
      </c>
      <c r="O327" s="56" t="e">
        <f t="shared" si="124"/>
        <v>#N/A</v>
      </c>
      <c r="P327" s="2">
        <f>SUMIF(MICRO!AP:AP,O327,MICRO!AS:AS)</f>
        <v>0</v>
      </c>
      <c r="Q327">
        <f>SUMIF(MICRO!AP:AP,O327,MICRO!AT:AT)</f>
        <v>0</v>
      </c>
      <c r="R327">
        <f>SUMIF(MICRO!AP:AP,O:O,MICRO!AU:AU)</f>
        <v>0</v>
      </c>
    </row>
    <row r="328" spans="4:18" ht="18.75" thickBot="1" x14ac:dyDescent="0.3">
      <c r="D328" s="110" t="s">
        <v>1878</v>
      </c>
      <c r="E328" s="111" t="e">
        <f>VLOOKUP(Tabela2[[#This Row],[TAG]],MICRO!J:L,3,0)</f>
        <v>#N/A</v>
      </c>
      <c r="F328" s="109" t="s">
        <v>33</v>
      </c>
      <c r="G328" s="112">
        <f>SUMIF(MICRO!AP:AP,O:O,MICRO!H:H)</f>
        <v>0</v>
      </c>
      <c r="H328" s="113">
        <f>SUMIF(MICRO!AP:AP,O:O,MICRO!R:R)</f>
        <v>0</v>
      </c>
      <c r="I328" s="113">
        <f>SUMIF(MICRO!AP:AP,O:O,MICRO!T:T)</f>
        <v>0</v>
      </c>
      <c r="J328" s="114">
        <f t="shared" si="120"/>
        <v>0</v>
      </c>
      <c r="K328" s="113">
        <f>SUMIF(MICRO!AP:AP,O:O,MICRO!X:X)</f>
        <v>0</v>
      </c>
      <c r="L328" s="114" t="str">
        <f t="shared" si="121"/>
        <v>0%</v>
      </c>
      <c r="M328" s="113">
        <f t="shared" si="122"/>
        <v>0</v>
      </c>
      <c r="N328" s="56" t="e">
        <f t="shared" si="123"/>
        <v>#N/A</v>
      </c>
      <c r="O328" s="56" t="e">
        <f t="shared" si="124"/>
        <v>#N/A</v>
      </c>
      <c r="P328" s="2">
        <f>SUMIF(MICRO!AP:AP,O328,MICRO!AS:AS)</f>
        <v>0</v>
      </c>
      <c r="Q328">
        <f>SUMIF(MICRO!AP:AP,O328,MICRO!AT:AT)</f>
        <v>0</v>
      </c>
      <c r="R328">
        <f>SUMIF(MICRO!AP:AP,O:O,MICRO!AU:AU)</f>
        <v>0</v>
      </c>
    </row>
    <row r="329" spans="4:18" ht="18.75" thickBot="1" x14ac:dyDescent="0.3">
      <c r="D329" s="110" t="s">
        <v>1879</v>
      </c>
      <c r="E329" s="111" t="e">
        <f>VLOOKUP(Tabela2[[#This Row],[TAG]],MICRO!J:L,3,0)</f>
        <v>#N/A</v>
      </c>
      <c r="F329" s="109" t="s">
        <v>22</v>
      </c>
      <c r="G329" s="112">
        <f>SUMIF(MICRO!AP:AP,O:O,MICRO!H:H)</f>
        <v>0</v>
      </c>
      <c r="H329" s="113">
        <f>SUMIF(MICRO!AP:AP,O:O,MICRO!R:R)</f>
        <v>0</v>
      </c>
      <c r="I329" s="113">
        <f>SUMIF(MICRO!AP:AP,O:O,MICRO!T:T)</f>
        <v>0</v>
      </c>
      <c r="J329" s="114">
        <f t="shared" si="120"/>
        <v>0</v>
      </c>
      <c r="K329" s="113">
        <f>SUMIF(MICRO!AP:AP,O:O,MICRO!X:X)</f>
        <v>0</v>
      </c>
      <c r="L329" s="114" t="str">
        <f t="shared" si="121"/>
        <v>0%</v>
      </c>
      <c r="M329" s="113">
        <f t="shared" si="122"/>
        <v>0</v>
      </c>
      <c r="N329" s="56" t="e">
        <f t="shared" si="123"/>
        <v>#N/A</v>
      </c>
      <c r="O329" s="56" t="e">
        <f t="shared" si="124"/>
        <v>#N/A</v>
      </c>
      <c r="P329" s="2">
        <f>SUMIF(MICRO!AP:AP,O329,MICRO!AS:AS)</f>
        <v>0</v>
      </c>
      <c r="Q329">
        <f>SUMIF(MICRO!AP:AP,O329,MICRO!AT:AT)</f>
        <v>0</v>
      </c>
      <c r="R329">
        <f>SUMIF(MICRO!AP:AP,O:O,MICRO!AU:AU)</f>
        <v>0</v>
      </c>
    </row>
    <row r="330" spans="4:18" ht="18.75" thickBot="1" x14ac:dyDescent="0.3">
      <c r="D330" s="110" t="s">
        <v>1880</v>
      </c>
      <c r="E330" s="111" t="e">
        <f>VLOOKUP(Tabela2[[#This Row],[TAG]],MICRO!J:L,3,0)</f>
        <v>#N/A</v>
      </c>
      <c r="F330" s="109" t="s">
        <v>23</v>
      </c>
      <c r="G330" s="112">
        <f>SUMIF(MICRO!AP:AP,O:O,MICRO!H:H)</f>
        <v>0</v>
      </c>
      <c r="H330" s="113">
        <f>SUMIF(MICRO!AP:AP,O:O,MICRO!R:R)</f>
        <v>0</v>
      </c>
      <c r="I330" s="113">
        <f>SUMIF(MICRO!AP:AP,O:O,MICRO!T:T)</f>
        <v>0</v>
      </c>
      <c r="J330" s="114">
        <f t="shared" si="120"/>
        <v>0</v>
      </c>
      <c r="K330" s="113">
        <f>SUMIF(MICRO!AP:AP,O:O,MICRO!X:X)</f>
        <v>0</v>
      </c>
      <c r="L330" s="114" t="str">
        <f t="shared" si="121"/>
        <v>0%</v>
      </c>
      <c r="M330" s="113">
        <f t="shared" si="122"/>
        <v>0</v>
      </c>
      <c r="N330" s="56" t="e">
        <f t="shared" si="123"/>
        <v>#N/A</v>
      </c>
      <c r="O330" s="56" t="e">
        <f t="shared" si="124"/>
        <v>#N/A</v>
      </c>
      <c r="P330" s="2">
        <f>SUMIF(MICRO!AP:AP,O330,MICRO!AS:AS)</f>
        <v>0</v>
      </c>
      <c r="Q330">
        <f>SUMIF(MICRO!AP:AP,O330,MICRO!AT:AT)</f>
        <v>0</v>
      </c>
      <c r="R330">
        <f>SUMIF(MICRO!AP:AP,O:O,MICRO!AU:AU)</f>
        <v>0</v>
      </c>
    </row>
    <row r="331" spans="4:18" ht="18.75" thickBot="1" x14ac:dyDescent="0.3">
      <c r="D331" s="110" t="s">
        <v>1865</v>
      </c>
      <c r="E331" s="111" t="e">
        <f>VLOOKUP(Tabela2[[#This Row],[TAG]],MICRO!J:L,3,0)</f>
        <v>#N/A</v>
      </c>
      <c r="F331" s="109" t="s">
        <v>44</v>
      </c>
      <c r="G331" s="112">
        <f>SUMIF(MICRO!AP:AP,O:O,MICRO!H:H)</f>
        <v>0</v>
      </c>
      <c r="H331" s="113">
        <f>SUMIF(MICRO!AP:AP,O:O,MICRO!R:R)</f>
        <v>0</v>
      </c>
      <c r="I331" s="113">
        <f>SUMIF(MICRO!AP:AP,O:O,MICRO!T:T)</f>
        <v>0</v>
      </c>
      <c r="J331" s="114">
        <f t="shared" si="120"/>
        <v>0</v>
      </c>
      <c r="K331" s="113">
        <f>SUMIF(MICRO!AP:AP,O:O,MICRO!X:X)</f>
        <v>0</v>
      </c>
      <c r="L331" s="114" t="str">
        <f t="shared" si="121"/>
        <v>0%</v>
      </c>
      <c r="M331" s="113">
        <f t="shared" si="122"/>
        <v>0</v>
      </c>
      <c r="N331" s="56" t="e">
        <f t="shared" si="123"/>
        <v>#N/A</v>
      </c>
      <c r="O331" s="56" t="e">
        <f t="shared" si="124"/>
        <v>#N/A</v>
      </c>
      <c r="P331" s="2">
        <f>SUMIF(MICRO!AP:AP,O331,MICRO!AS:AS)</f>
        <v>0</v>
      </c>
      <c r="Q331">
        <f>SUMIF(MICRO!AP:AP,O331,MICRO!AT:AT)</f>
        <v>0</v>
      </c>
      <c r="R331">
        <f>SUMIF(MICRO!AP:AP,O:O,MICRO!AU:AU)</f>
        <v>0</v>
      </c>
    </row>
    <row r="332" spans="4:18" ht="18.75" thickBot="1" x14ac:dyDescent="0.3">
      <c r="D332" s="110" t="s">
        <v>1879</v>
      </c>
      <c r="E332" s="111" t="e">
        <f>VLOOKUP(Tabela2[[#This Row],[TAG]],MICRO!J:L,3,0)</f>
        <v>#N/A</v>
      </c>
      <c r="F332" s="109" t="s">
        <v>31</v>
      </c>
      <c r="G332" s="112">
        <f>SUMIF(MICRO!AP:AP,O:O,MICRO!H:H)</f>
        <v>0</v>
      </c>
      <c r="H332" s="113">
        <f>SUMIF(MICRO!AP:AP,O:O,MICRO!R:R)</f>
        <v>0</v>
      </c>
      <c r="I332" s="113">
        <f>SUMIF(MICRO!AP:AP,O:O,MICRO!T:T)</f>
        <v>0</v>
      </c>
      <c r="J332" s="114">
        <f t="shared" si="120"/>
        <v>0</v>
      </c>
      <c r="K332" s="113">
        <f>SUMIF(MICRO!AP:AP,O:O,MICRO!X:X)</f>
        <v>0</v>
      </c>
      <c r="L332" s="114" t="str">
        <f t="shared" si="121"/>
        <v>0%</v>
      </c>
      <c r="M332" s="113">
        <f t="shared" si="122"/>
        <v>0</v>
      </c>
      <c r="N332" s="56" t="e">
        <f t="shared" si="123"/>
        <v>#N/A</v>
      </c>
      <c r="O332" s="56" t="e">
        <f t="shared" si="124"/>
        <v>#N/A</v>
      </c>
      <c r="P332" s="2">
        <f>SUMIF(MICRO!AP:AP,O332,MICRO!AS:AS)</f>
        <v>0</v>
      </c>
      <c r="Q332">
        <f>SUMIF(MICRO!AP:AP,O332,MICRO!AT:AT)</f>
        <v>0</v>
      </c>
      <c r="R332">
        <f>SUMIF(MICRO!AP:AP,O:O,MICRO!AU:AU)</f>
        <v>0</v>
      </c>
    </row>
    <row r="333" spans="4:18" ht="18.75" thickBot="1" x14ac:dyDescent="0.3">
      <c r="D333" s="110" t="s">
        <v>2274</v>
      </c>
      <c r="E333" s="111" t="str">
        <f>VLOOKUP(Tabela2[[#This Row],[TAG]],MICRO!J:L,3,0)</f>
        <v>P-188</v>
      </c>
      <c r="F333" s="109" t="s">
        <v>33</v>
      </c>
      <c r="G333" s="112">
        <f>SUMIF(MICRO!AP:AP,O:O,MICRO!H:H)</f>
        <v>1004.8</v>
      </c>
      <c r="H333" s="113">
        <f>SUMIF(MICRO!AP:AP,O:O,MICRO!R:R)</f>
        <v>937.8</v>
      </c>
      <c r="I333" s="113">
        <f>SUMIF(MICRO!AP:AP,O:O,MICRO!T:T)</f>
        <v>-67</v>
      </c>
      <c r="J333" s="114">
        <f t="shared" si="120"/>
        <v>0.93332006369426757</v>
      </c>
      <c r="K333" s="113">
        <f>SUMIF(MICRO!AP:AP,O:O,MICRO!X:X)</f>
        <v>1004.8</v>
      </c>
      <c r="L333" s="114">
        <f t="shared" si="121"/>
        <v>1</v>
      </c>
      <c r="M333" s="113">
        <f t="shared" si="122"/>
        <v>0</v>
      </c>
      <c r="N333" s="56" t="str">
        <f t="shared" si="123"/>
        <v>P-188BASES ROLETES</v>
      </c>
      <c r="O333" s="56" t="str">
        <f t="shared" si="124"/>
        <v>1073-TC-006P-188BASES ROLETES</v>
      </c>
      <c r="P333" s="2">
        <f>SUMIF(MICRO!AP:AP,O333,MICRO!AS:AS)</f>
        <v>0</v>
      </c>
      <c r="Q333">
        <f>SUMIF(MICRO!AP:AP,O333,MICRO!AT:AT)</f>
        <v>0</v>
      </c>
      <c r="R333">
        <f>SUMIF(MICRO!AP:AP,O:O,MICRO!AU:AU)</f>
        <v>937.8</v>
      </c>
    </row>
    <row r="334" spans="4:18" ht="18.75" thickBot="1" x14ac:dyDescent="0.3">
      <c r="D334" s="110" t="s">
        <v>2276</v>
      </c>
      <c r="E334" s="111" t="str">
        <f>VLOOKUP(Tabela2[[#This Row],[TAG]],MICRO!J:L,3,0)</f>
        <v>P-188</v>
      </c>
      <c r="F334" s="109" t="s">
        <v>33</v>
      </c>
      <c r="G334" s="112">
        <f>SUMIF(MICRO!AP:AP,O:O,MICRO!H:H)</f>
        <v>1004.8</v>
      </c>
      <c r="H334" s="113">
        <f>SUMIF(MICRO!AP:AP,O:O,MICRO!R:R)</f>
        <v>937.8</v>
      </c>
      <c r="I334" s="113">
        <f>SUMIF(MICRO!AP:AP,O:O,MICRO!T:T)</f>
        <v>-67</v>
      </c>
      <c r="J334" s="114">
        <f t="shared" si="105"/>
        <v>0.93332006369426757</v>
      </c>
      <c r="K334" s="113">
        <f>SUMIF(MICRO!AP:AP,O:O,MICRO!X:X)</f>
        <v>1004.8</v>
      </c>
      <c r="L334" s="114">
        <f t="shared" si="106"/>
        <v>1</v>
      </c>
      <c r="M334" s="113">
        <f t="shared" si="107"/>
        <v>0</v>
      </c>
      <c r="N334" s="56" t="str">
        <f t="shared" si="108"/>
        <v>P-188BASES ROLETES</v>
      </c>
      <c r="O334" s="56" t="str">
        <f t="shared" si="109"/>
        <v>1073-TC-007P-188BASES ROLETES</v>
      </c>
      <c r="P334" s="2">
        <f>SUMIF(MICRO!AP:AP,O334,MICRO!AS:AS)</f>
        <v>0</v>
      </c>
      <c r="Q334">
        <f>SUMIF(MICRO!AP:AP,O334,MICRO!AT:AT)</f>
        <v>0</v>
      </c>
      <c r="R334">
        <f>SUMIF(MICRO!AP:AP,O:O,MICRO!AU:AU)</f>
        <v>937.8</v>
      </c>
    </row>
    <row r="335" spans="4:18" ht="18.75" thickBot="1" x14ac:dyDescent="0.3">
      <c r="D335" s="110" t="s">
        <v>2274</v>
      </c>
      <c r="E335" s="111" t="str">
        <f>VLOOKUP(Tabela2[[#This Row],[TAG]],MICRO!J:L,3,0)</f>
        <v>P-188</v>
      </c>
      <c r="F335" s="109" t="s">
        <v>23</v>
      </c>
      <c r="G335" s="112">
        <f>SUMIF(MICRO!AP:AP,O:O,MICRO!H:H)</f>
        <v>1332.5</v>
      </c>
      <c r="H335" s="113">
        <f>SUMIF(MICRO!AP:AP,O:O,MICRO!R:R)</f>
        <v>1213.5</v>
      </c>
      <c r="I335" s="113">
        <f>SUMIF(MICRO!AP:AP,O:O,MICRO!T:T)</f>
        <v>-119</v>
      </c>
      <c r="J335" s="114">
        <f t="shared" ref="J335:J395" si="125">IF(G335 = 0,0,H335/G335)</f>
        <v>0.91069418386491552</v>
      </c>
      <c r="K335" s="113">
        <f>SUMIF(MICRO!AP:AP,O:O,MICRO!X:X)</f>
        <v>1353.5</v>
      </c>
      <c r="L335" s="114">
        <f t="shared" ref="L335:L395" si="126">IF(G335&lt;&gt;0,SUM(K335/G335*1),"0%")</f>
        <v>1.0157598499061913</v>
      </c>
      <c r="M335" s="113">
        <f t="shared" ref="M335:M395" si="127">G335-K335</f>
        <v>-21</v>
      </c>
      <c r="N335" s="56" t="str">
        <f t="shared" ref="N335:N395" si="128">E335&amp;F335</f>
        <v>P-188ROLOS</v>
      </c>
      <c r="O335" s="56" t="str">
        <f t="shared" ref="O335:O395" si="129">D335&amp;E335&amp;F335</f>
        <v>1073-TC-006P-188ROLOS</v>
      </c>
      <c r="P335" s="2">
        <f>SUMIF(MICRO!AP:AP,O335,MICRO!AS:AS)</f>
        <v>0</v>
      </c>
      <c r="Q335">
        <f>SUMIF(MICRO!AP:AP,O335,MICRO!AT:AT)</f>
        <v>0</v>
      </c>
      <c r="R335">
        <f>SUMIF(MICRO!AP:AP,O:O,MICRO!AU:AU)</f>
        <v>1213.5</v>
      </c>
    </row>
    <row r="336" spans="4:18" ht="18.75" thickBot="1" x14ac:dyDescent="0.3">
      <c r="D336" s="110" t="s">
        <v>2276</v>
      </c>
      <c r="E336" s="111" t="str">
        <f>VLOOKUP(Tabela2[[#This Row],[TAG]],MICRO!J:L,3,0)</f>
        <v>P-188</v>
      </c>
      <c r="F336" s="109" t="s">
        <v>23</v>
      </c>
      <c r="G336" s="112">
        <f>SUMIF(MICRO!AP:AP,O:O,MICRO!H:H)</f>
        <v>1332.5</v>
      </c>
      <c r="H336" s="113">
        <f>SUMIF(MICRO!AP:AP,O:O,MICRO!R:R)</f>
        <v>1213.5</v>
      </c>
      <c r="I336" s="113">
        <f>SUMIF(MICRO!AP:AP,O:O,MICRO!T:T)</f>
        <v>-119</v>
      </c>
      <c r="J336" s="114">
        <f t="shared" si="125"/>
        <v>0.91069418386491552</v>
      </c>
      <c r="K336" s="113">
        <f>SUMIF(MICRO!AP:AP,O:O,MICRO!X:X)</f>
        <v>1353.5</v>
      </c>
      <c r="L336" s="114">
        <f t="shared" si="126"/>
        <v>1.0157598499061913</v>
      </c>
      <c r="M336" s="113">
        <f t="shared" si="127"/>
        <v>-21</v>
      </c>
      <c r="N336" s="56" t="str">
        <f t="shared" si="128"/>
        <v>P-188ROLOS</v>
      </c>
      <c r="O336" s="56" t="str">
        <f t="shared" si="129"/>
        <v>1073-TC-007P-188ROLOS</v>
      </c>
      <c r="P336" s="2">
        <f>SUMIF(MICRO!AP:AP,O336,MICRO!AS:AS)</f>
        <v>0</v>
      </c>
      <c r="Q336">
        <f>SUMIF(MICRO!AP:AP,O336,MICRO!AT:AT)</f>
        <v>0</v>
      </c>
      <c r="R336">
        <f>SUMIF(MICRO!AP:AP,O:O,MICRO!AU:AU)</f>
        <v>1213.5</v>
      </c>
    </row>
    <row r="337" spans="4:18" ht="18.75" thickBot="1" x14ac:dyDescent="0.3">
      <c r="D337" s="110" t="s">
        <v>2274</v>
      </c>
      <c r="E337" s="111" t="str">
        <f>VLOOKUP(Tabela2[[#This Row],[TAG]],MICRO!J:L,3,0)</f>
        <v>P-188</v>
      </c>
      <c r="F337" s="109" t="s">
        <v>31</v>
      </c>
      <c r="G337" s="112">
        <f>SUMIF(MICRO!AP:AP,O:O,MICRO!H:H)</f>
        <v>0</v>
      </c>
      <c r="H337" s="113">
        <f>SUMIF(MICRO!AP:AP,O:O,MICRO!R:R)</f>
        <v>0</v>
      </c>
      <c r="I337" s="113">
        <f>SUMIF(MICRO!AP:AP,O:O,MICRO!T:T)</f>
        <v>0</v>
      </c>
      <c r="J337" s="114">
        <f t="shared" si="125"/>
        <v>0</v>
      </c>
      <c r="K337" s="113">
        <f>SUMIF(MICRO!AP:AP,O:O,MICRO!X:X)</f>
        <v>0</v>
      </c>
      <c r="L337" s="114" t="str">
        <f t="shared" si="126"/>
        <v>0%</v>
      </c>
      <c r="M337" s="113">
        <f t="shared" si="127"/>
        <v>0</v>
      </c>
      <c r="N337" s="56" t="str">
        <f t="shared" si="128"/>
        <v>P-188ESTRUTURA</v>
      </c>
      <c r="O337" s="56" t="str">
        <f t="shared" si="129"/>
        <v>1073-TC-006P-188ESTRUTURA</v>
      </c>
      <c r="P337" s="2">
        <f>SUMIF(MICRO!AP:AP,O337,MICRO!AS:AS)</f>
        <v>0</v>
      </c>
      <c r="Q337">
        <f>SUMIF(MICRO!AP:AP,O337,MICRO!AT:AT)</f>
        <v>0</v>
      </c>
      <c r="R337">
        <f>SUMIF(MICRO!AP:AP,O:O,MICRO!AU:AU)</f>
        <v>0</v>
      </c>
    </row>
    <row r="338" spans="4:18" ht="18.75" thickBot="1" x14ac:dyDescent="0.3">
      <c r="D338" s="110" t="s">
        <v>2276</v>
      </c>
      <c r="E338" s="111" t="str">
        <f>VLOOKUP(Tabela2[[#This Row],[TAG]],MICRO!J:L,3,0)</f>
        <v>P-188</v>
      </c>
      <c r="F338" s="109" t="s">
        <v>31</v>
      </c>
      <c r="G338" s="112">
        <f>SUMIF(MICRO!AP:AP,O:O,MICRO!H:H)</f>
        <v>0</v>
      </c>
      <c r="H338" s="113">
        <f>SUMIF(MICRO!AP:AP,O:O,MICRO!R:R)</f>
        <v>0</v>
      </c>
      <c r="I338" s="113">
        <f>SUMIF(MICRO!AP:AP,O:O,MICRO!T:T)</f>
        <v>0</v>
      </c>
      <c r="J338" s="114">
        <f t="shared" si="125"/>
        <v>0</v>
      </c>
      <c r="K338" s="113">
        <f>SUMIF(MICRO!AP:AP,O:O,MICRO!X:X)</f>
        <v>0</v>
      </c>
      <c r="L338" s="114" t="str">
        <f t="shared" si="126"/>
        <v>0%</v>
      </c>
      <c r="M338" s="113">
        <f t="shared" si="127"/>
        <v>0</v>
      </c>
      <c r="N338" s="56" t="str">
        <f t="shared" si="128"/>
        <v>P-188ESTRUTURA</v>
      </c>
      <c r="O338" s="56" t="str">
        <f t="shared" si="129"/>
        <v>1073-TC-007P-188ESTRUTURA</v>
      </c>
      <c r="P338" s="2">
        <f>SUMIF(MICRO!AP:AP,O338,MICRO!AS:AS)</f>
        <v>0</v>
      </c>
      <c r="Q338">
        <f>SUMIF(MICRO!AP:AP,O338,MICRO!AT:AT)</f>
        <v>0</v>
      </c>
      <c r="R338">
        <f>SUMIF(MICRO!AP:AP,O:O,MICRO!AU:AU)</f>
        <v>0</v>
      </c>
    </row>
    <row r="339" spans="4:18" ht="18.75" thickBot="1" x14ac:dyDescent="0.3">
      <c r="D339" s="110" t="s">
        <v>2274</v>
      </c>
      <c r="E339" s="111" t="str">
        <f>VLOOKUP(Tabela2[[#This Row],[TAG]],MICRO!J:L,3,0)</f>
        <v>P-188</v>
      </c>
      <c r="F339" s="109" t="s">
        <v>22</v>
      </c>
      <c r="G339" s="112">
        <f>SUMIF(MICRO!AP:AP,O:O,MICRO!H:H)</f>
        <v>0</v>
      </c>
      <c r="H339" s="113">
        <f>SUMIF(MICRO!AP:AP,O:O,MICRO!R:R)</f>
        <v>0</v>
      </c>
      <c r="I339" s="113">
        <f>SUMIF(MICRO!AP:AP,O:O,MICRO!T:T)</f>
        <v>0</v>
      </c>
      <c r="J339" s="114">
        <f t="shared" si="125"/>
        <v>0</v>
      </c>
      <c r="K339" s="113">
        <f>SUMIF(MICRO!AP:AP,O:O,MICRO!X:X)</f>
        <v>0</v>
      </c>
      <c r="L339" s="114" t="str">
        <f t="shared" si="126"/>
        <v>0%</v>
      </c>
      <c r="M339" s="113">
        <f t="shared" si="127"/>
        <v>0</v>
      </c>
      <c r="N339" s="56" t="str">
        <f t="shared" si="128"/>
        <v>P-188TAMBOR</v>
      </c>
      <c r="O339" s="56" t="str">
        <f t="shared" si="129"/>
        <v>1073-TC-006P-188TAMBOR</v>
      </c>
      <c r="P339" s="2">
        <f>SUMIF(MICRO!AP:AP,O339,MICRO!AS:AS)</f>
        <v>0</v>
      </c>
      <c r="Q339">
        <f>SUMIF(MICRO!AP:AP,O339,MICRO!AT:AT)</f>
        <v>0</v>
      </c>
      <c r="R339">
        <f>SUMIF(MICRO!AP:AP,O:O,MICRO!AU:AU)</f>
        <v>0</v>
      </c>
    </row>
    <row r="340" spans="4:18" ht="18.75" thickBot="1" x14ac:dyDescent="0.3">
      <c r="D340" s="110" t="s">
        <v>2276</v>
      </c>
      <c r="E340" s="111" t="str">
        <f>VLOOKUP(Tabela2[[#This Row],[TAG]],MICRO!J:L,3,0)</f>
        <v>P-188</v>
      </c>
      <c r="F340" s="109" t="s">
        <v>22</v>
      </c>
      <c r="G340" s="112">
        <f>SUMIF(MICRO!AP:AP,O:O,MICRO!H:H)</f>
        <v>0</v>
      </c>
      <c r="H340" s="113">
        <f>SUMIF(MICRO!AP:AP,O:O,MICRO!R:R)</f>
        <v>0</v>
      </c>
      <c r="I340" s="113">
        <f>SUMIF(MICRO!AP:AP,O:O,MICRO!T:T)</f>
        <v>0</v>
      </c>
      <c r="J340" s="114">
        <f t="shared" si="125"/>
        <v>0</v>
      </c>
      <c r="K340" s="113">
        <f>SUMIF(MICRO!AP:AP,O:O,MICRO!X:X)</f>
        <v>0</v>
      </c>
      <c r="L340" s="114" t="str">
        <f t="shared" si="126"/>
        <v>0%</v>
      </c>
      <c r="M340" s="113">
        <f t="shared" si="127"/>
        <v>0</v>
      </c>
      <c r="N340" s="56" t="str">
        <f t="shared" si="128"/>
        <v>P-188TAMBOR</v>
      </c>
      <c r="O340" s="56" t="str">
        <f t="shared" si="129"/>
        <v>1073-TC-007P-188TAMBOR</v>
      </c>
      <c r="P340" s="2">
        <f>SUMIF(MICRO!AP:AP,O340,MICRO!AS:AS)</f>
        <v>0</v>
      </c>
      <c r="Q340">
        <f>SUMIF(MICRO!AP:AP,O340,MICRO!AT:AT)</f>
        <v>0</v>
      </c>
      <c r="R340">
        <f>SUMIF(MICRO!AP:AP,O:O,MICRO!AU:AU)</f>
        <v>0</v>
      </c>
    </row>
    <row r="341" spans="4:18" ht="18.75" thickBot="1" x14ac:dyDescent="0.3">
      <c r="D341" s="110" t="s">
        <v>1300</v>
      </c>
      <c r="E341" s="111" t="e">
        <f>VLOOKUP(Tabela2[[#This Row],[TAG]],MICRO!J:L,3,0)</f>
        <v>#N/A</v>
      </c>
      <c r="F341" s="109" t="s">
        <v>44</v>
      </c>
      <c r="G341" s="112">
        <f>SUMIF(MICRO!AP:AP,O:O,MICRO!H:H)</f>
        <v>0</v>
      </c>
      <c r="H341" s="113">
        <f>SUMIF(MICRO!AP:AP,O:O,MICRO!R:R)</f>
        <v>0</v>
      </c>
      <c r="I341" s="113">
        <f>SUMIF(MICRO!AP:AP,O:O,MICRO!T:T)</f>
        <v>0</v>
      </c>
      <c r="J341" s="114">
        <f t="shared" si="125"/>
        <v>0</v>
      </c>
      <c r="K341" s="113">
        <f>SUMIF(MICRO!AP:AP,O:O,MICRO!X:X)</f>
        <v>0</v>
      </c>
      <c r="L341" s="114" t="str">
        <f t="shared" si="126"/>
        <v>0%</v>
      </c>
      <c r="M341" s="113">
        <f t="shared" si="127"/>
        <v>0</v>
      </c>
      <c r="N341" s="56" t="e">
        <f t="shared" si="128"/>
        <v>#N/A</v>
      </c>
      <c r="O341" s="56" t="e">
        <f t="shared" si="129"/>
        <v>#N/A</v>
      </c>
      <c r="P341" s="2">
        <f>SUMIF(MICRO!AP:AP,O341,MICRO!AS:AS)</f>
        <v>0</v>
      </c>
      <c r="Q341">
        <f>SUMIF(MICRO!AP:AP,O341,MICRO!AT:AT)</f>
        <v>0</v>
      </c>
      <c r="R341">
        <f>SUMIF(MICRO!AP:AP,O:O,MICRO!AU:AU)</f>
        <v>0</v>
      </c>
    </row>
    <row r="342" spans="4:18" ht="18.75" thickBot="1" x14ac:dyDescent="0.3">
      <c r="D342" s="110" t="s">
        <v>1295</v>
      </c>
      <c r="E342" s="111" t="e">
        <f>VLOOKUP(Tabela2[[#This Row],[TAG]],MICRO!J:L,3,0)</f>
        <v>#N/A</v>
      </c>
      <c r="F342" s="109" t="s">
        <v>44</v>
      </c>
      <c r="G342" s="112">
        <f>SUMIF(MICRO!AP:AP,O:O,MICRO!H:H)</f>
        <v>0</v>
      </c>
      <c r="H342" s="113">
        <f>SUMIF(MICRO!AP:AP,O:O,MICRO!R:R)</f>
        <v>0</v>
      </c>
      <c r="I342" s="113">
        <f>SUMIF(MICRO!AP:AP,O:O,MICRO!T:T)</f>
        <v>0</v>
      </c>
      <c r="J342" s="114">
        <f t="shared" si="125"/>
        <v>0</v>
      </c>
      <c r="K342" s="113">
        <f>SUMIF(MICRO!AP:AP,O:O,MICRO!X:X)</f>
        <v>0</v>
      </c>
      <c r="L342" s="114" t="str">
        <f t="shared" si="126"/>
        <v>0%</v>
      </c>
      <c r="M342" s="113">
        <f t="shared" si="127"/>
        <v>0</v>
      </c>
      <c r="N342" s="56" t="e">
        <f t="shared" si="128"/>
        <v>#N/A</v>
      </c>
      <c r="O342" s="56" t="e">
        <f t="shared" si="129"/>
        <v>#N/A</v>
      </c>
      <c r="P342" s="2">
        <f>SUMIF(MICRO!AP:AP,O342,MICRO!AS:AS)</f>
        <v>0</v>
      </c>
      <c r="Q342">
        <f>SUMIF(MICRO!AP:AP,O342,MICRO!AT:AT)</f>
        <v>0</v>
      </c>
      <c r="R342">
        <f>SUMIF(MICRO!AP:AP,O:O,MICRO!AU:AU)</f>
        <v>0</v>
      </c>
    </row>
    <row r="343" spans="4:18" ht="18.75" thickBot="1" x14ac:dyDescent="0.3">
      <c r="D343" s="110" t="s">
        <v>1301</v>
      </c>
      <c r="E343" s="111" t="e">
        <f>VLOOKUP(Tabela2[[#This Row],[TAG]],MICRO!J:L,3,0)</f>
        <v>#N/A</v>
      </c>
      <c r="F343" s="109" t="s">
        <v>44</v>
      </c>
      <c r="G343" s="112">
        <f>SUMIF(MICRO!AP:AP,O:O,MICRO!H:H)</f>
        <v>0</v>
      </c>
      <c r="H343" s="113">
        <f>SUMIF(MICRO!AP:AP,O:O,MICRO!R:R)</f>
        <v>0</v>
      </c>
      <c r="I343" s="113">
        <f>SUMIF(MICRO!AP:AP,O:O,MICRO!T:T)</f>
        <v>0</v>
      </c>
      <c r="J343" s="114">
        <f t="shared" si="125"/>
        <v>0</v>
      </c>
      <c r="K343" s="113">
        <f>SUMIF(MICRO!AP:AP,O:O,MICRO!X:X)</f>
        <v>0</v>
      </c>
      <c r="L343" s="114" t="str">
        <f t="shared" si="126"/>
        <v>0%</v>
      </c>
      <c r="M343" s="113">
        <f t="shared" si="127"/>
        <v>0</v>
      </c>
      <c r="N343" s="56" t="e">
        <f t="shared" si="128"/>
        <v>#N/A</v>
      </c>
      <c r="O343" s="56" t="e">
        <f t="shared" si="129"/>
        <v>#N/A</v>
      </c>
      <c r="P343" s="2">
        <f>SUMIF(MICRO!AP:AP,O343,MICRO!AS:AS)</f>
        <v>0</v>
      </c>
      <c r="Q343">
        <f>SUMIF(MICRO!AP:AP,O343,MICRO!AT:AT)</f>
        <v>0</v>
      </c>
      <c r="R343">
        <f>SUMIF(MICRO!AP:AP,O:O,MICRO!AU:AU)</f>
        <v>0</v>
      </c>
    </row>
    <row r="344" spans="4:18" ht="18.75" thickBot="1" x14ac:dyDescent="0.3">
      <c r="D344" s="110" t="s">
        <v>1290</v>
      </c>
      <c r="E344" s="111" t="e">
        <f>VLOOKUP(Tabela2[[#This Row],[TAG]],MICRO!J:L,3,0)</f>
        <v>#N/A</v>
      </c>
      <c r="F344" s="109" t="s">
        <v>44</v>
      </c>
      <c r="G344" s="112">
        <f>SUMIF(MICRO!AP:AP,O:O,MICRO!H:H)</f>
        <v>0</v>
      </c>
      <c r="H344" s="113">
        <f>SUMIF(MICRO!AP:AP,O:O,MICRO!R:R)</f>
        <v>0</v>
      </c>
      <c r="I344" s="113">
        <f>SUMIF(MICRO!AP:AP,O:O,MICRO!T:T)</f>
        <v>0</v>
      </c>
      <c r="J344" s="114">
        <f t="shared" si="125"/>
        <v>0</v>
      </c>
      <c r="K344" s="113">
        <f>SUMIF(MICRO!AP:AP,O:O,MICRO!X:X)</f>
        <v>0</v>
      </c>
      <c r="L344" s="114" t="str">
        <f t="shared" si="126"/>
        <v>0%</v>
      </c>
      <c r="M344" s="113">
        <f t="shared" si="127"/>
        <v>0</v>
      </c>
      <c r="N344" s="56" t="e">
        <f t="shared" si="128"/>
        <v>#N/A</v>
      </c>
      <c r="O344" s="56" t="e">
        <f t="shared" si="129"/>
        <v>#N/A</v>
      </c>
      <c r="P344" s="2">
        <f>SUMIF(MICRO!AP:AP,O344,MICRO!AS:AS)</f>
        <v>0</v>
      </c>
      <c r="Q344">
        <f>SUMIF(MICRO!AP:AP,O344,MICRO!AT:AT)</f>
        <v>0</v>
      </c>
      <c r="R344">
        <f>SUMIF(MICRO!AP:AP,O:O,MICRO!AU:AU)</f>
        <v>0</v>
      </c>
    </row>
    <row r="345" spans="4:18" ht="18.75" thickBot="1" x14ac:dyDescent="0.3">
      <c r="D345" s="110" t="s">
        <v>1300</v>
      </c>
      <c r="E345" s="111" t="e">
        <f>VLOOKUP(Tabela2[[#This Row],[TAG]],MICRO!J:L,3,0)</f>
        <v>#N/A</v>
      </c>
      <c r="F345" s="109" t="s">
        <v>327</v>
      </c>
      <c r="G345" s="112">
        <f>SUMIF(MICRO!AP:AP,O:O,MICRO!H:H)</f>
        <v>0</v>
      </c>
      <c r="H345" s="113">
        <f>SUMIF(MICRO!AP:AP,O:O,MICRO!R:R)</f>
        <v>0</v>
      </c>
      <c r="I345" s="113">
        <f>SUMIF(MICRO!AP:AP,O:O,MICRO!T:T)</f>
        <v>0</v>
      </c>
      <c r="J345" s="114">
        <f t="shared" si="125"/>
        <v>0</v>
      </c>
      <c r="K345" s="113">
        <f>SUMIF(MICRO!AP:AP,O:O,MICRO!X:X)</f>
        <v>0</v>
      </c>
      <c r="L345" s="114" t="str">
        <f t="shared" si="126"/>
        <v>0%</v>
      </c>
      <c r="M345" s="113">
        <f t="shared" si="127"/>
        <v>0</v>
      </c>
      <c r="N345" s="56" t="e">
        <f t="shared" si="128"/>
        <v>#N/A</v>
      </c>
      <c r="O345" s="56" t="e">
        <f t="shared" si="129"/>
        <v>#N/A</v>
      </c>
      <c r="P345" s="2">
        <f>SUMIF(MICRO!AP:AP,O345,MICRO!AS:AS)</f>
        <v>0</v>
      </c>
      <c r="Q345">
        <f>SUMIF(MICRO!AP:AP,O345,MICRO!AT:AT)</f>
        <v>0</v>
      </c>
      <c r="R345">
        <f>SUMIF(MICRO!AP:AP,O:O,MICRO!AU:AU)</f>
        <v>0</v>
      </c>
    </row>
    <row r="346" spans="4:18" ht="18.75" thickBot="1" x14ac:dyDescent="0.3">
      <c r="D346" s="110" t="s">
        <v>1295</v>
      </c>
      <c r="E346" s="111" t="e">
        <f>VLOOKUP(Tabela2[[#This Row],[TAG]],MICRO!J:L,3,0)</f>
        <v>#N/A</v>
      </c>
      <c r="F346" s="109" t="s">
        <v>327</v>
      </c>
      <c r="G346" s="112">
        <f>SUMIF(MICRO!AP:AP,O:O,MICRO!H:H)</f>
        <v>0</v>
      </c>
      <c r="H346" s="113">
        <f>SUMIF(MICRO!AP:AP,O:O,MICRO!R:R)</f>
        <v>0</v>
      </c>
      <c r="I346" s="113">
        <f>SUMIF(MICRO!AP:AP,O:O,MICRO!T:T)</f>
        <v>0</v>
      </c>
      <c r="J346" s="114">
        <f t="shared" si="125"/>
        <v>0</v>
      </c>
      <c r="K346" s="113">
        <f>SUMIF(MICRO!AP:AP,O:O,MICRO!X:X)</f>
        <v>0</v>
      </c>
      <c r="L346" s="114" t="str">
        <f t="shared" si="126"/>
        <v>0%</v>
      </c>
      <c r="M346" s="113">
        <f t="shared" si="127"/>
        <v>0</v>
      </c>
      <c r="N346" s="56" t="e">
        <f t="shared" si="128"/>
        <v>#N/A</v>
      </c>
      <c r="O346" s="56" t="e">
        <f t="shared" si="129"/>
        <v>#N/A</v>
      </c>
      <c r="P346" s="2">
        <f>SUMIF(MICRO!AP:AP,O346,MICRO!AS:AS)</f>
        <v>0</v>
      </c>
      <c r="Q346">
        <f>SUMIF(MICRO!AP:AP,O346,MICRO!AT:AT)</f>
        <v>0</v>
      </c>
      <c r="R346">
        <f>SUMIF(MICRO!AP:AP,O:O,MICRO!AU:AU)</f>
        <v>0</v>
      </c>
    </row>
    <row r="347" spans="4:18" ht="18.75" thickBot="1" x14ac:dyDescent="0.3">
      <c r="D347" s="110" t="s">
        <v>1301</v>
      </c>
      <c r="E347" s="111" t="e">
        <f>VLOOKUP(Tabela2[[#This Row],[TAG]],MICRO!J:L,3,0)</f>
        <v>#N/A</v>
      </c>
      <c r="F347" s="109" t="s">
        <v>327</v>
      </c>
      <c r="G347" s="112">
        <f>SUMIF(MICRO!AP:AP,O:O,MICRO!H:H)</f>
        <v>0</v>
      </c>
      <c r="H347" s="113">
        <f>SUMIF(MICRO!AP:AP,O:O,MICRO!R:R)</f>
        <v>0</v>
      </c>
      <c r="I347" s="113">
        <f>SUMIF(MICRO!AP:AP,O:O,MICRO!T:T)</f>
        <v>0</v>
      </c>
      <c r="J347" s="114">
        <f t="shared" si="125"/>
        <v>0</v>
      </c>
      <c r="K347" s="113">
        <f>SUMIF(MICRO!AP:AP,O:O,MICRO!X:X)</f>
        <v>0</v>
      </c>
      <c r="L347" s="114" t="str">
        <f t="shared" si="126"/>
        <v>0%</v>
      </c>
      <c r="M347" s="113">
        <f t="shared" si="127"/>
        <v>0</v>
      </c>
      <c r="N347" s="56" t="e">
        <f t="shared" si="128"/>
        <v>#N/A</v>
      </c>
      <c r="O347" s="56" t="e">
        <f t="shared" si="129"/>
        <v>#N/A</v>
      </c>
      <c r="P347" s="2">
        <f>SUMIF(MICRO!AP:AP,O347,MICRO!AS:AS)</f>
        <v>0</v>
      </c>
      <c r="Q347">
        <f>SUMIF(MICRO!AP:AP,O347,MICRO!AT:AT)</f>
        <v>0</v>
      </c>
      <c r="R347">
        <f>SUMIF(MICRO!AP:AP,O:O,MICRO!AU:AU)</f>
        <v>0</v>
      </c>
    </row>
    <row r="348" spans="4:18" ht="18.75" thickBot="1" x14ac:dyDescent="0.3">
      <c r="D348" s="110" t="s">
        <v>1290</v>
      </c>
      <c r="E348" s="111" t="e">
        <f>VLOOKUP(Tabela2[[#This Row],[TAG]],MICRO!J:L,3,0)</f>
        <v>#N/A</v>
      </c>
      <c r="F348" s="109" t="s">
        <v>327</v>
      </c>
      <c r="G348" s="112">
        <f>SUMIF(MICRO!AP:AP,O:O,MICRO!H:H)</f>
        <v>0</v>
      </c>
      <c r="H348" s="113">
        <f>SUMIF(MICRO!AP:AP,O:O,MICRO!R:R)</f>
        <v>0</v>
      </c>
      <c r="I348" s="113">
        <f>SUMIF(MICRO!AP:AP,O:O,MICRO!T:T)</f>
        <v>0</v>
      </c>
      <c r="J348" s="114">
        <f t="shared" si="125"/>
        <v>0</v>
      </c>
      <c r="K348" s="113">
        <f>SUMIF(MICRO!AP:AP,O:O,MICRO!X:X)</f>
        <v>0</v>
      </c>
      <c r="L348" s="114" t="str">
        <f t="shared" si="126"/>
        <v>0%</v>
      </c>
      <c r="M348" s="113">
        <f t="shared" si="127"/>
        <v>0</v>
      </c>
      <c r="N348" s="56" t="e">
        <f t="shared" si="128"/>
        <v>#N/A</v>
      </c>
      <c r="O348" s="56" t="e">
        <f t="shared" si="129"/>
        <v>#N/A</v>
      </c>
      <c r="P348" s="2">
        <f>SUMIF(MICRO!AP:AP,O348,MICRO!AS:AS)</f>
        <v>0</v>
      </c>
      <c r="Q348">
        <f>SUMIF(MICRO!AP:AP,O348,MICRO!AT:AT)</f>
        <v>0</v>
      </c>
      <c r="R348">
        <f>SUMIF(MICRO!AP:AP,O:O,MICRO!AU:AU)</f>
        <v>0</v>
      </c>
    </row>
    <row r="349" spans="4:18" ht="18.75" thickBot="1" x14ac:dyDescent="0.3">
      <c r="D349" s="110" t="s">
        <v>3027</v>
      </c>
      <c r="E349" s="111" t="e">
        <f>VLOOKUP(Tabela2[[#This Row],[TAG]],MICRO!J:L,3,0)</f>
        <v>#N/A</v>
      </c>
      <c r="F349" s="109" t="s">
        <v>23</v>
      </c>
      <c r="G349" s="112">
        <f>SUMIF(MICRO!AP:AP,O:O,MICRO!H:H)</f>
        <v>0</v>
      </c>
      <c r="H349" s="113">
        <f>SUMIF(MICRO!AP:AP,O:O,MICRO!R:R)</f>
        <v>0</v>
      </c>
      <c r="I349" s="113">
        <f>SUMIF(MICRO!AP:AP,O:O,MICRO!T:T)</f>
        <v>0</v>
      </c>
      <c r="J349" s="114">
        <f t="shared" ref="J349:J392" si="130">IF(G349 = 0,0,H349/G349)</f>
        <v>0</v>
      </c>
      <c r="K349" s="113">
        <f>SUMIF(MICRO!AP:AP,O:O,MICRO!X:X)</f>
        <v>0</v>
      </c>
      <c r="L349" s="114" t="str">
        <f t="shared" ref="L349:L392" si="131">IF(G349&lt;&gt;0,SUM(K349/G349*1),"0%")</f>
        <v>0%</v>
      </c>
      <c r="M349" s="113">
        <f t="shared" ref="M349:M392" si="132">G349-K349</f>
        <v>0</v>
      </c>
      <c r="N349" s="56" t="e">
        <f t="shared" ref="N349:N392" si="133">E349&amp;F349</f>
        <v>#N/A</v>
      </c>
      <c r="O349" s="56" t="e">
        <f t="shared" ref="O349:O392" si="134">D349&amp;E349&amp;F349</f>
        <v>#N/A</v>
      </c>
      <c r="P349" s="2">
        <f>SUMIF(MICRO!AP:AP,O349,MICRO!AS:AS)</f>
        <v>0</v>
      </c>
      <c r="Q349">
        <f>SUMIF(MICRO!AP:AP,O349,MICRO!AT:AT)</f>
        <v>0</v>
      </c>
      <c r="R349">
        <f>SUMIF(MICRO!AP:AP,O:O,MICRO!AU:AU)</f>
        <v>0</v>
      </c>
    </row>
    <row r="350" spans="4:18" ht="18.75" thickBot="1" x14ac:dyDescent="0.3">
      <c r="D350" s="110" t="s">
        <v>3011</v>
      </c>
      <c r="E350" s="111" t="str">
        <f>VLOOKUP(Tabela2[[#This Row],[TAG]],MICRO!J:L,3,0)</f>
        <v>P-200</v>
      </c>
      <c r="F350" s="109" t="s">
        <v>31</v>
      </c>
      <c r="G350" s="112">
        <f>SUMIF(MICRO!AP:AP,O:O,MICRO!H:H)</f>
        <v>976</v>
      </c>
      <c r="H350" s="113">
        <f>SUMIF(MICRO!AP:AP,O:O,MICRO!R:R)</f>
        <v>976</v>
      </c>
      <c r="I350" s="113">
        <f>SUMIF(MICRO!AP:AP,O:O,MICRO!T:T)</f>
        <v>0</v>
      </c>
      <c r="J350" s="114">
        <f t="shared" si="130"/>
        <v>1</v>
      </c>
      <c r="K350" s="113">
        <f>SUMIF(MICRO!AP:AP,O:O,MICRO!X:X)</f>
        <v>976</v>
      </c>
      <c r="L350" s="114">
        <f t="shared" si="131"/>
        <v>1</v>
      </c>
      <c r="M350" s="113">
        <f t="shared" si="132"/>
        <v>0</v>
      </c>
      <c r="N350" s="56" t="str">
        <f t="shared" si="133"/>
        <v>P-200ESTRUTURA</v>
      </c>
      <c r="O350" s="56" t="str">
        <f t="shared" si="134"/>
        <v>P200P-200ESTRUTURA</v>
      </c>
      <c r="P350" s="2">
        <f>SUMIF(MICRO!AP:AP,O350,MICRO!AS:AS)</f>
        <v>0</v>
      </c>
      <c r="Q350">
        <f>SUMIF(MICRO!AP:AP,O350,MICRO!AT:AT)</f>
        <v>0</v>
      </c>
      <c r="R350">
        <f>SUMIF(MICRO!AP:AP,O:O,MICRO!AU:AU)</f>
        <v>976</v>
      </c>
    </row>
    <row r="351" spans="4:18" ht="18.75" thickBot="1" x14ac:dyDescent="0.3">
      <c r="D351" s="110" t="s">
        <v>3013</v>
      </c>
      <c r="E351" s="111" t="str">
        <f>VLOOKUP(Tabela2[[#This Row],[TAG]],MICRO!J:L,3,0)</f>
        <v>P-201</v>
      </c>
      <c r="F351" s="109" t="s">
        <v>22</v>
      </c>
      <c r="G351" s="112">
        <f>SUMIF(MICRO!AP:AP,O:O,MICRO!H:H)</f>
        <v>213.7</v>
      </c>
      <c r="H351" s="113">
        <f>SUMIF(MICRO!AP:AP,O:O,MICRO!R:R)</f>
        <v>213.7</v>
      </c>
      <c r="I351" s="113">
        <f>SUMIF(MICRO!AP:AP,O:O,MICRO!T:T)</f>
        <v>0</v>
      </c>
      <c r="J351" s="114">
        <f t="shared" si="130"/>
        <v>1</v>
      </c>
      <c r="K351" s="113">
        <f>SUMIF(MICRO!AP:AP,O:O,MICRO!X:X)</f>
        <v>0</v>
      </c>
      <c r="L351" s="114">
        <f t="shared" si="131"/>
        <v>0</v>
      </c>
      <c r="M351" s="113">
        <f t="shared" si="132"/>
        <v>213.7</v>
      </c>
      <c r="N351" s="56" t="str">
        <f t="shared" si="133"/>
        <v>P-201TAMBOR</v>
      </c>
      <c r="O351" s="56" t="str">
        <f t="shared" si="134"/>
        <v>P201P-201TAMBOR</v>
      </c>
      <c r="P351" s="2">
        <f>SUMIF(MICRO!AP:AP,O351,MICRO!AS:AS)</f>
        <v>0</v>
      </c>
      <c r="Q351">
        <f>SUMIF(MICRO!AP:AP,O351,MICRO!AT:AT)</f>
        <v>213.7</v>
      </c>
      <c r="R351">
        <f>SUMIF(MICRO!AP:AP,O:O,MICRO!AU:AU)</f>
        <v>0</v>
      </c>
    </row>
    <row r="352" spans="4:18" ht="18.75" thickBot="1" x14ac:dyDescent="0.3">
      <c r="D352" s="110" t="s">
        <v>3026</v>
      </c>
      <c r="E352" s="111" t="str">
        <f>VLOOKUP(Tabela2[[#This Row],[TAG]],MICRO!J:L,3,0)</f>
        <v>P-199</v>
      </c>
      <c r="F352" s="109" t="s">
        <v>22</v>
      </c>
      <c r="G352" s="112">
        <f>SUMIF(MICRO!AP:AP,O:O,MICRO!H:H)</f>
        <v>773.1</v>
      </c>
      <c r="H352" s="113">
        <f>SUMIF(MICRO!AP:AP,O:O,MICRO!R:R)</f>
        <v>773.1</v>
      </c>
      <c r="I352" s="113">
        <f>SUMIF(MICRO!AP:AP,O:O,MICRO!T:T)</f>
        <v>0</v>
      </c>
      <c r="J352" s="114">
        <f t="shared" si="130"/>
        <v>1</v>
      </c>
      <c r="K352" s="113">
        <f>SUMIF(MICRO!AP:AP,O:O,MICRO!X:X)</f>
        <v>773.1</v>
      </c>
      <c r="L352" s="114">
        <f t="shared" si="131"/>
        <v>1</v>
      </c>
      <c r="M352" s="113">
        <f t="shared" si="132"/>
        <v>0</v>
      </c>
      <c r="N352" s="56" t="str">
        <f t="shared" si="133"/>
        <v>P-199TAMBOR</v>
      </c>
      <c r="O352" s="56" t="str">
        <f t="shared" si="134"/>
        <v>P199P-199TAMBOR</v>
      </c>
      <c r="P352" s="2" t="e">
        <f>SUMIF(MICRO!AP:AP,O352,MICRO!AS:AS)</f>
        <v>#REF!</v>
      </c>
      <c r="Q352" t="e">
        <f>SUMIF(MICRO!AP:AP,O352,MICRO!AT:AT)</f>
        <v>#REF!</v>
      </c>
      <c r="R352" t="e">
        <f>SUMIF(MICRO!AP:AP,O:O,MICRO!AU:AU)</f>
        <v>#REF!</v>
      </c>
    </row>
    <row r="353" spans="4:18" ht="18.75" thickBot="1" x14ac:dyDescent="0.3">
      <c r="D353" s="110" t="s">
        <v>3015</v>
      </c>
      <c r="E353" s="111" t="str">
        <f>VLOOKUP(Tabela2[[#This Row],[TAG]],MICRO!J:L,3,0)</f>
        <v>P-202</v>
      </c>
      <c r="F353" s="109" t="s">
        <v>23</v>
      </c>
      <c r="G353" s="112">
        <f>SUMIF(MICRO!AP:AP,O:O,MICRO!H:H)</f>
        <v>853.2</v>
      </c>
      <c r="H353" s="113">
        <f>SUMIF(MICRO!AP:AP,O:O,MICRO!R:R)</f>
        <v>853.2</v>
      </c>
      <c r="I353" s="113">
        <f>SUMIF(MICRO!AP:AP,O:O,MICRO!T:T)</f>
        <v>0</v>
      </c>
      <c r="J353" s="114">
        <f t="shared" si="130"/>
        <v>1</v>
      </c>
      <c r="K353" s="113">
        <f>SUMIF(MICRO!AP:AP,O:O,MICRO!X:X)</f>
        <v>0</v>
      </c>
      <c r="L353" s="114">
        <f t="shared" si="131"/>
        <v>0</v>
      </c>
      <c r="M353" s="113">
        <f t="shared" si="132"/>
        <v>853.2</v>
      </c>
      <c r="N353" s="56" t="str">
        <f t="shared" si="133"/>
        <v>P-202ROLOS</v>
      </c>
      <c r="O353" s="56" t="str">
        <f t="shared" si="134"/>
        <v>P202P-202ROLOS</v>
      </c>
      <c r="P353" s="2">
        <f>SUMIF(MICRO!AP:AP,O353,MICRO!AS:AS)</f>
        <v>0</v>
      </c>
      <c r="Q353">
        <f>SUMIF(MICRO!AP:AP,O353,MICRO!AT:AT)</f>
        <v>853.2</v>
      </c>
      <c r="R353">
        <f>SUMIF(MICRO!AP:AP,O:O,MICRO!AU:AU)</f>
        <v>0</v>
      </c>
    </row>
    <row r="354" spans="4:18" ht="18.75" thickBot="1" x14ac:dyDescent="0.3">
      <c r="D354" s="110" t="s">
        <v>3020</v>
      </c>
      <c r="E354" s="111" t="str">
        <f>VLOOKUP(Tabela2[[#This Row],[TAG]],MICRO!J:L,3,0)</f>
        <v>P-203</v>
      </c>
      <c r="F354" s="109" t="s">
        <v>23</v>
      </c>
      <c r="G354" s="112">
        <f>SUMIF(MICRO!AP:AP,O:O,MICRO!H:H)</f>
        <v>99</v>
      </c>
      <c r="H354" s="113">
        <f>SUMIF(MICRO!AP:AP,O:O,MICRO!R:R)</f>
        <v>85.387500000000003</v>
      </c>
      <c r="I354" s="113">
        <f>SUMIF(MICRO!AP:AP,O:O,MICRO!T:T)</f>
        <v>-49.5</v>
      </c>
      <c r="J354" s="114">
        <f t="shared" si="130"/>
        <v>0.86250000000000004</v>
      </c>
      <c r="K354" s="113">
        <f>SUMIF(MICRO!AP:AP,O:O,MICRO!X:X)</f>
        <v>0</v>
      </c>
      <c r="L354" s="114">
        <f t="shared" si="131"/>
        <v>0</v>
      </c>
      <c r="M354" s="113">
        <f t="shared" si="132"/>
        <v>99</v>
      </c>
      <c r="N354" s="56" t="str">
        <f t="shared" si="133"/>
        <v>P-203ROLOS</v>
      </c>
      <c r="O354" s="56" t="str">
        <f t="shared" si="134"/>
        <v>P203P-203ROLOS</v>
      </c>
      <c r="P354" s="2">
        <f>SUMIF(MICRO!AP:AP,O354,MICRO!AS:AS)</f>
        <v>0</v>
      </c>
      <c r="Q354">
        <f>SUMIF(MICRO!AP:AP,O354,MICRO!AT:AT)</f>
        <v>49.5</v>
      </c>
      <c r="R354">
        <f>SUMIF(MICRO!AP:AP,O:O,MICRO!AU:AU)</f>
        <v>0</v>
      </c>
    </row>
    <row r="355" spans="4:18" ht="18.75" thickBot="1" x14ac:dyDescent="0.3">
      <c r="D355" s="110" t="s">
        <v>3022</v>
      </c>
      <c r="E355" s="111" t="e">
        <f>VLOOKUP(Tabela2[[#This Row],[TAG]],MICRO!J:L,3,0)</f>
        <v>#N/A</v>
      </c>
      <c r="F355" s="109" t="s">
        <v>33</v>
      </c>
      <c r="G355" s="112">
        <f>SUMIF(MICRO!AP:AP,O:O,MICRO!H:H)</f>
        <v>0</v>
      </c>
      <c r="H355" s="113">
        <f>SUMIF(MICRO!AP:AP,O:O,MICRO!R:R)</f>
        <v>0</v>
      </c>
      <c r="I355" s="113">
        <f>SUMIF(MICRO!AP:AP,O:O,MICRO!T:T)</f>
        <v>0</v>
      </c>
      <c r="J355" s="114">
        <f t="shared" si="130"/>
        <v>0</v>
      </c>
      <c r="K355" s="113">
        <f>SUMIF(MICRO!AP:AP,O:O,MICRO!X:X)</f>
        <v>0</v>
      </c>
      <c r="L355" s="114" t="str">
        <f t="shared" si="131"/>
        <v>0%</v>
      </c>
      <c r="M355" s="113">
        <f t="shared" si="132"/>
        <v>0</v>
      </c>
      <c r="N355" s="56" t="e">
        <f t="shared" si="133"/>
        <v>#N/A</v>
      </c>
      <c r="O355" s="56" t="e">
        <f>D355&amp;E355&amp;F355</f>
        <v>#N/A</v>
      </c>
      <c r="P355" s="2">
        <f>SUMIF(MICRO!AP:AP,O355,MICRO!AS:AS)</f>
        <v>0</v>
      </c>
      <c r="Q355">
        <f>SUMIF(MICRO!AP:AP,O355,MICRO!AT:AT)</f>
        <v>0</v>
      </c>
      <c r="R355">
        <f>SUMIF(MICRO!AP:AP,O:O,MICRO!AU:AU)</f>
        <v>0</v>
      </c>
    </row>
    <row r="356" spans="4:18" ht="18.75" thickBot="1" x14ac:dyDescent="0.3">
      <c r="D356" s="110" t="s">
        <v>3021</v>
      </c>
      <c r="E356" s="111" t="e">
        <f>VLOOKUP(Tabela2[[#This Row],[TAG]],MICRO!J:L,3,0)</f>
        <v>#N/A</v>
      </c>
      <c r="F356" s="109" t="s">
        <v>33</v>
      </c>
      <c r="G356" s="112">
        <f>SUMIF(MICRO!AP:AP,O:O,MICRO!H:H)</f>
        <v>0</v>
      </c>
      <c r="H356" s="113">
        <f>SUMIF(MICRO!AP:AP,O:O,MICRO!R:R)</f>
        <v>0</v>
      </c>
      <c r="I356" s="113">
        <f>SUMIF(MICRO!AP:AP,O:O,MICRO!T:T)</f>
        <v>0</v>
      </c>
      <c r="J356" s="114">
        <f t="shared" si="130"/>
        <v>0</v>
      </c>
      <c r="K356" s="113">
        <f>SUMIF(MICRO!AP:AP,O:O,MICRO!X:X)</f>
        <v>0</v>
      </c>
      <c r="L356" s="114" t="str">
        <f t="shared" si="131"/>
        <v>0%</v>
      </c>
      <c r="M356" s="113">
        <f t="shared" si="132"/>
        <v>0</v>
      </c>
      <c r="N356" s="56" t="e">
        <f t="shared" si="133"/>
        <v>#N/A</v>
      </c>
      <c r="O356" s="56" t="e">
        <f>D356&amp;E356&amp;F356</f>
        <v>#N/A</v>
      </c>
      <c r="P356" s="2">
        <f>SUMIF(MICRO!AP:AP,O356,MICRO!AS:AS)</f>
        <v>0</v>
      </c>
      <c r="Q356">
        <f>SUMIF(MICRO!AP:AP,O356,MICRO!AT:AT)</f>
        <v>0</v>
      </c>
      <c r="R356">
        <f>SUMIF(MICRO!AP:AP,O:O,MICRO!AU:AU)</f>
        <v>0</v>
      </c>
    </row>
    <row r="357" spans="4:18" ht="18.75" thickBot="1" x14ac:dyDescent="0.3">
      <c r="D357" s="110" t="s">
        <v>3034</v>
      </c>
      <c r="E357" s="111" t="str">
        <f>VLOOKUP(Tabela2[[#This Row],[TAG]],MICRO!J:L,3,0)</f>
        <v>P-198</v>
      </c>
      <c r="F357" s="109" t="s">
        <v>31</v>
      </c>
      <c r="G357" s="112">
        <f>SUMIF(MICRO!AP:AP,O:O,MICRO!H:H)</f>
        <v>6327.5999999999995</v>
      </c>
      <c r="H357" s="113">
        <f>SUMIF(MICRO!AP:AP,O:O,MICRO!R:R)</f>
        <v>3947.4274999999998</v>
      </c>
      <c r="I357" s="113">
        <f>SUMIF(MICRO!AP:AP,O:O,MICRO!T:T)</f>
        <v>-4306.2</v>
      </c>
      <c r="J357" s="114">
        <f t="shared" si="130"/>
        <v>0.62384276819015105</v>
      </c>
      <c r="K357" s="113">
        <f>SUMIF(MICRO!AP:AP,O:O,MICRO!X:X)</f>
        <v>0</v>
      </c>
      <c r="L357" s="114">
        <f t="shared" si="131"/>
        <v>0</v>
      </c>
      <c r="M357" s="113">
        <f t="shared" si="132"/>
        <v>6327.5999999999995</v>
      </c>
      <c r="N357" s="56" t="str">
        <f t="shared" si="133"/>
        <v>P-198ESTRUTURA</v>
      </c>
      <c r="O357" s="56" t="str">
        <f t="shared" si="134"/>
        <v>05-CV-0001P-198ESTRUTURA</v>
      </c>
      <c r="P357" s="2">
        <f>SUMIF(MICRO!AP:AP,O357,MICRO!AS:AS)</f>
        <v>548.79999999999995</v>
      </c>
      <c r="Q357">
        <f>SUMIF(MICRO!AP:AP,O357,MICRO!AT:AT)</f>
        <v>2021.4</v>
      </c>
      <c r="R357">
        <f>SUMIF(MICRO!AP:AP,O:O,MICRO!AU:AU)</f>
        <v>0</v>
      </c>
    </row>
    <row r="358" spans="4:18" ht="18.75" thickBot="1" x14ac:dyDescent="0.3">
      <c r="D358" s="110" t="s">
        <v>3093</v>
      </c>
      <c r="E358" s="111" t="str">
        <f>VLOOKUP(Tabela2[[#This Row],[TAG]],MICRO!J:L,3,0)</f>
        <v>P-198</v>
      </c>
      <c r="F358" s="109" t="s">
        <v>31</v>
      </c>
      <c r="G358" s="112">
        <f>SUMIF(MICRO!AP:AP,O:O,MICRO!H:H)</f>
        <v>0</v>
      </c>
      <c r="H358" s="113">
        <f>SUMIF(MICRO!AP:AP,O:O,MICRO!R:R)</f>
        <v>0</v>
      </c>
      <c r="I358" s="113">
        <f>SUMIF(MICRO!AP:AP,O:O,MICRO!T:T)</f>
        <v>0</v>
      </c>
      <c r="J358" s="114">
        <f t="shared" si="130"/>
        <v>0</v>
      </c>
      <c r="K358" s="113">
        <f>SUMIF(MICRO!AP:AP,O:O,MICRO!X:X)</f>
        <v>0</v>
      </c>
      <c r="L358" s="114" t="str">
        <f t="shared" si="131"/>
        <v>0%</v>
      </c>
      <c r="M358" s="113">
        <f t="shared" si="132"/>
        <v>0</v>
      </c>
      <c r="N358" s="56" t="str">
        <f t="shared" si="133"/>
        <v>P-198ESTRUTURA</v>
      </c>
      <c r="O358" s="56" t="str">
        <f t="shared" si="134"/>
        <v>14-AC-0001P-198ESTRUTURA</v>
      </c>
      <c r="P358" s="2">
        <f>SUMIF(MICRO!AP:AP,O358,MICRO!AS:AS)</f>
        <v>0</v>
      </c>
      <c r="Q358">
        <f>SUMIF(MICRO!AP:AP,O358,MICRO!AT:AT)</f>
        <v>0</v>
      </c>
      <c r="R358">
        <f>SUMIF(MICRO!AP:AP,O:O,MICRO!AU:AU)</f>
        <v>0</v>
      </c>
    </row>
    <row r="359" spans="4:18" ht="18.75" thickBot="1" x14ac:dyDescent="0.3">
      <c r="D359" s="110" t="s">
        <v>3045</v>
      </c>
      <c r="E359" s="111" t="str">
        <f>VLOOKUP(Tabela2[[#This Row],[TAG]],MICRO!J:L,3,0)</f>
        <v>P-198</v>
      </c>
      <c r="F359" s="109" t="s">
        <v>31</v>
      </c>
      <c r="G359" s="112">
        <f>SUMIF(MICRO!AP:AP,O:O,MICRO!H:H)</f>
        <v>1298.4000000000001</v>
      </c>
      <c r="H359" s="113">
        <f>SUMIF(MICRO!AP:AP,O:O,MICRO!R:R)</f>
        <v>144.71250000000001</v>
      </c>
      <c r="I359" s="113">
        <f>SUMIF(MICRO!AP:AP,O:O,MICRO!T:T)</f>
        <v>-1298.4000000000001</v>
      </c>
      <c r="J359" s="114">
        <f t="shared" si="130"/>
        <v>0.11145448243992606</v>
      </c>
      <c r="K359" s="113">
        <f>SUMIF(MICRO!AP:AP,O:O,MICRO!X:X)</f>
        <v>0</v>
      </c>
      <c r="L359" s="114">
        <f t="shared" si="131"/>
        <v>0</v>
      </c>
      <c r="M359" s="113">
        <f t="shared" si="132"/>
        <v>1298.4000000000001</v>
      </c>
      <c r="N359" s="56" t="str">
        <f t="shared" si="133"/>
        <v>P-198ESTRUTURA</v>
      </c>
      <c r="O359" s="56" t="str">
        <f t="shared" si="134"/>
        <v>14-CV-0001P-198ESTRUTURA</v>
      </c>
      <c r="P359" s="2">
        <f>SUMIF(MICRO!AP:AP,O359,MICRO!AS:AS)</f>
        <v>0</v>
      </c>
      <c r="Q359">
        <f>SUMIF(MICRO!AP:AP,O359,MICRO!AT:AT)</f>
        <v>0</v>
      </c>
      <c r="R359">
        <f>SUMIF(MICRO!AP:AP,O:O,MICRO!AU:AU)</f>
        <v>0</v>
      </c>
    </row>
    <row r="360" spans="4:18" ht="18.75" thickBot="1" x14ac:dyDescent="0.3">
      <c r="D360" s="110" t="s">
        <v>3140</v>
      </c>
      <c r="E360" s="111" t="str">
        <f>VLOOKUP(Tabela2[[#This Row],[TAG]],MICRO!J:L,3,0)</f>
        <v>P-198</v>
      </c>
      <c r="F360" s="109" t="s">
        <v>31</v>
      </c>
      <c r="G360" s="112">
        <f>SUMIF(MICRO!AP:AP,O:O,MICRO!H:H)</f>
        <v>0</v>
      </c>
      <c r="H360" s="113">
        <f>SUMIF(MICRO!AP:AP,O:O,MICRO!R:R)</f>
        <v>0</v>
      </c>
      <c r="I360" s="113">
        <f>SUMIF(MICRO!AP:AP,O:O,MICRO!T:T)</f>
        <v>0</v>
      </c>
      <c r="J360" s="114">
        <f t="shared" si="130"/>
        <v>0</v>
      </c>
      <c r="K360" s="113">
        <f>SUMIF(MICRO!AP:AP,O:O,MICRO!X:X)</f>
        <v>0</v>
      </c>
      <c r="L360" s="114" t="str">
        <f t="shared" si="131"/>
        <v>0%</v>
      </c>
      <c r="M360" s="113">
        <f t="shared" si="132"/>
        <v>0</v>
      </c>
      <c r="N360" s="56" t="str">
        <f t="shared" si="133"/>
        <v>P-198ESTRUTURA</v>
      </c>
      <c r="O360" s="56" t="str">
        <f t="shared" si="134"/>
        <v>14-CV-0005P-198ESTRUTURA</v>
      </c>
      <c r="P360" s="2">
        <f>SUMIF(MICRO!AP:AP,O360,MICRO!AS:AS)</f>
        <v>0</v>
      </c>
      <c r="Q360">
        <f>SUMIF(MICRO!AP:AP,O360,MICRO!AT:AT)</f>
        <v>0</v>
      </c>
      <c r="R360">
        <f>SUMIF(MICRO!AP:AP,O:O,MICRO!AU:AU)</f>
        <v>0</v>
      </c>
    </row>
    <row r="361" spans="4:18" ht="18.75" thickBot="1" x14ac:dyDescent="0.3">
      <c r="D361" s="110" t="s">
        <v>3034</v>
      </c>
      <c r="E361" s="111" t="str">
        <f>VLOOKUP(Tabela2[[#This Row],[TAG]],MICRO!J:L,3,0)</f>
        <v>P-198</v>
      </c>
      <c r="F361" s="109" t="s">
        <v>23</v>
      </c>
      <c r="G361" s="112">
        <f>SUMIF(MICRO!AP:AP,O:O,MICRO!H:H)</f>
        <v>1473.6</v>
      </c>
      <c r="H361" s="113">
        <f>SUMIF(MICRO!AP:AP,O:O,MICRO!R:R)</f>
        <v>1473.6</v>
      </c>
      <c r="I361" s="113">
        <f>SUMIF(MICRO!AP:AP,O:O,MICRO!T:T)</f>
        <v>0</v>
      </c>
      <c r="J361" s="114">
        <f t="shared" si="130"/>
        <v>1</v>
      </c>
      <c r="K361" s="113">
        <f>SUMIF(MICRO!AP:AP,O:O,MICRO!X:X)</f>
        <v>1473.6</v>
      </c>
      <c r="L361" s="114">
        <f t="shared" si="131"/>
        <v>1</v>
      </c>
      <c r="M361" s="113">
        <f t="shared" si="132"/>
        <v>0</v>
      </c>
      <c r="N361" s="56" t="str">
        <f t="shared" si="133"/>
        <v>P-198ROLOS</v>
      </c>
      <c r="O361" s="56" t="str">
        <f t="shared" si="134"/>
        <v>05-CV-0001P-198ROLOS</v>
      </c>
      <c r="P361" s="2">
        <f>SUMIF(MICRO!AP:AP,O361,MICRO!AS:AS)</f>
        <v>0</v>
      </c>
      <c r="Q361">
        <f>SUMIF(MICRO!AP:AP,O361,MICRO!AT:AT)</f>
        <v>0</v>
      </c>
      <c r="R361">
        <f>SUMIF(MICRO!AP:AP,O:O,MICRO!AU:AU)</f>
        <v>1473.6</v>
      </c>
    </row>
    <row r="362" spans="4:18" ht="18.75" thickBot="1" x14ac:dyDescent="0.3">
      <c r="D362" s="110" t="s">
        <v>3093</v>
      </c>
      <c r="E362" s="111" t="str">
        <f>VLOOKUP(Tabela2[[#This Row],[TAG]],MICRO!J:L,3,0)</f>
        <v>P-198</v>
      </c>
      <c r="F362" s="109" t="s">
        <v>23</v>
      </c>
      <c r="G362" s="112">
        <f>SUMIF(MICRO!AP:AP,O:O,MICRO!H:H)</f>
        <v>3347.8</v>
      </c>
      <c r="H362" s="113">
        <f>SUMIF(MICRO!AP:AP,O:O,MICRO!R:R)</f>
        <v>3347.8</v>
      </c>
      <c r="I362" s="113">
        <f>SUMIF(MICRO!AP:AP,O:O,MICRO!T:T)</f>
        <v>0</v>
      </c>
      <c r="J362" s="114">
        <f t="shared" ref="J362:J388" si="135">IF(G362 = 0,0,H362/G362)</f>
        <v>1</v>
      </c>
      <c r="K362" s="113">
        <f>SUMIF(MICRO!AP:AP,O:O,MICRO!X:X)</f>
        <v>3347.8</v>
      </c>
      <c r="L362" s="114">
        <f t="shared" ref="L362:L388" si="136">IF(G362&lt;&gt;0,SUM(K362/G362*1),"0%")</f>
        <v>1</v>
      </c>
      <c r="M362" s="113">
        <f t="shared" ref="M362:M388" si="137">G362-K362</f>
        <v>0</v>
      </c>
      <c r="N362" s="56" t="str">
        <f t="shared" ref="N362:N388" si="138">E362&amp;F362</f>
        <v>P-198ROLOS</v>
      </c>
      <c r="O362" s="56" t="str">
        <f t="shared" ref="O362:O388" si="139">D362&amp;E362&amp;F362</f>
        <v>14-AC-0001P-198ROLOS</v>
      </c>
      <c r="P362" s="2">
        <f>SUMIF(MICRO!AP:AP,O362,MICRO!AS:AS)</f>
        <v>0</v>
      </c>
      <c r="Q362">
        <f>SUMIF(MICRO!AP:AP,O362,MICRO!AT:AT)</f>
        <v>0</v>
      </c>
      <c r="R362">
        <f>SUMIF(MICRO!AP:AP,O:O,MICRO!AU:AU)</f>
        <v>3347.8</v>
      </c>
    </row>
    <row r="363" spans="4:18" ht="18.75" thickBot="1" x14ac:dyDescent="0.3">
      <c r="D363" s="110" t="s">
        <v>3045</v>
      </c>
      <c r="E363" s="111" t="str">
        <f>VLOOKUP(Tabela2[[#This Row],[TAG]],MICRO!J:L,3,0)</f>
        <v>P-198</v>
      </c>
      <c r="F363" s="109" t="s">
        <v>23</v>
      </c>
      <c r="G363" s="112">
        <f>SUMIF(MICRO!AP:AP,O:O,MICRO!H:H)</f>
        <v>3548.6</v>
      </c>
      <c r="H363" s="113">
        <f>SUMIF(MICRO!AP:AP,O:O,MICRO!R:R)</f>
        <v>3548.6</v>
      </c>
      <c r="I363" s="113">
        <f>SUMIF(MICRO!AP:AP,O:O,MICRO!T:T)</f>
        <v>0</v>
      </c>
      <c r="J363" s="114">
        <f t="shared" si="135"/>
        <v>1</v>
      </c>
      <c r="K363" s="113">
        <f>SUMIF(MICRO!AP:AP,O:O,MICRO!X:X)</f>
        <v>3548.6</v>
      </c>
      <c r="L363" s="114">
        <f t="shared" si="136"/>
        <v>1</v>
      </c>
      <c r="M363" s="113">
        <f t="shared" si="137"/>
        <v>0</v>
      </c>
      <c r="N363" s="56" t="str">
        <f t="shared" si="138"/>
        <v>P-198ROLOS</v>
      </c>
      <c r="O363" s="56" t="str">
        <f t="shared" si="139"/>
        <v>14-CV-0001P-198ROLOS</v>
      </c>
      <c r="P363" s="2">
        <f>SUMIF(MICRO!AP:AP,O363,MICRO!AS:AS)</f>
        <v>0</v>
      </c>
      <c r="Q363">
        <f>SUMIF(MICRO!AP:AP,O363,MICRO!AT:AT)</f>
        <v>0</v>
      </c>
      <c r="R363">
        <f>SUMIF(MICRO!AP:AP,O:O,MICRO!AU:AU)</f>
        <v>3548.6</v>
      </c>
    </row>
    <row r="364" spans="4:18" ht="18.75" thickBot="1" x14ac:dyDescent="0.3">
      <c r="D364" s="110" t="s">
        <v>3140</v>
      </c>
      <c r="E364" s="111" t="str">
        <f>VLOOKUP(Tabela2[[#This Row],[TAG]],MICRO!J:L,3,0)</f>
        <v>P-198</v>
      </c>
      <c r="F364" s="109" t="s">
        <v>23</v>
      </c>
      <c r="G364" s="112">
        <f>SUMIF(MICRO!AP:AP,O:O,MICRO!H:H)</f>
        <v>911.40000000000009</v>
      </c>
      <c r="H364" s="113">
        <f>SUMIF(MICRO!AP:AP,O:O,MICRO!R:R)</f>
        <v>857.11500000000001</v>
      </c>
      <c r="I364" s="113">
        <f>SUMIF(MICRO!AP:AP,O:O,MICRO!T:T)</f>
        <v>-65.8</v>
      </c>
      <c r="J364" s="114">
        <f t="shared" si="135"/>
        <v>0.94043778801843314</v>
      </c>
      <c r="K364" s="113">
        <f>SUMIF(MICRO!AP:AP,O:O,MICRO!X:X)</f>
        <v>845.6</v>
      </c>
      <c r="L364" s="114">
        <f t="shared" si="136"/>
        <v>0.92780337941628255</v>
      </c>
      <c r="M364" s="113">
        <f t="shared" si="137"/>
        <v>65.800000000000068</v>
      </c>
      <c r="N364" s="56" t="str">
        <f t="shared" si="138"/>
        <v>P-198ROLOS</v>
      </c>
      <c r="O364" s="56" t="str">
        <f t="shared" si="139"/>
        <v>14-CV-0005P-198ROLOS</v>
      </c>
      <c r="P364" s="2">
        <f>SUMIF(MICRO!AP:AP,O364,MICRO!AS:AS)</f>
        <v>0</v>
      </c>
      <c r="Q364">
        <f>SUMIF(MICRO!AP:AP,O364,MICRO!AT:AT)</f>
        <v>0</v>
      </c>
      <c r="R364">
        <f>SUMIF(MICRO!AP:AP,O:O,MICRO!AU:AU)</f>
        <v>845.6</v>
      </c>
    </row>
    <row r="365" spans="4:18" ht="18.75" thickBot="1" x14ac:dyDescent="0.3">
      <c r="D365" s="110" t="s">
        <v>3034</v>
      </c>
      <c r="E365" s="111" t="str">
        <f>VLOOKUP(Tabela2[[#This Row],[TAG]],MICRO!J:L,3,0)</f>
        <v>P-198</v>
      </c>
      <c r="F365" s="109" t="s">
        <v>33</v>
      </c>
      <c r="G365" s="112">
        <f>SUMIF(MICRO!AP:AP,O:O,MICRO!H:H)</f>
        <v>2101.8000000000002</v>
      </c>
      <c r="H365" s="113">
        <f>SUMIF(MICRO!AP:AP,O:O,MICRO!R:R)</f>
        <v>2101.8000000000002</v>
      </c>
      <c r="I365" s="113">
        <f>SUMIF(MICRO!AP:AP,O:O,MICRO!T:T)</f>
        <v>0</v>
      </c>
      <c r="J365" s="114">
        <f t="shared" si="135"/>
        <v>1</v>
      </c>
      <c r="K365" s="113">
        <f>SUMIF(MICRO!AP:AP,O:O,MICRO!X:X)</f>
        <v>2101.8000000000002</v>
      </c>
      <c r="L365" s="114">
        <f t="shared" si="136"/>
        <v>1</v>
      </c>
      <c r="M365" s="113">
        <f t="shared" si="137"/>
        <v>0</v>
      </c>
      <c r="N365" s="56" t="str">
        <f t="shared" si="138"/>
        <v>P-198BASES ROLETES</v>
      </c>
      <c r="O365" s="56" t="str">
        <f t="shared" si="139"/>
        <v>05-CV-0001P-198BASES ROLETES</v>
      </c>
      <c r="P365" s="2">
        <f>SUMIF(MICRO!AP:AP,O365,MICRO!AS:AS)</f>
        <v>0</v>
      </c>
      <c r="Q365">
        <f>SUMIF(MICRO!AP:AP,O365,MICRO!AT:AT)</f>
        <v>0</v>
      </c>
      <c r="R365">
        <f>SUMIF(MICRO!AP:AP,O:O,MICRO!AU:AU)</f>
        <v>2101.8000000000002</v>
      </c>
    </row>
    <row r="366" spans="4:18" ht="18.75" thickBot="1" x14ac:dyDescent="0.3">
      <c r="D366" s="8" t="s">
        <v>3093</v>
      </c>
      <c r="E366" s="111" t="str">
        <f>VLOOKUP(Tabela2[[#This Row],[TAG]],MICRO!J:L,3,0)</f>
        <v>P-198</v>
      </c>
      <c r="F366" s="109" t="s">
        <v>33</v>
      </c>
      <c r="G366" s="112">
        <f>SUMIF(MICRO!AP:AP,O:O,MICRO!H:H)</f>
        <v>4050.8000000000006</v>
      </c>
      <c r="H366" s="113">
        <f>SUMIF(MICRO!AP:AP,O:O,MICRO!R:R)</f>
        <v>3730.4000000000005</v>
      </c>
      <c r="I366" s="113">
        <f>SUMIF(MICRO!AP:AP,O:O,MICRO!T:T)</f>
        <v>0</v>
      </c>
      <c r="J366" s="114">
        <f t="shared" si="135"/>
        <v>0.92090451268885154</v>
      </c>
      <c r="K366" s="113">
        <f>SUMIF(MICRO!AP:AP,O:O,MICRO!X:X)</f>
        <v>3410.0000000000005</v>
      </c>
      <c r="L366" s="114">
        <f t="shared" si="136"/>
        <v>0.84180902537770319</v>
      </c>
      <c r="M366" s="113">
        <f t="shared" si="137"/>
        <v>640.80000000000018</v>
      </c>
      <c r="N366" s="56" t="str">
        <f t="shared" si="138"/>
        <v>P-198BASES ROLETES</v>
      </c>
      <c r="O366" s="56" t="str">
        <f t="shared" si="139"/>
        <v>14-AC-0001P-198BASES ROLETES</v>
      </c>
      <c r="P366" s="2">
        <f>SUMIF(MICRO!AP:AP,O366,MICRO!AS:AS)</f>
        <v>0</v>
      </c>
      <c r="Q366">
        <f>SUMIF(MICRO!AP:AP,O366,MICRO!AT:AT)</f>
        <v>640.79999999999995</v>
      </c>
      <c r="R366">
        <f>SUMIF(MICRO!AP:AP,O:O,MICRO!AU:AU)</f>
        <v>3410.0000000000005</v>
      </c>
    </row>
    <row r="367" spans="4:18" ht="18.75" thickBot="1" x14ac:dyDescent="0.3">
      <c r="D367" s="110" t="s">
        <v>3045</v>
      </c>
      <c r="E367" s="111" t="str">
        <f>VLOOKUP(Tabela2[[#This Row],[TAG]],MICRO!J:L,3,0)</f>
        <v>P-198</v>
      </c>
      <c r="F367" s="109" t="s">
        <v>33</v>
      </c>
      <c r="G367" s="112">
        <f>SUMIF(MICRO!AP:AP,O:O,MICRO!H:H)</f>
        <v>3448.3999999999996</v>
      </c>
      <c r="H367" s="113">
        <f>SUMIF(MICRO!AP:AP,O:O,MICRO!R:R)</f>
        <v>3448.3999999999996</v>
      </c>
      <c r="I367" s="113">
        <f>SUMIF(MICRO!AP:AP,O:O,MICRO!T:T)</f>
        <v>0</v>
      </c>
      <c r="J367" s="114">
        <f t="shared" si="135"/>
        <v>1</v>
      </c>
      <c r="K367" s="113">
        <f>SUMIF(MICRO!AP:AP,O:O,MICRO!X:X)</f>
        <v>3448.3999999999996</v>
      </c>
      <c r="L367" s="114">
        <f t="shared" si="136"/>
        <v>1</v>
      </c>
      <c r="M367" s="113">
        <f t="shared" si="137"/>
        <v>0</v>
      </c>
      <c r="N367" s="56" t="str">
        <f t="shared" si="138"/>
        <v>P-198BASES ROLETES</v>
      </c>
      <c r="O367" s="56" t="str">
        <f t="shared" si="139"/>
        <v>14-CV-0001P-198BASES ROLETES</v>
      </c>
      <c r="P367" s="2">
        <f>SUMIF(MICRO!AP:AP,O367,MICRO!AS:AS)</f>
        <v>0</v>
      </c>
      <c r="Q367">
        <f>SUMIF(MICRO!AP:AP,O367,MICRO!AT:AT)</f>
        <v>0</v>
      </c>
      <c r="R367">
        <f>SUMIF(MICRO!AP:AP,O:O,MICRO!AU:AU)</f>
        <v>3448.3999999999996</v>
      </c>
    </row>
    <row r="368" spans="4:18" ht="18.75" thickBot="1" x14ac:dyDescent="0.3">
      <c r="D368" s="110" t="s">
        <v>3140</v>
      </c>
      <c r="E368" s="111" t="str">
        <f>VLOOKUP(Tabela2[[#This Row],[TAG]],MICRO!J:L,3,0)</f>
        <v>P-198</v>
      </c>
      <c r="F368" s="109" t="s">
        <v>33</v>
      </c>
      <c r="G368" s="112">
        <f>SUMIF(MICRO!AP:AP,O:O,MICRO!H:H)</f>
        <v>936.59999999999991</v>
      </c>
      <c r="H368" s="113">
        <f>SUMIF(MICRO!AP:AP,O:O,MICRO!R:R)</f>
        <v>936.59999999999991</v>
      </c>
      <c r="I368" s="113">
        <f>SUMIF(MICRO!AP:AP,O:O,MICRO!T:T)</f>
        <v>0</v>
      </c>
      <c r="J368" s="114">
        <f t="shared" si="135"/>
        <v>1</v>
      </c>
      <c r="K368" s="113">
        <f>SUMIF(MICRO!AP:AP,O:O,MICRO!X:X)</f>
        <v>906.59999999999991</v>
      </c>
      <c r="L368" s="114">
        <f t="shared" si="136"/>
        <v>0.96796925048046123</v>
      </c>
      <c r="M368" s="113">
        <f t="shared" si="137"/>
        <v>30</v>
      </c>
      <c r="N368" s="56" t="str">
        <f t="shared" si="138"/>
        <v>P-198BASES ROLETES</v>
      </c>
      <c r="O368" s="56" t="str">
        <f t="shared" si="139"/>
        <v>14-CV-0005P-198BASES ROLETES</v>
      </c>
      <c r="P368" s="2">
        <f>SUMIF(MICRO!AP:AP,O368,MICRO!AS:AS)</f>
        <v>0</v>
      </c>
      <c r="Q368">
        <f>SUMIF(MICRO!AP:AP,O368,MICRO!AT:AT)</f>
        <v>30</v>
      </c>
      <c r="R368">
        <f>SUMIF(MICRO!AP:AP,O:O,MICRO!AU:AU)</f>
        <v>906.59999999999991</v>
      </c>
    </row>
    <row r="369" spans="4:18" ht="18.75" thickBot="1" x14ac:dyDescent="0.3">
      <c r="D369" s="110" t="s">
        <v>3034</v>
      </c>
      <c r="E369" s="111" t="str">
        <f>VLOOKUP(Tabela2[[#This Row],[TAG]],MICRO!J:L,3,0)</f>
        <v>P-198</v>
      </c>
      <c r="F369" s="109" t="s">
        <v>45</v>
      </c>
      <c r="G369" s="112">
        <f>SUMIF(MICRO!AP:AP,O:O,MICRO!H:H)</f>
        <v>136.80000000000001</v>
      </c>
      <c r="H369" s="113">
        <f>SUMIF(MICRO!AP:AP,O:O,MICRO!R:R)</f>
        <v>136.80000000000001</v>
      </c>
      <c r="I369" s="113">
        <f>SUMIF(MICRO!AP:AP,O:O,MICRO!T:T)</f>
        <v>0</v>
      </c>
      <c r="J369" s="114">
        <f t="shared" si="135"/>
        <v>1</v>
      </c>
      <c r="K369" s="113">
        <f>SUMIF(MICRO!AP:AP,O:O,MICRO!X:X)</f>
        <v>0</v>
      </c>
      <c r="L369" s="114">
        <f t="shared" si="136"/>
        <v>0</v>
      </c>
      <c r="M369" s="113">
        <f t="shared" si="137"/>
        <v>136.80000000000001</v>
      </c>
      <c r="N369" s="56" t="str">
        <f t="shared" si="138"/>
        <v>P-198COMERCIAL</v>
      </c>
      <c r="O369" s="56" t="str">
        <f t="shared" si="139"/>
        <v>05-CV-0001P-198COMERCIAL</v>
      </c>
      <c r="P369" s="2">
        <f>SUMIF(MICRO!AP:AP,O369,MICRO!AS:AS)</f>
        <v>0</v>
      </c>
      <c r="Q369">
        <f>SUMIF(MICRO!AP:AP,O369,MICRO!AT:AT)</f>
        <v>136.80000000000001</v>
      </c>
      <c r="R369">
        <f>SUMIF(MICRO!AP:AP,O:O,MICRO!AU:AU)</f>
        <v>0</v>
      </c>
    </row>
    <row r="370" spans="4:18" ht="18.75" thickBot="1" x14ac:dyDescent="0.3">
      <c r="D370" s="110" t="s">
        <v>3093</v>
      </c>
      <c r="E370" s="111" t="str">
        <f>VLOOKUP(Tabela2[[#This Row],[TAG]],MICRO!J:L,3,0)</f>
        <v>P-198</v>
      </c>
      <c r="F370" s="109" t="s">
        <v>45</v>
      </c>
      <c r="G370" s="112">
        <f>SUMIF(MICRO!AP:AP,O:O,MICRO!H:H)</f>
        <v>0</v>
      </c>
      <c r="H370" s="113">
        <f>SUMIF(MICRO!AP:AP,O:O,MICRO!R:R)</f>
        <v>0</v>
      </c>
      <c r="I370" s="113">
        <f>SUMIF(MICRO!AP:AP,O:O,MICRO!T:T)</f>
        <v>0</v>
      </c>
      <c r="J370" s="114">
        <f t="shared" si="135"/>
        <v>0</v>
      </c>
      <c r="K370" s="113">
        <f>SUMIF(MICRO!AP:AP,O:O,MICRO!X:X)</f>
        <v>0</v>
      </c>
      <c r="L370" s="114" t="str">
        <f t="shared" si="136"/>
        <v>0%</v>
      </c>
      <c r="M370" s="113">
        <f t="shared" si="137"/>
        <v>0</v>
      </c>
      <c r="N370" s="56" t="str">
        <f t="shared" si="138"/>
        <v>P-198COMERCIAL</v>
      </c>
      <c r="O370" s="56" t="str">
        <f t="shared" si="139"/>
        <v>14-AC-0001P-198COMERCIAL</v>
      </c>
      <c r="P370" s="2">
        <f>SUMIF(MICRO!AP:AP,O370,MICRO!AS:AS)</f>
        <v>0</v>
      </c>
      <c r="Q370">
        <f>SUMIF(MICRO!AP:AP,O370,MICRO!AT:AT)</f>
        <v>0</v>
      </c>
      <c r="R370">
        <f>SUMIF(MICRO!AP:AP,O:O,MICRO!AU:AU)</f>
        <v>0</v>
      </c>
    </row>
    <row r="371" spans="4:18" ht="18.75" thickBot="1" x14ac:dyDescent="0.3">
      <c r="D371" s="110" t="s">
        <v>3045</v>
      </c>
      <c r="E371" s="111" t="str">
        <f>VLOOKUP(Tabela2[[#This Row],[TAG]],MICRO!J:L,3,0)</f>
        <v>P-198</v>
      </c>
      <c r="F371" s="109" t="s">
        <v>45</v>
      </c>
      <c r="G371" s="112">
        <f>SUMIF(MICRO!AP:AP,O:O,MICRO!H:H)</f>
        <v>0</v>
      </c>
      <c r="H371" s="113">
        <f>SUMIF(MICRO!AP:AP,O:O,MICRO!R:R)</f>
        <v>0</v>
      </c>
      <c r="I371" s="113">
        <f>SUMIF(MICRO!AP:AP,O:O,MICRO!T:T)</f>
        <v>0</v>
      </c>
      <c r="J371" s="114">
        <f t="shared" si="135"/>
        <v>0</v>
      </c>
      <c r="K371" s="113">
        <f>SUMIF(MICRO!AP:AP,O:O,MICRO!X:X)</f>
        <v>0</v>
      </c>
      <c r="L371" s="114" t="str">
        <f t="shared" si="136"/>
        <v>0%</v>
      </c>
      <c r="M371" s="113">
        <f t="shared" si="137"/>
        <v>0</v>
      </c>
      <c r="N371" s="56" t="str">
        <f t="shared" si="138"/>
        <v>P-198COMERCIAL</v>
      </c>
      <c r="O371" s="56" t="str">
        <f t="shared" si="139"/>
        <v>14-CV-0001P-198COMERCIAL</v>
      </c>
      <c r="P371" s="2">
        <f>SUMIF(MICRO!AP:AP,O371,MICRO!AS:AS)</f>
        <v>0</v>
      </c>
      <c r="Q371">
        <f>SUMIF(MICRO!AP:AP,O371,MICRO!AT:AT)</f>
        <v>0</v>
      </c>
      <c r="R371">
        <f>SUMIF(MICRO!AP:AP,O:O,MICRO!AU:AU)</f>
        <v>0</v>
      </c>
    </row>
    <row r="372" spans="4:18" ht="18.75" thickBot="1" x14ac:dyDescent="0.3">
      <c r="D372" s="110" t="s">
        <v>3140</v>
      </c>
      <c r="E372" s="111" t="str">
        <f>VLOOKUP(Tabela2[[#This Row],[TAG]],MICRO!J:L,3,0)</f>
        <v>P-198</v>
      </c>
      <c r="F372" s="109" t="s">
        <v>45</v>
      </c>
      <c r="G372" s="112">
        <f>SUMIF(MICRO!AP:AP,O:O,MICRO!H:H)</f>
        <v>0</v>
      </c>
      <c r="H372" s="113">
        <f>SUMIF(MICRO!AP:AP,O:O,MICRO!R:R)</f>
        <v>0</v>
      </c>
      <c r="I372" s="113">
        <f>SUMIF(MICRO!AP:AP,O:O,MICRO!T:T)</f>
        <v>0</v>
      </c>
      <c r="J372" s="114">
        <f t="shared" si="135"/>
        <v>0</v>
      </c>
      <c r="K372" s="113">
        <f>SUMIF(MICRO!AP:AP,O:O,MICRO!X:X)</f>
        <v>0</v>
      </c>
      <c r="L372" s="114" t="str">
        <f t="shared" si="136"/>
        <v>0%</v>
      </c>
      <c r="M372" s="113">
        <f t="shared" si="137"/>
        <v>0</v>
      </c>
      <c r="N372" s="56" t="str">
        <f t="shared" si="138"/>
        <v>P-198COMERCIAL</v>
      </c>
      <c r="O372" s="56" t="str">
        <f t="shared" si="139"/>
        <v>14-CV-0005P-198COMERCIAL</v>
      </c>
      <c r="P372" s="2">
        <f>SUMIF(MICRO!AP:AP,O372,MICRO!AS:AS)</f>
        <v>0</v>
      </c>
      <c r="Q372">
        <f>SUMIF(MICRO!AP:AP,O372,MICRO!AT:AT)</f>
        <v>0</v>
      </c>
      <c r="R372">
        <f>SUMIF(MICRO!AP:AP,O:O,MICRO!AU:AU)</f>
        <v>0</v>
      </c>
    </row>
    <row r="373" spans="4:18" ht="18.75" thickBot="1" x14ac:dyDescent="0.3">
      <c r="D373" s="110" t="s">
        <v>3034</v>
      </c>
      <c r="E373" s="111" t="str">
        <f>VLOOKUP(Tabela2[[#This Row],[TAG]],MICRO!J:L,3,0)</f>
        <v>P-198</v>
      </c>
      <c r="F373" s="109" t="s">
        <v>22</v>
      </c>
      <c r="G373" s="112">
        <f>SUMIF(MICRO!AP:AP,O:O,MICRO!H:H)</f>
        <v>1709.1</v>
      </c>
      <c r="H373" s="113">
        <f>SUMIF(MICRO!AP:AP,O:O,MICRO!R:R)</f>
        <v>0</v>
      </c>
      <c r="I373" s="113">
        <f>SUMIF(MICRO!AP:AP,O:O,MICRO!T:T)</f>
        <v>-1709.1</v>
      </c>
      <c r="J373" s="114">
        <f t="shared" si="135"/>
        <v>0</v>
      </c>
      <c r="K373" s="113">
        <f>SUMIF(MICRO!AP:AP,O:O,MICRO!X:X)</f>
        <v>0</v>
      </c>
      <c r="L373" s="114">
        <f t="shared" si="136"/>
        <v>0</v>
      </c>
      <c r="M373" s="113">
        <f t="shared" si="137"/>
        <v>1709.1</v>
      </c>
      <c r="N373" s="56" t="str">
        <f t="shared" si="138"/>
        <v>P-198TAMBOR</v>
      </c>
      <c r="O373" s="56" t="str">
        <f t="shared" si="139"/>
        <v>05-CV-0001P-198TAMBOR</v>
      </c>
      <c r="P373" s="2">
        <f>SUMIF(MICRO!AP:AP,O373,MICRO!AS:AS)</f>
        <v>0</v>
      </c>
      <c r="Q373">
        <f>SUMIF(MICRO!AP:AP,O373,MICRO!AT:AT)</f>
        <v>0</v>
      </c>
      <c r="R373">
        <f>SUMIF(MICRO!AP:AP,O:O,MICRO!AU:AU)</f>
        <v>0</v>
      </c>
    </row>
    <row r="374" spans="4:18" ht="18.75" thickBot="1" x14ac:dyDescent="0.3">
      <c r="D374" s="110" t="s">
        <v>3093</v>
      </c>
      <c r="E374" s="111" t="str">
        <f>VLOOKUP(Tabela2[[#This Row],[TAG]],MICRO!J:L,3,0)</f>
        <v>P-198</v>
      </c>
      <c r="F374" s="109" t="s">
        <v>22</v>
      </c>
      <c r="G374" s="112">
        <f>SUMIF(MICRO!AP:AP,O:O,MICRO!H:H)</f>
        <v>0</v>
      </c>
      <c r="H374" s="113">
        <f>SUMIF(MICRO!AP:AP,O:O,MICRO!R:R)</f>
        <v>0</v>
      </c>
      <c r="I374" s="113">
        <f>SUMIF(MICRO!AP:AP,O:O,MICRO!T:T)</f>
        <v>0</v>
      </c>
      <c r="J374" s="114">
        <f t="shared" si="135"/>
        <v>0</v>
      </c>
      <c r="K374" s="113">
        <f>SUMIF(MICRO!AP:AP,O:O,MICRO!X:X)</f>
        <v>0</v>
      </c>
      <c r="L374" s="114" t="str">
        <f t="shared" si="136"/>
        <v>0%</v>
      </c>
      <c r="M374" s="113">
        <f t="shared" si="137"/>
        <v>0</v>
      </c>
      <c r="N374" s="56" t="str">
        <f t="shared" si="138"/>
        <v>P-198TAMBOR</v>
      </c>
      <c r="O374" s="56" t="str">
        <f t="shared" si="139"/>
        <v>14-AC-0001P-198TAMBOR</v>
      </c>
      <c r="P374" s="2">
        <f>SUMIF(MICRO!AP:AP,O374,MICRO!AS:AS)</f>
        <v>0</v>
      </c>
      <c r="Q374">
        <f>SUMIF(MICRO!AP:AP,O374,MICRO!AT:AT)</f>
        <v>0</v>
      </c>
      <c r="R374">
        <f>SUMIF(MICRO!AP:AP,O:O,MICRO!AU:AU)</f>
        <v>0</v>
      </c>
    </row>
    <row r="375" spans="4:18" ht="18.75" thickBot="1" x14ac:dyDescent="0.3">
      <c r="D375" s="110" t="s">
        <v>3045</v>
      </c>
      <c r="E375" s="111" t="str">
        <f>VLOOKUP(Tabela2[[#This Row],[TAG]],MICRO!J:L,3,0)</f>
        <v>P-198</v>
      </c>
      <c r="F375" s="109" t="s">
        <v>22</v>
      </c>
      <c r="G375" s="112">
        <f>SUMIF(MICRO!AP:AP,O:O,MICRO!H:H)</f>
        <v>3329.2000000000003</v>
      </c>
      <c r="H375" s="113">
        <f>SUMIF(MICRO!AP:AP,O:O,MICRO!R:R)</f>
        <v>0</v>
      </c>
      <c r="I375" s="113">
        <f>SUMIF(MICRO!AP:AP,O:O,MICRO!T:T)</f>
        <v>-3329.2000000000003</v>
      </c>
      <c r="J375" s="114">
        <f t="shared" si="135"/>
        <v>0</v>
      </c>
      <c r="K375" s="113">
        <f>SUMIF(MICRO!AP:AP,O:O,MICRO!X:X)</f>
        <v>0</v>
      </c>
      <c r="L375" s="114">
        <f t="shared" si="136"/>
        <v>0</v>
      </c>
      <c r="M375" s="113">
        <f t="shared" si="137"/>
        <v>3329.2000000000003</v>
      </c>
      <c r="N375" s="56" t="str">
        <f t="shared" si="138"/>
        <v>P-198TAMBOR</v>
      </c>
      <c r="O375" s="56" t="str">
        <f t="shared" si="139"/>
        <v>14-CV-0001P-198TAMBOR</v>
      </c>
      <c r="P375" s="2">
        <f>SUMIF(MICRO!AP:AP,O375,MICRO!AS:AS)</f>
        <v>0</v>
      </c>
      <c r="Q375">
        <f>SUMIF(MICRO!AP:AP,O375,MICRO!AT:AT)</f>
        <v>0</v>
      </c>
      <c r="R375">
        <f>SUMIF(MICRO!AP:AP,O:O,MICRO!AU:AU)</f>
        <v>0</v>
      </c>
    </row>
    <row r="376" spans="4:18" ht="18.75" thickBot="1" x14ac:dyDescent="0.3">
      <c r="D376" s="110" t="s">
        <v>3140</v>
      </c>
      <c r="E376" s="111" t="str">
        <f>VLOOKUP(Tabela2[[#This Row],[TAG]],MICRO!J:L,3,0)</f>
        <v>P-198</v>
      </c>
      <c r="F376" s="109" t="s">
        <v>22</v>
      </c>
      <c r="G376" s="112">
        <f>SUMIF(MICRO!AP:AP,O:O,MICRO!H:H)</f>
        <v>471.8</v>
      </c>
      <c r="H376" s="113">
        <f>SUMIF(MICRO!AP:AP,O:O,MICRO!R:R)</f>
        <v>0</v>
      </c>
      <c r="I376" s="113">
        <f>SUMIF(MICRO!AP:AP,O:O,MICRO!T:T)</f>
        <v>-471.8</v>
      </c>
      <c r="J376" s="114">
        <f t="shared" si="135"/>
        <v>0</v>
      </c>
      <c r="K376" s="113">
        <f>SUMIF(MICRO!AP:AP,O:O,MICRO!X:X)</f>
        <v>0</v>
      </c>
      <c r="L376" s="114">
        <f t="shared" si="136"/>
        <v>0</v>
      </c>
      <c r="M376" s="113">
        <f t="shared" si="137"/>
        <v>471.8</v>
      </c>
      <c r="N376" s="56" t="str">
        <f t="shared" si="138"/>
        <v>P-198TAMBOR</v>
      </c>
      <c r="O376" s="56" t="str">
        <f t="shared" si="139"/>
        <v>14-CV-0005P-198TAMBOR</v>
      </c>
      <c r="P376" s="2">
        <f>SUMIF(MICRO!AP:AP,O376,MICRO!AS:AS)</f>
        <v>0</v>
      </c>
      <c r="Q376">
        <f>SUMIF(MICRO!AP:AP,O376,MICRO!AT:AT)</f>
        <v>0</v>
      </c>
      <c r="R376">
        <f>SUMIF(MICRO!AP:AP,O:O,MICRO!AU:AU)</f>
        <v>0</v>
      </c>
    </row>
    <row r="377" spans="4:18" ht="18.75" thickBot="1" x14ac:dyDescent="0.3">
      <c r="D377" s="110" t="s">
        <v>3034</v>
      </c>
      <c r="E377" s="111" t="str">
        <f>VLOOKUP(Tabela2[[#This Row],[TAG]],MICRO!J:L,3,0)</f>
        <v>P-198</v>
      </c>
      <c r="F377" s="109" t="s">
        <v>44</v>
      </c>
      <c r="G377" s="112">
        <f>SUMIF(MICRO!AP:AP,O:O,MICRO!H:H)</f>
        <v>0</v>
      </c>
      <c r="H377" s="113">
        <f>SUMIF(MICRO!AP:AP,O:O,MICRO!R:R)</f>
        <v>0</v>
      </c>
      <c r="I377" s="113">
        <f>SUMIF(MICRO!AP:AP,O:O,MICRO!T:T)</f>
        <v>0</v>
      </c>
      <c r="J377" s="114">
        <f t="shared" si="135"/>
        <v>0</v>
      </c>
      <c r="K377" s="113">
        <f>SUMIF(MICRO!AP:AP,O:O,MICRO!X:X)</f>
        <v>0</v>
      </c>
      <c r="L377" s="114" t="str">
        <f t="shared" si="136"/>
        <v>0%</v>
      </c>
      <c r="M377" s="113">
        <f t="shared" si="137"/>
        <v>0</v>
      </c>
      <c r="N377" s="56" t="str">
        <f t="shared" si="138"/>
        <v>P-198REVESTIMENTO</v>
      </c>
      <c r="O377" s="56" t="str">
        <f t="shared" si="139"/>
        <v>05-CV-0001P-198REVESTIMENTO</v>
      </c>
      <c r="P377" s="2">
        <f>SUMIF(MICRO!AP:AP,O377,MICRO!AS:AS)</f>
        <v>0</v>
      </c>
      <c r="Q377">
        <f>SUMIF(MICRO!AP:AP,O377,MICRO!AT:AT)</f>
        <v>0</v>
      </c>
      <c r="R377">
        <f>SUMIF(MICRO!AP:AP,O:O,MICRO!AU:AU)</f>
        <v>0</v>
      </c>
    </row>
    <row r="378" spans="4:18" ht="18.75" thickBot="1" x14ac:dyDescent="0.3">
      <c r="D378" s="110" t="s">
        <v>3093</v>
      </c>
      <c r="E378" s="111" t="str">
        <f>VLOOKUP(Tabela2[[#This Row],[TAG]],MICRO!J:L,3,0)</f>
        <v>P-198</v>
      </c>
      <c r="F378" s="109" t="s">
        <v>44</v>
      </c>
      <c r="G378" s="112">
        <f>SUMIF(MICRO!AP:AP,O:O,MICRO!H:H)</f>
        <v>0</v>
      </c>
      <c r="H378" s="113">
        <f>SUMIF(MICRO!AP:AP,O:O,MICRO!R:R)</f>
        <v>0</v>
      </c>
      <c r="I378" s="113">
        <f>SUMIF(MICRO!AP:AP,O:O,MICRO!T:T)</f>
        <v>0</v>
      </c>
      <c r="J378" s="114">
        <f t="shared" si="135"/>
        <v>0</v>
      </c>
      <c r="K378" s="113">
        <f>SUMIF(MICRO!AP:AP,O:O,MICRO!X:X)</f>
        <v>0</v>
      </c>
      <c r="L378" s="114" t="str">
        <f t="shared" si="136"/>
        <v>0%</v>
      </c>
      <c r="M378" s="113">
        <f t="shared" si="137"/>
        <v>0</v>
      </c>
      <c r="N378" s="56" t="str">
        <f t="shared" si="138"/>
        <v>P-198REVESTIMENTO</v>
      </c>
      <c r="O378" s="56" t="str">
        <f t="shared" si="139"/>
        <v>14-AC-0001P-198REVESTIMENTO</v>
      </c>
      <c r="P378" s="2">
        <f>SUMIF(MICRO!AP:AP,O378,MICRO!AS:AS)</f>
        <v>0</v>
      </c>
      <c r="Q378">
        <f>SUMIF(MICRO!AP:AP,O378,MICRO!AT:AT)</f>
        <v>0</v>
      </c>
      <c r="R378">
        <f>SUMIF(MICRO!AP:AP,O:O,MICRO!AU:AU)</f>
        <v>0</v>
      </c>
    </row>
    <row r="379" spans="4:18" ht="18.75" thickBot="1" x14ac:dyDescent="0.3">
      <c r="D379" s="110" t="s">
        <v>3045</v>
      </c>
      <c r="E379" s="111" t="str">
        <f>VLOOKUP(Tabela2[[#This Row],[TAG]],MICRO!J:L,3,0)</f>
        <v>P-198</v>
      </c>
      <c r="F379" s="109" t="s">
        <v>44</v>
      </c>
      <c r="G379" s="112">
        <f>SUMIF(MICRO!AP:AP,O:O,MICRO!H:H)</f>
        <v>0</v>
      </c>
      <c r="H379" s="113">
        <f>SUMIF(MICRO!AP:AP,O:O,MICRO!R:R)</f>
        <v>0</v>
      </c>
      <c r="I379" s="113">
        <f>SUMIF(MICRO!AP:AP,O:O,MICRO!T:T)</f>
        <v>0</v>
      </c>
      <c r="J379" s="114">
        <f t="shared" si="135"/>
        <v>0</v>
      </c>
      <c r="K379" s="113">
        <f>SUMIF(MICRO!AP:AP,O:O,MICRO!X:X)</f>
        <v>0</v>
      </c>
      <c r="L379" s="114" t="str">
        <f t="shared" si="136"/>
        <v>0%</v>
      </c>
      <c r="M379" s="113">
        <f t="shared" si="137"/>
        <v>0</v>
      </c>
      <c r="N379" s="56" t="str">
        <f t="shared" si="138"/>
        <v>P-198REVESTIMENTO</v>
      </c>
      <c r="O379" s="56" t="str">
        <f t="shared" si="139"/>
        <v>14-CV-0001P-198REVESTIMENTO</v>
      </c>
      <c r="P379" s="2">
        <f>SUMIF(MICRO!AP:AP,O379,MICRO!AS:AS)</f>
        <v>0</v>
      </c>
      <c r="Q379">
        <f>SUMIF(MICRO!AP:AP,O379,MICRO!AT:AT)</f>
        <v>0</v>
      </c>
      <c r="R379">
        <f>SUMIF(MICRO!AP:AP,O:O,MICRO!AU:AU)</f>
        <v>0</v>
      </c>
    </row>
    <row r="380" spans="4:18" ht="18.75" thickBot="1" x14ac:dyDescent="0.3">
      <c r="D380" s="110" t="s">
        <v>3140</v>
      </c>
      <c r="E380" s="111" t="str">
        <f>VLOOKUP(Tabela2[[#This Row],[TAG]],MICRO!J:L,3,0)</f>
        <v>P-198</v>
      </c>
      <c r="F380" s="109" t="s">
        <v>44</v>
      </c>
      <c r="G380" s="112">
        <f>SUMIF(MICRO!AP:AP,O:O,MICRO!H:H)</f>
        <v>0</v>
      </c>
      <c r="H380" s="113">
        <f>SUMIF(MICRO!AP:AP,O:O,MICRO!R:R)</f>
        <v>0</v>
      </c>
      <c r="I380" s="113">
        <f>SUMIF(MICRO!AP:AP,O:O,MICRO!T:T)</f>
        <v>0</v>
      </c>
      <c r="J380" s="114">
        <f t="shared" si="135"/>
        <v>0</v>
      </c>
      <c r="K380" s="113">
        <f>SUMIF(MICRO!AP:AP,O:O,MICRO!X:X)</f>
        <v>0</v>
      </c>
      <c r="L380" s="114" t="str">
        <f t="shared" si="136"/>
        <v>0%</v>
      </c>
      <c r="M380" s="113">
        <f t="shared" si="137"/>
        <v>0</v>
      </c>
      <c r="N380" s="56" t="str">
        <f t="shared" si="138"/>
        <v>P-198REVESTIMENTO</v>
      </c>
      <c r="O380" s="56" t="str">
        <f t="shared" si="139"/>
        <v>14-CV-0005P-198REVESTIMENTO</v>
      </c>
      <c r="P380" s="2">
        <f>SUMIF(MICRO!AP:AP,O380,MICRO!AS:AS)</f>
        <v>0</v>
      </c>
      <c r="Q380">
        <f>SUMIF(MICRO!AP:AP,O380,MICRO!AT:AT)</f>
        <v>0</v>
      </c>
      <c r="R380">
        <f>SUMIF(MICRO!AP:AP,O:O,MICRO!AU:AU)</f>
        <v>0</v>
      </c>
    </row>
    <row r="381" spans="4:18" ht="18.75" thickBot="1" x14ac:dyDescent="0.3">
      <c r="D381" s="110" t="s">
        <v>3110</v>
      </c>
      <c r="E381" s="111" t="str">
        <f>VLOOKUP(Tabela2[[#This Row],[TAG]],MICRO!J:L,3,0)</f>
        <v>P-204</v>
      </c>
      <c r="F381" s="109" t="s">
        <v>23</v>
      </c>
      <c r="G381" s="112">
        <f>SUMIF(MICRO!AP:AP,O:O,MICRO!H:H)</f>
        <v>122.99999999999999</v>
      </c>
      <c r="H381" s="113">
        <f>SUMIF(MICRO!AP:AP,O:O,MICRO!R:R)</f>
        <v>119.92499999999998</v>
      </c>
      <c r="I381" s="113">
        <f>SUMIF(MICRO!AP:AP,O:O,MICRO!T:T)</f>
        <v>-61.499999999999993</v>
      </c>
      <c r="J381" s="114">
        <f t="shared" si="135"/>
        <v>0.97499999999999998</v>
      </c>
      <c r="K381" s="113">
        <f>SUMIF(MICRO!AP:AP,O:O,MICRO!X:X)</f>
        <v>0</v>
      </c>
      <c r="L381" s="114">
        <f t="shared" si="136"/>
        <v>0</v>
      </c>
      <c r="M381" s="113">
        <f t="shared" si="137"/>
        <v>122.99999999999999</v>
      </c>
      <c r="N381" s="56" t="str">
        <f t="shared" si="138"/>
        <v>P-204ROLOS</v>
      </c>
      <c r="O381" s="56" t="str">
        <f t="shared" si="139"/>
        <v>P204P-204ROLOS</v>
      </c>
      <c r="P381" s="2">
        <f>SUMIF(MICRO!AP:AP,O381,MICRO!AS:AS)</f>
        <v>0</v>
      </c>
      <c r="Q381">
        <f>SUMIF(MICRO!AP:AP,O381,MICRO!AT:AT)</f>
        <v>61.499999999999993</v>
      </c>
      <c r="R381">
        <f>SUMIF(MICRO!AP:AP,O:O,MICRO!AU:AU)</f>
        <v>0</v>
      </c>
    </row>
    <row r="382" spans="4:18" ht="18.75" thickBot="1" x14ac:dyDescent="0.3">
      <c r="D382" s="110" t="s">
        <v>3168</v>
      </c>
      <c r="E382" s="111" t="str">
        <f>VLOOKUP(Tabela2[[#This Row],[TAG]],MICRO!J:L,3,0)</f>
        <v>P-205</v>
      </c>
      <c r="F382" s="109" t="s">
        <v>33</v>
      </c>
      <c r="G382" s="112">
        <f>SUMIF(MICRO!AP:AP,O:O,MICRO!H:H)</f>
        <v>97.199999999999989</v>
      </c>
      <c r="H382" s="113">
        <f>SUMIF(MICRO!AP:AP,O:O,MICRO!R:R)</f>
        <v>78.48899999999999</v>
      </c>
      <c r="I382" s="113">
        <f>SUMIF(MICRO!AP:AP,O:O,MICRO!T:T)</f>
        <v>-68.039999999999992</v>
      </c>
      <c r="J382" s="114">
        <f t="shared" si="135"/>
        <v>0.8075</v>
      </c>
      <c r="K382" s="113">
        <f>SUMIF(MICRO!AP:AP,O:O,MICRO!X:X)</f>
        <v>0</v>
      </c>
      <c r="L382" s="114">
        <f t="shared" si="136"/>
        <v>0</v>
      </c>
      <c r="M382" s="113">
        <f t="shared" si="137"/>
        <v>97.199999999999989</v>
      </c>
      <c r="N382" s="56" t="str">
        <f t="shared" si="138"/>
        <v>P-205BASES ROLETES</v>
      </c>
      <c r="O382" s="56" t="str">
        <f t="shared" si="139"/>
        <v>P205P-205BASES ROLETES</v>
      </c>
      <c r="P382" s="2">
        <f>SUMIF(MICRO!AP:AP,O382,MICRO!AS:AS)</f>
        <v>0</v>
      </c>
      <c r="Q382">
        <f>SUMIF(MICRO!AP:AP,O382,MICRO!AT:AT)</f>
        <v>29.159999999999997</v>
      </c>
      <c r="R382">
        <f>SUMIF(MICRO!AP:AP,O:O,MICRO!AU:AU)</f>
        <v>0</v>
      </c>
    </row>
    <row r="383" spans="4:18" ht="18.75" thickBot="1" x14ac:dyDescent="0.3">
      <c r="D383" s="110" t="s">
        <v>4299</v>
      </c>
      <c r="E383" s="111" t="str">
        <f>VLOOKUP(Tabela2[[#This Row],[TAG]],MICRO!J:L,3,0)</f>
        <v>P-208</v>
      </c>
      <c r="F383" s="109" t="s">
        <v>23</v>
      </c>
      <c r="G383" s="112">
        <f>SUMIF(MICRO!AP:AP,O:O,MICRO!H:H)</f>
        <v>135</v>
      </c>
      <c r="H383" s="113">
        <f>SUMIF(MICRO!AP:AP,O:O,MICRO!R:R)</f>
        <v>116.4375</v>
      </c>
      <c r="I383" s="113">
        <f>SUMIF(MICRO!AP:AP,O:O,MICRO!T:T)</f>
        <v>-67.5</v>
      </c>
      <c r="J383" s="114">
        <f t="shared" si="135"/>
        <v>0.86250000000000004</v>
      </c>
      <c r="K383" s="113">
        <f>SUMIF(MICRO!AP:AP,O:O,MICRO!X:X)</f>
        <v>0</v>
      </c>
      <c r="L383" s="114">
        <f t="shared" si="136"/>
        <v>0</v>
      </c>
      <c r="M383" s="113">
        <f t="shared" si="137"/>
        <v>135</v>
      </c>
      <c r="N383" s="56" t="str">
        <f t="shared" si="138"/>
        <v>P-208ROLOS</v>
      </c>
      <c r="O383" s="56" t="str">
        <f t="shared" si="139"/>
        <v>P208P-208ROLOS</v>
      </c>
      <c r="P383" s="2">
        <f>SUMIF(MICRO!AP:AP,O383,MICRO!AS:AS)</f>
        <v>0</v>
      </c>
      <c r="Q383">
        <f>SUMIF(MICRO!AP:AP,O383,MICRO!AT:AT)</f>
        <v>67.5</v>
      </c>
      <c r="R383">
        <f>SUMIF(MICRO!AP:AP,O:O,MICRO!AU:AU)</f>
        <v>0</v>
      </c>
    </row>
    <row r="384" spans="4:18" ht="18.75" thickBot="1" x14ac:dyDescent="0.3">
      <c r="D384" s="110" t="s">
        <v>4306</v>
      </c>
      <c r="E384" s="111" t="str">
        <f>VLOOKUP(Tabela2[[#This Row],[TAG]],MICRO!J:L,3,0)</f>
        <v>P-209</v>
      </c>
      <c r="F384" s="109" t="s">
        <v>32</v>
      </c>
      <c r="G384" s="112">
        <f>SUMIF(MICRO!AP:AP,O:O,MICRO!H:H)</f>
        <v>119.6</v>
      </c>
      <c r="H384" s="113">
        <f>SUMIF(MICRO!AP:AP,O:O,MICRO!R:R)</f>
        <v>0</v>
      </c>
      <c r="I384" s="113">
        <f>SUMIF(MICRO!AP:AP,O:O,MICRO!T:T)</f>
        <v>-119.6</v>
      </c>
      <c r="J384" s="114">
        <f t="shared" si="135"/>
        <v>0</v>
      </c>
      <c r="K384" s="113">
        <f>SUMIF(MICRO!AP:AP,O:O,MICRO!X:X)</f>
        <v>0</v>
      </c>
      <c r="L384" s="114">
        <f t="shared" si="136"/>
        <v>0</v>
      </c>
      <c r="M384" s="113">
        <f t="shared" si="137"/>
        <v>119.6</v>
      </c>
      <c r="N384" s="56" t="str">
        <f t="shared" si="138"/>
        <v>P-209USINAGEM</v>
      </c>
      <c r="O384" s="56" t="str">
        <f t="shared" si="139"/>
        <v>P209P-209USINAGEM</v>
      </c>
      <c r="P384" s="2">
        <f>SUMIF(MICRO!AP:AP,O384,MICRO!AS:AS)</f>
        <v>0</v>
      </c>
      <c r="Q384">
        <f>SUMIF(MICRO!AP:AP,O384,MICRO!AT:AT)</f>
        <v>0</v>
      </c>
      <c r="R384">
        <f>SUMIF(MICRO!AP:AP,O:O,MICRO!AU:AU)</f>
        <v>0</v>
      </c>
    </row>
    <row r="385" spans="4:18" ht="18.75" thickBot="1" x14ac:dyDescent="0.3">
      <c r="D385" s="110"/>
      <c r="E385" s="111" t="e">
        <f>VLOOKUP(Tabela2[[#This Row],[TAG]],MICRO!J:L,3,0)</f>
        <v>#N/A</v>
      </c>
      <c r="F385" s="109"/>
      <c r="G385" s="112">
        <f>SUMIF(MICRO!AP:AP,O:O,MICRO!H:H)</f>
        <v>0</v>
      </c>
      <c r="H385" s="113">
        <f>SUMIF(MICRO!AP:AP,O:O,MICRO!R:R)</f>
        <v>0</v>
      </c>
      <c r="I385" s="113">
        <f>SUMIF(MICRO!AP:AP,O:O,MICRO!T:T)</f>
        <v>0</v>
      </c>
      <c r="J385" s="114">
        <f t="shared" si="135"/>
        <v>0</v>
      </c>
      <c r="K385" s="113">
        <f>SUMIF(MICRO!AP:AP,O:O,MICRO!X:X)</f>
        <v>0</v>
      </c>
      <c r="L385" s="114" t="str">
        <f t="shared" si="136"/>
        <v>0%</v>
      </c>
      <c r="M385" s="113">
        <f t="shared" si="137"/>
        <v>0</v>
      </c>
      <c r="N385" s="56" t="e">
        <f t="shared" si="138"/>
        <v>#N/A</v>
      </c>
      <c r="O385" s="56" t="e">
        <f t="shared" si="139"/>
        <v>#N/A</v>
      </c>
      <c r="P385" s="2">
        <f>SUMIF(MICRO!AP:AP,O385,MICRO!AS:AS)</f>
        <v>0</v>
      </c>
      <c r="Q385">
        <f>SUMIF(MICRO!AP:AP,O385,MICRO!AT:AT)</f>
        <v>0</v>
      </c>
      <c r="R385">
        <f>SUMIF(MICRO!AP:AP,O:O,MICRO!AU:AU)</f>
        <v>0</v>
      </c>
    </row>
    <row r="386" spans="4:18" ht="18.75" thickBot="1" x14ac:dyDescent="0.3">
      <c r="D386" s="110"/>
      <c r="E386" s="111" t="e">
        <f>VLOOKUP(Tabela2[[#This Row],[TAG]],MICRO!J:L,3,0)</f>
        <v>#N/A</v>
      </c>
      <c r="F386" s="109"/>
      <c r="G386" s="112">
        <f>SUMIF(MICRO!AP:AP,O:O,MICRO!H:H)</f>
        <v>0</v>
      </c>
      <c r="H386" s="113">
        <f>SUMIF(MICRO!AP:AP,O:O,MICRO!R:R)</f>
        <v>0</v>
      </c>
      <c r="I386" s="113">
        <f>SUMIF(MICRO!AP:AP,O:O,MICRO!T:T)</f>
        <v>0</v>
      </c>
      <c r="J386" s="114">
        <f t="shared" si="135"/>
        <v>0</v>
      </c>
      <c r="K386" s="113">
        <f>SUMIF(MICRO!AP:AP,O:O,MICRO!X:X)</f>
        <v>0</v>
      </c>
      <c r="L386" s="114" t="str">
        <f t="shared" si="136"/>
        <v>0%</v>
      </c>
      <c r="M386" s="113">
        <f t="shared" si="137"/>
        <v>0</v>
      </c>
      <c r="N386" s="56" t="e">
        <f t="shared" si="138"/>
        <v>#N/A</v>
      </c>
      <c r="O386" s="56" t="e">
        <f t="shared" si="139"/>
        <v>#N/A</v>
      </c>
      <c r="P386" s="2">
        <f>SUMIF(MICRO!AP:AP,O386,MICRO!AS:AS)</f>
        <v>0</v>
      </c>
      <c r="Q386">
        <f>SUMIF(MICRO!AP:AP,O386,MICRO!AT:AT)</f>
        <v>0</v>
      </c>
      <c r="R386">
        <f>SUMIF(MICRO!AP:AP,O:O,MICRO!AU:AU)</f>
        <v>0</v>
      </c>
    </row>
    <row r="387" spans="4:18" ht="18.75" thickBot="1" x14ac:dyDescent="0.3">
      <c r="D387" s="110"/>
      <c r="E387" s="111" t="e">
        <f>VLOOKUP(Tabela2[[#This Row],[TAG]],MICRO!J:L,3,0)</f>
        <v>#N/A</v>
      </c>
      <c r="F387" s="109"/>
      <c r="G387" s="112">
        <f>SUMIF(MICRO!AP:AP,O:O,MICRO!H:H)</f>
        <v>0</v>
      </c>
      <c r="H387" s="113">
        <f>SUMIF(MICRO!AP:AP,O:O,MICRO!R:R)</f>
        <v>0</v>
      </c>
      <c r="I387" s="113">
        <f>SUMIF(MICRO!AP:AP,O:O,MICRO!T:T)</f>
        <v>0</v>
      </c>
      <c r="J387" s="114">
        <f t="shared" si="135"/>
        <v>0</v>
      </c>
      <c r="K387" s="113">
        <f>SUMIF(MICRO!AP:AP,O:O,MICRO!X:X)</f>
        <v>0</v>
      </c>
      <c r="L387" s="114" t="str">
        <f t="shared" si="136"/>
        <v>0%</v>
      </c>
      <c r="M387" s="113">
        <f t="shared" si="137"/>
        <v>0</v>
      </c>
      <c r="N387" s="56" t="e">
        <f t="shared" si="138"/>
        <v>#N/A</v>
      </c>
      <c r="O387" s="56" t="e">
        <f t="shared" si="139"/>
        <v>#N/A</v>
      </c>
      <c r="P387" s="2">
        <f>SUMIF(MICRO!AP:AP,O387,MICRO!AS:AS)</f>
        <v>0</v>
      </c>
      <c r="Q387">
        <f>SUMIF(MICRO!AP:AP,O387,MICRO!AT:AT)</f>
        <v>0</v>
      </c>
      <c r="R387">
        <f>SUMIF(MICRO!AP:AP,O:O,MICRO!AU:AU)</f>
        <v>0</v>
      </c>
    </row>
    <row r="388" spans="4:18" ht="18.75" thickBot="1" x14ac:dyDescent="0.3">
      <c r="D388" s="110"/>
      <c r="E388" s="111" t="e">
        <f>VLOOKUP(Tabela2[[#This Row],[TAG]],MICRO!J:L,3,0)</f>
        <v>#N/A</v>
      </c>
      <c r="F388" s="109"/>
      <c r="G388" s="112">
        <f>SUMIF(MICRO!AP:AP,O:O,MICRO!H:H)</f>
        <v>0</v>
      </c>
      <c r="H388" s="113">
        <f>SUMIF(MICRO!AP:AP,O:O,MICRO!R:R)</f>
        <v>0</v>
      </c>
      <c r="I388" s="113">
        <f>SUMIF(MICRO!AP:AP,O:O,MICRO!T:T)</f>
        <v>0</v>
      </c>
      <c r="J388" s="114">
        <f t="shared" si="135"/>
        <v>0</v>
      </c>
      <c r="K388" s="113">
        <f>SUMIF(MICRO!AP:AP,O:O,MICRO!X:X)</f>
        <v>0</v>
      </c>
      <c r="L388" s="114" t="str">
        <f t="shared" si="136"/>
        <v>0%</v>
      </c>
      <c r="M388" s="113">
        <f t="shared" si="137"/>
        <v>0</v>
      </c>
      <c r="N388" s="56" t="e">
        <f t="shared" si="138"/>
        <v>#N/A</v>
      </c>
      <c r="O388" s="56" t="e">
        <f t="shared" si="139"/>
        <v>#N/A</v>
      </c>
      <c r="P388" s="2">
        <f>SUMIF(MICRO!AP:AP,O388,MICRO!AS:AS)</f>
        <v>0</v>
      </c>
      <c r="Q388">
        <f>SUMIF(MICRO!AP:AP,O388,MICRO!AT:AT)</f>
        <v>0</v>
      </c>
      <c r="R388">
        <f>SUMIF(MICRO!AP:AP,O:O,MICRO!AU:AU)</f>
        <v>0</v>
      </c>
    </row>
    <row r="389" spans="4:18" ht="18.75" thickBot="1" x14ac:dyDescent="0.3">
      <c r="D389" s="110"/>
      <c r="E389" s="111" t="e">
        <f>VLOOKUP(Tabela2[[#This Row],[TAG]],MICRO!J:L,3,0)</f>
        <v>#N/A</v>
      </c>
      <c r="F389" s="109"/>
      <c r="G389" s="112">
        <f>SUMIF(MICRO!AP:AP,O:O,MICRO!H:H)</f>
        <v>0</v>
      </c>
      <c r="H389" s="113">
        <f>SUMIF(MICRO!AP:AP,O:O,MICRO!R:R)</f>
        <v>0</v>
      </c>
      <c r="I389" s="113">
        <f>SUMIF(MICRO!AP:AP,O:O,MICRO!T:T)</f>
        <v>0</v>
      </c>
      <c r="J389" s="114">
        <f t="shared" si="130"/>
        <v>0</v>
      </c>
      <c r="K389" s="113">
        <f>SUMIF(MICRO!AP:AP,O:O,MICRO!X:X)</f>
        <v>0</v>
      </c>
      <c r="L389" s="114" t="str">
        <f t="shared" si="131"/>
        <v>0%</v>
      </c>
      <c r="M389" s="113">
        <f t="shared" si="132"/>
        <v>0</v>
      </c>
      <c r="N389" s="56" t="e">
        <f t="shared" si="133"/>
        <v>#N/A</v>
      </c>
      <c r="O389" s="56" t="e">
        <f t="shared" si="134"/>
        <v>#N/A</v>
      </c>
      <c r="P389" s="2">
        <f>SUMIF(MICRO!AP:AP,O389,MICRO!AS:AS)</f>
        <v>0</v>
      </c>
      <c r="Q389">
        <f>SUMIF(MICRO!AP:AP,O389,MICRO!AT:AT)</f>
        <v>0</v>
      </c>
      <c r="R389">
        <f>SUMIF(MICRO!AP:AP,O:O,MICRO!AU:AU)</f>
        <v>0</v>
      </c>
    </row>
    <row r="390" spans="4:18" ht="18.75" thickBot="1" x14ac:dyDescent="0.3">
      <c r="D390" s="110" t="s">
        <v>2998</v>
      </c>
      <c r="E390" s="111" t="str">
        <f>VLOOKUP(Tabela2[[#This Row],[TAG]],MICRO!J:L,3,0)</f>
        <v>P-190</v>
      </c>
      <c r="F390" s="109" t="s">
        <v>32</v>
      </c>
      <c r="G390" s="112">
        <f>SUMIF(MICRO!AP:AP,O:O,MICRO!H:H)</f>
        <v>143.6</v>
      </c>
      <c r="H390" s="113">
        <f>SUMIF(MICRO!AP:AP,O:O,MICRO!R:R)</f>
        <v>143.6</v>
      </c>
      <c r="I390" s="113">
        <f>SUMIF(MICRO!AP:AP,O:O,MICRO!T:T)</f>
        <v>0</v>
      </c>
      <c r="J390" s="114">
        <f t="shared" si="130"/>
        <v>1</v>
      </c>
      <c r="K390" s="113">
        <f>SUMIF(MICRO!AP:AP,O:O,MICRO!X:X)</f>
        <v>143.6</v>
      </c>
      <c r="L390" s="114">
        <f t="shared" si="131"/>
        <v>1</v>
      </c>
      <c r="M390" s="113">
        <f t="shared" si="132"/>
        <v>0</v>
      </c>
      <c r="N390" s="56" t="str">
        <f t="shared" si="133"/>
        <v>P-190USINAGEM</v>
      </c>
      <c r="O390" s="56" t="str">
        <f t="shared" si="134"/>
        <v>p190P-190USINAGEM</v>
      </c>
      <c r="P390" s="2">
        <f>SUMIF(MICRO!AP:AP,O390,MICRO!AS:AS)</f>
        <v>0</v>
      </c>
      <c r="Q390">
        <f>SUMIF(MICRO!AP:AP,O390,MICRO!AT:AT)</f>
        <v>0</v>
      </c>
      <c r="R390">
        <f>SUMIF(MICRO!AP:AP,O:O,MICRO!AU:AU)</f>
        <v>143.6</v>
      </c>
    </row>
    <row r="391" spans="4:18" ht="18.75" thickBot="1" x14ac:dyDescent="0.3">
      <c r="D391" s="110" t="s">
        <v>2998</v>
      </c>
      <c r="E391" s="111" t="str">
        <f>VLOOKUP(Tabela2[[#This Row],[TAG]],MICRO!J:L,3,0)</f>
        <v>P-190</v>
      </c>
      <c r="F391" s="109" t="s">
        <v>46</v>
      </c>
      <c r="G391" s="112">
        <f>SUMIF(MICRO!AP:AP,O:O,MICRO!H:H)</f>
        <v>232.70000000000002</v>
      </c>
      <c r="H391" s="113">
        <f>SUMIF(MICRO!AP:AP,O:O,MICRO!R:R)</f>
        <v>232.70000000000002</v>
      </c>
      <c r="I391" s="113">
        <f>SUMIF(MICRO!AP:AP,O:O,MICRO!T:T)</f>
        <v>0</v>
      </c>
      <c r="J391" s="114">
        <f t="shared" si="130"/>
        <v>1</v>
      </c>
      <c r="K391" s="113">
        <f>SUMIF(MICRO!AP:AP,O:O,MICRO!X:X)</f>
        <v>232.70000000000002</v>
      </c>
      <c r="L391" s="114">
        <f t="shared" si="131"/>
        <v>1</v>
      </c>
      <c r="M391" s="113">
        <f t="shared" si="132"/>
        <v>0</v>
      </c>
      <c r="N391" s="56" t="str">
        <f t="shared" si="133"/>
        <v>P-190TECMETAL</v>
      </c>
      <c r="O391" s="56" t="str">
        <f t="shared" si="134"/>
        <v>p190P-190TECMETAL</v>
      </c>
      <c r="P391" s="2">
        <f>SUMIF(MICRO!AP:AP,O391,MICRO!AS:AS)</f>
        <v>0</v>
      </c>
      <c r="Q391">
        <f>SUMIF(MICRO!AP:AP,O391,MICRO!AT:AT)</f>
        <v>0</v>
      </c>
      <c r="R391">
        <f>SUMIF(MICRO!AP:AP,O:O,MICRO!AU:AU)</f>
        <v>232.70000000000002</v>
      </c>
    </row>
    <row r="392" spans="4:18" ht="18.75" thickBot="1" x14ac:dyDescent="0.3">
      <c r="D392" s="110" t="s">
        <v>2998</v>
      </c>
      <c r="E392" s="111" t="str">
        <f>VLOOKUP(Tabela2[[#This Row],[TAG]],MICRO!J:L,3,0)</f>
        <v>P-190</v>
      </c>
      <c r="F392" s="109" t="s">
        <v>31</v>
      </c>
      <c r="G392" s="112">
        <f>SUMIF(MICRO!AP:AP,O:O,MICRO!H:H)</f>
        <v>9394.4</v>
      </c>
      <c r="H392" s="113">
        <f>SUMIF(MICRO!AP:AP,O:O,MICRO!R:R)</f>
        <v>9394.4</v>
      </c>
      <c r="I392" s="113">
        <f>SUMIF(MICRO!AP:AP,O:O,MICRO!T:T)</f>
        <v>0</v>
      </c>
      <c r="J392" s="114">
        <f t="shared" si="130"/>
        <v>1</v>
      </c>
      <c r="K392" s="113">
        <f>SUMIF(MICRO!AP:AP,O:O,MICRO!X:X)</f>
        <v>9394.4</v>
      </c>
      <c r="L392" s="114">
        <f t="shared" si="131"/>
        <v>1</v>
      </c>
      <c r="M392" s="113">
        <f t="shared" si="132"/>
        <v>0</v>
      </c>
      <c r="N392" s="56" t="str">
        <f t="shared" si="133"/>
        <v>P-190ESTRUTURA</v>
      </c>
      <c r="O392" s="56" t="str">
        <f t="shared" si="134"/>
        <v>p190P-190ESTRUTURA</v>
      </c>
      <c r="P392" s="2">
        <f>SUMIF(MICRO!AP:AP,O392,MICRO!AS:AS)</f>
        <v>0</v>
      </c>
      <c r="Q392">
        <f>SUMIF(MICRO!AP:AP,O392,MICRO!AT:AT)</f>
        <v>0</v>
      </c>
      <c r="R392">
        <f>SUMIF(MICRO!AP:AP,O:O,MICRO!AU:AU)</f>
        <v>9394.4</v>
      </c>
    </row>
    <row r="393" spans="4:18" ht="18.75" thickBot="1" x14ac:dyDescent="0.3">
      <c r="D393" s="110" t="s">
        <v>2998</v>
      </c>
      <c r="E393" s="111" t="str">
        <f>VLOOKUP(Tabela2[[#This Row],[TAG]],MICRO!J:L,3,0)</f>
        <v>P-190</v>
      </c>
      <c r="F393" s="109" t="s">
        <v>45</v>
      </c>
      <c r="G393" s="112">
        <f>SUMIF(MICRO!AP:AP,O:O,MICRO!H:H)</f>
        <v>754.75299999999993</v>
      </c>
      <c r="H393" s="113">
        <f>SUMIF(MICRO!AP:AP,O:O,MICRO!R:R)</f>
        <v>754.75299999999993</v>
      </c>
      <c r="I393" s="113">
        <f>SUMIF(MICRO!AP:AP,O:O,MICRO!T:T)</f>
        <v>0</v>
      </c>
      <c r="J393" s="114">
        <f t="shared" si="125"/>
        <v>1</v>
      </c>
      <c r="K393" s="113">
        <f>SUMIF(MICRO!AP:AP,O:O,MICRO!X:X)</f>
        <v>754.75299999999993</v>
      </c>
      <c r="L393" s="114">
        <f t="shared" si="126"/>
        <v>1</v>
      </c>
      <c r="M393" s="113">
        <f t="shared" si="127"/>
        <v>0</v>
      </c>
      <c r="N393" s="56" t="str">
        <f t="shared" si="128"/>
        <v>P-190COMERCIAL</v>
      </c>
      <c r="O393" s="56" t="str">
        <f t="shared" si="129"/>
        <v>p190P-190COMERCIAL</v>
      </c>
      <c r="P393" s="2">
        <f>SUMIF(MICRO!AP:AP,O393,MICRO!AS:AS)</f>
        <v>0</v>
      </c>
      <c r="Q393">
        <f>SUMIF(MICRO!AP:AP,O393,MICRO!AT:AT)</f>
        <v>0</v>
      </c>
      <c r="R393">
        <f>SUMIF(MICRO!AP:AP,O:O,MICRO!AU:AU)</f>
        <v>754.75299999999993</v>
      </c>
    </row>
    <row r="394" spans="4:18" ht="18.75" thickBot="1" x14ac:dyDescent="0.3">
      <c r="D394" s="110" t="s">
        <v>820</v>
      </c>
      <c r="E394" s="111" t="e">
        <f>VLOOKUP(Tabela2[[#This Row],[TAG]],MICRO!J:L,3,0)</f>
        <v>#N/A</v>
      </c>
      <c r="F394" s="109" t="s">
        <v>23</v>
      </c>
      <c r="G394" s="112">
        <f>SUMIF(MICRO!AP:AP,O:O,MICRO!H:H)</f>
        <v>0</v>
      </c>
      <c r="H394" s="113">
        <f>SUMIF(MICRO!AP:AP,O:O,MICRO!R:R)</f>
        <v>0</v>
      </c>
      <c r="I394" s="113">
        <f>SUMIF(MICRO!AP:AP,O:O,MICRO!T:T)</f>
        <v>0</v>
      </c>
      <c r="J394" s="114">
        <f t="shared" si="125"/>
        <v>0</v>
      </c>
      <c r="K394" s="113">
        <f>SUMIF(MICRO!AP:AP,O:O,MICRO!X:X)</f>
        <v>0</v>
      </c>
      <c r="L394" s="114" t="str">
        <f t="shared" si="126"/>
        <v>0%</v>
      </c>
      <c r="M394" s="113">
        <f t="shared" si="127"/>
        <v>0</v>
      </c>
      <c r="N394" s="56" t="e">
        <f t="shared" si="128"/>
        <v>#N/A</v>
      </c>
      <c r="O394" s="56" t="e">
        <f t="shared" si="129"/>
        <v>#N/A</v>
      </c>
      <c r="P394" s="2">
        <f>SUMIF(MICRO!AP:AP,O394,MICRO!AS:AS)</f>
        <v>0</v>
      </c>
      <c r="Q394">
        <f>SUMIF(MICRO!AP:AP,O394,MICRO!AT:AT)</f>
        <v>0</v>
      </c>
      <c r="R394">
        <f>SUMIF(MICRO!AP:AP,O:O,MICRO!AU:AU)</f>
        <v>0</v>
      </c>
    </row>
    <row r="395" spans="4:18" ht="19.5" customHeight="1" x14ac:dyDescent="0.25">
      <c r="D395" s="110" t="s">
        <v>735</v>
      </c>
      <c r="E395" s="111" t="e">
        <f>VLOOKUP(Tabela2[[#This Row],[TAG]],MICRO!J:L,3,0)</f>
        <v>#N/A</v>
      </c>
      <c r="F395" s="109" t="s">
        <v>23</v>
      </c>
      <c r="G395" s="112">
        <f>SUMIF(MICRO!AP:AP,O:O,MICRO!H:H)</f>
        <v>0</v>
      </c>
      <c r="H395" s="113">
        <f>SUMIF(MICRO!AP:AP,O:O,MICRO!R:R)</f>
        <v>0</v>
      </c>
      <c r="I395" s="113">
        <f>SUMIF(MICRO!AP:AP,O:O,MICRO!T:T)</f>
        <v>0</v>
      </c>
      <c r="J395" s="114">
        <f t="shared" si="125"/>
        <v>0</v>
      </c>
      <c r="K395" s="113">
        <f>SUMIF(MICRO!AP:AP,O:O,MICRO!X:X)</f>
        <v>0</v>
      </c>
      <c r="L395" s="114" t="str">
        <f t="shared" si="126"/>
        <v>0%</v>
      </c>
      <c r="M395" s="113">
        <f t="shared" si="127"/>
        <v>0</v>
      </c>
      <c r="N395" s="56" t="e">
        <f t="shared" si="128"/>
        <v>#N/A</v>
      </c>
      <c r="O395" s="56" t="e">
        <f t="shared" si="129"/>
        <v>#N/A</v>
      </c>
      <c r="P395">
        <f>SUMIF(MICRO!AP:AP,O395,MICRO!AS:AS)</f>
        <v>0</v>
      </c>
      <c r="Q395">
        <f>SUMIF(MICRO!AP:AP,O395,MICRO!AT:AT)</f>
        <v>0</v>
      </c>
      <c r="R395">
        <f>SUMIF(MICRO!AP:AP,O:O,MICRO!AU:AU)</f>
        <v>0</v>
      </c>
    </row>
  </sheetData>
  <phoneticPr fontId="6" type="noConversion"/>
  <conditionalFormatting sqref="D366">
    <cfRule type="expression" dxfId="1" priority="1">
      <formula>$AI366="OK"</formula>
    </cfRule>
  </conditionalFormatting>
  <conditionalFormatting sqref="F192">
    <cfRule type="expression" dxfId="0" priority="4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customXml/itemProps4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MICRO!Area_de_impressao</vt:lpstr>
      <vt:lpstr>MICRO!Titulos_de_impressao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Geziel Lima</cp:lastModifiedBy>
  <cp:lastPrinted>2026-07-22T13:03:09Z</cp:lastPrinted>
  <dcterms:created xsi:type="dcterms:W3CDTF">2022-04-15T01:30:45Z</dcterms:created>
  <dcterms:modified xsi:type="dcterms:W3CDTF">2026-07-22T19:51:41Z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