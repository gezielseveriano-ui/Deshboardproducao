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154" documentId="8_{FDD42E6F-94E1-48F3-8613-54A91AB43A68}" xr6:coauthVersionLast="47" xr6:coauthVersionMax="47" xr10:uidLastSave="{8C3EC49F-5BE8-40A0-9EF4-27B73CCF0700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32" i="1" l="1"/>
  <c r="V832" i="1"/>
  <c r="U832" i="1"/>
  <c r="Y832" i="1" s="1"/>
  <c r="Q832" i="1"/>
  <c r="H832" i="1"/>
  <c r="S832" i="1" s="1"/>
  <c r="T832" i="1" s="1"/>
  <c r="W831" i="1"/>
  <c r="V831" i="1"/>
  <c r="U831" i="1"/>
  <c r="Y831" i="1" s="1"/>
  <c r="Q831" i="1"/>
  <c r="H831" i="1"/>
  <c r="W830" i="1"/>
  <c r="V830" i="1"/>
  <c r="U830" i="1"/>
  <c r="X830" i="1" s="1"/>
  <c r="Z830" i="1" s="1"/>
  <c r="Q830" i="1"/>
  <c r="H830" i="1"/>
  <c r="H829" i="1"/>
  <c r="W829" i="1"/>
  <c r="V829" i="1"/>
  <c r="U829" i="1"/>
  <c r="X829" i="1" s="1"/>
  <c r="Q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6" i="1"/>
  <c r="V826" i="1"/>
  <c r="U826" i="1"/>
  <c r="Y826" i="1" s="1"/>
  <c r="Q826" i="1"/>
  <c r="H826" i="1"/>
  <c r="W825" i="1"/>
  <c r="V825" i="1"/>
  <c r="U825" i="1"/>
  <c r="Y825" i="1" s="1"/>
  <c r="Q825" i="1"/>
  <c r="H825" i="1"/>
  <c r="S825" i="1" s="1"/>
  <c r="T825" i="1" s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W822" i="1"/>
  <c r="V822" i="1"/>
  <c r="U822" i="1"/>
  <c r="Y822" i="1" s="1"/>
  <c r="Q822" i="1"/>
  <c r="H822" i="1"/>
  <c r="S822" i="1" s="1"/>
  <c r="T822" i="1" s="1"/>
  <c r="W821" i="1"/>
  <c r="V821" i="1"/>
  <c r="U821" i="1"/>
  <c r="Y821" i="1" s="1"/>
  <c r="Q821" i="1"/>
  <c r="H821" i="1"/>
  <c r="W820" i="1"/>
  <c r="V820" i="1"/>
  <c r="U820" i="1"/>
  <c r="Y820" i="1" s="1"/>
  <c r="Q820" i="1"/>
  <c r="H820" i="1"/>
  <c r="S820" i="1" s="1"/>
  <c r="T820" i="1" s="1"/>
  <c r="W819" i="1"/>
  <c r="V819" i="1"/>
  <c r="U819" i="1"/>
  <c r="Y819" i="1" s="1"/>
  <c r="Q819" i="1"/>
  <c r="H819" i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S817" i="1" s="1"/>
  <c r="T817" i="1" s="1"/>
  <c r="W816" i="1"/>
  <c r="V816" i="1"/>
  <c r="U816" i="1"/>
  <c r="Y816" i="1" s="1"/>
  <c r="Q816" i="1"/>
  <c r="H816" i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R810" i="1" s="1"/>
  <c r="W809" i="1"/>
  <c r="V809" i="1"/>
  <c r="U809" i="1"/>
  <c r="Y809" i="1" s="1"/>
  <c r="Q809" i="1"/>
  <c r="H809" i="1"/>
  <c r="W808" i="1"/>
  <c r="V808" i="1"/>
  <c r="U808" i="1"/>
  <c r="Y808" i="1" s="1"/>
  <c r="Q808" i="1"/>
  <c r="H808" i="1"/>
  <c r="R808" i="1" s="1"/>
  <c r="H807" i="1"/>
  <c r="S807" i="1" s="1"/>
  <c r="T807" i="1" s="1"/>
  <c r="W807" i="1"/>
  <c r="V807" i="1"/>
  <c r="U807" i="1"/>
  <c r="Y807" i="1" s="1"/>
  <c r="Q807" i="1"/>
  <c r="W806" i="1"/>
  <c r="V806" i="1"/>
  <c r="U806" i="1"/>
  <c r="Y806" i="1" s="1"/>
  <c r="Q806" i="1"/>
  <c r="H806" i="1"/>
  <c r="W805" i="1"/>
  <c r="V805" i="1"/>
  <c r="U805" i="1"/>
  <c r="Y805" i="1" s="1"/>
  <c r="Q805" i="1"/>
  <c r="H805" i="1"/>
  <c r="W804" i="1"/>
  <c r="V804" i="1"/>
  <c r="U804" i="1"/>
  <c r="X804" i="1" s="1"/>
  <c r="Q804" i="1"/>
  <c r="H804" i="1"/>
  <c r="S804" i="1" s="1"/>
  <c r="T804" i="1" s="1"/>
  <c r="W803" i="1"/>
  <c r="V803" i="1"/>
  <c r="U803" i="1"/>
  <c r="Y803" i="1" s="1"/>
  <c r="Q803" i="1"/>
  <c r="H803" i="1"/>
  <c r="R803" i="1" s="1"/>
  <c r="W802" i="1"/>
  <c r="V802" i="1"/>
  <c r="U802" i="1"/>
  <c r="Y802" i="1" s="1"/>
  <c r="Q802" i="1"/>
  <c r="H802" i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R800" i="1" s="1"/>
  <c r="W799" i="1"/>
  <c r="V799" i="1"/>
  <c r="U799" i="1"/>
  <c r="Y799" i="1" s="1"/>
  <c r="Q799" i="1"/>
  <c r="H799" i="1"/>
  <c r="H798" i="1"/>
  <c r="W798" i="1"/>
  <c r="V798" i="1"/>
  <c r="U798" i="1"/>
  <c r="Y798" i="1" s="1"/>
  <c r="Q798" i="1"/>
  <c r="W797" i="1"/>
  <c r="V797" i="1"/>
  <c r="U797" i="1"/>
  <c r="Y797" i="1" s="1"/>
  <c r="Q797" i="1"/>
  <c r="H797" i="1"/>
  <c r="R797" i="1" s="1"/>
  <c r="W796" i="1"/>
  <c r="V796" i="1"/>
  <c r="U796" i="1"/>
  <c r="Y796" i="1" s="1"/>
  <c r="Q796" i="1"/>
  <c r="H796" i="1"/>
  <c r="W795" i="1"/>
  <c r="V795" i="1"/>
  <c r="U795" i="1"/>
  <c r="Y795" i="1" s="1"/>
  <c r="Q795" i="1"/>
  <c r="H795" i="1"/>
  <c r="R795" i="1" s="1"/>
  <c r="H794" i="1"/>
  <c r="R794" i="1" s="1"/>
  <c r="W794" i="1"/>
  <c r="V794" i="1"/>
  <c r="U794" i="1"/>
  <c r="X794" i="1" s="1"/>
  <c r="Q794" i="1"/>
  <c r="W793" i="1"/>
  <c r="V793" i="1"/>
  <c r="U793" i="1"/>
  <c r="X793" i="1" s="1"/>
  <c r="Q793" i="1"/>
  <c r="H793" i="1"/>
  <c r="S793" i="1" s="1"/>
  <c r="T793" i="1" s="1"/>
  <c r="W792" i="1"/>
  <c r="V792" i="1"/>
  <c r="U792" i="1"/>
  <c r="Y792" i="1" s="1"/>
  <c r="Q792" i="1"/>
  <c r="H792" i="1"/>
  <c r="W791" i="1"/>
  <c r="V791" i="1"/>
  <c r="U791" i="1"/>
  <c r="Y791" i="1" s="1"/>
  <c r="Q791" i="1"/>
  <c r="H791" i="1"/>
  <c r="S791" i="1" s="1"/>
  <c r="T791" i="1" s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X788" i="1" s="1"/>
  <c r="Q788" i="1"/>
  <c r="H788" i="1"/>
  <c r="S788" i="1" s="1"/>
  <c r="T788" i="1" s="1"/>
  <c r="W787" i="1"/>
  <c r="V787" i="1"/>
  <c r="U787" i="1"/>
  <c r="Y787" i="1" s="1"/>
  <c r="Q787" i="1"/>
  <c r="H787" i="1"/>
  <c r="R787" i="1" s="1"/>
  <c r="W786" i="1"/>
  <c r="V786" i="1"/>
  <c r="U786" i="1"/>
  <c r="X786" i="1" s="1"/>
  <c r="Q786" i="1"/>
  <c r="H786" i="1"/>
  <c r="S786" i="1" s="1"/>
  <c r="T786" i="1" s="1"/>
  <c r="W785" i="1"/>
  <c r="V785" i="1"/>
  <c r="U785" i="1"/>
  <c r="Y785" i="1" s="1"/>
  <c r="Q785" i="1"/>
  <c r="H785" i="1"/>
  <c r="R785" i="1" s="1"/>
  <c r="W784" i="1"/>
  <c r="V784" i="1"/>
  <c r="U784" i="1"/>
  <c r="Y784" i="1" s="1"/>
  <c r="Q784" i="1"/>
  <c r="H784" i="1"/>
  <c r="W783" i="1"/>
  <c r="V783" i="1"/>
  <c r="U783" i="1"/>
  <c r="Y783" i="1" s="1"/>
  <c r="Q783" i="1"/>
  <c r="H783" i="1"/>
  <c r="S783" i="1" s="1"/>
  <c r="T783" i="1" s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S779" i="1" s="1"/>
  <c r="T779" i="1" s="1"/>
  <c r="W778" i="1"/>
  <c r="V778" i="1"/>
  <c r="U778" i="1"/>
  <c r="Y778" i="1" s="1"/>
  <c r="Q778" i="1"/>
  <c r="H778" i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R776" i="1" s="1"/>
  <c r="U775" i="1"/>
  <c r="V775" i="1"/>
  <c r="W775" i="1"/>
  <c r="R775" i="1"/>
  <c r="Q775" i="1"/>
  <c r="S775" i="1"/>
  <c r="T775" i="1" s="1"/>
  <c r="W774" i="1"/>
  <c r="V774" i="1"/>
  <c r="U774" i="1"/>
  <c r="Y774" i="1" s="1"/>
  <c r="Q774" i="1"/>
  <c r="H774" i="1"/>
  <c r="H773" i="1"/>
  <c r="S773" i="1" s="1"/>
  <c r="T773" i="1" s="1"/>
  <c r="Q773" i="1"/>
  <c r="U773" i="1"/>
  <c r="Y773" i="1" s="1"/>
  <c r="V773" i="1"/>
  <c r="W773" i="1"/>
  <c r="W772" i="1"/>
  <c r="V772" i="1"/>
  <c r="U772" i="1"/>
  <c r="Y772" i="1" s="1"/>
  <c r="Q772" i="1"/>
  <c r="H772" i="1"/>
  <c r="R772" i="1" s="1"/>
  <c r="R830" i="1" l="1"/>
  <c r="S830" i="1"/>
  <c r="T830" i="1" s="1"/>
  <c r="Z829" i="1"/>
  <c r="X832" i="1"/>
  <c r="Z832" i="1" s="1"/>
  <c r="R832" i="1"/>
  <c r="R831" i="1"/>
  <c r="S831" i="1"/>
  <c r="T831" i="1" s="1"/>
  <c r="X831" i="1"/>
  <c r="Z831" i="1" s="1"/>
  <c r="Y830" i="1"/>
  <c r="R829" i="1"/>
  <c r="S829" i="1"/>
  <c r="T829" i="1" s="1"/>
  <c r="Y829" i="1"/>
  <c r="R828" i="1"/>
  <c r="S828" i="1"/>
  <c r="T828" i="1" s="1"/>
  <c r="X828" i="1"/>
  <c r="Z828" i="1" s="1"/>
  <c r="R827" i="1"/>
  <c r="S827" i="1"/>
  <c r="T827" i="1" s="1"/>
  <c r="X827" i="1"/>
  <c r="Z827" i="1" s="1"/>
  <c r="R826" i="1"/>
  <c r="S826" i="1"/>
  <c r="T826" i="1" s="1"/>
  <c r="X826" i="1"/>
  <c r="Z826" i="1" s="1"/>
  <c r="X825" i="1"/>
  <c r="Z825" i="1" s="1"/>
  <c r="R825" i="1"/>
  <c r="R824" i="1"/>
  <c r="X824" i="1"/>
  <c r="Z824" i="1" s="1"/>
  <c r="R823" i="1"/>
  <c r="S823" i="1"/>
  <c r="T823" i="1" s="1"/>
  <c r="X823" i="1"/>
  <c r="Z823" i="1" s="1"/>
  <c r="R822" i="1"/>
  <c r="X822" i="1"/>
  <c r="Z822" i="1" s="1"/>
  <c r="Z793" i="1"/>
  <c r="Z794" i="1"/>
  <c r="R821" i="1"/>
  <c r="S821" i="1"/>
  <c r="T821" i="1" s="1"/>
  <c r="X821" i="1"/>
  <c r="Z821" i="1" s="1"/>
  <c r="R820" i="1"/>
  <c r="X820" i="1"/>
  <c r="Z820" i="1" s="1"/>
  <c r="R819" i="1"/>
  <c r="S819" i="1"/>
  <c r="T819" i="1" s="1"/>
  <c r="X819" i="1"/>
  <c r="Z819" i="1" s="1"/>
  <c r="R818" i="1"/>
  <c r="S818" i="1"/>
  <c r="T818" i="1" s="1"/>
  <c r="X818" i="1"/>
  <c r="Z818" i="1" s="1"/>
  <c r="R817" i="1"/>
  <c r="X817" i="1"/>
  <c r="Z817" i="1" s="1"/>
  <c r="R816" i="1"/>
  <c r="S816" i="1"/>
  <c r="T816" i="1" s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Z804" i="1"/>
  <c r="R811" i="1"/>
  <c r="S811" i="1"/>
  <c r="T811" i="1" s="1"/>
  <c r="X811" i="1"/>
  <c r="Z811" i="1" s="1"/>
  <c r="S810" i="1"/>
  <c r="T810" i="1" s="1"/>
  <c r="X810" i="1"/>
  <c r="Z810" i="1" s="1"/>
  <c r="R809" i="1"/>
  <c r="S809" i="1"/>
  <c r="T809" i="1" s="1"/>
  <c r="X809" i="1"/>
  <c r="Z809" i="1" s="1"/>
  <c r="S808" i="1"/>
  <c r="T808" i="1" s="1"/>
  <c r="X808" i="1"/>
  <c r="Z808" i="1" s="1"/>
  <c r="R807" i="1"/>
  <c r="X807" i="1"/>
  <c r="Z807" i="1" s="1"/>
  <c r="R806" i="1"/>
  <c r="S806" i="1"/>
  <c r="T806" i="1" s="1"/>
  <c r="X806" i="1"/>
  <c r="Z806" i="1" s="1"/>
  <c r="R805" i="1"/>
  <c r="S805" i="1"/>
  <c r="T805" i="1" s="1"/>
  <c r="X805" i="1"/>
  <c r="Z805" i="1" s="1"/>
  <c r="Y804" i="1"/>
  <c r="R804" i="1"/>
  <c r="S803" i="1"/>
  <c r="T803" i="1" s="1"/>
  <c r="X803" i="1"/>
  <c r="Z803" i="1" s="1"/>
  <c r="R802" i="1"/>
  <c r="S802" i="1"/>
  <c r="T802" i="1" s="1"/>
  <c r="X802" i="1"/>
  <c r="Z802" i="1" s="1"/>
  <c r="R801" i="1"/>
  <c r="S801" i="1"/>
  <c r="T801" i="1" s="1"/>
  <c r="X801" i="1"/>
  <c r="Z801" i="1" s="1"/>
  <c r="S800" i="1"/>
  <c r="T800" i="1" s="1"/>
  <c r="X800" i="1"/>
  <c r="Z800" i="1" s="1"/>
  <c r="R799" i="1"/>
  <c r="S799" i="1"/>
  <c r="T799" i="1" s="1"/>
  <c r="X799" i="1"/>
  <c r="Z799" i="1" s="1"/>
  <c r="R798" i="1"/>
  <c r="S798" i="1"/>
  <c r="T798" i="1" s="1"/>
  <c r="X798" i="1"/>
  <c r="Z798" i="1" s="1"/>
  <c r="S797" i="1"/>
  <c r="T797" i="1" s="1"/>
  <c r="X797" i="1"/>
  <c r="Z797" i="1" s="1"/>
  <c r="R796" i="1"/>
  <c r="S796" i="1"/>
  <c r="T796" i="1" s="1"/>
  <c r="X796" i="1"/>
  <c r="Z796" i="1" s="1"/>
  <c r="S795" i="1"/>
  <c r="T795" i="1" s="1"/>
  <c r="X795" i="1"/>
  <c r="Z795" i="1" s="1"/>
  <c r="Y794" i="1"/>
  <c r="S794" i="1"/>
  <c r="T794" i="1" s="1"/>
  <c r="R789" i="1"/>
  <c r="S787" i="1"/>
  <c r="T787" i="1" s="1"/>
  <c r="R790" i="1"/>
  <c r="Y793" i="1"/>
  <c r="R793" i="1"/>
  <c r="R792" i="1"/>
  <c r="S792" i="1"/>
  <c r="T792" i="1" s="1"/>
  <c r="X792" i="1"/>
  <c r="Z792" i="1" s="1"/>
  <c r="R791" i="1"/>
  <c r="X791" i="1"/>
  <c r="Z791" i="1" s="1"/>
  <c r="X790" i="1"/>
  <c r="Z790" i="1" s="1"/>
  <c r="X789" i="1"/>
  <c r="Z789" i="1" s="1"/>
  <c r="Z788" i="1"/>
  <c r="Y788" i="1"/>
  <c r="R788" i="1"/>
  <c r="X787" i="1"/>
  <c r="Z787" i="1" s="1"/>
  <c r="Y786" i="1"/>
  <c r="Z786" i="1"/>
  <c r="R786" i="1"/>
  <c r="S785" i="1"/>
  <c r="T785" i="1" s="1"/>
  <c r="X785" i="1"/>
  <c r="Z785" i="1" s="1"/>
  <c r="R784" i="1"/>
  <c r="S784" i="1"/>
  <c r="T784" i="1" s="1"/>
  <c r="X784" i="1"/>
  <c r="Z784" i="1" s="1"/>
  <c r="X783" i="1"/>
  <c r="Z783" i="1" s="1"/>
  <c r="R783" i="1"/>
  <c r="R782" i="1"/>
  <c r="X782" i="1"/>
  <c r="Z782" i="1" s="1"/>
  <c r="S776" i="1"/>
  <c r="T776" i="1" s="1"/>
  <c r="R781" i="1"/>
  <c r="S781" i="1"/>
  <c r="T781" i="1" s="1"/>
  <c r="X781" i="1"/>
  <c r="Z781" i="1" s="1"/>
  <c r="R780" i="1"/>
  <c r="S780" i="1"/>
  <c r="T780" i="1" s="1"/>
  <c r="X780" i="1"/>
  <c r="Z780" i="1" s="1"/>
  <c r="R779" i="1"/>
  <c r="X779" i="1"/>
  <c r="Z779" i="1" s="1"/>
  <c r="R778" i="1"/>
  <c r="S778" i="1"/>
  <c r="T778" i="1" s="1"/>
  <c r="X778" i="1"/>
  <c r="Z778" i="1" s="1"/>
  <c r="X777" i="1"/>
  <c r="Z777" i="1" s="1"/>
  <c r="R777" i="1"/>
  <c r="S777" i="1"/>
  <c r="T777" i="1" s="1"/>
  <c r="X776" i="1"/>
  <c r="Z776" i="1" s="1"/>
  <c r="Y775" i="1"/>
  <c r="X775" i="1"/>
  <c r="Z775" i="1" s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R768" i="1" s="1"/>
  <c r="Q768" i="1"/>
  <c r="U768" i="1"/>
  <c r="X768" i="1" s="1"/>
  <c r="V768" i="1"/>
  <c r="W768" i="1"/>
  <c r="H769" i="1"/>
  <c r="S769" i="1" s="1"/>
  <c r="T769" i="1" s="1"/>
  <c r="Q769" i="1"/>
  <c r="U769" i="1"/>
  <c r="Y769" i="1" s="1"/>
  <c r="V769" i="1"/>
  <c r="W769" i="1"/>
  <c r="H770" i="1"/>
  <c r="R770" i="1" s="1"/>
  <c r="Q770" i="1"/>
  <c r="U770" i="1"/>
  <c r="X770" i="1" s="1"/>
  <c r="V770" i="1"/>
  <c r="W770" i="1"/>
  <c r="H771" i="1"/>
  <c r="R771" i="1" s="1"/>
  <c r="Q771" i="1"/>
  <c r="U771" i="1"/>
  <c r="X771" i="1" s="1"/>
  <c r="V771" i="1"/>
  <c r="W771" i="1"/>
  <c r="W765" i="1"/>
  <c r="V765" i="1"/>
  <c r="U765" i="1"/>
  <c r="Y765" i="1" s="1"/>
  <c r="Q765" i="1"/>
  <c r="H765" i="1"/>
  <c r="W764" i="1"/>
  <c r="V764" i="1"/>
  <c r="U764" i="1"/>
  <c r="Y764" i="1" s="1"/>
  <c r="Q764" i="1"/>
  <c r="W763" i="1"/>
  <c r="V763" i="1"/>
  <c r="U763" i="1"/>
  <c r="Y763" i="1" s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U761" i="1"/>
  <c r="U762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T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U760" i="1"/>
  <c r="V760" i="1"/>
  <c r="W760" i="1"/>
  <c r="Q761" i="1"/>
  <c r="R761" i="1"/>
  <c r="V761" i="1"/>
  <c r="W761" i="1"/>
  <c r="Q762" i="1"/>
  <c r="R762" i="1"/>
  <c r="V762" i="1"/>
  <c r="W762" i="1"/>
  <c r="Q626" i="1"/>
  <c r="U626" i="1"/>
  <c r="V626" i="1"/>
  <c r="W626" i="1"/>
  <c r="Q627" i="1"/>
  <c r="U627" i="1"/>
  <c r="V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5" i="1"/>
  <c r="W625" i="1"/>
  <c r="H625" i="1"/>
  <c r="S625" i="1" s="1"/>
  <c r="Q624" i="1"/>
  <c r="U624" i="1"/>
  <c r="V624" i="1"/>
  <c r="W624" i="1"/>
  <c r="H624" i="1"/>
  <c r="S624" i="1" s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H623" i="1"/>
  <c r="S623" i="1" s="1"/>
  <c r="H618" i="1"/>
  <c r="S618" i="1" s="1"/>
  <c r="H619" i="1"/>
  <c r="S619" i="1" s="1"/>
  <c r="H620" i="1"/>
  <c r="S620" i="1" s="1"/>
  <c r="H621" i="1"/>
  <c r="S621" i="1" s="1"/>
  <c r="H622" i="1"/>
  <c r="S622" i="1" s="1"/>
  <c r="S766" i="1" l="1"/>
  <c r="T766" i="1" s="1"/>
  <c r="Y771" i="1"/>
  <c r="Z771" i="1"/>
  <c r="Y770" i="1"/>
  <c r="Z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624" i="1"/>
  <c r="X624" i="1"/>
  <c r="Z624" i="1" s="1"/>
  <c r="R624" i="1"/>
  <c r="T624" i="1"/>
  <c r="X98" i="1"/>
  <c r="Y98" i="1"/>
  <c r="T622" i="1"/>
  <c r="R622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9" i="1"/>
  <c r="X609" i="1"/>
  <c r="T623" i="1"/>
  <c r="R623" i="1"/>
  <c r="T618" i="1"/>
  <c r="R618" i="1"/>
  <c r="T619" i="1"/>
  <c r="R619" i="1"/>
  <c r="T620" i="1"/>
  <c r="R620" i="1"/>
  <c r="T621" i="1"/>
  <c r="R621" i="1"/>
  <c r="X623" i="1"/>
  <c r="Z623" i="1" s="1"/>
  <c r="Y623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Y618" i="1"/>
  <c r="X618" i="1"/>
  <c r="Z618" i="1" s="1"/>
  <c r="Y617" i="1"/>
  <c r="X617" i="1"/>
  <c r="X616" i="1"/>
  <c r="Y616" i="1"/>
  <c r="Y615" i="1"/>
  <c r="X615" i="1"/>
  <c r="Y614" i="1"/>
  <c r="X614" i="1"/>
  <c r="Y613" i="1"/>
  <c r="X613" i="1"/>
  <c r="X612" i="1"/>
  <c r="Y612" i="1"/>
  <c r="X611" i="1"/>
  <c r="Y611" i="1"/>
  <c r="X610" i="1"/>
  <c r="Y610" i="1"/>
  <c r="Y608" i="1"/>
  <c r="X608" i="1"/>
  <c r="Y607" i="1"/>
  <c r="X607" i="1"/>
  <c r="H616" i="1" l="1"/>
  <c r="S616" i="1" s="1"/>
  <c r="H612" i="1"/>
  <c r="S612" i="1" s="1"/>
  <c r="H613" i="1"/>
  <c r="S613" i="1" s="1"/>
  <c r="H614" i="1"/>
  <c r="S614" i="1" s="1"/>
  <c r="H615" i="1"/>
  <c r="S615" i="1" s="1"/>
  <c r="H617" i="1"/>
  <c r="S617" i="1" s="1"/>
  <c r="H611" i="1"/>
  <c r="S611" i="1" s="1"/>
  <c r="H607" i="1"/>
  <c r="S607" i="1" s="1"/>
  <c r="H608" i="1"/>
  <c r="S608" i="1" s="1"/>
  <c r="H609" i="1"/>
  <c r="S609" i="1" s="1"/>
  <c r="H610" i="1"/>
  <c r="S610" i="1" s="1"/>
  <c r="U453" i="1"/>
  <c r="U454" i="1"/>
  <c r="U455" i="1"/>
  <c r="Y455" i="1" s="1"/>
  <c r="U456" i="1"/>
  <c r="U457" i="1"/>
  <c r="U458" i="1"/>
  <c r="U459" i="1"/>
  <c r="Y459" i="1" s="1"/>
  <c r="U451" i="1"/>
  <c r="Y451" i="1" s="1"/>
  <c r="U452" i="1"/>
  <c r="X452" i="1" s="1"/>
  <c r="V459" i="1"/>
  <c r="V458" i="1"/>
  <c r="V457" i="1"/>
  <c r="V456" i="1"/>
  <c r="V455" i="1"/>
  <c r="V454" i="1"/>
  <c r="V453" i="1"/>
  <c r="V452" i="1"/>
  <c r="V451" i="1"/>
  <c r="U604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H605" i="1"/>
  <c r="S605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6" i="1" l="1"/>
  <c r="T616" i="1"/>
  <c r="R616" i="1"/>
  <c r="Z612" i="1"/>
  <c r="R612" i="1"/>
  <c r="T612" i="1"/>
  <c r="T613" i="1"/>
  <c r="R613" i="1"/>
  <c r="Z613" i="1"/>
  <c r="T614" i="1"/>
  <c r="R614" i="1"/>
  <c r="Z614" i="1"/>
  <c r="R615" i="1"/>
  <c r="Z615" i="1"/>
  <c r="T615" i="1"/>
  <c r="R617" i="1"/>
  <c r="T617" i="1"/>
  <c r="Z617" i="1"/>
  <c r="R611" i="1"/>
  <c r="Z611" i="1"/>
  <c r="T611" i="1"/>
  <c r="T607" i="1"/>
  <c r="R607" i="1"/>
  <c r="Z607" i="1"/>
  <c r="R608" i="1"/>
  <c r="T608" i="1"/>
  <c r="Z608" i="1"/>
  <c r="Z609" i="1"/>
  <c r="R609" i="1"/>
  <c r="T609" i="1"/>
  <c r="T610" i="1"/>
  <c r="R610" i="1"/>
  <c r="Z610" i="1"/>
  <c r="Y454" i="1"/>
  <c r="X454" i="1"/>
  <c r="Y453" i="1"/>
  <c r="X453" i="1"/>
  <c r="X456" i="1"/>
  <c r="Y456" i="1"/>
  <c r="Y457" i="1"/>
  <c r="X457" i="1"/>
  <c r="X458" i="1"/>
  <c r="Y458" i="1"/>
  <c r="X455" i="1"/>
  <c r="X459" i="1"/>
  <c r="Y452" i="1"/>
  <c r="X451" i="1"/>
  <c r="H448" i="1"/>
  <c r="H449" i="1"/>
  <c r="H450" i="1"/>
  <c r="S450" i="1" s="1"/>
  <c r="H451" i="1"/>
  <c r="S451" i="1" s="1"/>
  <c r="H452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1" i="1"/>
  <c r="Q452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V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H447" i="1"/>
  <c r="S447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T605" i="1"/>
  <c r="AK440" i="1"/>
  <c r="AO440" i="1"/>
  <c r="W440" i="1" s="1"/>
  <c r="AP440" i="1"/>
  <c r="AQ440" i="1"/>
  <c r="AR440" i="1"/>
  <c r="AU440" i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X450" i="1" s="1"/>
  <c r="V450" i="1"/>
  <c r="V460" i="1"/>
  <c r="U461" i="1"/>
  <c r="V461" i="1"/>
  <c r="U462" i="1"/>
  <c r="V462" i="1"/>
  <c r="V463" i="1"/>
  <c r="V464" i="1"/>
  <c r="V465" i="1"/>
  <c r="U466" i="1"/>
  <c r="X466" i="1" s="1"/>
  <c r="V466" i="1"/>
  <c r="U467" i="1"/>
  <c r="X467" i="1" s="1"/>
  <c r="V467" i="1"/>
  <c r="U468" i="1"/>
  <c r="V468" i="1"/>
  <c r="U469" i="1"/>
  <c r="V469" i="1"/>
  <c r="U470" i="1"/>
  <c r="V470" i="1"/>
  <c r="U471" i="1"/>
  <c r="X471" i="1" s="1"/>
  <c r="V471" i="1"/>
  <c r="V472" i="1"/>
  <c r="V473" i="1"/>
  <c r="X474" i="1"/>
  <c r="V474" i="1"/>
  <c r="U475" i="1"/>
  <c r="X475" i="1" s="1"/>
  <c r="V475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X482" i="1" s="1"/>
  <c r="V482" i="1"/>
  <c r="X483" i="1"/>
  <c r="V483" i="1"/>
  <c r="V484" i="1"/>
  <c r="V485" i="1"/>
  <c r="V486" i="1"/>
  <c r="V487" i="1"/>
  <c r="V488" i="1"/>
  <c r="V489" i="1"/>
  <c r="X490" i="1"/>
  <c r="V490" i="1"/>
  <c r="X491" i="1"/>
  <c r="V491" i="1"/>
  <c r="V492" i="1"/>
  <c r="V493" i="1"/>
  <c r="V494" i="1"/>
  <c r="V495" i="1"/>
  <c r="V496" i="1"/>
  <c r="V497" i="1"/>
  <c r="X498" i="1"/>
  <c r="V498" i="1"/>
  <c r="X499" i="1"/>
  <c r="V499" i="1"/>
  <c r="V500" i="1"/>
  <c r="U501" i="1"/>
  <c r="V501" i="1"/>
  <c r="U502" i="1"/>
  <c r="V502" i="1"/>
  <c r="V503" i="1"/>
  <c r="V504" i="1"/>
  <c r="X505" i="1"/>
  <c r="V505" i="1"/>
  <c r="X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X513" i="1" s="1"/>
  <c r="V513" i="1"/>
  <c r="U514" i="1"/>
  <c r="X514" i="1" s="1"/>
  <c r="V514" i="1"/>
  <c r="U515" i="1"/>
  <c r="V515" i="1"/>
  <c r="U516" i="1"/>
  <c r="V516" i="1"/>
  <c r="V517" i="1"/>
  <c r="U518" i="1"/>
  <c r="V518" i="1"/>
  <c r="U519" i="1"/>
  <c r="V519" i="1"/>
  <c r="V520" i="1"/>
  <c r="X521" i="1"/>
  <c r="V521" i="1"/>
  <c r="X522" i="1"/>
  <c r="V522" i="1"/>
  <c r="V523" i="1"/>
  <c r="V524" i="1"/>
  <c r="V525" i="1"/>
  <c r="V526" i="1"/>
  <c r="V527" i="1"/>
  <c r="U528" i="1"/>
  <c r="V528" i="1"/>
  <c r="X529" i="1"/>
  <c r="V529" i="1"/>
  <c r="X530" i="1"/>
  <c r="V530" i="1"/>
  <c r="V531" i="1"/>
  <c r="V532" i="1"/>
  <c r="V533" i="1"/>
  <c r="V534" i="1"/>
  <c r="V535" i="1"/>
  <c r="V536" i="1"/>
  <c r="X537" i="1"/>
  <c r="V537" i="1"/>
  <c r="X538" i="1"/>
  <c r="V538" i="1"/>
  <c r="V539" i="1"/>
  <c r="U540" i="1"/>
  <c r="V540" i="1"/>
  <c r="U541" i="1"/>
  <c r="V541" i="1"/>
  <c r="V542" i="1"/>
  <c r="V543" i="1"/>
  <c r="V544" i="1"/>
  <c r="X545" i="1"/>
  <c r="V545" i="1"/>
  <c r="U546" i="1"/>
  <c r="X546" i="1" s="1"/>
  <c r="V546" i="1"/>
  <c r="V547" i="1"/>
  <c r="V548" i="1"/>
  <c r="V549" i="1"/>
  <c r="U550" i="1"/>
  <c r="V550" i="1"/>
  <c r="V551" i="1"/>
  <c r="V552" i="1"/>
  <c r="X553" i="1"/>
  <c r="V553" i="1"/>
  <c r="X554" i="1"/>
  <c r="V554" i="1"/>
  <c r="V555" i="1"/>
  <c r="V556" i="1"/>
  <c r="U557" i="1"/>
  <c r="V557" i="1"/>
  <c r="U558" i="1"/>
  <c r="V558" i="1"/>
  <c r="U559" i="1"/>
  <c r="V559" i="1"/>
  <c r="U560" i="1"/>
  <c r="V560" i="1"/>
  <c r="U561" i="1"/>
  <c r="X561" i="1" s="1"/>
  <c r="Z561" i="1" s="1"/>
  <c r="V561" i="1"/>
  <c r="U562" i="1"/>
  <c r="X562" i="1" s="1"/>
  <c r="Z562" i="1" s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X570" i="1" s="1"/>
  <c r="Z570" i="1" s="1"/>
  <c r="V570" i="1"/>
  <c r="U571" i="1"/>
  <c r="V571" i="1"/>
  <c r="U572" i="1"/>
  <c r="V572" i="1"/>
  <c r="U573" i="1"/>
  <c r="V573" i="1"/>
  <c r="U574" i="1"/>
  <c r="V574" i="1"/>
  <c r="U575" i="1"/>
  <c r="X575" i="1" s="1"/>
  <c r="Z575" i="1" s="1"/>
  <c r="V575" i="1"/>
  <c r="U576" i="1"/>
  <c r="Y576" i="1" s="1"/>
  <c r="V576" i="1"/>
  <c r="U577" i="1"/>
  <c r="X577" i="1" s="1"/>
  <c r="Z577" i="1" s="1"/>
  <c r="V577" i="1"/>
  <c r="U578" i="1"/>
  <c r="V578" i="1"/>
  <c r="U579" i="1"/>
  <c r="V579" i="1"/>
  <c r="U580" i="1"/>
  <c r="V580" i="1"/>
  <c r="U581" i="1"/>
  <c r="X581" i="1" s="1"/>
  <c r="Z581" i="1" s="1"/>
  <c r="V581" i="1"/>
  <c r="U582" i="1"/>
  <c r="V582" i="1"/>
  <c r="U583" i="1"/>
  <c r="X583" i="1" s="1"/>
  <c r="Z583" i="1" s="1"/>
  <c r="V583" i="1"/>
  <c r="U584" i="1"/>
  <c r="V584" i="1"/>
  <c r="U585" i="1"/>
  <c r="V585" i="1"/>
  <c r="U586" i="1"/>
  <c r="V586" i="1"/>
  <c r="U587" i="1"/>
  <c r="X587" i="1" s="1"/>
  <c r="Z587" i="1" s="1"/>
  <c r="V587" i="1"/>
  <c r="U588" i="1"/>
  <c r="V588" i="1"/>
  <c r="U589" i="1"/>
  <c r="V589" i="1"/>
  <c r="U590" i="1"/>
  <c r="V590" i="1"/>
  <c r="U591" i="1"/>
  <c r="X591" i="1" s="1"/>
  <c r="Z591" i="1" s="1"/>
  <c r="V591" i="1"/>
  <c r="U592" i="1"/>
  <c r="Y592" i="1" s="1"/>
  <c r="V592" i="1"/>
  <c r="U593" i="1"/>
  <c r="X593" i="1" s="1"/>
  <c r="Z593" i="1" s="1"/>
  <c r="V593" i="1"/>
  <c r="U594" i="1"/>
  <c r="X594" i="1" s="1"/>
  <c r="Z594" i="1" s="1"/>
  <c r="V594" i="1"/>
  <c r="U595" i="1"/>
  <c r="X595" i="1" s="1"/>
  <c r="Z595" i="1" s="1"/>
  <c r="V595" i="1"/>
  <c r="U596" i="1"/>
  <c r="V596" i="1"/>
  <c r="U597" i="1"/>
  <c r="X597" i="1" s="1"/>
  <c r="Z597" i="1" s="1"/>
  <c r="V597" i="1"/>
  <c r="U598" i="1"/>
  <c r="V598" i="1"/>
  <c r="U599" i="1"/>
  <c r="V599" i="1"/>
  <c r="R600" i="1"/>
  <c r="U600" i="1"/>
  <c r="V600" i="1"/>
  <c r="U601" i="1"/>
  <c r="V601" i="1"/>
  <c r="U602" i="1"/>
  <c r="V602" i="1"/>
  <c r="U603" i="1"/>
  <c r="V603" i="1"/>
  <c r="V604" i="1"/>
  <c r="U605" i="1"/>
  <c r="X605" i="1" s="1"/>
  <c r="V605" i="1"/>
  <c r="Q441" i="1"/>
  <c r="Q442" i="1"/>
  <c r="Q443" i="1"/>
  <c r="Q444" i="1"/>
  <c r="Q445" i="1"/>
  <c r="Q446" i="1"/>
  <c r="Q447" i="1"/>
  <c r="Q448" i="1"/>
  <c r="Q449" i="1"/>
  <c r="Q450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H440" i="1"/>
  <c r="V440" i="1"/>
  <c r="U440" i="1"/>
  <c r="Y440" i="1" s="1"/>
  <c r="Q440" i="1"/>
  <c r="W356" i="1"/>
  <c r="W357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U404" i="1"/>
  <c r="V404" i="1"/>
  <c r="W404" i="1"/>
  <c r="U405" i="1"/>
  <c r="V405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U424" i="1"/>
  <c r="V424" i="1"/>
  <c r="W424" i="1"/>
  <c r="U425" i="1"/>
  <c r="V425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8" i="1" l="1"/>
  <c r="S448" i="1"/>
  <c r="T448" i="1" s="1"/>
  <c r="R449" i="1"/>
  <c r="S449" i="1"/>
  <c r="T449" i="1" s="1"/>
  <c r="Z452" i="1"/>
  <c r="AI452" i="1" s="1"/>
  <c r="S452" i="1"/>
  <c r="T452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AT441" i="1"/>
  <c r="T441" i="1"/>
  <c r="AV441" i="1"/>
  <c r="AS441" i="1" s="1"/>
  <c r="AT440" i="1"/>
  <c r="Z451" i="1"/>
  <c r="AI451" i="1" s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R450" i="1"/>
  <c r="T450" i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R452" i="1"/>
  <c r="T451" i="1"/>
  <c r="R451" i="1"/>
  <c r="T459" i="1"/>
  <c r="R459" i="1"/>
  <c r="R443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Z605" i="1"/>
  <c r="AI605" i="1" s="1"/>
  <c r="R605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T447" i="1"/>
  <c r="R447" i="1"/>
  <c r="R460" i="1"/>
  <c r="R461" i="1"/>
  <c r="R462" i="1"/>
  <c r="R463" i="1"/>
  <c r="R464" i="1"/>
  <c r="R445" i="1"/>
  <c r="T445" i="1"/>
  <c r="R446" i="1"/>
  <c r="T446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46" i="1"/>
  <c r="Z446" i="1" s="1"/>
  <c r="AI446" i="1" s="1"/>
  <c r="Y446" i="1"/>
  <c r="Y447" i="1"/>
  <c r="X447" i="1"/>
  <c r="Z447" i="1" s="1"/>
  <c r="AI447" i="1" s="1"/>
  <c r="X448" i="1"/>
  <c r="Z448" i="1" s="1"/>
  <c r="AI448" i="1" s="1"/>
  <c r="Y448" i="1"/>
  <c r="Y449" i="1"/>
  <c r="X449" i="1"/>
  <c r="Z449" i="1" s="1"/>
  <c r="AI449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T444" i="1"/>
  <c r="R602" i="1"/>
  <c r="T594" i="1"/>
  <c r="R530" i="1"/>
  <c r="Z522" i="1"/>
  <c r="R491" i="1"/>
  <c r="R467" i="1"/>
  <c r="Z450" i="1"/>
  <c r="AI450" i="1" s="1"/>
  <c r="R444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Z443" i="1"/>
  <c r="AI443" i="1" s="1"/>
  <c r="T443" i="1"/>
  <c r="Z444" i="1"/>
  <c r="AI444" i="1" s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605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X445" i="1"/>
  <c r="Z445" i="1" s="1"/>
  <c r="AI445" i="1" s="1"/>
  <c r="Y445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450" i="1"/>
  <c r="Y444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S153" i="1" s="1"/>
  <c r="R153" i="1" l="1"/>
  <c r="T153" i="1"/>
  <c r="Z153" i="1"/>
  <c r="N3603" i="6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72" i="1"/>
  <c r="V173" i="1"/>
  <c r="V174" i="1"/>
  <c r="V175" i="1"/>
  <c r="V176" i="1"/>
  <c r="V177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23" i="1"/>
  <c r="V224" i="1"/>
  <c r="V225" i="1"/>
  <c r="V226" i="1"/>
  <c r="V227" i="1"/>
  <c r="V228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28" i="1"/>
  <c r="V329" i="1"/>
  <c r="V330" i="1"/>
  <c r="V331" i="1"/>
  <c r="V332" i="1"/>
  <c r="V333" i="1"/>
  <c r="V334" i="1"/>
  <c r="V335" i="1"/>
  <c r="V336" i="1"/>
  <c r="V337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4" i="1"/>
  <c r="X355" i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X178" i="1"/>
  <c r="X179" i="1"/>
  <c r="Y180" i="1"/>
  <c r="Y181" i="1"/>
  <c r="Y182" i="1"/>
  <c r="X183" i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<sst xmlns="http://schemas.openxmlformats.org/spreadsheetml/2006/main" count="29579" uniqueCount="4958">
  <si>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</si>
  <si>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</si>
  <si>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</si>
  <si>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</si>
  <si>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</si>
  <si>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</si>
  <si>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</si>
  <si>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</si>
  <si>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</si>
  <si>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</si>
  <si>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</si>
  <si>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</si>
  <si>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</si>
  <si>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</si>
  <si>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</si>
  <si>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</si>
  <si>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</si>
  <si>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</si>
  <si>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</si>
  <si>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</si>
  <si>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</si>
  <si>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</si>
  <si>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</si>
  <si>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</si>
  <si>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</si>
  <si>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</si>
  <si>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</si>
  <si>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</si>
  <si>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</si>
  <si>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</si>
  <si>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</si>
  <si>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</si>
  <si>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</si>
  <si>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</si>
  <si>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</si>
  <si>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</si>
  <si>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</si>
  <si>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</si>
  <si>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</si>
  <si>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</si>
  <si>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</si>
  <si>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</si>
  <si>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</si>
  <si>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</si>
  <si>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</si>
  <si>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</si>
  <si>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</si>
  <si>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</si>
  <si>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</si>
  <si>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</si>
  <si>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</si>
  <si>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</si>
  <si>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</si>
  <si>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</si>
  <si>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</si>
  <si>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</si>
  <si>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</si>
  <si>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</si>
  <si>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</si>
  <si>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</si>
  <si>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</si>
  <si>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</si>
  <si>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</si>
  <si>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</si>
  <si>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</si>
  <si>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</si>
  <si>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</si>
  <si>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</si>
  <si>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</si>
  <si>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</si>
  <si>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</si>
  <si>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</si>
  <si>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</si>
  <si>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</si>
  <si>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</si>
  <si>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</si>
  <si>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</si>
  <si>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</si>
  <si>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</si>
  <si>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</si>
  <si>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</si>
  <si>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</si>
  <si>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</si>
  <si>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</si>
  <si>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</si>
  <si>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</si>
  <si>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</si>
  <si>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</si>
  <si>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</si>
  <si>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</si>
  <si>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</si>
  <si>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</si>
  <si>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</si>
  <si>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</si>
  <si>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</si>
  <si>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</si>
  <si>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</si>
  <si>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</si>
  <si>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</si>
  <si>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</si>
  <si>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</si>
  <si>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</si>
  <si>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</si>
  <si>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</si>
  <si>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</si>
  <si>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</si>
  <si>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</si>
  <si>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</si>
  <si>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</si>
  <si>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</si>
  <si>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</si>
  <si>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</si>
  <si>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</si>
  <si>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</si>
  <si>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</si>
  <si>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</si>
  <si>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</si>
  <si>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</si>
  <si>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</si>
  <si>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</si>
  <si>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</si>
  <si>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</si>
  <si>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</si>
  <si>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</si>
  <si>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</si>
  <si>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</si>
  <si>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</si>
  <si>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</si>
  <si>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</si>
  <si>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</si>
  <si>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</si>
  <si>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</si>
  <si>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</si>
  <si>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</si>
  <si>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</si>
  <si>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</si>
  <si>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</si>
  <si>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</si>
  <si>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</si>
  <si>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</si>
  <si>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</si>
  <si>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</si>
  <si>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</si>
  <si>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</si>
  <si>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</si>
  <si>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</si>
  <si>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</si>
  <si>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</si>
  <si>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</si>
  <si>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</si>
  <si>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</si>
  <si>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</si>
  <si>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</si>
  <si>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</si>
  <si>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</si>
  <si>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</si>
  <si>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</si>
  <si>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</si>
  <si>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</si>
  <si>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</si>
  <si>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</si>
  <si>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</si>
  <si>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</si>
  <si>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</si>
  <si>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</si>
  <si>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</si>
  <si>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</si>
  <si>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</si>
  <si>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</si>
  <si>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</si>
  <si>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</si>
  <si>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</si>
  <si>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</si>
  <si>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</si>
  <si>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</si>
  <si>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</si>
  <si>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</si>
  <si>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</si>
  <si>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</si>
  <si>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</si>
  <si>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</si>
  <si>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</si>
  <si>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</si>
  <si>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</si>
  <si>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</si>
  <si>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</si>
  <si>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</si>
  <si>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</si>
  <si>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</si>
  <si>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</si>
  <si>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</si>
  <si>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</si>
  <si>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</si>
  <si>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</si>
  <si>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</si>
  <si>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</si>
  <si>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</si>
  <si>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</si>
  <si>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</si>
  <si>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</si>
  <si>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</si>
  <si>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</si>
  <si>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</si>
  <si>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</si>
  <si>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</si>
  <si>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</si>
  <si>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</si>
  <si>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</si>
  <si>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</si>
  <si>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</si>
  <si>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</si>
  <si>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</si>
  <si>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</si>
  <si>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</si>
  <si>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</si>
  <si>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</si>
  <si>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</si>
  <si>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</si>
  <si>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</si>
  <si>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</si>
  <si>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</si>
  <si>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</si>
  <si>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</si>
  <si>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</si>
  <si>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</si>
  <si>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</si>
  <si>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</si>
  <si>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</si>
  <si>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</si>
  <si>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</si>
  <si>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</si>
  <si>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</si>
  <si>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</si>
  <si>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</si>
  <si>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</si>
  <si>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</si>
  <si>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</si>
  <si>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</si>
  <si>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</si>
  <si>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</si>
  <si>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</si>
  <si>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</si>
  <si>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</si>
  <si>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</si>
  <si>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</si>
  <si>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</si>
  <si>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</si>
  <si>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</si>
  <si>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</si>
  <si>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</si>
  <si>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</si>
  <si>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</si>
  <si>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</si>
  <si>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</si>
  <si>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</si>
  <si>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</si>
  <si>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</si>
  <si>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</si>
  <si>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</si>
  <si>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</si>
  <si>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</si>
  <si>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</si>
  <si>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</si>
  <si>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</si>
  <si>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</si>
  <si>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</si>
  <si>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</si>
  <si>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</si>
  <si>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</si>
  <si>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</si>
  <si>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</si>
  <si>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</si>
  <si>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</si>
  <si>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</si>
  <si>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</si>
  <si>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</si>
  <si>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</si>
  <si>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</si>
  <si>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</si>
  <si>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</si>
  <si>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</si>
  <si>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</si>
  <si>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</si>
  <si>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</si>
  <si>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</si>
  <si>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</si>
  <si>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</si>
  <si>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</si>
  <si>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</si>
  <si>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</si>
  <si>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</si>
  <si>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</si>
  <si>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</si>
  <si>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</si>
  <si>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</si>
  <si>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</si>
  <si>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</si>
  <si>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</si>
  <si>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</si>
  <si>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</si>
  <si>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</si>
  <si>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</si>
  <si>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</si>
  <si>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</si>
  <si>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</si>
  <si>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</si>
  <si>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</si>
  <si>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</si>
  <si>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</si>
  <si>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</si>
  <si>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</si>
  <si>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</si>
  <si>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</si>
  <si>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</si>
  <si>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</si>
  <si>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</si>
  <si>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</si>
  <si>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</si>
  <si>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</si>
  <si>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</si>
  <si>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</si>
  <si>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</si>
  <si>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</si>
  <si>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</si>
  <si>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</si>
  <si>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</si>
  <si>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</si>
  <si>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</si>
  <si>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</si>
  <si>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</si>
  <si>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</si>
  <si>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</si>
  <si>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</si>
  <si>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</si>
  <si>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</si>
  <si>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</si>
  <si>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</si>
  <si>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</si>
  <si>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</si>
  <si>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</si>
  <si>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</si>
  <si>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</si>
  <si>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</si>
  <si>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</si>
  <si>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</si>
  <si>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</si>
  <si>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</si>
  <si>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</si>
  <si>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</si>
  <si>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</si>
  <si>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</si>
  <si>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</si>
  <si>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</si>
  <si>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</si>
  <si>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</si>
  <si>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</si>
  <si>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</si>
  <si>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</si>
  <si>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</si>
  <si>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</si>
  <si>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</si>
  <si>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</si>
  <si>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</si>
  <si>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</si>
  <si>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</si>
  <si>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</si>
  <si>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</si>
  <si>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</si>
  <si>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</si>
  <si>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</si>
  <si>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</si>
  <si>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</si>
  <si>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</si>
  <si>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</si>
  <si>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</si>
  <si>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</si>
  <si>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</si>
  <si>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</si>
  <si>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</si>
  <si>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</si>
  <si>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</si>
  <si>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</si>
  <si>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</si>
  <si>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</si>
  <si>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</si>
  <si>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</si>
  <si>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</si>
  <si>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</si>
  <si>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</si>
  <si>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</si>
  <si>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</si>
  <si>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</si>
  <si>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</si>
  <si>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</si>
  <si>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</si>
  <si>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</si>
  <si>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</si>
  <si>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</si>
  <si>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</si>
  <si>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</si>
  <si>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</si>
  <si>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</si>
  <si>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</si>
  <si>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</si>
  <si>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</si>
  <si>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</si>
  <si>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</si>
  <si>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</si>
  <si>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</si>
  <si>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</si>
  <si>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</si>
  <si>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</si>
  <si>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</si>
  <si>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</si>
  <si>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</si>
  <si>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</si>
  <si>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</si>
  <si>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</si>
  <si>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</si>
  <si>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</si>
  <si>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</si>
  <si>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</si>
  <si>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</si>
  <si>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</si>
  <si>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</si>
  <si>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</si>
  <si>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</si>
  <si>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</si>
  <si>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</si>
  <si>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</si>
  <si>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</si>
  <si>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</si>
  <si>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</si>
  <si>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</si>
  <si>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</si>
  <si>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</si>
  <si>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</si>
  <si>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</si>
  <si>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</si>
  <si>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</si>
  <si>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</si>
  <si>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</si>
  <si>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</si>
  <si>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</si>
  <si>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</si>
  <si>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</si>
  <si>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</si>
  <si>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</si>
  <si>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</si>
  <si>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</si>
  <si>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</si>
  <si>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</si>
  <si>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</si>
  <si>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</si>
  <si>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</si>
  <si>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</si>
  <si>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</si>
  <si>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</si>
  <si>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</si>
  <si>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</si>
  <si>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</si>
  <si>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</si>
  <si>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</si>
  <si>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</si>
  <si>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</si>
  <si>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</si>
  <si>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</si>
  <si>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</si>
  <si>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</si>
  <si>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</si>
  <si>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</si>
  <si>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</si>
  <si>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</si>
  <si>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</si>
  <si>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</si>
  <si>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</si>
  <si>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</si>
  <si>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</si>
  <si>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</si>
  <si>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</si>
  <si>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</si>
  <si>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</si>
  <si>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</si>
  <si>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</si>
  <si>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</si>
  <si>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</si>
  <si>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</si>
  <si>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</si>
  <si>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</si>
  <si>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</si>
  <si>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</si>
  <si>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</si>
  <si>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</si>
  <si>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</si>
  <si>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</si>
  <si>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</si>
  <si>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</si>
  <si>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</si>
  <si>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</si>
  <si>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</si>
  <si>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</si>
  <si>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</si>
  <si>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</si>
  <si>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</si>
  <si>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</si>
  <si>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</si>
  <si>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</si>
  <si>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</si>
  <si>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</si>
  <si>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</si>
  <si>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</si>
  <si>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</si>
  <si>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</si>
  <si>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</si>
  <si>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</si>
  <si>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</si>
  <si>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</si>
  <si>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</si>
  <si>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</si>
  <si>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</si>
  <si>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</si>
  <si>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</si>
  <si>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</si>
  <si>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</si>
  <si>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</si>
  <si>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</si>
  <si>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</si>
  <si>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</si>
  <si>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</si>
  <si>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</si>
  <si>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</si>
  <si>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</si>
  <si>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</si>
  <si>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</si>
  <si>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</si>
  <si>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</si>
  <si>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</si>
  <si>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</si>
  <si>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</si>
  <si>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</si>
  <si>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</si>
  <si>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</si>
  <si>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</si>
  <si>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</si>
  <si>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</si>
  <si>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</si>
  <si>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</si>
  <si>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</si>
  <si>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</si>
  <si>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</si>
  <si>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</si>
  <si>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</si>
  <si>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</si>
  <si>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</si>
  <si>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</si>
  <si>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</si>
  <si>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</si>
  <si>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</si>
  <si>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</si>
  <si>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</si>
  <si>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</si>
  <si>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</si>
  <si>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</si>
  <si>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</si>
  <si>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</si>
  <si>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</si>
  <si>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</si>
  <si>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</si>
  <si>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</si>
  <si>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</si>
  <si>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</si>
  <si>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</si>
  <si>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</si>
  <si>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</si>
  <si>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</si>
  <si>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</si>
  <si>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</si>
  <si>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</si>
  <si>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</si>
  <si>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</si>
  <si>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</si>
  <si>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</si>
  <si>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</si>
  <si>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</si>
  <si>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</si>
  <si>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</si>
  <si>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</si>
  <si>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</si>
  <si>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</si>
  <si>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</si>
  <si>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</si>
  <si>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</si>
  <si>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</si>
  <si>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</si>
  <si>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</si>
  <si>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</si>
  <si>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</si>
  <si>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</si>
  <si>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</si>
  <si>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</si>
  <si>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</si>
  <si>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</si>
  <si>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</si>
  <si>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</si>
  <si>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</si>
  <si>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</si>
  <si>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</si>
  <si>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</si>
  <si>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</si>
  <si>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</si>
  <si>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</si>
  <si>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</si>
  <si>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</si>
  <si>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</si>
  <si>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</si>
  <si>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</si>
  <si>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</si>
  <si>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</si>
  <si>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</si>
  <si>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</si>
  <si>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</si>
  <si>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</si>
  <si>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</si>
  <si>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</si>
  <si>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</si>
  <si>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</si>
  <si>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</si>
  <si>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</si>
  <si>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</si>
  <si>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</si>
  <si>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</si>
  <si>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</si>
  <si>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</si>
  <si>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</si>
  <si>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</si>
  <si>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</si>
  <si>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</si>
  <si>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</si>
  <si>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</si>
  <si>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</si>
  <si>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</si>
  <si>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</si>
  <si>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</si>
  <si>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</si>
  <si>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</si>
  <si>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</si>
  <si>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</si>
  <si>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</si>
  <si>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</si>
  <si>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</si>
  <si>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</si>
  <si>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</si>
  <si>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</si>
  <si>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</si>
  <si>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</si>
  <si>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</si>
  <si>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</si>
  <si>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</si>
  <si>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</si>
  <si>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</si>
  <si>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</si>
  <si>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</si>
  <si>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</si>
  <si>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</si>
  <si>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</si>
  <si>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</si>
  <si>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</si>
  <si>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</si>
  <si>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</si>
  <si>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</si>
  <si>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</si>
  <si>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</si>
  <si>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</si>
  <si>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</si>
  <si>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</si>
  <si>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</si>
  <si>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</si>
  <si>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</si>
  <si>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</si>
  <si>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</si>
  <si>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</si>
  <si>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</si>
  <si>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</si>
  <si>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</si>
  <si>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</si>
  <si>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</si>
  <si>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</si>
  <si>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</si>
  <si>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</si>
  <si>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</si>
  <si>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</si>
  <si>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</si>
  <si>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</si>
  <si>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</si>
  <si>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</si>
  <si>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</si>
  <si>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</si>
  <si>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</si>
  <si>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</si>
  <si>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</si>
  <si>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</si>
  <si>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</si>
  <si>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</si>
  <si>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</si>
  <si>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</si>
  <si>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</si>
  <si>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</si>
  <si>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</si>
  <si>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</si>
  <si>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</si>
  <si>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</si>
  <si>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</si>
  <si>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</si>
  <si>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</si>
  <si>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</si>
  <si>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</si>
  <si>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</si>
  <si>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</si>
  <si>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</si>
  <si>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</si>
  <si>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</si>
  <si>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</si>
  <si>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</si>
  <si>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</si>
  <si>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</si>
  <si>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</si>
  <si>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</si>
  <si>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</si>
  <si>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</si>
  <si>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</si>
  <si>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</si>
  <si>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</si>
  <si>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</si>
  <si>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</si>
  <si>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</si>
  <si>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</si>
  <si>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</si>
  <si>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</si>
  <si>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</si>
  <si>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</si>
  <si>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</si>
  <si>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</si>
  <si>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</si>
  <si>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</si>
  <si>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</si>
  <si>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</si>
  <si>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</si>
  <si>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</si>
  <si>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</si>
  <si>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</si>
  <si>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</si>
  <si>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</si>
  <si>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</si>
  <si>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</si>
  <si>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</si>
  <si>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</si>
  <si>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</si>
  <si>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</si>
  <si>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</si>
  <si>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</si>
  <si>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</si>
  <si>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</si>
  <si>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</si>
  <si>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</si>
  <si>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</si>
  <si>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</si>
  <si>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</si>
  <si>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</si>
  <si>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</si>
  <si>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</si>
  <si>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</si>
  <si>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</si>
  <si>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</si>
  <si>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</si>
  <si>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</si>
  <si>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</si>
  <si>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</si>
  <si>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</si>
  <si>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</si>
  <si>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</si>
  <si>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</si>
  <si>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</si>
  <si>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</si>
  <si>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</si>
  <si>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</si>
  <si>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</si>
  <si>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</si>
  <si>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</si>
  <si>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</si>
  <si>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</si>
  <si>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</si>
  <si>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</si>
  <si>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</si>
  <si>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</si>
  <si>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</si>
  <si>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</si>
  <si>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</si>
  <si>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</si>
  <si>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</si>
  <si>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</si>
  <si>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</si>
  <si>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</si>
  <si>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</si>
  <si>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</si>
  <si>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</si>
  <si>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</si>
  <si>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</si>
  <si>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</si>
  <si>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</si>
  <si>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</si>
  <si>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</si>
  <si>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</si>
  <si>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</si>
  <si>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</si>
  <si>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</si>
  <si>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</si>
  <si>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</si>
  <si>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</si>
  <si>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</si>
  <si>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</si>
  <si>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</si>
  <si>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</si>
  <si>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</si>
  <si>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</si>
  <si>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</si>
  <si>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</si>
  <si>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</si>
  <si>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</si>
  <si>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</si>
  <si>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</si>
  <si>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</si>
  <si>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</si>
  <si>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</si>
  <si>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</si>
  <si>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</si>
  <si>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</si>
  <si>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</si>
  <si>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</si>
  <si>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</si>
  <si>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</si>
  <si>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</si>
  <si>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</si>
  <si>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</si>
  <si>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</si>
  <si>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</si>
  <si>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</si>
  <si>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</si>
  <si>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</si>
  <si>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</si>
  <si>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</si>
  <si>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</si>
  <si>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</si>
  <si>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</si>
  <si>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</si>
  <si>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</si>
  <si>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</si>
  <si>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</si>
  <si>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</si>
  <si>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</si>
  <si>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</si>
  <si>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</si>
  <si>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</si>
  <si>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</si>
  <si>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</si>
  <si>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</si>
  <si>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</si>
  <si>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</si>
  <si>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</si>
  <si>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</si>
  <si>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</si>
  <si>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</si>
  <si>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</si>
  <si>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</si>
  <si>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</si>
  <si>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</si>
  <si>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</si>
  <si>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</si>
  <si>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</si>
  <si>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</si>
  <si>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</si>
  <si>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</si>
  <si>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</si>
  <si>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</si>
  <si>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</si>
  <si>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</si>
  <si>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</si>
  <si>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</si>
  <si>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</si>
  <si>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</si>
  <si>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</si>
  <si>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</si>
  <si>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</si>
  <si>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</si>
  <si>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</si>
  <si>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</si>
  <si>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</si>
  <si>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</si>
  <si>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</si>
  <si>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</si>
  <si>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</si>
  <si>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</si>
  <si>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</si>
  <si>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</si>
  <si>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</si>
  <si>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</si>
  <si>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</si>
  <si>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</si>
  <si>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</si>
  <si>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</si>
  <si>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</si>
  <si>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</si>
  <si>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</si>
  <si>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</si>
  <si>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</si>
  <si>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</si>
  <si>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</si>
  <si>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</si>
  <si>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</si>
  <si>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</si>
  <si>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</si>
  <si>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</si>
  <si>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</si>
  <si>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</si>
  <si>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</si>
  <si>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</si>
  <si>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</si>
  <si>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</si>
  <si>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</si>
  <si>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</si>
  <si>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</si>
  <si>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</si>
  <si>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</si>
  <si>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</si>
  <si>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</si>
  <si>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</si>
  <si>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</si>
  <si>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</si>
  <si>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</si>
  <si>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</si>
  <si>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</si>
  <si>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</si>
  <si>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</si>
  <si>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</si>
  <si>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</si>
  <si>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</si>
  <si>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</si>
  <si>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</si>
  <si>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</si>
  <si>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</si>
  <si>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</si>
  <si>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</si>
  <si>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</si>
  <si>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</si>
  <si>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</si>
  <si>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</si>
  <si>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</si>
  <si>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</si>
  <si>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</si>
  <si>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</si>
  <si>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</si>
  <si>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</si>
  <si>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</si>
  <si>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</si>
  <si>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</si>
  <si>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</si>
  <si>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</si>
  <si>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</si>
  <si>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</si>
  <si>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</si>
  <si>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</si>
  <si>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</si>
  <si>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</si>
  <si>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</si>
  <si>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</si>
  <si>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</si>
  <si>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</si>
  <si>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</si>
  <si>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</si>
  <si>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</si>
  <si>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</si>
  <si>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</si>
  <si>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</si>
  <si>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</si>
  <si>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</si>
  <si>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</si>
  <si>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</si>
  <si>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</si>
  <si>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</si>
  <si>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</si>
  <si>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</si>
  <si>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</si>
  <si>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</si>
  <si>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</si>
  <si>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</si>
  <si>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</si>
  <si>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</si>
  <si>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</si>
  <si>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</si>
  <si>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</si>
  <si>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</si>
  <si>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</si>
  <si>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</si>
  <si>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</si>
  <si>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</si>
  <si>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</si>
  <si>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</si>
  <si>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</si>
  <si>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</si>
  <si>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</si>
  <si>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</si>
  <si>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</si>
  <si>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</si>
  <si>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</si>
  <si>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</si>
  <si>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</si>
  <si>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</si>
  <si>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</si>
  <si>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</si>
  <si>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</si>
  <si>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</si>
  <si>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</si>
  <si>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</si>
  <si>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</si>
  <si>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</si>
  <si>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</si>
  <si>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</si>
  <si>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</si>
  <si>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</si>
  <si>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</si>
  <si>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</si>
  <si>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</si>
  <si>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</si>
  <si>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</si>
  <si>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</si>
  <si>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</si>
  <si>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</si>
  <si>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</si>
  <si>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</si>
  <si>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</si>
  <si>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</si>
  <si>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</si>
  <si>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</si>
  <si>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</si>
  <si>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</si>
  <si>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</si>
  <si>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</si>
  <si>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</si>
  <si>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</si>
  <si>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</si>
  <si>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</si>
  <si>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</si>
  <si>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</si>
  <si>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</si>
  <si>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</si>
  <si>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</si>
  <si>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</si>
  <si>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</si>
  <si>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</si>
  <si>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</si>
  <si>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</si>
  <si>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</si>
  <si>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</si>
  <si>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</si>
  <si>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</si>
  <si>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</si>
  <si>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</si>
  <si>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</si>
  <si>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</si>
  <si>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</si>
  <si>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</si>
  <si>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</si>
  <si>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</si>
  <si>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</si>
  <si>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</si>
  <si>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</si>
  <si>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</si>
  <si>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</si>
  <si>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</si>
  <si>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</si>
  <si>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</si>
  <si>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</si>
  <si>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</si>
  <si>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</si>
  <si>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</si>
  <si>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</si>
  <si>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</si>
  <si>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</si>
  <si>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</si>
  <si>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</si>
  <si>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</si>
  <si>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</si>
  <si>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</si>
  <si>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</si>
  <si>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</si>
  <si>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</si>
  <si>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</si>
  <si>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</si>
  <si>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</si>
  <si>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</si>
  <si>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</si>
  <si>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</si>
  <si>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</si>
  <si>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</si>
  <si>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</si>
  <si>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</si>
  <si>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</si>
  <si>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</si>
  <si>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</si>
  <si>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</si>
  <si>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</si>
  <si>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</si>
  <si>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</si>
  <si>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</si>
  <si>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</si>
  <si>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</si>
  <si>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</si>
  <si>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</si>
  <si>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</si>
  <si>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</si>
  <si>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</si>
  <si>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</si>
  <si>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</si>
  <si>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</si>
  <si>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</si>
  <si>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</si>
  <si>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</si>
  <si>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</si>
  <si>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</si>
  <si>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</si>
  <si>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</si>
  <si>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</si>
  <si>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</si>
  <si>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</si>
  <si>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</si>
  <si>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</si>
  <si>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</si>
  <si>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</si>
  <si>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</si>
  <si>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</si>
  <si>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</si>
  <si>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</si>
  <si>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</si>
  <si>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</si>
  <si>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</si>
  <si>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</si>
  <si>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</si>
  <si>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</si>
  <si>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</si>
  <si>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</si>
  <si>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</si>
  <si>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</si>
  <si>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</si>
  <si>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</si>
  <si>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</si>
  <si>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</si>
  <si>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</si>
  <si>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</si>
  <si>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</si>
  <si>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</si>
  <si>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</si>
  <si>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</si>
  <si>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</si>
  <si>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</si>
  <si>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</si>
  <si>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</si>
  <si>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</si>
  <si>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</si>
  <si>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</si>
  <si>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</si>
  <si>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</si>
  <si>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</si>
  <si>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</si>
  <si>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</si>
  <si>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</si>
  <si>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</si>
  <si>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</si>
  <si>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</si>
  <si>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</si>
  <si>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</si>
  <si>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</si>
  <si>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</si>
  <si>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</si>
  <si>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</si>
  <si>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</si>
  <si>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</si>
  <si>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</si>
  <si>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</si>
  <si>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</si>
  <si>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</si>
  <si>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</si>
  <si>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</si>
  <si>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</si>
  <si>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</si>
  <si>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</si>
  <si>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</si>
  <si>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</si>
  <si>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</si>
  <si>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</si>
  <si>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</si>
  <si>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</si>
  <si>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</si>
  <si>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</si>
  <si>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</si>
  <si>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</si>
  <si>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</si>
  <si>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</si>
  <si>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</si>
  <si>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</si>
  <si>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</si>
  <si>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</si>
  <si>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</si>
  <si>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</si>
  <si>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</si>
  <si>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</si>
  <si>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</si>
  <si>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</si>
  <si>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</si>
  <si>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</si>
  <si>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</si>
  <si>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</si>
  <si>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</si>
  <si>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</si>
  <si>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</si>
  <si>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</si>
  <si>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</si>
  <si>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</si>
  <si>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</si>
  <si>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</si>
  <si>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</si>
  <si>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</si>
  <si>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</si>
  <si>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</si>
  <si>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</si>
  <si>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</si>
  <si>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</si>
  <si>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</si>
  <si>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</si>
  <si>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</si>
  <si>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</si>
  <si>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</si>
  <si>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</si>
  <si>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</si>
  <si>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</si>
  <si>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</si>
  <si>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</si>
  <si>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</si>
  <si>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</si>
  <si>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</si>
  <si>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</si>
  <si>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</si>
  <si>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</si>
  <si>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</si>
  <si>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</si>
  <si>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</si>
  <si>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</si>
  <si>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</si>
  <si>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</si>
  <si>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</si>
  <si>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</si>
  <si>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</si>
  <si>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</si>
  <si>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</si>
  <si>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</si>
  <si>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</si>
  <si>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</si>
  <si>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</si>
  <si>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</si>
  <si>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</si>
  <si>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</si>
  <si>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</si>
  <si>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</si>
  <si>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</si>
  <si>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</si>
  <si>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</si>
  <si>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</si>
  <si>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</si>
  <si>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</si>
  <si>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</si>
  <si>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</si>
  <si>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</si>
  <si>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</si>
  <si>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</si>
  <si>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</si>
  <si>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</si>
  <si>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</si>
  <si>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</si>
  <si>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</si>
  <si>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</si>
  <si>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</si>
  <si>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</si>
  <si>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</si>
  <si>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</si>
  <si>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</si>
  <si>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</si>
  <si>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</si>
  <si>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</si>
  <si>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</si>
  <si>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</si>
  <si>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</si>
  <si>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</si>
  <si>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</si>
  <si>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</si>
  <si>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</si>
  <si>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</si>
  <si>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</si>
  <si>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</si>
  <si>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</si>
  <si>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</si>
  <si>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</si>
  <si>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</si>
  <si>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</si>
  <si>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</si>
  <si>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</si>
  <si>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</si>
  <si>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</si>
  <si>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</si>
  <si>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</si>
  <si>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</si>
  <si>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</si>
  <si>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</si>
  <si>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</si>
  <si>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</si>
  <si>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</si>
  <si>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</si>
  <si>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</si>
  <si>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</si>
  <si>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</si>
  <si>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</si>
  <si>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</si>
  <si>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</si>
  <si>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</si>
  <si>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</si>
  <si>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</si>
  <si>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</si>
  <si>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</si>
  <si>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</si>
  <si>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</si>
  <si>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</si>
  <si>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</si>
  <si>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</si>
  <si>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</si>
  <si>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</si>
  <si>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</si>
  <si>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</si>
  <si>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</si>
  <si>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</si>
  <si>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</si>
  <si>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</si>
  <si>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</si>
  <si>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</si>
  <si>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</si>
  <si>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</si>
  <si>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</si>
  <si>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</si>
  <si>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</si>
  <si>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</si>
  <si>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</si>
  <si>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</si>
  <si>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</si>
  <si>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</si>
  <si>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</si>
  <si>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</si>
  <si>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</si>
  <si>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</si>
  <si>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</si>
  <si>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</si>
  <si>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</si>
  <si>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</si>
  <si>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</si>
  <si>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</si>
  <si>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</si>
  <si>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</si>
  <si>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</si>
  <si>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</si>
  <si>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</si>
  <si>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</si>
  <si>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</si>
  <si>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</si>
  <si>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</si>
  <si>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</si>
  <si>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</si>
  <si>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</si>
  <si>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</si>
  <si>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</si>
  <si>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</si>
  <si>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</si>
  <si>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</si>
  <si>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</si>
  <si>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</si>
  <si>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</si>
  <si>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</si>
  <si>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</si>
  <si>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</si>
  <si>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</si>
  <si>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</si>
  <si>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</si>
  <si>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</si>
  <si>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</si>
  <si>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</si>
  <si>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</si>
  <si>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</si>
  <si>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</si>
  <si>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</si>
  <si>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</si>
  <si>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</si>
  <si>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</si>
  <si>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</si>
  <si>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</si>
  <si>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</si>
  <si>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</si>
  <si>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</si>
  <si>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</si>
  <si>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</si>
  <si>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</si>
  <si>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</si>
  <si>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</si>
  <si>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</si>
  <si>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</si>
  <si>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</si>
  <si>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</si>
  <si>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</si>
  <si>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</si>
  <si>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</si>
  <si>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</si>
  <si>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</si>
  <si>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</si>
  <si>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</si>
  <si>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</si>
  <si>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</si>
  <si>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</si>
  <si>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</si>
  <si>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</si>
  <si>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</si>
  <si>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</si>
  <si>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</si>
  <si>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</si>
  <si>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</si>
  <si>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</si>
  <si>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</si>
  <si>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</si>
  <si>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</si>
  <si>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</si>
  <si>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</si>
  <si>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</si>
  <si>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</si>
  <si>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</si>
  <si>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</si>
  <si>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</si>
  <si>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</si>
  <si>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</si>
  <si>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</si>
  <si>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</si>
  <si>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</si>
  <si>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</si>
  <si>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</si>
  <si>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</si>
  <si>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</si>
  <si>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</si>
  <si>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</si>
  <si>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</si>
  <si>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</si>
  <si>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</si>
  <si>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</si>
  <si>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</si>
  <si>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</si>
  <si>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</si>
  <si>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</si>
  <si>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</si>
  <si>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</si>
  <si>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</si>
  <si>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</si>
  <si>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</si>
  <si>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</si>
  <si>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</si>
  <si>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</si>
  <si>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</si>
  <si>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</si>
  <si>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</si>
  <si>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</si>
  <si>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</si>
  <si>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</si>
  <si>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</si>
  <si>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</si>
  <si>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</si>
  <si>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</si>
  <si>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</si>
  <si>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</si>
  <si>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</si>
  <si>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</si>
  <si>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</si>
  <si>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</si>
  <si>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</si>
  <si>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</si>
  <si>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</si>
  <si>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</si>
  <si>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</si>
  <si>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</si>
  <si>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</si>
  <si>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</si>
  <si>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</si>
  <si>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</si>
  <si>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</si>
  <si>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</si>
  <si>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</si>
  <si>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</si>
  <si>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</si>
  <si>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</si>
  <si>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</si>
  <si>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</si>
  <si>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</si>
  <si>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</si>
  <si>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</si>
  <si>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</si>
  <si>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</si>
  <si>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</si>
  <si>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</si>
  <si>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</si>
  <si>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</si>
  <si>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</si>
  <si>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</si>
  <si>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</si>
  <si>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</si>
  <si>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</si>
  <si>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</si>
  <si>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</si>
  <si>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</si>
  <si>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</si>
  <si>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</si>
  <si>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</si>
  <si>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</si>
  <si>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</si>
  <si>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</si>
  <si>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</si>
  <si>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</si>
  <si>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</si>
  <si>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</si>
  <si>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</si>
  <si>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</si>
  <si>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</si>
  <si>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</si>
  <si>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</si>
  <si>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</si>
  <si>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</si>
  <si>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</si>
  <si>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</si>
  <si>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</si>
  <si>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</si>
  <si>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</si>
  <si>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</si>
  <si>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</si>
  <si>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</si>
  <si>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</si>
  <si>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</si>
  <si>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</si>
  <si>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</si>
  <si>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</si>
  <si>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</si>
  <si>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</si>
  <si>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</si>
  <si>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</si>
  <si>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</si>
  <si>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</si>
  <si>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</si>
  <si>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</si>
  <si>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</si>
  <si>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</si>
  <si>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</si>
  <si>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</si>
  <si>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</si>
  <si>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</si>
  <si>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</si>
  <si>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</si>
  <si>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</si>
  <si>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</si>
  <si>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</si>
  <si>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</si>
  <si>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</si>
  <si>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</si>
  <si>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</si>
  <si>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</si>
  <si>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</si>
  <si>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</si>
  <si>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</si>
  <si>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</si>
  <si>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</si>
  <si>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</si>
  <si>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</si>
  <si>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</si>
  <si>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</si>
  <si>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</si>
  <si>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</si>
  <si>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</si>
  <si>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</si>
  <si>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</si>
  <si>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</si>
  <si>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</si>
  <si>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</si>
  <si>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</si>
  <si>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</si>
  <si>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</si>
  <si>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</si>
  <si>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</si>
  <si>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</si>
  <si>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</si>
  <si>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</si>
  <si>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</si>
  <si>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</si>
  <si>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</si>
  <si>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</si>
  <si>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</si>
  <si>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</si>
  <si>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</si>
  <si>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</si>
  <si>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</si>
  <si>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</si>
  <si>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</si>
  <si>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</si>
  <si>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</si>
  <si>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</si>
  <si>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</si>
  <si>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</si>
  <si>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</si>
  <si>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</si>
  <si>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</si>
  <si>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</si>
  <si>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</si>
  <si>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</si>
  <si>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</si>
  <si>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</si>
  <si>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</si>
  <si>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</si>
  <si>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</si>
  <si>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</si>
  <si>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</si>
  <si>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</si>
  <si>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</si>
  <si>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</si>
  <si>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</si>
  <si>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</si>
  <si>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</si>
  <si>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</si>
  <si>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</si>
  <si>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</si>
  <si>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</si>
  <si>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</si>
  <si>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</si>
  <si>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</si>
  <si>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</si>
  <si>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</si>
  <si>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</si>
  <si>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</si>
  <si>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</si>
  <si>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</si>
  <si>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</si>
  <si>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</si>
  <si>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</si>
  <si>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</si>
  <si>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</si>
  <si>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</si>
  <si>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</si>
  <si>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</si>
  <si>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</si>
  <si>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</si>
  <si>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</si>
  <si>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</si>
  <si>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</si>
  <si>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</si>
  <si>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</si>
  <si>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</si>
  <si>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</si>
  <si>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</si>
  <si>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</si>
  <si>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</si>
  <si>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</si>
  <si>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</si>
  <si>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</si>
  <si>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</si>
  <si>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</si>
  <si>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</si>
  <si>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</si>
  <si>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</si>
  <si>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</si>
  <si>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</si>
  <si>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</si>
  <si>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</si>
  <si>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</si>
  <si>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</si>
  <si>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</si>
  <si>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</si>
  <si>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</si>
  <si>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</si>
  <si>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</si>
  <si>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</si>
  <si>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</si>
  <si>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</si>
  <si>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</si>
  <si>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</si>
  <si>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</si>
  <si>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</si>
  <si>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</si>
  <si>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</si>
  <si>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</si>
  <si>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</si>
  <si>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</si>
  <si>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</si>
  <si>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</si>
  <si>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</si>
  <si>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</si>
  <si>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</si>
  <si>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</si>
  <si>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</si>
  <si>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</si>
  <si>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</si>
  <si>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</si>
  <si>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</si>
  <si>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</si>
  <si>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</si>
  <si>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</si>
  <si>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</si>
  <si>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</si>
  <si>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</si>
  <si>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</si>
  <si>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</si>
  <si>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</si>
  <si>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</si>
  <si>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</si>
  <si>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</si>
  <si>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</si>
  <si>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</si>
  <si>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</si>
  <si>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</si>
  <si>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</si>
  <si>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</si>
  <si>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</si>
  <si>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</si>
  <si>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</si>
  <si>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</si>
  <si>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</si>
  <si>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</si>
  <si>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</si>
  <si>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</si>
  <si>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</si>
  <si>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</si>
  <si>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</si>
  <si>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</si>
  <si>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</si>
  <si>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</si>
  <si>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</si>
  <si>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</si>
  <si>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</si>
  <si>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</si>
  <si>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</si>
  <si>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</si>
  <si>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</si>
  <si>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</si>
  <si>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</si>
  <si>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</si>
  <si>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</si>
  <si>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</si>
  <si>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</si>
  <si>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</si>
  <si>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</si>
  <si>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</si>
  <si>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</si>
  <si>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</si>
  <si>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</si>
  <si>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</si>
  <si>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</si>
  <si>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</si>
  <si>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</si>
  <si>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</si>
  <si>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</si>
  <si>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</si>
  <si>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</si>
  <si>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</si>
  <si>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</si>
  <si>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</si>
  <si>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</si>
  <si>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</si>
  <si>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</si>
  <si>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</si>
  <si>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</si>
  <si>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</si>
  <si>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</si>
  <si>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</si>
  <si>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</si>
  <si>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</si>
  <si>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</si>
  <si>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</si>
  <si>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</si>
  <si>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</si>
  <si>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</si>
  <si>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</si>
  <si>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</si>
  <si>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</si>
  <si>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</si>
  <si>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</si>
  <si>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</si>
  <si>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</si>
  <si>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</si>
  <si>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</si>
  <si>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</si>
  <si>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</si>
  <si>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</si>
  <si>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</si>
  <si>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</si>
  <si>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</si>
  <si>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</si>
  <si>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</si>
  <si>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</si>
  <si>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</si>
  <si>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</si>
  <si>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</si>
  <si>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</si>
  <si>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</si>
  <si>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</si>
  <si>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</si>
  <si>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</si>
  <si>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</si>
  <si>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</si>
  <si>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</si>
  <si>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</si>
  <si>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</si>
  <si>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</si>
  <si>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</si>
  <si>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</si>
  <si>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</si>
  <si>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</si>
  <si>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</si>
  <si>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</si>
  <si>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</si>
  <si>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</si>
  <si>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</si>
  <si>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</si>
  <si>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</si>
  <si>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</si>
  <si>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</si>
  <si>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</si>
  <si>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</si>
  <si>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</si>
  <si>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</si>
  <si>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</si>
  <si>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</si>
  <si>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</si>
  <si>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</si>
  <si>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</si>
  <si>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</si>
  <si>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</si>
  <si>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</si>
  <si>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</si>
  <si>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</si>
  <si>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</si>
  <si>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</si>
  <si>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</si>
  <si>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</si>
  <si>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</si>
  <si>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</si>
  <si>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</si>
  <si>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</si>
  <si>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</si>
  <si>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</si>
  <si>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</si>
  <si>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</si>
  <si>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</si>
  <si>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</si>
  <si>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</si>
  <si>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</si>
  <si>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</si>
  <si>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</si>
  <si>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</si>
  <si>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</si>
  <si>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</si>
  <si>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</si>
  <si>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</si>
  <si>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</si>
  <si>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</si>
  <si>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</si>
  <si>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</si>
  <si>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</si>
  <si>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</si>
  <si>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</si>
  <si>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</si>
  <si>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</si>
  <si>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</si>
  <si>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</si>
  <si>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</si>
  <si>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</si>
  <si>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</si>
  <si>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</si>
  <si>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</si>
  <si>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</si>
  <si>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</si>
  <si>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</si>
  <si>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</si>
  <si>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</si>
  <si>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</si>
  <si>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</si>
  <si>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</si>
  <si>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</si>
  <si>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</si>
  <si>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</si>
  <si>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</si>
  <si>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</si>
  <si>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</si>
  <si>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</si>
  <si>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</si>
  <si>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</si>
  <si>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</si>
  <si>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</si>
  <si>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</si>
  <si>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</si>
  <si>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</si>
  <si>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</si>
  <si>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</si>
  <si>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</si>
  <si>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</si>
  <si>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</si>
  <si>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</si>
  <si>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</si>
  <si>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</si>
  <si>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</si>
  <si>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</si>
  <si>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</si>
  <si>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</si>
  <si>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</si>
  <si>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</si>
  <si>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</si>
  <si>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</si>
  <si>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</si>
  <si>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</si>
  <si>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</si>
  <si>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</si>
  <si>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</si>
  <si>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</si>
  <si>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</si>
  <si>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</si>
  <si>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</si>
  <si>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</si>
  <si>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</si>
  <si>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</si>
  <si>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</si>
  <si>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</si>
  <si>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</si>
  <si>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</si>
  <si>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</si>
  <si>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</si>
  <si>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</si>
  <si>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</si>
  <si>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</si>
  <si>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</si>
  <si>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</si>
  <si>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</si>
  <si>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</si>
  <si>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</si>
  <si>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</si>
  <si>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</si>
  <si>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</si>
  <si>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</si>
  <si>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</si>
  <si>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</si>
  <si>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</si>
  <si>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</si>
  <si>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</si>
  <si>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</si>
  <si>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</si>
  <si>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</si>
  <si>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</si>
  <si>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</si>
  <si>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</si>
  <si>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</si>
  <si>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</si>
  <si>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</si>
  <si>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</si>
  <si>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</si>
  <si>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</si>
  <si>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</si>
  <si>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</si>
  <si>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</si>
  <si>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</si>
  <si>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</si>
  <si>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</si>
  <si>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</si>
  <si>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</si>
  <si>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</si>
  <si>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</si>
  <si>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</si>
  <si>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</si>
  <si>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</si>
  <si>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</si>
  <si>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</si>
  <si>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</si>
  <si>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</si>
  <si>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</si>
  <si>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</si>
  <si>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</si>
  <si>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</si>
  <si>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</si>
  <si>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</si>
  <si>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</si>
  <si>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</si>
  <si>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</si>
  <si>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</si>
  <si>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</si>
  <si>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</si>
  <si>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</si>
  <si>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</si>
  <si>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</si>
  <si>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</si>
  <si>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</si>
  <si>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</si>
  <si>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</si>
  <si>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</si>
  <si>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</si>
  <si>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</si>
  <si>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</si>
  <si>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</si>
  <si>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</si>
  <si>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</si>
  <si>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</si>
  <si>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</si>
  <si>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</si>
  <si>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</si>
  <si>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</si>
  <si>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</si>
  <si>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</si>
  <si>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</si>
  <si>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</si>
  <si>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</si>
  <si>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</si>
  <si>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</si>
  <si>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</si>
  <si>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</si>
  <si>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</si>
  <si>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</si>
  <si>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</si>
  <si>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</si>
  <si>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</si>
  <si>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</si>
  <si>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</si>
  <si>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</si>
  <si>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</si>
  <si>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</si>
  <si>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</si>
  <si>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</si>
  <si>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</si>
  <si>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</si>
  <si>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</si>
  <si>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</si>
  <si>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</si>
  <si>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</si>
  <si>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</si>
  <si>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</si>
  <si>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</si>
  <si>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</si>
  <si>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</si>
  <si>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</si>
  <si>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</si>
  <si>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</si>
  <si>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</si>
  <si>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</si>
  <si>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</si>
  <si>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</si>
  <si>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</si>
  <si>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</si>
  <si>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</si>
  <si>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</si>
  <si>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</si>
  <si>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</si>
  <si>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</si>
  <si>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</si>
  <si>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</si>
  <si>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</si>
  <si>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</si>
  <si>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</si>
  <si>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</si>
  <si>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</si>
  <si>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</si>
  <si>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</si>
  <si>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</si>
  <si>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</si>
  <si>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</si>
  <si>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</si>
  <si>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</si>
  <si>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</si>
  <si>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</si>
  <si>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</si>
  <si>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</si>
  <si>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</si>
  <si>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</si>
  <si>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</si>
  <si>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</si>
  <si>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</si>
  <si>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</si>
  <si>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</si>
  <si>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</si>
  <si>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</si>
  <si>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</si>
  <si>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</si>
  <si>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</si>
  <si>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</si>
  <si>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</si>
  <si>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</si>
  <si>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</si>
  <si>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</si>
  <si>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</si>
  <si>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</si>
  <si>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</si>
  <si>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</si>
  <si>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</si>
  <si>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</si>
  <si>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</si>
  <si>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</si>
  <si>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</si>
  <si>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</si>
  <si>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</si>
  <si>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</si>
  <si>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</si>
  <si>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</si>
  <si>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</si>
  <si>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</si>
  <si>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</si>
  <si>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</si>
  <si>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</si>
  <si>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</si>
  <si>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</si>
  <si>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</si>
  <si>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</si>
  <si>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</si>
  <si>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</si>
  <si>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</si>
  <si>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</si>
  <si>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</si>
  <si>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</si>
  <si>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</si>
  <si>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</si>
  <si>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</si>
  <si>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</si>
  <si>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</si>
  <si>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</si>
  <si>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</si>
  <si>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</si>
  <si>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</si>
  <si>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</si>
  <si>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</si>
  <si>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</si>
  <si>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</si>
  <si>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</si>
  <si>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</si>
  <si>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</si>
  <si>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</si>
  <si>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</si>
  <si>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</si>
  <si>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</si>
  <si>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</si>
  <si>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</si>
  <si>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</si>
  <si>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</si>
  <si>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</si>
  <si>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</si>
  <si>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</si>
  <si>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</si>
  <si>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</si>
  <si>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</si>
  <si>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</si>
  <si>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</si>
  <si>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</si>
  <si>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</si>
  <si>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</si>
  <si>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</si>
  <si>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</si>
  <si>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</si>
  <si>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</si>
  <si>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</si>
  <si>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</si>
  <si>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</si>
  <si>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</si>
  <si>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</si>
  <si>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</si>
  <si>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</si>
  <si>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</si>
  <si>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</si>
  <si>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</si>
  <si>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</si>
  <si>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</si>
  <si>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</si>
  <si>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</si>
  <si>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</si>
  <si>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</si>
  <si>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</si>
  <si>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</si>
  <si>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</si>
  <si>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</si>
  <si>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</si>
  <si>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</si>
  <si>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</si>
  <si>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</si>
  <si>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</si>
  <si>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</si>
  <si>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</si>
  <si>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</si>
  <si>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</si>
  <si>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</si>
  <si>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</si>
  <si>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</si>
  <si>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</si>
  <si>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</si>
  <si>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</si>
  <si>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</si>
  <si>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</si>
  <si>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</si>
  <si>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</si>
  <si>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</si>
  <si>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</si>
  <si>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</si>
  <si>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</si>
  <si>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</si>
  <si>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</si>
  <si>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</si>
  <si>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</si>
  <si>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</si>
  <si>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</si>
  <si>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</si>
  <si>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</si>
  <si>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</si>
  <si>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</si>
  <si>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</si>
  <si>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</si>
  <si>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</si>
  <si>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</si>
  <si>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</si>
  <si>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</si>
  <si>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</si>
  <si>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</si>
  <si>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</si>
  <si>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</si>
  <si>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</si>
  <si>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</si>
  <si>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</si>
  <si>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</si>
  <si>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</si>
  <si>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</si>
  <si>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</si>
  <si>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</si>
  <si>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</si>
  <si>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</si>
  <si>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</si>
  <si>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</si>
  <si>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</si>
  <si>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</si>
  <si>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</si>
  <si>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</si>
  <si>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</si>
  <si>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</si>
  <si>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</si>
  <si>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</si>
  <si>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</si>
  <si>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</si>
  <si>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</si>
  <si>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</si>
  <si>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</si>
  <si>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</si>
  <si>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</si>
  <si>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</si>
  <si>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</si>
  <si>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</si>
  <si>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</si>
  <si>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</si>
  <si>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</si>
  <si>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</si>
  <si>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</si>
  <si>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</si>
  <si>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</si>
  <si>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</si>
  <si>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</si>
  <si>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</si>
  <si>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</si>
  <si>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</si>
  <si>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</si>
  <si>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</si>
  <si>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</si>
  <si>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</si>
  <si>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</si>
  <si>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</si>
  <si>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</si>
  <si>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</si>
  <si>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</si>
  <si>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</si>
  <si>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</si>
  <si>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</si>
  <si>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</si>
  <si>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</si>
  <si>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</si>
  <si>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</si>
  <si>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</si>
  <si>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</si>
  <si>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</si>
  <si>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</si>
  <si>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</si>
  <si>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</si>
  <si>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</si>
  <si>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</si>
  <si>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</si>
  <si>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</si>
  <si>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</si>
  <si>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</si>
  <si>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</si>
  <si>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</si>
  <si>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</si>
  <si>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</si>
  <si>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</si>
  <si>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</si>
  <si>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</si>
  <si>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</si>
  <si>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</si>
  <si>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</si>
  <si>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</si>
  <si>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</si>
  <si>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</si>
  <si>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</si>
  <si>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</si>
  <si>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</si>
  <si>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</si>
  <si>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</si>
  <si>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</si>
  <si>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</si>
  <si>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</si>
  <si>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</si>
  <si>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</si>
  <si>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</si>
  <si>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</si>
  <si>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</si>
  <si>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</si>
  <si>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</si>
  <si>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</si>
  <si>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</si>
  <si>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</si>
  <si>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</si>
  <si>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</si>
  <si>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</si>
  <si>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</si>
  <si>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</si>
  <si>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</si>
  <si>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</si>
  <si>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</si>
  <si>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</si>
  <si>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</si>
  <si>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</si>
  <si>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</si>
  <si>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</si>
  <si>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</si>
  <si>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</si>
  <si>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</si>
  <si>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</si>
  <si>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</si>
  <si>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</si>
  <si>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</si>
  <si>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</si>
  <si>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</si>
  <si>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</si>
  <si>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</si>
  <si>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</si>
  <si>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</si>
  <si>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</si>
  <si>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</si>
  <si>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</si>
  <si>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</si>
  <si>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</si>
  <si>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</si>
  <si>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</si>
  <si>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</si>
  <si>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</si>
  <si>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</si>
  <si>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</si>
  <si>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</si>
  <si>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</si>
  <si>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</si>
  <si>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</si>
  <si>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</si>
  <si>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</si>
  <si>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</si>
  <si>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</si>
  <si>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</si>
  <si>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</si>
  <si>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</si>
  <si>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</si>
  <si>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</si>
  <si>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</si>
  <si>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</si>
  <si>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</si>
  <si>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</si>
  <si>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</si>
  <si>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</si>
  <si>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</si>
  <si>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</si>
  <si>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</si>
  <si>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</si>
  <si>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</si>
  <si>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</si>
  <si>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</si>
  <si>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</si>
  <si>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</si>
  <si>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</si>
  <si>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</si>
  <si>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</si>
  <si>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</si>
  <si>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</si>
  <si>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</si>
  <si>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</si>
  <si>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</si>
  <si>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</si>
  <si>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</si>
  <si>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</si>
  <si>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</si>
  <si>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</si>
  <si>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</si>
  <si>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</si>
  <si>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</si>
  <si>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</si>
  <si>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</si>
  <si>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</si>
  <si>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</si>
  <si>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</si>
  <si>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</si>
  <si>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</si>
  <si>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</si>
  <si>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</si>
  <si>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</si>
  <si>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</si>
  <si>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</si>
  <si>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</si>
  <si>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</si>
  <si>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</si>
  <si>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</si>
  <si>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</si>
  <si>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</si>
  <si>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</si>
  <si>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</si>
  <si>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</si>
  <si>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</si>
  <si>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</si>
  <si>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</si>
  <si>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</si>
  <si>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</si>
  <si>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</si>
  <si>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</si>
  <si>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</si>
  <si>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</si>
  <si>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</si>
  <si>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</si>
  <si>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</si>
  <si>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</si>
  <si>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</si>
  <si>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</si>
  <si>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</si>
  <si>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</si>
  <si>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</si>
  <si>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</si>
  <si>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</si>
  <si>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</si>
  <si>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</si>
  <si>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</si>
  <si>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</si>
  <si>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</si>
  <si>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</si>
  <si>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</si>
  <si>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</si>
  <si>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</si>
  <si>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</si>
  <si>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</si>
  <si>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</si>
  <si>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</si>
  <si>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</si>
  <si>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</si>
  <si>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</si>
  <si>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</si>
  <si>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</si>
  <si>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</si>
  <si>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</si>
  <si>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</si>
  <si>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</si>
  <si>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</si>
  <si>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</si>
  <si>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</si>
  <si>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</si>
  <si>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</si>
  <si>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</si>
  <si>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</si>
  <si>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</si>
  <si>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</si>
  <si>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</si>
  <si>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</si>
  <si>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</si>
  <si>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</si>
  <si>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</si>
  <si>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</si>
  <si>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</si>
  <si>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</si>
  <si>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</si>
  <si>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</si>
  <si>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</si>
  <si>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</si>
  <si>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</si>
  <si>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</si>
  <si>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</si>
  <si>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</si>
  <si>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</si>
  <si>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</si>
  <si>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</si>
  <si>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</si>
  <si>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</si>
  <si>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</si>
  <si>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</si>
  <si>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</si>
  <si>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</si>
  <si>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</si>
  <si>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</si>
  <si>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</si>
  <si>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</si>
  <si>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</si>
  <si>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</si>
  <si>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</si>
  <si>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</si>
  <si>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</si>
  <si>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</si>
  <si>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</si>
  <si>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</si>
  <si>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</si>
  <si>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</si>
  <si>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</si>
  <si>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</si>
  <si>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</si>
  <si>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</si>
  <si>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</si>
  <si>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</si>
  <si>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</si>
  <si>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</si>
  <si>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</si>
  <si>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</si>
  <si>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</si>
  <si>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</si>
  <si>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</si>
  <si>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</si>
  <si>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</si>
  <si>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</si>
  <si>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</si>
  <si>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</si>
  <si>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</si>
  <si>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</si>
  <si>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</si>
  <si>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</si>
  <si>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</si>
  <si>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</si>
  <si>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</si>
  <si>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</si>
  <si>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</si>
  <si>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</si>
  <si>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</si>
  <si>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</si>
  <si>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</si>
  <si>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</si>
  <si>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</si>
  <si>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</si>
  <si>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</si>
  <si>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</si>
  <si>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</si>
  <si>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</si>
  <si>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</si>
  <si>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</si>
  <si>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</si>
  <si>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</si>
  <si>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</si>
  <si>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</si>
  <si>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</si>
  <si>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</si>
  <si>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</si>
  <si>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</si>
  <si>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</si>
  <si>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</si>
  <si>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</si>
  <si>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</si>
  <si>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</si>
  <si>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</si>
  <si>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</si>
  <si>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</si>
  <si>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</si>
  <si>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</si>
  <si>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</si>
  <si>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</si>
  <si>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</si>
  <si>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</si>
  <si>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</si>
  <si>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</si>
  <si>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</si>
  <si>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</si>
  <si>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</si>
  <si>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</si>
  <si>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</si>
  <si>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</si>
  <si>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</si>
  <si>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</si>
  <si>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</si>
  <si>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</si>
  <si>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</si>
  <si>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</si>
  <si>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</si>
  <si>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</si>
  <si>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</si>
  <si>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</si>
  <si>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</si>
  <si>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</si>
  <si>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</si>
  <si>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</si>
  <si>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</si>
  <si>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</si>
  <si>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</si>
  <si>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</si>
  <si>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</si>
  <si>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</si>
  <si>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</si>
  <si>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</si>
  <si>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</si>
  <si>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</si>
  <si>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</si>
  <si>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</si>
  <si>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</si>
  <si>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</si>
  <si>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</si>
  <si>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</si>
  <si>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</si>
  <si>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</si>
  <si>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</si>
  <si>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</si>
  <si>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</si>
  <si>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</si>
  <si>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</si>
  <si>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</si>
  <si>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</si>
  <si>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</si>
  <si>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</si>
  <si>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</si>
  <si>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</si>
  <si>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</si>
  <si>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</si>
  <si>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</si>
  <si>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</si>
  <si>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</si>
  <si>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</si>
  <si>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</si>
  <si>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</si>
  <si>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</si>
  <si>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</si>
  <si>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</si>
  <si>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</si>
  <si>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</si>
  <si>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</si>
  <si>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</si>
  <si>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</si>
  <si>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</si>
  <si>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</si>
  <si>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</si>
  <si>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</si>
  <si>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</si>
  <si>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</si>
  <si>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</si>
  <si>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</si>
  <si>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</si>
  <si>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</si>
  <si>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</si>
  <si>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</si>
  <si>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</si>
  <si>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</si>
  <si>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</si>
  <si>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</si>
  <si>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</si>
  <si>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</si>
  <si>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</si>
  <si>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</si>
  <si>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</si>
  <si>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</si>
  <si>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</si>
  <si>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</si>
  <si>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</si>
  <si>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</si>
  <si>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</si>
  <si>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</si>
  <si>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</si>
  <si>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</si>
  <si>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</si>
  <si>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</si>
  <si>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</si>
  <si>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</si>
  <si>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</si>
  <si>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</si>
  <si>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</si>
  <si>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</si>
  <si>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</si>
  <si>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</si>
  <si>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</si>
  <si>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</si>
  <si>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</si>
  <si>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</si>
  <si>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</si>
  <si>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</si>
  <si>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</si>
  <si>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</si>
  <si>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</si>
  <si>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</si>
  <si>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</si>
  <si>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</si>
  <si>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</si>
  <si>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</si>
  <si>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</si>
  <si>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</si>
  <si>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</si>
  <si>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</si>
  <si>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</si>
  <si>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</si>
  <si>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</si>
  <si>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</si>
  <si>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</si>
  <si>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</si>
  <si>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</si>
  <si>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</si>
  <si>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</si>
  <si>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</si>
  <si>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</si>
  <si>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</si>
  <si>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</si>
  <si>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</si>
  <si>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</si>
  <si>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</si>
  <si>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</si>
  <si>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</si>
  <si>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</si>
  <si>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</si>
  <si>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</si>
  <si>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</si>
  <si>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</si>
  <si>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</si>
  <si>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</si>
  <si>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</si>
  <si>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</si>
  <si>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</si>
  <si>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</si>
  <si>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</si>
  <si>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</si>
  <si>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</si>
  <si>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</si>
  <si>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</si>
  <si>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</si>
  <si>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</si>
  <si>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</si>
  <si>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</si>
  <si>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</si>
  <si>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</si>
  <si>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</si>
  <si>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</si>
  <si>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</si>
  <si>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</si>
  <si>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</si>
  <si>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</si>
  <si>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</si>
  <si>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</si>
  <si>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</si>
  <si>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</si>
  <si>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</si>
  <si>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</si>
  <si>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</si>
  <si>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</si>
  <si>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</si>
  <si>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</si>
  <si>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</si>
  <si>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</si>
  <si>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</si>
  <si>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</si>
  <si>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</si>
  <si>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</si>
  <si>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</si>
  <si>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</si>
  <si>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</si>
  <si>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</si>
  <si>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</si>
  <si>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</si>
  <si>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</si>
  <si>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</si>
  <si>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</si>
  <si>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</si>
  <si>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</si>
  <si>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</si>
  <si>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</si>
  <si>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</si>
  <si>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</si>
  <si>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</si>
  <si>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</si>
  <si>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</si>
  <si>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</si>
  <si>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</si>
  <si>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</si>
  <si>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</si>
  <si>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</si>
  <si>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</si>
  <si>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</si>
  <si>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</si>
  <si>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</si>
  <si>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</si>
  <si>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</si>
  <si>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</si>
  <si>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</si>
  <si>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</si>
  <si>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</si>
  <si>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</si>
  <si>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</si>
  <si>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</si>
  <si>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</si>
  <si>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</si>
  <si>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</si>
  <si>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</si>
  <si>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</si>
  <si>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</si>
  <si>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</si>
  <si>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</si>
  <si>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</si>
  <si>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</si>
  <si>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</si>
  <si>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</si>
  <si>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</si>
  <si>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</si>
  <si>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</si>
  <si>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</si>
  <si>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</si>
  <si>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</si>
  <si>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</si>
  <si>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</si>
  <si>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</si>
  <si>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</si>
  <si>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</si>
  <si>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</si>
  <si>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</si>
  <si>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</si>
  <si>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</si>
  <si>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</si>
  <si>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</si>
  <si>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</si>
  <si>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</si>
  <si>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</si>
  <si>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</si>
  <si>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</si>
  <si>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</si>
  <si>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</si>
  <si>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</si>
  <si>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</si>
  <si>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</si>
  <si>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</si>
  <si>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</si>
  <si>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</si>
  <si>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</si>
  <si>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</si>
  <si>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</si>
  <si>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</si>
  <si>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</si>
  <si>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</si>
  <si>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</si>
  <si>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</si>
  <si>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</si>
  <si>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</si>
  <si>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</si>
  <si>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</si>
  <si>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</si>
  <si>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</si>
  <si>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</si>
  <si>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</si>
  <si>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</si>
  <si>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</si>
  <si>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</si>
  <si>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</si>
  <si>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</si>
  <si>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</si>
  <si>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</si>
  <si>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</si>
  <si>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</si>
  <si>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</si>
  <si>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</si>
  <si>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</si>
  <si>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</si>
  <si>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</si>
  <si>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</si>
  <si>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</si>
  <si>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</si>
  <si>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</si>
  <si>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</si>
  <si>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</si>
  <si>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</si>
  <si>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</si>
  <si>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</si>
  <si>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</si>
  <si>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</si>
  <si>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</si>
  <si>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</si>
  <si>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</si>
  <si>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</si>
  <si>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</si>
  <si>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</si>
  <si>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</si>
  <si>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</si>
  <si>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</si>
  <si>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</si>
  <si>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</si>
  <si>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</si>
  <si>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</si>
  <si>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</si>
  <si>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</si>
  <si>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</si>
  <si>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</si>
  <si>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</si>
  <si>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</si>
  <si>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</si>
  <si>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</si>
  <si>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</si>
  <si>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</si>
  <si>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</si>
  <si>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</si>
  <si>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</si>
  <si>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</si>
  <si>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</si>
  <si>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</si>
  <si>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</si>
  <si>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</si>
  <si>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</si>
  <si>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</si>
  <si>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</si>
  <si>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</si>
  <si>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</si>
  <si>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</si>
  <si>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</si>
  <si>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</si>
  <si>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</si>
  <si>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</si>
  <si>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</si>
  <si>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</si>
  <si>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</si>
  <si>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</si>
  <si>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</si>
  <si>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</si>
  <si>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</si>
  <si>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</si>
  <si>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</si>
  <si>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</si>
  <si>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</si>
  <si>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</si>
  <si>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</si>
  <si>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</si>
  <si>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</si>
  <si>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</si>
  <si>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</si>
  <si>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</si>
  <si>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</si>
  <si>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</si>
  <si>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</si>
  <si>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</si>
  <si>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</si>
  <si>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</si>
  <si>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</si>
  <si>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</si>
  <si>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</si>
  <si>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</si>
  <si>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</si>
  <si>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</si>
  <si>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</si>
  <si>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</si>
  <si>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</si>
  <si>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</si>
  <si>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</si>
  <si>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</si>
  <si>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</si>
  <si>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</si>
  <si>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</si>
  <si>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</si>
  <si>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</si>
  <si>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</si>
  <si>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</si>
  <si>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</si>
  <si>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</si>
  <si>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</si>
  <si>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</si>
  <si>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</si>
  <si>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</si>
  <si>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</si>
  <si>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</si>
  <si>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</si>
  <si>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</si>
  <si>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</si>
  <si>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</si>
  <si>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</si>
  <si>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</si>
  <si>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</si>
  <si>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</si>
  <si>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</si>
  <si>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</si>
  <si>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</si>
  <si>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</si>
  <si>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</si>
  <si>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</si>
  <si>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</si>
  <si>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</si>
  <si>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</si>
  <si>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</si>
  <si>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</si>
  <si>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</si>
  <si>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</si>
  <si>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</si>
  <si>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</si>
  <si>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</si>
  <si>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</si>
  <si>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</si>
  <si>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</si>
  <si>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</si>
  <si>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</si>
  <si>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</si>
  <si>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</si>
  <si>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</si>
  <si>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</si>
  <si>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</si>
  <si>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</si>
  <si>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</si>
  <si>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</si>
  <si>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</si>
  <si>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</si>
  <si>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</si>
  <si>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</si>
  <si>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</si>
  <si>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</si>
  <si>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</si>
  <si>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</si>
  <si>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</si>
  <si>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</si>
  <si>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</si>
  <si>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</si>
  <si>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</si>
  <si>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</si>
  <si>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</si>
  <si>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</si>
  <si>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</si>
  <si>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</si>
  <si>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</si>
  <si>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</si>
  <si>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</si>
  <si>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</si>
  <si>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</si>
  <si>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</si>
  <si>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</si>
  <si>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</si>
  <si>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</si>
  <si>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</si>
  <si>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</si>
  <si>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</si>
  <si>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</si>
  <si>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</si>
  <si>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</si>
  <si>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</si>
  <si>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</si>
  <si>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</si>
  <si>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</si>
  <si>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</si>
  <si>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</si>
  <si>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</si>
  <si>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</si>
  <si>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</si>
  <si>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</si>
  <si>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</si>
  <si>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</si>
  <si>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</si>
  <si>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</si>
  <si>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</si>
  <si>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</si>
  <si>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</si>
  <si>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</si>
  <si>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</si>
  <si>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</si>
  <si>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</si>
  <si>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</si>
  <si>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</si>
  <si>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</si>
  <si>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</si>
  <si>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</si>
  <si>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</si>
  <si>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</si>
  <si>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</si>
  <si>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</si>
  <si>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</si>
  <si>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</si>
  <si>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</si>
  <si>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</si>
  <si>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</si>
  <si>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</si>
  <si>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</si>
  <si>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</si>
  <si>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</si>
  <si>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</si>
  <si>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</si>
  <si>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</si>
  <si>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</si>
  <si>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</si>
  <si>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</si>
  <si>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</si>
  <si>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</si>
  <si>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</si>
  <si>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</si>
  <si>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</si>
  <si>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</si>
  <si>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</si>
  <si>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</si>
  <si>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</si>
  <si>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</si>
  <si>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</si>
  <si>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</si>
  <si>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</si>
  <si>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</si>
  <si>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</si>
  <si>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</si>
  <si>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</si>
  <si>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</si>
  <si>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</si>
  <si>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</si>
  <si>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</si>
  <si>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</si>
  <si>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</si>
  <si>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</si>
  <si>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</si>
  <si>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</si>
  <si>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</si>
  <si>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</si>
  <si>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</si>
  <si>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</si>
  <si>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</si>
  <si>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</si>
  <si>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</si>
  <si>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</si>
  <si>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</si>
  <si>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</si>
  <si>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</si>
  <si>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</si>
  <si>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</si>
  <si>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</si>
  <si>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</si>
  <si>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</si>
  <si>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</si>
  <si>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</si>
  <si>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</si>
  <si>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</si>
  <si>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</si>
  <si>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</si>
  <si>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</si>
  <si>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</si>
  <si>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</si>
  <si>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</si>
  <si>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</si>
  <si>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</si>
  <si>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</si>
  <si>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</si>
  <si>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</si>
  <si>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</si>
  <si>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</si>
  <si>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</si>
  <si>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</si>
  <si>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</si>
  <si>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</si>
  <si>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</si>
  <si>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</si>
  <si>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</si>
  <si>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</si>
  <si>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</si>
  <si>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</si>
  <si>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</si>
  <si>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</si>
  <si>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</si>
  <si>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</si>
  <si>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</si>
  <si>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</si>
  <si>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</si>
  <si>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</si>
  <si>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</si>
  <si>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</si>
  <si>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</si>
  <si>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</si>
  <si>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</si>
  <si>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</si>
  <si>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</si>
  <si>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</si>
  <si>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</si>
  <si>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</si>
  <si>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</si>
  <si>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</si>
  <si>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</si>
  <si>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</si>
  <si>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</si>
  <si>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</si>
  <si>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</si>
  <si>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</si>
  <si>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</si>
  <si>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</si>
  <si>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</si>
  <si>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</si>
  <si>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</si>
  <si>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</si>
  <si>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</si>
  <si>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</si>
  <si>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</si>
  <si>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</si>
  <si>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</si>
  <si>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</si>
  <si>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</si>
  <si>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</si>
  <si>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</si>
  <si>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</si>
  <si>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</si>
  <si>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</si>
  <si>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</si>
  <si>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</si>
  <si>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</si>
  <si>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</si>
  <si>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</si>
  <si>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</si>
  <si>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</si>
  <si>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</si>
  <si>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</si>
  <si>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</si>
  <si>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</si>
  <si>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</si>
  <si>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</si>
  <si>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</si>
  <si>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</si>
  <si>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</si>
  <si>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</si>
  <si>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</si>
  <si>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</si>
  <si>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</si>
  <si>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</si>
  <si>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</si>
  <si>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</si>
  <si>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</si>
  <si>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</si>
  <si>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</si>
  <si>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</si>
  <si>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</si>
  <si>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</si>
  <si>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</si>
  <si>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</si>
  <si>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</si>
  <si>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</si>
  <si>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</si>
  <si>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</si>
  <si>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</si>
  <si>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</si>
  <si>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</si>
  <si>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</si>
  <si>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</si>
  <si>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</si>
  <si>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</si>
  <si>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</si>
  <si>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</si>
  <si>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</si>
  <si>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</si>
  <si>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</si>
  <si>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</si>
  <si>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</si>
  <si>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</si>
  <si>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</si>
  <si>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</si>
  <si>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</si>
  <si>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</si>
  <si>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</si>
  <si>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</si>
  <si>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</si>
  <si>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</si>
  <si>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</si>
  <si>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</si>
  <si>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</si>
  <si>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</si>
  <si>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</si>
  <si>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</si>
  <si>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</si>
  <si>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</si>
  <si>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</si>
  <si>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</si>
  <si>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</si>
  <si>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</si>
  <si>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</si>
  <si>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</si>
  <si>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</si>
  <si>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</si>
  <si>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</si>
  <si>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</si>
  <si>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</si>
  <si>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</si>
  <si>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</si>
  <si>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</si>
  <si>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</si>
  <si>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</si>
  <si>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</si>
  <si>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</si>
  <si>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</si>
  <si>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</si>
  <si>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</si>
  <si>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</si>
  <si>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</si>
  <si>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</si>
  <si>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</si>
  <si>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</si>
  <si>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</si>
  <si>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</si>
  <si>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</si>
  <si>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</si>
  <si>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</si>
  <si>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</si>
  <si>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</si>
  <si>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</si>
  <si>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</si>
  <si>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</si>
  <si>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</si>
  <si>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</si>
  <si>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</si>
  <si>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</si>
  <si>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</si>
  <si>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</si>
  <si>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</si>
  <si>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</si>
  <si>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</si>
  <si>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</si>
  <si>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</si>
  <si>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</si>
  <si>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</si>
  <si>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</si>
  <si>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</si>
  <si>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</si>
  <si>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</si>
  <si>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</si>
  <si>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</si>
  <si>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</si>
  <si>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</si>
  <si>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</si>
  <si>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</si>
  <si>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</si>
  <si>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</si>
  <si>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</si>
  <si>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</si>
  <si>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</si>
  <si>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</si>
  <si>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</si>
  <si>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</si>
  <si>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</si>
  <si>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</si>
  <si>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</si>
  <si>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</si>
  <si>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</si>
  <si>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</si>
  <si>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</si>
  <si>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</si>
  <si>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</si>
  <si>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</si>
  <si>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</si>
  <si>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</si>
  <si>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</si>
  <si>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</si>
  <si>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</si>
  <si>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</si>
  <si>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</si>
  <si>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</si>
  <si>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</si>
  <si>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</si>
  <si>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</si>
  <si>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</si>
  <si>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</si>
  <si>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</si>
  <si>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</si>
  <si>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</si>
  <si>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</si>
  <si>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</si>
  <si>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</si>
  <si>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</si>
  <si>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</si>
  <si>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</si>
  <si>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</si>
  <si>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</si>
  <si>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</si>
  <si>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</si>
  <si>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</si>
  <si>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</si>
  <si>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</si>
  <si>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</si>
  <si>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</si>
  <si>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</si>
  <si>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</si>
  <si>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</si>
  <si>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</si>
  <si>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</si>
  <si>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</si>
  <si>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</si>
  <si>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</si>
  <si>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</si>
  <si>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</si>
  <si>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</si>
  <si>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</si>
  <si>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</si>
  <si>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</si>
  <si>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</si>
  <si>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</si>
  <si>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</si>
  <si>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</si>
  <si>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</si>
  <si>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</si>
  <si>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</si>
  <si>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</si>
  <si>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</si>
  <si>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</si>
  <si>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</si>
  <si>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</si>
  <si>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</si>
  <si>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</si>
  <si>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</si>
  <si>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</si>
  <si>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</si>
  <si>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</si>
  <si>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</si>
  <si>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</si>
  <si>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</si>
  <si>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</si>
  <si>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</si>
  <si>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</si>
  <si>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</si>
  <si>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</si>
  <si>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</si>
  <si>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</si>
  <si>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</si>
  <si>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</si>
  <si>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</si>
  <si>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</si>
  <si>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</si>
  <si>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</si>
  <si>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</si>
  <si>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</si>
  <si>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</si>
  <si>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</si>
  <si>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</si>
  <si>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</si>
  <si>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</si>
  <si>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</si>
  <si>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</si>
  <si>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</si>
  <si>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</si>
  <si>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</si>
  <si>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</si>
  <si>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</si>
  <si>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</si>
  <si>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</si>
  <si>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</si>
  <si>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</si>
  <si>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</si>
  <si>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</si>
  <si>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</si>
  <si>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</si>
  <si>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</si>
  <si>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</si>
  <si>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</si>
  <si>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</si>
  <si>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</si>
  <si>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</si>
  <si>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</si>
  <si>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</si>
  <si>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</si>
  <si>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</si>
  <si>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</si>
  <si>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</si>
  <si>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</si>
  <si>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</si>
  <si>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</si>
  <si>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</si>
  <si>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</si>
  <si>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</si>
  <si>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</si>
  <si>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</si>
  <si>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</si>
  <si>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</si>
  <si>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</si>
  <si>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</si>
  <si>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</si>
  <si>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</si>
  <si>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</si>
  <si>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</si>
  <si>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</si>
  <si>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</si>
  <si>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</si>
  <si>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</si>
  <si>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</si>
  <si>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</si>
  <si>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</si>
  <si>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</si>
  <si>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</si>
  <si>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</si>
  <si>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</si>
  <si>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</si>
  <si>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</si>
  <si>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</si>
  <si>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</si>
  <si>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</si>
  <si>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</si>
  <si>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</si>
  <si>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</si>
  <si>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</si>
  <si>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</si>
  <si>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</si>
  <si>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</si>
  <si>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</si>
  <si>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</si>
  <si>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</si>
  <si>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</si>
  <si>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</si>
  <si>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</si>
  <si>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</si>
  <si>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</si>
  <si>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</si>
  <si>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</si>
  <si>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</si>
  <si>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</si>
  <si>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</si>
  <si>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</si>
  <si>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</si>
  <si>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</si>
  <si>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</si>
  <si>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</si>
  <si>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</si>
  <si>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</si>
  <si>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</si>
  <si>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</si>
  <si>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</si>
  <si>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</si>
  <si>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</si>
  <si>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</si>
  <si>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</si>
  <si>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</si>
  <si>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</si>
  <si>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</si>
  <si>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</si>
  <si>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</si>
  <si>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</si>
  <si>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</si>
  <si>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</si>
  <si>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</si>
  <si>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</si>
  <si>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</si>
  <si>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</si>
  <si>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</si>
  <si>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</si>
  <si>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</si>
  <si>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</si>
  <si>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</si>
  <si>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</si>
  <si>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</si>
  <si>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</si>
  <si>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</si>
  <si>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</si>
  <si>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</si>
  <si>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</si>
  <si>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</si>
  <si>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</si>
  <si>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</si>
  <si>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</si>
  <si>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</si>
  <si>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</si>
  <si>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</si>
  <si>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</si>
  <si>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</si>
  <si>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</si>
  <si>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</si>
  <si>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</si>
  <si>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</si>
  <si>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</si>
  <si>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</si>
  <si>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</si>
  <si>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</si>
  <si>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</si>
  <si>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</si>
  <si>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</si>
  <si>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</si>
  <si>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</si>
  <si>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</si>
  <si>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</si>
  <si>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</si>
  <si>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</si>
  <si>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</si>
  <si>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</si>
  <si>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</si>
  <si>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</si>
  <si>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</si>
  <si>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</si>
  <si>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</si>
  <si>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</si>
  <si>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</si>
  <si>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</si>
  <si>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</si>
  <si>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</si>
  <si>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</si>
  <si>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</si>
  <si>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</si>
  <si>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</si>
  <si>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</si>
  <si>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</si>
  <si>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</si>
  <si>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</si>
  <si>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</si>
  <si>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</si>
  <si>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</si>
  <si>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</si>
  <si>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</si>
  <si>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</si>
  <si>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</si>
  <si>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</si>
  <si>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</si>
  <si>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</si>
  <si>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</si>
  <si>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</si>
  <si>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</si>
  <si>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</si>
  <si>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</si>
  <si>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</si>
  <si>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</si>
  <si>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</si>
  <si>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</si>
  <si>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</si>
  <si>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</si>
  <si>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</si>
  <si>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</si>
  <si>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</si>
  <si>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</si>
  <si>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</si>
  <si>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</si>
  <si>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</si>
  <si>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</si>
  <si>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</si>
  <si>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</si>
  <si>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</si>
  <si>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</si>
  <si>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</si>
  <si>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</si>
  <si>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</si>
  <si>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</si>
  <si>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</si>
  <si>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</si>
  <si>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</si>
  <si>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</si>
  <si>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</si>
  <si>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</si>
  <si>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</si>
  <si>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</si>
  <si>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</si>
  <si>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</si>
  <si>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</si>
  <si>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</si>
  <si>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</si>
  <si>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</si>
  <si>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</si>
  <si>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</si>
  <si>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</si>
  <si>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</si>
  <si>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</si>
  <si>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</si>
  <si>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</si>
  <si>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</si>
  <si>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</si>
  <si>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</si>
  <si>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</si>
  <si>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</si>
  <si>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</si>
  <si>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</si>
  <si>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</si>
  <si>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</si>
  <si>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</si>
  <si>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</si>
  <si>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</si>
  <si>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</si>
  <si>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</si>
  <si>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</si>
  <si>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</si>
  <si>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</si>
  <si>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</si>
  <si>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</si>
  <si>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</si>
  <si>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</si>
  <si>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</si>
  <si>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</si>
  <si>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</si>
  <si>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</si>
  <si>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</si>
  <si>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</si>
  <si>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</si>
  <si>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</si>
  <si>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</si>
  <si>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</si>
  <si>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</si>
  <si>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</si>
  <si>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</si>
  <si>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</si>
  <si>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</si>
  <si>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</si>
  <si>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</si>
  <si>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</si>
  <si>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</si>
  <si>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</si>
  <si>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</si>
  <si>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</si>
  <si>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</si>
  <si>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</si>
  <si>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</si>
  <si>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</si>
  <si>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</si>
  <si>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</si>
  <si>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</si>
  <si>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</si>
  <si>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</si>
  <si>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</si>
  <si>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</si>
  <si>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</si>
  <si>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</si>
  <si>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</si>
  <si>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</si>
  <si>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</si>
  <si>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</si>
  <si>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</si>
  <si>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</si>
  <si>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</si>
  <si>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</si>
  <si>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</si>
  <si>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</si>
  <si>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</si>
  <si>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</si>
  <si>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</si>
  <si>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</si>
  <si>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</si>
  <si>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</si>
  <si>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</si>
  <si>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</si>
  <si>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</si>
  <si>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</si>
  <si>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</si>
  <si>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</si>
  <si>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</si>
  <si>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</si>
  <si>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</si>
  <si>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</si>
  <si>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</si>
  <si>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</si>
  <si>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</si>
  <si>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</si>
  <si>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</si>
  <si>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</si>
  <si>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</si>
  <si>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</si>
  <si>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</si>
  <si>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</si>
  <si>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</si>
  <si>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</si>
  <si>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</si>
  <si>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</si>
  <si>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</si>
  <si>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</si>
  <si>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</si>
  <si>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</si>
  <si>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</si>
  <si>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</si>
  <si>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</si>
  <si>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</si>
  <si>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</si>
  <si>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</si>
  <si>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</si>
  <si>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</si>
  <si>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</si>
  <si>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</si>
  <si>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</si>
  <si>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</si>
  <si>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</si>
  <si>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</si>
  <si>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</si>
  <si>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</si>
  <si>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</si>
  <si>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</si>
  <si>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</si>
  <si>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</si>
  <si>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</si>
  <si>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</si>
  <si>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</si>
  <si>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</si>
  <si>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</si>
  <si>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</si>
  <si>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</si>
  <si>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</si>
  <si>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</si>
  <si>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</si>
  <si>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</si>
  <si>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</si>
  <si>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</si>
  <si>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</si>
  <si>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</si>
  <si>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</si>
  <si>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</si>
  <si>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</si>
  <si>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</si>
  <si>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</si>
  <si>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</si>
  <si>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</si>
  <si>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</si>
  <si>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</si>
  <si>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</si>
  <si>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</si>
  <si>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</si>
  <si>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</si>
  <si>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</si>
  <si>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</si>
  <si>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</si>
  <si>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</si>
  <si>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</si>
  <si>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</si>
  <si>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</si>
  <si>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</si>
  <si>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</si>
  <si>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</si>
  <si>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</si>
  <si>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</si>
  <si>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</si>
  <si>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</si>
  <si>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</si>
  <si>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</si>
  <si>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</si>
  <si>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</si>
  <si>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</si>
  <si>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</si>
  <si>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</si>
  <si>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</si>
  <si>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</si>
  <si>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</si>
  <si>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</si>
  <si>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</si>
  <si>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</si>
  <si>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</si>
  <si>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</si>
  <si>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</si>
  <si>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</si>
  <si>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</si>
  <si>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</si>
  <si>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</si>
  <si>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</si>
  <si>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</si>
  <si>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</si>
  <si>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</si>
  <si>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</si>
  <si>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</si>
  <si>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</si>
  <si>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</si>
  <si>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</si>
  <si>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</si>
  <si>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</si>
  <si>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</si>
  <si>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</si>
  <si>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</si>
  <si>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</si>
  <si>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</si>
  <si>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</si>
  <si>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</si>
  <si>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</si>
  <si>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</si>
  <si>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</si>
  <si>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</si>
  <si>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</si>
  <si>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</si>
  <si>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</si>
  <si>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</si>
  <si>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</si>
  <si>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</si>
  <si>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</si>
  <si>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</si>
  <si>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</si>
  <si>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</si>
  <si>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</si>
  <si>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</si>
  <si>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</si>
  <si>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</si>
  <si>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</si>
  <si>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</si>
  <si>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</si>
  <si>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</si>
  <si>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</si>
  <si>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</si>
  <si>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</si>
  <si>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</si>
  <si>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</si>
  <si>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</si>
  <si>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</si>
  <si>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</si>
  <si>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</si>
  <si>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</si>
  <si>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</si>
  <si>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</si>
  <si>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</si>
  <si>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</si>
  <si>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</si>
  <si>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</si>
  <si>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</si>
  <si>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</si>
  <si>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</si>
  <si>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</si>
  <si>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</si>
  <si>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</si>
  <si>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</si>
  <si>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</si>
  <si>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</si>
  <si>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</si>
  <si>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</si>
  <si>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</si>
  <si>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</si>
  <si>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</si>
  <si>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</si>
  <si>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</si>
  <si>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</si>
  <si>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</si>
  <si>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</si>
  <si>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</si>
  <si>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</si>
  <si>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</si>
  <si>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</si>
  <si>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</si>
  <si>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</si>
  <si>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</si>
  <si>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</si>
  <si>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</si>
  <si>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</si>
  <si>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</si>
  <si>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</si>
  <si>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</si>
  <si>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</si>
  <si>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</si>
  <si>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</si>
  <si>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</si>
  <si>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</si>
  <si>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</si>
  <si>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</si>
  <si>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</si>
  <si>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</si>
  <si>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</si>
  <si>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</si>
  <si>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</si>
  <si>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</si>
  <si>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</si>
  <si>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</si>
  <si>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</si>
  <si>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</si>
  <si>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</si>
  <si>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</si>
  <si>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</si>
  <si>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</si>
  <si>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</si>
  <si>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</si>
  <si>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</si>
  <si>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</si>
  <si>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</si>
  <si>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</si>
  <si>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</si>
  <si>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</si>
  <si>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</si>
  <si>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</si>
  <si>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</si>
  <si>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</si>
  <si>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</si>
  <si>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</si>
  <si>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</si>
  <si>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</si>
  <si>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</si>
  <si>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</si>
  <si>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</si>
  <si>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</si>
  <si>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</si>
  <si>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</si>
  <si>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</si>
  <si>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</si>
  <si>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</si>
  <si>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</si>
  <si>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</si>
  <si>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</si>
  <si>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</si>
  <si>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</si>
  <si>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</si>
  <si>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</si>
  <si>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</si>
  <si>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</si>
  <si>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</si>
  <si>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</si>
  <si>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</si>
  <si>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</si>
  <si>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</si>
  <si>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</si>
  <si>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</si>
  <si>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</si>
  <si>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</si>
  <si>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</si>
  <si>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</si>
  <si>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</si>
  <si>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</si>
  <si>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</si>
  <si>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</si>
  <si>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</si>
  <si>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</si>
  <si>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</si>
  <si>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</si>
  <si>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</si>
  <si>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</si>
  <si>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</si>
  <si>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</si>
  <si>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</si>
  <si>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</si>
  <si>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</si>
  <si>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</si>
  <si>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</si>
  <si>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</si>
  <si>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</si>
  <si>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</si>
  <si>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</si>
  <si>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</si>
  <si>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</si>
  <si>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</si>
  <si>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</si>
  <si>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</si>
  <si>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</si>
  <si>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</si>
  <si>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</si>
  <si>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</si>
  <si>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</si>
  <si>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</si>
  <si>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</si>
  <si>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</si>
  <si>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</si>
  <si>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</si>
  <si>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</si>
  <si>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</si>
  <si>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</si>
  <si>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</si>
  <si>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</si>
  <si>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</si>
  <si>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</si>
  <si>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</si>
  <si>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</si>
  <si>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</si>
  <si>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</si>
  <si>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</si>
  <si>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</si>
  <si>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</si>
  <si>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</si>
  <si>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</si>
  <si>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</si>
  <si>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</si>
  <si>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</si>
  <si>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</si>
  <si>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</si>
  <si>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</si>
  <si>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</si>
  <si>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</si>
  <si>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</si>
  <si>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</si>
  <si>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</si>
  <si>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</si>
  <si>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</si>
  <si>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</si>
  <si>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</si>
  <si>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</si>
  <si>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</si>
  <si>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</si>
  <si>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</si>
  <si>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</si>
  <si>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</si>
  <si>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</si>
  <si>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</si>
  <si>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</si>
  <si>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</si>
  <si>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</si>
  <si>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</si>
  <si>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</si>
  <si>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</si>
  <si>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</si>
  <si>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</si>
  <si>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</si>
  <si>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</si>
  <si>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</si>
  <si>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</si>
  <si>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</si>
  <si>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</si>
  <si>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</si>
  <si>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</si>
  <si>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</si>
  <si>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</si>
  <si>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</si>
  <si>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</si>
  <si>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</si>
  <si>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</si>
  <si>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</si>
  <si>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</si>
  <si>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</si>
  <si>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</si>
  <si>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</si>
  <si>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</si>
  <si>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</si>
  <si>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</si>
  <si>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</si>
  <si>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</si>
  <si>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</si>
  <si>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</si>
  <si>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</si>
  <si>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</si>
  <si>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</si>
  <si>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</si>
  <si>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</si>
  <si>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</si>
  <si>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</si>
  <si>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</si>
  <si>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</si>
  <si>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</si>
  <si>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</si>
  <si>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</si>
  <si>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</si>
  <si>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</si>
  <si>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</si>
  <si>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</si>
  <si>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</si>
  <si>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</si>
  <si>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</si>
  <si>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</si>
  <si>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</si>
  <si>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</si>
  <si>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</si>
  <si>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</si>
  <si>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</si>
  <si>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</si>
  <si>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</si>
  <si>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</si>
  <si>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</si>
  <si>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</si>
  <si>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</si>
  <si>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</si>
  <si>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</si>
  <si>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</si>
  <si>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</si>
  <si>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</si>
  <si>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</si>
  <si>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</si>
  <si>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</si>
  <si>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</si>
  <si>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</si>
  <si>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</si>
  <si>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</si>
  <si>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</si>
  <si>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</si>
  <si>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</si>
  <si>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</si>
  <si>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</si>
  <si>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</si>
  <si>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</si>
  <si>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</si>
  <si>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</si>
  <si>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</si>
  <si>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</si>
  <si>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</si>
  <si>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</si>
  <si>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</si>
  <si>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</si>
  <si>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</si>
  <si>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</si>
  <si>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</si>
  <si>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</si>
  <si>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</si>
  <si>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</si>
  <si>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</si>
  <si>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</si>
  <si>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</si>
  <si>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</si>
  <si>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</si>
  <si>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</si>
  <si>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</si>
  <si>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</si>
  <si>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</si>
  <si>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</si>
  <si>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</si>
  <si>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</si>
  <si>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</si>
  <si>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</si>
  <si>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</si>
  <si>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</si>
  <si>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</si>
  <si>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</si>
  <si>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</si>
  <si>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</si>
  <si>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</si>
  <si>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</si>
  <si>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</si>
  <si>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</si>
  <si>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</si>
  <si>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</si>
  <si>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</si>
  <si>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</si>
  <si>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</si>
  <si>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</si>
  <si>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</si>
  <si>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</si>
  <si>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</si>
  <si>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</si>
  <si>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</si>
  <si>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</si>
  <si>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</si>
  <si>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</si>
  <si>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</si>
  <si>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</si>
  <si>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</si>
  <si>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</si>
  <si>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</si>
  <si>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</si>
  <si>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</si>
  <si>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</si>
  <si>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</si>
  <si>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</si>
  <si>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</si>
  <si>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</si>
  <si>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</si>
  <si>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</si>
  <si>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</si>
  <si>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</si>
  <si>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</si>
  <si>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</si>
  <si>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</si>
  <si>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</si>
  <si>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</si>
  <si>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</si>
  <si>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</si>
  <si>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</si>
  <si>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</si>
  <si>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</si>
  <si>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</si>
  <si>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</si>
  <si>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</si>
  <si>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</si>
  <si>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</si>
  <si>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</si>
  <si>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</si>
  <si>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</si>
  <si>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</si>
  <si>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</si>
  <si>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</si>
  <si>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</si>
  <si>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</si>
  <si>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</si>
  <si>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</si>
  <si>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</si>
  <si>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</si>
  <si>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</si>
  <si>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</si>
  <si>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</si>
  <si>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</si>
  <si>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</si>
  <si>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</si>
  <si>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</si>
  <si>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</si>
  <si>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</si>
  <si>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</si>
  <si>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</si>
  <si>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</si>
  <si>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</si>
  <si>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</si>
  <si>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</si>
  <si>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</si>
  <si>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</si>
  <si>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</si>
  <si>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</si>
  <si>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</si>
  <si>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</si>
  <si>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</si>
  <si>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</si>
  <si>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</si>
  <si>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</si>
  <si>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</si>
  <si>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</si>
  <si>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</si>
  <si>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</si>
  <si>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</si>
  <si>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</si>
  <si>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</si>
  <si>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</si>
  <si>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</si>
  <si>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</si>
  <si>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</si>
  <si>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</si>
  <si>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</si>
  <si>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</si>
  <si>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</si>
  <si>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</si>
  <si>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</si>
  <si>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</si>
  <si>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</si>
  <si>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</si>
  <si>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</si>
  <si>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</si>
  <si>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</si>
  <si>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</si>
  <si>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</si>
  <si>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</si>
  <si>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</si>
  <si>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</si>
  <si>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</si>
  <si>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</si>
  <si>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</si>
  <si>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</si>
  <si>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</si>
  <si>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</si>
  <si>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</si>
  <si>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</si>
  <si>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</si>
  <si>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</si>
  <si>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</si>
  <si>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</si>
  <si>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</si>
  <si>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</si>
  <si>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</si>
  <si>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</si>
  <si>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</si>
  <si>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</si>
  <si>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</si>
  <si>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</si>
  <si>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</si>
  <si>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</si>
  <si>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</si>
  <si>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</si>
  <si>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</si>
  <si>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</si>
  <si>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</si>
  <si>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</si>
  <si>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</si>
  <si>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</si>
  <si>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</si>
  <si>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</si>
  <si>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</si>
  <si>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</si>
  <si>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</si>
  <si>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</si>
  <si>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</si>
  <si>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</si>
  <si>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</si>
  <si>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</si>
  <si>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</si>
  <si>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</si>
  <si>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</si>
  <si>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</si>
  <si>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</si>
  <si>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</si>
  <si>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</si>
  <si>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</si>
  <si>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</si>
  <si>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</si>
  <si>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</si>
  <si>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</si>
  <si>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</si>
  <si>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</si>
  <si>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</si>
  <si>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</si>
  <si>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</si>
  <si>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</si>
  <si>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</si>
  <si>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</si>
  <si>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</si>
  <si>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</si>
  <si>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</si>
  <si>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</si>
  <si>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</si>
  <si>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</si>
  <si>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</si>
  <si>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</si>
  <si>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</si>
  <si>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</si>
  <si>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</si>
  <si>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</si>
  <si>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</si>
  <si>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</si>
  <si>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</si>
  <si>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</si>
  <si>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</si>
  <si>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</si>
  <si>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</si>
  <si>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</si>
  <si>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</si>
  <si>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</si>
  <si>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</si>
  <si>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</si>
  <si>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</si>
  <si>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</si>
  <si>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</si>
  <si>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</si>
  <si>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</si>
  <si>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</si>
  <si>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</si>
  <si>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</si>
  <si>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</si>
  <si>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</si>
  <si>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</si>
  <si>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</si>
  <si>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</si>
  <si>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</si>
  <si>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</si>
  <si>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</si>
  <si>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</si>
  <si>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</si>
  <si>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</si>
  <si>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</si>
  <si>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</si>
  <si>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</si>
  <si>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</si>
  <si>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</si>
  <si>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</si>
  <si>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</si>
  <si>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</si>
  <si>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</si>
  <si>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</si>
  <si>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</si>
  <si>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</si>
  <si>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</si>
  <si>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</si>
  <si>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</si>
  <si>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</si>
  <si>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</si>
  <si>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</si>
  <si>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</si>
  <si>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</si>
  <si>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</si>
  <si>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</si>
  <si>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</si>
  <si>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</si>
  <si>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</si>
  <si>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</si>
  <si>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</si>
  <si>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</si>
  <si>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</si>
  <si>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</si>
  <si>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</si>
  <si>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</si>
  <si>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</si>
  <si>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</si>
  <si>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</si>
  <si>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</si>
  <si>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</si>
  <si>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</si>
  <si>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</si>
  <si>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</si>
  <si>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</si>
  <si>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</si>
  <si>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</si>
  <si>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</si>
  <si>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</si>
  <si>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</si>
  <si>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</si>
  <si>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</si>
  <si>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</si>
  <si>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</si>
  <si>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</si>
  <si>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</si>
  <si>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</si>
  <si>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</si>
  <si>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</si>
  <si>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</si>
  <si>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</si>
  <si>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</si>
  <si>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</si>
  <si>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</si>
  <si>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</si>
  <si>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</si>
  <si>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</si>
  <si>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</si>
  <si>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</si>
  <si>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</si>
  <si>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</si>
  <si>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</si>
  <si>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</si>
  <si>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</si>
  <si>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</si>
  <si>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</si>
  <si>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</si>
  <si>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</si>
  <si>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</si>
  <si>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</si>
  <si>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</si>
  <si>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</si>
  <si>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</si>
  <si>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</si>
  <si>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</si>
  <si>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</si>
  <si>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</si>
  <si>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</si>
  <si>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</si>
  <si>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</si>
  <si>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</si>
  <si>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</si>
  <si>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</si>
  <si>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</si>
  <si>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</si>
  <si>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</si>
  <si>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</si>
  <si>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</si>
  <si>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</si>
  <si>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</si>
  <si>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</si>
  <si>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</si>
  <si>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</si>
  <si>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</si>
  <si>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</si>
  <si>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</si>
  <si>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</si>
  <si>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</si>
  <si>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</si>
  <si>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</si>
  <si>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</si>
  <si>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</si>
  <si>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</si>
  <si>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</si>
  <si>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</si>
  <si>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</si>
  <si>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</si>
  <si>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</si>
  <si>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</si>
  <si>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</si>
  <si>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</si>
  <si>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</si>
  <si>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</si>
  <si>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</si>
  <si>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</si>
  <si>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</si>
  <si>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</si>
  <si>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</si>
  <si>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</si>
  <si>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</si>
  <si>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</si>
  <si>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</si>
  <si>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</si>
  <si>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</si>
  <si>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</si>
  <si>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</si>
  <si>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</si>
  <si>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</si>
  <si>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</si>
  <si>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</si>
  <si>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</si>
  <si>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</si>
  <si>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</si>
  <si>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</si>
  <si>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</si>
  <si>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</si>
  <si>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</si>
  <si>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</si>
  <si>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</si>
  <si>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</si>
  <si>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</si>
  <si>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</si>
  <si>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</si>
  <si>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</si>
  <si>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</si>
  <si>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</si>
  <si>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</si>
  <si>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</si>
  <si>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</si>
  <si>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</si>
  <si>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</si>
  <si>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</si>
  <si>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</si>
  <si>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</si>
  <si>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</si>
  <si>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</si>
  <si>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</si>
  <si>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</si>
  <si>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</si>
  <si>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</si>
  <si>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</si>
  <si>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</si>
  <si>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</si>
  <si>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</si>
  <si>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</si>
  <si>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</si>
  <si>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</si>
  <si>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</si>
  <si>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</si>
  <si>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</si>
  <si>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</si>
  <si>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</si>
  <si>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</si>
  <si>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</si>
  <si>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</si>
  <si>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</si>
  <si>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</si>
  <si>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</si>
  <si>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</si>
  <si>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</si>
  <si>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</si>
  <si>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</si>
  <si>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</si>
  <si>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</si>
  <si>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</si>
  <si>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</si>
  <si>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</si>
  <si>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</si>
  <si>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</si>
  <si>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</si>
  <si>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</si>
  <si>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</si>
  <si>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</si>
  <si>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</si>
  <si>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</si>
  <si>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</si>
  <si>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</si>
  <si>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</si>
  <si>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</si>
  <si>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</si>
  <si>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</si>
  <si>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</si>
  <si>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</si>
  <si>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</si>
  <si>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</si>
  <si>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</si>
  <si>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</si>
  <si>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</si>
  <si>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</si>
  <si>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</si>
  <si>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</si>
  <si>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</si>
  <si>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</si>
  <si>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</si>
  <si>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</si>
  <si>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</si>
  <si>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</si>
  <si>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</si>
  <si>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</si>
  <si>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</si>
  <si>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</si>
  <si>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</si>
  <si>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</si>
  <si>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</si>
  <si>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</si>
  <si>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</si>
  <si>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</si>
  <si>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</si>
  <si>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</si>
  <si>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</si>
  <si>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</si>
  <si>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</si>
  <si>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</si>
  <si>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</si>
  <si>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</si>
  <si>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</si>
  <si>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</si>
  <si>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</si>
  <si>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</si>
  <si>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</si>
  <si>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</si>
  <si>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</si>
  <si>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</si>
  <si>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</si>
  <si>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</si>
  <si>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</si>
  <si>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</si>
  <si>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</si>
  <si>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</si>
  <si>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</si>
  <si>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</si>
  <si>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</si>
  <si>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</si>
  <si>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</si>
  <si>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</si>
  <si>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</si>
  <si>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</si>
  <si>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</si>
  <si>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</si>
  <si>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</si>
  <si>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</si>
  <si>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</si>
  <si>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</si>
  <si>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</si>
  <si>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</si>
  <si>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</si>
  <si>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</si>
  <si>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</si>
  <si>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</si>
  <si>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</si>
  <si>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</si>
  <si>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</si>
  <si>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</si>
  <si>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</si>
  <si>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</si>
  <si>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</si>
  <si>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</si>
  <si>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</si>
  <si>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</si>
  <si>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</si>
  <si>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</si>
  <si>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</si>
  <si>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</si>
  <si>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</si>
  <si>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</si>
  <si>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</si>
  <si>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</si>
  <si>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</si>
  <si>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</si>
  <si>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</si>
  <si>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</si>
  <si>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</si>
  <si>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</si>
  <si>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</si>
  <si>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</si>
  <si>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</si>
  <si>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</si>
  <si>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</si>
  <si>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</si>
  <si>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</si>
  <si>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</si>
  <si>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</si>
  <si>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</si>
  <si>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</si>
  <si>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</si>
  <si>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</si>
  <si>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</si>
  <si>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</si>
  <si>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</si>
  <si>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</si>
  <si>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</si>
  <si>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</si>
  <si>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</si>
  <si>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</si>
  <si>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</si>
  <si>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</si>
  <si>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</si>
  <si>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</si>
  <si>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</si>
  <si>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</si>
  <si>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</si>
  <si>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</si>
  <si>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</si>
  <si>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</si>
  <si>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</si>
  <si>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</si>
  <si>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</si>
  <si>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</si>
  <si>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</si>
  <si>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</si>
  <si>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</si>
  <si>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</si>
  <si>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</si>
  <si>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</si>
  <si>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</si>
  <si>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</si>
  <si>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</si>
  <si>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</si>
  <si>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</si>
  <si>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</si>
  <si>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</si>
  <si>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</si>
  <si>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</si>
  <si>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</si>
  <si>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</si>
  <si>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</si>
  <si>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</si>
  <si>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</si>
  <si>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</si>
  <si>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</si>
  <si>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</si>
  <si>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</si>
  <si>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</si>
  <si>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</si>
  <si>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</si>
  <si>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</si>
  <si>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</si>
  <si>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</si>
  <si>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</si>
  <si>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</si>
  <si>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</si>
  <si>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</si>
  <si>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</si>
  <si>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</si>
  <si>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</si>
  <si>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</si>
  <si>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</si>
  <si>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</si>
  <si>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</si>
  <si>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</si>
  <si>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</si>
  <si>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</si>
  <si>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</si>
  <si>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</si>
  <si>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</si>
  <si>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</si>
  <si>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</si>
  <si>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</si>
  <si>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</si>
  <si>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</si>
  <si>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</si>
  <si>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</si>
  <si>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</si>
  <si>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</si>
  <si>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</si>
  <si>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</si>
  <si>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</si>
  <si>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</si>
  <si>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</si>
  <si>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</si>
  <si>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</si>
  <si>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</si>
  <si>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</si>
  <si>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</si>
  <si>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</si>
  <si>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</si>
  <si>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</si>
  <si>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</si>
  <si>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</si>
  <si>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</si>
  <si>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</si>
  <si>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</si>
  <si>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</si>
  <si>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</si>
  <si>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</si>
  <si>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</si>
  <si>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</si>
  <si>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</si>
  <si>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</si>
  <si>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</si>
  <si>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</si>
  <si>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</si>
  <si>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</si>
  <si>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</si>
  <si>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</si>
  <si>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</si>
  <si>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</si>
  <si>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</si>
  <si>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</si>
  <si>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</si>
  <si>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</si>
  <si>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</si>
  <si>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</si>
  <si>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</si>
  <si>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</si>
  <si>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</si>
  <si>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</si>
  <si>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</si>
  <si>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</si>
  <si>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</si>
  <si>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</si>
  <si>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</si>
  <si>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</si>
  <si>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</si>
  <si>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</si>
  <si>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</si>
  <si>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</si>
  <si>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</si>
  <si>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</si>
  <si>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</si>
  <si>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</si>
  <si>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</si>
  <si>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</si>
  <si>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</si>
  <si>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</si>
  <si>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</si>
  <si>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 xml:space="preserve">Em processo de Pintura </t>
  </si>
  <si>
    <t>Liberado para expedição</t>
  </si>
  <si>
    <t>LIBERADO PARA EXPEDIÇÃO</t>
  </si>
  <si>
    <t xml:space="preserve">Em processo de compra de material 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</si>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</sst>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9" fontId="5" fillId="0" borderId="1" xfId="0" applyNumberFormat="1" applyFont="1" applyBorder="1" applyAlignment="1">
      <alignment horizontal="center" vertical="center"/>
    </xf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0" fontId="0" fillId="78" borderId="1" xfId="0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25.1205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97.4923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6.8622999999999976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32.7241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10.8445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23.010400000000001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32" totalsRowShown="0" headerRowDxfId="134" tableBorderDxfId="133">
  <autoFilter ref="A1:AW832" xr:uid="{00000000-000C-0000-FFFF-FFFF00000000}">
    <filterColumn colId="11">
      <filters>
        <filter val="P-897"/>
      </filters>
    </filterColumn>
  </autoFilter>
  <tableColumns count="49">
    <tableColumn id="1" xr3:uid="{00000000-0010-0000-0000-000001000000}" name="DESENHO_x000a_MDE" dataDxfId="132"/>
    <tableColumn id="43" xr3:uid="{56981E1B-CD3E-434D-AB02-C5F83A6F3E43}" name="DESENHO_x000a_CLIENTE" dataDxfId="131"/>
    <tableColumn id="2" xr3:uid="{00000000-0010-0000-0000-000002000000}" name="QTE" dataDxfId="130"/>
    <tableColumn id="3" xr3:uid="{00000000-0010-0000-0000-000003000000}" name="DESCRIÇÃO" dataDxfId="129"/>
    <tableColumn id="41" xr3:uid="{00000000-0010-0000-0000-000029000000}" name="COD.MDE" dataDxfId="128"/>
    <tableColumn id="40" xr3:uid="{00000000-0010-0000-0000-000028000000}" name="REMESSA" dataDxfId="127"/>
    <tableColumn id="4" xr3:uid="{00000000-0010-0000-0000-000004000000}" name="PESO UNI" dataDxfId="126"/>
    <tableColumn id="5" xr3:uid="{00000000-0010-0000-0000-000005000000}" name="PESO TOTAL" dataDxfId="125"/>
    <tableColumn id="6" xr3:uid="{00000000-0010-0000-0000-000006000000}" name="Revisão" dataDxfId="124"/>
    <tableColumn id="7" xr3:uid="{00000000-0010-0000-0000-000007000000}" name="TAG" dataDxfId="123"/>
    <tableColumn id="38" xr3:uid="{00000000-0010-0000-0000-000026000000}" name="PRODUTO" dataDxfId="122"/>
    <tableColumn id="8" xr3:uid="{00000000-0010-0000-0000-000008000000}" name="PEDIDO" dataDxfId="121"/>
    <tableColumn id="9" xr3:uid="{00000000-0010-0000-0000-000009000000}" name="Engenharia" dataDxfId="120"/>
    <tableColumn id="10" xr3:uid="{00000000-0010-0000-0000-00000A000000}" name="FORNECEDOR" dataDxfId="119"/>
    <tableColumn id="11" xr3:uid="{00000000-0010-0000-0000-00000B000000}" name="QTDE/ Fabricação" dataDxfId="118"/>
    <tableColumn id="12" xr3:uid="{00000000-0010-0000-0000-00000C000000}" name="DATA/Fabricação" dataDxfId="117"/>
    <tableColumn id="13" xr3:uid="{00000000-0010-0000-0000-00000D000000}" name="SALDO PENDENTE/Fabricação" dataDxfId="116"/>
    <tableColumn id="14" xr3:uid="{00000000-0010-0000-0000-00000E000000}" name="EVOLUÇÃO PRETO / Fabricação_x000a_(kg)" dataDxfId="115"/>
    <tableColumn id="15" xr3:uid="{00000000-0010-0000-0000-00000F000000}" name="PRONTO ACABADO kg" dataDxfId="114">
      <calculatedColumnFormula>IFERROR(H2*AG2,"")</calculatedColumnFormula>
    </tableColumn>
    <tableColumn id="16" xr3:uid="{00000000-0010-0000-0000-000010000000}" name="Pendencia  / Fabricação_x000a_EM KG" dataDxfId="113"/>
    <tableColumn id="17" xr3:uid="{00000000-0010-0000-0000-000011000000}" name="QIANTIDADE EXPEDIDA" dataDxfId="112"/>
    <tableColumn id="18" xr3:uid="{00000000-0010-0000-0000-000012000000}" name="ROMANEIO " dataDxfId="111"/>
    <tableColumn id="19" xr3:uid="{00000000-0010-0000-0000-000013000000}" name="DATA EXPEDIÇÃO" dataDxfId="110"/>
    <tableColumn id="20" xr3:uid="{00000000-0010-0000-0000-000014000000}" name="Peso Expedido" dataDxfId="109"/>
    <tableColumn id="21" xr3:uid="{00000000-0010-0000-0000-000015000000}" name="QUANTIDADE PENDENTE/Expedição" dataDxfId="108"/>
    <tableColumn id="22" xr3:uid="{00000000-0010-0000-0000-000016000000}" name="PESO PENDENTE/Expedição" dataDxfId="107"/>
    <tableColumn id="23" xr3:uid="{00000000-0010-0000-0000-000017000000}" name="MATÉRIA PRIMA" dataDxfId="106"/>
    <tableColumn id="24" xr3:uid="{00000000-0010-0000-0000-000018000000}" name="RELATORIO" dataDxfId="105"/>
    <tableColumn id="25" xr3:uid="{00000000-0010-0000-0000-000019000000}" name="PREPARAÇÃO " dataDxfId="104"/>
    <tableColumn id="26" xr3:uid="{00000000-0010-0000-0000-00001A000000}" name="CALDEIRARIA" dataDxfId="103"/>
    <tableColumn id="27" xr3:uid="{00000000-0010-0000-0000-00001B000000}" name="SOLDA" dataDxfId="102"/>
    <tableColumn id="28" xr3:uid="{00000000-0010-0000-0000-00001C000000}" name="ACABAMENTO" dataDxfId="101"/>
    <tableColumn id="29" xr3:uid="{00000000-0010-0000-0000-00001D000000}" name="PRONTO ACABADO" dataDxfId="100"/>
    <tableColumn id="30" xr3:uid="{00000000-0010-0000-0000-00001E000000}" name="EXPEDIÇÃO " dataDxfId="99"/>
    <tableColumn id="31" xr3:uid="{00000000-0010-0000-0000-00001F000000}" name="FINALIZADO " dataDxfId="98"/>
    <tableColumn id="32" xr3:uid="{00000000-0010-0000-0000-000020000000}" name="Coluna1" dataDxfId="97"/>
    <tableColumn id="33" xr3:uid="{00000000-0010-0000-0000-000021000000}" name="Coluna2" dataDxfId="96"/>
    <tableColumn id="34" xr3:uid="{00000000-0010-0000-0000-000022000000}" name="Coluna3" dataDxfId="95"/>
    <tableColumn id="35" xr3:uid="{00000000-0010-0000-0000-000023000000}" name="Coluna4" dataDxfId="9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3"/>
    <tableColumn id="42" xr3:uid="{44772FB5-94B9-4683-9D51-42A525419432}" name="Colunas7" dataDxfId="92"/>
    <tableColumn id="44" xr3:uid="{7DBCA215-A831-41EC-8668-4217050D7CEF}" name="Coluna5" dataDxfId="91"/>
    <tableColumn id="52" xr3:uid="{0F1E3E30-ACD2-41A7-9FEB-CFC4141C720F}" name="PRONTO NO PRETO" dataDxfId="90"/>
    <tableColumn id="53" xr3:uid="{7B42991E-C57D-449B-9CA4-FF51ED3B7EE1}" name="PRONTO ACABADO3" dataDxfId="89"/>
    <tableColumn id="54" xr3:uid="{B185D57F-2904-41B4-A913-414AD30553DC}" name="PESO EXPEDIDO2" dataDxfId="88"/>
    <tableColumn id="55" xr3:uid="{216FC5C0-1E81-4ACF-B1FE-D38AAA1F26E6}" name="PRONTO ACABADO2" dataDxfId="87"/>
    <tableColumn id="57" xr3:uid="{58807113-78D0-4422-B88A-8E66792B9681}" name="Coluna7" dataDxfId="8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8" totalsRowShown="0" headerRowDxfId="85" headerRowBorderDxfId="84" tableBorderDxfId="83" totalsRowBorderDxfId="82">
  <autoFilter ref="A1:F18" xr:uid="{9E04BDB3-7991-400D-A075-6EF4E207F167}"/>
  <tableColumns count="6">
    <tableColumn id="1" xr3:uid="{0986BF72-EBA9-4CAA-A22C-20021A2F0193}" name="PEDIDO" dataDxfId="81"/>
    <tableColumn id="2" xr3:uid="{1E29E510-3230-4D4A-9101-BF1603DA1959}" name="EQUIPAMENTO" dataDxfId="80"/>
    <tableColumn id="3" xr3:uid="{27EA8246-98FE-4DF0-AB4F-2563340E3A33}" name="DATA PREVISTA " dataDxfId="79"/>
    <tableColumn id="4" xr3:uid="{178705E0-20E1-4EA8-BD6A-04EDA09B960F}" name="DATA REPROGRAMADA" dataDxfId="78"/>
    <tableColumn id="5" xr3:uid="{D69E8AE6-FCF7-4D70-8443-DFF41092DBA5}" name="Observação" dataDxfId="77"/>
    <tableColumn id="6" xr3:uid="{7ED96CF2-6F65-4A02-A0B9-FFDE23E894EB}" name="CLIENTE" dataDxfId="7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5">
  <autoFilter ref="D3:R395" xr:uid="{D635AFD0-01A4-4F4C-B4BB-2C0A84AFA373}"/>
  <tableColumns count="15">
    <tableColumn id="1" xr3:uid="{71019319-E348-41C4-90A8-BD800AFA385A}" name="TAG" dataDxfId="74"/>
    <tableColumn id="2" xr3:uid="{6205B1F5-4B96-401E-A8F0-D0B582A87E91}" name="PEDIDO" dataDxfId="73">
      <calculatedColumnFormula>VLOOKUP(Tabela2[[#This Row],[TAG]],MICRO!J:L,3,0)</calculatedColumnFormula>
    </tableColumn>
    <tableColumn id="3" xr3:uid="{EBC41BBB-459B-4DB5-8152-2C7C2C7ADFAA}" name="FORNECEDOR" dataDxfId="72" dataCellStyle="Normal 2"/>
    <tableColumn id="4" xr3:uid="{EE719B42-3B82-4AC6-AB4D-66A5AF76AAFC}" name="RECEBIDO ENGENHARIA (kg)" dataDxfId="71">
      <calculatedColumnFormula>SUMIF(MICRO!AP:AP,O:O,MICRO!H:H)</calculatedColumnFormula>
    </tableColumn>
    <tableColumn id="5" xr3:uid="{F8EF71F0-2467-40E6-8596-0C50AE8B2E56}" name="EM AVANÇO NO PRETO (kg)" dataDxfId="70">
      <calculatedColumnFormula>SUMIF(MICRO!AP:AP,O:O,MICRO!R:R)</calculatedColumnFormula>
    </tableColumn>
    <tableColumn id="6" xr3:uid="{70FA8036-1726-409E-865E-BBD68DD0CF2B}" name="Pendencia  / Fabricação_x000a_EM KG _x000a_(Kg)" dataDxfId="69">
      <calculatedColumnFormula>SUMIF(MICRO!AP:AP,O:O,MICRO!T:T)</calculatedColumnFormula>
    </tableColumn>
    <tableColumn id="7" xr3:uid="{2EDBF5C8-B6A0-4234-9B37-F4D245CBE335}" name="EVOLUÇÃO %" dataDxfId="68">
      <calculatedColumnFormula>IF(G4 = 0,0,H4/G4)</calculatedColumnFormula>
    </tableColumn>
    <tableColumn id="8" xr3:uid="{981D372E-5C81-43AA-82CF-C526D0CD7BC5}" name="PESO EXPEDIDO" dataDxfId="67">
      <calculatedColumnFormula>SUMIF(MICRO!AP:AP,O:O,MICRO!X:X)</calculatedColumnFormula>
    </tableColumn>
    <tableColumn id="9" xr3:uid="{9581E1B5-4976-4A66-B050-5EDFF64499FF}" name="% EXPEDIDO" dataDxfId="66">
      <calculatedColumnFormula>IF(G4&lt;&gt;0,SUM(K4/G4*1),"0%")</calculatedColumnFormula>
    </tableColumn>
    <tableColumn id="10" xr3:uid="{5A0DEF47-FBD5-46D6-A019-DB5E3CF46E5B}" name="PESO PENDENTE4" dataDxfId="65">
      <calculatedColumnFormula>G4-K4</calculatedColumnFormula>
    </tableColumn>
    <tableColumn id="11" xr3:uid="{AD13F8E0-0652-4176-B922-E74BEC175E7A}" name="Coluna1" dataDxfId="64">
      <calculatedColumnFormula>E4&amp;F4</calculatedColumnFormula>
    </tableColumn>
    <tableColumn id="12" xr3:uid="{9AB5E2D8-1AD6-4B63-A9ED-66372E94A48F}" name="Coluna2" dataDxfId="63">
      <calculatedColumnFormula>D4&amp;E4&amp;F4</calculatedColumnFormula>
    </tableColumn>
    <tableColumn id="13" xr3:uid="{ED15B1A8-5672-4E4D-9246-3BC797332C64}" name="PRONTO NO PRETO" dataDxfId="62">
      <calculatedColumnFormula>SUMIF(MICRO!AP:AP,O4,MICRO!AS:AS)</calculatedColumnFormula>
    </tableColumn>
    <tableColumn id="14" xr3:uid="{986427E9-0E8F-46D1-987F-01DBA908B397}" name="PRONTO ACABADO" dataDxfId="61">
      <calculatedColumnFormula>SUMIF(MICRO!AP:AP,O4,MICRO!AT:AT)</calculatedColumnFormula>
    </tableColumn>
    <tableColumn id="15" xr3:uid="{4361E9F4-014E-4677-9D4A-8DBAE707BA31}" name="PESO EXPEDIDO2" dataDxfId="6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0" t="s">
        <v>326</v>
      </c>
      <c r="B1" s="232" t="s">
        <v>891</v>
      </c>
      <c r="C1" s="233"/>
      <c r="D1" s="233"/>
      <c r="E1" s="233"/>
      <c r="F1" s="233"/>
      <c r="G1" s="234"/>
      <c r="H1" s="227" t="s">
        <v>331</v>
      </c>
      <c r="I1" s="228"/>
      <c r="J1" s="228"/>
      <c r="K1" s="229"/>
    </row>
    <row r="2" spans="1:11" x14ac:dyDescent="0.25">
      <c r="A2" s="231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4"/>
      <c r="B5" s="225"/>
      <c r="C5" s="225"/>
      <c r="D5" s="225"/>
      <c r="E5" s="225"/>
      <c r="F5" s="225"/>
      <c r="G5" s="225"/>
      <c r="H5" s="225"/>
      <c r="I5" s="225"/>
      <c r="J5" s="225"/>
      <c r="K5" s="226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32"/>
  <sheetViews>
    <sheetView showGridLines="0" tabSelected="1" zoomScale="77" zoomScaleNormal="77" workbookViewId="0">
      <pane ySplit="1" topLeftCell="A625" activePane="bottomLeft" state="frozen"/>
      <selection pane="bottomLeft" activeCell="D1" sqref="D1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4536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4322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4323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4845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4416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4845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4416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4845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4416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4846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4843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4417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4417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4417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4417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4417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4417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4416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4416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4417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112.08499999999999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4415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4415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4415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4415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4415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4415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4415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4415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4415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4415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4415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4414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23.925000000000001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4692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4876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329.07749999999999</v>
      </c>
      <c r="S129" s="18">
        <f t="shared" si="29"/>
        <v>0</v>
      </c>
      <c r="T129" s="19">
        <f t="shared" si="27"/>
        <v>-453.9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4873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16.095000000000002</v>
      </c>
      <c r="S130" s="18">
        <f t="shared" si="29"/>
        <v>0</v>
      </c>
      <c r="T130" s="19">
        <f t="shared" si="27"/>
        <v>-22.200000000000003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4873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341.185</v>
      </c>
      <c r="S131" s="18">
        <f t="shared" si="29"/>
        <v>0</v>
      </c>
      <c r="T131" s="19">
        <f t="shared" si="27"/>
        <v>-470.6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174.29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39.729999999999997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hidden="1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4413</v>
      </c>
      <c r="AK154" s="33" t="s">
        <v>4413</v>
      </c>
      <c r="AL154" s="33" t="s">
        <v>4413</v>
      </c>
      <c r="AM154" s="33" t="s">
        <v>4413</v>
      </c>
      <c r="AN154" s="33" t="s">
        <v>4413</v>
      </c>
      <c r="AO154" s="33" t="s">
        <v>4413</v>
      </c>
      <c r="AP154" s="33" t="s">
        <v>4413</v>
      </c>
      <c r="AQ154" s="33" t="s">
        <v>4413</v>
      </c>
      <c r="AR154" s="33" t="s">
        <v>4413</v>
      </c>
      <c r="AS154" s="33" t="s">
        <v>4413</v>
      </c>
      <c r="AT154" s="33" t="s">
        <v>4413</v>
      </c>
      <c r="AU154" s="33" t="s">
        <v>4413</v>
      </c>
      <c r="AV154" s="33" t="s">
        <v>4413</v>
      </c>
      <c r="AW154" s="33" t="s">
        <v>4413</v>
      </c>
    </row>
    <row r="155" spans="1:49" ht="15.75" hidden="1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6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hidden="1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6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hidden="1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6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hidden="1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hidden="1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6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hidden="1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4413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19.200000000000003</v>
      </c>
      <c r="AV161" s="37">
        <f t="shared" si="25"/>
        <v>19.200000000000003</v>
      </c>
      <c r="AW161" s="37"/>
    </row>
    <row r="162" spans="1:49" ht="15.75" hidden="1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128.80000000000001</v>
      </c>
      <c r="T162" s="19">
        <f t="shared" si="35"/>
        <v>0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4413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128.80000000000001</v>
      </c>
      <c r="AV162" s="37">
        <f t="shared" si="25"/>
        <v>128.80000000000001</v>
      </c>
      <c r="AW162" s="37"/>
    </row>
    <row r="163" spans="1:49" ht="15.75" hidden="1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6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hidden="1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hidden="1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6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128.80000000000001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4413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128.80000000000001</v>
      </c>
      <c r="AV166" s="37">
        <f t="shared" si="39"/>
        <v>128.80000000000001</v>
      </c>
      <c r="AW166" s="37"/>
    </row>
    <row r="167" spans="1:49" ht="15.75" hidden="1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4413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19.200000000000003</v>
      </c>
      <c r="AV167" s="37">
        <f t="shared" si="39"/>
        <v>19.200000000000003</v>
      </c>
      <c r="AW167" s="37"/>
    </row>
    <row r="168" spans="1:49" ht="15.75" hidden="1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6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hidden="1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hidden="1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hidden="1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6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hidden="1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hidden="1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6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hidden="1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hidden="1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6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hidden="1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1.04</v>
      </c>
      <c r="S178" s="18">
        <f t="shared" si="34"/>
        <v>1.04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1.04</v>
      </c>
      <c r="AV178" s="37">
        <f t="shared" si="39"/>
        <v>1.04</v>
      </c>
      <c r="AW178" s="37"/>
    </row>
    <row r="179" spans="1:49" ht="15.75" hidden="1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1.32</v>
      </c>
      <c r="S179" s="18">
        <f t="shared" si="34"/>
        <v>1.32</v>
      </c>
      <c r="T179" s="19">
        <f t="shared" si="35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1.32</v>
      </c>
      <c r="AV179" s="37">
        <f t="shared" si="39"/>
        <v>1.32</v>
      </c>
      <c r="AW179" s="37"/>
    </row>
    <row r="180" spans="1:49" ht="15.75" hidden="1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2.04</v>
      </c>
      <c r="S180" s="18">
        <f t="shared" si="34"/>
        <v>2.04</v>
      </c>
      <c r="T180" s="19">
        <f t="shared" si="35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36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2.04</v>
      </c>
      <c r="AV180" s="37">
        <f t="shared" si="39"/>
        <v>2.04</v>
      </c>
      <c r="AW180" s="37"/>
    </row>
    <row r="181" spans="1:49" ht="15.75" hidden="1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0.4</v>
      </c>
      <c r="S181" s="18">
        <f t="shared" si="34"/>
        <v>0.4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0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0.4</v>
      </c>
      <c r="AV181" s="37">
        <f t="shared" si="39"/>
        <v>0.4</v>
      </c>
      <c r="AW181" s="37"/>
    </row>
    <row r="182" spans="1:49" ht="15.75" hidden="1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2.56</v>
      </c>
      <c r="S182" s="18">
        <f t="shared" ref="S182:S245" si="41">IFERROR(H182*AG182,"")</f>
        <v>2.56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2.56</v>
      </c>
      <c r="AV182" s="37">
        <f t="shared" si="39"/>
        <v>2.56</v>
      </c>
      <c r="AW182" s="37"/>
    </row>
    <row r="183" spans="1:49" ht="15.75" hidden="1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3.12</v>
      </c>
      <c r="S183" s="18">
        <f t="shared" si="41"/>
        <v>3.12</v>
      </c>
      <c r="T183" s="19">
        <f t="shared" si="35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0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37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8"/>
        <v>3.12</v>
      </c>
      <c r="AV183" s="37">
        <f t="shared" si="39"/>
        <v>3.12</v>
      </c>
      <c r="AW183" s="37"/>
    </row>
    <row r="184" spans="1:49" ht="15.75" hidden="1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1.06</v>
      </c>
      <c r="S184" s="18">
        <f t="shared" si="41"/>
        <v>1.06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1.06</v>
      </c>
      <c r="AU184" s="37">
        <f t="shared" si="38"/>
        <v>0</v>
      </c>
      <c r="AV184" s="37">
        <f t="shared" si="39"/>
        <v>1.06</v>
      </c>
      <c r="AW184" s="37"/>
    </row>
    <row r="185" spans="1:49" ht="15.75" hidden="1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1.48</v>
      </c>
      <c r="S185" s="18">
        <f t="shared" si="41"/>
        <v>1.48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1.48</v>
      </c>
      <c r="AU185" s="37">
        <f t="shared" si="38"/>
        <v>0</v>
      </c>
      <c r="AV185" s="37">
        <f t="shared" si="39"/>
        <v>1.48</v>
      </c>
      <c r="AW185" s="37"/>
    </row>
    <row r="186" spans="1:49" ht="15.75" hidden="1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1.02</v>
      </c>
      <c r="S186" s="18">
        <f t="shared" si="41"/>
        <v>1.02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1.02</v>
      </c>
      <c r="AU186" s="37">
        <f t="shared" si="38"/>
        <v>0</v>
      </c>
      <c r="AV186" s="37">
        <f t="shared" si="39"/>
        <v>1.02</v>
      </c>
      <c r="AW186" s="37"/>
    </row>
    <row r="187" spans="1:49" ht="15.75" hidden="1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0.30000000000000004</v>
      </c>
      <c r="S187" s="18">
        <f t="shared" si="41"/>
        <v>0.30000000000000004</v>
      </c>
      <c r="T187" s="19">
        <f t="shared" si="35"/>
        <v>0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0.30000000000000004</v>
      </c>
      <c r="AU187" s="37">
        <f t="shared" si="38"/>
        <v>0</v>
      </c>
      <c r="AV187" s="37">
        <f t="shared" si="39"/>
        <v>0.30000000000000004</v>
      </c>
      <c r="AW187" s="37"/>
    </row>
    <row r="188" spans="1:49" ht="15.75" hidden="1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6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hidden="1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6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hidden="1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6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hidden="1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6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hidden="1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6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hidden="1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hidden="1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hidden="1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6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hidden="1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199.48</v>
      </c>
      <c r="T197" s="19">
        <f t="shared" si="35"/>
        <v>0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199.48</v>
      </c>
      <c r="AU197" s="37">
        <f t="shared" si="38"/>
        <v>0</v>
      </c>
      <c r="AV197" s="37">
        <f t="shared" si="39"/>
        <v>199.48</v>
      </c>
      <c r="AW197" s="37"/>
    </row>
    <row r="198" spans="1:49" ht="15.75" hidden="1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hidden="1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hidden="1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6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hidden="1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6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hidden="1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hidden="1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hidden="1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6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hidden="1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200</v>
      </c>
      <c r="T206" s="19">
        <f t="shared" si="35"/>
        <v>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200</v>
      </c>
      <c r="AU206" s="37">
        <f t="shared" si="38"/>
        <v>0</v>
      </c>
      <c r="AV206" s="37">
        <f t="shared" si="39"/>
        <v>200</v>
      </c>
      <c r="AW206" s="37"/>
    </row>
    <row r="207" spans="1:49" ht="15.75" hidden="1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hidden="1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hidden="1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hidden="1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hidden="1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6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hidden="1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6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hidden="1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hidden="1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hidden="1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6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hidden="1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hidden="1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6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hidden="1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6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hidden="1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hidden="1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hidden="1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hidden="1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6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hidden="1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350.08</v>
      </c>
      <c r="T223" s="19">
        <f t="shared" si="44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350.08</v>
      </c>
      <c r="AV223" s="37">
        <f t="shared" si="39"/>
        <v>350.08</v>
      </c>
      <c r="AW223" s="37"/>
    </row>
    <row r="224" spans="1:49" ht="15.75" hidden="1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6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hidden="1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6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hidden="1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hidden="1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6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hidden="1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hidden="1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hidden="1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hidden="1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6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hidden="1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6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hidden="1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6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hidden="1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6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hidden="1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6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hidden="1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6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hidden="1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6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hidden="1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6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hidden="1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6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hidden="1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6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hidden="1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6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hidden="1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6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hidden="1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638</v>
      </c>
      <c r="S250" s="18">
        <f t="shared" si="49"/>
        <v>638</v>
      </c>
      <c r="T250" s="19">
        <f t="shared" si="44"/>
        <v>0</v>
      </c>
      <c r="U250" s="16">
        <v>1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638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638</v>
      </c>
      <c r="AV250" s="37">
        <f t="shared" si="47"/>
        <v>638</v>
      </c>
      <c r="AW250" s="37"/>
    </row>
    <row r="251" spans="1:49" ht="15.75" hidden="1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18</v>
      </c>
      <c r="S251" s="18">
        <f t="shared" si="49"/>
        <v>18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18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18</v>
      </c>
      <c r="AV251" s="37">
        <f t="shared" si="47"/>
        <v>18</v>
      </c>
      <c r="AW251" s="37"/>
    </row>
    <row r="252" spans="1:49" ht="15.75" hidden="1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23.2</v>
      </c>
      <c r="S252" s="18">
        <f t="shared" si="49"/>
        <v>23.2</v>
      </c>
      <c r="T252" s="19">
        <f t="shared" si="44"/>
        <v>0</v>
      </c>
      <c r="U252" s="16">
        <v>4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23.2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23.2</v>
      </c>
      <c r="AV252" s="37">
        <f t="shared" si="47"/>
        <v>23.2</v>
      </c>
      <c r="AW252" s="37"/>
    </row>
    <row r="253" spans="1:49" ht="15.75" hidden="1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0.8</v>
      </c>
      <c r="S254" s="18">
        <f t="shared" si="49"/>
        <v>0.8</v>
      </c>
      <c r="T254" s="19">
        <f t="shared" si="44"/>
        <v>0</v>
      </c>
      <c r="U254" s="16">
        <v>8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0.8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0.8</v>
      </c>
      <c r="AV254" s="37">
        <f t="shared" si="47"/>
        <v>0.8</v>
      </c>
      <c r="AW254" s="37"/>
    </row>
    <row r="255" spans="1:49" ht="15.75" hidden="1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0.4</v>
      </c>
      <c r="S256" s="18">
        <f t="shared" si="49"/>
        <v>0.4</v>
      </c>
      <c r="T256" s="19">
        <f t="shared" si="44"/>
        <v>0</v>
      </c>
      <c r="U256" s="16">
        <v>4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0.4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0.4</v>
      </c>
      <c r="AV256" s="37">
        <f t="shared" si="47"/>
        <v>0.4</v>
      </c>
      <c r="AW256" s="37"/>
    </row>
    <row r="257" spans="1:49" ht="15.75" hidden="1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638</v>
      </c>
      <c r="S257" s="18">
        <f t="shared" si="49"/>
        <v>638</v>
      </c>
      <c r="T257" s="19">
        <f t="shared" si="44"/>
        <v>0</v>
      </c>
      <c r="U257" s="16">
        <v>1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638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638</v>
      </c>
      <c r="AV257" s="37">
        <f t="shared" si="47"/>
        <v>638</v>
      </c>
      <c r="AW257" s="37"/>
    </row>
    <row r="258" spans="1:49" ht="15.75" hidden="1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18</v>
      </c>
      <c r="S258" s="18">
        <f t="shared" si="49"/>
        <v>18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18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18</v>
      </c>
      <c r="AV258" s="37">
        <f t="shared" si="47"/>
        <v>18</v>
      </c>
      <c r="AW258" s="37"/>
    </row>
    <row r="259" spans="1:49" ht="15.75" hidden="1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23.2</v>
      </c>
      <c r="S259" s="18">
        <f t="shared" si="49"/>
        <v>23.2</v>
      </c>
      <c r="T259" s="19">
        <f t="shared" si="44"/>
        <v>0</v>
      </c>
      <c r="U259" s="16">
        <v>4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23.2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23.2</v>
      </c>
      <c r="AV259" s="37">
        <f t="shared" si="47"/>
        <v>23.2</v>
      </c>
      <c r="AW259" s="37"/>
    </row>
    <row r="260" spans="1:49" ht="15.75" hidden="1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0.8</v>
      </c>
      <c r="S261" s="18">
        <f t="shared" si="49"/>
        <v>0.8</v>
      </c>
      <c r="T261" s="19">
        <f t="shared" si="44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0.8</v>
      </c>
      <c r="AV261" s="37">
        <f t="shared" si="47"/>
        <v>0.8</v>
      </c>
      <c r="AW261" s="37"/>
    </row>
    <row r="262" spans="1:49" ht="15.75" hidden="1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0.4</v>
      </c>
      <c r="S263" s="18">
        <f t="shared" si="49"/>
        <v>0.4</v>
      </c>
      <c r="T263" s="19">
        <f t="shared" si="44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0.4</v>
      </c>
      <c r="AV263" s="37">
        <f t="shared" si="47"/>
        <v>0.4</v>
      </c>
      <c r="AW263" s="37"/>
    </row>
    <row r="264" spans="1:49" ht="15.75" hidden="1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6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hidden="1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hidden="1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6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hidden="1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273.2</v>
      </c>
      <c r="T268" s="19">
        <f t="shared" si="44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273.2</v>
      </c>
      <c r="AV268" s="37">
        <f t="shared" si="47"/>
        <v>273.2</v>
      </c>
      <c r="AW268" s="37"/>
    </row>
    <row r="269" spans="1:49" ht="15.75" hidden="1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hidden="1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hidden="1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hidden="1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hidden="1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6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hidden="1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6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hidden="1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6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hidden="1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6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hidden="1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6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hidden="1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6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hidden="1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6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hidden="1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hidden="1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hidden="1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hidden="1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hidden="1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hidden="1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hidden="1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hidden="1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hidden="1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6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hidden="1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108.8</v>
      </c>
      <c r="T293" s="19">
        <f t="shared" si="52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4">IF(AH293="",0,IF(ISTEXT(AH293),H293*VALUE(SUBSTITUTE(AH293,"%",""))/100,H293*AH293))</f>
        <v>108.8</v>
      </c>
      <c r="AV293" s="37">
        <f t="shared" ref="AV293:AV356" si="55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hidden="1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hidden="1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hidden="1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hidden="1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hidden="1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hidden="1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6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hidden="1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108.8</v>
      </c>
      <c r="T301" s="19">
        <f t="shared" si="52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108.8</v>
      </c>
      <c r="AV301" s="37">
        <f t="shared" si="55"/>
        <v>108.8</v>
      </c>
      <c r="AW301" s="37"/>
    </row>
    <row r="302" spans="1:49" ht="15.75" hidden="1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6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hidden="1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106.39999999999999</v>
      </c>
      <c r="T304" s="19">
        <f t="shared" si="52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106.39999999999999</v>
      </c>
      <c r="AV304" s="37">
        <f t="shared" si="55"/>
        <v>106.39999999999999</v>
      </c>
      <c r="AW304" s="37"/>
    </row>
    <row r="305" spans="1:49" ht="15.75" hidden="1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22.4</v>
      </c>
      <c r="S305" s="18">
        <f t="shared" si="49"/>
        <v>22.4</v>
      </c>
      <c r="T305" s="19">
        <f t="shared" si="52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22.4</v>
      </c>
      <c r="AV305" s="37">
        <f t="shared" si="55"/>
        <v>22.4</v>
      </c>
      <c r="AW305" s="37"/>
    </row>
    <row r="306" spans="1:49" ht="15.75" hidden="1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34.6</v>
      </c>
      <c r="T306" s="19">
        <f t="shared" si="52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54"/>
        <v>34.6</v>
      </c>
      <c r="AV306" s="37">
        <f t="shared" si="55"/>
        <v>34.6</v>
      </c>
      <c r="AW306" s="37"/>
    </row>
    <row r="307" spans="1:49" ht="15.75" hidden="1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91.2</v>
      </c>
      <c r="T307" s="19">
        <f t="shared" si="52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3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54"/>
        <v>91.2</v>
      </c>
      <c r="AV307" s="32">
        <f t="shared" si="55"/>
        <v>91.2</v>
      </c>
      <c r="AW307" s="32"/>
    </row>
    <row r="308" spans="1:49" ht="15.75" hidden="1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34.200000000000003</v>
      </c>
      <c r="T308" s="19">
        <f t="shared" si="52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48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34.200000000000003</v>
      </c>
      <c r="AV308" s="37">
        <f t="shared" si="55"/>
        <v>34.200000000000003</v>
      </c>
      <c r="AW308" s="37"/>
    </row>
    <row r="309" spans="1:49" ht="15.75" hidden="1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52.4</v>
      </c>
      <c r="T309" s="19">
        <f t="shared" si="52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56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52.4</v>
      </c>
      <c r="AV309" s="37">
        <f t="shared" si="55"/>
        <v>52.4</v>
      </c>
      <c r="AW309" s="37"/>
    </row>
    <row r="310" spans="1:49" ht="15.75" hidden="1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106.39999999999999</v>
      </c>
      <c r="T310" s="19">
        <f t="shared" si="52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106.39999999999999</v>
      </c>
      <c r="AV310" s="37">
        <f t="shared" si="55"/>
        <v>106.39999999999999</v>
      </c>
      <c r="AW310" s="37"/>
    </row>
    <row r="311" spans="1:49" ht="15.75" hidden="1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19.2</v>
      </c>
      <c r="S311" s="18">
        <f t="shared" si="57"/>
        <v>19.2</v>
      </c>
      <c r="T311" s="19">
        <f t="shared" si="52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19.2</v>
      </c>
      <c r="AV311" s="37">
        <f t="shared" si="55"/>
        <v>19.2</v>
      </c>
      <c r="AW311" s="37"/>
    </row>
    <row r="312" spans="1:49" ht="15.75" hidden="1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34.6</v>
      </c>
      <c r="T312" s="19">
        <f t="shared" si="52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34.6</v>
      </c>
      <c r="AV312" s="37">
        <f t="shared" si="55"/>
        <v>34.6</v>
      </c>
      <c r="AW312" s="37"/>
    </row>
    <row r="313" spans="1:49" ht="15.75" hidden="1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91.2</v>
      </c>
      <c r="T313" s="19">
        <f t="shared" si="52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91.2</v>
      </c>
      <c r="AV313" s="37">
        <f t="shared" si="55"/>
        <v>91.2</v>
      </c>
      <c r="AW313" s="37"/>
    </row>
    <row r="314" spans="1:49" ht="15.75" hidden="1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34.200000000000003</v>
      </c>
      <c r="T314" s="19">
        <f t="shared" si="52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34.200000000000003</v>
      </c>
      <c r="AV314" s="37">
        <f t="shared" si="55"/>
        <v>34.200000000000003</v>
      </c>
      <c r="AW314" s="37"/>
    </row>
    <row r="315" spans="1:49" ht="15.75" hidden="1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52.4</v>
      </c>
      <c r="T315" s="19">
        <f t="shared" si="52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52.4</v>
      </c>
      <c r="AV315" s="37">
        <f t="shared" si="55"/>
        <v>52.4</v>
      </c>
      <c r="AW315" s="37"/>
    </row>
    <row r="316" spans="1:49" ht="15.75" hidden="1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96.4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96.4</v>
      </c>
      <c r="AV316" s="37">
        <f t="shared" si="55"/>
        <v>96.4</v>
      </c>
      <c r="AW316" s="37"/>
    </row>
    <row r="317" spans="1:49" ht="15.75" hidden="1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25.2</v>
      </c>
      <c r="T317" s="19">
        <f t="shared" si="52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25.2</v>
      </c>
      <c r="AV317" s="37">
        <f t="shared" si="55"/>
        <v>25.2</v>
      </c>
      <c r="AW317" s="37"/>
    </row>
    <row r="318" spans="1:49" ht="15.75" hidden="1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4</v>
      </c>
      <c r="T318" s="19">
        <f t="shared" si="52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4</v>
      </c>
      <c r="AV318" s="37">
        <f t="shared" si="55"/>
        <v>4</v>
      </c>
      <c r="AW318" s="37"/>
    </row>
    <row r="319" spans="1:49" ht="15.75" hidden="1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96.4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96.4</v>
      </c>
      <c r="AV319" s="37">
        <f t="shared" si="55"/>
        <v>96.4</v>
      </c>
      <c r="AW319" s="37"/>
    </row>
    <row r="320" spans="1:49" ht="15.75" hidden="1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25.2</v>
      </c>
      <c r="T320" s="19">
        <f t="shared" si="52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25.2</v>
      </c>
      <c r="AV320" s="37">
        <f t="shared" si="55"/>
        <v>25.2</v>
      </c>
      <c r="AW320" s="37"/>
    </row>
    <row r="321" spans="1:49" ht="15.75" hidden="1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4</v>
      </c>
      <c r="T321" s="19">
        <f t="shared" si="52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4</v>
      </c>
      <c r="AV321" s="37">
        <f t="shared" si="55"/>
        <v>4</v>
      </c>
      <c r="AW321" s="37"/>
    </row>
    <row r="322" spans="1:49" ht="15.75" hidden="1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97.6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97.6</v>
      </c>
      <c r="AV322" s="37">
        <f t="shared" si="55"/>
        <v>97.6</v>
      </c>
      <c r="AW322" s="37"/>
    </row>
    <row r="323" spans="1:49" ht="15.75" hidden="1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25.2</v>
      </c>
      <c r="T323" s="19">
        <f t="shared" si="52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25.2</v>
      </c>
      <c r="AV323" s="37">
        <f t="shared" si="55"/>
        <v>25.2</v>
      </c>
      <c r="AW323" s="37"/>
    </row>
    <row r="324" spans="1:49" ht="15.75" hidden="1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4</v>
      </c>
      <c r="T324" s="19">
        <f t="shared" si="52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4</v>
      </c>
      <c r="AV324" s="37">
        <f t="shared" si="55"/>
        <v>4</v>
      </c>
      <c r="AW324" s="37"/>
    </row>
    <row r="325" spans="1:49" ht="15.75" hidden="1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97.6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97.6</v>
      </c>
      <c r="AV325" s="37">
        <f t="shared" si="55"/>
        <v>97.6</v>
      </c>
      <c r="AW325" s="37"/>
    </row>
    <row r="326" spans="1:49" ht="15.75" hidden="1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25.2</v>
      </c>
      <c r="T326" s="19">
        <f t="shared" si="52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25.2</v>
      </c>
      <c r="AV326" s="37">
        <f t="shared" si="55"/>
        <v>25.2</v>
      </c>
      <c r="AW326" s="37"/>
    </row>
    <row r="327" spans="1:49" ht="15.75" hidden="1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4</v>
      </c>
      <c r="T327" s="19">
        <f t="shared" si="52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4</v>
      </c>
      <c r="AV327" s="37">
        <f t="shared" si="55"/>
        <v>4</v>
      </c>
      <c r="AW327" s="37"/>
    </row>
    <row r="328" spans="1:49" ht="15.75" hidden="1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6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hidden="1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6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hidden="1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6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hidden="1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6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hidden="1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6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hidden="1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6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hidden="1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6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hidden="1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6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hidden="1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6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hidden="1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6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hidden="1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27.4</v>
      </c>
      <c r="AV339" s="37">
        <f t="shared" si="55"/>
        <v>27.4</v>
      </c>
      <c r="AW339" s="37"/>
    </row>
    <row r="340" spans="1:49" ht="15.75" hidden="1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36.6</v>
      </c>
      <c r="T341" s="19">
        <f t="shared" si="52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36.6</v>
      </c>
      <c r="AV341" s="37">
        <f t="shared" si="55"/>
        <v>36.6</v>
      </c>
      <c r="AW341" s="37"/>
    </row>
    <row r="342" spans="1:49" ht="15.75" hidden="1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12.6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12.6</v>
      </c>
      <c r="AV343" s="37">
        <f t="shared" si="55"/>
        <v>12.6</v>
      </c>
      <c r="AW343" s="37"/>
    </row>
    <row r="344" spans="1:49" ht="15.75" hidden="1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1.4</v>
      </c>
      <c r="T345" s="19">
        <f t="shared" si="52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1.4</v>
      </c>
      <c r="AV345" s="37">
        <f t="shared" si="55"/>
        <v>1.4</v>
      </c>
      <c r="AW345" s="37"/>
    </row>
    <row r="346" spans="1:49" ht="15.75" hidden="1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11.3</v>
      </c>
      <c r="S346" s="18">
        <f t="shared" si="57"/>
        <v>11.3</v>
      </c>
      <c r="T346" s="19">
        <f t="shared" ref="T346:T355" si="60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53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1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11.3</v>
      </c>
      <c r="S349" s="18">
        <f t="shared" si="57"/>
        <v>11.3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11.3</v>
      </c>
      <c r="AV349" s="37">
        <f t="shared" si="55"/>
        <v>11.3</v>
      </c>
      <c r="AW349" s="37"/>
    </row>
    <row r="350" spans="1:49" ht="15.75" hidden="1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19.8</v>
      </c>
      <c r="S351" s="18">
        <f t="shared" si="57"/>
        <v>19.8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19.8</v>
      </c>
      <c r="AV351" s="37">
        <f t="shared" si="55"/>
        <v>19.8</v>
      </c>
      <c r="AW351" s="37"/>
    </row>
    <row r="352" spans="1:49" ht="15.75" hidden="1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24.9</v>
      </c>
      <c r="S353" s="18">
        <f t="shared" si="57"/>
        <v>24.9</v>
      </c>
      <c r="T353" s="19">
        <f t="shared" si="60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24.9</v>
      </c>
      <c r="AV353" s="37">
        <f t="shared" si="55"/>
        <v>24.9</v>
      </c>
      <c r="AW353" s="37"/>
    </row>
    <row r="354" spans="1:49" ht="15.75" hidden="1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74</v>
      </c>
      <c r="S355" s="18">
        <f t="shared" si="57"/>
        <v>74</v>
      </c>
      <c r="T355" s="19">
        <f t="shared" si="60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56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74</v>
      </c>
      <c r="AV355" s="37">
        <f t="shared" si="55"/>
        <v>74</v>
      </c>
      <c r="AW355" s="37"/>
    </row>
    <row r="356" spans="1:49" ht="15.75" hidden="1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ref="T356:T419" si="62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63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4"/>
        <v>65</v>
      </c>
      <c r="AV356" s="37">
        <f t="shared" si="55"/>
        <v>65</v>
      </c>
      <c r="AW356" s="37"/>
    </row>
    <row r="357" spans="1:49" ht="15.75" hidden="1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65</v>
      </c>
      <c r="S357" s="18">
        <f t="shared" si="57"/>
        <v>65</v>
      </c>
      <c r="T357" s="19">
        <f t="shared" si="62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4">IF(AH357="",0,IF(ISTEXT(AH357),H357*VALUE(SUBSTITUTE(AH357,"%",""))/100,H357*AH357))</f>
        <v>65</v>
      </c>
      <c r="AV357" s="37">
        <f t="shared" ref="AV357:AV420" si="65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6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hidden="1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17.899999999999999</v>
      </c>
      <c r="T361" s="19">
        <f t="shared" si="62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17.899999999999999</v>
      </c>
      <c r="AV361" s="37">
        <f t="shared" si="65"/>
        <v>17.899999999999999</v>
      </c>
      <c r="AW361" s="37"/>
    </row>
    <row r="362" spans="1:49" ht="15.75" hidden="1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7</v>
      </c>
      <c r="T363" s="19">
        <f t="shared" si="62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7</v>
      </c>
      <c r="AV363" s="37">
        <f t="shared" si="65"/>
        <v>7</v>
      </c>
      <c r="AW363" s="37"/>
    </row>
    <row r="364" spans="1:49" ht="15.75" hidden="1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8.4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8.4</v>
      </c>
      <c r="AV365" s="37">
        <f t="shared" si="65"/>
        <v>8.4</v>
      </c>
      <c r="AW365" s="37"/>
    </row>
    <row r="366" spans="1:49" ht="15.75" hidden="1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0.5</v>
      </c>
      <c r="T367" s="19">
        <f t="shared" si="62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0.5</v>
      </c>
      <c r="AV367" s="37">
        <f t="shared" si="65"/>
        <v>0.5</v>
      </c>
      <c r="AW367" s="37"/>
    </row>
    <row r="368" spans="1:49" ht="15.75" hidden="1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6</v>
      </c>
      <c r="T369" s="19">
        <f t="shared" si="62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6</v>
      </c>
      <c r="AV369" s="37">
        <f t="shared" si="65"/>
        <v>6</v>
      </c>
      <c r="AW369" s="37"/>
    </row>
    <row r="370" spans="1:49" ht="15.75" hidden="1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0.4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0.4</v>
      </c>
      <c r="AV373" s="37">
        <f t="shared" si="65"/>
        <v>0.4</v>
      </c>
      <c r="AW373" s="37"/>
    </row>
    <row r="374" spans="1:49" ht="15.75" hidden="1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0.2</v>
      </c>
      <c r="T375" s="19">
        <f t="shared" si="62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0.2</v>
      </c>
      <c r="AV375" s="37">
        <f t="shared" si="65"/>
        <v>0.2</v>
      </c>
      <c r="AW375" s="37"/>
    </row>
    <row r="376" spans="1:49" ht="15.75" hidden="1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7.8</v>
      </c>
      <c r="T377" s="19">
        <f t="shared" si="62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7.8</v>
      </c>
      <c r="AV377" s="37">
        <f t="shared" si="65"/>
        <v>7.8</v>
      </c>
      <c r="AW377" s="37"/>
    </row>
    <row r="378" spans="1:49" ht="15.75" hidden="1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9.1999999999999993</v>
      </c>
      <c r="T379" s="19">
        <f t="shared" si="62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9.1999999999999993</v>
      </c>
      <c r="AV379" s="37">
        <f t="shared" si="65"/>
        <v>9.1999999999999993</v>
      </c>
      <c r="AW379" s="37"/>
    </row>
    <row r="380" spans="1:49" ht="15.75" hidden="1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4.3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4.3</v>
      </c>
      <c r="AV381" s="37">
        <f t="shared" si="65"/>
        <v>4.3</v>
      </c>
      <c r="AW381" s="37"/>
    </row>
    <row r="382" spans="1:49" ht="15.75" hidden="1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4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4</v>
      </c>
      <c r="AV383" s="37">
        <f t="shared" si="65"/>
        <v>4</v>
      </c>
      <c r="AW383" s="37"/>
    </row>
    <row r="384" spans="1:49" ht="15.75" hidden="1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11.8</v>
      </c>
      <c r="S385" s="18">
        <f t="shared" si="66"/>
        <v>11.8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11.8</v>
      </c>
      <c r="AV385" s="37">
        <f t="shared" si="65"/>
        <v>11.8</v>
      </c>
      <c r="AW385" s="37"/>
    </row>
    <row r="386" spans="1:49" ht="15.75" hidden="1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11.2</v>
      </c>
      <c r="S387" s="18">
        <f t="shared" si="66"/>
        <v>11.2</v>
      </c>
      <c r="T387" s="19">
        <f t="shared" si="62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11.2</v>
      </c>
      <c r="AV387" s="37">
        <f t="shared" si="65"/>
        <v>11.2</v>
      </c>
      <c r="AW387" s="37"/>
    </row>
    <row r="388" spans="1:49" ht="15.75" hidden="1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31.8</v>
      </c>
      <c r="S389" s="18">
        <f t="shared" si="66"/>
        <v>31.8</v>
      </c>
      <c r="T389" s="19">
        <f t="shared" si="62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31.8</v>
      </c>
      <c r="AV389" s="37">
        <f t="shared" si="65"/>
        <v>31.8</v>
      </c>
      <c r="AW389" s="37"/>
    </row>
    <row r="390" spans="1:49" ht="15.75" hidden="1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58.199999999999996</v>
      </c>
      <c r="T391" s="19">
        <f t="shared" si="62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58.199999999999996</v>
      </c>
      <c r="AV391" s="37">
        <f t="shared" si="65"/>
        <v>58.199999999999996</v>
      </c>
      <c r="AW391" s="37"/>
    </row>
    <row r="392" spans="1:49" ht="15.75" hidden="1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19.399999999999999</v>
      </c>
      <c r="T393" s="19">
        <f t="shared" si="62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19.399999999999999</v>
      </c>
      <c r="AV393" s="37">
        <f t="shared" si="65"/>
        <v>19.399999999999999</v>
      </c>
      <c r="AW393" s="37"/>
    </row>
    <row r="394" spans="1:49" ht="15.75" hidden="1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2.6999999999999997</v>
      </c>
      <c r="T395" s="19">
        <f t="shared" si="62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2.6999999999999997</v>
      </c>
      <c r="AV395" s="37">
        <f t="shared" si="65"/>
        <v>2.6999999999999997</v>
      </c>
      <c r="AW395" s="37"/>
    </row>
    <row r="396" spans="1:49" ht="15.75" hidden="1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265.89999999999998</v>
      </c>
      <c r="S397" s="18">
        <f t="shared" si="66"/>
        <v>265.89999999999998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265.89999999999998</v>
      </c>
      <c r="AV397" s="37">
        <f t="shared" si="65"/>
        <v>265.89999999999998</v>
      </c>
      <c r="AW397" s="37"/>
    </row>
    <row r="398" spans="1:49" ht="15.75" hidden="1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15.8</v>
      </c>
      <c r="T399" s="19">
        <f t="shared" si="62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15.8</v>
      </c>
      <c r="AV399" s="37">
        <f t="shared" si="65"/>
        <v>15.8</v>
      </c>
      <c r="AW399" s="37"/>
    </row>
    <row r="400" spans="1:49" ht="15.75" hidden="1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hidden="1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6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hidden="1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199.48</v>
      </c>
      <c r="S404" s="18">
        <f t="shared" si="66"/>
        <v>199.48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199.48</v>
      </c>
      <c r="AU404" s="37">
        <f t="shared" si="64"/>
        <v>0</v>
      </c>
      <c r="AV404" s="37">
        <f t="shared" si="65"/>
        <v>199.48</v>
      </c>
      <c r="AW404" s="37"/>
    </row>
    <row r="405" spans="1:49" ht="15.75" hidden="1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200</v>
      </c>
      <c r="S405" s="18">
        <f t="shared" si="66"/>
        <v>200</v>
      </c>
      <c r="T405" s="19">
        <f t="shared" si="62"/>
        <v>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200</v>
      </c>
      <c r="AU405" s="37">
        <f t="shared" si="64"/>
        <v>0</v>
      </c>
      <c r="AV405" s="37">
        <f t="shared" si="65"/>
        <v>200</v>
      </c>
      <c r="AW405" s="37"/>
    </row>
    <row r="406" spans="1:49" ht="15.75" hidden="1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57.6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57.6</v>
      </c>
      <c r="AV407" s="37">
        <f t="shared" si="65"/>
        <v>57.6</v>
      </c>
      <c r="AW407" s="37"/>
    </row>
    <row r="408" spans="1:49" ht="15.75" hidden="1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44.8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44.8</v>
      </c>
      <c r="AV409" s="37">
        <f t="shared" si="65"/>
        <v>44.8</v>
      </c>
      <c r="AW409" s="37"/>
    </row>
    <row r="410" spans="1:49" ht="15.75" hidden="1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57.1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1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57.1</v>
      </c>
      <c r="AV411" s="37">
        <f t="shared" si="65"/>
        <v>57.1</v>
      </c>
      <c r="AW411" s="37"/>
    </row>
    <row r="412" spans="1:49" ht="15.75" hidden="1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69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42.4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42.4</v>
      </c>
      <c r="AV413" s="37">
        <f t="shared" si="65"/>
        <v>42.4</v>
      </c>
      <c r="AW413" s="37"/>
    </row>
    <row r="414" spans="1:49" ht="15.75" hidden="1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40.700000000000003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40.700000000000003</v>
      </c>
      <c r="AV415" s="37">
        <f t="shared" si="65"/>
        <v>40.700000000000003</v>
      </c>
      <c r="AW415" s="37"/>
    </row>
    <row r="416" spans="1:49" ht="15.75" hidden="1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57.7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57.7</v>
      </c>
      <c r="AV417" s="37">
        <f t="shared" si="65"/>
        <v>57.7</v>
      </c>
      <c r="AW417" s="37"/>
    </row>
    <row r="418" spans="1:49" ht="15.75" hidden="1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47.2</v>
      </c>
      <c r="T419" s="19">
        <f t="shared" si="62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63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47.2</v>
      </c>
      <c r="AV419" s="37">
        <f t="shared" si="65"/>
        <v>47.2</v>
      </c>
      <c r="AW419" s="37"/>
    </row>
    <row r="420" spans="1:49" ht="15.75" hidden="1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ref="T420:T439" si="70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1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64"/>
        <v>38.4</v>
      </c>
      <c r="AV420" s="37">
        <f t="shared" si="65"/>
        <v>38.4</v>
      </c>
      <c r="AW420" s="37"/>
    </row>
    <row r="421" spans="1:49" ht="15.75" hidden="1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38.4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72">IF(AH421="",0,IF(ISTEXT(AH421),H421*VALUE(SUBSTITUTE(AH421,"%",""))/100,H421*AH421))</f>
        <v>38.4</v>
      </c>
      <c r="AV421" s="37">
        <f t="shared" ref="AV421:AV439" si="73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42.7</v>
      </c>
      <c r="T423" s="19">
        <f t="shared" si="70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1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69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42.7</v>
      </c>
      <c r="AV423" s="37">
        <f t="shared" si="73"/>
        <v>42.7</v>
      </c>
      <c r="AW423" s="37"/>
    </row>
    <row r="424" spans="1:49" ht="15.75" hidden="1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72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4413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72</v>
      </c>
      <c r="AV424" s="37">
        <f t="shared" si="73"/>
        <v>72</v>
      </c>
      <c r="AW424" s="37"/>
    </row>
    <row r="425" spans="1:49" ht="15.75" hidden="1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36</v>
      </c>
      <c r="T425" s="19">
        <f t="shared" si="70"/>
        <v>0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4413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36</v>
      </c>
      <c r="AV425" s="37">
        <f t="shared" si="73"/>
        <v>36</v>
      </c>
      <c r="AW425" s="37"/>
    </row>
    <row r="426" spans="1:49" ht="15.75" hidden="1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37.6</v>
      </c>
      <c r="S426" s="18">
        <f t="shared" si="66"/>
        <v>37.6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37.6</v>
      </c>
      <c r="AV426" s="37">
        <f t="shared" si="73"/>
        <v>37.6</v>
      </c>
      <c r="AW426" s="37"/>
    </row>
    <row r="427" spans="1:49" ht="15.75" hidden="1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56.6</v>
      </c>
      <c r="S427" s="18">
        <f t="shared" si="66"/>
        <v>56.6</v>
      </c>
      <c r="T427" s="19">
        <f t="shared" si="70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56.6</v>
      </c>
      <c r="AV427" s="37">
        <f t="shared" si="73"/>
        <v>56.6</v>
      </c>
      <c r="AW427" s="37"/>
    </row>
    <row r="428" spans="1:49" ht="15.75" hidden="1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43.8</v>
      </c>
      <c r="S428" s="18">
        <f t="shared" si="66"/>
        <v>43.8</v>
      </c>
      <c r="T428" s="19">
        <f t="shared" si="70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43.8</v>
      </c>
      <c r="AV428" s="37">
        <f t="shared" si="73"/>
        <v>43.8</v>
      </c>
      <c r="AW428" s="37"/>
    </row>
    <row r="429" spans="1:49" ht="15.75" hidden="1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1.6</v>
      </c>
      <c r="S429" s="18">
        <f t="shared" si="66"/>
        <v>1.6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1.6</v>
      </c>
      <c r="AV429" s="37">
        <f t="shared" si="73"/>
        <v>1.6</v>
      </c>
      <c r="AW429" s="37"/>
    </row>
    <row r="430" spans="1:49" ht="15.75" hidden="1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3.6</v>
      </c>
      <c r="S430" s="18">
        <f t="shared" si="66"/>
        <v>3.6</v>
      </c>
      <c r="T430" s="19">
        <f t="shared" si="70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3.6</v>
      </c>
      <c r="AV430" s="37">
        <f t="shared" si="73"/>
        <v>3.6</v>
      </c>
      <c r="AW430" s="37"/>
    </row>
    <row r="431" spans="1:49" ht="15.75" hidden="1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4.4000000000000004</v>
      </c>
      <c r="S431" s="18">
        <f t="shared" si="66"/>
        <v>4.4000000000000004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4.4000000000000004</v>
      </c>
      <c r="AV431" s="37">
        <f t="shared" si="73"/>
        <v>4.4000000000000004</v>
      </c>
      <c r="AW431" s="37"/>
    </row>
    <row r="432" spans="1:49" ht="15.75" hidden="1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3.9</v>
      </c>
      <c r="S432" s="18">
        <f t="shared" si="66"/>
        <v>3.9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3.9</v>
      </c>
      <c r="AV432" s="37">
        <f t="shared" si="73"/>
        <v>3.9</v>
      </c>
      <c r="AW432" s="37"/>
    </row>
    <row r="433" spans="1:49" ht="15.75" hidden="1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43.8</v>
      </c>
      <c r="S433" s="18">
        <f t="shared" si="66"/>
        <v>43.8</v>
      </c>
      <c r="T433" s="19">
        <f t="shared" si="70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43.8</v>
      </c>
      <c r="AV433" s="37">
        <f t="shared" si="73"/>
        <v>43.8</v>
      </c>
      <c r="AW433" s="37"/>
    </row>
    <row r="434" spans="1:49" ht="15.75" hidden="1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1.6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1.6</v>
      </c>
      <c r="AV434" s="37">
        <f t="shared" si="73"/>
        <v>1.6</v>
      </c>
      <c r="AW434" s="37"/>
    </row>
    <row r="435" spans="1:49" ht="15.75" hidden="1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3.6</v>
      </c>
      <c r="T435" s="19">
        <f t="shared" si="70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3.6</v>
      </c>
      <c r="AV435" s="37">
        <f t="shared" si="73"/>
        <v>3.6</v>
      </c>
      <c r="AW435" s="37"/>
    </row>
    <row r="436" spans="1:49" ht="15.75" hidden="1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4.4000000000000004</v>
      </c>
      <c r="S436" s="18">
        <f t="shared" si="66"/>
        <v>4.4000000000000004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4.4000000000000004</v>
      </c>
      <c r="AV436" s="37">
        <f t="shared" si="73"/>
        <v>4.4000000000000004</v>
      </c>
      <c r="AW436" s="37"/>
    </row>
    <row r="437" spans="1:49" ht="15.75" hidden="1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3.9</v>
      </c>
      <c r="S437" s="18">
        <f t="shared" si="66"/>
        <v>3.9</v>
      </c>
      <c r="T437" s="19">
        <f t="shared" si="70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69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3.9</v>
      </c>
      <c r="AV437" s="37">
        <f t="shared" si="73"/>
        <v>3.9</v>
      </c>
      <c r="AW437" s="37"/>
    </row>
    <row r="438" spans="1:49" ht="15.75" hidden="1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8.9600000000000009</v>
      </c>
      <c r="S438" s="18">
        <f t="shared" ref="S438:S507" si="74">IFERROR(H438*AG438,"")</f>
        <v>8.9600000000000009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4413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8.9600000000000009</v>
      </c>
      <c r="AV438" s="37">
        <f t="shared" si="73"/>
        <v>8.9600000000000009</v>
      </c>
      <c r="AW438" s="37"/>
    </row>
    <row r="439" spans="1:49" ht="15.75" hidden="1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117.3884</v>
      </c>
      <c r="S439" s="18">
        <f t="shared" si="74"/>
        <v>117.3884</v>
      </c>
      <c r="T439" s="19">
        <f t="shared" si="70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1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4413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72"/>
        <v>117.3884</v>
      </c>
      <c r="AV439" s="37">
        <f t="shared" si="73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51.75</v>
      </c>
      <c r="S440" s="18">
        <f t="shared" si="74"/>
        <v>30</v>
      </c>
      <c r="T440" s="19">
        <f t="shared" ref="T440" si="76">IFERROR(S440-H440,"")</f>
        <v>-30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30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1">IFERROR(H441*((AA441*0.25)+(AC441*0.25)+(AD441*0.225)+(AE441*0.225)+(AF441*0.05)),"")</f>
        <v>64.6875</v>
      </c>
      <c r="S441" s="18">
        <f t="shared" si="74"/>
        <v>37.5</v>
      </c>
      <c r="T441" s="19">
        <f t="shared" ref="T441:T510" si="82">IFERROR(S441-H441,"")</f>
        <v>-37.5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0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>
        <v>0.5</v>
      </c>
      <c r="AG441" s="33">
        <v>0.5</v>
      </c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37.5</v>
      </c>
      <c r="AU441" s="37">
        <f t="shared" ref="AU441:AU510" si="85">IF(AH441="",0,IF(ISTEXT(AH441),H441*VALUE(SUBSTITUTE(AH441,"%",""))/100,H441*AH441))</f>
        <v>0</v>
      </c>
      <c r="AV441" s="37">
        <f t="shared" ref="AV441:AV510" si="86">IF(AG441="",0,IF(ISTEXT(AG441),H441*VALUE(SUBSTITUTE(AG441,"%",""))/100,H441*AG441))</f>
        <v>37.5</v>
      </c>
      <c r="AW441" s="37"/>
    </row>
    <row r="442" spans="1:49" ht="15.75" hidden="1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4844</v>
      </c>
      <c r="J443" s="8" t="s">
        <v>3045</v>
      </c>
      <c r="K443" s="8" t="s">
        <v>4321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4844</v>
      </c>
      <c r="J444" s="8" t="s">
        <v>3045</v>
      </c>
      <c r="K444" s="8" t="s">
        <v>4321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4844</v>
      </c>
      <c r="J445" s="8" t="s">
        <v>3045</v>
      </c>
      <c r="K445" s="8" t="s">
        <v>4321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148.76999999999998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>
        <v>1</v>
      </c>
      <c r="AD445" s="33">
        <v>1</v>
      </c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4844</v>
      </c>
      <c r="J446" s="8" t="s">
        <v>3045</v>
      </c>
      <c r="K446" s="8" t="s">
        <v>4321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4311</v>
      </c>
      <c r="B447" s="21" t="s">
        <v>4312</v>
      </c>
      <c r="C447" s="7">
        <v>22</v>
      </c>
      <c r="D447" s="39" t="s">
        <v>4317</v>
      </c>
      <c r="E447" s="7">
        <v>4333</v>
      </c>
      <c r="F447" s="7">
        <v>32</v>
      </c>
      <c r="G447" s="23">
        <v>7.6</v>
      </c>
      <c r="H447" s="34">
        <f>Tabela1[[#This Row],[PESO UNI]]*Tabela1[[#This Row],[QTE]]</f>
        <v>167.2</v>
      </c>
      <c r="I447" s="7" t="s">
        <v>4844</v>
      </c>
      <c r="J447" s="8" t="s">
        <v>3045</v>
      </c>
      <c r="K447" s="8" t="s">
        <v>4321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-22</v>
      </c>
      <c r="R447" s="18">
        <f t="shared" si="81"/>
        <v>0</v>
      </c>
      <c r="S447" s="18">
        <f t="shared" si="74"/>
        <v>0</v>
      </c>
      <c r="T447" s="19">
        <f t="shared" si="82"/>
        <v>-167.2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-22</v>
      </c>
      <c r="Z447" s="20">
        <f>Tabela1[[#This Row],[PESO TOTAL]]-Tabela1[[#This Row],[Peso Expedido]]</f>
        <v>167.2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4311</v>
      </c>
      <c r="B448" s="21" t="s">
        <v>4312</v>
      </c>
      <c r="C448" s="7">
        <v>1</v>
      </c>
      <c r="D448" s="39" t="s">
        <v>4318</v>
      </c>
      <c r="E448" s="7">
        <v>4334</v>
      </c>
      <c r="F448" s="7">
        <v>32</v>
      </c>
      <c r="G448" s="23">
        <v>25.9</v>
      </c>
      <c r="H448" s="34">
        <f>Tabela1[[#This Row],[PESO UNI]]*Tabela1[[#This Row],[QTE]]</f>
        <v>25.9</v>
      </c>
      <c r="I448" s="7" t="s">
        <v>4844</v>
      </c>
      <c r="J448" s="8" t="s">
        <v>3045</v>
      </c>
      <c r="K448" s="8" t="s">
        <v>4321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18.7775</v>
      </c>
      <c r="S448" s="18">
        <f t="shared" si="74"/>
        <v>0</v>
      </c>
      <c r="T448" s="19">
        <f t="shared" si="82"/>
        <v>-25.9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25.9</v>
      </c>
      <c r="AA448" s="17">
        <v>1</v>
      </c>
      <c r="AB448" s="33"/>
      <c r="AC448" s="33">
        <v>1</v>
      </c>
      <c r="AD448" s="33">
        <v>1</v>
      </c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4335</v>
      </c>
      <c r="F449" s="7">
        <v>32</v>
      </c>
      <c r="G449" s="23">
        <v>2.6</v>
      </c>
      <c r="H449" s="34">
        <f>Tabela1[[#This Row],[PESO UNI]]*Tabela1[[#This Row],[QTE]]</f>
        <v>2.6</v>
      </c>
      <c r="I449" s="7" t="s">
        <v>4844</v>
      </c>
      <c r="J449" s="8" t="s">
        <v>3045</v>
      </c>
      <c r="K449" s="8" t="s">
        <v>4321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1.885</v>
      </c>
      <c r="S449" s="18">
        <f t="shared" si="74"/>
        <v>0</v>
      </c>
      <c r="T449" s="19">
        <f t="shared" si="82"/>
        <v>-2.6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2.6</v>
      </c>
      <c r="AA449" s="17">
        <v>1</v>
      </c>
      <c r="AB449" s="33"/>
      <c r="AC449" s="33">
        <v>1</v>
      </c>
      <c r="AD449" s="33">
        <v>1</v>
      </c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hidden="1" customHeight="1" x14ac:dyDescent="0.25">
      <c r="A450" s="6" t="s">
        <v>4311</v>
      </c>
      <c r="B450" s="21" t="s">
        <v>4312</v>
      </c>
      <c r="C450" s="7">
        <v>2</v>
      </c>
      <c r="D450" s="39" t="s">
        <v>4320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4844</v>
      </c>
      <c r="J450" s="8" t="s">
        <v>3045</v>
      </c>
      <c r="K450" s="8" t="s">
        <v>4321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81"/>
        <v>0</v>
      </c>
      <c r="S450" s="18">
        <f>IFERROR(H450*AG450,"")</f>
        <v>0</v>
      </c>
      <c r="T450" s="19">
        <f>IFERROR(S450-H450,"")</f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>U450-C450</f>
        <v>-2</v>
      </c>
      <c r="Z450" s="20">
        <f>Tabela1[[#This Row],[PESO TOTAL]]-Tabela1[[#This Row],[Peso Expedido]]</f>
        <v>24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6" t="s">
        <v>4418</v>
      </c>
      <c r="B451" s="21" t="s">
        <v>4419</v>
      </c>
      <c r="C451" s="7">
        <v>1</v>
      </c>
      <c r="D451" s="39" t="s">
        <v>4420</v>
      </c>
      <c r="E451" s="7">
        <v>4338</v>
      </c>
      <c r="F451" s="7">
        <v>35</v>
      </c>
      <c r="G451" s="23">
        <v>748.2</v>
      </c>
      <c r="H451" s="34">
        <f>Tabela1[[#This Row],[PESO UNI]]*Tabela1[[#This Row],[QTE]]</f>
        <v>748.2</v>
      </c>
      <c r="I451" s="7" t="s">
        <v>4511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-1</v>
      </c>
      <c r="R451" s="18">
        <f t="shared" si="81"/>
        <v>491.94150000000002</v>
      </c>
      <c r="S451" s="18">
        <f t="shared" ref="S451:S459" si="87">IFERROR(H451*AG451,"")</f>
        <v>0</v>
      </c>
      <c r="T451" s="19">
        <f t="shared" ref="T451:T459" si="88">IFERROR(S451-H451,"")</f>
        <v>-748.2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ref="Y451:Y459" si="89">U451-C451</f>
        <v>-1</v>
      </c>
      <c r="Z451" s="20">
        <f>Tabela1[[#This Row],[PESO TOTAL]]-Tabela1[[#This Row],[Peso Expedido]]</f>
        <v>748.2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25">
      <c r="A452" s="6" t="s">
        <v>4421</v>
      </c>
      <c r="B452" s="21" t="s">
        <v>4422</v>
      </c>
      <c r="C452" s="7">
        <v>5</v>
      </c>
      <c r="D452" s="39" t="s">
        <v>4423</v>
      </c>
      <c r="E452" s="7">
        <v>4339</v>
      </c>
      <c r="F452" s="7">
        <v>35</v>
      </c>
      <c r="G452" s="23">
        <v>730.2</v>
      </c>
      <c r="H452" s="34">
        <f>Tabela1[[#This Row],[PESO UNI]]*Tabela1[[#This Row],[QTE]]</f>
        <v>3651</v>
      </c>
      <c r="I452" s="7" t="s">
        <v>4442</v>
      </c>
      <c r="J452" s="8" t="s">
        <v>3045</v>
      </c>
      <c r="K452" s="8" t="s">
        <v>31</v>
      </c>
      <c r="L452" s="9" t="s">
        <v>2984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-5</v>
      </c>
      <c r="R452" s="18">
        <f t="shared" si="81"/>
        <v>2400.5324999999998</v>
      </c>
      <c r="S452" s="18">
        <f t="shared" si="87"/>
        <v>0</v>
      </c>
      <c r="T452" s="19">
        <f t="shared" si="88"/>
        <v>-3651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-5</v>
      </c>
      <c r="Z452" s="20">
        <f>Tabela1[[#This Row],[PESO TOTAL]]-Tabela1[[#This Row],[Peso Expedido]]</f>
        <v>3651</v>
      </c>
      <c r="AA452" s="33">
        <v>1</v>
      </c>
      <c r="AB452" s="33"/>
      <c r="AC452" s="33">
        <v>1</v>
      </c>
      <c r="AD452" s="33">
        <v>0.7</v>
      </c>
      <c r="AE452" s="33"/>
      <c r="AF452" s="33"/>
      <c r="AG452" s="33"/>
      <c r="AH452" s="28"/>
      <c r="AI452" s="33" t="str">
        <f t="shared" si="69"/>
        <v/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">
        <v>1</v>
      </c>
      <c r="H453" s="34">
        <f>Tabela1[[#This Row],[PESO UNI]]*Tabela1[[#This Row],[QTE]]</f>
        <v>18</v>
      </c>
      <c r="I453" s="7" t="s">
        <v>2</v>
      </c>
      <c r="J453" s="8" t="s">
        <v>4424</v>
      </c>
      <c r="K453" s="8" t="s">
        <v>23</v>
      </c>
      <c r="L453" s="9" t="s">
        <v>4425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-18</v>
      </c>
      <c r="R453" s="18">
        <f t="shared" si="81"/>
        <v>8.01</v>
      </c>
      <c r="S453" s="18">
        <f t="shared" si="87"/>
        <v>5.3999999999999995</v>
      </c>
      <c r="T453" s="19">
        <f t="shared" si="88"/>
        <v>-12.600000000000001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-18</v>
      </c>
      <c r="Z453" s="20">
        <f>Tabela1[[#This Row],[PESO TOTAL]]-Tabela1[[#This Row],[Peso Expedido]]</f>
        <v>18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4426</v>
      </c>
      <c r="E454" s="7">
        <v>4341</v>
      </c>
      <c r="F454" s="7">
        <v>1</v>
      </c>
      <c r="G454" s="2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4424</v>
      </c>
      <c r="K454" s="8" t="s">
        <v>23</v>
      </c>
      <c r="L454" s="9" t="s">
        <v>4425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-53</v>
      </c>
      <c r="R454" s="18">
        <f>IFERROR(H454*((AA454*0.25)+(AC454*0.25)+(AD454*0.225)+(AE454*0.225)+(AF454*0.05)),"")</f>
        <v>122.64200000000001</v>
      </c>
      <c r="S454" s="18">
        <f t="shared" si="87"/>
        <v>82.68</v>
      </c>
      <c r="T454" s="19">
        <f t="shared" si="88"/>
        <v>-192.92000000000002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-53</v>
      </c>
      <c r="Z454" s="20">
        <f>Tabela1[[#This Row],[PESO TOTAL]]-Tabela1[[#This Row],[Peso Expedido]]</f>
        <v>275.60000000000002</v>
      </c>
      <c r="AA454" s="33">
        <v>0.5</v>
      </c>
      <c r="AB454" s="33"/>
      <c r="AC454" s="33">
        <v>0.5</v>
      </c>
      <c r="AD454" s="33">
        <v>0.5</v>
      </c>
      <c r="AE454" s="33">
        <v>0.3</v>
      </c>
      <c r="AF454" s="33">
        <v>0.3</v>
      </c>
      <c r="AG454" s="33">
        <v>0.3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4427</v>
      </c>
      <c r="B455" s="21" t="s">
        <v>4428</v>
      </c>
      <c r="C455" s="7">
        <v>7</v>
      </c>
      <c r="D455" s="39" t="s">
        <v>4429</v>
      </c>
      <c r="E455" s="7">
        <v>4342</v>
      </c>
      <c r="F455" s="7">
        <v>1</v>
      </c>
      <c r="G455" s="2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4424</v>
      </c>
      <c r="K455" s="8" t="s">
        <v>33</v>
      </c>
      <c r="L455" s="9" t="s">
        <v>4425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-7</v>
      </c>
      <c r="R455" s="18">
        <f>IFERROR(H455*((AA455*0.25)+(AC455*0.25)+(AD455*0.225)+(AE455*0.225)+(AF455*0.05)),"")</f>
        <v>59.496500000000012</v>
      </c>
      <c r="S455" s="18">
        <f t="shared" si="87"/>
        <v>40.110000000000007</v>
      </c>
      <c r="T455" s="19">
        <f t="shared" si="88"/>
        <v>-93.59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-7</v>
      </c>
      <c r="Z455" s="20">
        <f>Tabela1[[#This Row],[PESO TOTAL]]-Tabela1[[#This Row],[Peso Expedido]]</f>
        <v>133.70000000000002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4430</v>
      </c>
      <c r="B456" s="21" t="s">
        <v>4431</v>
      </c>
      <c r="C456" s="7">
        <v>6</v>
      </c>
      <c r="D456" s="39" t="s">
        <v>4432</v>
      </c>
      <c r="E456" s="7">
        <v>4343</v>
      </c>
      <c r="F456" s="7">
        <v>1</v>
      </c>
      <c r="G456" s="2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4424</v>
      </c>
      <c r="K456" s="8" t="s">
        <v>33</v>
      </c>
      <c r="L456" s="9" t="s">
        <v>4425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-6</v>
      </c>
      <c r="R456" s="18">
        <f>IFERROR(H456*((AA456*0.25)+(AC456*0.25)+(AD456*0.225)+(AE456*0.225)+(AF456*0.05)),"")</f>
        <v>48.593999999999994</v>
      </c>
      <c r="S456" s="18">
        <f t="shared" si="87"/>
        <v>32.76</v>
      </c>
      <c r="T456" s="19">
        <f t="shared" si="88"/>
        <v>-76.44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-6</v>
      </c>
      <c r="Z456" s="20">
        <f>Tabela1[[#This Row],[PESO TOTAL]]-Tabela1[[#This Row],[Peso Expedido]]</f>
        <v>109.19999999999999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4433</v>
      </c>
      <c r="B457" s="21" t="s">
        <v>4434</v>
      </c>
      <c r="C457" s="7">
        <v>8</v>
      </c>
      <c r="D457" s="39" t="s">
        <v>4438</v>
      </c>
      <c r="E457" s="7">
        <v>4344</v>
      </c>
      <c r="F457" s="7">
        <v>1</v>
      </c>
      <c r="G457" s="23">
        <v>6</v>
      </c>
      <c r="H457" s="34">
        <f>Tabela1[[#This Row],[PESO UNI]]*Tabela1[[#This Row],[QTE]]</f>
        <v>48</v>
      </c>
      <c r="I457" s="7" t="s">
        <v>746</v>
      </c>
      <c r="J457" s="8" t="s">
        <v>4424</v>
      </c>
      <c r="K457" s="8" t="s">
        <v>33</v>
      </c>
      <c r="L457" s="9" t="s">
        <v>4425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-8</v>
      </c>
      <c r="R457" s="18">
        <f>IFERROR(H457*((AA457*0.25)+(AC457*0.25)+(AD457*0.225)+(AE457*0.225)+(AF457*0.05)),"")</f>
        <v>21.36</v>
      </c>
      <c r="S457" s="18">
        <f t="shared" si="87"/>
        <v>14.399999999999999</v>
      </c>
      <c r="T457" s="19">
        <f t="shared" si="88"/>
        <v>-33.6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-8</v>
      </c>
      <c r="Z457" s="20">
        <f>Tabela1[[#This Row],[PESO TOTAL]]-Tabela1[[#This Row],[Peso Expedido]]</f>
        <v>48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4435</v>
      </c>
      <c r="B458" s="21" t="s">
        <v>4436</v>
      </c>
      <c r="C458" s="7">
        <v>14</v>
      </c>
      <c r="D458" s="39" t="s">
        <v>4437</v>
      </c>
      <c r="E458" s="7">
        <v>4345</v>
      </c>
      <c r="F458" s="7">
        <v>1</v>
      </c>
      <c r="G458" s="23">
        <v>5</v>
      </c>
      <c r="H458" s="34">
        <f>Tabela1[[#This Row],[PESO UNI]]*Tabela1[[#This Row],[QTE]]</f>
        <v>70</v>
      </c>
      <c r="I458" s="7" t="s">
        <v>746</v>
      </c>
      <c r="J458" s="8" t="s">
        <v>4424</v>
      </c>
      <c r="K458" s="8" t="s">
        <v>33</v>
      </c>
      <c r="L458" s="9" t="s">
        <v>4425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-14</v>
      </c>
      <c r="R458" s="18">
        <f>IFERROR(H458*((AA458*0.25)+(AC458*0.25)+(AD458*0.225)+(AE458*0.225)+(AF458*0.05)),"")</f>
        <v>31.150000000000002</v>
      </c>
      <c r="S458" s="18">
        <f t="shared" si="87"/>
        <v>21</v>
      </c>
      <c r="T458" s="19">
        <f t="shared" si="88"/>
        <v>-49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-14</v>
      </c>
      <c r="Z458" s="20">
        <f>Tabela1[[#This Row],[PESO TOTAL]]-Tabela1[[#This Row],[Peso Expedido]]</f>
        <v>70</v>
      </c>
      <c r="AA458" s="33">
        <v>0.5</v>
      </c>
      <c r="AB458" s="33"/>
      <c r="AC458" s="33">
        <v>0.5</v>
      </c>
      <c r="AD458" s="33">
        <v>0.5</v>
      </c>
      <c r="AE458" s="33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4439</v>
      </c>
      <c r="B459" s="21" t="s">
        <v>4440</v>
      </c>
      <c r="C459" s="7">
        <v>23</v>
      </c>
      <c r="D459" s="39" t="s">
        <v>4441</v>
      </c>
      <c r="E459" s="7">
        <v>4346</v>
      </c>
      <c r="F459" s="7">
        <v>1</v>
      </c>
      <c r="G459" s="23">
        <v>6</v>
      </c>
      <c r="H459" s="34">
        <f>Tabela1[[#This Row],[PESO UNI]]*Tabela1[[#This Row],[QTE]]</f>
        <v>138</v>
      </c>
      <c r="I459" s="7" t="s">
        <v>746</v>
      </c>
      <c r="J459" s="8" t="s">
        <v>4424</v>
      </c>
      <c r="K459" s="8" t="s">
        <v>33</v>
      </c>
      <c r="L459" s="9" t="s">
        <v>4425</v>
      </c>
      <c r="M459" s="10">
        <v>46218</v>
      </c>
      <c r="N459" s="8" t="s">
        <v>38</v>
      </c>
      <c r="O459" s="14"/>
      <c r="P459" s="18"/>
      <c r="Q459" s="16">
        <f>Tabela1[[#This Row],[QTDE/ Fabricação]]-Tabela1[[#This Row],[QTE]]</f>
        <v>-23</v>
      </c>
      <c r="R459" s="18" t="str">
        <f>IFERROR(H459*((AA459*0.25)+(AC459*0.25)+(AD459*0.225)+(#REF!*0.225)+(AF459*0.05)),"")</f>
        <v/>
      </c>
      <c r="S459" s="18">
        <f t="shared" si="87"/>
        <v>41.4</v>
      </c>
      <c r="T459" s="19">
        <f t="shared" si="88"/>
        <v>-96.6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-23</v>
      </c>
      <c r="Z459" s="20">
        <f>Tabela1[[#This Row],[PESO TOTAL]]-Tabela1[[#This Row],[Peso Expedido]]</f>
        <v>138</v>
      </c>
      <c r="AA459" s="33">
        <v>0.5</v>
      </c>
      <c r="AB459" s="33"/>
      <c r="AC459" s="33">
        <v>0.5</v>
      </c>
      <c r="AD459" s="33">
        <v>0.5</v>
      </c>
      <c r="AE459" s="210">
        <v>0.3</v>
      </c>
      <c r="AF459" s="33">
        <v>0.3</v>
      </c>
      <c r="AG459" s="33">
        <v>0.3</v>
      </c>
      <c r="AH459" s="28"/>
      <c r="AI459" s="33" t="str">
        <f t="shared" si="69"/>
        <v/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4510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13.1</v>
      </c>
      <c r="S461" s="18">
        <f t="shared" si="74"/>
        <v>13.1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4510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13.1</v>
      </c>
      <c r="AV461" s="37">
        <f t="shared" si="86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6.2</v>
      </c>
      <c r="S462" s="18">
        <f t="shared" si="74"/>
        <v>6.2</v>
      </c>
      <c r="T462" s="19">
        <f t="shared" si="82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4510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6.2</v>
      </c>
      <c r="AV462" s="37">
        <f t="shared" si="86"/>
        <v>6.2</v>
      </c>
      <c r="AW462" s="37"/>
    </row>
    <row r="463" spans="1:49" ht="15.75" hidden="1" customHeight="1" x14ac:dyDescent="0.25">
      <c r="A463" s="6" t="s">
        <v>4328</v>
      </c>
      <c r="B463" s="21"/>
      <c r="C463" s="7">
        <v>1</v>
      </c>
      <c r="D463" s="39" t="s">
        <v>4329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17.5</v>
      </c>
      <c r="S463" s="18">
        <f t="shared" si="74"/>
        <v>17.5</v>
      </c>
      <c r="T463" s="19">
        <f t="shared" si="82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4510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17.5</v>
      </c>
      <c r="AV463" s="37">
        <f t="shared" si="86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4330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1"/>
        <v>344.4</v>
      </c>
      <c r="S464" s="18">
        <f t="shared" si="74"/>
        <v>344.4</v>
      </c>
      <c r="T464" s="19">
        <f t="shared" si="82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4510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344.4</v>
      </c>
      <c r="AV464" s="37">
        <f t="shared" si="86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4331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1.4</v>
      </c>
      <c r="S465" s="18">
        <f t="shared" si="74"/>
        <v>1.4</v>
      </c>
      <c r="T465" s="19">
        <f t="shared" si="82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4510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1.4</v>
      </c>
      <c r="AV465" s="37">
        <f t="shared" si="86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4.5999999999999996</v>
      </c>
      <c r="S466" s="18">
        <f t="shared" si="74"/>
        <v>4.5999999999999996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4510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4.5999999999999996</v>
      </c>
      <c r="AV466" s="37">
        <f t="shared" si="86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50.8</v>
      </c>
      <c r="S467" s="18">
        <f t="shared" si="74"/>
        <v>50.8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4510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50.8</v>
      </c>
      <c r="AV467" s="37">
        <f t="shared" si="86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1.1000000000000001</v>
      </c>
      <c r="S468" s="18">
        <f t="shared" si="74"/>
        <v>1.1000000000000001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4510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1.1000000000000001</v>
      </c>
      <c r="AV468" s="37">
        <f t="shared" si="86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23.6</v>
      </c>
      <c r="S469" s="18">
        <f t="shared" si="74"/>
        <v>23.6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4510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23.6</v>
      </c>
      <c r="AV469" s="37">
        <f t="shared" si="86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4510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1"/>
        <v>133</v>
      </c>
      <c r="S471" s="18">
        <f t="shared" si="74"/>
        <v>133</v>
      </c>
      <c r="T471" s="19">
        <f t="shared" si="82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4510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133</v>
      </c>
      <c r="AV471" s="37">
        <f t="shared" si="86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1"/>
        <v>8</v>
      </c>
      <c r="S472" s="18">
        <f t="shared" si="74"/>
        <v>8</v>
      </c>
      <c r="T472" s="19">
        <f t="shared" si="82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4510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8</v>
      </c>
      <c r="AV472" s="37">
        <f t="shared" si="86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16</v>
      </c>
      <c r="S473" s="18">
        <f t="shared" si="74"/>
        <v>16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4510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16</v>
      </c>
      <c r="AV473" s="37">
        <f t="shared" si="86"/>
        <v>16</v>
      </c>
      <c r="AW473" s="37"/>
    </row>
    <row r="474" spans="1:49" ht="15.75" hidden="1" customHeight="1" x14ac:dyDescent="0.25">
      <c r="A474" s="6" t="s">
        <v>4337</v>
      </c>
      <c r="B474" s="21"/>
      <c r="C474" s="7">
        <v>4</v>
      </c>
      <c r="D474" s="39" t="s">
        <v>4338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1"/>
        <v>95.2</v>
      </c>
      <c r="S474" s="18">
        <f t="shared" si="74"/>
        <v>95.2</v>
      </c>
      <c r="T474" s="19">
        <f t="shared" si="82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4510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95.2</v>
      </c>
      <c r="AV474" s="37">
        <f t="shared" si="86"/>
        <v>95.2</v>
      </c>
      <c r="AW474" s="37"/>
    </row>
    <row r="475" spans="1:49" ht="15.75" hidden="1" customHeight="1" x14ac:dyDescent="0.25">
      <c r="A475" s="6" t="s">
        <v>4339</v>
      </c>
      <c r="B475" s="21"/>
      <c r="C475" s="7">
        <v>2</v>
      </c>
      <c r="D475" s="39" t="s">
        <v>4340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1"/>
        <v>114</v>
      </c>
      <c r="S475" s="18">
        <f t="shared" si="74"/>
        <v>114</v>
      </c>
      <c r="T475" s="19">
        <f t="shared" si="82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4510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114</v>
      </c>
      <c r="AV475" s="37">
        <f t="shared" si="86"/>
        <v>114</v>
      </c>
      <c r="AW475" s="37"/>
    </row>
    <row r="476" spans="1:49" ht="15.75" hidden="1" customHeight="1" x14ac:dyDescent="0.25">
      <c r="A476" s="6" t="s">
        <v>4341</v>
      </c>
      <c r="B476" s="21"/>
      <c r="C476" s="7">
        <v>1</v>
      </c>
      <c r="D476" s="39" t="s">
        <v>4342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29.1</v>
      </c>
      <c r="S476" s="18">
        <f t="shared" si="74"/>
        <v>29.1</v>
      </c>
      <c r="T476" s="19">
        <f t="shared" si="82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4510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29.1</v>
      </c>
      <c r="AV476" s="37">
        <f t="shared" si="86"/>
        <v>29.1</v>
      </c>
      <c r="AW476" s="37"/>
    </row>
    <row r="477" spans="1:49" ht="15.75" hidden="1" customHeight="1" x14ac:dyDescent="0.25">
      <c r="A477" s="6" t="s">
        <v>4343</v>
      </c>
      <c r="B477" s="21"/>
      <c r="C477" s="7">
        <v>1</v>
      </c>
      <c r="D477" s="39" t="s">
        <v>4344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0.5</v>
      </c>
      <c r="S477" s="18">
        <f t="shared" si="74"/>
        <v>0.5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4510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0.5</v>
      </c>
      <c r="AV477" s="37">
        <f t="shared" si="86"/>
        <v>0.5</v>
      </c>
      <c r="AW477" s="37"/>
    </row>
    <row r="478" spans="1:49" ht="15.75" hidden="1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5</v>
      </c>
      <c r="S478" s="18">
        <f t="shared" si="74"/>
        <v>5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4510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5</v>
      </c>
      <c r="AV478" s="37">
        <f t="shared" si="86"/>
        <v>5</v>
      </c>
      <c r="AW478" s="37"/>
    </row>
    <row r="479" spans="1:49" ht="15.75" hidden="1" customHeight="1" x14ac:dyDescent="0.25">
      <c r="A479" s="6" t="s">
        <v>4345</v>
      </c>
      <c r="B479" s="21"/>
      <c r="C479" s="7">
        <v>1</v>
      </c>
      <c r="D479" s="39" t="s">
        <v>4347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2</v>
      </c>
      <c r="S479" s="18">
        <f t="shared" si="74"/>
        <v>2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4510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2</v>
      </c>
      <c r="AV479" s="37">
        <f t="shared" si="86"/>
        <v>2</v>
      </c>
      <c r="AW479" s="37"/>
    </row>
    <row r="480" spans="1:49" ht="15.75" hidden="1" customHeight="1" x14ac:dyDescent="0.25">
      <c r="A480" s="6" t="s">
        <v>4345</v>
      </c>
      <c r="B480" s="21"/>
      <c r="C480" s="7">
        <v>1</v>
      </c>
      <c r="D480" s="39" t="s">
        <v>4348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5.0999999999999996</v>
      </c>
      <c r="S480" s="18">
        <f t="shared" si="74"/>
        <v>5.0999999999999996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4510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5.0999999999999996</v>
      </c>
      <c r="AV480" s="37">
        <f t="shared" si="86"/>
        <v>5.0999999999999996</v>
      </c>
      <c r="AW480" s="37"/>
    </row>
    <row r="481" spans="1:49" ht="15.75" hidden="1" customHeight="1" x14ac:dyDescent="0.25">
      <c r="A481" s="6" t="s">
        <v>4349</v>
      </c>
      <c r="B481" s="21"/>
      <c r="C481" s="7">
        <v>1</v>
      </c>
      <c r="D481" s="39" t="s">
        <v>4350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628.70000000000005</v>
      </c>
      <c r="S481" s="18">
        <f t="shared" si="74"/>
        <v>628.70000000000005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4510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628.70000000000005</v>
      </c>
      <c r="AV481" s="37">
        <f t="shared" si="86"/>
        <v>628.70000000000005</v>
      </c>
      <c r="AW481" s="37"/>
    </row>
    <row r="482" spans="1:49" ht="15.75" hidden="1" customHeight="1" x14ac:dyDescent="0.25">
      <c r="A482" s="6" t="s">
        <v>4349</v>
      </c>
      <c r="B482" s="21"/>
      <c r="C482" s="7">
        <v>1</v>
      </c>
      <c r="D482" s="39" t="s">
        <v>4351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11.1</v>
      </c>
      <c r="S482" s="18">
        <f t="shared" si="74"/>
        <v>11.1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4510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11.1</v>
      </c>
      <c r="AV482" s="37">
        <f t="shared" si="86"/>
        <v>11.1</v>
      </c>
      <c r="AW482" s="37"/>
    </row>
    <row r="483" spans="1:49" ht="15.75" hidden="1" customHeight="1" x14ac:dyDescent="0.25">
      <c r="A483" s="6" t="s">
        <v>4352</v>
      </c>
      <c r="B483" s="21"/>
      <c r="C483" s="7">
        <v>1</v>
      </c>
      <c r="D483" s="39" t="s">
        <v>4353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25.3</v>
      </c>
      <c r="S483" s="18">
        <f t="shared" si="74"/>
        <v>25.3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4510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25.3</v>
      </c>
      <c r="AV483" s="37">
        <f t="shared" si="86"/>
        <v>25.3</v>
      </c>
      <c r="AW483" s="37"/>
    </row>
    <row r="484" spans="1:49" ht="15.75" hidden="1" customHeight="1" x14ac:dyDescent="0.25">
      <c r="A484" s="6" t="s">
        <v>4352</v>
      </c>
      <c r="B484" s="21"/>
      <c r="C484" s="7">
        <v>1</v>
      </c>
      <c r="D484" s="39" t="s">
        <v>4354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12.3</v>
      </c>
      <c r="S484" s="18">
        <f t="shared" si="74"/>
        <v>12.3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4510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12.3</v>
      </c>
      <c r="AV484" s="37">
        <f t="shared" si="86"/>
        <v>12.3</v>
      </c>
      <c r="AW484" s="37"/>
    </row>
    <row r="485" spans="1:49" ht="15.75" hidden="1" customHeight="1" x14ac:dyDescent="0.25">
      <c r="A485" s="6" t="s">
        <v>4352</v>
      </c>
      <c r="B485" s="21"/>
      <c r="C485" s="7">
        <v>1</v>
      </c>
      <c r="D485" s="39" t="s">
        <v>4355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4.2</v>
      </c>
      <c r="S485" s="18">
        <f t="shared" si="74"/>
        <v>4.2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4510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4.2</v>
      </c>
      <c r="AV485" s="37">
        <f t="shared" si="86"/>
        <v>4.2</v>
      </c>
      <c r="AW485" s="37"/>
    </row>
    <row r="486" spans="1:49" ht="15.75" hidden="1" customHeight="1" x14ac:dyDescent="0.25">
      <c r="A486" s="6" t="s">
        <v>4352</v>
      </c>
      <c r="B486" s="21"/>
      <c r="C486" s="7">
        <v>1</v>
      </c>
      <c r="D486" s="39" t="s">
        <v>4356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0.5</v>
      </c>
      <c r="S486" s="18">
        <f t="shared" si="74"/>
        <v>0.5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4510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0.5</v>
      </c>
      <c r="AV486" s="37">
        <f t="shared" si="86"/>
        <v>0.5</v>
      </c>
      <c r="AW486" s="37"/>
    </row>
    <row r="487" spans="1:49" ht="15.75" hidden="1" customHeight="1" x14ac:dyDescent="0.25">
      <c r="A487" s="6" t="s">
        <v>4352</v>
      </c>
      <c r="B487" s="21"/>
      <c r="C487" s="7">
        <v>1</v>
      </c>
      <c r="D487" s="39" t="s">
        <v>4357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0.2</v>
      </c>
      <c r="S487" s="18">
        <f t="shared" si="74"/>
        <v>0.2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4510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0.2</v>
      </c>
      <c r="AV487" s="37">
        <f t="shared" si="86"/>
        <v>0.2</v>
      </c>
      <c r="AW487" s="37"/>
    </row>
    <row r="488" spans="1:49" ht="15.75" hidden="1" customHeight="1" x14ac:dyDescent="0.25">
      <c r="A488" s="6" t="s">
        <v>4352</v>
      </c>
      <c r="B488" s="21"/>
      <c r="C488" s="7">
        <v>2</v>
      </c>
      <c r="D488" s="39" t="s">
        <v>4358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14</v>
      </c>
      <c r="S488" s="18">
        <f t="shared" si="74"/>
        <v>14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4510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14</v>
      </c>
      <c r="AV488" s="37">
        <f t="shared" si="86"/>
        <v>14</v>
      </c>
      <c r="AW488" s="37"/>
    </row>
    <row r="489" spans="1:49" ht="15.75" hidden="1" customHeight="1" x14ac:dyDescent="0.25">
      <c r="A489" s="6" t="s">
        <v>4352</v>
      </c>
      <c r="B489" s="21"/>
      <c r="C489" s="7">
        <v>2</v>
      </c>
      <c r="D489" s="39" t="s">
        <v>4359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1"/>
        <v>1.6</v>
      </c>
      <c r="S489" s="18">
        <f t="shared" si="74"/>
        <v>1.6</v>
      </c>
      <c r="T489" s="19">
        <f t="shared" si="82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4510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1.6</v>
      </c>
      <c r="AV489" s="37">
        <f t="shared" si="86"/>
        <v>1.6</v>
      </c>
      <c r="AW489" s="37"/>
    </row>
    <row r="490" spans="1:49" ht="15.75" hidden="1" customHeight="1" x14ac:dyDescent="0.25">
      <c r="A490" s="6" t="s">
        <v>4352</v>
      </c>
      <c r="B490" s="21"/>
      <c r="C490" s="7">
        <v>1</v>
      </c>
      <c r="D490" s="39" t="s">
        <v>4360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0.6</v>
      </c>
      <c r="S490" s="18">
        <f t="shared" si="74"/>
        <v>0.6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4510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0.6</v>
      </c>
      <c r="AV490" s="37">
        <f t="shared" si="86"/>
        <v>0.6</v>
      </c>
      <c r="AW490" s="37"/>
    </row>
    <row r="491" spans="1:49" ht="15.75" hidden="1" customHeight="1" x14ac:dyDescent="0.25">
      <c r="A491" s="6" t="s">
        <v>4352</v>
      </c>
      <c r="B491" s="21"/>
      <c r="C491" s="7">
        <v>1</v>
      </c>
      <c r="D491" s="39" t="s">
        <v>4361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4510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4352</v>
      </c>
      <c r="B492" s="21"/>
      <c r="C492" s="7">
        <v>1</v>
      </c>
      <c r="D492" s="39" t="s">
        <v>4362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4510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4352</v>
      </c>
      <c r="B493" s="21"/>
      <c r="C493" s="7">
        <v>1</v>
      </c>
      <c r="D493" s="39" t="s">
        <v>4363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4510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hidden="1" customHeight="1" x14ac:dyDescent="0.25">
      <c r="A494" s="6" t="s">
        <v>4364</v>
      </c>
      <c r="B494" s="21"/>
      <c r="C494" s="7">
        <v>1</v>
      </c>
      <c r="D494" s="39" t="s">
        <v>4365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0.2</v>
      </c>
      <c r="S494" s="18">
        <f t="shared" si="74"/>
        <v>0.2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4510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0.2</v>
      </c>
      <c r="AV494" s="37">
        <f t="shared" si="86"/>
        <v>0.2</v>
      </c>
      <c r="AW494" s="37"/>
    </row>
    <row r="495" spans="1:49" ht="15.75" hidden="1" customHeight="1" x14ac:dyDescent="0.25">
      <c r="A495" s="6" t="s">
        <v>4364</v>
      </c>
      <c r="B495" s="21"/>
      <c r="C495" s="7">
        <v>1</v>
      </c>
      <c r="D495" s="39" t="s">
        <v>4366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0.4</v>
      </c>
      <c r="S495" s="18">
        <f t="shared" si="74"/>
        <v>0.4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4510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0.4</v>
      </c>
      <c r="AV495" s="37">
        <f t="shared" si="86"/>
        <v>0.4</v>
      </c>
      <c r="AW495" s="37"/>
    </row>
    <row r="496" spans="1:49" ht="15.75" hidden="1" customHeight="1" x14ac:dyDescent="0.25">
      <c r="A496" s="6" t="s">
        <v>4364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0.6</v>
      </c>
      <c r="S496" s="18">
        <f t="shared" si="74"/>
        <v>0.6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4510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0.6</v>
      </c>
      <c r="AV496" s="37">
        <f t="shared" si="86"/>
        <v>0.6</v>
      </c>
      <c r="AW496" s="37"/>
    </row>
    <row r="497" spans="1:49" ht="15.75" hidden="1" customHeight="1" x14ac:dyDescent="0.25">
      <c r="A497" s="6" t="s">
        <v>4364</v>
      </c>
      <c r="B497" s="21"/>
      <c r="C497" s="7">
        <v>1</v>
      </c>
      <c r="D497" s="39" t="s">
        <v>4367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4510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hidden="1" customHeight="1" x14ac:dyDescent="0.25">
      <c r="A498" s="6" t="s">
        <v>4364</v>
      </c>
      <c r="B498" s="21"/>
      <c r="C498" s="7">
        <v>1</v>
      </c>
      <c r="D498" s="39" t="s">
        <v>4368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9</v>
      </c>
      <c r="S498" s="18">
        <f t="shared" si="74"/>
        <v>9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4510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9</v>
      </c>
      <c r="AV498" s="37">
        <f t="shared" si="86"/>
        <v>9</v>
      </c>
      <c r="AW498" s="37"/>
    </row>
    <row r="499" spans="1:49" ht="15.75" hidden="1" customHeight="1" x14ac:dyDescent="0.25">
      <c r="A499" s="6" t="s">
        <v>4364</v>
      </c>
      <c r="B499" s="21"/>
      <c r="C499" s="7">
        <v>2</v>
      </c>
      <c r="D499" s="39" t="s">
        <v>4369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1"/>
        <v>10</v>
      </c>
      <c r="S499" s="18">
        <f t="shared" si="74"/>
        <v>10</v>
      </c>
      <c r="T499" s="19">
        <f t="shared" si="82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4510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10</v>
      </c>
      <c r="AV499" s="37">
        <f t="shared" si="86"/>
        <v>10</v>
      </c>
      <c r="AW499" s="37"/>
    </row>
    <row r="500" spans="1:49" ht="15.75" hidden="1" customHeight="1" x14ac:dyDescent="0.25">
      <c r="A500" s="6" t="s">
        <v>4364</v>
      </c>
      <c r="B500" s="21"/>
      <c r="C500" s="7">
        <v>1</v>
      </c>
      <c r="D500" s="39" t="s">
        <v>4370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23.4</v>
      </c>
      <c r="S500" s="18">
        <f t="shared" si="74"/>
        <v>23.4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4510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23.4</v>
      </c>
      <c r="AV500" s="37">
        <f t="shared" si="86"/>
        <v>23.4</v>
      </c>
      <c r="AW500" s="37"/>
    </row>
    <row r="501" spans="1:49" ht="15.75" hidden="1" customHeight="1" x14ac:dyDescent="0.25">
      <c r="A501" s="6" t="s">
        <v>4371</v>
      </c>
      <c r="B501" s="21"/>
      <c r="C501" s="7">
        <v>1</v>
      </c>
      <c r="D501" s="39" t="s">
        <v>4372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51.7</v>
      </c>
      <c r="S501" s="18">
        <f t="shared" si="74"/>
        <v>51.7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4510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51.7</v>
      </c>
      <c r="AV501" s="37">
        <f t="shared" si="86"/>
        <v>51.7</v>
      </c>
      <c r="AW501" s="37"/>
    </row>
    <row r="502" spans="1:49" ht="15.75" hidden="1" customHeight="1" x14ac:dyDescent="0.25">
      <c r="A502" s="6" t="s">
        <v>4373</v>
      </c>
      <c r="B502" s="21"/>
      <c r="C502" s="7">
        <v>1</v>
      </c>
      <c r="D502" s="39" t="s">
        <v>4374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232.8</v>
      </c>
      <c r="S502" s="18">
        <f t="shared" si="74"/>
        <v>232.8</v>
      </c>
      <c r="T502" s="19">
        <f t="shared" si="82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4510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232.8</v>
      </c>
      <c r="AV502" s="37">
        <f t="shared" si="86"/>
        <v>232.8</v>
      </c>
      <c r="AW502" s="37"/>
    </row>
    <row r="503" spans="1:49" ht="15.75" hidden="1" customHeight="1" x14ac:dyDescent="0.25">
      <c r="A503" s="6" t="s">
        <v>4375</v>
      </c>
      <c r="B503" s="21"/>
      <c r="C503" s="7">
        <v>2</v>
      </c>
      <c r="D503" s="39" t="s">
        <v>4376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1"/>
        <v>62</v>
      </c>
      <c r="S503" s="18">
        <f t="shared" si="74"/>
        <v>62</v>
      </c>
      <c r="T503" s="19">
        <f t="shared" si="82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4510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62</v>
      </c>
      <c r="AV503" s="37">
        <f t="shared" si="86"/>
        <v>62</v>
      </c>
      <c r="AW503" s="37"/>
    </row>
    <row r="504" spans="1:49" ht="15.75" hidden="1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45.4</v>
      </c>
      <c r="S504" s="18">
        <f t="shared" si="74"/>
        <v>45.4</v>
      </c>
      <c r="T504" s="19">
        <f t="shared" si="82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4510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45.4</v>
      </c>
      <c r="AV504" s="37">
        <f t="shared" si="86"/>
        <v>45.4</v>
      </c>
      <c r="AW504" s="37"/>
    </row>
    <row r="505" spans="1:49" ht="15.75" hidden="1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48</v>
      </c>
      <c r="S505" s="18">
        <f t="shared" si="74"/>
        <v>48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4510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48</v>
      </c>
      <c r="AV505" s="37">
        <f t="shared" si="86"/>
        <v>48</v>
      </c>
      <c r="AW505" s="37"/>
    </row>
    <row r="506" spans="1:49" ht="15.75" hidden="1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28.1</v>
      </c>
      <c r="S506" s="18">
        <f t="shared" si="74"/>
        <v>28.1</v>
      </c>
      <c r="T506" s="19">
        <f t="shared" si="82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4510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28.1</v>
      </c>
      <c r="AV506" s="37">
        <f t="shared" si="86"/>
        <v>28.1</v>
      </c>
      <c r="AW506" s="37"/>
    </row>
    <row r="507" spans="1:49" ht="15.75" hidden="1" customHeight="1" x14ac:dyDescent="0.25">
      <c r="A507" s="6" t="s">
        <v>4381</v>
      </c>
      <c r="B507" s="21"/>
      <c r="C507" s="7">
        <v>1</v>
      </c>
      <c r="D507" s="39" t="s">
        <v>4383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2.9</v>
      </c>
      <c r="S507" s="18">
        <f t="shared" si="74"/>
        <v>2.9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4510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2.9</v>
      </c>
      <c r="AV507" s="37">
        <f t="shared" si="86"/>
        <v>2.9</v>
      </c>
      <c r="AW507" s="37"/>
    </row>
    <row r="508" spans="1:49" ht="15.75" hidden="1" customHeight="1" x14ac:dyDescent="0.25">
      <c r="A508" s="6" t="s">
        <v>4381</v>
      </c>
      <c r="B508" s="21"/>
      <c r="C508" s="7">
        <v>1</v>
      </c>
      <c r="D508" s="39" t="s">
        <v>4384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3.3</v>
      </c>
      <c r="S508" s="18">
        <f t="shared" ref="S508:S571" si="90">IFERROR(H508*AG508,"")</f>
        <v>3.3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4510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3.3</v>
      </c>
      <c r="AV508" s="37">
        <f t="shared" si="86"/>
        <v>3.3</v>
      </c>
      <c r="AW508" s="37"/>
    </row>
    <row r="509" spans="1:49" ht="15.75" hidden="1" customHeight="1" x14ac:dyDescent="0.25">
      <c r="A509" s="6" t="s">
        <v>4381</v>
      </c>
      <c r="B509" s="21"/>
      <c r="C509" s="7">
        <v>1</v>
      </c>
      <c r="D509" s="39" t="s">
        <v>4385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4510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4381</v>
      </c>
      <c r="B510" s="21"/>
      <c r="C510" s="7">
        <v>1</v>
      </c>
      <c r="D510" s="39" t="s">
        <v>4386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0.1</v>
      </c>
      <c r="S510" s="18">
        <f t="shared" si="90"/>
        <v>0.1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4510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0.1</v>
      </c>
      <c r="AV510" s="37">
        <f t="shared" si="86"/>
        <v>0.1</v>
      </c>
      <c r="AW510" s="37"/>
    </row>
    <row r="511" spans="1:49" ht="15.75" hidden="1" customHeight="1" x14ac:dyDescent="0.25">
      <c r="A511" s="6" t="s">
        <v>4381</v>
      </c>
      <c r="B511" s="21"/>
      <c r="C511" s="7">
        <v>1</v>
      </c>
      <c r="D511" s="39" t="s">
        <v>4387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91">IFERROR(H511*((AA511*0.25)+(AC511*0.25)+(AD511*0.225)+(AE511*0.225)+(AF511*0.05)),"")</f>
        <v>0.1</v>
      </c>
      <c r="S511" s="18">
        <f t="shared" si="90"/>
        <v>0.1</v>
      </c>
      <c r="T511" s="19">
        <f t="shared" ref="T511:T574" si="92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93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4510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94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95">IF(AH511="",0,IF(ISTEXT(AH511),H511*VALUE(SUBSTITUTE(AH511,"%",""))/100,H511*AH511))</f>
        <v>0.1</v>
      </c>
      <c r="AV511" s="37">
        <f t="shared" ref="AV511:AV574" si="96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4381</v>
      </c>
      <c r="B512" s="21"/>
      <c r="C512" s="7">
        <v>1</v>
      </c>
      <c r="D512" s="39" t="s">
        <v>4388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4510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4381</v>
      </c>
      <c r="B513" s="21"/>
      <c r="C513" s="7">
        <v>1</v>
      </c>
      <c r="D513" s="39" t="s">
        <v>4389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4510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4381</v>
      </c>
      <c r="B514" s="21"/>
      <c r="C514" s="7">
        <v>1</v>
      </c>
      <c r="D514" s="39" t="s">
        <v>4390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4510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hidden="1" customHeight="1" x14ac:dyDescent="0.25">
      <c r="A515" s="6" t="s">
        <v>4381</v>
      </c>
      <c r="B515" s="21"/>
      <c r="C515" s="7">
        <v>2</v>
      </c>
      <c r="D515" s="39" t="s">
        <v>4391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91"/>
        <v>0.2</v>
      </c>
      <c r="S515" s="18">
        <f t="shared" si="90"/>
        <v>0.2</v>
      </c>
      <c r="T515" s="19">
        <f t="shared" si="92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4510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0.2</v>
      </c>
      <c r="AV515" s="37">
        <f t="shared" si="96"/>
        <v>0.2</v>
      </c>
      <c r="AW515" s="37"/>
    </row>
    <row r="516" spans="1:49" ht="15.75" hidden="1" customHeight="1" x14ac:dyDescent="0.25">
      <c r="A516" s="6" t="s">
        <v>4392</v>
      </c>
      <c r="B516" s="21"/>
      <c r="C516" s="7">
        <v>1</v>
      </c>
      <c r="D516" s="39" t="s">
        <v>4393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2.4</v>
      </c>
      <c r="S516" s="18">
        <f t="shared" si="90"/>
        <v>2.4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4510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2.4</v>
      </c>
      <c r="AV516" s="37">
        <f t="shared" si="96"/>
        <v>2.4</v>
      </c>
      <c r="AW516" s="37"/>
    </row>
    <row r="517" spans="1:49" ht="15.75" hidden="1" customHeight="1" x14ac:dyDescent="0.25">
      <c r="A517" s="6" t="s">
        <v>4394</v>
      </c>
      <c r="B517" s="21"/>
      <c r="C517" s="7">
        <v>4</v>
      </c>
      <c r="D517" s="39" t="s">
        <v>4395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24</v>
      </c>
      <c r="S517" s="18">
        <f t="shared" si="90"/>
        <v>24</v>
      </c>
      <c r="T517" s="19">
        <f t="shared" si="92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4510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24</v>
      </c>
      <c r="AV517" s="37">
        <f t="shared" si="96"/>
        <v>24</v>
      </c>
      <c r="AW517" s="37"/>
    </row>
    <row r="518" spans="1:49" ht="15.75" hidden="1" customHeight="1" x14ac:dyDescent="0.25">
      <c r="A518" s="6" t="s">
        <v>4396</v>
      </c>
      <c r="B518" s="21"/>
      <c r="C518" s="7">
        <v>4</v>
      </c>
      <c r="D518" s="39" t="s">
        <v>4397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91"/>
        <v>16.399999999999999</v>
      </c>
      <c r="S518" s="18">
        <f t="shared" si="90"/>
        <v>16.399999999999999</v>
      </c>
      <c r="T518" s="19">
        <f t="shared" si="92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4510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16.399999999999999</v>
      </c>
      <c r="AV518" s="37">
        <f t="shared" si="96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91"/>
        <v>852</v>
      </c>
      <c r="S519" s="18">
        <f t="shared" si="90"/>
        <v>852</v>
      </c>
      <c r="T519" s="19">
        <f t="shared" si="92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4510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852</v>
      </c>
      <c r="AV519" s="37">
        <f t="shared" si="96"/>
        <v>852</v>
      </c>
      <c r="AW519" s="37"/>
    </row>
    <row r="520" spans="1:49" ht="15.75" hidden="1" customHeight="1" x14ac:dyDescent="0.25">
      <c r="A520" s="6" t="s">
        <v>4398</v>
      </c>
      <c r="B520" s="21"/>
      <c r="C520" s="7">
        <v>1</v>
      </c>
      <c r="D520" s="39" t="s">
        <v>4399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24</v>
      </c>
      <c r="S520" s="18">
        <f t="shared" si="90"/>
        <v>24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4510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24</v>
      </c>
      <c r="AV520" s="37">
        <f t="shared" si="96"/>
        <v>24</v>
      </c>
      <c r="AW520" s="37"/>
    </row>
    <row r="521" spans="1:49" ht="15.75" hidden="1" customHeight="1" x14ac:dyDescent="0.25">
      <c r="A521" s="6" t="s">
        <v>4398</v>
      </c>
      <c r="B521" s="21"/>
      <c r="C521" s="7">
        <v>1</v>
      </c>
      <c r="D521" s="39" t="s">
        <v>4400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91"/>
        <v>20</v>
      </c>
      <c r="S521" s="18">
        <f t="shared" si="90"/>
        <v>20</v>
      </c>
      <c r="T521" s="19">
        <f t="shared" si="92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4510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20</v>
      </c>
      <c r="AV521" s="37">
        <f t="shared" si="96"/>
        <v>20</v>
      </c>
      <c r="AW521" s="37"/>
    </row>
    <row r="522" spans="1:49" ht="15.75" hidden="1" customHeight="1" x14ac:dyDescent="0.25">
      <c r="A522" s="6" t="s">
        <v>4398</v>
      </c>
      <c r="B522" s="21"/>
      <c r="C522" s="7">
        <v>2</v>
      </c>
      <c r="D522" s="39" t="s">
        <v>4401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4510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4398</v>
      </c>
      <c r="B523" s="21"/>
      <c r="C523" s="7">
        <v>2</v>
      </c>
      <c r="D523" s="39" t="s">
        <v>4402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91"/>
        <v>6</v>
      </c>
      <c r="S523" s="18">
        <f t="shared" si="90"/>
        <v>6</v>
      </c>
      <c r="T523" s="19">
        <f t="shared" si="92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4510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6</v>
      </c>
      <c r="AV523" s="37">
        <f t="shared" si="96"/>
        <v>6</v>
      </c>
      <c r="AW523" s="37"/>
    </row>
    <row r="524" spans="1:49" ht="15.75" hidden="1" customHeight="1" x14ac:dyDescent="0.25">
      <c r="A524" s="6" t="s">
        <v>4398</v>
      </c>
      <c r="B524" s="21"/>
      <c r="C524" s="7">
        <v>1</v>
      </c>
      <c r="D524" s="39" t="s">
        <v>4403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91"/>
        <v>0.2</v>
      </c>
      <c r="S524" s="18">
        <f t="shared" si="90"/>
        <v>0.2</v>
      </c>
      <c r="T524" s="19">
        <f t="shared" si="92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4510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0.2</v>
      </c>
      <c r="AV524" s="37">
        <f t="shared" si="96"/>
        <v>0.2</v>
      </c>
      <c r="AW524" s="37"/>
    </row>
    <row r="525" spans="1:49" ht="15.75" hidden="1" customHeight="1" x14ac:dyDescent="0.25">
      <c r="A525" s="6" t="s">
        <v>4398</v>
      </c>
      <c r="B525" s="21"/>
      <c r="C525" s="7">
        <v>2</v>
      </c>
      <c r="D525" s="39" t="s">
        <v>4404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4510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4398</v>
      </c>
      <c r="B526" s="21"/>
      <c r="C526" s="7">
        <v>2</v>
      </c>
      <c r="D526" s="39" t="s">
        <v>4405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0.4</v>
      </c>
      <c r="S526" s="18">
        <f t="shared" si="90"/>
        <v>0.4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4510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0.4</v>
      </c>
      <c r="AV526" s="37">
        <f t="shared" si="96"/>
        <v>0.4</v>
      </c>
      <c r="AW526" s="37"/>
    </row>
    <row r="527" spans="1:49" ht="15.75" hidden="1" customHeight="1" x14ac:dyDescent="0.25">
      <c r="A527" s="6" t="s">
        <v>4398</v>
      </c>
      <c r="B527" s="21"/>
      <c r="C527" s="7">
        <v>2</v>
      </c>
      <c r="D527" s="39" t="s">
        <v>4406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28.4</v>
      </c>
      <c r="S527" s="18">
        <f t="shared" si="90"/>
        <v>28.4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4510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28.4</v>
      </c>
      <c r="AV527" s="37">
        <f t="shared" si="96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143.19999999999999</v>
      </c>
      <c r="S528" s="18">
        <f t="shared" si="90"/>
        <v>143.19999999999999</v>
      </c>
      <c r="T528" s="19">
        <f t="shared" si="92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4510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143.19999999999999</v>
      </c>
      <c r="AV528" s="37">
        <f t="shared" si="96"/>
        <v>143.19999999999999</v>
      </c>
      <c r="AW528" s="37"/>
    </row>
    <row r="529" spans="1:49" ht="15.75" hidden="1" customHeight="1" x14ac:dyDescent="0.25">
      <c r="A529" s="6" t="s">
        <v>4407</v>
      </c>
      <c r="B529" s="21"/>
      <c r="C529" s="7">
        <v>1</v>
      </c>
      <c r="D529" s="39" t="s">
        <v>4408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24</v>
      </c>
      <c r="S529" s="18">
        <f t="shared" si="90"/>
        <v>24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4510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24</v>
      </c>
      <c r="AV529" s="37">
        <f t="shared" si="96"/>
        <v>24</v>
      </c>
      <c r="AW529" s="37"/>
    </row>
    <row r="530" spans="1:49" ht="15.75" hidden="1" customHeight="1" x14ac:dyDescent="0.25">
      <c r="A530" s="6" t="s">
        <v>4407</v>
      </c>
      <c r="B530" s="21"/>
      <c r="C530" s="7">
        <v>1</v>
      </c>
      <c r="D530" s="39" t="s">
        <v>4400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27</v>
      </c>
      <c r="S530" s="18">
        <f t="shared" si="90"/>
        <v>27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4510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27</v>
      </c>
      <c r="AV530" s="37">
        <f t="shared" si="96"/>
        <v>27</v>
      </c>
      <c r="AW530" s="37"/>
    </row>
    <row r="531" spans="1:49" ht="15.75" hidden="1" customHeight="1" x14ac:dyDescent="0.25">
      <c r="A531" s="6" t="s">
        <v>4407</v>
      </c>
      <c r="B531" s="21"/>
      <c r="C531" s="7">
        <v>1</v>
      </c>
      <c r="D531" s="39" t="s">
        <v>4409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4510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4407</v>
      </c>
      <c r="B532" s="21"/>
      <c r="C532" s="7">
        <v>1</v>
      </c>
      <c r="D532" s="39" t="s">
        <v>4401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1.5</v>
      </c>
      <c r="S532" s="18">
        <f t="shared" si="90"/>
        <v>1.5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4510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1.5</v>
      </c>
      <c r="AV532" s="37">
        <f t="shared" si="96"/>
        <v>1.5</v>
      </c>
      <c r="AW532" s="37"/>
    </row>
    <row r="533" spans="1:49" ht="15.75" hidden="1" customHeight="1" x14ac:dyDescent="0.25">
      <c r="A533" s="6" t="s">
        <v>4407</v>
      </c>
      <c r="B533" s="21"/>
      <c r="C533" s="7">
        <v>2</v>
      </c>
      <c r="D533" s="39" t="s">
        <v>4402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91"/>
        <v>6</v>
      </c>
      <c r="S533" s="18">
        <f t="shared" si="90"/>
        <v>6</v>
      </c>
      <c r="T533" s="19">
        <f t="shared" si="92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4510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6</v>
      </c>
      <c r="AV533" s="37">
        <f t="shared" si="96"/>
        <v>6</v>
      </c>
      <c r="AW533" s="37"/>
    </row>
    <row r="534" spans="1:49" ht="15.75" hidden="1" customHeight="1" x14ac:dyDescent="0.25">
      <c r="A534" s="6" t="s">
        <v>4407</v>
      </c>
      <c r="B534" s="21"/>
      <c r="C534" s="7">
        <v>1</v>
      </c>
      <c r="D534" s="39" t="s">
        <v>4410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0.1</v>
      </c>
      <c r="S534" s="18">
        <f t="shared" si="90"/>
        <v>0.1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4510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0.1</v>
      </c>
      <c r="AV534" s="37">
        <f t="shared" si="96"/>
        <v>0.1</v>
      </c>
      <c r="AW534" s="37"/>
    </row>
    <row r="535" spans="1:49" ht="15.75" hidden="1" customHeight="1" x14ac:dyDescent="0.25">
      <c r="A535" s="6" t="s">
        <v>4407</v>
      </c>
      <c r="B535" s="21"/>
      <c r="C535" s="7">
        <v>1</v>
      </c>
      <c r="D535" s="39" t="s">
        <v>4403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0.2</v>
      </c>
      <c r="S535" s="18">
        <f t="shared" si="90"/>
        <v>0.2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4510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0.2</v>
      </c>
      <c r="AV535" s="37">
        <f t="shared" si="96"/>
        <v>0.2</v>
      </c>
      <c r="AW535" s="37"/>
    </row>
    <row r="536" spans="1:49" ht="15.75" hidden="1" customHeight="1" x14ac:dyDescent="0.25">
      <c r="A536" s="6" t="s">
        <v>4407</v>
      </c>
      <c r="B536" s="21"/>
      <c r="C536" s="7">
        <v>1</v>
      </c>
      <c r="D536" s="39" t="s">
        <v>4404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4510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4407</v>
      </c>
      <c r="B537" s="21"/>
      <c r="C537" s="7">
        <v>1</v>
      </c>
      <c r="D537" s="39" t="s">
        <v>4405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0.1</v>
      </c>
      <c r="S537" s="18">
        <f t="shared" si="90"/>
        <v>0.1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4510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0.1</v>
      </c>
      <c r="AV537" s="37">
        <f t="shared" si="96"/>
        <v>0.1</v>
      </c>
      <c r="AW537" s="37"/>
    </row>
    <row r="538" spans="1:49" ht="15.75" hidden="1" customHeight="1" x14ac:dyDescent="0.25">
      <c r="A538" s="6" t="s">
        <v>4407</v>
      </c>
      <c r="B538" s="21"/>
      <c r="C538" s="7">
        <v>2</v>
      </c>
      <c r="D538" s="39" t="s">
        <v>4406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91"/>
        <v>14.2</v>
      </c>
      <c r="S538" s="18">
        <f t="shared" si="90"/>
        <v>14.2</v>
      </c>
      <c r="T538" s="19">
        <f t="shared" si="92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4510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14.2</v>
      </c>
      <c r="AV538" s="37">
        <f t="shared" si="96"/>
        <v>14.2</v>
      </c>
      <c r="AW538" s="37"/>
    </row>
    <row r="539" spans="1:49" ht="15.75" hidden="1" customHeight="1" x14ac:dyDescent="0.25">
      <c r="A539" s="6" t="s">
        <v>4407</v>
      </c>
      <c r="B539" s="21"/>
      <c r="C539" s="7">
        <v>1</v>
      </c>
      <c r="D539" s="39" t="s">
        <v>4411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4510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48</v>
      </c>
      <c r="S540" s="18">
        <f t="shared" si="90"/>
        <v>48</v>
      </c>
      <c r="T540" s="19">
        <f t="shared" si="92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4510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48</v>
      </c>
      <c r="AV540" s="37">
        <f t="shared" si="96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951.2</v>
      </c>
      <c r="S541" s="18">
        <f t="shared" si="90"/>
        <v>951.2</v>
      </c>
      <c r="T541" s="19">
        <f t="shared" si="92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4510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951.2</v>
      </c>
      <c r="AV541" s="37">
        <f t="shared" si="96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6.8</v>
      </c>
      <c r="S542" s="18">
        <f t="shared" si="90"/>
        <v>6.8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4510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6.8</v>
      </c>
      <c r="AV542" s="37">
        <f t="shared" si="96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91"/>
        <v>6</v>
      </c>
      <c r="S543" s="18">
        <f t="shared" si="90"/>
        <v>6</v>
      </c>
      <c r="T543" s="19">
        <f t="shared" si="92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4510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6</v>
      </c>
      <c r="AV543" s="37">
        <f t="shared" si="96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273.60000000000002</v>
      </c>
      <c r="S544" s="18">
        <f t="shared" si="90"/>
        <v>273.60000000000002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4510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273.60000000000002</v>
      </c>
      <c r="AV544" s="37">
        <f t="shared" si="96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91"/>
        <v>244.79999999999998</v>
      </c>
      <c r="S545" s="18">
        <f t="shared" si="90"/>
        <v>244.79999999999998</v>
      </c>
      <c r="T545" s="19">
        <f t="shared" si="92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4510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244.79999999999998</v>
      </c>
      <c r="AV545" s="37">
        <f t="shared" si="96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91"/>
        <v>961</v>
      </c>
      <c r="S546" s="18">
        <f t="shared" si="90"/>
        <v>961</v>
      </c>
      <c r="T546" s="19">
        <f t="shared" si="92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4510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961</v>
      </c>
      <c r="AV546" s="37">
        <f t="shared" si="96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91"/>
        <v>27.2</v>
      </c>
      <c r="S547" s="18">
        <f t="shared" si="90"/>
        <v>27.2</v>
      </c>
      <c r="T547" s="19">
        <f t="shared" si="92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4510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27.2</v>
      </c>
      <c r="AV547" s="37">
        <f t="shared" si="96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273.60000000000002</v>
      </c>
      <c r="S548" s="18">
        <f t="shared" si="90"/>
        <v>273.60000000000002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4510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273.60000000000002</v>
      </c>
      <c r="AV548" s="37">
        <f t="shared" si="96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91"/>
        <v>288</v>
      </c>
      <c r="S549" s="18">
        <f t="shared" si="90"/>
        <v>288</v>
      </c>
      <c r="T549" s="19">
        <f t="shared" si="92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4510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288</v>
      </c>
      <c r="AV549" s="37">
        <f t="shared" si="96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91"/>
        <v>3797.4</v>
      </c>
      <c r="S550" s="18">
        <f t="shared" si="90"/>
        <v>3797.4</v>
      </c>
      <c r="T550" s="19">
        <f t="shared" si="92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4510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3797.4</v>
      </c>
      <c r="AV550" s="37">
        <f t="shared" si="96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4510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13</v>
      </c>
      <c r="S552" s="18">
        <f t="shared" si="90"/>
        <v>13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4510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13</v>
      </c>
      <c r="AV552" s="37">
        <f t="shared" si="96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6</v>
      </c>
      <c r="S553" s="18">
        <f t="shared" si="90"/>
        <v>6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4510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6</v>
      </c>
      <c r="AV553" s="37">
        <f t="shared" si="96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192.3</v>
      </c>
      <c r="S554" s="18">
        <f t="shared" si="90"/>
        <v>192.3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4510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192.3</v>
      </c>
      <c r="AV554" s="37">
        <f t="shared" si="96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4510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4</v>
      </c>
      <c r="S556" s="18">
        <f t="shared" si="90"/>
        <v>4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4510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4</v>
      </c>
      <c r="AV556" s="37">
        <f t="shared" si="96"/>
        <v>4</v>
      </c>
      <c r="AW556" s="37"/>
    </row>
    <row r="557" spans="1:49" ht="15.75" hidden="1" customHeight="1" x14ac:dyDescent="0.25">
      <c r="A557" s="1" t="s">
        <v>4456</v>
      </c>
      <c r="B557" s="21"/>
      <c r="C557" s="1">
        <v>2</v>
      </c>
      <c r="D557" s="1" t="s">
        <v>4457</v>
      </c>
      <c r="E557" s="7">
        <v>4347</v>
      </c>
      <c r="F557" s="7" t="s">
        <v>4412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91"/>
        <v>90</v>
      </c>
      <c r="S557" s="18">
        <f t="shared" si="90"/>
        <v>90</v>
      </c>
      <c r="T557" s="19">
        <f t="shared" si="92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4510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90</v>
      </c>
      <c r="AV557" s="37">
        <f t="shared" si="96"/>
        <v>90</v>
      </c>
      <c r="AW557" s="37"/>
    </row>
    <row r="558" spans="1:49" ht="15.75" hidden="1" customHeight="1" x14ac:dyDescent="0.25">
      <c r="A558" s="1" t="s">
        <v>4456</v>
      </c>
      <c r="B558" s="21"/>
      <c r="C558" s="1">
        <v>1</v>
      </c>
      <c r="D558" s="1" t="s">
        <v>4458</v>
      </c>
      <c r="E558" s="7">
        <v>4348</v>
      </c>
      <c r="F558" s="7" t="s">
        <v>4412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85</v>
      </c>
      <c r="S558" s="18">
        <f t="shared" si="90"/>
        <v>85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4510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85</v>
      </c>
      <c r="AV558" s="37">
        <f t="shared" si="96"/>
        <v>85</v>
      </c>
      <c r="AW558" s="37"/>
    </row>
    <row r="559" spans="1:49" ht="15.75" hidden="1" customHeight="1" x14ac:dyDescent="0.25">
      <c r="A559" s="1" t="s">
        <v>4456</v>
      </c>
      <c r="B559" s="21"/>
      <c r="C559" s="1">
        <v>1</v>
      </c>
      <c r="D559" s="1" t="s">
        <v>4459</v>
      </c>
      <c r="E559" s="7">
        <v>4349</v>
      </c>
      <c r="F559" s="7" t="s">
        <v>4412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65</v>
      </c>
      <c r="S559" s="18">
        <f t="shared" si="90"/>
        <v>65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4510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65</v>
      </c>
      <c r="AV559" s="37">
        <f t="shared" si="96"/>
        <v>65</v>
      </c>
      <c r="AW559" s="37"/>
    </row>
    <row r="560" spans="1:49" ht="15.75" hidden="1" customHeight="1" x14ac:dyDescent="0.25">
      <c r="A560" s="1" t="s">
        <v>4460</v>
      </c>
      <c r="B560" s="21"/>
      <c r="C560" s="1">
        <v>1</v>
      </c>
      <c r="D560" s="1" t="s">
        <v>4461</v>
      </c>
      <c r="E560" s="7">
        <v>4350</v>
      </c>
      <c r="F560" s="7" t="s">
        <v>4412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7.2</v>
      </c>
      <c r="S560" s="18">
        <f t="shared" si="90"/>
        <v>7.2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4510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7.2</v>
      </c>
      <c r="AV560" s="37">
        <f t="shared" si="96"/>
        <v>7.2</v>
      </c>
      <c r="AW560" s="37"/>
    </row>
    <row r="561" spans="1:49" ht="15.75" hidden="1" customHeight="1" x14ac:dyDescent="0.25">
      <c r="A561" s="1" t="s">
        <v>4392</v>
      </c>
      <c r="B561" s="21"/>
      <c r="C561" s="1">
        <v>1</v>
      </c>
      <c r="D561" s="1" t="s">
        <v>4462</v>
      </c>
      <c r="E561" s="7">
        <v>4351</v>
      </c>
      <c r="F561" s="7" t="s">
        <v>4412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0.03</v>
      </c>
      <c r="S561" s="18">
        <f t="shared" si="90"/>
        <v>0.03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4510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0.03</v>
      </c>
      <c r="AV561" s="37">
        <f t="shared" si="96"/>
        <v>0.03</v>
      </c>
      <c r="AW561" s="37"/>
    </row>
    <row r="562" spans="1:49" ht="15.75" hidden="1" customHeight="1" x14ac:dyDescent="0.25">
      <c r="A562" s="1" t="s">
        <v>4392</v>
      </c>
      <c r="B562" s="21"/>
      <c r="C562" s="1">
        <v>4</v>
      </c>
      <c r="D562" s="1" t="s">
        <v>4463</v>
      </c>
      <c r="E562" s="7">
        <v>4352</v>
      </c>
      <c r="F562" s="7" t="s">
        <v>4412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91"/>
        <v>0.08</v>
      </c>
      <c r="S562" s="18">
        <f t="shared" si="90"/>
        <v>0.08</v>
      </c>
      <c r="T562" s="19">
        <f t="shared" si="92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4510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0.08</v>
      </c>
      <c r="AV562" s="37">
        <f t="shared" si="96"/>
        <v>0.08</v>
      </c>
      <c r="AW562" s="37"/>
    </row>
    <row r="563" spans="1:49" ht="15.75" hidden="1" customHeight="1" x14ac:dyDescent="0.25">
      <c r="A563" s="1" t="s">
        <v>4392</v>
      </c>
      <c r="B563" s="21"/>
      <c r="C563" s="1">
        <v>2</v>
      </c>
      <c r="D563" s="1" t="s">
        <v>4464</v>
      </c>
      <c r="E563" s="7">
        <v>4353</v>
      </c>
      <c r="F563" s="7" t="s">
        <v>4412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91"/>
        <v>0.04</v>
      </c>
      <c r="S563" s="18">
        <f t="shared" si="90"/>
        <v>0.04</v>
      </c>
      <c r="T563" s="19">
        <f t="shared" si="92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4510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0.04</v>
      </c>
      <c r="AV563" s="37">
        <f t="shared" si="96"/>
        <v>0.04</v>
      </c>
      <c r="AW563" s="37"/>
    </row>
    <row r="564" spans="1:49" ht="15.75" hidden="1" customHeight="1" x14ac:dyDescent="0.25">
      <c r="A564" s="1" t="s">
        <v>4460</v>
      </c>
      <c r="B564" s="21"/>
      <c r="C564" s="1">
        <v>110</v>
      </c>
      <c r="D564" s="1" t="s">
        <v>4465</v>
      </c>
      <c r="E564" s="7">
        <v>4354</v>
      </c>
      <c r="F564" s="7" t="s">
        <v>4412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91"/>
        <v>170.5</v>
      </c>
      <c r="S564" s="18">
        <f t="shared" si="90"/>
        <v>170.5</v>
      </c>
      <c r="T564" s="19">
        <f t="shared" si="92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4510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170.5</v>
      </c>
      <c r="AV564" s="37">
        <f t="shared" si="96"/>
        <v>170.5</v>
      </c>
      <c r="AW564" s="37"/>
    </row>
    <row r="565" spans="1:49" ht="15.75" hidden="1" customHeight="1" x14ac:dyDescent="0.25">
      <c r="A565" s="1" t="s">
        <v>4466</v>
      </c>
      <c r="B565" s="21"/>
      <c r="C565" s="1">
        <v>40</v>
      </c>
      <c r="D565" s="1" t="s">
        <v>4467</v>
      </c>
      <c r="E565" s="7">
        <v>4355</v>
      </c>
      <c r="F565" s="7" t="s">
        <v>4412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11.6</v>
      </c>
      <c r="S565" s="18">
        <f t="shared" si="90"/>
        <v>11.6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4510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11.6</v>
      </c>
      <c r="AV565" s="37">
        <f t="shared" si="96"/>
        <v>11.6</v>
      </c>
      <c r="AW565" s="37"/>
    </row>
    <row r="566" spans="1:49" ht="15.75" hidden="1" customHeight="1" x14ac:dyDescent="0.25">
      <c r="A566" s="1" t="s">
        <v>4466</v>
      </c>
      <c r="B566" s="21"/>
      <c r="C566" s="1">
        <v>40</v>
      </c>
      <c r="D566" s="1" t="s">
        <v>4468</v>
      </c>
      <c r="E566" s="7">
        <v>4356</v>
      </c>
      <c r="F566" s="7" t="s">
        <v>4412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0.8</v>
      </c>
      <c r="S566" s="18">
        <f t="shared" si="90"/>
        <v>0.8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4510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0.8</v>
      </c>
      <c r="AV566" s="37">
        <f t="shared" si="96"/>
        <v>0.8</v>
      </c>
      <c r="AW566" s="37"/>
    </row>
    <row r="567" spans="1:49" ht="15.75" hidden="1" customHeight="1" x14ac:dyDescent="0.25">
      <c r="A567" s="1" t="s">
        <v>4466</v>
      </c>
      <c r="B567" s="21"/>
      <c r="C567" s="1">
        <v>40</v>
      </c>
      <c r="D567" s="1" t="s">
        <v>4469</v>
      </c>
      <c r="E567" s="7">
        <v>4357</v>
      </c>
      <c r="F567" s="7" t="s">
        <v>4412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2.2000000000000002</v>
      </c>
      <c r="S567" s="18">
        <f t="shared" si="90"/>
        <v>2.2000000000000002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4510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2.2000000000000002</v>
      </c>
      <c r="AV567" s="37">
        <f t="shared" si="96"/>
        <v>2.2000000000000002</v>
      </c>
      <c r="AW567" s="37"/>
    </row>
    <row r="568" spans="1:49" ht="15.75" hidden="1" customHeight="1" x14ac:dyDescent="0.25">
      <c r="A568" s="1" t="s">
        <v>4470</v>
      </c>
      <c r="B568" s="21"/>
      <c r="C568" s="1">
        <v>1</v>
      </c>
      <c r="D568" s="1" t="s">
        <v>4471</v>
      </c>
      <c r="E568" s="7">
        <v>4358</v>
      </c>
      <c r="F568" s="7" t="s">
        <v>4412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91"/>
        <v>6.5</v>
      </c>
      <c r="S568" s="18">
        <f t="shared" si="90"/>
        <v>6.5</v>
      </c>
      <c r="T568" s="19">
        <f t="shared" si="92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4510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6.5</v>
      </c>
      <c r="AV568" s="37">
        <f t="shared" si="96"/>
        <v>6.5</v>
      </c>
      <c r="AW568" s="37"/>
    </row>
    <row r="569" spans="1:49" ht="15.75" hidden="1" customHeight="1" x14ac:dyDescent="0.25">
      <c r="A569" s="1" t="s">
        <v>4472</v>
      </c>
      <c r="B569" s="21"/>
      <c r="C569" s="1">
        <v>18</v>
      </c>
      <c r="D569" s="1" t="s">
        <v>4473</v>
      </c>
      <c r="E569" s="7">
        <v>4359</v>
      </c>
      <c r="F569" s="7" t="s">
        <v>4412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0.36</v>
      </c>
      <c r="S569" s="18">
        <f t="shared" si="90"/>
        <v>0.36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4510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0.36</v>
      </c>
      <c r="AV569" s="37">
        <f t="shared" si="96"/>
        <v>0.36</v>
      </c>
      <c r="AW569" s="37"/>
    </row>
    <row r="570" spans="1:49" ht="15.75" hidden="1" customHeight="1" x14ac:dyDescent="0.25">
      <c r="A570" s="1" t="s">
        <v>4472</v>
      </c>
      <c r="B570" s="21"/>
      <c r="C570" s="1">
        <v>18</v>
      </c>
      <c r="D570" s="1" t="s">
        <v>4474</v>
      </c>
      <c r="E570" s="7">
        <v>4360</v>
      </c>
      <c r="F570" s="7" t="s">
        <v>4412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91"/>
        <v>0.54</v>
      </c>
      <c r="S570" s="18">
        <f t="shared" si="90"/>
        <v>0.54</v>
      </c>
      <c r="T570" s="19">
        <f t="shared" si="92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4510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0.54</v>
      </c>
      <c r="AV570" s="37">
        <f t="shared" si="96"/>
        <v>0.54</v>
      </c>
      <c r="AW570" s="37"/>
    </row>
    <row r="571" spans="1:49" ht="15.75" hidden="1" customHeight="1" x14ac:dyDescent="0.25">
      <c r="A571" s="1" t="s">
        <v>4472</v>
      </c>
      <c r="B571" s="21"/>
      <c r="C571" s="1">
        <v>5</v>
      </c>
      <c r="D571" s="1" t="s">
        <v>4475</v>
      </c>
      <c r="E571" s="7">
        <v>4361</v>
      </c>
      <c r="F571" s="7" t="s">
        <v>4412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91"/>
        <v>0.1</v>
      </c>
      <c r="S571" s="18">
        <f t="shared" si="90"/>
        <v>0.1</v>
      </c>
      <c r="T571" s="19">
        <f t="shared" si="92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4510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</v>
      </c>
      <c r="AV571" s="37">
        <f t="shared" si="96"/>
        <v>0.1</v>
      </c>
      <c r="AW571" s="37"/>
    </row>
    <row r="572" spans="1:49" ht="15.75" hidden="1" customHeight="1" x14ac:dyDescent="0.25">
      <c r="A572" s="1" t="s">
        <v>4472</v>
      </c>
      <c r="B572" s="21"/>
      <c r="C572" s="1">
        <v>3</v>
      </c>
      <c r="D572" s="1" t="s">
        <v>4476</v>
      </c>
      <c r="E572" s="7">
        <v>4362</v>
      </c>
      <c r="F572" s="7" t="s">
        <v>4412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0.12</v>
      </c>
      <c r="S572" s="18">
        <f t="shared" ref="S572:S605" si="97">IFERROR(H572*AG572,"")</f>
        <v>0.12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4510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0.12</v>
      </c>
      <c r="AV572" s="37">
        <f t="shared" si="96"/>
        <v>0.12</v>
      </c>
      <c r="AW572" s="37"/>
    </row>
    <row r="573" spans="1:49" ht="15.75" hidden="1" customHeight="1" x14ac:dyDescent="0.25">
      <c r="A573" s="1" t="s">
        <v>4472</v>
      </c>
      <c r="B573" s="21"/>
      <c r="C573" s="1">
        <v>3</v>
      </c>
      <c r="D573" s="1" t="s">
        <v>4477</v>
      </c>
      <c r="E573" s="7">
        <v>4363</v>
      </c>
      <c r="F573" s="7" t="s">
        <v>4412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91"/>
        <v>0.15000000000000002</v>
      </c>
      <c r="S573" s="18">
        <f t="shared" si="97"/>
        <v>0.15000000000000002</v>
      </c>
      <c r="T573" s="19">
        <f t="shared" si="92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4510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0.15000000000000002</v>
      </c>
      <c r="AV573" s="37">
        <f t="shared" si="96"/>
        <v>0.15000000000000002</v>
      </c>
      <c r="AW573" s="37"/>
    </row>
    <row r="574" spans="1:49" ht="15.75" hidden="1" customHeight="1" x14ac:dyDescent="0.25">
      <c r="A574" s="1" t="s">
        <v>4472</v>
      </c>
      <c r="B574" s="21"/>
      <c r="C574" s="1">
        <v>10</v>
      </c>
      <c r="D574" s="1" t="s">
        <v>4478</v>
      </c>
      <c r="E574" s="7">
        <v>4364</v>
      </c>
      <c r="F574" s="7" t="s">
        <v>4412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91"/>
        <v>0.5</v>
      </c>
      <c r="S574" s="18">
        <f t="shared" si="97"/>
        <v>0.5</v>
      </c>
      <c r="T574" s="19">
        <f t="shared" si="92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4510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0.5</v>
      </c>
      <c r="AV574" s="37">
        <f t="shared" si="96"/>
        <v>0.5</v>
      </c>
      <c r="AW574" s="37"/>
    </row>
    <row r="575" spans="1:49" ht="15.75" hidden="1" customHeight="1" x14ac:dyDescent="0.25">
      <c r="A575" s="1" t="s">
        <v>4472</v>
      </c>
      <c r="B575" s="21"/>
      <c r="C575" s="1">
        <v>10</v>
      </c>
      <c r="D575" s="1" t="s">
        <v>4479</v>
      </c>
      <c r="E575" s="7">
        <v>4365</v>
      </c>
      <c r="F575" s="7" t="s">
        <v>4412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5" si="98">IFERROR(H575*((AA575*0.25)+(AC575*0.25)+(AD575*0.225)+(AE575*0.225)+(AF575*0.05)),"")</f>
        <v>0.6</v>
      </c>
      <c r="S575" s="18">
        <f t="shared" si="97"/>
        <v>0.6</v>
      </c>
      <c r="T575" s="19">
        <f t="shared" ref="T575:T605" si="99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5" si="100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4510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01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02">IF(AH575="",0,IF(ISTEXT(AH575),H575*VALUE(SUBSTITUTE(AH575,"%",""))/100,H575*AH575))</f>
        <v>0.6</v>
      </c>
      <c r="AV575" s="37">
        <f t="shared" ref="AV575:AV605" si="103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4472</v>
      </c>
      <c r="B576" s="21"/>
      <c r="C576" s="1">
        <v>2</v>
      </c>
      <c r="D576" s="1" t="s">
        <v>4480</v>
      </c>
      <c r="E576" s="7">
        <v>4366</v>
      </c>
      <c r="F576" s="7" t="s">
        <v>4412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98"/>
        <v>0.06</v>
      </c>
      <c r="S576" s="18">
        <f t="shared" si="97"/>
        <v>0.06</v>
      </c>
      <c r="T576" s="19">
        <f t="shared" si="99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4510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0.06</v>
      </c>
      <c r="AV576" s="37">
        <f t="shared" si="103"/>
        <v>0.06</v>
      </c>
      <c r="AW576" s="37"/>
    </row>
    <row r="577" spans="1:49" ht="15.75" hidden="1" customHeight="1" x14ac:dyDescent="0.25">
      <c r="A577" s="1" t="s">
        <v>4472</v>
      </c>
      <c r="B577" s="21"/>
      <c r="C577" s="1">
        <v>4</v>
      </c>
      <c r="D577" s="1" t="s">
        <v>4481</v>
      </c>
      <c r="E577" s="7">
        <v>4367</v>
      </c>
      <c r="F577" s="7" t="s">
        <v>4412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98"/>
        <v>0.16</v>
      </c>
      <c r="S577" s="18">
        <f t="shared" si="97"/>
        <v>0.16</v>
      </c>
      <c r="T577" s="19">
        <f t="shared" si="99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4510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0.16</v>
      </c>
      <c r="AV577" s="37">
        <f t="shared" si="103"/>
        <v>0.16</v>
      </c>
      <c r="AW577" s="37"/>
    </row>
    <row r="578" spans="1:49" ht="15.75" hidden="1" customHeight="1" x14ac:dyDescent="0.25">
      <c r="A578" s="1" t="s">
        <v>4472</v>
      </c>
      <c r="B578" s="21"/>
      <c r="C578" s="1">
        <v>2</v>
      </c>
      <c r="D578" s="1" t="s">
        <v>4482</v>
      </c>
      <c r="E578" s="7">
        <v>4368</v>
      </c>
      <c r="F578" s="7" t="s">
        <v>4412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0.04</v>
      </c>
      <c r="S578" s="18">
        <f t="shared" si="97"/>
        <v>0.04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4510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0.04</v>
      </c>
      <c r="AV578" s="37">
        <f t="shared" si="103"/>
        <v>0.04</v>
      </c>
      <c r="AW578" s="37"/>
    </row>
    <row r="579" spans="1:49" ht="15.75" hidden="1" customHeight="1" x14ac:dyDescent="0.25">
      <c r="A579" s="1" t="s">
        <v>4472</v>
      </c>
      <c r="B579" s="21"/>
      <c r="C579" s="1">
        <v>8</v>
      </c>
      <c r="D579" s="1" t="s">
        <v>4483</v>
      </c>
      <c r="E579" s="7">
        <v>4369</v>
      </c>
      <c r="F579" s="7" t="s">
        <v>4412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98"/>
        <v>0.32</v>
      </c>
      <c r="S579" s="18">
        <f t="shared" si="97"/>
        <v>0.32</v>
      </c>
      <c r="T579" s="19">
        <f t="shared" si="99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4510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0.32</v>
      </c>
      <c r="AV579" s="37">
        <f t="shared" si="103"/>
        <v>0.32</v>
      </c>
      <c r="AW579" s="37"/>
    </row>
    <row r="580" spans="1:49" ht="15.75" hidden="1" customHeight="1" x14ac:dyDescent="0.25">
      <c r="A580" s="1" t="s">
        <v>4472</v>
      </c>
      <c r="B580" s="21"/>
      <c r="C580" s="1">
        <v>1</v>
      </c>
      <c r="D580" s="1" t="s">
        <v>4484</v>
      </c>
      <c r="E580" s="7">
        <v>4370</v>
      </c>
      <c r="F580" s="7" t="s">
        <v>4412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98"/>
        <v>2.2000000000000002</v>
      </c>
      <c r="S580" s="18">
        <f t="shared" si="97"/>
        <v>2.2000000000000002</v>
      </c>
      <c r="T580" s="19">
        <f t="shared" si="99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4510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2.2000000000000002</v>
      </c>
      <c r="AV580" s="37">
        <f t="shared" si="103"/>
        <v>2.2000000000000002</v>
      </c>
      <c r="AW580" s="37"/>
    </row>
    <row r="581" spans="1:49" ht="15.75" hidden="1" customHeight="1" x14ac:dyDescent="0.25">
      <c r="A581" s="1" t="s">
        <v>4472</v>
      </c>
      <c r="B581" s="21"/>
      <c r="C581" s="1">
        <v>71</v>
      </c>
      <c r="D581" s="1" t="s">
        <v>4485</v>
      </c>
      <c r="E581" s="7">
        <v>4371</v>
      </c>
      <c r="F581" s="7" t="s">
        <v>4412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98"/>
        <v>9.0169999999999995</v>
      </c>
      <c r="S581" s="18">
        <f t="shared" si="97"/>
        <v>9.0169999999999995</v>
      </c>
      <c r="T581" s="19">
        <f t="shared" si="99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4510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9.0169999999999995</v>
      </c>
      <c r="AV581" s="37">
        <f t="shared" si="103"/>
        <v>9.0169999999999995</v>
      </c>
      <c r="AW581" s="37"/>
    </row>
    <row r="582" spans="1:49" ht="15.75" hidden="1" customHeight="1" x14ac:dyDescent="0.25">
      <c r="A582" s="1" t="s">
        <v>4472</v>
      </c>
      <c r="B582" s="21"/>
      <c r="C582" s="1">
        <v>10</v>
      </c>
      <c r="D582" s="1" t="s">
        <v>4487</v>
      </c>
      <c r="E582" s="7">
        <v>4372</v>
      </c>
      <c r="F582" s="7" t="s">
        <v>4412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98"/>
        <v>1.4000000000000001</v>
      </c>
      <c r="S582" s="18">
        <f t="shared" si="97"/>
        <v>1.4000000000000001</v>
      </c>
      <c r="T582" s="19">
        <f t="shared" si="99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4510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1.4000000000000001</v>
      </c>
      <c r="AV582" s="37">
        <f t="shared" si="103"/>
        <v>1.4000000000000001</v>
      </c>
      <c r="AW582" s="37"/>
    </row>
    <row r="583" spans="1:49" ht="15.75" hidden="1" customHeight="1" x14ac:dyDescent="0.25">
      <c r="A583" s="1" t="s">
        <v>4472</v>
      </c>
      <c r="B583" s="21"/>
      <c r="C583" s="1">
        <v>18</v>
      </c>
      <c r="D583" s="1" t="s">
        <v>4488</v>
      </c>
      <c r="E583" s="7">
        <v>4373</v>
      </c>
      <c r="F583" s="7" t="s">
        <v>4412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98"/>
        <v>6.6059999999999999</v>
      </c>
      <c r="S583" s="18">
        <f t="shared" si="97"/>
        <v>6.6059999999999999</v>
      </c>
      <c r="T583" s="19">
        <f t="shared" si="99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4510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6.6059999999999999</v>
      </c>
      <c r="AV583" s="37">
        <f t="shared" si="103"/>
        <v>6.6059999999999999</v>
      </c>
      <c r="AW583" s="37"/>
    </row>
    <row r="584" spans="1:49" ht="15.75" hidden="1" customHeight="1" x14ac:dyDescent="0.25">
      <c r="A584" s="1" t="s">
        <v>4472</v>
      </c>
      <c r="B584" s="21"/>
      <c r="C584" s="1">
        <v>50</v>
      </c>
      <c r="D584" s="1" t="s">
        <v>4489</v>
      </c>
      <c r="E584" s="7">
        <v>4374</v>
      </c>
      <c r="F584" s="7" t="s">
        <v>4412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98"/>
        <v>28.499999999999996</v>
      </c>
      <c r="S584" s="18">
        <f t="shared" si="97"/>
        <v>28.499999999999996</v>
      </c>
      <c r="T584" s="19">
        <f t="shared" si="99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4510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28.499999999999996</v>
      </c>
      <c r="AV584" s="37">
        <f t="shared" si="103"/>
        <v>28.499999999999996</v>
      </c>
      <c r="AW584" s="37"/>
    </row>
    <row r="585" spans="1:49" ht="15.75" hidden="1" customHeight="1" x14ac:dyDescent="0.25">
      <c r="A585" s="1" t="s">
        <v>4472</v>
      </c>
      <c r="B585" s="21"/>
      <c r="C585" s="1">
        <v>60</v>
      </c>
      <c r="D585" s="1" t="s">
        <v>4490</v>
      </c>
      <c r="E585" s="7">
        <v>4375</v>
      </c>
      <c r="F585" s="7" t="s">
        <v>4412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98"/>
        <v>9.9960000000000004</v>
      </c>
      <c r="S585" s="18">
        <f t="shared" si="97"/>
        <v>9.9960000000000004</v>
      </c>
      <c r="T585" s="19">
        <f t="shared" si="99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4510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9.9960000000000004</v>
      </c>
      <c r="AV585" s="37">
        <f t="shared" si="103"/>
        <v>9.9960000000000004</v>
      </c>
      <c r="AW585" s="37"/>
    </row>
    <row r="586" spans="1:49" ht="15.75" hidden="1" customHeight="1" x14ac:dyDescent="0.25">
      <c r="A586" s="1" t="s">
        <v>4472</v>
      </c>
      <c r="B586" s="21"/>
      <c r="C586" s="1">
        <v>15</v>
      </c>
      <c r="D586" s="1" t="s">
        <v>4491</v>
      </c>
      <c r="E586" s="7">
        <v>4376</v>
      </c>
      <c r="F586" s="7" t="s">
        <v>4412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98"/>
        <v>2.4</v>
      </c>
      <c r="S586" s="18">
        <f t="shared" si="97"/>
        <v>2.4</v>
      </c>
      <c r="T586" s="19">
        <f t="shared" si="99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4510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2.4</v>
      </c>
      <c r="AV586" s="37">
        <f t="shared" si="103"/>
        <v>2.4</v>
      </c>
      <c r="AW586" s="37"/>
    </row>
    <row r="587" spans="1:49" ht="15.75" hidden="1" customHeight="1" x14ac:dyDescent="0.25">
      <c r="A587" s="1" t="s">
        <v>4472</v>
      </c>
      <c r="B587" s="21"/>
      <c r="C587" s="1">
        <v>52</v>
      </c>
      <c r="D587" s="1" t="s">
        <v>4492</v>
      </c>
      <c r="E587" s="7">
        <v>4377</v>
      </c>
      <c r="F587" s="7" t="s">
        <v>4412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98"/>
        <v>23.192</v>
      </c>
      <c r="S587" s="18">
        <f t="shared" si="97"/>
        <v>23.192</v>
      </c>
      <c r="T587" s="19">
        <f t="shared" si="99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4510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23.192</v>
      </c>
      <c r="AV587" s="37">
        <f t="shared" si="103"/>
        <v>23.192</v>
      </c>
      <c r="AW587" s="37"/>
    </row>
    <row r="588" spans="1:49" ht="15.75" hidden="1" customHeight="1" x14ac:dyDescent="0.25">
      <c r="A588" s="1" t="s">
        <v>4472</v>
      </c>
      <c r="B588" s="21"/>
      <c r="C588" s="1">
        <v>78</v>
      </c>
      <c r="D588" s="1" t="s">
        <v>4493</v>
      </c>
      <c r="E588" s="7">
        <v>4378</v>
      </c>
      <c r="F588" s="7" t="s">
        <v>4412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98"/>
        <v>11.543999999999999</v>
      </c>
      <c r="S588" s="18">
        <f t="shared" si="97"/>
        <v>11.543999999999999</v>
      </c>
      <c r="T588" s="19">
        <f t="shared" si="99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4510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11.543999999999999</v>
      </c>
      <c r="AV588" s="37">
        <f t="shared" si="103"/>
        <v>11.543999999999999</v>
      </c>
      <c r="AW588" s="37"/>
    </row>
    <row r="589" spans="1:49" ht="15.75" hidden="1" customHeight="1" x14ac:dyDescent="0.25">
      <c r="A589" s="1" t="s">
        <v>4472</v>
      </c>
      <c r="B589" s="21"/>
      <c r="C589" s="1">
        <v>26</v>
      </c>
      <c r="D589" s="1" t="s">
        <v>4494</v>
      </c>
      <c r="E589" s="7">
        <v>4379</v>
      </c>
      <c r="F589" s="7" t="s">
        <v>4412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98"/>
        <v>4.3940000000000001</v>
      </c>
      <c r="S589" s="18">
        <f t="shared" si="97"/>
        <v>4.3940000000000001</v>
      </c>
      <c r="T589" s="19">
        <f t="shared" si="99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4510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4.3940000000000001</v>
      </c>
      <c r="AV589" s="37">
        <f t="shared" si="103"/>
        <v>4.3940000000000001</v>
      </c>
      <c r="AW589" s="37"/>
    </row>
    <row r="590" spans="1:49" ht="15.75" hidden="1" customHeight="1" x14ac:dyDescent="0.25">
      <c r="A590" s="1" t="s">
        <v>4472</v>
      </c>
      <c r="B590" s="21"/>
      <c r="C590" s="1">
        <v>60</v>
      </c>
      <c r="D590" s="1" t="s">
        <v>4495</v>
      </c>
      <c r="E590" s="7">
        <v>4380</v>
      </c>
      <c r="F590" s="7" t="s">
        <v>4412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98"/>
        <v>39.96</v>
      </c>
      <c r="S590" s="18">
        <f t="shared" si="97"/>
        <v>39.96</v>
      </c>
      <c r="T590" s="19">
        <f t="shared" si="99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4510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39.96</v>
      </c>
      <c r="AV590" s="37">
        <f t="shared" si="103"/>
        <v>39.96</v>
      </c>
      <c r="AW590" s="37"/>
    </row>
    <row r="591" spans="1:49" ht="15.75" hidden="1" customHeight="1" x14ac:dyDescent="0.25">
      <c r="A591" s="1" t="s">
        <v>4472</v>
      </c>
      <c r="B591" s="21"/>
      <c r="C591" s="1">
        <v>52</v>
      </c>
      <c r="D591" s="1" t="s">
        <v>4496</v>
      </c>
      <c r="E591" s="7">
        <v>4381</v>
      </c>
      <c r="F591" s="7" t="s">
        <v>4412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98"/>
        <v>10.972</v>
      </c>
      <c r="S591" s="18">
        <f t="shared" si="97"/>
        <v>10.972</v>
      </c>
      <c r="T591" s="19">
        <f t="shared" si="99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4510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10.972</v>
      </c>
      <c r="AV591" s="37">
        <f t="shared" si="103"/>
        <v>10.972</v>
      </c>
      <c r="AW591" s="37"/>
    </row>
    <row r="592" spans="1:49" ht="15.75" hidden="1" customHeight="1" x14ac:dyDescent="0.25">
      <c r="A592" s="1" t="s">
        <v>4472</v>
      </c>
      <c r="B592" s="21"/>
      <c r="C592" s="1">
        <v>26</v>
      </c>
      <c r="D592" s="1" t="s">
        <v>4497</v>
      </c>
      <c r="E592" s="7">
        <v>4382</v>
      </c>
      <c r="F592" s="7" t="s">
        <v>4412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98"/>
        <v>10.997999999999999</v>
      </c>
      <c r="S592" s="18">
        <f t="shared" si="97"/>
        <v>10.997999999999999</v>
      </c>
      <c r="T592" s="19">
        <f t="shared" si="99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4510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10.997999999999999</v>
      </c>
      <c r="AV592" s="37">
        <f t="shared" si="103"/>
        <v>10.997999999999999</v>
      </c>
      <c r="AW592" s="37"/>
    </row>
    <row r="593" spans="1:49" ht="15.75" hidden="1" customHeight="1" x14ac:dyDescent="0.25">
      <c r="A593" s="1" t="s">
        <v>4472</v>
      </c>
      <c r="B593" s="21"/>
      <c r="C593" s="1">
        <v>3</v>
      </c>
      <c r="D593" s="1" t="s">
        <v>4498</v>
      </c>
      <c r="E593" s="7">
        <v>4383</v>
      </c>
      <c r="F593" s="7" t="s">
        <v>4412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98"/>
        <v>10.5</v>
      </c>
      <c r="S593" s="18">
        <f t="shared" si="97"/>
        <v>10.5</v>
      </c>
      <c r="T593" s="19">
        <f t="shared" si="99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4510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10.5</v>
      </c>
      <c r="AV593" s="37">
        <f t="shared" si="103"/>
        <v>10.5</v>
      </c>
      <c r="AW593" s="37"/>
    </row>
    <row r="594" spans="1:49" ht="15.75" hidden="1" customHeight="1" x14ac:dyDescent="0.25">
      <c r="A594" s="1" t="s">
        <v>4472</v>
      </c>
      <c r="B594" s="21"/>
      <c r="C594" s="1">
        <v>20</v>
      </c>
      <c r="D594" s="1" t="s">
        <v>4499</v>
      </c>
      <c r="E594" s="7">
        <v>4384</v>
      </c>
      <c r="F594" s="7" t="s">
        <v>4412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98"/>
        <v>6</v>
      </c>
      <c r="S594" s="18">
        <f t="shared" si="97"/>
        <v>6</v>
      </c>
      <c r="T594" s="19">
        <f t="shared" si="99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4510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6</v>
      </c>
      <c r="AV594" s="37">
        <f t="shared" si="103"/>
        <v>6</v>
      </c>
      <c r="AW594" s="37"/>
    </row>
    <row r="595" spans="1:49" ht="15.75" hidden="1" customHeight="1" x14ac:dyDescent="0.25">
      <c r="A595" s="1" t="s">
        <v>4472</v>
      </c>
      <c r="B595" s="21"/>
      <c r="C595" s="1">
        <v>6</v>
      </c>
      <c r="D595" s="1" t="s">
        <v>4500</v>
      </c>
      <c r="E595" s="7">
        <v>4385</v>
      </c>
      <c r="F595" s="7" t="s">
        <v>4412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4510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4472</v>
      </c>
      <c r="B596" s="21"/>
      <c r="C596" s="1">
        <v>3</v>
      </c>
      <c r="D596" s="1" t="s">
        <v>4501</v>
      </c>
      <c r="E596" s="7">
        <v>4386</v>
      </c>
      <c r="F596" s="7" t="s">
        <v>4412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4510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4472</v>
      </c>
      <c r="B597" s="21"/>
      <c r="C597" s="1">
        <v>6</v>
      </c>
      <c r="D597" s="1" t="s">
        <v>4502</v>
      </c>
      <c r="E597" s="7">
        <v>4387</v>
      </c>
      <c r="F597" s="7" t="s">
        <v>4412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4510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hidden="1" customHeight="1" x14ac:dyDescent="0.25">
      <c r="A598" s="1" t="s">
        <v>4472</v>
      </c>
      <c r="B598" s="21"/>
      <c r="C598" s="1">
        <v>15</v>
      </c>
      <c r="D598" s="1" t="s">
        <v>4503</v>
      </c>
      <c r="E598" s="7">
        <v>4388</v>
      </c>
      <c r="F598" s="7" t="s">
        <v>4412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98"/>
        <v>5.1899999999999995</v>
      </c>
      <c r="S598" s="18">
        <f t="shared" si="97"/>
        <v>5.1899999999999995</v>
      </c>
      <c r="T598" s="19">
        <f t="shared" si="99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4510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5.1899999999999995</v>
      </c>
      <c r="AV598" s="37">
        <f t="shared" si="103"/>
        <v>5.1899999999999995</v>
      </c>
      <c r="AW598" s="37"/>
    </row>
    <row r="599" spans="1:49" ht="15.75" hidden="1" customHeight="1" x14ac:dyDescent="0.25">
      <c r="A599" s="1" t="s">
        <v>4472</v>
      </c>
      <c r="B599" s="21"/>
      <c r="C599" s="1">
        <v>12</v>
      </c>
      <c r="D599" s="1" t="s">
        <v>4504</v>
      </c>
      <c r="E599" s="7">
        <v>4389</v>
      </c>
      <c r="F599" s="7" t="s">
        <v>4412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98"/>
        <v>1.4040000000000001</v>
      </c>
      <c r="S599" s="18">
        <f t="shared" si="97"/>
        <v>1.4040000000000001</v>
      </c>
      <c r="T599" s="19">
        <f t="shared" si="99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4510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1.4040000000000001</v>
      </c>
      <c r="AV599" s="37">
        <f t="shared" si="103"/>
        <v>1.4040000000000001</v>
      </c>
      <c r="AW599" s="37"/>
    </row>
    <row r="600" spans="1:49" ht="15.75" hidden="1" customHeight="1" x14ac:dyDescent="0.25">
      <c r="A600" s="1" t="s">
        <v>4460</v>
      </c>
      <c r="B600" s="21"/>
      <c r="C600" s="1">
        <v>4</v>
      </c>
      <c r="D600" s="1" t="s">
        <v>4505</v>
      </c>
      <c r="E600" s="7">
        <v>4390</v>
      </c>
      <c r="F600" s="7" t="s">
        <v>4412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98"/>
        <v>4</v>
      </c>
      <c r="S600" s="18">
        <f t="shared" si="97"/>
        <v>4</v>
      </c>
      <c r="T600" s="19">
        <f t="shared" si="99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4510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4</v>
      </c>
      <c r="AV600" s="37">
        <f t="shared" si="103"/>
        <v>4</v>
      </c>
      <c r="AW600" s="37"/>
    </row>
    <row r="601" spans="1:49" ht="15.75" hidden="1" customHeight="1" x14ac:dyDescent="0.25">
      <c r="A601" s="1" t="s">
        <v>4472</v>
      </c>
      <c r="B601" s="21"/>
      <c r="C601" s="1">
        <v>1</v>
      </c>
      <c r="D601" s="1" t="s">
        <v>4506</v>
      </c>
      <c r="E601" s="7">
        <v>4391</v>
      </c>
      <c r="F601" s="7" t="s">
        <v>4412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1.2</v>
      </c>
      <c r="S601" s="18">
        <f t="shared" si="97"/>
        <v>1.2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4510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1.2</v>
      </c>
      <c r="AV601" s="37">
        <f t="shared" si="103"/>
        <v>1.2</v>
      </c>
      <c r="AW601" s="37"/>
    </row>
    <row r="602" spans="1:49" ht="15.75" hidden="1" customHeight="1" x14ac:dyDescent="0.25">
      <c r="A602" s="1" t="s">
        <v>4472</v>
      </c>
      <c r="B602" s="21"/>
      <c r="C602" s="1">
        <v>1</v>
      </c>
      <c r="D602" s="1" t="s">
        <v>4448</v>
      </c>
      <c r="E602" s="7">
        <v>4392</v>
      </c>
      <c r="F602" s="7" t="s">
        <v>4412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2.5</v>
      </c>
      <c r="S602" s="18">
        <f t="shared" si="97"/>
        <v>2.5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4510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2.5</v>
      </c>
      <c r="AV602" s="37">
        <f t="shared" si="103"/>
        <v>2.5</v>
      </c>
      <c r="AW602" s="37"/>
    </row>
    <row r="603" spans="1:49" ht="15.75" hidden="1" customHeight="1" x14ac:dyDescent="0.25">
      <c r="A603" s="1" t="s">
        <v>4507</v>
      </c>
      <c r="B603" s="21"/>
      <c r="C603" s="1">
        <v>1</v>
      </c>
      <c r="D603" s="1" t="s">
        <v>4508</v>
      </c>
      <c r="E603" s="7">
        <v>4393</v>
      </c>
      <c r="F603" s="7" t="s">
        <v>4412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120</v>
      </c>
      <c r="S603" s="18">
        <f t="shared" si="97"/>
        <v>120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4510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120</v>
      </c>
      <c r="AV603" s="37">
        <f t="shared" si="103"/>
        <v>120</v>
      </c>
      <c r="AW603" s="37"/>
    </row>
    <row r="604" spans="1:49" ht="15.75" hidden="1" customHeight="1" x14ac:dyDescent="0.25">
      <c r="A604" s="1" t="s">
        <v>4507</v>
      </c>
      <c r="B604" s="21"/>
      <c r="C604" s="1">
        <v>1</v>
      </c>
      <c r="D604" s="1" t="s">
        <v>4509</v>
      </c>
      <c r="E604" s="7">
        <v>4394</v>
      </c>
      <c r="F604" s="7" t="s">
        <v>4412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0.5</v>
      </c>
      <c r="S604" s="18">
        <f t="shared" si="97"/>
        <v>0.5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4510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0.5</v>
      </c>
      <c r="AV604" s="37">
        <f t="shared" si="103"/>
        <v>0.5</v>
      </c>
      <c r="AW604" s="37"/>
    </row>
    <row r="605" spans="1:49" ht="15.75" hidden="1" customHeight="1" x14ac:dyDescent="0.25">
      <c r="A605" s="6" t="s">
        <v>4512</v>
      </c>
      <c r="B605" s="21" t="s">
        <v>4513</v>
      </c>
      <c r="C605" s="7">
        <v>1</v>
      </c>
      <c r="D605" s="39" t="s">
        <v>4514</v>
      </c>
      <c r="E605" s="7">
        <v>4395</v>
      </c>
      <c r="F605" s="7">
        <v>36</v>
      </c>
      <c r="G605" s="37">
        <v>1065.9000000000001</v>
      </c>
      <c r="H605" s="34">
        <f>Tabela1[[#This Row],[PESO UNI]]*Tabela1[[#This Row],[QTE]]</f>
        <v>1065.9000000000001</v>
      </c>
      <c r="I605" s="7" t="s">
        <v>4872</v>
      </c>
      <c r="J605" s="8" t="s">
        <v>3045</v>
      </c>
      <c r="K605" s="8" t="s">
        <v>31</v>
      </c>
      <c r="L605" s="9" t="s">
        <v>2984</v>
      </c>
      <c r="M605" s="10">
        <v>46220</v>
      </c>
      <c r="N605" s="8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0</v>
      </c>
      <c r="S605" s="18">
        <f t="shared" si="97"/>
        <v>0</v>
      </c>
      <c r="T605" s="19">
        <f t="shared" si="99"/>
        <v>-1065.9000000000001</v>
      </c>
      <c r="U605" s="16">
        <f>IFERROR(SUMIF('LISTA DE EMBARQUE'!B:B,MICRO!E:E,'LISTA DE EMBARQUE'!G:G),"")</f>
        <v>0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0</v>
      </c>
      <c r="Y605" s="14">
        <f t="shared" si="100"/>
        <v>-1</v>
      </c>
      <c r="Z605" s="20">
        <f>Tabela1[[#This Row],[PESO TOTAL]]-Tabela1[[#This Row],[Peso Expedido]]</f>
        <v>1065.9000000000001</v>
      </c>
      <c r="AA605" s="17"/>
      <c r="AB605" s="33"/>
      <c r="AC605" s="33"/>
      <c r="AD605" s="33"/>
      <c r="AE605" s="33"/>
      <c r="AF605" s="33"/>
      <c r="AG605" s="33"/>
      <c r="AH605" s="33"/>
      <c r="AI605" s="33" t="str">
        <f t="shared" ref="AI605" si="104">IF(Z605&lt;=0,"ok","")</f>
        <v/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01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0</v>
      </c>
      <c r="AV605" s="37">
        <f t="shared" si="103"/>
        <v>0</v>
      </c>
      <c r="AW605" s="37"/>
    </row>
    <row r="606" spans="1:49" ht="15.75" hidden="1" customHeight="1" x14ac:dyDescent="0.25">
      <c r="A606" s="1" t="s">
        <v>2552</v>
      </c>
      <c r="B606" s="195"/>
      <c r="C606" s="197">
        <v>47</v>
      </c>
      <c r="D606" s="208" t="s">
        <v>3736</v>
      </c>
      <c r="E606" s="194" t="s">
        <v>4447</v>
      </c>
      <c r="F606" s="197" t="s">
        <v>4412</v>
      </c>
      <c r="G606" s="198">
        <v>121.38</v>
      </c>
      <c r="H606" s="34">
        <f>Tabela1[[#This Row],[PESO UNI]]*Tabela1[[#This Row],[QTE]]</f>
        <v>5704.86</v>
      </c>
      <c r="I606" s="198">
        <v>0</v>
      </c>
      <c r="J606" s="8" t="s">
        <v>2550</v>
      </c>
      <c r="K606" s="8" t="s">
        <v>4321</v>
      </c>
      <c r="L606" s="9" t="s">
        <v>2551</v>
      </c>
      <c r="M606" s="199"/>
      <c r="N606" s="205"/>
      <c r="O606" s="200"/>
      <c r="P606" s="201"/>
      <c r="Q606" s="14">
        <f>Tabela1[[#This Row],[QTDE/ Fabricação]]-Tabela1[[#This Row],[QTE]]</f>
        <v>-47</v>
      </c>
      <c r="R606" s="18">
        <f t="shared" ref="R606:R622" si="105">IFERROR(H606*((AA606*0.25)+(AC606*0.25)+(AD606*0.225)+(AE606*0.225)+(AF606*0.05)),"")</f>
        <v>5704.86</v>
      </c>
      <c r="S606" s="158">
        <f>IFERROR(H606*AG606,"")</f>
        <v>5704.86</v>
      </c>
      <c r="T606" s="19">
        <f t="shared" ref="T606:T622" si="106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:Y622" si="107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4510</v>
      </c>
      <c r="AQ606" s="202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1" t="s">
        <v>4515</v>
      </c>
      <c r="B607" s="21" t="s">
        <v>4516</v>
      </c>
      <c r="C607" s="1">
        <v>1</v>
      </c>
      <c r="D607" s="1" t="s">
        <v>4517</v>
      </c>
      <c r="E607" s="7">
        <v>4396</v>
      </c>
      <c r="F607" s="7">
        <v>37</v>
      </c>
      <c r="G607" s="1">
        <v>1282.0999999999999</v>
      </c>
      <c r="H607" s="34">
        <f>Tabela1[[#This Row],[PESO UNI]]*Tabela1[[#This Row],[QTE]]</f>
        <v>1282.0999999999999</v>
      </c>
      <c r="I607" s="7" t="s">
        <v>4873</v>
      </c>
      <c r="J607" s="8" t="s">
        <v>3140</v>
      </c>
      <c r="K607" s="8" t="s">
        <v>4321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ref="S607:S622" si="108">IFERROR(H607*AG607,"")</f>
        <v>0</v>
      </c>
      <c r="T607" s="19">
        <f t="shared" si="106"/>
        <v>-1282.0999999999999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1282.0999999999999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4518</v>
      </c>
      <c r="B608" s="21" t="s">
        <v>4519</v>
      </c>
      <c r="C608" s="1">
        <v>1</v>
      </c>
      <c r="D608" s="1" t="s">
        <v>4520</v>
      </c>
      <c r="E608" s="7">
        <v>4397</v>
      </c>
      <c r="F608" s="7">
        <v>37</v>
      </c>
      <c r="G608" s="1">
        <v>395.4</v>
      </c>
      <c r="H608" s="34">
        <f>Tabela1[[#This Row],[PESO UNI]]*Tabela1[[#This Row],[QTE]]</f>
        <v>395.4</v>
      </c>
      <c r="I608" s="7" t="s">
        <v>4873</v>
      </c>
      <c r="J608" s="8" t="s">
        <v>3140</v>
      </c>
      <c r="K608" s="8" t="s">
        <v>4321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-395.4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395.4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4521</v>
      </c>
      <c r="B609" s="21" t="s">
        <v>4522</v>
      </c>
      <c r="C609" s="1">
        <v>1</v>
      </c>
      <c r="D609" s="1" t="s">
        <v>4523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4842</v>
      </c>
      <c r="J609" s="8" t="s">
        <v>3140</v>
      </c>
      <c r="K609" s="8" t="s">
        <v>4321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-166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166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4521</v>
      </c>
      <c r="B610" s="21" t="s">
        <v>4522</v>
      </c>
      <c r="C610" s="1">
        <v>1</v>
      </c>
      <c r="D610" s="1" t="s">
        <v>4524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4842</v>
      </c>
      <c r="J610" s="8" t="s">
        <v>3140</v>
      </c>
      <c r="K610" s="8" t="s">
        <v>4321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28.6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4842</v>
      </c>
      <c r="J611" s="8" t="s">
        <v>3140</v>
      </c>
      <c r="K611" s="8" t="s">
        <v>4321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4401</v>
      </c>
      <c r="F612" s="7">
        <v>37</v>
      </c>
      <c r="G612" s="1">
        <v>126.7</v>
      </c>
      <c r="H612" s="34">
        <f>Tabela1[[#This Row],[PESO UNI]]*Tabela1[[#This Row],[QTE]]</f>
        <v>126.7</v>
      </c>
      <c r="I612" s="7" t="s">
        <v>4842</v>
      </c>
      <c r="J612" s="8" t="s">
        <v>3140</v>
      </c>
      <c r="K612" s="8" t="s">
        <v>4321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-126.7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126.7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4402</v>
      </c>
      <c r="F613" s="7">
        <v>37</v>
      </c>
      <c r="G613" s="1">
        <v>100.9</v>
      </c>
      <c r="H613" s="34">
        <f>Tabela1[[#This Row],[PESO UNI]]*Tabela1[[#This Row],[QTE]]</f>
        <v>100.9</v>
      </c>
      <c r="I613" s="7" t="s">
        <v>4842</v>
      </c>
      <c r="J613" s="8" t="s">
        <v>3140</v>
      </c>
      <c r="K613" s="8" t="s">
        <v>4321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-100.9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100.9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4529</v>
      </c>
      <c r="B614" s="21" t="s">
        <v>4530</v>
      </c>
      <c r="C614" s="1">
        <v>2</v>
      </c>
      <c r="D614" s="1" t="s">
        <v>4532</v>
      </c>
      <c r="E614" s="7">
        <v>4403</v>
      </c>
      <c r="F614" s="7">
        <v>37</v>
      </c>
      <c r="G614" s="1">
        <v>83.4</v>
      </c>
      <c r="H614" s="34">
        <f>Tabela1[[#This Row],[PESO UNI]]*Tabela1[[#This Row],[QTE]]</f>
        <v>166.8</v>
      </c>
      <c r="I614" s="7" t="s">
        <v>4842</v>
      </c>
      <c r="J614" s="8" t="s">
        <v>3140</v>
      </c>
      <c r="K614" s="8" t="s">
        <v>4321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-2</v>
      </c>
      <c r="R614" s="18">
        <f t="shared" si="105"/>
        <v>0</v>
      </c>
      <c r="S614" s="18">
        <f t="shared" si="108"/>
        <v>0</v>
      </c>
      <c r="T614" s="19">
        <f t="shared" si="106"/>
        <v>-166.8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-2</v>
      </c>
      <c r="Z614" s="20">
        <f>Tabela1[[#This Row],[PESO TOTAL]]-Tabela1[[#This Row],[Peso Expedido]]</f>
        <v>166.8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4529</v>
      </c>
      <c r="B615" s="21" t="s">
        <v>4530</v>
      </c>
      <c r="C615" s="1">
        <v>1</v>
      </c>
      <c r="D615" s="1" t="s">
        <v>4533</v>
      </c>
      <c r="E615" s="7">
        <v>4404</v>
      </c>
      <c r="F615" s="7">
        <v>37</v>
      </c>
      <c r="G615" s="1">
        <v>120.2</v>
      </c>
      <c r="H615" s="34">
        <f>Tabela1[[#This Row],[PESO UNI]]*Tabela1[[#This Row],[QTE]]</f>
        <v>120.2</v>
      </c>
      <c r="I615" s="7" t="s">
        <v>4842</v>
      </c>
      <c r="J615" s="8" t="s">
        <v>3140</v>
      </c>
      <c r="K615" s="8" t="s">
        <v>4321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-120.2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120.2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4529</v>
      </c>
      <c r="B616" s="21" t="s">
        <v>4530</v>
      </c>
      <c r="C616" s="1">
        <v>1</v>
      </c>
      <c r="D616" s="1" t="s">
        <v>4534</v>
      </c>
      <c r="E616" s="7">
        <v>4405</v>
      </c>
      <c r="F616" s="7">
        <v>37</v>
      </c>
      <c r="G616" s="1">
        <v>63.6</v>
      </c>
      <c r="H616" s="34">
        <f>Tabela1[[#This Row],[PESO UNI]]*Tabela1[[#This Row],[QTE]]</f>
        <v>63.6</v>
      </c>
      <c r="I616" s="7" t="s">
        <v>4842</v>
      </c>
      <c r="J616" s="8" t="s">
        <v>3140</v>
      </c>
      <c r="K616" s="8" t="s">
        <v>4321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-63.6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63.6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4529</v>
      </c>
      <c r="B617" s="21" t="s">
        <v>4530</v>
      </c>
      <c r="C617" s="1">
        <v>1</v>
      </c>
      <c r="D617" s="1" t="s">
        <v>4535</v>
      </c>
      <c r="E617" s="7">
        <v>4406</v>
      </c>
      <c r="F617" s="7">
        <v>37</v>
      </c>
      <c r="G617" s="1">
        <v>75.8</v>
      </c>
      <c r="H617" s="34">
        <f>Tabela1[[#This Row],[PESO UNI]]*Tabela1[[#This Row],[QTE]]</f>
        <v>75.8</v>
      </c>
      <c r="I617" s="7" t="s">
        <v>4842</v>
      </c>
      <c r="J617" s="8" t="s">
        <v>3140</v>
      </c>
      <c r="K617" s="8" t="s">
        <v>4321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-75.8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75.8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4537</v>
      </c>
      <c r="B618" s="21" t="s">
        <v>4538</v>
      </c>
      <c r="C618" s="1">
        <v>1</v>
      </c>
      <c r="D618" s="1" t="s">
        <v>4539</v>
      </c>
      <c r="E618" s="7">
        <v>4407</v>
      </c>
      <c r="F618" s="7">
        <v>38</v>
      </c>
      <c r="G618" s="1">
        <v>753.9</v>
      </c>
      <c r="H618" s="34">
        <f>Tabela1[[#This Row],[PESO UNI]]*Tabela1[[#This Row],[QTE]]</f>
        <v>753.9</v>
      </c>
      <c r="I618" s="7">
        <v>0</v>
      </c>
      <c r="J618" s="8" t="s">
        <v>3140</v>
      </c>
      <c r="K618" s="8" t="s">
        <v>4321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-753.9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753.9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4537</v>
      </c>
      <c r="B619" s="21" t="s">
        <v>4538</v>
      </c>
      <c r="C619" s="1">
        <v>2</v>
      </c>
      <c r="D619" s="1" t="s">
        <v>4540</v>
      </c>
      <c r="E619" s="7">
        <v>4408</v>
      </c>
      <c r="F619" s="7">
        <v>38</v>
      </c>
      <c r="G619" s="1">
        <v>81.099999999999994</v>
      </c>
      <c r="H619" s="34">
        <f>Tabela1[[#This Row],[PESO UNI]]*Tabela1[[#This Row],[QTE]]</f>
        <v>162.19999999999999</v>
      </c>
      <c r="I619" s="7">
        <v>0</v>
      </c>
      <c r="J619" s="8" t="s">
        <v>3140</v>
      </c>
      <c r="K619" s="8" t="s">
        <v>4321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-162.19999999999999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162.19999999999999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4537</v>
      </c>
      <c r="B620" s="21" t="s">
        <v>4538</v>
      </c>
      <c r="C620" s="1">
        <v>2</v>
      </c>
      <c r="D620" s="1" t="s">
        <v>4541</v>
      </c>
      <c r="E620" s="7">
        <v>4409</v>
      </c>
      <c r="F620" s="7">
        <v>38</v>
      </c>
      <c r="G620" s="1">
        <v>51.8</v>
      </c>
      <c r="H620" s="34">
        <f>Tabela1[[#This Row],[PESO UNI]]*Tabela1[[#This Row],[QTE]]</f>
        <v>103.6</v>
      </c>
      <c r="I620" s="7">
        <v>0</v>
      </c>
      <c r="J620" s="8" t="s">
        <v>3140</v>
      </c>
      <c r="K620" s="8" t="s">
        <v>4321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-103.6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103.6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4537</v>
      </c>
      <c r="B621" s="21" t="s">
        <v>4538</v>
      </c>
      <c r="C621" s="1">
        <v>2</v>
      </c>
      <c r="D621" s="1" t="s">
        <v>4542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>
        <v>0</v>
      </c>
      <c r="J621" s="8" t="s">
        <v>3140</v>
      </c>
      <c r="K621" s="8" t="s">
        <v>4321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-5.4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5.4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4537</v>
      </c>
      <c r="B622" s="21" t="s">
        <v>4538</v>
      </c>
      <c r="C622" s="1">
        <v>2</v>
      </c>
      <c r="D622" s="1" t="s">
        <v>4543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>
        <v>0</v>
      </c>
      <c r="J622" s="8" t="s">
        <v>3140</v>
      </c>
      <c r="K622" s="8" t="s">
        <v>4321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1.5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4537</v>
      </c>
      <c r="B623" s="21" t="s">
        <v>4538</v>
      </c>
      <c r="C623" s="1">
        <v>2</v>
      </c>
      <c r="D623" s="1" t="s">
        <v>4544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>
        <v>0</v>
      </c>
      <c r="J623" s="8" t="s">
        <v>3140</v>
      </c>
      <c r="K623" s="8" t="s">
        <v>4321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-1.6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-2</v>
      </c>
      <c r="Z623" s="20">
        <f>Tabela1[[#This Row],[PESO TOTAL]]-Tabela1[[#This Row],[Peso Expedido]]</f>
        <v>1.6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4545</v>
      </c>
      <c r="B624" s="21" t="s">
        <v>4546</v>
      </c>
      <c r="C624" s="1">
        <v>1</v>
      </c>
      <c r="D624" s="1" t="s">
        <v>4547</v>
      </c>
      <c r="E624" s="7">
        <v>4413</v>
      </c>
      <c r="F624" s="7">
        <v>39</v>
      </c>
      <c r="G624" s="1">
        <v>527.5</v>
      </c>
      <c r="H624" s="34">
        <f>Tabela1[[#This Row],[PESO UNI]]*Tabela1[[#This Row],[QTE]]</f>
        <v>527.5</v>
      </c>
      <c r="I624" s="7" t="s">
        <v>4873</v>
      </c>
      <c r="J624" s="8" t="s">
        <v>3045</v>
      </c>
      <c r="K624" s="8" t="s">
        <v>4321</v>
      </c>
      <c r="L624" s="9" t="s">
        <v>2984</v>
      </c>
      <c r="M624" s="10">
        <v>46224</v>
      </c>
      <c r="N624" s="8" t="s">
        <v>38</v>
      </c>
      <c r="O624" s="12"/>
      <c r="P624" s="13"/>
      <c r="Q624" s="14">
        <f>Tabela1[[#This Row],[QTDE/ Fabricação]]-Tabela1[[#This Row],[QTE]]</f>
        <v>-1</v>
      </c>
      <c r="R624" s="18">
        <f>IFERROR(H624*((AA624*0.25)+(AC624*0.25)+(AD624*0.225)+(AE624*0.225)+(AF624*0.05)),"")</f>
        <v>0</v>
      </c>
      <c r="S624" s="18">
        <f>IFERROR(H624*AG624,"")</f>
        <v>0</v>
      </c>
      <c r="T624" s="19">
        <f>IFERROR(S624-H624,"")</f>
        <v>-527.5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>U624-C624</f>
        <v>-1</v>
      </c>
      <c r="Z624" s="20">
        <f>Tabela1[[#This Row],[PESO TOTAL]]-Tabela1[[#This Row],[Peso Expedido]]</f>
        <v>527.5</v>
      </c>
      <c r="AA624" s="17"/>
      <c r="AB624" s="33"/>
      <c r="AC624" s="33"/>
      <c r="AD624" s="33"/>
      <c r="AE624" s="33"/>
      <c r="AF624" s="33"/>
      <c r="AG624" s="33"/>
      <c r="AH624" s="33"/>
      <c r="AI624" s="33"/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4549</v>
      </c>
      <c r="B625" s="21"/>
      <c r="C625" s="1">
        <v>30</v>
      </c>
      <c r="D625" s="1" t="s">
        <v>4548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4550</v>
      </c>
      <c r="K625" s="8" t="s">
        <v>23</v>
      </c>
      <c r="L625" s="9" t="s">
        <v>4551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>IFERROR(H625*((AA625*0.25)+(AC625*0.25)+(AD625*0.225)+(AE625*0.225)+(AF625*0.05)),"")</f>
        <v>345</v>
      </c>
      <c r="S625" s="18">
        <f>IFERROR(H625*AG625,"")</f>
        <v>345</v>
      </c>
      <c r="T625" s="19">
        <f>IFERROR(S625-H625,"")</f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>U625-C625</f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4413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4555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4690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09">IFERROR(H626*((AA626*0.25)+(AC626*0.25)+(AD626*0.225)+(AE626*0.225)+(AF626*0.05)),"")</f>
        <v>4.78</v>
      </c>
      <c r="S626" s="18">
        <f t="shared" ref="S626:S627" si="110">IFERROR(H626*AG626,"")</f>
        <v>4.78</v>
      </c>
      <c r="T626" s="19">
        <f t="shared" ref="T626:T627" si="111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12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4510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4555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4691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09"/>
        <v>4.78</v>
      </c>
      <c r="S627" s="18">
        <f t="shared" si="110"/>
        <v>4.78</v>
      </c>
      <c r="T627" s="19">
        <f t="shared" si="111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12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4510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4556</v>
      </c>
      <c r="C628" s="1">
        <v>16</v>
      </c>
      <c r="D628" s="1" t="s">
        <v>4557</v>
      </c>
      <c r="E628" s="7" t="s">
        <v>4693</v>
      </c>
      <c r="F628" s="7" t="s">
        <v>4412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13">IFERROR(H628*((AA628*0.25)+(AC628*0.25)+(AD628*0.225)+(AE628*0.225)+(AF628*0.05)),"")</f>
        <v>19.2</v>
      </c>
      <c r="S628" s="18">
        <f t="shared" ref="S628:S691" si="114">IFERROR(H628*AG628,"")</f>
        <v>19.2</v>
      </c>
      <c r="T628" s="19">
        <f t="shared" ref="T628:T691" si="115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16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4510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4556</v>
      </c>
      <c r="C629" s="1">
        <v>8</v>
      </c>
      <c r="D629" s="1" t="s">
        <v>4559</v>
      </c>
      <c r="E629" s="7" t="s">
        <v>4694</v>
      </c>
      <c r="F629" s="7" t="s">
        <v>4412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13"/>
        <v>14.4</v>
      </c>
      <c r="S629" s="18">
        <f t="shared" si="114"/>
        <v>14.4</v>
      </c>
      <c r="T629" s="19">
        <f t="shared" si="115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4510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4556</v>
      </c>
      <c r="C630" s="1">
        <v>7</v>
      </c>
      <c r="D630" s="1" t="s">
        <v>4560</v>
      </c>
      <c r="E630" s="7" t="s">
        <v>4695</v>
      </c>
      <c r="F630" s="7" t="s">
        <v>4412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13"/>
        <v>14.700000000000001</v>
      </c>
      <c r="S630" s="18">
        <f t="shared" si="114"/>
        <v>14.700000000000001</v>
      </c>
      <c r="T630" s="19">
        <f t="shared" si="115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4510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4556</v>
      </c>
      <c r="C631" s="1">
        <v>3</v>
      </c>
      <c r="D631" s="1" t="s">
        <v>4561</v>
      </c>
      <c r="E631" s="7" t="s">
        <v>4696</v>
      </c>
      <c r="F631" s="7" t="s">
        <v>4412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0.15000000000000002</v>
      </c>
      <c r="S631" s="18">
        <f t="shared" si="114"/>
        <v>0.15000000000000002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4510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4556</v>
      </c>
      <c r="C632" s="1">
        <v>3</v>
      </c>
      <c r="D632" s="1" t="s">
        <v>4563</v>
      </c>
      <c r="E632" s="7" t="s">
        <v>4697</v>
      </c>
      <c r="F632" s="7" t="s">
        <v>4412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13"/>
        <v>0.06</v>
      </c>
      <c r="S632" s="18">
        <f t="shared" si="114"/>
        <v>0.06</v>
      </c>
      <c r="T632" s="19">
        <f t="shared" si="115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4510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4556</v>
      </c>
      <c r="C633" s="1">
        <v>2</v>
      </c>
      <c r="D633" s="1" t="s">
        <v>4564</v>
      </c>
      <c r="E633" s="7" t="s">
        <v>4698</v>
      </c>
      <c r="F633" s="7" t="s">
        <v>4412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13"/>
        <v>1.6</v>
      </c>
      <c r="S633" s="18">
        <f t="shared" si="114"/>
        <v>1.6</v>
      </c>
      <c r="T633" s="19">
        <f t="shared" si="115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4510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4556</v>
      </c>
      <c r="C634" s="1">
        <v>6</v>
      </c>
      <c r="D634" s="1" t="s">
        <v>4565</v>
      </c>
      <c r="E634" s="7" t="s">
        <v>4699</v>
      </c>
      <c r="F634" s="7" t="s">
        <v>4412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13"/>
        <v>0.24</v>
      </c>
      <c r="S634" s="18">
        <f t="shared" si="114"/>
        <v>0.24</v>
      </c>
      <c r="T634" s="19">
        <f t="shared" si="115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4510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4556</v>
      </c>
      <c r="C635" s="1">
        <v>2</v>
      </c>
      <c r="D635" s="1" t="s">
        <v>4566</v>
      </c>
      <c r="E635" s="7" t="s">
        <v>4700</v>
      </c>
      <c r="F635" s="7" t="s">
        <v>4412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13"/>
        <v>0.1</v>
      </c>
      <c r="S635" s="18">
        <f t="shared" si="114"/>
        <v>0.1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4510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4556</v>
      </c>
      <c r="C636" s="1">
        <v>6</v>
      </c>
      <c r="D636" s="1" t="s">
        <v>4567</v>
      </c>
      <c r="E636" s="7" t="s">
        <v>4701</v>
      </c>
      <c r="F636" s="7" t="s">
        <v>4412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13"/>
        <v>0.18</v>
      </c>
      <c r="S636" s="18">
        <f t="shared" si="114"/>
        <v>0.18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4510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4556</v>
      </c>
      <c r="C637" s="1">
        <v>2</v>
      </c>
      <c r="D637" s="1" t="s">
        <v>4568</v>
      </c>
      <c r="E637" s="7" t="s">
        <v>4702</v>
      </c>
      <c r="F637" s="7" t="s">
        <v>4412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4510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4556</v>
      </c>
      <c r="C638" s="1">
        <v>2</v>
      </c>
      <c r="D638" s="1" t="s">
        <v>4569</v>
      </c>
      <c r="E638" s="7" t="s">
        <v>4703</v>
      </c>
      <c r="F638" s="7" t="s">
        <v>4412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13"/>
        <v>0.16</v>
      </c>
      <c r="S638" s="18">
        <f t="shared" si="114"/>
        <v>0.16</v>
      </c>
      <c r="T638" s="19">
        <f t="shared" si="115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4510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4556</v>
      </c>
      <c r="C639" s="1">
        <v>4</v>
      </c>
      <c r="D639" s="1" t="s">
        <v>4570</v>
      </c>
      <c r="E639" s="7" t="s">
        <v>4704</v>
      </c>
      <c r="F639" s="7" t="s">
        <v>4412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13"/>
        <v>0.12</v>
      </c>
      <c r="S639" s="18">
        <f t="shared" si="114"/>
        <v>0.12</v>
      </c>
      <c r="T639" s="19">
        <f t="shared" si="115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4510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4556</v>
      </c>
      <c r="C640" s="1">
        <v>2</v>
      </c>
      <c r="D640" s="1" t="s">
        <v>4571</v>
      </c>
      <c r="E640" s="7" t="s">
        <v>4705</v>
      </c>
      <c r="F640" s="7" t="s">
        <v>4412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13"/>
        <v>0.1</v>
      </c>
      <c r="S640" s="18">
        <f t="shared" si="114"/>
        <v>0.1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4510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4556</v>
      </c>
      <c r="C641" s="1">
        <v>3</v>
      </c>
      <c r="D641" s="1" t="s">
        <v>4572</v>
      </c>
      <c r="E641" s="7" t="s">
        <v>4706</v>
      </c>
      <c r="F641" s="7" t="s">
        <v>4412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13"/>
        <v>0.24</v>
      </c>
      <c r="S641" s="18">
        <f t="shared" si="114"/>
        <v>0.24</v>
      </c>
      <c r="T641" s="19">
        <f t="shared" si="115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4510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4556</v>
      </c>
      <c r="C642" s="1">
        <v>5</v>
      </c>
      <c r="D642" s="1" t="s">
        <v>4573</v>
      </c>
      <c r="E642" s="7" t="s">
        <v>4707</v>
      </c>
      <c r="F642" s="7" t="s">
        <v>4412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13"/>
        <v>0.15</v>
      </c>
      <c r="S642" s="18">
        <f t="shared" si="114"/>
        <v>0.15</v>
      </c>
      <c r="T642" s="19">
        <f t="shared" si="115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4510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4556</v>
      </c>
      <c r="C643" s="1">
        <v>7</v>
      </c>
      <c r="D643" s="1" t="s">
        <v>4574</v>
      </c>
      <c r="E643" s="7" t="s">
        <v>4708</v>
      </c>
      <c r="F643" s="7" t="s">
        <v>4412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13"/>
        <v>0.14000000000000001</v>
      </c>
      <c r="S643" s="18">
        <f t="shared" si="114"/>
        <v>0.14000000000000001</v>
      </c>
      <c r="T643" s="19">
        <f t="shared" si="115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4510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4556</v>
      </c>
      <c r="C644" s="1">
        <v>32</v>
      </c>
      <c r="D644" s="1" t="s">
        <v>4575</v>
      </c>
      <c r="E644" s="7" t="s">
        <v>4709</v>
      </c>
      <c r="F644" s="7" t="s">
        <v>4412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4510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4556</v>
      </c>
      <c r="C645" s="1">
        <v>16</v>
      </c>
      <c r="D645" s="1" t="s">
        <v>4576</v>
      </c>
      <c r="E645" s="7" t="s">
        <v>4710</v>
      </c>
      <c r="F645" s="7" t="s">
        <v>4412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13"/>
        <v>0.64</v>
      </c>
      <c r="S645" s="18">
        <f t="shared" si="114"/>
        <v>0.64</v>
      </c>
      <c r="T645" s="19">
        <f t="shared" si="115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4510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4556</v>
      </c>
      <c r="C646" s="1">
        <v>14</v>
      </c>
      <c r="D646" s="1" t="s">
        <v>4577</v>
      </c>
      <c r="E646" s="7" t="s">
        <v>4711</v>
      </c>
      <c r="F646" s="7" t="s">
        <v>4412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13"/>
        <v>0.84</v>
      </c>
      <c r="S646" s="18">
        <f t="shared" si="114"/>
        <v>0.84</v>
      </c>
      <c r="T646" s="19">
        <f t="shared" si="115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4510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4578</v>
      </c>
      <c r="C647" s="1">
        <v>16</v>
      </c>
      <c r="D647" s="1" t="s">
        <v>4579</v>
      </c>
      <c r="E647" s="7" t="s">
        <v>4712</v>
      </c>
      <c r="F647" s="7" t="s">
        <v>4412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13"/>
        <v>19.2</v>
      </c>
      <c r="S647" s="18">
        <f t="shared" si="114"/>
        <v>19.2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4510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4578</v>
      </c>
      <c r="C648" s="1">
        <v>8</v>
      </c>
      <c r="D648" s="1" t="s">
        <v>4580</v>
      </c>
      <c r="E648" s="7" t="s">
        <v>4713</v>
      </c>
      <c r="F648" s="7" t="s">
        <v>4412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13"/>
        <v>14.4</v>
      </c>
      <c r="S648" s="18">
        <f t="shared" si="114"/>
        <v>14.4</v>
      </c>
      <c r="T648" s="19">
        <f t="shared" si="115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4510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4578</v>
      </c>
      <c r="C649" s="1">
        <v>7</v>
      </c>
      <c r="D649" s="1" t="s">
        <v>4581</v>
      </c>
      <c r="E649" s="7" t="s">
        <v>4714</v>
      </c>
      <c r="F649" s="7" t="s">
        <v>4412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13"/>
        <v>14.700000000000001</v>
      </c>
      <c r="S649" s="18">
        <f t="shared" si="114"/>
        <v>14.700000000000001</v>
      </c>
      <c r="T649" s="19">
        <f t="shared" si="115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4510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4578</v>
      </c>
      <c r="C650" s="1">
        <v>3</v>
      </c>
      <c r="D650" s="1" t="s">
        <v>4582</v>
      </c>
      <c r="E650" s="7" t="s">
        <v>4715</v>
      </c>
      <c r="F650" s="7" t="s">
        <v>4412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0.15000000000000002</v>
      </c>
      <c r="S650" s="18">
        <f t="shared" si="114"/>
        <v>0.15000000000000002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4510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4578</v>
      </c>
      <c r="C651" s="1">
        <v>3</v>
      </c>
      <c r="D651" s="1" t="s">
        <v>4583</v>
      </c>
      <c r="E651" s="7" t="s">
        <v>4716</v>
      </c>
      <c r="F651" s="7" t="s">
        <v>4412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13"/>
        <v>0.06</v>
      </c>
      <c r="S651" s="18">
        <f t="shared" si="114"/>
        <v>0.06</v>
      </c>
      <c r="T651" s="19">
        <f t="shared" si="115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4510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4578</v>
      </c>
      <c r="C652" s="1">
        <v>2</v>
      </c>
      <c r="D652" s="1" t="s">
        <v>4584</v>
      </c>
      <c r="E652" s="7" t="s">
        <v>4717</v>
      </c>
      <c r="F652" s="7" t="s">
        <v>4412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13"/>
        <v>1.6</v>
      </c>
      <c r="S652" s="18">
        <f t="shared" si="114"/>
        <v>1.6</v>
      </c>
      <c r="T652" s="19">
        <f t="shared" si="115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4510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4578</v>
      </c>
      <c r="C653" s="1">
        <v>6</v>
      </c>
      <c r="D653" s="1" t="s">
        <v>4585</v>
      </c>
      <c r="E653" s="7" t="s">
        <v>4718</v>
      </c>
      <c r="F653" s="7" t="s">
        <v>4412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13"/>
        <v>0.24</v>
      </c>
      <c r="S653" s="18">
        <f t="shared" si="114"/>
        <v>0.24</v>
      </c>
      <c r="T653" s="19">
        <f t="shared" si="115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4510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4578</v>
      </c>
      <c r="C654" s="1">
        <v>2</v>
      </c>
      <c r="D654" s="1" t="s">
        <v>4586</v>
      </c>
      <c r="E654" s="7" t="s">
        <v>4719</v>
      </c>
      <c r="F654" s="7" t="s">
        <v>4412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13"/>
        <v>0.1</v>
      </c>
      <c r="S654" s="18">
        <f t="shared" si="114"/>
        <v>0.1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4510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4578</v>
      </c>
      <c r="C655" s="1">
        <v>6</v>
      </c>
      <c r="D655" s="1" t="s">
        <v>4587</v>
      </c>
      <c r="E655" s="7" t="s">
        <v>4720</v>
      </c>
      <c r="F655" s="7" t="s">
        <v>4412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13"/>
        <v>0.18</v>
      </c>
      <c r="S655" s="18">
        <f t="shared" si="114"/>
        <v>0.18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4510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4578</v>
      </c>
      <c r="C656" s="1">
        <v>2</v>
      </c>
      <c r="D656" s="1" t="s">
        <v>4588</v>
      </c>
      <c r="E656" s="7" t="s">
        <v>4721</v>
      </c>
      <c r="F656" s="7" t="s">
        <v>4412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4510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4578</v>
      </c>
      <c r="C657" s="1">
        <v>2</v>
      </c>
      <c r="D657" s="1" t="s">
        <v>4589</v>
      </c>
      <c r="E657" s="7" t="s">
        <v>4722</v>
      </c>
      <c r="F657" s="7" t="s">
        <v>4412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13"/>
        <v>0.16</v>
      </c>
      <c r="S657" s="18">
        <f t="shared" si="114"/>
        <v>0.16</v>
      </c>
      <c r="T657" s="19">
        <f t="shared" si="115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4510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4578</v>
      </c>
      <c r="C658" s="1">
        <v>4</v>
      </c>
      <c r="D658" s="1" t="s">
        <v>4590</v>
      </c>
      <c r="E658" s="7" t="s">
        <v>4723</v>
      </c>
      <c r="F658" s="7" t="s">
        <v>4412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13"/>
        <v>0.12</v>
      </c>
      <c r="S658" s="18">
        <f t="shared" si="114"/>
        <v>0.12</v>
      </c>
      <c r="T658" s="19">
        <f t="shared" si="115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4510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4578</v>
      </c>
      <c r="C659" s="1">
        <v>2</v>
      </c>
      <c r="D659" s="1" t="s">
        <v>4591</v>
      </c>
      <c r="E659" s="7" t="s">
        <v>4724</v>
      </c>
      <c r="F659" s="7" t="s">
        <v>4412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13"/>
        <v>0.1</v>
      </c>
      <c r="S659" s="18">
        <f t="shared" si="114"/>
        <v>0.1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4510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4578</v>
      </c>
      <c r="C660" s="1">
        <v>3</v>
      </c>
      <c r="D660" s="1" t="s">
        <v>4592</v>
      </c>
      <c r="E660" s="7" t="s">
        <v>4725</v>
      </c>
      <c r="F660" s="7" t="s">
        <v>4412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13"/>
        <v>0.24</v>
      </c>
      <c r="S660" s="18">
        <f t="shared" si="114"/>
        <v>0.24</v>
      </c>
      <c r="T660" s="19">
        <f t="shared" si="115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4510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4578</v>
      </c>
      <c r="C661" s="1">
        <v>5</v>
      </c>
      <c r="D661" s="1" t="s">
        <v>4593</v>
      </c>
      <c r="E661" s="7" t="s">
        <v>4726</v>
      </c>
      <c r="F661" s="7" t="s">
        <v>4412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13"/>
        <v>0.15</v>
      </c>
      <c r="S661" s="18">
        <f t="shared" si="114"/>
        <v>0.15</v>
      </c>
      <c r="T661" s="19">
        <f t="shared" si="115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4510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4578</v>
      </c>
      <c r="C662" s="1">
        <v>7</v>
      </c>
      <c r="D662" s="1" t="s">
        <v>4594</v>
      </c>
      <c r="E662" s="7" t="s">
        <v>4727</v>
      </c>
      <c r="F662" s="7" t="s">
        <v>4412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13"/>
        <v>0.14000000000000001</v>
      </c>
      <c r="S662" s="18">
        <f t="shared" si="114"/>
        <v>0.14000000000000001</v>
      </c>
      <c r="T662" s="19">
        <f t="shared" si="115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4510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4578</v>
      </c>
      <c r="C663" s="1">
        <v>32</v>
      </c>
      <c r="D663" s="1" t="s">
        <v>4595</v>
      </c>
      <c r="E663" s="7" t="s">
        <v>4728</v>
      </c>
      <c r="F663" s="7" t="s">
        <v>4412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4510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4578</v>
      </c>
      <c r="C664" s="1">
        <v>16</v>
      </c>
      <c r="D664" s="1" t="s">
        <v>4596</v>
      </c>
      <c r="E664" s="7" t="s">
        <v>4729</v>
      </c>
      <c r="F664" s="7" t="s">
        <v>4412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13"/>
        <v>0.64</v>
      </c>
      <c r="S664" s="18">
        <f t="shared" si="114"/>
        <v>0.64</v>
      </c>
      <c r="T664" s="19">
        <f t="shared" si="115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4510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4578</v>
      </c>
      <c r="C665" s="1">
        <v>14</v>
      </c>
      <c r="D665" s="1" t="s">
        <v>4597</v>
      </c>
      <c r="E665" s="7" t="s">
        <v>4730</v>
      </c>
      <c r="F665" s="7" t="s">
        <v>4412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13"/>
        <v>0.84</v>
      </c>
      <c r="S665" s="18">
        <f t="shared" si="114"/>
        <v>0.84</v>
      </c>
      <c r="T665" s="19">
        <f t="shared" si="115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4510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4578</v>
      </c>
      <c r="C666" s="1">
        <v>130</v>
      </c>
      <c r="D666" s="1" t="s">
        <v>4598</v>
      </c>
      <c r="E666" s="7" t="s">
        <v>4731</v>
      </c>
      <c r="F666" s="7" t="s">
        <v>4412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13"/>
        <v>45.5</v>
      </c>
      <c r="S666" s="18">
        <f t="shared" si="114"/>
        <v>45.5</v>
      </c>
      <c r="T666" s="19">
        <f t="shared" si="115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4510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4578</v>
      </c>
      <c r="C667" s="1">
        <v>250</v>
      </c>
      <c r="D667" s="1" t="s">
        <v>4599</v>
      </c>
      <c r="E667" s="7" t="s">
        <v>4732</v>
      </c>
      <c r="F667" s="7" t="s">
        <v>4412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13"/>
        <v>0</v>
      </c>
      <c r="S667" s="18">
        <f t="shared" si="114"/>
        <v>0</v>
      </c>
      <c r="T667" s="19">
        <f t="shared" si="115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4510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4578</v>
      </c>
      <c r="C668" s="1">
        <v>5</v>
      </c>
      <c r="D668" s="1" t="s">
        <v>4600</v>
      </c>
      <c r="E668" s="7" t="s">
        <v>4733</v>
      </c>
      <c r="F668" s="7" t="s">
        <v>4412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13"/>
        <v>1.5</v>
      </c>
      <c r="S668" s="18">
        <f t="shared" si="114"/>
        <v>1.5</v>
      </c>
      <c r="T668" s="19">
        <f t="shared" si="115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4510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4578</v>
      </c>
      <c r="C669" s="1">
        <v>6</v>
      </c>
      <c r="D669" s="1" t="s">
        <v>4601</v>
      </c>
      <c r="E669" s="7" t="s">
        <v>4734</v>
      </c>
      <c r="F669" s="7" t="s">
        <v>4412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0.12</v>
      </c>
      <c r="S669" s="18">
        <f t="shared" si="114"/>
        <v>0.12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4510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4578</v>
      </c>
      <c r="C670" s="1">
        <v>6</v>
      </c>
      <c r="D670" s="1" t="s">
        <v>4602</v>
      </c>
      <c r="E670" s="7" t="s">
        <v>4735</v>
      </c>
      <c r="F670" s="7" t="s">
        <v>4412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13"/>
        <v>0.18</v>
      </c>
      <c r="S670" s="18">
        <f t="shared" si="114"/>
        <v>0.18</v>
      </c>
      <c r="T670" s="19">
        <f t="shared" si="115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4510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4578</v>
      </c>
      <c r="C671" s="1">
        <v>4</v>
      </c>
      <c r="D671" s="1" t="s">
        <v>4603</v>
      </c>
      <c r="E671" s="7" t="s">
        <v>4736</v>
      </c>
      <c r="F671" s="7" t="s">
        <v>4412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13"/>
        <v>0.04</v>
      </c>
      <c r="S671" s="18">
        <f t="shared" si="114"/>
        <v>0.04</v>
      </c>
      <c r="T671" s="19">
        <f t="shared" si="115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4510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4578</v>
      </c>
      <c r="C672" s="1">
        <v>3</v>
      </c>
      <c r="D672" s="1" t="s">
        <v>4604</v>
      </c>
      <c r="E672" s="7" t="s">
        <v>4737</v>
      </c>
      <c r="F672" s="7" t="s">
        <v>4412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4510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4578</v>
      </c>
      <c r="C673" s="1">
        <v>3</v>
      </c>
      <c r="D673" s="1" t="s">
        <v>4605</v>
      </c>
      <c r="E673" s="7" t="s">
        <v>4738</v>
      </c>
      <c r="F673" s="7" t="s">
        <v>4412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13"/>
        <v>0.15000000000000002</v>
      </c>
      <c r="S673" s="18">
        <f t="shared" si="114"/>
        <v>0.15000000000000002</v>
      </c>
      <c r="T673" s="19">
        <f t="shared" si="115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4510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4578</v>
      </c>
      <c r="C674" s="1">
        <v>5</v>
      </c>
      <c r="D674" s="1" t="s">
        <v>4606</v>
      </c>
      <c r="E674" s="7" t="s">
        <v>4739</v>
      </c>
      <c r="F674" s="7" t="s">
        <v>4412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13"/>
        <v>0.1</v>
      </c>
      <c r="S674" s="18">
        <f t="shared" si="114"/>
        <v>0.1</v>
      </c>
      <c r="T674" s="19">
        <f t="shared" si="115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4510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4578</v>
      </c>
      <c r="C675" s="1">
        <v>2</v>
      </c>
      <c r="D675" s="1" t="s">
        <v>4607</v>
      </c>
      <c r="E675" s="7" t="s">
        <v>4740</v>
      </c>
      <c r="F675" s="7" t="s">
        <v>4412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13"/>
        <v>0.08</v>
      </c>
      <c r="S675" s="18">
        <f t="shared" si="114"/>
        <v>0.08</v>
      </c>
      <c r="T675" s="19">
        <f t="shared" si="115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4510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4578</v>
      </c>
      <c r="C676" s="1">
        <v>1</v>
      </c>
      <c r="D676" s="1" t="s">
        <v>4608</v>
      </c>
      <c r="E676" s="7" t="s">
        <v>4741</v>
      </c>
      <c r="F676" s="7" t="s">
        <v>4412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13"/>
        <v>1.2</v>
      </c>
      <c r="S676" s="18">
        <f t="shared" si="114"/>
        <v>1.2</v>
      </c>
      <c r="T676" s="19">
        <f t="shared" si="115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4510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4556</v>
      </c>
      <c r="C677" s="1">
        <v>130</v>
      </c>
      <c r="D677" s="1" t="s">
        <v>4609</v>
      </c>
      <c r="E677" s="7" t="s">
        <v>4742</v>
      </c>
      <c r="F677" s="7" t="s">
        <v>4412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13"/>
        <v>234</v>
      </c>
      <c r="S677" s="18">
        <f t="shared" si="114"/>
        <v>234</v>
      </c>
      <c r="T677" s="19">
        <f t="shared" si="115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4510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4556</v>
      </c>
      <c r="C678" s="1">
        <v>250</v>
      </c>
      <c r="D678" s="1" t="s">
        <v>4610</v>
      </c>
      <c r="E678" s="7" t="s">
        <v>4743</v>
      </c>
      <c r="F678" s="7" t="s">
        <v>4412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13"/>
        <v>450</v>
      </c>
      <c r="S678" s="18">
        <f t="shared" si="114"/>
        <v>450</v>
      </c>
      <c r="T678" s="19">
        <f t="shared" si="115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4510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4556</v>
      </c>
      <c r="C679" s="1">
        <v>5</v>
      </c>
      <c r="D679" s="1" t="s">
        <v>4611</v>
      </c>
      <c r="E679" s="7" t="s">
        <v>4744</v>
      </c>
      <c r="F679" s="7" t="s">
        <v>4412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13"/>
        <v>1.5</v>
      </c>
      <c r="S679" s="18">
        <f t="shared" si="114"/>
        <v>1.5</v>
      </c>
      <c r="T679" s="19">
        <f t="shared" si="115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4510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4556</v>
      </c>
      <c r="C680" s="1">
        <v>6</v>
      </c>
      <c r="D680" s="1" t="s">
        <v>4612</v>
      </c>
      <c r="E680" s="7" t="s">
        <v>4745</v>
      </c>
      <c r="F680" s="7" t="s">
        <v>4412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0.12</v>
      </c>
      <c r="S680" s="18">
        <f t="shared" si="114"/>
        <v>0.12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4510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4556</v>
      </c>
      <c r="C681" s="1">
        <v>6</v>
      </c>
      <c r="D681" s="1" t="s">
        <v>4613</v>
      </c>
      <c r="E681" s="7" t="s">
        <v>4746</v>
      </c>
      <c r="F681" s="7" t="s">
        <v>4412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13"/>
        <v>0.18</v>
      </c>
      <c r="S681" s="18">
        <f t="shared" si="114"/>
        <v>0.18</v>
      </c>
      <c r="T681" s="19">
        <f t="shared" si="115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4510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4556</v>
      </c>
      <c r="C682" s="1">
        <v>4</v>
      </c>
      <c r="D682" s="1" t="s">
        <v>4614</v>
      </c>
      <c r="E682" s="7" t="s">
        <v>4747</v>
      </c>
      <c r="F682" s="7" t="s">
        <v>4412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13"/>
        <v>0.04</v>
      </c>
      <c r="S682" s="18">
        <f t="shared" si="114"/>
        <v>0.04</v>
      </c>
      <c r="T682" s="19">
        <f t="shared" si="115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4510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4556</v>
      </c>
      <c r="C683" s="1">
        <v>3</v>
      </c>
      <c r="D683" s="1" t="s">
        <v>4615</v>
      </c>
      <c r="E683" s="7" t="s">
        <v>4748</v>
      </c>
      <c r="F683" s="7" t="s">
        <v>4412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6</v>
      </c>
      <c r="S683" s="18">
        <f t="shared" si="114"/>
        <v>6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4510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4556</v>
      </c>
      <c r="C684" s="1">
        <v>3</v>
      </c>
      <c r="D684" s="1" t="s">
        <v>4616</v>
      </c>
      <c r="E684" s="7" t="s">
        <v>4749</v>
      </c>
      <c r="F684" s="7" t="s">
        <v>4412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13"/>
        <v>4.5</v>
      </c>
      <c r="S684" s="18">
        <f t="shared" si="114"/>
        <v>4.5</v>
      </c>
      <c r="T684" s="19">
        <f t="shared" si="115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4510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4556</v>
      </c>
      <c r="C685" s="1">
        <v>5</v>
      </c>
      <c r="D685" s="1" t="s">
        <v>4617</v>
      </c>
      <c r="E685" s="7" t="s">
        <v>4750</v>
      </c>
      <c r="F685" s="7" t="s">
        <v>4412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13"/>
        <v>0.1</v>
      </c>
      <c r="S685" s="18">
        <f t="shared" si="114"/>
        <v>0.1</v>
      </c>
      <c r="T685" s="19">
        <f t="shared" si="115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4510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4556</v>
      </c>
      <c r="C686" s="1">
        <v>2</v>
      </c>
      <c r="D686" s="1" t="s">
        <v>4618</v>
      </c>
      <c r="E686" s="7" t="s">
        <v>4751</v>
      </c>
      <c r="F686" s="7" t="s">
        <v>4412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13"/>
        <v>0.08</v>
      </c>
      <c r="S686" s="18">
        <f t="shared" si="114"/>
        <v>0.08</v>
      </c>
      <c r="T686" s="19">
        <f t="shared" si="115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4510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4556</v>
      </c>
      <c r="C687" s="1">
        <v>1</v>
      </c>
      <c r="D687" s="1" t="s">
        <v>4619</v>
      </c>
      <c r="E687" s="7" t="s">
        <v>4752</v>
      </c>
      <c r="F687" s="7" t="s">
        <v>4412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1.2</v>
      </c>
      <c r="S687" s="18">
        <f t="shared" si="114"/>
        <v>1.2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4510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4578</v>
      </c>
      <c r="C688" s="1">
        <v>1</v>
      </c>
      <c r="D688" s="1" t="s">
        <v>4620</v>
      </c>
      <c r="E688" s="7" t="s">
        <v>4753</v>
      </c>
      <c r="F688" s="7" t="s">
        <v>4412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13"/>
        <v>1.8</v>
      </c>
      <c r="S688" s="18">
        <f t="shared" si="114"/>
        <v>1.8</v>
      </c>
      <c r="T688" s="19">
        <f t="shared" si="115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4510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4578</v>
      </c>
      <c r="C689" s="1">
        <v>2</v>
      </c>
      <c r="D689" s="1" t="s">
        <v>4621</v>
      </c>
      <c r="E689" s="7" t="s">
        <v>4754</v>
      </c>
      <c r="F689" s="7" t="s">
        <v>4412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13"/>
        <v>3.6</v>
      </c>
      <c r="S689" s="18">
        <f t="shared" si="114"/>
        <v>3.6</v>
      </c>
      <c r="T689" s="19">
        <f t="shared" si="115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4510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4578</v>
      </c>
      <c r="C690" s="1">
        <v>4</v>
      </c>
      <c r="D690" s="1" t="s">
        <v>4622</v>
      </c>
      <c r="E690" s="7" t="s">
        <v>4755</v>
      </c>
      <c r="F690" s="7" t="s">
        <v>4412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13"/>
        <v>8</v>
      </c>
      <c r="S690" s="18">
        <f t="shared" si="114"/>
        <v>8</v>
      </c>
      <c r="T690" s="19">
        <f t="shared" si="115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4510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4578</v>
      </c>
      <c r="C691" s="1">
        <v>1</v>
      </c>
      <c r="D691" s="1" t="s">
        <v>4623</v>
      </c>
      <c r="E691" s="7" t="s">
        <v>4756</v>
      </c>
      <c r="F691" s="7" t="s">
        <v>4412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13"/>
        <v>1.5</v>
      </c>
      <c r="S691" s="18">
        <f t="shared" si="114"/>
        <v>1.5</v>
      </c>
      <c r="T691" s="19">
        <f t="shared" si="115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4510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4578</v>
      </c>
      <c r="C692" s="1">
        <v>1</v>
      </c>
      <c r="D692" s="1" t="s">
        <v>4624</v>
      </c>
      <c r="E692" s="7" t="s">
        <v>4757</v>
      </c>
      <c r="F692" s="7" t="s">
        <v>4412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17">IFERROR(H692*((AA692*0.25)+(AC692*0.25)+(AD692*0.225)+(AE692*0.225)+(AF692*0.05)),"")</f>
        <v>2</v>
      </c>
      <c r="S692" s="18">
        <f t="shared" ref="S692:S755" si="118">IFERROR(H692*AG692,"")</f>
        <v>2</v>
      </c>
      <c r="T692" s="19">
        <f t="shared" ref="T692:T755" si="119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20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4510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4578</v>
      </c>
      <c r="C693" s="1">
        <v>2</v>
      </c>
      <c r="D693" s="1" t="s">
        <v>4625</v>
      </c>
      <c r="E693" s="7" t="s">
        <v>4758</v>
      </c>
      <c r="F693" s="7" t="s">
        <v>4412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17"/>
        <v>3.6</v>
      </c>
      <c r="S693" s="18">
        <f t="shared" si="118"/>
        <v>3.6</v>
      </c>
      <c r="T693" s="19">
        <f t="shared" si="119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4510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4578</v>
      </c>
      <c r="C694" s="1">
        <v>4</v>
      </c>
      <c r="D694" s="1" t="s">
        <v>4626</v>
      </c>
      <c r="E694" s="7" t="s">
        <v>4759</v>
      </c>
      <c r="F694" s="7" t="s">
        <v>4412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17"/>
        <v>8</v>
      </c>
      <c r="S694" s="18">
        <f t="shared" si="118"/>
        <v>8</v>
      </c>
      <c r="T694" s="19">
        <f t="shared" si="119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4510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4578</v>
      </c>
      <c r="C695" s="1">
        <v>1</v>
      </c>
      <c r="D695" s="1" t="s">
        <v>4627</v>
      </c>
      <c r="E695" s="7" t="s">
        <v>4760</v>
      </c>
      <c r="F695" s="7" t="s">
        <v>4412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17"/>
        <v>1.5</v>
      </c>
      <c r="S695" s="18">
        <f t="shared" si="118"/>
        <v>1.5</v>
      </c>
      <c r="T695" s="19">
        <f t="shared" si="119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4510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4578</v>
      </c>
      <c r="C696" s="1">
        <v>2</v>
      </c>
      <c r="D696" s="1" t="s">
        <v>4628</v>
      </c>
      <c r="E696" s="7" t="s">
        <v>4761</v>
      </c>
      <c r="F696" s="7" t="s">
        <v>4412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17"/>
        <v>3.6</v>
      </c>
      <c r="S696" s="18">
        <f t="shared" si="118"/>
        <v>3.6</v>
      </c>
      <c r="T696" s="19">
        <f t="shared" si="119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4510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4578</v>
      </c>
      <c r="C697" s="1">
        <v>1</v>
      </c>
      <c r="D697" s="1" t="s">
        <v>4629</v>
      </c>
      <c r="E697" s="7" t="s">
        <v>4762</v>
      </c>
      <c r="F697" s="7" t="s">
        <v>4412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17"/>
        <v>0.01</v>
      </c>
      <c r="S697" s="18">
        <f t="shared" si="118"/>
        <v>0.01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4510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4578</v>
      </c>
      <c r="C698" s="1">
        <v>2</v>
      </c>
      <c r="D698" s="1" t="s">
        <v>4628</v>
      </c>
      <c r="E698" s="7" t="s">
        <v>4763</v>
      </c>
      <c r="F698" s="7" t="s">
        <v>4412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4510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4578</v>
      </c>
      <c r="C699" s="1">
        <v>1</v>
      </c>
      <c r="D699" s="1" t="s">
        <v>4629</v>
      </c>
      <c r="E699" s="7" t="s">
        <v>4764</v>
      </c>
      <c r="F699" s="7" t="s">
        <v>4412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4510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3773</v>
      </c>
      <c r="C700" s="1">
        <v>32</v>
      </c>
      <c r="D700" s="1" t="s">
        <v>4630</v>
      </c>
      <c r="E700" s="7" t="s">
        <v>4765</v>
      </c>
      <c r="F700" s="7" t="s">
        <v>4412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17"/>
        <v>0.64</v>
      </c>
      <c r="S700" s="18">
        <f t="shared" si="118"/>
        <v>0.64</v>
      </c>
      <c r="T700" s="19">
        <f t="shared" si="119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4510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4166</v>
      </c>
      <c r="C701" s="1">
        <v>216</v>
      </c>
      <c r="D701" s="1" t="s">
        <v>4631</v>
      </c>
      <c r="E701" s="7" t="s">
        <v>4766</v>
      </c>
      <c r="F701" s="7" t="s">
        <v>4412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17"/>
        <v>10.8</v>
      </c>
      <c r="S701" s="18">
        <f t="shared" si="118"/>
        <v>10.8</v>
      </c>
      <c r="T701" s="19">
        <f t="shared" si="119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4510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4204</v>
      </c>
      <c r="C702" s="1">
        <v>208</v>
      </c>
      <c r="D702" s="1" t="s">
        <v>4631</v>
      </c>
      <c r="E702" s="7" t="s">
        <v>4767</v>
      </c>
      <c r="F702" s="7" t="s">
        <v>4412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17"/>
        <v>10.4</v>
      </c>
      <c r="S702" s="18">
        <f t="shared" si="118"/>
        <v>10.4</v>
      </c>
      <c r="T702" s="19">
        <f t="shared" si="119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4510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4632</v>
      </c>
      <c r="C703" s="1">
        <v>1</v>
      </c>
      <c r="D703" s="1" t="s">
        <v>4633</v>
      </c>
      <c r="E703" s="7" t="s">
        <v>4768</v>
      </c>
      <c r="F703" s="7" t="s">
        <v>4412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4510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4632</v>
      </c>
      <c r="C704" s="1">
        <v>1</v>
      </c>
      <c r="D704" s="1" t="s">
        <v>4633</v>
      </c>
      <c r="E704" s="7" t="s">
        <v>4769</v>
      </c>
      <c r="F704" s="7" t="s">
        <v>4412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0</v>
      </c>
      <c r="S704" s="18">
        <f t="shared" si="118"/>
        <v>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4510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4632</v>
      </c>
      <c r="C705" s="1">
        <v>1</v>
      </c>
      <c r="D705" s="1" t="s">
        <v>4634</v>
      </c>
      <c r="E705" s="7" t="s">
        <v>4770</v>
      </c>
      <c r="F705" s="7" t="s">
        <v>4412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4510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4632</v>
      </c>
      <c r="C706" s="1">
        <v>1</v>
      </c>
      <c r="D706" s="1" t="s">
        <v>4634</v>
      </c>
      <c r="E706" s="7" t="s">
        <v>4771</v>
      </c>
      <c r="F706" s="7" t="s">
        <v>4412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17"/>
        <v>1800</v>
      </c>
      <c r="S706" s="18">
        <f t="shared" si="118"/>
        <v>1800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4510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3802</v>
      </c>
      <c r="C707" s="1">
        <v>232</v>
      </c>
      <c r="D707" s="1" t="s">
        <v>4635</v>
      </c>
      <c r="E707" s="7" t="s">
        <v>4772</v>
      </c>
      <c r="F707" s="7" t="s">
        <v>4412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17"/>
        <v>43.616</v>
      </c>
      <c r="S707" s="18">
        <f t="shared" si="118"/>
        <v>43.616</v>
      </c>
      <c r="T707" s="19">
        <f t="shared" si="119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4510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3821</v>
      </c>
      <c r="C708" s="1">
        <v>96</v>
      </c>
      <c r="D708" s="1" t="s">
        <v>4636</v>
      </c>
      <c r="E708" s="7" t="s">
        <v>4773</v>
      </c>
      <c r="F708" s="7" t="s">
        <v>4412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17"/>
        <v>18.048000000000002</v>
      </c>
      <c r="S708" s="18">
        <f t="shared" si="118"/>
        <v>18.048000000000002</v>
      </c>
      <c r="T708" s="19">
        <f t="shared" si="119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4510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3858</v>
      </c>
      <c r="C709" s="1">
        <v>218</v>
      </c>
      <c r="D709" s="1" t="s">
        <v>4637</v>
      </c>
      <c r="E709" s="7" t="s">
        <v>4774</v>
      </c>
      <c r="F709" s="7" t="s">
        <v>4412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17"/>
        <v>40.984000000000002</v>
      </c>
      <c r="S709" s="18">
        <f t="shared" si="118"/>
        <v>40.984000000000002</v>
      </c>
      <c r="T709" s="19">
        <f t="shared" si="119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4510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4638</v>
      </c>
      <c r="C710" s="1">
        <v>58</v>
      </c>
      <c r="D710" s="1" t="s">
        <v>4639</v>
      </c>
      <c r="E710" s="7" t="s">
        <v>4775</v>
      </c>
      <c r="F710" s="7" t="s">
        <v>4412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17"/>
        <v>10.904</v>
      </c>
      <c r="S710" s="18">
        <f t="shared" si="118"/>
        <v>10.904</v>
      </c>
      <c r="T710" s="19">
        <f t="shared" si="119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4510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4638</v>
      </c>
      <c r="C711" s="1">
        <v>2</v>
      </c>
      <c r="D711" s="1" t="s">
        <v>4640</v>
      </c>
      <c r="E711" s="7" t="s">
        <v>4776</v>
      </c>
      <c r="F711" s="7" t="s">
        <v>4412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4510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4638</v>
      </c>
      <c r="C712" s="1">
        <v>2</v>
      </c>
      <c r="D712" s="1" t="s">
        <v>4641</v>
      </c>
      <c r="E712" s="7" t="s">
        <v>4777</v>
      </c>
      <c r="F712" s="7" t="s">
        <v>4412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4510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4638</v>
      </c>
      <c r="C713" s="1">
        <v>2</v>
      </c>
      <c r="D713" s="1" t="s">
        <v>4642</v>
      </c>
      <c r="E713" s="7" t="s">
        <v>4778</v>
      </c>
      <c r="F713" s="7" t="s">
        <v>4412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4510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4638</v>
      </c>
      <c r="C714" s="1">
        <v>2</v>
      </c>
      <c r="D714" s="1" t="s">
        <v>4643</v>
      </c>
      <c r="E714" s="7" t="s">
        <v>4779</v>
      </c>
      <c r="F714" s="7" t="s">
        <v>4412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4510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4638</v>
      </c>
      <c r="C715" s="1">
        <v>2</v>
      </c>
      <c r="D715" s="1" t="s">
        <v>4644</v>
      </c>
      <c r="E715" s="7" t="s">
        <v>4780</v>
      </c>
      <c r="F715" s="7" t="s">
        <v>4412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4510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4638</v>
      </c>
      <c r="C716" s="1">
        <v>2</v>
      </c>
      <c r="D716" s="1" t="s">
        <v>4645</v>
      </c>
      <c r="E716" s="7" t="s">
        <v>4781</v>
      </c>
      <c r="F716" s="7" t="s">
        <v>4412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4510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3802</v>
      </c>
      <c r="C717" s="1">
        <v>4</v>
      </c>
      <c r="D717" s="1" t="s">
        <v>4646</v>
      </c>
      <c r="E717" s="7" t="s">
        <v>4782</v>
      </c>
      <c r="F717" s="7" t="s">
        <v>4412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4510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3802</v>
      </c>
      <c r="C718" s="1">
        <v>4</v>
      </c>
      <c r="D718" s="1" t="s">
        <v>4647</v>
      </c>
      <c r="E718" s="7" t="s">
        <v>4783</v>
      </c>
      <c r="F718" s="7" t="s">
        <v>4412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4510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3802</v>
      </c>
      <c r="C719" s="1">
        <v>4</v>
      </c>
      <c r="D719" s="1" t="s">
        <v>4648</v>
      </c>
      <c r="E719" s="7" t="s">
        <v>4784</v>
      </c>
      <c r="F719" s="7" t="s">
        <v>4412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4510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3802</v>
      </c>
      <c r="C720" s="1">
        <v>4</v>
      </c>
      <c r="D720" s="1" t="s">
        <v>4649</v>
      </c>
      <c r="E720" s="7" t="s">
        <v>4785</v>
      </c>
      <c r="F720" s="7" t="s">
        <v>4412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4510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3802</v>
      </c>
      <c r="C721" s="1">
        <v>4</v>
      </c>
      <c r="D721" s="1" t="s">
        <v>4650</v>
      </c>
      <c r="E721" s="7" t="s">
        <v>4786</v>
      </c>
      <c r="F721" s="7" t="s">
        <v>4412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4510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3802</v>
      </c>
      <c r="C722" s="1">
        <v>8</v>
      </c>
      <c r="D722" s="1" t="s">
        <v>4651</v>
      </c>
      <c r="E722" s="7" t="s">
        <v>4787</v>
      </c>
      <c r="F722" s="7" t="s">
        <v>4412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17"/>
        <v>114.88800000000001</v>
      </c>
      <c r="S722" s="18">
        <f t="shared" si="118"/>
        <v>114.88800000000001</v>
      </c>
      <c r="T722" s="19">
        <f t="shared" si="119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4510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3821</v>
      </c>
      <c r="C723" s="1">
        <v>4</v>
      </c>
      <c r="D723" s="1" t="s">
        <v>4652</v>
      </c>
      <c r="E723" s="7" t="s">
        <v>4788</v>
      </c>
      <c r="F723" s="7" t="s">
        <v>4412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4510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3821</v>
      </c>
      <c r="C724" s="1">
        <v>12</v>
      </c>
      <c r="D724" s="1" t="s">
        <v>4653</v>
      </c>
      <c r="E724" s="7" t="s">
        <v>4789</v>
      </c>
      <c r="F724" s="7" t="s">
        <v>4412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17"/>
        <v>172.33199999999999</v>
      </c>
      <c r="S724" s="18">
        <f t="shared" si="118"/>
        <v>172.33199999999999</v>
      </c>
      <c r="T724" s="19">
        <f t="shared" si="119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4510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3821</v>
      </c>
      <c r="C725" s="1">
        <v>4</v>
      </c>
      <c r="D725" s="1" t="s">
        <v>4654</v>
      </c>
      <c r="E725" s="7" t="s">
        <v>4790</v>
      </c>
      <c r="F725" s="7" t="s">
        <v>4412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4510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3821</v>
      </c>
      <c r="C726" s="1">
        <v>4</v>
      </c>
      <c r="D726" s="1" t="s">
        <v>4654</v>
      </c>
      <c r="E726" s="7" t="s">
        <v>4791</v>
      </c>
      <c r="F726" s="7" t="s">
        <v>4412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4510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3875</v>
      </c>
      <c r="C727" s="1">
        <v>4</v>
      </c>
      <c r="D727" s="1" t="s">
        <v>4655</v>
      </c>
      <c r="E727" s="7" t="s">
        <v>4792</v>
      </c>
      <c r="F727" s="7" t="s">
        <v>4412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4510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3875</v>
      </c>
      <c r="C728" s="1">
        <v>20</v>
      </c>
      <c r="D728" s="1" t="s">
        <v>4656</v>
      </c>
      <c r="E728" s="7" t="s">
        <v>4793</v>
      </c>
      <c r="F728" s="7" t="s">
        <v>4412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17"/>
        <v>287.22000000000003</v>
      </c>
      <c r="S728" s="18">
        <f t="shared" si="118"/>
        <v>287.22000000000003</v>
      </c>
      <c r="T728" s="19">
        <f t="shared" si="119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4510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3858</v>
      </c>
      <c r="C729" s="1">
        <v>2</v>
      </c>
      <c r="D729" s="1" t="s">
        <v>4657</v>
      </c>
      <c r="E729" s="7" t="s">
        <v>4794</v>
      </c>
      <c r="F729" s="7" t="s">
        <v>4412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17"/>
        <v>28.722000000000001</v>
      </c>
      <c r="S729" s="18">
        <f t="shared" si="118"/>
        <v>28.722000000000001</v>
      </c>
      <c r="T729" s="19">
        <f t="shared" si="119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4510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3858</v>
      </c>
      <c r="C730" s="1">
        <v>22</v>
      </c>
      <c r="D730" s="1" t="s">
        <v>4657</v>
      </c>
      <c r="E730" s="7" t="s">
        <v>4795</v>
      </c>
      <c r="F730" s="7" t="s">
        <v>4412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17"/>
        <v>315.94200000000001</v>
      </c>
      <c r="S730" s="18">
        <f t="shared" si="118"/>
        <v>315.94200000000001</v>
      </c>
      <c r="T730" s="19">
        <f t="shared" si="119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4510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3858</v>
      </c>
      <c r="C731" s="1">
        <v>2</v>
      </c>
      <c r="D731" s="1" t="s">
        <v>4658</v>
      </c>
      <c r="E731" s="7" t="s">
        <v>4796</v>
      </c>
      <c r="F731" s="7" t="s">
        <v>4412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4510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3858</v>
      </c>
      <c r="C732" s="1">
        <v>2</v>
      </c>
      <c r="D732" s="1" t="s">
        <v>4658</v>
      </c>
      <c r="E732" s="7" t="s">
        <v>4797</v>
      </c>
      <c r="F732" s="7" t="s">
        <v>4412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4510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3864</v>
      </c>
      <c r="C733" s="1">
        <v>2</v>
      </c>
      <c r="D733" s="1" t="s">
        <v>4659</v>
      </c>
      <c r="E733" s="7" t="s">
        <v>4798</v>
      </c>
      <c r="F733" s="7" t="s">
        <v>4412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4510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3864</v>
      </c>
      <c r="C734" s="1">
        <v>2</v>
      </c>
      <c r="D734" s="1" t="s">
        <v>4660</v>
      </c>
      <c r="E734" s="7" t="s">
        <v>4799</v>
      </c>
      <c r="F734" s="7" t="s">
        <v>4412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4510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3864</v>
      </c>
      <c r="C735" s="1">
        <v>4</v>
      </c>
      <c r="D735" s="1" t="s">
        <v>4661</v>
      </c>
      <c r="E735" s="7" t="s">
        <v>4800</v>
      </c>
      <c r="F735" s="7" t="s">
        <v>4412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4510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3864</v>
      </c>
      <c r="C736" s="1">
        <v>4</v>
      </c>
      <c r="D736" s="1" t="s">
        <v>4662</v>
      </c>
      <c r="E736" s="7" t="s">
        <v>4801</v>
      </c>
      <c r="F736" s="7" t="s">
        <v>4412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17"/>
        <v>57.444000000000003</v>
      </c>
      <c r="S736" s="18">
        <f t="shared" si="118"/>
        <v>57.444000000000003</v>
      </c>
      <c r="T736" s="19">
        <f t="shared" si="119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4510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3864</v>
      </c>
      <c r="C737" s="1">
        <v>6</v>
      </c>
      <c r="D737" s="1" t="s">
        <v>4663</v>
      </c>
      <c r="E737" s="7" t="s">
        <v>4802</v>
      </c>
      <c r="F737" s="7" t="s">
        <v>4412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17"/>
        <v>86.165999999999997</v>
      </c>
      <c r="S737" s="18">
        <f t="shared" si="118"/>
        <v>86.165999999999997</v>
      </c>
      <c r="T737" s="19">
        <f t="shared" si="119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4510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3864</v>
      </c>
      <c r="C738" s="1">
        <v>2</v>
      </c>
      <c r="D738" s="1" t="s">
        <v>4664</v>
      </c>
      <c r="E738" s="7" t="s">
        <v>4803</v>
      </c>
      <c r="F738" s="7" t="s">
        <v>4412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4510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3855</v>
      </c>
      <c r="C739" s="1">
        <v>2</v>
      </c>
      <c r="D739" s="1" t="s">
        <v>4665</v>
      </c>
      <c r="E739" s="7" t="s">
        <v>4804</v>
      </c>
      <c r="F739" s="7" t="s">
        <v>4412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17"/>
        <v>28.722000000000001</v>
      </c>
      <c r="S739" s="18">
        <f t="shared" si="118"/>
        <v>28.722000000000001</v>
      </c>
      <c r="T739" s="19">
        <f t="shared" si="119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4510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3855</v>
      </c>
      <c r="C740" s="1">
        <v>26</v>
      </c>
      <c r="D740" s="1" t="s">
        <v>4666</v>
      </c>
      <c r="E740" s="7" t="s">
        <v>4805</v>
      </c>
      <c r="F740" s="7" t="s">
        <v>4412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17"/>
        <v>373.38600000000002</v>
      </c>
      <c r="S740" s="18">
        <f t="shared" si="118"/>
        <v>373.38600000000002</v>
      </c>
      <c r="T740" s="19">
        <f t="shared" si="119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4510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3873</v>
      </c>
      <c r="C741" s="1">
        <v>4</v>
      </c>
      <c r="D741" s="1" t="s">
        <v>4667</v>
      </c>
      <c r="E741" s="7" t="s">
        <v>4806</v>
      </c>
      <c r="F741" s="7" t="s">
        <v>4412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17"/>
        <v>57.444000000000003</v>
      </c>
      <c r="S741" s="18">
        <f t="shared" si="118"/>
        <v>57.444000000000003</v>
      </c>
      <c r="T741" s="19">
        <f t="shared" si="119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4510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3873</v>
      </c>
      <c r="C742" s="1">
        <v>20</v>
      </c>
      <c r="D742" s="1" t="s">
        <v>4668</v>
      </c>
      <c r="E742" s="7" t="s">
        <v>4807</v>
      </c>
      <c r="F742" s="7" t="s">
        <v>4412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17"/>
        <v>287.22000000000003</v>
      </c>
      <c r="S742" s="18">
        <f t="shared" si="118"/>
        <v>287.22000000000003</v>
      </c>
      <c r="T742" s="19">
        <f t="shared" si="119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4510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4669</v>
      </c>
      <c r="C743" s="1">
        <v>1</v>
      </c>
      <c r="D743" s="1" t="s">
        <v>4670</v>
      </c>
      <c r="E743" s="7" t="s">
        <v>4808</v>
      </c>
      <c r="F743" s="7" t="s">
        <v>4412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4510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4669</v>
      </c>
      <c r="C744" s="1">
        <v>1</v>
      </c>
      <c r="D744" s="1" t="s">
        <v>4672</v>
      </c>
      <c r="E744" s="7" t="s">
        <v>4809</v>
      </c>
      <c r="F744" s="7" t="s">
        <v>4412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4510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4669</v>
      </c>
      <c r="C745" s="1">
        <v>1</v>
      </c>
      <c r="D745" s="1" t="s">
        <v>4673</v>
      </c>
      <c r="E745" s="7" t="s">
        <v>4810</v>
      </c>
      <c r="F745" s="7" t="s">
        <v>4412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4510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4669</v>
      </c>
      <c r="C746" s="1">
        <v>1</v>
      </c>
      <c r="D746" s="1" t="s">
        <v>4674</v>
      </c>
      <c r="E746" s="7" t="s">
        <v>4811</v>
      </c>
      <c r="F746" s="7" t="s">
        <v>4412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4510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4669</v>
      </c>
      <c r="C747" s="1">
        <v>1</v>
      </c>
      <c r="D747" s="1" t="s">
        <v>4675</v>
      </c>
      <c r="E747" s="7" t="s">
        <v>4812</v>
      </c>
      <c r="F747" s="7" t="s">
        <v>4412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4510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4669</v>
      </c>
      <c r="C748" s="1">
        <v>1</v>
      </c>
      <c r="D748" s="1" t="s">
        <v>4676</v>
      </c>
      <c r="E748" s="7" t="s">
        <v>4813</v>
      </c>
      <c r="F748" s="7" t="s">
        <v>4412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4510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4669</v>
      </c>
      <c r="C749" s="1">
        <v>1</v>
      </c>
      <c r="D749" s="1" t="s">
        <v>4677</v>
      </c>
      <c r="E749" s="7" t="s">
        <v>4814</v>
      </c>
      <c r="F749" s="7" t="s">
        <v>4412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4510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4669</v>
      </c>
      <c r="C750" s="1">
        <v>1</v>
      </c>
      <c r="D750" s="1" t="s">
        <v>4678</v>
      </c>
      <c r="E750" s="7" t="s">
        <v>4815</v>
      </c>
      <c r="F750" s="7" t="s">
        <v>4412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4510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4669</v>
      </c>
      <c r="C751" s="1">
        <v>1</v>
      </c>
      <c r="D751" s="1" t="s">
        <v>4679</v>
      </c>
      <c r="E751" s="7" t="s">
        <v>4816</v>
      </c>
      <c r="F751" s="7" t="s">
        <v>4412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4510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4669</v>
      </c>
      <c r="C752" s="1">
        <v>1</v>
      </c>
      <c r="D752" s="1" t="s">
        <v>4680</v>
      </c>
      <c r="E752" s="7" t="s">
        <v>4817</v>
      </c>
      <c r="F752" s="7" t="s">
        <v>4412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4510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4669</v>
      </c>
      <c r="C753" s="1">
        <v>1</v>
      </c>
      <c r="D753" s="1" t="s">
        <v>4681</v>
      </c>
      <c r="E753" s="7" t="s">
        <v>4818</v>
      </c>
      <c r="F753" s="7" t="s">
        <v>4412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4510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4669</v>
      </c>
      <c r="C754" s="1">
        <v>1</v>
      </c>
      <c r="D754" s="1" t="s">
        <v>4682</v>
      </c>
      <c r="E754" s="7" t="s">
        <v>4819</v>
      </c>
      <c r="F754" s="7" t="s">
        <v>4412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4510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4669</v>
      </c>
      <c r="C755" s="1">
        <v>168</v>
      </c>
      <c r="D755" s="1" t="s">
        <v>4683</v>
      </c>
      <c r="E755" s="7" t="s">
        <v>4820</v>
      </c>
      <c r="F755" s="7" t="s">
        <v>4412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17"/>
        <v>31.584</v>
      </c>
      <c r="S755" s="18">
        <f t="shared" si="118"/>
        <v>31.584</v>
      </c>
      <c r="T755" s="19">
        <f t="shared" si="119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4510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4669</v>
      </c>
      <c r="C756" s="1">
        <v>336</v>
      </c>
      <c r="D756" s="1" t="s">
        <v>4684</v>
      </c>
      <c r="E756" s="7" t="s">
        <v>4821</v>
      </c>
      <c r="F756" s="7" t="s">
        <v>4412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21">IFERROR(H756*((AA756*0.25)+(AC756*0.25)+(AD756*0.225)+(AE756*0.225)+(AF756*0.05)),"")</f>
        <v>63.167999999999999</v>
      </c>
      <c r="S756" s="18">
        <f t="shared" ref="S756:S761" si="122">IFERROR(H756*AG756,"")</f>
        <v>63.167999999999999</v>
      </c>
      <c r="T756" s="19">
        <f t="shared" ref="T756:T761" si="123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24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4510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4669</v>
      </c>
      <c r="C757" s="1">
        <v>168</v>
      </c>
      <c r="D757" s="1" t="s">
        <v>4685</v>
      </c>
      <c r="E757" s="7" t="s">
        <v>4822</v>
      </c>
      <c r="F757" s="7" t="s">
        <v>4412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21"/>
        <v>31.584</v>
      </c>
      <c r="S757" s="18">
        <f t="shared" si="122"/>
        <v>31.584</v>
      </c>
      <c r="T757" s="19">
        <f t="shared" si="123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4510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4669</v>
      </c>
      <c r="C758" s="1">
        <v>336</v>
      </c>
      <c r="D758" s="1" t="s">
        <v>4685</v>
      </c>
      <c r="E758" s="7" t="s">
        <v>4823</v>
      </c>
      <c r="F758" s="7" t="s">
        <v>4412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21"/>
        <v>63.167999999999999</v>
      </c>
      <c r="S758" s="18">
        <f t="shared" si="122"/>
        <v>63.167999999999999</v>
      </c>
      <c r="T758" s="19">
        <f t="shared" si="123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4510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3913</v>
      </c>
      <c r="C759" s="1">
        <v>160</v>
      </c>
      <c r="D759" s="1" t="s">
        <v>4687</v>
      </c>
      <c r="E759" s="7" t="s">
        <v>4824</v>
      </c>
      <c r="F759" s="7" t="s">
        <v>4412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4510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3913</v>
      </c>
      <c r="C760" s="1">
        <v>160</v>
      </c>
      <c r="D760" s="1" t="s">
        <v>4687</v>
      </c>
      <c r="E760" s="7" t="s">
        <v>4825</v>
      </c>
      <c r="F760" s="7" t="s">
        <v>4412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21"/>
        <v>1460.8000000000002</v>
      </c>
      <c r="S760" s="18">
        <f t="shared" si="122"/>
        <v>1460.8000000000002</v>
      </c>
      <c r="T760" s="19">
        <f t="shared" si="123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4510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4688</v>
      </c>
      <c r="C761" s="1">
        <v>1</v>
      </c>
      <c r="D761" s="1" t="s">
        <v>4689</v>
      </c>
      <c r="E761" s="7" t="s">
        <v>4826</v>
      </c>
      <c r="F761" s="7" t="s">
        <v>4412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21"/>
        <v>12.5</v>
      </c>
      <c r="S761" s="18">
        <f t="shared" si="122"/>
        <v>12.5</v>
      </c>
      <c r="T761" s="19">
        <f t="shared" si="123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4510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4688</v>
      </c>
      <c r="C762" s="1">
        <v>1</v>
      </c>
      <c r="D762" s="1" t="s">
        <v>4689</v>
      </c>
      <c r="E762" s="7" t="s">
        <v>4827</v>
      </c>
      <c r="F762" s="7" t="s">
        <v>4412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4510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4828</v>
      </c>
      <c r="B763" s="21"/>
      <c r="C763" s="1">
        <v>2</v>
      </c>
      <c r="D763" s="1" t="s">
        <v>4829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4842</v>
      </c>
      <c r="J763" s="8" t="s">
        <v>4690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25">IFERROR(H763*((AA763*0.25)+(AC763*0.25)+(AD763*0.225)+(AE763*0.225)+(AF763*0.05)),"")</f>
        <v>6.08</v>
      </c>
      <c r="S763" s="18">
        <f t="shared" ref="S763" si="126">IFERROR(H763*AG763,"")</f>
        <v>0</v>
      </c>
      <c r="T763" s="19">
        <f t="shared" ref="T763" si="127"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28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4828</v>
      </c>
      <c r="B764" s="21"/>
      <c r="C764" s="1">
        <v>2</v>
      </c>
      <c r="D764" s="1" t="s">
        <v>4829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4842</v>
      </c>
      <c r="J764" s="8" t="s">
        <v>4691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6.08</v>
      </c>
      <c r="S764" s="18">
        <f>IFERROR(H764*AG764,"")</f>
        <v>0</v>
      </c>
      <c r="T764" s="19">
        <f>IFERROR(S764-H764,"")</f>
        <v>-6.4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11" t="s">
        <v>653</v>
      </c>
      <c r="B765" s="21"/>
      <c r="C765" s="208">
        <v>2</v>
      </c>
      <c r="D765" s="208" t="s">
        <v>4834</v>
      </c>
      <c r="E765" s="212">
        <v>4419</v>
      </c>
      <c r="F765" s="194">
        <v>9</v>
      </c>
      <c r="G765" s="213">
        <v>2.39</v>
      </c>
      <c r="H765" s="34">
        <f>Tabela1[[#This Row],[PESO UNI]]*Tabela1[[#This Row],[QTE]]</f>
        <v>4.78</v>
      </c>
      <c r="I765" s="7">
        <v>0</v>
      </c>
      <c r="J765" s="8" t="s">
        <v>4837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0</v>
      </c>
      <c r="S765" s="18">
        <f>IFERROR(H765*AG765,"")</f>
        <v>0</v>
      </c>
      <c r="T765" s="19">
        <f>IFERROR(S765-H765,"")</f>
        <v>-4.78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4830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4837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29">IFERROR(H766*((AA766*0.25)+(AC766*0.25)+(AD766*0.225)+(AE766*0.225)+(AF766*0.05)),"")</f>
        <v>0</v>
      </c>
      <c r="S766" s="18">
        <f t="shared" ref="S766:S770" si="130">IFERROR(H766*AG766,"")</f>
        <v>0</v>
      </c>
      <c r="T766" s="19">
        <f t="shared" ref="T766:T770" si="131">IFERROR(S766-H766,"")</f>
        <v>-135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32">U766-C766</f>
        <v>-15</v>
      </c>
      <c r="Z766" s="20">
        <f>Tabela1[[#This Row],[PESO TOTAL]]-Tabela1[[#This Row],[Peso Expedido]]</f>
        <v>135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4832</v>
      </c>
      <c r="B767" s="21"/>
      <c r="C767" s="1">
        <v>22</v>
      </c>
      <c r="D767" s="1" t="s">
        <v>4831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4837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29"/>
        <v>0</v>
      </c>
      <c r="S767" s="18">
        <f t="shared" si="130"/>
        <v>0</v>
      </c>
      <c r="T767" s="19">
        <f t="shared" si="131"/>
        <v>-46.2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-22</v>
      </c>
      <c r="Z767" s="20">
        <f>Tabela1[[#This Row],[PESO TOTAL]]-Tabela1[[#This Row],[Peso Expedido]]</f>
        <v>46.2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4833</v>
      </c>
      <c r="B768" s="21"/>
      <c r="C768" s="1">
        <v>72</v>
      </c>
      <c r="D768" s="1" t="s">
        <v>4835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4837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29"/>
        <v>0</v>
      </c>
      <c r="S768" s="18">
        <f t="shared" si="130"/>
        <v>0</v>
      </c>
      <c r="T768" s="19">
        <f t="shared" si="131"/>
        <v>-194.4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-72</v>
      </c>
      <c r="Z768" s="20">
        <f>Tabela1[[#This Row],[PESO TOTAL]]-Tabela1[[#This Row],[Peso Expedido]]</f>
        <v>194.4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4836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4837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29"/>
        <v>0</v>
      </c>
      <c r="S769" s="18">
        <f t="shared" si="130"/>
        <v>0</v>
      </c>
      <c r="T769" s="19">
        <f t="shared" si="131"/>
        <v>-10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-4</v>
      </c>
      <c r="Z769" s="20">
        <f>Tabela1[[#This Row],[PESO TOTAL]]-Tabela1[[#This Row],[Peso Expedido]]</f>
        <v>10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4838</v>
      </c>
      <c r="B770" s="21"/>
      <c r="C770" s="1">
        <v>22</v>
      </c>
      <c r="D770" s="1" t="s">
        <v>4839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4837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29"/>
        <v>0</v>
      </c>
      <c r="S770" s="18">
        <f t="shared" si="130"/>
        <v>0</v>
      </c>
      <c r="T770" s="19">
        <f t="shared" si="131"/>
        <v>-92.4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32"/>
        <v>-22</v>
      </c>
      <c r="Z770" s="20">
        <f>Tabela1[[#This Row],[PESO TOTAL]]-Tabela1[[#This Row],[Peso Expedido]]</f>
        <v>92.4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4840</v>
      </c>
      <c r="B771" s="21"/>
      <c r="C771" s="1">
        <v>80</v>
      </c>
      <c r="D771" s="1" t="s">
        <v>4841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4837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81" si="133">IFERROR(H771*((AA771*0.25)+(AC771*0.25)+(AD771*0.225)+(AE771*0.225)+(AF771*0.05)),"")</f>
        <v>0</v>
      </c>
      <c r="S771" s="18">
        <f t="shared" ref="S771:S781" si="134">IFERROR(H771*AG771,"")</f>
        <v>0</v>
      </c>
      <c r="T771" s="19">
        <f t="shared" ref="T771:T781" si="135">IFERROR(S771-H771,"")</f>
        <v>-288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81" si="136">U771-C771</f>
        <v>-80</v>
      </c>
      <c r="Z771" s="20">
        <f>Tabela1[[#This Row],[PESO TOTAL]]-Tabela1[[#This Row],[Peso Expedido]]</f>
        <v>288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4847</v>
      </c>
      <c r="B772" s="21" t="s">
        <v>4848</v>
      </c>
      <c r="C772" s="1">
        <v>1</v>
      </c>
      <c r="D772" s="1" t="s">
        <v>4849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4850</v>
      </c>
      <c r="K772" s="8" t="s">
        <v>32</v>
      </c>
      <c r="L772" s="9" t="s">
        <v>4851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-235.8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235.8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4852</v>
      </c>
      <c r="B773" s="21" t="s">
        <v>4852</v>
      </c>
      <c r="C773" s="1">
        <v>1</v>
      </c>
      <c r="D773" s="1" t="s">
        <v>4853</v>
      </c>
      <c r="E773" s="7">
        <v>4427</v>
      </c>
      <c r="F773" s="7">
        <v>1</v>
      </c>
      <c r="G773" s="1">
        <v>6409.92</v>
      </c>
      <c r="H773" s="34">
        <f>Tabela1[[#This Row],[PESO UNI]]*Tabela1[[#This Row],[QTE]]</f>
        <v>6409.92</v>
      </c>
      <c r="I773" s="7" t="s">
        <v>1101</v>
      </c>
      <c r="J773" s="8" t="s">
        <v>4854</v>
      </c>
      <c r="K773" s="8" t="s">
        <v>22</v>
      </c>
      <c r="L773" s="9" t="s">
        <v>4855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0</v>
      </c>
      <c r="S773" s="18">
        <f t="shared" si="134"/>
        <v>0</v>
      </c>
      <c r="T773" s="19">
        <f t="shared" si="135"/>
        <v>-6409.92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6409.92</v>
      </c>
      <c r="AA773" s="17"/>
      <c r="AB773" s="33"/>
      <c r="AC773" s="33"/>
      <c r="AD773" s="33"/>
      <c r="AE773" s="33"/>
      <c r="AF773" s="33"/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4856</v>
      </c>
      <c r="B774" s="21" t="s">
        <v>4856</v>
      </c>
      <c r="C774" s="1">
        <v>1</v>
      </c>
      <c r="D774" s="1" t="s">
        <v>4857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4854</v>
      </c>
      <c r="K774" s="8" t="s">
        <v>32</v>
      </c>
      <c r="L774" s="9" t="s">
        <v>4855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33"/>
        <v>0</v>
      </c>
      <c r="S774" s="18">
        <f t="shared" si="134"/>
        <v>0</v>
      </c>
      <c r="T774" s="19">
        <f t="shared" si="135"/>
        <v>-2613.4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-1</v>
      </c>
      <c r="Z774" s="20">
        <f>Tabela1[[#This Row],[PESO TOTAL]]-Tabela1[[#This Row],[Peso Expedido]]</f>
        <v>2613.4</v>
      </c>
      <c r="AA774" s="17"/>
      <c r="AB774" s="33"/>
      <c r="AC774" s="33"/>
      <c r="AD774" s="33"/>
      <c r="AE774" s="33"/>
      <c r="AF774" s="33"/>
      <c r="AG774" s="33"/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4871</v>
      </c>
      <c r="K775" s="8" t="s">
        <v>4321</v>
      </c>
      <c r="L775" s="9" t="s">
        <v>4870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33"/>
        <v>722.5</v>
      </c>
      <c r="S775" s="18">
        <f t="shared" si="134"/>
        <v>400</v>
      </c>
      <c r="T775" s="19">
        <f t="shared" si="135"/>
        <v>-600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0</v>
      </c>
      <c r="Z775" s="20">
        <f>Tabela1[[#This Row],[PESO TOTAL]]-Tabela1[[#This Row],[Peso Expedido]]</f>
        <v>1000</v>
      </c>
      <c r="AA775" s="17">
        <v>1</v>
      </c>
      <c r="AB775" s="33">
        <v>1</v>
      </c>
      <c r="AC775" s="33">
        <v>1</v>
      </c>
      <c r="AD775" s="33">
        <v>0.5</v>
      </c>
      <c r="AE775" s="33">
        <v>0.4</v>
      </c>
      <c r="AF775" s="33">
        <v>0.4</v>
      </c>
      <c r="AG775" s="33">
        <v>0.4</v>
      </c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4874</v>
      </c>
      <c r="B776" s="21" t="s">
        <v>4875</v>
      </c>
      <c r="C776" s="1">
        <v>1</v>
      </c>
      <c r="D776" s="1" t="s">
        <v>4879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>
        <v>0</v>
      </c>
      <c r="J776" s="8" t="s">
        <v>3093</v>
      </c>
      <c r="K776" s="8" t="s">
        <v>4321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si="133"/>
        <v>0</v>
      </c>
      <c r="S776" s="18">
        <f t="shared" si="134"/>
        <v>0</v>
      </c>
      <c r="T776" s="19">
        <f t="shared" si="135"/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-1</v>
      </c>
      <c r="Z776" s="20">
        <f>Tabela1[[#This Row],[PESO TOTAL]]-Tabela1[[#This Row],[Peso Expedido]]</f>
        <v>67.099999999999994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4874</v>
      </c>
      <c r="B777" s="21" t="s">
        <v>4875</v>
      </c>
      <c r="C777" s="1">
        <v>4</v>
      </c>
      <c r="D777" s="1" t="s">
        <v>4880</v>
      </c>
      <c r="E777" s="7">
        <v>4431</v>
      </c>
      <c r="F777" s="7">
        <v>40</v>
      </c>
      <c r="G777" s="1">
        <v>31.2</v>
      </c>
      <c r="H777" s="34">
        <f>Tabela1[[#This Row],[PESO UNI]]*Tabela1[[#This Row],[QTE]]</f>
        <v>124.8</v>
      </c>
      <c r="I777" s="7">
        <v>0</v>
      </c>
      <c r="J777" s="8" t="s">
        <v>3093</v>
      </c>
      <c r="K777" s="8" t="s">
        <v>4321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-4</v>
      </c>
      <c r="R777" s="18">
        <f t="shared" si="133"/>
        <v>0</v>
      </c>
      <c r="S777" s="18">
        <f t="shared" si="134"/>
        <v>0</v>
      </c>
      <c r="T777" s="19">
        <f t="shared" si="135"/>
        <v>-124.8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-4</v>
      </c>
      <c r="Z777" s="20">
        <f>Tabela1[[#This Row],[PESO TOTAL]]-Tabela1[[#This Row],[Peso Expedido]]</f>
        <v>124.8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4874</v>
      </c>
      <c r="B778" s="21" t="s">
        <v>4875</v>
      </c>
      <c r="C778" s="1">
        <v>1</v>
      </c>
      <c r="D778" s="1" t="s">
        <v>4881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>
        <v>0</v>
      </c>
      <c r="J778" s="8" t="s">
        <v>3093</v>
      </c>
      <c r="K778" s="8" t="s">
        <v>4321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33"/>
        <v>0</v>
      </c>
      <c r="S778" s="18">
        <f t="shared" si="134"/>
        <v>0</v>
      </c>
      <c r="T778" s="19">
        <f t="shared" si="135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-1</v>
      </c>
      <c r="Z778" s="20">
        <f>Tabela1[[#This Row],[PESO TOTAL]]-Tabela1[[#This Row],[Peso Expedido]]</f>
        <v>106.8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4874</v>
      </c>
      <c r="B779" s="21" t="s">
        <v>4875</v>
      </c>
      <c r="C779" s="1">
        <v>6</v>
      </c>
      <c r="D779" s="1" t="s">
        <v>4882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>
        <v>0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33"/>
        <v>0</v>
      </c>
      <c r="S779" s="18">
        <f t="shared" si="134"/>
        <v>0</v>
      </c>
      <c r="T779" s="19">
        <f t="shared" si="135"/>
        <v>-43.8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-6</v>
      </c>
      <c r="Z779" s="20">
        <f>Tabela1[[#This Row],[PESO TOTAL]]-Tabela1[[#This Row],[Peso Expedido]]</f>
        <v>43.8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4874</v>
      </c>
      <c r="B780" s="21" t="s">
        <v>4875</v>
      </c>
      <c r="C780" s="1">
        <v>2</v>
      </c>
      <c r="D780" s="1" t="s">
        <v>4883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>
        <v>0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-20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20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4874</v>
      </c>
      <c r="B781" s="21" t="s">
        <v>4875</v>
      </c>
      <c r="C781" s="1">
        <v>2</v>
      </c>
      <c r="D781" s="1" t="s">
        <v>4884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>
        <v>0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33"/>
        <v>0</v>
      </c>
      <c r="S781" s="18">
        <f t="shared" si="134"/>
        <v>0</v>
      </c>
      <c r="T781" s="19">
        <f t="shared" si="135"/>
        <v>-16.399999999999999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36"/>
        <v>-2</v>
      </c>
      <c r="Z781" s="20">
        <f>Tabela1[[#This Row],[PESO TOTAL]]-Tabela1[[#This Row],[Peso Expedido]]</f>
        <v>16.399999999999999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4877</v>
      </c>
      <c r="B782" s="21" t="s">
        <v>4878</v>
      </c>
      <c r="C782" s="1">
        <v>2</v>
      </c>
      <c r="D782" s="1" t="s">
        <v>4885</v>
      </c>
      <c r="E782" s="7">
        <v>4436</v>
      </c>
      <c r="F782" s="7">
        <v>40</v>
      </c>
      <c r="G782" s="1">
        <v>72.8</v>
      </c>
      <c r="H782" s="34">
        <f>Tabela1[[#This Row],[PESO UNI]]*Tabela1[[#This Row],[QTE]]</f>
        <v>145.6</v>
      </c>
      <c r="I782" s="7">
        <v>0</v>
      </c>
      <c r="J782" s="8" t="s">
        <v>3093</v>
      </c>
      <c r="K782" s="8" t="s">
        <v>4321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-2</v>
      </c>
      <c r="R782" s="18">
        <f t="shared" ref="R782" si="137">IFERROR(H782*((AA782*0.25)+(AC782*0.25)+(AD782*0.225)+(AE782*0.225)+(AF782*0.05)),"")</f>
        <v>0</v>
      </c>
      <c r="S782" s="18">
        <f t="shared" ref="S782" si="138">IFERROR(H782*AG782,"")</f>
        <v>0</v>
      </c>
      <c r="T782" s="19">
        <f t="shared" ref="T782" si="139">IFERROR(S782-H782,"")</f>
        <v>-145.6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0">U782-C782</f>
        <v>-2</v>
      </c>
      <c r="Z782" s="20">
        <f>Tabela1[[#This Row],[PESO TOTAL]]-Tabela1[[#This Row],[Peso Expedido]]</f>
        <v>145.6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4877</v>
      </c>
      <c r="B783" s="21" t="s">
        <v>4878</v>
      </c>
      <c r="C783" s="1">
        <v>4</v>
      </c>
      <c r="D783" s="1" t="s">
        <v>4899</v>
      </c>
      <c r="E783" s="7">
        <v>4437</v>
      </c>
      <c r="F783" s="7">
        <v>40</v>
      </c>
      <c r="G783" s="1">
        <v>8.1</v>
      </c>
      <c r="H783" s="34">
        <f>Tabela1[[#This Row],[PESO UNI]]*Tabela1[[#This Row],[QTE]]</f>
        <v>32.4</v>
      </c>
      <c r="I783" s="7">
        <v>0</v>
      </c>
      <c r="J783" s="8" t="s">
        <v>3093</v>
      </c>
      <c r="K783" s="8" t="s">
        <v>4321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1">IFERROR(H783*((AA783*0.25)+(AC783*0.25)+(AD783*0.225)+(AE783*0.225)+(AF783*0.05)),"")</f>
        <v>0</v>
      </c>
      <c r="S783" s="18">
        <f t="shared" ref="S783" si="142">IFERROR(H783*AG783,"")</f>
        <v>0</v>
      </c>
      <c r="T783" s="19">
        <f t="shared" ref="T783" si="143">IFERROR(S783-H783,"")</f>
        <v>-32.4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4">U783-C783</f>
        <v>-4</v>
      </c>
      <c r="Z783" s="20">
        <f>Tabela1[[#This Row],[PESO TOTAL]]-Tabela1[[#This Row],[Peso Expedido]]</f>
        <v>32.4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4877</v>
      </c>
      <c r="B784" s="21" t="s">
        <v>4878</v>
      </c>
      <c r="C784" s="1">
        <v>4</v>
      </c>
      <c r="D784" s="1" t="s">
        <v>4898</v>
      </c>
      <c r="E784" s="7">
        <v>4438</v>
      </c>
      <c r="F784" s="7">
        <v>40</v>
      </c>
      <c r="G784" s="1">
        <v>0.6</v>
      </c>
      <c r="H784" s="34">
        <f>Tabela1[[#This Row],[PESO UNI]]*Tabela1[[#This Row],[QTE]]</f>
        <v>2.4</v>
      </c>
      <c r="I784" s="7">
        <v>0</v>
      </c>
      <c r="J784" s="8" t="s">
        <v>3093</v>
      </c>
      <c r="K784" s="8" t="s">
        <v>4321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5">IFERROR(H784*((AA784*0.25)+(AC784*0.25)+(AD784*0.225)+(AE784*0.225)+(AF784*0.05)),"")</f>
        <v>0</v>
      </c>
      <c r="S784" s="18">
        <f t="shared" ref="S784" si="146">IFERROR(H784*AG784,"")</f>
        <v>0</v>
      </c>
      <c r="T784" s="19">
        <f t="shared" ref="T784" si="147">IFERROR(S784-H784,"")</f>
        <v>-2.4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48">U784-C784</f>
        <v>-4</v>
      </c>
      <c r="Z784" s="20">
        <f>Tabela1[[#This Row],[PESO TOTAL]]-Tabela1[[#This Row],[Peso Expedido]]</f>
        <v>2.4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4877</v>
      </c>
      <c r="B785" s="21" t="s">
        <v>4878</v>
      </c>
      <c r="C785" s="1">
        <v>4</v>
      </c>
      <c r="D785" s="1" t="s">
        <v>4897</v>
      </c>
      <c r="E785" s="7">
        <v>4439</v>
      </c>
      <c r="F785" s="7">
        <v>40</v>
      </c>
      <c r="G785" s="1">
        <v>6</v>
      </c>
      <c r="H785" s="34">
        <f>Tabela1[[#This Row],[PESO UNI]]*Tabela1[[#This Row],[QTE]]</f>
        <v>24</v>
      </c>
      <c r="I785" s="7">
        <v>0</v>
      </c>
      <c r="J785" s="8" t="s">
        <v>3093</v>
      </c>
      <c r="K785" s="8" t="s">
        <v>4321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-4</v>
      </c>
      <c r="R785" s="18">
        <f t="shared" ref="R785" si="149">IFERROR(H785*((AA785*0.25)+(AC785*0.25)+(AD785*0.225)+(AE785*0.225)+(AF785*0.05)),"")</f>
        <v>0</v>
      </c>
      <c r="S785" s="18">
        <f t="shared" ref="S785" si="150">IFERROR(H785*AG785,"")</f>
        <v>0</v>
      </c>
      <c r="T785" s="19">
        <f t="shared" ref="T785" si="151">IFERROR(S785-H785,"")</f>
        <v>-24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2">U785-C785</f>
        <v>-4</v>
      </c>
      <c r="Z785" s="20">
        <f>Tabela1[[#This Row],[PESO TOTAL]]-Tabela1[[#This Row],[Peso Expedido]]</f>
        <v>24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4877</v>
      </c>
      <c r="B786" s="21" t="s">
        <v>4878</v>
      </c>
      <c r="C786" s="1">
        <v>2</v>
      </c>
      <c r="D786" s="1" t="s">
        <v>4896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>
        <v>0</v>
      </c>
      <c r="J786" s="8" t="s">
        <v>3093</v>
      </c>
      <c r="K786" s="8" t="s">
        <v>4321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ref="R786" si="153">IFERROR(H786*((AA786*0.25)+(AC786*0.25)+(AD786*0.225)+(AE786*0.225)+(AF786*0.05)),"")</f>
        <v>0</v>
      </c>
      <c r="S786" s="18">
        <f t="shared" ref="S786" si="154">IFERROR(H786*AG786,"")</f>
        <v>0</v>
      </c>
      <c r="T786" s="19">
        <f t="shared" ref="T786" si="155">IFERROR(S786-H786,"")</f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56">U786-C786</f>
        <v>-2</v>
      </c>
      <c r="Z786" s="20">
        <f>Tabela1[[#This Row],[PESO TOTAL]]-Tabela1[[#This Row],[Peso Expedido]]</f>
        <v>134.4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4877</v>
      </c>
      <c r="B787" s="21" t="s">
        <v>4878</v>
      </c>
      <c r="C787" s="1">
        <v>12</v>
      </c>
      <c r="D787" s="1" t="s">
        <v>4895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>
        <v>0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ref="R787" si="157">IFERROR(H787*((AA787*0.25)+(AC787*0.25)+(AD787*0.225)+(AE787*0.225)+(AF787*0.05)),"")</f>
        <v>0</v>
      </c>
      <c r="S787" s="18">
        <f t="shared" ref="S787" si="158">IFERROR(H787*AG787,"")</f>
        <v>0</v>
      </c>
      <c r="T787" s="19">
        <f t="shared" ref="T787" si="159">IFERROR(S787-H787,"")</f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0">U787-C787</f>
        <v>-12</v>
      </c>
      <c r="Z787" s="20">
        <f>Tabela1[[#This Row],[PESO TOTAL]]-Tabela1[[#This Row],[Peso Expedido]]</f>
        <v>87.6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4877</v>
      </c>
      <c r="B788" s="21" t="s">
        <v>4878</v>
      </c>
      <c r="C788" s="1">
        <v>2</v>
      </c>
      <c r="D788" s="1" t="s">
        <v>4894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>
        <v>0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1">IFERROR(H788*((AA788*0.25)+(AC788*0.25)+(AD788*0.225)+(AE788*0.225)+(AF788*0.05)),"")</f>
        <v>0</v>
      </c>
      <c r="S788" s="18">
        <f t="shared" ref="S788" si="162">IFERROR(H788*AG788,"")</f>
        <v>0</v>
      </c>
      <c r="T788" s="19">
        <f t="shared" ref="T788" si="163">IFERROR(S788-H788,"")</f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4">U788-C788</f>
        <v>-2</v>
      </c>
      <c r="Z788" s="20">
        <f>Tabela1[[#This Row],[PESO TOTAL]]-Tabela1[[#This Row],[Peso Expedido]]</f>
        <v>23.2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4877</v>
      </c>
      <c r="B789" s="21" t="s">
        <v>4878</v>
      </c>
      <c r="C789" s="1">
        <v>2</v>
      </c>
      <c r="D789" s="1" t="s">
        <v>4893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>
        <v>0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5">IFERROR(H789*((AA789*0.25)+(AC789*0.25)+(AD789*0.225)+(AE789*0.225)+(AF789*0.05)),"")</f>
        <v>0</v>
      </c>
      <c r="S789" s="18">
        <f t="shared" ref="S789" si="166">IFERROR(H789*AG789,"")</f>
        <v>0</v>
      </c>
      <c r="T789" s="19">
        <f t="shared" ref="T789" si="167">IFERROR(S789-H789,"")</f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68">U789-C789</f>
        <v>-2</v>
      </c>
      <c r="Z789" s="20">
        <f>Tabela1[[#This Row],[PESO TOTAL]]-Tabela1[[#This Row],[Peso Expedido]]</f>
        <v>24.4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4877</v>
      </c>
      <c r="B790" s="21" t="s">
        <v>4878</v>
      </c>
      <c r="C790" s="1">
        <v>2</v>
      </c>
      <c r="D790" s="1" t="s">
        <v>4892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>
        <v>0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69">IFERROR(H790*((AA790*0.25)+(AC790*0.25)+(AD790*0.225)+(AE790*0.225)+(AF790*0.05)),"")</f>
        <v>0</v>
      </c>
      <c r="S790" s="18">
        <f t="shared" ref="S790" si="170">IFERROR(H790*AG790,"")</f>
        <v>0</v>
      </c>
      <c r="T790" s="19">
        <f t="shared" ref="T790" si="171">IFERROR(S790-H790,"")</f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2">U790-C790</f>
        <v>-2</v>
      </c>
      <c r="Z790" s="20">
        <f>Tabela1[[#This Row],[PESO TOTAL]]-Tabela1[[#This Row],[Peso Expedido]]</f>
        <v>25.6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4877</v>
      </c>
      <c r="B791" s="21" t="s">
        <v>4878</v>
      </c>
      <c r="C791" s="1">
        <v>2</v>
      </c>
      <c r="D791" s="1" t="s">
        <v>4891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>
        <v>0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3">IFERROR(H791*((AA791*0.25)+(AC791*0.25)+(AD791*0.225)+(AE791*0.225)+(AF791*0.05)),"")</f>
        <v>0</v>
      </c>
      <c r="S791" s="18">
        <f t="shared" ref="S791" si="174">IFERROR(H791*AG791,"")</f>
        <v>0</v>
      </c>
      <c r="T791" s="19">
        <f t="shared" ref="T791" si="175">IFERROR(S791-H791,"")</f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76">U791-C791</f>
        <v>-2</v>
      </c>
      <c r="Z791" s="20">
        <f>Tabela1[[#This Row],[PESO TOTAL]]-Tabela1[[#This Row],[Peso Expedido]]</f>
        <v>27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4877</v>
      </c>
      <c r="B792" s="21" t="s">
        <v>4878</v>
      </c>
      <c r="C792" s="1">
        <v>2</v>
      </c>
      <c r="D792" s="1" t="s">
        <v>4890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>
        <v>0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77">IFERROR(H792*((AA792*0.25)+(AC792*0.25)+(AD792*0.225)+(AE792*0.225)+(AF792*0.05)),"")</f>
        <v>0</v>
      </c>
      <c r="S792" s="18">
        <f t="shared" ref="S792" si="178">IFERROR(H792*AG792,"")</f>
        <v>0</v>
      </c>
      <c r="T792" s="19">
        <f t="shared" ref="T792" si="179">IFERROR(S792-H792,"")</f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0">U792-C792</f>
        <v>-2</v>
      </c>
      <c r="Z792" s="20">
        <f>Tabela1[[#This Row],[PESO TOTAL]]-Tabela1[[#This Row],[Peso Expedido]]</f>
        <v>28.2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4877</v>
      </c>
      <c r="B793" s="21" t="s">
        <v>4878</v>
      </c>
      <c r="C793" s="1">
        <v>2</v>
      </c>
      <c r="D793" s="1" t="s">
        <v>4889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>
        <v>0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1">IFERROR(H793*((AA793*0.25)+(AC793*0.25)+(AD793*0.225)+(AE793*0.225)+(AF793*0.05)),"")</f>
        <v>0</v>
      </c>
      <c r="S793" s="18">
        <f t="shared" ref="S793" si="182">IFERROR(H793*AG793,"")</f>
        <v>0</v>
      </c>
      <c r="T793" s="19">
        <f t="shared" ref="T793" si="183">IFERROR(S793-H793,"")</f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4">U793-C793</f>
        <v>-2</v>
      </c>
      <c r="Z793" s="20">
        <f>Tabela1[[#This Row],[PESO TOTAL]]-Tabela1[[#This Row],[Peso Expedido]]</f>
        <v>27.8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4886</v>
      </c>
      <c r="B794" s="21" t="s">
        <v>4887</v>
      </c>
      <c r="C794" s="1">
        <v>2</v>
      </c>
      <c r="D794" s="1" t="s">
        <v>4888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>
        <v>0</v>
      </c>
      <c r="J794" s="8" t="s">
        <v>3093</v>
      </c>
      <c r="K794" s="8" t="s">
        <v>4321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ref="R794" si="185">IFERROR(H794*((AA794*0.25)+(AC794*0.25)+(AD794*0.225)+(AE794*0.225)+(AF794*0.05)),"")</f>
        <v>0</v>
      </c>
      <c r="S794" s="18">
        <f t="shared" ref="S794" si="186">IFERROR(H794*AG794,"")</f>
        <v>0</v>
      </c>
      <c r="T794" s="19">
        <f t="shared" ref="T794" si="187">IFERROR(S794-H794,"")</f>
        <v>-142.19999999999999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88">U794-C794</f>
        <v>-2</v>
      </c>
      <c r="Z794" s="20">
        <f>Tabela1[[#This Row],[PESO TOTAL]]-Tabela1[[#This Row],[Peso Expedido]]</f>
        <v>142.19999999999999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4886</v>
      </c>
      <c r="B795" s="21" t="s">
        <v>4887</v>
      </c>
      <c r="C795" s="1">
        <v>4</v>
      </c>
      <c r="D795" s="1" t="s">
        <v>4900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>
        <v>0</v>
      </c>
      <c r="J795" s="8" t="s">
        <v>3093</v>
      </c>
      <c r="K795" s="8" t="s">
        <v>4321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89">IFERROR(H795*((AA795*0.25)+(AC795*0.25)+(AD795*0.225)+(AE795*0.225)+(AF795*0.05)),"")</f>
        <v>0</v>
      </c>
      <c r="S795" s="18">
        <f t="shared" ref="S795" si="190">IFERROR(H795*AG795,"")</f>
        <v>0</v>
      </c>
      <c r="T795" s="19">
        <f t="shared" ref="T795" si="191">IFERROR(S795-H795,"")</f>
        <v>-32.4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2">U795-C795</f>
        <v>-4</v>
      </c>
      <c r="Z795" s="20">
        <f>Tabela1[[#This Row],[PESO TOTAL]]-Tabela1[[#This Row],[Peso Expedido]]</f>
        <v>32.4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4886</v>
      </c>
      <c r="B796" s="21" t="s">
        <v>4887</v>
      </c>
      <c r="C796" s="1">
        <v>4</v>
      </c>
      <c r="D796" s="1" t="s">
        <v>4901</v>
      </c>
      <c r="E796" s="7">
        <v>4450</v>
      </c>
      <c r="F796" s="7">
        <v>40</v>
      </c>
      <c r="G796" s="1">
        <v>0.6</v>
      </c>
      <c r="H796" s="34">
        <f>Tabela1[[#This Row],[PESO UNI]]*Tabela1[[#This Row],[QTE]]</f>
        <v>2.4</v>
      </c>
      <c r="I796" s="7">
        <v>0</v>
      </c>
      <c r="J796" s="8" t="s">
        <v>3093</v>
      </c>
      <c r="K796" s="8" t="s">
        <v>4321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3">IFERROR(H796*((AA796*0.25)+(AC796*0.25)+(AD796*0.225)+(AE796*0.225)+(AF796*0.05)),"")</f>
        <v>0</v>
      </c>
      <c r="S796" s="18">
        <f t="shared" ref="S796" si="194">IFERROR(H796*AG796,"")</f>
        <v>0</v>
      </c>
      <c r="T796" s="19">
        <f t="shared" ref="T796" si="195">IFERROR(S796-H796,"")</f>
        <v>-2.4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196">U796-C796</f>
        <v>-4</v>
      </c>
      <c r="Z796" s="20">
        <f>Tabela1[[#This Row],[PESO TOTAL]]-Tabela1[[#This Row],[Peso Expedido]]</f>
        <v>2.4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4886</v>
      </c>
      <c r="B797" s="21" t="s">
        <v>4887</v>
      </c>
      <c r="C797" s="1">
        <v>4</v>
      </c>
      <c r="D797" s="1" t="s">
        <v>4902</v>
      </c>
      <c r="E797" s="7">
        <v>4451</v>
      </c>
      <c r="F797" s="7">
        <v>40</v>
      </c>
      <c r="G797" s="1">
        <v>6</v>
      </c>
      <c r="H797" s="34">
        <f>Tabela1[[#This Row],[PESO UNI]]*Tabela1[[#This Row],[QTE]]</f>
        <v>24</v>
      </c>
      <c r="I797" s="7">
        <v>0</v>
      </c>
      <c r="J797" s="8" t="s">
        <v>3093</v>
      </c>
      <c r="K797" s="8" t="s">
        <v>4321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-4</v>
      </c>
      <c r="R797" s="18">
        <f t="shared" ref="R797" si="197">IFERROR(H797*((AA797*0.25)+(AC797*0.25)+(AD797*0.225)+(AE797*0.225)+(AF797*0.05)),"")</f>
        <v>0</v>
      </c>
      <c r="S797" s="18">
        <f t="shared" ref="S797" si="198">IFERROR(H797*AG797,"")</f>
        <v>0</v>
      </c>
      <c r="T797" s="19">
        <f t="shared" ref="T797" si="199">IFERROR(S797-H797,"")</f>
        <v>-24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0">U797-C797</f>
        <v>-4</v>
      </c>
      <c r="Z797" s="20">
        <f>Tabela1[[#This Row],[PESO TOTAL]]-Tabela1[[#This Row],[Peso Expedido]]</f>
        <v>24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4886</v>
      </c>
      <c r="B798" s="21" t="s">
        <v>4887</v>
      </c>
      <c r="C798" s="1">
        <v>2</v>
      </c>
      <c r="D798" s="1" t="s">
        <v>4903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>
        <v>0</v>
      </c>
      <c r="J798" s="8" t="s">
        <v>3093</v>
      </c>
      <c r="K798" s="8" t="s">
        <v>4321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ref="R798" si="201">IFERROR(H798*((AA798*0.25)+(AC798*0.25)+(AD798*0.225)+(AE798*0.225)+(AF798*0.05)),"")</f>
        <v>0</v>
      </c>
      <c r="S798" s="18">
        <f t="shared" ref="S798" si="202">IFERROR(H798*AG798,"")</f>
        <v>0</v>
      </c>
      <c r="T798" s="19">
        <f t="shared" ref="T798" si="203">IFERROR(S798-H798,"")</f>
        <v>-218.4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4">U798-C798</f>
        <v>-2</v>
      </c>
      <c r="Z798" s="20">
        <f>Tabela1[[#This Row],[PESO TOTAL]]-Tabela1[[#This Row],[Peso Expedido]]</f>
        <v>218.4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4886</v>
      </c>
      <c r="B799" s="21" t="s">
        <v>4887</v>
      </c>
      <c r="C799" s="1">
        <v>12</v>
      </c>
      <c r="D799" s="1" t="s">
        <v>4904</v>
      </c>
      <c r="E799" s="7">
        <v>4453</v>
      </c>
      <c r="F799" s="7">
        <v>40</v>
      </c>
      <c r="G799" s="1">
        <v>7.3</v>
      </c>
      <c r="H799" s="34">
        <f>Tabela1[[#This Row],[PESO UNI]]*Tabela1[[#This Row],[QTE]]</f>
        <v>87.6</v>
      </c>
      <c r="I799" s="7">
        <v>0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-12</v>
      </c>
      <c r="R799" s="18">
        <f t="shared" ref="R799" si="205">IFERROR(H799*((AA799*0.25)+(AC799*0.25)+(AD799*0.225)+(AE799*0.225)+(AF799*0.05)),"")</f>
        <v>0</v>
      </c>
      <c r="S799" s="18">
        <f t="shared" ref="S799" si="206">IFERROR(H799*AG799,"")</f>
        <v>0</v>
      </c>
      <c r="T799" s="19">
        <f t="shared" ref="T799" si="207">IFERROR(S799-H799,"")</f>
        <v>-87.6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08">U799-C799</f>
        <v>-12</v>
      </c>
      <c r="Z799" s="20">
        <f>Tabela1[[#This Row],[PESO TOTAL]]-Tabela1[[#This Row],[Peso Expedido]]</f>
        <v>87.6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4886</v>
      </c>
      <c r="B800" s="21" t="s">
        <v>4887</v>
      </c>
      <c r="C800" s="1">
        <v>2</v>
      </c>
      <c r="D800" s="1" t="s">
        <v>4905</v>
      </c>
      <c r="E800" s="7">
        <v>4454</v>
      </c>
      <c r="F800" s="7">
        <v>40</v>
      </c>
      <c r="G800" s="1">
        <v>8.5</v>
      </c>
      <c r="H800" s="34">
        <f>Tabela1[[#This Row],[PESO UNI]]*Tabela1[[#This Row],[QTE]]</f>
        <v>17</v>
      </c>
      <c r="I800" s="7">
        <v>0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09">IFERROR(H800*((AA800*0.25)+(AC800*0.25)+(AD800*0.225)+(AE800*0.225)+(AF800*0.05)),"")</f>
        <v>0</v>
      </c>
      <c r="S800" s="18">
        <f t="shared" ref="S800" si="210">IFERROR(H800*AG800,"")</f>
        <v>0</v>
      </c>
      <c r="T800" s="19">
        <f t="shared" ref="T800" si="211">IFERROR(S800-H800,"")</f>
        <v>-17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2">U800-C800</f>
        <v>-2</v>
      </c>
      <c r="Z800" s="20">
        <f>Tabela1[[#This Row],[PESO TOTAL]]-Tabela1[[#This Row],[Peso Expedido]]</f>
        <v>17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4886</v>
      </c>
      <c r="B801" s="21" t="s">
        <v>4887</v>
      </c>
      <c r="C801" s="1">
        <v>2</v>
      </c>
      <c r="D801" s="1" t="s">
        <v>4906</v>
      </c>
      <c r="E801" s="7">
        <v>4455</v>
      </c>
      <c r="F801" s="7">
        <v>40</v>
      </c>
      <c r="G801" s="1">
        <v>9.1999999999999993</v>
      </c>
      <c r="H801" s="34">
        <f>Tabela1[[#This Row],[PESO UNI]]*Tabela1[[#This Row],[QTE]]</f>
        <v>18.399999999999999</v>
      </c>
      <c r="I801" s="7">
        <v>0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3">IFERROR(H801*((AA801*0.25)+(AC801*0.25)+(AD801*0.225)+(AE801*0.225)+(AF801*0.05)),"")</f>
        <v>0</v>
      </c>
      <c r="S801" s="18">
        <f t="shared" ref="S801" si="214">IFERROR(H801*AG801,"")</f>
        <v>0</v>
      </c>
      <c r="T801" s="19">
        <f t="shared" ref="T801" si="215">IFERROR(S801-H801,"")</f>
        <v>-18.399999999999999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16">U801-C801</f>
        <v>-2</v>
      </c>
      <c r="Z801" s="20">
        <f>Tabela1[[#This Row],[PESO TOTAL]]-Tabela1[[#This Row],[Peso Expedido]]</f>
        <v>18.399999999999999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4886</v>
      </c>
      <c r="B802" s="21" t="s">
        <v>4887</v>
      </c>
      <c r="C802" s="1">
        <v>2</v>
      </c>
      <c r="D802" s="1" t="s">
        <v>4907</v>
      </c>
      <c r="E802" s="7">
        <v>4456</v>
      </c>
      <c r="F802" s="7">
        <v>40</v>
      </c>
      <c r="G802" s="1">
        <v>9.9</v>
      </c>
      <c r="H802" s="34">
        <f>Tabela1[[#This Row],[PESO UNI]]*Tabela1[[#This Row],[QTE]]</f>
        <v>19.8</v>
      </c>
      <c r="I802" s="7">
        <v>0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17">IFERROR(H802*((AA802*0.25)+(AC802*0.25)+(AD802*0.225)+(AE802*0.225)+(AF802*0.05)),"")</f>
        <v>0</v>
      </c>
      <c r="S802" s="18">
        <f t="shared" ref="S802" si="218">IFERROR(H802*AG802,"")</f>
        <v>0</v>
      </c>
      <c r="T802" s="19">
        <f t="shared" ref="T802" si="219">IFERROR(S802-H802,"")</f>
        <v>-19.8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0">U802-C802</f>
        <v>-2</v>
      </c>
      <c r="Z802" s="20">
        <f>Tabela1[[#This Row],[PESO TOTAL]]-Tabela1[[#This Row],[Peso Expedido]]</f>
        <v>19.8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4886</v>
      </c>
      <c r="B803" s="21" t="s">
        <v>4887</v>
      </c>
      <c r="C803" s="1">
        <v>2</v>
      </c>
      <c r="D803" s="1" t="s">
        <v>4908</v>
      </c>
      <c r="E803" s="7">
        <v>4457</v>
      </c>
      <c r="F803" s="7">
        <v>40</v>
      </c>
      <c r="G803" s="1">
        <v>10.5</v>
      </c>
      <c r="H803" s="34">
        <f>Tabela1[[#This Row],[PESO UNI]]*Tabela1[[#This Row],[QTE]]</f>
        <v>21</v>
      </c>
      <c r="I803" s="7">
        <v>0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1">IFERROR(H803*((AA803*0.25)+(AC803*0.25)+(AD803*0.225)+(AE803*0.225)+(AF803*0.05)),"")</f>
        <v>0</v>
      </c>
      <c r="S803" s="18">
        <f t="shared" ref="S803" si="222">IFERROR(H803*AG803,"")</f>
        <v>0</v>
      </c>
      <c r="T803" s="19">
        <f t="shared" ref="T803" si="223">IFERROR(S803-H803,"")</f>
        <v>-21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4">U803-C803</f>
        <v>-2</v>
      </c>
      <c r="Z803" s="20">
        <f>Tabela1[[#This Row],[PESO TOTAL]]-Tabela1[[#This Row],[Peso Expedido]]</f>
        <v>21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4886</v>
      </c>
      <c r="B804" s="21" t="s">
        <v>4887</v>
      </c>
      <c r="C804" s="1">
        <v>2</v>
      </c>
      <c r="D804" s="1" t="s">
        <v>4909</v>
      </c>
      <c r="E804" s="7">
        <v>4458</v>
      </c>
      <c r="F804" s="7">
        <v>40</v>
      </c>
      <c r="G804" s="1">
        <v>11.2</v>
      </c>
      <c r="H804" s="34">
        <f>Tabela1[[#This Row],[PESO UNI]]*Tabela1[[#This Row],[QTE]]</f>
        <v>22.4</v>
      </c>
      <c r="I804" s="7">
        <v>0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5">IFERROR(H804*((AA804*0.25)+(AC804*0.25)+(AD804*0.225)+(AE804*0.225)+(AF804*0.05)),"")</f>
        <v>0</v>
      </c>
      <c r="S804" s="18">
        <f t="shared" ref="S804" si="226">IFERROR(H804*AG804,"")</f>
        <v>0</v>
      </c>
      <c r="T804" s="19">
        <f t="shared" ref="T804" si="227">IFERROR(S804-H804,"")</f>
        <v>-22.4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28">U804-C804</f>
        <v>-2</v>
      </c>
      <c r="Z804" s="20">
        <f>Tabela1[[#This Row],[PESO TOTAL]]-Tabela1[[#This Row],[Peso Expedido]]</f>
        <v>22.4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4886</v>
      </c>
      <c r="B805" s="21" t="s">
        <v>4887</v>
      </c>
      <c r="C805" s="1">
        <v>2</v>
      </c>
      <c r="D805" s="1" t="s">
        <v>4910</v>
      </c>
      <c r="E805" s="7">
        <v>4459</v>
      </c>
      <c r="F805" s="7">
        <v>40</v>
      </c>
      <c r="G805" s="1">
        <v>11.9</v>
      </c>
      <c r="H805" s="34">
        <f>Tabela1[[#This Row],[PESO UNI]]*Tabela1[[#This Row],[QTE]]</f>
        <v>23.8</v>
      </c>
      <c r="I805" s="7">
        <v>0</v>
      </c>
      <c r="J805" s="8" t="s">
        <v>3093</v>
      </c>
      <c r="K805" s="8" t="s">
        <v>44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-2</v>
      </c>
      <c r="R805" s="18">
        <f t="shared" ref="R805" si="229">IFERROR(H805*((AA805*0.25)+(AC805*0.25)+(AD805*0.225)+(AE805*0.225)+(AF805*0.05)),"")</f>
        <v>0</v>
      </c>
      <c r="S805" s="18">
        <f t="shared" ref="S805" si="230">IFERROR(H805*AG805,"")</f>
        <v>0</v>
      </c>
      <c r="T805" s="19">
        <f t="shared" ref="T805" si="231">IFERROR(S805-H805,"")</f>
        <v>-23.8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2">U805-C805</f>
        <v>-2</v>
      </c>
      <c r="Z805" s="20">
        <f>Tabela1[[#This Row],[PESO TOTAL]]-Tabela1[[#This Row],[Peso Expedido]]</f>
        <v>23.8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4911</v>
      </c>
      <c r="B806" s="21" t="s">
        <v>4912</v>
      </c>
      <c r="C806" s="1">
        <v>8</v>
      </c>
      <c r="D806" s="1" t="s">
        <v>4913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>
        <v>0</v>
      </c>
      <c r="J806" s="8" t="s">
        <v>3093</v>
      </c>
      <c r="K806" s="8" t="s">
        <v>4321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ref="R806" si="233">IFERROR(H806*((AA806*0.25)+(AC806*0.25)+(AD806*0.225)+(AE806*0.225)+(AF806*0.05)),"")</f>
        <v>0</v>
      </c>
      <c r="S806" s="18">
        <f t="shared" ref="S806" si="234">IFERROR(H806*AG806,"")</f>
        <v>0</v>
      </c>
      <c r="T806" s="19">
        <f t="shared" ref="T806" si="235">IFERROR(S806-H806,"")</f>
        <v>-558.4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36">U806-C806</f>
        <v>-8</v>
      </c>
      <c r="Z806" s="20">
        <f>Tabela1[[#This Row],[PESO TOTAL]]-Tabela1[[#This Row],[Peso Expedido]]</f>
        <v>558.4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4911</v>
      </c>
      <c r="B807" s="21" t="s">
        <v>4912</v>
      </c>
      <c r="C807" s="1">
        <v>16</v>
      </c>
      <c r="D807" s="1" t="s">
        <v>4914</v>
      </c>
      <c r="E807" s="7">
        <v>4461</v>
      </c>
      <c r="F807" s="7">
        <v>40</v>
      </c>
      <c r="G807" s="1">
        <v>8.1</v>
      </c>
      <c r="H807" s="34">
        <f>Tabela1[[#This Row],[PESO UNI]]*Tabela1[[#This Row],[QTE]]</f>
        <v>129.6</v>
      </c>
      <c r="I807" s="7">
        <v>0</v>
      </c>
      <c r="J807" s="8" t="s">
        <v>3093</v>
      </c>
      <c r="K807" s="8" t="s">
        <v>4321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37">IFERROR(H807*((AA807*0.25)+(AC807*0.25)+(AD807*0.225)+(AE807*0.225)+(AF807*0.05)),"")</f>
        <v>0</v>
      </c>
      <c r="S807" s="18">
        <f t="shared" ref="S807" si="238">IFERROR(H807*AG807,"")</f>
        <v>0</v>
      </c>
      <c r="T807" s="19">
        <f t="shared" ref="T807" si="239">IFERROR(S807-H807,"")</f>
        <v>-129.6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0">U807-C807</f>
        <v>-16</v>
      </c>
      <c r="Z807" s="20">
        <f>Tabela1[[#This Row],[PESO TOTAL]]-Tabela1[[#This Row],[Peso Expedido]]</f>
        <v>129.6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4911</v>
      </c>
      <c r="B808" s="21" t="s">
        <v>4912</v>
      </c>
      <c r="C808" s="1">
        <v>16</v>
      </c>
      <c r="D808" s="1" t="s">
        <v>4915</v>
      </c>
      <c r="E808" s="7">
        <v>4462</v>
      </c>
      <c r="F808" s="7">
        <v>40</v>
      </c>
      <c r="G808" s="1">
        <v>0.6</v>
      </c>
      <c r="H808" s="34">
        <f>Tabela1[[#This Row],[PESO UNI]]*Tabela1[[#This Row],[QTE]]</f>
        <v>9.6</v>
      </c>
      <c r="I808" s="7">
        <v>0</v>
      </c>
      <c r="J808" s="8" t="s">
        <v>3093</v>
      </c>
      <c r="K808" s="8" t="s">
        <v>4321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-16</v>
      </c>
      <c r="R808" s="18">
        <f t="shared" ref="R808" si="241">IFERROR(H808*((AA808*0.25)+(AC808*0.25)+(AD808*0.225)+(AE808*0.225)+(AF808*0.05)),"")</f>
        <v>0</v>
      </c>
      <c r="S808" s="18">
        <f t="shared" ref="S808" si="242">IFERROR(H808*AG808,"")</f>
        <v>0</v>
      </c>
      <c r="T808" s="19">
        <f t="shared" ref="T808" si="243">IFERROR(S808-H808,"")</f>
        <v>-9.6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4">U808-C808</f>
        <v>-16</v>
      </c>
      <c r="Z808" s="20">
        <f>Tabela1[[#This Row],[PESO TOTAL]]-Tabela1[[#This Row],[Peso Expedido]]</f>
        <v>9.6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4911</v>
      </c>
      <c r="B809" s="21" t="s">
        <v>4912</v>
      </c>
      <c r="C809" s="1">
        <v>8</v>
      </c>
      <c r="D809" s="1" t="s">
        <v>4916</v>
      </c>
      <c r="E809" s="7">
        <v>4463</v>
      </c>
      <c r="F809" s="7">
        <v>40</v>
      </c>
      <c r="G809" s="1">
        <v>14.7</v>
      </c>
      <c r="H809" s="34">
        <f>Tabela1[[#This Row],[PESO UNI]]*Tabela1[[#This Row],[QTE]]</f>
        <v>117.6</v>
      </c>
      <c r="I809" s="7">
        <v>0</v>
      </c>
      <c r="J809" s="8" t="s">
        <v>3093</v>
      </c>
      <c r="K809" s="8" t="s">
        <v>4321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ref="R809" si="245">IFERROR(H809*((AA809*0.25)+(AC809*0.25)+(AD809*0.225)+(AE809*0.225)+(AF809*0.05)),"")</f>
        <v>0</v>
      </c>
      <c r="S809" s="18">
        <f t="shared" ref="S809" si="246">IFERROR(H809*AG809,"")</f>
        <v>0</v>
      </c>
      <c r="T809" s="19">
        <f t="shared" ref="T809" si="247">IFERROR(S809-H809,"")</f>
        <v>-117.6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48">U809-C809</f>
        <v>-8</v>
      </c>
      <c r="Z809" s="20">
        <f>Tabela1[[#This Row],[PESO TOTAL]]-Tabela1[[#This Row],[Peso Expedido]]</f>
        <v>117.6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4911</v>
      </c>
      <c r="B810" s="21" t="s">
        <v>4912</v>
      </c>
      <c r="C810" s="1">
        <v>16</v>
      </c>
      <c r="D810" s="1" t="s">
        <v>4917</v>
      </c>
      <c r="E810" s="7">
        <v>4464</v>
      </c>
      <c r="F810" s="7">
        <v>40</v>
      </c>
      <c r="G810" s="1">
        <v>6</v>
      </c>
      <c r="H810" s="34">
        <f>Tabela1[[#This Row],[PESO UNI]]*Tabela1[[#This Row],[QTE]]</f>
        <v>96</v>
      </c>
      <c r="I810" s="7">
        <v>0</v>
      </c>
      <c r="J810" s="8" t="s">
        <v>3093</v>
      </c>
      <c r="K810" s="8" t="s">
        <v>4321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-16</v>
      </c>
      <c r="R810" s="18">
        <f t="shared" ref="R810" si="249">IFERROR(H810*((AA810*0.25)+(AC810*0.25)+(AD810*0.225)+(AE810*0.225)+(AF810*0.05)),"")</f>
        <v>0</v>
      </c>
      <c r="S810" s="18">
        <f t="shared" ref="S810" si="250">IFERROR(H810*AG810,"")</f>
        <v>0</v>
      </c>
      <c r="T810" s="19">
        <f t="shared" ref="T810" si="251">IFERROR(S810-H810,"")</f>
        <v>-96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2">U810-C810</f>
        <v>-16</v>
      </c>
      <c r="Z810" s="20">
        <f>Tabela1[[#This Row],[PESO TOTAL]]-Tabela1[[#This Row],[Peso Expedido]]</f>
        <v>96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96</v>
      </c>
      <c r="D811" s="1" t="s">
        <v>4918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>
        <v>0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ref="R811" si="253">IFERROR(H811*((AA811*0.25)+(AC811*0.25)+(AD811*0.225)+(AE811*0.225)+(AF811*0.05)),"")</f>
        <v>0</v>
      </c>
      <c r="S811" s="18">
        <f t="shared" ref="S811" si="254">IFERROR(H811*AG811,"")</f>
        <v>0</v>
      </c>
      <c r="T811" s="19">
        <f t="shared" ref="T811" si="255">IFERROR(S811-H811,"")</f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56">U811-C811</f>
        <v>-96</v>
      </c>
      <c r="Z811" s="20">
        <f>Tabela1[[#This Row],[PESO TOTAL]]-Tabela1[[#This Row],[Peso Expedido]]</f>
        <v>700.8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4919</v>
      </c>
      <c r="B812" s="21" t="s">
        <v>4920</v>
      </c>
      <c r="C812" s="1">
        <v>2</v>
      </c>
      <c r="D812" s="1" t="s">
        <v>4921</v>
      </c>
      <c r="E812" s="7">
        <v>4466</v>
      </c>
      <c r="F812" s="7">
        <v>40</v>
      </c>
      <c r="G812" s="1">
        <v>90.5</v>
      </c>
      <c r="H812" s="34">
        <f>Tabela1[[#This Row],[PESO UNI]]*Tabela1[[#This Row],[QTE]]</f>
        <v>181</v>
      </c>
      <c r="I812" s="7">
        <v>0</v>
      </c>
      <c r="J812" s="8" t="s">
        <v>3093</v>
      </c>
      <c r="K812" s="8" t="s">
        <v>4321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-2</v>
      </c>
      <c r="R812" s="18">
        <f t="shared" ref="R812" si="257">IFERROR(H812*((AA812*0.25)+(AC812*0.25)+(AD812*0.225)+(AE812*0.225)+(AF812*0.05)),"")</f>
        <v>0</v>
      </c>
      <c r="S812" s="18">
        <f t="shared" ref="S812" si="258">IFERROR(H812*AG812,"")</f>
        <v>0</v>
      </c>
      <c r="T812" s="19">
        <f t="shared" ref="T812" si="259">IFERROR(S812-H812,"")</f>
        <v>-181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0">U812-C812</f>
        <v>-2</v>
      </c>
      <c r="Z812" s="20">
        <f>Tabela1[[#This Row],[PESO TOTAL]]-Tabela1[[#This Row],[Peso Expedido]]</f>
        <v>181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4919</v>
      </c>
      <c r="B813" s="21" t="s">
        <v>4920</v>
      </c>
      <c r="C813" s="1">
        <v>4</v>
      </c>
      <c r="D813" s="1" t="s">
        <v>4922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>
        <v>0</v>
      </c>
      <c r="J813" s="8" t="s">
        <v>3093</v>
      </c>
      <c r="K813" s="8" t="s">
        <v>4321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1">IFERROR(H813*((AA813*0.25)+(AC813*0.25)+(AD813*0.225)+(AE813*0.225)+(AF813*0.05)),"")</f>
        <v>0</v>
      </c>
      <c r="S813" s="18">
        <f t="shared" ref="S813" si="262">IFERROR(H813*AG813,"")</f>
        <v>0</v>
      </c>
      <c r="T813" s="19">
        <f t="shared" ref="T813" si="263">IFERROR(S813-H813,"")</f>
        <v>-32.4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4">U813-C813</f>
        <v>-4</v>
      </c>
      <c r="Z813" s="20">
        <f>Tabela1[[#This Row],[PESO TOTAL]]-Tabela1[[#This Row],[Peso Expedido]]</f>
        <v>32.4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4919</v>
      </c>
      <c r="B814" s="21" t="s">
        <v>4920</v>
      </c>
      <c r="C814" s="1">
        <v>4</v>
      </c>
      <c r="D814" s="1" t="s">
        <v>4923</v>
      </c>
      <c r="E814" s="7">
        <v>4468</v>
      </c>
      <c r="F814" s="7">
        <v>40</v>
      </c>
      <c r="G814" s="1">
        <v>0.6</v>
      </c>
      <c r="H814" s="34">
        <f>Tabela1[[#This Row],[PESO UNI]]*Tabela1[[#This Row],[QTE]]</f>
        <v>2.4</v>
      </c>
      <c r="I814" s="7">
        <v>0</v>
      </c>
      <c r="J814" s="8" t="s">
        <v>3093</v>
      </c>
      <c r="K814" s="8" t="s">
        <v>4321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-4</v>
      </c>
      <c r="R814" s="18">
        <f t="shared" ref="R814" si="265">IFERROR(H814*((AA814*0.25)+(AC814*0.25)+(AD814*0.225)+(AE814*0.225)+(AF814*0.05)),"")</f>
        <v>0</v>
      </c>
      <c r="S814" s="18">
        <f t="shared" ref="S814" si="266">IFERROR(H814*AG814,"")</f>
        <v>0</v>
      </c>
      <c r="T814" s="19">
        <f t="shared" ref="T814" si="267">IFERROR(S814-H814,"")</f>
        <v>-2.4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68">U814-C814</f>
        <v>-4</v>
      </c>
      <c r="Z814" s="20">
        <f>Tabela1[[#This Row],[PESO TOTAL]]-Tabela1[[#This Row],[Peso Expedido]]</f>
        <v>2.4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4919</v>
      </c>
      <c r="B815" s="21" t="s">
        <v>4920</v>
      </c>
      <c r="C815" s="1">
        <v>2</v>
      </c>
      <c r="D815" s="1" t="s">
        <v>4924</v>
      </c>
      <c r="E815" s="7">
        <v>4469</v>
      </c>
      <c r="F815" s="7">
        <v>40</v>
      </c>
      <c r="G815" s="1">
        <v>14.7</v>
      </c>
      <c r="H815" s="34">
        <f>Tabela1[[#This Row],[PESO UNI]]*Tabela1[[#This Row],[QTE]]</f>
        <v>29.4</v>
      </c>
      <c r="I815" s="7">
        <v>0</v>
      </c>
      <c r="J815" s="8" t="s">
        <v>3093</v>
      </c>
      <c r="K815" s="8" t="s">
        <v>4321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69">IFERROR(H815*((AA815*0.25)+(AC815*0.25)+(AD815*0.225)+(AE815*0.225)+(AF815*0.05)),"")</f>
        <v>0</v>
      </c>
      <c r="S815" s="18">
        <f t="shared" ref="S815" si="270">IFERROR(H815*AG815,"")</f>
        <v>0</v>
      </c>
      <c r="T815" s="19">
        <f t="shared" ref="T815" si="271">IFERROR(S815-H815,"")</f>
        <v>-29.4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2">U815-C815</f>
        <v>-2</v>
      </c>
      <c r="Z815" s="20">
        <f>Tabela1[[#This Row],[PESO TOTAL]]-Tabela1[[#This Row],[Peso Expedido]]</f>
        <v>29.4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4919</v>
      </c>
      <c r="B816" s="21" t="s">
        <v>4920</v>
      </c>
      <c r="C816" s="1">
        <v>2</v>
      </c>
      <c r="D816" s="1" t="s">
        <v>4925</v>
      </c>
      <c r="E816" s="7">
        <v>4470</v>
      </c>
      <c r="F816" s="7">
        <v>40</v>
      </c>
      <c r="G816" s="1">
        <v>3.4</v>
      </c>
      <c r="H816" s="34">
        <f>Tabela1[[#This Row],[PESO UNI]]*Tabela1[[#This Row],[QTE]]</f>
        <v>6.8</v>
      </c>
      <c r="I816" s="7">
        <v>0</v>
      </c>
      <c r="J816" s="8" t="s">
        <v>3093</v>
      </c>
      <c r="K816" s="8" t="s">
        <v>4321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3">IFERROR(H816*((AA816*0.25)+(AC816*0.25)+(AD816*0.225)+(AE816*0.225)+(AF816*0.05)),"")</f>
        <v>0</v>
      </c>
      <c r="S816" s="18">
        <f t="shared" ref="S816" si="274">IFERROR(H816*AG816,"")</f>
        <v>0</v>
      </c>
      <c r="T816" s="19">
        <f t="shared" ref="T816" si="275">IFERROR(S816-H816,"")</f>
        <v>-6.8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76">U816-C816</f>
        <v>-2</v>
      </c>
      <c r="Z816" s="20">
        <f>Tabela1[[#This Row],[PESO TOTAL]]-Tabela1[[#This Row],[Peso Expedido]]</f>
        <v>6.8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4919</v>
      </c>
      <c r="B817" s="21" t="s">
        <v>4920</v>
      </c>
      <c r="C817" s="1">
        <v>2</v>
      </c>
      <c r="D817" s="1" t="s">
        <v>4926</v>
      </c>
      <c r="E817" s="7">
        <v>4471</v>
      </c>
      <c r="F817" s="7">
        <v>40</v>
      </c>
      <c r="G817" s="1">
        <v>6</v>
      </c>
      <c r="H817" s="34">
        <f>Tabela1[[#This Row],[PESO UNI]]*Tabela1[[#This Row],[QTE]]</f>
        <v>12</v>
      </c>
      <c r="I817" s="7">
        <v>0</v>
      </c>
      <c r="J817" s="8" t="s">
        <v>3093</v>
      </c>
      <c r="K817" s="8" t="s">
        <v>4321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</v>
      </c>
      <c r="R817" s="18">
        <f t="shared" ref="R817" si="277">IFERROR(H817*((AA817*0.25)+(AC817*0.25)+(AD817*0.225)+(AE817*0.225)+(AF817*0.05)),"")</f>
        <v>0</v>
      </c>
      <c r="S817" s="18">
        <f t="shared" ref="S817" si="278">IFERROR(H817*AG817,"")</f>
        <v>0</v>
      </c>
      <c r="T817" s="19">
        <f t="shared" ref="T817" si="279">IFERROR(S817-H817,"")</f>
        <v>-12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0">U817-C817</f>
        <v>-2</v>
      </c>
      <c r="Z817" s="20">
        <f>Tabela1[[#This Row],[PESO TOTAL]]-Tabela1[[#This Row],[Peso Expedido]]</f>
        <v>12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4919</v>
      </c>
      <c r="B818" s="21" t="s">
        <v>4920</v>
      </c>
      <c r="C818" s="1">
        <v>28</v>
      </c>
      <c r="D818" s="1" t="s">
        <v>4927</v>
      </c>
      <c r="E818" s="7">
        <v>4472</v>
      </c>
      <c r="F818" s="7">
        <v>40</v>
      </c>
      <c r="G818" s="1">
        <v>7.3</v>
      </c>
      <c r="H818" s="34">
        <f>Tabela1[[#This Row],[PESO UNI]]*Tabela1[[#This Row],[QTE]]</f>
        <v>204.4</v>
      </c>
      <c r="I818" s="7">
        <v>0</v>
      </c>
      <c r="J818" s="8" t="s">
        <v>3093</v>
      </c>
      <c r="K818" s="8" t="s">
        <v>44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-28</v>
      </c>
      <c r="R818" s="18">
        <f t="shared" ref="R818" si="281">IFERROR(H818*((AA818*0.25)+(AC818*0.25)+(AD818*0.225)+(AE818*0.225)+(AF818*0.05)),"")</f>
        <v>0</v>
      </c>
      <c r="S818" s="18">
        <f t="shared" ref="S818" si="282">IFERROR(H818*AG818,"")</f>
        <v>0</v>
      </c>
      <c r="T818" s="19">
        <f t="shared" ref="T818" si="283">IFERROR(S818-H818,"")</f>
        <v>-204.4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4">U818-C818</f>
        <v>-28</v>
      </c>
      <c r="Z818" s="20">
        <f>Tabela1[[#This Row],[PESO TOTAL]]-Tabela1[[#This Row],[Peso Expedido]]</f>
        <v>204.4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4928</v>
      </c>
      <c r="B819" s="21" t="s">
        <v>4929</v>
      </c>
      <c r="C819" s="1">
        <v>1</v>
      </c>
      <c r="D819" s="1" t="s">
        <v>4930</v>
      </c>
      <c r="E819" s="7">
        <v>4473</v>
      </c>
      <c r="F819" s="7">
        <v>41</v>
      </c>
      <c r="G819" s="1">
        <v>715.7</v>
      </c>
      <c r="H819" s="34">
        <f>Tabela1[[#This Row],[PESO UNI]]*Tabela1[[#This Row],[QTE]]</f>
        <v>715.7</v>
      </c>
      <c r="I819" s="7">
        <v>0</v>
      </c>
      <c r="J819" s="8" t="s">
        <v>3093</v>
      </c>
      <c r="K819" s="8" t="s">
        <v>4321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-1</v>
      </c>
      <c r="R819" s="18">
        <f t="shared" ref="R819" si="285">IFERROR(H819*((AA819*0.25)+(AC819*0.25)+(AD819*0.225)+(AE819*0.225)+(AF819*0.05)),"")</f>
        <v>0</v>
      </c>
      <c r="S819" s="18">
        <f t="shared" ref="S819" si="286">IFERROR(H819*AG819,"")</f>
        <v>0</v>
      </c>
      <c r="T819" s="19">
        <f t="shared" ref="T819" si="287">IFERROR(S819-H819,"")</f>
        <v>-715.7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88">U819-C819</f>
        <v>-1</v>
      </c>
      <c r="Z819" s="20">
        <f>Tabela1[[#This Row],[PESO TOTAL]]-Tabela1[[#This Row],[Peso Expedido]]</f>
        <v>715.7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4928</v>
      </c>
      <c r="B820" s="21" t="s">
        <v>4929</v>
      </c>
      <c r="C820" s="1">
        <v>4</v>
      </c>
      <c r="D820" s="1" t="s">
        <v>4931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7">
        <v>0</v>
      </c>
      <c r="J820" s="8" t="s">
        <v>3093</v>
      </c>
      <c r="K820" s="8" t="s">
        <v>4321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ref="R820" si="289">IFERROR(H820*((AA820*0.25)+(AC820*0.25)+(AD820*0.225)+(AE820*0.225)+(AF820*0.05)),"")</f>
        <v>0</v>
      </c>
      <c r="S820" s="18">
        <f t="shared" ref="S820" si="290">IFERROR(H820*AG820,"")</f>
        <v>0</v>
      </c>
      <c r="T820" s="19">
        <f t="shared" ref="T820" si="291">IFERROR(S820-H820,"")</f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2">U820-C820</f>
        <v>-4</v>
      </c>
      <c r="Z820" s="20">
        <f>Tabela1[[#This Row],[PESO TOTAL]]-Tabela1[[#This Row],[Peso Expedido]]</f>
        <v>42.8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4932</v>
      </c>
      <c r="B821" s="21" t="s">
        <v>4933</v>
      </c>
      <c r="C821" s="1">
        <v>2</v>
      </c>
      <c r="D821" s="1" t="s">
        <v>4934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4321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ref="R821" si="293">IFERROR(H821*((AA821*0.25)+(AC821*0.25)+(AD821*0.225)+(AE821*0.225)+(AF821*0.05)),"")</f>
        <v>0</v>
      </c>
      <c r="S821" s="18">
        <f t="shared" ref="S821" si="294">IFERROR(H821*AG821,"")</f>
        <v>0</v>
      </c>
      <c r="T821" s="19">
        <f t="shared" ref="T821" si="295">IFERROR(S821-H821,"")</f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296">U821-C821</f>
        <v>-2</v>
      </c>
      <c r="Z821" s="20">
        <f>Tabela1[[#This Row],[PESO TOTAL]]-Tabela1[[#This Row],[Peso Expedido]]</f>
        <v>47.6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4935</v>
      </c>
      <c r="B822" s="21" t="s">
        <v>4936</v>
      </c>
      <c r="C822" s="1">
        <v>1</v>
      </c>
      <c r="D822" s="1" t="s">
        <v>4943</v>
      </c>
      <c r="E822" s="7">
        <v>4476</v>
      </c>
      <c r="F822" s="7">
        <v>43</v>
      </c>
      <c r="G822" s="1">
        <v>1146.0999999999999</v>
      </c>
      <c r="H822" s="34">
        <f>Tabela1[[#This Row],[PESO UNI]]*Tabela1[[#This Row],[QTE]]</f>
        <v>1146.0999999999999</v>
      </c>
      <c r="I822" s="7">
        <v>0</v>
      </c>
      <c r="J822" s="8" t="s">
        <v>3140</v>
      </c>
      <c r="K822" s="8" t="s">
        <v>4321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297">IFERROR(H822*((AA822*0.25)+(AC822*0.25)+(AD822*0.225)+(AE822*0.225)+(AF822*0.05)),"")</f>
        <v>0</v>
      </c>
      <c r="S822" s="18">
        <f t="shared" ref="S822" si="298">IFERROR(H822*AG822,"")</f>
        <v>0</v>
      </c>
      <c r="T822" s="19">
        <f t="shared" ref="T822" si="299">IFERROR(S822-H822,"")</f>
        <v>-1146.0999999999999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0">U822-C822</f>
        <v>-1</v>
      </c>
      <c r="Z822" s="20">
        <f>Tabela1[[#This Row],[PESO TOTAL]]-Tabela1[[#This Row],[Peso Expedido]]</f>
        <v>1146.0999999999999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4937</v>
      </c>
      <c r="B823" s="21" t="s">
        <v>4938</v>
      </c>
      <c r="C823" s="1">
        <v>1</v>
      </c>
      <c r="D823" s="1" t="s">
        <v>4942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>
        <v>0</v>
      </c>
      <c r="J823" s="8" t="s">
        <v>3140</v>
      </c>
      <c r="K823" s="8" t="s">
        <v>4321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1">IFERROR(H823*((AA823*0.25)+(AC823*0.25)+(AD823*0.225)+(AE823*0.225)+(AF823*0.05)),"")</f>
        <v>0</v>
      </c>
      <c r="S823" s="18">
        <f t="shared" ref="S823" si="302">IFERROR(H823*AG823,"")</f>
        <v>0</v>
      </c>
      <c r="T823" s="19">
        <f t="shared" ref="T823" si="303">IFERROR(S823-H823,"")</f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4">U823-C823</f>
        <v>-1</v>
      </c>
      <c r="Z823" s="20">
        <f>Tabela1[[#This Row],[PESO TOTAL]]-Tabela1[[#This Row],[Peso Expedido]]</f>
        <v>769.4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>
        <v>0</v>
      </c>
      <c r="J824" s="8" t="s">
        <v>3140</v>
      </c>
      <c r="K824" s="8" t="s">
        <v>4321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5">IFERROR(H824*((AA824*0.25)+(AC824*0.25)+(AD824*0.225)+(AE824*0.225)+(AF824*0.05)),"")</f>
        <v>0</v>
      </c>
      <c r="S824" s="18">
        <f t="shared" ref="S824" si="306">IFERROR(H824*AG824,"")</f>
        <v>0</v>
      </c>
      <c r="T824" s="19">
        <f t="shared" ref="T824" si="307">IFERROR(S824-H824,"")</f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08">U824-C824</f>
        <v>-1</v>
      </c>
      <c r="Z824" s="20">
        <f>Tabela1[[#This Row],[PESO TOTAL]]-Tabela1[[#This Row],[Peso Expedido]]</f>
        <v>764.5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4944</v>
      </c>
      <c r="B825" s="21" t="s">
        <v>4945</v>
      </c>
      <c r="C825" s="1">
        <v>1</v>
      </c>
      <c r="D825" s="1" t="s">
        <v>4946</v>
      </c>
      <c r="E825" s="7">
        <v>4479</v>
      </c>
      <c r="F825" s="7">
        <v>43</v>
      </c>
      <c r="G825" s="1">
        <v>1337.3</v>
      </c>
      <c r="H825" s="34">
        <f>Tabela1[[#This Row],[PESO UNI]]*Tabela1[[#This Row],[QTE]]</f>
        <v>1337.3</v>
      </c>
      <c r="I825" s="7">
        <v>0</v>
      </c>
      <c r="J825" s="8" t="s">
        <v>3140</v>
      </c>
      <c r="K825" s="8" t="s">
        <v>4321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09">IFERROR(H825*((AA825*0.25)+(AC825*0.25)+(AD825*0.225)+(AE825*0.225)+(AF825*0.05)),"")</f>
        <v>0</v>
      </c>
      <c r="S825" s="18">
        <f t="shared" ref="S825" si="310">IFERROR(H825*AG825,"")</f>
        <v>0</v>
      </c>
      <c r="T825" s="19">
        <f t="shared" ref="T825" si="311">IFERROR(S825-H825,"")</f>
        <v>-1337.3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2">U825-C825</f>
        <v>-1</v>
      </c>
      <c r="Z825" s="20">
        <f>Tabela1[[#This Row],[PESO TOTAL]]-Tabela1[[#This Row],[Peso Expedido]]</f>
        <v>1337.3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4947</v>
      </c>
      <c r="B826" s="21" t="s">
        <v>4948</v>
      </c>
      <c r="C826" s="1">
        <v>1</v>
      </c>
      <c r="D826" s="1" t="s">
        <v>4949</v>
      </c>
      <c r="E826" s="7">
        <v>4480</v>
      </c>
      <c r="F826" s="7">
        <v>44</v>
      </c>
      <c r="G826" s="1">
        <v>485.6</v>
      </c>
      <c r="H826" s="34">
        <f>Tabela1[[#This Row],[PESO UNI]]*Tabela1[[#This Row],[QTE]]</f>
        <v>485.6</v>
      </c>
      <c r="I826" s="7">
        <v>0</v>
      </c>
      <c r="J826" s="8" t="s">
        <v>3093</v>
      </c>
      <c r="K826" s="8" t="s">
        <v>4321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3">IFERROR(H826*((AA826*0.25)+(AC826*0.25)+(AD826*0.225)+(AE826*0.225)+(AF826*0.05)),"")</f>
        <v>0</v>
      </c>
      <c r="S826" s="18">
        <f t="shared" ref="S826" si="314">IFERROR(H826*AG826,"")</f>
        <v>0</v>
      </c>
      <c r="T826" s="19">
        <f t="shared" ref="T826" si="315">IFERROR(S826-H826,"")</f>
        <v>-485.6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16">U826-C826</f>
        <v>-1</v>
      </c>
      <c r="Z826" s="20">
        <f>Tabela1[[#This Row],[PESO TOTAL]]-Tabela1[[#This Row],[Peso Expedido]]</f>
        <v>485.6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4947</v>
      </c>
      <c r="B827" s="21" t="s">
        <v>4948</v>
      </c>
      <c r="C827" s="1">
        <v>2</v>
      </c>
      <c r="D827" s="1" t="s">
        <v>4950</v>
      </c>
      <c r="E827" s="7">
        <v>4481</v>
      </c>
      <c r="F827" s="7">
        <v>44</v>
      </c>
      <c r="G827" s="1">
        <v>90.6</v>
      </c>
      <c r="H827" s="34">
        <f>Tabela1[[#This Row],[PESO UNI]]*Tabela1[[#This Row],[QTE]]</f>
        <v>181.2</v>
      </c>
      <c r="I827" s="7">
        <v>0</v>
      </c>
      <c r="J827" s="8" t="s">
        <v>3093</v>
      </c>
      <c r="K827" s="8" t="s">
        <v>4321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-2</v>
      </c>
      <c r="R827" s="18">
        <f t="shared" ref="R827" si="317">IFERROR(H827*((AA827*0.25)+(AC827*0.25)+(AD827*0.225)+(AE827*0.225)+(AF827*0.05)),"")</f>
        <v>0</v>
      </c>
      <c r="S827" s="18">
        <f t="shared" ref="S827" si="318">IFERROR(H827*AG827,"")</f>
        <v>0</v>
      </c>
      <c r="T827" s="19">
        <f t="shared" ref="T827" si="319">IFERROR(S827-H827,"")</f>
        <v>-181.2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0">U827-C827</f>
        <v>-2</v>
      </c>
      <c r="Z827" s="20">
        <f>Tabela1[[#This Row],[PESO TOTAL]]-Tabela1[[#This Row],[Peso Expedido]]</f>
        <v>181.2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4947</v>
      </c>
      <c r="B828" s="21" t="s">
        <v>4948</v>
      </c>
      <c r="C828" s="1">
        <v>2</v>
      </c>
      <c r="D828" s="1" t="s">
        <v>4951</v>
      </c>
      <c r="E828" s="7">
        <v>4482</v>
      </c>
      <c r="F828" s="7">
        <v>44</v>
      </c>
      <c r="G828" s="1">
        <v>113.8</v>
      </c>
      <c r="H828" s="34">
        <f>Tabela1[[#This Row],[PESO UNI]]*Tabela1[[#This Row],[QTE]]</f>
        <v>227.6</v>
      </c>
      <c r="I828" s="7">
        <v>0</v>
      </c>
      <c r="J828" s="8" t="s">
        <v>3093</v>
      </c>
      <c r="K828" s="8" t="s">
        <v>4321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1">IFERROR(H828*((AA828*0.25)+(AC828*0.25)+(AD828*0.225)+(AE828*0.225)+(AF828*0.05)),"")</f>
        <v>0</v>
      </c>
      <c r="S828" s="18">
        <f t="shared" ref="S828" si="322">IFERROR(H828*AG828,"")</f>
        <v>0</v>
      </c>
      <c r="T828" s="19">
        <f t="shared" ref="T828" si="323">IFERROR(S828-H828,"")</f>
        <v>-227.6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4">U828-C828</f>
        <v>-2</v>
      </c>
      <c r="Z828" s="20">
        <f>Tabela1[[#This Row],[PESO TOTAL]]-Tabela1[[#This Row],[Peso Expedido]]</f>
        <v>227.6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4952</v>
      </c>
      <c r="B829" s="21" t="s">
        <v>4953</v>
      </c>
      <c r="C829" s="1">
        <v>2</v>
      </c>
      <c r="D829" s="1" t="s">
        <v>4954</v>
      </c>
      <c r="E829" s="7">
        <v>4483</v>
      </c>
      <c r="F829" s="7">
        <v>44</v>
      </c>
      <c r="G829" s="1">
        <v>19.399999999999999</v>
      </c>
      <c r="H829" s="34">
        <f>Tabela1[[#This Row],[PESO UNI]]*Tabela1[[#This Row],[QTE]]</f>
        <v>38.799999999999997</v>
      </c>
      <c r="I829" s="7">
        <v>0</v>
      </c>
      <c r="J829" s="8" t="s">
        <v>3093</v>
      </c>
      <c r="K829" s="8" t="s">
        <v>4321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5">IFERROR(H829*((AA829*0.25)+(AC829*0.25)+(AD829*0.225)+(AE829*0.225)+(AF829*0.05)),"")</f>
        <v>0</v>
      </c>
      <c r="S829" s="18">
        <f t="shared" ref="S829" si="326">IFERROR(H829*AG829,"")</f>
        <v>0</v>
      </c>
      <c r="T829" s="19">
        <f t="shared" ref="T829" si="327">IFERROR(S829-H829,"")</f>
        <v>-38.799999999999997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28">U829-C829</f>
        <v>-2</v>
      </c>
      <c r="Z829" s="20">
        <f>Tabela1[[#This Row],[PESO TOTAL]]-Tabela1[[#This Row],[Peso Expedido]]</f>
        <v>38.799999999999997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4952</v>
      </c>
      <c r="B830" s="21" t="s">
        <v>4953</v>
      </c>
      <c r="C830" s="1">
        <v>2</v>
      </c>
      <c r="D830" s="1" t="s">
        <v>4955</v>
      </c>
      <c r="E830" s="7">
        <v>4484</v>
      </c>
      <c r="F830" s="7">
        <v>44</v>
      </c>
      <c r="G830" s="1">
        <v>26.2</v>
      </c>
      <c r="H830" s="34">
        <f>Tabela1[[#This Row],[PESO UNI]]*Tabela1[[#This Row],[QTE]]</f>
        <v>52.4</v>
      </c>
      <c r="I830" s="7">
        <v>0</v>
      </c>
      <c r="J830" s="8" t="s">
        <v>3093</v>
      </c>
      <c r="K830" s="8" t="s">
        <v>4321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29">IFERROR(H830*((AA830*0.25)+(AC830*0.25)+(AD830*0.225)+(AE830*0.225)+(AF830*0.05)),"")</f>
        <v>0</v>
      </c>
      <c r="S830" s="18">
        <f t="shared" ref="S830" si="330">IFERROR(H830*AG830,"")</f>
        <v>0</v>
      </c>
      <c r="T830" s="19">
        <f t="shared" ref="T830" si="331">IFERROR(S830-H830,"")</f>
        <v>-52.4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2">U830-C830</f>
        <v>-2</v>
      </c>
      <c r="Z830" s="20">
        <f>Tabela1[[#This Row],[PESO TOTAL]]-Tabela1[[#This Row],[Peso Expedido]]</f>
        <v>52.4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4952</v>
      </c>
      <c r="B831" s="21" t="s">
        <v>4953</v>
      </c>
      <c r="C831" s="1">
        <v>2</v>
      </c>
      <c r="D831" s="1" t="s">
        <v>4956</v>
      </c>
      <c r="E831" s="7">
        <v>4485</v>
      </c>
      <c r="F831" s="7">
        <v>44</v>
      </c>
      <c r="G831" s="1">
        <v>2.2000000000000002</v>
      </c>
      <c r="H831" s="34">
        <f>Tabela1[[#This Row],[PESO UNI]]*Tabela1[[#This Row],[QTE]]</f>
        <v>4.4000000000000004</v>
      </c>
      <c r="I831" s="7">
        <v>0</v>
      </c>
      <c r="J831" s="8" t="s">
        <v>3093</v>
      </c>
      <c r="K831" s="8" t="s">
        <v>4321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3">IFERROR(H831*((AA831*0.25)+(AC831*0.25)+(AD831*0.225)+(AE831*0.225)+(AF831*0.05)),"")</f>
        <v>0</v>
      </c>
      <c r="S831" s="18">
        <f t="shared" ref="S831" si="334">IFERROR(H831*AG831,"")</f>
        <v>0</v>
      </c>
      <c r="T831" s="19">
        <f t="shared" ref="T831" si="335">IFERROR(S831-H831,"")</f>
        <v>-4.4000000000000004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36">U831-C831</f>
        <v>-2</v>
      </c>
      <c r="Z831" s="20">
        <f>Tabela1[[#This Row],[PESO TOTAL]]-Tabela1[[#This Row],[Peso Expedido]]</f>
        <v>4.4000000000000004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4952</v>
      </c>
      <c r="B832" s="21" t="s">
        <v>4953</v>
      </c>
      <c r="C832" s="1">
        <v>2</v>
      </c>
      <c r="D832" s="1" t="s">
        <v>4957</v>
      </c>
      <c r="E832" s="7">
        <v>4486</v>
      </c>
      <c r="F832" s="7">
        <v>44</v>
      </c>
      <c r="G832" s="1">
        <v>6.9</v>
      </c>
      <c r="H832" s="34">
        <f>Tabela1[[#This Row],[PESO UNI]]*Tabela1[[#This Row],[QTE]]</f>
        <v>13.8</v>
      </c>
      <c r="I832" s="7">
        <v>0</v>
      </c>
      <c r="J832" s="8" t="s">
        <v>3093</v>
      </c>
      <c r="K832" s="8" t="s">
        <v>4321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37">IFERROR(H832*((AA832*0.25)+(AC832*0.25)+(AD832*0.225)+(AE832*0.225)+(AF832*0.05)),"")</f>
        <v>0</v>
      </c>
      <c r="S832" s="18">
        <f t="shared" ref="S832" si="338">IFERROR(H832*AG832,"")</f>
        <v>0</v>
      </c>
      <c r="T832" s="19">
        <f t="shared" ref="T832" si="339">IFERROR(S832-H832,"")</f>
        <v>-13.8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0">U832-C832</f>
        <v>-2</v>
      </c>
      <c r="Z832" s="20">
        <f>Tabela1[[#This Row],[PESO TOTAL]]-Tabela1[[#This Row],[Peso Expedido]]</f>
        <v>13.8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</sheetData>
  <phoneticPr fontId="6" type="noConversion"/>
  <conditionalFormatting sqref="E2:E459 AI29:AI460 AA487:AH605 E557:E605 L606 J606:J832 E607:E832 AA763:AJ763 AC763:AE764 AA764:AI832 AA29:AH450">
    <cfRule type="expression" dxfId="1" priority="113">
      <formula>$AI2="OK"</formula>
    </cfRule>
  </conditionalFormatting>
  <conditionalFormatting sqref="H420">
    <cfRule type="expression" dxfId="59" priority="26906">
      <formula>$AI450="OK"</formula>
    </cfRule>
  </conditionalFormatting>
  <conditionalFormatting sqref="H421:H439">
    <cfRule type="expression" dxfId="58" priority="26896">
      <formula>$AI460="OK"</formula>
    </cfRule>
  </conditionalFormatting>
  <conditionalFormatting sqref="H577">
    <cfRule type="expression" dxfId="57" priority="26873">
      <formula>$AI605="OK"</formula>
    </cfRule>
  </conditionalFormatting>
  <conditionalFormatting sqref="H774:H832">
    <cfRule type="expression" dxfId="56" priority="3">
      <formula>#REF!="OK"</formula>
    </cfRule>
  </conditionalFormatting>
  <conditionalFormatting sqref="K763:K764">
    <cfRule type="expression" dxfId="55" priority="5">
      <formula>$AI852="OK"</formula>
    </cfRule>
  </conditionalFormatting>
  <conditionalFormatting sqref="K775:K832">
    <cfRule type="expression" dxfId="54" priority="4">
      <formula>#REF!="OK"</formula>
    </cfRule>
  </conditionalFormatting>
  <conditionalFormatting sqref="L2:L27 H416:H418">
    <cfRule type="expression" dxfId="53" priority="26649">
      <formula>$AI33="OK"</formula>
    </cfRule>
  </conditionalFormatting>
  <conditionalFormatting sqref="L409">
    <cfRule type="expression" dxfId="52" priority="26898">
      <formula>$AI450="OK"</formula>
    </cfRule>
  </conditionalFormatting>
  <conditionalFormatting sqref="L410:L439">
    <cfRule type="expression" dxfId="51" priority="26751">
      <formula>$AI460="OK"</formula>
    </cfRule>
  </conditionalFormatting>
  <conditionalFormatting sqref="L774:N832">
    <cfRule type="expression" dxfId="50" priority="10">
      <formula>#REF!="OK"</formula>
    </cfRule>
  </conditionalFormatting>
  <conditionalFormatting sqref="N2:N459 K154:K439 K446:K459 L449:L450 F565:F832 B607:B832 H607:I832 L763:O764 K765:O832">
    <cfRule type="expression" dxfId="49" priority="122">
      <formula>#REF!="OK"</formula>
    </cfRule>
  </conditionalFormatting>
  <conditionalFormatting sqref="O451:O459">
    <cfRule type="cellIs" dxfId="48" priority="68" operator="lessThan">
      <formula>0</formula>
    </cfRule>
  </conditionalFormatting>
  <conditionalFormatting sqref="O451:P453 H450 R450 A451:D453 F451:F453 M451:M453 H451:J459 P458:P459">
    <cfRule type="expression" dxfId="47" priority="26707">
      <formula>$AI504="OK"</formula>
    </cfRule>
  </conditionalFormatting>
  <conditionalFormatting sqref="O454:P454">
    <cfRule type="expression" dxfId="46" priority="79">
      <formula>#REF!="OK"</formula>
    </cfRule>
  </conditionalFormatting>
  <conditionalFormatting sqref="O2:Z27 A2:D27 F2:F27 H2:K27 M2:M27 H154:H414 H460:H572">
    <cfRule type="expression" dxfId="45" priority="26682">
      <formula>$AI34="OK"</formula>
    </cfRule>
  </conditionalFormatting>
  <conditionalFormatting sqref="O28:Z153 T154:Z212 O501:Z559 O154:R212 O258:R394 H28:K153 A28:D212 F28:F212 M28:M212 S154:S211 I154:J212 S257:S393 A258:D394 F258:F394 I258:J394 M258:M394 B557:B559 F557:F559 I557:I559 M557:M559 T258:Z394">
    <cfRule type="expression" dxfId="44" priority="26380">
      <formula>$AI73="OK"</formula>
    </cfRule>
  </conditionalFormatting>
  <conditionalFormatting sqref="O403:Z403 O407:Z407 A403:D403 F403 I403:J403 M403 L404 A407:D407 F407 I407:J407 M407 L408 H415 H419">
    <cfRule type="expression" dxfId="43" priority="26899">
      <formula>#REF!="OK"</formula>
    </cfRule>
  </conditionalFormatting>
  <conditionalFormatting sqref="O404:Z406 L215:L257 L397:L403 A404:D406 F404:F406 I404:J406 M404:M406">
    <cfRule type="expression" dxfId="42" priority="26586">
      <formula>$AI258="OK"</formula>
    </cfRule>
  </conditionalFormatting>
  <conditionalFormatting sqref="O408:Z408 L405:L407 A408:D408 F408 I408:J408 M408">
    <cfRule type="expression" dxfId="41" priority="26908">
      <formula>$AI447="OK"</formula>
    </cfRule>
  </conditionalFormatting>
  <conditionalFormatting sqref="O447:Z447 S450:Z450 O450:Q450 Q451:Q459 O455:P457 O458:O459 A447:D447 F447 J447 M447 H447:H449 R448:R449 A450:D450 F450 J450 M450 L451:L454 U451:U459 A455:D459 F455:F459 M455:M459">
    <cfRule type="expression" dxfId="40" priority="26721">
      <formula>$AI500="OK"</formula>
    </cfRule>
  </conditionalFormatting>
  <conditionalFormatting sqref="O560:Z563 Z561:Z564 B560:B563 F560:F563 I560:I563 M560:M563 H573:H576">
    <cfRule type="expression" dxfId="39" priority="26836">
      <formula>#REF!="OK"</formula>
    </cfRule>
  </conditionalFormatting>
  <conditionalFormatting sqref="O564:Z564 B564 F564 I564 M564">
    <cfRule type="expression" dxfId="38" priority="26750">
      <formula>$AI605="OK"</formula>
    </cfRule>
  </conditionalFormatting>
  <conditionalFormatting sqref="P763:Z832">
    <cfRule type="expression" dxfId="37" priority="27004">
      <formula>$AI862="OK"</formula>
    </cfRule>
  </conditionalFormatting>
  <conditionalFormatting sqref="Q2:Q457 Q460:Q832">
    <cfRule type="cellIs" dxfId="36" priority="26349" operator="greaterThanOrEqual">
      <formula>0</formula>
    </cfRule>
    <cfRule type="cellIs" dxfId="35" priority="26348" operator="lessThan">
      <formula>0</formula>
    </cfRule>
  </conditionalFormatting>
  <conditionalFormatting sqref="S212">
    <cfRule type="expression" dxfId="34" priority="120">
      <formula>#REF!="OK"</formula>
    </cfRule>
  </conditionalFormatting>
  <conditionalFormatting sqref="S213:S256 S395:S402 A396:D402 F396:F402 I396:J402 M396:M402 O396:R402 T396:Z402">
    <cfRule type="expression" dxfId="33" priority="119">
      <formula>$AI257="OK"</formula>
    </cfRule>
  </conditionalFormatting>
  <conditionalFormatting sqref="S394">
    <cfRule type="expression" dxfId="32" priority="121">
      <formula>#REF!="OK"</formula>
    </cfRule>
  </conditionalFormatting>
  <conditionalFormatting sqref="S448:Z448 O448:Q448 A448:D448 F448 J448 M448 A454:D454 F454 M454 L455:L459">
    <cfRule type="expression" dxfId="31" priority="26706">
      <formula>#REF!="OK"</formula>
    </cfRule>
  </conditionalFormatting>
  <conditionalFormatting sqref="T2:T832 Y2:Z832 O451:O459">
    <cfRule type="cellIs" dxfId="30" priority="69" operator="greaterThanOrEqual">
      <formula>0</formula>
    </cfRule>
  </conditionalFormatting>
  <conditionalFormatting sqref="T2:T832 Y2:Z832">
    <cfRule type="cellIs" dxfId="29" priority="26350" operator="lessThan">
      <formula>0</formula>
    </cfRule>
  </conditionalFormatting>
  <conditionalFormatting sqref="T213:Z213 O213:R213 A213:D213 F213 I213:J213 M213">
    <cfRule type="expression" dxfId="28" priority="26560">
      <formula>#REF!="OK"</formula>
    </cfRule>
  </conditionalFormatting>
  <conditionalFormatting sqref="T214:Z257 O460:Z500 Z501:Z502 Z506:Z516 Z518:Z519 Z528 Z540:Z541 Z546 Z550 Z557:Z560 O214:R257 L28:L214 A214:D257 F214:F257 I214:J257 M214:M257 L258:L395">
    <cfRule type="expression" dxfId="27" priority="26448">
      <formula>$AI72="OK"</formula>
    </cfRule>
  </conditionalFormatting>
  <conditionalFormatting sqref="T395:Z395 O395:R395 A395:D395 F395 I395:J395 M395 L396">
    <cfRule type="expression" dxfId="26" priority="26611">
      <formula>#REF!="OK"</formula>
    </cfRule>
  </conditionalFormatting>
  <conditionalFormatting sqref="T409:Z439 O409:R439 S409:S438 A409:D439 F409:F439 I409:J439 M409:M439 L440:L446">
    <cfRule type="expression" dxfId="25" priority="26992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24" priority="26901">
      <formula>$AI491="OK"</formula>
    </cfRule>
  </conditionalFormatting>
  <conditionalFormatting sqref="T606:Z606 Q606:R606 H606">
    <cfRule type="expression" dxfId="23" priority="26888">
      <formula>$AI670="OK"</formula>
    </cfRule>
  </conditionalFormatting>
  <conditionalFormatting sqref="V451:Y452 R451:T459 V453:Z459">
    <cfRule type="expression" dxfId="22" priority="26806">
      <formula>$AI488="OK"</formula>
    </cfRule>
  </conditionalFormatting>
  <conditionalFormatting sqref="Z451:Z452 O565:Z623 K624:Z762 K557:K623 B565:B604 I565:I604 M565:M604 H578:H604 A605:D606 H605:J606 L605:N623">
    <cfRule type="expression" dxfId="21" priority="26875">
      <formula>#REF!="OK"</formula>
    </cfRule>
  </conditionalFormatting>
  <conditionalFormatting sqref="Z451:Z452">
    <cfRule type="expression" dxfId="20" priority="52">
      <formula>$AI495="OK"</formula>
    </cfRule>
  </conditionalFormatting>
  <conditionalFormatting sqref="Z565">
    <cfRule type="expression" dxfId="19" priority="26866">
      <formula>$AI605="OK"</formula>
    </cfRule>
  </conditionalFormatting>
  <conditionalFormatting sqref="Z606">
    <cfRule type="expression" dxfId="18" priority="26891">
      <formula>$AI669="OK"</formula>
    </cfRule>
  </conditionalFormatting>
  <conditionalFormatting sqref="AA607:AH762">
    <cfRule type="cellIs" dxfId="17" priority="36" operator="greaterThanOrEqual">
      <formula>1</formula>
    </cfRule>
    <cfRule type="expression" dxfId="16" priority="37">
      <formula>$AI607="OK"</formula>
    </cfRule>
  </conditionalFormatting>
  <conditionalFormatting sqref="AA2:AI28 AA451:AG452 AE453:AG453 AA453:AD459 AF454:AG459 AA460:AH460 A460:G556 I460:N556 AA461:AI604 J557:J604 L557:L604">
    <cfRule type="expression" dxfId="15" priority="26346">
      <formula>$AI2="OK"</formula>
    </cfRule>
  </conditionalFormatting>
  <conditionalFormatting sqref="AA2:AI28 AI29:AI460 AJ154:AW154 AA451:AG452 AE453:AG453 AA453:AD459 AE454:AE458 AF454:AG459 AA460:AH460 AI607:AI762 AA29:AH450">
    <cfRule type="cellIs" dxfId="0" priority="26347" operator="greaterThanOrEqual">
      <formula>1</formula>
    </cfRule>
  </conditionalFormatting>
  <conditionalFormatting sqref="AA461:AI606">
    <cfRule type="cellIs" dxfId="14" priority="46" operator="greaterThanOrEqual">
      <formula>1</formula>
    </cfRule>
  </conditionalFormatting>
  <conditionalFormatting sqref="AA606:AI606">
    <cfRule type="expression" dxfId="13" priority="47">
      <formula>$AI606="OK"</formula>
    </cfRule>
  </conditionalFormatting>
  <conditionalFormatting sqref="AA772:AI832">
    <cfRule type="cellIs" dxfId="12" priority="7" operator="greaterThanOrEqual">
      <formula>1</formula>
    </cfRule>
  </conditionalFormatting>
  <conditionalFormatting sqref="AA763:AJ832">
    <cfRule type="cellIs" dxfId="11" priority="8" operator="greaterThanOrEqual">
      <formula>1</formula>
    </cfRule>
  </conditionalFormatting>
  <conditionalFormatting sqref="AE454:AE458">
    <cfRule type="expression" dxfId="10" priority="26892">
      <formula>$AI454="OK"</formula>
    </cfRule>
  </conditionalFormatting>
  <conditionalFormatting sqref="AI487:AI762 N557:N604">
    <cfRule type="expression" dxfId="9" priority="53">
      <formula>$AI487="OK"</formula>
    </cfRule>
  </conditionalFormatting>
  <conditionalFormatting sqref="AJ772:AJ832">
    <cfRule type="cellIs" dxfId="8" priority="17" operator="greaterThanOrEqual">
      <formula>1</formula>
    </cfRule>
  </conditionalFormatting>
  <conditionalFormatting sqref="AJ154:AW154">
    <cfRule type="expression" dxfId="7" priority="124">
      <formula>$AI154="OK"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8"/>
  <sheetViews>
    <sheetView topLeftCell="A12" workbookViewId="0">
      <selection activeCell="E24" sqref="E2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4863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216">
        <v>200</v>
      </c>
      <c r="B5" s="217" t="s">
        <v>2994</v>
      </c>
      <c r="C5" s="218">
        <v>46219</v>
      </c>
      <c r="D5" s="218"/>
      <c r="E5" s="219" t="s">
        <v>496</v>
      </c>
      <c r="F5" s="220" t="s">
        <v>2993</v>
      </c>
    </row>
    <row r="6" spans="1:6" ht="30" x14ac:dyDescent="0.25">
      <c r="A6" s="216">
        <v>201</v>
      </c>
      <c r="B6" s="217" t="s">
        <v>2992</v>
      </c>
      <c r="C6" s="218">
        <v>46198</v>
      </c>
      <c r="D6" s="218"/>
      <c r="E6" s="219" t="s">
        <v>496</v>
      </c>
      <c r="F6" s="220" t="s">
        <v>2991</v>
      </c>
    </row>
    <row r="7" spans="1:6" ht="75" x14ac:dyDescent="0.25">
      <c r="A7" s="216">
        <v>202</v>
      </c>
      <c r="B7" s="217" t="s">
        <v>3007</v>
      </c>
      <c r="C7" s="221">
        <v>46198</v>
      </c>
      <c r="D7" s="218"/>
      <c r="E7" s="219" t="s">
        <v>496</v>
      </c>
      <c r="F7" s="220" t="s">
        <v>3006</v>
      </c>
    </row>
    <row r="8" spans="1:6" x14ac:dyDescent="0.25">
      <c r="A8" s="187">
        <v>203</v>
      </c>
      <c r="B8" s="188" t="s">
        <v>3164</v>
      </c>
      <c r="C8" s="189">
        <v>46202</v>
      </c>
      <c r="D8" s="189">
        <v>46231</v>
      </c>
      <c r="E8" s="193" t="s">
        <v>4864</v>
      </c>
      <c r="F8" s="107" t="s">
        <v>3009</v>
      </c>
    </row>
    <row r="9" spans="1:6" x14ac:dyDescent="0.25">
      <c r="A9" s="216">
        <v>204</v>
      </c>
      <c r="B9" s="222" t="s">
        <v>3164</v>
      </c>
      <c r="C9" s="218">
        <v>46226</v>
      </c>
      <c r="D9" s="218"/>
      <c r="E9" s="219" t="s">
        <v>4865</v>
      </c>
      <c r="F9" s="220" t="s">
        <v>3009</v>
      </c>
    </row>
    <row r="10" spans="1:6" x14ac:dyDescent="0.25">
      <c r="A10" s="216">
        <v>205</v>
      </c>
      <c r="B10" s="222" t="s">
        <v>3166</v>
      </c>
      <c r="C10" s="218">
        <v>46235</v>
      </c>
      <c r="D10" s="218"/>
      <c r="E10" s="223" t="s">
        <v>4866</v>
      </c>
      <c r="F10" s="220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4867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4868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4869</v>
      </c>
      <c r="F13" s="188" t="s">
        <v>4324</v>
      </c>
    </row>
    <row r="14" spans="1:6" ht="121.15" customHeight="1" x14ac:dyDescent="0.25">
      <c r="A14" s="187">
        <v>898</v>
      </c>
      <c r="B14" s="191" t="s">
        <v>4444</v>
      </c>
      <c r="C14" s="189">
        <v>46270</v>
      </c>
      <c r="D14" s="189"/>
      <c r="E14" s="190" t="s">
        <v>1875</v>
      </c>
      <c r="F14" s="188" t="s">
        <v>4443</v>
      </c>
    </row>
    <row r="15" spans="1:6" x14ac:dyDescent="0.25">
      <c r="A15" s="216">
        <v>897</v>
      </c>
      <c r="B15" s="222" t="s">
        <v>4553</v>
      </c>
      <c r="C15" s="218">
        <v>46216</v>
      </c>
      <c r="D15" s="218" t="s">
        <v>4866</v>
      </c>
      <c r="E15" s="223" t="s">
        <v>4554</v>
      </c>
      <c r="F15" s="222" t="s">
        <v>4552</v>
      </c>
    </row>
    <row r="16" spans="1:6" x14ac:dyDescent="0.25">
      <c r="A16" s="214">
        <v>210</v>
      </c>
      <c r="B16" s="191" t="s">
        <v>4858</v>
      </c>
      <c r="C16" s="189">
        <v>46227</v>
      </c>
      <c r="D16" s="189"/>
      <c r="E16" s="190" t="s">
        <v>1875</v>
      </c>
      <c r="F16" s="188" t="s">
        <v>2991</v>
      </c>
    </row>
    <row r="17" spans="1:6" ht="30" x14ac:dyDescent="0.25">
      <c r="A17" s="214">
        <v>211</v>
      </c>
      <c r="B17" s="191" t="s">
        <v>2992</v>
      </c>
      <c r="C17" s="189">
        <v>46230</v>
      </c>
      <c r="D17" s="189"/>
      <c r="E17" s="190" t="s">
        <v>4859</v>
      </c>
      <c r="F17" s="188" t="s">
        <v>4860</v>
      </c>
    </row>
    <row r="18" spans="1:6" x14ac:dyDescent="0.25">
      <c r="A18" s="215">
        <v>212</v>
      </c>
      <c r="B18" s="188" t="s">
        <v>4861</v>
      </c>
      <c r="C18" s="189">
        <v>46251</v>
      </c>
      <c r="D18" s="189"/>
      <c r="E18" s="190" t="s">
        <v>4859</v>
      </c>
      <c r="F18" s="188" t="s">
        <v>4862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0" t="e" vm="1">
        <v>#VALUE!</v>
      </c>
      <c r="D2" s="271"/>
      <c r="E2" s="274" t="s">
        <v>320</v>
      </c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5"/>
      <c r="U2" s="278" t="s">
        <v>246</v>
      </c>
      <c r="V2" s="268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2"/>
      <c r="D3" s="273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7"/>
      <c r="U3" s="279"/>
      <c r="V3" s="269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38" t="s">
        <v>2070</v>
      </c>
      <c r="D6" s="241" t="s">
        <v>2069</v>
      </c>
      <c r="E6" s="244" t="s">
        <v>2071</v>
      </c>
      <c r="F6" s="247">
        <v>46183</v>
      </c>
      <c r="G6" s="259">
        <v>46220</v>
      </c>
      <c r="H6" s="26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6">
        <f>T9/T6</f>
        <v>0.88949747289203585</v>
      </c>
      <c r="V6" s="235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39"/>
      <c r="D7" s="242"/>
      <c r="E7" s="245"/>
      <c r="F7" s="248"/>
      <c r="G7" s="260"/>
      <c r="H7" s="26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7"/>
      <c r="V7" s="236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39"/>
      <c r="D8" s="242"/>
      <c r="E8" s="245"/>
      <c r="F8" s="248"/>
      <c r="G8" s="260"/>
      <c r="H8" s="26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7"/>
      <c r="V8" s="236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39"/>
      <c r="D9" s="242"/>
      <c r="E9" s="245"/>
      <c r="F9" s="248"/>
      <c r="G9" s="260"/>
      <c r="H9" s="26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7"/>
      <c r="V9" s="236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0"/>
      <c r="D10" s="243"/>
      <c r="E10" s="246"/>
      <c r="F10" s="249"/>
      <c r="G10" s="261"/>
      <c r="H10" s="26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8"/>
      <c r="V10" s="237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38" t="s">
        <v>2987</v>
      </c>
      <c r="D12" s="241" t="s">
        <v>2551</v>
      </c>
      <c r="E12" s="244" t="s">
        <v>2986</v>
      </c>
      <c r="F12" s="247">
        <v>46205</v>
      </c>
      <c r="G12" s="259"/>
      <c r="H12" s="265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6">
        <f>T15/T12</f>
        <v>0.76586952907929418</v>
      </c>
      <c r="V12" s="235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39"/>
      <c r="D13" s="242"/>
      <c r="E13" s="245"/>
      <c r="F13" s="248"/>
      <c r="G13" s="260"/>
      <c r="H13" s="266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7"/>
      <c r="V13" s="236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39"/>
      <c r="D14" s="242"/>
      <c r="E14" s="245"/>
      <c r="F14" s="248"/>
      <c r="G14" s="260"/>
      <c r="H14" s="266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7"/>
      <c r="V14" s="236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39"/>
      <c r="D15" s="242"/>
      <c r="E15" s="245"/>
      <c r="F15" s="248"/>
      <c r="G15" s="260"/>
      <c r="H15" s="266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7"/>
      <c r="V15" s="236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0"/>
      <c r="D16" s="243"/>
      <c r="E16" s="246"/>
      <c r="F16" s="249"/>
      <c r="G16" s="261"/>
      <c r="H16" s="267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8"/>
      <c r="V16" s="237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38" t="s">
        <v>2983</v>
      </c>
      <c r="D18" s="241" t="s">
        <v>2984</v>
      </c>
      <c r="E18" s="244" t="s">
        <v>2985</v>
      </c>
      <c r="F18" s="247">
        <v>46289</v>
      </c>
      <c r="G18" s="259"/>
      <c r="H18" s="253" t="s">
        <v>4325</v>
      </c>
      <c r="I18" s="127" t="s">
        <v>3031</v>
      </c>
      <c r="J18" s="128">
        <f>SUMIF(PERFORMANCE!$N:$N,W18,PERFORMANCE!$G:$G)/1000</f>
        <v>8.0444999999999993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33.373599999999996</v>
      </c>
      <c r="U18" s="256">
        <f>T21/T18</f>
        <v>0.57178128820384977</v>
      </c>
      <c r="V18" s="235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39"/>
      <c r="D19" s="242"/>
      <c r="E19" s="245"/>
      <c r="F19" s="248"/>
      <c r="G19" s="260"/>
      <c r="H19" s="254"/>
      <c r="I19" s="129" t="s">
        <v>3028</v>
      </c>
      <c r="J19" s="130">
        <f t="shared" ref="J19" si="17">J18-J20</f>
        <v>5.8862999999999985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30.544599999999996</v>
      </c>
      <c r="U19" s="257"/>
      <c r="V19" s="236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39"/>
      <c r="D20" s="242"/>
      <c r="E20" s="245"/>
      <c r="F20" s="248"/>
      <c r="G20" s="260"/>
      <c r="H20" s="254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57"/>
      <c r="V20" s="236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39"/>
      <c r="D21" s="242"/>
      <c r="E21" s="245"/>
      <c r="F21" s="248"/>
      <c r="G21" s="260"/>
      <c r="H21" s="254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57"/>
      <c r="V21" s="236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0"/>
      <c r="D22" s="243"/>
      <c r="E22" s="246"/>
      <c r="F22" s="249"/>
      <c r="G22" s="261"/>
      <c r="H22" s="255"/>
      <c r="I22" s="133" t="s">
        <v>3029</v>
      </c>
      <c r="J22" s="134">
        <f t="shared" ref="J22:R22" si="28">J18-J21</f>
        <v>8.0444999999999993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14.291199999999996</v>
      </c>
      <c r="U22" s="258"/>
      <c r="V22" s="237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38" t="s">
        <v>3292</v>
      </c>
      <c r="D24" s="241" t="s">
        <v>3291</v>
      </c>
      <c r="E24" s="244" t="s">
        <v>3293</v>
      </c>
      <c r="F24" s="247">
        <v>46336</v>
      </c>
      <c r="G24" s="250"/>
      <c r="H24" s="253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6">
        <v>0</v>
      </c>
      <c r="V24" s="235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39"/>
      <c r="D25" s="242"/>
      <c r="E25" s="245"/>
      <c r="F25" s="248"/>
      <c r="G25" s="251"/>
      <c r="H25" s="254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7"/>
      <c r="V25" s="236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39"/>
      <c r="D26" s="242"/>
      <c r="E26" s="245"/>
      <c r="F26" s="248"/>
      <c r="G26" s="251"/>
      <c r="H26" s="254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7"/>
      <c r="V26" s="236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39"/>
      <c r="D27" s="242"/>
      <c r="E27" s="245"/>
      <c r="F27" s="248"/>
      <c r="G27" s="251"/>
      <c r="H27" s="254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7"/>
      <c r="V27" s="236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0"/>
      <c r="D28" s="243"/>
      <c r="E28" s="246"/>
      <c r="F28" s="249"/>
      <c r="G28" s="252"/>
      <c r="H28" s="255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8"/>
      <c r="V28" s="237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38" t="s">
        <v>2993</v>
      </c>
      <c r="D30" s="241" t="s">
        <v>2989</v>
      </c>
      <c r="E30" s="244" t="s">
        <v>2994</v>
      </c>
      <c r="F30" s="247">
        <v>46219</v>
      </c>
      <c r="G30" s="250"/>
      <c r="H30" s="26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6">
        <v>0</v>
      </c>
      <c r="V30" s="235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39"/>
      <c r="D31" s="242"/>
      <c r="E31" s="245"/>
      <c r="F31" s="248"/>
      <c r="G31" s="251"/>
      <c r="H31" s="26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7"/>
      <c r="V31" s="236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39"/>
      <c r="D32" s="242"/>
      <c r="E32" s="245"/>
      <c r="F32" s="248"/>
      <c r="G32" s="251"/>
      <c r="H32" s="26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7"/>
      <c r="V32" s="236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39"/>
      <c r="D33" s="242"/>
      <c r="E33" s="245"/>
      <c r="F33" s="248"/>
      <c r="G33" s="251"/>
      <c r="H33" s="26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7"/>
      <c r="V33" s="236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0"/>
      <c r="D34" s="243"/>
      <c r="E34" s="246"/>
      <c r="F34" s="249"/>
      <c r="G34" s="252"/>
      <c r="H34" s="26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8"/>
      <c r="V34" s="237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38" t="s">
        <v>2995</v>
      </c>
      <c r="D36" s="241" t="s">
        <v>2990</v>
      </c>
      <c r="E36" s="244" t="s">
        <v>2992</v>
      </c>
      <c r="F36" s="247">
        <v>46198</v>
      </c>
      <c r="G36" s="280"/>
      <c r="H36" s="265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6">
        <v>0</v>
      </c>
      <c r="V36" s="235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39"/>
      <c r="D37" s="242"/>
      <c r="E37" s="245"/>
      <c r="F37" s="248"/>
      <c r="G37" s="281"/>
      <c r="H37" s="266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7"/>
      <c r="V37" s="236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39"/>
      <c r="D38" s="242"/>
      <c r="E38" s="245"/>
      <c r="F38" s="248"/>
      <c r="G38" s="281"/>
      <c r="H38" s="266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7"/>
      <c r="V38" s="236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39"/>
      <c r="D39" s="242"/>
      <c r="E39" s="245"/>
      <c r="F39" s="248"/>
      <c r="G39" s="281"/>
      <c r="H39" s="266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7"/>
      <c r="V39" s="236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0"/>
      <c r="D40" s="243"/>
      <c r="E40" s="246"/>
      <c r="F40" s="249"/>
      <c r="G40" s="282"/>
      <c r="H40" s="267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8"/>
      <c r="V40" s="237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38" t="s">
        <v>3006</v>
      </c>
      <c r="D42" s="241" t="s">
        <v>3004</v>
      </c>
      <c r="E42" s="244" t="s">
        <v>3007</v>
      </c>
      <c r="F42" s="247">
        <v>46188</v>
      </c>
      <c r="G42" s="280">
        <v>46220</v>
      </c>
      <c r="H42" s="262" t="s">
        <v>4326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6">
        <v>0</v>
      </c>
      <c r="V42" s="235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39"/>
      <c r="D43" s="242"/>
      <c r="E43" s="245"/>
      <c r="F43" s="248"/>
      <c r="G43" s="281"/>
      <c r="H43" s="26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7"/>
      <c r="V43" s="236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39"/>
      <c r="D44" s="242"/>
      <c r="E44" s="245"/>
      <c r="F44" s="248"/>
      <c r="G44" s="281"/>
      <c r="H44" s="26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7"/>
      <c r="V44" s="236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39"/>
      <c r="D45" s="242"/>
      <c r="E45" s="245"/>
      <c r="F45" s="248"/>
      <c r="G45" s="281"/>
      <c r="H45" s="26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7"/>
      <c r="V45" s="236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0"/>
      <c r="D46" s="243"/>
      <c r="E46" s="246"/>
      <c r="F46" s="249"/>
      <c r="G46" s="282"/>
      <c r="H46" s="26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8"/>
      <c r="V46" s="237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38" t="s">
        <v>3009</v>
      </c>
      <c r="D48" s="241" t="s">
        <v>3005</v>
      </c>
      <c r="E48" s="244" t="s">
        <v>3008</v>
      </c>
      <c r="F48" s="247">
        <v>46202</v>
      </c>
      <c r="G48" s="280">
        <v>46233</v>
      </c>
      <c r="H48" s="262" t="s">
        <v>4327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6">
        <v>0</v>
      </c>
      <c r="V48" s="235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39"/>
      <c r="D49" s="242"/>
      <c r="E49" s="245"/>
      <c r="F49" s="248"/>
      <c r="G49" s="281"/>
      <c r="H49" s="26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57"/>
      <c r="V49" s="236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39"/>
      <c r="D50" s="242"/>
      <c r="E50" s="245"/>
      <c r="F50" s="248"/>
      <c r="G50" s="281"/>
      <c r="H50" s="26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57"/>
      <c r="V50" s="236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39"/>
      <c r="D51" s="242"/>
      <c r="E51" s="245"/>
      <c r="F51" s="248"/>
      <c r="G51" s="281"/>
      <c r="H51" s="26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57"/>
      <c r="V51" s="236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0"/>
      <c r="D52" s="243"/>
      <c r="E52" s="246"/>
      <c r="F52" s="249"/>
      <c r="G52" s="282"/>
      <c r="H52" s="26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58"/>
      <c r="V52" s="237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38" t="s">
        <v>3009</v>
      </c>
      <c r="D54" s="241" t="s">
        <v>3111</v>
      </c>
      <c r="E54" s="244" t="s">
        <v>3164</v>
      </c>
      <c r="F54" s="247">
        <v>46226</v>
      </c>
      <c r="G54" s="250"/>
      <c r="H54" s="26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6">
        <v>0</v>
      </c>
      <c r="V54" s="235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39"/>
      <c r="D55" s="242"/>
      <c r="E55" s="245"/>
      <c r="F55" s="248"/>
      <c r="G55" s="251"/>
      <c r="H55" s="26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57"/>
      <c r="V55" s="236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39"/>
      <c r="D56" s="242"/>
      <c r="E56" s="245"/>
      <c r="F56" s="248"/>
      <c r="G56" s="251"/>
      <c r="H56" s="26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57"/>
      <c r="V56" s="236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39"/>
      <c r="D57" s="242"/>
      <c r="E57" s="245"/>
      <c r="F57" s="248"/>
      <c r="G57" s="251"/>
      <c r="H57" s="26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57"/>
      <c r="V57" s="236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0"/>
      <c r="D58" s="243"/>
      <c r="E58" s="246"/>
      <c r="F58" s="249"/>
      <c r="G58" s="252"/>
      <c r="H58" s="26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58"/>
      <c r="V58" s="237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38" t="s">
        <v>3165</v>
      </c>
      <c r="D60" s="241" t="s">
        <v>3163</v>
      </c>
      <c r="E60" s="244" t="s">
        <v>3166</v>
      </c>
      <c r="F60" s="247">
        <v>46235</v>
      </c>
      <c r="G60" s="250"/>
      <c r="H60" s="253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6">
        <v>0</v>
      </c>
      <c r="V60" s="235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39"/>
      <c r="D61" s="242"/>
      <c r="E61" s="245"/>
      <c r="F61" s="248"/>
      <c r="G61" s="251"/>
      <c r="H61" s="254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7"/>
      <c r="V61" s="236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39"/>
      <c r="D62" s="242"/>
      <c r="E62" s="245"/>
      <c r="F62" s="248"/>
      <c r="G62" s="251"/>
      <c r="H62" s="254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7"/>
      <c r="V62" s="236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39"/>
      <c r="D63" s="242"/>
      <c r="E63" s="245"/>
      <c r="F63" s="248"/>
      <c r="G63" s="251"/>
      <c r="H63" s="254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7"/>
      <c r="V63" s="236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0"/>
      <c r="D64" s="243"/>
      <c r="E64" s="246"/>
      <c r="F64" s="249"/>
      <c r="G64" s="252"/>
      <c r="H64" s="255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58"/>
      <c r="V64" s="237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38" t="s">
        <v>4308</v>
      </c>
      <c r="D66" s="241" t="s">
        <v>4300</v>
      </c>
      <c r="E66" s="244" t="s">
        <v>4309</v>
      </c>
      <c r="F66" s="247">
        <v>46233</v>
      </c>
      <c r="G66" s="250"/>
      <c r="H66" s="253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6">
        <v>0</v>
      </c>
      <c r="V66" s="235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39"/>
      <c r="D67" s="242"/>
      <c r="E67" s="245"/>
      <c r="F67" s="248"/>
      <c r="G67" s="251"/>
      <c r="H67" s="254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7"/>
      <c r="V67" s="236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39"/>
      <c r="D68" s="242"/>
      <c r="E68" s="245"/>
      <c r="F68" s="248"/>
      <c r="G68" s="251"/>
      <c r="H68" s="254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7"/>
      <c r="V68" s="236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39"/>
      <c r="D69" s="242"/>
      <c r="E69" s="245"/>
      <c r="F69" s="248"/>
      <c r="G69" s="251"/>
      <c r="H69" s="254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7"/>
      <c r="V69" s="236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0"/>
      <c r="D70" s="243"/>
      <c r="E70" s="246"/>
      <c r="F70" s="249"/>
      <c r="G70" s="252"/>
      <c r="H70" s="255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8"/>
      <c r="V70" s="237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38" t="s">
        <v>3165</v>
      </c>
      <c r="D72" s="241" t="s">
        <v>4307</v>
      </c>
      <c r="E72" s="244" t="s">
        <v>4310</v>
      </c>
      <c r="F72" s="247">
        <v>46280</v>
      </c>
      <c r="G72" s="250"/>
      <c r="H72" s="253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6">
        <v>0</v>
      </c>
      <c r="V72" s="235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39"/>
      <c r="D73" s="242"/>
      <c r="E73" s="245"/>
      <c r="F73" s="248"/>
      <c r="G73" s="251"/>
      <c r="H73" s="254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7"/>
      <c r="V73" s="236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39"/>
      <c r="D74" s="242"/>
      <c r="E74" s="245"/>
      <c r="F74" s="248"/>
      <c r="G74" s="251"/>
      <c r="H74" s="254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7"/>
      <c r="V74" s="236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39"/>
      <c r="D75" s="242"/>
      <c r="E75" s="245"/>
      <c r="F75" s="248"/>
      <c r="G75" s="251"/>
      <c r="H75" s="254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7"/>
      <c r="V75" s="236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0"/>
      <c r="D76" s="243"/>
      <c r="E76" s="246"/>
      <c r="F76" s="249"/>
      <c r="G76" s="252"/>
      <c r="H76" s="255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8"/>
      <c r="V76" s="237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3" t="s">
        <v>326</v>
      </c>
      <c r="E79" s="285" t="s">
        <v>891</v>
      </c>
      <c r="F79" s="286"/>
      <c r="G79" s="286"/>
      <c r="H79" s="286"/>
      <c r="I79" s="286"/>
      <c r="J79" s="287"/>
      <c r="K79" s="288" t="s">
        <v>331</v>
      </c>
      <c r="L79" s="289"/>
      <c r="M79" s="289"/>
      <c r="N79" s="290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4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25.1205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97.4923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6.8622999999999976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32.7241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10.8445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23.010400000000001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 filterMode="1"/>
  <dimension ref="A1:O5114"/>
  <sheetViews>
    <sheetView zoomScaleNormal="100" workbookViewId="0">
      <pane ySplit="1" topLeftCell="A5107" activePane="bottomLeft" state="frozen"/>
      <selection pane="bottomLeft" activeCell="D5111" sqref="D511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hidden="1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hidden="1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hidden="1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hidden="1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hidden="1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hidden="1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hidden="1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hidden="1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hidden="1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hidden="1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hidden="1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hidden="1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hidden="1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hidden="1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hidden="1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hidden="1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hidden="1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hidden="1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hidden="1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hidden="1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hidden="1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hidden="1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hidden="1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hidden="1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hidden="1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hidden="1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hidden="1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hidden="1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hidden="1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hidden="1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hidden="1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hidden="1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hidden="1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hidden="1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hidden="1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hidden="1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hidden="1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hidden="1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hidden="1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hidden="1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hidden="1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hidden="1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hidden="1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hidden="1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hidden="1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hidden="1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hidden="1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hidden="1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hidden="1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hidden="1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hidden="1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hidden="1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hidden="1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hidden="1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hidden="1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hidden="1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hidden="1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hidden="1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hidden="1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hidden="1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hidden="1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hidden="1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hidden="1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hidden="1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hidden="1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hidden="1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hidden="1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hidden="1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hidden="1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hidden="1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hidden="1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hidden="1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hidden="1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hidden="1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hidden="1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hidden="1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hidden="1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hidden="1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hidden="1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hidden="1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hidden="1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hidden="1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hidden="1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hidden="1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hidden="1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hidden="1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hidden="1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hidden="1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hidden="1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hidden="1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hidden="1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hidden="1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hidden="1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hidden="1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hidden="1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hidden="1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hidden="1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hidden="1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hidden="1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hidden="1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hidden="1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hidden="1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hidden="1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hidden="1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hidden="1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hidden="1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hidden="1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hidden="1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hidden="1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hidden="1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hidden="1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hidden="1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hidden="1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hidden="1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hidden="1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hidden="1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hidden="1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hidden="1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hidden="1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hidden="1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hidden="1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hidden="1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hidden="1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hidden="1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hidden="1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hidden="1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hidden="1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hidden="1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hidden="1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hidden="1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hidden="1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hidden="1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hidden="1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hidden="1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hidden="1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hidden="1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hidden="1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hidden="1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hidden="1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hidden="1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hidden="1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hidden="1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hidden="1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hidden="1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hidden="1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hidden="1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hidden="1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hidden="1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hidden="1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hidden="1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hidden="1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hidden="1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hidden="1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hidden="1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hidden="1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hidden="1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hidden="1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hidden="1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hidden="1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hidden="1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hidden="1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hidden="1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hidden="1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hidden="1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hidden="1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hidden="1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hidden="1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hidden="1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hidden="1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hidden="1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hidden="1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hidden="1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hidden="1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hidden="1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hidden="1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hidden="1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hidden="1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hidden="1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hidden="1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hidden="1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hidden="1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hidden="1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hidden="1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hidden="1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hidden="1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hidden="1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hidden="1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hidden="1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hidden="1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hidden="1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hidden="1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hidden="1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hidden="1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hidden="1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hidden="1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hidden="1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hidden="1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hidden="1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hidden="1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hidden="1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hidden="1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hidden="1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hidden="1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hidden="1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hidden="1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hidden="1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hidden="1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hidden="1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hidden="1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hidden="1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hidden="1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hidden="1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hidden="1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hidden="1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hidden="1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hidden="1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hidden="1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hidden="1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hidden="1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hidden="1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hidden="1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hidden="1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hidden="1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hidden="1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hidden="1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hidden="1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hidden="1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hidden="1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hidden="1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hidden="1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hidden="1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hidden="1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hidden="1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hidden="1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hidden="1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hidden="1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hidden="1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hidden="1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hidden="1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hidden="1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hidden="1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hidden="1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hidden="1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hidden="1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hidden="1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hidden="1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hidden="1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hidden="1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hidden="1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hidden="1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hidden="1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hidden="1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hidden="1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hidden="1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hidden="1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hidden="1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hidden="1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hidden="1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hidden="1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hidden="1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hidden="1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hidden="1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hidden="1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hidden="1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hidden="1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hidden="1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hidden="1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hidden="1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hidden="1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hidden="1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hidden="1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hidden="1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hidden="1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hidden="1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hidden="1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hidden="1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hidden="1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hidden="1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hidden="1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hidden="1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hidden="1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hidden="1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hidden="1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hidden="1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hidden="1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hidden="1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hidden="1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hidden="1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hidden="1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hidden="1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hidden="1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hidden="1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hidden="1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hidden="1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hidden="1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hidden="1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hidden="1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hidden="1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hidden="1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hidden="1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hidden="1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hidden="1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hidden="1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hidden="1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hidden="1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hidden="1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hidden="1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hidden="1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hidden="1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hidden="1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hidden="1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hidden="1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hidden="1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hidden="1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hidden="1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hidden="1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hidden="1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hidden="1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hidden="1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hidden="1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hidden="1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hidden="1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hidden="1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hidden="1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hidden="1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hidden="1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hidden="1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hidden="1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hidden="1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hidden="1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hidden="1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hidden="1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hidden="1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hidden="1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hidden="1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hidden="1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hidden="1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hidden="1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hidden="1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hidden="1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hidden="1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hidden="1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hidden="1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hidden="1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hidden="1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hidden="1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hidden="1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hidden="1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hidden="1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hidden="1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hidden="1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hidden="1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hidden="1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hidden="1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hidden="1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hidden="1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hidden="1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hidden="1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hidden="1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hidden="1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hidden="1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hidden="1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hidden="1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hidden="1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hidden="1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hidden="1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hidden="1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hidden="1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hidden="1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hidden="1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hidden="1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hidden="1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hidden="1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hidden="1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hidden="1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hidden="1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hidden="1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hidden="1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hidden="1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hidden="1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hidden="1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hidden="1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hidden="1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hidden="1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hidden="1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hidden="1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hidden="1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hidden="1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hidden="1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hidden="1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hidden="1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hidden="1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hidden="1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hidden="1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hidden="1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hidden="1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hidden="1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hidden="1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hidden="1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hidden="1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hidden="1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hidden="1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hidden="1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hidden="1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hidden="1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hidden="1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hidden="1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hidden="1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hidden="1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hidden="1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hidden="1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hidden="1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hidden="1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hidden="1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hidden="1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hidden="1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hidden="1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hidden="1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hidden="1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hidden="1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hidden="1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hidden="1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hidden="1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hidden="1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hidden="1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hidden="1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hidden="1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hidden="1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hidden="1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hidden="1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hidden="1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hidden="1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hidden="1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hidden="1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hidden="1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hidden="1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hidden="1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hidden="1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hidden="1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hidden="1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hidden="1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hidden="1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hidden="1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hidden="1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hidden="1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hidden="1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hidden="1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hidden="1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hidden="1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hidden="1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hidden="1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hidden="1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hidden="1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hidden="1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hidden="1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hidden="1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hidden="1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hidden="1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hidden="1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hidden="1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hidden="1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hidden="1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hidden="1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hidden="1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hidden="1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hidden="1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hidden="1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hidden="1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hidden="1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hidden="1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hidden="1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hidden="1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hidden="1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hidden="1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hidden="1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hidden="1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hidden="1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hidden="1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hidden="1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hidden="1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hidden="1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hidden="1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hidden="1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hidden="1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hidden="1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hidden="1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hidden="1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hidden="1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hidden="1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hidden="1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hidden="1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hidden="1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hidden="1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hidden="1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hidden="1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hidden="1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hidden="1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hidden="1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hidden="1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hidden="1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hidden="1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hidden="1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hidden="1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hidden="1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hidden="1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hidden="1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hidden="1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hidden="1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hidden="1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hidden="1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hidden="1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hidden="1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hidden="1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hidden="1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hidden="1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hidden="1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hidden="1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hidden="1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hidden="1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hidden="1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hidden="1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hidden="1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hidden="1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hidden="1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hidden="1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hidden="1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hidden="1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hidden="1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hidden="1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hidden="1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hidden="1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hidden="1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hidden="1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hidden="1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hidden="1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hidden="1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hidden="1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hidden="1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hidden="1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hidden="1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hidden="1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hidden="1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hidden="1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hidden="1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hidden="1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hidden="1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hidden="1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hidden="1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hidden="1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hidden="1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hidden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hidden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hidden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hidden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hidden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hidden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hidden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hidden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hidden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hidden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hidden="1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hidden="1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hidden="1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hidden="1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hidden="1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hidden="1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hidden="1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hidden="1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hidden="1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hidden="1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hidden="1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hidden="1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hidden="1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hidden="1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hidden="1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hidden="1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hidden="1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hidden="1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hidden="1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hidden="1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hidden="1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hidden="1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hidden="1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hidden="1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hidden="1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hidden="1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hidden="1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hidden="1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hidden="1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hidden="1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hidden="1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hidden="1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hidden="1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hidden="1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hidden="1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hidden="1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hidden="1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hidden="1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hidden="1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hidden="1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hidden="1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hidden="1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hidden="1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hidden="1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hidden="1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hidden="1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hidden="1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hidden="1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hidden="1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hidden="1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hidden="1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hidden="1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hidden="1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hidden="1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hidden="1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hidden="1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hidden="1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hidden="1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hidden="1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hidden="1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hidden="1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hidden="1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hidden="1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hidden="1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hidden="1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hidden="1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hidden="1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hidden="1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hidden="1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hidden="1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hidden="1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hidden="1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hidden="1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hidden="1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hidden="1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hidden="1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hidden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hidden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hidden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hidden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hidden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hidden="1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hidden="1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hidden="1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hidden="1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hidden="1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hidden="1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hidden="1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hidden="1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hidden="1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hidden="1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hidden="1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hidden="1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hidden="1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hidden="1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hidden="1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hidden="1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hidden="1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hidden="1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hidden="1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hidden="1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hidden="1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hidden="1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hidden="1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hidden="1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hidden="1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hidden="1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hidden="1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hidden="1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hidden="1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hidden="1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hidden="1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hidden="1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hidden="1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hidden="1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hidden="1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hidden="1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hidden="1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hidden="1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hidden="1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hidden="1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hidden="1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hidden="1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hidden="1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hidden="1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hidden="1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hidden="1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hidden="1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hidden="1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hidden="1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hidden="1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hidden="1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hidden="1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hidden="1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hidden="1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hidden="1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hidden="1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hidden="1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hidden="1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hidden="1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hidden="1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hidden="1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hidden="1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hidden="1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hidden="1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hidden="1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hidden="1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hidden="1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hidden="1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hidden="1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hidden="1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hidden="1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hidden="1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hidden="1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hidden="1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hidden="1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hidden="1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hidden="1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hidden="1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hidden="1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hidden="1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hidden="1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hidden="1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hidden="1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hidden="1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hidden="1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hidden="1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hidden="1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hidden="1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hidden="1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hidden="1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hidden="1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hidden="1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hidden="1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hidden="1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hidden="1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hidden="1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hidden="1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hidden="1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hidden="1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hidden="1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hidden="1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hidden="1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hidden="1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hidden="1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hidden="1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hidden="1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hidden="1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hidden="1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hidden="1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hidden="1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hidden="1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hidden="1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hidden="1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hidden="1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hidden="1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hidden="1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hidden="1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hidden="1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hidden="1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hidden="1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hidden="1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hidden="1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hidden="1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hidden="1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hidden="1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hidden="1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hidden="1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hidden="1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hidden="1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hidden="1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hidden="1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hidden="1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hidden="1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hidden="1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hidden="1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hidden="1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hidden="1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hidden="1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hidden="1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hidden="1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hidden="1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hidden="1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hidden="1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hidden="1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hidden="1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hidden="1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hidden="1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hidden="1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hidden="1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hidden="1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hidden="1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hidden="1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hidden="1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hidden="1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hidden="1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hidden="1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hidden="1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hidden="1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hidden="1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hidden="1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hidden="1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hidden="1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hidden="1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hidden="1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hidden="1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hidden="1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hidden="1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hidden="1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hidden="1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hidden="1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hidden="1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hidden="1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hidden="1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hidden="1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hidden="1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hidden="1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hidden="1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hidden="1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hidden="1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hidden="1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hidden="1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hidden="1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hidden="1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hidden="1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hidden="1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hidden="1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hidden="1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hidden="1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hidden="1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hidden="1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hidden="1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hidden="1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hidden="1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hidden="1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hidden="1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hidden="1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hidden="1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hidden="1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hidden="1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hidden="1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hidden="1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hidden="1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hidden="1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hidden="1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hidden="1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hidden="1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hidden="1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hidden="1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hidden="1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hidden="1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hidden="1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hidden="1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hidden="1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hidden="1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hidden="1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hidden="1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hidden="1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hidden="1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hidden="1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hidden="1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hidden="1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hidden="1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hidden="1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hidden="1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hidden="1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hidden="1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hidden="1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hidden="1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hidden="1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hidden="1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hidden="1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hidden="1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hidden="1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hidden="1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hidden="1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hidden="1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hidden="1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hidden="1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hidden="1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hidden="1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hidden="1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hidden="1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hidden="1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hidden="1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hidden="1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hidden="1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hidden="1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hidden="1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hidden="1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hidden="1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hidden="1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hidden="1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hidden="1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hidden="1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hidden="1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hidden="1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hidden="1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hidden="1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hidden="1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hidden="1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hidden="1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hidden="1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hidden="1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hidden="1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hidden="1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hidden="1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hidden="1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hidden="1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hidden="1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hidden="1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hidden="1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hidden="1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hidden="1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hidden="1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hidden="1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hidden="1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hidden="1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hidden="1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hidden="1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hidden="1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hidden="1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hidden="1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hidden="1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hidden="1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hidden="1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hidden="1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hidden="1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hidden="1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hidden="1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hidden="1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hidden="1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hidden="1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hidden="1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hidden="1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hidden="1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hidden="1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hidden="1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hidden="1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hidden="1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hidden="1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hidden="1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hidden="1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hidden="1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hidden="1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hidden="1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hidden="1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hidden="1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hidden="1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hidden="1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hidden="1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hidden="1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hidden="1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hidden="1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hidden="1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hidden="1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hidden="1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hidden="1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hidden="1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hidden="1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hidden="1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hidden="1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hidden="1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hidden="1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hidden="1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hidden="1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hidden="1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hidden="1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hidden="1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hidden="1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hidden="1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hidden="1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hidden="1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hidden="1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hidden="1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hidden="1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hidden="1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hidden="1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hidden="1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hidden="1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hidden="1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hidden="1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hidden="1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hidden="1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hidden="1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hidden="1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hidden="1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hidden="1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hidden="1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hidden="1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hidden="1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hidden="1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hidden="1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hidden="1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hidden="1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hidden="1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hidden="1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hidden="1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hidden="1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hidden="1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hidden="1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hidden="1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hidden="1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hidden="1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hidden="1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hidden="1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hidden="1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hidden="1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hidden="1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hidden="1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hidden="1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hidden="1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hidden="1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hidden="1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hidden="1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hidden="1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hidden="1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hidden="1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hidden="1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hidden="1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hidden="1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hidden="1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hidden="1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hidden="1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hidden="1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hidden="1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hidden="1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hidden="1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hidden="1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hidden="1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hidden="1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hidden="1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hidden="1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hidden="1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hidden="1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hidden="1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hidden="1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hidden="1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hidden="1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hidden="1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hidden="1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hidden="1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hidden="1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hidden="1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hidden="1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hidden="1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hidden="1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hidden="1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hidden="1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hidden="1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hidden="1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hidden="1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hidden="1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hidden="1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hidden="1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hidden="1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hidden="1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hidden="1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hidden="1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hidden="1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hidden="1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hidden="1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hidden="1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hidden="1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hidden="1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hidden="1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hidden="1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hidden="1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hidden="1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hidden="1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hidden="1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hidden="1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hidden="1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hidden="1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hidden="1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hidden="1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hidden="1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hidden="1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hidden="1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hidden="1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hidden="1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hidden="1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hidden="1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hidden="1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hidden="1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hidden="1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hidden="1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hidden="1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hidden="1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hidden="1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hidden="1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hidden="1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hidden="1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hidden="1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hidden="1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hidden="1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hidden="1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hidden="1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hidden="1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hidden="1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hidden="1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hidden="1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hidden="1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hidden="1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hidden="1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hidden="1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hidden="1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hidden="1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hidden="1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hidden="1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hidden="1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hidden="1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hidden="1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hidden="1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hidden="1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hidden="1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hidden="1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hidden="1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hidden="1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hidden="1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hidden="1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hidden="1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hidden="1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hidden="1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hidden="1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hidden="1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hidden="1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hidden="1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hidden="1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hidden="1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hidden="1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hidden="1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hidden="1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hidden="1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hidden="1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hidden="1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hidden="1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hidden="1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hidden="1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hidden="1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hidden="1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hidden="1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hidden="1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hidden="1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hidden="1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hidden="1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hidden="1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hidden="1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hidden="1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hidden="1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hidden="1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hidden="1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hidden="1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hidden="1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hidden="1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hidden="1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hidden="1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hidden="1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hidden="1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hidden="1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hidden="1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hidden="1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hidden="1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hidden="1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hidden="1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hidden="1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hidden="1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hidden="1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hidden="1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hidden="1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hidden="1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hidden="1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hidden="1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hidden="1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hidden="1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hidden="1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hidden="1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hidden="1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hidden="1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hidden="1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hidden="1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hidden="1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hidden="1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hidden="1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hidden="1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hidden="1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hidden="1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hidden="1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hidden="1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hidden="1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hidden="1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hidden="1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hidden="1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hidden="1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hidden="1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hidden="1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hidden="1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hidden="1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hidden="1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hidden="1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hidden="1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hidden="1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hidden="1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hidden="1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hidden="1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hidden="1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hidden="1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hidden="1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hidden="1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hidden="1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hidden="1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hidden="1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hidden="1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hidden="1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hidden="1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hidden="1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hidden="1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hidden="1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hidden="1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hidden="1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hidden="1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hidden="1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hidden="1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hidden="1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hidden="1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hidden="1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hidden="1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hidden="1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hidden="1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hidden="1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hidden="1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hidden="1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hidden="1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hidden="1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hidden="1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hidden="1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hidden="1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hidden="1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hidden="1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hidden="1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hidden="1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hidden="1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hidden="1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hidden="1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hidden="1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hidden="1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hidden="1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hidden="1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hidden="1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hidden="1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hidden="1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hidden="1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hidden="1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hidden="1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hidden="1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hidden="1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hidden="1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hidden="1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hidden="1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hidden="1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hidden="1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hidden="1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hidden="1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hidden="1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hidden="1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hidden="1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hidden="1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hidden="1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hidden="1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hidden="1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hidden="1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hidden="1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hidden="1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hidden="1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hidden="1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hidden="1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hidden="1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hidden="1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hidden="1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hidden="1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hidden="1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hidden="1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hidden="1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hidden="1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hidden="1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hidden="1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hidden="1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hidden="1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hidden="1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hidden="1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hidden="1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hidden="1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hidden="1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hidden="1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hidden="1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hidden="1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hidden="1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hidden="1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hidden="1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hidden="1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hidden="1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hidden="1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hidden="1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hidden="1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hidden="1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hidden="1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hidden="1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hidden="1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hidden="1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hidden="1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hidden="1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hidden="1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hidden="1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hidden="1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hidden="1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hidden="1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hidden="1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hidden="1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hidden="1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hidden="1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hidden="1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hidden="1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hidden="1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hidden="1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hidden="1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hidden="1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hidden="1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hidden="1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hidden="1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hidden="1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hidden="1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hidden="1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hidden="1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hidden="1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hidden="1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hidden="1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hidden="1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hidden="1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hidden="1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hidden="1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hidden="1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hidden="1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hidden="1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hidden="1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hidden="1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hidden="1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hidden="1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hidden="1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hidden="1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hidden="1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hidden="1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hidden="1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hidden="1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hidden="1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hidden="1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hidden="1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hidden="1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hidden="1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hidden="1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hidden="1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hidden="1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hidden="1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hidden="1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hidden="1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hidden="1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hidden="1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hidden="1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hidden="1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hidden="1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hidden="1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hidden="1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hidden="1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hidden="1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hidden="1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hidden="1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hidden="1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hidden="1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hidden="1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hidden="1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hidden="1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hidden="1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hidden="1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hidden="1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hidden="1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hidden="1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hidden="1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hidden="1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hidden="1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hidden="1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hidden="1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hidden="1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hidden="1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hidden="1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hidden="1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hidden="1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hidden="1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hidden="1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hidden="1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hidden="1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hidden="1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hidden="1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hidden="1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hidden="1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hidden="1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hidden="1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hidden="1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hidden="1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hidden="1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hidden="1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hidden="1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hidden="1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hidden="1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hidden="1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hidden="1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hidden="1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hidden="1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hidden="1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hidden="1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hidden="1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hidden="1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hidden="1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hidden="1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hidden="1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hidden="1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hidden="1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hidden="1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hidden="1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hidden="1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hidden="1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hidden="1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hidden="1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hidden="1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hidden="1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hidden="1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hidden="1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hidden="1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hidden="1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hidden="1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hidden="1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hidden="1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hidden="1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hidden="1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hidden="1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hidden="1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hidden="1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hidden="1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hidden="1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hidden="1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hidden="1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hidden="1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hidden="1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hidden="1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hidden="1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hidden="1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hidden="1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hidden="1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hidden="1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hidden="1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hidden="1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hidden="1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hidden="1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hidden="1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hidden="1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hidden="1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hidden="1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hidden="1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hidden="1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hidden="1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hidden="1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hidden="1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hidden="1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hidden="1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hidden="1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hidden="1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hidden="1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hidden="1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hidden="1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hidden="1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hidden="1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hidden="1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hidden="1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hidden="1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hidden="1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hidden="1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hidden="1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hidden="1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hidden="1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hidden="1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hidden="1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hidden="1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hidden="1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hidden="1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hidden="1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hidden="1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hidden="1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hidden="1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hidden="1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hidden="1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hidden="1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hidden="1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hidden="1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hidden="1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hidden="1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hidden="1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hidden="1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hidden="1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hidden="1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hidden="1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hidden="1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hidden="1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hidden="1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hidden="1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hidden="1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hidden="1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hidden="1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hidden="1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hidden="1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hidden="1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hidden="1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hidden="1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hidden="1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hidden="1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hidden="1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hidden="1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hidden="1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hidden="1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hidden="1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hidden="1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hidden="1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hidden="1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hidden="1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hidden="1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hidden="1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hidden="1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hidden="1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hidden="1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hidden="1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hidden="1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hidden="1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hidden="1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hidden="1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hidden="1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hidden="1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hidden="1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hidden="1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hidden="1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hidden="1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hidden="1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hidden="1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hidden="1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hidden="1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hidden="1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hidden="1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hidden="1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hidden="1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hidden="1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hidden="1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hidden="1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hidden="1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hidden="1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hidden="1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hidden="1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hidden="1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hidden="1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hidden="1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hidden="1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hidden="1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hidden="1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hidden="1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hidden="1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hidden="1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hidden="1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hidden="1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hidden="1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hidden="1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hidden="1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hidden="1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hidden="1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hidden="1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hidden="1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hidden="1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hidden="1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hidden="1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hidden="1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hidden="1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hidden="1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hidden="1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hidden="1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hidden="1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hidden="1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hidden="1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hidden="1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hidden="1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hidden="1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hidden="1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hidden="1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hidden="1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hidden="1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hidden="1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hidden="1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hidden="1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hidden="1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hidden="1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hidden="1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hidden="1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hidden="1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hidden="1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hidden="1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hidden="1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hidden="1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hidden="1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hidden="1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hidden="1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hidden="1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hidden="1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hidden="1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hidden="1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hidden="1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hidden="1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hidden="1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hidden="1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hidden="1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hidden="1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hidden="1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hidden="1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hidden="1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hidden="1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hidden="1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hidden="1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hidden="1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hidden="1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hidden="1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hidden="1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hidden="1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hidden="1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hidden="1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hidden="1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hidden="1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hidden="1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hidden="1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hidden="1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hidden="1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hidden="1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hidden="1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hidden="1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hidden="1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hidden="1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hidden="1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hidden="1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hidden="1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hidden="1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hidden="1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hidden="1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hidden="1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hidden="1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hidden="1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hidden="1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hidden="1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hidden="1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hidden="1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hidden="1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hidden="1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hidden="1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hidden="1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hidden="1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hidden="1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hidden="1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hidden="1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hidden="1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hidden="1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hidden="1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hidden="1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hidden="1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hidden="1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hidden="1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hidden="1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hidden="1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hidden="1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hidden="1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hidden="1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hidden="1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hidden="1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hidden="1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hidden="1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hidden="1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hidden="1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hidden="1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hidden="1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hidden="1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hidden="1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hidden="1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hidden="1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hidden="1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hidden="1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hidden="1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hidden="1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hidden="1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hidden="1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hidden="1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hidden="1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hidden="1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hidden="1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hidden="1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hidden="1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hidden="1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hidden="1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hidden="1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hidden="1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hidden="1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hidden="1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hidden="1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hidden="1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hidden="1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hidden="1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hidden="1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hidden="1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hidden="1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hidden="1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hidden="1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hidden="1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hidden="1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hidden="1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hidden="1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hidden="1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hidden="1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hidden="1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hidden="1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hidden="1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hidden="1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hidden="1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hidden="1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hidden="1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hidden="1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hidden="1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hidden="1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hidden="1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hidden="1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hidden="1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hidden="1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hidden="1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hidden="1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hidden="1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hidden="1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hidden="1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hidden="1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hidden="1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hidden="1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hidden="1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hidden="1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hidden="1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hidden="1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hidden="1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hidden="1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hidden="1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hidden="1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hidden="1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hidden="1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hidden="1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hidden="1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hidden="1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hidden="1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hidden="1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hidden="1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hidden="1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hidden="1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hidden="1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hidden="1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hidden="1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hidden="1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hidden="1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hidden="1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hidden="1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hidden="1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hidden="1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hidden="1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hidden="1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hidden="1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hidden="1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hidden="1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hidden="1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hidden="1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hidden="1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hidden="1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hidden="1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hidden="1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hidden="1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hidden="1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hidden="1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hidden="1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hidden="1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hidden="1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hidden="1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hidden="1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hidden="1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hidden="1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hidden="1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hidden="1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hidden="1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hidden="1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hidden="1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hidden="1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hidden="1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hidden="1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hidden="1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hidden="1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hidden="1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hidden="1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hidden="1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hidden="1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hidden="1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hidden="1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hidden="1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hidden="1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hidden="1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hidden="1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hidden="1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hidden="1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hidden="1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hidden="1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hidden="1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hidden="1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hidden="1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hidden="1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hidden="1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hidden="1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hidden="1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hidden="1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hidden="1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hidden="1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hidden="1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hidden="1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hidden="1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hidden="1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hidden="1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hidden="1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hidden="1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hidden="1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hidden="1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hidden="1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hidden="1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hidden="1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hidden="1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hidden="1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hidden="1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hidden="1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hidden="1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hidden="1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hidden="1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hidden="1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hidden="1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hidden="1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hidden="1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hidden="1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hidden="1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hidden="1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hidden="1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hidden="1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hidden="1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hidden="1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hidden="1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hidden="1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hidden="1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hidden="1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hidden="1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hidden="1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hidden="1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hidden="1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hidden="1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hidden="1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hidden="1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hidden="1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hidden="1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hidden="1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hidden="1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hidden="1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hidden="1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hidden="1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hidden="1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hidden="1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hidden="1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hidden="1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hidden="1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hidden="1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hidden="1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hidden="1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hidden="1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hidden="1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hidden="1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hidden="1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hidden="1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hidden="1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hidden="1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hidden="1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hidden="1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hidden="1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hidden="1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hidden="1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hidden="1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hidden="1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hidden="1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hidden="1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hidden="1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hidden="1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hidden="1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hidden="1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hidden="1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hidden="1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hidden="1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hidden="1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hidden="1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hidden="1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hidden="1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hidden="1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hidden="1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hidden="1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hidden="1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hidden="1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hidden="1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hidden="1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hidden="1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hidden="1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hidden="1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hidden="1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hidden="1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hidden="1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hidden="1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hidden="1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hidden="1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hidden="1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hidden="1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hidden="1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hidden="1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hidden="1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hidden="1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hidden="1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hidden="1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hidden="1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hidden="1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hidden="1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hidden="1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hidden="1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hidden="1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hidden="1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hidden="1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hidden="1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hidden="1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hidden="1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hidden="1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hidden="1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hidden="1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hidden="1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hidden="1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hidden="1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hidden="1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hidden="1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hidden="1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hidden="1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hidden="1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hidden="1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hidden="1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hidden="1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hidden="1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hidden="1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hidden="1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hidden="1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hidden="1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hidden="1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hidden="1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hidden="1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hidden="1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hidden="1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hidden="1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hidden="1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hidden="1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hidden="1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hidden="1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hidden="1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hidden="1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hidden="1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hidden="1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hidden="1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hidden="1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hidden="1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hidden="1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hidden="1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hidden="1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hidden="1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hidden="1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hidden="1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hidden="1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hidden="1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hidden="1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hidden="1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hidden="1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hidden="1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hidden="1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hidden="1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hidden="1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hidden="1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hidden="1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hidden="1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hidden="1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hidden="1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hidden="1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hidden="1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hidden="1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hidden="1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hidden="1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hidden="1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hidden="1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hidden="1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hidden="1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hidden="1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hidden="1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hidden="1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hidden="1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hidden="1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hidden="1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hidden="1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hidden="1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hidden="1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hidden="1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hidden="1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hidden="1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hidden="1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hidden="1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hidden="1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hidden="1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hidden="1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hidden="1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hidden="1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hidden="1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hidden="1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hidden="1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hidden="1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hidden="1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hidden="1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hidden="1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hidden="1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hidden="1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hidden="1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hidden="1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hidden="1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hidden="1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hidden="1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hidden="1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hidden="1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hidden="1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hidden="1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hidden="1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hidden="1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hidden="1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hidden="1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hidden="1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hidden="1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hidden="1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hidden="1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hidden="1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hidden="1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hidden="1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hidden="1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hidden="1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hidden="1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hidden="1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hidden="1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hidden="1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hidden="1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hidden="1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hidden="1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hidden="1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hidden="1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hidden="1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hidden="1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hidden="1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hidden="1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hidden="1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hidden="1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hidden="1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hidden="1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hidden="1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hidden="1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hidden="1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hidden="1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hidden="1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hidden="1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hidden="1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hidden="1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hidden="1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hidden="1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hidden="1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hidden="1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hidden="1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hidden="1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hidden="1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hidden="1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hidden="1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hidden="1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hidden="1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hidden="1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hidden="1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hidden="1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hidden="1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hidden="1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hidden="1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hidden="1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hidden="1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hidden="1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hidden="1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hidden="1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hidden="1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hidden="1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hidden="1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hidden="1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hidden="1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hidden="1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hidden="1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hidden="1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hidden="1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hidden="1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hidden="1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hidden="1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hidden="1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hidden="1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hidden="1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hidden="1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hidden="1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hidden="1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hidden="1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hidden="1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hidden="1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hidden="1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hidden="1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hidden="1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hidden="1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hidden="1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hidden="1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hidden="1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hidden="1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hidden="1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hidden="1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hidden="1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hidden="1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hidden="1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hidden="1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hidden="1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hidden="1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hidden="1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hidden="1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hidden="1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hidden="1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hidden="1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hidden="1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hidden="1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hidden="1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hidden="1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hidden="1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hidden="1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hidden="1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hidden="1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hidden="1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hidden="1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hidden="1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hidden="1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hidden="1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hidden="1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hidden="1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hidden="1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hidden="1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hidden="1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hidden="1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hidden="1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hidden="1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hidden="1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hidden="1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hidden="1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hidden="1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hidden="1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hidden="1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hidden="1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hidden="1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hidden="1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hidden="1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hidden="1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hidden="1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hidden="1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hidden="1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hidden="1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hidden="1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hidden="1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hidden="1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hidden="1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hidden="1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hidden="1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hidden="1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hidden="1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hidden="1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hidden="1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hidden="1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hidden="1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hidden="1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hidden="1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hidden="1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hidden="1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hidden="1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hidden="1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hidden="1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hidden="1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hidden="1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hidden="1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hidden="1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hidden="1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hidden="1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hidden="1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hidden="1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hidden="1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hidden="1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hidden="1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hidden="1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hidden="1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hidden="1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hidden="1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hidden="1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hidden="1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hidden="1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hidden="1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hidden="1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hidden="1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hidden="1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hidden="1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hidden="1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hidden="1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hidden="1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hidden="1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hidden="1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hidden="1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hidden="1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hidden="1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hidden="1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hidden="1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hidden="1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hidden="1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hidden="1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hidden="1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hidden="1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hidden="1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hidden="1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hidden="1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hidden="1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hidden="1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hidden="1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hidden="1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hidden="1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hidden="1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hidden="1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hidden="1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hidden="1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hidden="1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hidden="1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hidden="1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hidden="1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hidden="1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hidden="1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hidden="1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hidden="1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hidden="1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hidden="1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hidden="1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hidden="1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hidden="1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hidden="1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hidden="1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hidden="1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hidden="1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hidden="1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hidden="1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hidden="1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hidden="1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hidden="1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hidden="1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hidden="1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hidden="1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hidden="1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hidden="1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hidden="1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hidden="1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hidden="1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hidden="1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hidden="1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hidden="1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hidden="1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hidden="1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hidden="1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hidden="1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hidden="1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hidden="1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hidden="1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hidden="1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hidden="1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hidden="1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hidden="1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hidden="1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hidden="1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hidden="1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hidden="1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hidden="1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hidden="1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hidden="1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hidden="1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hidden="1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hidden="1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hidden="1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hidden="1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hidden="1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hidden="1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hidden="1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hidden="1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hidden="1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hidden="1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hidden="1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hidden="1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hidden="1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hidden="1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hidden="1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hidden="1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hidden="1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hidden="1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hidden="1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hidden="1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hidden="1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hidden="1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hidden="1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hidden="1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hidden="1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hidden="1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hidden="1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hidden="1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hidden="1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hidden="1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hidden="1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hidden="1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hidden="1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hidden="1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hidden="1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hidden="1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hidden="1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hidden="1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hidden="1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hidden="1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hidden="1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hidden="1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hidden="1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hidden="1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hidden="1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hidden="1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hidden="1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hidden="1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hidden="1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hidden="1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hidden="1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hidden="1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hidden="1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hidden="1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hidden="1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hidden="1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hidden="1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hidden="1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hidden="1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hidden="1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hidden="1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hidden="1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hidden="1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hidden="1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hidden="1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hidden="1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hidden="1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hidden="1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hidden="1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hidden="1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hidden="1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hidden="1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hidden="1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hidden="1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hidden="1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hidden="1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hidden="1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hidden="1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hidden="1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hidden="1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hidden="1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hidden="1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hidden="1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hidden="1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hidden="1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hidden="1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hidden="1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hidden="1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hidden="1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hidden="1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hidden="1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hidden="1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hidden="1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hidden="1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hidden="1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hidden="1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hidden="1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hidden="1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hidden="1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hidden="1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hidden="1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hidden="1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hidden="1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hidden="1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hidden="1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hidden="1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hidden="1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hidden="1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hidden="1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hidden="1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hidden="1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hidden="1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hidden="1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hidden="1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hidden="1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hidden="1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hidden="1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hidden="1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hidden="1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hidden="1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hidden="1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hidden="1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hidden="1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hidden="1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hidden="1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hidden="1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hidden="1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hidden="1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hidden="1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hidden="1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hidden="1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hidden="1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hidden="1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hidden="1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hidden="1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hidden="1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hidden="1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hidden="1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hidden="1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hidden="1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hidden="1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hidden="1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hidden="1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hidden="1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hidden="1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hidden="1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hidden="1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hidden="1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hidden="1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hidden="1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hidden="1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hidden="1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hidden="1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hidden="1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hidden="1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hidden="1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hidden="1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hidden="1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hidden="1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hidden="1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hidden="1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hidden="1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hidden="1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hidden="1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hidden="1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hidden="1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hidden="1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hidden="1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hidden="1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hidden="1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hidden="1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hidden="1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hidden="1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hidden="1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hidden="1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hidden="1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hidden="1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hidden="1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hidden="1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hidden="1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hidden="1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hidden="1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hidden="1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hidden="1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hidden="1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hidden="1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hidden="1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hidden="1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hidden="1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hidden="1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hidden="1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hidden="1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hidden="1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hidden="1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hidden="1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hidden="1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hidden="1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hidden="1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hidden="1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hidden="1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hidden="1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hidden="1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hidden="1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hidden="1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hidden="1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hidden="1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hidden="1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hidden="1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hidden="1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hidden="1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hidden="1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hidden="1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hidden="1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hidden="1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hidden="1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hidden="1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hidden="1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hidden="1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hidden="1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hidden="1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hidden="1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hidden="1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hidden="1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hidden="1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hidden="1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hidden="1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hidden="1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hidden="1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hidden="1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hidden="1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hidden="1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hidden="1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hidden="1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hidden="1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hidden="1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hidden="1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hidden="1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hidden="1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hidden="1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hidden="1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hidden="1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hidden="1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hidden="1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hidden="1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hidden="1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hidden="1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hidden="1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hidden="1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hidden="1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hidden="1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hidden="1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hidden="1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hidden="1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hidden="1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hidden="1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hidden="1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hidden="1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hidden="1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hidden="1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hidden="1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hidden="1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hidden="1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hidden="1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hidden="1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hidden="1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hidden="1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hidden="1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hidden="1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hidden="1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hidden="1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hidden="1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hidden="1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hidden="1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hidden="1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hidden="1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hidden="1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hidden="1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hidden="1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hidden="1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hidden="1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hidden="1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hidden="1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hidden="1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hidden="1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hidden="1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hidden="1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hidden="1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hidden="1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hidden="1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hidden="1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hidden="1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hidden="1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hidden="1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hidden="1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hidden="1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hidden="1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hidden="1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hidden="1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hidden="1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hidden="1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hidden="1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hidden="1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hidden="1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hidden="1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hidden="1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hidden="1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hidden="1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hidden="1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hidden="1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hidden="1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hidden="1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hidden="1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hidden="1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hidden="1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hidden="1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hidden="1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hidden="1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hidden="1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hidden="1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hidden="1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hidden="1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hidden="1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hidden="1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hidden="1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hidden="1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hidden="1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hidden="1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hidden="1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hidden="1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hidden="1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hidden="1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hidden="1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hidden="1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hidden="1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hidden="1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hidden="1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hidden="1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hidden="1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hidden="1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hidden="1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hidden="1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hidden="1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hidden="1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hidden="1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hidden="1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hidden="1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hidden="1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hidden="1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hidden="1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hidden="1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hidden="1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hidden="1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hidden="1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hidden="1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hidden="1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hidden="1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hidden="1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hidden="1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hidden="1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hidden="1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hidden="1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hidden="1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hidden="1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hidden="1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hidden="1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hidden="1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hidden="1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hidden="1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hidden="1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hidden="1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hidden="1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hidden="1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hidden="1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hidden="1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hidden="1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hidden="1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hidden="1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hidden="1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hidden="1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hidden="1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hidden="1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hidden="1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hidden="1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hidden="1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hidden="1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hidden="1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hidden="1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hidden="1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hidden="1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hidden="1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hidden="1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hidden="1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hidden="1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hidden="1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hidden="1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hidden="1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hidden="1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hidden="1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hidden="1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hidden="1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hidden="1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hidden="1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hidden="1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hidden="1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hidden="1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hidden="1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hidden="1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hidden="1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hidden="1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hidden="1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hidden="1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hidden="1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hidden="1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hidden="1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hidden="1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hidden="1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hidden="1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hidden="1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hidden="1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hidden="1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hidden="1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hidden="1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hidden="1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hidden="1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hidden="1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hidden="1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hidden="1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hidden="1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hidden="1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hidden="1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hidden="1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hidden="1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hidden="1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hidden="1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hidden="1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hidden="1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hidden="1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hidden="1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hidden="1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hidden="1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hidden="1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hidden="1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hidden="1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hidden="1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hidden="1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hidden="1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hidden="1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hidden="1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hidden="1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hidden="1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hidden="1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hidden="1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hidden="1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hidden="1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hidden="1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hidden="1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hidden="1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hidden="1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hidden="1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hidden="1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hidden="1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hidden="1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hidden="1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hidden="1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hidden="1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hidden="1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hidden="1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hidden="1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hidden="1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hidden="1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hidden="1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hidden="1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hidden="1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hidden="1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hidden="1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hidden="1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hidden="1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hidden="1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hidden="1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hidden="1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hidden="1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hidden="1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hidden="1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hidden="1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hidden="1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hidden="1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hidden="1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hidden="1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hidden="1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hidden="1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hidden="1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hidden="1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hidden="1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hidden="1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hidden="1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hidden="1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hidden="1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hidden="1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hidden="1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hidden="1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hidden="1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hidden="1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hidden="1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hidden="1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hidden="1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hidden="1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hidden="1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hidden="1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hidden="1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hidden="1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hidden="1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hidden="1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hidden="1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hidden="1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hidden="1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hidden="1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hidden="1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hidden="1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hidden="1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hidden="1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hidden="1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hidden="1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hidden="1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hidden="1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hidden="1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hidden="1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hidden="1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hidden="1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hidden="1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hidden="1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hidden="1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hidden="1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hidden="1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hidden="1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hidden="1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hidden="1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hidden="1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hidden="1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hidden="1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hidden="1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hidden="1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hidden="1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hidden="1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hidden="1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hidden="1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hidden="1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hidden="1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hidden="1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hidden="1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hidden="1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hidden="1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hidden="1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hidden="1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hidden="1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hidden="1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hidden="1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hidden="1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hidden="1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hidden="1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hidden="1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hidden="1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hidden="1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hidden="1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hidden="1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hidden="1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hidden="1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hidden="1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hidden="1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hidden="1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hidden="1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hidden="1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hidden="1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hidden="1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hidden="1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hidden="1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hidden="1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hidden="1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hidden="1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hidden="1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hidden="1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hidden="1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hidden="1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hidden="1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hidden="1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hidden="1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hidden="1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hidden="1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hidden="1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hidden="1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hidden="1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hidden="1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hidden="1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hidden="1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hidden="1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hidden="1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hidden="1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hidden="1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hidden="1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hidden="1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hidden="1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hidden="1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hidden="1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hidden="1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hidden="1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hidden="1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hidden="1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hidden="1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hidden="1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hidden="1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hidden="1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hidden="1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hidden="1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hidden="1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hidden="1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hidden="1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hidden="1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hidden="1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hidden="1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hidden="1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hidden="1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hidden="1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hidden="1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hidden="1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hidden="1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hidden="1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hidden="1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hidden="1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hidden="1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hidden="1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hidden="1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hidden="1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hidden="1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hidden="1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hidden="1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hidden="1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hidden="1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hidden="1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hidden="1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hidden="1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hidden="1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hidden="1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hidden="1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hidden="1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hidden="1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hidden="1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hidden="1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hidden="1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hidden="1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hidden="1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hidden="1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hidden="1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hidden="1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hidden="1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hidden="1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hidden="1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hidden="1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hidden="1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hidden="1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hidden="1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hidden="1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hidden="1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hidden="1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hidden="1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hidden="1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hidden="1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hidden="1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hidden="1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hidden="1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hidden="1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hidden="1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hidden="1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hidden="1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hidden="1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hidden="1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hidden="1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hidden="1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hidden="1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hidden="1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hidden="1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hidden="1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hidden="1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hidden="1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hidden="1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hidden="1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hidden="1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hidden="1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hidden="1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hidden="1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hidden="1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hidden="1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hidden="1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hidden="1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hidden="1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hidden="1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hidden="1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hidden="1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hidden="1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hidden="1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hidden="1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hidden="1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hidden="1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hidden="1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hidden="1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hidden="1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hidden="1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hidden="1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hidden="1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hidden="1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hidden="1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hidden="1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hidden="1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hidden="1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hidden="1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hidden="1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hidden="1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hidden="1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hidden="1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hidden="1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hidden="1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hidden="1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hidden="1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hidden="1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hidden="1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hidden="1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hidden="1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hidden="1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hidden="1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hidden="1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hidden="1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hidden="1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hidden="1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hidden="1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hidden="1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hidden="1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hidden="1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hidden="1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hidden="1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hidden="1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hidden="1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hidden="1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hidden="1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hidden="1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hidden="1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hidden="1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hidden="1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hidden="1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hidden="1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hidden="1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hidden="1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hidden="1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hidden="1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hidden="1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hidden="1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hidden="1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hidden="1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hidden="1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hidden="1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hidden="1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hidden="1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hidden="1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hidden="1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hidden="1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hidden="1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hidden="1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hidden="1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hidden="1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hidden="1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hidden="1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hidden="1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hidden="1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hidden="1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hidden="1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hidden="1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hidden="1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hidden="1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hidden="1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hidden="1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hidden="1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hidden="1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hidden="1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hidden="1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hidden="1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hidden="1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hidden="1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hidden="1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hidden="1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hidden="1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hidden="1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hidden="1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hidden="1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hidden="1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hidden="1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hidden="1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hidden="1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hidden="1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hidden="1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hidden="1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hidden="1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hidden="1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hidden="1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hidden="1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hidden="1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hidden="1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hidden="1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hidden="1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hidden="1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hidden="1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hidden="1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hidden="1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hidden="1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hidden="1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hidden="1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hidden="1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hidden="1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hidden="1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hidden="1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hidden="1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hidden="1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hidden="1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hidden="1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hidden="1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hidden="1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hidden="1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hidden="1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hidden="1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hidden="1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hidden="1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hidden="1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hidden="1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hidden="1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hidden="1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hidden="1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hidden="1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hidden="1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hidden="1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hidden="1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hidden="1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hidden="1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hidden="1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hidden="1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hidden="1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hidden="1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hidden="1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hidden="1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hidden="1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hidden="1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hidden="1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hidden="1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hidden="1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hidden="1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hidden="1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hidden="1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hidden="1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hidden="1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hidden="1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hidden="1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hidden="1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hidden="1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hidden="1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hidden="1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hidden="1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hidden="1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hidden="1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hidden="1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hidden="1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hidden="1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hidden="1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hidden="1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hidden="1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hidden="1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hidden="1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hidden="1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hidden="1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hidden="1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hidden="1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hidden="1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hidden="1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hidden="1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hidden="1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hidden="1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hidden="1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hidden="1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hidden="1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hidden="1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hidden="1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hidden="1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hidden="1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hidden="1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hidden="1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hidden="1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hidden="1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hidden="1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hidden="1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hidden="1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hidden="1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hidden="1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hidden="1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hidden="1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hidden="1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hidden="1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hidden="1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hidden="1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hidden="1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hidden="1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hidden="1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hidden="1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hidden="1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hidden="1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hidden="1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hidden="1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hidden="1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hidden="1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hidden="1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hidden="1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hidden="1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hidden="1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hidden="1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hidden="1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hidden="1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hidden="1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hidden="1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hidden="1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hidden="1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hidden="1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hidden="1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hidden="1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hidden="1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hidden="1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hidden="1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hidden="1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hidden="1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hidden="1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hidden="1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hidden="1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hidden="1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hidden="1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hidden="1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hidden="1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hidden="1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hidden="1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hidden="1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hidden="1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hidden="1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hidden="1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hidden="1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hidden="1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hidden="1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hidden="1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hidden="1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hidden="1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hidden="1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hidden="1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hidden="1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hidden="1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hidden="1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hidden="1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hidden="1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hidden="1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hidden="1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hidden="1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hidden="1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hidden="1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hidden="1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hidden="1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hidden="1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hidden="1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hidden="1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hidden="1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hidden="1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hidden="1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hidden="1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hidden="1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hidden="1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hidden="1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hidden="1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hidden="1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hidden="1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hidden="1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hidden="1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hidden="1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hidden="1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hidden="1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hidden="1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hidden="1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hidden="1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hidden="1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hidden="1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hidden="1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hidden="1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hidden="1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hidden="1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hidden="1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hidden="1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hidden="1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hidden="1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hidden="1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hidden="1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hidden="1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hidden="1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hidden="1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hidden="1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hidden="1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hidden="1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hidden="1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hidden="1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hidden="1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hidden="1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hidden="1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hidden="1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hidden="1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hidden="1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hidden="1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hidden="1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hidden="1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hidden="1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hidden="1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hidden="1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hidden="1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hidden="1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hidden="1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hidden="1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hidden="1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hidden="1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hidden="1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hidden="1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hidden="1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hidden="1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hidden="1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hidden="1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hidden="1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hidden="1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hidden="1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hidden="1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hidden="1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hidden="1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hidden="1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hidden="1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hidden="1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hidden="1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hidden="1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hidden="1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hidden="1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hidden="1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hidden="1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hidden="1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hidden="1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hidden="1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hidden="1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hidden="1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hidden="1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hidden="1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hidden="1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hidden="1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hidden="1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hidden="1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hidden="1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hidden="1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hidden="1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hidden="1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hidden="1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hidden="1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hidden="1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hidden="1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hidden="1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hidden="1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hidden="1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hidden="1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hidden="1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hidden="1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hidden="1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hidden="1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hidden="1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hidden="1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hidden="1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hidden="1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hidden="1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hidden="1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hidden="1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hidden="1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hidden="1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hidden="1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hidden="1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hidden="1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hidden="1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hidden="1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hidden="1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hidden="1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hidden="1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hidden="1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hidden="1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hidden="1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hidden="1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hidden="1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hidden="1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hidden="1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hidden="1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hidden="1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hidden="1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hidden="1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hidden="1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hidden="1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hidden="1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hidden="1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hidden="1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hidden="1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hidden="1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hidden="1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hidden="1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hidden="1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hidden="1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hidden="1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hidden="1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hidden="1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hidden="1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hidden="1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hidden="1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hidden="1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hidden="1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hidden="1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hidden="1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hidden="1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hidden="1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hidden="1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hidden="1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hidden="1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hidden="1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hidden="1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hidden="1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hidden="1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hidden="1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hidden="1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hidden="1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hidden="1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hidden="1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hidden="1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hidden="1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hidden="1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hidden="1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hidden="1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hidden="1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hidden="1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hidden="1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hidden="1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hidden="1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hidden="1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hidden="1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hidden="1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hidden="1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hidden="1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hidden="1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hidden="1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hidden="1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hidden="1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hidden="1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hidden="1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hidden="1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hidden="1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hidden="1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hidden="1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hidden="1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hidden="1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hidden="1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hidden="1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hidden="1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hidden="1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hidden="1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hidden="1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hidden="1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hidden="1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hidden="1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hidden="1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hidden="1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hidden="1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hidden="1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hidden="1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hidden="1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hidden="1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hidden="1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hidden="1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hidden="1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hidden="1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hidden="1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hidden="1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hidden="1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hidden="1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hidden="1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hidden="1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hidden="1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hidden="1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hidden="1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hidden="1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hidden="1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hidden="1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hidden="1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hidden="1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hidden="1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hidden="1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hidden="1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hidden="1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hidden="1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hidden="1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hidden="1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hidden="1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hidden="1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hidden="1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hidden="1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hidden="1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hidden="1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hidden="1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hidden="1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hidden="1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hidden="1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hidden="1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hidden="1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hidden="1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hidden="1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hidden="1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hidden="1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hidden="1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hidden="1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hidden="1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hidden="1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hidden="1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hidden="1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hidden="1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hidden="1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hidden="1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hidden="1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hidden="1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hidden="1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hidden="1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hidden="1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hidden="1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hidden="1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hidden="1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hidden="1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hidden="1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hidden="1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hidden="1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hidden="1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hidden="1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hidden="1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hidden="1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hidden="1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hidden="1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hidden="1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hidden="1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hidden="1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hidden="1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hidden="1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hidden="1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hidden="1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hidden="1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hidden="1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hidden="1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hidden="1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hidden="1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hidden="1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hidden="1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hidden="1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hidden="1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hidden="1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hidden="1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hidden="1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hidden="1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hidden="1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hidden="1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hidden="1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hidden="1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hidden="1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hidden="1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hidden="1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hidden="1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hidden="1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hidden="1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hidden="1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hidden="1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hidden="1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hidden="1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hidden="1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hidden="1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hidden="1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hidden="1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hidden="1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hidden="1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hidden="1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hidden="1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hidden="1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hidden="1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hidden="1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hidden="1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hidden="1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hidden="1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hidden="1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hidden="1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hidden="1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hidden="1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hidden="1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hidden="1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hidden="1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hidden="1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hidden="1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hidden="1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hidden="1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hidden="1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hidden="1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hidden="1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hidden="1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hidden="1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hidden="1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hidden="1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hidden="1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hidden="1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hidden="1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hidden="1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hidden="1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hidden="1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hidden="1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hidden="1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hidden="1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hidden="1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hidden="1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hidden="1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hidden="1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hidden="1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hidden="1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hidden="1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hidden="1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hidden="1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hidden="1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hidden="1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hidden="1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hidden="1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hidden="1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hidden="1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hidden="1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hidden="1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hidden="1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hidden="1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hidden="1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hidden="1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hidden="1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hidden="1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hidden="1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hidden="1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hidden="1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hidden="1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hidden="1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hidden="1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hidden="1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hidden="1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hidden="1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hidden="1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hidden="1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hidden="1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hidden="1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hidden="1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hidden="1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hidden="1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hidden="1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hidden="1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hidden="1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hidden="1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hidden="1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hidden="1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hidden="1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hidden="1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hidden="1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hidden="1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hidden="1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hidden="1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hidden="1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hidden="1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hidden="1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hidden="1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hidden="1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hidden="1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hidden="1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hidden="1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hidden="1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hidden="1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hidden="1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hidden="1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hidden="1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hidden="1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hidden="1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hidden="1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hidden="1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hidden="1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hidden="1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hidden="1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hidden="1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hidden="1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hidden="1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hidden="1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hidden="1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hidden="1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hidden="1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hidden="1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hidden="1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hidden="1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hidden="1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hidden="1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hidden="1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hidden="1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hidden="1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hidden="1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hidden="1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hidden="1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hidden="1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hidden="1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hidden="1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hidden="1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hidden="1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hidden="1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hidden="1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hidden="1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hidden="1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hidden="1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hidden="1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hidden="1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hidden="1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hidden="1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hidden="1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hidden="1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hidden="1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hidden="1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hidden="1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hidden="1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hidden="1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hidden="1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hidden="1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hidden="1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hidden="1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hidden="1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hidden="1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hidden="1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hidden="1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hidden="1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hidden="1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hidden="1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hidden="1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hidden="1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hidden="1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hidden="1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hidden="1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hidden="1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hidden="1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hidden="1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hidden="1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hidden="1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hidden="1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hidden="1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hidden="1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hidden="1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hidden="1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hidden="1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hidden="1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hidden="1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hidden="1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hidden="1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hidden="1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hidden="1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hidden="1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hidden="1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hidden="1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hidden="1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hidden="1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hidden="1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hidden="1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hidden="1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hidden="1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hidden="1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hidden="1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hidden="1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hidden="1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hidden="1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hidden="1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hidden="1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hidden="1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hidden="1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hidden="1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hidden="1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hidden="1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hidden="1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hidden="1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hidden="1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hidden="1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hidden="1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hidden="1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hidden="1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hidden="1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hidden="1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hidden="1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hidden="1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hidden="1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hidden="1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hidden="1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hidden="1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hidden="1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hidden="1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hidden="1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hidden="1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hidden="1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hidden="1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hidden="1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hidden="1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hidden="1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hidden="1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hidden="1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hidden="1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hidden="1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hidden="1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hidden="1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hidden="1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hidden="1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hidden="1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hidden="1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hidden="1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hidden="1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hidden="1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hidden="1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hidden="1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hidden="1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hidden="1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hidden="1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hidden="1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hidden="1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hidden="1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hidden="1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hidden="1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hidden="1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hidden="1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hidden="1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hidden="1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hidden="1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hidden="1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hidden="1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hidden="1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hidden="1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hidden="1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hidden="1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hidden="1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hidden="1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hidden="1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hidden="1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hidden="1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hidden="1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hidden="1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hidden="1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hidden="1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hidden="1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hidden="1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hidden="1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hidden="1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hidden="1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hidden="1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hidden="1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hidden="1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hidden="1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hidden="1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hidden="1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hidden="1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hidden="1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hidden="1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hidden="1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hidden="1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hidden="1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hidden="1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hidden="1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hidden="1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hidden="1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hidden="1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hidden="1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hidden="1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hidden="1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hidden="1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hidden="1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hidden="1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hidden="1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hidden="1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hidden="1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hidden="1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hidden="1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hidden="1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hidden="1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hidden="1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hidden="1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hidden="1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hidden="1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hidden="1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hidden="1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hidden="1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hidden="1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hidden="1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hidden="1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hidden="1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hidden="1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hidden="1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hidden="1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hidden="1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hidden="1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hidden="1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hidden="1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hidden="1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hidden="1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hidden="1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hidden="1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hidden="1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hidden="1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hidden="1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hidden="1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hidden="1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hidden="1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hidden="1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hidden="1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hidden="1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hidden="1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hidden="1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hidden="1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hidden="1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hidden="1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hidden="1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hidden="1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hidden="1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hidden="1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hidden="1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hidden="1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hidden="1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hidden="1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hidden="1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hidden="1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hidden="1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hidden="1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hidden="1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hidden="1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hidden="1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hidden="1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hidden="1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hidden="1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hidden="1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hidden="1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hidden="1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hidden="1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hidden="1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hidden="1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hidden="1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hidden="1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hidden="1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hidden="1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hidden="1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hidden="1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hidden="1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hidden="1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hidden="1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hidden="1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hidden="1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hidden="1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hidden="1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hidden="1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hidden="1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hidden="1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hidden="1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hidden="1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hidden="1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hidden="1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hidden="1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hidden="1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hidden="1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hidden="1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hidden="1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hidden="1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hidden="1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hidden="1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hidden="1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hidden="1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hidden="1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hidden="1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hidden="1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hidden="1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hidden="1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hidden="1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hidden="1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hidden="1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hidden="1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hidden="1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hidden="1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hidden="1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hidden="1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hidden="1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hidden="1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hidden="1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hidden="1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hidden="1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hidden="1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hidden="1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hidden="1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hidden="1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hidden="1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hidden="1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hidden="1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hidden="1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hidden="1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hidden="1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hidden="1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hidden="1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hidden="1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hidden="1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hidden="1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hidden="1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hidden="1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hidden="1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hidden="1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hidden="1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hidden="1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hidden="1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hidden="1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hidden="1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hidden="1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hidden="1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hidden="1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hidden="1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hidden="1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hidden="1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hidden="1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hidden="1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hidden="1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hidden="1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hidden="1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hidden="1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hidden="1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hidden="1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hidden="1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hidden="1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hidden="1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hidden="1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hidden="1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hidden="1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hidden="1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hidden="1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hidden="1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hidden="1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hidden="1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hidden="1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hidden="1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hidden="1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hidden="1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hidden="1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hidden="1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hidden="1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hidden="1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hidden="1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hidden="1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hidden="1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hidden="1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hidden="1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hidden="1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hidden="1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hidden="1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hidden="1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hidden="1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hidden="1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hidden="1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hidden="1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hidden="1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hidden="1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hidden="1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hidden="1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hidden="1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hidden="1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hidden="1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hidden="1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hidden="1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hidden="1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hidden="1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hidden="1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hidden="1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hidden="1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hidden="1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hidden="1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hidden="1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hidden="1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hidden="1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hidden="1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hidden="1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hidden="1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hidden="1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hidden="1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hidden="1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hidden="1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hidden="1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hidden="1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hidden="1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hidden="1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hidden="1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hidden="1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hidden="1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hidden="1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hidden="1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hidden="1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hidden="1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hidden="1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hidden="1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hidden="1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hidden="1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hidden="1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hidden="1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hidden="1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hidden="1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hidden="1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hidden="1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hidden="1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hidden="1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hidden="1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hidden="1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hidden="1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hidden="1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hidden="1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hidden="1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hidden="1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hidden="1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hidden="1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hidden="1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hidden="1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hidden="1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hidden="1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hidden="1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hidden="1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hidden="1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hidden="1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hidden="1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hidden="1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hidden="1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hidden="1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hidden="1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hidden="1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hidden="1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hidden="1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hidden="1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hidden="1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hidden="1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hidden="1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hidden="1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hidden="1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hidden="1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hidden="1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hidden="1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hidden="1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hidden="1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hidden="1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hidden="1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hidden="1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hidden="1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hidden="1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hidden="1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hidden="1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hidden="1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hidden="1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hidden="1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hidden="1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hidden="1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hidden="1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hidden="1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hidden="1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hidden="1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hidden="1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hidden="1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hidden="1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hidden="1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hidden="1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hidden="1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hidden="1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hidden="1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hidden="1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hidden="1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hidden="1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hidden="1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hidden="1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hidden="1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hidden="1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hidden="1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hidden="1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hidden="1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hidden="1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hidden="1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hidden="1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hidden="1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hidden="1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hidden="1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hidden="1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hidden="1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hidden="1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hidden="1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hidden="1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hidden="1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hidden="1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hidden="1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hidden="1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hidden="1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hidden="1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hidden="1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hidden="1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hidden="1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hidden="1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hidden="1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hidden="1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hidden="1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hidden="1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hidden="1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hidden="1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hidden="1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hidden="1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hidden="1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hidden="1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hidden="1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hidden="1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hidden="1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hidden="1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hidden="1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hidden="1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hidden="1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hidden="1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hidden="1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hidden="1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hidden="1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hidden="1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hidden="1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hidden="1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hidden="1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hidden="1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hidden="1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hidden="1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hidden="1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hidden="1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hidden="1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hidden="1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hidden="1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hidden="1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hidden="1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hidden="1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hidden="1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hidden="1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hidden="1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hidden="1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hidden="1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hidden="1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hidden="1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hidden="1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hidden="1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hidden="1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hidden="1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hidden="1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hidden="1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hidden="1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hidden="1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hidden="1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hidden="1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hidden="1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hidden="1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hidden="1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hidden="1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hidden="1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hidden="1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hidden="1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hidden="1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hidden="1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hidden="1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hidden="1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hidden="1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hidden="1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hidden="1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hidden="1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hidden="1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hidden="1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hidden="1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hidden="1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hidden="1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hidden="1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hidden="1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hidden="1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hidden="1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hidden="1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hidden="1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hidden="1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hidden="1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hidden="1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hidden="1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hidden="1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hidden="1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hidden="1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hidden="1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hidden="1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hidden="1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hidden="1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hidden="1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hidden="1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hidden="1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hidden="1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hidden="1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hidden="1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hidden="1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hidden="1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hidden="1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hidden="1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hidden="1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hidden="1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hidden="1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hidden="1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hidden="1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hidden="1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hidden="1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hidden="1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hidden="1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hidden="1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hidden="1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hidden="1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hidden="1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hidden="1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hidden="1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hidden="1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hidden="1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hidden="1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hidden="1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hidden="1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hidden="1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hidden="1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hidden="1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hidden="1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hidden="1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hidden="1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hidden="1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hidden="1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hidden="1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hidden="1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hidden="1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hidden="1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hidden="1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hidden="1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hidden="1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hidden="1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hidden="1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hidden="1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hidden="1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hidden="1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hidden="1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hidden="1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hidden="1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hidden="1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hidden="1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hidden="1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hidden="1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hidden="1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hidden="1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hidden="1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hidden="1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hidden="1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hidden="1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hidden="1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hidden="1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hidden="1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hidden="1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hidden="1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hidden="1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hidden="1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hidden="1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hidden="1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hidden="1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hidden="1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hidden="1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hidden="1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hidden="1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hidden="1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hidden="1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hidden="1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hidden="1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hidden="1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hidden="1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hidden="1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hidden="1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hidden="1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hidden="1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hidden="1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hidden="1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hidden="1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hidden="1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hidden="1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hidden="1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hidden="1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hidden="1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hidden="1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hidden="1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hidden="1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hidden="1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hidden="1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hidden="1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hidden="1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hidden="1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hidden="1" x14ac:dyDescent="0.25">
      <c r="A4407" s="1">
        <v>1</v>
      </c>
      <c r="B4407" s="204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hidden="1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hidden="1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hidden="1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hidden="1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hidden="1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hidden="1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hidden="1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hidden="1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hidden="1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hidden="1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hidden="1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hidden="1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hidden="1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hidden="1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hidden="1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hidden="1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hidden="1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hidden="1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hidden="1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hidden="1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hidden="1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hidden="1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hidden="1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hidden="1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hidden="1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hidden="1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hidden="1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hidden="1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hidden="1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hidden="1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hidden="1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hidden="1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hidden="1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hidden="1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hidden="1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hidden="1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hidden="1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hidden="1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hidden="1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hidden="1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hidden="1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hidden="1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hidden="1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hidden="1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hidden="1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hidden="1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hidden="1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hidden="1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hidden="1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hidden="1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hidden="1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hidden="1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hidden="1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hidden="1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hidden="1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hidden="1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hidden="1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hidden="1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hidden="1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hidden="1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hidden="1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hidden="1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hidden="1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hidden="1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hidden="1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hidden="1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hidden="1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hidden="1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hidden="1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hidden="1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hidden="1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hidden="1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hidden="1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hidden="1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hidden="1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hidden="1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hidden="1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hidden="1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hidden="1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hidden="1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hidden="1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hidden="1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hidden="1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hidden="1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hidden="1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hidden="1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hidden="1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hidden="1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hidden="1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hidden="1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hidden="1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hidden="1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hidden="1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hidden="1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hidden="1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hidden="1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hidden="1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hidden="1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hidden="1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hidden="1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hidden="1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hidden="1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hidden="1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hidden="1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hidden="1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hidden="1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hidden="1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hidden="1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hidden="1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hidden="1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hidden="1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hidden="1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hidden="1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hidden="1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hidden="1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hidden="1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hidden="1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hidden="1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hidden="1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hidden="1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hidden="1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hidden="1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hidden="1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hidden="1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hidden="1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hidden="1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hidden="1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hidden="1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hidden="1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hidden="1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hidden="1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hidden="1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hidden="1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hidden="1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hidden="1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hidden="1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hidden="1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hidden="1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hidden="1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hidden="1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hidden="1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hidden="1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hidden="1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hidden="1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hidden="1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hidden="1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hidden="1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hidden="1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hidden="1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hidden="1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hidden="1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hidden="1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hidden="1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hidden="1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hidden="1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hidden="1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hidden="1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hidden="1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hidden="1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hidden="1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hidden="1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hidden="1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hidden="1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hidden="1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hidden="1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hidden="1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hidden="1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hidden="1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hidden="1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hidden="1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hidden="1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hidden="1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hidden="1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hidden="1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hidden="1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hidden="1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hidden="1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hidden="1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hidden="1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hidden="1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hidden="1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hidden="1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hidden="1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hidden="1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hidden="1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hidden="1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hidden="1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hidden="1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hidden="1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hidden="1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hidden="1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hidden="1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hidden="1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hidden="1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hidden="1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hidden="1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hidden="1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hidden="1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hidden="1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hidden="1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hidden="1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hidden="1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hidden="1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hidden="1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hidden="1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hidden="1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hidden="1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hidden="1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hidden="1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hidden="1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hidden="1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hidden="1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hidden="1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hidden="1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hidden="1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hidden="1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hidden="1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hidden="1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hidden="1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hidden="1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hidden="1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hidden="1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hidden="1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hidden="1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hidden="1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hidden="1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hidden="1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hidden="1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hidden="1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hidden="1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hidden="1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hidden="1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hidden="1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hidden="1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hidden="1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hidden="1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hidden="1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hidden="1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hidden="1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hidden="1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hidden="1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hidden="1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hidden="1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hidden="1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hidden="1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hidden="1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hidden="1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hidden="1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hidden="1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hidden="1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hidden="1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hidden="1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hidden="1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hidden="1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hidden="1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hidden="1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hidden="1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hidden="1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hidden="1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hidden="1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hidden="1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hidden="1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hidden="1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hidden="1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hidden="1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hidden="1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hidden="1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hidden="1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hidden="1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hidden="1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hidden="1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hidden="1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hidden="1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hidden="1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hidden="1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hidden="1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hidden="1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hidden="1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hidden="1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hidden="1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hidden="1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hidden="1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hidden="1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hidden="1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hidden="1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hidden="1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hidden="1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hidden="1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hidden="1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hidden="1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hidden="1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hidden="1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hidden="1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hidden="1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hidden="1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hidden="1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hidden="1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hidden="1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hidden="1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hidden="1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hidden="1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hidden="1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hidden="1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hidden="1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hidden="1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hidden="1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hidden="1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hidden="1" x14ac:dyDescent="0.25">
      <c r="A4715" s="1">
        <v>1</v>
      </c>
      <c r="B4715" s="159">
        <v>3720</v>
      </c>
      <c r="C4715" s="1" t="s">
        <v>226</v>
      </c>
      <c r="D4715" s="1" t="s">
        <v>4445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4446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hidden="1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hidden="1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hidden="1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hidden="1" x14ac:dyDescent="0.25">
      <c r="A4719" s="1">
        <v>4</v>
      </c>
      <c r="B4719" s="159">
        <v>3422</v>
      </c>
      <c r="C4719" s="1" t="s">
        <v>4328</v>
      </c>
      <c r="D4719" s="1"/>
      <c r="E4719" s="1"/>
      <c r="F4719" s="1" t="s">
        <v>4329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hidden="1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4332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hidden="1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4333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hidden="1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4334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hidden="1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4335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hidden="1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4336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hidden="1" x14ac:dyDescent="0.25">
      <c r="A4725" s="1">
        <v>10</v>
      </c>
      <c r="B4725" s="159">
        <v>3435</v>
      </c>
      <c r="C4725" s="1" t="s">
        <v>4449</v>
      </c>
      <c r="D4725" s="1"/>
      <c r="E4725" s="1"/>
      <c r="F4725" s="1" t="s">
        <v>4450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hidden="1" x14ac:dyDescent="0.25">
      <c r="A4726" s="1">
        <v>11</v>
      </c>
      <c r="B4726" s="159">
        <v>3437</v>
      </c>
      <c r="C4726" s="1" t="s">
        <v>4451</v>
      </c>
      <c r="D4726" s="1"/>
      <c r="E4726" s="1"/>
      <c r="F4726" s="1" t="s">
        <v>4452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hidden="1" x14ac:dyDescent="0.25">
      <c r="A4727" s="1">
        <v>12</v>
      </c>
      <c r="B4727" s="159">
        <v>3438</v>
      </c>
      <c r="C4727" s="1" t="s">
        <v>4453</v>
      </c>
      <c r="D4727" s="1"/>
      <c r="E4727" s="1"/>
      <c r="F4727" s="1" t="s">
        <v>4454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hidden="1" x14ac:dyDescent="0.25">
      <c r="A4728" s="1">
        <v>13</v>
      </c>
      <c r="B4728" s="159">
        <v>3439</v>
      </c>
      <c r="C4728" s="1" t="s">
        <v>4343</v>
      </c>
      <c r="D4728" s="1"/>
      <c r="E4728" s="1" t="s">
        <v>2</v>
      </c>
      <c r="F4728" s="1" t="s">
        <v>4344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hidden="1" x14ac:dyDescent="0.25">
      <c r="A4729" s="1">
        <v>14</v>
      </c>
      <c r="B4729" s="159">
        <v>3440</v>
      </c>
      <c r="C4729" s="1" t="s">
        <v>4345</v>
      </c>
      <c r="D4729" s="1"/>
      <c r="E4729" s="1" t="s">
        <v>2</v>
      </c>
      <c r="F4729" s="1" t="s">
        <v>4346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hidden="1" x14ac:dyDescent="0.25">
      <c r="A4730" s="1">
        <v>15</v>
      </c>
      <c r="B4730" s="159">
        <v>3441</v>
      </c>
      <c r="C4730" s="1" t="s">
        <v>4345</v>
      </c>
      <c r="D4730" s="1"/>
      <c r="E4730" s="1" t="s">
        <v>43</v>
      </c>
      <c r="F4730" s="1" t="s">
        <v>4347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hidden="1" x14ac:dyDescent="0.25">
      <c r="A4731" s="1">
        <v>16</v>
      </c>
      <c r="B4731" s="159">
        <v>3442</v>
      </c>
      <c r="C4731" s="1" t="s">
        <v>4345</v>
      </c>
      <c r="D4731" s="1"/>
      <c r="E4731" s="1" t="s">
        <v>746</v>
      </c>
      <c r="F4731" s="1" t="s">
        <v>4348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hidden="1" x14ac:dyDescent="0.25">
      <c r="A4732" s="1">
        <v>17</v>
      </c>
      <c r="B4732" s="159">
        <v>3443</v>
      </c>
      <c r="C4732" s="1" t="s">
        <v>4349</v>
      </c>
      <c r="D4732" s="1"/>
      <c r="E4732" s="1" t="s">
        <v>2</v>
      </c>
      <c r="F4732" s="1" t="s">
        <v>4350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hidden="1" x14ac:dyDescent="0.25">
      <c r="A4733" s="1">
        <v>18</v>
      </c>
      <c r="B4733" s="159">
        <v>3444</v>
      </c>
      <c r="C4733" s="1" t="s">
        <v>4349</v>
      </c>
      <c r="D4733" s="1"/>
      <c r="E4733" s="1" t="s">
        <v>43</v>
      </c>
      <c r="F4733" s="1" t="s">
        <v>4351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hidden="1" x14ac:dyDescent="0.25">
      <c r="A4734" s="1">
        <v>19</v>
      </c>
      <c r="B4734" s="159">
        <v>3464</v>
      </c>
      <c r="C4734" s="1" t="s">
        <v>4371</v>
      </c>
      <c r="D4734" s="1"/>
      <c r="E4734" s="1"/>
      <c r="F4734" s="1" t="s">
        <v>4372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hidden="1" x14ac:dyDescent="0.25">
      <c r="A4735" s="1">
        <v>20</v>
      </c>
      <c r="B4735" s="159">
        <v>3465</v>
      </c>
      <c r="C4735" s="1" t="s">
        <v>4373</v>
      </c>
      <c r="D4735" s="1"/>
      <c r="E4735" s="1"/>
      <c r="F4735" s="1" t="s">
        <v>4374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hidden="1" x14ac:dyDescent="0.25">
      <c r="A4736" s="1">
        <v>21</v>
      </c>
      <c r="B4736" s="159">
        <v>3469</v>
      </c>
      <c r="C4736" s="1" t="s">
        <v>4381</v>
      </c>
      <c r="D4736" s="1"/>
      <c r="E4736" s="1" t="s">
        <v>2</v>
      </c>
      <c r="F4736" s="1" t="s">
        <v>4382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hidden="1" x14ac:dyDescent="0.25">
      <c r="A4737" s="1">
        <v>22</v>
      </c>
      <c r="B4737" s="159">
        <v>3469</v>
      </c>
      <c r="C4737" s="1" t="s">
        <v>4381</v>
      </c>
      <c r="D4737" s="1"/>
      <c r="E4737" s="1" t="s">
        <v>43</v>
      </c>
      <c r="F4737" s="1" t="s">
        <v>4455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hidden="1" x14ac:dyDescent="0.25">
      <c r="A4738" s="1">
        <v>23</v>
      </c>
      <c r="B4738" s="159">
        <v>3470</v>
      </c>
      <c r="C4738" s="1" t="s">
        <v>4381</v>
      </c>
      <c r="D4738" s="1"/>
      <c r="E4738" s="1" t="s">
        <v>746</v>
      </c>
      <c r="F4738" s="1" t="s">
        <v>4383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hidden="1" x14ac:dyDescent="0.25">
      <c r="A4739" s="1">
        <v>24</v>
      </c>
      <c r="B4739" s="159">
        <v>3471</v>
      </c>
      <c r="C4739" s="1" t="s">
        <v>4381</v>
      </c>
      <c r="D4739" s="1"/>
      <c r="E4739" s="1" t="s">
        <v>1101</v>
      </c>
      <c r="F4739" s="1" t="s">
        <v>4384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hidden="1" x14ac:dyDescent="0.25">
      <c r="A4740" s="1">
        <v>25</v>
      </c>
      <c r="B4740" s="159">
        <v>3472</v>
      </c>
      <c r="C4740" s="1" t="s">
        <v>4381</v>
      </c>
      <c r="D4740" s="1"/>
      <c r="E4740" s="1" t="s">
        <v>100</v>
      </c>
      <c r="F4740" s="1" t="s">
        <v>4385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hidden="1" x14ac:dyDescent="0.25">
      <c r="A4741" s="1">
        <v>26</v>
      </c>
      <c r="B4741" s="159">
        <v>3473</v>
      </c>
      <c r="C4741" s="1" t="s">
        <v>4381</v>
      </c>
      <c r="D4741" s="1"/>
      <c r="E4741" s="1" t="s">
        <v>173</v>
      </c>
      <c r="F4741" s="1" t="s">
        <v>4386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hidden="1" x14ac:dyDescent="0.25">
      <c r="A4742" s="1">
        <v>27</v>
      </c>
      <c r="B4742" s="159">
        <v>3474</v>
      </c>
      <c r="C4742" s="1" t="s">
        <v>4381</v>
      </c>
      <c r="D4742" s="1"/>
      <c r="E4742" s="1" t="s">
        <v>461</v>
      </c>
      <c r="F4742" s="1" t="s">
        <v>4387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hidden="1" x14ac:dyDescent="0.25">
      <c r="A4743" s="1">
        <v>28</v>
      </c>
      <c r="B4743" s="159">
        <v>3475</v>
      </c>
      <c r="C4743" s="1" t="s">
        <v>4381</v>
      </c>
      <c r="D4743" s="1"/>
      <c r="E4743" s="1" t="s">
        <v>464</v>
      </c>
      <c r="F4743" s="1" t="s">
        <v>4388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hidden="1" x14ac:dyDescent="0.25">
      <c r="A4744" s="1">
        <v>29</v>
      </c>
      <c r="B4744" s="159">
        <v>3476</v>
      </c>
      <c r="C4744" s="1" t="s">
        <v>4381</v>
      </c>
      <c r="D4744" s="1"/>
      <c r="E4744" s="1" t="s">
        <v>1102</v>
      </c>
      <c r="F4744" s="1" t="s">
        <v>4389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hidden="1" x14ac:dyDescent="0.25">
      <c r="A4745" s="1">
        <v>30</v>
      </c>
      <c r="B4745" s="159">
        <v>3477</v>
      </c>
      <c r="C4745" s="1" t="s">
        <v>4381</v>
      </c>
      <c r="D4745" s="1"/>
      <c r="E4745" s="1" t="s">
        <v>1103</v>
      </c>
      <c r="F4745" s="1" t="s">
        <v>4390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hidden="1" x14ac:dyDescent="0.25">
      <c r="A4746" s="1">
        <v>31</v>
      </c>
      <c r="B4746" s="159">
        <v>3478</v>
      </c>
      <c r="C4746" s="1" t="s">
        <v>4381</v>
      </c>
      <c r="D4746" s="1"/>
      <c r="E4746" s="1" t="s">
        <v>1105</v>
      </c>
      <c r="F4746" s="1" t="s">
        <v>4391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hidden="1" x14ac:dyDescent="0.25">
      <c r="A4747" s="1">
        <v>32</v>
      </c>
      <c r="B4747" s="159">
        <v>3479</v>
      </c>
      <c r="C4747" s="1" t="s">
        <v>4392</v>
      </c>
      <c r="D4747" s="1"/>
      <c r="E4747" s="1"/>
      <c r="F4747" s="1" t="s">
        <v>4393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hidden="1" x14ac:dyDescent="0.25">
      <c r="A4748" s="1">
        <v>33</v>
      </c>
      <c r="B4748" s="159">
        <v>3481</v>
      </c>
      <c r="C4748" s="1" t="s">
        <v>4396</v>
      </c>
      <c r="D4748" s="1"/>
      <c r="E4748" s="1"/>
      <c r="F4748" s="1" t="s">
        <v>4397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hidden="1" x14ac:dyDescent="0.25">
      <c r="A4749" s="1">
        <v>34</v>
      </c>
      <c r="B4749" s="204">
        <v>4347</v>
      </c>
      <c r="C4749" s="1" t="s">
        <v>4456</v>
      </c>
      <c r="D4749" s="1"/>
      <c r="E4749" s="1"/>
      <c r="F4749" s="1" t="s">
        <v>4457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hidden="1" x14ac:dyDescent="0.25">
      <c r="A4750" s="1">
        <v>35</v>
      </c>
      <c r="B4750" s="159">
        <v>4348</v>
      </c>
      <c r="C4750" s="1" t="s">
        <v>4456</v>
      </c>
      <c r="D4750" s="1"/>
      <c r="E4750" s="1"/>
      <c r="F4750" s="1" t="s">
        <v>4458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hidden="1" x14ac:dyDescent="0.25">
      <c r="A4751" s="1">
        <v>36</v>
      </c>
      <c r="B4751" s="204">
        <v>4349</v>
      </c>
      <c r="C4751" s="1" t="s">
        <v>4456</v>
      </c>
      <c r="D4751" s="1"/>
      <c r="E4751" s="1"/>
      <c r="F4751" s="1" t="s">
        <v>4459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hidden="1" x14ac:dyDescent="0.25">
      <c r="A4752" s="1">
        <v>37</v>
      </c>
      <c r="B4752" s="159">
        <v>4350</v>
      </c>
      <c r="C4752" s="1" t="s">
        <v>4460</v>
      </c>
      <c r="D4752" s="1"/>
      <c r="E4752" s="1"/>
      <c r="F4752" s="1" t="s">
        <v>4461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hidden="1" x14ac:dyDescent="0.25">
      <c r="A4753" s="1">
        <v>38</v>
      </c>
      <c r="B4753" s="204">
        <v>4351</v>
      </c>
      <c r="C4753" s="1" t="s">
        <v>4392</v>
      </c>
      <c r="D4753" s="1"/>
      <c r="E4753" s="1"/>
      <c r="F4753" s="1" t="s">
        <v>4462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hidden="1" x14ac:dyDescent="0.25">
      <c r="A4754" s="1">
        <v>39</v>
      </c>
      <c r="B4754" s="159">
        <v>4352</v>
      </c>
      <c r="C4754" s="1" t="s">
        <v>4392</v>
      </c>
      <c r="D4754" s="1"/>
      <c r="E4754" s="1"/>
      <c r="F4754" s="1" t="s">
        <v>4463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hidden="1" x14ac:dyDescent="0.25">
      <c r="A4755" s="1">
        <v>40</v>
      </c>
      <c r="B4755" s="204">
        <v>4353</v>
      </c>
      <c r="C4755" s="1" t="s">
        <v>4392</v>
      </c>
      <c r="D4755" s="1"/>
      <c r="E4755" s="1"/>
      <c r="F4755" s="1" t="s">
        <v>4464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hidden="1" x14ac:dyDescent="0.25">
      <c r="A4756" s="1">
        <v>41</v>
      </c>
      <c r="B4756" s="159">
        <v>4354</v>
      </c>
      <c r="C4756" s="1" t="s">
        <v>4460</v>
      </c>
      <c r="D4756" s="1"/>
      <c r="E4756" s="1"/>
      <c r="F4756" s="1" t="s">
        <v>4465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hidden="1" x14ac:dyDescent="0.25">
      <c r="A4757" s="1">
        <v>42</v>
      </c>
      <c r="B4757" s="204">
        <v>4355</v>
      </c>
      <c r="C4757" s="1" t="s">
        <v>4466</v>
      </c>
      <c r="D4757" s="1"/>
      <c r="E4757" s="1"/>
      <c r="F4757" s="1" t="s">
        <v>4467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hidden="1" x14ac:dyDescent="0.25">
      <c r="A4758" s="1">
        <v>43</v>
      </c>
      <c r="B4758" s="159">
        <v>4356</v>
      </c>
      <c r="C4758" s="1" t="s">
        <v>4466</v>
      </c>
      <c r="D4758" s="1"/>
      <c r="E4758" s="1"/>
      <c r="F4758" s="1" t="s">
        <v>4468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hidden="1" x14ac:dyDescent="0.25">
      <c r="A4759" s="1">
        <v>44</v>
      </c>
      <c r="B4759" s="204">
        <v>4357</v>
      </c>
      <c r="C4759" s="1" t="s">
        <v>4466</v>
      </c>
      <c r="D4759" s="1"/>
      <c r="E4759" s="1"/>
      <c r="F4759" s="1" t="s">
        <v>4469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hidden="1" x14ac:dyDescent="0.25">
      <c r="A4760" s="1">
        <v>45</v>
      </c>
      <c r="B4760" s="159">
        <v>4358</v>
      </c>
      <c r="C4760" s="1" t="s">
        <v>4470</v>
      </c>
      <c r="D4760" s="1"/>
      <c r="E4760" s="1"/>
      <c r="F4760" s="1" t="s">
        <v>4471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hidden="1" x14ac:dyDescent="0.25">
      <c r="A4761" s="1">
        <v>46</v>
      </c>
      <c r="B4761" s="204">
        <v>4359</v>
      </c>
      <c r="C4761" s="1" t="s">
        <v>4472</v>
      </c>
      <c r="D4761" s="1"/>
      <c r="E4761" s="1"/>
      <c r="F4761" s="1" t="s">
        <v>4473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hidden="1" x14ac:dyDescent="0.25">
      <c r="A4762" s="1">
        <v>47</v>
      </c>
      <c r="B4762" s="159">
        <v>4360</v>
      </c>
      <c r="C4762" s="1" t="s">
        <v>4472</v>
      </c>
      <c r="D4762" s="1"/>
      <c r="E4762" s="1"/>
      <c r="F4762" s="1" t="s">
        <v>4474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hidden="1" x14ac:dyDescent="0.25">
      <c r="A4763" s="1">
        <v>48</v>
      </c>
      <c r="B4763" s="204">
        <v>4361</v>
      </c>
      <c r="C4763" s="1" t="s">
        <v>4472</v>
      </c>
      <c r="D4763" s="1"/>
      <c r="E4763" s="1"/>
      <c r="F4763" s="1" t="s">
        <v>4475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hidden="1" x14ac:dyDescent="0.25">
      <c r="A4764" s="1">
        <v>49</v>
      </c>
      <c r="B4764" s="159">
        <v>4362</v>
      </c>
      <c r="C4764" s="1" t="s">
        <v>4472</v>
      </c>
      <c r="D4764" s="1"/>
      <c r="E4764" s="1"/>
      <c r="F4764" s="1" t="s">
        <v>4476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hidden="1" x14ac:dyDescent="0.25">
      <c r="A4765" s="1">
        <v>50</v>
      </c>
      <c r="B4765" s="204">
        <v>4363</v>
      </c>
      <c r="C4765" s="1" t="s">
        <v>4472</v>
      </c>
      <c r="D4765" s="1"/>
      <c r="E4765" s="1"/>
      <c r="F4765" s="1" t="s">
        <v>4477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hidden="1" x14ac:dyDescent="0.25">
      <c r="A4766" s="1">
        <v>51</v>
      </c>
      <c r="B4766" s="159">
        <v>4364</v>
      </c>
      <c r="C4766" s="1" t="s">
        <v>4472</v>
      </c>
      <c r="D4766" s="1"/>
      <c r="E4766" s="1"/>
      <c r="F4766" s="1" t="s">
        <v>4478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hidden="1" x14ac:dyDescent="0.25">
      <c r="A4767" s="1">
        <v>52</v>
      </c>
      <c r="B4767" s="204">
        <v>4365</v>
      </c>
      <c r="C4767" s="1" t="s">
        <v>4472</v>
      </c>
      <c r="D4767" s="1"/>
      <c r="E4767" s="1"/>
      <c r="F4767" s="1" t="s">
        <v>4479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hidden="1" x14ac:dyDescent="0.25">
      <c r="A4768" s="1">
        <v>53</v>
      </c>
      <c r="B4768" s="159">
        <v>4366</v>
      </c>
      <c r="C4768" s="1" t="s">
        <v>4472</v>
      </c>
      <c r="D4768" s="1"/>
      <c r="E4768" s="1"/>
      <c r="F4768" s="1" t="s">
        <v>4480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hidden="1" x14ac:dyDescent="0.25">
      <c r="A4769" s="1">
        <v>54</v>
      </c>
      <c r="B4769" s="204">
        <v>4367</v>
      </c>
      <c r="C4769" s="1" t="s">
        <v>4472</v>
      </c>
      <c r="D4769" s="1"/>
      <c r="E4769" s="1"/>
      <c r="F4769" s="1" t="s">
        <v>4481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hidden="1" x14ac:dyDescent="0.25">
      <c r="A4770" s="1">
        <v>55</v>
      </c>
      <c r="B4770" s="159">
        <v>4368</v>
      </c>
      <c r="C4770" s="1" t="s">
        <v>4472</v>
      </c>
      <c r="D4770" s="1"/>
      <c r="E4770" s="1"/>
      <c r="F4770" s="1" t="s">
        <v>4482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hidden="1" x14ac:dyDescent="0.25">
      <c r="A4771" s="1">
        <v>56</v>
      </c>
      <c r="B4771" s="204">
        <v>4369</v>
      </c>
      <c r="C4771" s="1" t="s">
        <v>4472</v>
      </c>
      <c r="D4771" s="1"/>
      <c r="E4771" s="1"/>
      <c r="F4771" s="1" t="s">
        <v>4483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hidden="1" x14ac:dyDescent="0.25">
      <c r="A4772" s="1">
        <v>57</v>
      </c>
      <c r="B4772" s="159">
        <v>4370</v>
      </c>
      <c r="C4772" s="1" t="s">
        <v>4472</v>
      </c>
      <c r="D4772" s="1"/>
      <c r="E4772" s="1"/>
      <c r="F4772" s="1" t="s">
        <v>4484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hidden="1" x14ac:dyDescent="0.25">
      <c r="A4773" s="1">
        <v>58</v>
      </c>
      <c r="B4773" s="204">
        <v>4371</v>
      </c>
      <c r="C4773" s="1" t="s">
        <v>4472</v>
      </c>
      <c r="D4773" s="1"/>
      <c r="E4773" s="1"/>
      <c r="F4773" s="1" t="s">
        <v>4485</v>
      </c>
      <c r="G4773" s="1">
        <v>71</v>
      </c>
      <c r="H4773" s="1" t="s">
        <v>4486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hidden="1" x14ac:dyDescent="0.25">
      <c r="A4774" s="1">
        <v>59</v>
      </c>
      <c r="B4774" s="159">
        <v>4372</v>
      </c>
      <c r="C4774" s="1" t="s">
        <v>4472</v>
      </c>
      <c r="D4774" s="1"/>
      <c r="E4774" s="1"/>
      <c r="F4774" s="1" t="s">
        <v>4487</v>
      </c>
      <c r="G4774" s="1">
        <v>10</v>
      </c>
      <c r="H4774" s="1" t="s">
        <v>4486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hidden="1" x14ac:dyDescent="0.25">
      <c r="A4775" s="1">
        <v>60</v>
      </c>
      <c r="B4775" s="204">
        <v>4373</v>
      </c>
      <c r="C4775" s="1" t="s">
        <v>4472</v>
      </c>
      <c r="D4775" s="1"/>
      <c r="E4775" s="1"/>
      <c r="F4775" s="1" t="s">
        <v>4488</v>
      </c>
      <c r="G4775" s="1">
        <v>18</v>
      </c>
      <c r="H4775" s="1" t="s">
        <v>4486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hidden="1" x14ac:dyDescent="0.25">
      <c r="A4776" s="1">
        <v>61</v>
      </c>
      <c r="B4776" s="159">
        <v>4374</v>
      </c>
      <c r="C4776" s="1" t="s">
        <v>4472</v>
      </c>
      <c r="D4776" s="1"/>
      <c r="E4776" s="1"/>
      <c r="F4776" s="1" t="s">
        <v>4489</v>
      </c>
      <c r="G4776" s="1">
        <v>50</v>
      </c>
      <c r="H4776" s="1" t="s">
        <v>4486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hidden="1" x14ac:dyDescent="0.25">
      <c r="A4777" s="1">
        <v>62</v>
      </c>
      <c r="B4777" s="204">
        <v>4375</v>
      </c>
      <c r="C4777" s="1" t="s">
        <v>4472</v>
      </c>
      <c r="D4777" s="1"/>
      <c r="E4777" s="1"/>
      <c r="F4777" s="1" t="s">
        <v>4490</v>
      </c>
      <c r="G4777" s="1">
        <v>60</v>
      </c>
      <c r="H4777" s="1" t="s">
        <v>4486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hidden="1" x14ac:dyDescent="0.25">
      <c r="A4778" s="1">
        <v>63</v>
      </c>
      <c r="B4778" s="159">
        <v>4376</v>
      </c>
      <c r="C4778" s="1" t="s">
        <v>4472</v>
      </c>
      <c r="D4778" s="1"/>
      <c r="E4778" s="1"/>
      <c r="F4778" s="1" t="s">
        <v>4491</v>
      </c>
      <c r="G4778" s="1">
        <v>15</v>
      </c>
      <c r="H4778" s="1" t="s">
        <v>4486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hidden="1" x14ac:dyDescent="0.25">
      <c r="A4779" s="1">
        <v>64</v>
      </c>
      <c r="B4779" s="204">
        <v>4377</v>
      </c>
      <c r="C4779" s="1" t="s">
        <v>4472</v>
      </c>
      <c r="D4779" s="1"/>
      <c r="E4779" s="1"/>
      <c r="F4779" s="1" t="s">
        <v>4492</v>
      </c>
      <c r="G4779" s="1">
        <v>52</v>
      </c>
      <c r="H4779" s="1" t="s">
        <v>4486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hidden="1" x14ac:dyDescent="0.25">
      <c r="A4780" s="1">
        <v>65</v>
      </c>
      <c r="B4780" s="159">
        <v>4378</v>
      </c>
      <c r="C4780" s="1" t="s">
        <v>4472</v>
      </c>
      <c r="D4780" s="1"/>
      <c r="E4780" s="1"/>
      <c r="F4780" s="1" t="s">
        <v>4493</v>
      </c>
      <c r="G4780" s="1">
        <v>78</v>
      </c>
      <c r="H4780" s="1" t="s">
        <v>4486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hidden="1" x14ac:dyDescent="0.25">
      <c r="A4781" s="1">
        <v>66</v>
      </c>
      <c r="B4781" s="204">
        <v>4379</v>
      </c>
      <c r="C4781" s="1" t="s">
        <v>4472</v>
      </c>
      <c r="D4781" s="1"/>
      <c r="E4781" s="1"/>
      <c r="F4781" s="1" t="s">
        <v>4494</v>
      </c>
      <c r="G4781" s="1">
        <v>26</v>
      </c>
      <c r="H4781" s="1" t="s">
        <v>4486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hidden="1" x14ac:dyDescent="0.25">
      <c r="A4782" s="1">
        <v>67</v>
      </c>
      <c r="B4782" s="159">
        <v>4380</v>
      </c>
      <c r="C4782" s="1" t="s">
        <v>4472</v>
      </c>
      <c r="D4782" s="1"/>
      <c r="E4782" s="1"/>
      <c r="F4782" s="1" t="s">
        <v>4495</v>
      </c>
      <c r="G4782" s="1">
        <v>60</v>
      </c>
      <c r="H4782" s="1" t="s">
        <v>4486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hidden="1" x14ac:dyDescent="0.25">
      <c r="A4783" s="1">
        <v>68</v>
      </c>
      <c r="B4783" s="204">
        <v>4381</v>
      </c>
      <c r="C4783" s="1" t="s">
        <v>4472</v>
      </c>
      <c r="D4783" s="1"/>
      <c r="E4783" s="1"/>
      <c r="F4783" s="1" t="s">
        <v>4496</v>
      </c>
      <c r="G4783" s="1">
        <v>52</v>
      </c>
      <c r="H4783" s="1" t="s">
        <v>4486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hidden="1" x14ac:dyDescent="0.25">
      <c r="A4784" s="1">
        <v>69</v>
      </c>
      <c r="B4784" s="159">
        <v>4382</v>
      </c>
      <c r="C4784" s="1" t="s">
        <v>4472</v>
      </c>
      <c r="D4784" s="1"/>
      <c r="E4784" s="1"/>
      <c r="F4784" s="1" t="s">
        <v>4497</v>
      </c>
      <c r="G4784" s="1">
        <v>26</v>
      </c>
      <c r="H4784" s="1" t="s">
        <v>4486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hidden="1" x14ac:dyDescent="0.25">
      <c r="A4785" s="1">
        <v>70</v>
      </c>
      <c r="B4785" s="204">
        <v>4383</v>
      </c>
      <c r="C4785" s="1" t="s">
        <v>4472</v>
      </c>
      <c r="D4785" s="1"/>
      <c r="E4785" s="1"/>
      <c r="F4785" s="1" t="s">
        <v>4498</v>
      </c>
      <c r="G4785" s="1">
        <v>3</v>
      </c>
      <c r="H4785" s="1" t="s">
        <v>4486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hidden="1" x14ac:dyDescent="0.25">
      <c r="A4786" s="1">
        <v>71</v>
      </c>
      <c r="B4786" s="159">
        <v>4384</v>
      </c>
      <c r="C4786" s="1" t="s">
        <v>4472</v>
      </c>
      <c r="D4786" s="1"/>
      <c r="E4786" s="1"/>
      <c r="F4786" s="1" t="s">
        <v>4499</v>
      </c>
      <c r="G4786" s="1">
        <v>20</v>
      </c>
      <c r="H4786" s="1" t="s">
        <v>4486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hidden="1" x14ac:dyDescent="0.25">
      <c r="A4787" s="1">
        <v>72</v>
      </c>
      <c r="B4787" s="204">
        <v>4385</v>
      </c>
      <c r="C4787" s="1" t="s">
        <v>4472</v>
      </c>
      <c r="D4787" s="1"/>
      <c r="E4787" s="1"/>
      <c r="F4787" s="1" t="s">
        <v>4500</v>
      </c>
      <c r="G4787" s="1">
        <v>6</v>
      </c>
      <c r="H4787" s="1" t="s">
        <v>4486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hidden="1" x14ac:dyDescent="0.25">
      <c r="A4788" s="1">
        <v>73</v>
      </c>
      <c r="B4788" s="159">
        <v>4386</v>
      </c>
      <c r="C4788" s="1" t="s">
        <v>4472</v>
      </c>
      <c r="D4788" s="1"/>
      <c r="E4788" s="1"/>
      <c r="F4788" s="1" t="s">
        <v>4501</v>
      </c>
      <c r="G4788" s="1">
        <v>3</v>
      </c>
      <c r="H4788" s="1" t="s">
        <v>4486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hidden="1" x14ac:dyDescent="0.25">
      <c r="A4789" s="1">
        <v>74</v>
      </c>
      <c r="B4789" s="204">
        <v>4387</v>
      </c>
      <c r="C4789" s="1" t="s">
        <v>4472</v>
      </c>
      <c r="D4789" s="1"/>
      <c r="E4789" s="1"/>
      <c r="F4789" s="1" t="s">
        <v>4502</v>
      </c>
      <c r="G4789" s="1">
        <v>6</v>
      </c>
      <c r="H4789" s="1" t="s">
        <v>4486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hidden="1" x14ac:dyDescent="0.25">
      <c r="A4790" s="1">
        <v>75</v>
      </c>
      <c r="B4790" s="159">
        <v>4388</v>
      </c>
      <c r="C4790" s="1" t="s">
        <v>4472</v>
      </c>
      <c r="D4790" s="1"/>
      <c r="E4790" s="1"/>
      <c r="F4790" s="1" t="s">
        <v>4503</v>
      </c>
      <c r="G4790" s="1">
        <v>15</v>
      </c>
      <c r="H4790" s="1" t="s">
        <v>4486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hidden="1" x14ac:dyDescent="0.25">
      <c r="A4791" s="1">
        <v>76</v>
      </c>
      <c r="B4791" s="204">
        <v>4389</v>
      </c>
      <c r="C4791" s="1" t="s">
        <v>4472</v>
      </c>
      <c r="D4791" s="1"/>
      <c r="E4791" s="1"/>
      <c r="F4791" s="1" t="s">
        <v>4504</v>
      </c>
      <c r="G4791" s="1">
        <v>12</v>
      </c>
      <c r="H4791" s="1" t="s">
        <v>4486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hidden="1" x14ac:dyDescent="0.25">
      <c r="A4792" s="1">
        <v>77</v>
      </c>
      <c r="B4792" s="159">
        <v>4390</v>
      </c>
      <c r="C4792" s="1" t="s">
        <v>4460</v>
      </c>
      <c r="D4792" s="1"/>
      <c r="E4792" s="1"/>
      <c r="F4792" s="1" t="s">
        <v>4505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hidden="1" x14ac:dyDescent="0.25">
      <c r="A4793" s="1">
        <v>78</v>
      </c>
      <c r="B4793" s="204">
        <v>4391</v>
      </c>
      <c r="C4793" s="1" t="s">
        <v>4472</v>
      </c>
      <c r="D4793" s="1"/>
      <c r="E4793" s="1"/>
      <c r="F4793" s="1" t="s">
        <v>4506</v>
      </c>
      <c r="G4793" s="1">
        <v>1</v>
      </c>
      <c r="H4793" s="1" t="s">
        <v>19</v>
      </c>
      <c r="I4793" s="1" t="s">
        <v>4472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hidden="1" x14ac:dyDescent="0.25">
      <c r="A4794" s="1">
        <v>79</v>
      </c>
      <c r="B4794" s="159">
        <v>4392</v>
      </c>
      <c r="C4794" s="1" t="s">
        <v>4472</v>
      </c>
      <c r="D4794" s="1"/>
      <c r="E4794" s="1"/>
      <c r="F4794" s="1" t="s">
        <v>4448</v>
      </c>
      <c r="G4794" s="1">
        <v>1</v>
      </c>
      <c r="H4794" s="1" t="s">
        <v>19</v>
      </c>
      <c r="I4794" s="1" t="s">
        <v>4472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hidden="1" x14ac:dyDescent="0.25">
      <c r="A4795" s="1">
        <v>80</v>
      </c>
      <c r="B4795" s="204">
        <v>4393</v>
      </c>
      <c r="C4795" s="1" t="s">
        <v>4507</v>
      </c>
      <c r="D4795" s="1"/>
      <c r="E4795" s="1"/>
      <c r="F4795" s="1" t="s">
        <v>4508</v>
      </c>
      <c r="G4795" s="1">
        <v>1</v>
      </c>
      <c r="H4795" s="1" t="s">
        <v>19</v>
      </c>
      <c r="I4795" s="1" t="s">
        <v>4507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hidden="1" x14ac:dyDescent="0.25">
      <c r="A4796" s="1">
        <v>81</v>
      </c>
      <c r="B4796" s="159">
        <v>4394</v>
      </c>
      <c r="C4796" s="1" t="s">
        <v>4507</v>
      </c>
      <c r="D4796" s="1"/>
      <c r="E4796" s="1"/>
      <c r="F4796" s="1" t="s">
        <v>4509</v>
      </c>
      <c r="G4796" s="1">
        <v>1</v>
      </c>
      <c r="H4796" s="1" t="s">
        <v>19</v>
      </c>
      <c r="I4796" s="1" t="s">
        <v>4507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hidden="1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hidden="1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hidden="1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hidden="1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hidden="1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hidden="1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hidden="1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hidden="1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hidden="1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hidden="1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hidden="1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hidden="1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hidden="1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hidden="1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hidden="1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hidden="1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hidden="1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hidden="1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hidden="1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hidden="1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hidden="1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hidden="1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hidden="1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hidden="1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hidden="1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hidden="1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hidden="1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hidden="1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hidden="1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hidden="1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hidden="1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hidden="1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hidden="1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hidden="1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4555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hidden="1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4555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hidden="1" x14ac:dyDescent="0.25">
      <c r="A4832" s="1">
        <v>5</v>
      </c>
      <c r="B4832" t="s">
        <v>4693</v>
      </c>
      <c r="C4832" s="1" t="s">
        <v>4556</v>
      </c>
      <c r="D4832" s="1"/>
      <c r="E4832" s="1"/>
      <c r="F4832" s="1" t="s">
        <v>4557</v>
      </c>
      <c r="G4832" s="1">
        <v>16</v>
      </c>
      <c r="H4832" s="1" t="s">
        <v>4558</v>
      </c>
      <c r="I4832" s="1" t="s">
        <v>4556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hidden="1" x14ac:dyDescent="0.25">
      <c r="A4833" s="1">
        <v>6</v>
      </c>
      <c r="B4833" t="s">
        <v>4694</v>
      </c>
      <c r="C4833" s="1" t="s">
        <v>4556</v>
      </c>
      <c r="D4833" s="1"/>
      <c r="E4833" s="1"/>
      <c r="F4833" s="1" t="s">
        <v>4559</v>
      </c>
      <c r="G4833" s="1">
        <v>8</v>
      </c>
      <c r="H4833" s="1" t="s">
        <v>4558</v>
      </c>
      <c r="I4833" s="1" t="s">
        <v>4556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hidden="1" x14ac:dyDescent="0.25">
      <c r="A4834" s="1">
        <v>7</v>
      </c>
      <c r="B4834" t="s">
        <v>4695</v>
      </c>
      <c r="C4834" s="1" t="s">
        <v>4556</v>
      </c>
      <c r="D4834" s="1"/>
      <c r="E4834" s="1"/>
      <c r="F4834" s="1" t="s">
        <v>4560</v>
      </c>
      <c r="G4834" s="1">
        <v>7</v>
      </c>
      <c r="H4834" s="1" t="s">
        <v>4558</v>
      </c>
      <c r="I4834" s="1" t="s">
        <v>4556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hidden="1" x14ac:dyDescent="0.25">
      <c r="A4835" s="1">
        <v>8</v>
      </c>
      <c r="B4835" t="s">
        <v>4696</v>
      </c>
      <c r="C4835" s="1" t="s">
        <v>4556</v>
      </c>
      <c r="D4835" s="1"/>
      <c r="E4835" s="1"/>
      <c r="F4835" s="1" t="s">
        <v>4561</v>
      </c>
      <c r="G4835" s="1">
        <v>3</v>
      </c>
      <c r="H4835" s="1" t="s">
        <v>4562</v>
      </c>
      <c r="I4835" s="1" t="s">
        <v>4556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hidden="1" x14ac:dyDescent="0.25">
      <c r="A4836" s="1">
        <v>9</v>
      </c>
      <c r="B4836" t="s">
        <v>4697</v>
      </c>
      <c r="C4836" s="1" t="s">
        <v>4556</v>
      </c>
      <c r="D4836" s="1"/>
      <c r="E4836" s="1"/>
      <c r="F4836" s="1" t="s">
        <v>4563</v>
      </c>
      <c r="G4836" s="1">
        <v>3</v>
      </c>
      <c r="H4836" s="1" t="s">
        <v>4562</v>
      </c>
      <c r="I4836" s="1" t="s">
        <v>4556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hidden="1" x14ac:dyDescent="0.25">
      <c r="A4837" s="1">
        <v>10</v>
      </c>
      <c r="B4837" t="s">
        <v>4698</v>
      </c>
      <c r="C4837" s="1" t="s">
        <v>4556</v>
      </c>
      <c r="D4837" s="1"/>
      <c r="E4837" s="1"/>
      <c r="F4837" s="1" t="s">
        <v>4564</v>
      </c>
      <c r="G4837" s="1">
        <v>2</v>
      </c>
      <c r="H4837" s="1" t="s">
        <v>4562</v>
      </c>
      <c r="I4837" s="1" t="s">
        <v>4556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hidden="1" x14ac:dyDescent="0.25">
      <c r="A4838" s="1">
        <v>11</v>
      </c>
      <c r="B4838" t="s">
        <v>4699</v>
      </c>
      <c r="C4838" s="1" t="s">
        <v>4556</v>
      </c>
      <c r="D4838" s="1"/>
      <c r="E4838" s="1"/>
      <c r="F4838" s="1" t="s">
        <v>4565</v>
      </c>
      <c r="G4838" s="1">
        <v>6</v>
      </c>
      <c r="H4838" s="1" t="s">
        <v>4562</v>
      </c>
      <c r="I4838" s="1" t="s">
        <v>4556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hidden="1" x14ac:dyDescent="0.25">
      <c r="A4839" s="1">
        <v>12</v>
      </c>
      <c r="B4839" t="s">
        <v>4700</v>
      </c>
      <c r="C4839" s="1" t="s">
        <v>4556</v>
      </c>
      <c r="D4839" s="1"/>
      <c r="E4839" s="1"/>
      <c r="F4839" s="1" t="s">
        <v>4566</v>
      </c>
      <c r="G4839" s="1">
        <v>2</v>
      </c>
      <c r="H4839" s="1" t="s">
        <v>4558</v>
      </c>
      <c r="I4839" s="1" t="s">
        <v>4556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hidden="1" x14ac:dyDescent="0.25">
      <c r="A4840" s="1">
        <v>13</v>
      </c>
      <c r="B4840" t="s">
        <v>4701</v>
      </c>
      <c r="C4840" s="1" t="s">
        <v>4556</v>
      </c>
      <c r="D4840" s="1"/>
      <c r="E4840" s="1"/>
      <c r="F4840" s="1" t="s">
        <v>4567</v>
      </c>
      <c r="G4840" s="1">
        <v>6</v>
      </c>
      <c r="H4840" s="1" t="s">
        <v>4558</v>
      </c>
      <c r="I4840" s="1" t="s">
        <v>4556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hidden="1" x14ac:dyDescent="0.25">
      <c r="A4841" s="1">
        <v>14</v>
      </c>
      <c r="B4841" t="s">
        <v>4702</v>
      </c>
      <c r="C4841" s="1" t="s">
        <v>4556</v>
      </c>
      <c r="D4841" s="1"/>
      <c r="E4841" s="1"/>
      <c r="F4841" s="1" t="s">
        <v>4568</v>
      </c>
      <c r="G4841" s="1">
        <v>2</v>
      </c>
      <c r="H4841" s="1" t="s">
        <v>4558</v>
      </c>
      <c r="I4841" s="1" t="s">
        <v>4556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hidden="1" x14ac:dyDescent="0.25">
      <c r="A4842" s="1">
        <v>15</v>
      </c>
      <c r="B4842" t="s">
        <v>4703</v>
      </c>
      <c r="C4842" s="1" t="s">
        <v>4556</v>
      </c>
      <c r="D4842" s="1"/>
      <c r="E4842" s="1"/>
      <c r="F4842" s="1" t="s">
        <v>4569</v>
      </c>
      <c r="G4842" s="1">
        <v>2</v>
      </c>
      <c r="H4842" s="1" t="s">
        <v>4558</v>
      </c>
      <c r="I4842" s="1" t="s">
        <v>4556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hidden="1" x14ac:dyDescent="0.25">
      <c r="A4843" s="1">
        <v>16</v>
      </c>
      <c r="B4843" t="s">
        <v>4704</v>
      </c>
      <c r="C4843" s="1" t="s">
        <v>4556</v>
      </c>
      <c r="D4843" s="1"/>
      <c r="E4843" s="1"/>
      <c r="F4843" s="1" t="s">
        <v>4570</v>
      </c>
      <c r="G4843" s="1">
        <v>4</v>
      </c>
      <c r="H4843" s="1" t="s">
        <v>4562</v>
      </c>
      <c r="I4843" s="1" t="s">
        <v>4556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hidden="1" x14ac:dyDescent="0.25">
      <c r="A4844" s="1">
        <v>17</v>
      </c>
      <c r="B4844" t="s">
        <v>4705</v>
      </c>
      <c r="C4844" s="1" t="s">
        <v>4556</v>
      </c>
      <c r="D4844" s="1"/>
      <c r="E4844" s="1"/>
      <c r="F4844" s="1" t="s">
        <v>4571</v>
      </c>
      <c r="G4844" s="1">
        <v>2</v>
      </c>
      <c r="H4844" s="1" t="s">
        <v>4562</v>
      </c>
      <c r="I4844" s="1" t="s">
        <v>4556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hidden="1" x14ac:dyDescent="0.25">
      <c r="A4845" s="1">
        <v>18</v>
      </c>
      <c r="B4845" t="s">
        <v>4706</v>
      </c>
      <c r="C4845" s="1" t="s">
        <v>4556</v>
      </c>
      <c r="D4845" s="1"/>
      <c r="E4845" s="1"/>
      <c r="F4845" s="1" t="s">
        <v>4572</v>
      </c>
      <c r="G4845" s="1">
        <v>3</v>
      </c>
      <c r="H4845" s="1" t="s">
        <v>4562</v>
      </c>
      <c r="I4845" s="1" t="s">
        <v>4556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hidden="1" x14ac:dyDescent="0.25">
      <c r="A4846" s="1">
        <v>19</v>
      </c>
      <c r="B4846" t="s">
        <v>4707</v>
      </c>
      <c r="C4846" s="1" t="s">
        <v>4556</v>
      </c>
      <c r="D4846" s="1"/>
      <c r="E4846" s="1"/>
      <c r="F4846" s="1" t="s">
        <v>4573</v>
      </c>
      <c r="G4846" s="1">
        <v>5</v>
      </c>
      <c r="H4846" s="1" t="s">
        <v>4562</v>
      </c>
      <c r="I4846" s="1" t="s">
        <v>4556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hidden="1" x14ac:dyDescent="0.25">
      <c r="A4847" s="1">
        <v>20</v>
      </c>
      <c r="B4847" t="s">
        <v>4708</v>
      </c>
      <c r="C4847" s="1" t="s">
        <v>4556</v>
      </c>
      <c r="D4847" s="1"/>
      <c r="E4847" s="1"/>
      <c r="F4847" s="1" t="s">
        <v>4574</v>
      </c>
      <c r="G4847" s="1">
        <v>7</v>
      </c>
      <c r="H4847" s="1" t="s">
        <v>4562</v>
      </c>
      <c r="I4847" s="1" t="s">
        <v>4556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hidden="1" x14ac:dyDescent="0.25">
      <c r="A4848" s="1">
        <v>21</v>
      </c>
      <c r="B4848" t="s">
        <v>4709</v>
      </c>
      <c r="C4848" s="1" t="s">
        <v>4556</v>
      </c>
      <c r="D4848" s="1"/>
      <c r="E4848" s="1"/>
      <c r="F4848" s="1" t="s">
        <v>4575</v>
      </c>
      <c r="G4848" s="1">
        <v>32</v>
      </c>
      <c r="H4848" s="1" t="s">
        <v>4558</v>
      </c>
      <c r="I4848" s="1" t="s">
        <v>4556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hidden="1" x14ac:dyDescent="0.25">
      <c r="A4849" s="1">
        <v>22</v>
      </c>
      <c r="B4849" t="s">
        <v>4710</v>
      </c>
      <c r="C4849" s="1" t="s">
        <v>4556</v>
      </c>
      <c r="D4849" s="1"/>
      <c r="E4849" s="1"/>
      <c r="F4849" s="1" t="s">
        <v>4576</v>
      </c>
      <c r="G4849" s="1">
        <v>16</v>
      </c>
      <c r="H4849" s="1" t="s">
        <v>4558</v>
      </c>
      <c r="I4849" s="1" t="s">
        <v>4556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hidden="1" x14ac:dyDescent="0.25">
      <c r="A4850" s="1">
        <v>23</v>
      </c>
      <c r="B4850" t="s">
        <v>4711</v>
      </c>
      <c r="C4850" s="1" t="s">
        <v>4556</v>
      </c>
      <c r="D4850" s="1"/>
      <c r="E4850" s="1"/>
      <c r="F4850" s="1" t="s">
        <v>4577</v>
      </c>
      <c r="G4850" s="1">
        <v>14</v>
      </c>
      <c r="H4850" s="1" t="s">
        <v>4562</v>
      </c>
      <c r="I4850" s="1" t="s">
        <v>4556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hidden="1" x14ac:dyDescent="0.25">
      <c r="A4851" s="1">
        <v>24</v>
      </c>
      <c r="B4851" t="s">
        <v>4712</v>
      </c>
      <c r="C4851" s="1" t="s">
        <v>4578</v>
      </c>
      <c r="D4851" s="1"/>
      <c r="E4851" s="1"/>
      <c r="F4851" s="1" t="s">
        <v>4579</v>
      </c>
      <c r="G4851" s="1">
        <v>16</v>
      </c>
      <c r="H4851" s="1" t="s">
        <v>4558</v>
      </c>
      <c r="I4851" s="1" t="s">
        <v>4578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hidden="1" x14ac:dyDescent="0.25">
      <c r="A4852" s="1">
        <v>25</v>
      </c>
      <c r="B4852" t="s">
        <v>4713</v>
      </c>
      <c r="C4852" s="1" t="s">
        <v>4578</v>
      </c>
      <c r="D4852" s="1"/>
      <c r="E4852" s="1"/>
      <c r="F4852" s="1" t="s">
        <v>4580</v>
      </c>
      <c r="G4852" s="1">
        <v>8</v>
      </c>
      <c r="H4852" s="1" t="s">
        <v>4558</v>
      </c>
      <c r="I4852" s="1" t="s">
        <v>4578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hidden="1" x14ac:dyDescent="0.25">
      <c r="A4853" s="1">
        <v>26</v>
      </c>
      <c r="B4853" t="s">
        <v>4714</v>
      </c>
      <c r="C4853" s="1" t="s">
        <v>4578</v>
      </c>
      <c r="D4853" s="1"/>
      <c r="E4853" s="1"/>
      <c r="F4853" s="1" t="s">
        <v>4581</v>
      </c>
      <c r="G4853" s="1">
        <v>7</v>
      </c>
      <c r="H4853" s="1" t="s">
        <v>4558</v>
      </c>
      <c r="I4853" s="1" t="s">
        <v>4578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hidden="1" x14ac:dyDescent="0.25">
      <c r="A4854" s="1">
        <v>27</v>
      </c>
      <c r="B4854" t="s">
        <v>4715</v>
      </c>
      <c r="C4854" s="1" t="s">
        <v>4578</v>
      </c>
      <c r="D4854" s="1"/>
      <c r="E4854" s="1"/>
      <c r="F4854" s="1" t="s">
        <v>4582</v>
      </c>
      <c r="G4854" s="1">
        <v>3</v>
      </c>
      <c r="H4854" s="1" t="s">
        <v>4562</v>
      </c>
      <c r="I4854" s="1" t="s">
        <v>4578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hidden="1" x14ac:dyDescent="0.25">
      <c r="A4855" s="1">
        <v>28</v>
      </c>
      <c r="B4855" t="s">
        <v>4716</v>
      </c>
      <c r="C4855" s="1" t="s">
        <v>4578</v>
      </c>
      <c r="D4855" s="1"/>
      <c r="E4855" s="1"/>
      <c r="F4855" s="1" t="s">
        <v>4583</v>
      </c>
      <c r="G4855" s="1">
        <v>3</v>
      </c>
      <c r="H4855" s="1" t="s">
        <v>4562</v>
      </c>
      <c r="I4855" s="1" t="s">
        <v>4578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hidden="1" x14ac:dyDescent="0.25">
      <c r="A4856" s="1">
        <v>29</v>
      </c>
      <c r="B4856" t="s">
        <v>4717</v>
      </c>
      <c r="C4856" s="1" t="s">
        <v>4578</v>
      </c>
      <c r="D4856" s="1"/>
      <c r="E4856" s="1"/>
      <c r="F4856" s="1" t="s">
        <v>4584</v>
      </c>
      <c r="G4856" s="1">
        <v>2</v>
      </c>
      <c r="H4856" s="1" t="s">
        <v>4562</v>
      </c>
      <c r="I4856" s="1" t="s">
        <v>4578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hidden="1" x14ac:dyDescent="0.25">
      <c r="A4857" s="1">
        <v>30</v>
      </c>
      <c r="B4857" t="s">
        <v>4718</v>
      </c>
      <c r="C4857" s="1" t="s">
        <v>4578</v>
      </c>
      <c r="D4857" s="1"/>
      <c r="E4857" s="1"/>
      <c r="F4857" s="1" t="s">
        <v>4585</v>
      </c>
      <c r="G4857" s="1">
        <v>6</v>
      </c>
      <c r="H4857" s="1" t="s">
        <v>4562</v>
      </c>
      <c r="I4857" s="1" t="s">
        <v>4578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hidden="1" x14ac:dyDescent="0.25">
      <c r="A4858" s="1">
        <v>31</v>
      </c>
      <c r="B4858" t="s">
        <v>4719</v>
      </c>
      <c r="C4858" s="1" t="s">
        <v>4578</v>
      </c>
      <c r="D4858" s="1"/>
      <c r="E4858" s="1"/>
      <c r="F4858" s="1" t="s">
        <v>4586</v>
      </c>
      <c r="G4858" s="1">
        <v>2</v>
      </c>
      <c r="H4858" s="1" t="s">
        <v>4558</v>
      </c>
      <c r="I4858" s="1" t="s">
        <v>4578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hidden="1" x14ac:dyDescent="0.25">
      <c r="A4859" s="1">
        <v>32</v>
      </c>
      <c r="B4859" t="s">
        <v>4720</v>
      </c>
      <c r="C4859" s="1" t="s">
        <v>4578</v>
      </c>
      <c r="D4859" s="1"/>
      <c r="E4859" s="1"/>
      <c r="F4859" s="1" t="s">
        <v>4587</v>
      </c>
      <c r="G4859" s="1">
        <v>6</v>
      </c>
      <c r="H4859" s="1" t="s">
        <v>4558</v>
      </c>
      <c r="I4859" s="1" t="s">
        <v>4578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hidden="1" x14ac:dyDescent="0.25">
      <c r="A4860" s="1">
        <v>33</v>
      </c>
      <c r="B4860" t="s">
        <v>4721</v>
      </c>
      <c r="C4860" s="1" t="s">
        <v>4578</v>
      </c>
      <c r="D4860" s="1"/>
      <c r="E4860" s="1"/>
      <c r="F4860" s="1" t="s">
        <v>4588</v>
      </c>
      <c r="G4860" s="1">
        <v>2</v>
      </c>
      <c r="H4860" s="1" t="s">
        <v>4558</v>
      </c>
      <c r="I4860" s="1" t="s">
        <v>4578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hidden="1" x14ac:dyDescent="0.25">
      <c r="A4861" s="1">
        <v>34</v>
      </c>
      <c r="B4861" t="s">
        <v>4722</v>
      </c>
      <c r="C4861" s="1" t="s">
        <v>4578</v>
      </c>
      <c r="D4861" s="1"/>
      <c r="E4861" s="1"/>
      <c r="F4861" s="1" t="s">
        <v>4589</v>
      </c>
      <c r="G4861" s="1">
        <v>2</v>
      </c>
      <c r="H4861" s="1" t="s">
        <v>4558</v>
      </c>
      <c r="I4861" s="1" t="s">
        <v>4578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hidden="1" x14ac:dyDescent="0.25">
      <c r="A4862" s="1">
        <v>35</v>
      </c>
      <c r="B4862" t="s">
        <v>4723</v>
      </c>
      <c r="C4862" s="1" t="s">
        <v>4578</v>
      </c>
      <c r="D4862" s="1"/>
      <c r="E4862" s="1"/>
      <c r="F4862" s="1" t="s">
        <v>4590</v>
      </c>
      <c r="G4862" s="1">
        <v>4</v>
      </c>
      <c r="H4862" s="1" t="s">
        <v>4562</v>
      </c>
      <c r="I4862" s="1" t="s">
        <v>4578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hidden="1" x14ac:dyDescent="0.25">
      <c r="A4863" s="1">
        <v>36</v>
      </c>
      <c r="B4863" t="s">
        <v>4724</v>
      </c>
      <c r="C4863" s="1" t="s">
        <v>4578</v>
      </c>
      <c r="D4863" s="1"/>
      <c r="E4863" s="1"/>
      <c r="F4863" s="1" t="s">
        <v>4591</v>
      </c>
      <c r="G4863" s="1">
        <v>2</v>
      </c>
      <c r="H4863" s="1" t="s">
        <v>4562</v>
      </c>
      <c r="I4863" s="1" t="s">
        <v>4578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hidden="1" x14ac:dyDescent="0.25">
      <c r="A4864" s="1">
        <v>37</v>
      </c>
      <c r="B4864" t="s">
        <v>4725</v>
      </c>
      <c r="C4864" s="1" t="s">
        <v>4578</v>
      </c>
      <c r="D4864" s="1"/>
      <c r="E4864" s="1"/>
      <c r="F4864" s="1" t="s">
        <v>4592</v>
      </c>
      <c r="G4864" s="1">
        <v>3</v>
      </c>
      <c r="H4864" s="1" t="s">
        <v>4562</v>
      </c>
      <c r="I4864" s="1" t="s">
        <v>4578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hidden="1" x14ac:dyDescent="0.25">
      <c r="A4865" s="1">
        <v>38</v>
      </c>
      <c r="B4865" t="s">
        <v>4726</v>
      </c>
      <c r="C4865" s="1" t="s">
        <v>4578</v>
      </c>
      <c r="D4865" s="1"/>
      <c r="E4865" s="1"/>
      <c r="F4865" s="1" t="s">
        <v>4593</v>
      </c>
      <c r="G4865" s="1">
        <v>5</v>
      </c>
      <c r="H4865" s="1" t="s">
        <v>4562</v>
      </c>
      <c r="I4865" s="1" t="s">
        <v>4578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hidden="1" x14ac:dyDescent="0.25">
      <c r="A4866" s="1">
        <v>39</v>
      </c>
      <c r="B4866" t="s">
        <v>4727</v>
      </c>
      <c r="C4866" s="1" t="s">
        <v>4578</v>
      </c>
      <c r="D4866" s="1"/>
      <c r="E4866" s="1"/>
      <c r="F4866" s="1" t="s">
        <v>4594</v>
      </c>
      <c r="G4866" s="1">
        <v>7</v>
      </c>
      <c r="H4866" s="1" t="s">
        <v>4562</v>
      </c>
      <c r="I4866" s="1" t="s">
        <v>4578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hidden="1" x14ac:dyDescent="0.25">
      <c r="A4867" s="1">
        <v>40</v>
      </c>
      <c r="B4867" t="s">
        <v>4728</v>
      </c>
      <c r="C4867" s="1" t="s">
        <v>4578</v>
      </c>
      <c r="D4867" s="1"/>
      <c r="E4867" s="1"/>
      <c r="F4867" s="1" t="s">
        <v>4595</v>
      </c>
      <c r="G4867" s="1">
        <v>32</v>
      </c>
      <c r="H4867" s="1" t="s">
        <v>4558</v>
      </c>
      <c r="I4867" s="1" t="s">
        <v>4578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hidden="1" x14ac:dyDescent="0.25">
      <c r="A4868" s="1">
        <v>41</v>
      </c>
      <c r="B4868" t="s">
        <v>4729</v>
      </c>
      <c r="C4868" s="1" t="s">
        <v>4578</v>
      </c>
      <c r="D4868" s="1"/>
      <c r="E4868" s="1"/>
      <c r="F4868" s="1" t="s">
        <v>4596</v>
      </c>
      <c r="G4868" s="1">
        <v>16</v>
      </c>
      <c r="H4868" s="1" t="s">
        <v>4558</v>
      </c>
      <c r="I4868" s="1" t="s">
        <v>4578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hidden="1" x14ac:dyDescent="0.25">
      <c r="A4869" s="1">
        <v>42</v>
      </c>
      <c r="B4869" t="s">
        <v>4730</v>
      </c>
      <c r="C4869" s="1" t="s">
        <v>4578</v>
      </c>
      <c r="D4869" s="1"/>
      <c r="E4869" s="1"/>
      <c r="F4869" s="1" t="s">
        <v>4597</v>
      </c>
      <c r="G4869" s="1">
        <v>14</v>
      </c>
      <c r="H4869" s="1" t="s">
        <v>4562</v>
      </c>
      <c r="I4869" s="1" t="s">
        <v>4578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hidden="1" x14ac:dyDescent="0.25">
      <c r="A4870" s="1">
        <v>43</v>
      </c>
      <c r="B4870" t="s">
        <v>4731</v>
      </c>
      <c r="C4870" s="1" t="s">
        <v>4578</v>
      </c>
      <c r="D4870" s="1"/>
      <c r="E4870" s="1"/>
      <c r="F4870" s="1" t="s">
        <v>4598</v>
      </c>
      <c r="G4870" s="1">
        <v>130</v>
      </c>
      <c r="H4870" s="1" t="s">
        <v>1105</v>
      </c>
      <c r="I4870" s="1" t="s">
        <v>4578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hidden="1" x14ac:dyDescent="0.25">
      <c r="A4871" s="1">
        <v>44</v>
      </c>
      <c r="B4871" t="s">
        <v>4732</v>
      </c>
      <c r="C4871" s="1" t="s">
        <v>4578</v>
      </c>
      <c r="D4871" s="1"/>
      <c r="E4871" s="1"/>
      <c r="F4871" s="1" t="s">
        <v>4599</v>
      </c>
      <c r="G4871" s="1">
        <v>250</v>
      </c>
      <c r="H4871" s="1" t="s">
        <v>1105</v>
      </c>
      <c r="I4871" s="1" t="s">
        <v>4578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hidden="1" x14ac:dyDescent="0.25">
      <c r="A4872" s="1">
        <v>45</v>
      </c>
      <c r="B4872" t="s">
        <v>4733</v>
      </c>
      <c r="C4872" s="1" t="s">
        <v>4578</v>
      </c>
      <c r="D4872" s="1"/>
      <c r="E4872" s="1"/>
      <c r="F4872" s="1" t="s">
        <v>4600</v>
      </c>
      <c r="G4872" s="1">
        <v>5</v>
      </c>
      <c r="H4872" s="1" t="s">
        <v>1105</v>
      </c>
      <c r="I4872" s="1" t="s">
        <v>4578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hidden="1" x14ac:dyDescent="0.25">
      <c r="A4873" s="1">
        <v>46</v>
      </c>
      <c r="B4873" t="s">
        <v>4734</v>
      </c>
      <c r="C4873" s="1" t="s">
        <v>4578</v>
      </c>
      <c r="D4873" s="1"/>
      <c r="E4873" s="1"/>
      <c r="F4873" s="1" t="s">
        <v>4601</v>
      </c>
      <c r="G4873" s="1">
        <v>6</v>
      </c>
      <c r="H4873" s="1" t="s">
        <v>4558</v>
      </c>
      <c r="I4873" s="1" t="s">
        <v>4578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hidden="1" x14ac:dyDescent="0.25">
      <c r="A4874" s="1">
        <v>47</v>
      </c>
      <c r="B4874" t="s">
        <v>4735</v>
      </c>
      <c r="C4874" s="1" t="s">
        <v>4578</v>
      </c>
      <c r="D4874" s="1"/>
      <c r="E4874" s="1"/>
      <c r="F4874" s="1" t="s">
        <v>4602</v>
      </c>
      <c r="G4874" s="1">
        <v>6</v>
      </c>
      <c r="H4874" s="1" t="s">
        <v>4562</v>
      </c>
      <c r="I4874" s="1" t="s">
        <v>4578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hidden="1" x14ac:dyDescent="0.25">
      <c r="A4875" s="1">
        <v>48</v>
      </c>
      <c r="B4875" t="s">
        <v>4736</v>
      </c>
      <c r="C4875" s="1" t="s">
        <v>4578</v>
      </c>
      <c r="D4875" s="1"/>
      <c r="E4875" s="1"/>
      <c r="F4875" s="1" t="s">
        <v>4603</v>
      </c>
      <c r="G4875" s="1">
        <v>4</v>
      </c>
      <c r="H4875" s="1" t="s">
        <v>1105</v>
      </c>
      <c r="I4875" s="1" t="s">
        <v>4578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hidden="1" x14ac:dyDescent="0.25">
      <c r="A4876" s="1">
        <v>49</v>
      </c>
      <c r="B4876" t="s">
        <v>4737</v>
      </c>
      <c r="C4876" s="1" t="s">
        <v>4578</v>
      </c>
      <c r="D4876" s="1"/>
      <c r="E4876" s="1"/>
      <c r="F4876" s="1" t="s">
        <v>4604</v>
      </c>
      <c r="G4876" s="1">
        <v>3</v>
      </c>
      <c r="H4876" s="1" t="s">
        <v>4558</v>
      </c>
      <c r="I4876" s="1" t="s">
        <v>4578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hidden="1" x14ac:dyDescent="0.25">
      <c r="A4877" s="1">
        <v>50</v>
      </c>
      <c r="B4877" t="s">
        <v>4738</v>
      </c>
      <c r="C4877" s="1" t="s">
        <v>4578</v>
      </c>
      <c r="D4877" s="1"/>
      <c r="E4877" s="1"/>
      <c r="F4877" s="1" t="s">
        <v>4605</v>
      </c>
      <c r="G4877" s="1">
        <v>3</v>
      </c>
      <c r="H4877" s="1" t="s">
        <v>4558</v>
      </c>
      <c r="I4877" s="1" t="s">
        <v>4578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hidden="1" x14ac:dyDescent="0.25">
      <c r="A4878" s="1">
        <v>51</v>
      </c>
      <c r="B4878" t="s">
        <v>4739</v>
      </c>
      <c r="C4878" s="1" t="s">
        <v>4578</v>
      </c>
      <c r="D4878" s="1"/>
      <c r="E4878" s="1"/>
      <c r="F4878" s="1" t="s">
        <v>4606</v>
      </c>
      <c r="G4878" s="1">
        <v>5</v>
      </c>
      <c r="H4878" s="1" t="s">
        <v>4562</v>
      </c>
      <c r="I4878" s="1" t="s">
        <v>4578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hidden="1" x14ac:dyDescent="0.25">
      <c r="A4879" s="1">
        <v>52</v>
      </c>
      <c r="B4879" t="s">
        <v>4740</v>
      </c>
      <c r="C4879" s="1" t="s">
        <v>4578</v>
      </c>
      <c r="D4879" s="1"/>
      <c r="E4879" s="1"/>
      <c r="F4879" s="1" t="s">
        <v>4607</v>
      </c>
      <c r="G4879" s="1">
        <v>2</v>
      </c>
      <c r="H4879" s="1" t="s">
        <v>4562</v>
      </c>
      <c r="I4879" s="1" t="s">
        <v>4578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hidden="1" x14ac:dyDescent="0.25">
      <c r="A4880" s="1">
        <v>53</v>
      </c>
      <c r="B4880" t="s">
        <v>4741</v>
      </c>
      <c r="C4880" s="1" t="s">
        <v>4578</v>
      </c>
      <c r="D4880" s="1"/>
      <c r="E4880" s="1"/>
      <c r="F4880" s="1" t="s">
        <v>4608</v>
      </c>
      <c r="G4880" s="1">
        <v>1</v>
      </c>
      <c r="H4880" s="1" t="s">
        <v>4562</v>
      </c>
      <c r="I4880" s="1" t="s">
        <v>4578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hidden="1" x14ac:dyDescent="0.25">
      <c r="A4881" s="1">
        <v>54</v>
      </c>
      <c r="B4881" t="s">
        <v>4742</v>
      </c>
      <c r="C4881" s="1" t="s">
        <v>4556</v>
      </c>
      <c r="D4881" s="1"/>
      <c r="E4881" s="1"/>
      <c r="F4881" s="1" t="s">
        <v>4609</v>
      </c>
      <c r="G4881" s="1">
        <v>130</v>
      </c>
      <c r="H4881" s="1" t="s">
        <v>1105</v>
      </c>
      <c r="I4881" s="1" t="s">
        <v>4556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hidden="1" x14ac:dyDescent="0.25">
      <c r="A4882" s="1">
        <v>55</v>
      </c>
      <c r="B4882" t="s">
        <v>4743</v>
      </c>
      <c r="C4882" s="1" t="s">
        <v>4556</v>
      </c>
      <c r="D4882" s="1"/>
      <c r="E4882" s="1"/>
      <c r="F4882" s="1" t="s">
        <v>4610</v>
      </c>
      <c r="G4882" s="1">
        <v>250</v>
      </c>
      <c r="H4882" s="1" t="s">
        <v>1105</v>
      </c>
      <c r="I4882" s="1" t="s">
        <v>4556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hidden="1" x14ac:dyDescent="0.25">
      <c r="A4883" s="1">
        <v>56</v>
      </c>
      <c r="B4883" t="s">
        <v>4744</v>
      </c>
      <c r="C4883" s="1" t="s">
        <v>4556</v>
      </c>
      <c r="D4883" s="1"/>
      <c r="E4883" s="1"/>
      <c r="F4883" s="1" t="s">
        <v>4611</v>
      </c>
      <c r="G4883" s="1">
        <v>5</v>
      </c>
      <c r="H4883" s="1" t="s">
        <v>1105</v>
      </c>
      <c r="I4883" s="1" t="s">
        <v>4556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hidden="1" x14ac:dyDescent="0.25">
      <c r="A4884" s="1">
        <v>57</v>
      </c>
      <c r="B4884" t="s">
        <v>4745</v>
      </c>
      <c r="C4884" s="1" t="s">
        <v>4556</v>
      </c>
      <c r="D4884" s="1"/>
      <c r="E4884" s="1"/>
      <c r="F4884" s="1" t="s">
        <v>4612</v>
      </c>
      <c r="G4884" s="1">
        <v>6</v>
      </c>
      <c r="H4884" s="1" t="s">
        <v>4558</v>
      </c>
      <c r="I4884" s="1" t="s">
        <v>4556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hidden="1" x14ac:dyDescent="0.25">
      <c r="A4885" s="1">
        <v>58</v>
      </c>
      <c r="B4885" t="s">
        <v>4746</v>
      </c>
      <c r="C4885" s="1" t="s">
        <v>4556</v>
      </c>
      <c r="D4885" s="1"/>
      <c r="E4885" s="1"/>
      <c r="F4885" s="1" t="s">
        <v>4613</v>
      </c>
      <c r="G4885" s="1">
        <v>6</v>
      </c>
      <c r="H4885" s="1" t="s">
        <v>4562</v>
      </c>
      <c r="I4885" s="1" t="s">
        <v>4556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hidden="1" x14ac:dyDescent="0.25">
      <c r="A4886" s="1">
        <v>59</v>
      </c>
      <c r="B4886" t="s">
        <v>4747</v>
      </c>
      <c r="C4886" s="1" t="s">
        <v>4556</v>
      </c>
      <c r="D4886" s="1"/>
      <c r="E4886" s="1"/>
      <c r="F4886" s="1" t="s">
        <v>4614</v>
      </c>
      <c r="G4886" s="1">
        <v>4</v>
      </c>
      <c r="H4886" s="1" t="s">
        <v>1105</v>
      </c>
      <c r="I4886" s="1" t="s">
        <v>4556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hidden="1" x14ac:dyDescent="0.25">
      <c r="A4887" s="1">
        <v>60</v>
      </c>
      <c r="B4887" t="s">
        <v>4748</v>
      </c>
      <c r="C4887" s="1" t="s">
        <v>4556</v>
      </c>
      <c r="D4887" s="1"/>
      <c r="E4887" s="1"/>
      <c r="F4887" s="1" t="s">
        <v>4615</v>
      </c>
      <c r="G4887" s="1">
        <v>3</v>
      </c>
      <c r="H4887" s="1" t="s">
        <v>4558</v>
      </c>
      <c r="I4887" s="1" t="s">
        <v>4556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hidden="1" x14ac:dyDescent="0.25">
      <c r="A4888" s="1">
        <v>61</v>
      </c>
      <c r="B4888" t="s">
        <v>4749</v>
      </c>
      <c r="C4888" s="1" t="s">
        <v>4556</v>
      </c>
      <c r="D4888" s="1"/>
      <c r="E4888" s="1"/>
      <c r="F4888" s="1" t="s">
        <v>4616</v>
      </c>
      <c r="G4888" s="1">
        <v>3</v>
      </c>
      <c r="H4888" s="1" t="s">
        <v>4558</v>
      </c>
      <c r="I4888" s="1" t="s">
        <v>4556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hidden="1" x14ac:dyDescent="0.25">
      <c r="A4889" s="1">
        <v>62</v>
      </c>
      <c r="B4889" t="s">
        <v>4750</v>
      </c>
      <c r="C4889" s="1" t="s">
        <v>4556</v>
      </c>
      <c r="D4889" s="1"/>
      <c r="E4889" s="1"/>
      <c r="F4889" s="1" t="s">
        <v>4617</v>
      </c>
      <c r="G4889" s="1">
        <v>5</v>
      </c>
      <c r="H4889" s="1" t="s">
        <v>4562</v>
      </c>
      <c r="I4889" s="1" t="s">
        <v>4556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hidden="1" x14ac:dyDescent="0.25">
      <c r="A4890" s="1">
        <v>63</v>
      </c>
      <c r="B4890" t="s">
        <v>4751</v>
      </c>
      <c r="C4890" s="1" t="s">
        <v>4556</v>
      </c>
      <c r="D4890" s="1"/>
      <c r="E4890" s="1"/>
      <c r="F4890" s="1" t="s">
        <v>4618</v>
      </c>
      <c r="G4890" s="1">
        <v>2</v>
      </c>
      <c r="H4890" s="1" t="s">
        <v>4562</v>
      </c>
      <c r="I4890" s="1" t="s">
        <v>4556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hidden="1" x14ac:dyDescent="0.25">
      <c r="A4891" s="1">
        <v>64</v>
      </c>
      <c r="B4891" t="s">
        <v>4752</v>
      </c>
      <c r="C4891" s="1" t="s">
        <v>4556</v>
      </c>
      <c r="D4891" s="1"/>
      <c r="E4891" s="1"/>
      <c r="F4891" s="1" t="s">
        <v>4619</v>
      </c>
      <c r="G4891" s="1">
        <v>1</v>
      </c>
      <c r="H4891" s="1" t="s">
        <v>4562</v>
      </c>
      <c r="I4891" s="1" t="s">
        <v>4556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hidden="1" x14ac:dyDescent="0.25">
      <c r="A4892" s="1">
        <v>65</v>
      </c>
      <c r="B4892" t="s">
        <v>4753</v>
      </c>
      <c r="C4892" s="1" t="s">
        <v>4578</v>
      </c>
      <c r="D4892" s="1"/>
      <c r="E4892" s="1"/>
      <c r="F4892" s="1" t="s">
        <v>4620</v>
      </c>
      <c r="G4892" s="1">
        <v>1</v>
      </c>
      <c r="H4892" s="1" t="s">
        <v>4558</v>
      </c>
      <c r="I4892" s="1" t="s">
        <v>4578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hidden="1" x14ac:dyDescent="0.25">
      <c r="A4893" s="1">
        <v>66</v>
      </c>
      <c r="B4893" t="s">
        <v>4754</v>
      </c>
      <c r="C4893" s="1" t="s">
        <v>4578</v>
      </c>
      <c r="D4893" s="1"/>
      <c r="E4893" s="1"/>
      <c r="F4893" s="1" t="s">
        <v>4621</v>
      </c>
      <c r="G4893" s="1">
        <v>2</v>
      </c>
      <c r="H4893" s="1" t="s">
        <v>4562</v>
      </c>
      <c r="I4893" s="1" t="s">
        <v>4578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hidden="1" x14ac:dyDescent="0.25">
      <c r="A4894" s="1">
        <v>67</v>
      </c>
      <c r="B4894" t="s">
        <v>4755</v>
      </c>
      <c r="C4894" s="1" t="s">
        <v>4578</v>
      </c>
      <c r="D4894" s="1"/>
      <c r="E4894" s="1"/>
      <c r="F4894" s="1" t="s">
        <v>4622</v>
      </c>
      <c r="G4894" s="1">
        <v>4</v>
      </c>
      <c r="H4894" s="1" t="s">
        <v>4562</v>
      </c>
      <c r="I4894" s="1" t="s">
        <v>4578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hidden="1" x14ac:dyDescent="0.25">
      <c r="A4895" s="1">
        <v>68</v>
      </c>
      <c r="B4895" t="s">
        <v>4756</v>
      </c>
      <c r="C4895" s="1" t="s">
        <v>4578</v>
      </c>
      <c r="D4895" s="1"/>
      <c r="E4895" s="1"/>
      <c r="F4895" s="1" t="s">
        <v>4623</v>
      </c>
      <c r="G4895" s="1">
        <v>1</v>
      </c>
      <c r="H4895" s="1" t="s">
        <v>4562</v>
      </c>
      <c r="I4895" s="1" t="s">
        <v>4578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hidden="1" x14ac:dyDescent="0.25">
      <c r="A4896" s="1">
        <v>69</v>
      </c>
      <c r="B4896" t="s">
        <v>4757</v>
      </c>
      <c r="C4896" s="1" t="s">
        <v>4578</v>
      </c>
      <c r="D4896" s="1"/>
      <c r="E4896" s="1"/>
      <c r="F4896" s="1" t="s">
        <v>4624</v>
      </c>
      <c r="G4896" s="1">
        <v>1</v>
      </c>
      <c r="H4896" s="1" t="s">
        <v>4558</v>
      </c>
      <c r="I4896" s="1" t="s">
        <v>4578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hidden="1" x14ac:dyDescent="0.25">
      <c r="A4897" s="1">
        <v>70</v>
      </c>
      <c r="B4897" t="s">
        <v>4758</v>
      </c>
      <c r="C4897" s="1" t="s">
        <v>4578</v>
      </c>
      <c r="D4897" s="1"/>
      <c r="E4897" s="1"/>
      <c r="F4897" s="1" t="s">
        <v>4625</v>
      </c>
      <c r="G4897" s="1">
        <v>2</v>
      </c>
      <c r="H4897" s="1" t="s">
        <v>4562</v>
      </c>
      <c r="I4897" s="1" t="s">
        <v>4578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hidden="1" x14ac:dyDescent="0.25">
      <c r="A4898" s="1">
        <v>71</v>
      </c>
      <c r="B4898" t="s">
        <v>4759</v>
      </c>
      <c r="C4898" s="1" t="s">
        <v>4578</v>
      </c>
      <c r="D4898" s="1"/>
      <c r="E4898" s="1"/>
      <c r="F4898" s="1" t="s">
        <v>4626</v>
      </c>
      <c r="G4898" s="1">
        <v>4</v>
      </c>
      <c r="H4898" s="1" t="s">
        <v>4562</v>
      </c>
      <c r="I4898" s="1" t="s">
        <v>4578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hidden="1" x14ac:dyDescent="0.25">
      <c r="A4899" s="1">
        <v>72</v>
      </c>
      <c r="B4899" t="s">
        <v>4760</v>
      </c>
      <c r="C4899" s="1" t="s">
        <v>4578</v>
      </c>
      <c r="D4899" s="1"/>
      <c r="E4899" s="1"/>
      <c r="F4899" s="1" t="s">
        <v>4627</v>
      </c>
      <c r="G4899" s="1">
        <v>1</v>
      </c>
      <c r="H4899" s="1" t="s">
        <v>4562</v>
      </c>
      <c r="I4899" s="1" t="s">
        <v>4578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hidden="1" x14ac:dyDescent="0.25">
      <c r="A4900" s="1">
        <v>73</v>
      </c>
      <c r="B4900" t="s">
        <v>4761</v>
      </c>
      <c r="C4900" s="1" t="s">
        <v>4578</v>
      </c>
      <c r="D4900" s="1"/>
      <c r="E4900" s="1"/>
      <c r="F4900" s="1" t="s">
        <v>4628</v>
      </c>
      <c r="G4900" s="1">
        <v>2</v>
      </c>
      <c r="H4900" s="1" t="s">
        <v>4562</v>
      </c>
      <c r="I4900" s="1" t="s">
        <v>4578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hidden="1" x14ac:dyDescent="0.25">
      <c r="A4901" s="1">
        <v>74</v>
      </c>
      <c r="B4901" t="s">
        <v>4762</v>
      </c>
      <c r="C4901" s="1" t="s">
        <v>4578</v>
      </c>
      <c r="D4901" s="1"/>
      <c r="E4901" s="1"/>
      <c r="F4901" s="1" t="s">
        <v>4629</v>
      </c>
      <c r="G4901" s="1">
        <v>1</v>
      </c>
      <c r="H4901" s="1" t="s">
        <v>4562</v>
      </c>
      <c r="I4901" s="1" t="s">
        <v>4578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hidden="1" x14ac:dyDescent="0.25">
      <c r="A4902" s="1">
        <v>75</v>
      </c>
      <c r="B4902" t="s">
        <v>4763</v>
      </c>
      <c r="C4902" s="1" t="s">
        <v>4578</v>
      </c>
      <c r="D4902" s="1"/>
      <c r="E4902" s="1"/>
      <c r="F4902" s="1" t="s">
        <v>4628</v>
      </c>
      <c r="G4902" s="1">
        <v>2</v>
      </c>
      <c r="H4902" s="1" t="s">
        <v>4562</v>
      </c>
      <c r="I4902" s="1" t="s">
        <v>4578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hidden="1" x14ac:dyDescent="0.25">
      <c r="A4903" s="1">
        <v>76</v>
      </c>
      <c r="B4903" t="s">
        <v>4764</v>
      </c>
      <c r="C4903" s="1" t="s">
        <v>4578</v>
      </c>
      <c r="D4903" s="1"/>
      <c r="E4903" s="1"/>
      <c r="F4903" s="1" t="s">
        <v>4629</v>
      </c>
      <c r="G4903" s="1">
        <v>1</v>
      </c>
      <c r="H4903" s="1" t="s">
        <v>4562</v>
      </c>
      <c r="I4903" s="1" t="s">
        <v>4578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hidden="1" x14ac:dyDescent="0.25">
      <c r="A4904" s="1">
        <v>77</v>
      </c>
      <c r="B4904" t="s">
        <v>4765</v>
      </c>
      <c r="C4904" s="1" t="s">
        <v>3773</v>
      </c>
      <c r="D4904" s="1"/>
      <c r="E4904" s="1"/>
      <c r="F4904" s="1" t="s">
        <v>4630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hidden="1" x14ac:dyDescent="0.25">
      <c r="A4905" s="1">
        <v>78</v>
      </c>
      <c r="B4905" t="s">
        <v>4766</v>
      </c>
      <c r="C4905" s="1" t="s">
        <v>4166</v>
      </c>
      <c r="D4905" s="1"/>
      <c r="E4905" s="1"/>
      <c r="F4905" s="1" t="s">
        <v>4631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hidden="1" x14ac:dyDescent="0.25">
      <c r="A4906" s="1">
        <v>79</v>
      </c>
      <c r="B4906" t="s">
        <v>4767</v>
      </c>
      <c r="C4906" s="1" t="s">
        <v>4204</v>
      </c>
      <c r="D4906" s="1"/>
      <c r="E4906" s="1"/>
      <c r="F4906" s="1" t="s">
        <v>4631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hidden="1" x14ac:dyDescent="0.25">
      <c r="A4907" s="1">
        <v>80</v>
      </c>
      <c r="B4907" t="s">
        <v>4768</v>
      </c>
      <c r="C4907" s="1" t="s">
        <v>4632</v>
      </c>
      <c r="D4907" s="1"/>
      <c r="E4907" s="1"/>
      <c r="F4907" s="1" t="s">
        <v>4633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hidden="1" x14ac:dyDescent="0.25">
      <c r="A4908" s="1">
        <v>81</v>
      </c>
      <c r="B4908" t="s">
        <v>4769</v>
      </c>
      <c r="C4908" s="1" t="s">
        <v>4632</v>
      </c>
      <c r="D4908" s="1"/>
      <c r="E4908" s="1"/>
      <c r="F4908" s="1" t="s">
        <v>4633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hidden="1" x14ac:dyDescent="0.25">
      <c r="A4909" s="1">
        <v>82</v>
      </c>
      <c r="B4909" t="s">
        <v>4770</v>
      </c>
      <c r="C4909" s="1" t="s">
        <v>4632</v>
      </c>
      <c r="D4909" s="1"/>
      <c r="E4909" s="1"/>
      <c r="F4909" s="1" t="s">
        <v>4634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hidden="1" x14ac:dyDescent="0.25">
      <c r="A4910" s="1">
        <v>83</v>
      </c>
      <c r="B4910" t="s">
        <v>4771</v>
      </c>
      <c r="C4910" s="1" t="s">
        <v>4632</v>
      </c>
      <c r="D4910" s="1"/>
      <c r="E4910" s="1"/>
      <c r="F4910" s="1" t="s">
        <v>4634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hidden="1" x14ac:dyDescent="0.25">
      <c r="A4911" s="1">
        <v>84</v>
      </c>
      <c r="B4911" t="s">
        <v>4772</v>
      </c>
      <c r="C4911" s="1" t="s">
        <v>3802</v>
      </c>
      <c r="D4911" s="1"/>
      <c r="E4911" s="1"/>
      <c r="F4911" s="1" t="s">
        <v>4635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hidden="1" x14ac:dyDescent="0.25">
      <c r="A4912" s="1">
        <v>85</v>
      </c>
      <c r="B4912" t="s">
        <v>4773</v>
      </c>
      <c r="C4912" s="1" t="s">
        <v>3821</v>
      </c>
      <c r="D4912" s="1"/>
      <c r="E4912" s="1"/>
      <c r="F4912" s="1" t="s">
        <v>4636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hidden="1" x14ac:dyDescent="0.25">
      <c r="A4913" s="1">
        <v>86</v>
      </c>
      <c r="B4913" t="s">
        <v>4774</v>
      </c>
      <c r="C4913" s="1" t="s">
        <v>3858</v>
      </c>
      <c r="D4913" s="1"/>
      <c r="E4913" s="1"/>
      <c r="F4913" s="1" t="s">
        <v>4637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hidden="1" x14ac:dyDescent="0.25">
      <c r="A4914" s="1">
        <v>87</v>
      </c>
      <c r="B4914" t="s">
        <v>4775</v>
      </c>
      <c r="C4914" s="1" t="s">
        <v>4638</v>
      </c>
      <c r="D4914" s="1"/>
      <c r="E4914" s="1"/>
      <c r="F4914" s="1" t="s">
        <v>4639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hidden="1" x14ac:dyDescent="0.25">
      <c r="A4915" s="1">
        <v>88</v>
      </c>
      <c r="B4915" t="s">
        <v>4776</v>
      </c>
      <c r="C4915" s="1" t="s">
        <v>4638</v>
      </c>
      <c r="D4915" s="1"/>
      <c r="E4915" s="1"/>
      <c r="F4915" s="1" t="s">
        <v>4640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hidden="1" x14ac:dyDescent="0.25">
      <c r="A4916" s="1">
        <v>89</v>
      </c>
      <c r="B4916" t="s">
        <v>4777</v>
      </c>
      <c r="C4916" s="1" t="s">
        <v>4638</v>
      </c>
      <c r="D4916" s="1"/>
      <c r="E4916" s="1"/>
      <c r="F4916" s="1" t="s">
        <v>4641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hidden="1" x14ac:dyDescent="0.25">
      <c r="A4917" s="1">
        <v>90</v>
      </c>
      <c r="B4917" t="s">
        <v>4778</v>
      </c>
      <c r="C4917" s="1" t="s">
        <v>4638</v>
      </c>
      <c r="D4917" s="1"/>
      <c r="E4917" s="1"/>
      <c r="F4917" s="1" t="s">
        <v>4642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hidden="1" x14ac:dyDescent="0.25">
      <c r="A4918" s="1">
        <v>91</v>
      </c>
      <c r="B4918" t="s">
        <v>4779</v>
      </c>
      <c r="C4918" s="1" t="s">
        <v>4638</v>
      </c>
      <c r="D4918" s="1"/>
      <c r="E4918" s="1"/>
      <c r="F4918" s="1" t="s">
        <v>4643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hidden="1" x14ac:dyDescent="0.25">
      <c r="A4919" s="1">
        <v>92</v>
      </c>
      <c r="B4919" t="s">
        <v>4780</v>
      </c>
      <c r="C4919" s="1" t="s">
        <v>4638</v>
      </c>
      <c r="D4919" s="1"/>
      <c r="E4919" s="1"/>
      <c r="F4919" s="1" t="s">
        <v>4644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hidden="1" x14ac:dyDescent="0.25">
      <c r="A4920" s="1">
        <v>93</v>
      </c>
      <c r="B4920" t="s">
        <v>4781</v>
      </c>
      <c r="C4920" s="1" t="s">
        <v>4638</v>
      </c>
      <c r="D4920" s="1"/>
      <c r="E4920" s="1"/>
      <c r="F4920" s="1" t="s">
        <v>4645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hidden="1" x14ac:dyDescent="0.25">
      <c r="A4921" s="1">
        <v>94</v>
      </c>
      <c r="B4921" t="s">
        <v>4782</v>
      </c>
      <c r="C4921" s="1" t="s">
        <v>3802</v>
      </c>
      <c r="D4921" s="1"/>
      <c r="E4921" s="1"/>
      <c r="F4921" s="1" t="s">
        <v>4646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hidden="1" x14ac:dyDescent="0.25">
      <c r="A4922" s="1">
        <v>95</v>
      </c>
      <c r="B4922" t="s">
        <v>4783</v>
      </c>
      <c r="C4922" s="1" t="s">
        <v>3802</v>
      </c>
      <c r="D4922" s="1"/>
      <c r="E4922" s="1"/>
      <c r="F4922" s="1" t="s">
        <v>4647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hidden="1" x14ac:dyDescent="0.25">
      <c r="A4923" s="1">
        <v>96</v>
      </c>
      <c r="B4923" t="s">
        <v>4784</v>
      </c>
      <c r="C4923" s="1" t="s">
        <v>3802</v>
      </c>
      <c r="D4923" s="1"/>
      <c r="E4923" s="1"/>
      <c r="F4923" s="1" t="s">
        <v>4648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hidden="1" x14ac:dyDescent="0.25">
      <c r="A4924" s="1">
        <v>97</v>
      </c>
      <c r="B4924" t="s">
        <v>4785</v>
      </c>
      <c r="C4924" s="1" t="s">
        <v>3802</v>
      </c>
      <c r="D4924" s="1"/>
      <c r="E4924" s="1"/>
      <c r="F4924" s="1" t="s">
        <v>4649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hidden="1" x14ac:dyDescent="0.25">
      <c r="A4925" s="1">
        <v>98</v>
      </c>
      <c r="B4925" t="s">
        <v>4786</v>
      </c>
      <c r="C4925" s="1" t="s">
        <v>3802</v>
      </c>
      <c r="D4925" s="1"/>
      <c r="E4925" s="1"/>
      <c r="F4925" s="1" t="s">
        <v>4650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hidden="1" x14ac:dyDescent="0.25">
      <c r="A4926" s="1">
        <v>99</v>
      </c>
      <c r="B4926" t="s">
        <v>4787</v>
      </c>
      <c r="C4926" s="1" t="s">
        <v>3802</v>
      </c>
      <c r="D4926" s="1"/>
      <c r="E4926" s="1"/>
      <c r="F4926" s="1" t="s">
        <v>4651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hidden="1" x14ac:dyDescent="0.25">
      <c r="A4927" s="1">
        <v>100</v>
      </c>
      <c r="B4927" t="s">
        <v>4788</v>
      </c>
      <c r="C4927" s="1" t="s">
        <v>3821</v>
      </c>
      <c r="D4927" s="1"/>
      <c r="E4927" s="1"/>
      <c r="F4927" s="1" t="s">
        <v>4652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hidden="1" x14ac:dyDescent="0.25">
      <c r="A4928" s="1">
        <v>101</v>
      </c>
      <c r="B4928" t="s">
        <v>4789</v>
      </c>
      <c r="C4928" s="1" t="s">
        <v>3821</v>
      </c>
      <c r="D4928" s="1"/>
      <c r="E4928" s="1"/>
      <c r="F4928" s="1" t="s">
        <v>4653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hidden="1" x14ac:dyDescent="0.25">
      <c r="A4929" s="1">
        <v>102</v>
      </c>
      <c r="B4929" t="s">
        <v>4790</v>
      </c>
      <c r="C4929" s="1" t="s">
        <v>3821</v>
      </c>
      <c r="D4929" s="1"/>
      <c r="E4929" s="1"/>
      <c r="F4929" s="1" t="s">
        <v>4654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hidden="1" x14ac:dyDescent="0.25">
      <c r="A4930" s="1">
        <v>103</v>
      </c>
      <c r="B4930" t="s">
        <v>4791</v>
      </c>
      <c r="C4930" s="1" t="s">
        <v>3821</v>
      </c>
      <c r="D4930" s="1"/>
      <c r="E4930" s="1"/>
      <c r="F4930" s="1" t="s">
        <v>4654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hidden="1" x14ac:dyDescent="0.25">
      <c r="A4931" s="1">
        <v>104</v>
      </c>
      <c r="B4931" t="s">
        <v>4792</v>
      </c>
      <c r="C4931" s="1" t="s">
        <v>3875</v>
      </c>
      <c r="D4931" s="1"/>
      <c r="E4931" s="1"/>
      <c r="F4931" s="1" t="s">
        <v>4655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hidden="1" x14ac:dyDescent="0.25">
      <c r="A4932" s="1">
        <v>105</v>
      </c>
      <c r="B4932" t="s">
        <v>4793</v>
      </c>
      <c r="C4932" s="1" t="s">
        <v>3875</v>
      </c>
      <c r="D4932" s="1"/>
      <c r="E4932" s="1"/>
      <c r="F4932" s="1" t="s">
        <v>4656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hidden="1" x14ac:dyDescent="0.25">
      <c r="A4933" s="1">
        <v>106</v>
      </c>
      <c r="B4933" t="s">
        <v>4794</v>
      </c>
      <c r="C4933" s="1" t="s">
        <v>3858</v>
      </c>
      <c r="D4933" s="1"/>
      <c r="E4933" s="1"/>
      <c r="F4933" s="1" t="s">
        <v>4657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hidden="1" x14ac:dyDescent="0.25">
      <c r="A4934" s="1">
        <v>107</v>
      </c>
      <c r="B4934" t="s">
        <v>4795</v>
      </c>
      <c r="C4934" s="1" t="s">
        <v>3858</v>
      </c>
      <c r="D4934" s="1"/>
      <c r="E4934" s="1"/>
      <c r="F4934" s="1" t="s">
        <v>4657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hidden="1" x14ac:dyDescent="0.25">
      <c r="A4935" s="1">
        <v>108</v>
      </c>
      <c r="B4935" t="s">
        <v>4796</v>
      </c>
      <c r="C4935" s="1" t="s">
        <v>3858</v>
      </c>
      <c r="D4935" s="1"/>
      <c r="E4935" s="1"/>
      <c r="F4935" s="1" t="s">
        <v>4658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hidden="1" x14ac:dyDescent="0.25">
      <c r="A4936" s="1">
        <v>109</v>
      </c>
      <c r="B4936" t="s">
        <v>4797</v>
      </c>
      <c r="C4936" s="1" t="s">
        <v>3858</v>
      </c>
      <c r="D4936" s="1"/>
      <c r="E4936" s="1"/>
      <c r="F4936" s="1" t="s">
        <v>4658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hidden="1" x14ac:dyDescent="0.25">
      <c r="A4937" s="1">
        <v>110</v>
      </c>
      <c r="B4937" t="s">
        <v>4798</v>
      </c>
      <c r="C4937" s="1" t="s">
        <v>3864</v>
      </c>
      <c r="D4937" s="1"/>
      <c r="E4937" s="1"/>
      <c r="F4937" s="1" t="s">
        <v>4659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hidden="1" x14ac:dyDescent="0.25">
      <c r="A4938" s="1">
        <v>111</v>
      </c>
      <c r="B4938" t="s">
        <v>4799</v>
      </c>
      <c r="C4938" s="1" t="s">
        <v>3864</v>
      </c>
      <c r="D4938" s="1"/>
      <c r="E4938" s="1"/>
      <c r="F4938" s="1" t="s">
        <v>4660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hidden="1" x14ac:dyDescent="0.25">
      <c r="A4939" s="1">
        <v>112</v>
      </c>
      <c r="B4939" t="s">
        <v>4800</v>
      </c>
      <c r="C4939" s="1" t="s">
        <v>3864</v>
      </c>
      <c r="D4939" s="1"/>
      <c r="E4939" s="1"/>
      <c r="F4939" s="1" t="s">
        <v>4661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hidden="1" x14ac:dyDescent="0.25">
      <c r="A4940" s="1">
        <v>113</v>
      </c>
      <c r="B4940" t="s">
        <v>4801</v>
      </c>
      <c r="C4940" s="1" t="s">
        <v>3864</v>
      </c>
      <c r="D4940" s="1"/>
      <c r="E4940" s="1"/>
      <c r="F4940" s="1" t="s">
        <v>4662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hidden="1" x14ac:dyDescent="0.25">
      <c r="A4941" s="1">
        <v>114</v>
      </c>
      <c r="B4941" t="s">
        <v>4802</v>
      </c>
      <c r="C4941" s="1" t="s">
        <v>3864</v>
      </c>
      <c r="D4941" s="1"/>
      <c r="E4941" s="1"/>
      <c r="F4941" s="1" t="s">
        <v>4663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hidden="1" x14ac:dyDescent="0.25">
      <c r="A4942" s="1">
        <v>115</v>
      </c>
      <c r="B4942" t="s">
        <v>4803</v>
      </c>
      <c r="C4942" s="1" t="s">
        <v>3864</v>
      </c>
      <c r="D4942" s="1"/>
      <c r="E4942" s="1"/>
      <c r="F4942" s="1" t="s">
        <v>4664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hidden="1" x14ac:dyDescent="0.25">
      <c r="A4943" s="1">
        <v>116</v>
      </c>
      <c r="B4943" t="s">
        <v>4804</v>
      </c>
      <c r="C4943" s="1" t="s">
        <v>3855</v>
      </c>
      <c r="D4943" s="1"/>
      <c r="E4943" s="1"/>
      <c r="F4943" s="1" t="s">
        <v>4665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hidden="1" x14ac:dyDescent="0.25">
      <c r="A4944" s="1">
        <v>117</v>
      </c>
      <c r="B4944" t="s">
        <v>4805</v>
      </c>
      <c r="C4944" s="1" t="s">
        <v>3855</v>
      </c>
      <c r="D4944" s="1"/>
      <c r="E4944" s="1"/>
      <c r="F4944" s="1" t="s">
        <v>4666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hidden="1" x14ac:dyDescent="0.25">
      <c r="A4945" s="1">
        <v>118</v>
      </c>
      <c r="B4945" t="s">
        <v>4806</v>
      </c>
      <c r="C4945" s="1" t="s">
        <v>3873</v>
      </c>
      <c r="D4945" s="1"/>
      <c r="E4945" s="1"/>
      <c r="F4945" s="1" t="s">
        <v>4667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hidden="1" x14ac:dyDescent="0.25">
      <c r="A4946" s="1">
        <v>119</v>
      </c>
      <c r="B4946" t="s">
        <v>4807</v>
      </c>
      <c r="C4946" s="1" t="s">
        <v>3873</v>
      </c>
      <c r="D4946" s="1"/>
      <c r="E4946" s="1"/>
      <c r="F4946" s="1" t="s">
        <v>4668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hidden="1" x14ac:dyDescent="0.25">
      <c r="A4947" s="1">
        <v>120</v>
      </c>
      <c r="B4947" t="s">
        <v>4808</v>
      </c>
      <c r="C4947" s="1" t="s">
        <v>4669</v>
      </c>
      <c r="D4947" s="1"/>
      <c r="E4947" s="1"/>
      <c r="F4947" s="1" t="s">
        <v>4670</v>
      </c>
      <c r="G4947" s="1">
        <v>1</v>
      </c>
      <c r="H4947" s="1" t="s">
        <v>19</v>
      </c>
      <c r="I4947" s="1" t="s">
        <v>4671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hidden="1" x14ac:dyDescent="0.25">
      <c r="A4948" s="1">
        <v>121</v>
      </c>
      <c r="B4948" t="s">
        <v>4809</v>
      </c>
      <c r="C4948" s="1" t="s">
        <v>4669</v>
      </c>
      <c r="D4948" s="1"/>
      <c r="E4948" s="1"/>
      <c r="F4948" s="1" t="s">
        <v>4672</v>
      </c>
      <c r="G4948" s="1">
        <v>1</v>
      </c>
      <c r="H4948" s="1" t="s">
        <v>19</v>
      </c>
      <c r="I4948" s="1" t="s">
        <v>4671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hidden="1" x14ac:dyDescent="0.25">
      <c r="A4949" s="1">
        <v>122</v>
      </c>
      <c r="B4949" t="s">
        <v>4810</v>
      </c>
      <c r="C4949" s="1" t="s">
        <v>4669</v>
      </c>
      <c r="D4949" s="1"/>
      <c r="E4949" s="1"/>
      <c r="F4949" s="1" t="s">
        <v>4673</v>
      </c>
      <c r="G4949" s="1">
        <v>1</v>
      </c>
      <c r="H4949" s="1" t="s">
        <v>19</v>
      </c>
      <c r="I4949" s="1" t="s">
        <v>4671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hidden="1" x14ac:dyDescent="0.25">
      <c r="A4950" s="1">
        <v>123</v>
      </c>
      <c r="B4950" t="s">
        <v>4811</v>
      </c>
      <c r="C4950" s="1" t="s">
        <v>4669</v>
      </c>
      <c r="D4950" s="1"/>
      <c r="E4950" s="1"/>
      <c r="F4950" s="1" t="s">
        <v>4674</v>
      </c>
      <c r="G4950" s="1">
        <v>1</v>
      </c>
      <c r="H4950" s="1" t="s">
        <v>19</v>
      </c>
      <c r="I4950" s="1" t="s">
        <v>4671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hidden="1" x14ac:dyDescent="0.25">
      <c r="A4951" s="1">
        <v>124</v>
      </c>
      <c r="B4951" t="s">
        <v>4812</v>
      </c>
      <c r="C4951" s="1" t="s">
        <v>4669</v>
      </c>
      <c r="D4951" s="1"/>
      <c r="E4951" s="1"/>
      <c r="F4951" s="1" t="s">
        <v>4675</v>
      </c>
      <c r="G4951" s="1">
        <v>1</v>
      </c>
      <c r="H4951" s="1" t="s">
        <v>19</v>
      </c>
      <c r="I4951" s="1" t="s">
        <v>4671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hidden="1" x14ac:dyDescent="0.25">
      <c r="A4952" s="1">
        <v>125</v>
      </c>
      <c r="B4952" t="s">
        <v>4813</v>
      </c>
      <c r="C4952" s="1" t="s">
        <v>4669</v>
      </c>
      <c r="D4952" s="1"/>
      <c r="E4952" s="1"/>
      <c r="F4952" s="1" t="s">
        <v>4676</v>
      </c>
      <c r="G4952" s="1">
        <v>1</v>
      </c>
      <c r="H4952" s="1" t="s">
        <v>19</v>
      </c>
      <c r="I4952" s="1" t="s">
        <v>4671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hidden="1" x14ac:dyDescent="0.25">
      <c r="A4953" s="1">
        <v>126</v>
      </c>
      <c r="B4953" t="s">
        <v>4814</v>
      </c>
      <c r="C4953" s="1" t="s">
        <v>4669</v>
      </c>
      <c r="D4953" s="1"/>
      <c r="E4953" s="1"/>
      <c r="F4953" s="1" t="s">
        <v>4677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hidden="1" x14ac:dyDescent="0.25">
      <c r="A4954" s="1">
        <v>127</v>
      </c>
      <c r="B4954" t="s">
        <v>4815</v>
      </c>
      <c r="C4954" s="1" t="s">
        <v>4669</v>
      </c>
      <c r="D4954" s="1"/>
      <c r="E4954" s="1"/>
      <c r="F4954" s="1" t="s">
        <v>4678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hidden="1" x14ac:dyDescent="0.25">
      <c r="A4955" s="1">
        <v>128</v>
      </c>
      <c r="B4955" t="s">
        <v>4816</v>
      </c>
      <c r="C4955" s="1" t="s">
        <v>4669</v>
      </c>
      <c r="D4955" s="1"/>
      <c r="E4955" s="1"/>
      <c r="F4955" s="1" t="s">
        <v>4679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hidden="1" x14ac:dyDescent="0.25">
      <c r="A4956" s="1">
        <v>129</v>
      </c>
      <c r="B4956" t="s">
        <v>4817</v>
      </c>
      <c r="C4956" s="1" t="s">
        <v>4669</v>
      </c>
      <c r="D4956" s="1"/>
      <c r="E4956" s="1"/>
      <c r="F4956" s="1" t="s">
        <v>4680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hidden="1" x14ac:dyDescent="0.25">
      <c r="A4957" s="1">
        <v>130</v>
      </c>
      <c r="B4957" t="s">
        <v>4818</v>
      </c>
      <c r="C4957" s="1" t="s">
        <v>4669</v>
      </c>
      <c r="D4957" s="1"/>
      <c r="E4957" s="1"/>
      <c r="F4957" s="1" t="s">
        <v>4681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hidden="1" x14ac:dyDescent="0.25">
      <c r="A4958" s="1">
        <v>131</v>
      </c>
      <c r="B4958" t="s">
        <v>4819</v>
      </c>
      <c r="C4958" s="1" t="s">
        <v>4669</v>
      </c>
      <c r="D4958" s="1"/>
      <c r="E4958" s="1"/>
      <c r="F4958" s="1" t="s">
        <v>4682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hidden="1" x14ac:dyDescent="0.25">
      <c r="A4959" s="1">
        <v>132</v>
      </c>
      <c r="B4959" t="s">
        <v>4820</v>
      </c>
      <c r="C4959" s="1" t="s">
        <v>4669</v>
      </c>
      <c r="D4959" s="1"/>
      <c r="E4959" s="1"/>
      <c r="F4959" s="1" t="s">
        <v>4683</v>
      </c>
      <c r="G4959" s="1">
        <v>168</v>
      </c>
      <c r="H4959" s="1" t="s">
        <v>19</v>
      </c>
      <c r="I4959" s="1" t="s">
        <v>4671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hidden="1" x14ac:dyDescent="0.25">
      <c r="A4960" s="1">
        <v>133</v>
      </c>
      <c r="B4960" t="s">
        <v>4821</v>
      </c>
      <c r="C4960" s="1" t="s">
        <v>4669</v>
      </c>
      <c r="D4960" s="1"/>
      <c r="E4960" s="1"/>
      <c r="F4960" s="1" t="s">
        <v>4684</v>
      </c>
      <c r="G4960" s="1">
        <v>336</v>
      </c>
      <c r="H4960" s="1" t="s">
        <v>19</v>
      </c>
      <c r="I4960" s="1" t="s">
        <v>4671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hidden="1" x14ac:dyDescent="0.25">
      <c r="A4961" s="1">
        <v>134</v>
      </c>
      <c r="B4961" t="s">
        <v>4822</v>
      </c>
      <c r="C4961" s="1" t="s">
        <v>4669</v>
      </c>
      <c r="D4961" s="1"/>
      <c r="E4961" s="1"/>
      <c r="F4961" s="1" t="s">
        <v>4685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hidden="1" x14ac:dyDescent="0.25">
      <c r="A4962" s="1">
        <v>135</v>
      </c>
      <c r="B4962" t="s">
        <v>4823</v>
      </c>
      <c r="C4962" s="1" t="s">
        <v>4669</v>
      </c>
      <c r="D4962" s="1"/>
      <c r="E4962" s="1"/>
      <c r="F4962" s="1" t="s">
        <v>4685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hidden="1" x14ac:dyDescent="0.25">
      <c r="A4963" s="1">
        <v>140</v>
      </c>
      <c r="B4963" s="159" t="s">
        <v>4824</v>
      </c>
      <c r="C4963" s="1" t="s">
        <v>3913</v>
      </c>
      <c r="D4963" s="1"/>
      <c r="E4963" s="1" t="s">
        <v>173</v>
      </c>
      <c r="F4963" s="1" t="s">
        <v>4687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hidden="1" x14ac:dyDescent="0.25">
      <c r="A4964" s="1">
        <v>141</v>
      </c>
      <c r="B4964" s="159" t="s">
        <v>4825</v>
      </c>
      <c r="C4964" s="1" t="s">
        <v>3913</v>
      </c>
      <c r="D4964" s="1"/>
      <c r="E4964" s="1" t="s">
        <v>173</v>
      </c>
      <c r="F4964" s="1" t="s">
        <v>4687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hidden="1" x14ac:dyDescent="0.25">
      <c r="A4965" s="1">
        <v>142</v>
      </c>
      <c r="B4965" s="159" t="s">
        <v>4826</v>
      </c>
      <c r="C4965" s="1" t="s">
        <v>4688</v>
      </c>
      <c r="D4965" s="1"/>
      <c r="E4965" s="1"/>
      <c r="F4965" s="1" t="s">
        <v>4689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hidden="1" x14ac:dyDescent="0.25">
      <c r="A4966" s="1">
        <v>143</v>
      </c>
      <c r="B4966" s="159" t="s">
        <v>4827</v>
      </c>
      <c r="C4966" s="1" t="s">
        <v>4688</v>
      </c>
      <c r="D4966" s="1"/>
      <c r="E4966" s="1"/>
      <c r="F4966" s="1" t="s">
        <v>4689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hidden="1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hidden="1" x14ac:dyDescent="0.25">
      <c r="A4968" s="1">
        <v>137</v>
      </c>
      <c r="B4968" s="159">
        <v>4131</v>
      </c>
      <c r="C4968" s="115" t="s">
        <v>3880</v>
      </c>
      <c r="D4968" s="1"/>
      <c r="E4968" s="1" t="s">
        <v>4686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hidden="1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hidden="1" x14ac:dyDescent="0.25">
      <c r="A4970" s="1">
        <v>139</v>
      </c>
      <c r="B4970" s="159">
        <v>4133</v>
      </c>
      <c r="C4970" s="115" t="s">
        <v>3880</v>
      </c>
      <c r="D4970" s="1"/>
      <c r="E4970" s="1" t="s">
        <v>4686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hidden="1" x14ac:dyDescent="0.25">
      <c r="A4971" s="1">
        <v>1</v>
      </c>
      <c r="B4971" s="159"/>
      <c r="C4971" s="115" t="s">
        <v>3764</v>
      </c>
      <c r="D4971" s="1"/>
      <c r="E4971" s="1" t="s">
        <v>3772</v>
      </c>
      <c r="F4971" s="1" t="s">
        <v>3770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/>
      <c r="O4971" t="s">
        <v>6</v>
      </c>
    </row>
    <row r="4972" spans="1:15" ht="20.25" hidden="1" x14ac:dyDescent="0.25">
      <c r="A4972" s="1">
        <v>2</v>
      </c>
      <c r="B4972" s="159"/>
      <c r="C4972" s="1" t="s">
        <v>3764</v>
      </c>
      <c r="D4972" s="1"/>
      <c r="E4972" s="1" t="s">
        <v>3772</v>
      </c>
      <c r="F4972" s="1" t="s">
        <v>3770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43"/>
      <c r="N4972" s="1"/>
      <c r="O4972" t="s">
        <v>6</v>
      </c>
    </row>
    <row r="4973" spans="1:15" ht="20.25" hidden="1" x14ac:dyDescent="0.25">
      <c r="A4973" s="1">
        <v>3</v>
      </c>
      <c r="B4973" s="159"/>
      <c r="C4973" s="1" t="s">
        <v>3786</v>
      </c>
      <c r="D4973" s="1"/>
      <c r="E4973" s="1" t="s">
        <v>3787</v>
      </c>
      <c r="F4973" s="1" t="s">
        <v>3788</v>
      </c>
      <c r="G4973" s="1">
        <v>2</v>
      </c>
      <c r="H4973" s="1" t="s">
        <v>19</v>
      </c>
      <c r="I4973" s="1" t="s">
        <v>3790</v>
      </c>
      <c r="J4973" s="1">
        <v>0.52</v>
      </c>
      <c r="K4973" s="1">
        <v>1.04</v>
      </c>
      <c r="L4973" s="42"/>
      <c r="M4973" s="43"/>
      <c r="N4973" s="1"/>
      <c r="O4973" t="s">
        <v>6</v>
      </c>
    </row>
    <row r="4974" spans="1:15" ht="20.25" hidden="1" x14ac:dyDescent="0.25">
      <c r="A4974" s="1">
        <v>4</v>
      </c>
      <c r="B4974" s="159"/>
      <c r="C4974" s="1" t="s">
        <v>3786</v>
      </c>
      <c r="D4974" s="1"/>
      <c r="E4974" s="1" t="s">
        <v>3791</v>
      </c>
      <c r="F4974" s="1" t="s">
        <v>3788</v>
      </c>
      <c r="G4974" s="1">
        <v>2</v>
      </c>
      <c r="H4974" s="1" t="s">
        <v>19</v>
      </c>
      <c r="I4974" s="1" t="s">
        <v>3790</v>
      </c>
      <c r="J4974" s="1">
        <v>0.66</v>
      </c>
      <c r="K4974" s="1">
        <v>1.32</v>
      </c>
      <c r="L4974" s="42"/>
      <c r="M4974" s="43"/>
      <c r="N4974" s="1"/>
      <c r="O4974" t="s">
        <v>6</v>
      </c>
    </row>
    <row r="4975" spans="1:15" ht="20.25" hidden="1" x14ac:dyDescent="0.25">
      <c r="A4975" s="1">
        <v>5</v>
      </c>
      <c r="B4975" s="159"/>
      <c r="C4975" s="1" t="s">
        <v>3786</v>
      </c>
      <c r="D4975" s="1"/>
      <c r="E4975" s="1" t="s">
        <v>3792</v>
      </c>
      <c r="F4975" s="1" t="s">
        <v>3793</v>
      </c>
      <c r="G4975" s="1">
        <v>4</v>
      </c>
      <c r="H4975" s="1" t="s">
        <v>19</v>
      </c>
      <c r="I4975" s="1" t="s">
        <v>3790</v>
      </c>
      <c r="J4975" s="1">
        <v>0.51</v>
      </c>
      <c r="K4975" s="1">
        <v>2.04</v>
      </c>
      <c r="L4975" s="42"/>
      <c r="M4975" s="43"/>
      <c r="N4975" s="1"/>
      <c r="O4975" t="s">
        <v>6</v>
      </c>
    </row>
    <row r="4976" spans="1:15" ht="20.25" hidden="1" x14ac:dyDescent="0.25">
      <c r="A4976" s="1">
        <v>6</v>
      </c>
      <c r="B4976" s="159"/>
      <c r="C4976" s="1" t="s">
        <v>3796</v>
      </c>
      <c r="D4976" s="1"/>
      <c r="E4976" s="1" t="s">
        <v>3797</v>
      </c>
      <c r="F4976" s="1" t="s">
        <v>3798</v>
      </c>
      <c r="G4976" s="1">
        <v>8</v>
      </c>
      <c r="H4976" s="1" t="s">
        <v>19</v>
      </c>
      <c r="I4976" s="1" t="s">
        <v>3790</v>
      </c>
      <c r="J4976" s="1">
        <v>0.32</v>
      </c>
      <c r="K4976" s="1">
        <v>2.56</v>
      </c>
      <c r="L4976" s="42"/>
      <c r="M4976" s="43"/>
      <c r="N4976" s="1"/>
      <c r="O4976" t="s">
        <v>6</v>
      </c>
    </row>
    <row r="4977" spans="1:15" ht="20.25" hidden="1" x14ac:dyDescent="0.25">
      <c r="A4977" s="1">
        <v>7</v>
      </c>
      <c r="B4977" s="159"/>
      <c r="C4977" s="1" t="s">
        <v>3799</v>
      </c>
      <c r="D4977" s="1"/>
      <c r="E4977" s="1" t="s">
        <v>3800</v>
      </c>
      <c r="F4977" s="1" t="s">
        <v>3798</v>
      </c>
      <c r="G4977" s="1">
        <v>8</v>
      </c>
      <c r="H4977" s="1" t="s">
        <v>19</v>
      </c>
      <c r="I4977" s="1" t="s">
        <v>3790</v>
      </c>
      <c r="J4977" s="1">
        <v>0.39</v>
      </c>
      <c r="K4977" s="1">
        <v>3.12</v>
      </c>
      <c r="L4977" s="42"/>
      <c r="M4977" s="43"/>
      <c r="N4977" s="1"/>
      <c r="O4977" t="s">
        <v>6</v>
      </c>
    </row>
    <row r="4978" spans="1:15" ht="20.25" hidden="1" x14ac:dyDescent="0.25">
      <c r="A4978" s="1">
        <v>8</v>
      </c>
      <c r="B4978" s="159"/>
      <c r="C4978" s="291" t="s">
        <v>3801</v>
      </c>
      <c r="D4978" s="1"/>
      <c r="E4978" s="1" t="s">
        <v>2996</v>
      </c>
      <c r="F4978" s="1" t="s">
        <v>3788</v>
      </c>
      <c r="G4978" s="1">
        <v>2</v>
      </c>
      <c r="H4978" s="1" t="s">
        <v>19</v>
      </c>
      <c r="I4978" s="1" t="s">
        <v>3790</v>
      </c>
      <c r="J4978" s="1">
        <v>0.53</v>
      </c>
      <c r="K4978" s="1">
        <v>1.06</v>
      </c>
      <c r="L4978" s="42"/>
      <c r="M4978" s="43"/>
      <c r="N4978" s="1"/>
      <c r="O4978" t="s">
        <v>6</v>
      </c>
    </row>
    <row r="4979" spans="1:15" ht="20.25" hidden="1" x14ac:dyDescent="0.25">
      <c r="A4979" s="1">
        <v>9</v>
      </c>
      <c r="B4979" s="159"/>
      <c r="C4979" s="291" t="s">
        <v>3801</v>
      </c>
      <c r="D4979" s="1"/>
      <c r="E4979" s="1" t="s">
        <v>2997</v>
      </c>
      <c r="F4979" s="1" t="s">
        <v>3788</v>
      </c>
      <c r="G4979" s="1">
        <v>2</v>
      </c>
      <c r="H4979" s="1" t="s">
        <v>19</v>
      </c>
      <c r="I4979" s="1" t="s">
        <v>3790</v>
      </c>
      <c r="J4979" s="1">
        <v>0.74</v>
      </c>
      <c r="K4979" s="1">
        <v>1.48</v>
      </c>
      <c r="L4979" s="42"/>
      <c r="M4979" s="43"/>
      <c r="N4979" s="1"/>
      <c r="O4979" t="s">
        <v>6</v>
      </c>
    </row>
    <row r="4980" spans="1:15" ht="20.25" hidden="1" x14ac:dyDescent="0.25">
      <c r="A4980" s="1">
        <v>10</v>
      </c>
      <c r="B4980" s="159"/>
      <c r="C4980" s="291" t="s">
        <v>3801</v>
      </c>
      <c r="D4980" s="1"/>
      <c r="E4980" s="1" t="s">
        <v>3800</v>
      </c>
      <c r="F4980" s="1" t="s">
        <v>3793</v>
      </c>
      <c r="G4980" s="1">
        <v>2</v>
      </c>
      <c r="H4980" s="1" t="s">
        <v>19</v>
      </c>
      <c r="I4980" s="1" t="s">
        <v>3790</v>
      </c>
      <c r="J4980" s="1">
        <v>0.51</v>
      </c>
      <c r="K4980" s="1">
        <v>1.02</v>
      </c>
      <c r="L4980" s="42"/>
      <c r="M4980" s="43"/>
      <c r="N4980" s="1"/>
      <c r="O4980" t="s">
        <v>6</v>
      </c>
    </row>
    <row r="4981" spans="1:15" ht="20.25" hidden="1" x14ac:dyDescent="0.25">
      <c r="A4981" s="1">
        <v>11</v>
      </c>
      <c r="B4981" s="159"/>
      <c r="C4981" s="1" t="s">
        <v>3855</v>
      </c>
      <c r="D4981" s="1"/>
      <c r="E4981" s="1" t="s">
        <v>3856</v>
      </c>
      <c r="F4981" s="1" t="s">
        <v>3857</v>
      </c>
      <c r="G4981" s="1">
        <v>2</v>
      </c>
      <c r="H4981" s="1" t="s">
        <v>19</v>
      </c>
      <c r="I4981" s="1" t="s">
        <v>3790</v>
      </c>
      <c r="J4981" s="1">
        <v>175.04</v>
      </c>
      <c r="K4981" s="1">
        <v>350.08</v>
      </c>
      <c r="L4981" s="42"/>
      <c r="M4981" s="43"/>
      <c r="N4981" s="1"/>
      <c r="O4981" t="s">
        <v>6</v>
      </c>
    </row>
    <row r="4982" spans="1:15" ht="20.25" hidden="1" x14ac:dyDescent="0.25">
      <c r="A4982" s="1">
        <v>12</v>
      </c>
      <c r="B4982" s="159"/>
      <c r="C4982" s="1" t="s">
        <v>3886</v>
      </c>
      <c r="D4982" s="1"/>
      <c r="E4982" s="1" t="s">
        <v>3890</v>
      </c>
      <c r="F4982" s="1" t="s">
        <v>3891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43"/>
      <c r="N4982" s="1"/>
      <c r="O4982" t="s">
        <v>6</v>
      </c>
    </row>
    <row r="4983" spans="1:15" ht="20.25" hidden="1" x14ac:dyDescent="0.25">
      <c r="A4983" s="1">
        <v>13</v>
      </c>
      <c r="B4983" s="159"/>
      <c r="C4983" s="1" t="s">
        <v>3886</v>
      </c>
      <c r="D4983" s="1"/>
      <c r="E4983" s="1" t="s">
        <v>3894</v>
      </c>
      <c r="F4983" s="1" t="s">
        <v>3895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43"/>
      <c r="N4983" s="1"/>
      <c r="O4983" t="s">
        <v>6</v>
      </c>
    </row>
    <row r="4984" spans="1:15" ht="20.25" hidden="1" x14ac:dyDescent="0.25">
      <c r="A4984" s="1">
        <v>14</v>
      </c>
      <c r="B4984" s="159"/>
      <c r="C4984" s="1" t="s">
        <v>3886</v>
      </c>
      <c r="D4984" s="1"/>
      <c r="E4984" s="1" t="s">
        <v>3896</v>
      </c>
      <c r="F4984" s="1" t="s">
        <v>3897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43"/>
      <c r="N4984" s="1"/>
      <c r="O4984" t="s">
        <v>6</v>
      </c>
    </row>
    <row r="4985" spans="1:15" ht="20.25" hidden="1" x14ac:dyDescent="0.25">
      <c r="A4985" s="1">
        <v>15</v>
      </c>
      <c r="B4985" s="159"/>
      <c r="C4985" s="1" t="s">
        <v>3886</v>
      </c>
      <c r="D4985" s="1"/>
      <c r="E4985" s="1" t="s">
        <v>3898</v>
      </c>
      <c r="F4985" s="1" t="s">
        <v>3897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43"/>
      <c r="N4985" s="1"/>
      <c r="O4985" t="s">
        <v>6</v>
      </c>
    </row>
    <row r="4986" spans="1:15" ht="20.25" hidden="1" x14ac:dyDescent="0.25">
      <c r="A4986" s="1">
        <v>16</v>
      </c>
      <c r="B4986" s="159"/>
      <c r="C4986" s="1" t="s">
        <v>3886</v>
      </c>
      <c r="D4986" s="1"/>
      <c r="E4986" s="1" t="s">
        <v>3899</v>
      </c>
      <c r="F4986" s="1" t="s">
        <v>3897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43"/>
      <c r="N4986" s="1"/>
      <c r="O4986" t="s">
        <v>6</v>
      </c>
    </row>
    <row r="4987" spans="1:15" ht="20.25" hidden="1" x14ac:dyDescent="0.25">
      <c r="A4987" s="1">
        <v>17</v>
      </c>
      <c r="B4987" s="159"/>
      <c r="C4987" s="1" t="s">
        <v>3886</v>
      </c>
      <c r="D4987" s="1"/>
      <c r="E4987" s="1" t="s">
        <v>3890</v>
      </c>
      <c r="F4987" s="1" t="s">
        <v>3891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43"/>
      <c r="N4987" s="1"/>
      <c r="O4987" t="s">
        <v>6</v>
      </c>
    </row>
    <row r="4988" spans="1:15" ht="20.25" hidden="1" x14ac:dyDescent="0.25">
      <c r="A4988" s="1">
        <v>18</v>
      </c>
      <c r="B4988" s="159"/>
      <c r="C4988" s="1" t="s">
        <v>3886</v>
      </c>
      <c r="D4988" s="1"/>
      <c r="E4988" s="1" t="s">
        <v>3894</v>
      </c>
      <c r="F4988" s="1" t="s">
        <v>3895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43"/>
      <c r="N4988" s="1"/>
      <c r="O4988" t="s">
        <v>6</v>
      </c>
    </row>
    <row r="4989" spans="1:15" ht="20.25" hidden="1" x14ac:dyDescent="0.25">
      <c r="A4989" s="1">
        <v>19</v>
      </c>
      <c r="B4989" s="159"/>
      <c r="C4989" s="1" t="s">
        <v>3886</v>
      </c>
      <c r="D4989" s="1"/>
      <c r="E4989" s="1" t="s">
        <v>3896</v>
      </c>
      <c r="F4989" s="1" t="s">
        <v>3897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43"/>
      <c r="N4989" s="1"/>
      <c r="O4989" t="s">
        <v>6</v>
      </c>
    </row>
    <row r="4990" spans="1:15" ht="20.25" hidden="1" x14ac:dyDescent="0.25">
      <c r="A4990" s="1">
        <v>20</v>
      </c>
      <c r="B4990" s="159"/>
      <c r="C4990" s="1" t="s">
        <v>3886</v>
      </c>
      <c r="D4990" s="1"/>
      <c r="E4990" s="1" t="s">
        <v>3898</v>
      </c>
      <c r="F4990" s="1" t="s">
        <v>3897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43"/>
      <c r="N4990" s="1"/>
      <c r="O4990" t="s">
        <v>6</v>
      </c>
    </row>
    <row r="4991" spans="1:15" ht="20.25" hidden="1" x14ac:dyDescent="0.25">
      <c r="A4991" s="1">
        <v>21</v>
      </c>
      <c r="B4991" s="159"/>
      <c r="C4991" s="1" t="s">
        <v>3886</v>
      </c>
      <c r="D4991" s="1"/>
      <c r="E4991" s="1" t="s">
        <v>3899</v>
      </c>
      <c r="F4991" s="1" t="s">
        <v>3897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43"/>
      <c r="N4991" s="1"/>
      <c r="O4991" t="s">
        <v>6</v>
      </c>
    </row>
    <row r="4992" spans="1:15" ht="20.25" hidden="1" x14ac:dyDescent="0.25">
      <c r="A4992" s="1">
        <v>22</v>
      </c>
      <c r="B4992" s="159"/>
      <c r="C4992" s="1" t="s">
        <v>3904</v>
      </c>
      <c r="D4992" s="1"/>
      <c r="E4992" s="1" t="s">
        <v>3905</v>
      </c>
      <c r="F4992" s="1" t="s">
        <v>3906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43"/>
      <c r="N4992" s="1"/>
      <c r="O4992" t="s">
        <v>6</v>
      </c>
    </row>
    <row r="4993" spans="1:15" ht="20.25" hidden="1" x14ac:dyDescent="0.25">
      <c r="A4993" s="1">
        <v>23</v>
      </c>
      <c r="B4993" s="159"/>
      <c r="C4993" s="1" t="s">
        <v>3909</v>
      </c>
      <c r="D4993" s="1"/>
      <c r="E4993" s="1" t="s">
        <v>3910</v>
      </c>
      <c r="F4993" s="1" t="s">
        <v>3911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43"/>
      <c r="N4993" s="1"/>
      <c r="O4993" t="s">
        <v>6</v>
      </c>
    </row>
    <row r="4994" spans="1:15" ht="20.25" hidden="1" x14ac:dyDescent="0.25">
      <c r="A4994" s="1">
        <v>24</v>
      </c>
      <c r="B4994" s="159"/>
      <c r="C4994" s="1" t="s">
        <v>3909</v>
      </c>
      <c r="D4994" s="1"/>
      <c r="E4994" s="1" t="s">
        <v>2996</v>
      </c>
      <c r="F4994" s="1" t="s">
        <v>3912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43"/>
      <c r="N4994" s="1"/>
      <c r="O4994" t="s">
        <v>6</v>
      </c>
    </row>
    <row r="4995" spans="1:15" ht="20.25" hidden="1" x14ac:dyDescent="0.25">
      <c r="A4995" s="1">
        <v>25</v>
      </c>
      <c r="B4995" s="159"/>
      <c r="C4995" s="1" t="s">
        <v>3909</v>
      </c>
      <c r="D4995" s="1"/>
      <c r="E4995" s="1" t="s">
        <v>3910</v>
      </c>
      <c r="F4995" s="1" t="s">
        <v>3911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43"/>
      <c r="N4995" s="1"/>
      <c r="O4995" t="s">
        <v>6</v>
      </c>
    </row>
    <row r="4996" spans="1:15" ht="20.25" hidden="1" x14ac:dyDescent="0.25">
      <c r="A4996" s="1">
        <v>26</v>
      </c>
      <c r="B4996" s="159"/>
      <c r="C4996" s="1" t="s">
        <v>3909</v>
      </c>
      <c r="D4996" s="1"/>
      <c r="E4996" s="1" t="s">
        <v>2996</v>
      </c>
      <c r="F4996" s="1" t="s">
        <v>3912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43"/>
      <c r="N4996" s="1"/>
      <c r="O4996" t="s">
        <v>6</v>
      </c>
    </row>
    <row r="4997" spans="1:15" ht="20.25" hidden="1" x14ac:dyDescent="0.25">
      <c r="A4997" s="1">
        <v>27</v>
      </c>
      <c r="B4997" s="159"/>
      <c r="C4997" s="1" t="s">
        <v>3935</v>
      </c>
      <c r="D4997" s="1"/>
      <c r="E4997" s="1" t="s">
        <v>3944</v>
      </c>
      <c r="F4997" s="1" t="s">
        <v>3945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43"/>
      <c r="N4997" s="1"/>
      <c r="O4997" t="s">
        <v>6</v>
      </c>
    </row>
    <row r="4998" spans="1:15" ht="20.25" hidden="1" x14ac:dyDescent="0.25">
      <c r="A4998" s="1">
        <v>28</v>
      </c>
      <c r="B4998" s="159"/>
      <c r="C4998" s="1" t="s">
        <v>3935</v>
      </c>
      <c r="D4998" s="1"/>
      <c r="E4998" s="1" t="s">
        <v>3944</v>
      </c>
      <c r="F4998" s="1" t="s">
        <v>3945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43"/>
      <c r="N4998" s="1"/>
      <c r="O4998" t="s">
        <v>6</v>
      </c>
    </row>
    <row r="4999" spans="1:15" ht="20.25" hidden="1" x14ac:dyDescent="0.25">
      <c r="A4999" s="1">
        <v>29</v>
      </c>
      <c r="B4999" s="159"/>
      <c r="C4999" s="1" t="s">
        <v>3948</v>
      </c>
      <c r="D4999" s="1"/>
      <c r="E4999" s="1" t="s">
        <v>3949</v>
      </c>
      <c r="F4999" s="1" t="s">
        <v>3950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43"/>
      <c r="N4999" s="1"/>
      <c r="O4999" t="s">
        <v>6</v>
      </c>
    </row>
    <row r="5000" spans="1:15" ht="20.25" hidden="1" x14ac:dyDescent="0.25">
      <c r="A5000" s="1">
        <v>30</v>
      </c>
      <c r="B5000" s="159"/>
      <c r="C5000" s="1" t="s">
        <v>3948</v>
      </c>
      <c r="D5000" s="1"/>
      <c r="E5000" s="1" t="s">
        <v>3952</v>
      </c>
      <c r="F5000" s="1" t="s">
        <v>3950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43"/>
      <c r="N5000" s="1"/>
      <c r="O5000" t="s">
        <v>6</v>
      </c>
    </row>
    <row r="5001" spans="1:15" ht="20.25" hidden="1" x14ac:dyDescent="0.25">
      <c r="A5001" s="1">
        <v>31</v>
      </c>
      <c r="B5001" s="159"/>
      <c r="C5001" s="1" t="s">
        <v>3948</v>
      </c>
      <c r="D5001" s="1"/>
      <c r="E5001" s="1" t="s">
        <v>3953</v>
      </c>
      <c r="F5001" s="1" t="s">
        <v>3954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43"/>
      <c r="N5001" s="1"/>
      <c r="O5001" t="s">
        <v>6</v>
      </c>
    </row>
    <row r="5002" spans="1:15" ht="20.25" hidden="1" x14ac:dyDescent="0.25">
      <c r="A5002" s="1">
        <v>32</v>
      </c>
      <c r="B5002" s="159"/>
      <c r="C5002" s="1" t="s">
        <v>3948</v>
      </c>
      <c r="D5002" s="1"/>
      <c r="E5002" s="1" t="s">
        <v>3955</v>
      </c>
      <c r="F5002" s="1" t="s">
        <v>3954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43"/>
      <c r="N5002" s="1"/>
      <c r="O5002" t="s">
        <v>6</v>
      </c>
    </row>
    <row r="5003" spans="1:15" ht="20.25" hidden="1" x14ac:dyDescent="0.25">
      <c r="A5003" s="1">
        <v>33</v>
      </c>
      <c r="B5003" s="159"/>
      <c r="C5003" s="1" t="s">
        <v>3948</v>
      </c>
      <c r="D5003" s="1"/>
      <c r="E5003" s="1" t="s">
        <v>3956</v>
      </c>
      <c r="F5003" s="1" t="s">
        <v>3954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43"/>
      <c r="N5003" s="1"/>
      <c r="O5003" t="s">
        <v>6</v>
      </c>
    </row>
    <row r="5004" spans="1:15" ht="20.25" hidden="1" x14ac:dyDescent="0.25">
      <c r="A5004" s="1">
        <v>34</v>
      </c>
      <c r="B5004" s="159"/>
      <c r="C5004" s="1" t="s">
        <v>3948</v>
      </c>
      <c r="D5004" s="1"/>
      <c r="E5004" s="1" t="s">
        <v>3957</v>
      </c>
      <c r="F5004" s="1" t="s">
        <v>3954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43"/>
      <c r="N5004" s="1"/>
      <c r="O5004" t="s">
        <v>6</v>
      </c>
    </row>
    <row r="5005" spans="1:15" ht="20.25" hidden="1" x14ac:dyDescent="0.25">
      <c r="A5005" s="1">
        <v>35</v>
      </c>
      <c r="B5005" s="159"/>
      <c r="C5005" s="1" t="s">
        <v>3948</v>
      </c>
      <c r="D5005" s="1"/>
      <c r="E5005" s="1" t="s">
        <v>3949</v>
      </c>
      <c r="F5005" s="1" t="s">
        <v>3950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43"/>
      <c r="N5005" s="1"/>
      <c r="O5005" t="s">
        <v>6</v>
      </c>
    </row>
    <row r="5006" spans="1:15" ht="20.25" hidden="1" x14ac:dyDescent="0.25">
      <c r="A5006" s="1">
        <v>36</v>
      </c>
      <c r="B5006" s="159"/>
      <c r="C5006" s="1" t="s">
        <v>3948</v>
      </c>
      <c r="D5006" s="1"/>
      <c r="E5006" s="1" t="s">
        <v>3952</v>
      </c>
      <c r="F5006" s="1" t="s">
        <v>3950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43"/>
      <c r="N5006" s="1"/>
      <c r="O5006" t="s">
        <v>6</v>
      </c>
    </row>
    <row r="5007" spans="1:15" ht="20.25" hidden="1" x14ac:dyDescent="0.25">
      <c r="A5007" s="1">
        <v>37</v>
      </c>
      <c r="B5007" s="159"/>
      <c r="C5007" s="1" t="s">
        <v>3948</v>
      </c>
      <c r="D5007" s="1"/>
      <c r="E5007" s="1" t="s">
        <v>3953</v>
      </c>
      <c r="F5007" s="1" t="s">
        <v>3954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43"/>
      <c r="N5007" s="1"/>
      <c r="O5007" t="s">
        <v>6</v>
      </c>
    </row>
    <row r="5008" spans="1:15" ht="20.25" hidden="1" x14ac:dyDescent="0.25">
      <c r="A5008" s="1">
        <v>38</v>
      </c>
      <c r="B5008" s="159"/>
      <c r="C5008" s="1" t="s">
        <v>3948</v>
      </c>
      <c r="D5008" s="1"/>
      <c r="E5008" s="1" t="s">
        <v>3955</v>
      </c>
      <c r="F5008" s="1" t="s">
        <v>3954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43"/>
      <c r="N5008" s="1"/>
      <c r="O5008" t="s">
        <v>6</v>
      </c>
    </row>
    <row r="5009" spans="1:15" ht="20.25" hidden="1" x14ac:dyDescent="0.25">
      <c r="A5009" s="1">
        <v>39</v>
      </c>
      <c r="B5009" s="159"/>
      <c r="C5009" s="1" t="s">
        <v>3948</v>
      </c>
      <c r="D5009" s="1"/>
      <c r="E5009" s="1" t="s">
        <v>3956</v>
      </c>
      <c r="F5009" s="1" t="s">
        <v>3954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43"/>
      <c r="N5009" s="1"/>
      <c r="O5009" t="s">
        <v>6</v>
      </c>
    </row>
    <row r="5010" spans="1:15" ht="20.25" hidden="1" x14ac:dyDescent="0.25">
      <c r="A5010" s="1">
        <v>40</v>
      </c>
      <c r="B5010" s="159"/>
      <c r="C5010" s="1" t="s">
        <v>3948</v>
      </c>
      <c r="D5010" s="1"/>
      <c r="E5010" s="1" t="s">
        <v>3957</v>
      </c>
      <c r="F5010" s="1" t="s">
        <v>3954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43"/>
      <c r="N5010" s="1"/>
      <c r="O5010" t="s">
        <v>6</v>
      </c>
    </row>
    <row r="5011" spans="1:15" ht="20.25" hidden="1" x14ac:dyDescent="0.25">
      <c r="A5011" s="1">
        <v>41</v>
      </c>
      <c r="B5011" s="159"/>
      <c r="C5011" s="1" t="s">
        <v>3958</v>
      </c>
      <c r="D5011" s="1"/>
      <c r="E5011" s="1" t="s">
        <v>3959</v>
      </c>
      <c r="F5011" s="1" t="s">
        <v>3960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43"/>
      <c r="N5011" s="1"/>
      <c r="O5011" t="s">
        <v>6</v>
      </c>
    </row>
    <row r="5012" spans="1:15" ht="20.25" hidden="1" x14ac:dyDescent="0.25">
      <c r="A5012" s="1">
        <v>42</v>
      </c>
      <c r="B5012" s="159"/>
      <c r="C5012" s="1" t="s">
        <v>3958</v>
      </c>
      <c r="D5012" s="1"/>
      <c r="E5012" s="1" t="s">
        <v>3962</v>
      </c>
      <c r="F5012" s="1" t="s">
        <v>3963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43"/>
      <c r="N5012" s="1"/>
      <c r="O5012" t="s">
        <v>6</v>
      </c>
    </row>
    <row r="5013" spans="1:15" ht="20.25" hidden="1" x14ac:dyDescent="0.25">
      <c r="A5013" s="1">
        <v>43</v>
      </c>
      <c r="B5013" s="159"/>
      <c r="C5013" s="1" t="s">
        <v>3958</v>
      </c>
      <c r="D5013" s="1"/>
      <c r="E5013" s="1" t="s">
        <v>3964</v>
      </c>
      <c r="F5013" s="1" t="s">
        <v>3965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43"/>
      <c r="N5013" s="1"/>
      <c r="O5013" t="s">
        <v>6</v>
      </c>
    </row>
    <row r="5014" spans="1:15" ht="20.25" hidden="1" x14ac:dyDescent="0.25">
      <c r="A5014" s="1">
        <v>44</v>
      </c>
      <c r="B5014" s="159"/>
      <c r="C5014" s="1" t="s">
        <v>3958</v>
      </c>
      <c r="D5014" s="1"/>
      <c r="E5014" s="1" t="s">
        <v>3959</v>
      </c>
      <c r="F5014" s="1" t="s">
        <v>3960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43"/>
      <c r="N5014" s="1"/>
      <c r="O5014" t="s">
        <v>6</v>
      </c>
    </row>
    <row r="5015" spans="1:15" ht="20.25" hidden="1" x14ac:dyDescent="0.25">
      <c r="A5015" s="1">
        <v>45</v>
      </c>
      <c r="B5015" s="159"/>
      <c r="C5015" s="1" t="s">
        <v>3958</v>
      </c>
      <c r="D5015" s="1"/>
      <c r="E5015" s="1" t="s">
        <v>3962</v>
      </c>
      <c r="F5015" s="1" t="s">
        <v>3963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43"/>
      <c r="N5015" s="1"/>
      <c r="O5015" t="s">
        <v>6</v>
      </c>
    </row>
    <row r="5016" spans="1:15" ht="20.25" hidden="1" x14ac:dyDescent="0.25">
      <c r="A5016" s="1">
        <v>46</v>
      </c>
      <c r="B5016" s="159"/>
      <c r="C5016" s="1" t="s">
        <v>3958</v>
      </c>
      <c r="D5016" s="1"/>
      <c r="E5016" s="1" t="s">
        <v>3964</v>
      </c>
      <c r="F5016" s="1" t="s">
        <v>3965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43"/>
      <c r="N5016" s="1"/>
      <c r="O5016" t="s">
        <v>6</v>
      </c>
    </row>
    <row r="5017" spans="1:15" ht="20.25" hidden="1" x14ac:dyDescent="0.25">
      <c r="A5017" s="1">
        <v>47</v>
      </c>
      <c r="B5017" s="159"/>
      <c r="C5017" s="1" t="s">
        <v>3966</v>
      </c>
      <c r="D5017" s="1"/>
      <c r="E5017" s="1" t="s">
        <v>3967</v>
      </c>
      <c r="F5017" s="1" t="s">
        <v>3968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43"/>
      <c r="N5017" s="1"/>
      <c r="O5017" t="s">
        <v>6</v>
      </c>
    </row>
    <row r="5018" spans="1:15" ht="20.25" hidden="1" x14ac:dyDescent="0.25">
      <c r="A5018" s="1">
        <v>48</v>
      </c>
      <c r="B5018" s="159"/>
      <c r="C5018" s="1" t="s">
        <v>3966</v>
      </c>
      <c r="D5018" s="1"/>
      <c r="E5018" s="1" t="s">
        <v>3969</v>
      </c>
      <c r="F5018" s="1" t="s">
        <v>3963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43"/>
      <c r="N5018" s="1"/>
      <c r="O5018" t="s">
        <v>6</v>
      </c>
    </row>
    <row r="5019" spans="1:15" ht="20.25" hidden="1" x14ac:dyDescent="0.25">
      <c r="A5019" s="1">
        <v>49</v>
      </c>
      <c r="B5019" s="159"/>
      <c r="C5019" s="1" t="s">
        <v>3966</v>
      </c>
      <c r="D5019" s="1"/>
      <c r="E5019" s="1" t="s">
        <v>3970</v>
      </c>
      <c r="F5019" s="1" t="s">
        <v>3965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43"/>
      <c r="N5019" s="1"/>
      <c r="O5019" t="s">
        <v>6</v>
      </c>
    </row>
    <row r="5020" spans="1:15" ht="20.25" hidden="1" x14ac:dyDescent="0.25">
      <c r="A5020" s="1">
        <v>50</v>
      </c>
      <c r="B5020" s="159"/>
      <c r="C5020" s="1" t="s">
        <v>3966</v>
      </c>
      <c r="D5020" s="1"/>
      <c r="E5020" s="1" t="s">
        <v>3967</v>
      </c>
      <c r="F5020" s="1" t="s">
        <v>3968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43"/>
      <c r="N5020" s="1"/>
      <c r="O5020" t="s">
        <v>6</v>
      </c>
    </row>
    <row r="5021" spans="1:15" ht="20.25" hidden="1" x14ac:dyDescent="0.25">
      <c r="A5021" s="1">
        <v>51</v>
      </c>
      <c r="B5021" s="159"/>
      <c r="C5021" s="1" t="s">
        <v>3966</v>
      </c>
      <c r="D5021" s="1"/>
      <c r="E5021" s="1" t="s">
        <v>3969</v>
      </c>
      <c r="F5021" s="1" t="s">
        <v>3963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43"/>
      <c r="N5021" s="1"/>
      <c r="O5021" t="s">
        <v>6</v>
      </c>
    </row>
    <row r="5022" spans="1:15" ht="20.25" hidden="1" x14ac:dyDescent="0.25">
      <c r="A5022" s="1">
        <v>52</v>
      </c>
      <c r="B5022" s="159"/>
      <c r="C5022" s="1" t="s">
        <v>3966</v>
      </c>
      <c r="D5022" s="1"/>
      <c r="E5022" s="1" t="s">
        <v>3970</v>
      </c>
      <c r="F5022" s="1" t="s">
        <v>3965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43"/>
      <c r="N5022" s="1"/>
      <c r="O5022" t="s">
        <v>6</v>
      </c>
    </row>
    <row r="5023" spans="1:15" ht="20.25" hidden="1" x14ac:dyDescent="0.25">
      <c r="A5023" s="1">
        <v>53</v>
      </c>
      <c r="B5023" s="159"/>
      <c r="C5023" s="1" t="s">
        <v>3773</v>
      </c>
      <c r="D5023" s="1"/>
      <c r="E5023" s="1" t="s">
        <v>3983</v>
      </c>
      <c r="F5023" s="1" t="s">
        <v>3984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43"/>
      <c r="N5023" s="1"/>
      <c r="O5023" t="s">
        <v>6</v>
      </c>
    </row>
    <row r="5024" spans="1:15" ht="20.25" hidden="1" x14ac:dyDescent="0.25">
      <c r="A5024" s="1">
        <v>54</v>
      </c>
      <c r="B5024" s="159"/>
      <c r="C5024" s="1" t="s">
        <v>3773</v>
      </c>
      <c r="D5024" s="1"/>
      <c r="E5024" s="1" t="s">
        <v>3983</v>
      </c>
      <c r="F5024" s="1" t="s">
        <v>3984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43"/>
      <c r="N5024" s="1"/>
      <c r="O5024" t="s">
        <v>6</v>
      </c>
    </row>
    <row r="5025" spans="1:15" ht="20.25" hidden="1" x14ac:dyDescent="0.25">
      <c r="A5025" s="1">
        <v>55</v>
      </c>
      <c r="B5025" s="159"/>
      <c r="C5025" s="1" t="s">
        <v>3985</v>
      </c>
      <c r="D5025" s="1"/>
      <c r="E5025" s="1" t="s">
        <v>3986</v>
      </c>
      <c r="F5025" s="1" t="s">
        <v>3987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43"/>
      <c r="N5025" s="1"/>
      <c r="O5025" t="s">
        <v>6</v>
      </c>
    </row>
    <row r="5026" spans="1:15" ht="20.25" hidden="1" x14ac:dyDescent="0.25">
      <c r="A5026" s="1">
        <v>56</v>
      </c>
      <c r="B5026" s="159"/>
      <c r="C5026" s="1" t="s">
        <v>3985</v>
      </c>
      <c r="D5026" s="1"/>
      <c r="E5026" s="1" t="s">
        <v>3986</v>
      </c>
      <c r="F5026" s="1" t="s">
        <v>3987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43"/>
      <c r="N5026" s="1"/>
      <c r="O5026" t="s">
        <v>6</v>
      </c>
    </row>
    <row r="5027" spans="1:15" ht="20.25" hidden="1" x14ac:dyDescent="0.25">
      <c r="A5027" s="1">
        <v>57</v>
      </c>
      <c r="B5027" s="159"/>
      <c r="C5027" s="1" t="s">
        <v>3985</v>
      </c>
      <c r="D5027" s="1"/>
      <c r="E5027" s="1" t="s">
        <v>3989</v>
      </c>
      <c r="F5027" s="1" t="s">
        <v>3990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43"/>
      <c r="N5027" s="1"/>
      <c r="O5027" t="s">
        <v>6</v>
      </c>
    </row>
    <row r="5028" spans="1:15" ht="20.25" hidden="1" x14ac:dyDescent="0.25">
      <c r="A5028" s="1">
        <v>58</v>
      </c>
      <c r="B5028" s="159"/>
      <c r="C5028" s="1" t="s">
        <v>3985</v>
      </c>
      <c r="D5028" s="1"/>
      <c r="E5028" s="1" t="s">
        <v>3989</v>
      </c>
      <c r="F5028" s="1" t="s">
        <v>3990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43"/>
      <c r="N5028" s="1"/>
      <c r="O5028" t="s">
        <v>6</v>
      </c>
    </row>
    <row r="5029" spans="1:15" ht="20.25" hidden="1" x14ac:dyDescent="0.25">
      <c r="A5029" s="1">
        <v>59</v>
      </c>
      <c r="B5029" s="159"/>
      <c r="C5029" s="1" t="s">
        <v>3985</v>
      </c>
      <c r="D5029" s="1"/>
      <c r="E5029" s="1" t="s">
        <v>3991</v>
      </c>
      <c r="F5029" s="1" t="s">
        <v>3992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43"/>
      <c r="N5029" s="1"/>
      <c r="O5029" t="s">
        <v>6</v>
      </c>
    </row>
    <row r="5030" spans="1:15" ht="20.25" hidden="1" x14ac:dyDescent="0.25">
      <c r="A5030" s="1">
        <v>60</v>
      </c>
      <c r="B5030" s="159"/>
      <c r="C5030" s="1" t="s">
        <v>3985</v>
      </c>
      <c r="D5030" s="1"/>
      <c r="E5030" s="1" t="s">
        <v>3991</v>
      </c>
      <c r="F5030" s="1" t="s">
        <v>3992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43"/>
      <c r="N5030" s="1"/>
      <c r="O5030" t="s">
        <v>6</v>
      </c>
    </row>
    <row r="5031" spans="1:15" ht="20.25" hidden="1" x14ac:dyDescent="0.25">
      <c r="A5031" s="1">
        <v>61</v>
      </c>
      <c r="B5031" s="159"/>
      <c r="C5031" s="1" t="s">
        <v>3993</v>
      </c>
      <c r="D5031" s="1"/>
      <c r="E5031" s="1" t="s">
        <v>3994</v>
      </c>
      <c r="F5031" s="1" t="s">
        <v>3995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43"/>
      <c r="N5031" s="1"/>
      <c r="O5031" t="s">
        <v>6</v>
      </c>
    </row>
    <row r="5032" spans="1:15" ht="20.25" hidden="1" x14ac:dyDescent="0.25">
      <c r="A5032" s="1">
        <v>62</v>
      </c>
      <c r="B5032" s="159"/>
      <c r="C5032" s="1" t="s">
        <v>3993</v>
      </c>
      <c r="D5032" s="1"/>
      <c r="E5032" s="1" t="s">
        <v>3994</v>
      </c>
      <c r="F5032" s="1" t="s">
        <v>3995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43"/>
      <c r="N5032" s="1"/>
      <c r="O5032" t="s">
        <v>6</v>
      </c>
    </row>
    <row r="5033" spans="1:15" ht="20.25" hidden="1" x14ac:dyDescent="0.25">
      <c r="A5033" s="1">
        <v>63</v>
      </c>
      <c r="B5033" s="159"/>
      <c r="C5033" s="1" t="s">
        <v>3993</v>
      </c>
      <c r="D5033" s="1"/>
      <c r="E5033" s="1" t="s">
        <v>3997</v>
      </c>
      <c r="F5033" s="1" t="s">
        <v>3995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43"/>
      <c r="N5033" s="1"/>
      <c r="O5033" t="s">
        <v>6</v>
      </c>
    </row>
    <row r="5034" spans="1:15" ht="20.25" hidden="1" x14ac:dyDescent="0.25">
      <c r="A5034" s="1">
        <v>64</v>
      </c>
      <c r="B5034" s="159"/>
      <c r="C5034" s="1" t="s">
        <v>3993</v>
      </c>
      <c r="D5034" s="1"/>
      <c r="E5034" s="1" t="s">
        <v>3997</v>
      </c>
      <c r="F5034" s="1" t="s">
        <v>3995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43"/>
      <c r="N5034" s="1"/>
      <c r="O5034" t="s">
        <v>6</v>
      </c>
    </row>
    <row r="5035" spans="1:15" ht="20.25" hidden="1" x14ac:dyDescent="0.25">
      <c r="A5035" s="1">
        <v>65</v>
      </c>
      <c r="B5035" s="159"/>
      <c r="C5035" s="1" t="s">
        <v>3993</v>
      </c>
      <c r="D5035" s="1"/>
      <c r="E5035" s="1" t="s">
        <v>3998</v>
      </c>
      <c r="F5035" s="1" t="s">
        <v>3995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43"/>
      <c r="N5035" s="1"/>
      <c r="O5035" t="s">
        <v>6</v>
      </c>
    </row>
    <row r="5036" spans="1:15" ht="20.25" hidden="1" x14ac:dyDescent="0.25">
      <c r="A5036" s="1">
        <v>66</v>
      </c>
      <c r="B5036" s="159"/>
      <c r="C5036" s="1" t="s">
        <v>3993</v>
      </c>
      <c r="D5036" s="1"/>
      <c r="E5036" s="1" t="s">
        <v>3998</v>
      </c>
      <c r="F5036" s="1" t="s">
        <v>3995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43"/>
      <c r="N5036" s="1"/>
      <c r="O5036" t="s">
        <v>6</v>
      </c>
    </row>
    <row r="5037" spans="1:15" ht="20.25" hidden="1" x14ac:dyDescent="0.25">
      <c r="A5037" s="1">
        <v>67</v>
      </c>
      <c r="B5037" s="159"/>
      <c r="C5037" s="1" t="s">
        <v>3993</v>
      </c>
      <c r="D5037" s="1"/>
      <c r="E5037" s="1" t="s">
        <v>3999</v>
      </c>
      <c r="F5037" s="1" t="s">
        <v>3995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43"/>
      <c r="N5037" s="1"/>
      <c r="O5037" t="s">
        <v>6</v>
      </c>
    </row>
    <row r="5038" spans="1:15" ht="20.25" hidden="1" x14ac:dyDescent="0.25">
      <c r="A5038" s="1">
        <v>68</v>
      </c>
      <c r="B5038" s="159"/>
      <c r="C5038" s="1" t="s">
        <v>3993</v>
      </c>
      <c r="D5038" s="1"/>
      <c r="E5038" s="1" t="s">
        <v>3999</v>
      </c>
      <c r="F5038" s="1" t="s">
        <v>3995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43"/>
      <c r="N5038" s="1"/>
      <c r="O5038" t="s">
        <v>6</v>
      </c>
    </row>
    <row r="5039" spans="1:15" ht="20.25" hidden="1" x14ac:dyDescent="0.25">
      <c r="A5039" s="1">
        <v>69</v>
      </c>
      <c r="B5039" s="159"/>
      <c r="C5039" s="1" t="s">
        <v>3993</v>
      </c>
      <c r="D5039" s="1"/>
      <c r="E5039" s="1" t="s">
        <v>4000</v>
      </c>
      <c r="F5039" s="1" t="s">
        <v>3995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43"/>
      <c r="N5039" s="1"/>
      <c r="O5039" t="s">
        <v>6</v>
      </c>
    </row>
    <row r="5040" spans="1:15" ht="20.25" hidden="1" x14ac:dyDescent="0.25">
      <c r="A5040" s="1">
        <v>70</v>
      </c>
      <c r="B5040" s="159"/>
      <c r="C5040" s="1" t="s">
        <v>3993</v>
      </c>
      <c r="D5040" s="1"/>
      <c r="E5040" s="1" t="s">
        <v>4000</v>
      </c>
      <c r="F5040" s="1" t="s">
        <v>3995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43"/>
      <c r="N5040" s="1"/>
      <c r="O5040" t="s">
        <v>6</v>
      </c>
    </row>
    <row r="5041" spans="1:15" ht="20.25" hidden="1" x14ac:dyDescent="0.25">
      <c r="A5041" s="1">
        <v>71</v>
      </c>
      <c r="B5041" s="159"/>
      <c r="C5041" s="1" t="s">
        <v>3993</v>
      </c>
      <c r="D5041" s="1"/>
      <c r="E5041" s="1" t="s">
        <v>4001</v>
      </c>
      <c r="F5041" s="1" t="s">
        <v>3995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43"/>
      <c r="N5041" s="1"/>
      <c r="O5041" t="s">
        <v>6</v>
      </c>
    </row>
    <row r="5042" spans="1:15" ht="20.25" hidden="1" x14ac:dyDescent="0.25">
      <c r="A5042" s="1">
        <v>72</v>
      </c>
      <c r="B5042" s="159"/>
      <c r="C5042" s="1" t="s">
        <v>3993</v>
      </c>
      <c r="D5042" s="1"/>
      <c r="E5042" s="1" t="s">
        <v>4001</v>
      </c>
      <c r="F5042" s="1" t="s">
        <v>3995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43"/>
      <c r="N5042" s="1"/>
      <c r="O5042" t="s">
        <v>6</v>
      </c>
    </row>
    <row r="5043" spans="1:15" ht="20.25" hidden="1" x14ac:dyDescent="0.25">
      <c r="A5043" s="1">
        <v>73</v>
      </c>
      <c r="B5043" s="159"/>
      <c r="C5043" s="1" t="s">
        <v>4004</v>
      </c>
      <c r="D5043" s="1"/>
      <c r="E5043" s="1" t="s">
        <v>4005</v>
      </c>
      <c r="F5043" s="1" t="s">
        <v>4006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43"/>
      <c r="N5043" s="1"/>
      <c r="O5043" t="s">
        <v>6</v>
      </c>
    </row>
    <row r="5044" spans="1:15" ht="20.25" hidden="1" x14ac:dyDescent="0.25">
      <c r="A5044" s="1">
        <v>74</v>
      </c>
      <c r="B5044" s="159"/>
      <c r="C5044" s="1" t="s">
        <v>4004</v>
      </c>
      <c r="D5044" s="1"/>
      <c r="E5044" s="1" t="s">
        <v>4005</v>
      </c>
      <c r="F5044" s="1" t="s">
        <v>4006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43"/>
      <c r="N5044" s="1"/>
      <c r="O5044" t="s">
        <v>6</v>
      </c>
    </row>
    <row r="5045" spans="1:15" ht="20.25" hidden="1" x14ac:dyDescent="0.25">
      <c r="A5045" s="1">
        <v>75</v>
      </c>
      <c r="B5045" s="159"/>
      <c r="C5045" s="1" t="s">
        <v>4004</v>
      </c>
      <c r="D5045" s="1"/>
      <c r="E5045" s="1" t="s">
        <v>4008</v>
      </c>
      <c r="F5045" s="1" t="s">
        <v>4009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43"/>
      <c r="N5045" s="1"/>
      <c r="O5045" t="s">
        <v>6</v>
      </c>
    </row>
    <row r="5046" spans="1:15" ht="20.25" hidden="1" x14ac:dyDescent="0.25">
      <c r="A5046" s="1">
        <v>76</v>
      </c>
      <c r="B5046" s="159"/>
      <c r="C5046" s="1" t="s">
        <v>4004</v>
      </c>
      <c r="D5046" s="1"/>
      <c r="E5046" s="1" t="s">
        <v>4008</v>
      </c>
      <c r="F5046" s="1" t="s">
        <v>4009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43"/>
      <c r="N5046" s="1"/>
      <c r="O5046" t="s">
        <v>6</v>
      </c>
    </row>
    <row r="5047" spans="1:15" ht="20.25" hidden="1" x14ac:dyDescent="0.25">
      <c r="A5047" s="1">
        <v>77</v>
      </c>
      <c r="B5047" s="159"/>
      <c r="C5047" s="1" t="s">
        <v>4004</v>
      </c>
      <c r="D5047" s="1"/>
      <c r="E5047" s="1" t="s">
        <v>4010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43"/>
      <c r="N5047" s="1"/>
      <c r="O5047" t="s">
        <v>6</v>
      </c>
    </row>
    <row r="5048" spans="1:15" ht="20.25" hidden="1" x14ac:dyDescent="0.25">
      <c r="A5048" s="1">
        <v>78</v>
      </c>
      <c r="B5048" s="159"/>
      <c r="C5048" s="1" t="s">
        <v>4004</v>
      </c>
      <c r="D5048" s="1"/>
      <c r="E5048" s="1" t="s">
        <v>4010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43"/>
      <c r="N5048" s="1"/>
      <c r="O5048" t="s">
        <v>6</v>
      </c>
    </row>
    <row r="5049" spans="1:15" ht="20.25" hidden="1" x14ac:dyDescent="0.25">
      <c r="A5049" s="1">
        <v>79</v>
      </c>
      <c r="B5049" s="159"/>
      <c r="C5049" s="1" t="s">
        <v>4004</v>
      </c>
      <c r="D5049" s="1"/>
      <c r="E5049" s="1" t="s">
        <v>4011</v>
      </c>
      <c r="F5049" s="1" t="s">
        <v>4012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43"/>
      <c r="N5049" s="1"/>
      <c r="O5049" t="s">
        <v>6</v>
      </c>
    </row>
    <row r="5050" spans="1:15" ht="20.25" hidden="1" x14ac:dyDescent="0.25">
      <c r="A5050" s="1">
        <v>80</v>
      </c>
      <c r="B5050" s="159"/>
      <c r="C5050" s="1" t="s">
        <v>4004</v>
      </c>
      <c r="D5050" s="1"/>
      <c r="E5050" s="1" t="s">
        <v>4011</v>
      </c>
      <c r="F5050" s="1" t="s">
        <v>4012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43"/>
      <c r="N5050" s="1"/>
      <c r="O5050" t="s">
        <v>6</v>
      </c>
    </row>
    <row r="5051" spans="1:15" ht="20.25" hidden="1" x14ac:dyDescent="0.25">
      <c r="A5051" s="1">
        <v>81</v>
      </c>
      <c r="B5051" s="159"/>
      <c r="C5051" s="1" t="s">
        <v>4004</v>
      </c>
      <c r="D5051" s="1"/>
      <c r="E5051" s="1" t="s">
        <v>4013</v>
      </c>
      <c r="F5051" s="1" t="s">
        <v>4014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43"/>
      <c r="N5051" s="1"/>
      <c r="O5051" t="s">
        <v>6</v>
      </c>
    </row>
    <row r="5052" spans="1:15" ht="20.25" hidden="1" x14ac:dyDescent="0.25">
      <c r="A5052" s="1">
        <v>82</v>
      </c>
      <c r="B5052" s="159"/>
      <c r="C5052" s="1" t="s">
        <v>4004</v>
      </c>
      <c r="D5052" s="1"/>
      <c r="E5052" s="1" t="s">
        <v>4013</v>
      </c>
      <c r="F5052" s="1" t="s">
        <v>4014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43"/>
      <c r="N5052" s="1"/>
      <c r="O5052" t="s">
        <v>6</v>
      </c>
    </row>
    <row r="5053" spans="1:15" ht="20.25" hidden="1" x14ac:dyDescent="0.25">
      <c r="A5053" s="1">
        <v>83</v>
      </c>
      <c r="B5053" s="159"/>
      <c r="C5053" s="1" t="s">
        <v>4015</v>
      </c>
      <c r="D5053" s="1"/>
      <c r="E5053" s="1" t="s">
        <v>4016</v>
      </c>
      <c r="F5053" s="1" t="s">
        <v>4017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43"/>
      <c r="N5053" s="1"/>
      <c r="O5053" t="s">
        <v>6</v>
      </c>
    </row>
    <row r="5054" spans="1:15" ht="20.25" hidden="1" x14ac:dyDescent="0.25">
      <c r="A5054" s="1">
        <v>84</v>
      </c>
      <c r="B5054" s="159"/>
      <c r="C5054" s="1" t="s">
        <v>4015</v>
      </c>
      <c r="D5054" s="1"/>
      <c r="E5054" s="1" t="s">
        <v>4016</v>
      </c>
      <c r="F5054" s="1" t="s">
        <v>4017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43"/>
      <c r="N5054" s="1"/>
      <c r="O5054" t="s">
        <v>6</v>
      </c>
    </row>
    <row r="5055" spans="1:15" ht="20.25" hidden="1" x14ac:dyDescent="0.25">
      <c r="A5055" s="1">
        <v>85</v>
      </c>
      <c r="B5055" s="159"/>
      <c r="C5055" s="1" t="s">
        <v>4015</v>
      </c>
      <c r="D5055" s="1"/>
      <c r="E5055" s="1" t="s">
        <v>4019</v>
      </c>
      <c r="F5055" s="1" t="s">
        <v>4020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43"/>
      <c r="N5055" s="1"/>
      <c r="O5055" t="s">
        <v>6</v>
      </c>
    </row>
    <row r="5056" spans="1:15" ht="20.25" hidden="1" x14ac:dyDescent="0.25">
      <c r="A5056" s="1">
        <v>86</v>
      </c>
      <c r="B5056" s="159"/>
      <c r="C5056" s="1" t="s">
        <v>4015</v>
      </c>
      <c r="D5056" s="1"/>
      <c r="E5056" s="1" t="s">
        <v>4019</v>
      </c>
      <c r="F5056" s="1" t="s">
        <v>4020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43"/>
      <c r="N5056" s="1"/>
      <c r="O5056" t="s">
        <v>6</v>
      </c>
    </row>
    <row r="5057" spans="1:15" ht="20.25" hidden="1" x14ac:dyDescent="0.25">
      <c r="A5057" s="1">
        <v>87</v>
      </c>
      <c r="B5057" s="159"/>
      <c r="C5057" s="1" t="s">
        <v>4015</v>
      </c>
      <c r="D5057" s="1"/>
      <c r="E5057" s="1" t="s">
        <v>4021</v>
      </c>
      <c r="F5057" s="1" t="s">
        <v>4022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43"/>
      <c r="N5057" s="1"/>
      <c r="O5057" t="s">
        <v>6</v>
      </c>
    </row>
    <row r="5058" spans="1:15" ht="20.25" hidden="1" x14ac:dyDescent="0.25">
      <c r="A5058" s="1">
        <v>88</v>
      </c>
      <c r="B5058" s="159"/>
      <c r="C5058" s="1" t="s">
        <v>4015</v>
      </c>
      <c r="D5058" s="1"/>
      <c r="E5058" s="1" t="s">
        <v>4021</v>
      </c>
      <c r="F5058" s="1" t="s">
        <v>4022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43"/>
      <c r="N5058" s="1"/>
      <c r="O5058" t="s">
        <v>6</v>
      </c>
    </row>
    <row r="5059" spans="1:15" ht="20.25" hidden="1" x14ac:dyDescent="0.25">
      <c r="A5059" s="1">
        <v>89</v>
      </c>
      <c r="B5059" s="159"/>
      <c r="C5059" s="1" t="s">
        <v>4015</v>
      </c>
      <c r="D5059" s="1"/>
      <c r="E5059" s="1" t="s">
        <v>4023</v>
      </c>
      <c r="F5059" s="1" t="s">
        <v>4024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43"/>
      <c r="N5059" s="1"/>
      <c r="O5059" t="s">
        <v>6</v>
      </c>
    </row>
    <row r="5060" spans="1:15" ht="20.25" hidden="1" x14ac:dyDescent="0.25">
      <c r="A5060" s="1">
        <v>90</v>
      </c>
      <c r="B5060" s="159"/>
      <c r="C5060" s="1" t="s">
        <v>4015</v>
      </c>
      <c r="D5060" s="1"/>
      <c r="E5060" s="1" t="s">
        <v>4023</v>
      </c>
      <c r="F5060" s="1" t="s">
        <v>4024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43"/>
      <c r="N5060" s="1"/>
      <c r="O5060" t="s">
        <v>6</v>
      </c>
    </row>
    <row r="5061" spans="1:15" ht="20.25" hidden="1" x14ac:dyDescent="0.25">
      <c r="A5061" s="1">
        <v>91</v>
      </c>
      <c r="B5061" s="159"/>
      <c r="C5061" s="1" t="s">
        <v>4015</v>
      </c>
      <c r="D5061" s="1"/>
      <c r="E5061" s="1" t="s">
        <v>4025</v>
      </c>
      <c r="F5061" s="1" t="s">
        <v>4026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43"/>
      <c r="N5061" s="1"/>
      <c r="O5061" t="s">
        <v>6</v>
      </c>
    </row>
    <row r="5062" spans="1:15" ht="20.25" hidden="1" x14ac:dyDescent="0.25">
      <c r="A5062" s="1">
        <v>92</v>
      </c>
      <c r="B5062" s="159"/>
      <c r="C5062" s="1" t="s">
        <v>4015</v>
      </c>
      <c r="D5062" s="1"/>
      <c r="E5062" s="1" t="s">
        <v>4025</v>
      </c>
      <c r="F5062" s="1" t="s">
        <v>4026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43"/>
      <c r="N5062" s="1"/>
      <c r="O5062" t="s">
        <v>6</v>
      </c>
    </row>
    <row r="5063" spans="1:15" ht="20.25" hidden="1" x14ac:dyDescent="0.25">
      <c r="A5063" s="1">
        <v>93</v>
      </c>
      <c r="B5063" s="159"/>
      <c r="C5063" s="1" t="s">
        <v>4015</v>
      </c>
      <c r="D5063" s="1"/>
      <c r="E5063" s="1" t="s">
        <v>4027</v>
      </c>
      <c r="F5063" s="1" t="s">
        <v>4028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43"/>
      <c r="N5063" s="1"/>
      <c r="O5063" t="s">
        <v>6</v>
      </c>
    </row>
    <row r="5064" spans="1:15" ht="20.25" hidden="1" x14ac:dyDescent="0.25">
      <c r="A5064" s="1">
        <v>94</v>
      </c>
      <c r="B5064" s="159"/>
      <c r="C5064" s="1" t="s">
        <v>4015</v>
      </c>
      <c r="D5064" s="1"/>
      <c r="E5064" s="1" t="s">
        <v>4027</v>
      </c>
      <c r="F5064" s="1" t="s">
        <v>4028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43"/>
      <c r="N5064" s="1"/>
      <c r="O5064" t="s">
        <v>6</v>
      </c>
    </row>
    <row r="5065" spans="1:15" ht="20.25" hidden="1" x14ac:dyDescent="0.25">
      <c r="A5065" s="1">
        <v>95</v>
      </c>
      <c r="B5065" s="159"/>
      <c r="C5065" s="1" t="s">
        <v>4015</v>
      </c>
      <c r="D5065" s="1"/>
      <c r="E5065" s="1" t="s">
        <v>4029</v>
      </c>
      <c r="F5065" s="1" t="s">
        <v>4028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43"/>
      <c r="N5065" s="1"/>
      <c r="O5065" t="s">
        <v>6</v>
      </c>
    </row>
    <row r="5066" spans="1:15" ht="20.25" hidden="1" x14ac:dyDescent="0.25">
      <c r="A5066" s="1">
        <v>96</v>
      </c>
      <c r="B5066" s="159"/>
      <c r="C5066" s="1" t="s">
        <v>4015</v>
      </c>
      <c r="D5066" s="1"/>
      <c r="E5066" s="1" t="s">
        <v>4029</v>
      </c>
      <c r="F5066" s="1" t="s">
        <v>4028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43"/>
      <c r="N5066" s="1"/>
      <c r="O5066" t="s">
        <v>6</v>
      </c>
    </row>
    <row r="5067" spans="1:15" ht="20.25" hidden="1" x14ac:dyDescent="0.25">
      <c r="A5067" s="1">
        <v>97</v>
      </c>
      <c r="B5067" s="159"/>
      <c r="C5067" s="1" t="s">
        <v>4030</v>
      </c>
      <c r="D5067" s="1"/>
      <c r="E5067" s="1" t="s">
        <v>4031</v>
      </c>
      <c r="F5067" s="1" t="s">
        <v>4032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43"/>
      <c r="N5067" s="1"/>
      <c r="O5067" t="s">
        <v>6</v>
      </c>
    </row>
    <row r="5068" spans="1:15" ht="20.25" hidden="1" x14ac:dyDescent="0.25">
      <c r="A5068" s="1">
        <v>98</v>
      </c>
      <c r="B5068" s="159"/>
      <c r="C5068" s="1" t="s">
        <v>4030</v>
      </c>
      <c r="D5068" s="1"/>
      <c r="E5068" s="1" t="s">
        <v>4031</v>
      </c>
      <c r="F5068" s="1" t="s">
        <v>4032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43"/>
      <c r="N5068" s="1"/>
      <c r="O5068" t="s">
        <v>6</v>
      </c>
    </row>
    <row r="5069" spans="1:15" ht="20.25" hidden="1" x14ac:dyDescent="0.25">
      <c r="A5069" s="1">
        <v>99</v>
      </c>
      <c r="B5069" s="159"/>
      <c r="C5069" s="1" t="s">
        <v>4030</v>
      </c>
      <c r="D5069" s="1"/>
      <c r="E5069" s="1" t="s">
        <v>4033</v>
      </c>
      <c r="F5069" s="1" t="s">
        <v>4032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43"/>
      <c r="N5069" s="1"/>
      <c r="O5069" t="s">
        <v>6</v>
      </c>
    </row>
    <row r="5070" spans="1:15" ht="20.25" hidden="1" x14ac:dyDescent="0.25">
      <c r="A5070" s="1">
        <v>100</v>
      </c>
      <c r="B5070" s="159"/>
      <c r="C5070" s="1" t="s">
        <v>4030</v>
      </c>
      <c r="D5070" s="1"/>
      <c r="E5070" s="1" t="s">
        <v>4033</v>
      </c>
      <c r="F5070" s="1" t="s">
        <v>4032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43"/>
      <c r="N5070" s="1"/>
      <c r="O5070" t="s">
        <v>6</v>
      </c>
    </row>
    <row r="5071" spans="1:15" ht="20.25" hidden="1" x14ac:dyDescent="0.25">
      <c r="A5071" s="1">
        <v>101</v>
      </c>
      <c r="B5071" s="159"/>
      <c r="C5071" s="1" t="s">
        <v>4030</v>
      </c>
      <c r="D5071" s="1"/>
      <c r="E5071" s="1" t="s">
        <v>4034</v>
      </c>
      <c r="F5071" s="1" t="s">
        <v>4032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43"/>
      <c r="N5071" s="1"/>
      <c r="O5071" t="s">
        <v>6</v>
      </c>
    </row>
    <row r="5072" spans="1:15" ht="20.25" hidden="1" x14ac:dyDescent="0.25">
      <c r="A5072" s="1">
        <v>102</v>
      </c>
      <c r="B5072" s="159"/>
      <c r="C5072" s="1" t="s">
        <v>4030</v>
      </c>
      <c r="D5072" s="1"/>
      <c r="E5072" s="1" t="s">
        <v>4034</v>
      </c>
      <c r="F5072" s="1" t="s">
        <v>4032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43"/>
      <c r="N5072" s="1"/>
      <c r="O5072" t="s">
        <v>6</v>
      </c>
    </row>
    <row r="5073" spans="1:15" ht="20.25" hidden="1" x14ac:dyDescent="0.25">
      <c r="A5073" s="1">
        <v>103</v>
      </c>
      <c r="B5073" s="159"/>
      <c r="C5073" s="1" t="s">
        <v>4030</v>
      </c>
      <c r="D5073" s="1"/>
      <c r="E5073" s="1" t="s">
        <v>4035</v>
      </c>
      <c r="F5073" s="1" t="s">
        <v>3781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43"/>
      <c r="N5073" s="1"/>
      <c r="O5073" t="s">
        <v>6</v>
      </c>
    </row>
    <row r="5074" spans="1:15" ht="20.25" hidden="1" x14ac:dyDescent="0.25">
      <c r="A5074" s="1">
        <v>104</v>
      </c>
      <c r="B5074" s="159"/>
      <c r="C5074" s="1" t="s">
        <v>4030</v>
      </c>
      <c r="D5074" s="1"/>
      <c r="E5074" s="1" t="s">
        <v>4035</v>
      </c>
      <c r="F5074" s="1" t="s">
        <v>3781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43"/>
      <c r="N5074" s="1"/>
      <c r="O5074" t="s">
        <v>6</v>
      </c>
    </row>
    <row r="5075" spans="1:15" ht="20.25" hidden="1" x14ac:dyDescent="0.25">
      <c r="A5075" s="1">
        <v>105</v>
      </c>
      <c r="B5075" s="159"/>
      <c r="C5075" s="1" t="s">
        <v>4030</v>
      </c>
      <c r="D5075" s="1"/>
      <c r="E5075" s="1" t="s">
        <v>4036</v>
      </c>
      <c r="F5075" s="1" t="s">
        <v>3781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43"/>
      <c r="N5075" s="1"/>
      <c r="O5075" t="s">
        <v>6</v>
      </c>
    </row>
    <row r="5076" spans="1:15" ht="20.25" hidden="1" x14ac:dyDescent="0.25">
      <c r="A5076" s="1">
        <v>106</v>
      </c>
      <c r="B5076" s="159"/>
      <c r="C5076" s="1" t="s">
        <v>4030</v>
      </c>
      <c r="D5076" s="1"/>
      <c r="E5076" s="1" t="s">
        <v>4036</v>
      </c>
      <c r="F5076" s="1" t="s">
        <v>3781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43"/>
      <c r="N5076" s="1"/>
      <c r="O5076" t="s">
        <v>6</v>
      </c>
    </row>
    <row r="5077" spans="1:15" ht="20.25" hidden="1" x14ac:dyDescent="0.25">
      <c r="A5077" s="1">
        <v>107</v>
      </c>
      <c r="B5077" s="159"/>
      <c r="C5077" s="1" t="s">
        <v>4030</v>
      </c>
      <c r="D5077" s="1"/>
      <c r="E5077" s="1" t="s">
        <v>4037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43"/>
      <c r="N5077" s="1"/>
      <c r="O5077" t="s">
        <v>6</v>
      </c>
    </row>
    <row r="5078" spans="1:15" ht="20.25" hidden="1" x14ac:dyDescent="0.25">
      <c r="A5078" s="1">
        <v>108</v>
      </c>
      <c r="B5078" s="159"/>
      <c r="C5078" s="1" t="s">
        <v>4030</v>
      </c>
      <c r="D5078" s="1"/>
      <c r="E5078" s="1" t="s">
        <v>4037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43"/>
      <c r="N5078" s="1"/>
      <c r="O5078" t="s">
        <v>6</v>
      </c>
    </row>
    <row r="5079" spans="1:15" ht="20.25" hidden="1" x14ac:dyDescent="0.25">
      <c r="A5079" s="1">
        <v>109</v>
      </c>
      <c r="B5079" s="159"/>
      <c r="C5079" s="1" t="s">
        <v>4038</v>
      </c>
      <c r="D5079" s="1"/>
      <c r="E5079" s="1" t="s">
        <v>4039</v>
      </c>
      <c r="F5079" s="1" t="s">
        <v>4040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43"/>
      <c r="N5079" s="1"/>
      <c r="O5079" t="s">
        <v>6</v>
      </c>
    </row>
    <row r="5080" spans="1:15" ht="20.25" hidden="1" x14ac:dyDescent="0.25">
      <c r="A5080" s="1">
        <v>110</v>
      </c>
      <c r="B5080" s="159"/>
      <c r="C5080" s="1" t="s">
        <v>4038</v>
      </c>
      <c r="D5080" s="1"/>
      <c r="E5080" s="1" t="s">
        <v>4039</v>
      </c>
      <c r="F5080" s="1" t="s">
        <v>4040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43"/>
      <c r="N5080" s="1"/>
      <c r="O5080" t="s">
        <v>6</v>
      </c>
    </row>
    <row r="5081" spans="1:15" ht="20.25" hidden="1" x14ac:dyDescent="0.25">
      <c r="A5081" s="1">
        <v>111</v>
      </c>
      <c r="B5081" s="159"/>
      <c r="C5081" s="1" t="s">
        <v>4041</v>
      </c>
      <c r="D5081" s="1"/>
      <c r="E5081" s="1" t="s">
        <v>4042</v>
      </c>
      <c r="F5081" s="1" t="s">
        <v>4043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43"/>
      <c r="N5081" s="1"/>
      <c r="O5081" t="s">
        <v>6</v>
      </c>
    </row>
    <row r="5082" spans="1:15" ht="20.25" hidden="1" x14ac:dyDescent="0.25">
      <c r="A5082" s="1">
        <v>112</v>
      </c>
      <c r="B5082" s="159"/>
      <c r="C5082" s="1" t="s">
        <v>4041</v>
      </c>
      <c r="D5082" s="1"/>
      <c r="E5082" s="1" t="s">
        <v>4042</v>
      </c>
      <c r="F5082" s="1" t="s">
        <v>4043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43"/>
      <c r="N5082" s="1"/>
      <c r="O5082" t="s">
        <v>6</v>
      </c>
    </row>
    <row r="5083" spans="1:15" ht="20.25" hidden="1" x14ac:dyDescent="0.25">
      <c r="A5083" s="1">
        <v>113</v>
      </c>
      <c r="B5083" s="159"/>
      <c r="C5083" s="1" t="s">
        <v>3773</v>
      </c>
      <c r="D5083" s="1"/>
      <c r="E5083" s="1" t="s">
        <v>4002</v>
      </c>
      <c r="F5083" s="1" t="s">
        <v>4044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43"/>
      <c r="N5083" s="1"/>
      <c r="O5083" t="s">
        <v>6</v>
      </c>
    </row>
    <row r="5084" spans="1:15" ht="20.25" hidden="1" x14ac:dyDescent="0.25">
      <c r="A5084" s="1">
        <v>114</v>
      </c>
      <c r="B5084" s="159"/>
      <c r="C5084" s="1" t="s">
        <v>3773</v>
      </c>
      <c r="D5084" s="1"/>
      <c r="E5084" s="1" t="s">
        <v>4002</v>
      </c>
      <c r="F5084" s="1" t="s">
        <v>4044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43"/>
      <c r="N5084" s="1"/>
      <c r="O5084" t="s">
        <v>6</v>
      </c>
    </row>
    <row r="5085" spans="1:15" ht="20.25" hidden="1" x14ac:dyDescent="0.25">
      <c r="A5085" s="1">
        <v>115</v>
      </c>
      <c r="B5085" s="159"/>
      <c r="C5085" s="1" t="s">
        <v>4049</v>
      </c>
      <c r="D5085" s="1"/>
      <c r="E5085" s="1" t="s">
        <v>4050</v>
      </c>
      <c r="F5085" s="1" t="s">
        <v>4051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43"/>
      <c r="N5085" s="1"/>
      <c r="O5085" t="s">
        <v>6</v>
      </c>
    </row>
    <row r="5086" spans="1:15" ht="20.25" hidden="1" x14ac:dyDescent="0.25">
      <c r="A5086" s="1">
        <v>116</v>
      </c>
      <c r="B5086" s="159"/>
      <c r="C5086" s="1" t="s">
        <v>4049</v>
      </c>
      <c r="D5086" s="1"/>
      <c r="E5086" s="1" t="s">
        <v>4050</v>
      </c>
      <c r="F5086" s="1" t="s">
        <v>4051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43"/>
      <c r="N5086" s="1"/>
      <c r="O5086" t="s">
        <v>6</v>
      </c>
    </row>
    <row r="5087" spans="1:15" ht="20.25" hidden="1" x14ac:dyDescent="0.25">
      <c r="A5087" s="1">
        <v>117</v>
      </c>
      <c r="B5087" s="159"/>
      <c r="C5087" s="1" t="s">
        <v>4049</v>
      </c>
      <c r="D5087" s="1"/>
      <c r="E5087" s="1" t="s">
        <v>4053</v>
      </c>
      <c r="F5087" s="1" t="s">
        <v>4051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43"/>
      <c r="N5087" s="1"/>
      <c r="O5087" t="s">
        <v>6</v>
      </c>
    </row>
    <row r="5088" spans="1:15" ht="20.25" hidden="1" x14ac:dyDescent="0.25">
      <c r="A5088" s="1">
        <v>118</v>
      </c>
      <c r="B5088" s="159"/>
      <c r="C5088" s="1" t="s">
        <v>4049</v>
      </c>
      <c r="D5088" s="1"/>
      <c r="E5088" s="1" t="s">
        <v>4053</v>
      </c>
      <c r="F5088" s="1" t="s">
        <v>4051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43"/>
      <c r="N5088" s="1"/>
      <c r="O5088" t="s">
        <v>6</v>
      </c>
    </row>
    <row r="5089" spans="1:15" ht="20.25" hidden="1" x14ac:dyDescent="0.25">
      <c r="A5089" s="1">
        <v>119</v>
      </c>
      <c r="B5089" s="159"/>
      <c r="C5089" s="1" t="s">
        <v>4049</v>
      </c>
      <c r="D5089" s="1"/>
      <c r="E5089" s="1" t="s">
        <v>4054</v>
      </c>
      <c r="F5089" s="1" t="s">
        <v>4051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43"/>
      <c r="N5089" s="1"/>
      <c r="O5089" t="s">
        <v>6</v>
      </c>
    </row>
    <row r="5090" spans="1:15" ht="20.25" hidden="1" x14ac:dyDescent="0.25">
      <c r="A5090" s="1">
        <v>120</v>
      </c>
      <c r="B5090" s="159"/>
      <c r="C5090" s="1" t="s">
        <v>4049</v>
      </c>
      <c r="D5090" s="1"/>
      <c r="E5090" s="1" t="s">
        <v>4054</v>
      </c>
      <c r="F5090" s="1" t="s">
        <v>4051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43"/>
      <c r="N5090" s="1"/>
      <c r="O5090" t="s">
        <v>6</v>
      </c>
    </row>
    <row r="5091" spans="1:15" ht="20.25" hidden="1" x14ac:dyDescent="0.25">
      <c r="A5091" s="1">
        <v>121</v>
      </c>
      <c r="B5091" s="159"/>
      <c r="C5091" s="1" t="s">
        <v>4049</v>
      </c>
      <c r="D5091" s="1"/>
      <c r="E5091" s="1" t="s">
        <v>4055</v>
      </c>
      <c r="F5091" s="1" t="s">
        <v>4051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43"/>
      <c r="N5091" s="1"/>
      <c r="O5091" t="s">
        <v>6</v>
      </c>
    </row>
    <row r="5092" spans="1:15" ht="20.25" hidden="1" x14ac:dyDescent="0.25">
      <c r="A5092" s="1">
        <v>122</v>
      </c>
      <c r="B5092" s="159"/>
      <c r="C5092" s="1" t="s">
        <v>4049</v>
      </c>
      <c r="D5092" s="1"/>
      <c r="E5092" s="1" t="s">
        <v>4055</v>
      </c>
      <c r="F5092" s="1" t="s">
        <v>4051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43"/>
      <c r="N5092" s="1"/>
      <c r="O5092" t="s">
        <v>6</v>
      </c>
    </row>
    <row r="5093" spans="1:15" ht="20.25" hidden="1" x14ac:dyDescent="0.25">
      <c r="A5093" s="1">
        <v>123</v>
      </c>
      <c r="B5093" s="159"/>
      <c r="C5093" s="1" t="s">
        <v>4049</v>
      </c>
      <c r="D5093" s="1"/>
      <c r="E5093" s="1" t="s">
        <v>4056</v>
      </c>
      <c r="F5093" s="1" t="s">
        <v>4051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43"/>
      <c r="N5093" s="1"/>
      <c r="O5093" t="s">
        <v>6</v>
      </c>
    </row>
    <row r="5094" spans="1:15" ht="20.25" hidden="1" x14ac:dyDescent="0.25">
      <c r="A5094" s="1">
        <v>124</v>
      </c>
      <c r="B5094" s="159"/>
      <c r="C5094" s="1" t="s">
        <v>4049</v>
      </c>
      <c r="D5094" s="1"/>
      <c r="E5094" s="1" t="s">
        <v>4056</v>
      </c>
      <c r="F5094" s="1" t="s">
        <v>4051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43"/>
      <c r="N5094" s="1"/>
      <c r="O5094" t="s">
        <v>6</v>
      </c>
    </row>
    <row r="5095" spans="1:15" ht="20.25" hidden="1" x14ac:dyDescent="0.25">
      <c r="A5095" s="1">
        <v>125</v>
      </c>
      <c r="B5095" s="159"/>
      <c r="C5095" s="1" t="s">
        <v>4057</v>
      </c>
      <c r="D5095" s="1"/>
      <c r="E5095" s="1" t="s">
        <v>4058</v>
      </c>
      <c r="F5095" s="1" t="s">
        <v>4051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43"/>
      <c r="N5095" s="1"/>
      <c r="O5095" t="s">
        <v>6</v>
      </c>
    </row>
    <row r="5096" spans="1:15" ht="20.25" hidden="1" x14ac:dyDescent="0.25">
      <c r="A5096" s="1">
        <v>126</v>
      </c>
      <c r="B5096" s="159"/>
      <c r="C5096" s="1" t="s">
        <v>4057</v>
      </c>
      <c r="D5096" s="1"/>
      <c r="E5096" s="1" t="s">
        <v>4058</v>
      </c>
      <c r="F5096" s="1" t="s">
        <v>4051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43"/>
      <c r="N5096" s="1"/>
      <c r="O5096" t="s">
        <v>6</v>
      </c>
    </row>
    <row r="5097" spans="1:15" ht="20.25" hidden="1" x14ac:dyDescent="0.25">
      <c r="A5097" s="1">
        <v>127</v>
      </c>
      <c r="B5097" s="159"/>
      <c r="C5097" s="1" t="s">
        <v>4057</v>
      </c>
      <c r="D5097" s="1"/>
      <c r="E5097" s="1" t="s">
        <v>4059</v>
      </c>
      <c r="F5097" s="1" t="s">
        <v>4051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43"/>
      <c r="N5097" s="1"/>
      <c r="O5097" t="s">
        <v>6</v>
      </c>
    </row>
    <row r="5098" spans="1:15" ht="20.25" hidden="1" x14ac:dyDescent="0.25">
      <c r="A5098" s="1">
        <v>128</v>
      </c>
      <c r="B5098" s="159"/>
      <c r="C5098" s="1" t="s">
        <v>4057</v>
      </c>
      <c r="D5098" s="1"/>
      <c r="E5098" s="1" t="s">
        <v>4059</v>
      </c>
      <c r="F5098" s="1" t="s">
        <v>4051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43"/>
      <c r="N5098" s="1"/>
      <c r="O5098" t="s">
        <v>6</v>
      </c>
    </row>
    <row r="5099" spans="1:15" ht="20.25" hidden="1" x14ac:dyDescent="0.25">
      <c r="A5099" s="1">
        <v>129</v>
      </c>
      <c r="B5099" s="159"/>
      <c r="C5099" s="1" t="s">
        <v>4057</v>
      </c>
      <c r="D5099" s="1"/>
      <c r="E5099" s="1" t="s">
        <v>4060</v>
      </c>
      <c r="F5099" s="1" t="s">
        <v>4051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43"/>
      <c r="N5099" s="1"/>
      <c r="O5099" t="s">
        <v>6</v>
      </c>
    </row>
    <row r="5100" spans="1:15" ht="20.25" hidden="1" x14ac:dyDescent="0.25">
      <c r="A5100" s="1">
        <v>130</v>
      </c>
      <c r="B5100" s="159"/>
      <c r="C5100" s="1" t="s">
        <v>4057</v>
      </c>
      <c r="D5100" s="1"/>
      <c r="E5100" s="1" t="s">
        <v>4060</v>
      </c>
      <c r="F5100" s="1" t="s">
        <v>4051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43"/>
      <c r="N5100" s="1"/>
      <c r="O5100" t="s">
        <v>6</v>
      </c>
    </row>
    <row r="5101" spans="1:15" ht="20.25" hidden="1" x14ac:dyDescent="0.25">
      <c r="A5101" s="1">
        <v>131</v>
      </c>
      <c r="B5101" s="159"/>
      <c r="C5101" s="1" t="s">
        <v>4057</v>
      </c>
      <c r="D5101" s="1"/>
      <c r="E5101" s="1" t="s">
        <v>4061</v>
      </c>
      <c r="F5101" s="1" t="s">
        <v>4051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43"/>
      <c r="N5101" s="1"/>
      <c r="O5101" t="s">
        <v>6</v>
      </c>
    </row>
    <row r="5102" spans="1:15" ht="20.25" hidden="1" x14ac:dyDescent="0.25">
      <c r="A5102" s="1">
        <v>132</v>
      </c>
      <c r="B5102" s="159"/>
      <c r="C5102" s="1" t="s">
        <v>4057</v>
      </c>
      <c r="D5102" s="1"/>
      <c r="E5102" s="1" t="s">
        <v>4061</v>
      </c>
      <c r="F5102" s="1" t="s">
        <v>4051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43"/>
      <c r="N5102" s="1"/>
      <c r="O5102" t="s">
        <v>6</v>
      </c>
    </row>
    <row r="5103" spans="1:15" ht="20.25" hidden="1" x14ac:dyDescent="0.25">
      <c r="A5103" s="1">
        <v>133</v>
      </c>
      <c r="B5103" s="159"/>
      <c r="C5103" s="1" t="s">
        <v>3764</v>
      </c>
      <c r="D5103" s="1"/>
      <c r="E5103" s="1" t="s">
        <v>3771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43"/>
      <c r="N5103" s="1"/>
      <c r="O5103" t="s">
        <v>6</v>
      </c>
    </row>
    <row r="5104" spans="1:15" ht="20.25" hidden="1" x14ac:dyDescent="0.25">
      <c r="A5104" s="1">
        <v>134</v>
      </c>
      <c r="B5104" s="159"/>
      <c r="C5104" s="1" t="s">
        <v>3764</v>
      </c>
      <c r="D5104" s="1"/>
      <c r="E5104" s="1" t="s">
        <v>3771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43"/>
      <c r="N5104" s="1"/>
      <c r="O5104" t="s">
        <v>6</v>
      </c>
    </row>
    <row r="5105" spans="1:15" ht="20.25" hidden="1" x14ac:dyDescent="0.25">
      <c r="A5105" s="1">
        <v>135</v>
      </c>
      <c r="B5105" s="159"/>
      <c r="C5105" s="1" t="s">
        <v>3849</v>
      </c>
      <c r="D5105" s="1"/>
      <c r="E5105" s="1" t="s">
        <v>4062</v>
      </c>
      <c r="F5105" s="1" t="s">
        <v>3415</v>
      </c>
      <c r="G5105" s="1">
        <v>2</v>
      </c>
      <c r="H5105" s="1" t="s">
        <v>19</v>
      </c>
      <c r="I5105" s="1" t="s">
        <v>3790</v>
      </c>
      <c r="J5105" s="1">
        <v>18.8</v>
      </c>
      <c r="K5105" s="1">
        <v>37.6</v>
      </c>
      <c r="L5105" s="42"/>
      <c r="M5105" s="43"/>
      <c r="N5105" s="1"/>
      <c r="O5105" t="s">
        <v>6</v>
      </c>
    </row>
    <row r="5106" spans="1:15" ht="20.25" hidden="1" x14ac:dyDescent="0.25">
      <c r="A5106" s="1">
        <v>136</v>
      </c>
      <c r="B5106" s="159"/>
      <c r="C5106" s="1" t="s">
        <v>3849</v>
      </c>
      <c r="D5106" s="1"/>
      <c r="E5106" s="1" t="s">
        <v>4063</v>
      </c>
      <c r="F5106" s="1" t="s">
        <v>3415</v>
      </c>
      <c r="G5106" s="1">
        <v>2</v>
      </c>
      <c r="H5106" s="1" t="s">
        <v>19</v>
      </c>
      <c r="I5106" s="1" t="s">
        <v>3790</v>
      </c>
      <c r="J5106" s="1">
        <v>28.3</v>
      </c>
      <c r="K5106" s="1">
        <v>56.6</v>
      </c>
      <c r="L5106" s="42"/>
      <c r="M5106" s="43"/>
      <c r="N5106" s="1"/>
      <c r="O5106" t="s">
        <v>6</v>
      </c>
    </row>
    <row r="5107" spans="1:15" ht="20.25" x14ac:dyDescent="0.25">
      <c r="A5107" s="1">
        <v>137</v>
      </c>
      <c r="B5107" s="159"/>
      <c r="C5107" s="1" t="s">
        <v>4064</v>
      </c>
      <c r="D5107" s="1"/>
      <c r="E5107" s="1" t="s">
        <v>3774</v>
      </c>
      <c r="F5107" s="1" t="s">
        <v>3777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43"/>
      <c r="N5107" s="1"/>
      <c r="O5107" t="s">
        <v>6</v>
      </c>
    </row>
    <row r="5108" spans="1:15" ht="20.25" x14ac:dyDescent="0.25">
      <c r="A5108" s="1">
        <v>138</v>
      </c>
      <c r="B5108" s="159"/>
      <c r="C5108" s="1" t="s">
        <v>4064</v>
      </c>
      <c r="D5108" s="1"/>
      <c r="E5108" s="1" t="s">
        <v>3776</v>
      </c>
      <c r="F5108" s="1" t="s">
        <v>4066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43"/>
      <c r="N5108" s="1"/>
      <c r="O5108" t="s">
        <v>6</v>
      </c>
    </row>
    <row r="5109" spans="1:15" ht="20.25" x14ac:dyDescent="0.25">
      <c r="A5109" s="1">
        <v>139</v>
      </c>
      <c r="B5109" s="159"/>
      <c r="C5109" s="1" t="s">
        <v>4064</v>
      </c>
      <c r="D5109" s="1"/>
      <c r="E5109" s="1" t="s">
        <v>3778</v>
      </c>
      <c r="F5109" s="1" t="s">
        <v>4067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43"/>
      <c r="N5109" s="1"/>
      <c r="O5109" t="s">
        <v>6</v>
      </c>
    </row>
    <row r="5110" spans="1:15" ht="20.25" x14ac:dyDescent="0.25">
      <c r="A5110" s="1">
        <v>140</v>
      </c>
      <c r="B5110" s="159"/>
      <c r="C5110" s="1" t="s">
        <v>4064</v>
      </c>
      <c r="D5110" s="1"/>
      <c r="E5110" s="1" t="s">
        <v>3774</v>
      </c>
      <c r="F5110" s="1" t="s">
        <v>3777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43"/>
      <c r="N5110" s="1"/>
      <c r="O5110" t="s">
        <v>6</v>
      </c>
    </row>
    <row r="5111" spans="1:15" ht="20.25" x14ac:dyDescent="0.25">
      <c r="A5111" s="1">
        <v>141</v>
      </c>
      <c r="B5111" s="159"/>
      <c r="C5111" s="1" t="s">
        <v>4064</v>
      </c>
      <c r="D5111" s="1"/>
      <c r="E5111" s="1" t="s">
        <v>3776</v>
      </c>
      <c r="F5111" s="1" t="s">
        <v>4066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43"/>
      <c r="N5111" s="1"/>
      <c r="O5111" t="s">
        <v>6</v>
      </c>
    </row>
    <row r="5112" spans="1:15" ht="20.25" x14ac:dyDescent="0.25">
      <c r="A5112" s="1">
        <v>142</v>
      </c>
      <c r="B5112" s="159"/>
      <c r="C5112" s="1" t="s">
        <v>4064</v>
      </c>
      <c r="D5112" s="1"/>
      <c r="E5112" s="1" t="s">
        <v>3778</v>
      </c>
      <c r="F5112" s="1" t="s">
        <v>4067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43"/>
      <c r="N5112" s="1"/>
      <c r="O5112" t="s">
        <v>6</v>
      </c>
    </row>
    <row r="5113" spans="1:15" ht="20.25" hidden="1" x14ac:dyDescent="0.25">
      <c r="A5113" s="1">
        <v>143</v>
      </c>
      <c r="B5113" s="159"/>
      <c r="C5113" s="1" t="s">
        <v>3864</v>
      </c>
      <c r="D5113" s="1"/>
      <c r="E5113" s="1" t="s">
        <v>4069</v>
      </c>
      <c r="F5113" s="1" t="s">
        <v>4070</v>
      </c>
      <c r="G5113" s="1">
        <v>2</v>
      </c>
      <c r="H5113" s="1" t="s">
        <v>19</v>
      </c>
      <c r="I5113" s="1" t="s">
        <v>3790</v>
      </c>
      <c r="J5113" s="1">
        <v>4.4800000000000004</v>
      </c>
      <c r="K5113" s="1">
        <v>8.9600000000000009</v>
      </c>
      <c r="L5113" s="42"/>
      <c r="M5113" s="43"/>
      <c r="N5113" s="1"/>
      <c r="O5113" t="s">
        <v>6</v>
      </c>
    </row>
    <row r="5114" spans="1:15" ht="20.25" hidden="1" x14ac:dyDescent="0.25">
      <c r="A5114" s="1">
        <v>144</v>
      </c>
      <c r="B5114" s="159"/>
      <c r="C5114" s="1" t="s">
        <v>3864</v>
      </c>
      <c r="D5114" s="1"/>
      <c r="E5114" s="1" t="s">
        <v>4071</v>
      </c>
      <c r="F5114" s="1" t="s">
        <v>4072</v>
      </c>
      <c r="G5114" s="1">
        <v>2</v>
      </c>
      <c r="H5114" s="1" t="s">
        <v>19</v>
      </c>
      <c r="I5114" s="1" t="s">
        <v>3790</v>
      </c>
      <c r="J5114" s="1">
        <v>58.694200000000002</v>
      </c>
      <c r="K5114" s="1">
        <v>117.3884</v>
      </c>
      <c r="L5114" s="42"/>
      <c r="M5114" s="43"/>
      <c r="N5114" s="1"/>
      <c r="O5114" t="s">
        <v>6</v>
      </c>
    </row>
  </sheetData>
  <autoFilter ref="A1:O5114" xr:uid="{E826462E-1715-45FB-827E-B16DF1FB20B2}">
    <filterColumn colId="2">
      <filters>
        <filter val="T-073005-1"/>
      </filters>
    </filterColumn>
    <filterColumn colId="14">
      <customFilters>
        <customFilter operator="notEqual" val=" "/>
      </customFilters>
    </filterColumn>
  </autoFilter>
  <phoneticPr fontId="6" type="noConversion"/>
  <conditionalFormatting sqref="B764:B4406">
    <cfRule type="expression" dxfId="6" priority="5">
      <formula>$AH764="OK"</formula>
    </cfRule>
  </conditionalFormatting>
  <conditionalFormatting sqref="B4407:B4408 B4749:B5114">
    <cfRule type="expression" dxfId="5" priority="4">
      <formula>$AI4407="OK"</formula>
    </cfRule>
  </conditionalFormatting>
  <conditionalFormatting sqref="B4409:B4748">
    <cfRule type="expression" dxfId="4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4253.2195000000002</v>
      </c>
      <c r="I357" s="113">
        <f>SUMIF(MICRO!AP:AP,O:O,MICRO!T:T)</f>
        <v>-4270.2</v>
      </c>
      <c r="J357" s="114">
        <f t="shared" si="130"/>
        <v>0.66162956567730713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1616.1000000000001</v>
      </c>
      <c r="H359" s="113">
        <f>SUMIF(MICRO!AP:AP,O:O,MICRO!R:R)</f>
        <v>358.73249999999996</v>
      </c>
      <c r="I359" s="113">
        <f>SUMIF(MICRO!AP:AP,O:O,MICRO!T:T)</f>
        <v>-1616.1000000000001</v>
      </c>
      <c r="J359" s="114">
        <f t="shared" si="130"/>
        <v>0.22197419714126596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1616.1000000000001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3" priority="1">
      <formula>$AI366="OK"</formula>
    </cfRule>
  </conditionalFormatting>
  <conditionalFormatting sqref="F192">
    <cfRule type="expression" dxfId="2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2026-07-30T18:10:44Z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